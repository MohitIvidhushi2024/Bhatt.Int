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ctrlProps/ctrlProp2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it.khosla\Desktop\"/>
    </mc:Choice>
  </mc:AlternateContent>
  <xr:revisionPtr revIDLastSave="0" documentId="13_ncr:1_{03F8EC8A-06C4-499E-BD6C-B4ACB8928AC5}" xr6:coauthVersionLast="47" xr6:coauthVersionMax="47" xr10:uidLastSave="{00000000-0000-0000-0000-000000000000}"/>
  <bookViews>
    <workbookView xWindow="-120" yWindow="-120" windowWidth="20730" windowHeight="11040" tabRatio="596" firstSheet="3" activeTab="4" xr2:uid="{00000000-000D-0000-FFFF-FFFF00000000}"/>
  </bookViews>
  <sheets>
    <sheet name="Advance" sheetId="12" r:id="rId1"/>
    <sheet name="Dashboard" sheetId="20" r:id="rId2"/>
    <sheet name="Checklist" sheetId="18" r:id="rId3"/>
    <sheet name="Document Workflow" sheetId="3" r:id="rId4"/>
    <sheet name="Sheet2" sheetId="1" r:id="rId5"/>
    <sheet name="Sheet20" sheetId="13" r:id="rId6"/>
    <sheet name="Sales Orders" sheetId="14" r:id="rId7"/>
    <sheet name="Booking Management" sheetId="2" r:id="rId8"/>
    <sheet name="Engine" sheetId="6" state="hidden" r:id="rId9"/>
    <sheet name="Confirmation &amp; Approvals" sheetId="4" state="hidden" r:id="rId10"/>
    <sheet name="Pending Approvals" sheetId="7" state="hidden" r:id="rId11"/>
    <sheet name="Inventory" sheetId="15" r:id="rId12"/>
    <sheet name="Inventory Breakdown" sheetId="17" r:id="rId13"/>
    <sheet name="Master Database" sheetId="11" r:id="rId14"/>
    <sheet name="Forecast" sheetId="16" r:id="rId15"/>
    <sheet name="Sheet3" sheetId="19" r:id="rId16"/>
    <sheet name="Pending Approvals Engine" sheetId="9" state="hidden" r:id="rId17"/>
    <sheet name="Sheet10" sheetId="5" r:id="rId18"/>
  </sheets>
  <externalReferences>
    <externalReference r:id="rId19"/>
  </externalReferences>
  <definedNames>
    <definedName name="_xlnm._FilterDatabase" localSheetId="0" hidden="1">Advance!$A$1:$T$115</definedName>
    <definedName name="_xlnm._FilterDatabase" localSheetId="7" hidden="1">'Booking Management'!$A$1:$AK$1502</definedName>
    <definedName name="_xlnm._FilterDatabase" localSheetId="2" hidden="1">Checklist!$A$1:$C$178</definedName>
    <definedName name="_xlnm._FilterDatabase" localSheetId="1" hidden="1">Dashboard!$C$2:$D$8</definedName>
    <definedName name="_xlnm._FilterDatabase" localSheetId="3" hidden="1">'Document Workflow'!$A$1:$L$1499</definedName>
    <definedName name="_xlnm._FilterDatabase" localSheetId="12" hidden="1">'Inventory Breakdown'!$I$2:$J$35</definedName>
    <definedName name="_xlnm._FilterDatabase" localSheetId="10" hidden="1">'Pending Approvals'!$A$1:$E$77</definedName>
    <definedName name="_xlnm._FilterDatabase" localSheetId="6" hidden="1">'Sales Orders'!$A$2:$V$1002</definedName>
    <definedName name="_xlnm._FilterDatabase" localSheetId="4" hidden="1">Sheet2!$A$2:$AE$2</definedName>
    <definedName name="Approvals">'Pending Approvals'!$A$1:OFFSET('Pending Approvals'!$A$1,COUNTA('Pending Approvals'!$A:$A),0)</definedName>
    <definedName name="Buyers">'Master Database'!$E$1:OFFSET('Master Database'!$E$1,COUNTA('Master Database'!$E:$E),0)</definedName>
    <definedName name="Consolidated">'[1]Item Recovery Sheet'!$D:$D</definedName>
    <definedName name="CONSOLIDATED_LOADS">'[1]To Be Hidden'!$D:$D</definedName>
    <definedName name="Contract_Status">Inventory!$A$3:$A$4</definedName>
    <definedName name="Data">Sheet2!$A$1:OFFSET(Sheet2!$A$1,COUNTA(Sheet2!$C:$C),0)</definedName>
    <definedName name="Data_SO">'Sales Orders'!$A$1:OFFSET('Sales Orders'!$A$1,COUNTA('Sales Orders'!$A:$A),0)</definedName>
    <definedName name="Doc_Types">'Pending Approvals'!$B$1:OFFSET('Pending Approvals'!$B$1,COUNTA('Pending Approvals'!$B:$B),0)</definedName>
    <definedName name="Expected_Arrived">Engine!$R$6:$R$7</definedName>
    <definedName name="Material_Code">'Master Database'!$V$1:OFFSET('Master Database'!$V$1,COUNTA('Master Database'!$V:$V),0)</definedName>
    <definedName name="Net_Due">Sheet20!$C$1:$C$30</definedName>
    <definedName name="PI_Opt">Sheet20!$A$1:$A$2</definedName>
    <definedName name="_xlnm.Print_Titles" localSheetId="4">Sheet2!$1:$1</definedName>
    <definedName name="Select_Contract">Sheet2!$A$1:OFFSET(Sheet2!$A$1,COUNTA(Sheet2!$A:$A),0)</definedName>
    <definedName name="Tags">'Master Database'!$AC$1:$AC$1:OFFSET('Master Database'!$AC$1,COUNTA('Master Database'!$AC:$AC)-1,0)</definedName>
    <definedName name="Vendors">'Master Database'!$C$1:OFFSET('Master Database'!$C$1,COUNTA('Master Database'!$C:$C),0)</definedName>
    <definedName name="Weight_Units">Engine!$O$7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K3" i="2"/>
  <c r="P3" i="2"/>
  <c r="Q3" i="2"/>
  <c r="W3" i="2"/>
  <c r="C4" i="2"/>
  <c r="K4" i="2"/>
  <c r="P4" i="2"/>
  <c r="Q4" i="2"/>
  <c r="W4" i="2"/>
  <c r="C5" i="2"/>
  <c r="K5" i="2"/>
  <c r="P5" i="2"/>
  <c r="Q5" i="2"/>
  <c r="W5" i="2"/>
  <c r="C6" i="2"/>
  <c r="K6" i="2"/>
  <c r="P6" i="2"/>
  <c r="Q6" i="2"/>
  <c r="W6" i="2"/>
  <c r="C7" i="2"/>
  <c r="K7" i="2"/>
  <c r="P7" i="2"/>
  <c r="Q7" i="2"/>
  <c r="W7" i="2"/>
  <c r="C8" i="2"/>
  <c r="K8" i="2"/>
  <c r="P8" i="2"/>
  <c r="Q8" i="2"/>
  <c r="W8" i="2"/>
  <c r="C9" i="2"/>
  <c r="K9" i="2"/>
  <c r="P9" i="2"/>
  <c r="Q9" i="2"/>
  <c r="W9" i="2"/>
  <c r="C10" i="2"/>
  <c r="K10" i="2"/>
  <c r="P10" i="2"/>
  <c r="Q10" i="2"/>
  <c r="W10" i="2"/>
  <c r="C11" i="2"/>
  <c r="K11" i="2"/>
  <c r="P11" i="2"/>
  <c r="Q11" i="2"/>
  <c r="W11" i="2"/>
  <c r="C12" i="2"/>
  <c r="K12" i="2"/>
  <c r="P12" i="2"/>
  <c r="Q12" i="2"/>
  <c r="W12" i="2"/>
  <c r="C13" i="2"/>
  <c r="K13" i="2"/>
  <c r="P13" i="2"/>
  <c r="Q13" i="2"/>
  <c r="W13" i="2"/>
  <c r="C14" i="2"/>
  <c r="K14" i="2"/>
  <c r="P14" i="2"/>
  <c r="Q14" i="2"/>
  <c r="W14" i="2"/>
  <c r="C15" i="2"/>
  <c r="K15" i="2"/>
  <c r="P15" i="2"/>
  <c r="Q15" i="2"/>
  <c r="W15" i="2"/>
  <c r="C16" i="2"/>
  <c r="K16" i="2"/>
  <c r="P16" i="2"/>
  <c r="Q16" i="2"/>
  <c r="W16" i="2"/>
  <c r="C17" i="2"/>
  <c r="K17" i="2"/>
  <c r="P17" i="2"/>
  <c r="Q17" i="2"/>
  <c r="W17" i="2"/>
  <c r="C18" i="2"/>
  <c r="K18" i="2"/>
  <c r="P18" i="2"/>
  <c r="Q18" i="2"/>
  <c r="W18" i="2"/>
  <c r="C19" i="2"/>
  <c r="K19" i="2"/>
  <c r="P19" i="2"/>
  <c r="Q19" i="2"/>
  <c r="W19" i="2"/>
  <c r="C20" i="2"/>
  <c r="K20" i="2"/>
  <c r="P20" i="2"/>
  <c r="Q20" i="2"/>
  <c r="W20" i="2"/>
  <c r="C21" i="2"/>
  <c r="K21" i="2"/>
  <c r="P21" i="2"/>
  <c r="Q21" i="2"/>
  <c r="W21" i="2"/>
  <c r="C22" i="2"/>
  <c r="K22" i="2"/>
  <c r="P22" i="2"/>
  <c r="Q22" i="2"/>
  <c r="W22" i="2"/>
  <c r="C23" i="2"/>
  <c r="K23" i="2"/>
  <c r="P23" i="2"/>
  <c r="Q23" i="2"/>
  <c r="W23" i="2"/>
  <c r="C24" i="2"/>
  <c r="K24" i="2"/>
  <c r="P24" i="2"/>
  <c r="Q24" i="2"/>
  <c r="W24" i="2"/>
  <c r="C25" i="2"/>
  <c r="K25" i="2"/>
  <c r="P25" i="2"/>
  <c r="Q25" i="2"/>
  <c r="W25" i="2"/>
  <c r="C26" i="2"/>
  <c r="K26" i="2"/>
  <c r="P26" i="2"/>
  <c r="Q26" i="2"/>
  <c r="W26" i="2"/>
  <c r="C27" i="2"/>
  <c r="K27" i="2"/>
  <c r="P27" i="2"/>
  <c r="Q27" i="2"/>
  <c r="W27" i="2"/>
  <c r="C28" i="2"/>
  <c r="K28" i="2"/>
  <c r="P28" i="2"/>
  <c r="Q28" i="2"/>
  <c r="W28" i="2"/>
  <c r="C29" i="2"/>
  <c r="K29" i="2"/>
  <c r="P29" i="2"/>
  <c r="Q29" i="2"/>
  <c r="W29" i="2"/>
  <c r="C30" i="2"/>
  <c r="K30" i="2"/>
  <c r="P30" i="2"/>
  <c r="Q30" i="2"/>
  <c r="W30" i="2"/>
  <c r="C31" i="2"/>
  <c r="K31" i="2"/>
  <c r="P31" i="2"/>
  <c r="Q31" i="2"/>
  <c r="W31" i="2"/>
  <c r="C32" i="2"/>
  <c r="K32" i="2"/>
  <c r="P32" i="2"/>
  <c r="Q32" i="2"/>
  <c r="W32" i="2"/>
  <c r="C33" i="2"/>
  <c r="K33" i="2"/>
  <c r="P33" i="2"/>
  <c r="Q33" i="2"/>
  <c r="W33" i="2"/>
  <c r="C34" i="2"/>
  <c r="K34" i="2"/>
  <c r="P34" i="2"/>
  <c r="Q34" i="2"/>
  <c r="W34" i="2"/>
  <c r="C35" i="2"/>
  <c r="K35" i="2"/>
  <c r="P35" i="2"/>
  <c r="Q35" i="2"/>
  <c r="W35" i="2"/>
  <c r="C36" i="2"/>
  <c r="K36" i="2"/>
  <c r="P36" i="2"/>
  <c r="Q36" i="2"/>
  <c r="W36" i="2"/>
  <c r="C37" i="2"/>
  <c r="K37" i="2"/>
  <c r="P37" i="2"/>
  <c r="Q37" i="2"/>
  <c r="W37" i="2"/>
  <c r="C38" i="2"/>
  <c r="K38" i="2"/>
  <c r="P38" i="2"/>
  <c r="Q38" i="2"/>
  <c r="W38" i="2"/>
  <c r="C39" i="2"/>
  <c r="K39" i="2"/>
  <c r="P39" i="2"/>
  <c r="Q39" i="2"/>
  <c r="W39" i="2"/>
  <c r="C40" i="2"/>
  <c r="K40" i="2"/>
  <c r="P40" i="2"/>
  <c r="Q40" i="2"/>
  <c r="W40" i="2"/>
  <c r="C41" i="2"/>
  <c r="K41" i="2"/>
  <c r="P41" i="2"/>
  <c r="Q41" i="2"/>
  <c r="W41" i="2"/>
  <c r="C42" i="2"/>
  <c r="K42" i="2"/>
  <c r="P42" i="2"/>
  <c r="Q42" i="2"/>
  <c r="W42" i="2"/>
  <c r="C43" i="2"/>
  <c r="K43" i="2"/>
  <c r="P43" i="2"/>
  <c r="Q43" i="2"/>
  <c r="W43" i="2"/>
  <c r="C44" i="2"/>
  <c r="K44" i="2"/>
  <c r="P44" i="2"/>
  <c r="Q44" i="2"/>
  <c r="W44" i="2"/>
  <c r="C45" i="2"/>
  <c r="K45" i="2"/>
  <c r="P45" i="2"/>
  <c r="Q45" i="2"/>
  <c r="W45" i="2"/>
  <c r="C46" i="2"/>
  <c r="K46" i="2"/>
  <c r="P46" i="2"/>
  <c r="Q46" i="2"/>
  <c r="W46" i="2"/>
  <c r="C47" i="2"/>
  <c r="K47" i="2"/>
  <c r="P47" i="2"/>
  <c r="Q47" i="2"/>
  <c r="W47" i="2"/>
  <c r="C48" i="2"/>
  <c r="K48" i="2"/>
  <c r="P48" i="2"/>
  <c r="Q48" i="2"/>
  <c r="W48" i="2"/>
  <c r="C49" i="2"/>
  <c r="K49" i="2"/>
  <c r="P49" i="2"/>
  <c r="Q49" i="2"/>
  <c r="W49" i="2"/>
  <c r="C50" i="2"/>
  <c r="K50" i="2"/>
  <c r="P50" i="2"/>
  <c r="Q50" i="2"/>
  <c r="W50" i="2"/>
  <c r="C51" i="2"/>
  <c r="K51" i="2"/>
  <c r="P51" i="2"/>
  <c r="Q51" i="2"/>
  <c r="W51" i="2"/>
  <c r="C52" i="2"/>
  <c r="K52" i="2"/>
  <c r="P52" i="2"/>
  <c r="Q52" i="2"/>
  <c r="W52" i="2"/>
  <c r="C53" i="2"/>
  <c r="K53" i="2"/>
  <c r="P53" i="2"/>
  <c r="Q53" i="2"/>
  <c r="W53" i="2"/>
  <c r="C54" i="2"/>
  <c r="K54" i="2"/>
  <c r="P54" i="2"/>
  <c r="Q54" i="2"/>
  <c r="W54" i="2"/>
  <c r="C55" i="2"/>
  <c r="K55" i="2"/>
  <c r="P55" i="2"/>
  <c r="Q55" i="2"/>
  <c r="W55" i="2"/>
  <c r="C56" i="2"/>
  <c r="K56" i="2"/>
  <c r="P56" i="2"/>
  <c r="Q56" i="2"/>
  <c r="W56" i="2"/>
  <c r="C57" i="2"/>
  <c r="K57" i="2"/>
  <c r="P57" i="2"/>
  <c r="Q57" i="2"/>
  <c r="W57" i="2"/>
  <c r="C58" i="2"/>
  <c r="K58" i="2"/>
  <c r="P58" i="2"/>
  <c r="Q58" i="2"/>
  <c r="W58" i="2"/>
  <c r="C59" i="2"/>
  <c r="K59" i="2"/>
  <c r="P59" i="2"/>
  <c r="Q59" i="2"/>
  <c r="W59" i="2"/>
  <c r="C60" i="2"/>
  <c r="K60" i="2"/>
  <c r="P60" i="2"/>
  <c r="Q60" i="2"/>
  <c r="W60" i="2"/>
  <c r="C61" i="2"/>
  <c r="K61" i="2"/>
  <c r="P61" i="2"/>
  <c r="Q61" i="2"/>
  <c r="W61" i="2"/>
  <c r="C62" i="2"/>
  <c r="K62" i="2"/>
  <c r="P62" i="2"/>
  <c r="Q62" i="2"/>
  <c r="W62" i="2"/>
  <c r="C63" i="2"/>
  <c r="K63" i="2"/>
  <c r="P63" i="2"/>
  <c r="Q63" i="2"/>
  <c r="W63" i="2"/>
  <c r="C64" i="2"/>
  <c r="K64" i="2"/>
  <c r="P64" i="2"/>
  <c r="Q64" i="2"/>
  <c r="W64" i="2"/>
  <c r="C65" i="2"/>
  <c r="K65" i="2"/>
  <c r="P65" i="2"/>
  <c r="Q65" i="2"/>
  <c r="W65" i="2"/>
  <c r="C66" i="2"/>
  <c r="K66" i="2"/>
  <c r="P66" i="2"/>
  <c r="Q66" i="2"/>
  <c r="W66" i="2"/>
  <c r="C67" i="2"/>
  <c r="K67" i="2"/>
  <c r="P67" i="2"/>
  <c r="Q67" i="2"/>
  <c r="W67" i="2"/>
  <c r="C68" i="2"/>
  <c r="K68" i="2"/>
  <c r="P68" i="2"/>
  <c r="Q68" i="2"/>
  <c r="W68" i="2"/>
  <c r="C69" i="2"/>
  <c r="K69" i="2"/>
  <c r="P69" i="2"/>
  <c r="Q69" i="2"/>
  <c r="W69" i="2"/>
  <c r="C70" i="2"/>
  <c r="K70" i="2"/>
  <c r="P70" i="2"/>
  <c r="Q70" i="2"/>
  <c r="W70" i="2"/>
  <c r="C71" i="2"/>
  <c r="K71" i="2"/>
  <c r="P71" i="2"/>
  <c r="Q71" i="2"/>
  <c r="W71" i="2"/>
  <c r="C72" i="2"/>
  <c r="K72" i="2"/>
  <c r="P72" i="2"/>
  <c r="Q72" i="2"/>
  <c r="W72" i="2"/>
  <c r="C73" i="2"/>
  <c r="K73" i="2"/>
  <c r="P73" i="2"/>
  <c r="Q73" i="2"/>
  <c r="W73" i="2"/>
  <c r="C74" i="2"/>
  <c r="K74" i="2"/>
  <c r="P74" i="2"/>
  <c r="Q74" i="2"/>
  <c r="W74" i="2"/>
  <c r="C75" i="2"/>
  <c r="K75" i="2"/>
  <c r="P75" i="2"/>
  <c r="Q75" i="2"/>
  <c r="W75" i="2"/>
  <c r="C76" i="2"/>
  <c r="K76" i="2"/>
  <c r="P76" i="2"/>
  <c r="Q76" i="2"/>
  <c r="W76" i="2"/>
  <c r="C77" i="2"/>
  <c r="K77" i="2"/>
  <c r="P77" i="2"/>
  <c r="Q77" i="2"/>
  <c r="W77" i="2"/>
  <c r="C78" i="2"/>
  <c r="K78" i="2"/>
  <c r="P78" i="2"/>
  <c r="Q78" i="2"/>
  <c r="W78" i="2"/>
  <c r="C79" i="2"/>
  <c r="K79" i="2"/>
  <c r="P79" i="2"/>
  <c r="Q79" i="2"/>
  <c r="W79" i="2"/>
  <c r="C80" i="2"/>
  <c r="K80" i="2"/>
  <c r="P80" i="2"/>
  <c r="Q80" i="2"/>
  <c r="W80" i="2"/>
  <c r="C81" i="2"/>
  <c r="K81" i="2"/>
  <c r="P81" i="2"/>
  <c r="Q81" i="2"/>
  <c r="W81" i="2"/>
  <c r="C82" i="2"/>
  <c r="K82" i="2"/>
  <c r="P82" i="2"/>
  <c r="Q82" i="2"/>
  <c r="W82" i="2"/>
  <c r="C83" i="2"/>
  <c r="K83" i="2"/>
  <c r="P83" i="2"/>
  <c r="Q83" i="2"/>
  <c r="W83" i="2"/>
  <c r="C84" i="2"/>
  <c r="K84" i="2"/>
  <c r="P84" i="2"/>
  <c r="Q84" i="2"/>
  <c r="W84" i="2"/>
  <c r="C85" i="2"/>
  <c r="K85" i="2"/>
  <c r="P85" i="2"/>
  <c r="Q85" i="2"/>
  <c r="W85" i="2"/>
  <c r="C86" i="2"/>
  <c r="K86" i="2"/>
  <c r="P86" i="2"/>
  <c r="Q86" i="2"/>
  <c r="W86" i="2"/>
  <c r="C87" i="2"/>
  <c r="K87" i="2"/>
  <c r="P87" i="2"/>
  <c r="Q87" i="2"/>
  <c r="W87" i="2"/>
  <c r="C88" i="2"/>
  <c r="K88" i="2"/>
  <c r="P88" i="2"/>
  <c r="Q88" i="2"/>
  <c r="W88" i="2"/>
  <c r="C89" i="2"/>
  <c r="K89" i="2"/>
  <c r="P89" i="2"/>
  <c r="Q89" i="2"/>
  <c r="W89" i="2"/>
  <c r="C90" i="2"/>
  <c r="K90" i="2"/>
  <c r="P90" i="2"/>
  <c r="Q90" i="2"/>
  <c r="W90" i="2"/>
  <c r="C91" i="2"/>
  <c r="K91" i="2"/>
  <c r="P91" i="2"/>
  <c r="Q91" i="2"/>
  <c r="W91" i="2"/>
  <c r="C92" i="2"/>
  <c r="K92" i="2"/>
  <c r="P92" i="2"/>
  <c r="Q92" i="2"/>
  <c r="W92" i="2"/>
  <c r="C93" i="2"/>
  <c r="K93" i="2"/>
  <c r="P93" i="2"/>
  <c r="Q93" i="2"/>
  <c r="W93" i="2"/>
  <c r="C94" i="2"/>
  <c r="K94" i="2"/>
  <c r="P94" i="2"/>
  <c r="Q94" i="2"/>
  <c r="W94" i="2"/>
  <c r="C95" i="2"/>
  <c r="K95" i="2"/>
  <c r="P95" i="2"/>
  <c r="Q95" i="2"/>
  <c r="W95" i="2"/>
  <c r="C96" i="2"/>
  <c r="K96" i="2"/>
  <c r="P96" i="2"/>
  <c r="Q96" i="2"/>
  <c r="W96" i="2"/>
  <c r="C97" i="2"/>
  <c r="K97" i="2"/>
  <c r="P97" i="2"/>
  <c r="Q97" i="2"/>
  <c r="W97" i="2"/>
  <c r="C98" i="2"/>
  <c r="K98" i="2"/>
  <c r="P98" i="2"/>
  <c r="Q98" i="2"/>
  <c r="W98" i="2"/>
  <c r="C99" i="2"/>
  <c r="K99" i="2"/>
  <c r="P99" i="2"/>
  <c r="Q99" i="2"/>
  <c r="W99" i="2"/>
  <c r="C100" i="2"/>
  <c r="K100" i="2"/>
  <c r="P100" i="2"/>
  <c r="Q100" i="2"/>
  <c r="W100" i="2"/>
  <c r="C101" i="2"/>
  <c r="K101" i="2"/>
  <c r="P101" i="2"/>
  <c r="Q101" i="2"/>
  <c r="W101" i="2"/>
  <c r="C102" i="2"/>
  <c r="K102" i="2"/>
  <c r="P102" i="2"/>
  <c r="Q102" i="2"/>
  <c r="W102" i="2"/>
  <c r="C103" i="2"/>
  <c r="K103" i="2"/>
  <c r="P103" i="2"/>
  <c r="Q103" i="2"/>
  <c r="W103" i="2"/>
  <c r="C104" i="2"/>
  <c r="K104" i="2"/>
  <c r="P104" i="2"/>
  <c r="Q104" i="2"/>
  <c r="W104" i="2"/>
  <c r="C105" i="2"/>
  <c r="K105" i="2"/>
  <c r="P105" i="2"/>
  <c r="Q105" i="2"/>
  <c r="W105" i="2"/>
  <c r="C106" i="2"/>
  <c r="K106" i="2"/>
  <c r="P106" i="2"/>
  <c r="Q106" i="2"/>
  <c r="W106" i="2"/>
  <c r="C107" i="2"/>
  <c r="K107" i="2"/>
  <c r="P107" i="2"/>
  <c r="Q107" i="2"/>
  <c r="W107" i="2"/>
  <c r="C108" i="2"/>
  <c r="K108" i="2"/>
  <c r="P108" i="2"/>
  <c r="Q108" i="2"/>
  <c r="W108" i="2"/>
  <c r="C109" i="2"/>
  <c r="K109" i="2"/>
  <c r="P109" i="2"/>
  <c r="Q109" i="2"/>
  <c r="W109" i="2"/>
  <c r="C110" i="2"/>
  <c r="K110" i="2"/>
  <c r="P110" i="2"/>
  <c r="Q110" i="2"/>
  <c r="W110" i="2"/>
  <c r="C111" i="2"/>
  <c r="K111" i="2"/>
  <c r="P111" i="2"/>
  <c r="Q111" i="2"/>
  <c r="W111" i="2"/>
  <c r="C112" i="2"/>
  <c r="K112" i="2"/>
  <c r="P112" i="2"/>
  <c r="Q112" i="2"/>
  <c r="W112" i="2"/>
  <c r="C113" i="2"/>
  <c r="K113" i="2"/>
  <c r="P113" i="2"/>
  <c r="Q113" i="2"/>
  <c r="W113" i="2"/>
  <c r="C114" i="2"/>
  <c r="K114" i="2"/>
  <c r="P114" i="2"/>
  <c r="Q114" i="2"/>
  <c r="W114" i="2"/>
  <c r="C115" i="2"/>
  <c r="K115" i="2"/>
  <c r="P115" i="2"/>
  <c r="Q115" i="2"/>
  <c r="W115" i="2"/>
  <c r="C116" i="2"/>
  <c r="K116" i="2"/>
  <c r="P116" i="2"/>
  <c r="Q116" i="2"/>
  <c r="W116" i="2"/>
  <c r="C117" i="2"/>
  <c r="K117" i="2"/>
  <c r="P117" i="2"/>
  <c r="Q117" i="2"/>
  <c r="W117" i="2"/>
  <c r="C118" i="2"/>
  <c r="K118" i="2"/>
  <c r="P118" i="2"/>
  <c r="Q118" i="2"/>
  <c r="W118" i="2"/>
  <c r="C119" i="2"/>
  <c r="K119" i="2"/>
  <c r="P119" i="2"/>
  <c r="Q119" i="2"/>
  <c r="W119" i="2"/>
  <c r="C120" i="2"/>
  <c r="K120" i="2"/>
  <c r="P120" i="2"/>
  <c r="Q120" i="2"/>
  <c r="W120" i="2"/>
  <c r="C121" i="2"/>
  <c r="K121" i="2"/>
  <c r="P121" i="2"/>
  <c r="Q121" i="2"/>
  <c r="W121" i="2"/>
  <c r="C122" i="2"/>
  <c r="K122" i="2"/>
  <c r="P122" i="2"/>
  <c r="Q122" i="2"/>
  <c r="W122" i="2"/>
  <c r="C123" i="2"/>
  <c r="K123" i="2"/>
  <c r="P123" i="2"/>
  <c r="Q123" i="2"/>
  <c r="W123" i="2"/>
  <c r="C124" i="2"/>
  <c r="K124" i="2"/>
  <c r="P124" i="2"/>
  <c r="Q124" i="2"/>
  <c r="W124" i="2"/>
  <c r="C125" i="2"/>
  <c r="K125" i="2"/>
  <c r="P125" i="2"/>
  <c r="Q125" i="2"/>
  <c r="W125" i="2"/>
  <c r="C126" i="2"/>
  <c r="K126" i="2"/>
  <c r="P126" i="2"/>
  <c r="Q126" i="2"/>
  <c r="W126" i="2"/>
  <c r="C127" i="2"/>
  <c r="K127" i="2"/>
  <c r="P127" i="2"/>
  <c r="Q127" i="2"/>
  <c r="W127" i="2"/>
  <c r="C128" i="2"/>
  <c r="K128" i="2"/>
  <c r="P128" i="2"/>
  <c r="Q128" i="2"/>
  <c r="W128" i="2"/>
  <c r="C129" i="2"/>
  <c r="K129" i="2"/>
  <c r="P129" i="2"/>
  <c r="Q129" i="2"/>
  <c r="W129" i="2"/>
  <c r="C130" i="2"/>
  <c r="K130" i="2"/>
  <c r="P130" i="2"/>
  <c r="Q130" i="2"/>
  <c r="W130" i="2"/>
  <c r="C131" i="2"/>
  <c r="K131" i="2"/>
  <c r="P131" i="2"/>
  <c r="Q131" i="2"/>
  <c r="W131" i="2"/>
  <c r="C132" i="2"/>
  <c r="K132" i="2"/>
  <c r="P132" i="2"/>
  <c r="Q132" i="2"/>
  <c r="W132" i="2"/>
  <c r="C133" i="2"/>
  <c r="K133" i="2"/>
  <c r="P133" i="2"/>
  <c r="Q133" i="2"/>
  <c r="W133" i="2"/>
  <c r="C134" i="2"/>
  <c r="K134" i="2"/>
  <c r="P134" i="2"/>
  <c r="Q134" i="2"/>
  <c r="W134" i="2"/>
  <c r="C135" i="2"/>
  <c r="K135" i="2"/>
  <c r="P135" i="2"/>
  <c r="Q135" i="2"/>
  <c r="W135" i="2"/>
  <c r="C136" i="2"/>
  <c r="K136" i="2"/>
  <c r="P136" i="2"/>
  <c r="Q136" i="2"/>
  <c r="W136" i="2"/>
  <c r="C137" i="2"/>
  <c r="K137" i="2"/>
  <c r="P137" i="2"/>
  <c r="Q137" i="2"/>
  <c r="W137" i="2"/>
  <c r="C138" i="2"/>
  <c r="K138" i="2"/>
  <c r="P138" i="2"/>
  <c r="Q138" i="2"/>
  <c r="W138" i="2"/>
  <c r="C139" i="2"/>
  <c r="K139" i="2"/>
  <c r="P139" i="2"/>
  <c r="Q139" i="2"/>
  <c r="W139" i="2"/>
  <c r="C140" i="2"/>
  <c r="K140" i="2"/>
  <c r="P140" i="2"/>
  <c r="Q140" i="2"/>
  <c r="W140" i="2"/>
  <c r="C141" i="2"/>
  <c r="K141" i="2"/>
  <c r="P141" i="2"/>
  <c r="Q141" i="2"/>
  <c r="W141" i="2"/>
  <c r="C142" i="2"/>
  <c r="K142" i="2"/>
  <c r="P142" i="2"/>
  <c r="Q142" i="2"/>
  <c r="W142" i="2"/>
  <c r="C143" i="2"/>
  <c r="K143" i="2"/>
  <c r="P143" i="2"/>
  <c r="Q143" i="2"/>
  <c r="W143" i="2"/>
  <c r="C144" i="2"/>
  <c r="K144" i="2"/>
  <c r="P144" i="2"/>
  <c r="Q144" i="2"/>
  <c r="W144" i="2"/>
  <c r="C145" i="2"/>
  <c r="K145" i="2"/>
  <c r="P145" i="2"/>
  <c r="Q145" i="2"/>
  <c r="W145" i="2"/>
  <c r="C146" i="2"/>
  <c r="K146" i="2"/>
  <c r="P146" i="2"/>
  <c r="Q146" i="2"/>
  <c r="W146" i="2"/>
  <c r="C147" i="2"/>
  <c r="K147" i="2"/>
  <c r="P147" i="2"/>
  <c r="Q147" i="2"/>
  <c r="W147" i="2"/>
  <c r="C148" i="2"/>
  <c r="K148" i="2"/>
  <c r="P148" i="2"/>
  <c r="Q148" i="2"/>
  <c r="W148" i="2"/>
  <c r="C149" i="2"/>
  <c r="K149" i="2"/>
  <c r="P149" i="2"/>
  <c r="Q149" i="2"/>
  <c r="W149" i="2"/>
  <c r="C150" i="2"/>
  <c r="K150" i="2"/>
  <c r="P150" i="2"/>
  <c r="Q150" i="2"/>
  <c r="W150" i="2"/>
  <c r="C151" i="2"/>
  <c r="K151" i="2"/>
  <c r="P151" i="2"/>
  <c r="Q151" i="2"/>
  <c r="W151" i="2"/>
  <c r="C152" i="2"/>
  <c r="K152" i="2"/>
  <c r="P152" i="2"/>
  <c r="Q152" i="2"/>
  <c r="W152" i="2"/>
  <c r="C153" i="2"/>
  <c r="K153" i="2"/>
  <c r="P153" i="2"/>
  <c r="Q153" i="2"/>
  <c r="W153" i="2"/>
  <c r="C154" i="2"/>
  <c r="K154" i="2"/>
  <c r="P154" i="2"/>
  <c r="Q154" i="2"/>
  <c r="W154" i="2"/>
  <c r="C155" i="2"/>
  <c r="K155" i="2"/>
  <c r="P155" i="2"/>
  <c r="Q155" i="2"/>
  <c r="W155" i="2"/>
  <c r="C156" i="2"/>
  <c r="K156" i="2"/>
  <c r="P156" i="2"/>
  <c r="Q156" i="2"/>
  <c r="W156" i="2"/>
  <c r="C157" i="2"/>
  <c r="K157" i="2"/>
  <c r="P157" i="2"/>
  <c r="Q157" i="2"/>
  <c r="W157" i="2"/>
  <c r="C158" i="2"/>
  <c r="K158" i="2"/>
  <c r="P158" i="2"/>
  <c r="Q158" i="2"/>
  <c r="W158" i="2"/>
  <c r="C159" i="2"/>
  <c r="K159" i="2"/>
  <c r="P159" i="2"/>
  <c r="Q159" i="2"/>
  <c r="W159" i="2"/>
  <c r="C160" i="2"/>
  <c r="K160" i="2"/>
  <c r="P160" i="2"/>
  <c r="Q160" i="2"/>
  <c r="W160" i="2"/>
  <c r="C161" i="2"/>
  <c r="K161" i="2"/>
  <c r="P161" i="2"/>
  <c r="Q161" i="2"/>
  <c r="W161" i="2"/>
  <c r="C162" i="2"/>
  <c r="K162" i="2"/>
  <c r="P162" i="2"/>
  <c r="Q162" i="2"/>
  <c r="W162" i="2"/>
  <c r="C163" i="2"/>
  <c r="K163" i="2"/>
  <c r="P163" i="2"/>
  <c r="Q163" i="2"/>
  <c r="W163" i="2"/>
  <c r="C164" i="2"/>
  <c r="K164" i="2"/>
  <c r="P164" i="2"/>
  <c r="Q164" i="2"/>
  <c r="W164" i="2"/>
  <c r="C165" i="2"/>
  <c r="K165" i="2"/>
  <c r="P165" i="2"/>
  <c r="Q165" i="2"/>
  <c r="W165" i="2"/>
  <c r="C166" i="2"/>
  <c r="K166" i="2"/>
  <c r="P166" i="2"/>
  <c r="Q166" i="2"/>
  <c r="W166" i="2"/>
  <c r="C167" i="2"/>
  <c r="K167" i="2"/>
  <c r="P167" i="2"/>
  <c r="Q167" i="2"/>
  <c r="W167" i="2"/>
  <c r="C168" i="2"/>
  <c r="K168" i="2"/>
  <c r="P168" i="2"/>
  <c r="Q168" i="2"/>
  <c r="W168" i="2"/>
  <c r="C169" i="2"/>
  <c r="K169" i="2"/>
  <c r="P169" i="2"/>
  <c r="Q169" i="2"/>
  <c r="W169" i="2"/>
  <c r="C170" i="2"/>
  <c r="K170" i="2"/>
  <c r="P170" i="2"/>
  <c r="Q170" i="2"/>
  <c r="W170" i="2"/>
  <c r="C171" i="2"/>
  <c r="K171" i="2"/>
  <c r="P171" i="2"/>
  <c r="Q171" i="2"/>
  <c r="W171" i="2"/>
  <c r="C172" i="2"/>
  <c r="K172" i="2"/>
  <c r="P172" i="2"/>
  <c r="Q172" i="2"/>
  <c r="W172" i="2"/>
  <c r="C173" i="2"/>
  <c r="K173" i="2"/>
  <c r="P173" i="2"/>
  <c r="Q173" i="2"/>
  <c r="W173" i="2"/>
  <c r="C174" i="2"/>
  <c r="K174" i="2"/>
  <c r="P174" i="2"/>
  <c r="Q174" i="2"/>
  <c r="W174" i="2"/>
  <c r="C175" i="2"/>
  <c r="K175" i="2"/>
  <c r="P175" i="2"/>
  <c r="Q175" i="2"/>
  <c r="W175" i="2"/>
  <c r="C176" i="2"/>
  <c r="K176" i="2"/>
  <c r="P176" i="2"/>
  <c r="Q176" i="2"/>
  <c r="W176" i="2"/>
  <c r="C177" i="2"/>
  <c r="K177" i="2"/>
  <c r="P177" i="2"/>
  <c r="Q177" i="2"/>
  <c r="W177" i="2"/>
  <c r="C178" i="2"/>
  <c r="K178" i="2"/>
  <c r="P178" i="2"/>
  <c r="Q178" i="2"/>
  <c r="W178" i="2"/>
  <c r="C179" i="2"/>
  <c r="K179" i="2"/>
  <c r="P179" i="2"/>
  <c r="Q179" i="2"/>
  <c r="W179" i="2"/>
  <c r="C180" i="2"/>
  <c r="K180" i="2"/>
  <c r="P180" i="2"/>
  <c r="Q180" i="2"/>
  <c r="W180" i="2"/>
  <c r="C181" i="2"/>
  <c r="K181" i="2"/>
  <c r="P181" i="2"/>
  <c r="Q181" i="2"/>
  <c r="W181" i="2"/>
  <c r="C182" i="2"/>
  <c r="K182" i="2"/>
  <c r="P182" i="2"/>
  <c r="Q182" i="2"/>
  <c r="W182" i="2"/>
  <c r="C183" i="2"/>
  <c r="K183" i="2"/>
  <c r="P183" i="2"/>
  <c r="Q183" i="2"/>
  <c r="W183" i="2"/>
  <c r="C184" i="2"/>
  <c r="K184" i="2"/>
  <c r="P184" i="2"/>
  <c r="Q184" i="2"/>
  <c r="W184" i="2"/>
  <c r="C185" i="2"/>
  <c r="K185" i="2"/>
  <c r="P185" i="2"/>
  <c r="Q185" i="2"/>
  <c r="W185" i="2"/>
  <c r="C186" i="2"/>
  <c r="K186" i="2"/>
  <c r="P186" i="2"/>
  <c r="Q186" i="2"/>
  <c r="W186" i="2"/>
  <c r="C187" i="2"/>
  <c r="K187" i="2"/>
  <c r="P187" i="2"/>
  <c r="Q187" i="2"/>
  <c r="W187" i="2"/>
  <c r="C188" i="2"/>
  <c r="K188" i="2"/>
  <c r="P188" i="2"/>
  <c r="Q188" i="2"/>
  <c r="W188" i="2"/>
  <c r="C189" i="2"/>
  <c r="K189" i="2"/>
  <c r="P189" i="2"/>
  <c r="Q189" i="2"/>
  <c r="W189" i="2"/>
  <c r="C190" i="2"/>
  <c r="K190" i="2"/>
  <c r="P190" i="2"/>
  <c r="Q190" i="2"/>
  <c r="W190" i="2"/>
  <c r="C191" i="2"/>
  <c r="K191" i="2"/>
  <c r="P191" i="2"/>
  <c r="Q191" i="2"/>
  <c r="W191" i="2"/>
  <c r="C192" i="2"/>
  <c r="K192" i="2"/>
  <c r="P192" i="2"/>
  <c r="Q192" i="2"/>
  <c r="W192" i="2"/>
  <c r="C193" i="2"/>
  <c r="K193" i="2"/>
  <c r="P193" i="2"/>
  <c r="Q193" i="2"/>
  <c r="W193" i="2"/>
  <c r="C194" i="2"/>
  <c r="K194" i="2"/>
  <c r="P194" i="2"/>
  <c r="Q194" i="2"/>
  <c r="W194" i="2"/>
  <c r="C195" i="2"/>
  <c r="K195" i="2"/>
  <c r="P195" i="2"/>
  <c r="Q195" i="2"/>
  <c r="W195" i="2"/>
  <c r="C196" i="2"/>
  <c r="K196" i="2"/>
  <c r="P196" i="2"/>
  <c r="Q196" i="2"/>
  <c r="W196" i="2"/>
  <c r="C197" i="2"/>
  <c r="K197" i="2"/>
  <c r="P197" i="2"/>
  <c r="Q197" i="2"/>
  <c r="W197" i="2"/>
  <c r="C198" i="2"/>
  <c r="K198" i="2"/>
  <c r="P198" i="2"/>
  <c r="Q198" i="2"/>
  <c r="W198" i="2"/>
  <c r="C199" i="2"/>
  <c r="K199" i="2"/>
  <c r="P199" i="2"/>
  <c r="Q199" i="2"/>
  <c r="W199" i="2"/>
  <c r="C200" i="2"/>
  <c r="K200" i="2"/>
  <c r="P200" i="2"/>
  <c r="Q200" i="2"/>
  <c r="W200" i="2"/>
  <c r="C201" i="2"/>
  <c r="K201" i="2"/>
  <c r="P201" i="2"/>
  <c r="Q201" i="2"/>
  <c r="W201" i="2"/>
  <c r="D4" i="20"/>
  <c r="D5" i="20"/>
  <c r="D6" i="20"/>
  <c r="E6" i="20" s="1"/>
  <c r="D7" i="20"/>
  <c r="D8" i="20"/>
  <c r="D3" i="20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D1" i="18" l="1"/>
  <c r="W2" i="2"/>
  <c r="Y168" i="14"/>
  <c r="Y169" i="14"/>
  <c r="Y170" i="14"/>
  <c r="Y171" i="14"/>
  <c r="Y172" i="14"/>
  <c r="Y173" i="14"/>
  <c r="Y174" i="14"/>
  <c r="Y175" i="14"/>
  <c r="Y176" i="14"/>
  <c r="Y177" i="14"/>
  <c r="Y178" i="14"/>
  <c r="Y179" i="14"/>
  <c r="Y180" i="14"/>
  <c r="Y181" i="14"/>
  <c r="Y182" i="14"/>
  <c r="Y183" i="14"/>
  <c r="Y184" i="14"/>
  <c r="Y185" i="14"/>
  <c r="Y186" i="14"/>
  <c r="Y187" i="14"/>
  <c r="Y188" i="14"/>
  <c r="Y189" i="14"/>
  <c r="Y190" i="14"/>
  <c r="Y191" i="14"/>
  <c r="Y192" i="14"/>
  <c r="Y193" i="14"/>
  <c r="Y194" i="14"/>
  <c r="Y195" i="14"/>
  <c r="Y196" i="14"/>
  <c r="Y197" i="14"/>
  <c r="Y198" i="14"/>
  <c r="Y199" i="14"/>
  <c r="Y200" i="14"/>
  <c r="Y201" i="14"/>
  <c r="Y202" i="14"/>
  <c r="Y203" i="14"/>
  <c r="Y204" i="14"/>
  <c r="Y205" i="14"/>
  <c r="Y206" i="14"/>
  <c r="Y207" i="14"/>
  <c r="Y208" i="14"/>
  <c r="Y209" i="14"/>
  <c r="Y210" i="14"/>
  <c r="Y211" i="14"/>
  <c r="Y212" i="14"/>
  <c r="Y213" i="14"/>
  <c r="Y214" i="14"/>
  <c r="Y215" i="14"/>
  <c r="Y216" i="14"/>
  <c r="Y217" i="14"/>
  <c r="Y218" i="14"/>
  <c r="Y219" i="14"/>
  <c r="Y220" i="14"/>
  <c r="Y221" i="14"/>
  <c r="Y222" i="14"/>
  <c r="Y223" i="14"/>
  <c r="Y224" i="14"/>
  <c r="Y225" i="14"/>
  <c r="Y226" i="14"/>
  <c r="Y227" i="14"/>
  <c r="Y228" i="14"/>
  <c r="Y229" i="14"/>
  <c r="Y230" i="14"/>
  <c r="Y231" i="14"/>
  <c r="Y232" i="14"/>
  <c r="Y233" i="14"/>
  <c r="Y234" i="14"/>
  <c r="Y235" i="14"/>
  <c r="Y236" i="14"/>
  <c r="Y237" i="14"/>
  <c r="Y238" i="14"/>
  <c r="Y239" i="14"/>
  <c r="Y240" i="14"/>
  <c r="Y241" i="14"/>
  <c r="Y242" i="14"/>
  <c r="Y243" i="14"/>
  <c r="Y244" i="14"/>
  <c r="Y245" i="14"/>
  <c r="Y246" i="14"/>
  <c r="Y247" i="14"/>
  <c r="Y248" i="14"/>
  <c r="Y249" i="14"/>
  <c r="Y250" i="14"/>
  <c r="Y251" i="14"/>
  <c r="Y252" i="14"/>
  <c r="Y253" i="14"/>
  <c r="Y254" i="14"/>
  <c r="Y255" i="14"/>
  <c r="Y256" i="14"/>
  <c r="Y257" i="14"/>
  <c r="Y258" i="14"/>
  <c r="Y259" i="14"/>
  <c r="Y260" i="14"/>
  <c r="Y261" i="14"/>
  <c r="Y262" i="14"/>
  <c r="Y263" i="14"/>
  <c r="Y264" i="14"/>
  <c r="Y265" i="14"/>
  <c r="Y266" i="14"/>
  <c r="Y267" i="14"/>
  <c r="Y268" i="14"/>
  <c r="Y269" i="14"/>
  <c r="Y270" i="14"/>
  <c r="Y271" i="14"/>
  <c r="Y272" i="14"/>
  <c r="Y273" i="14"/>
  <c r="Y274" i="14"/>
  <c r="Y275" i="14"/>
  <c r="Y276" i="14"/>
  <c r="Y277" i="14"/>
  <c r="Y278" i="14"/>
  <c r="Y279" i="14"/>
  <c r="Y280" i="14"/>
  <c r="Y281" i="14"/>
  <c r="Y282" i="14"/>
  <c r="Y283" i="14"/>
  <c r="Y284" i="14"/>
  <c r="Y285" i="14"/>
  <c r="Y286" i="14"/>
  <c r="Y287" i="14"/>
  <c r="Y288" i="14"/>
  <c r="Y289" i="14"/>
  <c r="Y290" i="14"/>
  <c r="Y291" i="14"/>
  <c r="Y292" i="14"/>
  <c r="Y293" i="14"/>
  <c r="Y294" i="14"/>
  <c r="Y295" i="14"/>
  <c r="Y296" i="14"/>
  <c r="Y297" i="14"/>
  <c r="Y298" i="14"/>
  <c r="Y299" i="14"/>
  <c r="Y300" i="14"/>
  <c r="Y301" i="14"/>
  <c r="Y302" i="14"/>
  <c r="Y303" i="14"/>
  <c r="Y304" i="14"/>
  <c r="Y305" i="14"/>
  <c r="Y306" i="14"/>
  <c r="Y307" i="14"/>
  <c r="Y308" i="14"/>
  <c r="Y309" i="14"/>
  <c r="Y310" i="14"/>
  <c r="Y311" i="14"/>
  <c r="Y312" i="14"/>
  <c r="Y313" i="14"/>
  <c r="Y314" i="14"/>
  <c r="Y315" i="14"/>
  <c r="Y316" i="14"/>
  <c r="Y317" i="14"/>
  <c r="Y318" i="14"/>
  <c r="Y319" i="14"/>
  <c r="Y320" i="14"/>
  <c r="Y321" i="14"/>
  <c r="Y322" i="14"/>
  <c r="Y323" i="14"/>
  <c r="Y324" i="14"/>
  <c r="Y325" i="14"/>
  <c r="Y326" i="14"/>
  <c r="Y327" i="14"/>
  <c r="Y328" i="14"/>
  <c r="Y329" i="14"/>
  <c r="Y330" i="14"/>
  <c r="Y331" i="14"/>
  <c r="Y332" i="14"/>
  <c r="Y333" i="14"/>
  <c r="Y334" i="14"/>
  <c r="Y335" i="14"/>
  <c r="Y336" i="14"/>
  <c r="Y337" i="14"/>
  <c r="Y338" i="14"/>
  <c r="Y339" i="14"/>
  <c r="Y340" i="14"/>
  <c r="Y341" i="14"/>
  <c r="Y342" i="14"/>
  <c r="Y343" i="14"/>
  <c r="Y344" i="14"/>
  <c r="Y345" i="14"/>
  <c r="Y346" i="14"/>
  <c r="Y347" i="14"/>
  <c r="Y348" i="14"/>
  <c r="Y349" i="14"/>
  <c r="Y350" i="14"/>
  <c r="Y351" i="14"/>
  <c r="Y352" i="14"/>
  <c r="Y353" i="14"/>
  <c r="Y354" i="14"/>
  <c r="Y355" i="14"/>
  <c r="Y356" i="14"/>
  <c r="Y357" i="14"/>
  <c r="Y358" i="14"/>
  <c r="Y359" i="14"/>
  <c r="Y360" i="14"/>
  <c r="Y361" i="14"/>
  <c r="Y362" i="14"/>
  <c r="Y363" i="14"/>
  <c r="Y364" i="14"/>
  <c r="Y365" i="14"/>
  <c r="Y366" i="14"/>
  <c r="Y367" i="14"/>
  <c r="Y368" i="14"/>
  <c r="Y369" i="14"/>
  <c r="Y370" i="14"/>
  <c r="Y371" i="14"/>
  <c r="Y372" i="14"/>
  <c r="Y373" i="14"/>
  <c r="Y374" i="14"/>
  <c r="Y375" i="14"/>
  <c r="Y376" i="14"/>
  <c r="Y377" i="14"/>
  <c r="Y378" i="14"/>
  <c r="Y379" i="14"/>
  <c r="Y380" i="14"/>
  <c r="Y381" i="14"/>
  <c r="Y382" i="14"/>
  <c r="Y383" i="14"/>
  <c r="Y384" i="14"/>
  <c r="Y385" i="14"/>
  <c r="Y386" i="14"/>
  <c r="Y387" i="14"/>
  <c r="Y388" i="14"/>
  <c r="Y389" i="14"/>
  <c r="Y390" i="14"/>
  <c r="Y391" i="14"/>
  <c r="Y392" i="14"/>
  <c r="Y393" i="14"/>
  <c r="Y394" i="14"/>
  <c r="Y395" i="14"/>
  <c r="Y396" i="14"/>
  <c r="Y397" i="14"/>
  <c r="Y398" i="14"/>
  <c r="Y399" i="14"/>
  <c r="Y400" i="14"/>
  <c r="Y401" i="14"/>
  <c r="Y402" i="14"/>
  <c r="Y403" i="14"/>
  <c r="Y404" i="14"/>
  <c r="Y405" i="14"/>
  <c r="Y406" i="14"/>
  <c r="Y407" i="14"/>
  <c r="Y408" i="14"/>
  <c r="Y409" i="14"/>
  <c r="Y410" i="14"/>
  <c r="Y411" i="14"/>
  <c r="Y412" i="14"/>
  <c r="Y413" i="14"/>
  <c r="Y414" i="14"/>
  <c r="Y415" i="14"/>
  <c r="Y416" i="14"/>
  <c r="Y417" i="14"/>
  <c r="Y418" i="14"/>
  <c r="Y419" i="14"/>
  <c r="Y420" i="14"/>
  <c r="Y421" i="14"/>
  <c r="Y422" i="14"/>
  <c r="Y423" i="14"/>
  <c r="Y424" i="14"/>
  <c r="Y425" i="14"/>
  <c r="Y426" i="14"/>
  <c r="Y427" i="14"/>
  <c r="Y428" i="14"/>
  <c r="Y429" i="14"/>
  <c r="Y430" i="14"/>
  <c r="Y431" i="14"/>
  <c r="Y432" i="14"/>
  <c r="Y433" i="14"/>
  <c r="Y434" i="14"/>
  <c r="Y435" i="14"/>
  <c r="Y436" i="14"/>
  <c r="Y437" i="14"/>
  <c r="Y438" i="14"/>
  <c r="Y439" i="14"/>
  <c r="Y440" i="14"/>
  <c r="Y441" i="14"/>
  <c r="Y442" i="14"/>
  <c r="Y443" i="14"/>
  <c r="Y444" i="14"/>
  <c r="Y445" i="14"/>
  <c r="Y446" i="14"/>
  <c r="Y447" i="14"/>
  <c r="Y448" i="14"/>
  <c r="Y449" i="14"/>
  <c r="Y450" i="14"/>
  <c r="Y451" i="14"/>
  <c r="Y452" i="14"/>
  <c r="Y453" i="14"/>
  <c r="Y454" i="14"/>
  <c r="Y455" i="14"/>
  <c r="Y456" i="14"/>
  <c r="Y457" i="14"/>
  <c r="Y458" i="14"/>
  <c r="Y459" i="14"/>
  <c r="Y460" i="14"/>
  <c r="Y461" i="14"/>
  <c r="Y462" i="14"/>
  <c r="Y463" i="14"/>
  <c r="Y464" i="14"/>
  <c r="Y465" i="14"/>
  <c r="Y466" i="14"/>
  <c r="Y467" i="14"/>
  <c r="Y468" i="14"/>
  <c r="Y469" i="14"/>
  <c r="Y470" i="14"/>
  <c r="Y471" i="14"/>
  <c r="Y472" i="14"/>
  <c r="Y473" i="14"/>
  <c r="Y474" i="14"/>
  <c r="Y475" i="14"/>
  <c r="Y476" i="14"/>
  <c r="Y477" i="14"/>
  <c r="Y478" i="14"/>
  <c r="Y479" i="14"/>
  <c r="Y480" i="14"/>
  <c r="Y481" i="14"/>
  <c r="Y482" i="14"/>
  <c r="Y483" i="14"/>
  <c r="Y484" i="14"/>
  <c r="Y485" i="14"/>
  <c r="Y486" i="14"/>
  <c r="Y487" i="14"/>
  <c r="Y488" i="14"/>
  <c r="Y489" i="14"/>
  <c r="Y490" i="14"/>
  <c r="Y491" i="14"/>
  <c r="Y492" i="14"/>
  <c r="Y493" i="14"/>
  <c r="Y494" i="14"/>
  <c r="Y495" i="14"/>
  <c r="Y496" i="14"/>
  <c r="Y497" i="14"/>
  <c r="Y498" i="14"/>
  <c r="Y499" i="14"/>
  <c r="Y500" i="14"/>
  <c r="Y501" i="14"/>
  <c r="Y502" i="14"/>
  <c r="Y503" i="14"/>
  <c r="Y504" i="14"/>
  <c r="Y505" i="14"/>
  <c r="Y506" i="14"/>
  <c r="Y507" i="14"/>
  <c r="Y508" i="14"/>
  <c r="Y509" i="14"/>
  <c r="Y510" i="14"/>
  <c r="Y511" i="14"/>
  <c r="Y512" i="14"/>
  <c r="Y513" i="14"/>
  <c r="Y514" i="14"/>
  <c r="Y515" i="14"/>
  <c r="Y516" i="14"/>
  <c r="Y517" i="14"/>
  <c r="Y518" i="14"/>
  <c r="Y519" i="14"/>
  <c r="Y520" i="14"/>
  <c r="Y521" i="14"/>
  <c r="Y522" i="14"/>
  <c r="Y523" i="14"/>
  <c r="Y524" i="14"/>
  <c r="Y525" i="14"/>
  <c r="Y526" i="14"/>
  <c r="Y527" i="14"/>
  <c r="Y528" i="14"/>
  <c r="Y529" i="14"/>
  <c r="Y530" i="14"/>
  <c r="Y531" i="14"/>
  <c r="Y532" i="14"/>
  <c r="Y533" i="14"/>
  <c r="Y534" i="14"/>
  <c r="Y535" i="14"/>
  <c r="Y536" i="14"/>
  <c r="Y537" i="14"/>
  <c r="Y538" i="14"/>
  <c r="Y539" i="14"/>
  <c r="Y540" i="14"/>
  <c r="Y541" i="14"/>
  <c r="Y542" i="14"/>
  <c r="Y543" i="14"/>
  <c r="Y544" i="14"/>
  <c r="Y545" i="14"/>
  <c r="Y546" i="14"/>
  <c r="Y547" i="14"/>
  <c r="Y548" i="14"/>
  <c r="Y549" i="14"/>
  <c r="Y550" i="14"/>
  <c r="Y551" i="14"/>
  <c r="Y552" i="14"/>
  <c r="Y553" i="14"/>
  <c r="Y554" i="14"/>
  <c r="Y555" i="14"/>
  <c r="Y556" i="14"/>
  <c r="Y557" i="14"/>
  <c r="Y558" i="14"/>
  <c r="Y559" i="14"/>
  <c r="Y560" i="14"/>
  <c r="Y561" i="14"/>
  <c r="Y562" i="14"/>
  <c r="Y563" i="14"/>
  <c r="Y564" i="14"/>
  <c r="Y565" i="14"/>
  <c r="Y566" i="14"/>
  <c r="Y567" i="14"/>
  <c r="Y568" i="14"/>
  <c r="Y569" i="14"/>
  <c r="Y570" i="14"/>
  <c r="Y571" i="14"/>
  <c r="Y572" i="14"/>
  <c r="Y573" i="14"/>
  <c r="Y574" i="14"/>
  <c r="Y575" i="14"/>
  <c r="Y576" i="14"/>
  <c r="Y577" i="14"/>
  <c r="Y578" i="14"/>
  <c r="Y579" i="14"/>
  <c r="Y580" i="14"/>
  <c r="Y581" i="14"/>
  <c r="Y582" i="14"/>
  <c r="Y583" i="14"/>
  <c r="Y584" i="14"/>
  <c r="Y585" i="14"/>
  <c r="Y586" i="14"/>
  <c r="Y587" i="14"/>
  <c r="Y588" i="14"/>
  <c r="Y589" i="14"/>
  <c r="Y590" i="14"/>
  <c r="Y591" i="14"/>
  <c r="Y592" i="14"/>
  <c r="Y593" i="14"/>
  <c r="Y594" i="14"/>
  <c r="Y595" i="14"/>
  <c r="Y596" i="14"/>
  <c r="Y597" i="14"/>
  <c r="Y598" i="14"/>
  <c r="Y599" i="14"/>
  <c r="Y600" i="14"/>
  <c r="Y601" i="14"/>
  <c r="Y602" i="14"/>
  <c r="Y603" i="14"/>
  <c r="Y604" i="14"/>
  <c r="Y605" i="14"/>
  <c r="Y606" i="14"/>
  <c r="Y607" i="14"/>
  <c r="Y608" i="14"/>
  <c r="Y609" i="14"/>
  <c r="Y610" i="14"/>
  <c r="Y611" i="14"/>
  <c r="Y612" i="14"/>
  <c r="Y613" i="14"/>
  <c r="Y614" i="14"/>
  <c r="Y615" i="14"/>
  <c r="Y616" i="14"/>
  <c r="Y617" i="14"/>
  <c r="Y618" i="14"/>
  <c r="Y619" i="14"/>
  <c r="Y620" i="14"/>
  <c r="Y621" i="14"/>
  <c r="Y622" i="14"/>
  <c r="Y623" i="14"/>
  <c r="Y624" i="14"/>
  <c r="Y625" i="14"/>
  <c r="Y626" i="14"/>
  <c r="Y627" i="14"/>
  <c r="Y628" i="14"/>
  <c r="Y629" i="14"/>
  <c r="Y630" i="14"/>
  <c r="Y631" i="14"/>
  <c r="Y632" i="14"/>
  <c r="Y633" i="14"/>
  <c r="Y634" i="14"/>
  <c r="Y635" i="14"/>
  <c r="Y636" i="14"/>
  <c r="Y637" i="14"/>
  <c r="Y638" i="14"/>
  <c r="Y639" i="14"/>
  <c r="Y640" i="14"/>
  <c r="Y641" i="14"/>
  <c r="Y642" i="14"/>
  <c r="Y643" i="14"/>
  <c r="Y644" i="14"/>
  <c r="Y645" i="14"/>
  <c r="Y646" i="14"/>
  <c r="Y647" i="14"/>
  <c r="Y648" i="14"/>
  <c r="Y649" i="14"/>
  <c r="Y650" i="14"/>
  <c r="Y651" i="14"/>
  <c r="Y652" i="14"/>
  <c r="Y653" i="14"/>
  <c r="Y654" i="14"/>
  <c r="Y655" i="14"/>
  <c r="Y656" i="14"/>
  <c r="Y657" i="14"/>
  <c r="Y658" i="14"/>
  <c r="Y659" i="14"/>
  <c r="Y660" i="14"/>
  <c r="Y661" i="14"/>
  <c r="Y662" i="14"/>
  <c r="Y663" i="14"/>
  <c r="Y664" i="14"/>
  <c r="Y665" i="14"/>
  <c r="Y666" i="14"/>
  <c r="Y667" i="14"/>
  <c r="Y668" i="14"/>
  <c r="Y669" i="14"/>
  <c r="Y670" i="14"/>
  <c r="Y671" i="14"/>
  <c r="Y672" i="14"/>
  <c r="Y673" i="14"/>
  <c r="Y674" i="14"/>
  <c r="Y675" i="14"/>
  <c r="Y676" i="14"/>
  <c r="Y677" i="14"/>
  <c r="Y678" i="14"/>
  <c r="Y679" i="14"/>
  <c r="Y680" i="14"/>
  <c r="Y681" i="14"/>
  <c r="Y682" i="14"/>
  <c r="Y683" i="14"/>
  <c r="Y684" i="14"/>
  <c r="Y685" i="14"/>
  <c r="Y686" i="14"/>
  <c r="Y687" i="14"/>
  <c r="Y688" i="14"/>
  <c r="Y689" i="14"/>
  <c r="Y690" i="14"/>
  <c r="Y691" i="14"/>
  <c r="Y692" i="14"/>
  <c r="Y693" i="14"/>
  <c r="Y694" i="14"/>
  <c r="Y695" i="14"/>
  <c r="Y696" i="14"/>
  <c r="Y697" i="14"/>
  <c r="Y698" i="14"/>
  <c r="Y699" i="14"/>
  <c r="Y700" i="14"/>
  <c r="Y701" i="14"/>
  <c r="Y702" i="14"/>
  <c r="Y703" i="14"/>
  <c r="Y704" i="14"/>
  <c r="Y705" i="14"/>
  <c r="Y706" i="14"/>
  <c r="Y707" i="14"/>
  <c r="Y708" i="14"/>
  <c r="Y709" i="14"/>
  <c r="Y710" i="14"/>
  <c r="Y711" i="14"/>
  <c r="Y712" i="14"/>
  <c r="Y713" i="14"/>
  <c r="Y714" i="14"/>
  <c r="Y715" i="14"/>
  <c r="Y716" i="14"/>
  <c r="Y717" i="14"/>
  <c r="Y718" i="14"/>
  <c r="Y719" i="14"/>
  <c r="Y720" i="14"/>
  <c r="Y721" i="14"/>
  <c r="Y722" i="14"/>
  <c r="Y723" i="14"/>
  <c r="Y724" i="14"/>
  <c r="Y725" i="14"/>
  <c r="Y726" i="14"/>
  <c r="Y727" i="14"/>
  <c r="Y728" i="14"/>
  <c r="Y729" i="14"/>
  <c r="Y730" i="14"/>
  <c r="Y731" i="14"/>
  <c r="Y732" i="14"/>
  <c r="Y733" i="14"/>
  <c r="Y734" i="14"/>
  <c r="Y735" i="14"/>
  <c r="Y736" i="14"/>
  <c r="Y737" i="14"/>
  <c r="Y738" i="14"/>
  <c r="Y739" i="14"/>
  <c r="Y740" i="14"/>
  <c r="Y741" i="14"/>
  <c r="Y742" i="14"/>
  <c r="Y743" i="14"/>
  <c r="Y744" i="14"/>
  <c r="Y745" i="14"/>
  <c r="Y746" i="14"/>
  <c r="Y747" i="14"/>
  <c r="Y748" i="14"/>
  <c r="Y749" i="14"/>
  <c r="Y750" i="14"/>
  <c r="Y751" i="14"/>
  <c r="Y752" i="14"/>
  <c r="Y753" i="14"/>
  <c r="Y754" i="14"/>
  <c r="Y755" i="14"/>
  <c r="Y756" i="14"/>
  <c r="Y757" i="14"/>
  <c r="Y758" i="14"/>
  <c r="Y759" i="14"/>
  <c r="Y760" i="14"/>
  <c r="Y761" i="14"/>
  <c r="Y762" i="14"/>
  <c r="Y763" i="14"/>
  <c r="Y764" i="14"/>
  <c r="Y765" i="14"/>
  <c r="Y766" i="14"/>
  <c r="Y767" i="14"/>
  <c r="Y768" i="14"/>
  <c r="Y769" i="14"/>
  <c r="Y770" i="14"/>
  <c r="Y771" i="14"/>
  <c r="Y772" i="14"/>
  <c r="Y773" i="14"/>
  <c r="Y774" i="14"/>
  <c r="Y775" i="14"/>
  <c r="Y776" i="14"/>
  <c r="Y777" i="14"/>
  <c r="Y778" i="14"/>
  <c r="Y779" i="14"/>
  <c r="Y780" i="14"/>
  <c r="Y781" i="14"/>
  <c r="Y782" i="14"/>
  <c r="Y783" i="14"/>
  <c r="Y784" i="14"/>
  <c r="Y785" i="14"/>
  <c r="Y786" i="14"/>
  <c r="Y787" i="14"/>
  <c r="Y788" i="14"/>
  <c r="Y789" i="14"/>
  <c r="Y790" i="14"/>
  <c r="Y791" i="14"/>
  <c r="Y792" i="14"/>
  <c r="Y793" i="14"/>
  <c r="Y794" i="14"/>
  <c r="Y795" i="14"/>
  <c r="Y796" i="14"/>
  <c r="Y797" i="14"/>
  <c r="Y798" i="14"/>
  <c r="Y799" i="14"/>
  <c r="Y800" i="14"/>
  <c r="Y801" i="14"/>
  <c r="Y802" i="14"/>
  <c r="Y803" i="14"/>
  <c r="Y804" i="14"/>
  <c r="Y805" i="14"/>
  <c r="Y806" i="14"/>
  <c r="Y807" i="14"/>
  <c r="Y808" i="14"/>
  <c r="Y809" i="14"/>
  <c r="Y810" i="14"/>
  <c r="Y811" i="14"/>
  <c r="Y812" i="14"/>
  <c r="Y813" i="14"/>
  <c r="Y814" i="14"/>
  <c r="Y815" i="14"/>
  <c r="Y816" i="14"/>
  <c r="Y817" i="14"/>
  <c r="Y818" i="14"/>
  <c r="Y819" i="14"/>
  <c r="Y820" i="14"/>
  <c r="Y821" i="14"/>
  <c r="Y822" i="14"/>
  <c r="Y823" i="14"/>
  <c r="Y824" i="14"/>
  <c r="Y825" i="14"/>
  <c r="Y826" i="14"/>
  <c r="Y827" i="14"/>
  <c r="Y828" i="14"/>
  <c r="Y829" i="14"/>
  <c r="Y830" i="14"/>
  <c r="Y831" i="14"/>
  <c r="Y832" i="14"/>
  <c r="Y833" i="14"/>
  <c r="Y834" i="14"/>
  <c r="Y835" i="14"/>
  <c r="Y836" i="14"/>
  <c r="Y837" i="14"/>
  <c r="Y838" i="14"/>
  <c r="Y839" i="14"/>
  <c r="Y840" i="14"/>
  <c r="Y841" i="14"/>
  <c r="Y842" i="14"/>
  <c r="Y843" i="14"/>
  <c r="Y844" i="14"/>
  <c r="Y845" i="14"/>
  <c r="Y846" i="14"/>
  <c r="Y847" i="14"/>
  <c r="Y848" i="14"/>
  <c r="Y849" i="14"/>
  <c r="Y850" i="14"/>
  <c r="Y851" i="14"/>
  <c r="Y852" i="14"/>
  <c r="Y853" i="14"/>
  <c r="Y854" i="14"/>
  <c r="Y855" i="14"/>
  <c r="Y856" i="14"/>
  <c r="Y857" i="14"/>
  <c r="Y858" i="14"/>
  <c r="Y859" i="14"/>
  <c r="Y860" i="14"/>
  <c r="Y861" i="14"/>
  <c r="Y862" i="14"/>
  <c r="Y863" i="14"/>
  <c r="Y864" i="14"/>
  <c r="Y865" i="14"/>
  <c r="Y866" i="14"/>
  <c r="Y867" i="14"/>
  <c r="Y868" i="14"/>
  <c r="Y869" i="14"/>
  <c r="Y870" i="14"/>
  <c r="Y871" i="14"/>
  <c r="Y872" i="14"/>
  <c r="Y873" i="14"/>
  <c r="Y874" i="14"/>
  <c r="Y875" i="14"/>
  <c r="Y876" i="14"/>
  <c r="Y877" i="14"/>
  <c r="Y878" i="14"/>
  <c r="Y879" i="14"/>
  <c r="Y880" i="14"/>
  <c r="Y881" i="14"/>
  <c r="Y882" i="14"/>
  <c r="Y883" i="14"/>
  <c r="Y884" i="14"/>
  <c r="Y885" i="14"/>
  <c r="Y886" i="14"/>
  <c r="Y887" i="14"/>
  <c r="Y888" i="14"/>
  <c r="Y889" i="14"/>
  <c r="Y890" i="14"/>
  <c r="Y891" i="14"/>
  <c r="Y892" i="14"/>
  <c r="Y893" i="14"/>
  <c r="Y894" i="14"/>
  <c r="Y895" i="14"/>
  <c r="Y896" i="14"/>
  <c r="Y897" i="14"/>
  <c r="Y898" i="14"/>
  <c r="Y899" i="14"/>
  <c r="Y900" i="14"/>
  <c r="Y901" i="14"/>
  <c r="Y902" i="14"/>
  <c r="Y903" i="14"/>
  <c r="Y904" i="14"/>
  <c r="Y905" i="14"/>
  <c r="Y906" i="14"/>
  <c r="Y907" i="14"/>
  <c r="Y908" i="14"/>
  <c r="Y909" i="14"/>
  <c r="Y910" i="14"/>
  <c r="Y911" i="14"/>
  <c r="Y912" i="14"/>
  <c r="Y913" i="14"/>
  <c r="Y914" i="14"/>
  <c r="Y915" i="14"/>
  <c r="Y916" i="14"/>
  <c r="Y917" i="14"/>
  <c r="Y918" i="14"/>
  <c r="Y919" i="14"/>
  <c r="Y920" i="14"/>
  <c r="Y921" i="14"/>
  <c r="Y922" i="14"/>
  <c r="Y923" i="14"/>
  <c r="Y924" i="14"/>
  <c r="Y925" i="14"/>
  <c r="Y926" i="14"/>
  <c r="Y927" i="14"/>
  <c r="Y928" i="14"/>
  <c r="Y929" i="14"/>
  <c r="Y930" i="14"/>
  <c r="Y931" i="14"/>
  <c r="Y932" i="14"/>
  <c r="Y933" i="14"/>
  <c r="Y934" i="14"/>
  <c r="Y935" i="14"/>
  <c r="Y936" i="14"/>
  <c r="Y937" i="14"/>
  <c r="Y938" i="14"/>
  <c r="Y939" i="14"/>
  <c r="Y940" i="14"/>
  <c r="Y941" i="14"/>
  <c r="Y942" i="14"/>
  <c r="Y943" i="14"/>
  <c r="Y944" i="14"/>
  <c r="Y945" i="14"/>
  <c r="Y946" i="14"/>
  <c r="Y947" i="14"/>
  <c r="Y948" i="14"/>
  <c r="Y949" i="14"/>
  <c r="Y950" i="14"/>
  <c r="Y951" i="14"/>
  <c r="Y952" i="14"/>
  <c r="Y953" i="14"/>
  <c r="Y954" i="14"/>
  <c r="Y955" i="14"/>
  <c r="Y956" i="14"/>
  <c r="Y957" i="14"/>
  <c r="Y958" i="14"/>
  <c r="Y959" i="14"/>
  <c r="Y960" i="14"/>
  <c r="Y961" i="14"/>
  <c r="Y962" i="14"/>
  <c r="Y963" i="14"/>
  <c r="Y964" i="14"/>
  <c r="Y965" i="14"/>
  <c r="Y966" i="14"/>
  <c r="Y967" i="14"/>
  <c r="Y968" i="14"/>
  <c r="Y969" i="14"/>
  <c r="Y970" i="14"/>
  <c r="Y971" i="14"/>
  <c r="Y972" i="14"/>
  <c r="Y973" i="14"/>
  <c r="Y974" i="14"/>
  <c r="Y975" i="14"/>
  <c r="Y976" i="14"/>
  <c r="Y977" i="14"/>
  <c r="Y978" i="14"/>
  <c r="Y979" i="14"/>
  <c r="Y980" i="14"/>
  <c r="Y981" i="14"/>
  <c r="Y982" i="14"/>
  <c r="Y983" i="14"/>
  <c r="Y984" i="14"/>
  <c r="Y985" i="14"/>
  <c r="Y986" i="14"/>
  <c r="Y987" i="14"/>
  <c r="Y988" i="14"/>
  <c r="Y989" i="14"/>
  <c r="Y990" i="14"/>
  <c r="Y991" i="14"/>
  <c r="Y992" i="14"/>
  <c r="Y993" i="14"/>
  <c r="Y994" i="14"/>
  <c r="Y995" i="14"/>
  <c r="Y996" i="14"/>
  <c r="Y997" i="14"/>
  <c r="Y998" i="14"/>
  <c r="Y999" i="14"/>
  <c r="Y1000" i="14"/>
  <c r="Y1001" i="14"/>
  <c r="Y1002" i="14"/>
  <c r="AA10" i="15" l="1"/>
  <c r="AB10" i="15"/>
  <c r="AC10" i="15"/>
  <c r="AD10" i="15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" i="19"/>
  <c r="I2" i="19"/>
  <c r="Y41" i="14" l="1"/>
  <c r="Y42" i="14"/>
  <c r="Y43" i="14"/>
  <c r="Y44" i="14"/>
  <c r="Y45" i="14"/>
  <c r="Y46" i="14"/>
  <c r="Y47" i="14"/>
  <c r="Y48" i="14"/>
  <c r="Y49" i="14"/>
  <c r="Y50" i="14"/>
  <c r="Y51" i="14"/>
  <c r="Y52" i="14"/>
  <c r="Y53" i="14"/>
  <c r="Y54" i="14"/>
  <c r="Y55" i="14"/>
  <c r="Y56" i="14"/>
  <c r="Y57" i="14"/>
  <c r="Y58" i="14"/>
  <c r="Y59" i="14"/>
  <c r="Y60" i="14"/>
  <c r="Y61" i="14"/>
  <c r="Y62" i="14"/>
  <c r="Y63" i="14"/>
  <c r="Y64" i="14"/>
  <c r="Y65" i="14"/>
  <c r="Y66" i="14"/>
  <c r="Y67" i="14"/>
  <c r="Y68" i="14"/>
  <c r="Y69" i="14"/>
  <c r="Y70" i="14"/>
  <c r="Y71" i="14"/>
  <c r="Y72" i="14"/>
  <c r="Y73" i="14"/>
  <c r="Y74" i="14"/>
  <c r="Y75" i="14"/>
  <c r="Y76" i="14"/>
  <c r="Y77" i="14"/>
  <c r="Y78" i="14"/>
  <c r="Y79" i="14"/>
  <c r="Y80" i="14"/>
  <c r="Y81" i="14"/>
  <c r="Y82" i="14"/>
  <c r="Y83" i="14"/>
  <c r="Y84" i="14"/>
  <c r="Y85" i="14"/>
  <c r="Y86" i="14"/>
  <c r="Y87" i="14"/>
  <c r="Y88" i="14"/>
  <c r="Y89" i="14"/>
  <c r="Y90" i="14"/>
  <c r="Y91" i="14"/>
  <c r="Y92" i="14"/>
  <c r="Y93" i="14"/>
  <c r="Y94" i="14"/>
  <c r="Y95" i="14"/>
  <c r="Y96" i="14"/>
  <c r="Y97" i="14"/>
  <c r="Y98" i="14"/>
  <c r="Y99" i="14"/>
  <c r="Y100" i="14"/>
  <c r="Y101" i="14"/>
  <c r="Y102" i="14"/>
  <c r="Y103" i="14"/>
  <c r="Y104" i="14"/>
  <c r="Y105" i="14"/>
  <c r="Y106" i="14"/>
  <c r="Y107" i="14"/>
  <c r="Y108" i="14"/>
  <c r="Y109" i="14"/>
  <c r="Y110" i="14"/>
  <c r="Y111" i="14"/>
  <c r="Y112" i="14"/>
  <c r="Y113" i="14"/>
  <c r="Y114" i="14"/>
  <c r="Y115" i="14"/>
  <c r="Y116" i="14"/>
  <c r="Y117" i="14"/>
  <c r="Y118" i="14"/>
  <c r="Y119" i="14"/>
  <c r="Y120" i="14"/>
  <c r="Y121" i="14"/>
  <c r="Y122" i="14"/>
  <c r="Y123" i="14"/>
  <c r="Y124" i="14"/>
  <c r="Y125" i="14"/>
  <c r="Y126" i="14"/>
  <c r="Y127" i="14"/>
  <c r="Y128" i="14"/>
  <c r="Y129" i="14"/>
  <c r="Y130" i="14"/>
  <c r="Y131" i="14"/>
  <c r="Y132" i="14"/>
  <c r="Y133" i="14"/>
  <c r="Y134" i="14"/>
  <c r="Y135" i="14"/>
  <c r="Y136" i="14"/>
  <c r="Y137" i="14"/>
  <c r="Y138" i="14"/>
  <c r="Y139" i="14"/>
  <c r="Y140" i="14"/>
  <c r="Y141" i="14"/>
  <c r="Y142" i="14"/>
  <c r="Y143" i="14"/>
  <c r="Y144" i="14"/>
  <c r="Y145" i="14"/>
  <c r="Y146" i="14"/>
  <c r="Y147" i="14"/>
  <c r="Y148" i="14"/>
  <c r="Y149" i="14"/>
  <c r="Y150" i="14"/>
  <c r="Y151" i="14"/>
  <c r="Y152" i="14"/>
  <c r="Y153" i="14"/>
  <c r="Y154" i="14"/>
  <c r="Y155" i="14"/>
  <c r="Y156" i="14"/>
  <c r="Y157" i="14"/>
  <c r="Y158" i="14"/>
  <c r="Y159" i="14"/>
  <c r="Y160" i="14"/>
  <c r="Y161" i="14"/>
  <c r="Y162" i="14"/>
  <c r="Y163" i="14"/>
  <c r="Y164" i="14"/>
  <c r="Y165" i="14"/>
  <c r="Y166" i="14"/>
  <c r="Y167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J715" i="14"/>
  <c r="J716" i="14"/>
  <c r="J717" i="14"/>
  <c r="J718" i="14"/>
  <c r="J719" i="14"/>
  <c r="J720" i="14"/>
  <c r="J721" i="14"/>
  <c r="J722" i="14"/>
  <c r="J723" i="14"/>
  <c r="J724" i="14"/>
  <c r="J725" i="14"/>
  <c r="J726" i="14"/>
  <c r="J727" i="14"/>
  <c r="J728" i="14"/>
  <c r="J729" i="14"/>
  <c r="J730" i="14"/>
  <c r="J731" i="14"/>
  <c r="J732" i="14"/>
  <c r="J733" i="14"/>
  <c r="J734" i="14"/>
  <c r="J735" i="14"/>
  <c r="J736" i="14"/>
  <c r="J737" i="14"/>
  <c r="J738" i="14"/>
  <c r="J739" i="14"/>
  <c r="J740" i="14"/>
  <c r="J741" i="14"/>
  <c r="J742" i="14"/>
  <c r="J743" i="14"/>
  <c r="J744" i="14"/>
  <c r="J745" i="14"/>
  <c r="J746" i="14"/>
  <c r="J747" i="14"/>
  <c r="J748" i="14"/>
  <c r="J749" i="14"/>
  <c r="J750" i="14"/>
  <c r="J751" i="14"/>
  <c r="J752" i="14"/>
  <c r="J753" i="14"/>
  <c r="J754" i="14"/>
  <c r="J755" i="14"/>
  <c r="J756" i="14"/>
  <c r="J757" i="14"/>
  <c r="J758" i="14"/>
  <c r="J759" i="14"/>
  <c r="J760" i="14"/>
  <c r="J761" i="14"/>
  <c r="J762" i="14"/>
  <c r="J763" i="14"/>
  <c r="J764" i="14"/>
  <c r="J765" i="14"/>
  <c r="J766" i="14"/>
  <c r="J767" i="14"/>
  <c r="J768" i="14"/>
  <c r="J769" i="14"/>
  <c r="J770" i="14"/>
  <c r="J771" i="14"/>
  <c r="J772" i="14"/>
  <c r="J773" i="14"/>
  <c r="J774" i="14"/>
  <c r="J775" i="14"/>
  <c r="J776" i="14"/>
  <c r="J777" i="14"/>
  <c r="J778" i="14"/>
  <c r="J779" i="14"/>
  <c r="J780" i="14"/>
  <c r="J781" i="14"/>
  <c r="J782" i="14"/>
  <c r="J783" i="14"/>
  <c r="J784" i="14"/>
  <c r="J785" i="14"/>
  <c r="J786" i="14"/>
  <c r="J787" i="14"/>
  <c r="J788" i="14"/>
  <c r="J789" i="14"/>
  <c r="J790" i="14"/>
  <c r="J791" i="14"/>
  <c r="J792" i="14"/>
  <c r="J793" i="14"/>
  <c r="J794" i="14"/>
  <c r="J795" i="14"/>
  <c r="J796" i="14"/>
  <c r="J797" i="14"/>
  <c r="J798" i="14"/>
  <c r="J799" i="14"/>
  <c r="J800" i="14"/>
  <c r="J801" i="14"/>
  <c r="J802" i="14"/>
  <c r="J803" i="14"/>
  <c r="J804" i="14"/>
  <c r="J805" i="14"/>
  <c r="J806" i="14"/>
  <c r="J807" i="14"/>
  <c r="J808" i="14"/>
  <c r="J809" i="14"/>
  <c r="J810" i="14"/>
  <c r="J811" i="14"/>
  <c r="J812" i="14"/>
  <c r="J813" i="14"/>
  <c r="J814" i="14"/>
  <c r="J815" i="14"/>
  <c r="J816" i="14"/>
  <c r="J817" i="14"/>
  <c r="J818" i="14"/>
  <c r="J819" i="14"/>
  <c r="J820" i="14"/>
  <c r="J821" i="14"/>
  <c r="J822" i="14"/>
  <c r="J823" i="14"/>
  <c r="J824" i="14"/>
  <c r="J825" i="14"/>
  <c r="J826" i="14"/>
  <c r="J827" i="14"/>
  <c r="J828" i="14"/>
  <c r="J829" i="14"/>
  <c r="J830" i="14"/>
  <c r="J831" i="14"/>
  <c r="J832" i="14"/>
  <c r="J833" i="14"/>
  <c r="J834" i="14"/>
  <c r="J835" i="14"/>
  <c r="J836" i="14"/>
  <c r="J837" i="14"/>
  <c r="J838" i="14"/>
  <c r="J839" i="14"/>
  <c r="J840" i="14"/>
  <c r="J841" i="14"/>
  <c r="J842" i="14"/>
  <c r="J843" i="14"/>
  <c r="J844" i="14"/>
  <c r="J845" i="14"/>
  <c r="J846" i="14"/>
  <c r="J847" i="14"/>
  <c r="J848" i="14"/>
  <c r="J849" i="14"/>
  <c r="J850" i="14"/>
  <c r="J851" i="14"/>
  <c r="J852" i="14"/>
  <c r="J853" i="14"/>
  <c r="J854" i="14"/>
  <c r="J855" i="14"/>
  <c r="J856" i="14"/>
  <c r="J857" i="14"/>
  <c r="J858" i="14"/>
  <c r="J859" i="14"/>
  <c r="J860" i="14"/>
  <c r="J861" i="14"/>
  <c r="J862" i="14"/>
  <c r="J863" i="14"/>
  <c r="J864" i="14"/>
  <c r="J865" i="14"/>
  <c r="J866" i="14"/>
  <c r="J867" i="14"/>
  <c r="J868" i="14"/>
  <c r="J869" i="14"/>
  <c r="J870" i="14"/>
  <c r="J871" i="14"/>
  <c r="J872" i="14"/>
  <c r="J873" i="14"/>
  <c r="J874" i="14"/>
  <c r="J875" i="14"/>
  <c r="J876" i="14"/>
  <c r="J877" i="14"/>
  <c r="J878" i="14"/>
  <c r="J879" i="14"/>
  <c r="J880" i="14"/>
  <c r="J881" i="14"/>
  <c r="J882" i="14"/>
  <c r="J883" i="14"/>
  <c r="J884" i="14"/>
  <c r="J885" i="14"/>
  <c r="J886" i="14"/>
  <c r="J887" i="14"/>
  <c r="J888" i="14"/>
  <c r="J889" i="14"/>
  <c r="J890" i="14"/>
  <c r="J891" i="14"/>
  <c r="J892" i="14"/>
  <c r="J893" i="14"/>
  <c r="J894" i="14"/>
  <c r="J895" i="14"/>
  <c r="J896" i="14"/>
  <c r="J897" i="14"/>
  <c r="J898" i="14"/>
  <c r="J899" i="14"/>
  <c r="J900" i="14"/>
  <c r="J901" i="14"/>
  <c r="J902" i="14"/>
  <c r="J903" i="14"/>
  <c r="J904" i="14"/>
  <c r="J905" i="14"/>
  <c r="J906" i="14"/>
  <c r="J907" i="14"/>
  <c r="J908" i="14"/>
  <c r="J909" i="14"/>
  <c r="J910" i="14"/>
  <c r="J911" i="14"/>
  <c r="J912" i="14"/>
  <c r="J913" i="14"/>
  <c r="J914" i="14"/>
  <c r="J915" i="14"/>
  <c r="J916" i="14"/>
  <c r="J917" i="14"/>
  <c r="J918" i="14"/>
  <c r="J919" i="14"/>
  <c r="J920" i="14"/>
  <c r="J921" i="14"/>
  <c r="J922" i="14"/>
  <c r="J923" i="14"/>
  <c r="J924" i="14"/>
  <c r="J925" i="14"/>
  <c r="J926" i="14"/>
  <c r="J927" i="14"/>
  <c r="J928" i="14"/>
  <c r="J929" i="14"/>
  <c r="J930" i="14"/>
  <c r="J931" i="14"/>
  <c r="J932" i="14"/>
  <c r="J933" i="14"/>
  <c r="J934" i="14"/>
  <c r="J935" i="14"/>
  <c r="J936" i="14"/>
  <c r="J937" i="14"/>
  <c r="J938" i="14"/>
  <c r="J939" i="14"/>
  <c r="J940" i="14"/>
  <c r="J941" i="14"/>
  <c r="J942" i="14"/>
  <c r="J943" i="14"/>
  <c r="J944" i="14"/>
  <c r="J945" i="14"/>
  <c r="J946" i="14"/>
  <c r="J947" i="14"/>
  <c r="J948" i="14"/>
  <c r="J949" i="14"/>
  <c r="J950" i="14"/>
  <c r="J951" i="14"/>
  <c r="J952" i="14"/>
  <c r="J953" i="14"/>
  <c r="J954" i="14"/>
  <c r="J955" i="14"/>
  <c r="J956" i="14"/>
  <c r="J957" i="14"/>
  <c r="J958" i="14"/>
  <c r="J959" i="14"/>
  <c r="J960" i="14"/>
  <c r="J961" i="14"/>
  <c r="J962" i="14"/>
  <c r="J963" i="14"/>
  <c r="J964" i="14"/>
  <c r="J965" i="14"/>
  <c r="J966" i="14"/>
  <c r="J967" i="14"/>
  <c r="J968" i="14"/>
  <c r="J969" i="14"/>
  <c r="J970" i="14"/>
  <c r="J971" i="14"/>
  <c r="J972" i="14"/>
  <c r="J973" i="14"/>
  <c r="J974" i="14"/>
  <c r="J975" i="14"/>
  <c r="J976" i="14"/>
  <c r="J977" i="14"/>
  <c r="J978" i="14"/>
  <c r="J979" i="14"/>
  <c r="J980" i="14"/>
  <c r="J981" i="14"/>
  <c r="J982" i="14"/>
  <c r="J983" i="14"/>
  <c r="J984" i="14"/>
  <c r="J985" i="14"/>
  <c r="J986" i="14"/>
  <c r="J987" i="14"/>
  <c r="J988" i="14"/>
  <c r="J989" i="14"/>
  <c r="J990" i="14"/>
  <c r="J991" i="14"/>
  <c r="J992" i="14"/>
  <c r="J993" i="14"/>
  <c r="J994" i="14"/>
  <c r="J995" i="14"/>
  <c r="J996" i="14"/>
  <c r="J997" i="14"/>
  <c r="J998" i="14"/>
  <c r="J999" i="14"/>
  <c r="J1000" i="14"/>
  <c r="J1001" i="14"/>
  <c r="J1002" i="14"/>
  <c r="C2" i="2" l="1"/>
  <c r="P2" i="2" l="1"/>
  <c r="K2" i="2" l="1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2" i="2"/>
  <c r="J3" i="14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9" i="3"/>
  <c r="A60" i="3"/>
  <c r="A61" i="3"/>
  <c r="A64" i="3"/>
  <c r="A65" i="3"/>
  <c r="A66" i="3"/>
  <c r="A67" i="3"/>
  <c r="A68" i="3"/>
  <c r="A95" i="3"/>
  <c r="A98" i="3"/>
  <c r="A110" i="3"/>
  <c r="A111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" i="3"/>
  <c r="A2" i="3"/>
  <c r="N95" i="16" l="1"/>
  <c r="Q95" i="16" s="1"/>
  <c r="N5" i="16"/>
  <c r="Q5" i="16" s="1"/>
  <c r="AB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2" i="11"/>
  <c r="N6" i="16" l="1"/>
  <c r="Q6" i="16" s="1"/>
  <c r="AC2" i="11" a="1"/>
  <c r="AC2" i="11" s="1"/>
  <c r="AC42" i="11" a="1"/>
  <c r="AC42" i="11" s="1"/>
  <c r="AC34" i="11" a="1"/>
  <c r="AC34" i="11" s="1"/>
  <c r="AC26" i="11" a="1"/>
  <c r="AC26" i="11" s="1"/>
  <c r="AC10" i="11" a="1"/>
  <c r="AC10" i="11" s="1"/>
  <c r="AC3" i="11" a="1"/>
  <c r="AC3" i="11" s="1"/>
  <c r="AC50" i="11" a="1"/>
  <c r="AC50" i="11" s="1"/>
  <c r="AC18" i="11" a="1"/>
  <c r="AC18" i="11" s="1"/>
  <c r="AC49" i="11" a="1"/>
  <c r="AC49" i="11" s="1"/>
  <c r="AC41" i="11" a="1"/>
  <c r="AC41" i="11" s="1"/>
  <c r="AC33" i="11" a="1"/>
  <c r="AC33" i="11" s="1"/>
  <c r="AC25" i="11" a="1"/>
  <c r="AC25" i="11" s="1"/>
  <c r="AC17" i="11" a="1"/>
  <c r="AC17" i="11" s="1"/>
  <c r="AC9" i="11" a="1"/>
  <c r="AC9" i="11" s="1"/>
  <c r="AC48" i="11" a="1"/>
  <c r="AC48" i="11" s="1"/>
  <c r="AC40" i="11" a="1"/>
  <c r="AC40" i="11" s="1"/>
  <c r="AC32" i="11" a="1"/>
  <c r="AC32" i="11" s="1"/>
  <c r="AC24" i="11" a="1"/>
  <c r="AC24" i="11" s="1"/>
  <c r="AC16" i="11" a="1"/>
  <c r="AC16" i="11" s="1"/>
  <c r="AC8" i="11" a="1"/>
  <c r="AC8" i="11" s="1"/>
  <c r="AC47" i="11" a="1"/>
  <c r="AC47" i="11" s="1"/>
  <c r="AC39" i="11" a="1"/>
  <c r="AC39" i="11" s="1"/>
  <c r="AC31" i="11" a="1"/>
  <c r="AC31" i="11" s="1"/>
  <c r="AC23" i="11" a="1"/>
  <c r="AC23" i="11" s="1"/>
  <c r="AC15" i="11" a="1"/>
  <c r="AC15" i="11" s="1"/>
  <c r="AC7" i="11" a="1"/>
  <c r="AC7" i="11" s="1"/>
  <c r="AC46" i="11" a="1"/>
  <c r="AC46" i="11" s="1"/>
  <c r="AC38" i="11" a="1"/>
  <c r="AC38" i="11" s="1"/>
  <c r="AC30" i="11" a="1"/>
  <c r="AC30" i="11" s="1"/>
  <c r="AC22" i="11" a="1"/>
  <c r="AC22" i="11" s="1"/>
  <c r="AC14" i="11" a="1"/>
  <c r="AC14" i="11" s="1"/>
  <c r="AC6" i="11" a="1"/>
  <c r="AC6" i="11" s="1"/>
  <c r="AC45" i="11" a="1"/>
  <c r="AC45" i="11" s="1"/>
  <c r="AC37" i="11" a="1"/>
  <c r="AC37" i="11" s="1"/>
  <c r="AC29" i="11" a="1"/>
  <c r="AC29" i="11" s="1"/>
  <c r="AC21" i="11" a="1"/>
  <c r="AC21" i="11" s="1"/>
  <c r="AC13" i="11" a="1"/>
  <c r="AC13" i="11" s="1"/>
  <c r="AC5" i="11" a="1"/>
  <c r="AC5" i="11" s="1"/>
  <c r="AC44" i="11" a="1"/>
  <c r="AC44" i="11" s="1"/>
  <c r="AC36" i="11" a="1"/>
  <c r="AC36" i="11" s="1"/>
  <c r="AC28" i="11" a="1"/>
  <c r="AC28" i="11" s="1"/>
  <c r="AC20" i="11" a="1"/>
  <c r="AC20" i="11" s="1"/>
  <c r="AC12" i="11" a="1"/>
  <c r="AC12" i="11" s="1"/>
  <c r="AC4" i="11" a="1"/>
  <c r="AC4" i="11" s="1"/>
  <c r="AC51" i="11" a="1"/>
  <c r="AC51" i="11" s="1"/>
  <c r="AC43" i="11" a="1"/>
  <c r="AC43" i="11" s="1"/>
  <c r="AC35" i="11" a="1"/>
  <c r="AC35" i="11" s="1"/>
  <c r="AC27" i="11" a="1"/>
  <c r="AC27" i="11" s="1"/>
  <c r="AC19" i="11" a="1"/>
  <c r="AC19" i="11" s="1"/>
  <c r="AC11" i="11" a="1"/>
  <c r="AC11" i="11" s="1"/>
  <c r="B1" i="17"/>
  <c r="N7" i="16" l="1"/>
  <c r="Q7" i="16" s="1"/>
  <c r="B1" i="16"/>
  <c r="N8" i="16" l="1"/>
  <c r="Q8" i="16" s="1"/>
  <c r="M30" i="14"/>
  <c r="T10" i="15"/>
  <c r="U10" i="15"/>
  <c r="V10" i="15"/>
  <c r="W10" i="15"/>
  <c r="X10" i="15"/>
  <c r="Y10" i="15"/>
  <c r="Z10" i="15"/>
  <c r="P10" i="15"/>
  <c r="Q10" i="15"/>
  <c r="R10" i="15"/>
  <c r="S10" i="15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M6" i="14"/>
  <c r="M7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8" i="14"/>
  <c r="M3" i="14"/>
  <c r="M8" i="14"/>
  <c r="M27" i="14"/>
  <c r="M29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781" i="14"/>
  <c r="M782" i="14"/>
  <c r="M783" i="14"/>
  <c r="M784" i="14"/>
  <c r="M785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806" i="14"/>
  <c r="M807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M936" i="14"/>
  <c r="M937" i="14"/>
  <c r="M938" i="14"/>
  <c r="M939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4" i="14"/>
  <c r="M5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2" i="14"/>
  <c r="Y23" i="14"/>
  <c r="Y24" i="14"/>
  <c r="Y25" i="14"/>
  <c r="Y26" i="14"/>
  <c r="Y27" i="14"/>
  <c r="Y28" i="14"/>
  <c r="Y29" i="14"/>
  <c r="Y30" i="14"/>
  <c r="Y31" i="14"/>
  <c r="Y32" i="14"/>
  <c r="Y33" i="14"/>
  <c r="Y34" i="14"/>
  <c r="Y35" i="14"/>
  <c r="Y36" i="14"/>
  <c r="Y37" i="14"/>
  <c r="Y38" i="14"/>
  <c r="Y39" i="14"/>
  <c r="Y40" i="14"/>
  <c r="Y3" i="14"/>
  <c r="D13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F45" i="16"/>
  <c r="F47" i="16"/>
  <c r="F49" i="16"/>
  <c r="F59" i="16"/>
  <c r="F63" i="16"/>
  <c r="F65" i="16"/>
  <c r="F66" i="16"/>
  <c r="F67" i="16"/>
  <c r="F68" i="16"/>
  <c r="F70" i="16"/>
  <c r="F75" i="16"/>
  <c r="F77" i="16"/>
  <c r="F78" i="16"/>
  <c r="F79" i="16"/>
  <c r="F80" i="16"/>
  <c r="F82" i="16"/>
  <c r="F83" i="16"/>
  <c r="F84" i="16"/>
  <c r="F86" i="16"/>
  <c r="F88" i="16"/>
  <c r="F90" i="16"/>
  <c r="F91" i="16"/>
  <c r="F92" i="16"/>
  <c r="F93" i="16"/>
  <c r="F94" i="16"/>
  <c r="F95" i="16"/>
  <c r="G45" i="16"/>
  <c r="G47" i="16"/>
  <c r="G49" i="16"/>
  <c r="G59" i="16"/>
  <c r="G63" i="16"/>
  <c r="G65" i="16"/>
  <c r="G66" i="16"/>
  <c r="G67" i="16"/>
  <c r="G68" i="16"/>
  <c r="G70" i="16"/>
  <c r="G75" i="16"/>
  <c r="G77" i="16"/>
  <c r="G78" i="16"/>
  <c r="G79" i="16"/>
  <c r="G80" i="16"/>
  <c r="G83" i="16"/>
  <c r="G84" i="16"/>
  <c r="G86" i="16"/>
  <c r="G88" i="16"/>
  <c r="G90" i="16"/>
  <c r="G91" i="16"/>
  <c r="G92" i="16"/>
  <c r="G93" i="16"/>
  <c r="G94" i="16"/>
  <c r="G95" i="16"/>
  <c r="R3" i="14"/>
  <c r="S3" i="14" s="1"/>
  <c r="R142" i="14"/>
  <c r="S142" i="14" s="1"/>
  <c r="R143" i="14"/>
  <c r="S143" i="14" s="1"/>
  <c r="R144" i="14"/>
  <c r="S144" i="14" s="1"/>
  <c r="R145" i="14"/>
  <c r="S145" i="14" s="1"/>
  <c r="R146" i="14"/>
  <c r="S146" i="14" s="1"/>
  <c r="R147" i="14"/>
  <c r="S147" i="14" s="1"/>
  <c r="R148" i="14"/>
  <c r="S148" i="14" s="1"/>
  <c r="G64" i="16" s="1"/>
  <c r="R149" i="14"/>
  <c r="S149" i="14" s="1"/>
  <c r="R150" i="14"/>
  <c r="S150" i="14" s="1"/>
  <c r="R151" i="14"/>
  <c r="S151" i="14" s="1"/>
  <c r="R152" i="14"/>
  <c r="S152" i="14" s="1"/>
  <c r="R153" i="14"/>
  <c r="S153" i="14" s="1"/>
  <c r="G32" i="16" s="1"/>
  <c r="R154" i="14"/>
  <c r="S154" i="14" s="1"/>
  <c r="R155" i="14"/>
  <c r="S155" i="14" s="1"/>
  <c r="R156" i="14"/>
  <c r="S156" i="14" s="1"/>
  <c r="R157" i="14"/>
  <c r="S157" i="14" s="1"/>
  <c r="R158" i="14"/>
  <c r="S158" i="14" s="1"/>
  <c r="R159" i="14"/>
  <c r="S159" i="14" s="1"/>
  <c r="R160" i="14"/>
  <c r="S160" i="14" s="1"/>
  <c r="R161" i="14"/>
  <c r="S161" i="14" s="1"/>
  <c r="R162" i="14"/>
  <c r="S162" i="14" s="1"/>
  <c r="R163" i="14"/>
  <c r="S163" i="14" s="1"/>
  <c r="R164" i="14"/>
  <c r="S164" i="14" s="1"/>
  <c r="R165" i="14"/>
  <c r="S165" i="14" s="1"/>
  <c r="R166" i="14"/>
  <c r="S166" i="14" s="1"/>
  <c r="R167" i="14"/>
  <c r="S167" i="14" s="1"/>
  <c r="R168" i="14"/>
  <c r="S168" i="14" s="1"/>
  <c r="R169" i="14"/>
  <c r="S169" i="14" s="1"/>
  <c r="R170" i="14"/>
  <c r="S170" i="14" s="1"/>
  <c r="R171" i="14"/>
  <c r="S171" i="14" s="1"/>
  <c r="R172" i="14"/>
  <c r="S172" i="14" s="1"/>
  <c r="R173" i="14"/>
  <c r="S173" i="14" s="1"/>
  <c r="R174" i="14"/>
  <c r="S174" i="14" s="1"/>
  <c r="R175" i="14"/>
  <c r="S175" i="14" s="1"/>
  <c r="R176" i="14"/>
  <c r="S176" i="14" s="1"/>
  <c r="R177" i="14"/>
  <c r="S177" i="14" s="1"/>
  <c r="R178" i="14"/>
  <c r="S178" i="14" s="1"/>
  <c r="R179" i="14"/>
  <c r="S179" i="14" s="1"/>
  <c r="R180" i="14"/>
  <c r="S180" i="14" s="1"/>
  <c r="R181" i="14"/>
  <c r="S181" i="14" s="1"/>
  <c r="R182" i="14"/>
  <c r="S182" i="14" s="1"/>
  <c r="R183" i="14"/>
  <c r="S183" i="14" s="1"/>
  <c r="R184" i="14"/>
  <c r="S184" i="14" s="1"/>
  <c r="R185" i="14"/>
  <c r="S185" i="14" s="1"/>
  <c r="R186" i="14"/>
  <c r="S186" i="14" s="1"/>
  <c r="R187" i="14"/>
  <c r="S187" i="14" s="1"/>
  <c r="R188" i="14"/>
  <c r="S188" i="14" s="1"/>
  <c r="R189" i="14"/>
  <c r="S189" i="14" s="1"/>
  <c r="R190" i="14"/>
  <c r="S190" i="14" s="1"/>
  <c r="R191" i="14"/>
  <c r="S191" i="14" s="1"/>
  <c r="R192" i="14"/>
  <c r="S192" i="14" s="1"/>
  <c r="R193" i="14"/>
  <c r="S193" i="14" s="1"/>
  <c r="R194" i="14"/>
  <c r="S194" i="14" s="1"/>
  <c r="R195" i="14"/>
  <c r="S195" i="14" s="1"/>
  <c r="R196" i="14"/>
  <c r="S196" i="14" s="1"/>
  <c r="R197" i="14"/>
  <c r="S197" i="14" s="1"/>
  <c r="R198" i="14"/>
  <c r="S198" i="14" s="1"/>
  <c r="R199" i="14"/>
  <c r="S199" i="14" s="1"/>
  <c r="R200" i="14"/>
  <c r="S200" i="14" s="1"/>
  <c r="R201" i="14"/>
  <c r="S201" i="14" s="1"/>
  <c r="R202" i="14"/>
  <c r="S202" i="14" s="1"/>
  <c r="R203" i="14"/>
  <c r="S203" i="14" s="1"/>
  <c r="R204" i="14"/>
  <c r="S204" i="14" s="1"/>
  <c r="R205" i="14"/>
  <c r="S205" i="14" s="1"/>
  <c r="R206" i="14"/>
  <c r="S206" i="14" s="1"/>
  <c r="R207" i="14"/>
  <c r="S207" i="14" s="1"/>
  <c r="R208" i="14"/>
  <c r="S208" i="14" s="1"/>
  <c r="R209" i="14"/>
  <c r="S209" i="14" s="1"/>
  <c r="R210" i="14"/>
  <c r="S210" i="14" s="1"/>
  <c r="R211" i="14"/>
  <c r="S211" i="14" s="1"/>
  <c r="R212" i="14"/>
  <c r="S212" i="14" s="1"/>
  <c r="R213" i="14"/>
  <c r="S213" i="14" s="1"/>
  <c r="R214" i="14"/>
  <c r="S214" i="14" s="1"/>
  <c r="R215" i="14"/>
  <c r="S215" i="14" s="1"/>
  <c r="R216" i="14"/>
  <c r="S216" i="14" s="1"/>
  <c r="R217" i="14"/>
  <c r="S217" i="14" s="1"/>
  <c r="R218" i="14"/>
  <c r="S218" i="14" s="1"/>
  <c r="R219" i="14"/>
  <c r="S219" i="14" s="1"/>
  <c r="R220" i="14"/>
  <c r="S220" i="14" s="1"/>
  <c r="R221" i="14"/>
  <c r="S221" i="14" s="1"/>
  <c r="R222" i="14"/>
  <c r="S222" i="14" s="1"/>
  <c r="R223" i="14"/>
  <c r="S223" i="14" s="1"/>
  <c r="R224" i="14"/>
  <c r="S224" i="14" s="1"/>
  <c r="R225" i="14"/>
  <c r="S225" i="14" s="1"/>
  <c r="R226" i="14"/>
  <c r="S226" i="14" s="1"/>
  <c r="R227" i="14"/>
  <c r="S227" i="14" s="1"/>
  <c r="R228" i="14"/>
  <c r="S228" i="14" s="1"/>
  <c r="R229" i="14"/>
  <c r="S229" i="14" s="1"/>
  <c r="R230" i="14"/>
  <c r="S230" i="14" s="1"/>
  <c r="R231" i="14"/>
  <c r="S231" i="14" s="1"/>
  <c r="R232" i="14"/>
  <c r="S232" i="14" s="1"/>
  <c r="R233" i="14"/>
  <c r="S233" i="14" s="1"/>
  <c r="R234" i="14"/>
  <c r="S234" i="14" s="1"/>
  <c r="R235" i="14"/>
  <c r="S235" i="14" s="1"/>
  <c r="R236" i="14"/>
  <c r="S236" i="14" s="1"/>
  <c r="R237" i="14"/>
  <c r="S237" i="14" s="1"/>
  <c r="R238" i="14"/>
  <c r="S238" i="14" s="1"/>
  <c r="R239" i="14"/>
  <c r="S239" i="14" s="1"/>
  <c r="R240" i="14"/>
  <c r="S240" i="14" s="1"/>
  <c r="R241" i="14"/>
  <c r="S241" i="14" s="1"/>
  <c r="R242" i="14"/>
  <c r="S242" i="14" s="1"/>
  <c r="R243" i="14"/>
  <c r="S243" i="14" s="1"/>
  <c r="R244" i="14"/>
  <c r="S244" i="14" s="1"/>
  <c r="R245" i="14"/>
  <c r="S245" i="14" s="1"/>
  <c r="R246" i="14"/>
  <c r="S246" i="14" s="1"/>
  <c r="R247" i="14"/>
  <c r="S247" i="14" s="1"/>
  <c r="R248" i="14"/>
  <c r="S248" i="14" s="1"/>
  <c r="R249" i="14"/>
  <c r="S249" i="14" s="1"/>
  <c r="R250" i="14"/>
  <c r="S250" i="14" s="1"/>
  <c r="R251" i="14"/>
  <c r="S251" i="14" s="1"/>
  <c r="R252" i="14"/>
  <c r="S252" i="14" s="1"/>
  <c r="R253" i="14"/>
  <c r="S253" i="14" s="1"/>
  <c r="R254" i="14"/>
  <c r="S254" i="14" s="1"/>
  <c r="R255" i="14"/>
  <c r="S255" i="14" s="1"/>
  <c r="R256" i="14"/>
  <c r="S256" i="14" s="1"/>
  <c r="R257" i="14"/>
  <c r="S257" i="14" s="1"/>
  <c r="R258" i="14"/>
  <c r="S258" i="14" s="1"/>
  <c r="R259" i="14"/>
  <c r="S259" i="14" s="1"/>
  <c r="R260" i="14"/>
  <c r="S260" i="14" s="1"/>
  <c r="R261" i="14"/>
  <c r="S261" i="14" s="1"/>
  <c r="R262" i="14"/>
  <c r="S262" i="14" s="1"/>
  <c r="R263" i="14"/>
  <c r="S263" i="14" s="1"/>
  <c r="R264" i="14"/>
  <c r="S264" i="14" s="1"/>
  <c r="R265" i="14"/>
  <c r="S265" i="14" s="1"/>
  <c r="R266" i="14"/>
  <c r="S266" i="14" s="1"/>
  <c r="R267" i="14"/>
  <c r="S267" i="14" s="1"/>
  <c r="R268" i="14"/>
  <c r="S268" i="14" s="1"/>
  <c r="R269" i="14"/>
  <c r="S269" i="14" s="1"/>
  <c r="R270" i="14"/>
  <c r="S270" i="14" s="1"/>
  <c r="R271" i="14"/>
  <c r="S271" i="14" s="1"/>
  <c r="R272" i="14"/>
  <c r="S272" i="14" s="1"/>
  <c r="R273" i="14"/>
  <c r="S273" i="14" s="1"/>
  <c r="R274" i="14"/>
  <c r="S274" i="14" s="1"/>
  <c r="R275" i="14"/>
  <c r="S275" i="14" s="1"/>
  <c r="R276" i="14"/>
  <c r="S276" i="14" s="1"/>
  <c r="R277" i="14"/>
  <c r="S277" i="14" s="1"/>
  <c r="R278" i="14"/>
  <c r="S278" i="14" s="1"/>
  <c r="R279" i="14"/>
  <c r="S279" i="14" s="1"/>
  <c r="R280" i="14"/>
  <c r="S280" i="14" s="1"/>
  <c r="R281" i="14"/>
  <c r="S281" i="14" s="1"/>
  <c r="R282" i="14"/>
  <c r="S282" i="14" s="1"/>
  <c r="R283" i="14"/>
  <c r="S283" i="14" s="1"/>
  <c r="R284" i="14"/>
  <c r="S284" i="14" s="1"/>
  <c r="R285" i="14"/>
  <c r="S285" i="14" s="1"/>
  <c r="R286" i="14"/>
  <c r="S286" i="14" s="1"/>
  <c r="R287" i="14"/>
  <c r="S287" i="14" s="1"/>
  <c r="R288" i="14"/>
  <c r="S288" i="14" s="1"/>
  <c r="R289" i="14"/>
  <c r="S289" i="14" s="1"/>
  <c r="R290" i="14"/>
  <c r="S290" i="14" s="1"/>
  <c r="R291" i="14"/>
  <c r="S291" i="14" s="1"/>
  <c r="R292" i="14"/>
  <c r="S292" i="14" s="1"/>
  <c r="R293" i="14"/>
  <c r="S293" i="14" s="1"/>
  <c r="R294" i="14"/>
  <c r="S294" i="14" s="1"/>
  <c r="R295" i="14"/>
  <c r="S295" i="14" s="1"/>
  <c r="R296" i="14"/>
  <c r="S296" i="14" s="1"/>
  <c r="R297" i="14"/>
  <c r="S297" i="14" s="1"/>
  <c r="R298" i="14"/>
  <c r="S298" i="14" s="1"/>
  <c r="R299" i="14"/>
  <c r="S299" i="14" s="1"/>
  <c r="R300" i="14"/>
  <c r="S300" i="14" s="1"/>
  <c r="R301" i="14"/>
  <c r="S301" i="14" s="1"/>
  <c r="R302" i="14"/>
  <c r="S302" i="14" s="1"/>
  <c r="R303" i="14"/>
  <c r="S303" i="14" s="1"/>
  <c r="R304" i="14"/>
  <c r="S304" i="14" s="1"/>
  <c r="R305" i="14"/>
  <c r="S305" i="14" s="1"/>
  <c r="R306" i="14"/>
  <c r="S306" i="14" s="1"/>
  <c r="R307" i="14"/>
  <c r="S307" i="14" s="1"/>
  <c r="R308" i="14"/>
  <c r="S308" i="14" s="1"/>
  <c r="R309" i="14"/>
  <c r="S309" i="14" s="1"/>
  <c r="R310" i="14"/>
  <c r="S310" i="14" s="1"/>
  <c r="R311" i="14"/>
  <c r="S311" i="14" s="1"/>
  <c r="R312" i="14"/>
  <c r="S312" i="14" s="1"/>
  <c r="R313" i="14"/>
  <c r="S313" i="14" s="1"/>
  <c r="R314" i="14"/>
  <c r="S314" i="14" s="1"/>
  <c r="R315" i="14"/>
  <c r="S315" i="14" s="1"/>
  <c r="R316" i="14"/>
  <c r="S316" i="14" s="1"/>
  <c r="R317" i="14"/>
  <c r="S317" i="14" s="1"/>
  <c r="R318" i="14"/>
  <c r="S318" i="14" s="1"/>
  <c r="R319" i="14"/>
  <c r="S319" i="14" s="1"/>
  <c r="R320" i="14"/>
  <c r="S320" i="14" s="1"/>
  <c r="R321" i="14"/>
  <c r="S321" i="14" s="1"/>
  <c r="R322" i="14"/>
  <c r="S322" i="14" s="1"/>
  <c r="R323" i="14"/>
  <c r="S323" i="14" s="1"/>
  <c r="R324" i="14"/>
  <c r="S324" i="14" s="1"/>
  <c r="R325" i="14"/>
  <c r="S325" i="14" s="1"/>
  <c r="R326" i="14"/>
  <c r="S326" i="14" s="1"/>
  <c r="R327" i="14"/>
  <c r="S327" i="14" s="1"/>
  <c r="R328" i="14"/>
  <c r="S328" i="14" s="1"/>
  <c r="R329" i="14"/>
  <c r="S329" i="14" s="1"/>
  <c r="R330" i="14"/>
  <c r="S330" i="14" s="1"/>
  <c r="R331" i="14"/>
  <c r="S331" i="14" s="1"/>
  <c r="R332" i="14"/>
  <c r="S332" i="14" s="1"/>
  <c r="R333" i="14"/>
  <c r="S333" i="14" s="1"/>
  <c r="R334" i="14"/>
  <c r="S334" i="14" s="1"/>
  <c r="R335" i="14"/>
  <c r="S335" i="14" s="1"/>
  <c r="R336" i="14"/>
  <c r="S336" i="14" s="1"/>
  <c r="R337" i="14"/>
  <c r="S337" i="14" s="1"/>
  <c r="R338" i="14"/>
  <c r="S338" i="14" s="1"/>
  <c r="R339" i="14"/>
  <c r="S339" i="14" s="1"/>
  <c r="R340" i="14"/>
  <c r="S340" i="14" s="1"/>
  <c r="R341" i="14"/>
  <c r="S341" i="14" s="1"/>
  <c r="R342" i="14"/>
  <c r="S342" i="14" s="1"/>
  <c r="R343" i="14"/>
  <c r="S343" i="14" s="1"/>
  <c r="R344" i="14"/>
  <c r="S344" i="14" s="1"/>
  <c r="R345" i="14"/>
  <c r="S345" i="14" s="1"/>
  <c r="R346" i="14"/>
  <c r="S346" i="14" s="1"/>
  <c r="R347" i="14"/>
  <c r="S347" i="14" s="1"/>
  <c r="R348" i="14"/>
  <c r="S348" i="14" s="1"/>
  <c r="R349" i="14"/>
  <c r="S349" i="14" s="1"/>
  <c r="R350" i="14"/>
  <c r="S350" i="14" s="1"/>
  <c r="R351" i="14"/>
  <c r="S351" i="14" s="1"/>
  <c r="R352" i="14"/>
  <c r="S352" i="14" s="1"/>
  <c r="R353" i="14"/>
  <c r="S353" i="14" s="1"/>
  <c r="R354" i="14"/>
  <c r="S354" i="14" s="1"/>
  <c r="R355" i="14"/>
  <c r="S355" i="14" s="1"/>
  <c r="R356" i="14"/>
  <c r="S356" i="14" s="1"/>
  <c r="R357" i="14"/>
  <c r="S357" i="14" s="1"/>
  <c r="R358" i="14"/>
  <c r="S358" i="14" s="1"/>
  <c r="R359" i="14"/>
  <c r="S359" i="14" s="1"/>
  <c r="R360" i="14"/>
  <c r="S360" i="14" s="1"/>
  <c r="R361" i="14"/>
  <c r="S361" i="14" s="1"/>
  <c r="R362" i="14"/>
  <c r="S362" i="14" s="1"/>
  <c r="R363" i="14"/>
  <c r="S363" i="14" s="1"/>
  <c r="R364" i="14"/>
  <c r="S364" i="14" s="1"/>
  <c r="R365" i="14"/>
  <c r="S365" i="14" s="1"/>
  <c r="R366" i="14"/>
  <c r="S366" i="14" s="1"/>
  <c r="R367" i="14"/>
  <c r="S367" i="14" s="1"/>
  <c r="R368" i="14"/>
  <c r="S368" i="14" s="1"/>
  <c r="R369" i="14"/>
  <c r="S369" i="14" s="1"/>
  <c r="R370" i="14"/>
  <c r="S370" i="14" s="1"/>
  <c r="R371" i="14"/>
  <c r="S371" i="14" s="1"/>
  <c r="R372" i="14"/>
  <c r="S372" i="14" s="1"/>
  <c r="R373" i="14"/>
  <c r="S373" i="14" s="1"/>
  <c r="R374" i="14"/>
  <c r="S374" i="14" s="1"/>
  <c r="R375" i="14"/>
  <c r="S375" i="14" s="1"/>
  <c r="R376" i="14"/>
  <c r="S376" i="14" s="1"/>
  <c r="R377" i="14"/>
  <c r="S377" i="14" s="1"/>
  <c r="R378" i="14"/>
  <c r="S378" i="14" s="1"/>
  <c r="R379" i="14"/>
  <c r="S379" i="14" s="1"/>
  <c r="R380" i="14"/>
  <c r="S380" i="14" s="1"/>
  <c r="R381" i="14"/>
  <c r="S381" i="14" s="1"/>
  <c r="R382" i="14"/>
  <c r="S382" i="14" s="1"/>
  <c r="R383" i="14"/>
  <c r="S383" i="14" s="1"/>
  <c r="R384" i="14"/>
  <c r="S384" i="14" s="1"/>
  <c r="R385" i="14"/>
  <c r="S385" i="14" s="1"/>
  <c r="R386" i="14"/>
  <c r="S386" i="14" s="1"/>
  <c r="R387" i="14"/>
  <c r="S387" i="14" s="1"/>
  <c r="R388" i="14"/>
  <c r="S388" i="14" s="1"/>
  <c r="R389" i="14"/>
  <c r="S389" i="14" s="1"/>
  <c r="R390" i="14"/>
  <c r="S390" i="14" s="1"/>
  <c r="R391" i="14"/>
  <c r="S391" i="14" s="1"/>
  <c r="R392" i="14"/>
  <c r="S392" i="14" s="1"/>
  <c r="R393" i="14"/>
  <c r="S393" i="14" s="1"/>
  <c r="R394" i="14"/>
  <c r="S394" i="14" s="1"/>
  <c r="R395" i="14"/>
  <c r="S395" i="14" s="1"/>
  <c r="R396" i="14"/>
  <c r="S396" i="14" s="1"/>
  <c r="R397" i="14"/>
  <c r="S397" i="14" s="1"/>
  <c r="R398" i="14"/>
  <c r="S398" i="14" s="1"/>
  <c r="R399" i="14"/>
  <c r="S399" i="14" s="1"/>
  <c r="R400" i="14"/>
  <c r="S400" i="14" s="1"/>
  <c r="R401" i="14"/>
  <c r="S401" i="14" s="1"/>
  <c r="R402" i="14"/>
  <c r="S402" i="14" s="1"/>
  <c r="R403" i="14"/>
  <c r="S403" i="14" s="1"/>
  <c r="R404" i="14"/>
  <c r="S404" i="14" s="1"/>
  <c r="R405" i="14"/>
  <c r="S405" i="14" s="1"/>
  <c r="R406" i="14"/>
  <c r="S406" i="14" s="1"/>
  <c r="R407" i="14"/>
  <c r="S407" i="14" s="1"/>
  <c r="R408" i="14"/>
  <c r="S408" i="14" s="1"/>
  <c r="R409" i="14"/>
  <c r="S409" i="14" s="1"/>
  <c r="R410" i="14"/>
  <c r="S410" i="14" s="1"/>
  <c r="R411" i="14"/>
  <c r="S411" i="14" s="1"/>
  <c r="R412" i="14"/>
  <c r="S412" i="14" s="1"/>
  <c r="R413" i="14"/>
  <c r="S413" i="14" s="1"/>
  <c r="R414" i="14"/>
  <c r="S414" i="14" s="1"/>
  <c r="R415" i="14"/>
  <c r="S415" i="14" s="1"/>
  <c r="R416" i="14"/>
  <c r="S416" i="14" s="1"/>
  <c r="R417" i="14"/>
  <c r="S417" i="14" s="1"/>
  <c r="R418" i="14"/>
  <c r="S418" i="14" s="1"/>
  <c r="R419" i="14"/>
  <c r="S419" i="14" s="1"/>
  <c r="R420" i="14"/>
  <c r="S420" i="14" s="1"/>
  <c r="R421" i="14"/>
  <c r="S421" i="14" s="1"/>
  <c r="R422" i="14"/>
  <c r="S422" i="14" s="1"/>
  <c r="R423" i="14"/>
  <c r="S423" i="14" s="1"/>
  <c r="R424" i="14"/>
  <c r="S424" i="14" s="1"/>
  <c r="R425" i="14"/>
  <c r="S425" i="14" s="1"/>
  <c r="R426" i="14"/>
  <c r="S426" i="14" s="1"/>
  <c r="R427" i="14"/>
  <c r="S427" i="14" s="1"/>
  <c r="R428" i="14"/>
  <c r="S428" i="14" s="1"/>
  <c r="R429" i="14"/>
  <c r="S429" i="14" s="1"/>
  <c r="R430" i="14"/>
  <c r="S430" i="14" s="1"/>
  <c r="R431" i="14"/>
  <c r="S431" i="14" s="1"/>
  <c r="R432" i="14"/>
  <c r="S432" i="14" s="1"/>
  <c r="R433" i="14"/>
  <c r="S433" i="14" s="1"/>
  <c r="R434" i="14"/>
  <c r="S434" i="14" s="1"/>
  <c r="R435" i="14"/>
  <c r="S435" i="14" s="1"/>
  <c r="R436" i="14"/>
  <c r="S436" i="14" s="1"/>
  <c r="R437" i="14"/>
  <c r="S437" i="14" s="1"/>
  <c r="R438" i="14"/>
  <c r="S438" i="14" s="1"/>
  <c r="R439" i="14"/>
  <c r="S439" i="14" s="1"/>
  <c r="R440" i="14"/>
  <c r="S440" i="14" s="1"/>
  <c r="R441" i="14"/>
  <c r="S441" i="14" s="1"/>
  <c r="R442" i="14"/>
  <c r="S442" i="14" s="1"/>
  <c r="R443" i="14"/>
  <c r="S443" i="14" s="1"/>
  <c r="R444" i="14"/>
  <c r="S444" i="14" s="1"/>
  <c r="R445" i="14"/>
  <c r="S445" i="14" s="1"/>
  <c r="R446" i="14"/>
  <c r="S446" i="14" s="1"/>
  <c r="R447" i="14"/>
  <c r="S447" i="14" s="1"/>
  <c r="R448" i="14"/>
  <c r="S448" i="14" s="1"/>
  <c r="R449" i="14"/>
  <c r="S449" i="14" s="1"/>
  <c r="R450" i="14"/>
  <c r="S450" i="14" s="1"/>
  <c r="R451" i="14"/>
  <c r="S451" i="14" s="1"/>
  <c r="R452" i="14"/>
  <c r="S452" i="14" s="1"/>
  <c r="R453" i="14"/>
  <c r="S453" i="14" s="1"/>
  <c r="R454" i="14"/>
  <c r="S454" i="14" s="1"/>
  <c r="R455" i="14"/>
  <c r="S455" i="14" s="1"/>
  <c r="R456" i="14"/>
  <c r="S456" i="14" s="1"/>
  <c r="R457" i="14"/>
  <c r="S457" i="14" s="1"/>
  <c r="R458" i="14"/>
  <c r="S458" i="14" s="1"/>
  <c r="R459" i="14"/>
  <c r="S459" i="14" s="1"/>
  <c r="R460" i="14"/>
  <c r="S460" i="14" s="1"/>
  <c r="R461" i="14"/>
  <c r="S461" i="14" s="1"/>
  <c r="R462" i="14"/>
  <c r="S462" i="14" s="1"/>
  <c r="R463" i="14"/>
  <c r="S463" i="14" s="1"/>
  <c r="R464" i="14"/>
  <c r="S464" i="14" s="1"/>
  <c r="R465" i="14"/>
  <c r="S465" i="14" s="1"/>
  <c r="R466" i="14"/>
  <c r="S466" i="14" s="1"/>
  <c r="R467" i="14"/>
  <c r="S467" i="14" s="1"/>
  <c r="R468" i="14"/>
  <c r="S468" i="14" s="1"/>
  <c r="R469" i="14"/>
  <c r="S469" i="14" s="1"/>
  <c r="R470" i="14"/>
  <c r="S470" i="14" s="1"/>
  <c r="R471" i="14"/>
  <c r="S471" i="14" s="1"/>
  <c r="R472" i="14"/>
  <c r="S472" i="14" s="1"/>
  <c r="R473" i="14"/>
  <c r="S473" i="14" s="1"/>
  <c r="R474" i="14"/>
  <c r="S474" i="14" s="1"/>
  <c r="R475" i="14"/>
  <c r="S475" i="14" s="1"/>
  <c r="R476" i="14"/>
  <c r="S476" i="14" s="1"/>
  <c r="R477" i="14"/>
  <c r="S477" i="14" s="1"/>
  <c r="R478" i="14"/>
  <c r="S478" i="14" s="1"/>
  <c r="R479" i="14"/>
  <c r="S479" i="14" s="1"/>
  <c r="R480" i="14"/>
  <c r="S480" i="14" s="1"/>
  <c r="R481" i="14"/>
  <c r="S481" i="14" s="1"/>
  <c r="R482" i="14"/>
  <c r="S482" i="14" s="1"/>
  <c r="R483" i="14"/>
  <c r="S483" i="14" s="1"/>
  <c r="R484" i="14"/>
  <c r="S484" i="14" s="1"/>
  <c r="R485" i="14"/>
  <c r="S485" i="14" s="1"/>
  <c r="R486" i="14"/>
  <c r="S486" i="14" s="1"/>
  <c r="R487" i="14"/>
  <c r="S487" i="14" s="1"/>
  <c r="R488" i="14"/>
  <c r="S488" i="14" s="1"/>
  <c r="R489" i="14"/>
  <c r="S489" i="14" s="1"/>
  <c r="R490" i="14"/>
  <c r="S490" i="14" s="1"/>
  <c r="R491" i="14"/>
  <c r="S491" i="14" s="1"/>
  <c r="R492" i="14"/>
  <c r="S492" i="14" s="1"/>
  <c r="R493" i="14"/>
  <c r="S493" i="14" s="1"/>
  <c r="R494" i="14"/>
  <c r="S494" i="14" s="1"/>
  <c r="R495" i="14"/>
  <c r="S495" i="14" s="1"/>
  <c r="R496" i="14"/>
  <c r="S496" i="14" s="1"/>
  <c r="R497" i="14"/>
  <c r="S497" i="14" s="1"/>
  <c r="R498" i="14"/>
  <c r="S498" i="14" s="1"/>
  <c r="R499" i="14"/>
  <c r="S499" i="14" s="1"/>
  <c r="R500" i="14"/>
  <c r="S500" i="14" s="1"/>
  <c r="R501" i="14"/>
  <c r="S501" i="14" s="1"/>
  <c r="R502" i="14"/>
  <c r="S502" i="14" s="1"/>
  <c r="R503" i="14"/>
  <c r="S503" i="14" s="1"/>
  <c r="R504" i="14"/>
  <c r="S504" i="14" s="1"/>
  <c r="R505" i="14"/>
  <c r="S505" i="14" s="1"/>
  <c r="R506" i="14"/>
  <c r="S506" i="14" s="1"/>
  <c r="R507" i="14"/>
  <c r="S507" i="14" s="1"/>
  <c r="R508" i="14"/>
  <c r="S508" i="14" s="1"/>
  <c r="R509" i="14"/>
  <c r="S509" i="14" s="1"/>
  <c r="R510" i="14"/>
  <c r="S510" i="14" s="1"/>
  <c r="R511" i="14"/>
  <c r="S511" i="14" s="1"/>
  <c r="R512" i="14"/>
  <c r="S512" i="14" s="1"/>
  <c r="R513" i="14"/>
  <c r="S513" i="14" s="1"/>
  <c r="R514" i="14"/>
  <c r="S514" i="14" s="1"/>
  <c r="R515" i="14"/>
  <c r="S515" i="14" s="1"/>
  <c r="R516" i="14"/>
  <c r="S516" i="14" s="1"/>
  <c r="R517" i="14"/>
  <c r="S517" i="14" s="1"/>
  <c r="R518" i="14"/>
  <c r="S518" i="14" s="1"/>
  <c r="R519" i="14"/>
  <c r="S519" i="14" s="1"/>
  <c r="R520" i="14"/>
  <c r="S520" i="14" s="1"/>
  <c r="R521" i="14"/>
  <c r="S521" i="14" s="1"/>
  <c r="R522" i="14"/>
  <c r="S522" i="14" s="1"/>
  <c r="R523" i="14"/>
  <c r="S523" i="14" s="1"/>
  <c r="R524" i="14"/>
  <c r="S524" i="14" s="1"/>
  <c r="R525" i="14"/>
  <c r="S525" i="14" s="1"/>
  <c r="R526" i="14"/>
  <c r="S526" i="14" s="1"/>
  <c r="R527" i="14"/>
  <c r="S527" i="14" s="1"/>
  <c r="R528" i="14"/>
  <c r="S528" i="14" s="1"/>
  <c r="R529" i="14"/>
  <c r="S529" i="14" s="1"/>
  <c r="R530" i="14"/>
  <c r="S530" i="14" s="1"/>
  <c r="R531" i="14"/>
  <c r="S531" i="14" s="1"/>
  <c r="R532" i="14"/>
  <c r="S532" i="14" s="1"/>
  <c r="R533" i="14"/>
  <c r="S533" i="14" s="1"/>
  <c r="R534" i="14"/>
  <c r="S534" i="14" s="1"/>
  <c r="R535" i="14"/>
  <c r="S535" i="14" s="1"/>
  <c r="R536" i="14"/>
  <c r="S536" i="14" s="1"/>
  <c r="R537" i="14"/>
  <c r="S537" i="14" s="1"/>
  <c r="R538" i="14"/>
  <c r="S538" i="14" s="1"/>
  <c r="R539" i="14"/>
  <c r="S539" i="14" s="1"/>
  <c r="R540" i="14"/>
  <c r="S540" i="14" s="1"/>
  <c r="R541" i="14"/>
  <c r="S541" i="14" s="1"/>
  <c r="R542" i="14"/>
  <c r="S542" i="14" s="1"/>
  <c r="R543" i="14"/>
  <c r="S543" i="14" s="1"/>
  <c r="R544" i="14"/>
  <c r="S544" i="14" s="1"/>
  <c r="R545" i="14"/>
  <c r="S545" i="14" s="1"/>
  <c r="R546" i="14"/>
  <c r="S546" i="14" s="1"/>
  <c r="R547" i="14"/>
  <c r="S547" i="14" s="1"/>
  <c r="R548" i="14"/>
  <c r="S548" i="14" s="1"/>
  <c r="R549" i="14"/>
  <c r="S549" i="14" s="1"/>
  <c r="R550" i="14"/>
  <c r="S550" i="14" s="1"/>
  <c r="R551" i="14"/>
  <c r="S551" i="14" s="1"/>
  <c r="R552" i="14"/>
  <c r="S552" i="14" s="1"/>
  <c r="R553" i="14"/>
  <c r="S553" i="14" s="1"/>
  <c r="R554" i="14"/>
  <c r="S554" i="14" s="1"/>
  <c r="R555" i="14"/>
  <c r="S555" i="14" s="1"/>
  <c r="R556" i="14"/>
  <c r="S556" i="14" s="1"/>
  <c r="R557" i="14"/>
  <c r="S557" i="14" s="1"/>
  <c r="R558" i="14"/>
  <c r="S558" i="14" s="1"/>
  <c r="R559" i="14"/>
  <c r="S559" i="14" s="1"/>
  <c r="R560" i="14"/>
  <c r="S560" i="14" s="1"/>
  <c r="R561" i="14"/>
  <c r="S561" i="14" s="1"/>
  <c r="R562" i="14"/>
  <c r="S562" i="14" s="1"/>
  <c r="R563" i="14"/>
  <c r="S563" i="14" s="1"/>
  <c r="R564" i="14"/>
  <c r="S564" i="14" s="1"/>
  <c r="R565" i="14"/>
  <c r="S565" i="14" s="1"/>
  <c r="R566" i="14"/>
  <c r="S566" i="14" s="1"/>
  <c r="R567" i="14"/>
  <c r="S567" i="14" s="1"/>
  <c r="R568" i="14"/>
  <c r="S568" i="14" s="1"/>
  <c r="R569" i="14"/>
  <c r="S569" i="14" s="1"/>
  <c r="R570" i="14"/>
  <c r="S570" i="14" s="1"/>
  <c r="R571" i="14"/>
  <c r="S571" i="14" s="1"/>
  <c r="R572" i="14"/>
  <c r="S572" i="14" s="1"/>
  <c r="R573" i="14"/>
  <c r="S573" i="14" s="1"/>
  <c r="R574" i="14"/>
  <c r="S574" i="14" s="1"/>
  <c r="R575" i="14"/>
  <c r="S575" i="14" s="1"/>
  <c r="R576" i="14"/>
  <c r="S576" i="14" s="1"/>
  <c r="R577" i="14"/>
  <c r="S577" i="14" s="1"/>
  <c r="R578" i="14"/>
  <c r="S578" i="14" s="1"/>
  <c r="R579" i="14"/>
  <c r="S579" i="14" s="1"/>
  <c r="R580" i="14"/>
  <c r="S580" i="14" s="1"/>
  <c r="R581" i="14"/>
  <c r="S581" i="14" s="1"/>
  <c r="R582" i="14"/>
  <c r="S582" i="14" s="1"/>
  <c r="R583" i="14"/>
  <c r="S583" i="14" s="1"/>
  <c r="R584" i="14"/>
  <c r="S584" i="14" s="1"/>
  <c r="R585" i="14"/>
  <c r="S585" i="14" s="1"/>
  <c r="R586" i="14"/>
  <c r="S586" i="14" s="1"/>
  <c r="R587" i="14"/>
  <c r="S587" i="14" s="1"/>
  <c r="R588" i="14"/>
  <c r="S588" i="14" s="1"/>
  <c r="R589" i="14"/>
  <c r="S589" i="14" s="1"/>
  <c r="R590" i="14"/>
  <c r="S590" i="14" s="1"/>
  <c r="R591" i="14"/>
  <c r="S591" i="14" s="1"/>
  <c r="R592" i="14"/>
  <c r="S592" i="14" s="1"/>
  <c r="R593" i="14"/>
  <c r="S593" i="14" s="1"/>
  <c r="R594" i="14"/>
  <c r="S594" i="14" s="1"/>
  <c r="R595" i="14"/>
  <c r="S595" i="14" s="1"/>
  <c r="R596" i="14"/>
  <c r="S596" i="14" s="1"/>
  <c r="R597" i="14"/>
  <c r="S597" i="14" s="1"/>
  <c r="R598" i="14"/>
  <c r="S598" i="14" s="1"/>
  <c r="R599" i="14"/>
  <c r="S599" i="14" s="1"/>
  <c r="R600" i="14"/>
  <c r="S600" i="14" s="1"/>
  <c r="R601" i="14"/>
  <c r="S601" i="14" s="1"/>
  <c r="R602" i="14"/>
  <c r="S602" i="14" s="1"/>
  <c r="R603" i="14"/>
  <c r="S603" i="14" s="1"/>
  <c r="R604" i="14"/>
  <c r="S604" i="14" s="1"/>
  <c r="R605" i="14"/>
  <c r="S605" i="14" s="1"/>
  <c r="R606" i="14"/>
  <c r="S606" i="14" s="1"/>
  <c r="R607" i="14"/>
  <c r="S607" i="14" s="1"/>
  <c r="R608" i="14"/>
  <c r="S608" i="14" s="1"/>
  <c r="R609" i="14"/>
  <c r="S609" i="14" s="1"/>
  <c r="R610" i="14"/>
  <c r="S610" i="14" s="1"/>
  <c r="R611" i="14"/>
  <c r="S611" i="14" s="1"/>
  <c r="R612" i="14"/>
  <c r="S612" i="14" s="1"/>
  <c r="R613" i="14"/>
  <c r="S613" i="14" s="1"/>
  <c r="R614" i="14"/>
  <c r="S614" i="14" s="1"/>
  <c r="R615" i="14"/>
  <c r="S615" i="14" s="1"/>
  <c r="R616" i="14"/>
  <c r="S616" i="14" s="1"/>
  <c r="R617" i="14"/>
  <c r="S617" i="14" s="1"/>
  <c r="R618" i="14"/>
  <c r="S618" i="14" s="1"/>
  <c r="R619" i="14"/>
  <c r="S619" i="14" s="1"/>
  <c r="R620" i="14"/>
  <c r="S620" i="14" s="1"/>
  <c r="R621" i="14"/>
  <c r="S621" i="14" s="1"/>
  <c r="R622" i="14"/>
  <c r="S622" i="14" s="1"/>
  <c r="R623" i="14"/>
  <c r="S623" i="14" s="1"/>
  <c r="R624" i="14"/>
  <c r="S624" i="14" s="1"/>
  <c r="R625" i="14"/>
  <c r="S625" i="14" s="1"/>
  <c r="R626" i="14"/>
  <c r="S626" i="14" s="1"/>
  <c r="R627" i="14"/>
  <c r="S627" i="14" s="1"/>
  <c r="R628" i="14"/>
  <c r="S628" i="14" s="1"/>
  <c r="R629" i="14"/>
  <c r="S629" i="14" s="1"/>
  <c r="R630" i="14"/>
  <c r="S630" i="14" s="1"/>
  <c r="R631" i="14"/>
  <c r="S631" i="14" s="1"/>
  <c r="R632" i="14"/>
  <c r="S632" i="14" s="1"/>
  <c r="R633" i="14"/>
  <c r="S633" i="14" s="1"/>
  <c r="R634" i="14"/>
  <c r="S634" i="14" s="1"/>
  <c r="R635" i="14"/>
  <c r="S635" i="14" s="1"/>
  <c r="R636" i="14"/>
  <c r="S636" i="14" s="1"/>
  <c r="R637" i="14"/>
  <c r="S637" i="14" s="1"/>
  <c r="R638" i="14"/>
  <c r="S638" i="14" s="1"/>
  <c r="R639" i="14"/>
  <c r="S639" i="14" s="1"/>
  <c r="R640" i="14"/>
  <c r="S640" i="14" s="1"/>
  <c r="R641" i="14"/>
  <c r="S641" i="14" s="1"/>
  <c r="R642" i="14"/>
  <c r="S642" i="14" s="1"/>
  <c r="R643" i="14"/>
  <c r="S643" i="14" s="1"/>
  <c r="R644" i="14"/>
  <c r="S644" i="14" s="1"/>
  <c r="R645" i="14"/>
  <c r="S645" i="14" s="1"/>
  <c r="R646" i="14"/>
  <c r="S646" i="14" s="1"/>
  <c r="R647" i="14"/>
  <c r="S647" i="14" s="1"/>
  <c r="R648" i="14"/>
  <c r="S648" i="14" s="1"/>
  <c r="R649" i="14"/>
  <c r="S649" i="14" s="1"/>
  <c r="R650" i="14"/>
  <c r="S650" i="14" s="1"/>
  <c r="R651" i="14"/>
  <c r="S651" i="14" s="1"/>
  <c r="R652" i="14"/>
  <c r="S652" i="14" s="1"/>
  <c r="R653" i="14"/>
  <c r="S653" i="14" s="1"/>
  <c r="R654" i="14"/>
  <c r="S654" i="14" s="1"/>
  <c r="R655" i="14"/>
  <c r="S655" i="14" s="1"/>
  <c r="R656" i="14"/>
  <c r="S656" i="14" s="1"/>
  <c r="R657" i="14"/>
  <c r="S657" i="14" s="1"/>
  <c r="R658" i="14"/>
  <c r="S658" i="14" s="1"/>
  <c r="R659" i="14"/>
  <c r="S659" i="14" s="1"/>
  <c r="R660" i="14"/>
  <c r="S660" i="14" s="1"/>
  <c r="R661" i="14"/>
  <c r="S661" i="14" s="1"/>
  <c r="R662" i="14"/>
  <c r="S662" i="14" s="1"/>
  <c r="R663" i="14"/>
  <c r="S663" i="14" s="1"/>
  <c r="R664" i="14"/>
  <c r="S664" i="14" s="1"/>
  <c r="R665" i="14"/>
  <c r="S665" i="14" s="1"/>
  <c r="R666" i="14"/>
  <c r="S666" i="14" s="1"/>
  <c r="R667" i="14"/>
  <c r="S667" i="14" s="1"/>
  <c r="R668" i="14"/>
  <c r="S668" i="14" s="1"/>
  <c r="R669" i="14"/>
  <c r="S669" i="14" s="1"/>
  <c r="R670" i="14"/>
  <c r="S670" i="14" s="1"/>
  <c r="R671" i="14"/>
  <c r="S671" i="14" s="1"/>
  <c r="R672" i="14"/>
  <c r="S672" i="14" s="1"/>
  <c r="R673" i="14"/>
  <c r="S673" i="14" s="1"/>
  <c r="R674" i="14"/>
  <c r="S674" i="14" s="1"/>
  <c r="R675" i="14"/>
  <c r="S675" i="14" s="1"/>
  <c r="R676" i="14"/>
  <c r="S676" i="14" s="1"/>
  <c r="R677" i="14"/>
  <c r="S677" i="14" s="1"/>
  <c r="R678" i="14"/>
  <c r="S678" i="14" s="1"/>
  <c r="R679" i="14"/>
  <c r="S679" i="14" s="1"/>
  <c r="R680" i="14"/>
  <c r="S680" i="14" s="1"/>
  <c r="R681" i="14"/>
  <c r="S681" i="14" s="1"/>
  <c r="R682" i="14"/>
  <c r="S682" i="14" s="1"/>
  <c r="R683" i="14"/>
  <c r="S683" i="14" s="1"/>
  <c r="R684" i="14"/>
  <c r="S684" i="14" s="1"/>
  <c r="R685" i="14"/>
  <c r="S685" i="14" s="1"/>
  <c r="R686" i="14"/>
  <c r="S686" i="14" s="1"/>
  <c r="R687" i="14"/>
  <c r="S687" i="14" s="1"/>
  <c r="R688" i="14"/>
  <c r="S688" i="14" s="1"/>
  <c r="R689" i="14"/>
  <c r="S689" i="14" s="1"/>
  <c r="R690" i="14"/>
  <c r="S690" i="14" s="1"/>
  <c r="R691" i="14"/>
  <c r="S691" i="14" s="1"/>
  <c r="R692" i="14"/>
  <c r="S692" i="14" s="1"/>
  <c r="R693" i="14"/>
  <c r="S693" i="14" s="1"/>
  <c r="R694" i="14"/>
  <c r="S694" i="14" s="1"/>
  <c r="R695" i="14"/>
  <c r="S695" i="14" s="1"/>
  <c r="R696" i="14"/>
  <c r="S696" i="14" s="1"/>
  <c r="R697" i="14"/>
  <c r="S697" i="14" s="1"/>
  <c r="R698" i="14"/>
  <c r="S698" i="14" s="1"/>
  <c r="R699" i="14"/>
  <c r="S699" i="14" s="1"/>
  <c r="R700" i="14"/>
  <c r="S700" i="14" s="1"/>
  <c r="R701" i="14"/>
  <c r="S701" i="14" s="1"/>
  <c r="R702" i="14"/>
  <c r="S702" i="14" s="1"/>
  <c r="R703" i="14"/>
  <c r="S703" i="14" s="1"/>
  <c r="R704" i="14"/>
  <c r="S704" i="14" s="1"/>
  <c r="R705" i="14"/>
  <c r="S705" i="14" s="1"/>
  <c r="R706" i="14"/>
  <c r="S706" i="14" s="1"/>
  <c r="R707" i="14"/>
  <c r="S707" i="14" s="1"/>
  <c r="R708" i="14"/>
  <c r="S708" i="14" s="1"/>
  <c r="R709" i="14"/>
  <c r="S709" i="14" s="1"/>
  <c r="R710" i="14"/>
  <c r="S710" i="14" s="1"/>
  <c r="R711" i="14"/>
  <c r="S711" i="14" s="1"/>
  <c r="R712" i="14"/>
  <c r="S712" i="14" s="1"/>
  <c r="R713" i="14"/>
  <c r="S713" i="14" s="1"/>
  <c r="R714" i="14"/>
  <c r="S714" i="14" s="1"/>
  <c r="R715" i="14"/>
  <c r="S715" i="14" s="1"/>
  <c r="R716" i="14"/>
  <c r="S716" i="14" s="1"/>
  <c r="R717" i="14"/>
  <c r="S717" i="14" s="1"/>
  <c r="R718" i="14"/>
  <c r="S718" i="14" s="1"/>
  <c r="R719" i="14"/>
  <c r="S719" i="14" s="1"/>
  <c r="R720" i="14"/>
  <c r="S720" i="14" s="1"/>
  <c r="R721" i="14"/>
  <c r="S721" i="14" s="1"/>
  <c r="R722" i="14"/>
  <c r="S722" i="14" s="1"/>
  <c r="R723" i="14"/>
  <c r="S723" i="14" s="1"/>
  <c r="R724" i="14"/>
  <c r="S724" i="14" s="1"/>
  <c r="R725" i="14"/>
  <c r="S725" i="14" s="1"/>
  <c r="R726" i="14"/>
  <c r="S726" i="14" s="1"/>
  <c r="R727" i="14"/>
  <c r="S727" i="14" s="1"/>
  <c r="R728" i="14"/>
  <c r="S728" i="14" s="1"/>
  <c r="R729" i="14"/>
  <c r="S729" i="14" s="1"/>
  <c r="R730" i="14"/>
  <c r="S730" i="14" s="1"/>
  <c r="R731" i="14"/>
  <c r="S731" i="14" s="1"/>
  <c r="R732" i="14"/>
  <c r="S732" i="14" s="1"/>
  <c r="R733" i="14"/>
  <c r="S733" i="14" s="1"/>
  <c r="R734" i="14"/>
  <c r="S734" i="14" s="1"/>
  <c r="R735" i="14"/>
  <c r="S735" i="14" s="1"/>
  <c r="R736" i="14"/>
  <c r="S736" i="14" s="1"/>
  <c r="R737" i="14"/>
  <c r="S737" i="14" s="1"/>
  <c r="R738" i="14"/>
  <c r="S738" i="14" s="1"/>
  <c r="R739" i="14"/>
  <c r="S739" i="14" s="1"/>
  <c r="R740" i="14"/>
  <c r="S740" i="14" s="1"/>
  <c r="R741" i="14"/>
  <c r="S741" i="14" s="1"/>
  <c r="R742" i="14"/>
  <c r="S742" i="14" s="1"/>
  <c r="R743" i="14"/>
  <c r="S743" i="14" s="1"/>
  <c r="R744" i="14"/>
  <c r="S744" i="14" s="1"/>
  <c r="R745" i="14"/>
  <c r="S745" i="14" s="1"/>
  <c r="R746" i="14"/>
  <c r="S746" i="14" s="1"/>
  <c r="R747" i="14"/>
  <c r="S747" i="14" s="1"/>
  <c r="R748" i="14"/>
  <c r="S748" i="14" s="1"/>
  <c r="R749" i="14"/>
  <c r="S749" i="14" s="1"/>
  <c r="R750" i="14"/>
  <c r="S750" i="14" s="1"/>
  <c r="R751" i="14"/>
  <c r="S751" i="14" s="1"/>
  <c r="R752" i="14"/>
  <c r="S752" i="14" s="1"/>
  <c r="R753" i="14"/>
  <c r="S753" i="14" s="1"/>
  <c r="R754" i="14"/>
  <c r="S754" i="14" s="1"/>
  <c r="R755" i="14"/>
  <c r="S755" i="14" s="1"/>
  <c r="R756" i="14"/>
  <c r="S756" i="14" s="1"/>
  <c r="R757" i="14"/>
  <c r="S757" i="14" s="1"/>
  <c r="R758" i="14"/>
  <c r="S758" i="14" s="1"/>
  <c r="R759" i="14"/>
  <c r="S759" i="14" s="1"/>
  <c r="R760" i="14"/>
  <c r="S760" i="14" s="1"/>
  <c r="R761" i="14"/>
  <c r="S761" i="14" s="1"/>
  <c r="R762" i="14"/>
  <c r="S762" i="14" s="1"/>
  <c r="R763" i="14"/>
  <c r="S763" i="14" s="1"/>
  <c r="R764" i="14"/>
  <c r="S764" i="14" s="1"/>
  <c r="R765" i="14"/>
  <c r="S765" i="14" s="1"/>
  <c r="R766" i="14"/>
  <c r="S766" i="14" s="1"/>
  <c r="R767" i="14"/>
  <c r="S767" i="14" s="1"/>
  <c r="R768" i="14"/>
  <c r="S768" i="14" s="1"/>
  <c r="R769" i="14"/>
  <c r="S769" i="14" s="1"/>
  <c r="R770" i="14"/>
  <c r="S770" i="14" s="1"/>
  <c r="R771" i="14"/>
  <c r="S771" i="14" s="1"/>
  <c r="R772" i="14"/>
  <c r="S772" i="14" s="1"/>
  <c r="R773" i="14"/>
  <c r="S773" i="14" s="1"/>
  <c r="R774" i="14"/>
  <c r="S774" i="14" s="1"/>
  <c r="R775" i="14"/>
  <c r="S775" i="14" s="1"/>
  <c r="R776" i="14"/>
  <c r="S776" i="14" s="1"/>
  <c r="R777" i="14"/>
  <c r="S777" i="14" s="1"/>
  <c r="R778" i="14"/>
  <c r="S778" i="14" s="1"/>
  <c r="R779" i="14"/>
  <c r="S779" i="14" s="1"/>
  <c r="R780" i="14"/>
  <c r="S780" i="14" s="1"/>
  <c r="R781" i="14"/>
  <c r="S781" i="14" s="1"/>
  <c r="R782" i="14"/>
  <c r="S782" i="14" s="1"/>
  <c r="R783" i="14"/>
  <c r="S783" i="14" s="1"/>
  <c r="R784" i="14"/>
  <c r="S784" i="14" s="1"/>
  <c r="R785" i="14"/>
  <c r="S785" i="14" s="1"/>
  <c r="R786" i="14"/>
  <c r="S786" i="14" s="1"/>
  <c r="R787" i="14"/>
  <c r="S787" i="14" s="1"/>
  <c r="R788" i="14"/>
  <c r="S788" i="14" s="1"/>
  <c r="R789" i="14"/>
  <c r="S789" i="14" s="1"/>
  <c r="R790" i="14"/>
  <c r="S790" i="14" s="1"/>
  <c r="R791" i="14"/>
  <c r="S791" i="14" s="1"/>
  <c r="R792" i="14"/>
  <c r="S792" i="14" s="1"/>
  <c r="R793" i="14"/>
  <c r="S793" i="14" s="1"/>
  <c r="R794" i="14"/>
  <c r="S794" i="14" s="1"/>
  <c r="R795" i="14"/>
  <c r="S795" i="14" s="1"/>
  <c r="R796" i="14"/>
  <c r="S796" i="14" s="1"/>
  <c r="R797" i="14"/>
  <c r="S797" i="14" s="1"/>
  <c r="R798" i="14"/>
  <c r="S798" i="14" s="1"/>
  <c r="R799" i="14"/>
  <c r="S799" i="14" s="1"/>
  <c r="R800" i="14"/>
  <c r="S800" i="14" s="1"/>
  <c r="R801" i="14"/>
  <c r="S801" i="14" s="1"/>
  <c r="R802" i="14"/>
  <c r="S802" i="14" s="1"/>
  <c r="R803" i="14"/>
  <c r="S803" i="14" s="1"/>
  <c r="R804" i="14"/>
  <c r="S804" i="14" s="1"/>
  <c r="R805" i="14"/>
  <c r="S805" i="14" s="1"/>
  <c r="R806" i="14"/>
  <c r="S806" i="14" s="1"/>
  <c r="R807" i="14"/>
  <c r="S807" i="14" s="1"/>
  <c r="R808" i="14"/>
  <c r="S808" i="14" s="1"/>
  <c r="R809" i="14"/>
  <c r="S809" i="14" s="1"/>
  <c r="R810" i="14"/>
  <c r="S810" i="14" s="1"/>
  <c r="R811" i="14"/>
  <c r="S811" i="14" s="1"/>
  <c r="R812" i="14"/>
  <c r="S812" i="14" s="1"/>
  <c r="R813" i="14"/>
  <c r="S813" i="14" s="1"/>
  <c r="R814" i="14"/>
  <c r="S814" i="14" s="1"/>
  <c r="R815" i="14"/>
  <c r="S815" i="14" s="1"/>
  <c r="R816" i="14"/>
  <c r="S816" i="14" s="1"/>
  <c r="R817" i="14"/>
  <c r="S817" i="14" s="1"/>
  <c r="R818" i="14"/>
  <c r="S818" i="14" s="1"/>
  <c r="R819" i="14"/>
  <c r="S819" i="14" s="1"/>
  <c r="R820" i="14"/>
  <c r="S820" i="14" s="1"/>
  <c r="R821" i="14"/>
  <c r="S821" i="14" s="1"/>
  <c r="R822" i="14"/>
  <c r="S822" i="14" s="1"/>
  <c r="R823" i="14"/>
  <c r="S823" i="14" s="1"/>
  <c r="R824" i="14"/>
  <c r="S824" i="14" s="1"/>
  <c r="R825" i="14"/>
  <c r="S825" i="14" s="1"/>
  <c r="R826" i="14"/>
  <c r="S826" i="14" s="1"/>
  <c r="R827" i="14"/>
  <c r="S827" i="14" s="1"/>
  <c r="R828" i="14"/>
  <c r="S828" i="14" s="1"/>
  <c r="R829" i="14"/>
  <c r="S829" i="14" s="1"/>
  <c r="R830" i="14"/>
  <c r="S830" i="14" s="1"/>
  <c r="R831" i="14"/>
  <c r="S831" i="14" s="1"/>
  <c r="R832" i="14"/>
  <c r="S832" i="14" s="1"/>
  <c r="R833" i="14"/>
  <c r="S833" i="14" s="1"/>
  <c r="R834" i="14"/>
  <c r="S834" i="14" s="1"/>
  <c r="R835" i="14"/>
  <c r="S835" i="14" s="1"/>
  <c r="R836" i="14"/>
  <c r="S836" i="14" s="1"/>
  <c r="R837" i="14"/>
  <c r="S837" i="14" s="1"/>
  <c r="R838" i="14"/>
  <c r="S838" i="14" s="1"/>
  <c r="R839" i="14"/>
  <c r="S839" i="14" s="1"/>
  <c r="R840" i="14"/>
  <c r="S840" i="14" s="1"/>
  <c r="R841" i="14"/>
  <c r="S841" i="14" s="1"/>
  <c r="R842" i="14"/>
  <c r="S842" i="14" s="1"/>
  <c r="R843" i="14"/>
  <c r="S843" i="14" s="1"/>
  <c r="R844" i="14"/>
  <c r="S844" i="14" s="1"/>
  <c r="R845" i="14"/>
  <c r="S845" i="14" s="1"/>
  <c r="R846" i="14"/>
  <c r="S846" i="14" s="1"/>
  <c r="R847" i="14"/>
  <c r="S847" i="14" s="1"/>
  <c r="R848" i="14"/>
  <c r="S848" i="14" s="1"/>
  <c r="R849" i="14"/>
  <c r="S849" i="14" s="1"/>
  <c r="R850" i="14"/>
  <c r="S850" i="14" s="1"/>
  <c r="R851" i="14"/>
  <c r="S851" i="14" s="1"/>
  <c r="R852" i="14"/>
  <c r="S852" i="14" s="1"/>
  <c r="R853" i="14"/>
  <c r="S853" i="14" s="1"/>
  <c r="R854" i="14"/>
  <c r="S854" i="14" s="1"/>
  <c r="R855" i="14"/>
  <c r="S855" i="14" s="1"/>
  <c r="R856" i="14"/>
  <c r="S856" i="14" s="1"/>
  <c r="R857" i="14"/>
  <c r="S857" i="14" s="1"/>
  <c r="R858" i="14"/>
  <c r="S858" i="14" s="1"/>
  <c r="R859" i="14"/>
  <c r="S859" i="14" s="1"/>
  <c r="R860" i="14"/>
  <c r="S860" i="14" s="1"/>
  <c r="R861" i="14"/>
  <c r="S861" i="14" s="1"/>
  <c r="R862" i="14"/>
  <c r="S862" i="14" s="1"/>
  <c r="R863" i="14"/>
  <c r="S863" i="14" s="1"/>
  <c r="R864" i="14"/>
  <c r="S864" i="14" s="1"/>
  <c r="R865" i="14"/>
  <c r="S865" i="14" s="1"/>
  <c r="R866" i="14"/>
  <c r="S866" i="14" s="1"/>
  <c r="R867" i="14"/>
  <c r="S867" i="14" s="1"/>
  <c r="R868" i="14"/>
  <c r="S868" i="14" s="1"/>
  <c r="R869" i="14"/>
  <c r="S869" i="14" s="1"/>
  <c r="R870" i="14"/>
  <c r="S870" i="14" s="1"/>
  <c r="R871" i="14"/>
  <c r="S871" i="14" s="1"/>
  <c r="R872" i="14"/>
  <c r="S872" i="14" s="1"/>
  <c r="R873" i="14"/>
  <c r="S873" i="14" s="1"/>
  <c r="R874" i="14"/>
  <c r="S874" i="14" s="1"/>
  <c r="R875" i="14"/>
  <c r="S875" i="14" s="1"/>
  <c r="R876" i="14"/>
  <c r="S876" i="14" s="1"/>
  <c r="R877" i="14"/>
  <c r="S877" i="14" s="1"/>
  <c r="R878" i="14"/>
  <c r="S878" i="14" s="1"/>
  <c r="R879" i="14"/>
  <c r="S879" i="14" s="1"/>
  <c r="R880" i="14"/>
  <c r="S880" i="14" s="1"/>
  <c r="R881" i="14"/>
  <c r="S881" i="14" s="1"/>
  <c r="R882" i="14"/>
  <c r="S882" i="14" s="1"/>
  <c r="R883" i="14"/>
  <c r="S883" i="14" s="1"/>
  <c r="R884" i="14"/>
  <c r="S884" i="14" s="1"/>
  <c r="R885" i="14"/>
  <c r="S885" i="14" s="1"/>
  <c r="R886" i="14"/>
  <c r="S886" i="14" s="1"/>
  <c r="R887" i="14"/>
  <c r="S887" i="14" s="1"/>
  <c r="R888" i="14"/>
  <c r="S888" i="14" s="1"/>
  <c r="R889" i="14"/>
  <c r="S889" i="14" s="1"/>
  <c r="R890" i="14"/>
  <c r="S890" i="14" s="1"/>
  <c r="R891" i="14"/>
  <c r="S891" i="14" s="1"/>
  <c r="R892" i="14"/>
  <c r="S892" i="14" s="1"/>
  <c r="R893" i="14"/>
  <c r="S893" i="14" s="1"/>
  <c r="R894" i="14"/>
  <c r="S894" i="14" s="1"/>
  <c r="R895" i="14"/>
  <c r="S895" i="14" s="1"/>
  <c r="R896" i="14"/>
  <c r="S896" i="14" s="1"/>
  <c r="R897" i="14"/>
  <c r="S897" i="14" s="1"/>
  <c r="R898" i="14"/>
  <c r="S898" i="14" s="1"/>
  <c r="R899" i="14"/>
  <c r="S899" i="14" s="1"/>
  <c r="R900" i="14"/>
  <c r="S900" i="14" s="1"/>
  <c r="R901" i="14"/>
  <c r="S901" i="14" s="1"/>
  <c r="R902" i="14"/>
  <c r="S902" i="14" s="1"/>
  <c r="R903" i="14"/>
  <c r="S903" i="14" s="1"/>
  <c r="R904" i="14"/>
  <c r="S904" i="14" s="1"/>
  <c r="R905" i="14"/>
  <c r="S905" i="14" s="1"/>
  <c r="R906" i="14"/>
  <c r="S906" i="14" s="1"/>
  <c r="R907" i="14"/>
  <c r="S907" i="14" s="1"/>
  <c r="R908" i="14"/>
  <c r="S908" i="14" s="1"/>
  <c r="R909" i="14"/>
  <c r="S909" i="14" s="1"/>
  <c r="R910" i="14"/>
  <c r="S910" i="14" s="1"/>
  <c r="R911" i="14"/>
  <c r="S911" i="14" s="1"/>
  <c r="R912" i="14"/>
  <c r="S912" i="14" s="1"/>
  <c r="R913" i="14"/>
  <c r="S913" i="14" s="1"/>
  <c r="R914" i="14"/>
  <c r="S914" i="14" s="1"/>
  <c r="R915" i="14"/>
  <c r="S915" i="14" s="1"/>
  <c r="R916" i="14"/>
  <c r="S916" i="14" s="1"/>
  <c r="R917" i="14"/>
  <c r="S917" i="14" s="1"/>
  <c r="R918" i="14"/>
  <c r="S918" i="14" s="1"/>
  <c r="R919" i="14"/>
  <c r="S919" i="14" s="1"/>
  <c r="R920" i="14"/>
  <c r="S920" i="14" s="1"/>
  <c r="R921" i="14"/>
  <c r="S921" i="14" s="1"/>
  <c r="R922" i="14"/>
  <c r="S922" i="14" s="1"/>
  <c r="R923" i="14"/>
  <c r="S923" i="14" s="1"/>
  <c r="R924" i="14"/>
  <c r="S924" i="14" s="1"/>
  <c r="R925" i="14"/>
  <c r="S925" i="14" s="1"/>
  <c r="R926" i="14"/>
  <c r="S926" i="14" s="1"/>
  <c r="R927" i="14"/>
  <c r="S927" i="14" s="1"/>
  <c r="R928" i="14"/>
  <c r="S928" i="14" s="1"/>
  <c r="R929" i="14"/>
  <c r="S929" i="14" s="1"/>
  <c r="R930" i="14"/>
  <c r="S930" i="14" s="1"/>
  <c r="R931" i="14"/>
  <c r="S931" i="14" s="1"/>
  <c r="R932" i="14"/>
  <c r="S932" i="14" s="1"/>
  <c r="R933" i="14"/>
  <c r="S933" i="14" s="1"/>
  <c r="R934" i="14"/>
  <c r="S934" i="14" s="1"/>
  <c r="R935" i="14"/>
  <c r="S935" i="14" s="1"/>
  <c r="R936" i="14"/>
  <c r="S936" i="14" s="1"/>
  <c r="R937" i="14"/>
  <c r="S937" i="14" s="1"/>
  <c r="R938" i="14"/>
  <c r="S938" i="14" s="1"/>
  <c r="R939" i="14"/>
  <c r="S939" i="14" s="1"/>
  <c r="R940" i="14"/>
  <c r="S940" i="14" s="1"/>
  <c r="R941" i="14"/>
  <c r="S941" i="14" s="1"/>
  <c r="R942" i="14"/>
  <c r="S942" i="14" s="1"/>
  <c r="R943" i="14"/>
  <c r="S943" i="14" s="1"/>
  <c r="R944" i="14"/>
  <c r="S944" i="14" s="1"/>
  <c r="R945" i="14"/>
  <c r="S945" i="14" s="1"/>
  <c r="R946" i="14"/>
  <c r="S946" i="14" s="1"/>
  <c r="R947" i="14"/>
  <c r="S947" i="14" s="1"/>
  <c r="R948" i="14"/>
  <c r="S948" i="14" s="1"/>
  <c r="R949" i="14"/>
  <c r="S949" i="14" s="1"/>
  <c r="R950" i="14"/>
  <c r="S950" i="14" s="1"/>
  <c r="R951" i="14"/>
  <c r="S951" i="14" s="1"/>
  <c r="R952" i="14"/>
  <c r="S952" i="14" s="1"/>
  <c r="R953" i="14"/>
  <c r="S953" i="14" s="1"/>
  <c r="R954" i="14"/>
  <c r="S954" i="14" s="1"/>
  <c r="R955" i="14"/>
  <c r="S955" i="14" s="1"/>
  <c r="R956" i="14"/>
  <c r="S956" i="14" s="1"/>
  <c r="R957" i="14"/>
  <c r="S957" i="14" s="1"/>
  <c r="R958" i="14"/>
  <c r="S958" i="14" s="1"/>
  <c r="R959" i="14"/>
  <c r="S959" i="14" s="1"/>
  <c r="R960" i="14"/>
  <c r="S960" i="14" s="1"/>
  <c r="R961" i="14"/>
  <c r="S961" i="14" s="1"/>
  <c r="R962" i="14"/>
  <c r="S962" i="14" s="1"/>
  <c r="R963" i="14"/>
  <c r="S963" i="14" s="1"/>
  <c r="R964" i="14"/>
  <c r="S964" i="14" s="1"/>
  <c r="R965" i="14"/>
  <c r="S965" i="14" s="1"/>
  <c r="R966" i="14"/>
  <c r="S966" i="14" s="1"/>
  <c r="R967" i="14"/>
  <c r="S967" i="14" s="1"/>
  <c r="R968" i="14"/>
  <c r="S968" i="14" s="1"/>
  <c r="R969" i="14"/>
  <c r="S969" i="14" s="1"/>
  <c r="R970" i="14"/>
  <c r="S970" i="14" s="1"/>
  <c r="R971" i="14"/>
  <c r="S971" i="14" s="1"/>
  <c r="R972" i="14"/>
  <c r="S972" i="14" s="1"/>
  <c r="R973" i="14"/>
  <c r="S973" i="14" s="1"/>
  <c r="R974" i="14"/>
  <c r="S974" i="14" s="1"/>
  <c r="R975" i="14"/>
  <c r="S975" i="14" s="1"/>
  <c r="R976" i="14"/>
  <c r="S976" i="14" s="1"/>
  <c r="R977" i="14"/>
  <c r="S977" i="14" s="1"/>
  <c r="R978" i="14"/>
  <c r="S978" i="14" s="1"/>
  <c r="R979" i="14"/>
  <c r="S979" i="14" s="1"/>
  <c r="R980" i="14"/>
  <c r="S980" i="14" s="1"/>
  <c r="R981" i="14"/>
  <c r="S981" i="14" s="1"/>
  <c r="R982" i="14"/>
  <c r="S982" i="14" s="1"/>
  <c r="R983" i="14"/>
  <c r="S983" i="14" s="1"/>
  <c r="R984" i="14"/>
  <c r="S984" i="14" s="1"/>
  <c r="R985" i="14"/>
  <c r="S985" i="14" s="1"/>
  <c r="R986" i="14"/>
  <c r="S986" i="14" s="1"/>
  <c r="R987" i="14"/>
  <c r="S987" i="14" s="1"/>
  <c r="R988" i="14"/>
  <c r="S988" i="14" s="1"/>
  <c r="R989" i="14"/>
  <c r="S989" i="14" s="1"/>
  <c r="R990" i="14"/>
  <c r="S990" i="14" s="1"/>
  <c r="R991" i="14"/>
  <c r="S991" i="14" s="1"/>
  <c r="R992" i="14"/>
  <c r="S992" i="14" s="1"/>
  <c r="R993" i="14"/>
  <c r="S993" i="14" s="1"/>
  <c r="R994" i="14"/>
  <c r="S994" i="14" s="1"/>
  <c r="R995" i="14"/>
  <c r="S995" i="14" s="1"/>
  <c r="R996" i="14"/>
  <c r="S996" i="14" s="1"/>
  <c r="R997" i="14"/>
  <c r="S997" i="14" s="1"/>
  <c r="R998" i="14"/>
  <c r="S998" i="14" s="1"/>
  <c r="R999" i="14"/>
  <c r="S999" i="14" s="1"/>
  <c r="R1000" i="14"/>
  <c r="S1000" i="14" s="1"/>
  <c r="R1001" i="14"/>
  <c r="S1001" i="14" s="1"/>
  <c r="R1002" i="14"/>
  <c r="S1002" i="14" s="1"/>
  <c r="R4" i="14"/>
  <c r="S4" i="14" s="1"/>
  <c r="R5" i="14"/>
  <c r="S5" i="14" s="1"/>
  <c r="R6" i="14"/>
  <c r="S6" i="14" s="1"/>
  <c r="R7" i="14"/>
  <c r="S7" i="14" s="1"/>
  <c r="R8" i="14"/>
  <c r="S8" i="14" s="1"/>
  <c r="R9" i="14"/>
  <c r="S9" i="14" s="1"/>
  <c r="R10" i="14"/>
  <c r="R11" i="14"/>
  <c r="S11" i="14" s="1"/>
  <c r="R12" i="14"/>
  <c r="S12" i="14" s="1"/>
  <c r="G89" i="16" s="1"/>
  <c r="R13" i="14"/>
  <c r="S13" i="14" s="1"/>
  <c r="R14" i="14"/>
  <c r="S14" i="14" s="1"/>
  <c r="R15" i="14"/>
  <c r="S15" i="14" s="1"/>
  <c r="R16" i="14"/>
  <c r="S16" i="14" s="1"/>
  <c r="R17" i="14"/>
  <c r="S17" i="14" s="1"/>
  <c r="R18" i="14"/>
  <c r="S18" i="14" s="1"/>
  <c r="R19" i="14"/>
  <c r="S19" i="14" s="1"/>
  <c r="R20" i="14"/>
  <c r="S20" i="14" s="1"/>
  <c r="R21" i="14"/>
  <c r="S21" i="14" s="1"/>
  <c r="R22" i="14"/>
  <c r="S22" i="14" s="1"/>
  <c r="R23" i="14"/>
  <c r="S23" i="14" s="1"/>
  <c r="R24" i="14"/>
  <c r="S24" i="14" s="1"/>
  <c r="R25" i="14"/>
  <c r="S25" i="14" s="1"/>
  <c r="R26" i="14"/>
  <c r="S26" i="14" s="1"/>
  <c r="R27" i="14"/>
  <c r="S27" i="14" s="1"/>
  <c r="R28" i="14"/>
  <c r="S28" i="14" s="1"/>
  <c r="R29" i="14"/>
  <c r="S29" i="14" s="1"/>
  <c r="R30" i="14"/>
  <c r="S30" i="14" s="1"/>
  <c r="R31" i="14"/>
  <c r="S31" i="14" s="1"/>
  <c r="R32" i="14"/>
  <c r="S32" i="14" s="1"/>
  <c r="R33" i="14"/>
  <c r="S33" i="14" s="1"/>
  <c r="R34" i="14"/>
  <c r="S34" i="14" s="1"/>
  <c r="R35" i="14"/>
  <c r="S35" i="14" s="1"/>
  <c r="R36" i="14"/>
  <c r="S36" i="14" s="1"/>
  <c r="R37" i="14"/>
  <c r="S37" i="14" s="1"/>
  <c r="R38" i="14"/>
  <c r="S38" i="14" s="1"/>
  <c r="R39" i="14"/>
  <c r="S39" i="14" s="1"/>
  <c r="R40" i="14"/>
  <c r="S40" i="14" s="1"/>
  <c r="R41" i="14"/>
  <c r="S41" i="14" s="1"/>
  <c r="R42" i="14"/>
  <c r="S42" i="14" s="1"/>
  <c r="R43" i="14"/>
  <c r="S43" i="14" s="1"/>
  <c r="R44" i="14"/>
  <c r="S44" i="14" s="1"/>
  <c r="R45" i="14"/>
  <c r="S45" i="14" s="1"/>
  <c r="R46" i="14"/>
  <c r="S46" i="14" s="1"/>
  <c r="R47" i="14"/>
  <c r="S47" i="14" s="1"/>
  <c r="R48" i="14"/>
  <c r="S48" i="14" s="1"/>
  <c r="R49" i="14"/>
  <c r="S49" i="14" s="1"/>
  <c r="R50" i="14"/>
  <c r="S50" i="14" s="1"/>
  <c r="R51" i="14"/>
  <c r="S51" i="14" s="1"/>
  <c r="R52" i="14"/>
  <c r="S52" i="14" s="1"/>
  <c r="R53" i="14"/>
  <c r="S53" i="14" s="1"/>
  <c r="R54" i="14"/>
  <c r="S54" i="14" s="1"/>
  <c r="R55" i="14"/>
  <c r="S55" i="14" s="1"/>
  <c r="R56" i="14"/>
  <c r="S56" i="14" s="1"/>
  <c r="G55" i="16" s="1"/>
  <c r="R57" i="14"/>
  <c r="S57" i="14" s="1"/>
  <c r="R58" i="14"/>
  <c r="S58" i="14" s="1"/>
  <c r="R59" i="14"/>
  <c r="S59" i="14" s="1"/>
  <c r="R60" i="14"/>
  <c r="S60" i="14" s="1"/>
  <c r="R61" i="14"/>
  <c r="S61" i="14" s="1"/>
  <c r="R62" i="14"/>
  <c r="S62" i="14" s="1"/>
  <c r="R63" i="14"/>
  <c r="S63" i="14" s="1"/>
  <c r="R64" i="14"/>
  <c r="S64" i="14" s="1"/>
  <c r="R65" i="14"/>
  <c r="S65" i="14" s="1"/>
  <c r="R66" i="14"/>
  <c r="S66" i="14" s="1"/>
  <c r="R67" i="14"/>
  <c r="S67" i="14" s="1"/>
  <c r="R68" i="14"/>
  <c r="S68" i="14" s="1"/>
  <c r="R69" i="14"/>
  <c r="S69" i="14" s="1"/>
  <c r="R70" i="14"/>
  <c r="S70" i="14" s="1"/>
  <c r="R71" i="14"/>
  <c r="S71" i="14" s="1"/>
  <c r="R72" i="14"/>
  <c r="S72" i="14" s="1"/>
  <c r="R73" i="14"/>
  <c r="S73" i="14" s="1"/>
  <c r="R74" i="14"/>
  <c r="S74" i="14" s="1"/>
  <c r="R75" i="14"/>
  <c r="S75" i="14" s="1"/>
  <c r="R76" i="14"/>
  <c r="S76" i="14" s="1"/>
  <c r="R77" i="14"/>
  <c r="S77" i="14" s="1"/>
  <c r="R78" i="14"/>
  <c r="S78" i="14" s="1"/>
  <c r="R79" i="14"/>
  <c r="S79" i="14" s="1"/>
  <c r="R80" i="14"/>
  <c r="S80" i="14" s="1"/>
  <c r="R81" i="14"/>
  <c r="S81" i="14" s="1"/>
  <c r="G61" i="16" s="1"/>
  <c r="R82" i="14"/>
  <c r="S82" i="14" s="1"/>
  <c r="R83" i="14"/>
  <c r="S83" i="14" s="1"/>
  <c r="R84" i="14"/>
  <c r="S84" i="14" s="1"/>
  <c r="G42" i="16" s="1"/>
  <c r="R85" i="14"/>
  <c r="S85" i="14" s="1"/>
  <c r="R86" i="14"/>
  <c r="S86" i="14" s="1"/>
  <c r="R87" i="14"/>
  <c r="S87" i="14" s="1"/>
  <c r="R88" i="14"/>
  <c r="S88" i="14" s="1"/>
  <c r="G57" i="16" s="1"/>
  <c r="R89" i="14"/>
  <c r="S89" i="14" s="1"/>
  <c r="R90" i="14"/>
  <c r="S90" i="14" s="1"/>
  <c r="R91" i="14"/>
  <c r="S91" i="14" s="1"/>
  <c r="R92" i="14"/>
  <c r="S92" i="14" s="1"/>
  <c r="R93" i="14"/>
  <c r="S93" i="14" s="1"/>
  <c r="R94" i="14"/>
  <c r="S94" i="14" s="1"/>
  <c r="R95" i="14"/>
  <c r="S95" i="14" s="1"/>
  <c r="R96" i="14"/>
  <c r="S96" i="14" s="1"/>
  <c r="R97" i="14"/>
  <c r="S97" i="14" s="1"/>
  <c r="R98" i="14"/>
  <c r="S98" i="14" s="1"/>
  <c r="R99" i="14"/>
  <c r="S99" i="14" s="1"/>
  <c r="R100" i="14"/>
  <c r="S100" i="14" s="1"/>
  <c r="R101" i="14"/>
  <c r="S101" i="14" s="1"/>
  <c r="G72" i="16" s="1"/>
  <c r="R102" i="14"/>
  <c r="S102" i="14" s="1"/>
  <c r="R103" i="14"/>
  <c r="S103" i="14" s="1"/>
  <c r="R104" i="14"/>
  <c r="S104" i="14" s="1"/>
  <c r="R105" i="14"/>
  <c r="S105" i="14" s="1"/>
  <c r="R106" i="14"/>
  <c r="S106" i="14" s="1"/>
  <c r="R107" i="14"/>
  <c r="S107" i="14" s="1"/>
  <c r="R108" i="14"/>
  <c r="S108" i="14" s="1"/>
  <c r="R109" i="14"/>
  <c r="S109" i="14" s="1"/>
  <c r="R110" i="14"/>
  <c r="S110" i="14" s="1"/>
  <c r="R111" i="14"/>
  <c r="S111" i="14" s="1"/>
  <c r="R112" i="14"/>
  <c r="S112" i="14" s="1"/>
  <c r="R113" i="14"/>
  <c r="S113" i="14" s="1"/>
  <c r="R114" i="14"/>
  <c r="S114" i="14" s="1"/>
  <c r="R115" i="14"/>
  <c r="S115" i="14" s="1"/>
  <c r="R116" i="14"/>
  <c r="S116" i="14" s="1"/>
  <c r="R117" i="14"/>
  <c r="S117" i="14" s="1"/>
  <c r="R118" i="14"/>
  <c r="S118" i="14" s="1"/>
  <c r="R119" i="14"/>
  <c r="S119" i="14" s="1"/>
  <c r="R120" i="14"/>
  <c r="S120" i="14" s="1"/>
  <c r="R121" i="14"/>
  <c r="S121" i="14" s="1"/>
  <c r="R122" i="14"/>
  <c r="S122" i="14" s="1"/>
  <c r="R123" i="14"/>
  <c r="S123" i="14" s="1"/>
  <c r="R124" i="14"/>
  <c r="S124" i="14" s="1"/>
  <c r="R125" i="14"/>
  <c r="S125" i="14" s="1"/>
  <c r="R126" i="14"/>
  <c r="S126" i="14" s="1"/>
  <c r="R127" i="14"/>
  <c r="R128" i="14"/>
  <c r="S128" i="14" s="1"/>
  <c r="R129" i="14"/>
  <c r="S129" i="14" s="1"/>
  <c r="R130" i="14"/>
  <c r="S130" i="14" s="1"/>
  <c r="R131" i="14"/>
  <c r="S131" i="14" s="1"/>
  <c r="R132" i="14"/>
  <c r="S132" i="14" s="1"/>
  <c r="R133" i="14"/>
  <c r="S133" i="14" s="1"/>
  <c r="R134" i="14"/>
  <c r="S134" i="14" s="1"/>
  <c r="R135" i="14"/>
  <c r="S135" i="14" s="1"/>
  <c r="R136" i="14"/>
  <c r="S136" i="14" s="1"/>
  <c r="R137" i="14"/>
  <c r="S137" i="14" s="1"/>
  <c r="R138" i="14"/>
  <c r="S138" i="14" s="1"/>
  <c r="G62" i="16" s="1"/>
  <c r="R139" i="14"/>
  <c r="S139" i="14" s="1"/>
  <c r="R140" i="14"/>
  <c r="S140" i="14" s="1"/>
  <c r="R141" i="14"/>
  <c r="S141" i="14" s="1"/>
  <c r="F17" i="16"/>
  <c r="G27" i="16"/>
  <c r="G17" i="16"/>
  <c r="B10" i="15"/>
  <c r="Q5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3" i="14"/>
  <c r="J95" i="16"/>
  <c r="I9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5" i="16"/>
  <c r="D10" i="15"/>
  <c r="E10" i="15"/>
  <c r="F10" i="15"/>
  <c r="G10" i="15"/>
  <c r="H10" i="15"/>
  <c r="I10" i="15"/>
  <c r="J10" i="15"/>
  <c r="K10" i="15"/>
  <c r="L10" i="15"/>
  <c r="M10" i="15"/>
  <c r="N10" i="15"/>
  <c r="O10" i="15"/>
  <c r="C10" i="15"/>
  <c r="G82" i="16"/>
  <c r="B3" i="3"/>
  <c r="D14" i="3"/>
  <c r="D15" i="3"/>
  <c r="D19" i="3"/>
  <c r="B24" i="3"/>
  <c r="D24" i="3" s="1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A8" i="4"/>
  <c r="A9" i="4"/>
  <c r="A12" i="4"/>
  <c r="A16" i="4"/>
  <c r="A17" i="4"/>
  <c r="A19" i="4"/>
  <c r="A21" i="4"/>
  <c r="A23" i="4"/>
  <c r="A24" i="4"/>
  <c r="A25" i="4"/>
  <c r="A26" i="4"/>
  <c r="A28" i="4"/>
  <c r="A29" i="4"/>
  <c r="A32" i="4"/>
  <c r="A33" i="4"/>
  <c r="A36" i="4"/>
  <c r="A37" i="4"/>
  <c r="A40" i="4"/>
  <c r="A41" i="4"/>
  <c r="A44" i="4"/>
  <c r="A45" i="4"/>
  <c r="A48" i="4"/>
  <c r="A49" i="4"/>
  <c r="A52" i="4"/>
  <c r="A53" i="4"/>
  <c r="A56" i="4"/>
  <c r="A57" i="4"/>
  <c r="A60" i="4"/>
  <c r="A61" i="4"/>
  <c r="A64" i="4"/>
  <c r="A65" i="4"/>
  <c r="A68" i="4"/>
  <c r="A69" i="4"/>
  <c r="A72" i="4"/>
  <c r="A73" i="4"/>
  <c r="A77" i="4"/>
  <c r="A81" i="4"/>
  <c r="A84" i="4"/>
  <c r="A85" i="4"/>
  <c r="A89" i="4"/>
  <c r="A92" i="4"/>
  <c r="A93" i="4"/>
  <c r="A96" i="4"/>
  <c r="A97" i="4"/>
  <c r="A100" i="4"/>
  <c r="A101" i="4"/>
  <c r="A104" i="4"/>
  <c r="A105" i="4"/>
  <c r="A108" i="4"/>
  <c r="A109" i="4"/>
  <c r="A112" i="4"/>
  <c r="A113" i="4"/>
  <c r="A116" i="4"/>
  <c r="A117" i="4"/>
  <c r="A120" i="4"/>
  <c r="A121" i="4"/>
  <c r="A125" i="4"/>
  <c r="A129" i="4"/>
  <c r="A133" i="4"/>
  <c r="A136" i="4"/>
  <c r="A141" i="4"/>
  <c r="A145" i="4"/>
  <c r="A148" i="4"/>
  <c r="A149" i="4"/>
  <c r="A152" i="4"/>
  <c r="A153" i="4"/>
  <c r="A157" i="4"/>
  <c r="A160" i="4"/>
  <c r="A161" i="4"/>
  <c r="A165" i="4"/>
  <c r="A168" i="4"/>
  <c r="A169" i="4"/>
  <c r="A173" i="4"/>
  <c r="A176" i="4"/>
  <c r="A177" i="4"/>
  <c r="A181" i="4"/>
  <c r="A184" i="4"/>
  <c r="A185" i="4"/>
  <c r="A188" i="4"/>
  <c r="A189" i="4"/>
  <c r="A193" i="4"/>
  <c r="A197" i="4"/>
  <c r="A200" i="4"/>
  <c r="A201" i="4"/>
  <c r="A204" i="4"/>
  <c r="A205" i="4"/>
  <c r="A208" i="4"/>
  <c r="A209" i="4"/>
  <c r="A212" i="4"/>
  <c r="A213" i="4"/>
  <c r="A216" i="4"/>
  <c r="A217" i="4"/>
  <c r="A220" i="4"/>
  <c r="A221" i="4"/>
  <c r="A225" i="4"/>
  <c r="A228" i="4"/>
  <c r="A229" i="4"/>
  <c r="A233" i="4"/>
  <c r="A236" i="4"/>
  <c r="A237" i="4"/>
  <c r="A240" i="4"/>
  <c r="A241" i="4"/>
  <c r="A244" i="4"/>
  <c r="A245" i="4"/>
  <c r="A248" i="4"/>
  <c r="A249" i="4"/>
  <c r="A252" i="4"/>
  <c r="A253" i="4"/>
  <c r="A256" i="4"/>
  <c r="A257" i="4"/>
  <c r="A260" i="4"/>
  <c r="A261" i="4"/>
  <c r="A264" i="4"/>
  <c r="A268" i="4"/>
  <c r="A269" i="4"/>
  <c r="A272" i="4"/>
  <c r="A273" i="4"/>
  <c r="A276" i="4"/>
  <c r="A277" i="4"/>
  <c r="A280" i="4"/>
  <c r="A281" i="4"/>
  <c r="A284" i="4"/>
  <c r="A285" i="4"/>
  <c r="A288" i="4"/>
  <c r="A289" i="4"/>
  <c r="A292" i="4"/>
  <c r="A293" i="4"/>
  <c r="A296" i="4"/>
  <c r="A297" i="4"/>
  <c r="A300" i="4"/>
  <c r="A301" i="4"/>
  <c r="A304" i="4"/>
  <c r="A305" i="4"/>
  <c r="A308" i="4"/>
  <c r="A309" i="4"/>
  <c r="A312" i="4"/>
  <c r="A313" i="4"/>
  <c r="A316" i="4"/>
  <c r="A317" i="4"/>
  <c r="A320" i="4"/>
  <c r="A321" i="4"/>
  <c r="A324" i="4"/>
  <c r="A328" i="4"/>
  <c r="A329" i="4"/>
  <c r="A332" i="4"/>
  <c r="A333" i="4"/>
  <c r="A336" i="4"/>
  <c r="A337" i="4"/>
  <c r="A340" i="4"/>
  <c r="A341" i="4"/>
  <c r="A344" i="4"/>
  <c r="A345" i="4"/>
  <c r="A348" i="4"/>
  <c r="A349" i="4"/>
  <c r="A352" i="4"/>
  <c r="A353" i="4"/>
  <c r="A356" i="4"/>
  <c r="A357" i="4"/>
  <c r="A360" i="4"/>
  <c r="A361" i="4"/>
  <c r="A364" i="4"/>
  <c r="A365" i="4"/>
  <c r="A368" i="4"/>
  <c r="A369" i="4"/>
  <c r="A372" i="4"/>
  <c r="A373" i="4"/>
  <c r="A376" i="4"/>
  <c r="A377" i="4"/>
  <c r="A380" i="4"/>
  <c r="A381" i="4"/>
  <c r="A384" i="4"/>
  <c r="A385" i="4"/>
  <c r="A388" i="4"/>
  <c r="A389" i="4"/>
  <c r="A392" i="4"/>
  <c r="A393" i="4"/>
  <c r="A396" i="4"/>
  <c r="A397" i="4"/>
  <c r="A400" i="4"/>
  <c r="A401" i="4"/>
  <c r="A404" i="4"/>
  <c r="A405" i="4"/>
  <c r="A408" i="4"/>
  <c r="A409" i="4"/>
  <c r="A412" i="4"/>
  <c r="A413" i="4"/>
  <c r="A416" i="4"/>
  <c r="A417" i="4"/>
  <c r="A420" i="4"/>
  <c r="A421" i="4"/>
  <c r="A424" i="4"/>
  <c r="A425" i="4"/>
  <c r="A428" i="4"/>
  <c r="A429" i="4"/>
  <c r="A432" i="4"/>
  <c r="A433" i="4"/>
  <c r="A436" i="4"/>
  <c r="A437" i="4"/>
  <c r="A440" i="4"/>
  <c r="A441" i="4"/>
  <c r="A444" i="4"/>
  <c r="A445" i="4"/>
  <c r="A448" i="4"/>
  <c r="A449" i="4"/>
  <c r="A452" i="4"/>
  <c r="A456" i="4"/>
  <c r="A457" i="4"/>
  <c r="A460" i="4"/>
  <c r="A461" i="4"/>
  <c r="A464" i="4"/>
  <c r="A465" i="4"/>
  <c r="A468" i="4"/>
  <c r="A469" i="4"/>
  <c r="A472" i="4"/>
  <c r="A473" i="4"/>
  <c r="A476" i="4"/>
  <c r="A477" i="4"/>
  <c r="A480" i="4"/>
  <c r="A481" i="4"/>
  <c r="A484" i="4"/>
  <c r="A485" i="4"/>
  <c r="A488" i="4"/>
  <c r="A489" i="4"/>
  <c r="A492" i="4"/>
  <c r="A493" i="4"/>
  <c r="A496" i="4"/>
  <c r="A497" i="4"/>
  <c r="A500" i="4"/>
  <c r="A501" i="4"/>
  <c r="A504" i="4"/>
  <c r="A505" i="4"/>
  <c r="A508" i="4"/>
  <c r="A509" i="4"/>
  <c r="A512" i="4"/>
  <c r="A513" i="4"/>
  <c r="A516" i="4"/>
  <c r="A517" i="4"/>
  <c r="A520" i="4"/>
  <c r="A521" i="4"/>
  <c r="A524" i="4"/>
  <c r="A525" i="4"/>
  <c r="A528" i="4"/>
  <c r="A529" i="4"/>
  <c r="A532" i="4"/>
  <c r="A533" i="4"/>
  <c r="A536" i="4"/>
  <c r="A537" i="4"/>
  <c r="A540" i="4"/>
  <c r="A541" i="4"/>
  <c r="A544" i="4"/>
  <c r="A545" i="4"/>
  <c r="A548" i="4"/>
  <c r="A549" i="4"/>
  <c r="A552" i="4"/>
  <c r="A553" i="4"/>
  <c r="A556" i="4"/>
  <c r="A557" i="4"/>
  <c r="A560" i="4"/>
  <c r="A561" i="4"/>
  <c r="A564" i="4"/>
  <c r="A565" i="4"/>
  <c r="A568" i="4"/>
  <c r="A569" i="4"/>
  <c r="A572" i="4"/>
  <c r="A573" i="4"/>
  <c r="A576" i="4"/>
  <c r="A577" i="4"/>
  <c r="A580" i="4"/>
  <c r="A581" i="4"/>
  <c r="A584" i="4"/>
  <c r="A585" i="4"/>
  <c r="A588" i="4"/>
  <c r="A589" i="4"/>
  <c r="A592" i="4"/>
  <c r="A593" i="4"/>
  <c r="A596" i="4"/>
  <c r="A597" i="4"/>
  <c r="A600" i="4"/>
  <c r="A601" i="4"/>
  <c r="A604" i="4"/>
  <c r="A605" i="4"/>
  <c r="A608" i="4"/>
  <c r="A609" i="4"/>
  <c r="A612" i="4"/>
  <c r="A613" i="4"/>
  <c r="A616" i="4"/>
  <c r="A617" i="4"/>
  <c r="A620" i="4"/>
  <c r="A621" i="4"/>
  <c r="A624" i="4"/>
  <c r="A625" i="4"/>
  <c r="A628" i="4"/>
  <c r="A629" i="4"/>
  <c r="A632" i="4"/>
  <c r="A633" i="4"/>
  <c r="A636" i="4"/>
  <c r="A637" i="4"/>
  <c r="A640" i="4"/>
  <c r="A641" i="4"/>
  <c r="A644" i="4"/>
  <c r="A645" i="4"/>
  <c r="A648" i="4"/>
  <c r="A649" i="4"/>
  <c r="A652" i="4"/>
  <c r="A653" i="4"/>
  <c r="A656" i="4"/>
  <c r="A657" i="4"/>
  <c r="A660" i="4"/>
  <c r="A661" i="4"/>
  <c r="A664" i="4"/>
  <c r="A665" i="4"/>
  <c r="A668" i="4"/>
  <c r="A669" i="4"/>
  <c r="A672" i="4"/>
  <c r="A673" i="4"/>
  <c r="A676" i="4"/>
  <c r="A677" i="4"/>
  <c r="A680" i="4"/>
  <c r="A681" i="4"/>
  <c r="A684" i="4"/>
  <c r="A685" i="4"/>
  <c r="A688" i="4"/>
  <c r="A689" i="4"/>
  <c r="A692" i="4"/>
  <c r="A693" i="4"/>
  <c r="A696" i="4"/>
  <c r="A697" i="4"/>
  <c r="A700" i="4"/>
  <c r="A701" i="4"/>
  <c r="A704" i="4"/>
  <c r="A705" i="4"/>
  <c r="A708" i="4"/>
  <c r="A709" i="4"/>
  <c r="A712" i="4"/>
  <c r="A713" i="4"/>
  <c r="A716" i="4"/>
  <c r="A717" i="4"/>
  <c r="A720" i="4"/>
  <c r="A721" i="4"/>
  <c r="A724" i="4"/>
  <c r="A725" i="4"/>
  <c r="A728" i="4"/>
  <c r="A729" i="4"/>
  <c r="A732" i="4"/>
  <c r="A733" i="4"/>
  <c r="A736" i="4"/>
  <c r="A737" i="4"/>
  <c r="A740" i="4"/>
  <c r="A741" i="4"/>
  <c r="A744" i="4"/>
  <c r="A745" i="4"/>
  <c r="A748" i="4"/>
  <c r="A749" i="4"/>
  <c r="A752" i="4"/>
  <c r="A753" i="4"/>
  <c r="A756" i="4"/>
  <c r="A757" i="4"/>
  <c r="A760" i="4"/>
  <c r="A761" i="4"/>
  <c r="A764" i="4"/>
  <c r="A765" i="4"/>
  <c r="A768" i="4"/>
  <c r="A769" i="4"/>
  <c r="A772" i="4"/>
  <c r="A773" i="4"/>
  <c r="A776" i="4"/>
  <c r="A777" i="4"/>
  <c r="A780" i="4"/>
  <c r="A781" i="4"/>
  <c r="A784" i="4"/>
  <c r="A785" i="4"/>
  <c r="A788" i="4"/>
  <c r="A789" i="4"/>
  <c r="A792" i="4"/>
  <c r="A793" i="4"/>
  <c r="A796" i="4"/>
  <c r="A797" i="4"/>
  <c r="A800" i="4"/>
  <c r="A801" i="4"/>
  <c r="A804" i="4"/>
  <c r="A805" i="4"/>
  <c r="A808" i="4"/>
  <c r="A809" i="4"/>
  <c r="A812" i="4"/>
  <c r="A813" i="4"/>
  <c r="A816" i="4"/>
  <c r="A817" i="4"/>
  <c r="A820" i="4"/>
  <c r="A821" i="4"/>
  <c r="A824" i="4"/>
  <c r="A825" i="4"/>
  <c r="A828" i="4"/>
  <c r="A829" i="4"/>
  <c r="A832" i="4"/>
  <c r="A833" i="4"/>
  <c r="A836" i="4"/>
  <c r="A837" i="4"/>
  <c r="A840" i="4"/>
  <c r="A841" i="4"/>
  <c r="A844" i="4"/>
  <c r="A845" i="4"/>
  <c r="A848" i="4"/>
  <c r="A849" i="4"/>
  <c r="A852" i="4"/>
  <c r="A853" i="4"/>
  <c r="A856" i="4"/>
  <c r="A857" i="4"/>
  <c r="A860" i="4"/>
  <c r="A861" i="4"/>
  <c r="A864" i="4"/>
  <c r="A865" i="4"/>
  <c r="A868" i="4"/>
  <c r="A869" i="4"/>
  <c r="A872" i="4"/>
  <c r="A873" i="4"/>
  <c r="A876" i="4"/>
  <c r="A877" i="4"/>
  <c r="A880" i="4"/>
  <c r="A881" i="4"/>
  <c r="A884" i="4"/>
  <c r="A885" i="4"/>
  <c r="A888" i="4"/>
  <c r="A889" i="4"/>
  <c r="A892" i="4"/>
  <c r="A893" i="4"/>
  <c r="A896" i="4"/>
  <c r="A897" i="4"/>
  <c r="A900" i="4"/>
  <c r="A901" i="4"/>
  <c r="A904" i="4"/>
  <c r="A905" i="4"/>
  <c r="A908" i="4"/>
  <c r="A909" i="4"/>
  <c r="A912" i="4"/>
  <c r="A913" i="4"/>
  <c r="A916" i="4"/>
  <c r="A917" i="4"/>
  <c r="A920" i="4"/>
  <c r="A921" i="4"/>
  <c r="A924" i="4"/>
  <c r="A928" i="4"/>
  <c r="A929" i="4"/>
  <c r="A932" i="4"/>
  <c r="A933" i="4"/>
  <c r="A936" i="4"/>
  <c r="A937" i="4"/>
  <c r="A940" i="4"/>
  <c r="A941" i="4"/>
  <c r="A944" i="4"/>
  <c r="A945" i="4"/>
  <c r="A948" i="4"/>
  <c r="A949" i="4"/>
  <c r="A952" i="4"/>
  <c r="A953" i="4"/>
  <c r="A956" i="4"/>
  <c r="A957" i="4"/>
  <c r="A960" i="4"/>
  <c r="A961" i="4"/>
  <c r="A964" i="4"/>
  <c r="A965" i="4"/>
  <c r="A968" i="4"/>
  <c r="A969" i="4"/>
  <c r="A972" i="4"/>
  <c r="A973" i="4"/>
  <c r="A976" i="4"/>
  <c r="A977" i="4"/>
  <c r="A980" i="4"/>
  <c r="A981" i="4"/>
  <c r="A984" i="4"/>
  <c r="A985" i="4"/>
  <c r="A988" i="4"/>
  <c r="A989" i="4"/>
  <c r="A992" i="4"/>
  <c r="A993" i="4"/>
  <c r="A996" i="4"/>
  <c r="A997" i="4"/>
  <c r="A1000" i="4"/>
  <c r="A1001" i="4"/>
  <c r="A3" i="4"/>
  <c r="C3" i="4" s="1"/>
  <c r="D16" i="3"/>
  <c r="D22" i="3"/>
  <c r="D6" i="3"/>
  <c r="D21" i="3"/>
  <c r="D11" i="3"/>
  <c r="D18" i="3"/>
  <c r="D9" i="3"/>
  <c r="D23" i="3"/>
  <c r="D7" i="3"/>
  <c r="D20" i="3"/>
  <c r="D12" i="3"/>
  <c r="L1" i="1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A87" i="4"/>
  <c r="A99" i="4"/>
  <c r="A102" i="4"/>
  <c r="A122" i="4"/>
  <c r="A123" i="4"/>
  <c r="A126" i="4"/>
  <c r="A159" i="4"/>
  <c r="A18" i="4"/>
  <c r="A27" i="4"/>
  <c r="A35" i="4"/>
  <c r="A42" i="4"/>
  <c r="A54" i="4"/>
  <c r="A58" i="4"/>
  <c r="A59" i="4"/>
  <c r="A70" i="4"/>
  <c r="A71" i="4"/>
  <c r="A75" i="4"/>
  <c r="A79" i="4"/>
  <c r="A82" i="4"/>
  <c r="A83" i="4"/>
  <c r="A106" i="4"/>
  <c r="A131" i="4"/>
  <c r="A132" i="4"/>
  <c r="A139" i="4"/>
  <c r="A142" i="4"/>
  <c r="A143" i="4"/>
  <c r="A147" i="4"/>
  <c r="A151" i="4"/>
  <c r="A154" i="4"/>
  <c r="A166" i="4"/>
  <c r="A167" i="4"/>
  <c r="A170" i="4"/>
  <c r="A171" i="4"/>
  <c r="A175" i="4"/>
  <c r="A178" i="4"/>
  <c r="A180" i="4"/>
  <c r="A182" i="4"/>
  <c r="A186" i="4"/>
  <c r="A190" i="4"/>
  <c r="A194" i="4"/>
  <c r="A195" i="4"/>
  <c r="A198" i="4"/>
  <c r="A202" i="4"/>
  <c r="A203" i="4"/>
  <c r="A206" i="4"/>
  <c r="A207" i="4"/>
  <c r="A210" i="4"/>
  <c r="A214" i="4"/>
  <c r="A215" i="4"/>
  <c r="A218" i="4"/>
  <c r="A219" i="4"/>
  <c r="A222" i="4"/>
  <c r="A223" i="4"/>
  <c r="A224" i="4"/>
  <c r="A226" i="4"/>
  <c r="A227" i="4"/>
  <c r="A230" i="4"/>
  <c r="A231" i="4"/>
  <c r="A234" i="4"/>
  <c r="A238" i="4"/>
  <c r="A239" i="4"/>
  <c r="A242" i="4"/>
  <c r="A243" i="4"/>
  <c r="A246" i="4"/>
  <c r="A247" i="4"/>
  <c r="A250" i="4"/>
  <c r="A251" i="4"/>
  <c r="A254" i="4"/>
  <c r="A255" i="4"/>
  <c r="A258" i="4"/>
  <c r="A259" i="4"/>
  <c r="A262" i="4"/>
  <c r="A263" i="4"/>
  <c r="A266" i="4"/>
  <c r="A267" i="4"/>
  <c r="A270" i="4"/>
  <c r="A271" i="4"/>
  <c r="A274" i="4"/>
  <c r="A278" i="4"/>
  <c r="A279" i="4"/>
  <c r="A282" i="4"/>
  <c r="A283" i="4"/>
  <c r="A286" i="4"/>
  <c r="A287" i="4"/>
  <c r="A290" i="4"/>
  <c r="A291" i="4"/>
  <c r="A294" i="4"/>
  <c r="A295" i="4"/>
  <c r="A298" i="4"/>
  <c r="A299" i="4"/>
  <c r="A302" i="4"/>
  <c r="A303" i="4"/>
  <c r="A306" i="4"/>
  <c r="A307" i="4"/>
  <c r="A310" i="4"/>
  <c r="A311" i="4"/>
  <c r="A314" i="4"/>
  <c r="A315" i="4"/>
  <c r="A318" i="4"/>
  <c r="A319" i="4"/>
  <c r="A322" i="4"/>
  <c r="A323" i="4"/>
  <c r="A325" i="4"/>
  <c r="A326" i="4"/>
  <c r="A327" i="4"/>
  <c r="A330" i="4"/>
  <c r="A331" i="4"/>
  <c r="A334" i="4"/>
  <c r="A335" i="4"/>
  <c r="A338" i="4"/>
  <c r="A339" i="4"/>
  <c r="A342" i="4"/>
  <c r="A343" i="4"/>
  <c r="A346" i="4"/>
  <c r="A347" i="4"/>
  <c r="A350" i="4"/>
  <c r="A351" i="4"/>
  <c r="A354" i="4"/>
  <c r="A355" i="4"/>
  <c r="A358" i="4"/>
  <c r="A359" i="4"/>
  <c r="A362" i="4"/>
  <c r="A363" i="4"/>
  <c r="A366" i="4"/>
  <c r="A367" i="4"/>
  <c r="A370" i="4"/>
  <c r="A371" i="4"/>
  <c r="A374" i="4"/>
  <c r="A375" i="4"/>
  <c r="A378" i="4"/>
  <c r="A379" i="4"/>
  <c r="A382" i="4"/>
  <c r="A383" i="4"/>
  <c r="A386" i="4"/>
  <c r="A387" i="4"/>
  <c r="A390" i="4"/>
  <c r="A391" i="4"/>
  <c r="A394" i="4"/>
  <c r="A395" i="4"/>
  <c r="A398" i="4"/>
  <c r="A399" i="4"/>
  <c r="A402" i="4"/>
  <c r="A403" i="4"/>
  <c r="A406" i="4"/>
  <c r="A407" i="4"/>
  <c r="A410" i="4"/>
  <c r="A411" i="4"/>
  <c r="A414" i="4"/>
  <c r="A415" i="4"/>
  <c r="A418" i="4"/>
  <c r="A419" i="4"/>
  <c r="A422" i="4"/>
  <c r="A423" i="4"/>
  <c r="A426" i="4"/>
  <c r="A427" i="4"/>
  <c r="A430" i="4"/>
  <c r="A431" i="4"/>
  <c r="A434" i="4"/>
  <c r="A435" i="4"/>
  <c r="A438" i="4"/>
  <c r="A439" i="4"/>
  <c r="A442" i="4"/>
  <c r="A443" i="4"/>
  <c r="A446" i="4"/>
  <c r="A447" i="4"/>
  <c r="A450" i="4"/>
  <c r="A451" i="4"/>
  <c r="A453" i="4"/>
  <c r="A454" i="4"/>
  <c r="A455" i="4"/>
  <c r="A458" i="4"/>
  <c r="A459" i="4"/>
  <c r="A462" i="4"/>
  <c r="A463" i="4"/>
  <c r="A466" i="4"/>
  <c r="A467" i="4"/>
  <c r="A470" i="4"/>
  <c r="A471" i="4"/>
  <c r="A474" i="4"/>
  <c r="A475" i="4"/>
  <c r="A478" i="4"/>
  <c r="A479" i="4"/>
  <c r="A482" i="4"/>
  <c r="A483" i="4"/>
  <c r="A486" i="4"/>
  <c r="A487" i="4"/>
  <c r="A490" i="4"/>
  <c r="A491" i="4"/>
  <c r="A494" i="4"/>
  <c r="A495" i="4"/>
  <c r="A498" i="4"/>
  <c r="A499" i="4"/>
  <c r="A502" i="4"/>
  <c r="A503" i="4"/>
  <c r="A506" i="4"/>
  <c r="A507" i="4"/>
  <c r="A510" i="4"/>
  <c r="A511" i="4"/>
  <c r="A514" i="4"/>
  <c r="A515" i="4"/>
  <c r="A518" i="4"/>
  <c r="A519" i="4"/>
  <c r="A522" i="4"/>
  <c r="A523" i="4"/>
  <c r="A526" i="4"/>
  <c r="A527" i="4"/>
  <c r="A530" i="4"/>
  <c r="A531" i="4"/>
  <c r="A534" i="4"/>
  <c r="A535" i="4"/>
  <c r="A538" i="4"/>
  <c r="A539" i="4"/>
  <c r="A542" i="4"/>
  <c r="A543" i="4"/>
  <c r="A546" i="4"/>
  <c r="A547" i="4"/>
  <c r="A550" i="4"/>
  <c r="A551" i="4"/>
  <c r="A554" i="4"/>
  <c r="A555" i="4"/>
  <c r="A558" i="4"/>
  <c r="A559" i="4"/>
  <c r="A562" i="4"/>
  <c r="A563" i="4"/>
  <c r="A566" i="4"/>
  <c r="A567" i="4"/>
  <c r="A570" i="4"/>
  <c r="A571" i="4"/>
  <c r="A574" i="4"/>
  <c r="A575" i="4"/>
  <c r="A578" i="4"/>
  <c r="A579" i="4"/>
  <c r="A582" i="4"/>
  <c r="A583" i="4"/>
  <c r="A586" i="4"/>
  <c r="A587" i="4"/>
  <c r="A590" i="4"/>
  <c r="A591" i="4"/>
  <c r="A594" i="4"/>
  <c r="A595" i="4"/>
  <c r="A598" i="4"/>
  <c r="A599" i="4"/>
  <c r="A602" i="4"/>
  <c r="A603" i="4"/>
  <c r="A606" i="4"/>
  <c r="A607" i="4"/>
  <c r="A610" i="4"/>
  <c r="A611" i="4"/>
  <c r="A614" i="4"/>
  <c r="A615" i="4"/>
  <c r="A618" i="4"/>
  <c r="A619" i="4"/>
  <c r="A622" i="4"/>
  <c r="A623" i="4"/>
  <c r="A626" i="4"/>
  <c r="A627" i="4"/>
  <c r="A630" i="4"/>
  <c r="A631" i="4"/>
  <c r="A634" i="4"/>
  <c r="A635" i="4"/>
  <c r="A638" i="4"/>
  <c r="A639" i="4"/>
  <c r="A642" i="4"/>
  <c r="A643" i="4"/>
  <c r="A646" i="4"/>
  <c r="A647" i="4"/>
  <c r="A650" i="4"/>
  <c r="A651" i="4"/>
  <c r="A654" i="4"/>
  <c r="A655" i="4"/>
  <c r="A658" i="4"/>
  <c r="A659" i="4"/>
  <c r="A662" i="4"/>
  <c r="A663" i="4"/>
  <c r="A666" i="4"/>
  <c r="A667" i="4"/>
  <c r="A670" i="4"/>
  <c r="A671" i="4"/>
  <c r="A674" i="4"/>
  <c r="A675" i="4"/>
  <c r="A678" i="4"/>
  <c r="A679" i="4"/>
  <c r="A682" i="4"/>
  <c r="A683" i="4"/>
  <c r="A686" i="4"/>
  <c r="A687" i="4"/>
  <c r="A690" i="4"/>
  <c r="A691" i="4"/>
  <c r="A694" i="4"/>
  <c r="A695" i="4"/>
  <c r="A698" i="4"/>
  <c r="A699" i="4"/>
  <c r="A702" i="4"/>
  <c r="A703" i="4"/>
  <c r="A706" i="4"/>
  <c r="A707" i="4"/>
  <c r="A710" i="4"/>
  <c r="A711" i="4"/>
  <c r="A714" i="4"/>
  <c r="A715" i="4"/>
  <c r="A718" i="4"/>
  <c r="A719" i="4"/>
  <c r="A722" i="4"/>
  <c r="A723" i="4"/>
  <c r="A726" i="4"/>
  <c r="A727" i="4"/>
  <c r="A730" i="4"/>
  <c r="A731" i="4"/>
  <c r="A734" i="4"/>
  <c r="A735" i="4"/>
  <c r="A738" i="4"/>
  <c r="A739" i="4"/>
  <c r="A742" i="4"/>
  <c r="A743" i="4"/>
  <c r="A746" i="4"/>
  <c r="A747" i="4"/>
  <c r="A750" i="4"/>
  <c r="A751" i="4"/>
  <c r="A754" i="4"/>
  <c r="A755" i="4"/>
  <c r="A758" i="4"/>
  <c r="A759" i="4"/>
  <c r="A762" i="4"/>
  <c r="A763" i="4"/>
  <c r="A766" i="4"/>
  <c r="A767" i="4"/>
  <c r="A770" i="4"/>
  <c r="A771" i="4"/>
  <c r="A774" i="4"/>
  <c r="A775" i="4"/>
  <c r="A778" i="4"/>
  <c r="A779" i="4"/>
  <c r="A782" i="4"/>
  <c r="A783" i="4"/>
  <c r="A786" i="4"/>
  <c r="A787" i="4"/>
  <c r="A790" i="4"/>
  <c r="A791" i="4"/>
  <c r="A794" i="4"/>
  <c r="A795" i="4"/>
  <c r="A798" i="4"/>
  <c r="A799" i="4"/>
  <c r="A802" i="4"/>
  <c r="A803" i="4"/>
  <c r="A806" i="4"/>
  <c r="A807" i="4"/>
  <c r="A810" i="4"/>
  <c r="A811" i="4"/>
  <c r="A814" i="4"/>
  <c r="A815" i="4"/>
  <c r="A818" i="4"/>
  <c r="A819" i="4"/>
  <c r="A822" i="4"/>
  <c r="A823" i="4"/>
  <c r="A826" i="4"/>
  <c r="A827" i="4"/>
  <c r="A830" i="4"/>
  <c r="A831" i="4"/>
  <c r="A834" i="4"/>
  <c r="A835" i="4"/>
  <c r="A838" i="4"/>
  <c r="A839" i="4"/>
  <c r="A842" i="4"/>
  <c r="A843" i="4"/>
  <c r="A846" i="4"/>
  <c r="A847" i="4"/>
  <c r="A850" i="4"/>
  <c r="A851" i="4"/>
  <c r="A854" i="4"/>
  <c r="A855" i="4"/>
  <c r="A858" i="4"/>
  <c r="A859" i="4"/>
  <c r="A862" i="4"/>
  <c r="A863" i="4"/>
  <c r="A866" i="4"/>
  <c r="A867" i="4"/>
  <c r="A870" i="4"/>
  <c r="A871" i="4"/>
  <c r="A874" i="4"/>
  <c r="A875" i="4"/>
  <c r="A878" i="4"/>
  <c r="A879" i="4"/>
  <c r="A882" i="4"/>
  <c r="A883" i="4"/>
  <c r="A886" i="4"/>
  <c r="A887" i="4"/>
  <c r="A890" i="4"/>
  <c r="A891" i="4"/>
  <c r="A894" i="4"/>
  <c r="A895" i="4"/>
  <c r="A898" i="4"/>
  <c r="A899" i="4"/>
  <c r="A902" i="4"/>
  <c r="A903" i="4"/>
  <c r="A906" i="4"/>
  <c r="A907" i="4"/>
  <c r="A910" i="4"/>
  <c r="A911" i="4"/>
  <c r="A914" i="4"/>
  <c r="A915" i="4"/>
  <c r="A918" i="4"/>
  <c r="A919" i="4"/>
  <c r="A922" i="4"/>
  <c r="A923" i="4"/>
  <c r="A925" i="4"/>
  <c r="A926" i="4"/>
  <c r="A927" i="4"/>
  <c r="A930" i="4"/>
  <c r="A931" i="4"/>
  <c r="A934" i="4"/>
  <c r="A935" i="4"/>
  <c r="A938" i="4"/>
  <c r="A939" i="4"/>
  <c r="A942" i="4"/>
  <c r="A943" i="4"/>
  <c r="A946" i="4"/>
  <c r="A947" i="4"/>
  <c r="A950" i="4"/>
  <c r="A951" i="4"/>
  <c r="A954" i="4"/>
  <c r="A955" i="4"/>
  <c r="A958" i="4"/>
  <c r="A959" i="4"/>
  <c r="A962" i="4"/>
  <c r="A963" i="4"/>
  <c r="A966" i="4"/>
  <c r="A967" i="4"/>
  <c r="A970" i="4"/>
  <c r="A971" i="4"/>
  <c r="A974" i="4"/>
  <c r="A975" i="4"/>
  <c r="A978" i="4"/>
  <c r="A979" i="4"/>
  <c r="A982" i="4"/>
  <c r="A983" i="4"/>
  <c r="A986" i="4"/>
  <c r="A987" i="4"/>
  <c r="A990" i="4"/>
  <c r="A991" i="4"/>
  <c r="A994" i="4"/>
  <c r="A995" i="4"/>
  <c r="A998" i="4"/>
  <c r="A999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L1" i="12"/>
  <c r="G11" i="5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5659" i="4"/>
  <c r="A5660" i="4"/>
  <c r="A5661" i="4"/>
  <c r="A5662" i="4"/>
  <c r="A5663" i="4"/>
  <c r="A5664" i="4"/>
  <c r="A5665" i="4"/>
  <c r="A5666" i="4"/>
  <c r="A5667" i="4"/>
  <c r="A5668" i="4"/>
  <c r="A5669" i="4"/>
  <c r="A5670" i="4"/>
  <c r="A5671" i="4"/>
  <c r="A5672" i="4"/>
  <c r="A5673" i="4"/>
  <c r="A5674" i="4"/>
  <c r="A5675" i="4"/>
  <c r="A5676" i="4"/>
  <c r="A5677" i="4"/>
  <c r="A5678" i="4"/>
  <c r="A5679" i="4"/>
  <c r="A5680" i="4"/>
  <c r="A5681" i="4"/>
  <c r="A5682" i="4"/>
  <c r="A5683" i="4"/>
  <c r="A5684" i="4"/>
  <c r="A5685" i="4"/>
  <c r="A5686" i="4"/>
  <c r="A5687" i="4"/>
  <c r="A5688" i="4"/>
  <c r="A5689" i="4"/>
  <c r="A5690" i="4"/>
  <c r="A5691" i="4"/>
  <c r="A5692" i="4"/>
  <c r="A5693" i="4"/>
  <c r="A5694" i="4"/>
  <c r="A5695" i="4"/>
  <c r="A5696" i="4"/>
  <c r="A5697" i="4"/>
  <c r="A5698" i="4"/>
  <c r="A5699" i="4"/>
  <c r="A5700" i="4"/>
  <c r="A5701" i="4"/>
  <c r="A5702" i="4"/>
  <c r="A5703" i="4"/>
  <c r="A5704" i="4"/>
  <c r="A5705" i="4"/>
  <c r="A5706" i="4"/>
  <c r="A5707" i="4"/>
  <c r="A5708" i="4"/>
  <c r="A5709" i="4"/>
  <c r="A5710" i="4"/>
  <c r="A5711" i="4"/>
  <c r="A5712" i="4"/>
  <c r="A5713" i="4"/>
  <c r="A5714" i="4"/>
  <c r="A5715" i="4"/>
  <c r="A5716" i="4"/>
  <c r="A5717" i="4"/>
  <c r="A5718" i="4"/>
  <c r="A5719" i="4"/>
  <c r="A5720" i="4"/>
  <c r="A5721" i="4"/>
  <c r="A5722" i="4"/>
  <c r="A5723" i="4"/>
  <c r="A5724" i="4"/>
  <c r="A5725" i="4"/>
  <c r="A5726" i="4"/>
  <c r="A5727" i="4"/>
  <c r="A5728" i="4"/>
  <c r="A5729" i="4"/>
  <c r="A5730" i="4"/>
  <c r="A5731" i="4"/>
  <c r="A5732" i="4"/>
  <c r="A5733" i="4"/>
  <c r="A5734" i="4"/>
  <c r="A5735" i="4"/>
  <c r="A5736" i="4"/>
  <c r="A5737" i="4"/>
  <c r="A5738" i="4"/>
  <c r="A5739" i="4"/>
  <c r="A5740" i="4"/>
  <c r="A5741" i="4"/>
  <c r="A5742" i="4"/>
  <c r="A5743" i="4"/>
  <c r="A5744" i="4"/>
  <c r="A5745" i="4"/>
  <c r="A5746" i="4"/>
  <c r="A5747" i="4"/>
  <c r="A5748" i="4"/>
  <c r="A5749" i="4"/>
  <c r="A5750" i="4"/>
  <c r="A5751" i="4"/>
  <c r="A5752" i="4"/>
  <c r="A5753" i="4"/>
  <c r="A5754" i="4"/>
  <c r="A5755" i="4"/>
  <c r="A5756" i="4"/>
  <c r="A5757" i="4"/>
  <c r="A5758" i="4"/>
  <c r="A5759" i="4"/>
  <c r="A5760" i="4"/>
  <c r="A5761" i="4"/>
  <c r="A5762" i="4"/>
  <c r="A5763" i="4"/>
  <c r="A5764" i="4"/>
  <c r="A5765" i="4"/>
  <c r="A5766" i="4"/>
  <c r="A5767" i="4"/>
  <c r="A5768" i="4"/>
  <c r="A5769" i="4"/>
  <c r="A5770" i="4"/>
  <c r="A5771" i="4"/>
  <c r="A5772" i="4"/>
  <c r="A5773" i="4"/>
  <c r="A5774" i="4"/>
  <c r="A5775" i="4"/>
  <c r="A5776" i="4"/>
  <c r="A5777" i="4"/>
  <c r="A5778" i="4"/>
  <c r="A5779" i="4"/>
  <c r="A5780" i="4"/>
  <c r="A5781" i="4"/>
  <c r="A5782" i="4"/>
  <c r="A5783" i="4"/>
  <c r="A5784" i="4"/>
  <c r="A5785" i="4"/>
  <c r="A5786" i="4"/>
  <c r="A5787" i="4"/>
  <c r="A5788" i="4"/>
  <c r="A5789" i="4"/>
  <c r="A5790" i="4"/>
  <c r="A5791" i="4"/>
  <c r="A5792" i="4"/>
  <c r="A5793" i="4"/>
  <c r="A5794" i="4"/>
  <c r="A5795" i="4"/>
  <c r="A5796" i="4"/>
  <c r="A5797" i="4"/>
  <c r="A5798" i="4"/>
  <c r="A5799" i="4"/>
  <c r="A5800" i="4"/>
  <c r="A5801" i="4"/>
  <c r="A5802" i="4"/>
  <c r="A5803" i="4"/>
  <c r="A5804" i="4"/>
  <c r="A5805" i="4"/>
  <c r="A5806" i="4"/>
  <c r="A5807" i="4"/>
  <c r="A5808" i="4"/>
  <c r="A5809" i="4"/>
  <c r="A5810" i="4"/>
  <c r="A5811" i="4"/>
  <c r="A5812" i="4"/>
  <c r="A5813" i="4"/>
  <c r="A5814" i="4"/>
  <c r="A5815" i="4"/>
  <c r="A5816" i="4"/>
  <c r="A5817" i="4"/>
  <c r="A5818" i="4"/>
  <c r="A5819" i="4"/>
  <c r="A5820" i="4"/>
  <c r="A5821" i="4"/>
  <c r="A5822" i="4"/>
  <c r="A5823" i="4"/>
  <c r="A5824" i="4"/>
  <c r="A5825" i="4"/>
  <c r="A5826" i="4"/>
  <c r="A5827" i="4"/>
  <c r="A5828" i="4"/>
  <c r="A5829" i="4"/>
  <c r="A5830" i="4"/>
  <c r="A5831" i="4"/>
  <c r="A5832" i="4"/>
  <c r="A5833" i="4"/>
  <c r="A5834" i="4"/>
  <c r="A5835" i="4"/>
  <c r="A5836" i="4"/>
  <c r="A5837" i="4"/>
  <c r="A5838" i="4"/>
  <c r="A5839" i="4"/>
  <c r="A5840" i="4"/>
  <c r="A5841" i="4"/>
  <c r="A5842" i="4"/>
  <c r="A5843" i="4"/>
  <c r="A5844" i="4"/>
  <c r="A5845" i="4"/>
  <c r="A5846" i="4"/>
  <c r="A5847" i="4"/>
  <c r="A5848" i="4"/>
  <c r="A5849" i="4"/>
  <c r="A5850" i="4"/>
  <c r="A5851" i="4"/>
  <c r="A5852" i="4"/>
  <c r="A5853" i="4"/>
  <c r="A5854" i="4"/>
  <c r="A5855" i="4"/>
  <c r="A5856" i="4"/>
  <c r="A5857" i="4"/>
  <c r="A5858" i="4"/>
  <c r="A5859" i="4"/>
  <c r="A5860" i="4"/>
  <c r="A5861" i="4"/>
  <c r="A5862" i="4"/>
  <c r="A5863" i="4"/>
  <c r="A5864" i="4"/>
  <c r="A5865" i="4"/>
  <c r="A5866" i="4"/>
  <c r="A5867" i="4"/>
  <c r="A5868" i="4"/>
  <c r="A5869" i="4"/>
  <c r="A5870" i="4"/>
  <c r="A5871" i="4"/>
  <c r="A5872" i="4"/>
  <c r="A5873" i="4"/>
  <c r="A5874" i="4"/>
  <c r="A5875" i="4"/>
  <c r="A5876" i="4"/>
  <c r="A5877" i="4"/>
  <c r="A5878" i="4"/>
  <c r="A5879" i="4"/>
  <c r="A5880" i="4"/>
  <c r="A5881" i="4"/>
  <c r="A5882" i="4"/>
  <c r="A5883" i="4"/>
  <c r="A5884" i="4"/>
  <c r="A5885" i="4"/>
  <c r="A5886" i="4"/>
  <c r="A5887" i="4"/>
  <c r="A5888" i="4"/>
  <c r="A5889" i="4"/>
  <c r="A5890" i="4"/>
  <c r="A5891" i="4"/>
  <c r="A5892" i="4"/>
  <c r="A5893" i="4"/>
  <c r="A5894" i="4"/>
  <c r="A5895" i="4"/>
  <c r="A5896" i="4"/>
  <c r="A5897" i="4"/>
  <c r="A5898" i="4"/>
  <c r="A5899" i="4"/>
  <c r="A5900" i="4"/>
  <c r="A5901" i="4"/>
  <c r="A5902" i="4"/>
  <c r="A5903" i="4"/>
  <c r="A5904" i="4"/>
  <c r="A5905" i="4"/>
  <c r="A5906" i="4"/>
  <c r="A5907" i="4"/>
  <c r="A5908" i="4"/>
  <c r="A5909" i="4"/>
  <c r="A5910" i="4"/>
  <c r="A5911" i="4"/>
  <c r="A5912" i="4"/>
  <c r="A5913" i="4"/>
  <c r="A5914" i="4"/>
  <c r="A5915" i="4"/>
  <c r="A5916" i="4"/>
  <c r="A5917" i="4"/>
  <c r="A5918" i="4"/>
  <c r="A5919" i="4"/>
  <c r="A5920" i="4"/>
  <c r="A5921" i="4"/>
  <c r="A5922" i="4"/>
  <c r="A5923" i="4"/>
  <c r="A5924" i="4"/>
  <c r="A5925" i="4"/>
  <c r="A5926" i="4"/>
  <c r="A5927" i="4"/>
  <c r="A5928" i="4"/>
  <c r="A5929" i="4"/>
  <c r="A5930" i="4"/>
  <c r="A5931" i="4"/>
  <c r="A5932" i="4"/>
  <c r="A5933" i="4"/>
  <c r="A5934" i="4"/>
  <c r="A5935" i="4"/>
  <c r="A5936" i="4"/>
  <c r="A5937" i="4"/>
  <c r="A5938" i="4"/>
  <c r="A5939" i="4"/>
  <c r="A5940" i="4"/>
  <c r="A5941" i="4"/>
  <c r="A5942" i="4"/>
  <c r="A5943" i="4"/>
  <c r="A5944" i="4"/>
  <c r="A5945" i="4"/>
  <c r="A5946" i="4"/>
  <c r="A5947" i="4"/>
  <c r="A5948" i="4"/>
  <c r="A5949" i="4"/>
  <c r="A5950" i="4"/>
  <c r="A5951" i="4"/>
  <c r="A5952" i="4"/>
  <c r="A5953" i="4"/>
  <c r="A5954" i="4"/>
  <c r="A5955" i="4"/>
  <c r="A5956" i="4"/>
  <c r="A5957" i="4"/>
  <c r="A5958" i="4"/>
  <c r="A5959" i="4"/>
  <c r="A5960" i="4"/>
  <c r="A5961" i="4"/>
  <c r="A5962" i="4"/>
  <c r="A5963" i="4"/>
  <c r="A5964" i="4"/>
  <c r="A5965" i="4"/>
  <c r="A5966" i="4"/>
  <c r="A5967" i="4"/>
  <c r="A5968" i="4"/>
  <c r="A5969" i="4"/>
  <c r="A5970" i="4"/>
  <c r="A5971" i="4"/>
  <c r="A5972" i="4"/>
  <c r="A5973" i="4"/>
  <c r="A5974" i="4"/>
  <c r="A5975" i="4"/>
  <c r="A5976" i="4"/>
  <c r="A5977" i="4"/>
  <c r="A5978" i="4"/>
  <c r="A5979" i="4"/>
  <c r="A5980" i="4"/>
  <c r="A5981" i="4"/>
  <c r="A5982" i="4"/>
  <c r="A5983" i="4"/>
  <c r="A5984" i="4"/>
  <c r="A5985" i="4"/>
  <c r="A5986" i="4"/>
  <c r="A5987" i="4"/>
  <c r="A5988" i="4"/>
  <c r="A5989" i="4"/>
  <c r="A5990" i="4"/>
  <c r="A5991" i="4"/>
  <c r="A5992" i="4"/>
  <c r="A5993" i="4"/>
  <c r="A5994" i="4"/>
  <c r="A5995" i="4"/>
  <c r="A5996" i="4"/>
  <c r="A5997" i="4"/>
  <c r="A5998" i="4"/>
  <c r="A5999" i="4"/>
  <c r="A6000" i="4"/>
  <c r="A6001" i="4"/>
  <c r="A6002" i="4"/>
  <c r="A6003" i="4"/>
  <c r="A6004" i="4"/>
  <c r="A6005" i="4"/>
  <c r="A6006" i="4"/>
  <c r="A6007" i="4"/>
  <c r="A6008" i="4"/>
  <c r="A6009" i="4"/>
  <c r="A6010" i="4"/>
  <c r="A6011" i="4"/>
  <c r="A6012" i="4"/>
  <c r="A6013" i="4"/>
  <c r="A6014" i="4"/>
  <c r="A6015" i="4"/>
  <c r="A6016" i="4"/>
  <c r="A6017" i="4"/>
  <c r="A6018" i="4"/>
  <c r="A6019" i="4"/>
  <c r="A6020" i="4"/>
  <c r="A6021" i="4"/>
  <c r="A6022" i="4"/>
  <c r="A6023" i="4"/>
  <c r="A6024" i="4"/>
  <c r="A6025" i="4"/>
  <c r="A6026" i="4"/>
  <c r="A6027" i="4"/>
  <c r="A6028" i="4"/>
  <c r="A6029" i="4"/>
  <c r="A6030" i="4"/>
  <c r="A6031" i="4"/>
  <c r="A6032" i="4"/>
  <c r="A6033" i="4"/>
  <c r="A6034" i="4"/>
  <c r="A6035" i="4"/>
  <c r="A6036" i="4"/>
  <c r="A6037" i="4"/>
  <c r="A6038" i="4"/>
  <c r="A6039" i="4"/>
  <c r="A6040" i="4"/>
  <c r="A6041" i="4"/>
  <c r="A6042" i="4"/>
  <c r="A6043" i="4"/>
  <c r="A6044" i="4"/>
  <c r="A6045" i="4"/>
  <c r="A6046" i="4"/>
  <c r="A6047" i="4"/>
  <c r="A6048" i="4"/>
  <c r="A6049" i="4"/>
  <c r="A6050" i="4"/>
  <c r="A6051" i="4"/>
  <c r="A6052" i="4"/>
  <c r="A6053" i="4"/>
  <c r="A6054" i="4"/>
  <c r="A6055" i="4"/>
  <c r="A6056" i="4"/>
  <c r="A6057" i="4"/>
  <c r="A6058" i="4"/>
  <c r="A6059" i="4"/>
  <c r="A6060" i="4"/>
  <c r="A6061" i="4"/>
  <c r="A6062" i="4"/>
  <c r="A6063" i="4"/>
  <c r="A6064" i="4"/>
  <c r="A6065" i="4"/>
  <c r="A6066" i="4"/>
  <c r="A6067" i="4"/>
  <c r="A6068" i="4"/>
  <c r="A6069" i="4"/>
  <c r="A6070" i="4"/>
  <c r="A6071" i="4"/>
  <c r="A6072" i="4"/>
  <c r="A6073" i="4"/>
  <c r="A6074" i="4"/>
  <c r="A6075" i="4"/>
  <c r="A6076" i="4"/>
  <c r="A6077" i="4"/>
  <c r="A6078" i="4"/>
  <c r="A6079" i="4"/>
  <c r="A6080" i="4"/>
  <c r="A6081" i="4"/>
  <c r="A6082" i="4"/>
  <c r="A6083" i="4"/>
  <c r="A6084" i="4"/>
  <c r="A6085" i="4"/>
  <c r="A6086" i="4"/>
  <c r="A6087" i="4"/>
  <c r="A6088" i="4"/>
  <c r="A6089" i="4"/>
  <c r="A6090" i="4"/>
  <c r="A6091" i="4"/>
  <c r="A6092" i="4"/>
  <c r="A6093" i="4"/>
  <c r="A6094" i="4"/>
  <c r="A6095" i="4"/>
  <c r="A6096" i="4"/>
  <c r="A6097" i="4"/>
  <c r="A6098" i="4"/>
  <c r="A6099" i="4"/>
  <c r="A6100" i="4"/>
  <c r="A6101" i="4"/>
  <c r="A6102" i="4"/>
  <c r="A6103" i="4"/>
  <c r="A6104" i="4"/>
  <c r="A6105" i="4"/>
  <c r="A6106" i="4"/>
  <c r="A6107" i="4"/>
  <c r="A6108" i="4"/>
  <c r="A6109" i="4"/>
  <c r="A6110" i="4"/>
  <c r="A6111" i="4"/>
  <c r="A6112" i="4"/>
  <c r="A6113" i="4"/>
  <c r="A6114" i="4"/>
  <c r="A6115" i="4"/>
  <c r="A6116" i="4"/>
  <c r="A6117" i="4"/>
  <c r="A6118" i="4"/>
  <c r="A6119" i="4"/>
  <c r="A6120" i="4"/>
  <c r="A6121" i="4"/>
  <c r="A6122" i="4"/>
  <c r="A6123" i="4"/>
  <c r="A6124" i="4"/>
  <c r="A6125" i="4"/>
  <c r="A6126" i="4"/>
  <c r="A6127" i="4"/>
  <c r="A6128" i="4"/>
  <c r="A6129" i="4"/>
  <c r="A6130" i="4"/>
  <c r="A6131" i="4"/>
  <c r="A6132" i="4"/>
  <c r="A6133" i="4"/>
  <c r="A6134" i="4"/>
  <c r="A6135" i="4"/>
  <c r="A6136" i="4"/>
  <c r="A6137" i="4"/>
  <c r="A6138" i="4"/>
  <c r="A6139" i="4"/>
  <c r="A6140" i="4"/>
  <c r="A6141" i="4"/>
  <c r="A6142" i="4"/>
  <c r="A6143" i="4"/>
  <c r="A6144" i="4"/>
  <c r="A6145" i="4"/>
  <c r="A6146" i="4"/>
  <c r="A6147" i="4"/>
  <c r="A6148" i="4"/>
  <c r="A6149" i="4"/>
  <c r="A6150" i="4"/>
  <c r="A6151" i="4"/>
  <c r="A6152" i="4"/>
  <c r="A6153" i="4"/>
  <c r="A6154" i="4"/>
  <c r="A6155" i="4"/>
  <c r="A6156" i="4"/>
  <c r="A6157" i="4"/>
  <c r="A6158" i="4"/>
  <c r="A6159" i="4"/>
  <c r="A6160" i="4"/>
  <c r="A6161" i="4"/>
  <c r="A6162" i="4"/>
  <c r="A6163" i="4"/>
  <c r="A6164" i="4"/>
  <c r="A6165" i="4"/>
  <c r="A6166" i="4"/>
  <c r="A6167" i="4"/>
  <c r="A6168" i="4"/>
  <c r="A6169" i="4"/>
  <c r="A6170" i="4"/>
  <c r="A6171" i="4"/>
  <c r="A6172" i="4"/>
  <c r="A6173" i="4"/>
  <c r="A6174" i="4"/>
  <c r="A6175" i="4"/>
  <c r="A6176" i="4"/>
  <c r="A6177" i="4"/>
  <c r="A6178" i="4"/>
  <c r="A6179" i="4"/>
  <c r="A6180" i="4"/>
  <c r="A6181" i="4"/>
  <c r="A6182" i="4"/>
  <c r="A6183" i="4"/>
  <c r="A6184" i="4"/>
  <c r="A6185" i="4"/>
  <c r="A6186" i="4"/>
  <c r="A6187" i="4"/>
  <c r="A6188" i="4"/>
  <c r="A6189" i="4"/>
  <c r="A6190" i="4"/>
  <c r="A6191" i="4"/>
  <c r="A6192" i="4"/>
  <c r="A6193" i="4"/>
  <c r="A6194" i="4"/>
  <c r="A6195" i="4"/>
  <c r="A6196" i="4"/>
  <c r="A6197" i="4"/>
  <c r="A6198" i="4"/>
  <c r="A6199" i="4"/>
  <c r="A6200" i="4"/>
  <c r="A6201" i="4"/>
  <c r="A6202" i="4"/>
  <c r="A6203" i="4"/>
  <c r="A6204" i="4"/>
  <c r="A6205" i="4"/>
  <c r="A6206" i="4"/>
  <c r="A6207" i="4"/>
  <c r="A6208" i="4"/>
  <c r="A6209" i="4"/>
  <c r="A6210" i="4"/>
  <c r="A6211" i="4"/>
  <c r="A6212" i="4"/>
  <c r="A6213" i="4"/>
  <c r="A6214" i="4"/>
  <c r="A6215" i="4"/>
  <c r="A6216" i="4"/>
  <c r="A6217" i="4"/>
  <c r="A6218" i="4"/>
  <c r="A6219" i="4"/>
  <c r="A6220" i="4"/>
  <c r="A6221" i="4"/>
  <c r="A6222" i="4"/>
  <c r="A6223" i="4"/>
  <c r="A6224" i="4"/>
  <c r="A6225" i="4"/>
  <c r="A6226" i="4"/>
  <c r="A6227" i="4"/>
  <c r="A6228" i="4"/>
  <c r="A6229" i="4"/>
  <c r="A6230" i="4"/>
  <c r="A6231" i="4"/>
  <c r="A6232" i="4"/>
  <c r="A6233" i="4"/>
  <c r="A6234" i="4"/>
  <c r="A6235" i="4"/>
  <c r="A6236" i="4"/>
  <c r="A6237" i="4"/>
  <c r="A6238" i="4"/>
  <c r="A6239" i="4"/>
  <c r="A6240" i="4"/>
  <c r="A6241" i="4"/>
  <c r="A6242" i="4"/>
  <c r="A6243" i="4"/>
  <c r="A6244" i="4"/>
  <c r="A6245" i="4"/>
  <c r="A6246" i="4"/>
  <c r="A6247" i="4"/>
  <c r="A6248" i="4"/>
  <c r="A6249" i="4"/>
  <c r="A6250" i="4"/>
  <c r="A6251" i="4"/>
  <c r="A6252" i="4"/>
  <c r="A6253" i="4"/>
  <c r="A6254" i="4"/>
  <c r="A6255" i="4"/>
  <c r="A6256" i="4"/>
  <c r="A6257" i="4"/>
  <c r="A6258" i="4"/>
  <c r="A6259" i="4"/>
  <c r="A6260" i="4"/>
  <c r="A6261" i="4"/>
  <c r="A6262" i="4"/>
  <c r="A6263" i="4"/>
  <c r="A6264" i="4"/>
  <c r="A6265" i="4"/>
  <c r="A6266" i="4"/>
  <c r="A6267" i="4"/>
  <c r="A6268" i="4"/>
  <c r="A6269" i="4"/>
  <c r="A6270" i="4"/>
  <c r="A6271" i="4"/>
  <c r="A6272" i="4"/>
  <c r="A6273" i="4"/>
  <c r="A6274" i="4"/>
  <c r="A6275" i="4"/>
  <c r="A6276" i="4"/>
  <c r="A6277" i="4"/>
  <c r="A6278" i="4"/>
  <c r="A6279" i="4"/>
  <c r="A6280" i="4"/>
  <c r="A6281" i="4"/>
  <c r="A6282" i="4"/>
  <c r="A6283" i="4"/>
  <c r="A6284" i="4"/>
  <c r="A6285" i="4"/>
  <c r="A6286" i="4"/>
  <c r="A6287" i="4"/>
  <c r="A6288" i="4"/>
  <c r="A6289" i="4"/>
  <c r="A6290" i="4"/>
  <c r="A6291" i="4"/>
  <c r="A6292" i="4"/>
  <c r="A6293" i="4"/>
  <c r="A6294" i="4"/>
  <c r="A6295" i="4"/>
  <c r="A6296" i="4"/>
  <c r="A6297" i="4"/>
  <c r="A6298" i="4"/>
  <c r="A6299" i="4"/>
  <c r="A6300" i="4"/>
  <c r="A6301" i="4"/>
  <c r="A6302" i="4"/>
  <c r="A6303" i="4"/>
  <c r="A6304" i="4"/>
  <c r="A6305" i="4"/>
  <c r="A6306" i="4"/>
  <c r="A6307" i="4"/>
  <c r="A6308" i="4"/>
  <c r="A6309" i="4"/>
  <c r="A6310" i="4"/>
  <c r="A6311" i="4"/>
  <c r="A6312" i="4"/>
  <c r="A6313" i="4"/>
  <c r="A6314" i="4"/>
  <c r="A6315" i="4"/>
  <c r="A6316" i="4"/>
  <c r="A6317" i="4"/>
  <c r="A6318" i="4"/>
  <c r="A6319" i="4"/>
  <c r="A6320" i="4"/>
  <c r="A6321" i="4"/>
  <c r="A6322" i="4"/>
  <c r="A6323" i="4"/>
  <c r="A6324" i="4"/>
  <c r="A6325" i="4"/>
  <c r="A6326" i="4"/>
  <c r="A6327" i="4"/>
  <c r="A6328" i="4"/>
  <c r="A6329" i="4"/>
  <c r="A6330" i="4"/>
  <c r="A6331" i="4"/>
  <c r="A6332" i="4"/>
  <c r="A6333" i="4"/>
  <c r="A6334" i="4"/>
  <c r="A6335" i="4"/>
  <c r="A6336" i="4"/>
  <c r="A6337" i="4"/>
  <c r="A6338" i="4"/>
  <c r="A6339" i="4"/>
  <c r="A6340" i="4"/>
  <c r="A6341" i="4"/>
  <c r="A6342" i="4"/>
  <c r="A6343" i="4"/>
  <c r="A6344" i="4"/>
  <c r="A6345" i="4"/>
  <c r="A6346" i="4"/>
  <c r="A6347" i="4"/>
  <c r="A6348" i="4"/>
  <c r="A6349" i="4"/>
  <c r="A6350" i="4"/>
  <c r="A6351" i="4"/>
  <c r="A6352" i="4"/>
  <c r="A6353" i="4"/>
  <c r="A6354" i="4"/>
  <c r="A6355" i="4"/>
  <c r="A6356" i="4"/>
  <c r="A6357" i="4"/>
  <c r="A6358" i="4"/>
  <c r="A6359" i="4"/>
  <c r="A6360" i="4"/>
  <c r="A6361" i="4"/>
  <c r="A6362" i="4"/>
  <c r="A6363" i="4"/>
  <c r="A6364" i="4"/>
  <c r="A6365" i="4"/>
  <c r="A6366" i="4"/>
  <c r="A6367" i="4"/>
  <c r="A6368" i="4"/>
  <c r="A6369" i="4"/>
  <c r="A6370" i="4"/>
  <c r="A6371" i="4"/>
  <c r="A6372" i="4"/>
  <c r="A6373" i="4"/>
  <c r="A6374" i="4"/>
  <c r="A6375" i="4"/>
  <c r="A6376" i="4"/>
  <c r="A6377" i="4"/>
  <c r="A6378" i="4"/>
  <c r="A6379" i="4"/>
  <c r="A6380" i="4"/>
  <c r="A6381" i="4"/>
  <c r="A6382" i="4"/>
  <c r="A6383" i="4"/>
  <c r="A6384" i="4"/>
  <c r="A6385" i="4"/>
  <c r="A6386" i="4"/>
  <c r="A6387" i="4"/>
  <c r="A6388" i="4"/>
  <c r="A6389" i="4"/>
  <c r="A6390" i="4"/>
  <c r="A6391" i="4"/>
  <c r="A6392" i="4"/>
  <c r="A6393" i="4"/>
  <c r="A6394" i="4"/>
  <c r="A6395" i="4"/>
  <c r="A6396" i="4"/>
  <c r="A6397" i="4"/>
  <c r="A6398" i="4"/>
  <c r="A6399" i="4"/>
  <c r="A6400" i="4"/>
  <c r="A6401" i="4"/>
  <c r="A6402" i="4"/>
  <c r="A6403" i="4"/>
  <c r="A6404" i="4"/>
  <c r="A6405" i="4"/>
  <c r="A6406" i="4"/>
  <c r="A6407" i="4"/>
  <c r="A6408" i="4"/>
  <c r="A6409" i="4"/>
  <c r="A6410" i="4"/>
  <c r="A6411" i="4"/>
  <c r="A6412" i="4"/>
  <c r="A6413" i="4"/>
  <c r="A6414" i="4"/>
  <c r="A6415" i="4"/>
  <c r="A6416" i="4"/>
  <c r="A6417" i="4"/>
  <c r="A6418" i="4"/>
  <c r="A6419" i="4"/>
  <c r="A6420" i="4"/>
  <c r="A6421" i="4"/>
  <c r="A6422" i="4"/>
  <c r="A6423" i="4"/>
  <c r="A6424" i="4"/>
  <c r="A6425" i="4"/>
  <c r="A6426" i="4"/>
  <c r="A6427" i="4"/>
  <c r="A6428" i="4"/>
  <c r="A6429" i="4"/>
  <c r="A6430" i="4"/>
  <c r="A6431" i="4"/>
  <c r="A6432" i="4"/>
  <c r="A6433" i="4"/>
  <c r="A6434" i="4"/>
  <c r="A6435" i="4"/>
  <c r="A6436" i="4"/>
  <c r="A6437" i="4"/>
  <c r="A6438" i="4"/>
  <c r="A6439" i="4"/>
  <c r="A6440" i="4"/>
  <c r="A6441" i="4"/>
  <c r="A6442" i="4"/>
  <c r="A6443" i="4"/>
  <c r="A6444" i="4"/>
  <c r="A6445" i="4"/>
  <c r="A6446" i="4"/>
  <c r="A6447" i="4"/>
  <c r="A6448" i="4"/>
  <c r="A6449" i="4"/>
  <c r="A6450" i="4"/>
  <c r="A6451" i="4"/>
  <c r="A6452" i="4"/>
  <c r="A6453" i="4"/>
  <c r="A6454" i="4"/>
  <c r="A6455" i="4"/>
  <c r="A6456" i="4"/>
  <c r="A6457" i="4"/>
  <c r="A6458" i="4"/>
  <c r="A6459" i="4"/>
  <c r="A6460" i="4"/>
  <c r="A6461" i="4"/>
  <c r="A6462" i="4"/>
  <c r="A6463" i="4"/>
  <c r="A6464" i="4"/>
  <c r="A6465" i="4"/>
  <c r="A6466" i="4"/>
  <c r="A6467" i="4"/>
  <c r="A6468" i="4"/>
  <c r="A6469" i="4"/>
  <c r="A6470" i="4"/>
  <c r="A6471" i="4"/>
  <c r="A6472" i="4"/>
  <c r="A6473" i="4"/>
  <c r="A6474" i="4"/>
  <c r="A6475" i="4"/>
  <c r="A6476" i="4"/>
  <c r="A6477" i="4"/>
  <c r="A6478" i="4"/>
  <c r="A6479" i="4"/>
  <c r="A6480" i="4"/>
  <c r="A6481" i="4"/>
  <c r="A6482" i="4"/>
  <c r="A6483" i="4"/>
  <c r="A6484" i="4"/>
  <c r="A6485" i="4"/>
  <c r="A6486" i="4"/>
  <c r="A6487" i="4"/>
  <c r="A6488" i="4"/>
  <c r="A6489" i="4"/>
  <c r="A6490" i="4"/>
  <c r="A6491" i="4"/>
  <c r="A6492" i="4"/>
  <c r="A6493" i="4"/>
  <c r="A6494" i="4"/>
  <c r="A6495" i="4"/>
  <c r="A6496" i="4"/>
  <c r="A6497" i="4"/>
  <c r="A6498" i="4"/>
  <c r="A6499" i="4"/>
  <c r="A6500" i="4"/>
  <c r="A6501" i="4"/>
  <c r="A6502" i="4"/>
  <c r="A6503" i="4"/>
  <c r="A6504" i="4"/>
  <c r="A6505" i="4"/>
  <c r="A6506" i="4"/>
  <c r="A6507" i="4"/>
  <c r="A6508" i="4"/>
  <c r="A6509" i="4"/>
  <c r="A6510" i="4"/>
  <c r="A6511" i="4"/>
  <c r="A6512" i="4"/>
  <c r="A6513" i="4"/>
  <c r="A6514" i="4"/>
  <c r="A6515" i="4"/>
  <c r="A6516" i="4"/>
  <c r="A6517" i="4"/>
  <c r="A6518" i="4"/>
  <c r="A6519" i="4"/>
  <c r="A6520" i="4"/>
  <c r="A6521" i="4"/>
  <c r="A6522" i="4"/>
  <c r="A6523" i="4"/>
  <c r="A6524" i="4"/>
  <c r="A6525" i="4"/>
  <c r="A6526" i="4"/>
  <c r="A6527" i="4"/>
  <c r="A6528" i="4"/>
  <c r="A6529" i="4"/>
  <c r="A6530" i="4"/>
  <c r="A6531" i="4"/>
  <c r="A6532" i="4"/>
  <c r="A6533" i="4"/>
  <c r="A6534" i="4"/>
  <c r="A6535" i="4"/>
  <c r="A6536" i="4"/>
  <c r="A6537" i="4"/>
  <c r="A6538" i="4"/>
  <c r="A6539" i="4"/>
  <c r="A6540" i="4"/>
  <c r="A6541" i="4"/>
  <c r="A6542" i="4"/>
  <c r="A6543" i="4"/>
  <c r="A6544" i="4"/>
  <c r="A6545" i="4"/>
  <c r="A6546" i="4"/>
  <c r="A6547" i="4"/>
  <c r="A6548" i="4"/>
  <c r="A6549" i="4"/>
  <c r="A6550" i="4"/>
  <c r="A6551" i="4"/>
  <c r="A6552" i="4"/>
  <c r="A6553" i="4"/>
  <c r="A6554" i="4"/>
  <c r="A6555" i="4"/>
  <c r="A6556" i="4"/>
  <c r="A6557" i="4"/>
  <c r="A6558" i="4"/>
  <c r="A6559" i="4"/>
  <c r="A6560" i="4"/>
  <c r="A6561" i="4"/>
  <c r="A6562" i="4"/>
  <c r="A6563" i="4"/>
  <c r="A6564" i="4"/>
  <c r="A6565" i="4"/>
  <c r="A6566" i="4"/>
  <c r="A6567" i="4"/>
  <c r="A6568" i="4"/>
  <c r="A6569" i="4"/>
  <c r="A6570" i="4"/>
  <c r="A6571" i="4"/>
  <c r="A6572" i="4"/>
  <c r="A6573" i="4"/>
  <c r="A6574" i="4"/>
  <c r="A6575" i="4"/>
  <c r="A6576" i="4"/>
  <c r="A6577" i="4"/>
  <c r="A6578" i="4"/>
  <c r="A6579" i="4"/>
  <c r="A6580" i="4"/>
  <c r="A6581" i="4"/>
  <c r="A6582" i="4"/>
  <c r="A6583" i="4"/>
  <c r="A6584" i="4"/>
  <c r="A6585" i="4"/>
  <c r="A6586" i="4"/>
  <c r="A6587" i="4"/>
  <c r="A6588" i="4"/>
  <c r="A6589" i="4"/>
  <c r="A6590" i="4"/>
  <c r="A6591" i="4"/>
  <c r="A6592" i="4"/>
  <c r="A6593" i="4"/>
  <c r="A6594" i="4"/>
  <c r="A6595" i="4"/>
  <c r="A6596" i="4"/>
  <c r="A6597" i="4"/>
  <c r="A6598" i="4"/>
  <c r="A6599" i="4"/>
  <c r="A6600" i="4"/>
  <c r="A6601" i="4"/>
  <c r="A6602" i="4"/>
  <c r="A6603" i="4"/>
  <c r="A6604" i="4"/>
  <c r="A6605" i="4"/>
  <c r="A6606" i="4"/>
  <c r="A6607" i="4"/>
  <c r="A6608" i="4"/>
  <c r="A6609" i="4"/>
  <c r="A6610" i="4"/>
  <c r="A6611" i="4"/>
  <c r="A6612" i="4"/>
  <c r="A6613" i="4"/>
  <c r="A6614" i="4"/>
  <c r="A6615" i="4"/>
  <c r="A6616" i="4"/>
  <c r="A6617" i="4"/>
  <c r="A6618" i="4"/>
  <c r="A6619" i="4"/>
  <c r="A6620" i="4"/>
  <c r="A6621" i="4"/>
  <c r="A6622" i="4"/>
  <c r="A6623" i="4"/>
  <c r="A6624" i="4"/>
  <c r="A6625" i="4"/>
  <c r="A6626" i="4"/>
  <c r="A6627" i="4"/>
  <c r="A6628" i="4"/>
  <c r="A6629" i="4"/>
  <c r="A6630" i="4"/>
  <c r="A6631" i="4"/>
  <c r="A6632" i="4"/>
  <c r="A6633" i="4"/>
  <c r="A6634" i="4"/>
  <c r="A6635" i="4"/>
  <c r="A6636" i="4"/>
  <c r="A6637" i="4"/>
  <c r="A6638" i="4"/>
  <c r="A6639" i="4"/>
  <c r="A6640" i="4"/>
  <c r="A6641" i="4"/>
  <c r="A6642" i="4"/>
  <c r="A6643" i="4"/>
  <c r="A6644" i="4"/>
  <c r="A6645" i="4"/>
  <c r="A6646" i="4"/>
  <c r="A6647" i="4"/>
  <c r="A6648" i="4"/>
  <c r="A6649" i="4"/>
  <c r="A6650" i="4"/>
  <c r="A6651" i="4"/>
  <c r="A6652" i="4"/>
  <c r="A6653" i="4"/>
  <c r="A6654" i="4"/>
  <c r="A6655" i="4"/>
  <c r="A6656" i="4"/>
  <c r="A6657" i="4"/>
  <c r="A6658" i="4"/>
  <c r="A6659" i="4"/>
  <c r="A6660" i="4"/>
  <c r="A6661" i="4"/>
  <c r="A6662" i="4"/>
  <c r="A6663" i="4"/>
  <c r="A6664" i="4"/>
  <c r="A6665" i="4"/>
  <c r="A6666" i="4"/>
  <c r="A6667" i="4"/>
  <c r="A6668" i="4"/>
  <c r="A6669" i="4"/>
  <c r="A6670" i="4"/>
  <c r="A6671" i="4"/>
  <c r="A6672" i="4"/>
  <c r="A6673" i="4"/>
  <c r="A6674" i="4"/>
  <c r="A6675" i="4"/>
  <c r="A6676" i="4"/>
  <c r="A6677" i="4"/>
  <c r="A6678" i="4"/>
  <c r="A6679" i="4"/>
  <c r="A6680" i="4"/>
  <c r="A6681" i="4"/>
  <c r="A6682" i="4"/>
  <c r="A6683" i="4"/>
  <c r="A6684" i="4"/>
  <c r="A6685" i="4"/>
  <c r="A6686" i="4"/>
  <c r="A6687" i="4"/>
  <c r="A6688" i="4"/>
  <c r="A6689" i="4"/>
  <c r="A6690" i="4"/>
  <c r="A6691" i="4"/>
  <c r="A6692" i="4"/>
  <c r="A6693" i="4"/>
  <c r="A6694" i="4"/>
  <c r="A6695" i="4"/>
  <c r="A6696" i="4"/>
  <c r="A6697" i="4"/>
  <c r="A6698" i="4"/>
  <c r="A6699" i="4"/>
  <c r="A6700" i="4"/>
  <c r="A6701" i="4"/>
  <c r="A6702" i="4"/>
  <c r="A6703" i="4"/>
  <c r="A6704" i="4"/>
  <c r="A6705" i="4"/>
  <c r="A6706" i="4"/>
  <c r="A6707" i="4"/>
  <c r="A6708" i="4"/>
  <c r="A6709" i="4"/>
  <c r="A6710" i="4"/>
  <c r="A6711" i="4"/>
  <c r="A6712" i="4"/>
  <c r="A6713" i="4"/>
  <c r="A6714" i="4"/>
  <c r="A6715" i="4"/>
  <c r="A6716" i="4"/>
  <c r="A6717" i="4"/>
  <c r="A6718" i="4"/>
  <c r="A6719" i="4"/>
  <c r="A6720" i="4"/>
  <c r="A6721" i="4"/>
  <c r="A6722" i="4"/>
  <c r="A6723" i="4"/>
  <c r="A6724" i="4"/>
  <c r="A6725" i="4"/>
  <c r="A6726" i="4"/>
  <c r="A6727" i="4"/>
  <c r="A6728" i="4"/>
  <c r="A6729" i="4"/>
  <c r="A6730" i="4"/>
  <c r="A6731" i="4"/>
  <c r="A6732" i="4"/>
  <c r="A6733" i="4"/>
  <c r="A6734" i="4"/>
  <c r="A6735" i="4"/>
  <c r="A6736" i="4"/>
  <c r="A6737" i="4"/>
  <c r="A6738" i="4"/>
  <c r="A6739" i="4"/>
  <c r="A6740" i="4"/>
  <c r="A6741" i="4"/>
  <c r="A6742" i="4"/>
  <c r="A6743" i="4"/>
  <c r="A6744" i="4"/>
  <c r="A6745" i="4"/>
  <c r="A6746" i="4"/>
  <c r="A6747" i="4"/>
  <c r="A6748" i="4"/>
  <c r="A6749" i="4"/>
  <c r="A6750" i="4"/>
  <c r="A6751" i="4"/>
  <c r="A6752" i="4"/>
  <c r="A6753" i="4"/>
  <c r="A6754" i="4"/>
  <c r="A6755" i="4"/>
  <c r="A6756" i="4"/>
  <c r="A6757" i="4"/>
  <c r="A6758" i="4"/>
  <c r="A6759" i="4"/>
  <c r="A6760" i="4"/>
  <c r="A6761" i="4"/>
  <c r="A6762" i="4"/>
  <c r="A6763" i="4"/>
  <c r="A6764" i="4"/>
  <c r="A6765" i="4"/>
  <c r="A6766" i="4"/>
  <c r="A6767" i="4"/>
  <c r="A6768" i="4"/>
  <c r="A6769" i="4"/>
  <c r="A6770" i="4"/>
  <c r="A6771" i="4"/>
  <c r="A6772" i="4"/>
  <c r="A6773" i="4"/>
  <c r="A6774" i="4"/>
  <c r="A6775" i="4"/>
  <c r="A6776" i="4"/>
  <c r="A6777" i="4"/>
  <c r="A6778" i="4"/>
  <c r="A6779" i="4"/>
  <c r="A6780" i="4"/>
  <c r="A6781" i="4"/>
  <c r="A6782" i="4"/>
  <c r="A6783" i="4"/>
  <c r="A6784" i="4"/>
  <c r="A6785" i="4"/>
  <c r="A6786" i="4"/>
  <c r="A6787" i="4"/>
  <c r="A6788" i="4"/>
  <c r="A6789" i="4"/>
  <c r="A6790" i="4"/>
  <c r="A6791" i="4"/>
  <c r="A6792" i="4"/>
  <c r="A6793" i="4"/>
  <c r="A6794" i="4"/>
  <c r="A6795" i="4"/>
  <c r="A6796" i="4"/>
  <c r="A6797" i="4"/>
  <c r="A6798" i="4"/>
  <c r="A6799" i="4"/>
  <c r="A6800" i="4"/>
  <c r="A6801" i="4"/>
  <c r="A6802" i="4"/>
  <c r="A6803" i="4"/>
  <c r="A6804" i="4"/>
  <c r="A6805" i="4"/>
  <c r="A6806" i="4"/>
  <c r="A6807" i="4"/>
  <c r="A6808" i="4"/>
  <c r="A6809" i="4"/>
  <c r="A6810" i="4"/>
  <c r="A6811" i="4"/>
  <c r="A6812" i="4"/>
  <c r="A6813" i="4"/>
  <c r="A6814" i="4"/>
  <c r="A6815" i="4"/>
  <c r="A6816" i="4"/>
  <c r="A6817" i="4"/>
  <c r="A6818" i="4"/>
  <c r="A6819" i="4"/>
  <c r="A6820" i="4"/>
  <c r="A6821" i="4"/>
  <c r="A6822" i="4"/>
  <c r="A6823" i="4"/>
  <c r="A6824" i="4"/>
  <c r="A6825" i="4"/>
  <c r="A6826" i="4"/>
  <c r="A6827" i="4"/>
  <c r="A6828" i="4"/>
  <c r="A6829" i="4"/>
  <c r="A6830" i="4"/>
  <c r="A6831" i="4"/>
  <c r="A6832" i="4"/>
  <c r="A6833" i="4"/>
  <c r="A6834" i="4"/>
  <c r="A6835" i="4"/>
  <c r="A6836" i="4"/>
  <c r="A6837" i="4"/>
  <c r="A6838" i="4"/>
  <c r="A6839" i="4"/>
  <c r="A6840" i="4"/>
  <c r="A6841" i="4"/>
  <c r="A6842" i="4"/>
  <c r="A6843" i="4"/>
  <c r="A6844" i="4"/>
  <c r="A6845" i="4"/>
  <c r="A6846" i="4"/>
  <c r="A6847" i="4"/>
  <c r="A6848" i="4"/>
  <c r="A6849" i="4"/>
  <c r="A6850" i="4"/>
  <c r="A6851" i="4"/>
  <c r="A6852" i="4"/>
  <c r="A6853" i="4"/>
  <c r="A6854" i="4"/>
  <c r="A6855" i="4"/>
  <c r="A6856" i="4"/>
  <c r="A6857" i="4"/>
  <c r="A6858" i="4"/>
  <c r="A6859" i="4"/>
  <c r="A6860" i="4"/>
  <c r="A6861" i="4"/>
  <c r="A6862" i="4"/>
  <c r="A6863" i="4"/>
  <c r="A6864" i="4"/>
  <c r="A6865" i="4"/>
  <c r="A6866" i="4"/>
  <c r="A6867" i="4"/>
  <c r="A6868" i="4"/>
  <c r="A6869" i="4"/>
  <c r="A6870" i="4"/>
  <c r="A6871" i="4"/>
  <c r="A6872" i="4"/>
  <c r="A6873" i="4"/>
  <c r="A6874" i="4"/>
  <c r="A6875" i="4"/>
  <c r="A6876" i="4"/>
  <c r="A6877" i="4"/>
  <c r="A6878" i="4"/>
  <c r="A6879" i="4"/>
  <c r="A6880" i="4"/>
  <c r="A6881" i="4"/>
  <c r="A6882" i="4"/>
  <c r="A6883" i="4"/>
  <c r="A6884" i="4"/>
  <c r="A6885" i="4"/>
  <c r="A6886" i="4"/>
  <c r="A6887" i="4"/>
  <c r="A6888" i="4"/>
  <c r="A6889" i="4"/>
  <c r="A6890" i="4"/>
  <c r="A6891" i="4"/>
  <c r="A6892" i="4"/>
  <c r="A6893" i="4"/>
  <c r="A6894" i="4"/>
  <c r="A6895" i="4"/>
  <c r="A6896" i="4"/>
  <c r="A6897" i="4"/>
  <c r="A6898" i="4"/>
  <c r="A6899" i="4"/>
  <c r="A6900" i="4"/>
  <c r="A6901" i="4"/>
  <c r="A6902" i="4"/>
  <c r="A6903" i="4"/>
  <c r="A6904" i="4"/>
  <c r="A6905" i="4"/>
  <c r="A6906" i="4"/>
  <c r="A6907" i="4"/>
  <c r="A6908" i="4"/>
  <c r="A6909" i="4"/>
  <c r="A6910" i="4"/>
  <c r="A6911" i="4"/>
  <c r="A6912" i="4"/>
  <c r="A6913" i="4"/>
  <c r="A6914" i="4"/>
  <c r="A6915" i="4"/>
  <c r="A6916" i="4"/>
  <c r="A6917" i="4"/>
  <c r="A6918" i="4"/>
  <c r="A6919" i="4"/>
  <c r="A6920" i="4"/>
  <c r="A6921" i="4"/>
  <c r="A6922" i="4"/>
  <c r="A6923" i="4"/>
  <c r="A6924" i="4"/>
  <c r="A6925" i="4"/>
  <c r="A6926" i="4"/>
  <c r="A6927" i="4"/>
  <c r="A6928" i="4"/>
  <c r="A6929" i="4"/>
  <c r="A6930" i="4"/>
  <c r="A6931" i="4"/>
  <c r="A6932" i="4"/>
  <c r="A6933" i="4"/>
  <c r="A6934" i="4"/>
  <c r="A6935" i="4"/>
  <c r="A6936" i="4"/>
  <c r="A6937" i="4"/>
  <c r="A6938" i="4"/>
  <c r="A6939" i="4"/>
  <c r="A6940" i="4"/>
  <c r="A6941" i="4"/>
  <c r="A6942" i="4"/>
  <c r="A6943" i="4"/>
  <c r="A6944" i="4"/>
  <c r="A6945" i="4"/>
  <c r="A6946" i="4"/>
  <c r="A6947" i="4"/>
  <c r="A6948" i="4"/>
  <c r="A6949" i="4"/>
  <c r="A6950" i="4"/>
  <c r="A6951" i="4"/>
  <c r="A6952" i="4"/>
  <c r="A6953" i="4"/>
  <c r="A6954" i="4"/>
  <c r="A6955" i="4"/>
  <c r="A6956" i="4"/>
  <c r="A6957" i="4"/>
  <c r="A6958" i="4"/>
  <c r="A6959" i="4"/>
  <c r="A6960" i="4"/>
  <c r="A6961" i="4"/>
  <c r="A6962" i="4"/>
  <c r="A6963" i="4"/>
  <c r="A6964" i="4"/>
  <c r="A6965" i="4"/>
  <c r="A6966" i="4"/>
  <c r="A6967" i="4"/>
  <c r="A6968" i="4"/>
  <c r="A6969" i="4"/>
  <c r="A6970" i="4"/>
  <c r="A6971" i="4"/>
  <c r="A6972" i="4"/>
  <c r="A6973" i="4"/>
  <c r="A6974" i="4"/>
  <c r="A6975" i="4"/>
  <c r="A6976" i="4"/>
  <c r="A6977" i="4"/>
  <c r="A6978" i="4"/>
  <c r="A6979" i="4"/>
  <c r="A6980" i="4"/>
  <c r="A6981" i="4"/>
  <c r="A6982" i="4"/>
  <c r="A6983" i="4"/>
  <c r="A6984" i="4"/>
  <c r="A6985" i="4"/>
  <c r="A6986" i="4"/>
  <c r="A6987" i="4"/>
  <c r="A6988" i="4"/>
  <c r="A6989" i="4"/>
  <c r="A6990" i="4"/>
  <c r="A6991" i="4"/>
  <c r="A6992" i="4"/>
  <c r="A6993" i="4"/>
  <c r="A6994" i="4"/>
  <c r="A6995" i="4"/>
  <c r="A6996" i="4"/>
  <c r="A6997" i="4"/>
  <c r="A6998" i="4"/>
  <c r="A6999" i="4"/>
  <c r="A7000" i="4"/>
  <c r="A7001" i="4"/>
  <c r="A7002" i="4"/>
  <c r="A7003" i="4"/>
  <c r="A7004" i="4"/>
  <c r="A7005" i="4"/>
  <c r="A7006" i="4"/>
  <c r="A7007" i="4"/>
  <c r="A7008" i="4"/>
  <c r="A7009" i="4"/>
  <c r="A7010" i="4"/>
  <c r="A7011" i="4"/>
  <c r="A7012" i="4"/>
  <c r="A7013" i="4"/>
  <c r="A7014" i="4"/>
  <c r="A7015" i="4"/>
  <c r="A7016" i="4"/>
  <c r="A7017" i="4"/>
  <c r="A7018" i="4"/>
  <c r="A7019" i="4"/>
  <c r="A7020" i="4"/>
  <c r="A7021" i="4"/>
  <c r="A7022" i="4"/>
  <c r="A7023" i="4"/>
  <c r="A7024" i="4"/>
  <c r="A7025" i="4"/>
  <c r="A7026" i="4"/>
  <c r="A7027" i="4"/>
  <c r="A7028" i="4"/>
  <c r="A7029" i="4"/>
  <c r="A7030" i="4"/>
  <c r="A7031" i="4"/>
  <c r="A7032" i="4"/>
  <c r="A7033" i="4"/>
  <c r="A7034" i="4"/>
  <c r="A7035" i="4"/>
  <c r="A7036" i="4"/>
  <c r="A7037" i="4"/>
  <c r="A7038" i="4"/>
  <c r="A7039" i="4"/>
  <c r="A7040" i="4"/>
  <c r="A7041" i="4"/>
  <c r="A7042" i="4"/>
  <c r="A7043" i="4"/>
  <c r="A7044" i="4"/>
  <c r="A7045" i="4"/>
  <c r="A7046" i="4"/>
  <c r="A7047" i="4"/>
  <c r="A7048" i="4"/>
  <c r="A7049" i="4"/>
  <c r="A7050" i="4"/>
  <c r="A7051" i="4"/>
  <c r="A7052" i="4"/>
  <c r="A7053" i="4"/>
  <c r="A7054" i="4"/>
  <c r="A7055" i="4"/>
  <c r="A7056" i="4"/>
  <c r="A7057" i="4"/>
  <c r="A7058" i="4"/>
  <c r="A7059" i="4"/>
  <c r="A7060" i="4"/>
  <c r="A7061" i="4"/>
  <c r="A7062" i="4"/>
  <c r="A7063" i="4"/>
  <c r="A7064" i="4"/>
  <c r="A7065" i="4"/>
  <c r="A7066" i="4"/>
  <c r="A7067" i="4"/>
  <c r="A7068" i="4"/>
  <c r="A7069" i="4"/>
  <c r="A7070" i="4"/>
  <c r="A7071" i="4"/>
  <c r="A7072" i="4"/>
  <c r="A7073" i="4"/>
  <c r="A7074" i="4"/>
  <c r="A7075" i="4"/>
  <c r="A7076" i="4"/>
  <c r="A7077" i="4"/>
  <c r="A7078" i="4"/>
  <c r="A7079" i="4"/>
  <c r="A7080" i="4"/>
  <c r="A7081" i="4"/>
  <c r="A7082" i="4"/>
  <c r="A7083" i="4"/>
  <c r="A7084" i="4"/>
  <c r="A7085" i="4"/>
  <c r="A7086" i="4"/>
  <c r="A7087" i="4"/>
  <c r="A7088" i="4"/>
  <c r="A7089" i="4"/>
  <c r="A7090" i="4"/>
  <c r="A7091" i="4"/>
  <c r="A7092" i="4"/>
  <c r="A7093" i="4"/>
  <c r="A7094" i="4"/>
  <c r="A7095" i="4"/>
  <c r="A7096" i="4"/>
  <c r="A7097" i="4"/>
  <c r="A7098" i="4"/>
  <c r="A7099" i="4"/>
  <c r="A7100" i="4"/>
  <c r="A7101" i="4"/>
  <c r="A7102" i="4"/>
  <c r="A7103" i="4"/>
  <c r="A7104" i="4"/>
  <c r="A7105" i="4"/>
  <c r="A7106" i="4"/>
  <c r="A7107" i="4"/>
  <c r="A7108" i="4"/>
  <c r="A7109" i="4"/>
  <c r="A7110" i="4"/>
  <c r="A7111" i="4"/>
  <c r="A7112" i="4"/>
  <c r="A7113" i="4"/>
  <c r="A7114" i="4"/>
  <c r="A7115" i="4"/>
  <c r="A7116" i="4"/>
  <c r="A7117" i="4"/>
  <c r="A7118" i="4"/>
  <c r="A7119" i="4"/>
  <c r="A7120" i="4"/>
  <c r="A7121" i="4"/>
  <c r="A7122" i="4"/>
  <c r="A7123" i="4"/>
  <c r="A7124" i="4"/>
  <c r="A7125" i="4"/>
  <c r="A7126" i="4"/>
  <c r="A7127" i="4"/>
  <c r="A7128" i="4"/>
  <c r="A7129" i="4"/>
  <c r="A7130" i="4"/>
  <c r="A7131" i="4"/>
  <c r="A7132" i="4"/>
  <c r="A7133" i="4"/>
  <c r="A7134" i="4"/>
  <c r="A7135" i="4"/>
  <c r="A7136" i="4"/>
  <c r="A7137" i="4"/>
  <c r="A7138" i="4"/>
  <c r="A7139" i="4"/>
  <c r="A7140" i="4"/>
  <c r="A7141" i="4"/>
  <c r="A7142" i="4"/>
  <c r="A7143" i="4"/>
  <c r="A7144" i="4"/>
  <c r="A7145" i="4"/>
  <c r="A7146" i="4"/>
  <c r="A7147" i="4"/>
  <c r="A7148" i="4"/>
  <c r="A7149" i="4"/>
  <c r="A7150" i="4"/>
  <c r="A7151" i="4"/>
  <c r="A7152" i="4"/>
  <c r="A7153" i="4"/>
  <c r="A7154" i="4"/>
  <c r="A7155" i="4"/>
  <c r="A7156" i="4"/>
  <c r="A7157" i="4"/>
  <c r="A7158" i="4"/>
  <c r="A7159" i="4"/>
  <c r="A7160" i="4"/>
  <c r="A7161" i="4"/>
  <c r="A7162" i="4"/>
  <c r="A7163" i="4"/>
  <c r="A7164" i="4"/>
  <c r="A7165" i="4"/>
  <c r="A7166" i="4"/>
  <c r="A7167" i="4"/>
  <c r="A7168" i="4"/>
  <c r="A7169" i="4"/>
  <c r="A7170" i="4"/>
  <c r="A7171" i="4"/>
  <c r="A7172" i="4"/>
  <c r="A7173" i="4"/>
  <c r="A7174" i="4"/>
  <c r="A7175" i="4"/>
  <c r="A7176" i="4"/>
  <c r="A7177" i="4"/>
  <c r="A7178" i="4"/>
  <c r="A7179" i="4"/>
  <c r="A7180" i="4"/>
  <c r="A7181" i="4"/>
  <c r="A7182" i="4"/>
  <c r="A7183" i="4"/>
  <c r="A7184" i="4"/>
  <c r="A7185" i="4"/>
  <c r="A7186" i="4"/>
  <c r="A7187" i="4"/>
  <c r="A7188" i="4"/>
  <c r="A7189" i="4"/>
  <c r="A7190" i="4"/>
  <c r="A7191" i="4"/>
  <c r="A7192" i="4"/>
  <c r="A7193" i="4"/>
  <c r="A7194" i="4"/>
  <c r="A7195" i="4"/>
  <c r="A7196" i="4"/>
  <c r="A7197" i="4"/>
  <c r="A7198" i="4"/>
  <c r="A7199" i="4"/>
  <c r="A7200" i="4"/>
  <c r="A7201" i="4"/>
  <c r="A7202" i="4"/>
  <c r="A7203" i="4"/>
  <c r="A7204" i="4"/>
  <c r="A7205" i="4"/>
  <c r="A7206" i="4"/>
  <c r="A7207" i="4"/>
  <c r="A7208" i="4"/>
  <c r="A7209" i="4"/>
  <c r="A7210" i="4"/>
  <c r="A7211" i="4"/>
  <c r="A7212" i="4"/>
  <c r="A7213" i="4"/>
  <c r="A7214" i="4"/>
  <c r="A7215" i="4"/>
  <c r="A7216" i="4"/>
  <c r="A7217" i="4"/>
  <c r="A7218" i="4"/>
  <c r="A7219" i="4"/>
  <c r="A7220" i="4"/>
  <c r="A7221" i="4"/>
  <c r="A7222" i="4"/>
  <c r="A7223" i="4"/>
  <c r="A7224" i="4"/>
  <c r="A7225" i="4"/>
  <c r="A7226" i="4"/>
  <c r="A7227" i="4"/>
  <c r="A7228" i="4"/>
  <c r="A7229" i="4"/>
  <c r="A7230" i="4"/>
  <c r="A7231" i="4"/>
  <c r="A7232" i="4"/>
  <c r="A7233" i="4"/>
  <c r="A7234" i="4"/>
  <c r="A7235" i="4"/>
  <c r="A7236" i="4"/>
  <c r="A7237" i="4"/>
  <c r="A7238" i="4"/>
  <c r="A7239" i="4"/>
  <c r="A7240" i="4"/>
  <c r="A7241" i="4"/>
  <c r="A7242" i="4"/>
  <c r="A7243" i="4"/>
  <c r="A7244" i="4"/>
  <c r="A7245" i="4"/>
  <c r="A7246" i="4"/>
  <c r="A7247" i="4"/>
  <c r="A7248" i="4"/>
  <c r="A7249" i="4"/>
  <c r="A7250" i="4"/>
  <c r="A7251" i="4"/>
  <c r="A7252" i="4"/>
  <c r="A7253" i="4"/>
  <c r="A7254" i="4"/>
  <c r="A7255" i="4"/>
  <c r="A7256" i="4"/>
  <c r="A7257" i="4"/>
  <c r="A7258" i="4"/>
  <c r="A7259" i="4"/>
  <c r="A7260" i="4"/>
  <c r="A7261" i="4"/>
  <c r="A7262" i="4"/>
  <c r="A7263" i="4"/>
  <c r="A7264" i="4"/>
  <c r="A7265" i="4"/>
  <c r="A7266" i="4"/>
  <c r="A7267" i="4"/>
  <c r="A7268" i="4"/>
  <c r="A7269" i="4"/>
  <c r="A7270" i="4"/>
  <c r="A7271" i="4"/>
  <c r="A7272" i="4"/>
  <c r="A7273" i="4"/>
  <c r="A7274" i="4"/>
  <c r="A7275" i="4"/>
  <c r="A7276" i="4"/>
  <c r="A7277" i="4"/>
  <c r="A7278" i="4"/>
  <c r="A7279" i="4"/>
  <c r="A7280" i="4"/>
  <c r="A7281" i="4"/>
  <c r="A7282" i="4"/>
  <c r="A7283" i="4"/>
  <c r="A7284" i="4"/>
  <c r="A7285" i="4"/>
  <c r="A7286" i="4"/>
  <c r="A7287" i="4"/>
  <c r="A7288" i="4"/>
  <c r="A7289" i="4"/>
  <c r="A7290" i="4"/>
  <c r="A7291" i="4"/>
  <c r="A7292" i="4"/>
  <c r="A7293" i="4"/>
  <c r="A7294" i="4"/>
  <c r="A7295" i="4"/>
  <c r="A7296" i="4"/>
  <c r="A7297" i="4"/>
  <c r="A7298" i="4"/>
  <c r="A7299" i="4"/>
  <c r="A7300" i="4"/>
  <c r="A7301" i="4"/>
  <c r="A7302" i="4"/>
  <c r="A7303" i="4"/>
  <c r="A7304" i="4"/>
  <c r="A7305" i="4"/>
  <c r="A7306" i="4"/>
  <c r="A7307" i="4"/>
  <c r="A7308" i="4"/>
  <c r="A7309" i="4"/>
  <c r="A7310" i="4"/>
  <c r="A7311" i="4"/>
  <c r="A7312" i="4"/>
  <c r="A7313" i="4"/>
  <c r="A7314" i="4"/>
  <c r="A7315" i="4"/>
  <c r="A7316" i="4"/>
  <c r="A7317" i="4"/>
  <c r="A7318" i="4"/>
  <c r="A7319" i="4"/>
  <c r="A7320" i="4"/>
  <c r="A7321" i="4"/>
  <c r="A7322" i="4"/>
  <c r="A7323" i="4"/>
  <c r="A7324" i="4"/>
  <c r="A7325" i="4"/>
  <c r="A7326" i="4"/>
  <c r="A7327" i="4"/>
  <c r="A7328" i="4"/>
  <c r="A7329" i="4"/>
  <c r="A7330" i="4"/>
  <c r="A7331" i="4"/>
  <c r="A7332" i="4"/>
  <c r="A7333" i="4"/>
  <c r="A7334" i="4"/>
  <c r="A7335" i="4"/>
  <c r="A7336" i="4"/>
  <c r="A7337" i="4"/>
  <c r="A7338" i="4"/>
  <c r="A7339" i="4"/>
  <c r="A7340" i="4"/>
  <c r="A7341" i="4"/>
  <c r="A7342" i="4"/>
  <c r="A7343" i="4"/>
  <c r="A7344" i="4"/>
  <c r="A7345" i="4"/>
  <c r="A7346" i="4"/>
  <c r="A7347" i="4"/>
  <c r="A7348" i="4"/>
  <c r="A7349" i="4"/>
  <c r="A7350" i="4"/>
  <c r="A7351" i="4"/>
  <c r="A7352" i="4"/>
  <c r="A7353" i="4"/>
  <c r="A7354" i="4"/>
  <c r="A7355" i="4"/>
  <c r="A7356" i="4"/>
  <c r="A7357" i="4"/>
  <c r="A7358" i="4"/>
  <c r="A7359" i="4"/>
  <c r="A7360" i="4"/>
  <c r="A7361" i="4"/>
  <c r="A7362" i="4"/>
  <c r="A7363" i="4"/>
  <c r="A7364" i="4"/>
  <c r="A7365" i="4"/>
  <c r="A7366" i="4"/>
  <c r="A7367" i="4"/>
  <c r="A7368" i="4"/>
  <c r="A7369" i="4"/>
  <c r="A7370" i="4"/>
  <c r="A7371" i="4"/>
  <c r="A7372" i="4"/>
  <c r="A7373" i="4"/>
  <c r="A7374" i="4"/>
  <c r="A7375" i="4"/>
  <c r="A7376" i="4"/>
  <c r="A7377" i="4"/>
  <c r="A7378" i="4"/>
  <c r="A7379" i="4"/>
  <c r="A7380" i="4"/>
  <c r="A7381" i="4"/>
  <c r="A7382" i="4"/>
  <c r="A7383" i="4"/>
  <c r="A7384" i="4"/>
  <c r="A7385" i="4"/>
  <c r="A7386" i="4"/>
  <c r="A7387" i="4"/>
  <c r="A7388" i="4"/>
  <c r="A7389" i="4"/>
  <c r="A7390" i="4"/>
  <c r="A7391" i="4"/>
  <c r="A7392" i="4"/>
  <c r="A7393" i="4"/>
  <c r="A7394" i="4"/>
  <c r="A7395" i="4"/>
  <c r="A7396" i="4"/>
  <c r="A7397" i="4"/>
  <c r="A7398" i="4"/>
  <c r="A7399" i="4"/>
  <c r="A7400" i="4"/>
  <c r="A7401" i="4"/>
  <c r="A7402" i="4"/>
  <c r="A7403" i="4"/>
  <c r="A7404" i="4"/>
  <c r="A7405" i="4"/>
  <c r="A7406" i="4"/>
  <c r="A7407" i="4"/>
  <c r="A7408" i="4"/>
  <c r="A7409" i="4"/>
  <c r="A7410" i="4"/>
  <c r="A7411" i="4"/>
  <c r="A7412" i="4"/>
  <c r="A7413" i="4"/>
  <c r="A7414" i="4"/>
  <c r="A7415" i="4"/>
  <c r="A7416" i="4"/>
  <c r="A7417" i="4"/>
  <c r="A7418" i="4"/>
  <c r="A7419" i="4"/>
  <c r="A7420" i="4"/>
  <c r="A7421" i="4"/>
  <c r="A7422" i="4"/>
  <c r="A7423" i="4"/>
  <c r="A7424" i="4"/>
  <c r="A7425" i="4"/>
  <c r="A7426" i="4"/>
  <c r="A7427" i="4"/>
  <c r="A7428" i="4"/>
  <c r="A7429" i="4"/>
  <c r="A7430" i="4"/>
  <c r="A7431" i="4"/>
  <c r="A7432" i="4"/>
  <c r="A7433" i="4"/>
  <c r="A7434" i="4"/>
  <c r="A7435" i="4"/>
  <c r="A7436" i="4"/>
  <c r="A7437" i="4"/>
  <c r="A7438" i="4"/>
  <c r="A7439" i="4"/>
  <c r="A7440" i="4"/>
  <c r="A7441" i="4"/>
  <c r="A7442" i="4"/>
  <c r="A7443" i="4"/>
  <c r="A7444" i="4"/>
  <c r="A7445" i="4"/>
  <c r="A7446" i="4"/>
  <c r="A7447" i="4"/>
  <c r="A7448" i="4"/>
  <c r="A7449" i="4"/>
  <c r="A7450" i="4"/>
  <c r="A7451" i="4"/>
  <c r="A7452" i="4"/>
  <c r="A7453" i="4"/>
  <c r="A7454" i="4"/>
  <c r="A7455" i="4"/>
  <c r="A7456" i="4"/>
  <c r="A7457" i="4"/>
  <c r="A7458" i="4"/>
  <c r="A7459" i="4"/>
  <c r="A7460" i="4"/>
  <c r="A7461" i="4"/>
  <c r="A7462" i="4"/>
  <c r="A7463" i="4"/>
  <c r="A7464" i="4"/>
  <c r="A7465" i="4"/>
  <c r="A7466" i="4"/>
  <c r="A7467" i="4"/>
  <c r="A7468" i="4"/>
  <c r="A7469" i="4"/>
  <c r="A7470" i="4"/>
  <c r="A7471" i="4"/>
  <c r="A7472" i="4"/>
  <c r="A7473" i="4"/>
  <c r="A7474" i="4"/>
  <c r="A7475" i="4"/>
  <c r="A7476" i="4"/>
  <c r="A7477" i="4"/>
  <c r="A7478" i="4"/>
  <c r="A7479" i="4"/>
  <c r="A7480" i="4"/>
  <c r="A7481" i="4"/>
  <c r="A7482" i="4"/>
  <c r="A7483" i="4"/>
  <c r="A7484" i="4"/>
  <c r="A7485" i="4"/>
  <c r="A7486" i="4"/>
  <c r="A7487" i="4"/>
  <c r="A7488" i="4"/>
  <c r="A7489" i="4"/>
  <c r="A7490" i="4"/>
  <c r="A7491" i="4"/>
  <c r="A7492" i="4"/>
  <c r="A7493" i="4"/>
  <c r="A7494" i="4"/>
  <c r="A7495" i="4"/>
  <c r="A7496" i="4"/>
  <c r="A7497" i="4"/>
  <c r="A7498" i="4"/>
  <c r="A7499" i="4"/>
  <c r="A7500" i="4"/>
  <c r="A7501" i="4"/>
  <c r="A7502" i="4"/>
  <c r="A7503" i="4"/>
  <c r="A7504" i="4"/>
  <c r="A7505" i="4"/>
  <c r="A7506" i="4"/>
  <c r="A7507" i="4"/>
  <c r="A7508" i="4"/>
  <c r="A7509" i="4"/>
  <c r="A7510" i="4"/>
  <c r="A7511" i="4"/>
  <c r="A7512" i="4"/>
  <c r="A7513" i="4"/>
  <c r="A7514" i="4"/>
  <c r="A7515" i="4"/>
  <c r="A7516" i="4"/>
  <c r="A7517" i="4"/>
  <c r="A7518" i="4"/>
  <c r="A7519" i="4"/>
  <c r="A7520" i="4"/>
  <c r="A7521" i="4"/>
  <c r="A7522" i="4"/>
  <c r="A7523" i="4"/>
  <c r="A7524" i="4"/>
  <c r="A7525" i="4"/>
  <c r="A7526" i="4"/>
  <c r="A7527" i="4"/>
  <c r="A7528" i="4"/>
  <c r="A7529" i="4"/>
  <c r="A7530" i="4"/>
  <c r="A7531" i="4"/>
  <c r="A7532" i="4"/>
  <c r="A7533" i="4"/>
  <c r="A7534" i="4"/>
  <c r="A7535" i="4"/>
  <c r="A7536" i="4"/>
  <c r="A7537" i="4"/>
  <c r="A7538" i="4"/>
  <c r="A7539" i="4"/>
  <c r="A7540" i="4"/>
  <c r="A7541" i="4"/>
  <c r="A7542" i="4"/>
  <c r="A7543" i="4"/>
  <c r="A7544" i="4"/>
  <c r="A7545" i="4"/>
  <c r="A7546" i="4"/>
  <c r="A7547" i="4"/>
  <c r="A7548" i="4"/>
  <c r="A7549" i="4"/>
  <c r="A7550" i="4"/>
  <c r="A7551" i="4"/>
  <c r="A7552" i="4"/>
  <c r="A7553" i="4"/>
  <c r="A7554" i="4"/>
  <c r="A7555" i="4"/>
  <c r="A7556" i="4"/>
  <c r="A7557" i="4"/>
  <c r="A7558" i="4"/>
  <c r="A7559" i="4"/>
  <c r="A7560" i="4"/>
  <c r="A7561" i="4"/>
  <c r="A7562" i="4"/>
  <c r="A7563" i="4"/>
  <c r="A7564" i="4"/>
  <c r="A7565" i="4"/>
  <c r="A7566" i="4"/>
  <c r="A7567" i="4"/>
  <c r="A7568" i="4"/>
  <c r="A7569" i="4"/>
  <c r="A7570" i="4"/>
  <c r="A7571" i="4"/>
  <c r="A7572" i="4"/>
  <c r="A7573" i="4"/>
  <c r="A7574" i="4"/>
  <c r="A7575" i="4"/>
  <c r="A7576" i="4"/>
  <c r="A7577" i="4"/>
  <c r="A7578" i="4"/>
  <c r="A7579" i="4"/>
  <c r="A7580" i="4"/>
  <c r="A7581" i="4"/>
  <c r="A7582" i="4"/>
  <c r="A7583" i="4"/>
  <c r="A7584" i="4"/>
  <c r="A7585" i="4"/>
  <c r="A7586" i="4"/>
  <c r="A7587" i="4"/>
  <c r="A7588" i="4"/>
  <c r="A7589" i="4"/>
  <c r="A7590" i="4"/>
  <c r="A7591" i="4"/>
  <c r="A7592" i="4"/>
  <c r="A7593" i="4"/>
  <c r="A7594" i="4"/>
  <c r="A7595" i="4"/>
  <c r="A7596" i="4"/>
  <c r="A7597" i="4"/>
  <c r="A7598" i="4"/>
  <c r="A7599" i="4"/>
  <c r="A7600" i="4"/>
  <c r="A7601" i="4"/>
  <c r="A7602" i="4"/>
  <c r="A7603" i="4"/>
  <c r="A7604" i="4"/>
  <c r="A7605" i="4"/>
  <c r="A7606" i="4"/>
  <c r="A7607" i="4"/>
  <c r="A7608" i="4"/>
  <c r="A7609" i="4"/>
  <c r="A7610" i="4"/>
  <c r="A7611" i="4"/>
  <c r="A7612" i="4"/>
  <c r="A7613" i="4"/>
  <c r="A7614" i="4"/>
  <c r="A7615" i="4"/>
  <c r="A7616" i="4"/>
  <c r="A7617" i="4"/>
  <c r="A7618" i="4"/>
  <c r="A7619" i="4"/>
  <c r="A7620" i="4"/>
  <c r="A7621" i="4"/>
  <c r="A7622" i="4"/>
  <c r="A7623" i="4"/>
  <c r="A7624" i="4"/>
  <c r="A7625" i="4"/>
  <c r="A7626" i="4"/>
  <c r="A7627" i="4"/>
  <c r="A7628" i="4"/>
  <c r="A7629" i="4"/>
  <c r="A7630" i="4"/>
  <c r="A7631" i="4"/>
  <c r="A7632" i="4"/>
  <c r="A7633" i="4"/>
  <c r="A7634" i="4"/>
  <c r="A7635" i="4"/>
  <c r="A7636" i="4"/>
  <c r="A7637" i="4"/>
  <c r="A7638" i="4"/>
  <c r="A7639" i="4"/>
  <c r="A7640" i="4"/>
  <c r="A7641" i="4"/>
  <c r="A7642" i="4"/>
  <c r="A7643" i="4"/>
  <c r="A7644" i="4"/>
  <c r="A7645" i="4"/>
  <c r="A7646" i="4"/>
  <c r="A7647" i="4"/>
  <c r="A7648" i="4"/>
  <c r="A7649" i="4"/>
  <c r="A7650" i="4"/>
  <c r="A7651" i="4"/>
  <c r="A7652" i="4"/>
  <c r="A7653" i="4"/>
  <c r="A7654" i="4"/>
  <c r="A7655" i="4"/>
  <c r="A7656" i="4"/>
  <c r="A7657" i="4"/>
  <c r="A7658" i="4"/>
  <c r="A7659" i="4"/>
  <c r="A7660" i="4"/>
  <c r="A7661" i="4"/>
  <c r="A7662" i="4"/>
  <c r="A7663" i="4"/>
  <c r="A7664" i="4"/>
  <c r="A7665" i="4"/>
  <c r="A7666" i="4"/>
  <c r="A7667" i="4"/>
  <c r="A7668" i="4"/>
  <c r="A7669" i="4"/>
  <c r="A7670" i="4"/>
  <c r="A7671" i="4"/>
  <c r="A7672" i="4"/>
  <c r="A7673" i="4"/>
  <c r="A7674" i="4"/>
  <c r="A7675" i="4"/>
  <c r="A7676" i="4"/>
  <c r="A7677" i="4"/>
  <c r="A7678" i="4"/>
  <c r="A7679" i="4"/>
  <c r="A7680" i="4"/>
  <c r="A7681" i="4"/>
  <c r="A7682" i="4"/>
  <c r="A7683" i="4"/>
  <c r="A7684" i="4"/>
  <c r="A7685" i="4"/>
  <c r="A7686" i="4"/>
  <c r="A7687" i="4"/>
  <c r="A7688" i="4"/>
  <c r="A7689" i="4"/>
  <c r="A7690" i="4"/>
  <c r="A7691" i="4"/>
  <c r="A7692" i="4"/>
  <c r="A7693" i="4"/>
  <c r="A7694" i="4"/>
  <c r="A7695" i="4"/>
  <c r="A7696" i="4"/>
  <c r="A7697" i="4"/>
  <c r="A7698" i="4"/>
  <c r="A7699" i="4"/>
  <c r="A7700" i="4"/>
  <c r="A7701" i="4"/>
  <c r="A7702" i="4"/>
  <c r="A7703" i="4"/>
  <c r="A7704" i="4"/>
  <c r="A7705" i="4"/>
  <c r="A7706" i="4"/>
  <c r="A7707" i="4"/>
  <c r="A7708" i="4"/>
  <c r="A7709" i="4"/>
  <c r="A7710" i="4"/>
  <c r="A7711" i="4"/>
  <c r="A7712" i="4"/>
  <c r="A7713" i="4"/>
  <c r="A7714" i="4"/>
  <c r="A7715" i="4"/>
  <c r="A7716" i="4"/>
  <c r="A7717" i="4"/>
  <c r="A7718" i="4"/>
  <c r="A7719" i="4"/>
  <c r="A7720" i="4"/>
  <c r="A7721" i="4"/>
  <c r="A7722" i="4"/>
  <c r="A7723" i="4"/>
  <c r="A7724" i="4"/>
  <c r="A7725" i="4"/>
  <c r="A7726" i="4"/>
  <c r="A7727" i="4"/>
  <c r="A7728" i="4"/>
  <c r="A7729" i="4"/>
  <c r="A7730" i="4"/>
  <c r="A7731" i="4"/>
  <c r="A7732" i="4"/>
  <c r="A7733" i="4"/>
  <c r="A7734" i="4"/>
  <c r="A7735" i="4"/>
  <c r="A7736" i="4"/>
  <c r="A7737" i="4"/>
  <c r="A7738" i="4"/>
  <c r="A7739" i="4"/>
  <c r="A7740" i="4"/>
  <c r="A7741" i="4"/>
  <c r="A7742" i="4"/>
  <c r="A7743" i="4"/>
  <c r="A7744" i="4"/>
  <c r="A7745" i="4"/>
  <c r="A7746" i="4"/>
  <c r="A7747" i="4"/>
  <c r="A7748" i="4"/>
  <c r="A7749" i="4"/>
  <c r="A7750" i="4"/>
  <c r="A7751" i="4"/>
  <c r="A7752" i="4"/>
  <c r="A7753" i="4"/>
  <c r="A7754" i="4"/>
  <c r="A7755" i="4"/>
  <c r="A7756" i="4"/>
  <c r="A7757" i="4"/>
  <c r="A7758" i="4"/>
  <c r="A7759" i="4"/>
  <c r="A7760" i="4"/>
  <c r="A7761" i="4"/>
  <c r="A7762" i="4"/>
  <c r="A7763" i="4"/>
  <c r="A7764" i="4"/>
  <c r="A7765" i="4"/>
  <c r="A7766" i="4"/>
  <c r="A7767" i="4"/>
  <c r="A7768" i="4"/>
  <c r="A7769" i="4"/>
  <c r="A7770" i="4"/>
  <c r="A7771" i="4"/>
  <c r="A7772" i="4"/>
  <c r="A7773" i="4"/>
  <c r="A7774" i="4"/>
  <c r="A7775" i="4"/>
  <c r="A7776" i="4"/>
  <c r="A7777" i="4"/>
  <c r="A7778" i="4"/>
  <c r="A7779" i="4"/>
  <c r="A7780" i="4"/>
  <c r="A7781" i="4"/>
  <c r="A7782" i="4"/>
  <c r="A7783" i="4"/>
  <c r="A7784" i="4"/>
  <c r="A7785" i="4"/>
  <c r="A7786" i="4"/>
  <c r="A7787" i="4"/>
  <c r="A7788" i="4"/>
  <c r="A7789" i="4"/>
  <c r="A7790" i="4"/>
  <c r="A7791" i="4"/>
  <c r="A7792" i="4"/>
  <c r="A7793" i="4"/>
  <c r="A7794" i="4"/>
  <c r="A7795" i="4"/>
  <c r="A7796" i="4"/>
  <c r="A7797" i="4"/>
  <c r="A7798" i="4"/>
  <c r="A7799" i="4"/>
  <c r="A7800" i="4"/>
  <c r="A7801" i="4"/>
  <c r="A7802" i="4"/>
  <c r="A7803" i="4"/>
  <c r="A7804" i="4"/>
  <c r="A7805" i="4"/>
  <c r="A7806" i="4"/>
  <c r="A7807" i="4"/>
  <c r="A7808" i="4"/>
  <c r="A7809" i="4"/>
  <c r="A7810" i="4"/>
  <c r="A7811" i="4"/>
  <c r="A7812" i="4"/>
  <c r="A7813" i="4"/>
  <c r="A7814" i="4"/>
  <c r="A7815" i="4"/>
  <c r="A7816" i="4"/>
  <c r="A7817" i="4"/>
  <c r="A7818" i="4"/>
  <c r="A7819" i="4"/>
  <c r="A7820" i="4"/>
  <c r="A7821" i="4"/>
  <c r="A7822" i="4"/>
  <c r="A7823" i="4"/>
  <c r="A7824" i="4"/>
  <c r="A7825" i="4"/>
  <c r="A7826" i="4"/>
  <c r="A7827" i="4"/>
  <c r="A7828" i="4"/>
  <c r="A7829" i="4"/>
  <c r="A7830" i="4"/>
  <c r="A7831" i="4"/>
  <c r="A7832" i="4"/>
  <c r="A7833" i="4"/>
  <c r="A7834" i="4"/>
  <c r="A7835" i="4"/>
  <c r="A7836" i="4"/>
  <c r="A7837" i="4"/>
  <c r="A7838" i="4"/>
  <c r="A7839" i="4"/>
  <c r="A7840" i="4"/>
  <c r="A7841" i="4"/>
  <c r="A7842" i="4"/>
  <c r="A7843" i="4"/>
  <c r="A7844" i="4"/>
  <c r="A7845" i="4"/>
  <c r="A7846" i="4"/>
  <c r="A7847" i="4"/>
  <c r="A7848" i="4"/>
  <c r="A7849" i="4"/>
  <c r="A7850" i="4"/>
  <c r="A7851" i="4"/>
  <c r="A7852" i="4"/>
  <c r="A7853" i="4"/>
  <c r="A7854" i="4"/>
  <c r="A7855" i="4"/>
  <c r="A7856" i="4"/>
  <c r="A7857" i="4"/>
  <c r="A7858" i="4"/>
  <c r="A7859" i="4"/>
  <c r="A7860" i="4"/>
  <c r="A7861" i="4"/>
  <c r="A7862" i="4"/>
  <c r="A7863" i="4"/>
  <c r="A7864" i="4"/>
  <c r="A7865" i="4"/>
  <c r="A7866" i="4"/>
  <c r="A7867" i="4"/>
  <c r="A7868" i="4"/>
  <c r="A7869" i="4"/>
  <c r="A7870" i="4"/>
  <c r="A7871" i="4"/>
  <c r="A7872" i="4"/>
  <c r="A7873" i="4"/>
  <c r="A7874" i="4"/>
  <c r="A7875" i="4"/>
  <c r="A7876" i="4"/>
  <c r="A7877" i="4"/>
  <c r="A7878" i="4"/>
  <c r="A7879" i="4"/>
  <c r="A7880" i="4"/>
  <c r="A7881" i="4"/>
  <c r="A7882" i="4"/>
  <c r="A7883" i="4"/>
  <c r="A7884" i="4"/>
  <c r="A7885" i="4"/>
  <c r="A7886" i="4"/>
  <c r="A7887" i="4"/>
  <c r="A7888" i="4"/>
  <c r="A7889" i="4"/>
  <c r="A7890" i="4"/>
  <c r="A7891" i="4"/>
  <c r="A7892" i="4"/>
  <c r="A7893" i="4"/>
  <c r="A7894" i="4"/>
  <c r="A7895" i="4"/>
  <c r="A7896" i="4"/>
  <c r="A7897" i="4"/>
  <c r="A7898" i="4"/>
  <c r="A7899" i="4"/>
  <c r="A7900" i="4"/>
  <c r="A7901" i="4"/>
  <c r="A7902" i="4"/>
  <c r="A7903" i="4"/>
  <c r="A7904" i="4"/>
  <c r="A7905" i="4"/>
  <c r="A7906" i="4"/>
  <c r="A7907" i="4"/>
  <c r="A7908" i="4"/>
  <c r="A7909" i="4"/>
  <c r="A7910" i="4"/>
  <c r="A7911" i="4"/>
  <c r="A7912" i="4"/>
  <c r="A7913" i="4"/>
  <c r="A7914" i="4"/>
  <c r="A7915" i="4"/>
  <c r="A7916" i="4"/>
  <c r="A7917" i="4"/>
  <c r="A7918" i="4"/>
  <c r="A7919" i="4"/>
  <c r="A7920" i="4"/>
  <c r="A7921" i="4"/>
  <c r="A7922" i="4"/>
  <c r="A7923" i="4"/>
  <c r="A7924" i="4"/>
  <c r="A7925" i="4"/>
  <c r="A7926" i="4"/>
  <c r="A7927" i="4"/>
  <c r="A7928" i="4"/>
  <c r="A7929" i="4"/>
  <c r="A7930" i="4"/>
  <c r="A7931" i="4"/>
  <c r="A7932" i="4"/>
  <c r="A7933" i="4"/>
  <c r="A7934" i="4"/>
  <c r="A7935" i="4"/>
  <c r="A7936" i="4"/>
  <c r="A7937" i="4"/>
  <c r="A7938" i="4"/>
  <c r="A7939" i="4"/>
  <c r="A7940" i="4"/>
  <c r="A7941" i="4"/>
  <c r="A7942" i="4"/>
  <c r="A7943" i="4"/>
  <c r="A7944" i="4"/>
  <c r="A7945" i="4"/>
  <c r="A7946" i="4"/>
  <c r="A7947" i="4"/>
  <c r="A7948" i="4"/>
  <c r="A7949" i="4"/>
  <c r="A7950" i="4"/>
  <c r="A7951" i="4"/>
  <c r="A7952" i="4"/>
  <c r="A7953" i="4"/>
  <c r="A7954" i="4"/>
  <c r="A7955" i="4"/>
  <c r="A7956" i="4"/>
  <c r="A7957" i="4"/>
  <c r="A7958" i="4"/>
  <c r="A7959" i="4"/>
  <c r="A7960" i="4"/>
  <c r="A7961" i="4"/>
  <c r="A7962" i="4"/>
  <c r="A7963" i="4"/>
  <c r="A7964" i="4"/>
  <c r="A7965" i="4"/>
  <c r="A7966" i="4"/>
  <c r="A7967" i="4"/>
  <c r="A7968" i="4"/>
  <c r="A7969" i="4"/>
  <c r="A7970" i="4"/>
  <c r="A7971" i="4"/>
  <c r="A7972" i="4"/>
  <c r="A7973" i="4"/>
  <c r="A7974" i="4"/>
  <c r="A7975" i="4"/>
  <c r="A7976" i="4"/>
  <c r="A7977" i="4"/>
  <c r="A7978" i="4"/>
  <c r="A7979" i="4"/>
  <c r="A7980" i="4"/>
  <c r="A7981" i="4"/>
  <c r="A7982" i="4"/>
  <c r="A7983" i="4"/>
  <c r="A7984" i="4"/>
  <c r="A7985" i="4"/>
  <c r="A7986" i="4"/>
  <c r="A7987" i="4"/>
  <c r="A7988" i="4"/>
  <c r="A7989" i="4"/>
  <c r="A7990" i="4"/>
  <c r="A7991" i="4"/>
  <c r="A7992" i="4"/>
  <c r="A7993" i="4"/>
  <c r="A7994" i="4"/>
  <c r="A7995" i="4"/>
  <c r="A7996" i="4"/>
  <c r="A7997" i="4"/>
  <c r="A7998" i="4"/>
  <c r="A7999" i="4"/>
  <c r="A8000" i="4"/>
  <c r="A8001" i="4"/>
  <c r="A8002" i="4"/>
  <c r="A8003" i="4"/>
  <c r="A8004" i="4"/>
  <c r="A8005" i="4"/>
  <c r="A8006" i="4"/>
  <c r="A8007" i="4"/>
  <c r="A8008" i="4"/>
  <c r="A8009" i="4"/>
  <c r="A8010" i="4"/>
  <c r="A8011" i="4"/>
  <c r="A8012" i="4"/>
  <c r="A8013" i="4"/>
  <c r="A8014" i="4"/>
  <c r="A8015" i="4"/>
  <c r="A8016" i="4"/>
  <c r="A8017" i="4"/>
  <c r="A8018" i="4"/>
  <c r="A8019" i="4"/>
  <c r="A8020" i="4"/>
  <c r="A8021" i="4"/>
  <c r="A8022" i="4"/>
  <c r="A8023" i="4"/>
  <c r="A8024" i="4"/>
  <c r="A8025" i="4"/>
  <c r="A8026" i="4"/>
  <c r="A8027" i="4"/>
  <c r="A8028" i="4"/>
  <c r="A8029" i="4"/>
  <c r="A8030" i="4"/>
  <c r="A8031" i="4"/>
  <c r="A8032" i="4"/>
  <c r="A8033" i="4"/>
  <c r="A8034" i="4"/>
  <c r="A8035" i="4"/>
  <c r="A8036" i="4"/>
  <c r="A8037" i="4"/>
  <c r="A8038" i="4"/>
  <c r="A8039" i="4"/>
  <c r="A8040" i="4"/>
  <c r="A8041" i="4"/>
  <c r="A8042" i="4"/>
  <c r="A8043" i="4"/>
  <c r="A8044" i="4"/>
  <c r="A8045" i="4"/>
  <c r="A8046" i="4"/>
  <c r="A8047" i="4"/>
  <c r="A8048" i="4"/>
  <c r="A8049" i="4"/>
  <c r="A8050" i="4"/>
  <c r="A8051" i="4"/>
  <c r="A8052" i="4"/>
  <c r="A8053" i="4"/>
  <c r="A8054" i="4"/>
  <c r="A8055" i="4"/>
  <c r="A8056" i="4"/>
  <c r="A8057" i="4"/>
  <c r="A8058" i="4"/>
  <c r="A8059" i="4"/>
  <c r="A8060" i="4"/>
  <c r="A8061" i="4"/>
  <c r="A8062" i="4"/>
  <c r="A8063" i="4"/>
  <c r="A8064" i="4"/>
  <c r="A8065" i="4"/>
  <c r="A8066" i="4"/>
  <c r="A8067" i="4"/>
  <c r="A8068" i="4"/>
  <c r="A8069" i="4"/>
  <c r="A8070" i="4"/>
  <c r="A8071" i="4"/>
  <c r="A8072" i="4"/>
  <c r="A8073" i="4"/>
  <c r="A8074" i="4"/>
  <c r="A8075" i="4"/>
  <c r="A8076" i="4"/>
  <c r="A8077" i="4"/>
  <c r="A8078" i="4"/>
  <c r="A8079" i="4"/>
  <c r="A8080" i="4"/>
  <c r="A8081" i="4"/>
  <c r="A8082" i="4"/>
  <c r="A8083" i="4"/>
  <c r="A8084" i="4"/>
  <c r="A8085" i="4"/>
  <c r="A8086" i="4"/>
  <c r="A8087" i="4"/>
  <c r="A8088" i="4"/>
  <c r="A8089" i="4"/>
  <c r="A8090" i="4"/>
  <c r="A8091" i="4"/>
  <c r="A8092" i="4"/>
  <c r="A8093" i="4"/>
  <c r="A8094" i="4"/>
  <c r="A8095" i="4"/>
  <c r="A8096" i="4"/>
  <c r="A8097" i="4"/>
  <c r="A8098" i="4"/>
  <c r="A8099" i="4"/>
  <c r="A8100" i="4"/>
  <c r="A8101" i="4"/>
  <c r="A8102" i="4"/>
  <c r="A8103" i="4"/>
  <c r="A8104" i="4"/>
  <c r="A8105" i="4"/>
  <c r="A8106" i="4"/>
  <c r="A8107" i="4"/>
  <c r="A8108" i="4"/>
  <c r="A8109" i="4"/>
  <c r="A8110" i="4"/>
  <c r="A8111" i="4"/>
  <c r="A8112" i="4"/>
  <c r="A8113" i="4"/>
  <c r="A8114" i="4"/>
  <c r="A8115" i="4"/>
  <c r="A8116" i="4"/>
  <c r="A8117" i="4"/>
  <c r="A8118" i="4"/>
  <c r="A8119" i="4"/>
  <c r="A8120" i="4"/>
  <c r="A8121" i="4"/>
  <c r="A8122" i="4"/>
  <c r="A8123" i="4"/>
  <c r="A8124" i="4"/>
  <c r="A8125" i="4"/>
  <c r="A8126" i="4"/>
  <c r="A8127" i="4"/>
  <c r="A8128" i="4"/>
  <c r="A8129" i="4"/>
  <c r="A8130" i="4"/>
  <c r="A8131" i="4"/>
  <c r="A8132" i="4"/>
  <c r="A8133" i="4"/>
  <c r="A8134" i="4"/>
  <c r="A8135" i="4"/>
  <c r="A8136" i="4"/>
  <c r="A8137" i="4"/>
  <c r="A8138" i="4"/>
  <c r="A8139" i="4"/>
  <c r="A8140" i="4"/>
  <c r="A8141" i="4"/>
  <c r="A8142" i="4"/>
  <c r="A8143" i="4"/>
  <c r="A8144" i="4"/>
  <c r="A8145" i="4"/>
  <c r="A8146" i="4"/>
  <c r="A8147" i="4"/>
  <c r="A8148" i="4"/>
  <c r="A8149" i="4"/>
  <c r="A8150" i="4"/>
  <c r="A8151" i="4"/>
  <c r="A8152" i="4"/>
  <c r="A8153" i="4"/>
  <c r="A8154" i="4"/>
  <c r="A8155" i="4"/>
  <c r="A8156" i="4"/>
  <c r="A8157" i="4"/>
  <c r="A8158" i="4"/>
  <c r="A8159" i="4"/>
  <c r="A8160" i="4"/>
  <c r="A8161" i="4"/>
  <c r="A8162" i="4"/>
  <c r="A8163" i="4"/>
  <c r="A8164" i="4"/>
  <c r="A8165" i="4"/>
  <c r="A8166" i="4"/>
  <c r="A8167" i="4"/>
  <c r="A8168" i="4"/>
  <c r="A8169" i="4"/>
  <c r="A8170" i="4"/>
  <c r="A8171" i="4"/>
  <c r="A8172" i="4"/>
  <c r="A8173" i="4"/>
  <c r="A8174" i="4"/>
  <c r="A8175" i="4"/>
  <c r="A8176" i="4"/>
  <c r="A8177" i="4"/>
  <c r="A8178" i="4"/>
  <c r="A8179" i="4"/>
  <c r="A8180" i="4"/>
  <c r="A8181" i="4"/>
  <c r="A8182" i="4"/>
  <c r="A8183" i="4"/>
  <c r="A8184" i="4"/>
  <c r="A8185" i="4"/>
  <c r="A8186" i="4"/>
  <c r="A8187" i="4"/>
  <c r="A8188" i="4"/>
  <c r="A8189" i="4"/>
  <c r="A8190" i="4"/>
  <c r="A8191" i="4"/>
  <c r="A8192" i="4"/>
  <c r="A8193" i="4"/>
  <c r="A8194" i="4"/>
  <c r="A8195" i="4"/>
  <c r="A8196" i="4"/>
  <c r="A8197" i="4"/>
  <c r="A8198" i="4"/>
  <c r="A8199" i="4"/>
  <c r="A8200" i="4"/>
  <c r="A8201" i="4"/>
  <c r="A8202" i="4"/>
  <c r="A8203" i="4"/>
  <c r="A8204" i="4"/>
  <c r="A8205" i="4"/>
  <c r="A8206" i="4"/>
  <c r="A8207" i="4"/>
  <c r="A8208" i="4"/>
  <c r="A8209" i="4"/>
  <c r="A8210" i="4"/>
  <c r="A8211" i="4"/>
  <c r="A8212" i="4"/>
  <c r="A8213" i="4"/>
  <c r="A8214" i="4"/>
  <c r="A8215" i="4"/>
  <c r="A8216" i="4"/>
  <c r="A8217" i="4"/>
  <c r="A8218" i="4"/>
  <c r="A8219" i="4"/>
  <c r="A8220" i="4"/>
  <c r="A8221" i="4"/>
  <c r="A8222" i="4"/>
  <c r="A8223" i="4"/>
  <c r="A8224" i="4"/>
  <c r="A8225" i="4"/>
  <c r="A8226" i="4"/>
  <c r="A8227" i="4"/>
  <c r="A8228" i="4"/>
  <c r="A8229" i="4"/>
  <c r="A8230" i="4"/>
  <c r="A8231" i="4"/>
  <c r="A8232" i="4"/>
  <c r="A8233" i="4"/>
  <c r="A8234" i="4"/>
  <c r="A8235" i="4"/>
  <c r="A8236" i="4"/>
  <c r="A8237" i="4"/>
  <c r="A8238" i="4"/>
  <c r="A8239" i="4"/>
  <c r="A8240" i="4"/>
  <c r="A8241" i="4"/>
  <c r="A8242" i="4"/>
  <c r="A8243" i="4"/>
  <c r="A8244" i="4"/>
  <c r="A8245" i="4"/>
  <c r="A8246" i="4"/>
  <c r="A8247" i="4"/>
  <c r="A8248" i="4"/>
  <c r="A8249" i="4"/>
  <c r="A8250" i="4"/>
  <c r="A8251" i="4"/>
  <c r="A8252" i="4"/>
  <c r="A8253" i="4"/>
  <c r="A8254" i="4"/>
  <c r="A8255" i="4"/>
  <c r="A8256" i="4"/>
  <c r="A8257" i="4"/>
  <c r="A8258" i="4"/>
  <c r="A8259" i="4"/>
  <c r="A8260" i="4"/>
  <c r="A8261" i="4"/>
  <c r="A8262" i="4"/>
  <c r="A8263" i="4"/>
  <c r="A8264" i="4"/>
  <c r="A8265" i="4"/>
  <c r="A8266" i="4"/>
  <c r="A8267" i="4"/>
  <c r="A8268" i="4"/>
  <c r="A8269" i="4"/>
  <c r="A8270" i="4"/>
  <c r="A8271" i="4"/>
  <c r="A8272" i="4"/>
  <c r="A8273" i="4"/>
  <c r="A8274" i="4"/>
  <c r="A8275" i="4"/>
  <c r="A8276" i="4"/>
  <c r="A8277" i="4"/>
  <c r="A8278" i="4"/>
  <c r="A8279" i="4"/>
  <c r="A8280" i="4"/>
  <c r="A8281" i="4"/>
  <c r="A8282" i="4"/>
  <c r="A8283" i="4"/>
  <c r="A8284" i="4"/>
  <c r="A8285" i="4"/>
  <c r="A8286" i="4"/>
  <c r="A8287" i="4"/>
  <c r="A8288" i="4"/>
  <c r="A8289" i="4"/>
  <c r="A8290" i="4"/>
  <c r="A8291" i="4"/>
  <c r="A8292" i="4"/>
  <c r="A8293" i="4"/>
  <c r="A8294" i="4"/>
  <c r="A8295" i="4"/>
  <c r="A8296" i="4"/>
  <c r="A8297" i="4"/>
  <c r="A8298" i="4"/>
  <c r="A8299" i="4"/>
  <c r="A8300" i="4"/>
  <c r="A8301" i="4"/>
  <c r="A8302" i="4"/>
  <c r="A8303" i="4"/>
  <c r="A8304" i="4"/>
  <c r="A8305" i="4"/>
  <c r="A8306" i="4"/>
  <c r="A8307" i="4"/>
  <c r="A8308" i="4"/>
  <c r="A8309" i="4"/>
  <c r="A8310" i="4"/>
  <c r="A8311" i="4"/>
  <c r="A8312" i="4"/>
  <c r="A8313" i="4"/>
  <c r="A8314" i="4"/>
  <c r="A8315" i="4"/>
  <c r="A8316" i="4"/>
  <c r="A8317" i="4"/>
  <c r="A8318" i="4"/>
  <c r="A8319" i="4"/>
  <c r="A8320" i="4"/>
  <c r="A8321" i="4"/>
  <c r="A8322" i="4"/>
  <c r="A8323" i="4"/>
  <c r="A8324" i="4"/>
  <c r="A8325" i="4"/>
  <c r="A8326" i="4"/>
  <c r="A8327" i="4"/>
  <c r="A8328" i="4"/>
  <c r="A8329" i="4"/>
  <c r="A8330" i="4"/>
  <c r="A8331" i="4"/>
  <c r="A8332" i="4"/>
  <c r="A8333" i="4"/>
  <c r="A8334" i="4"/>
  <c r="A8335" i="4"/>
  <c r="A8336" i="4"/>
  <c r="A8337" i="4"/>
  <c r="A8338" i="4"/>
  <c r="A8339" i="4"/>
  <c r="A8340" i="4"/>
  <c r="A8341" i="4"/>
  <c r="A8342" i="4"/>
  <c r="A8343" i="4"/>
  <c r="A8344" i="4"/>
  <c r="A8345" i="4"/>
  <c r="A8346" i="4"/>
  <c r="A8347" i="4"/>
  <c r="A8348" i="4"/>
  <c r="A8349" i="4"/>
  <c r="A8350" i="4"/>
  <c r="A8351" i="4"/>
  <c r="A8352" i="4"/>
  <c r="A8353" i="4"/>
  <c r="A8354" i="4"/>
  <c r="A8355" i="4"/>
  <c r="A8356" i="4"/>
  <c r="A8357" i="4"/>
  <c r="A8358" i="4"/>
  <c r="A8359" i="4"/>
  <c r="A8360" i="4"/>
  <c r="A8361" i="4"/>
  <c r="A8362" i="4"/>
  <c r="A8363" i="4"/>
  <c r="A8364" i="4"/>
  <c r="A8365" i="4"/>
  <c r="A8366" i="4"/>
  <c r="A8367" i="4"/>
  <c r="A8368" i="4"/>
  <c r="A8369" i="4"/>
  <c r="A8370" i="4"/>
  <c r="A8371" i="4"/>
  <c r="A8372" i="4"/>
  <c r="A8373" i="4"/>
  <c r="A8374" i="4"/>
  <c r="A8375" i="4"/>
  <c r="A8376" i="4"/>
  <c r="A8377" i="4"/>
  <c r="A8378" i="4"/>
  <c r="A8379" i="4"/>
  <c r="A8380" i="4"/>
  <c r="A8381" i="4"/>
  <c r="A8382" i="4"/>
  <c r="A8383" i="4"/>
  <c r="A8384" i="4"/>
  <c r="A8385" i="4"/>
  <c r="A8386" i="4"/>
  <c r="A8387" i="4"/>
  <c r="A8388" i="4"/>
  <c r="A8389" i="4"/>
  <c r="A8390" i="4"/>
  <c r="A8391" i="4"/>
  <c r="A8392" i="4"/>
  <c r="A8393" i="4"/>
  <c r="A8394" i="4"/>
  <c r="A8395" i="4"/>
  <c r="A8396" i="4"/>
  <c r="A8397" i="4"/>
  <c r="A8398" i="4"/>
  <c r="A8399" i="4"/>
  <c r="A8400" i="4"/>
  <c r="A8401" i="4"/>
  <c r="A8402" i="4"/>
  <c r="A8403" i="4"/>
  <c r="A8404" i="4"/>
  <c r="A8405" i="4"/>
  <c r="A8406" i="4"/>
  <c r="A8407" i="4"/>
  <c r="A8408" i="4"/>
  <c r="A8409" i="4"/>
  <c r="A8410" i="4"/>
  <c r="A8411" i="4"/>
  <c r="A8412" i="4"/>
  <c r="A8413" i="4"/>
  <c r="A8414" i="4"/>
  <c r="A8415" i="4"/>
  <c r="A8416" i="4"/>
  <c r="A8417" i="4"/>
  <c r="A8418" i="4"/>
  <c r="A8419" i="4"/>
  <c r="A8420" i="4"/>
  <c r="A8421" i="4"/>
  <c r="A8422" i="4"/>
  <c r="A8423" i="4"/>
  <c r="A8424" i="4"/>
  <c r="A8425" i="4"/>
  <c r="A8426" i="4"/>
  <c r="A8427" i="4"/>
  <c r="A8428" i="4"/>
  <c r="A8429" i="4"/>
  <c r="A8430" i="4"/>
  <c r="A8431" i="4"/>
  <c r="A8432" i="4"/>
  <c r="A8433" i="4"/>
  <c r="A8434" i="4"/>
  <c r="A8435" i="4"/>
  <c r="A8436" i="4"/>
  <c r="A8437" i="4"/>
  <c r="A8438" i="4"/>
  <c r="A8439" i="4"/>
  <c r="A8440" i="4"/>
  <c r="A8441" i="4"/>
  <c r="A8442" i="4"/>
  <c r="A8443" i="4"/>
  <c r="A8444" i="4"/>
  <c r="A8445" i="4"/>
  <c r="A8446" i="4"/>
  <c r="A8447" i="4"/>
  <c r="A8448" i="4"/>
  <c r="A8449" i="4"/>
  <c r="A8450" i="4"/>
  <c r="A8451" i="4"/>
  <c r="A8452" i="4"/>
  <c r="A8453" i="4"/>
  <c r="A8454" i="4"/>
  <c r="A8455" i="4"/>
  <c r="A8456" i="4"/>
  <c r="A8457" i="4"/>
  <c r="A8458" i="4"/>
  <c r="A8459" i="4"/>
  <c r="A8460" i="4"/>
  <c r="A8461" i="4"/>
  <c r="A8462" i="4"/>
  <c r="A8463" i="4"/>
  <c r="A8464" i="4"/>
  <c r="A8465" i="4"/>
  <c r="A8466" i="4"/>
  <c r="A8467" i="4"/>
  <c r="A8468" i="4"/>
  <c r="A8469" i="4"/>
  <c r="A8470" i="4"/>
  <c r="A8471" i="4"/>
  <c r="A8472" i="4"/>
  <c r="A8473" i="4"/>
  <c r="A8474" i="4"/>
  <c r="A8475" i="4"/>
  <c r="A8476" i="4"/>
  <c r="A8477" i="4"/>
  <c r="A8478" i="4"/>
  <c r="A8479" i="4"/>
  <c r="A8480" i="4"/>
  <c r="A8481" i="4"/>
  <c r="A8482" i="4"/>
  <c r="A8483" i="4"/>
  <c r="A8484" i="4"/>
  <c r="A8485" i="4"/>
  <c r="A8486" i="4"/>
  <c r="A8487" i="4"/>
  <c r="A8488" i="4"/>
  <c r="A8489" i="4"/>
  <c r="A8490" i="4"/>
  <c r="A8491" i="4"/>
  <c r="A8492" i="4"/>
  <c r="A8493" i="4"/>
  <c r="A8494" i="4"/>
  <c r="A8495" i="4"/>
  <c r="A8496" i="4"/>
  <c r="A8497" i="4"/>
  <c r="A8498" i="4"/>
  <c r="A8499" i="4"/>
  <c r="A8500" i="4"/>
  <c r="A8501" i="4"/>
  <c r="A8502" i="4"/>
  <c r="A8503" i="4"/>
  <c r="A8504" i="4"/>
  <c r="A8505" i="4"/>
  <c r="A8506" i="4"/>
  <c r="A8507" i="4"/>
  <c r="A8508" i="4"/>
  <c r="A8509" i="4"/>
  <c r="A8510" i="4"/>
  <c r="A8511" i="4"/>
  <c r="A8512" i="4"/>
  <c r="A8513" i="4"/>
  <c r="A8514" i="4"/>
  <c r="A8515" i="4"/>
  <c r="A8516" i="4"/>
  <c r="A8517" i="4"/>
  <c r="A8518" i="4"/>
  <c r="A8519" i="4"/>
  <c r="A8520" i="4"/>
  <c r="A8521" i="4"/>
  <c r="A8522" i="4"/>
  <c r="A8523" i="4"/>
  <c r="A8524" i="4"/>
  <c r="A8525" i="4"/>
  <c r="A8526" i="4"/>
  <c r="A8527" i="4"/>
  <c r="A8528" i="4"/>
  <c r="A8529" i="4"/>
  <c r="A8530" i="4"/>
  <c r="A8531" i="4"/>
  <c r="A8532" i="4"/>
  <c r="A8533" i="4"/>
  <c r="A8534" i="4"/>
  <c r="A8535" i="4"/>
  <c r="A8536" i="4"/>
  <c r="A8537" i="4"/>
  <c r="A8538" i="4"/>
  <c r="A8539" i="4"/>
  <c r="A8540" i="4"/>
  <c r="A8541" i="4"/>
  <c r="A8542" i="4"/>
  <c r="A8543" i="4"/>
  <c r="A8544" i="4"/>
  <c r="A8545" i="4"/>
  <c r="A8546" i="4"/>
  <c r="A8547" i="4"/>
  <c r="A8548" i="4"/>
  <c r="A8549" i="4"/>
  <c r="A8550" i="4"/>
  <c r="A8551" i="4"/>
  <c r="A8552" i="4"/>
  <c r="A8553" i="4"/>
  <c r="A8554" i="4"/>
  <c r="A8555" i="4"/>
  <c r="A8556" i="4"/>
  <c r="A8557" i="4"/>
  <c r="A8558" i="4"/>
  <c r="A8559" i="4"/>
  <c r="A8560" i="4"/>
  <c r="A8561" i="4"/>
  <c r="A8562" i="4"/>
  <c r="A8563" i="4"/>
  <c r="A8564" i="4"/>
  <c r="A8565" i="4"/>
  <c r="A8566" i="4"/>
  <c r="A8567" i="4"/>
  <c r="A8568" i="4"/>
  <c r="A8569" i="4"/>
  <c r="A8570" i="4"/>
  <c r="A8571" i="4"/>
  <c r="A8572" i="4"/>
  <c r="A8573" i="4"/>
  <c r="A8574" i="4"/>
  <c r="A8575" i="4"/>
  <c r="A8576" i="4"/>
  <c r="A8577" i="4"/>
  <c r="A8578" i="4"/>
  <c r="A8579" i="4"/>
  <c r="A8580" i="4"/>
  <c r="A8581" i="4"/>
  <c r="A8582" i="4"/>
  <c r="A8583" i="4"/>
  <c r="A8584" i="4"/>
  <c r="A8585" i="4"/>
  <c r="A8586" i="4"/>
  <c r="A8587" i="4"/>
  <c r="A8588" i="4"/>
  <c r="A8589" i="4"/>
  <c r="A8590" i="4"/>
  <c r="A8591" i="4"/>
  <c r="A8592" i="4"/>
  <c r="A8593" i="4"/>
  <c r="A8594" i="4"/>
  <c r="A8595" i="4"/>
  <c r="A8596" i="4"/>
  <c r="A8597" i="4"/>
  <c r="A8598" i="4"/>
  <c r="A8599" i="4"/>
  <c r="A8600" i="4"/>
  <c r="A8601" i="4"/>
  <c r="A8602" i="4"/>
  <c r="A8603" i="4"/>
  <c r="A8604" i="4"/>
  <c r="A8605" i="4"/>
  <c r="A8606" i="4"/>
  <c r="A8607" i="4"/>
  <c r="A8608" i="4"/>
  <c r="A8609" i="4"/>
  <c r="A8610" i="4"/>
  <c r="A8611" i="4"/>
  <c r="A8612" i="4"/>
  <c r="A8613" i="4"/>
  <c r="A8614" i="4"/>
  <c r="A8615" i="4"/>
  <c r="A8616" i="4"/>
  <c r="A8617" i="4"/>
  <c r="A8618" i="4"/>
  <c r="A8619" i="4"/>
  <c r="A8620" i="4"/>
  <c r="A8621" i="4"/>
  <c r="A8622" i="4"/>
  <c r="A8623" i="4"/>
  <c r="A8624" i="4"/>
  <c r="A8625" i="4"/>
  <c r="A8626" i="4"/>
  <c r="A8627" i="4"/>
  <c r="A8628" i="4"/>
  <c r="A8629" i="4"/>
  <c r="A8630" i="4"/>
  <c r="A8631" i="4"/>
  <c r="A8632" i="4"/>
  <c r="A8633" i="4"/>
  <c r="A8634" i="4"/>
  <c r="A8635" i="4"/>
  <c r="A8636" i="4"/>
  <c r="A8637" i="4"/>
  <c r="A8638" i="4"/>
  <c r="A8639" i="4"/>
  <c r="A8640" i="4"/>
  <c r="A8641" i="4"/>
  <c r="A8642" i="4"/>
  <c r="A8643" i="4"/>
  <c r="A8644" i="4"/>
  <c r="A8645" i="4"/>
  <c r="A8646" i="4"/>
  <c r="A8647" i="4"/>
  <c r="A8648" i="4"/>
  <c r="A8649" i="4"/>
  <c r="A8650" i="4"/>
  <c r="A8651" i="4"/>
  <c r="A8652" i="4"/>
  <c r="A8653" i="4"/>
  <c r="A8654" i="4"/>
  <c r="A8655" i="4"/>
  <c r="A8656" i="4"/>
  <c r="A8657" i="4"/>
  <c r="A8658" i="4"/>
  <c r="A8659" i="4"/>
  <c r="A8660" i="4"/>
  <c r="A8661" i="4"/>
  <c r="A8662" i="4"/>
  <c r="A8663" i="4"/>
  <c r="A8664" i="4"/>
  <c r="A8665" i="4"/>
  <c r="A8666" i="4"/>
  <c r="A8667" i="4"/>
  <c r="A8668" i="4"/>
  <c r="A8669" i="4"/>
  <c r="A8670" i="4"/>
  <c r="A8671" i="4"/>
  <c r="A8672" i="4"/>
  <c r="A8673" i="4"/>
  <c r="A8674" i="4"/>
  <c r="A8675" i="4"/>
  <c r="A8676" i="4"/>
  <c r="A8677" i="4"/>
  <c r="A8678" i="4"/>
  <c r="A8679" i="4"/>
  <c r="A8680" i="4"/>
  <c r="A8681" i="4"/>
  <c r="A8682" i="4"/>
  <c r="A8683" i="4"/>
  <c r="A8684" i="4"/>
  <c r="A8685" i="4"/>
  <c r="A8686" i="4"/>
  <c r="A8687" i="4"/>
  <c r="A8688" i="4"/>
  <c r="A8689" i="4"/>
  <c r="A8690" i="4"/>
  <c r="A8691" i="4"/>
  <c r="A8692" i="4"/>
  <c r="A8693" i="4"/>
  <c r="A8694" i="4"/>
  <c r="A8695" i="4"/>
  <c r="A8696" i="4"/>
  <c r="A8697" i="4"/>
  <c r="A8698" i="4"/>
  <c r="A8699" i="4"/>
  <c r="A8700" i="4"/>
  <c r="A8701" i="4"/>
  <c r="A8702" i="4"/>
  <c r="A8703" i="4"/>
  <c r="A8704" i="4"/>
  <c r="A8705" i="4"/>
  <c r="A8706" i="4"/>
  <c r="A8707" i="4"/>
  <c r="A8708" i="4"/>
  <c r="A8709" i="4"/>
  <c r="A8710" i="4"/>
  <c r="A8711" i="4"/>
  <c r="A8712" i="4"/>
  <c r="A8713" i="4"/>
  <c r="A8714" i="4"/>
  <c r="A8715" i="4"/>
  <c r="A8716" i="4"/>
  <c r="A8717" i="4"/>
  <c r="A8718" i="4"/>
  <c r="A8719" i="4"/>
  <c r="A8720" i="4"/>
  <c r="A8721" i="4"/>
  <c r="A8722" i="4"/>
  <c r="A8723" i="4"/>
  <c r="A8724" i="4"/>
  <c r="A8725" i="4"/>
  <c r="A8726" i="4"/>
  <c r="A8727" i="4"/>
  <c r="A8728" i="4"/>
  <c r="A8729" i="4"/>
  <c r="A8730" i="4"/>
  <c r="A8731" i="4"/>
  <c r="A8732" i="4"/>
  <c r="A8733" i="4"/>
  <c r="A8734" i="4"/>
  <c r="A8735" i="4"/>
  <c r="A8736" i="4"/>
  <c r="A8737" i="4"/>
  <c r="A8738" i="4"/>
  <c r="A8739" i="4"/>
  <c r="A8740" i="4"/>
  <c r="A8741" i="4"/>
  <c r="A8742" i="4"/>
  <c r="A8743" i="4"/>
  <c r="A8744" i="4"/>
  <c r="A8745" i="4"/>
  <c r="A8746" i="4"/>
  <c r="A8747" i="4"/>
  <c r="A8748" i="4"/>
  <c r="A8749" i="4"/>
  <c r="A8750" i="4"/>
  <c r="A8751" i="4"/>
  <c r="A8752" i="4"/>
  <c r="A8753" i="4"/>
  <c r="A8754" i="4"/>
  <c r="A8755" i="4"/>
  <c r="A8756" i="4"/>
  <c r="A8757" i="4"/>
  <c r="A8758" i="4"/>
  <c r="A8759" i="4"/>
  <c r="A8760" i="4"/>
  <c r="A8761" i="4"/>
  <c r="A8762" i="4"/>
  <c r="A8763" i="4"/>
  <c r="A8764" i="4"/>
  <c r="A8765" i="4"/>
  <c r="A8766" i="4"/>
  <c r="A8767" i="4"/>
  <c r="A8768" i="4"/>
  <c r="A8769" i="4"/>
  <c r="A8770" i="4"/>
  <c r="A8771" i="4"/>
  <c r="A8772" i="4"/>
  <c r="A8773" i="4"/>
  <c r="A8774" i="4"/>
  <c r="A8775" i="4"/>
  <c r="A8776" i="4"/>
  <c r="A8777" i="4"/>
  <c r="A8778" i="4"/>
  <c r="A8779" i="4"/>
  <c r="A8780" i="4"/>
  <c r="A8781" i="4"/>
  <c r="A8782" i="4"/>
  <c r="A8783" i="4"/>
  <c r="A8784" i="4"/>
  <c r="A8785" i="4"/>
  <c r="A8786" i="4"/>
  <c r="A8787" i="4"/>
  <c r="A8788" i="4"/>
  <c r="A8789" i="4"/>
  <c r="A8790" i="4"/>
  <c r="A8791" i="4"/>
  <c r="A8792" i="4"/>
  <c r="A8793" i="4"/>
  <c r="A8794" i="4"/>
  <c r="A8795" i="4"/>
  <c r="A8796" i="4"/>
  <c r="A8797" i="4"/>
  <c r="A8798" i="4"/>
  <c r="A8799" i="4"/>
  <c r="A8800" i="4"/>
  <c r="A8801" i="4"/>
  <c r="A8802" i="4"/>
  <c r="A8803" i="4"/>
  <c r="A8804" i="4"/>
  <c r="A8805" i="4"/>
  <c r="A8806" i="4"/>
  <c r="A8807" i="4"/>
  <c r="A8808" i="4"/>
  <c r="A8809" i="4"/>
  <c r="A8810" i="4"/>
  <c r="A8811" i="4"/>
  <c r="A8812" i="4"/>
  <c r="A8813" i="4"/>
  <c r="A8814" i="4"/>
  <c r="A8815" i="4"/>
  <c r="A8816" i="4"/>
  <c r="A8817" i="4"/>
  <c r="A8818" i="4"/>
  <c r="A8819" i="4"/>
  <c r="A8820" i="4"/>
  <c r="A8821" i="4"/>
  <c r="A8822" i="4"/>
  <c r="A8823" i="4"/>
  <c r="A8824" i="4"/>
  <c r="A8825" i="4"/>
  <c r="A8826" i="4"/>
  <c r="A8827" i="4"/>
  <c r="A8828" i="4"/>
  <c r="A8829" i="4"/>
  <c r="A8830" i="4"/>
  <c r="A8831" i="4"/>
  <c r="A8832" i="4"/>
  <c r="A8833" i="4"/>
  <c r="A8834" i="4"/>
  <c r="A8835" i="4"/>
  <c r="A8836" i="4"/>
  <c r="A8837" i="4"/>
  <c r="A8838" i="4"/>
  <c r="A8839" i="4"/>
  <c r="A8840" i="4"/>
  <c r="A8841" i="4"/>
  <c r="A8842" i="4"/>
  <c r="A8843" i="4"/>
  <c r="A8844" i="4"/>
  <c r="A8845" i="4"/>
  <c r="A8846" i="4"/>
  <c r="A8847" i="4"/>
  <c r="A8848" i="4"/>
  <c r="A8849" i="4"/>
  <c r="A8850" i="4"/>
  <c r="A8851" i="4"/>
  <c r="A8852" i="4"/>
  <c r="A8853" i="4"/>
  <c r="A8854" i="4"/>
  <c r="A8855" i="4"/>
  <c r="A8856" i="4"/>
  <c r="A8857" i="4"/>
  <c r="A8858" i="4"/>
  <c r="A8859" i="4"/>
  <c r="A8860" i="4"/>
  <c r="A8861" i="4"/>
  <c r="A8862" i="4"/>
  <c r="A8863" i="4"/>
  <c r="A8864" i="4"/>
  <c r="A8865" i="4"/>
  <c r="A8866" i="4"/>
  <c r="A8867" i="4"/>
  <c r="A8868" i="4"/>
  <c r="A8869" i="4"/>
  <c r="A8870" i="4"/>
  <c r="A8871" i="4"/>
  <c r="A8872" i="4"/>
  <c r="A8873" i="4"/>
  <c r="A8874" i="4"/>
  <c r="A8875" i="4"/>
  <c r="A8876" i="4"/>
  <c r="A8877" i="4"/>
  <c r="A8878" i="4"/>
  <c r="A8879" i="4"/>
  <c r="A8880" i="4"/>
  <c r="A8881" i="4"/>
  <c r="A8882" i="4"/>
  <c r="A8883" i="4"/>
  <c r="A8884" i="4"/>
  <c r="A8885" i="4"/>
  <c r="A8886" i="4"/>
  <c r="A8887" i="4"/>
  <c r="A8888" i="4"/>
  <c r="A8889" i="4"/>
  <c r="A8890" i="4"/>
  <c r="A8891" i="4"/>
  <c r="A8892" i="4"/>
  <c r="A8893" i="4"/>
  <c r="A8894" i="4"/>
  <c r="A8895" i="4"/>
  <c r="A8896" i="4"/>
  <c r="A8897" i="4"/>
  <c r="A8898" i="4"/>
  <c r="A8899" i="4"/>
  <c r="A8900" i="4"/>
  <c r="A8901" i="4"/>
  <c r="A8902" i="4"/>
  <c r="A8903" i="4"/>
  <c r="A8904" i="4"/>
  <c r="A8905" i="4"/>
  <c r="A8906" i="4"/>
  <c r="A8907" i="4"/>
  <c r="A8908" i="4"/>
  <c r="A8909" i="4"/>
  <c r="A8910" i="4"/>
  <c r="A8911" i="4"/>
  <c r="A8912" i="4"/>
  <c r="A8913" i="4"/>
  <c r="A8914" i="4"/>
  <c r="A8915" i="4"/>
  <c r="A8916" i="4"/>
  <c r="A8917" i="4"/>
  <c r="A8918" i="4"/>
  <c r="A8919" i="4"/>
  <c r="A8920" i="4"/>
  <c r="A8921" i="4"/>
  <c r="A8922" i="4"/>
  <c r="A8923" i="4"/>
  <c r="A8924" i="4"/>
  <c r="A8925" i="4"/>
  <c r="A8926" i="4"/>
  <c r="A8927" i="4"/>
  <c r="A8928" i="4"/>
  <c r="A8929" i="4"/>
  <c r="A8930" i="4"/>
  <c r="A8931" i="4"/>
  <c r="A8932" i="4"/>
  <c r="A8933" i="4"/>
  <c r="A8934" i="4"/>
  <c r="A8935" i="4"/>
  <c r="A8936" i="4"/>
  <c r="A8937" i="4"/>
  <c r="A8938" i="4"/>
  <c r="A8939" i="4"/>
  <c r="A8940" i="4"/>
  <c r="A8941" i="4"/>
  <c r="A8942" i="4"/>
  <c r="A8943" i="4"/>
  <c r="A8944" i="4"/>
  <c r="A8945" i="4"/>
  <c r="A8946" i="4"/>
  <c r="A8947" i="4"/>
  <c r="A8948" i="4"/>
  <c r="A8949" i="4"/>
  <c r="A8950" i="4"/>
  <c r="A8951" i="4"/>
  <c r="A8952" i="4"/>
  <c r="A8953" i="4"/>
  <c r="A8954" i="4"/>
  <c r="A8955" i="4"/>
  <c r="A8956" i="4"/>
  <c r="A8957" i="4"/>
  <c r="A8958" i="4"/>
  <c r="A8959" i="4"/>
  <c r="A8960" i="4"/>
  <c r="A8961" i="4"/>
  <c r="A8962" i="4"/>
  <c r="A8963" i="4"/>
  <c r="A8964" i="4"/>
  <c r="A8965" i="4"/>
  <c r="A8966" i="4"/>
  <c r="A8967" i="4"/>
  <c r="A8968" i="4"/>
  <c r="A8969" i="4"/>
  <c r="A8970" i="4"/>
  <c r="A8971" i="4"/>
  <c r="A8972" i="4"/>
  <c r="A8973" i="4"/>
  <c r="A8974" i="4"/>
  <c r="A8975" i="4"/>
  <c r="A8976" i="4"/>
  <c r="A8977" i="4"/>
  <c r="A8978" i="4"/>
  <c r="A8979" i="4"/>
  <c r="A8980" i="4"/>
  <c r="A8981" i="4"/>
  <c r="A8982" i="4"/>
  <c r="A8983" i="4"/>
  <c r="A8984" i="4"/>
  <c r="A8985" i="4"/>
  <c r="A8986" i="4"/>
  <c r="A8987" i="4"/>
  <c r="A8988" i="4"/>
  <c r="A8989" i="4"/>
  <c r="A8990" i="4"/>
  <c r="A8991" i="4"/>
  <c r="A8992" i="4"/>
  <c r="A8993" i="4"/>
  <c r="A8994" i="4"/>
  <c r="A8995" i="4"/>
  <c r="A8996" i="4"/>
  <c r="A8997" i="4"/>
  <c r="A8998" i="4"/>
  <c r="A8999" i="4"/>
  <c r="A9000" i="4"/>
  <c r="A9001" i="4"/>
  <c r="A9002" i="4"/>
  <c r="A9003" i="4"/>
  <c r="A9004" i="4"/>
  <c r="A9005" i="4"/>
  <c r="A9006" i="4"/>
  <c r="A9007" i="4"/>
  <c r="A9008" i="4"/>
  <c r="A9009" i="4"/>
  <c r="A9010" i="4"/>
  <c r="A9011" i="4"/>
  <c r="A9012" i="4"/>
  <c r="A9013" i="4"/>
  <c r="A9014" i="4"/>
  <c r="A9015" i="4"/>
  <c r="A9016" i="4"/>
  <c r="A9017" i="4"/>
  <c r="A9018" i="4"/>
  <c r="A9019" i="4"/>
  <c r="A9020" i="4"/>
  <c r="A9021" i="4"/>
  <c r="A9022" i="4"/>
  <c r="A9023" i="4"/>
  <c r="A9024" i="4"/>
  <c r="A9025" i="4"/>
  <c r="A9026" i="4"/>
  <c r="A9027" i="4"/>
  <c r="A9028" i="4"/>
  <c r="A9029" i="4"/>
  <c r="A9030" i="4"/>
  <c r="A9031" i="4"/>
  <c r="A9032" i="4"/>
  <c r="A9033" i="4"/>
  <c r="A9034" i="4"/>
  <c r="A9035" i="4"/>
  <c r="A9036" i="4"/>
  <c r="A9037" i="4"/>
  <c r="A9038" i="4"/>
  <c r="A9039" i="4"/>
  <c r="A9040" i="4"/>
  <c r="A9041" i="4"/>
  <c r="A9042" i="4"/>
  <c r="A9043" i="4"/>
  <c r="A9044" i="4"/>
  <c r="A9045" i="4"/>
  <c r="A9046" i="4"/>
  <c r="A9047" i="4"/>
  <c r="A9048" i="4"/>
  <c r="A9049" i="4"/>
  <c r="A9050" i="4"/>
  <c r="A9051" i="4"/>
  <c r="A9052" i="4"/>
  <c r="A9053" i="4"/>
  <c r="A9054" i="4"/>
  <c r="A9055" i="4"/>
  <c r="A9056" i="4"/>
  <c r="A9057" i="4"/>
  <c r="A9058" i="4"/>
  <c r="A9059" i="4"/>
  <c r="A9060" i="4"/>
  <c r="A9061" i="4"/>
  <c r="A9062" i="4"/>
  <c r="A9063" i="4"/>
  <c r="A9064" i="4"/>
  <c r="A9065" i="4"/>
  <c r="A9066" i="4"/>
  <c r="A9067" i="4"/>
  <c r="A9068" i="4"/>
  <c r="A9069" i="4"/>
  <c r="A9070" i="4"/>
  <c r="A9071" i="4"/>
  <c r="A9072" i="4"/>
  <c r="A9073" i="4"/>
  <c r="A9074" i="4"/>
  <c r="A9075" i="4"/>
  <c r="A9076" i="4"/>
  <c r="A9077" i="4"/>
  <c r="A9078" i="4"/>
  <c r="A9079" i="4"/>
  <c r="A9080" i="4"/>
  <c r="A9081" i="4"/>
  <c r="A9082" i="4"/>
  <c r="A9083" i="4"/>
  <c r="A9084" i="4"/>
  <c r="A9085" i="4"/>
  <c r="A9086" i="4"/>
  <c r="A9087" i="4"/>
  <c r="A9088" i="4"/>
  <c r="A9089" i="4"/>
  <c r="A9090" i="4"/>
  <c r="A9091" i="4"/>
  <c r="A9092" i="4"/>
  <c r="A9093" i="4"/>
  <c r="A9094" i="4"/>
  <c r="A9095" i="4"/>
  <c r="A9096" i="4"/>
  <c r="A9097" i="4"/>
  <c r="A9098" i="4"/>
  <c r="A9099" i="4"/>
  <c r="A9100" i="4"/>
  <c r="A9101" i="4"/>
  <c r="A9102" i="4"/>
  <c r="A9103" i="4"/>
  <c r="A9104" i="4"/>
  <c r="A9105" i="4"/>
  <c r="A9106" i="4"/>
  <c r="A9107" i="4"/>
  <c r="A9108" i="4"/>
  <c r="A9109" i="4"/>
  <c r="A9110" i="4"/>
  <c r="A9111" i="4"/>
  <c r="A9112" i="4"/>
  <c r="A9113" i="4"/>
  <c r="A9114" i="4"/>
  <c r="A9115" i="4"/>
  <c r="A9116" i="4"/>
  <c r="A9117" i="4"/>
  <c r="A9118" i="4"/>
  <c r="A9119" i="4"/>
  <c r="A9120" i="4"/>
  <c r="A9121" i="4"/>
  <c r="A9122" i="4"/>
  <c r="A9123" i="4"/>
  <c r="A9124" i="4"/>
  <c r="A9125" i="4"/>
  <c r="A9126" i="4"/>
  <c r="A9127" i="4"/>
  <c r="A9128" i="4"/>
  <c r="A9129" i="4"/>
  <c r="A9130" i="4"/>
  <c r="A9131" i="4"/>
  <c r="A9132" i="4"/>
  <c r="A9133" i="4"/>
  <c r="A9134" i="4"/>
  <c r="A9135" i="4"/>
  <c r="A9136" i="4"/>
  <c r="A9137" i="4"/>
  <c r="A9138" i="4"/>
  <c r="A9139" i="4"/>
  <c r="A9140" i="4"/>
  <c r="A9141" i="4"/>
  <c r="A9142" i="4"/>
  <c r="A9143" i="4"/>
  <c r="A9144" i="4"/>
  <c r="A9145" i="4"/>
  <c r="A9146" i="4"/>
  <c r="A9147" i="4"/>
  <c r="A9148" i="4"/>
  <c r="A9149" i="4"/>
  <c r="A9150" i="4"/>
  <c r="A9151" i="4"/>
  <c r="A9152" i="4"/>
  <c r="A9153" i="4"/>
  <c r="A9154" i="4"/>
  <c r="A9155" i="4"/>
  <c r="A9156" i="4"/>
  <c r="A9157" i="4"/>
  <c r="A9158" i="4"/>
  <c r="A9159" i="4"/>
  <c r="A9160" i="4"/>
  <c r="A9161" i="4"/>
  <c r="A9162" i="4"/>
  <c r="A9163" i="4"/>
  <c r="A9164" i="4"/>
  <c r="A9165" i="4"/>
  <c r="A9166" i="4"/>
  <c r="A9167" i="4"/>
  <c r="A9168" i="4"/>
  <c r="A9169" i="4"/>
  <c r="A9170" i="4"/>
  <c r="A9171" i="4"/>
  <c r="A9172" i="4"/>
  <c r="A9173" i="4"/>
  <c r="A9174" i="4"/>
  <c r="A9175" i="4"/>
  <c r="A9176" i="4"/>
  <c r="A9177" i="4"/>
  <c r="A9178" i="4"/>
  <c r="A9179" i="4"/>
  <c r="A9180" i="4"/>
  <c r="A9181" i="4"/>
  <c r="A9182" i="4"/>
  <c r="A9183" i="4"/>
  <c r="A9184" i="4"/>
  <c r="A9185" i="4"/>
  <c r="A9186" i="4"/>
  <c r="A9187" i="4"/>
  <c r="A9188" i="4"/>
  <c r="A9189" i="4"/>
  <c r="A9190" i="4"/>
  <c r="A9191" i="4"/>
  <c r="A9192" i="4"/>
  <c r="A9193" i="4"/>
  <c r="A9194" i="4"/>
  <c r="A9195" i="4"/>
  <c r="A9196" i="4"/>
  <c r="A9197" i="4"/>
  <c r="A9198" i="4"/>
  <c r="A9199" i="4"/>
  <c r="A9200" i="4"/>
  <c r="A9201" i="4"/>
  <c r="A9202" i="4"/>
  <c r="A9203" i="4"/>
  <c r="A9204" i="4"/>
  <c r="A9205" i="4"/>
  <c r="A9206" i="4"/>
  <c r="A9207" i="4"/>
  <c r="A9208" i="4"/>
  <c r="A9209" i="4"/>
  <c r="A9210" i="4"/>
  <c r="A9211" i="4"/>
  <c r="A9212" i="4"/>
  <c r="A9213" i="4"/>
  <c r="A9214" i="4"/>
  <c r="A9215" i="4"/>
  <c r="A9216" i="4"/>
  <c r="A9217" i="4"/>
  <c r="A9218" i="4"/>
  <c r="A9219" i="4"/>
  <c r="A9220" i="4"/>
  <c r="A9221" i="4"/>
  <c r="A9222" i="4"/>
  <c r="A9223" i="4"/>
  <c r="A9224" i="4"/>
  <c r="A9225" i="4"/>
  <c r="A9226" i="4"/>
  <c r="A9227" i="4"/>
  <c r="A9228" i="4"/>
  <c r="A9229" i="4"/>
  <c r="A9230" i="4"/>
  <c r="A9231" i="4"/>
  <c r="A9232" i="4"/>
  <c r="A9233" i="4"/>
  <c r="A9234" i="4"/>
  <c r="A9235" i="4"/>
  <c r="A9236" i="4"/>
  <c r="A9237" i="4"/>
  <c r="A9238" i="4"/>
  <c r="A9239" i="4"/>
  <c r="A9240" i="4"/>
  <c r="A9241" i="4"/>
  <c r="A9242" i="4"/>
  <c r="A9243" i="4"/>
  <c r="A9244" i="4"/>
  <c r="A9245" i="4"/>
  <c r="A9246" i="4"/>
  <c r="A9247" i="4"/>
  <c r="A9248" i="4"/>
  <c r="A9249" i="4"/>
  <c r="A9250" i="4"/>
  <c r="A9251" i="4"/>
  <c r="A9252" i="4"/>
  <c r="A9253" i="4"/>
  <c r="A9254" i="4"/>
  <c r="A9255" i="4"/>
  <c r="A9256" i="4"/>
  <c r="A9257" i="4"/>
  <c r="A9258" i="4"/>
  <c r="A9259" i="4"/>
  <c r="A9260" i="4"/>
  <c r="A9261" i="4"/>
  <c r="A9262" i="4"/>
  <c r="A9263" i="4"/>
  <c r="A9264" i="4"/>
  <c r="A9265" i="4"/>
  <c r="A9266" i="4"/>
  <c r="A9267" i="4"/>
  <c r="A9268" i="4"/>
  <c r="A9269" i="4"/>
  <c r="A9270" i="4"/>
  <c r="A9271" i="4"/>
  <c r="A9272" i="4"/>
  <c r="A9273" i="4"/>
  <c r="A9274" i="4"/>
  <c r="A9275" i="4"/>
  <c r="A9276" i="4"/>
  <c r="A9277" i="4"/>
  <c r="A9278" i="4"/>
  <c r="A9279" i="4"/>
  <c r="A9280" i="4"/>
  <c r="A9281" i="4"/>
  <c r="A9282" i="4"/>
  <c r="A9283" i="4"/>
  <c r="A9284" i="4"/>
  <c r="A9285" i="4"/>
  <c r="A9286" i="4"/>
  <c r="A9287" i="4"/>
  <c r="A9288" i="4"/>
  <c r="A9289" i="4"/>
  <c r="A9290" i="4"/>
  <c r="A9291" i="4"/>
  <c r="A9292" i="4"/>
  <c r="A9293" i="4"/>
  <c r="A9294" i="4"/>
  <c r="A9295" i="4"/>
  <c r="A9296" i="4"/>
  <c r="A9297" i="4"/>
  <c r="A9298" i="4"/>
  <c r="A9299" i="4"/>
  <c r="A9300" i="4"/>
  <c r="A9301" i="4"/>
  <c r="A9302" i="4"/>
  <c r="A9303" i="4"/>
  <c r="A9304" i="4"/>
  <c r="A9305" i="4"/>
  <c r="A9306" i="4"/>
  <c r="A9307" i="4"/>
  <c r="A9308" i="4"/>
  <c r="A9309" i="4"/>
  <c r="A9310" i="4"/>
  <c r="A9311" i="4"/>
  <c r="A9312" i="4"/>
  <c r="A9313" i="4"/>
  <c r="A9314" i="4"/>
  <c r="A9315" i="4"/>
  <c r="A9316" i="4"/>
  <c r="A9317" i="4"/>
  <c r="A9318" i="4"/>
  <c r="A9319" i="4"/>
  <c r="A9320" i="4"/>
  <c r="A9321" i="4"/>
  <c r="A9322" i="4"/>
  <c r="A9323" i="4"/>
  <c r="A9324" i="4"/>
  <c r="A9325" i="4"/>
  <c r="A9326" i="4"/>
  <c r="A9327" i="4"/>
  <c r="A9328" i="4"/>
  <c r="A9329" i="4"/>
  <c r="A9330" i="4"/>
  <c r="A9331" i="4"/>
  <c r="A9332" i="4"/>
  <c r="A9333" i="4"/>
  <c r="A9334" i="4"/>
  <c r="A9335" i="4"/>
  <c r="A9336" i="4"/>
  <c r="A9337" i="4"/>
  <c r="A9338" i="4"/>
  <c r="A9339" i="4"/>
  <c r="A9340" i="4"/>
  <c r="A9341" i="4"/>
  <c r="A9342" i="4"/>
  <c r="A9343" i="4"/>
  <c r="A9344" i="4"/>
  <c r="A9345" i="4"/>
  <c r="A9346" i="4"/>
  <c r="A9347" i="4"/>
  <c r="A9348" i="4"/>
  <c r="A9349" i="4"/>
  <c r="A9350" i="4"/>
  <c r="A9351" i="4"/>
  <c r="A9352" i="4"/>
  <c r="A9353" i="4"/>
  <c r="A9354" i="4"/>
  <c r="A9355" i="4"/>
  <c r="A9356" i="4"/>
  <c r="A9357" i="4"/>
  <c r="A9358" i="4"/>
  <c r="A9359" i="4"/>
  <c r="A9360" i="4"/>
  <c r="A9361" i="4"/>
  <c r="A9362" i="4"/>
  <c r="A9363" i="4"/>
  <c r="A9364" i="4"/>
  <c r="A9365" i="4"/>
  <c r="A9366" i="4"/>
  <c r="A9367" i="4"/>
  <c r="A9368" i="4"/>
  <c r="A9369" i="4"/>
  <c r="A9370" i="4"/>
  <c r="A9371" i="4"/>
  <c r="A9372" i="4"/>
  <c r="A9373" i="4"/>
  <c r="A9374" i="4"/>
  <c r="A9375" i="4"/>
  <c r="A9376" i="4"/>
  <c r="A9377" i="4"/>
  <c r="A9378" i="4"/>
  <c r="A9379" i="4"/>
  <c r="A9380" i="4"/>
  <c r="A9381" i="4"/>
  <c r="A9382" i="4"/>
  <c r="A9383" i="4"/>
  <c r="A9384" i="4"/>
  <c r="A9385" i="4"/>
  <c r="A9386" i="4"/>
  <c r="A9387" i="4"/>
  <c r="A9388" i="4"/>
  <c r="A9389" i="4"/>
  <c r="A9390" i="4"/>
  <c r="A9391" i="4"/>
  <c r="A9392" i="4"/>
  <c r="A9393" i="4"/>
  <c r="A9394" i="4"/>
  <c r="A9395" i="4"/>
  <c r="A9396" i="4"/>
  <c r="A9397" i="4"/>
  <c r="A9398" i="4"/>
  <c r="A9399" i="4"/>
  <c r="A9400" i="4"/>
  <c r="A9401" i="4"/>
  <c r="A9402" i="4"/>
  <c r="A9403" i="4"/>
  <c r="A9404" i="4"/>
  <c r="A9405" i="4"/>
  <c r="A9406" i="4"/>
  <c r="A9407" i="4"/>
  <c r="A9408" i="4"/>
  <c r="A9409" i="4"/>
  <c r="A9410" i="4"/>
  <c r="A9411" i="4"/>
  <c r="A9412" i="4"/>
  <c r="A9413" i="4"/>
  <c r="A9414" i="4"/>
  <c r="A9415" i="4"/>
  <c r="A9416" i="4"/>
  <c r="A9417" i="4"/>
  <c r="A9418" i="4"/>
  <c r="A9419" i="4"/>
  <c r="A9420" i="4"/>
  <c r="A9421" i="4"/>
  <c r="A9422" i="4"/>
  <c r="A9423" i="4"/>
  <c r="A9424" i="4"/>
  <c r="A9425" i="4"/>
  <c r="A9426" i="4"/>
  <c r="A9427" i="4"/>
  <c r="A9428" i="4"/>
  <c r="A9429" i="4"/>
  <c r="A9430" i="4"/>
  <c r="A9431" i="4"/>
  <c r="A9432" i="4"/>
  <c r="A9433" i="4"/>
  <c r="A9434" i="4"/>
  <c r="A9435" i="4"/>
  <c r="A9436" i="4"/>
  <c r="A9437" i="4"/>
  <c r="A9438" i="4"/>
  <c r="A9439" i="4"/>
  <c r="A9440" i="4"/>
  <c r="A9441" i="4"/>
  <c r="A9442" i="4"/>
  <c r="A9443" i="4"/>
  <c r="A9444" i="4"/>
  <c r="A9445" i="4"/>
  <c r="A9446" i="4"/>
  <c r="A9447" i="4"/>
  <c r="A9448" i="4"/>
  <c r="A9449" i="4"/>
  <c r="A9450" i="4"/>
  <c r="A9451" i="4"/>
  <c r="A9452" i="4"/>
  <c r="A9453" i="4"/>
  <c r="A9454" i="4"/>
  <c r="A9455" i="4"/>
  <c r="A9456" i="4"/>
  <c r="A9457" i="4"/>
  <c r="A9458" i="4"/>
  <c r="A9459" i="4"/>
  <c r="A9460" i="4"/>
  <c r="A9461" i="4"/>
  <c r="A9462" i="4"/>
  <c r="A9463" i="4"/>
  <c r="A9464" i="4"/>
  <c r="A9465" i="4"/>
  <c r="A9466" i="4"/>
  <c r="A9467" i="4"/>
  <c r="A9468" i="4"/>
  <c r="A9469" i="4"/>
  <c r="A9470" i="4"/>
  <c r="A9471" i="4"/>
  <c r="A9472" i="4"/>
  <c r="A9473" i="4"/>
  <c r="A9474" i="4"/>
  <c r="A9475" i="4"/>
  <c r="A9476" i="4"/>
  <c r="A9477" i="4"/>
  <c r="A9478" i="4"/>
  <c r="A9479" i="4"/>
  <c r="A9480" i="4"/>
  <c r="A9481" i="4"/>
  <c r="A9482" i="4"/>
  <c r="A9483" i="4"/>
  <c r="A9484" i="4"/>
  <c r="A9485" i="4"/>
  <c r="A9486" i="4"/>
  <c r="A9487" i="4"/>
  <c r="A9488" i="4"/>
  <c r="A9489" i="4"/>
  <c r="A9490" i="4"/>
  <c r="A9491" i="4"/>
  <c r="A9492" i="4"/>
  <c r="A9493" i="4"/>
  <c r="A9494" i="4"/>
  <c r="A9495" i="4"/>
  <c r="A9496" i="4"/>
  <c r="A9497" i="4"/>
  <c r="A9498" i="4"/>
  <c r="A9499" i="4"/>
  <c r="A9500" i="4"/>
  <c r="A9501" i="4"/>
  <c r="A9502" i="4"/>
  <c r="A9503" i="4"/>
  <c r="A9504" i="4"/>
  <c r="A9505" i="4"/>
  <c r="A9506" i="4"/>
  <c r="A9507" i="4"/>
  <c r="A9508" i="4"/>
  <c r="A9509" i="4"/>
  <c r="A9510" i="4"/>
  <c r="A9511" i="4"/>
  <c r="A9512" i="4"/>
  <c r="A9513" i="4"/>
  <c r="A9514" i="4"/>
  <c r="A9515" i="4"/>
  <c r="A9516" i="4"/>
  <c r="A9517" i="4"/>
  <c r="A9518" i="4"/>
  <c r="A9519" i="4"/>
  <c r="A9520" i="4"/>
  <c r="A9521" i="4"/>
  <c r="A9522" i="4"/>
  <c r="A9523" i="4"/>
  <c r="A9524" i="4"/>
  <c r="A9525" i="4"/>
  <c r="A9526" i="4"/>
  <c r="A9527" i="4"/>
  <c r="A9528" i="4"/>
  <c r="A9529" i="4"/>
  <c r="A9530" i="4"/>
  <c r="A9531" i="4"/>
  <c r="A9532" i="4"/>
  <c r="A9533" i="4"/>
  <c r="A9534" i="4"/>
  <c r="A9535" i="4"/>
  <c r="A9536" i="4"/>
  <c r="A9537" i="4"/>
  <c r="A9538" i="4"/>
  <c r="A9539" i="4"/>
  <c r="A9540" i="4"/>
  <c r="A9541" i="4"/>
  <c r="A9542" i="4"/>
  <c r="A9543" i="4"/>
  <c r="A9544" i="4"/>
  <c r="A9545" i="4"/>
  <c r="A9546" i="4"/>
  <c r="A9547" i="4"/>
  <c r="A9548" i="4"/>
  <c r="A9549" i="4"/>
  <c r="A9550" i="4"/>
  <c r="A9551" i="4"/>
  <c r="A9552" i="4"/>
  <c r="A9553" i="4"/>
  <c r="A9554" i="4"/>
  <c r="A9555" i="4"/>
  <c r="A9556" i="4"/>
  <c r="A9557" i="4"/>
  <c r="A9558" i="4"/>
  <c r="A9559" i="4"/>
  <c r="A9560" i="4"/>
  <c r="A9561" i="4"/>
  <c r="A9562" i="4"/>
  <c r="A9563" i="4"/>
  <c r="A9564" i="4"/>
  <c r="A9565" i="4"/>
  <c r="A9566" i="4"/>
  <c r="A9567" i="4"/>
  <c r="A9568" i="4"/>
  <c r="A9569" i="4"/>
  <c r="A9570" i="4"/>
  <c r="A9571" i="4"/>
  <c r="A9572" i="4"/>
  <c r="A9573" i="4"/>
  <c r="A9574" i="4"/>
  <c r="A9575" i="4"/>
  <c r="A9576" i="4"/>
  <c r="A9577" i="4"/>
  <c r="A9578" i="4"/>
  <c r="A9579" i="4"/>
  <c r="A9580" i="4"/>
  <c r="A9581" i="4"/>
  <c r="A9582" i="4"/>
  <c r="A9583" i="4"/>
  <c r="A9584" i="4"/>
  <c r="A9585" i="4"/>
  <c r="A9586" i="4"/>
  <c r="A9587" i="4"/>
  <c r="A9588" i="4"/>
  <c r="A9589" i="4"/>
  <c r="A9590" i="4"/>
  <c r="A9591" i="4"/>
  <c r="A9592" i="4"/>
  <c r="A9593" i="4"/>
  <c r="A9594" i="4"/>
  <c r="A9595" i="4"/>
  <c r="A9596" i="4"/>
  <c r="A9597" i="4"/>
  <c r="A9598" i="4"/>
  <c r="A9599" i="4"/>
  <c r="A9600" i="4"/>
  <c r="A9601" i="4"/>
  <c r="A9602" i="4"/>
  <c r="A9603" i="4"/>
  <c r="A9604" i="4"/>
  <c r="A9605" i="4"/>
  <c r="A9606" i="4"/>
  <c r="A9607" i="4"/>
  <c r="A9608" i="4"/>
  <c r="A9609" i="4"/>
  <c r="A9610" i="4"/>
  <c r="A9611" i="4"/>
  <c r="A9612" i="4"/>
  <c r="A9613" i="4"/>
  <c r="A9614" i="4"/>
  <c r="A9615" i="4"/>
  <c r="A9616" i="4"/>
  <c r="A9617" i="4"/>
  <c r="A9618" i="4"/>
  <c r="A9619" i="4"/>
  <c r="A9620" i="4"/>
  <c r="A9621" i="4"/>
  <c r="A9622" i="4"/>
  <c r="A9623" i="4"/>
  <c r="A9624" i="4"/>
  <c r="A9625" i="4"/>
  <c r="A9626" i="4"/>
  <c r="A9627" i="4"/>
  <c r="A9628" i="4"/>
  <c r="A9629" i="4"/>
  <c r="A9630" i="4"/>
  <c r="A9631" i="4"/>
  <c r="A9632" i="4"/>
  <c r="A9633" i="4"/>
  <c r="A9634" i="4"/>
  <c r="A9635" i="4"/>
  <c r="A9636" i="4"/>
  <c r="A9637" i="4"/>
  <c r="A9638" i="4"/>
  <c r="A9639" i="4"/>
  <c r="A9640" i="4"/>
  <c r="A9641" i="4"/>
  <c r="A9642" i="4"/>
  <c r="A9643" i="4"/>
  <c r="A9644" i="4"/>
  <c r="A9645" i="4"/>
  <c r="A9646" i="4"/>
  <c r="A9647" i="4"/>
  <c r="A9648" i="4"/>
  <c r="A9649" i="4"/>
  <c r="A9650" i="4"/>
  <c r="A9651" i="4"/>
  <c r="A9652" i="4"/>
  <c r="A9653" i="4"/>
  <c r="A9654" i="4"/>
  <c r="A9655" i="4"/>
  <c r="A9656" i="4"/>
  <c r="A9657" i="4"/>
  <c r="A9658" i="4"/>
  <c r="A9659" i="4"/>
  <c r="A9660" i="4"/>
  <c r="A9661" i="4"/>
  <c r="A9662" i="4"/>
  <c r="A9663" i="4"/>
  <c r="A9664" i="4"/>
  <c r="A9665" i="4"/>
  <c r="A9666" i="4"/>
  <c r="A9667" i="4"/>
  <c r="A9668" i="4"/>
  <c r="A9669" i="4"/>
  <c r="A9670" i="4"/>
  <c r="A9671" i="4"/>
  <c r="A9672" i="4"/>
  <c r="A9673" i="4"/>
  <c r="A9674" i="4"/>
  <c r="A9675" i="4"/>
  <c r="A9676" i="4"/>
  <c r="A9677" i="4"/>
  <c r="A9678" i="4"/>
  <c r="A9679" i="4"/>
  <c r="A9680" i="4"/>
  <c r="A9681" i="4"/>
  <c r="A9682" i="4"/>
  <c r="A9683" i="4"/>
  <c r="A9684" i="4"/>
  <c r="A9685" i="4"/>
  <c r="A9686" i="4"/>
  <c r="A9687" i="4"/>
  <c r="A9688" i="4"/>
  <c r="A9689" i="4"/>
  <c r="A9690" i="4"/>
  <c r="A9691" i="4"/>
  <c r="A9692" i="4"/>
  <c r="A9693" i="4"/>
  <c r="A9694" i="4"/>
  <c r="A9695" i="4"/>
  <c r="A9696" i="4"/>
  <c r="A9697" i="4"/>
  <c r="A9698" i="4"/>
  <c r="A9699" i="4"/>
  <c r="A9700" i="4"/>
  <c r="A9701" i="4"/>
  <c r="A9702" i="4"/>
  <c r="A9703" i="4"/>
  <c r="A9704" i="4"/>
  <c r="A9705" i="4"/>
  <c r="A9706" i="4"/>
  <c r="A9707" i="4"/>
  <c r="A9708" i="4"/>
  <c r="A9709" i="4"/>
  <c r="A9710" i="4"/>
  <c r="A9711" i="4"/>
  <c r="A9712" i="4"/>
  <c r="A9713" i="4"/>
  <c r="A9714" i="4"/>
  <c r="A9715" i="4"/>
  <c r="A9716" i="4"/>
  <c r="A9717" i="4"/>
  <c r="A9718" i="4"/>
  <c r="A9719" i="4"/>
  <c r="A9720" i="4"/>
  <c r="A9721" i="4"/>
  <c r="A9722" i="4"/>
  <c r="A9723" i="4"/>
  <c r="A9724" i="4"/>
  <c r="A9725" i="4"/>
  <c r="A9726" i="4"/>
  <c r="A9727" i="4"/>
  <c r="A9728" i="4"/>
  <c r="A9729" i="4"/>
  <c r="A9730" i="4"/>
  <c r="A9731" i="4"/>
  <c r="A9732" i="4"/>
  <c r="A9733" i="4"/>
  <c r="A9734" i="4"/>
  <c r="A9735" i="4"/>
  <c r="A9736" i="4"/>
  <c r="A9737" i="4"/>
  <c r="A9738" i="4"/>
  <c r="A9739" i="4"/>
  <c r="A9740" i="4"/>
  <c r="A9741" i="4"/>
  <c r="A9742" i="4"/>
  <c r="A9743" i="4"/>
  <c r="A9744" i="4"/>
  <c r="A9745" i="4"/>
  <c r="A9746" i="4"/>
  <c r="A9747" i="4"/>
  <c r="A9748" i="4"/>
  <c r="A9749" i="4"/>
  <c r="A9750" i="4"/>
  <c r="A9751" i="4"/>
  <c r="A9752" i="4"/>
  <c r="A9753" i="4"/>
  <c r="A9754" i="4"/>
  <c r="A9755" i="4"/>
  <c r="A9756" i="4"/>
  <c r="A9757" i="4"/>
  <c r="A9758" i="4"/>
  <c r="A9759" i="4"/>
  <c r="A9760" i="4"/>
  <c r="A9761" i="4"/>
  <c r="A9762" i="4"/>
  <c r="A9763" i="4"/>
  <c r="A9764" i="4"/>
  <c r="A9765" i="4"/>
  <c r="A9766" i="4"/>
  <c r="A9767" i="4"/>
  <c r="A9768" i="4"/>
  <c r="A9769" i="4"/>
  <c r="A9770" i="4"/>
  <c r="A9771" i="4"/>
  <c r="A9772" i="4"/>
  <c r="A9773" i="4"/>
  <c r="A9774" i="4"/>
  <c r="A9775" i="4"/>
  <c r="A9776" i="4"/>
  <c r="A9777" i="4"/>
  <c r="A9778" i="4"/>
  <c r="A9779" i="4"/>
  <c r="A9780" i="4"/>
  <c r="A9781" i="4"/>
  <c r="A9782" i="4"/>
  <c r="A9783" i="4"/>
  <c r="A9784" i="4"/>
  <c r="A9785" i="4"/>
  <c r="A9786" i="4"/>
  <c r="A9787" i="4"/>
  <c r="A9788" i="4"/>
  <c r="A9789" i="4"/>
  <c r="A9790" i="4"/>
  <c r="A9791" i="4"/>
  <c r="A9792" i="4"/>
  <c r="A9793" i="4"/>
  <c r="A9794" i="4"/>
  <c r="A9795" i="4"/>
  <c r="A9796" i="4"/>
  <c r="A9797" i="4"/>
  <c r="A9798" i="4"/>
  <c r="A9799" i="4"/>
  <c r="A9800" i="4"/>
  <c r="A9801" i="4"/>
  <c r="A9802" i="4"/>
  <c r="A9803" i="4"/>
  <c r="A9804" i="4"/>
  <c r="A9805" i="4"/>
  <c r="A9806" i="4"/>
  <c r="A9807" i="4"/>
  <c r="A9808" i="4"/>
  <c r="A9809" i="4"/>
  <c r="A9810" i="4"/>
  <c r="A9811" i="4"/>
  <c r="A9812" i="4"/>
  <c r="A9813" i="4"/>
  <c r="A9814" i="4"/>
  <c r="A9815" i="4"/>
  <c r="A9816" i="4"/>
  <c r="A9817" i="4"/>
  <c r="A9818" i="4"/>
  <c r="A9819" i="4"/>
  <c r="A9820" i="4"/>
  <c r="A9821" i="4"/>
  <c r="A9822" i="4"/>
  <c r="A9823" i="4"/>
  <c r="A9824" i="4"/>
  <c r="A9825" i="4"/>
  <c r="A9826" i="4"/>
  <c r="A9827" i="4"/>
  <c r="A9828" i="4"/>
  <c r="A9829" i="4"/>
  <c r="A9830" i="4"/>
  <c r="A9831" i="4"/>
  <c r="A9832" i="4"/>
  <c r="A9833" i="4"/>
  <c r="A9834" i="4"/>
  <c r="A9835" i="4"/>
  <c r="A9836" i="4"/>
  <c r="A9837" i="4"/>
  <c r="A9838" i="4"/>
  <c r="A9839" i="4"/>
  <c r="A9840" i="4"/>
  <c r="A9841" i="4"/>
  <c r="A9842" i="4"/>
  <c r="A9843" i="4"/>
  <c r="A9844" i="4"/>
  <c r="A9845" i="4"/>
  <c r="A9846" i="4"/>
  <c r="A9847" i="4"/>
  <c r="A9848" i="4"/>
  <c r="A9849" i="4"/>
  <c r="A9850" i="4"/>
  <c r="A9851" i="4"/>
  <c r="A9852" i="4"/>
  <c r="A9853" i="4"/>
  <c r="A9854" i="4"/>
  <c r="A9855" i="4"/>
  <c r="A9856" i="4"/>
  <c r="A9857" i="4"/>
  <c r="A9858" i="4"/>
  <c r="A9859" i="4"/>
  <c r="A9860" i="4"/>
  <c r="A9861" i="4"/>
  <c r="A9862" i="4"/>
  <c r="A9863" i="4"/>
  <c r="A9864" i="4"/>
  <c r="A9865" i="4"/>
  <c r="A9866" i="4"/>
  <c r="A9867" i="4"/>
  <c r="A9868" i="4"/>
  <c r="A9869" i="4"/>
  <c r="A9870" i="4"/>
  <c r="A9871" i="4"/>
  <c r="A9872" i="4"/>
  <c r="A9873" i="4"/>
  <c r="A9874" i="4"/>
  <c r="A9875" i="4"/>
  <c r="A9876" i="4"/>
  <c r="A9877" i="4"/>
  <c r="A9878" i="4"/>
  <c r="A9879" i="4"/>
  <c r="A9880" i="4"/>
  <c r="A9881" i="4"/>
  <c r="A9882" i="4"/>
  <c r="A9883" i="4"/>
  <c r="A9884" i="4"/>
  <c r="A9885" i="4"/>
  <c r="A9886" i="4"/>
  <c r="A9887" i="4"/>
  <c r="A9888" i="4"/>
  <c r="A9889" i="4"/>
  <c r="A9890" i="4"/>
  <c r="A9891" i="4"/>
  <c r="A9892" i="4"/>
  <c r="A9893" i="4"/>
  <c r="A9894" i="4"/>
  <c r="A9895" i="4"/>
  <c r="A9896" i="4"/>
  <c r="A9897" i="4"/>
  <c r="A9898" i="4"/>
  <c r="A9899" i="4"/>
  <c r="A9900" i="4"/>
  <c r="A9901" i="4"/>
  <c r="A9902" i="4"/>
  <c r="A9903" i="4"/>
  <c r="A9904" i="4"/>
  <c r="A9905" i="4"/>
  <c r="A9906" i="4"/>
  <c r="A9907" i="4"/>
  <c r="A9908" i="4"/>
  <c r="A9909" i="4"/>
  <c r="A9910" i="4"/>
  <c r="A9911" i="4"/>
  <c r="A9912" i="4"/>
  <c r="A9913" i="4"/>
  <c r="A9914" i="4"/>
  <c r="A9915" i="4"/>
  <c r="A9916" i="4"/>
  <c r="A9917" i="4"/>
  <c r="A9918" i="4"/>
  <c r="A9919" i="4"/>
  <c r="A9920" i="4"/>
  <c r="A9921" i="4"/>
  <c r="A9922" i="4"/>
  <c r="A9923" i="4"/>
  <c r="A9924" i="4"/>
  <c r="A9925" i="4"/>
  <c r="A9926" i="4"/>
  <c r="A9927" i="4"/>
  <c r="A9928" i="4"/>
  <c r="A9929" i="4"/>
  <c r="A9930" i="4"/>
  <c r="A9931" i="4"/>
  <c r="A9932" i="4"/>
  <c r="A9933" i="4"/>
  <c r="A9934" i="4"/>
  <c r="A9935" i="4"/>
  <c r="A9936" i="4"/>
  <c r="A9937" i="4"/>
  <c r="A9938" i="4"/>
  <c r="A9939" i="4"/>
  <c r="A9940" i="4"/>
  <c r="A9941" i="4"/>
  <c r="A9942" i="4"/>
  <c r="A9943" i="4"/>
  <c r="A9944" i="4"/>
  <c r="A9945" i="4"/>
  <c r="A9946" i="4"/>
  <c r="A9947" i="4"/>
  <c r="A9948" i="4"/>
  <c r="A9949" i="4"/>
  <c r="A9950" i="4"/>
  <c r="A9951" i="4"/>
  <c r="A9952" i="4"/>
  <c r="A9953" i="4"/>
  <c r="A9954" i="4"/>
  <c r="A9955" i="4"/>
  <c r="A9956" i="4"/>
  <c r="A9957" i="4"/>
  <c r="A9958" i="4"/>
  <c r="A9959" i="4"/>
  <c r="A9960" i="4"/>
  <c r="A9961" i="4"/>
  <c r="A9962" i="4"/>
  <c r="A9963" i="4"/>
  <c r="A9964" i="4"/>
  <c r="A9965" i="4"/>
  <c r="A9966" i="4"/>
  <c r="A9967" i="4"/>
  <c r="A9968" i="4"/>
  <c r="A9969" i="4"/>
  <c r="A9970" i="4"/>
  <c r="A9971" i="4"/>
  <c r="A9972" i="4"/>
  <c r="A9973" i="4"/>
  <c r="A9974" i="4"/>
  <c r="A9975" i="4"/>
  <c r="A9976" i="4"/>
  <c r="A9977" i="4"/>
  <c r="A9978" i="4"/>
  <c r="A9979" i="4"/>
  <c r="A9980" i="4"/>
  <c r="A9981" i="4"/>
  <c r="A9982" i="4"/>
  <c r="A9983" i="4"/>
  <c r="A9984" i="4"/>
  <c r="A9985" i="4"/>
  <c r="A9986" i="4"/>
  <c r="A9987" i="4"/>
  <c r="A9988" i="4"/>
  <c r="A9989" i="4"/>
  <c r="A9990" i="4"/>
  <c r="A9991" i="4"/>
  <c r="A9992" i="4"/>
  <c r="A9993" i="4"/>
  <c r="A9994" i="4"/>
  <c r="A9995" i="4"/>
  <c r="A9996" i="4"/>
  <c r="A9997" i="4"/>
  <c r="A9998" i="4"/>
  <c r="A9999" i="4"/>
  <c r="A10000" i="4"/>
  <c r="A10001" i="4"/>
  <c r="A10002" i="4"/>
  <c r="A10003" i="4"/>
  <c r="A10004" i="4"/>
  <c r="A10005" i="4"/>
  <c r="A10006" i="4"/>
  <c r="A10007" i="4"/>
  <c r="A10008" i="4"/>
  <c r="A10009" i="4"/>
  <c r="A10010" i="4"/>
  <c r="A10011" i="4"/>
  <c r="A10012" i="4"/>
  <c r="A10013" i="4"/>
  <c r="A10014" i="4"/>
  <c r="A10015" i="4"/>
  <c r="A10016" i="4"/>
  <c r="A10017" i="4"/>
  <c r="A10018" i="4"/>
  <c r="A10019" i="4"/>
  <c r="A10020" i="4"/>
  <c r="A10021" i="4"/>
  <c r="A10022" i="4"/>
  <c r="A10023" i="4"/>
  <c r="A10024" i="4"/>
  <c r="A10025" i="4"/>
  <c r="A10026" i="4"/>
  <c r="A10027" i="4"/>
  <c r="A10028" i="4"/>
  <c r="A10029" i="4"/>
  <c r="A10030" i="4"/>
  <c r="A10031" i="4"/>
  <c r="A10032" i="4"/>
  <c r="A10033" i="4"/>
  <c r="A10034" i="4"/>
  <c r="A10035" i="4"/>
  <c r="A10036" i="4"/>
  <c r="A10037" i="4"/>
  <c r="A10038" i="4"/>
  <c r="A10039" i="4"/>
  <c r="A10040" i="4"/>
  <c r="A10041" i="4"/>
  <c r="A10042" i="4"/>
  <c r="A10043" i="4"/>
  <c r="A10044" i="4"/>
  <c r="A10045" i="4"/>
  <c r="A10046" i="4"/>
  <c r="A10047" i="4"/>
  <c r="A10048" i="4"/>
  <c r="A10049" i="4"/>
  <c r="A10050" i="4"/>
  <c r="A10051" i="4"/>
  <c r="A10052" i="4"/>
  <c r="A10053" i="4"/>
  <c r="A10054" i="4"/>
  <c r="A10055" i="4"/>
  <c r="A10056" i="4"/>
  <c r="A10057" i="4"/>
  <c r="A10058" i="4"/>
  <c r="A10059" i="4"/>
  <c r="A10060" i="4"/>
  <c r="A10061" i="4"/>
  <c r="A10062" i="4"/>
  <c r="A10063" i="4"/>
  <c r="A10064" i="4"/>
  <c r="A10065" i="4"/>
  <c r="A10066" i="4"/>
  <c r="A10067" i="4"/>
  <c r="A10068" i="4"/>
  <c r="A10069" i="4"/>
  <c r="A10070" i="4"/>
  <c r="A10071" i="4"/>
  <c r="A10072" i="4"/>
  <c r="A10073" i="4"/>
  <c r="A10074" i="4"/>
  <c r="A10075" i="4"/>
  <c r="A10076" i="4"/>
  <c r="A10077" i="4"/>
  <c r="A10078" i="4"/>
  <c r="A10079" i="4"/>
  <c r="A10080" i="4"/>
  <c r="A10081" i="4"/>
  <c r="A10082" i="4"/>
  <c r="A10083" i="4"/>
  <c r="A10084" i="4"/>
  <c r="A10085" i="4"/>
  <c r="A10086" i="4"/>
  <c r="A10087" i="4"/>
  <c r="A10088" i="4"/>
  <c r="A10089" i="4"/>
  <c r="A10090" i="4"/>
  <c r="A10091" i="4"/>
  <c r="A10092" i="4"/>
  <c r="A10093" i="4"/>
  <c r="A10094" i="4"/>
  <c r="A10095" i="4"/>
  <c r="A10096" i="4"/>
  <c r="A10097" i="4"/>
  <c r="A10098" i="4"/>
  <c r="A10099" i="4"/>
  <c r="A10100" i="4"/>
  <c r="A10101" i="4"/>
  <c r="A10102" i="4"/>
  <c r="A10103" i="4"/>
  <c r="A10104" i="4"/>
  <c r="A10105" i="4"/>
  <c r="A10106" i="4"/>
  <c r="A10107" i="4"/>
  <c r="A10108" i="4"/>
  <c r="A10109" i="4"/>
  <c r="A10110" i="4"/>
  <c r="A10111" i="4"/>
  <c r="A10112" i="4"/>
  <c r="A10113" i="4"/>
  <c r="A10114" i="4"/>
  <c r="A10115" i="4"/>
  <c r="A10116" i="4"/>
  <c r="A10117" i="4"/>
  <c r="A10118" i="4"/>
  <c r="A10119" i="4"/>
  <c r="A10120" i="4"/>
  <c r="A10121" i="4"/>
  <c r="A10122" i="4"/>
  <c r="A10123" i="4"/>
  <c r="A10124" i="4"/>
  <c r="A10125" i="4"/>
  <c r="A10126" i="4"/>
  <c r="A10127" i="4"/>
  <c r="A10128" i="4"/>
  <c r="A10129" i="4"/>
  <c r="A10130" i="4"/>
  <c r="A10131" i="4"/>
  <c r="A10132" i="4"/>
  <c r="A10133" i="4"/>
  <c r="A10134" i="4"/>
  <c r="A10135" i="4"/>
  <c r="A10136" i="4"/>
  <c r="A10137" i="4"/>
  <c r="A10138" i="4"/>
  <c r="A10139" i="4"/>
  <c r="A10140" i="4"/>
  <c r="A10141" i="4"/>
  <c r="A10142" i="4"/>
  <c r="A10143" i="4"/>
  <c r="A10144" i="4"/>
  <c r="A10145" i="4"/>
  <c r="A10146" i="4"/>
  <c r="A10147" i="4"/>
  <c r="A10148" i="4"/>
  <c r="A10149" i="4"/>
  <c r="A10150" i="4"/>
  <c r="A10151" i="4"/>
  <c r="A10152" i="4"/>
  <c r="A10153" i="4"/>
  <c r="A10154" i="4"/>
  <c r="A10155" i="4"/>
  <c r="A10156" i="4"/>
  <c r="A10157" i="4"/>
  <c r="A10158" i="4"/>
  <c r="A10159" i="4"/>
  <c r="A10160" i="4"/>
  <c r="A10161" i="4"/>
  <c r="A10162" i="4"/>
  <c r="A10163" i="4"/>
  <c r="A10164" i="4"/>
  <c r="A10165" i="4"/>
  <c r="A10166" i="4"/>
  <c r="A10167" i="4"/>
  <c r="A10168" i="4"/>
  <c r="A10169" i="4"/>
  <c r="A10170" i="4"/>
  <c r="A10171" i="4"/>
  <c r="A10172" i="4"/>
  <c r="A10173" i="4"/>
  <c r="A10174" i="4"/>
  <c r="A10175" i="4"/>
  <c r="A10176" i="4"/>
  <c r="A10177" i="4"/>
  <c r="A10178" i="4"/>
  <c r="A10179" i="4"/>
  <c r="A10180" i="4"/>
  <c r="A10181" i="4"/>
  <c r="A10182" i="4"/>
  <c r="A10183" i="4"/>
  <c r="A10184" i="4"/>
  <c r="A10185" i="4"/>
  <c r="A10186" i="4"/>
  <c r="A10187" i="4"/>
  <c r="A10188" i="4"/>
  <c r="A10189" i="4"/>
  <c r="A10190" i="4"/>
  <c r="A10191" i="4"/>
  <c r="A10192" i="4"/>
  <c r="A10193" i="4"/>
  <c r="A10194" i="4"/>
  <c r="A10195" i="4"/>
  <c r="A10196" i="4"/>
  <c r="A10197" i="4"/>
  <c r="A10198" i="4"/>
  <c r="A10199" i="4"/>
  <c r="A10200" i="4"/>
  <c r="A10201" i="4"/>
  <c r="A10202" i="4"/>
  <c r="A10203" i="4"/>
  <c r="A10204" i="4"/>
  <c r="A10205" i="4"/>
  <c r="A10206" i="4"/>
  <c r="A10207" i="4"/>
  <c r="A10208" i="4"/>
  <c r="A10209" i="4"/>
  <c r="A10210" i="4"/>
  <c r="A10211" i="4"/>
  <c r="A10212" i="4"/>
  <c r="A10213" i="4"/>
  <c r="A10214" i="4"/>
  <c r="A10215" i="4"/>
  <c r="A10216" i="4"/>
  <c r="A10217" i="4"/>
  <c r="A10218" i="4"/>
  <c r="A10219" i="4"/>
  <c r="A10220" i="4"/>
  <c r="A10221" i="4"/>
  <c r="A10222" i="4"/>
  <c r="A10223" i="4"/>
  <c r="A10224" i="4"/>
  <c r="A10225" i="4"/>
  <c r="A10226" i="4"/>
  <c r="A10227" i="4"/>
  <c r="A10228" i="4"/>
  <c r="A10229" i="4"/>
  <c r="A10230" i="4"/>
  <c r="A10231" i="4"/>
  <c r="A10232" i="4"/>
  <c r="A10233" i="4"/>
  <c r="A10234" i="4"/>
  <c r="A10235" i="4"/>
  <c r="A10236" i="4"/>
  <c r="A10237" i="4"/>
  <c r="A10238" i="4"/>
  <c r="A10239" i="4"/>
  <c r="A10240" i="4"/>
  <c r="A10241" i="4"/>
  <c r="A10242" i="4"/>
  <c r="A10243" i="4"/>
  <c r="A10244" i="4"/>
  <c r="A10245" i="4"/>
  <c r="A10246" i="4"/>
  <c r="A10247" i="4"/>
  <c r="A10248" i="4"/>
  <c r="A10249" i="4"/>
  <c r="A10250" i="4"/>
  <c r="A10251" i="4"/>
  <c r="A10252" i="4"/>
  <c r="A10253" i="4"/>
  <c r="A10254" i="4"/>
  <c r="A10255" i="4"/>
  <c r="A10256" i="4"/>
  <c r="A10257" i="4"/>
  <c r="A10258" i="4"/>
  <c r="A10259" i="4"/>
  <c r="A10260" i="4"/>
  <c r="A10261" i="4"/>
  <c r="A10262" i="4"/>
  <c r="A10263" i="4"/>
  <c r="A10264" i="4"/>
  <c r="A10265" i="4"/>
  <c r="A10266" i="4"/>
  <c r="A10267" i="4"/>
  <c r="A10268" i="4"/>
  <c r="A10269" i="4"/>
  <c r="A10270" i="4"/>
  <c r="A10271" i="4"/>
  <c r="A10272" i="4"/>
  <c r="A10273" i="4"/>
  <c r="A10274" i="4"/>
  <c r="A10275" i="4"/>
  <c r="A10276" i="4"/>
  <c r="A10277" i="4"/>
  <c r="A10278" i="4"/>
  <c r="A10279" i="4"/>
  <c r="A10280" i="4"/>
  <c r="A10281" i="4"/>
  <c r="A10282" i="4"/>
  <c r="A10283" i="4"/>
  <c r="A10284" i="4"/>
  <c r="A10285" i="4"/>
  <c r="A10286" i="4"/>
  <c r="A10287" i="4"/>
  <c r="A10288" i="4"/>
  <c r="A10289" i="4"/>
  <c r="A10290" i="4"/>
  <c r="A10291" i="4"/>
  <c r="A10292" i="4"/>
  <c r="A10293" i="4"/>
  <c r="A10294" i="4"/>
  <c r="A10295" i="4"/>
  <c r="A10296" i="4"/>
  <c r="A10297" i="4"/>
  <c r="A10298" i="4"/>
  <c r="A10299" i="4"/>
  <c r="A10300" i="4"/>
  <c r="A10301" i="4"/>
  <c r="A10302" i="4"/>
  <c r="A10303" i="4"/>
  <c r="A10304" i="4"/>
  <c r="A10305" i="4"/>
  <c r="A10306" i="4"/>
  <c r="A10307" i="4"/>
  <c r="A10308" i="4"/>
  <c r="A10309" i="4"/>
  <c r="A10310" i="4"/>
  <c r="A10311" i="4"/>
  <c r="A10312" i="4"/>
  <c r="A10313" i="4"/>
  <c r="A10314" i="4"/>
  <c r="A10315" i="4"/>
  <c r="A10316" i="4"/>
  <c r="A10317" i="4"/>
  <c r="A10318" i="4"/>
  <c r="A10319" i="4"/>
  <c r="A10320" i="4"/>
  <c r="A10321" i="4"/>
  <c r="A10322" i="4"/>
  <c r="A10323" i="4"/>
  <c r="A10324" i="4"/>
  <c r="A10325" i="4"/>
  <c r="A10326" i="4"/>
  <c r="A10327" i="4"/>
  <c r="A10328" i="4"/>
  <c r="A10329" i="4"/>
  <c r="A10330" i="4"/>
  <c r="A10331" i="4"/>
  <c r="A10332" i="4"/>
  <c r="A10333" i="4"/>
  <c r="A10334" i="4"/>
  <c r="A10335" i="4"/>
  <c r="A10336" i="4"/>
  <c r="A10337" i="4"/>
  <c r="A10338" i="4"/>
  <c r="A10339" i="4"/>
  <c r="A10340" i="4"/>
  <c r="A10341" i="4"/>
  <c r="A10342" i="4"/>
  <c r="A10343" i="4"/>
  <c r="A10344" i="4"/>
  <c r="A10345" i="4"/>
  <c r="A10346" i="4"/>
  <c r="A10347" i="4"/>
  <c r="A10348" i="4"/>
  <c r="A10349" i="4"/>
  <c r="A10350" i="4"/>
  <c r="A10351" i="4"/>
  <c r="A10352" i="4"/>
  <c r="A10353" i="4"/>
  <c r="A10354" i="4"/>
  <c r="A10355" i="4"/>
  <c r="A10356" i="4"/>
  <c r="A10357" i="4"/>
  <c r="A10358" i="4"/>
  <c r="A10359" i="4"/>
  <c r="A10360" i="4"/>
  <c r="A10361" i="4"/>
  <c r="A10362" i="4"/>
  <c r="A10363" i="4"/>
  <c r="A10364" i="4"/>
  <c r="A10365" i="4"/>
  <c r="A10366" i="4"/>
  <c r="A10367" i="4"/>
  <c r="A10368" i="4"/>
  <c r="A10369" i="4"/>
  <c r="A10370" i="4"/>
  <c r="A10371" i="4"/>
  <c r="A10372" i="4"/>
  <c r="A10373" i="4"/>
  <c r="A10374" i="4"/>
  <c r="A10375" i="4"/>
  <c r="A10376" i="4"/>
  <c r="A10377" i="4"/>
  <c r="A10378" i="4"/>
  <c r="A10379" i="4"/>
  <c r="A10380" i="4"/>
  <c r="A10381" i="4"/>
  <c r="A10382" i="4"/>
  <c r="A10383" i="4"/>
  <c r="A10384" i="4"/>
  <c r="A10385" i="4"/>
  <c r="A10386" i="4"/>
  <c r="A10387" i="4"/>
  <c r="A10388" i="4"/>
  <c r="A10389" i="4"/>
  <c r="A10390" i="4"/>
  <c r="A10391" i="4"/>
  <c r="A10392" i="4"/>
  <c r="A10393" i="4"/>
  <c r="A10394" i="4"/>
  <c r="A10395" i="4"/>
  <c r="A10396" i="4"/>
  <c r="A10397" i="4"/>
  <c r="A10398" i="4"/>
  <c r="A10399" i="4"/>
  <c r="A10400" i="4"/>
  <c r="A10401" i="4"/>
  <c r="A10402" i="4"/>
  <c r="A10403" i="4"/>
  <c r="A10404" i="4"/>
  <c r="A10405" i="4"/>
  <c r="A10406" i="4"/>
  <c r="A10407" i="4"/>
  <c r="A10408" i="4"/>
  <c r="A10409" i="4"/>
  <c r="A10410" i="4"/>
  <c r="A10411" i="4"/>
  <c r="A10412" i="4"/>
  <c r="A10413" i="4"/>
  <c r="A10414" i="4"/>
  <c r="A10415" i="4"/>
  <c r="A10416" i="4"/>
  <c r="A10417" i="4"/>
  <c r="A10418" i="4"/>
  <c r="A10419" i="4"/>
  <c r="A10420" i="4"/>
  <c r="A10421" i="4"/>
  <c r="A10422" i="4"/>
  <c r="A10423" i="4"/>
  <c r="A10424" i="4"/>
  <c r="A10425" i="4"/>
  <c r="A10426" i="4"/>
  <c r="A10427" i="4"/>
  <c r="A10428" i="4"/>
  <c r="A10429" i="4"/>
  <c r="A10430" i="4"/>
  <c r="A10431" i="4"/>
  <c r="A10432" i="4"/>
  <c r="A10433" i="4"/>
  <c r="A10434" i="4"/>
  <c r="A10435" i="4"/>
  <c r="A10436" i="4"/>
  <c r="A10437" i="4"/>
  <c r="A10438" i="4"/>
  <c r="A10439" i="4"/>
  <c r="A10440" i="4"/>
  <c r="A10441" i="4"/>
  <c r="A10442" i="4"/>
  <c r="A10443" i="4"/>
  <c r="A10444" i="4"/>
  <c r="A10445" i="4"/>
  <c r="A10446" i="4"/>
  <c r="A10447" i="4"/>
  <c r="A10448" i="4"/>
  <c r="A10449" i="4"/>
  <c r="A10450" i="4"/>
  <c r="A10451" i="4"/>
  <c r="A10452" i="4"/>
  <c r="A10453" i="4"/>
  <c r="A10454" i="4"/>
  <c r="A10455" i="4"/>
  <c r="A10456" i="4"/>
  <c r="A10457" i="4"/>
  <c r="A10458" i="4"/>
  <c r="A10459" i="4"/>
  <c r="A10460" i="4"/>
  <c r="A10461" i="4"/>
  <c r="A10462" i="4"/>
  <c r="A10463" i="4"/>
  <c r="A10464" i="4"/>
  <c r="A10465" i="4"/>
  <c r="A10466" i="4"/>
  <c r="A10467" i="4"/>
  <c r="A10468" i="4"/>
  <c r="A10469" i="4"/>
  <c r="A10470" i="4"/>
  <c r="A10471" i="4"/>
  <c r="A10472" i="4"/>
  <c r="A10473" i="4"/>
  <c r="A10474" i="4"/>
  <c r="A10475" i="4"/>
  <c r="A10476" i="4"/>
  <c r="A10477" i="4"/>
  <c r="A10478" i="4"/>
  <c r="A10479" i="4"/>
  <c r="A10480" i="4"/>
  <c r="A10481" i="4"/>
  <c r="A10482" i="4"/>
  <c r="A10483" i="4"/>
  <c r="A10484" i="4"/>
  <c r="A10485" i="4"/>
  <c r="A10486" i="4"/>
  <c r="A10487" i="4"/>
  <c r="A10488" i="4"/>
  <c r="A10489" i="4"/>
  <c r="A10490" i="4"/>
  <c r="A10491" i="4"/>
  <c r="A10492" i="4"/>
  <c r="A10493" i="4"/>
  <c r="A10494" i="4"/>
  <c r="A10495" i="4"/>
  <c r="A10496" i="4"/>
  <c r="A10497" i="4"/>
  <c r="A10498" i="4"/>
  <c r="A10499" i="4"/>
  <c r="A10500" i="4"/>
  <c r="A10501" i="4"/>
  <c r="A10502" i="4"/>
  <c r="A10503" i="4"/>
  <c r="A10504" i="4"/>
  <c r="A10505" i="4"/>
  <c r="A10506" i="4"/>
  <c r="A10507" i="4"/>
  <c r="A10508" i="4"/>
  <c r="A10509" i="4"/>
  <c r="A10510" i="4"/>
  <c r="A10511" i="4"/>
  <c r="A10512" i="4"/>
  <c r="A10513" i="4"/>
  <c r="A10514" i="4"/>
  <c r="A10515" i="4"/>
  <c r="A10516" i="4"/>
  <c r="A10517" i="4"/>
  <c r="A10518" i="4"/>
  <c r="A10519" i="4"/>
  <c r="A10520" i="4"/>
  <c r="A10521" i="4"/>
  <c r="A10522" i="4"/>
  <c r="A10523" i="4"/>
  <c r="A10524" i="4"/>
  <c r="A10525" i="4"/>
  <c r="A10526" i="4"/>
  <c r="A10527" i="4"/>
  <c r="A10528" i="4"/>
  <c r="A10529" i="4"/>
  <c r="A10530" i="4"/>
  <c r="A10531" i="4"/>
  <c r="A10532" i="4"/>
  <c r="A10533" i="4"/>
  <c r="A10534" i="4"/>
  <c r="A10535" i="4"/>
  <c r="A10536" i="4"/>
  <c r="A10537" i="4"/>
  <c r="A10538" i="4"/>
  <c r="A10539" i="4"/>
  <c r="A10540" i="4"/>
  <c r="A10541" i="4"/>
  <c r="A10542" i="4"/>
  <c r="A10543" i="4"/>
  <c r="A10544" i="4"/>
  <c r="A10545" i="4"/>
  <c r="A10546" i="4"/>
  <c r="A10547" i="4"/>
  <c r="A10548" i="4"/>
  <c r="A10549" i="4"/>
  <c r="A10550" i="4"/>
  <c r="A10551" i="4"/>
  <c r="A10552" i="4"/>
  <c r="A10553" i="4"/>
  <c r="A10554" i="4"/>
  <c r="A10555" i="4"/>
  <c r="A10556" i="4"/>
  <c r="A10557" i="4"/>
  <c r="A10558" i="4"/>
  <c r="A10559" i="4"/>
  <c r="A10560" i="4"/>
  <c r="A10561" i="4"/>
  <c r="A10562" i="4"/>
  <c r="A10563" i="4"/>
  <c r="A10564" i="4"/>
  <c r="A10565" i="4"/>
  <c r="A10566" i="4"/>
  <c r="A10567" i="4"/>
  <c r="A10568" i="4"/>
  <c r="A10569" i="4"/>
  <c r="A10570" i="4"/>
  <c r="A10571" i="4"/>
  <c r="A10572" i="4"/>
  <c r="A10573" i="4"/>
  <c r="A10574" i="4"/>
  <c r="A10575" i="4"/>
  <c r="A10576" i="4"/>
  <c r="A10577" i="4"/>
  <c r="A10578" i="4"/>
  <c r="A10579" i="4"/>
  <c r="A10580" i="4"/>
  <c r="A10581" i="4"/>
  <c r="A10582" i="4"/>
  <c r="A10583" i="4"/>
  <c r="A10584" i="4"/>
  <c r="A10585" i="4"/>
  <c r="A10586" i="4"/>
  <c r="A10587" i="4"/>
  <c r="A10588" i="4"/>
  <c r="A10589" i="4"/>
  <c r="A10590" i="4"/>
  <c r="A10591" i="4"/>
  <c r="A10592" i="4"/>
  <c r="A10593" i="4"/>
  <c r="A10594" i="4"/>
  <c r="A10595" i="4"/>
  <c r="A10596" i="4"/>
  <c r="A10597" i="4"/>
  <c r="A10598" i="4"/>
  <c r="A10599" i="4"/>
  <c r="A10600" i="4"/>
  <c r="A10601" i="4"/>
  <c r="A10602" i="4"/>
  <c r="A10603" i="4"/>
  <c r="A10604" i="4"/>
  <c r="A10605" i="4"/>
  <c r="A10606" i="4"/>
  <c r="A10607" i="4"/>
  <c r="A10608" i="4"/>
  <c r="A10609" i="4"/>
  <c r="A10610" i="4"/>
  <c r="A10611" i="4"/>
  <c r="A10612" i="4"/>
  <c r="A10613" i="4"/>
  <c r="A10614" i="4"/>
  <c r="A10615" i="4"/>
  <c r="A10616" i="4"/>
  <c r="A10617" i="4"/>
  <c r="A10618" i="4"/>
  <c r="A10619" i="4"/>
  <c r="A10620" i="4"/>
  <c r="A10621" i="4"/>
  <c r="A10622" i="4"/>
  <c r="A10623" i="4"/>
  <c r="A10624" i="4"/>
  <c r="A10625" i="4"/>
  <c r="A10626" i="4"/>
  <c r="A10627" i="4"/>
  <c r="A10628" i="4"/>
  <c r="A10629" i="4"/>
  <c r="A10630" i="4"/>
  <c r="A10631" i="4"/>
  <c r="A10632" i="4"/>
  <c r="A10633" i="4"/>
  <c r="A10634" i="4"/>
  <c r="A10635" i="4"/>
  <c r="A10636" i="4"/>
  <c r="A10637" i="4"/>
  <c r="A10638" i="4"/>
  <c r="A10639" i="4"/>
  <c r="A10640" i="4"/>
  <c r="A10641" i="4"/>
  <c r="A10642" i="4"/>
  <c r="A10643" i="4"/>
  <c r="A10644" i="4"/>
  <c r="A10645" i="4"/>
  <c r="A10646" i="4"/>
  <c r="A10647" i="4"/>
  <c r="A10648" i="4"/>
  <c r="A10649" i="4"/>
  <c r="A10650" i="4"/>
  <c r="A10651" i="4"/>
  <c r="A10652" i="4"/>
  <c r="A10653" i="4"/>
  <c r="A10654" i="4"/>
  <c r="A10655" i="4"/>
  <c r="A10656" i="4"/>
  <c r="A10657" i="4"/>
  <c r="A10658" i="4"/>
  <c r="A10659" i="4"/>
  <c r="A10660" i="4"/>
  <c r="A10661" i="4"/>
  <c r="A10662" i="4"/>
  <c r="A10663" i="4"/>
  <c r="A10664" i="4"/>
  <c r="A10665" i="4"/>
  <c r="A10666" i="4"/>
  <c r="A10667" i="4"/>
  <c r="A10668" i="4"/>
  <c r="A10669" i="4"/>
  <c r="A10670" i="4"/>
  <c r="A10671" i="4"/>
  <c r="A10672" i="4"/>
  <c r="A10673" i="4"/>
  <c r="A10674" i="4"/>
  <c r="A10675" i="4"/>
  <c r="A10676" i="4"/>
  <c r="A10677" i="4"/>
  <c r="A10678" i="4"/>
  <c r="A10679" i="4"/>
  <c r="A10680" i="4"/>
  <c r="A10681" i="4"/>
  <c r="A10682" i="4"/>
  <c r="A10683" i="4"/>
  <c r="A10684" i="4"/>
  <c r="A10685" i="4"/>
  <c r="A10686" i="4"/>
  <c r="A10687" i="4"/>
  <c r="A10688" i="4"/>
  <c r="A10689" i="4"/>
  <c r="A10690" i="4"/>
  <c r="A10691" i="4"/>
  <c r="A10692" i="4"/>
  <c r="A10693" i="4"/>
  <c r="A10694" i="4"/>
  <c r="A10695" i="4"/>
  <c r="A10696" i="4"/>
  <c r="A10697" i="4"/>
  <c r="A10698" i="4"/>
  <c r="A10699" i="4"/>
  <c r="A10700" i="4"/>
  <c r="A10701" i="4"/>
  <c r="A10702" i="4"/>
  <c r="A10703" i="4"/>
  <c r="A10704" i="4"/>
  <c r="A10705" i="4"/>
  <c r="A10706" i="4"/>
  <c r="A10707" i="4"/>
  <c r="A10708" i="4"/>
  <c r="A10709" i="4"/>
  <c r="A10710" i="4"/>
  <c r="A10711" i="4"/>
  <c r="A10712" i="4"/>
  <c r="A10713" i="4"/>
  <c r="A10714" i="4"/>
  <c r="A10715" i="4"/>
  <c r="A10716" i="4"/>
  <c r="A10717" i="4"/>
  <c r="A10718" i="4"/>
  <c r="A10719" i="4"/>
  <c r="A10720" i="4"/>
  <c r="A10721" i="4"/>
  <c r="A10722" i="4"/>
  <c r="A10723" i="4"/>
  <c r="A10724" i="4"/>
  <c r="A10725" i="4"/>
  <c r="A10726" i="4"/>
  <c r="A10727" i="4"/>
  <c r="A10728" i="4"/>
  <c r="A10729" i="4"/>
  <c r="A10730" i="4"/>
  <c r="A10731" i="4"/>
  <c r="A10732" i="4"/>
  <c r="A10733" i="4"/>
  <c r="A10734" i="4"/>
  <c r="A10735" i="4"/>
  <c r="A10736" i="4"/>
  <c r="A10737" i="4"/>
  <c r="A10738" i="4"/>
  <c r="A10739" i="4"/>
  <c r="A10740" i="4"/>
  <c r="A10741" i="4"/>
  <c r="A10742" i="4"/>
  <c r="A10743" i="4"/>
  <c r="A10744" i="4"/>
  <c r="A10745" i="4"/>
  <c r="A10746" i="4"/>
  <c r="A10747" i="4"/>
  <c r="A10748" i="4"/>
  <c r="A10749" i="4"/>
  <c r="A10750" i="4"/>
  <c r="A10751" i="4"/>
  <c r="A10752" i="4"/>
  <c r="A10753" i="4"/>
  <c r="A10754" i="4"/>
  <c r="A10755" i="4"/>
  <c r="A10756" i="4"/>
  <c r="A10757" i="4"/>
  <c r="A10758" i="4"/>
  <c r="A10759" i="4"/>
  <c r="A10760" i="4"/>
  <c r="A10761" i="4"/>
  <c r="A10762" i="4"/>
  <c r="A10763" i="4"/>
  <c r="A10764" i="4"/>
  <c r="A10765" i="4"/>
  <c r="A10766" i="4"/>
  <c r="A10767" i="4"/>
  <c r="A10768" i="4"/>
  <c r="A10769" i="4"/>
  <c r="A10770" i="4"/>
  <c r="A10771" i="4"/>
  <c r="A10772" i="4"/>
  <c r="A10773" i="4"/>
  <c r="A10774" i="4"/>
  <c r="A10775" i="4"/>
  <c r="A10776" i="4"/>
  <c r="A10777" i="4"/>
  <c r="A10778" i="4"/>
  <c r="A10779" i="4"/>
  <c r="A10780" i="4"/>
  <c r="A10781" i="4"/>
  <c r="A10782" i="4"/>
  <c r="A10783" i="4"/>
  <c r="A10784" i="4"/>
  <c r="A10785" i="4"/>
  <c r="A10786" i="4"/>
  <c r="A10787" i="4"/>
  <c r="A10788" i="4"/>
  <c r="A10789" i="4"/>
  <c r="A10790" i="4"/>
  <c r="A10791" i="4"/>
  <c r="A10792" i="4"/>
  <c r="A10793" i="4"/>
  <c r="A10794" i="4"/>
  <c r="A10795" i="4"/>
  <c r="A10796" i="4"/>
  <c r="A10797" i="4"/>
  <c r="A10798" i="4"/>
  <c r="A10799" i="4"/>
  <c r="A10800" i="4"/>
  <c r="A10801" i="4"/>
  <c r="A10802" i="4"/>
  <c r="A10803" i="4"/>
  <c r="A10804" i="4"/>
  <c r="A10805" i="4"/>
  <c r="A10806" i="4"/>
  <c r="A10807" i="4"/>
  <c r="A10808" i="4"/>
  <c r="A10809" i="4"/>
  <c r="A10810" i="4"/>
  <c r="A10811" i="4"/>
  <c r="A10812" i="4"/>
  <c r="A10813" i="4"/>
  <c r="A10814" i="4"/>
  <c r="A10815" i="4"/>
  <c r="A10816" i="4"/>
  <c r="A10817" i="4"/>
  <c r="A10818" i="4"/>
  <c r="A10819" i="4"/>
  <c r="A10820" i="4"/>
  <c r="A10821" i="4"/>
  <c r="A10822" i="4"/>
  <c r="A10823" i="4"/>
  <c r="A10824" i="4"/>
  <c r="A10825" i="4"/>
  <c r="A10826" i="4"/>
  <c r="A10827" i="4"/>
  <c r="A10828" i="4"/>
  <c r="A10829" i="4"/>
  <c r="A10830" i="4"/>
  <c r="A10831" i="4"/>
  <c r="A10832" i="4"/>
  <c r="A10833" i="4"/>
  <c r="A10834" i="4"/>
  <c r="A10835" i="4"/>
  <c r="A10836" i="4"/>
  <c r="A10837" i="4"/>
  <c r="A10838" i="4"/>
  <c r="A10839" i="4"/>
  <c r="A10840" i="4"/>
  <c r="A10841" i="4"/>
  <c r="A10842" i="4"/>
  <c r="A10843" i="4"/>
  <c r="A10844" i="4"/>
  <c r="A10845" i="4"/>
  <c r="A10846" i="4"/>
  <c r="A10847" i="4"/>
  <c r="A10848" i="4"/>
  <c r="A10849" i="4"/>
  <c r="A10850" i="4"/>
  <c r="A10851" i="4"/>
  <c r="A10852" i="4"/>
  <c r="A10853" i="4"/>
  <c r="A10854" i="4"/>
  <c r="A10855" i="4"/>
  <c r="A10856" i="4"/>
  <c r="A10857" i="4"/>
  <c r="A10858" i="4"/>
  <c r="A10859" i="4"/>
  <c r="A10860" i="4"/>
  <c r="A10861" i="4"/>
  <c r="A10862" i="4"/>
  <c r="A10863" i="4"/>
  <c r="A10864" i="4"/>
  <c r="A10865" i="4"/>
  <c r="A10866" i="4"/>
  <c r="A10867" i="4"/>
  <c r="A10868" i="4"/>
  <c r="A10869" i="4"/>
  <c r="A10870" i="4"/>
  <c r="A10871" i="4"/>
  <c r="A10872" i="4"/>
  <c r="A10873" i="4"/>
  <c r="A10874" i="4"/>
  <c r="A10875" i="4"/>
  <c r="A10876" i="4"/>
  <c r="A10877" i="4"/>
  <c r="A10878" i="4"/>
  <c r="A10879" i="4"/>
  <c r="A10880" i="4"/>
  <c r="A10881" i="4"/>
  <c r="A10882" i="4"/>
  <c r="A10883" i="4"/>
  <c r="A10884" i="4"/>
  <c r="A10885" i="4"/>
  <c r="A10886" i="4"/>
  <c r="A10887" i="4"/>
  <c r="A10888" i="4"/>
  <c r="A10889" i="4"/>
  <c r="A10890" i="4"/>
  <c r="A10891" i="4"/>
  <c r="A10892" i="4"/>
  <c r="A10893" i="4"/>
  <c r="A10894" i="4"/>
  <c r="A10895" i="4"/>
  <c r="A10896" i="4"/>
  <c r="A10897" i="4"/>
  <c r="A10898" i="4"/>
  <c r="A10899" i="4"/>
  <c r="A10900" i="4"/>
  <c r="A10901" i="4"/>
  <c r="A10902" i="4"/>
  <c r="A10903" i="4"/>
  <c r="A10904" i="4"/>
  <c r="A10905" i="4"/>
  <c r="A10906" i="4"/>
  <c r="A10907" i="4"/>
  <c r="A10908" i="4"/>
  <c r="A10909" i="4"/>
  <c r="A10910" i="4"/>
  <c r="A10911" i="4"/>
  <c r="A10912" i="4"/>
  <c r="A10913" i="4"/>
  <c r="A10914" i="4"/>
  <c r="A10915" i="4"/>
  <c r="A10916" i="4"/>
  <c r="A10917" i="4"/>
  <c r="A10918" i="4"/>
  <c r="A10919" i="4"/>
  <c r="A10920" i="4"/>
  <c r="A10921" i="4"/>
  <c r="A10922" i="4"/>
  <c r="A10923" i="4"/>
  <c r="A10924" i="4"/>
  <c r="A10925" i="4"/>
  <c r="A10926" i="4"/>
  <c r="A10927" i="4"/>
  <c r="A10928" i="4"/>
  <c r="A10929" i="4"/>
  <c r="A10930" i="4"/>
  <c r="A10931" i="4"/>
  <c r="A10932" i="4"/>
  <c r="A10933" i="4"/>
  <c r="A10934" i="4"/>
  <c r="A10935" i="4"/>
  <c r="A10936" i="4"/>
  <c r="A10937" i="4"/>
  <c r="A10938" i="4"/>
  <c r="A10939" i="4"/>
  <c r="A10940" i="4"/>
  <c r="A10941" i="4"/>
  <c r="A10942" i="4"/>
  <c r="A10943" i="4"/>
  <c r="A10944" i="4"/>
  <c r="A10945" i="4"/>
  <c r="A10946" i="4"/>
  <c r="A10947" i="4"/>
  <c r="A10948" i="4"/>
  <c r="A10949" i="4"/>
  <c r="A10950" i="4"/>
  <c r="A10951" i="4"/>
  <c r="A10952" i="4"/>
  <c r="A10953" i="4"/>
  <c r="A10954" i="4"/>
  <c r="A10955" i="4"/>
  <c r="A10956" i="4"/>
  <c r="A10957" i="4"/>
  <c r="A10958" i="4"/>
  <c r="A10959" i="4"/>
  <c r="A10960" i="4"/>
  <c r="A10961" i="4"/>
  <c r="A10962" i="4"/>
  <c r="A10963" i="4"/>
  <c r="A10964" i="4"/>
  <c r="A10965" i="4"/>
  <c r="A10966" i="4"/>
  <c r="A10967" i="4"/>
  <c r="A10968" i="4"/>
  <c r="A10969" i="4"/>
  <c r="A10970" i="4"/>
  <c r="A10971" i="4"/>
  <c r="A10972" i="4"/>
  <c r="A10973" i="4"/>
  <c r="A10974" i="4"/>
  <c r="A10975" i="4"/>
  <c r="A10976" i="4"/>
  <c r="A10977" i="4"/>
  <c r="A10978" i="4"/>
  <c r="A10979" i="4"/>
  <c r="A10980" i="4"/>
  <c r="A10981" i="4"/>
  <c r="A10982" i="4"/>
  <c r="A10983" i="4"/>
  <c r="A10984" i="4"/>
  <c r="A10985" i="4"/>
  <c r="A10986" i="4"/>
  <c r="A10987" i="4"/>
  <c r="A10988" i="4"/>
  <c r="A10989" i="4"/>
  <c r="A10990" i="4"/>
  <c r="A10991" i="4"/>
  <c r="A10992" i="4"/>
  <c r="A10993" i="4"/>
  <c r="A10994" i="4"/>
  <c r="A10995" i="4"/>
  <c r="A10996" i="4"/>
  <c r="A10997" i="4"/>
  <c r="A10998" i="4"/>
  <c r="A10999" i="4"/>
  <c r="A11000" i="4"/>
  <c r="A11001" i="4"/>
  <c r="A11002" i="4"/>
  <c r="A11003" i="4"/>
  <c r="A11004" i="4"/>
  <c r="A11005" i="4"/>
  <c r="A11006" i="4"/>
  <c r="A11007" i="4"/>
  <c r="A11008" i="4"/>
  <c r="A11009" i="4"/>
  <c r="A11010" i="4"/>
  <c r="A11011" i="4"/>
  <c r="A11012" i="4"/>
  <c r="A11013" i="4"/>
  <c r="A11014" i="4"/>
  <c r="A11015" i="4"/>
  <c r="A11016" i="4"/>
  <c r="A11017" i="4"/>
  <c r="A11018" i="4"/>
  <c r="A11019" i="4"/>
  <c r="A11020" i="4"/>
  <c r="A11021" i="4"/>
  <c r="A11022" i="4"/>
  <c r="A11023" i="4"/>
  <c r="A11024" i="4"/>
  <c r="A11025" i="4"/>
  <c r="A11026" i="4"/>
  <c r="A11027" i="4"/>
  <c r="A11028" i="4"/>
  <c r="A11029" i="4"/>
  <c r="A11030" i="4"/>
  <c r="A11031" i="4"/>
  <c r="A11032" i="4"/>
  <c r="A11033" i="4"/>
  <c r="A11034" i="4"/>
  <c r="A11035" i="4"/>
  <c r="A11036" i="4"/>
  <c r="A11037" i="4"/>
  <c r="A11038" i="4"/>
  <c r="A11039" i="4"/>
  <c r="A11040" i="4"/>
  <c r="A11041" i="4"/>
  <c r="A11042" i="4"/>
  <c r="A11043" i="4"/>
  <c r="A11044" i="4"/>
  <c r="A11045" i="4"/>
  <c r="A11046" i="4"/>
  <c r="A11047" i="4"/>
  <c r="A11048" i="4"/>
  <c r="A11049" i="4"/>
  <c r="A11050" i="4"/>
  <c r="A11051" i="4"/>
  <c r="A11052" i="4"/>
  <c r="A11053" i="4"/>
  <c r="A11054" i="4"/>
  <c r="A11055" i="4"/>
  <c r="A11056" i="4"/>
  <c r="A11057" i="4"/>
  <c r="A11058" i="4"/>
  <c r="A11059" i="4"/>
  <c r="A11060" i="4"/>
  <c r="A11061" i="4"/>
  <c r="A11062" i="4"/>
  <c r="A11063" i="4"/>
  <c r="A11064" i="4"/>
  <c r="A11065" i="4"/>
  <c r="A11066" i="4"/>
  <c r="A11067" i="4"/>
  <c r="A11068" i="4"/>
  <c r="A11069" i="4"/>
  <c r="A11070" i="4"/>
  <c r="A11071" i="4"/>
  <c r="A11072" i="4"/>
  <c r="A11073" i="4"/>
  <c r="A11074" i="4"/>
  <c r="A11075" i="4"/>
  <c r="A11076" i="4"/>
  <c r="A11077" i="4"/>
  <c r="A11078" i="4"/>
  <c r="A11079" i="4"/>
  <c r="A11080" i="4"/>
  <c r="A11081" i="4"/>
  <c r="A11082" i="4"/>
  <c r="A11083" i="4"/>
  <c r="A11084" i="4"/>
  <c r="A11085" i="4"/>
  <c r="A11086" i="4"/>
  <c r="A11087" i="4"/>
  <c r="A11088" i="4"/>
  <c r="A11089" i="4"/>
  <c r="A11090" i="4"/>
  <c r="A11091" i="4"/>
  <c r="A11092" i="4"/>
  <c r="A11093" i="4"/>
  <c r="A11094" i="4"/>
  <c r="A11095" i="4"/>
  <c r="A11096" i="4"/>
  <c r="A11097" i="4"/>
  <c r="A11098" i="4"/>
  <c r="A11099" i="4"/>
  <c r="A11100" i="4"/>
  <c r="A11101" i="4"/>
  <c r="A11102" i="4"/>
  <c r="A11103" i="4"/>
  <c r="A11104" i="4"/>
  <c r="A11105" i="4"/>
  <c r="A11106" i="4"/>
  <c r="A11107" i="4"/>
  <c r="A11108" i="4"/>
  <c r="A11109" i="4"/>
  <c r="A11110" i="4"/>
  <c r="A11111" i="4"/>
  <c r="A11112" i="4"/>
  <c r="A11113" i="4"/>
  <c r="A11114" i="4"/>
  <c r="A11115" i="4"/>
  <c r="A11116" i="4"/>
  <c r="A11117" i="4"/>
  <c r="A11118" i="4"/>
  <c r="A11119" i="4"/>
  <c r="A11120" i="4"/>
  <c r="A11121" i="4"/>
  <c r="A11122" i="4"/>
  <c r="A11123" i="4"/>
  <c r="A11124" i="4"/>
  <c r="A11125" i="4"/>
  <c r="A11126" i="4"/>
  <c r="A11127" i="4"/>
  <c r="A11128" i="4"/>
  <c r="A11129" i="4"/>
  <c r="A11130" i="4"/>
  <c r="A11131" i="4"/>
  <c r="A11132" i="4"/>
  <c r="A11133" i="4"/>
  <c r="A11134" i="4"/>
  <c r="A11135" i="4"/>
  <c r="A11136" i="4"/>
  <c r="A11137" i="4"/>
  <c r="A11138" i="4"/>
  <c r="A11139" i="4"/>
  <c r="A11140" i="4"/>
  <c r="A11141" i="4"/>
  <c r="A11142" i="4"/>
  <c r="A11143" i="4"/>
  <c r="A11144" i="4"/>
  <c r="A11145" i="4"/>
  <c r="A11146" i="4"/>
  <c r="A11147" i="4"/>
  <c r="A11148" i="4"/>
  <c r="A11149" i="4"/>
  <c r="A11150" i="4"/>
  <c r="A11151" i="4"/>
  <c r="A11152" i="4"/>
  <c r="A11153" i="4"/>
  <c r="A11154" i="4"/>
  <c r="A11155" i="4"/>
  <c r="A11156" i="4"/>
  <c r="A11157" i="4"/>
  <c r="A11158" i="4"/>
  <c r="A11159" i="4"/>
  <c r="A11160" i="4"/>
  <c r="A11161" i="4"/>
  <c r="A11162" i="4"/>
  <c r="A11163" i="4"/>
  <c r="A11164" i="4"/>
  <c r="A11165" i="4"/>
  <c r="A11166" i="4"/>
  <c r="A11167" i="4"/>
  <c r="A11168" i="4"/>
  <c r="A11169" i="4"/>
  <c r="A11170" i="4"/>
  <c r="A11171" i="4"/>
  <c r="A11172" i="4"/>
  <c r="A11173" i="4"/>
  <c r="A11174" i="4"/>
  <c r="A11175" i="4"/>
  <c r="A11176" i="4"/>
  <c r="A11177" i="4"/>
  <c r="A11178" i="4"/>
  <c r="A11179" i="4"/>
  <c r="A11180" i="4"/>
  <c r="A11181" i="4"/>
  <c r="A11182" i="4"/>
  <c r="A11183" i="4"/>
  <c r="A11184" i="4"/>
  <c r="A11185" i="4"/>
  <c r="A11186" i="4"/>
  <c r="A11187" i="4"/>
  <c r="A11188" i="4"/>
  <c r="A11189" i="4"/>
  <c r="A11190" i="4"/>
  <c r="A11191" i="4"/>
  <c r="A11192" i="4"/>
  <c r="A11193" i="4"/>
  <c r="A11194" i="4"/>
  <c r="A11195" i="4"/>
  <c r="A11196" i="4"/>
  <c r="A11197" i="4"/>
  <c r="A11198" i="4"/>
  <c r="A11199" i="4"/>
  <c r="A11200" i="4"/>
  <c r="A11201" i="4"/>
  <c r="A11202" i="4"/>
  <c r="A11203" i="4"/>
  <c r="A11204" i="4"/>
  <c r="A11205" i="4"/>
  <c r="A11206" i="4"/>
  <c r="A11207" i="4"/>
  <c r="A11208" i="4"/>
  <c r="A11209" i="4"/>
  <c r="A11210" i="4"/>
  <c r="A11211" i="4"/>
  <c r="A11212" i="4"/>
  <c r="A11213" i="4"/>
  <c r="A11214" i="4"/>
  <c r="A11215" i="4"/>
  <c r="A11216" i="4"/>
  <c r="A11217" i="4"/>
  <c r="A11218" i="4"/>
  <c r="A11219" i="4"/>
  <c r="A11220" i="4"/>
  <c r="A11221" i="4"/>
  <c r="A11222" i="4"/>
  <c r="A11223" i="4"/>
  <c r="A11224" i="4"/>
  <c r="A11225" i="4"/>
  <c r="A11226" i="4"/>
  <c r="A11227" i="4"/>
  <c r="A11228" i="4"/>
  <c r="A11229" i="4"/>
  <c r="A11230" i="4"/>
  <c r="A11231" i="4"/>
  <c r="A11232" i="4"/>
  <c r="A11233" i="4"/>
  <c r="A11234" i="4"/>
  <c r="A11235" i="4"/>
  <c r="A11236" i="4"/>
  <c r="A11237" i="4"/>
  <c r="A11238" i="4"/>
  <c r="A11239" i="4"/>
  <c r="A11240" i="4"/>
  <c r="A11241" i="4"/>
  <c r="A11242" i="4"/>
  <c r="A11243" i="4"/>
  <c r="A11244" i="4"/>
  <c r="A11245" i="4"/>
  <c r="A11246" i="4"/>
  <c r="A11247" i="4"/>
  <c r="A11248" i="4"/>
  <c r="A11249" i="4"/>
  <c r="A11250" i="4"/>
  <c r="A11251" i="4"/>
  <c r="A11252" i="4"/>
  <c r="A11253" i="4"/>
  <c r="A11254" i="4"/>
  <c r="A11255" i="4"/>
  <c r="A11256" i="4"/>
  <c r="A11257" i="4"/>
  <c r="A11258" i="4"/>
  <c r="A11259" i="4"/>
  <c r="A11260" i="4"/>
  <c r="A11261" i="4"/>
  <c r="A11262" i="4"/>
  <c r="A11263" i="4"/>
  <c r="A11264" i="4"/>
  <c r="A11265" i="4"/>
  <c r="A11266" i="4"/>
  <c r="A11267" i="4"/>
  <c r="A11268" i="4"/>
  <c r="A11269" i="4"/>
  <c r="A11270" i="4"/>
  <c r="A11271" i="4"/>
  <c r="A11272" i="4"/>
  <c r="A11273" i="4"/>
  <c r="A11274" i="4"/>
  <c r="A11275" i="4"/>
  <c r="A11276" i="4"/>
  <c r="A11277" i="4"/>
  <c r="A11278" i="4"/>
  <c r="A11279" i="4"/>
  <c r="A11280" i="4"/>
  <c r="A11281" i="4"/>
  <c r="A11282" i="4"/>
  <c r="A11283" i="4"/>
  <c r="A11284" i="4"/>
  <c r="A11285" i="4"/>
  <c r="A11286" i="4"/>
  <c r="A11287" i="4"/>
  <c r="A11288" i="4"/>
  <c r="A11289" i="4"/>
  <c r="A11290" i="4"/>
  <c r="A11291" i="4"/>
  <c r="A11292" i="4"/>
  <c r="A11293" i="4"/>
  <c r="A11294" i="4"/>
  <c r="A11295" i="4"/>
  <c r="A11296" i="4"/>
  <c r="A11297" i="4"/>
  <c r="A11298" i="4"/>
  <c r="A11299" i="4"/>
  <c r="A11300" i="4"/>
  <c r="A11301" i="4"/>
  <c r="A11302" i="4"/>
  <c r="A11303" i="4"/>
  <c r="A11304" i="4"/>
  <c r="A11305" i="4"/>
  <c r="A11306" i="4"/>
  <c r="A11307" i="4"/>
  <c r="A11308" i="4"/>
  <c r="A11309" i="4"/>
  <c r="A11310" i="4"/>
  <c r="A11311" i="4"/>
  <c r="A11312" i="4"/>
  <c r="A11313" i="4"/>
  <c r="A11314" i="4"/>
  <c r="A11315" i="4"/>
  <c r="A11316" i="4"/>
  <c r="A11317" i="4"/>
  <c r="A11318" i="4"/>
  <c r="A11319" i="4"/>
  <c r="A11320" i="4"/>
  <c r="A11321" i="4"/>
  <c r="A11322" i="4"/>
  <c r="A11323" i="4"/>
  <c r="A11324" i="4"/>
  <c r="A11325" i="4"/>
  <c r="A11326" i="4"/>
  <c r="A11327" i="4"/>
  <c r="A11328" i="4"/>
  <c r="A11329" i="4"/>
  <c r="A11330" i="4"/>
  <c r="A11331" i="4"/>
  <c r="A11332" i="4"/>
  <c r="A11333" i="4"/>
  <c r="A11334" i="4"/>
  <c r="A11335" i="4"/>
  <c r="A11336" i="4"/>
  <c r="A11337" i="4"/>
  <c r="A11338" i="4"/>
  <c r="A11339" i="4"/>
  <c r="A11340" i="4"/>
  <c r="A11341" i="4"/>
  <c r="A11342" i="4"/>
  <c r="A11343" i="4"/>
  <c r="A11344" i="4"/>
  <c r="A11345" i="4"/>
  <c r="A11346" i="4"/>
  <c r="A11347" i="4"/>
  <c r="A11348" i="4"/>
  <c r="A11349" i="4"/>
  <c r="A11350" i="4"/>
  <c r="A11351" i="4"/>
  <c r="A11352" i="4"/>
  <c r="A11353" i="4"/>
  <c r="A11354" i="4"/>
  <c r="A11355" i="4"/>
  <c r="A11356" i="4"/>
  <c r="A11357" i="4"/>
  <c r="A11358" i="4"/>
  <c r="A11359" i="4"/>
  <c r="A11360" i="4"/>
  <c r="A11361" i="4"/>
  <c r="A11362" i="4"/>
  <c r="A11363" i="4"/>
  <c r="A11364" i="4"/>
  <c r="A11365" i="4"/>
  <c r="A11366" i="4"/>
  <c r="A11367" i="4"/>
  <c r="A11368" i="4"/>
  <c r="A11369" i="4"/>
  <c r="A11370" i="4"/>
  <c r="A11371" i="4"/>
  <c r="A11372" i="4"/>
  <c r="A11373" i="4"/>
  <c r="A11374" i="4"/>
  <c r="A11375" i="4"/>
  <c r="A11376" i="4"/>
  <c r="A11377" i="4"/>
  <c r="A11378" i="4"/>
  <c r="A11379" i="4"/>
  <c r="A11380" i="4"/>
  <c r="A11381" i="4"/>
  <c r="A11382" i="4"/>
  <c r="A11383" i="4"/>
  <c r="A11384" i="4"/>
  <c r="A11385" i="4"/>
  <c r="A11386" i="4"/>
  <c r="A11387" i="4"/>
  <c r="A11388" i="4"/>
  <c r="A11389" i="4"/>
  <c r="A11390" i="4"/>
  <c r="A11391" i="4"/>
  <c r="A11392" i="4"/>
  <c r="A11393" i="4"/>
  <c r="A11394" i="4"/>
  <c r="A11395" i="4"/>
  <c r="A11396" i="4"/>
  <c r="A11397" i="4"/>
  <c r="A11398" i="4"/>
  <c r="A11399" i="4"/>
  <c r="A11400" i="4"/>
  <c r="A11401" i="4"/>
  <c r="A11402" i="4"/>
  <c r="A11403" i="4"/>
  <c r="A11404" i="4"/>
  <c r="A11405" i="4"/>
  <c r="A11406" i="4"/>
  <c r="A11407" i="4"/>
  <c r="A11408" i="4"/>
  <c r="A11409" i="4"/>
  <c r="A11410" i="4"/>
  <c r="A11411" i="4"/>
  <c r="A11412" i="4"/>
  <c r="A11413" i="4"/>
  <c r="A11414" i="4"/>
  <c r="A11415" i="4"/>
  <c r="A11416" i="4"/>
  <c r="A11417" i="4"/>
  <c r="A11418" i="4"/>
  <c r="A11419" i="4"/>
  <c r="A11420" i="4"/>
  <c r="A11421" i="4"/>
  <c r="A11422" i="4"/>
  <c r="A11423" i="4"/>
  <c r="A11424" i="4"/>
  <c r="A11425" i="4"/>
  <c r="A11426" i="4"/>
  <c r="A11427" i="4"/>
  <c r="A11428" i="4"/>
  <c r="A11429" i="4"/>
  <c r="A11430" i="4"/>
  <c r="A11431" i="4"/>
  <c r="A11432" i="4"/>
  <c r="A11433" i="4"/>
  <c r="A11434" i="4"/>
  <c r="A11435" i="4"/>
  <c r="A11436" i="4"/>
  <c r="A11437" i="4"/>
  <c r="A11438" i="4"/>
  <c r="A11439" i="4"/>
  <c r="A11440" i="4"/>
  <c r="A11441" i="4"/>
  <c r="A11442" i="4"/>
  <c r="A11443" i="4"/>
  <c r="A11444" i="4"/>
  <c r="A11445" i="4"/>
  <c r="A11446" i="4"/>
  <c r="A11447" i="4"/>
  <c r="A11448" i="4"/>
  <c r="A11449" i="4"/>
  <c r="A11450" i="4"/>
  <c r="A11451" i="4"/>
  <c r="A11452" i="4"/>
  <c r="A11453" i="4"/>
  <c r="A11454" i="4"/>
  <c r="A11455" i="4"/>
  <c r="A11456" i="4"/>
  <c r="A11457" i="4"/>
  <c r="A11458" i="4"/>
  <c r="A11459" i="4"/>
  <c r="A11460" i="4"/>
  <c r="A11461" i="4"/>
  <c r="A11462" i="4"/>
  <c r="A11463" i="4"/>
  <c r="A11464" i="4"/>
  <c r="A11465" i="4"/>
  <c r="A11466" i="4"/>
  <c r="A11467" i="4"/>
  <c r="A11468" i="4"/>
  <c r="A11469" i="4"/>
  <c r="A11470" i="4"/>
  <c r="A11471" i="4"/>
  <c r="A11472" i="4"/>
  <c r="A11473" i="4"/>
  <c r="A11474" i="4"/>
  <c r="A11475" i="4"/>
  <c r="A11476" i="4"/>
  <c r="A11477" i="4"/>
  <c r="A11478" i="4"/>
  <c r="A11479" i="4"/>
  <c r="A11480" i="4"/>
  <c r="A11481" i="4"/>
  <c r="A11482" i="4"/>
  <c r="A11483" i="4"/>
  <c r="A11484" i="4"/>
  <c r="A11485" i="4"/>
  <c r="A11486" i="4"/>
  <c r="A11487" i="4"/>
  <c r="A11488" i="4"/>
  <c r="A11489" i="4"/>
  <c r="A11490" i="4"/>
  <c r="A11491" i="4"/>
  <c r="A11492" i="4"/>
  <c r="A11493" i="4"/>
  <c r="A11494" i="4"/>
  <c r="A11495" i="4"/>
  <c r="A11496" i="4"/>
  <c r="A11497" i="4"/>
  <c r="A11498" i="4"/>
  <c r="A11499" i="4"/>
  <c r="A11500" i="4"/>
  <c r="A11501" i="4"/>
  <c r="A11502" i="4"/>
  <c r="A11503" i="4"/>
  <c r="A11504" i="4"/>
  <c r="A11505" i="4"/>
  <c r="A11506" i="4"/>
  <c r="A11507" i="4"/>
  <c r="A11508" i="4"/>
  <c r="A11509" i="4"/>
  <c r="A11510" i="4"/>
  <c r="A11511" i="4"/>
  <c r="A11512" i="4"/>
  <c r="A11513" i="4"/>
  <c r="A11514" i="4"/>
  <c r="A11515" i="4"/>
  <c r="A11516" i="4"/>
  <c r="A11517" i="4"/>
  <c r="A11518" i="4"/>
  <c r="A11519" i="4"/>
  <c r="A11520" i="4"/>
  <c r="A11521" i="4"/>
  <c r="A11522" i="4"/>
  <c r="A11523" i="4"/>
  <c r="A11524" i="4"/>
  <c r="A11525" i="4"/>
  <c r="A11526" i="4"/>
  <c r="A11527" i="4"/>
  <c r="A11528" i="4"/>
  <c r="A11529" i="4"/>
  <c r="A11530" i="4"/>
  <c r="A11531" i="4"/>
  <c r="A11532" i="4"/>
  <c r="A11533" i="4"/>
  <c r="A11534" i="4"/>
  <c r="A11535" i="4"/>
  <c r="A11536" i="4"/>
  <c r="A11537" i="4"/>
  <c r="A11538" i="4"/>
  <c r="A11539" i="4"/>
  <c r="A11540" i="4"/>
  <c r="A11541" i="4"/>
  <c r="A11542" i="4"/>
  <c r="A11543" i="4"/>
  <c r="A11544" i="4"/>
  <c r="A11545" i="4"/>
  <c r="A11546" i="4"/>
  <c r="A11547" i="4"/>
  <c r="A11548" i="4"/>
  <c r="A11549" i="4"/>
  <c r="A11550" i="4"/>
  <c r="A11551" i="4"/>
  <c r="A11552" i="4"/>
  <c r="A11553" i="4"/>
  <c r="A11554" i="4"/>
  <c r="A11555" i="4"/>
  <c r="A11556" i="4"/>
  <c r="A11557" i="4"/>
  <c r="A11558" i="4"/>
  <c r="A11559" i="4"/>
  <c r="A11560" i="4"/>
  <c r="A11561" i="4"/>
  <c r="A11562" i="4"/>
  <c r="A11563" i="4"/>
  <c r="A11564" i="4"/>
  <c r="A11565" i="4"/>
  <c r="A11566" i="4"/>
  <c r="A11567" i="4"/>
  <c r="A11568" i="4"/>
  <c r="A11569" i="4"/>
  <c r="A11570" i="4"/>
  <c r="A11571" i="4"/>
  <c r="A11572" i="4"/>
  <c r="A11573" i="4"/>
  <c r="A11574" i="4"/>
  <c r="A11575" i="4"/>
  <c r="A11576" i="4"/>
  <c r="A11577" i="4"/>
  <c r="A11578" i="4"/>
  <c r="A11579" i="4"/>
  <c r="A11580" i="4"/>
  <c r="A11581" i="4"/>
  <c r="A11582" i="4"/>
  <c r="A11583" i="4"/>
  <c r="A11584" i="4"/>
  <c r="A11585" i="4"/>
  <c r="A11586" i="4"/>
  <c r="A11587" i="4"/>
  <c r="A11588" i="4"/>
  <c r="A11589" i="4"/>
  <c r="A11590" i="4"/>
  <c r="A11591" i="4"/>
  <c r="A11592" i="4"/>
  <c r="A11593" i="4"/>
  <c r="A11594" i="4"/>
  <c r="A11595" i="4"/>
  <c r="A11596" i="4"/>
  <c r="A11597" i="4"/>
  <c r="A11598" i="4"/>
  <c r="A11599" i="4"/>
  <c r="A11600" i="4"/>
  <c r="A11601" i="4"/>
  <c r="A11602" i="4"/>
  <c r="A11603" i="4"/>
  <c r="A11604" i="4"/>
  <c r="A11605" i="4"/>
  <c r="A11606" i="4"/>
  <c r="A11607" i="4"/>
  <c r="A11608" i="4"/>
  <c r="A11609" i="4"/>
  <c r="A11610" i="4"/>
  <c r="A11611" i="4"/>
  <c r="A11612" i="4"/>
  <c r="A11613" i="4"/>
  <c r="A11614" i="4"/>
  <c r="A11615" i="4"/>
  <c r="A11616" i="4"/>
  <c r="A11617" i="4"/>
  <c r="A11618" i="4"/>
  <c r="A11619" i="4"/>
  <c r="A11620" i="4"/>
  <c r="A11621" i="4"/>
  <c r="A11622" i="4"/>
  <c r="A11623" i="4"/>
  <c r="A11624" i="4"/>
  <c r="A11625" i="4"/>
  <c r="A11626" i="4"/>
  <c r="A11627" i="4"/>
  <c r="A11628" i="4"/>
  <c r="A11629" i="4"/>
  <c r="A11630" i="4"/>
  <c r="A11631" i="4"/>
  <c r="A11632" i="4"/>
  <c r="A11633" i="4"/>
  <c r="A11634" i="4"/>
  <c r="A11635" i="4"/>
  <c r="A11636" i="4"/>
  <c r="A11637" i="4"/>
  <c r="A11638" i="4"/>
  <c r="A11639" i="4"/>
  <c r="A11640" i="4"/>
  <c r="A11641" i="4"/>
  <c r="A11642" i="4"/>
  <c r="A11643" i="4"/>
  <c r="A11644" i="4"/>
  <c r="A11645" i="4"/>
  <c r="A11646" i="4"/>
  <c r="A11647" i="4"/>
  <c r="A11648" i="4"/>
  <c r="A11649" i="4"/>
  <c r="A11650" i="4"/>
  <c r="A11651" i="4"/>
  <c r="A11652" i="4"/>
  <c r="A11653" i="4"/>
  <c r="A11654" i="4"/>
  <c r="A11655" i="4"/>
  <c r="A11656" i="4"/>
  <c r="A11657" i="4"/>
  <c r="A11658" i="4"/>
  <c r="A11659" i="4"/>
  <c r="A11660" i="4"/>
  <c r="A11661" i="4"/>
  <c r="A11662" i="4"/>
  <c r="A11663" i="4"/>
  <c r="A11664" i="4"/>
  <c r="A11665" i="4"/>
  <c r="A11666" i="4"/>
  <c r="A11667" i="4"/>
  <c r="A11668" i="4"/>
  <c r="A11669" i="4"/>
  <c r="A11670" i="4"/>
  <c r="A11671" i="4"/>
  <c r="A11672" i="4"/>
  <c r="A11673" i="4"/>
  <c r="A11674" i="4"/>
  <c r="A11675" i="4"/>
  <c r="A11676" i="4"/>
  <c r="A11677" i="4"/>
  <c r="A11678" i="4"/>
  <c r="A11679" i="4"/>
  <c r="A11680" i="4"/>
  <c r="A11681" i="4"/>
  <c r="A11682" i="4"/>
  <c r="A11683" i="4"/>
  <c r="A11684" i="4"/>
  <c r="A11685" i="4"/>
  <c r="A11686" i="4"/>
  <c r="A11687" i="4"/>
  <c r="A11688" i="4"/>
  <c r="A11689" i="4"/>
  <c r="A11690" i="4"/>
  <c r="A11691" i="4"/>
  <c r="A11692" i="4"/>
  <c r="A11693" i="4"/>
  <c r="A11694" i="4"/>
  <c r="A11695" i="4"/>
  <c r="A11696" i="4"/>
  <c r="A11697" i="4"/>
  <c r="A11698" i="4"/>
  <c r="A11699" i="4"/>
  <c r="A11700" i="4"/>
  <c r="A11701" i="4"/>
  <c r="A11702" i="4"/>
  <c r="A11703" i="4"/>
  <c r="A11704" i="4"/>
  <c r="A11705" i="4"/>
  <c r="A11706" i="4"/>
  <c r="A11707" i="4"/>
  <c r="A11708" i="4"/>
  <c r="A11709" i="4"/>
  <c r="A11710" i="4"/>
  <c r="A11711" i="4"/>
  <c r="A11712" i="4"/>
  <c r="A11713" i="4"/>
  <c r="A11714" i="4"/>
  <c r="A11715" i="4"/>
  <c r="A11716" i="4"/>
  <c r="A11717" i="4"/>
  <c r="A11718" i="4"/>
  <c r="A11719" i="4"/>
  <c r="A11720" i="4"/>
  <c r="A11721" i="4"/>
  <c r="A11722" i="4"/>
  <c r="A11723" i="4"/>
  <c r="A11724" i="4"/>
  <c r="A11725" i="4"/>
  <c r="A11726" i="4"/>
  <c r="A11727" i="4"/>
  <c r="A11728" i="4"/>
  <c r="A11729" i="4"/>
  <c r="A11730" i="4"/>
  <c r="A11731" i="4"/>
  <c r="A11732" i="4"/>
  <c r="A11733" i="4"/>
  <c r="A11734" i="4"/>
  <c r="A11735" i="4"/>
  <c r="A11736" i="4"/>
  <c r="A11737" i="4"/>
  <c r="A11738" i="4"/>
  <c r="A11739" i="4"/>
  <c r="A11740" i="4"/>
  <c r="A11741" i="4"/>
  <c r="A11742" i="4"/>
  <c r="A11743" i="4"/>
  <c r="A11744" i="4"/>
  <c r="A11745" i="4"/>
  <c r="A11746" i="4"/>
  <c r="A11747" i="4"/>
  <c r="A11748" i="4"/>
  <c r="A11749" i="4"/>
  <c r="A11750" i="4"/>
  <c r="A11751" i="4"/>
  <c r="A11752" i="4"/>
  <c r="A11753" i="4"/>
  <c r="A11754" i="4"/>
  <c r="A11755" i="4"/>
  <c r="A11756" i="4"/>
  <c r="A11757" i="4"/>
  <c r="A11758" i="4"/>
  <c r="A11759" i="4"/>
  <c r="A11760" i="4"/>
  <c r="A11761" i="4"/>
  <c r="A11762" i="4"/>
  <c r="A11763" i="4"/>
  <c r="A11764" i="4"/>
  <c r="A11765" i="4"/>
  <c r="A11766" i="4"/>
  <c r="A11767" i="4"/>
  <c r="A11768" i="4"/>
  <c r="A11769" i="4"/>
  <c r="A11770" i="4"/>
  <c r="A11771" i="4"/>
  <c r="A11772" i="4"/>
  <c r="A11773" i="4"/>
  <c r="A11774" i="4"/>
  <c r="A11775" i="4"/>
  <c r="A11776" i="4"/>
  <c r="A11777" i="4"/>
  <c r="A11778" i="4"/>
  <c r="A11779" i="4"/>
  <c r="A11780" i="4"/>
  <c r="A11781" i="4"/>
  <c r="A11782" i="4"/>
  <c r="A11783" i="4"/>
  <c r="A11784" i="4"/>
  <c r="A11785" i="4"/>
  <c r="A11786" i="4"/>
  <c r="A11787" i="4"/>
  <c r="A11788" i="4"/>
  <c r="A11789" i="4"/>
  <c r="A11790" i="4"/>
  <c r="A11791" i="4"/>
  <c r="A11792" i="4"/>
  <c r="A11793" i="4"/>
  <c r="A11794" i="4"/>
  <c r="A11795" i="4"/>
  <c r="A11796" i="4"/>
  <c r="A11797" i="4"/>
  <c r="A11798" i="4"/>
  <c r="A11799" i="4"/>
  <c r="A11800" i="4"/>
  <c r="A11801" i="4"/>
  <c r="A11802" i="4"/>
  <c r="A11803" i="4"/>
  <c r="A11804" i="4"/>
  <c r="A11805" i="4"/>
  <c r="A11806" i="4"/>
  <c r="A11807" i="4"/>
  <c r="A11808" i="4"/>
  <c r="A11809" i="4"/>
  <c r="A11810" i="4"/>
  <c r="A11811" i="4"/>
  <c r="A11812" i="4"/>
  <c r="A11813" i="4"/>
  <c r="A11814" i="4"/>
  <c r="A11815" i="4"/>
  <c r="A11816" i="4"/>
  <c r="A11817" i="4"/>
  <c r="A11818" i="4"/>
  <c r="A11819" i="4"/>
  <c r="A11820" i="4"/>
  <c r="A11821" i="4"/>
  <c r="A11822" i="4"/>
  <c r="A11823" i="4"/>
  <c r="A11824" i="4"/>
  <c r="A11825" i="4"/>
  <c r="A11826" i="4"/>
  <c r="A11827" i="4"/>
  <c r="A11828" i="4"/>
  <c r="A11829" i="4"/>
  <c r="A11830" i="4"/>
  <c r="A11831" i="4"/>
  <c r="A11832" i="4"/>
  <c r="A11833" i="4"/>
  <c r="A11834" i="4"/>
  <c r="A11835" i="4"/>
  <c r="A11836" i="4"/>
  <c r="A11837" i="4"/>
  <c r="A11838" i="4"/>
  <c r="A11839" i="4"/>
  <c r="A11840" i="4"/>
  <c r="A11841" i="4"/>
  <c r="A11842" i="4"/>
  <c r="A11843" i="4"/>
  <c r="A11844" i="4"/>
  <c r="A11845" i="4"/>
  <c r="A11846" i="4"/>
  <c r="A11847" i="4"/>
  <c r="A11848" i="4"/>
  <c r="A11849" i="4"/>
  <c r="A11850" i="4"/>
  <c r="A11851" i="4"/>
  <c r="A11852" i="4"/>
  <c r="A11853" i="4"/>
  <c r="A11854" i="4"/>
  <c r="A11855" i="4"/>
  <c r="A11856" i="4"/>
  <c r="A11857" i="4"/>
  <c r="A11858" i="4"/>
  <c r="A11859" i="4"/>
  <c r="A11860" i="4"/>
  <c r="A11861" i="4"/>
  <c r="A11862" i="4"/>
  <c r="A11863" i="4"/>
  <c r="A11864" i="4"/>
  <c r="A11865" i="4"/>
  <c r="A11866" i="4"/>
  <c r="A11867" i="4"/>
  <c r="A11868" i="4"/>
  <c r="A11869" i="4"/>
  <c r="A11870" i="4"/>
  <c r="A11871" i="4"/>
  <c r="A11872" i="4"/>
  <c r="A11873" i="4"/>
  <c r="A11874" i="4"/>
  <c r="A11875" i="4"/>
  <c r="A11876" i="4"/>
  <c r="A11877" i="4"/>
  <c r="A11878" i="4"/>
  <c r="A11879" i="4"/>
  <c r="A11880" i="4"/>
  <c r="A11881" i="4"/>
  <c r="A11882" i="4"/>
  <c r="A11883" i="4"/>
  <c r="A11884" i="4"/>
  <c r="A11885" i="4"/>
  <c r="A11886" i="4"/>
  <c r="A11887" i="4"/>
  <c r="A11888" i="4"/>
  <c r="A11889" i="4"/>
  <c r="A11890" i="4"/>
  <c r="A11891" i="4"/>
  <c r="A11892" i="4"/>
  <c r="A11893" i="4"/>
  <c r="A11894" i="4"/>
  <c r="A11895" i="4"/>
  <c r="A11896" i="4"/>
  <c r="A11897" i="4"/>
  <c r="A11898" i="4"/>
  <c r="A11899" i="4"/>
  <c r="A11900" i="4"/>
  <c r="A11901" i="4"/>
  <c r="A11902" i="4"/>
  <c r="A11903" i="4"/>
  <c r="A11904" i="4"/>
  <c r="A11905" i="4"/>
  <c r="A11906" i="4"/>
  <c r="A11907" i="4"/>
  <c r="A11908" i="4"/>
  <c r="A11909" i="4"/>
  <c r="A11910" i="4"/>
  <c r="A11911" i="4"/>
  <c r="A11912" i="4"/>
  <c r="A11913" i="4"/>
  <c r="A11914" i="4"/>
  <c r="A11915" i="4"/>
  <c r="A11916" i="4"/>
  <c r="A11917" i="4"/>
  <c r="A11918" i="4"/>
  <c r="A11919" i="4"/>
  <c r="A11920" i="4"/>
  <c r="A11921" i="4"/>
  <c r="A11922" i="4"/>
  <c r="A11923" i="4"/>
  <c r="A11924" i="4"/>
  <c r="A11925" i="4"/>
  <c r="A11926" i="4"/>
  <c r="A11927" i="4"/>
  <c r="A11928" i="4"/>
  <c r="A11929" i="4"/>
  <c r="A11930" i="4"/>
  <c r="A11931" i="4"/>
  <c r="A11932" i="4"/>
  <c r="A11933" i="4"/>
  <c r="A11934" i="4"/>
  <c r="A11935" i="4"/>
  <c r="A11936" i="4"/>
  <c r="A11937" i="4"/>
  <c r="A11938" i="4"/>
  <c r="A11939" i="4"/>
  <c r="A11940" i="4"/>
  <c r="A11941" i="4"/>
  <c r="A11942" i="4"/>
  <c r="A11943" i="4"/>
  <c r="A11944" i="4"/>
  <c r="A11945" i="4"/>
  <c r="A11946" i="4"/>
  <c r="A11947" i="4"/>
  <c r="A11948" i="4"/>
  <c r="A11949" i="4"/>
  <c r="A11950" i="4"/>
  <c r="A11951" i="4"/>
  <c r="A11952" i="4"/>
  <c r="A11953" i="4"/>
  <c r="A11954" i="4"/>
  <c r="A11955" i="4"/>
  <c r="A11956" i="4"/>
  <c r="A11957" i="4"/>
  <c r="A11958" i="4"/>
  <c r="A11959" i="4"/>
  <c r="A11960" i="4"/>
  <c r="A11961" i="4"/>
  <c r="A11962" i="4"/>
  <c r="A11963" i="4"/>
  <c r="A11964" i="4"/>
  <c r="A11965" i="4"/>
  <c r="A11966" i="4"/>
  <c r="A11967" i="4"/>
  <c r="A11968" i="4"/>
  <c r="A11969" i="4"/>
  <c r="A11970" i="4"/>
  <c r="A11971" i="4"/>
  <c r="A11972" i="4"/>
  <c r="A11973" i="4"/>
  <c r="A11974" i="4"/>
  <c r="A11975" i="4"/>
  <c r="A11976" i="4"/>
  <c r="A11977" i="4"/>
  <c r="A11978" i="4"/>
  <c r="A11979" i="4"/>
  <c r="A11980" i="4"/>
  <c r="A11981" i="4"/>
  <c r="A11982" i="4"/>
  <c r="A11983" i="4"/>
  <c r="A11984" i="4"/>
  <c r="A11985" i="4"/>
  <c r="A11986" i="4"/>
  <c r="A11987" i="4"/>
  <c r="A11988" i="4"/>
  <c r="A11989" i="4"/>
  <c r="A11990" i="4"/>
  <c r="A11991" i="4"/>
  <c r="A11992" i="4"/>
  <c r="A11993" i="4"/>
  <c r="A11994" i="4"/>
  <c r="A11995" i="4"/>
  <c r="A11996" i="4"/>
  <c r="A11997" i="4"/>
  <c r="A11998" i="4"/>
  <c r="A11999" i="4"/>
  <c r="A12000" i="4"/>
  <c r="A12001" i="4"/>
  <c r="A12002" i="4"/>
  <c r="A12003" i="4"/>
  <c r="A12004" i="4"/>
  <c r="A12005" i="4"/>
  <c r="A12006" i="4"/>
  <c r="A12007" i="4"/>
  <c r="A12008" i="4"/>
  <c r="A12009" i="4"/>
  <c r="A12010" i="4"/>
  <c r="A12011" i="4"/>
  <c r="A12012" i="4"/>
  <c r="A12013" i="4"/>
  <c r="A12014" i="4"/>
  <c r="A12015" i="4"/>
  <c r="A12016" i="4"/>
  <c r="A12017" i="4"/>
  <c r="A12018" i="4"/>
  <c r="A12019" i="4"/>
  <c r="A12020" i="4"/>
  <c r="A12021" i="4"/>
  <c r="A12022" i="4"/>
  <c r="A12023" i="4"/>
  <c r="A12024" i="4"/>
  <c r="A12025" i="4"/>
  <c r="A12026" i="4"/>
  <c r="A12027" i="4"/>
  <c r="A12028" i="4"/>
  <c r="A12029" i="4"/>
  <c r="A12030" i="4"/>
  <c r="A12031" i="4"/>
  <c r="A12032" i="4"/>
  <c r="A12033" i="4"/>
  <c r="A12034" i="4"/>
  <c r="A12035" i="4"/>
  <c r="A12036" i="4"/>
  <c r="A12037" i="4"/>
  <c r="A12038" i="4"/>
  <c r="A12039" i="4"/>
  <c r="A12040" i="4"/>
  <c r="A12041" i="4"/>
  <c r="A12042" i="4"/>
  <c r="A12043" i="4"/>
  <c r="A12044" i="4"/>
  <c r="A12045" i="4"/>
  <c r="A12046" i="4"/>
  <c r="A12047" i="4"/>
  <c r="A12048" i="4"/>
  <c r="A12049" i="4"/>
  <c r="A12050" i="4"/>
  <c r="A12051" i="4"/>
  <c r="A12052" i="4"/>
  <c r="A12053" i="4"/>
  <c r="A12054" i="4"/>
  <c r="A12055" i="4"/>
  <c r="A12056" i="4"/>
  <c r="A12057" i="4"/>
  <c r="A12058" i="4"/>
  <c r="A12059" i="4"/>
  <c r="A12060" i="4"/>
  <c r="A12061" i="4"/>
  <c r="A12062" i="4"/>
  <c r="A12063" i="4"/>
  <c r="A12064" i="4"/>
  <c r="A12065" i="4"/>
  <c r="A12066" i="4"/>
  <c r="A12067" i="4"/>
  <c r="A12068" i="4"/>
  <c r="A12069" i="4"/>
  <c r="A12070" i="4"/>
  <c r="A12071" i="4"/>
  <c r="A12072" i="4"/>
  <c r="A12073" i="4"/>
  <c r="A12074" i="4"/>
  <c r="A12075" i="4"/>
  <c r="A12076" i="4"/>
  <c r="A12077" i="4"/>
  <c r="A12078" i="4"/>
  <c r="A12079" i="4"/>
  <c r="A12080" i="4"/>
  <c r="A12081" i="4"/>
  <c r="A12082" i="4"/>
  <c r="A12083" i="4"/>
  <c r="A12084" i="4"/>
  <c r="A12085" i="4"/>
  <c r="A12086" i="4"/>
  <c r="A12087" i="4"/>
  <c r="A12088" i="4"/>
  <c r="A12089" i="4"/>
  <c r="A12090" i="4"/>
  <c r="A12091" i="4"/>
  <c r="A12092" i="4"/>
  <c r="A12093" i="4"/>
  <c r="A12094" i="4"/>
  <c r="A12095" i="4"/>
  <c r="A12096" i="4"/>
  <c r="A12097" i="4"/>
  <c r="A12098" i="4"/>
  <c r="A12099" i="4"/>
  <c r="A12100" i="4"/>
  <c r="A12101" i="4"/>
  <c r="A12102" i="4"/>
  <c r="A12103" i="4"/>
  <c r="A12104" i="4"/>
  <c r="A12105" i="4"/>
  <c r="A12106" i="4"/>
  <c r="A12107" i="4"/>
  <c r="A12108" i="4"/>
  <c r="A12109" i="4"/>
  <c r="A12110" i="4"/>
  <c r="A12111" i="4"/>
  <c r="A12112" i="4"/>
  <c r="A12113" i="4"/>
  <c r="A12114" i="4"/>
  <c r="A12115" i="4"/>
  <c r="A12116" i="4"/>
  <c r="A12117" i="4"/>
  <c r="A12118" i="4"/>
  <c r="A12119" i="4"/>
  <c r="A12120" i="4"/>
  <c r="A12121" i="4"/>
  <c r="A12122" i="4"/>
  <c r="A12123" i="4"/>
  <c r="A12124" i="4"/>
  <c r="A12125" i="4"/>
  <c r="A12126" i="4"/>
  <c r="A12127" i="4"/>
  <c r="A12128" i="4"/>
  <c r="A12129" i="4"/>
  <c r="A12130" i="4"/>
  <c r="A12131" i="4"/>
  <c r="A12132" i="4"/>
  <c r="A12133" i="4"/>
  <c r="A12134" i="4"/>
  <c r="A12135" i="4"/>
  <c r="A12136" i="4"/>
  <c r="A12137" i="4"/>
  <c r="A12138" i="4"/>
  <c r="A12139" i="4"/>
  <c r="A12140" i="4"/>
  <c r="A12141" i="4"/>
  <c r="A12142" i="4"/>
  <c r="A12143" i="4"/>
  <c r="A12144" i="4"/>
  <c r="A12145" i="4"/>
  <c r="A12146" i="4"/>
  <c r="A12147" i="4"/>
  <c r="A12148" i="4"/>
  <c r="A12149" i="4"/>
  <c r="A12150" i="4"/>
  <c r="A12151" i="4"/>
  <c r="A12152" i="4"/>
  <c r="A12153" i="4"/>
  <c r="A12154" i="4"/>
  <c r="A12155" i="4"/>
  <c r="A12156" i="4"/>
  <c r="A12157" i="4"/>
  <c r="A12158" i="4"/>
  <c r="A12159" i="4"/>
  <c r="A12160" i="4"/>
  <c r="A12161" i="4"/>
  <c r="A12162" i="4"/>
  <c r="A12163" i="4"/>
  <c r="A12164" i="4"/>
  <c r="A12165" i="4"/>
  <c r="A12166" i="4"/>
  <c r="A12167" i="4"/>
  <c r="A12168" i="4"/>
  <c r="A12169" i="4"/>
  <c r="A12170" i="4"/>
  <c r="A12171" i="4"/>
  <c r="A12172" i="4"/>
  <c r="A12173" i="4"/>
  <c r="A12174" i="4"/>
  <c r="A12175" i="4"/>
  <c r="A12176" i="4"/>
  <c r="A12177" i="4"/>
  <c r="A12178" i="4"/>
  <c r="A12179" i="4"/>
  <c r="A12180" i="4"/>
  <c r="A12181" i="4"/>
  <c r="A12182" i="4"/>
  <c r="A12183" i="4"/>
  <c r="A12184" i="4"/>
  <c r="A12185" i="4"/>
  <c r="A12186" i="4"/>
  <c r="A12187" i="4"/>
  <c r="A12188" i="4"/>
  <c r="A12189" i="4"/>
  <c r="A12190" i="4"/>
  <c r="A12191" i="4"/>
  <c r="A12192" i="4"/>
  <c r="A12193" i="4"/>
  <c r="A12194" i="4"/>
  <c r="A12195" i="4"/>
  <c r="A12196" i="4"/>
  <c r="A12197" i="4"/>
  <c r="A12198" i="4"/>
  <c r="A12199" i="4"/>
  <c r="A12200" i="4"/>
  <c r="A12201" i="4"/>
  <c r="A12202" i="4"/>
  <c r="A12203" i="4"/>
  <c r="A12204" i="4"/>
  <c r="A12205" i="4"/>
  <c r="A12206" i="4"/>
  <c r="A12207" i="4"/>
  <c r="A12208" i="4"/>
  <c r="A12209" i="4"/>
  <c r="A12210" i="4"/>
  <c r="A12211" i="4"/>
  <c r="A12212" i="4"/>
  <c r="A12213" i="4"/>
  <c r="A12214" i="4"/>
  <c r="A12215" i="4"/>
  <c r="A12216" i="4"/>
  <c r="A12217" i="4"/>
  <c r="A12218" i="4"/>
  <c r="A12219" i="4"/>
  <c r="A12220" i="4"/>
  <c r="A12221" i="4"/>
  <c r="A12222" i="4"/>
  <c r="A12223" i="4"/>
  <c r="A12224" i="4"/>
  <c r="A12225" i="4"/>
  <c r="A12226" i="4"/>
  <c r="A12227" i="4"/>
  <c r="A12228" i="4"/>
  <c r="A12229" i="4"/>
  <c r="A12230" i="4"/>
  <c r="A12231" i="4"/>
  <c r="A12232" i="4"/>
  <c r="A12233" i="4"/>
  <c r="A12234" i="4"/>
  <c r="A12235" i="4"/>
  <c r="A12236" i="4"/>
  <c r="A12237" i="4"/>
  <c r="A12238" i="4"/>
  <c r="A12239" i="4"/>
  <c r="A12240" i="4"/>
  <c r="A12241" i="4"/>
  <c r="A12242" i="4"/>
  <c r="A12243" i="4"/>
  <c r="A172" i="4"/>
  <c r="A179" i="4"/>
  <c r="A76" i="4"/>
  <c r="A265" i="4"/>
  <c r="A155" i="4"/>
  <c r="A150" i="4"/>
  <c r="A146" i="4"/>
  <c r="A138" i="4"/>
  <c r="A94" i="4"/>
  <c r="A67" i="4"/>
  <c r="A63" i="4"/>
  <c r="A55" i="4"/>
  <c r="A51" i="4"/>
  <c r="A47" i="4"/>
  <c r="A43" i="4"/>
  <c r="A39" i="4"/>
  <c r="A34" i="4"/>
  <c r="A14" i="4"/>
  <c r="A6" i="4"/>
  <c r="C6" i="4" s="1"/>
  <c r="A158" i="4"/>
  <c r="A135" i="4"/>
  <c r="A128" i="4"/>
  <c r="A124" i="4"/>
  <c r="A119" i="4"/>
  <c r="A115" i="4"/>
  <c r="A110" i="4"/>
  <c r="A103" i="4"/>
  <c r="A98" i="4"/>
  <c r="A88" i="4"/>
  <c r="A80" i="4"/>
  <c r="A30" i="4"/>
  <c r="A111" i="4"/>
  <c r="A232" i="4"/>
  <c r="A196" i="4"/>
  <c r="A192" i="4"/>
  <c r="A174" i="4"/>
  <c r="A164" i="4"/>
  <c r="A137" i="4"/>
  <c r="A74" i="4"/>
  <c r="A66" i="4"/>
  <c r="A62" i="4"/>
  <c r="A50" i="4"/>
  <c r="A46" i="4"/>
  <c r="A38" i="4"/>
  <c r="A13" i="4"/>
  <c r="A5" i="4"/>
  <c r="C5" i="4" s="1"/>
  <c r="A134" i="4"/>
  <c r="A127" i="4"/>
  <c r="A118" i="4"/>
  <c r="A114" i="4"/>
  <c r="A91" i="4"/>
  <c r="A78" i="4"/>
  <c r="A162" i="4"/>
  <c r="A275" i="4"/>
  <c r="A235" i="4"/>
  <c r="A211" i="4"/>
  <c r="A199" i="4"/>
  <c r="A191" i="4"/>
  <c r="A187" i="4"/>
  <c r="A183" i="4"/>
  <c r="A163" i="4"/>
  <c r="A144" i="4"/>
  <c r="A140" i="4"/>
  <c r="A31" i="4"/>
  <c r="A20" i="4"/>
  <c r="A4" i="4"/>
  <c r="C4" i="4" s="1"/>
  <c r="A156" i="4"/>
  <c r="A130" i="4"/>
  <c r="A107" i="4"/>
  <c r="A95" i="4"/>
  <c r="A90" i="4"/>
  <c r="A86" i="4"/>
  <c r="A22" i="4"/>
  <c r="D1190" i="3" l="1"/>
  <c r="D1186" i="3"/>
  <c r="D1158" i="3"/>
  <c r="D1130" i="3"/>
  <c r="D1126" i="3"/>
  <c r="D1098" i="3"/>
  <c r="D1094" i="3"/>
  <c r="D1066" i="3"/>
  <c r="D1062" i="3"/>
  <c r="D1034" i="3"/>
  <c r="D1030" i="3"/>
  <c r="D1224" i="3"/>
  <c r="D1204" i="3"/>
  <c r="D1152" i="3"/>
  <c r="D1496" i="3"/>
  <c r="D1480" i="3"/>
  <c r="D1472" i="3"/>
  <c r="D1464" i="3"/>
  <c r="D1440" i="3"/>
  <c r="D1400" i="3"/>
  <c r="D1384" i="3"/>
  <c r="D1380" i="3"/>
  <c r="D1368" i="3"/>
  <c r="D1360" i="3"/>
  <c r="D1304" i="3"/>
  <c r="D1288" i="3"/>
  <c r="D1280" i="3"/>
  <c r="D1272" i="3"/>
  <c r="D1256" i="3"/>
  <c r="D1240" i="3"/>
  <c r="D1212" i="3"/>
  <c r="D1200" i="3"/>
  <c r="D1160" i="3"/>
  <c r="D1140" i="3"/>
  <c r="D1128" i="3"/>
  <c r="D1120" i="3"/>
  <c r="D1100" i="3"/>
  <c r="D1096" i="3"/>
  <c r="D1088" i="3"/>
  <c r="D1064" i="3"/>
  <c r="D1056" i="3"/>
  <c r="D1036" i="3"/>
  <c r="D1032" i="3"/>
  <c r="D1024" i="3"/>
  <c r="D1020" i="3"/>
  <c r="D1317" i="3"/>
  <c r="D1355" i="3"/>
  <c r="D1239" i="3"/>
  <c r="D1099" i="3"/>
  <c r="D1047" i="3"/>
  <c r="D1335" i="3"/>
  <c r="D1303" i="3"/>
  <c r="D1291" i="3"/>
  <c r="D1227" i="3"/>
  <c r="D1195" i="3"/>
  <c r="D1175" i="3"/>
  <c r="D1111" i="3"/>
  <c r="D1079" i="3"/>
  <c r="D1067" i="3"/>
  <c r="D1035" i="3"/>
  <c r="D1478" i="3"/>
  <c r="D1474" i="3"/>
  <c r="D1446" i="3"/>
  <c r="D1442" i="3"/>
  <c r="D1414" i="3"/>
  <c r="D1410" i="3"/>
  <c r="D1382" i="3"/>
  <c r="D1378" i="3"/>
  <c r="D1350" i="3"/>
  <c r="D1346" i="3"/>
  <c r="D1318" i="3"/>
  <c r="D1314" i="3"/>
  <c r="D1286" i="3"/>
  <c r="D1282" i="3"/>
  <c r="D1254" i="3"/>
  <c r="D1250" i="3"/>
  <c r="D1222" i="3"/>
  <c r="D1218" i="3"/>
  <c r="D1321" i="3"/>
  <c r="D1431" i="3"/>
  <c r="D1387" i="3"/>
  <c r="D1323" i="3"/>
  <c r="D1271" i="3"/>
  <c r="D1259" i="3"/>
  <c r="D1207" i="3"/>
  <c r="D1163" i="3"/>
  <c r="D1143" i="3"/>
  <c r="D1131" i="3"/>
  <c r="D1015" i="3"/>
  <c r="D1003" i="3"/>
  <c r="D1499" i="3"/>
  <c r="D1495" i="3"/>
  <c r="D1491" i="3"/>
  <c r="D1487" i="3"/>
  <c r="D1483" i="3"/>
  <c r="D1479" i="3"/>
  <c r="D1475" i="3"/>
  <c r="D1471" i="3"/>
  <c r="D1467" i="3"/>
  <c r="D1463" i="3"/>
  <c r="D1459" i="3"/>
  <c r="D1455" i="3"/>
  <c r="D1451" i="3"/>
  <c r="D1447" i="3"/>
  <c r="D1443" i="3"/>
  <c r="D1439" i="3"/>
  <c r="D1435" i="3"/>
  <c r="D1427" i="3"/>
  <c r="D1423" i="3"/>
  <c r="D1419" i="3"/>
  <c r="D1415" i="3"/>
  <c r="D1411" i="3"/>
  <c r="D1407" i="3"/>
  <c r="D1403" i="3"/>
  <c r="D1399" i="3"/>
  <c r="D1395" i="3"/>
  <c r="D1391" i="3"/>
  <c r="D1383" i="3"/>
  <c r="D1379" i="3"/>
  <c r="D1375" i="3"/>
  <c r="D1371" i="3"/>
  <c r="D1367" i="3"/>
  <c r="D1363" i="3"/>
  <c r="D1359" i="3"/>
  <c r="D1351" i="3"/>
  <c r="D1347" i="3"/>
  <c r="D1343" i="3"/>
  <c r="D1339" i="3"/>
  <c r="D1331" i="3"/>
  <c r="D1327" i="3"/>
  <c r="D1319" i="3"/>
  <c r="D1315" i="3"/>
  <c r="D1311" i="3"/>
  <c r="D1307" i="3"/>
  <c r="D1299" i="3"/>
  <c r="D1295" i="3"/>
  <c r="D1287" i="3"/>
  <c r="D1283" i="3"/>
  <c r="D1279" i="3"/>
  <c r="D1275" i="3"/>
  <c r="D1267" i="3"/>
  <c r="D1263" i="3"/>
  <c r="D1255" i="3"/>
  <c r="D1251" i="3"/>
  <c r="D1247" i="3"/>
  <c r="D1243" i="3"/>
  <c r="D1235" i="3"/>
  <c r="D1231" i="3"/>
  <c r="D1223" i="3"/>
  <c r="D1219" i="3"/>
  <c r="D1215" i="3"/>
  <c r="D1211" i="3"/>
  <c r="D1203" i="3"/>
  <c r="D1199" i="3"/>
  <c r="D1191" i="3"/>
  <c r="D1187" i="3"/>
  <c r="D1183" i="3"/>
  <c r="D1179" i="3"/>
  <c r="D1171" i="3"/>
  <c r="D1167" i="3"/>
  <c r="D1159" i="3"/>
  <c r="D1155" i="3"/>
  <c r="D1151" i="3"/>
  <c r="D1147" i="3"/>
  <c r="D1139" i="3"/>
  <c r="D1135" i="3"/>
  <c r="D1127" i="3"/>
  <c r="D1123" i="3"/>
  <c r="D1119" i="3"/>
  <c r="D1115" i="3"/>
  <c r="D1107" i="3"/>
  <c r="D1103" i="3"/>
  <c r="D1095" i="3"/>
  <c r="D1091" i="3"/>
  <c r="D1087" i="3"/>
  <c r="D1083" i="3"/>
  <c r="D1075" i="3"/>
  <c r="D1071" i="3"/>
  <c r="D1063" i="3"/>
  <c r="D1059" i="3"/>
  <c r="D1055" i="3"/>
  <c r="D1051" i="3"/>
  <c r="D1043" i="3"/>
  <c r="D1039" i="3"/>
  <c r="D1031" i="3"/>
  <c r="D1027" i="3"/>
  <c r="D1023" i="3"/>
  <c r="D1019" i="3"/>
  <c r="D1011" i="3"/>
  <c r="D1007" i="3"/>
  <c r="D1485" i="3"/>
  <c r="D1481" i="3"/>
  <c r="D1453" i="3"/>
  <c r="D1449" i="3"/>
  <c r="D1421" i="3"/>
  <c r="D1417" i="3"/>
  <c r="D1385" i="3"/>
  <c r="D1381" i="3"/>
  <c r="D1353" i="3"/>
  <c r="D1349" i="3"/>
  <c r="D1289" i="3"/>
  <c r="D1285" i="3"/>
  <c r="D1257" i="3"/>
  <c r="D1253" i="3"/>
  <c r="D1225" i="3"/>
  <c r="D1221" i="3"/>
  <c r="D1193" i="3"/>
  <c r="D1189" i="3"/>
  <c r="D1161" i="3"/>
  <c r="D1141" i="3"/>
  <c r="D1129" i="3"/>
  <c r="D1109" i="3"/>
  <c r="D1097" i="3"/>
  <c r="D1077" i="3"/>
  <c r="D1065" i="3"/>
  <c r="D1045" i="3"/>
  <c r="D1033" i="3"/>
  <c r="D1013" i="3"/>
  <c r="D1488" i="3"/>
  <c r="D1456" i="3"/>
  <c r="D1448" i="3"/>
  <c r="D1432" i="3"/>
  <c r="D1428" i="3"/>
  <c r="D1424" i="3"/>
  <c r="D1416" i="3"/>
  <c r="D1408" i="3"/>
  <c r="D1392" i="3"/>
  <c r="D1376" i="3"/>
  <c r="D1364" i="3"/>
  <c r="D1352" i="3"/>
  <c r="D1344" i="3"/>
  <c r="D1336" i="3"/>
  <c r="D1328" i="3"/>
  <c r="D1320" i="3"/>
  <c r="D1316" i="3"/>
  <c r="D1312" i="3"/>
  <c r="D1300" i="3"/>
  <c r="D1296" i="3"/>
  <c r="D1268" i="3"/>
  <c r="D1264" i="3"/>
  <c r="D1248" i="3"/>
  <c r="D1232" i="3"/>
  <c r="D1228" i="3"/>
  <c r="D1216" i="3"/>
  <c r="D1208" i="3"/>
  <c r="D1192" i="3"/>
  <c r="D1184" i="3"/>
  <c r="D1176" i="3"/>
  <c r="D1168" i="3"/>
  <c r="D1164" i="3"/>
  <c r="D1148" i="3"/>
  <c r="D1144" i="3"/>
  <c r="D1136" i="3"/>
  <c r="D1112" i="3"/>
  <c r="D1104" i="3"/>
  <c r="D1084" i="3"/>
  <c r="D1080" i="3"/>
  <c r="D1076" i="3"/>
  <c r="D1072" i="3"/>
  <c r="D1048" i="3"/>
  <c r="D1040" i="3"/>
  <c r="D1016" i="3"/>
  <c r="D1012" i="3"/>
  <c r="D1008" i="3"/>
  <c r="D1492" i="3"/>
  <c r="D1484" i="3"/>
  <c r="D1452" i="3"/>
  <c r="D1420" i="3"/>
  <c r="D1404" i="3"/>
  <c r="D1396" i="3"/>
  <c r="D1372" i="3"/>
  <c r="D1340" i="3"/>
  <c r="D1332" i="3"/>
  <c r="D1308" i="3"/>
  <c r="D1292" i="3"/>
  <c r="D1260" i="3"/>
  <c r="D1220" i="3"/>
  <c r="D1180" i="3"/>
  <c r="D1156" i="3"/>
  <c r="D1132" i="3"/>
  <c r="D1108" i="3"/>
  <c r="D1052" i="3"/>
  <c r="D1028" i="3"/>
  <c r="D1004" i="3"/>
  <c r="D1476" i="3"/>
  <c r="D1468" i="3"/>
  <c r="D1460" i="3"/>
  <c r="D1444" i="3"/>
  <c r="D1436" i="3"/>
  <c r="D1412" i="3"/>
  <c r="D1388" i="3"/>
  <c r="D1356" i="3"/>
  <c r="D1348" i="3"/>
  <c r="D1324" i="3"/>
  <c r="D1284" i="3"/>
  <c r="D1276" i="3"/>
  <c r="D1252" i="3"/>
  <c r="D1244" i="3"/>
  <c r="D1236" i="3"/>
  <c r="D1196" i="3"/>
  <c r="D1188" i="3"/>
  <c r="D1172" i="3"/>
  <c r="D1124" i="3"/>
  <c r="D1116" i="3"/>
  <c r="D1092" i="3"/>
  <c r="D1068" i="3"/>
  <c r="D1060" i="3"/>
  <c r="D1044" i="3"/>
  <c r="D1497" i="3"/>
  <c r="D1493" i="3"/>
  <c r="D1489" i="3"/>
  <c r="D1477" i="3"/>
  <c r="D1473" i="3"/>
  <c r="D1469" i="3"/>
  <c r="D1465" i="3"/>
  <c r="D1461" i="3"/>
  <c r="D1457" i="3"/>
  <c r="D1445" i="3"/>
  <c r="D1441" i="3"/>
  <c r="D1437" i="3"/>
  <c r="D1433" i="3"/>
  <c r="D1429" i="3"/>
  <c r="D1425" i="3"/>
  <c r="D1413" i="3"/>
  <c r="D1409" i="3"/>
  <c r="D1405" i="3"/>
  <c r="D1401" i="3"/>
  <c r="D1397" i="3"/>
  <c r="D1393" i="3"/>
  <c r="D1389" i="3"/>
  <c r="D1377" i="3"/>
  <c r="D1373" i="3"/>
  <c r="D1369" i="3"/>
  <c r="D1365" i="3"/>
  <c r="D1361" i="3"/>
  <c r="D1357" i="3"/>
  <c r="D1345" i="3"/>
  <c r="D1341" i="3"/>
  <c r="D1337" i="3"/>
  <c r="D1333" i="3"/>
  <c r="D1329" i="3"/>
  <c r="D1325" i="3"/>
  <c r="D1313" i="3"/>
  <c r="D1309" i="3"/>
  <c r="D1305" i="3"/>
  <c r="D1301" i="3"/>
  <c r="D1297" i="3"/>
  <c r="D1293" i="3"/>
  <c r="D1281" i="3"/>
  <c r="D1277" i="3"/>
  <c r="D1273" i="3"/>
  <c r="D1269" i="3"/>
  <c r="D1265" i="3"/>
  <c r="D1261" i="3"/>
  <c r="D1249" i="3"/>
  <c r="D1245" i="3"/>
  <c r="D1241" i="3"/>
  <c r="D1237" i="3"/>
  <c r="D1233" i="3"/>
  <c r="D1229" i="3"/>
  <c r="D1217" i="3"/>
  <c r="D1213" i="3"/>
  <c r="D1209" i="3"/>
  <c r="D1205" i="3"/>
  <c r="D1201" i="3"/>
  <c r="D1197" i="3"/>
  <c r="D1185" i="3"/>
  <c r="D1181" i="3"/>
  <c r="D1177" i="3"/>
  <c r="D1173" i="3"/>
  <c r="D1169" i="3"/>
  <c r="D1165" i="3"/>
  <c r="D1157" i="3"/>
  <c r="D1153" i="3"/>
  <c r="D1149" i="3"/>
  <c r="D1145" i="3"/>
  <c r="D1137" i="3"/>
  <c r="D1133" i="3"/>
  <c r="D1125" i="3"/>
  <c r="D1121" i="3"/>
  <c r="D1117" i="3"/>
  <c r="D1113" i="3"/>
  <c r="D1105" i="3"/>
  <c r="D1101" i="3"/>
  <c r="D1093" i="3"/>
  <c r="D1089" i="3"/>
  <c r="D1085" i="3"/>
  <c r="D1081" i="3"/>
  <c r="D1073" i="3"/>
  <c r="D1069" i="3"/>
  <c r="D1061" i="3"/>
  <c r="D1057" i="3"/>
  <c r="D1053" i="3"/>
  <c r="D1049" i="3"/>
  <c r="D1041" i="3"/>
  <c r="D1037" i="3"/>
  <c r="D1029" i="3"/>
  <c r="D1025" i="3"/>
  <c r="D1021" i="3"/>
  <c r="D1017" i="3"/>
  <c r="D1009" i="3"/>
  <c r="D1005" i="3"/>
  <c r="D1498" i="3"/>
  <c r="D1494" i="3"/>
  <c r="D1490" i="3"/>
  <c r="D1486" i="3"/>
  <c r="D1482" i="3"/>
  <c r="D1470" i="3"/>
  <c r="D1466" i="3"/>
  <c r="D1462" i="3"/>
  <c r="D1458" i="3"/>
  <c r="D1454" i="3"/>
  <c r="D1450" i="3"/>
  <c r="D1438" i="3"/>
  <c r="D1434" i="3"/>
  <c r="D1430" i="3"/>
  <c r="D1426" i="3"/>
  <c r="D1422" i="3"/>
  <c r="D1418" i="3"/>
  <c r="D1406" i="3"/>
  <c r="D1402" i="3"/>
  <c r="D1398" i="3"/>
  <c r="D1394" i="3"/>
  <c r="D1390" i="3"/>
  <c r="D1386" i="3"/>
  <c r="D1374" i="3"/>
  <c r="D1370" i="3"/>
  <c r="D1366" i="3"/>
  <c r="D1362" i="3"/>
  <c r="D1358" i="3"/>
  <c r="D1354" i="3"/>
  <c r="D1342" i="3"/>
  <c r="D1338" i="3"/>
  <c r="D1334" i="3"/>
  <c r="D1330" i="3"/>
  <c r="D1326" i="3"/>
  <c r="D1322" i="3"/>
  <c r="D1310" i="3"/>
  <c r="D1306" i="3"/>
  <c r="D1302" i="3"/>
  <c r="D1298" i="3"/>
  <c r="D1294" i="3"/>
  <c r="D1290" i="3"/>
  <c r="D1278" i="3"/>
  <c r="D1274" i="3"/>
  <c r="D1270" i="3"/>
  <c r="D1266" i="3"/>
  <c r="D1262" i="3"/>
  <c r="D1258" i="3"/>
  <c r="D1246" i="3"/>
  <c r="D1242" i="3"/>
  <c r="D1238" i="3"/>
  <c r="D1234" i="3"/>
  <c r="D1230" i="3"/>
  <c r="D1226" i="3"/>
  <c r="D1214" i="3"/>
  <c r="D1210" i="3"/>
  <c r="D1206" i="3"/>
  <c r="D1202" i="3"/>
  <c r="D1198" i="3"/>
  <c r="D1194" i="3"/>
  <c r="D1182" i="3"/>
  <c r="D1178" i="3"/>
  <c r="D1174" i="3"/>
  <c r="D1170" i="3"/>
  <c r="D1166" i="3"/>
  <c r="D1162" i="3"/>
  <c r="D1154" i="3"/>
  <c r="D1150" i="3"/>
  <c r="D1146" i="3"/>
  <c r="D1142" i="3"/>
  <c r="D1138" i="3"/>
  <c r="D1134" i="3"/>
  <c r="D1122" i="3"/>
  <c r="D1118" i="3"/>
  <c r="D1114" i="3"/>
  <c r="D1110" i="3"/>
  <c r="D1106" i="3"/>
  <c r="D1102" i="3"/>
  <c r="D1090" i="3"/>
  <c r="D1086" i="3"/>
  <c r="D1082" i="3"/>
  <c r="D1078" i="3"/>
  <c r="D1074" i="3"/>
  <c r="D1070" i="3"/>
  <c r="D1058" i="3"/>
  <c r="D1054" i="3"/>
  <c r="D1050" i="3"/>
  <c r="D1046" i="3"/>
  <c r="D1042" i="3"/>
  <c r="D1038" i="3"/>
  <c r="D1026" i="3"/>
  <c r="D1022" i="3"/>
  <c r="D1018" i="3"/>
  <c r="D1014" i="3"/>
  <c r="D1010" i="3"/>
  <c r="D1006" i="3"/>
  <c r="G22" i="16"/>
  <c r="F27" i="16"/>
  <c r="F32" i="16"/>
  <c r="F64" i="16"/>
  <c r="G69" i="16"/>
  <c r="G74" i="16"/>
  <c r="F74" i="16"/>
  <c r="F69" i="16"/>
  <c r="S127" i="14"/>
  <c r="F62" i="16"/>
  <c r="G54" i="16"/>
  <c r="F54" i="16"/>
  <c r="G33" i="16"/>
  <c r="F21" i="16"/>
  <c r="G51" i="16"/>
  <c r="G26" i="16"/>
  <c r="G31" i="16"/>
  <c r="G21" i="16"/>
  <c r="F31" i="16"/>
  <c r="F73" i="16"/>
  <c r="G73" i="16"/>
  <c r="F87" i="16"/>
  <c r="F72" i="16"/>
  <c r="G87" i="16"/>
  <c r="F40" i="16"/>
  <c r="G40" i="16"/>
  <c r="G56" i="16"/>
  <c r="F56" i="16"/>
  <c r="F26" i="16"/>
  <c r="F57" i="16"/>
  <c r="F51" i="16"/>
  <c r="G43" i="16"/>
  <c r="G28" i="16"/>
  <c r="G37" i="16"/>
  <c r="F37" i="16"/>
  <c r="F22" i="16"/>
  <c r="G16" i="16"/>
  <c r="F16" i="16"/>
  <c r="F42" i="16"/>
  <c r="F38" i="16"/>
  <c r="F28" i="16"/>
  <c r="G38" i="16"/>
  <c r="G6" i="16"/>
  <c r="G34" i="16"/>
  <c r="G58" i="16"/>
  <c r="F58" i="16"/>
  <c r="F61" i="16"/>
  <c r="G7" i="16"/>
  <c r="F7" i="16"/>
  <c r="F6" i="16"/>
  <c r="G18" i="16"/>
  <c r="F18" i="16"/>
  <c r="G39" i="16"/>
  <c r="F39" i="16"/>
  <c r="G44" i="16"/>
  <c r="F44" i="16"/>
  <c r="G29" i="16"/>
  <c r="F30" i="16"/>
  <c r="G30" i="16"/>
  <c r="G81" i="16"/>
  <c r="G71" i="16"/>
  <c r="F71" i="16"/>
  <c r="G76" i="16"/>
  <c r="G46" i="16"/>
  <c r="G41" i="16"/>
  <c r="F46" i="16"/>
  <c r="F41" i="16"/>
  <c r="F81" i="16"/>
  <c r="G52" i="16"/>
  <c r="F52" i="16"/>
  <c r="F76" i="16"/>
  <c r="G36" i="16"/>
  <c r="F15" i="16"/>
  <c r="G20" i="16"/>
  <c r="F20" i="16"/>
  <c r="G12" i="16"/>
  <c r="F36" i="16"/>
  <c r="G15" i="16"/>
  <c r="G23" i="16"/>
  <c r="F23" i="16"/>
  <c r="G10" i="16"/>
  <c r="G8" i="16"/>
  <c r="F10" i="16"/>
  <c r="G35" i="16"/>
  <c r="F34" i="16"/>
  <c r="F35" i="16"/>
  <c r="F29" i="16"/>
  <c r="F24" i="16"/>
  <c r="F12" i="16"/>
  <c r="G13" i="16"/>
  <c r="G24" i="16"/>
  <c r="G19" i="16"/>
  <c r="F13" i="16"/>
  <c r="F5" i="16"/>
  <c r="I5" i="16" s="1"/>
  <c r="G5" i="16"/>
  <c r="J5" i="16" s="1"/>
  <c r="F19" i="16"/>
  <c r="G25" i="16"/>
  <c r="F25" i="16"/>
  <c r="F14" i="16"/>
  <c r="G9" i="16"/>
  <c r="F9" i="16"/>
  <c r="G11" i="16"/>
  <c r="F11" i="16"/>
  <c r="F43" i="16"/>
  <c r="D995" i="3"/>
  <c r="D987" i="3"/>
  <c r="D979" i="3"/>
  <c r="D971" i="3"/>
  <c r="D963" i="3"/>
  <c r="D955" i="3"/>
  <c r="D947" i="3"/>
  <c r="D939" i="3"/>
  <c r="D931" i="3"/>
  <c r="D923" i="3"/>
  <c r="D915" i="3"/>
  <c r="D907" i="3"/>
  <c r="D899" i="3"/>
  <c r="D891" i="3"/>
  <c r="D883" i="3"/>
  <c r="D875" i="3"/>
  <c r="D867" i="3"/>
  <c r="D859" i="3"/>
  <c r="D851" i="3"/>
  <c r="D843" i="3"/>
  <c r="D835" i="3"/>
  <c r="D827" i="3"/>
  <c r="D819" i="3"/>
  <c r="D811" i="3"/>
  <c r="D803" i="3"/>
  <c r="D795" i="3"/>
  <c r="D787" i="3"/>
  <c r="D779" i="3"/>
  <c r="D771" i="3"/>
  <c r="D763" i="3"/>
  <c r="D755" i="3"/>
  <c r="D747" i="3"/>
  <c r="D739" i="3"/>
  <c r="D731" i="3"/>
  <c r="D723" i="3"/>
  <c r="D715" i="3"/>
  <c r="D707" i="3"/>
  <c r="D699" i="3"/>
  <c r="D691" i="3"/>
  <c r="D683" i="3"/>
  <c r="D675" i="3"/>
  <c r="D667" i="3"/>
  <c r="D659" i="3"/>
  <c r="D651" i="3"/>
  <c r="D643" i="3"/>
  <c r="D635" i="3"/>
  <c r="D627" i="3"/>
  <c r="D619" i="3"/>
  <c r="D611" i="3"/>
  <c r="D603" i="3"/>
  <c r="D595" i="3"/>
  <c r="D587" i="3"/>
  <c r="D579" i="3"/>
  <c r="D571" i="3"/>
  <c r="D563" i="3"/>
  <c r="D555" i="3"/>
  <c r="D547" i="3"/>
  <c r="D539" i="3"/>
  <c r="D531" i="3"/>
  <c r="D523" i="3"/>
  <c r="D515" i="3"/>
  <c r="D507" i="3"/>
  <c r="D499" i="3"/>
  <c r="D491" i="3"/>
  <c r="D483" i="3"/>
  <c r="D475" i="3"/>
  <c r="D467" i="3"/>
  <c r="D459" i="3"/>
  <c r="D451" i="3"/>
  <c r="D443" i="3"/>
  <c r="D435" i="3"/>
  <c r="D427" i="3"/>
  <c r="D419" i="3"/>
  <c r="D411" i="3"/>
  <c r="D403" i="3"/>
  <c r="D395" i="3"/>
  <c r="D387" i="3"/>
  <c r="D379" i="3"/>
  <c r="D371" i="3"/>
  <c r="D363" i="3"/>
  <c r="D355" i="3"/>
  <c r="D347" i="3"/>
  <c r="D339" i="3"/>
  <c r="D331" i="3"/>
  <c r="D323" i="3"/>
  <c r="D315" i="3"/>
  <c r="D307" i="3"/>
  <c r="D299" i="3"/>
  <c r="D291" i="3"/>
  <c r="D283" i="3"/>
  <c r="D275" i="3"/>
  <c r="D267" i="3"/>
  <c r="D259" i="3"/>
  <c r="D251" i="3"/>
  <c r="D243" i="3"/>
  <c r="D235" i="3"/>
  <c r="D227" i="3"/>
  <c r="D219" i="3"/>
  <c r="D211" i="3"/>
  <c r="D203" i="3"/>
  <c r="D195" i="3"/>
  <c r="D187" i="3"/>
  <c r="D179" i="3"/>
  <c r="D171" i="3"/>
  <c r="D163" i="3"/>
  <c r="D155" i="3"/>
  <c r="D147" i="3"/>
  <c r="D139" i="3"/>
  <c r="D131" i="3"/>
  <c r="D123" i="3"/>
  <c r="D115" i="3"/>
  <c r="D107" i="3"/>
  <c r="D99" i="3"/>
  <c r="D91" i="3"/>
  <c r="D83" i="3"/>
  <c r="D75" i="3"/>
  <c r="D67" i="3"/>
  <c r="D59" i="3"/>
  <c r="D51" i="3"/>
  <c r="D43" i="3"/>
  <c r="D35" i="3"/>
  <c r="D27" i="3"/>
  <c r="G48" i="16"/>
  <c r="F50" i="16"/>
  <c r="G50" i="16"/>
  <c r="F48" i="16"/>
  <c r="N9" i="16"/>
  <c r="Q9" i="16" s="1"/>
  <c r="G53" i="16"/>
  <c r="F53" i="16"/>
  <c r="F55" i="16"/>
  <c r="D999" i="3"/>
  <c r="D991" i="3"/>
  <c r="D983" i="3"/>
  <c r="D975" i="3"/>
  <c r="D967" i="3"/>
  <c r="D959" i="3"/>
  <c r="D951" i="3"/>
  <c r="D943" i="3"/>
  <c r="D935" i="3"/>
  <c r="D927" i="3"/>
  <c r="D919" i="3"/>
  <c r="D911" i="3"/>
  <c r="D903" i="3"/>
  <c r="D895" i="3"/>
  <c r="D887" i="3"/>
  <c r="D879" i="3"/>
  <c r="D871" i="3"/>
  <c r="D863" i="3"/>
  <c r="D855" i="3"/>
  <c r="D847" i="3"/>
  <c r="D839" i="3"/>
  <c r="D831" i="3"/>
  <c r="D823" i="3"/>
  <c r="D815" i="3"/>
  <c r="D807" i="3"/>
  <c r="D799" i="3"/>
  <c r="D791" i="3"/>
  <c r="D783" i="3"/>
  <c r="D775" i="3"/>
  <c r="D767" i="3"/>
  <c r="D759" i="3"/>
  <c r="D751" i="3"/>
  <c r="D743" i="3"/>
  <c r="D735" i="3"/>
  <c r="D727" i="3"/>
  <c r="D719" i="3"/>
  <c r="D711" i="3"/>
  <c r="D703" i="3"/>
  <c r="D695" i="3"/>
  <c r="D687" i="3"/>
  <c r="D679" i="3"/>
  <c r="D671" i="3"/>
  <c r="D663" i="3"/>
  <c r="D655" i="3"/>
  <c r="D647" i="3"/>
  <c r="D639" i="3"/>
  <c r="D631" i="3"/>
  <c r="D623" i="3"/>
  <c r="D615" i="3"/>
  <c r="D607" i="3"/>
  <c r="D599" i="3"/>
  <c r="D591" i="3"/>
  <c r="D583" i="3"/>
  <c r="D575" i="3"/>
  <c r="D567" i="3"/>
  <c r="D559" i="3"/>
  <c r="D551" i="3"/>
  <c r="D543" i="3"/>
  <c r="D535" i="3"/>
  <c r="D527" i="3"/>
  <c r="D519" i="3"/>
  <c r="D511" i="3"/>
  <c r="D503" i="3"/>
  <c r="D495" i="3"/>
  <c r="D487" i="3"/>
  <c r="D479" i="3"/>
  <c r="D471" i="3"/>
  <c r="D463" i="3"/>
  <c r="D455" i="3"/>
  <c r="D447" i="3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5" i="3"/>
  <c r="D327" i="3"/>
  <c r="D319" i="3"/>
  <c r="D311" i="3"/>
  <c r="D303" i="3"/>
  <c r="D295" i="3"/>
  <c r="D287" i="3"/>
  <c r="D279" i="3"/>
  <c r="D271" i="3"/>
  <c r="D263" i="3"/>
  <c r="D255" i="3"/>
  <c r="D247" i="3"/>
  <c r="D239" i="3"/>
  <c r="D231" i="3"/>
  <c r="D223" i="3"/>
  <c r="D215" i="3"/>
  <c r="D207" i="3"/>
  <c r="D199" i="3"/>
  <c r="D191" i="3"/>
  <c r="D183" i="3"/>
  <c r="D175" i="3"/>
  <c r="D167" i="3"/>
  <c r="D159" i="3"/>
  <c r="D151" i="3"/>
  <c r="D143" i="3"/>
  <c r="D135" i="3"/>
  <c r="D127" i="3"/>
  <c r="D119" i="3"/>
  <c r="D111" i="3"/>
  <c r="D103" i="3"/>
  <c r="D95" i="3"/>
  <c r="D87" i="3"/>
  <c r="D79" i="3"/>
  <c r="D71" i="3"/>
  <c r="D63" i="3"/>
  <c r="D55" i="3"/>
  <c r="D47" i="3"/>
  <c r="D39" i="3"/>
  <c r="D31" i="3"/>
  <c r="D873" i="3"/>
  <c r="D701" i="3"/>
  <c r="D433" i="3"/>
  <c r="D161" i="3"/>
  <c r="D101" i="3"/>
  <c r="D25" i="3"/>
  <c r="D720" i="3"/>
  <c r="D572" i="3"/>
  <c r="D304" i="3"/>
  <c r="D1000" i="3"/>
  <c r="D996" i="3"/>
  <c r="D992" i="3"/>
  <c r="D988" i="3"/>
  <c r="D984" i="3"/>
  <c r="D980" i="3"/>
  <c r="D976" i="3"/>
  <c r="D972" i="3"/>
  <c r="D968" i="3"/>
  <c r="D964" i="3"/>
  <c r="D960" i="3"/>
  <c r="D956" i="3"/>
  <c r="D952" i="3"/>
  <c r="D948" i="3"/>
  <c r="D944" i="3"/>
  <c r="D940" i="3"/>
  <c r="D936" i="3"/>
  <c r="D932" i="3"/>
  <c r="D928" i="3"/>
  <c r="D924" i="3"/>
  <c r="D920" i="3"/>
  <c r="D916" i="3"/>
  <c r="D912" i="3"/>
  <c r="D908" i="3"/>
  <c r="D904" i="3"/>
  <c r="D900" i="3"/>
  <c r="D896" i="3"/>
  <c r="D892" i="3"/>
  <c r="D888" i="3"/>
  <c r="D884" i="3"/>
  <c r="D880" i="3"/>
  <c r="D876" i="3"/>
  <c r="D872" i="3"/>
  <c r="D868" i="3"/>
  <c r="D864" i="3"/>
  <c r="D860" i="3"/>
  <c r="D856" i="3"/>
  <c r="D852" i="3"/>
  <c r="D848" i="3"/>
  <c r="D844" i="3"/>
  <c r="D840" i="3"/>
  <c r="D836" i="3"/>
  <c r="D832" i="3"/>
  <c r="D828" i="3"/>
  <c r="D824" i="3"/>
  <c r="D820" i="3"/>
  <c r="D816" i="3"/>
  <c r="D812" i="3"/>
  <c r="D808" i="3"/>
  <c r="D804" i="3"/>
  <c r="D800" i="3"/>
  <c r="D796" i="3"/>
  <c r="D792" i="3"/>
  <c r="D788" i="3"/>
  <c r="D784" i="3"/>
  <c r="D780" i="3"/>
  <c r="D776" i="3"/>
  <c r="D772" i="3"/>
  <c r="D768" i="3"/>
  <c r="D764" i="3"/>
  <c r="D760" i="3"/>
  <c r="D756" i="3"/>
  <c r="D752" i="3"/>
  <c r="D748" i="3"/>
  <c r="D744" i="3"/>
  <c r="D740" i="3"/>
  <c r="D736" i="3"/>
  <c r="D732" i="3"/>
  <c r="D728" i="3"/>
  <c r="D724" i="3"/>
  <c r="D716" i="3"/>
  <c r="D712" i="3"/>
  <c r="D708" i="3"/>
  <c r="D704" i="3"/>
  <c r="D700" i="3"/>
  <c r="D696" i="3"/>
  <c r="D692" i="3"/>
  <c r="D688" i="3"/>
  <c r="D684" i="3"/>
  <c r="D680" i="3"/>
  <c r="D676" i="3"/>
  <c r="D672" i="3"/>
  <c r="D668" i="3"/>
  <c r="D664" i="3"/>
  <c r="D660" i="3"/>
  <c r="D656" i="3"/>
  <c r="D652" i="3"/>
  <c r="D648" i="3"/>
  <c r="D644" i="3"/>
  <c r="D640" i="3"/>
  <c r="D636" i="3"/>
  <c r="D632" i="3"/>
  <c r="D628" i="3"/>
  <c r="D624" i="3"/>
  <c r="D620" i="3"/>
  <c r="D616" i="3"/>
  <c r="D612" i="3"/>
  <c r="D608" i="3"/>
  <c r="D604" i="3"/>
  <c r="D600" i="3"/>
  <c r="D596" i="3"/>
  <c r="D592" i="3"/>
  <c r="D588" i="3"/>
  <c r="D584" i="3"/>
  <c r="D580" i="3"/>
  <c r="D576" i="3"/>
  <c r="D568" i="3"/>
  <c r="D564" i="3"/>
  <c r="D560" i="3"/>
  <c r="D556" i="3"/>
  <c r="D552" i="3"/>
  <c r="D548" i="3"/>
  <c r="D544" i="3"/>
  <c r="D540" i="3"/>
  <c r="D536" i="3"/>
  <c r="D532" i="3"/>
  <c r="D528" i="3"/>
  <c r="D524" i="3"/>
  <c r="D520" i="3"/>
  <c r="D516" i="3"/>
  <c r="D512" i="3"/>
  <c r="D508" i="3"/>
  <c r="D504" i="3"/>
  <c r="D500" i="3"/>
  <c r="D496" i="3"/>
  <c r="D492" i="3"/>
  <c r="D488" i="3"/>
  <c r="D484" i="3"/>
  <c r="D480" i="3"/>
  <c r="D476" i="3"/>
  <c r="D472" i="3"/>
  <c r="D468" i="3"/>
  <c r="D464" i="3"/>
  <c r="D460" i="3"/>
  <c r="D456" i="3"/>
  <c r="D452" i="3"/>
  <c r="D448" i="3"/>
  <c r="D444" i="3"/>
  <c r="D440" i="3"/>
  <c r="D436" i="3"/>
  <c r="D432" i="3"/>
  <c r="D428" i="3"/>
  <c r="D424" i="3"/>
  <c r="D420" i="3"/>
  <c r="D416" i="3"/>
  <c r="D412" i="3"/>
  <c r="D408" i="3"/>
  <c r="D404" i="3"/>
  <c r="D400" i="3"/>
  <c r="D396" i="3"/>
  <c r="D392" i="3"/>
  <c r="D388" i="3"/>
  <c r="D384" i="3"/>
  <c r="D380" i="3"/>
  <c r="D376" i="3"/>
  <c r="D372" i="3"/>
  <c r="D368" i="3"/>
  <c r="D364" i="3"/>
  <c r="D360" i="3"/>
  <c r="D356" i="3"/>
  <c r="D352" i="3"/>
  <c r="D348" i="3"/>
  <c r="D344" i="3"/>
  <c r="D340" i="3"/>
  <c r="D336" i="3"/>
  <c r="D332" i="3"/>
  <c r="D328" i="3"/>
  <c r="D324" i="3"/>
  <c r="D320" i="3"/>
  <c r="D316" i="3"/>
  <c r="D312" i="3"/>
  <c r="D308" i="3"/>
  <c r="D300" i="3"/>
  <c r="D296" i="3"/>
  <c r="D292" i="3"/>
  <c r="D288" i="3"/>
  <c r="D284" i="3"/>
  <c r="D280" i="3"/>
  <c r="D276" i="3"/>
  <c r="D272" i="3"/>
  <c r="D268" i="3"/>
  <c r="D264" i="3"/>
  <c r="D260" i="3"/>
  <c r="D256" i="3"/>
  <c r="D252" i="3"/>
  <c r="D248" i="3"/>
  <c r="D244" i="3"/>
  <c r="D240" i="3"/>
  <c r="D236" i="3"/>
  <c r="D232" i="3"/>
  <c r="D228" i="3"/>
  <c r="D224" i="3"/>
  <c r="D220" i="3"/>
  <c r="D216" i="3"/>
  <c r="D212" i="3"/>
  <c r="D208" i="3"/>
  <c r="D204" i="3"/>
  <c r="D200" i="3"/>
  <c r="D196" i="3"/>
  <c r="D192" i="3"/>
  <c r="D188" i="3"/>
  <c r="D184" i="3"/>
  <c r="D180" i="3"/>
  <c r="D176" i="3"/>
  <c r="D172" i="3"/>
  <c r="D168" i="3"/>
  <c r="D164" i="3"/>
  <c r="D160" i="3"/>
  <c r="D156" i="3"/>
  <c r="D152" i="3"/>
  <c r="D148" i="3"/>
  <c r="D144" i="3"/>
  <c r="D140" i="3"/>
  <c r="D136" i="3"/>
  <c r="D132" i="3"/>
  <c r="D128" i="3"/>
  <c r="D124" i="3"/>
  <c r="D120" i="3"/>
  <c r="D116" i="3"/>
  <c r="D112" i="3"/>
  <c r="D108" i="3"/>
  <c r="D104" i="3"/>
  <c r="D100" i="3"/>
  <c r="D96" i="3"/>
  <c r="D92" i="3"/>
  <c r="D88" i="3"/>
  <c r="D84" i="3"/>
  <c r="D80" i="3"/>
  <c r="D76" i="3"/>
  <c r="D72" i="3"/>
  <c r="D68" i="3"/>
  <c r="D64" i="3"/>
  <c r="D60" i="3"/>
  <c r="D56" i="3"/>
  <c r="D52" i="3"/>
  <c r="D48" i="3"/>
  <c r="D44" i="3"/>
  <c r="D40" i="3"/>
  <c r="D36" i="3"/>
  <c r="D32" i="3"/>
  <c r="D28" i="3"/>
  <c r="F33" i="16"/>
  <c r="D98" i="3"/>
  <c r="G14" i="16"/>
  <c r="S10" i="14"/>
  <c r="F8" i="16"/>
  <c r="D957" i="3"/>
  <c r="D829" i="3"/>
  <c r="D745" i="3"/>
  <c r="D617" i="3"/>
  <c r="D573" i="3"/>
  <c r="D497" i="3"/>
  <c r="D445" i="3"/>
  <c r="D369" i="3"/>
  <c r="D293" i="3"/>
  <c r="D289" i="3"/>
  <c r="D229" i="3"/>
  <c r="D225" i="3"/>
  <c r="D165" i="3"/>
  <c r="D97" i="3"/>
  <c r="D37" i="3"/>
  <c r="D33" i="3"/>
  <c r="D989" i="3"/>
  <c r="D977" i="3"/>
  <c r="D945" i="3"/>
  <c r="D925" i="3"/>
  <c r="D905" i="3"/>
  <c r="D893" i="3"/>
  <c r="D861" i="3"/>
  <c r="D841" i="3"/>
  <c r="D809" i="3"/>
  <c r="D797" i="3"/>
  <c r="D777" i="3"/>
  <c r="D765" i="3"/>
  <c r="D733" i="3"/>
  <c r="D713" i="3"/>
  <c r="D681" i="3"/>
  <c r="D669" i="3"/>
  <c r="D649" i="3"/>
  <c r="D637" i="3"/>
  <c r="D605" i="3"/>
  <c r="D585" i="3"/>
  <c r="D553" i="3"/>
  <c r="D541" i="3"/>
  <c r="D521" i="3"/>
  <c r="D509" i="3"/>
  <c r="D489" i="3"/>
  <c r="D477" i="3"/>
  <c r="D465" i="3"/>
  <c r="D457" i="3"/>
  <c r="D425" i="3"/>
  <c r="D413" i="3"/>
  <c r="D401" i="3"/>
  <c r="D393" i="3"/>
  <c r="D381" i="3"/>
  <c r="D361" i="3"/>
  <c r="D349" i="3"/>
  <c r="D333" i="3"/>
  <c r="D329" i="3"/>
  <c r="D325" i="3"/>
  <c r="D321" i="3"/>
  <c r="D301" i="3"/>
  <c r="D297" i="3"/>
  <c r="D269" i="3"/>
  <c r="D265" i="3"/>
  <c r="D261" i="3"/>
  <c r="D257" i="3"/>
  <c r="D237" i="3"/>
  <c r="D233" i="3"/>
  <c r="D205" i="3"/>
  <c r="D201" i="3"/>
  <c r="D197" i="3"/>
  <c r="D193" i="3"/>
  <c r="D173" i="3"/>
  <c r="D169" i="3"/>
  <c r="D141" i="3"/>
  <c r="D137" i="3"/>
  <c r="D133" i="3"/>
  <c r="D129" i="3"/>
  <c r="D109" i="3"/>
  <c r="D105" i="3"/>
  <c r="D77" i="3"/>
  <c r="D73" i="3"/>
  <c r="D69" i="3"/>
  <c r="D65" i="3"/>
  <c r="D45" i="3"/>
  <c r="D41" i="3"/>
  <c r="D933" i="3"/>
  <c r="D909" i="3"/>
  <c r="D881" i="3"/>
  <c r="D865" i="3"/>
  <c r="D853" i="3"/>
  <c r="D837" i="3"/>
  <c r="D817" i="3"/>
  <c r="D801" i="3"/>
  <c r="D789" i="3"/>
  <c r="D773" i="3"/>
  <c r="D753" i="3"/>
  <c r="D737" i="3"/>
  <c r="D725" i="3"/>
  <c r="D709" i="3"/>
  <c r="D693" i="3"/>
  <c r="D677" i="3"/>
  <c r="D661" i="3"/>
  <c r="D645" i="3"/>
  <c r="D629" i="3"/>
  <c r="D609" i="3"/>
  <c r="D597" i="3"/>
  <c r="D577" i="3"/>
  <c r="D561" i="3"/>
  <c r="D549" i="3"/>
  <c r="D537" i="3"/>
  <c r="D525" i="3"/>
  <c r="D493" i="3"/>
  <c r="D481" i="3"/>
  <c r="D461" i="3"/>
  <c r="D441" i="3"/>
  <c r="D417" i="3"/>
  <c r="D397" i="3"/>
  <c r="D377" i="3"/>
  <c r="D357" i="3"/>
  <c r="D345" i="3"/>
  <c r="D313" i="3"/>
  <c r="D285" i="3"/>
  <c r="D273" i="3"/>
  <c r="D245" i="3"/>
  <c r="D217" i="3"/>
  <c r="D189" i="3"/>
  <c r="D177" i="3"/>
  <c r="D153" i="3"/>
  <c r="D121" i="3"/>
  <c r="D81" i="3"/>
  <c r="D53" i="3"/>
  <c r="D993" i="3"/>
  <c r="D985" i="3"/>
  <c r="D969" i="3"/>
  <c r="D961" i="3"/>
  <c r="D949" i="3"/>
  <c r="D937" i="3"/>
  <c r="D917" i="3"/>
  <c r="D901" i="3"/>
  <c r="D889" i="3"/>
  <c r="D877" i="3"/>
  <c r="D849" i="3"/>
  <c r="D833" i="3"/>
  <c r="D821" i="3"/>
  <c r="D805" i="3"/>
  <c r="D785" i="3"/>
  <c r="D769" i="3"/>
  <c r="D757" i="3"/>
  <c r="D741" i="3"/>
  <c r="D721" i="3"/>
  <c r="D705" i="3"/>
  <c r="D689" i="3"/>
  <c r="D673" i="3"/>
  <c r="D653" i="3"/>
  <c r="D641" i="3"/>
  <c r="D625" i="3"/>
  <c r="D613" i="3"/>
  <c r="D593" i="3"/>
  <c r="D581" i="3"/>
  <c r="D569" i="3"/>
  <c r="D557" i="3"/>
  <c r="D529" i="3"/>
  <c r="D517" i="3"/>
  <c r="D505" i="3"/>
  <c r="D473" i="3"/>
  <c r="D449" i="3"/>
  <c r="D429" i="3"/>
  <c r="D409" i="3"/>
  <c r="D385" i="3"/>
  <c r="D365" i="3"/>
  <c r="D337" i="3"/>
  <c r="D317" i="3"/>
  <c r="D305" i="3"/>
  <c r="D277" i="3"/>
  <c r="D249" i="3"/>
  <c r="D213" i="3"/>
  <c r="D181" i="3"/>
  <c r="D157" i="3"/>
  <c r="D145" i="3"/>
  <c r="D113" i="3"/>
  <c r="D93" i="3"/>
  <c r="D89" i="3"/>
  <c r="D61" i="3"/>
  <c r="D57" i="3"/>
  <c r="D29" i="3"/>
  <c r="D997" i="3"/>
  <c r="D981" i="3"/>
  <c r="D973" i="3"/>
  <c r="D965" i="3"/>
  <c r="D953" i="3"/>
  <c r="D941" i="3"/>
  <c r="D929" i="3"/>
  <c r="D913" i="3"/>
  <c r="D897" i="3"/>
  <c r="D885" i="3"/>
  <c r="D869" i="3"/>
  <c r="D857" i="3"/>
  <c r="D845" i="3"/>
  <c r="D825" i="3"/>
  <c r="D813" i="3"/>
  <c r="D793" i="3"/>
  <c r="D781" i="3"/>
  <c r="D761" i="3"/>
  <c r="D749" i="3"/>
  <c r="D729" i="3"/>
  <c r="D717" i="3"/>
  <c r="D697" i="3"/>
  <c r="D685" i="3"/>
  <c r="D665" i="3"/>
  <c r="D657" i="3"/>
  <c r="D633" i="3"/>
  <c r="D621" i="3"/>
  <c r="D601" i="3"/>
  <c r="D589" i="3"/>
  <c r="D565" i="3"/>
  <c r="D545" i="3"/>
  <c r="D533" i="3"/>
  <c r="D513" i="3"/>
  <c r="D501" i="3"/>
  <c r="D485" i="3"/>
  <c r="D469" i="3"/>
  <c r="D453" i="3"/>
  <c r="D437" i="3"/>
  <c r="D421" i="3"/>
  <c r="D405" i="3"/>
  <c r="D389" i="3"/>
  <c r="D373" i="3"/>
  <c r="D353" i="3"/>
  <c r="D341" i="3"/>
  <c r="D309" i="3"/>
  <c r="D281" i="3"/>
  <c r="D253" i="3"/>
  <c r="D241" i="3"/>
  <c r="D221" i="3"/>
  <c r="D209" i="3"/>
  <c r="D185" i="3"/>
  <c r="D149" i="3"/>
  <c r="D125" i="3"/>
  <c r="D117" i="3"/>
  <c r="D85" i="3"/>
  <c r="D49" i="3"/>
  <c r="D622" i="3"/>
  <c r="D330" i="3"/>
  <c r="D278" i="3"/>
  <c r="D226" i="3"/>
  <c r="D134" i="3"/>
  <c r="D1002" i="3"/>
  <c r="D994" i="3"/>
  <c r="D986" i="3"/>
  <c r="D978" i="3"/>
  <c r="D970" i="3"/>
  <c r="D962" i="3"/>
  <c r="D954" i="3"/>
  <c r="D946" i="3"/>
  <c r="D938" i="3"/>
  <c r="D930" i="3"/>
  <c r="D922" i="3"/>
  <c r="D914" i="3"/>
  <c r="D906" i="3"/>
  <c r="D898" i="3"/>
  <c r="D890" i="3"/>
  <c r="D882" i="3"/>
  <c r="D874" i="3"/>
  <c r="D870" i="3"/>
  <c r="D862" i="3"/>
  <c r="D850" i="3"/>
  <c r="D842" i="3"/>
  <c r="D834" i="3"/>
  <c r="D826" i="3"/>
  <c r="D818" i="3"/>
  <c r="D810" i="3"/>
  <c r="D802" i="3"/>
  <c r="D794" i="3"/>
  <c r="D786" i="3"/>
  <c r="D778" i="3"/>
  <c r="D774" i="3"/>
  <c r="D766" i="3"/>
  <c r="D754" i="3"/>
  <c r="D746" i="3"/>
  <c r="D738" i="3"/>
  <c r="D734" i="3"/>
  <c r="D722" i="3"/>
  <c r="D714" i="3"/>
  <c r="D710" i="3"/>
  <c r="D702" i="3"/>
  <c r="D694" i="3"/>
  <c r="D686" i="3"/>
  <c r="D678" i="3"/>
  <c r="D670" i="3"/>
  <c r="D662" i="3"/>
  <c r="D654" i="3"/>
  <c r="D646" i="3"/>
  <c r="D638" i="3"/>
  <c r="D630" i="3"/>
  <c r="D618" i="3"/>
  <c r="D610" i="3"/>
  <c r="D602" i="3"/>
  <c r="D594" i="3"/>
  <c r="D586" i="3"/>
  <c r="D578" i="3"/>
  <c r="D570" i="3"/>
  <c r="D562" i="3"/>
  <c r="D554" i="3"/>
  <c r="D546" i="3"/>
  <c r="D538" i="3"/>
  <c r="D534" i="3"/>
  <c r="D526" i="3"/>
  <c r="D518" i="3"/>
  <c r="D510" i="3"/>
  <c r="D502" i="3"/>
  <c r="D494" i="3"/>
  <c r="D486" i="3"/>
  <c r="D478" i="3"/>
  <c r="D470" i="3"/>
  <c r="D462" i="3"/>
  <c r="D454" i="3"/>
  <c r="D446" i="3"/>
  <c r="D438" i="3"/>
  <c r="D426" i="3"/>
  <c r="D418" i="3"/>
  <c r="D410" i="3"/>
  <c r="D406" i="3"/>
  <c r="D398" i="3"/>
  <c r="D386" i="3"/>
  <c r="D1001" i="3"/>
  <c r="D921" i="3"/>
  <c r="D998" i="3"/>
  <c r="D990" i="3"/>
  <c r="D982" i="3"/>
  <c r="D974" i="3"/>
  <c r="D966" i="3"/>
  <c r="D958" i="3"/>
  <c r="D950" i="3"/>
  <c r="D942" i="3"/>
  <c r="D934" i="3"/>
  <c r="D926" i="3"/>
  <c r="D918" i="3"/>
  <c r="D910" i="3"/>
  <c r="D902" i="3"/>
  <c r="D894" i="3"/>
  <c r="D886" i="3"/>
  <c r="D878" i="3"/>
  <c r="D866" i="3"/>
  <c r="D858" i="3"/>
  <c r="D854" i="3"/>
  <c r="D846" i="3"/>
  <c r="D838" i="3"/>
  <c r="D830" i="3"/>
  <c r="D822" i="3"/>
  <c r="D814" i="3"/>
  <c r="D806" i="3"/>
  <c r="D798" i="3"/>
  <c r="D790" i="3"/>
  <c r="D782" i="3"/>
  <c r="D770" i="3"/>
  <c r="D762" i="3"/>
  <c r="D758" i="3"/>
  <c r="D750" i="3"/>
  <c r="D742" i="3"/>
  <c r="D730" i="3"/>
  <c r="D726" i="3"/>
  <c r="D718" i="3"/>
  <c r="D706" i="3"/>
  <c r="D698" i="3"/>
  <c r="D690" i="3"/>
  <c r="D682" i="3"/>
  <c r="D674" i="3"/>
  <c r="D666" i="3"/>
  <c r="D658" i="3"/>
  <c r="D650" i="3"/>
  <c r="D642" i="3"/>
  <c r="D634" i="3"/>
  <c r="D626" i="3"/>
  <c r="D614" i="3"/>
  <c r="D606" i="3"/>
  <c r="D598" i="3"/>
  <c r="D590" i="3"/>
  <c r="D582" i="3"/>
  <c r="D574" i="3"/>
  <c r="D566" i="3"/>
  <c r="D558" i="3"/>
  <c r="D550" i="3"/>
  <c r="D542" i="3"/>
  <c r="D530" i="3"/>
  <c r="D522" i="3"/>
  <c r="D514" i="3"/>
  <c r="D506" i="3"/>
  <c r="D498" i="3"/>
  <c r="D490" i="3"/>
  <c r="D482" i="3"/>
  <c r="D474" i="3"/>
  <c r="D466" i="3"/>
  <c r="D458" i="3"/>
  <c r="D450" i="3"/>
  <c r="D442" i="3"/>
  <c r="D434" i="3"/>
  <c r="D430" i="3"/>
  <c r="D422" i="3"/>
  <c r="D414" i="3"/>
  <c r="D402" i="3"/>
  <c r="D394" i="3"/>
  <c r="D390" i="3"/>
  <c r="D382" i="3"/>
  <c r="D378" i="3"/>
  <c r="D374" i="3"/>
  <c r="D370" i="3"/>
  <c r="D366" i="3"/>
  <c r="D362" i="3"/>
  <c r="D358" i="3"/>
  <c r="D354" i="3"/>
  <c r="D350" i="3"/>
  <c r="D346" i="3"/>
  <c r="D342" i="3"/>
  <c r="D338" i="3"/>
  <c r="D334" i="3"/>
  <c r="D326" i="3"/>
  <c r="D322" i="3"/>
  <c r="D318" i="3"/>
  <c r="D314" i="3"/>
  <c r="D310" i="3"/>
  <c r="D306" i="3"/>
  <c r="D302" i="3"/>
  <c r="D298" i="3"/>
  <c r="D294" i="3"/>
  <c r="D290" i="3"/>
  <c r="D286" i="3"/>
  <c r="D282" i="3"/>
  <c r="D274" i="3"/>
  <c r="D270" i="3"/>
  <c r="D266" i="3"/>
  <c r="D262" i="3"/>
  <c r="D258" i="3"/>
  <c r="D254" i="3"/>
  <c r="D250" i="3"/>
  <c r="D246" i="3"/>
  <c r="D242" i="3"/>
  <c r="D238" i="3"/>
  <c r="D234" i="3"/>
  <c r="D230" i="3"/>
  <c r="D222" i="3"/>
  <c r="D218" i="3"/>
  <c r="D214" i="3"/>
  <c r="D210" i="3"/>
  <c r="D206" i="3"/>
  <c r="D202" i="3"/>
  <c r="D198" i="3"/>
  <c r="D194" i="3"/>
  <c r="D190" i="3"/>
  <c r="D186" i="3"/>
  <c r="D182" i="3"/>
  <c r="D178" i="3"/>
  <c r="D174" i="3"/>
  <c r="D170" i="3"/>
  <c r="D166" i="3"/>
  <c r="D162" i="3"/>
  <c r="D158" i="3"/>
  <c r="D154" i="3"/>
  <c r="D150" i="3"/>
  <c r="D146" i="3"/>
  <c r="D142" i="3"/>
  <c r="D138" i="3"/>
  <c r="D130" i="3"/>
  <c r="D126" i="3"/>
  <c r="D122" i="3"/>
  <c r="D118" i="3"/>
  <c r="D114" i="3"/>
  <c r="D110" i="3"/>
  <c r="D106" i="3"/>
  <c r="D102" i="3"/>
  <c r="D94" i="3"/>
  <c r="D90" i="3"/>
  <c r="D86" i="3"/>
  <c r="D82" i="3"/>
  <c r="D78" i="3"/>
  <c r="D74" i="3"/>
  <c r="D70" i="3"/>
  <c r="D66" i="3"/>
  <c r="D62" i="3"/>
  <c r="D58" i="3"/>
  <c r="D54" i="3"/>
  <c r="D50" i="3"/>
  <c r="D46" i="3"/>
  <c r="D42" i="3"/>
  <c r="D38" i="3"/>
  <c r="D34" i="3"/>
  <c r="D30" i="3"/>
  <c r="D26" i="3"/>
  <c r="D3" i="3"/>
  <c r="D5" i="3"/>
  <c r="D17" i="3"/>
  <c r="G85" i="16"/>
  <c r="G60" i="16"/>
  <c r="F85" i="16"/>
  <c r="F60" i="16"/>
  <c r="F89" i="16"/>
  <c r="D10" i="3"/>
  <c r="D2" i="3"/>
  <c r="C391" i="4"/>
  <c r="C266" i="4"/>
  <c r="A10" i="4"/>
  <c r="C10" i="4" s="1"/>
  <c r="C942" i="4"/>
  <c r="D8" i="3"/>
  <c r="D4" i="3"/>
  <c r="C84" i="4"/>
  <c r="C612" i="4"/>
  <c r="C545" i="4"/>
  <c r="C809" i="4"/>
  <c r="C610" i="4"/>
  <c r="C92" i="4"/>
  <c r="C219" i="4"/>
  <c r="C343" i="4"/>
  <c r="C979" i="4"/>
  <c r="A15" i="4"/>
  <c r="C15" i="4" s="1"/>
  <c r="C669" i="4"/>
  <c r="C70" i="4"/>
  <c r="C417" i="4"/>
  <c r="C541" i="4"/>
  <c r="C215" i="4"/>
  <c r="C147" i="4"/>
  <c r="C503" i="4"/>
  <c r="C78" i="4"/>
  <c r="A11" i="4"/>
  <c r="C11" i="4" s="1"/>
  <c r="C403" i="4"/>
  <c r="C801" i="4"/>
  <c r="C289" i="4"/>
  <c r="C40" i="4"/>
  <c r="C413" i="4"/>
  <c r="C254" i="4"/>
  <c r="C553" i="4"/>
  <c r="C661" i="4"/>
  <c r="C941" i="4"/>
  <c r="C552" i="4"/>
  <c r="C796" i="4"/>
  <c r="C810" i="4"/>
  <c r="C157" i="4"/>
  <c r="C44" i="4"/>
  <c r="C258" i="4"/>
  <c r="C681" i="4"/>
  <c r="C523" i="4"/>
  <c r="C79" i="4"/>
  <c r="C47" i="4"/>
  <c r="C223" i="4"/>
  <c r="C673" i="4"/>
  <c r="C399" i="4"/>
  <c r="C797" i="4"/>
  <c r="C285" i="4"/>
  <c r="C35" i="4"/>
  <c r="C377" i="4"/>
  <c r="C325" i="4"/>
  <c r="C606" i="4"/>
  <c r="C527" i="4"/>
  <c r="C422" i="4"/>
  <c r="C272" i="4"/>
  <c r="C664" i="4"/>
  <c r="C703" i="4"/>
  <c r="C770" i="4"/>
  <c r="C356" i="4"/>
  <c r="C515" i="4"/>
  <c r="C582" i="4"/>
  <c r="C328" i="4"/>
  <c r="C743" i="4"/>
  <c r="C807" i="4"/>
  <c r="C772" i="4"/>
  <c r="C85" i="4"/>
  <c r="C8" i="4"/>
  <c r="C181" i="4"/>
  <c r="C19" i="4"/>
  <c r="C49" i="4"/>
  <c r="C202" i="4"/>
  <c r="C753" i="4"/>
  <c r="C497" i="4"/>
  <c r="C193" i="4"/>
  <c r="C45" i="4"/>
  <c r="C877" i="4"/>
  <c r="C749" i="4"/>
  <c r="C493" i="4"/>
  <c r="C189" i="4"/>
  <c r="C36" i="4"/>
  <c r="C190" i="4"/>
  <c r="C761" i="4"/>
  <c r="C505" i="4"/>
  <c r="C255" i="4"/>
  <c r="C581" i="4"/>
  <c r="C142" i="4"/>
  <c r="C603" i="4"/>
  <c r="C350" i="4"/>
  <c r="C686" i="4"/>
  <c r="C319" i="4"/>
  <c r="C122" i="4"/>
  <c r="C177" i="4"/>
  <c r="C865" i="4"/>
  <c r="C737" i="4"/>
  <c r="C609" i="4"/>
  <c r="C481" i="4"/>
  <c r="C353" i="4"/>
  <c r="C131" i="4"/>
  <c r="C311" i="4"/>
  <c r="C117" i="4"/>
  <c r="C170" i="4"/>
  <c r="C861" i="4"/>
  <c r="C733" i="4"/>
  <c r="C605" i="4"/>
  <c r="C477" i="4"/>
  <c r="C349" i="4"/>
  <c r="C106" i="4"/>
  <c r="C307" i="4"/>
  <c r="C338" i="4"/>
  <c r="C166" i="4"/>
  <c r="C873" i="4"/>
  <c r="C745" i="4"/>
  <c r="C617" i="4"/>
  <c r="C489" i="4"/>
  <c r="C201" i="4"/>
  <c r="C57" i="4"/>
  <c r="C837" i="4"/>
  <c r="C485" i="4"/>
  <c r="C214" i="4"/>
  <c r="C347" i="4"/>
  <c r="C699" i="4"/>
  <c r="C430" i="4"/>
  <c r="C766" i="4"/>
  <c r="C891" i="4"/>
  <c r="C352" i="4"/>
  <c r="C956" i="4"/>
  <c r="C945" i="4"/>
  <c r="C946" i="4"/>
  <c r="C540" i="4"/>
  <c r="C675" i="4"/>
  <c r="C758" i="4"/>
  <c r="C576" i="4"/>
  <c r="C346" i="4"/>
  <c r="C27" i="4"/>
  <c r="C98" i="4"/>
  <c r="C74" i="4"/>
  <c r="C91" i="4"/>
  <c r="C235" i="4"/>
  <c r="C140" i="4"/>
  <c r="C66" i="4"/>
  <c r="C124" i="4"/>
  <c r="C63" i="4"/>
  <c r="C101" i="4"/>
  <c r="C50" i="4"/>
  <c r="C199" i="4"/>
  <c r="C174" i="4"/>
  <c r="C55" i="4"/>
  <c r="C41" i="4"/>
  <c r="C9" i="4"/>
  <c r="C128" i="4"/>
  <c r="C61" i="4"/>
  <c r="C13" i="4"/>
  <c r="C135" i="4"/>
  <c r="C90" i="4"/>
  <c r="C228" i="4"/>
  <c r="C146" i="4"/>
  <c r="C29" i="4"/>
  <c r="C232" i="4"/>
  <c r="C150" i="4"/>
  <c r="C261" i="4"/>
  <c r="C265" i="4"/>
  <c r="C155" i="4"/>
  <c r="C273" i="4"/>
  <c r="C900" i="4"/>
  <c r="C804" i="4"/>
  <c r="C740" i="4"/>
  <c r="C964" i="4"/>
  <c r="C708" i="4"/>
  <c r="C628" i="4"/>
  <c r="C564" i="4"/>
  <c r="C500" i="4"/>
  <c r="C428" i="4"/>
  <c r="C364" i="4"/>
  <c r="C300" i="4"/>
  <c r="C236" i="4"/>
  <c r="C58" i="4"/>
  <c r="C983" i="4"/>
  <c r="C919" i="4"/>
  <c r="C855" i="4"/>
  <c r="C704" i="4"/>
  <c r="C954" i="4"/>
  <c r="C890" i="4"/>
  <c r="C826" i="4"/>
  <c r="C762" i="4"/>
  <c r="C698" i="4"/>
  <c r="C634" i="4"/>
  <c r="C570" i="4"/>
  <c r="C506" i="4"/>
  <c r="C442" i="4"/>
  <c r="C378" i="4"/>
  <c r="C1001" i="4"/>
  <c r="C937" i="4"/>
  <c r="C791" i="4"/>
  <c r="C727" i="4"/>
  <c r="C663" i="4"/>
  <c r="C599" i="4"/>
  <c r="C535" i="4"/>
  <c r="C471" i="4"/>
  <c r="C860" i="4"/>
  <c r="C784" i="4"/>
  <c r="C980" i="4"/>
  <c r="C908" i="4"/>
  <c r="C672" i="4"/>
  <c r="C608" i="4"/>
  <c r="C544" i="4"/>
  <c r="C480" i="4"/>
  <c r="C408" i="4"/>
  <c r="C344" i="4"/>
  <c r="C280" i="4"/>
  <c r="C208" i="4"/>
  <c r="C21" i="4"/>
  <c r="C963" i="4"/>
  <c r="C899" i="4"/>
  <c r="C835" i="4"/>
  <c r="C998" i="4"/>
  <c r="C934" i="4"/>
  <c r="C870" i="4"/>
  <c r="C806" i="4"/>
  <c r="C130" i="4"/>
  <c r="C22" i="4"/>
  <c r="C26" i="4"/>
  <c r="C184" i="4"/>
  <c r="C253" i="4"/>
  <c r="C12" i="4"/>
  <c r="C164" i="4"/>
  <c r="C20" i="4"/>
  <c r="C62" i="4"/>
  <c r="C165" i="4"/>
  <c r="C275" i="4"/>
  <c r="C88" i="4"/>
  <c r="C163" i="4"/>
  <c r="C204" i="4"/>
  <c r="C209" i="4"/>
  <c r="C114" i="4"/>
  <c r="C158" i="4"/>
  <c r="C187" i="4"/>
  <c r="C103" i="4"/>
  <c r="C269" i="4"/>
  <c r="C249" i="4"/>
  <c r="C185" i="4"/>
  <c r="C996" i="4"/>
  <c r="C820" i="4"/>
  <c r="C992" i="4"/>
  <c r="C880" i="4"/>
  <c r="C644" i="4"/>
  <c r="C548" i="4"/>
  <c r="C468" i="4"/>
  <c r="C380" i="4"/>
  <c r="C284" i="4"/>
  <c r="C180" i="4"/>
  <c r="C999" i="4"/>
  <c r="C903" i="4"/>
  <c r="C823" i="4"/>
  <c r="C970" i="4"/>
  <c r="C874" i="4"/>
  <c r="C794" i="4"/>
  <c r="C714" i="4"/>
  <c r="C618" i="4"/>
  <c r="C538" i="4"/>
  <c r="C458" i="4"/>
  <c r="C362" i="4"/>
  <c r="C969" i="4"/>
  <c r="C889" i="4"/>
  <c r="C711" i="4"/>
  <c r="C631" i="4"/>
  <c r="C551" i="4"/>
  <c r="C984" i="4"/>
  <c r="C816" i="4"/>
  <c r="C736" i="4"/>
  <c r="C872" i="4"/>
  <c r="C640" i="4"/>
  <c r="C560" i="4"/>
  <c r="C464" i="4"/>
  <c r="C376" i="4"/>
  <c r="C296" i="4"/>
  <c r="C168" i="4"/>
  <c r="C995" i="4"/>
  <c r="C915" i="4"/>
  <c r="C819" i="4"/>
  <c r="C966" i="4"/>
  <c r="C886" i="4"/>
  <c r="C790" i="4"/>
  <c r="C726" i="4"/>
  <c r="C662" i="4"/>
  <c r="C598" i="4"/>
  <c r="C534" i="4"/>
  <c r="C470" i="4"/>
  <c r="C406" i="4"/>
  <c r="C712" i="4"/>
  <c r="C965" i="4"/>
  <c r="C901" i="4"/>
  <c r="C755" i="4"/>
  <c r="C691" i="4"/>
  <c r="C627" i="4"/>
  <c r="C563" i="4"/>
  <c r="C499" i="4"/>
  <c r="C972" i="4"/>
  <c r="C828" i="4"/>
  <c r="C764" i="4"/>
  <c r="C916" i="4"/>
  <c r="C864" i="4"/>
  <c r="C652" i="4"/>
  <c r="C588" i="4"/>
  <c r="C524" i="4"/>
  <c r="C460" i="4"/>
  <c r="C388" i="4"/>
  <c r="C324" i="4"/>
  <c r="C260" i="4"/>
  <c r="C154" i="4"/>
  <c r="C87" i="4"/>
  <c r="C943" i="4"/>
  <c r="C879" i="4"/>
  <c r="C815" i="4"/>
  <c r="C978" i="4"/>
  <c r="C914" i="4"/>
  <c r="C850" i="4"/>
  <c r="C786" i="4"/>
  <c r="C722" i="4"/>
  <c r="C658" i="4"/>
  <c r="C594" i="4"/>
  <c r="C530" i="4"/>
  <c r="C466" i="4"/>
  <c r="C402" i="4"/>
  <c r="C696" i="4"/>
  <c r="C961" i="4"/>
  <c r="C897" i="4"/>
  <c r="C751" i="4"/>
  <c r="C687" i="4"/>
  <c r="C623" i="4"/>
  <c r="C559" i="4"/>
  <c r="C495" i="4"/>
  <c r="C960" i="4"/>
  <c r="C824" i="4"/>
  <c r="C760" i="4"/>
  <c r="C896" i="4"/>
  <c r="C856" i="4"/>
  <c r="C648" i="4"/>
  <c r="C584" i="4"/>
  <c r="C520" i="4"/>
  <c r="C456" i="4"/>
  <c r="C384" i="4"/>
  <c r="C320" i="4"/>
  <c r="C256" i="4"/>
  <c r="C149" i="4"/>
  <c r="C1003" i="4"/>
  <c r="C939" i="4"/>
  <c r="C875" i="4"/>
  <c r="C811" i="4"/>
  <c r="C974" i="4"/>
  <c r="C910" i="4"/>
  <c r="C846" i="4"/>
  <c r="C782" i="4"/>
  <c r="C718" i="4"/>
  <c r="C654" i="4"/>
  <c r="C590" i="4"/>
  <c r="C526" i="4"/>
  <c r="C462" i="4"/>
  <c r="C398" i="4"/>
  <c r="C684" i="4"/>
  <c r="C957" i="4"/>
  <c r="C893" i="4"/>
  <c r="C747" i="4"/>
  <c r="C683" i="4"/>
  <c r="C619" i="4"/>
  <c r="C555" i="4"/>
  <c r="C491" i="4"/>
  <c r="C427" i="4"/>
  <c r="C363" i="4"/>
  <c r="C299" i="4"/>
  <c r="C227" i="4"/>
  <c r="C53" i="4"/>
  <c r="C310" i="4"/>
  <c r="C246" i="4"/>
  <c r="C182" i="4"/>
  <c r="C197" i="4"/>
  <c r="C309" i="4"/>
  <c r="C373" i="4"/>
  <c r="C437" i="4"/>
  <c r="C501" i="4"/>
  <c r="C565" i="4"/>
  <c r="C629" i="4"/>
  <c r="C693" i="4"/>
  <c r="C757" i="4"/>
  <c r="C821" i="4"/>
  <c r="C89" i="4"/>
  <c r="C48" i="4"/>
  <c r="C186" i="4"/>
  <c r="C270" i="4"/>
  <c r="C80" i="4"/>
  <c r="C192" i="4"/>
  <c r="C134" i="4"/>
  <c r="C24" i="4"/>
  <c r="C162" i="4"/>
  <c r="C107" i="4"/>
  <c r="C68" i="4"/>
  <c r="C156" i="4"/>
  <c r="C196" i="4"/>
  <c r="C153" i="4"/>
  <c r="C39" i="4"/>
  <c r="C183" i="4"/>
  <c r="C43" i="4"/>
  <c r="C46" i="4"/>
  <c r="C229" i="4"/>
  <c r="C76" i="4"/>
  <c r="C257" i="4"/>
  <c r="C840" i="4"/>
  <c r="C944" i="4"/>
  <c r="C676" i="4"/>
  <c r="C580" i="4"/>
  <c r="C444" i="4"/>
  <c r="C332" i="4"/>
  <c r="C212" i="4"/>
  <c r="C967" i="4"/>
  <c r="C871" i="4"/>
  <c r="C986" i="4"/>
  <c r="C858" i="4"/>
  <c r="C746" i="4"/>
  <c r="C650" i="4"/>
  <c r="C522" i="4"/>
  <c r="C410" i="4"/>
  <c r="C985" i="4"/>
  <c r="C775" i="4"/>
  <c r="C679" i="4"/>
  <c r="C567" i="4"/>
  <c r="C936" i="4"/>
  <c r="C768" i="4"/>
  <c r="C952" i="4"/>
  <c r="C624" i="4"/>
  <c r="C512" i="4"/>
  <c r="C392" i="4"/>
  <c r="C264" i="4"/>
  <c r="C54" i="4"/>
  <c r="C931" i="4"/>
  <c r="C803" i="4"/>
  <c r="C918" i="4"/>
  <c r="C822" i="4"/>
  <c r="C710" i="4"/>
  <c r="C630" i="4"/>
  <c r="C550" i="4"/>
  <c r="C454" i="4"/>
  <c r="C374" i="4"/>
  <c r="C981" i="4"/>
  <c r="C885" i="4"/>
  <c r="C723" i="4"/>
  <c r="C643" i="4"/>
  <c r="C547" i="4"/>
  <c r="C467" i="4"/>
  <c r="C852" i="4"/>
  <c r="C748" i="4"/>
  <c r="C940" i="4"/>
  <c r="C668" i="4"/>
  <c r="C572" i="4"/>
  <c r="C492" i="4"/>
  <c r="C404" i="4"/>
  <c r="C308" i="4"/>
  <c r="C220" i="4"/>
  <c r="C17" i="4"/>
  <c r="C927" i="4"/>
  <c r="C847" i="4"/>
  <c r="C994" i="4"/>
  <c r="C898" i="4"/>
  <c r="C818" i="4"/>
  <c r="C738" i="4"/>
  <c r="C642" i="4"/>
  <c r="C562" i="4"/>
  <c r="C482" i="4"/>
  <c r="C386" i="4"/>
  <c r="C993" i="4"/>
  <c r="C913" i="4"/>
  <c r="C735" i="4"/>
  <c r="C655" i="4"/>
  <c r="C575" i="4"/>
  <c r="C479" i="4"/>
  <c r="C876" i="4"/>
  <c r="C776" i="4"/>
  <c r="C976" i="4"/>
  <c r="C680" i="4"/>
  <c r="C600" i="4"/>
  <c r="C504" i="4"/>
  <c r="C144" i="4"/>
  <c r="C113" i="4"/>
  <c r="C30" i="4"/>
  <c r="C169" i="4"/>
  <c r="C127" i="4"/>
  <c r="C112" i="4"/>
  <c r="C115" i="4"/>
  <c r="C148" i="4"/>
  <c r="C34" i="4"/>
  <c r="C109" i="4"/>
  <c r="C138" i="4"/>
  <c r="C38" i="4"/>
  <c r="C95" i="4"/>
  <c r="C145" i="4"/>
  <c r="C245" i="4"/>
  <c r="C51" i="4"/>
  <c r="C788" i="4"/>
  <c r="C732" i="4"/>
  <c r="C660" i="4"/>
  <c r="C532" i="4"/>
  <c r="C412" i="4"/>
  <c r="C316" i="4"/>
  <c r="C120" i="4"/>
  <c r="C951" i="4"/>
  <c r="C839" i="4"/>
  <c r="C938" i="4"/>
  <c r="C842" i="4"/>
  <c r="C730" i="4"/>
  <c r="C602" i="4"/>
  <c r="C490" i="4"/>
  <c r="C394" i="4"/>
  <c r="C953" i="4"/>
  <c r="C759" i="4"/>
  <c r="C647" i="4"/>
  <c r="C519" i="4"/>
  <c r="C888" i="4"/>
  <c r="C752" i="4"/>
  <c r="C832" i="4"/>
  <c r="C592" i="4"/>
  <c r="C496" i="4"/>
  <c r="C360" i="4"/>
  <c r="C248" i="4"/>
  <c r="C102" i="4"/>
  <c r="C883" i="4"/>
  <c r="C692" i="4"/>
  <c r="C902" i="4"/>
  <c r="C774" i="4"/>
  <c r="C694" i="4"/>
  <c r="C614" i="4"/>
  <c r="C518" i="4"/>
  <c r="C438" i="4"/>
  <c r="C358" i="4"/>
  <c r="C949" i="4"/>
  <c r="C787" i="4"/>
  <c r="C707" i="4"/>
  <c r="C611" i="4"/>
  <c r="C531" i="4"/>
  <c r="C451" i="4"/>
  <c r="C812" i="4"/>
  <c r="C720" i="4"/>
  <c r="C904" i="4"/>
  <c r="C636" i="4"/>
  <c r="C556" i="4"/>
  <c r="C476" i="4"/>
  <c r="C372" i="4"/>
  <c r="C292" i="4"/>
  <c r="C200" i="4"/>
  <c r="C991" i="4"/>
  <c r="C911" i="4"/>
  <c r="C831" i="4"/>
  <c r="C962" i="4"/>
  <c r="C882" i="4"/>
  <c r="C802" i="4"/>
  <c r="C706" i="4"/>
  <c r="C626" i="4"/>
  <c r="C546" i="4"/>
  <c r="C450" i="4"/>
  <c r="C370" i="4"/>
  <c r="C977" i="4"/>
  <c r="C881" i="4"/>
  <c r="C719" i="4"/>
  <c r="C639" i="4"/>
  <c r="C543" i="4"/>
  <c r="C463" i="4"/>
  <c r="C844" i="4"/>
  <c r="C28" i="4"/>
  <c r="C119" i="4"/>
  <c r="C111" i="4"/>
  <c r="C14" i="4"/>
  <c r="C86" i="4"/>
  <c r="C77" i="4"/>
  <c r="C81" i="4"/>
  <c r="C756" i="4"/>
  <c r="C596" i="4"/>
  <c r="C348" i="4"/>
  <c r="C123" i="4"/>
  <c r="C1002" i="4"/>
  <c r="C778" i="4"/>
  <c r="C554" i="4"/>
  <c r="C448" i="4"/>
  <c r="C695" i="4"/>
  <c r="C487" i="4"/>
  <c r="C1000" i="4"/>
  <c r="C528" i="4"/>
  <c r="C312" i="4"/>
  <c r="C947" i="4"/>
  <c r="C950" i="4"/>
  <c r="C742" i="4"/>
  <c r="C566" i="4"/>
  <c r="C390" i="4"/>
  <c r="C917" i="4"/>
  <c r="C659" i="4"/>
  <c r="C483" i="4"/>
  <c r="C780" i="4"/>
  <c r="C688" i="4"/>
  <c r="C508" i="4"/>
  <c r="C340" i="4"/>
  <c r="C42" i="4"/>
  <c r="C863" i="4"/>
  <c r="C930" i="4"/>
  <c r="C754" i="4"/>
  <c r="C578" i="4"/>
  <c r="C418" i="4"/>
  <c r="C929" i="4"/>
  <c r="C671" i="4"/>
  <c r="C511" i="4"/>
  <c r="C792" i="4"/>
  <c r="C928" i="4"/>
  <c r="C632" i="4"/>
  <c r="C536" i="4"/>
  <c r="C416" i="4"/>
  <c r="C336" i="4"/>
  <c r="C240" i="4"/>
  <c r="C33" i="4"/>
  <c r="C955" i="4"/>
  <c r="C859" i="4"/>
  <c r="C172" i="4"/>
  <c r="C926" i="4"/>
  <c r="C830" i="4"/>
  <c r="C750" i="4"/>
  <c r="C670" i="4"/>
  <c r="C574" i="4"/>
  <c r="C494" i="4"/>
  <c r="C414" i="4"/>
  <c r="C179" i="4"/>
  <c r="C925" i="4"/>
  <c r="C763" i="4"/>
  <c r="C667" i="4"/>
  <c r="C587" i="4"/>
  <c r="C507" i="4"/>
  <c r="C411" i="4"/>
  <c r="C331" i="4"/>
  <c r="C247" i="4"/>
  <c r="C16" i="4"/>
  <c r="C278" i="4"/>
  <c r="C198" i="4"/>
  <c r="C217" i="4"/>
  <c r="C341" i="4"/>
  <c r="C421" i="4"/>
  <c r="C517" i="4"/>
  <c r="C597" i="4"/>
  <c r="C677" i="4"/>
  <c r="C773" i="4"/>
  <c r="C853" i="4"/>
  <c r="C25" i="4"/>
  <c r="C206" i="4"/>
  <c r="C314" i="4"/>
  <c r="C152" i="4"/>
  <c r="C279" i="4"/>
  <c r="C367" i="4"/>
  <c r="C18" i="4"/>
  <c r="C225" i="4"/>
  <c r="C329" i="4"/>
  <c r="C393" i="4"/>
  <c r="C457" i="4"/>
  <c r="C521" i="4"/>
  <c r="C585" i="4"/>
  <c r="C649" i="4"/>
  <c r="C713" i="4"/>
  <c r="C777" i="4"/>
  <c r="C841" i="4"/>
  <c r="C121" i="4"/>
  <c r="C72" i="4"/>
  <c r="C210" i="4"/>
  <c r="C298" i="4"/>
  <c r="C65" i="4"/>
  <c r="C259" i="4"/>
  <c r="C351" i="4"/>
  <c r="C435" i="4"/>
  <c r="C205" i="4"/>
  <c r="C317" i="4"/>
  <c r="C381" i="4"/>
  <c r="C445" i="4"/>
  <c r="C509" i="4"/>
  <c r="C573" i="4"/>
  <c r="C637" i="4"/>
  <c r="C701" i="4"/>
  <c r="C765" i="4"/>
  <c r="C829" i="4"/>
  <c r="C99" i="4"/>
  <c r="C83" i="4"/>
  <c r="C218" i="4"/>
  <c r="C302" i="4"/>
  <c r="C73" i="4"/>
  <c r="C267" i="4"/>
  <c r="C355" i="4"/>
  <c r="C439" i="4"/>
  <c r="C213" i="4"/>
  <c r="C321" i="4"/>
  <c r="C385" i="4"/>
  <c r="C449" i="4"/>
  <c r="C513" i="4"/>
  <c r="C577" i="4"/>
  <c r="C641" i="4"/>
  <c r="C705" i="4"/>
  <c r="C769" i="4"/>
  <c r="C833" i="4"/>
  <c r="C105" i="4"/>
  <c r="C97" i="4"/>
  <c r="C222" i="4"/>
  <c r="C306" i="4"/>
  <c r="C136" i="4"/>
  <c r="C271" i="4"/>
  <c r="C359" i="4"/>
  <c r="C455" i="4"/>
  <c r="C23" i="4"/>
  <c r="C848" i="4"/>
  <c r="C252" i="4"/>
  <c r="C426" i="4"/>
  <c r="C800" i="4"/>
  <c r="C104" i="4"/>
  <c r="C486" i="4"/>
  <c r="C579" i="4"/>
  <c r="C604" i="4"/>
  <c r="C959" i="4"/>
  <c r="C674" i="4"/>
  <c r="C767" i="4"/>
  <c r="C568" i="4"/>
  <c r="C288" i="4"/>
  <c r="C907" i="4"/>
  <c r="C878" i="4"/>
  <c r="C622" i="4"/>
  <c r="C366" i="4"/>
  <c r="C715" i="4"/>
  <c r="C459" i="4"/>
  <c r="C171" i="4"/>
  <c r="C75" i="4"/>
  <c r="C469" i="4"/>
  <c r="C725" i="4"/>
  <c r="C108" i="4"/>
  <c r="C231" i="4"/>
  <c r="C175" i="4"/>
  <c r="C425" i="4"/>
  <c r="C31" i="4"/>
  <c r="C67" i="4"/>
  <c r="C110" i="4"/>
  <c r="C37" i="4"/>
  <c r="C160" i="4"/>
  <c r="C69" i="4"/>
  <c r="C118" i="4"/>
  <c r="C221" i="4"/>
  <c r="C948" i="4"/>
  <c r="C920" i="4"/>
  <c r="C516" i="4"/>
  <c r="C268" i="4"/>
  <c r="C935" i="4"/>
  <c r="C922" i="4"/>
  <c r="C682" i="4"/>
  <c r="C474" i="4"/>
  <c r="C921" i="4"/>
  <c r="C615" i="4"/>
  <c r="C836" i="4"/>
  <c r="C700" i="4"/>
  <c r="C440" i="4"/>
  <c r="C224" i="4"/>
  <c r="C867" i="4"/>
  <c r="C854" i="4"/>
  <c r="C678" i="4"/>
  <c r="C502" i="4"/>
  <c r="C161" i="4"/>
  <c r="C771" i="4"/>
  <c r="C595" i="4"/>
  <c r="C924" i="4"/>
  <c r="C968" i="4"/>
  <c r="C620" i="4"/>
  <c r="C436" i="4"/>
  <c r="C276" i="4"/>
  <c r="C975" i="4"/>
  <c r="C799" i="4"/>
  <c r="C866" i="4"/>
  <c r="C690" i="4"/>
  <c r="C514" i="4"/>
  <c r="C354" i="4"/>
  <c r="C783" i="4"/>
  <c r="C607" i="4"/>
  <c r="C447" i="4"/>
  <c r="C744" i="4"/>
  <c r="C892" i="4"/>
  <c r="C616" i="4"/>
  <c r="C488" i="4"/>
  <c r="C400" i="4"/>
  <c r="C304" i="4"/>
  <c r="C216" i="4"/>
  <c r="C133" i="4"/>
  <c r="C923" i="4"/>
  <c r="C843" i="4"/>
  <c r="C990" i="4"/>
  <c r="C894" i="4"/>
  <c r="C814" i="4"/>
  <c r="C734" i="4"/>
  <c r="C638" i="4"/>
  <c r="C558" i="4"/>
  <c r="C478" i="4"/>
  <c r="C382" i="4"/>
  <c r="C989" i="4"/>
  <c r="C909" i="4"/>
  <c r="C731" i="4"/>
  <c r="C651" i="4"/>
  <c r="C571" i="4"/>
  <c r="C475" i="4"/>
  <c r="C395" i="4"/>
  <c r="C315" i="4"/>
  <c r="C207" i="4"/>
  <c r="C342" i="4"/>
  <c r="C262" i="4"/>
  <c r="C151" i="4"/>
  <c r="C277" i="4"/>
  <c r="C357" i="4"/>
  <c r="C453" i="4"/>
  <c r="C533" i="4"/>
  <c r="C613" i="4"/>
  <c r="C709" i="4"/>
  <c r="C789" i="4"/>
  <c r="C869" i="4"/>
  <c r="C64" i="4"/>
  <c r="C226" i="4"/>
  <c r="C334" i="4"/>
  <c r="C203" i="4"/>
  <c r="C303" i="4"/>
  <c r="C387" i="4"/>
  <c r="C82" i="4"/>
  <c r="C281" i="4"/>
  <c r="C345" i="4"/>
  <c r="C409" i="4"/>
  <c r="C473" i="4"/>
  <c r="C537" i="4"/>
  <c r="C601" i="4"/>
  <c r="C665" i="4"/>
  <c r="C729" i="4"/>
  <c r="C793" i="4"/>
  <c r="C857" i="4"/>
  <c r="C132" i="4"/>
  <c r="C234" i="4"/>
  <c r="C318" i="4"/>
  <c r="C167" i="4"/>
  <c r="C287" i="4"/>
  <c r="C371" i="4"/>
  <c r="C59" i="4"/>
  <c r="C237" i="4"/>
  <c r="C333" i="4"/>
  <c r="C397" i="4"/>
  <c r="C461" i="4"/>
  <c r="C525" i="4"/>
  <c r="C589" i="4"/>
  <c r="C653" i="4"/>
  <c r="C717" i="4"/>
  <c r="C781" i="4"/>
  <c r="C845" i="4"/>
  <c r="C125" i="4"/>
  <c r="C139" i="4"/>
  <c r="C238" i="4"/>
  <c r="C322" i="4"/>
  <c r="C178" i="4"/>
  <c r="C291" i="4"/>
  <c r="C375" i="4"/>
  <c r="C71" i="4"/>
  <c r="C241" i="4"/>
  <c r="C337" i="4"/>
  <c r="C401" i="4"/>
  <c r="C465" i="4"/>
  <c r="C529" i="4"/>
  <c r="C593" i="4"/>
  <c r="C657" i="4"/>
  <c r="C721" i="4"/>
  <c r="C785" i="4"/>
  <c r="C849" i="4"/>
  <c r="C129" i="4"/>
  <c r="C143" i="4"/>
  <c r="C242" i="4"/>
  <c r="C330" i="4"/>
  <c r="C195" i="4"/>
  <c r="C295" i="4"/>
  <c r="C383" i="4"/>
  <c r="C100" i="4"/>
  <c r="C137" i="4"/>
  <c r="C906" i="4"/>
  <c r="C905" i="4"/>
  <c r="C656" i="4"/>
  <c r="C851" i="4"/>
  <c r="C646" i="4"/>
  <c r="C739" i="4"/>
  <c r="C988" i="4"/>
  <c r="C244" i="4"/>
  <c r="C834" i="4"/>
  <c r="C173" i="4"/>
  <c r="C912" i="4"/>
  <c r="C724" i="4"/>
  <c r="C368" i="4"/>
  <c r="C987" i="4"/>
  <c r="C958" i="4"/>
  <c r="C702" i="4"/>
  <c r="C446" i="4"/>
  <c r="C795" i="4"/>
  <c r="C539" i="4"/>
  <c r="C283" i="4"/>
  <c r="C230" i="4"/>
  <c r="C293" i="4"/>
  <c r="C549" i="4"/>
  <c r="C805" i="4"/>
  <c r="C250" i="4"/>
  <c r="C323" i="4"/>
  <c r="C297" i="4"/>
  <c r="A7" i="4"/>
  <c r="C7" i="4" s="1"/>
  <c r="C211" i="4"/>
  <c r="C96" i="4"/>
  <c r="C141" i="4"/>
  <c r="C94" i="4"/>
  <c r="C868" i="4"/>
  <c r="C484" i="4"/>
  <c r="C887" i="4"/>
  <c r="C666" i="4"/>
  <c r="C583" i="4"/>
  <c r="C424" i="4"/>
  <c r="C838" i="4"/>
  <c r="C997" i="4"/>
  <c r="C884" i="4"/>
  <c r="C420" i="4"/>
  <c r="C452" i="4"/>
  <c r="C498" i="4"/>
  <c r="C591" i="4"/>
  <c r="C176" i="4"/>
  <c r="C472" i="4"/>
  <c r="C188" i="4"/>
  <c r="C827" i="4"/>
  <c r="C798" i="4"/>
  <c r="C542" i="4"/>
  <c r="C973" i="4"/>
  <c r="C635" i="4"/>
  <c r="C379" i="4"/>
  <c r="C326" i="4"/>
  <c r="C389" i="4"/>
  <c r="C645" i="4"/>
  <c r="C116" i="4"/>
  <c r="C126" i="4"/>
  <c r="C407" i="4"/>
  <c r="C361" i="4"/>
  <c r="C339" i="4"/>
  <c r="C32" i="4"/>
  <c r="C625" i="4"/>
  <c r="C369" i="4"/>
  <c r="C335" i="4"/>
  <c r="C194" i="4"/>
  <c r="C621" i="4"/>
  <c r="C365" i="4"/>
  <c r="C327" i="4"/>
  <c r="C93" i="4"/>
  <c r="C633" i="4"/>
  <c r="C313" i="4"/>
  <c r="C159" i="4"/>
  <c r="C263" i="4"/>
  <c r="C716" i="4"/>
  <c r="C423" i="4"/>
  <c r="C251" i="4"/>
  <c r="C286" i="4"/>
  <c r="C60" i="4"/>
  <c r="C817" i="4"/>
  <c r="C689" i="4"/>
  <c r="C561" i="4"/>
  <c r="C433" i="4"/>
  <c r="C305" i="4"/>
  <c r="C419" i="4"/>
  <c r="C243" i="4"/>
  <c r="C282" i="4"/>
  <c r="C56" i="4"/>
  <c r="C813" i="4"/>
  <c r="C685" i="4"/>
  <c r="C557" i="4"/>
  <c r="C429" i="4"/>
  <c r="C301" i="4"/>
  <c r="C415" i="4"/>
  <c r="C239" i="4"/>
  <c r="C274" i="4"/>
  <c r="C52" i="4"/>
  <c r="C825" i="4"/>
  <c r="C697" i="4"/>
  <c r="C569" i="4"/>
  <c r="C441" i="4"/>
  <c r="C431" i="4"/>
  <c r="C290" i="4"/>
  <c r="C741" i="4"/>
  <c r="C405" i="4"/>
  <c r="C294" i="4"/>
  <c r="C443" i="4"/>
  <c r="C779" i="4"/>
  <c r="C510" i="4"/>
  <c r="C862" i="4"/>
  <c r="C971" i="4"/>
  <c r="C432" i="4"/>
  <c r="C808" i="4"/>
  <c r="C434" i="4"/>
  <c r="C895" i="4"/>
  <c r="C728" i="4"/>
  <c r="C933" i="4"/>
  <c r="C982" i="4"/>
  <c r="C932" i="4"/>
  <c r="C586" i="4"/>
  <c r="C396" i="4"/>
  <c r="C233" i="4"/>
  <c r="C191" i="4"/>
  <c r="J6" i="16" l="1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I6" i="16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N10" i="16"/>
  <c r="Q10" i="16" s="1"/>
  <c r="N11" i="16" l="1"/>
  <c r="Q11" i="16" s="1"/>
  <c r="N12" i="16" l="1"/>
  <c r="Q12" i="16" s="1"/>
  <c r="N13" i="16" l="1"/>
  <c r="Q13" i="16" s="1"/>
  <c r="N14" i="16" l="1"/>
  <c r="Q14" i="16" s="1"/>
  <c r="N15" i="16" l="1"/>
  <c r="Q15" i="16" s="1"/>
  <c r="N16" i="16" l="1"/>
  <c r="Q16" i="16" s="1"/>
  <c r="N17" i="16" l="1"/>
  <c r="Q17" i="16" s="1"/>
  <c r="N18" i="16" l="1"/>
  <c r="Q18" i="16" s="1"/>
  <c r="N19" i="16" l="1"/>
  <c r="Q19" i="16" s="1"/>
  <c r="N20" i="16" l="1"/>
  <c r="Q20" i="16" s="1"/>
  <c r="N21" i="16" l="1"/>
  <c r="Q21" i="16" s="1"/>
  <c r="N22" i="16" l="1"/>
  <c r="Q22" i="16" s="1"/>
  <c r="N23" i="16" l="1"/>
  <c r="Q23" i="16" s="1"/>
  <c r="N24" i="16" l="1"/>
  <c r="Q24" i="16" s="1"/>
  <c r="N25" i="16" l="1"/>
  <c r="Q25" i="16" s="1"/>
  <c r="N26" i="16" l="1"/>
  <c r="Q26" i="16" s="1"/>
  <c r="N27" i="16" l="1"/>
  <c r="Q27" i="16" s="1"/>
  <c r="N28" i="16" l="1"/>
  <c r="Q28" i="16" s="1"/>
  <c r="N29" i="16" l="1"/>
  <c r="Q29" i="16" s="1"/>
  <c r="N30" i="16" l="1"/>
  <c r="Q30" i="16" s="1"/>
  <c r="N31" i="16" l="1"/>
  <c r="Q31" i="16" s="1"/>
  <c r="N32" i="16" l="1"/>
  <c r="Q32" i="16" s="1"/>
  <c r="N33" i="16" l="1"/>
  <c r="Q33" i="16" s="1"/>
  <c r="N34" i="16" l="1"/>
  <c r="Q34" i="16" s="1"/>
  <c r="N35" i="16" l="1"/>
  <c r="Q35" i="16" s="1"/>
  <c r="N36" i="16" l="1"/>
  <c r="Q36" i="16" s="1"/>
  <c r="N37" i="16" l="1"/>
  <c r="Q37" i="16" s="1"/>
  <c r="N38" i="16" l="1"/>
  <c r="Q38" i="16" s="1"/>
  <c r="N39" i="16" l="1"/>
  <c r="Q39" i="16" s="1"/>
  <c r="N40" i="16" l="1"/>
  <c r="Q40" i="16" s="1"/>
  <c r="N41" i="16" l="1"/>
  <c r="Q41" i="16" s="1"/>
  <c r="N42" i="16" l="1"/>
  <c r="Q42" i="16" s="1"/>
  <c r="N43" i="16" l="1"/>
  <c r="Q43" i="16" s="1"/>
  <c r="N44" i="16" l="1"/>
  <c r="Q44" i="16" s="1"/>
  <c r="N45" i="16" l="1"/>
  <c r="Q45" i="16" s="1"/>
  <c r="N46" i="16" l="1"/>
  <c r="Q46" i="16" s="1"/>
  <c r="N47" i="16" l="1"/>
  <c r="Q47" i="16" s="1"/>
  <c r="N48" i="16" l="1"/>
  <c r="Q48" i="16" s="1"/>
  <c r="N49" i="16" l="1"/>
  <c r="Q49" i="16" s="1"/>
  <c r="N50" i="16" l="1"/>
  <c r="Q50" i="16" s="1"/>
  <c r="N51" i="16" l="1"/>
  <c r="Q51" i="16" s="1"/>
  <c r="N52" i="16" l="1"/>
  <c r="Q52" i="16" s="1"/>
  <c r="N53" i="16" l="1"/>
  <c r="Q53" i="16" s="1"/>
  <c r="N54" i="16" l="1"/>
  <c r="Q54" i="16" s="1"/>
  <c r="N55" i="16" l="1"/>
  <c r="Q55" i="16" s="1"/>
  <c r="N56" i="16" l="1"/>
  <c r="Q56" i="16" s="1"/>
  <c r="N57" i="16" l="1"/>
  <c r="Q57" i="16" s="1"/>
  <c r="N58" i="16" l="1"/>
  <c r="Q58" i="16" s="1"/>
  <c r="N59" i="16" l="1"/>
  <c r="Q59" i="16" s="1"/>
  <c r="N60" i="16" l="1"/>
  <c r="Q60" i="16" s="1"/>
  <c r="N61" i="16" l="1"/>
  <c r="Q61" i="16" s="1"/>
  <c r="N62" i="16" l="1"/>
  <c r="Q62" i="16" s="1"/>
  <c r="N63" i="16" l="1"/>
  <c r="Q63" i="16" s="1"/>
  <c r="N64" i="16" l="1"/>
  <c r="Q64" i="16" s="1"/>
  <c r="N65" i="16" l="1"/>
  <c r="Q65" i="16" s="1"/>
  <c r="N66" i="16" l="1"/>
  <c r="Q66" i="16" s="1"/>
  <c r="N67" i="16" l="1"/>
  <c r="Q67" i="16" s="1"/>
  <c r="N68" i="16" l="1"/>
  <c r="Q68" i="16" s="1"/>
  <c r="N69" i="16" l="1"/>
  <c r="Q69" i="16" s="1"/>
  <c r="N70" i="16" l="1"/>
  <c r="Q70" i="16" s="1"/>
  <c r="N71" i="16" l="1"/>
  <c r="Q71" i="16" s="1"/>
  <c r="N72" i="16" l="1"/>
  <c r="Q72" i="16" s="1"/>
  <c r="N73" i="16" l="1"/>
  <c r="Q73" i="16" s="1"/>
  <c r="N74" i="16" l="1"/>
  <c r="Q74" i="16" s="1"/>
  <c r="N75" i="16" l="1"/>
  <c r="Q75" i="16" s="1"/>
  <c r="N76" i="16" l="1"/>
  <c r="Q76" i="16" s="1"/>
  <c r="N77" i="16" l="1"/>
  <c r="Q77" i="16" s="1"/>
  <c r="N78" i="16" l="1"/>
  <c r="Q78" i="16" s="1"/>
  <c r="N79" i="16" l="1"/>
  <c r="Q79" i="16" s="1"/>
  <c r="N80" i="16" l="1"/>
  <c r="Q80" i="16" s="1"/>
  <c r="N81" i="16" l="1"/>
  <c r="Q81" i="16" s="1"/>
  <c r="N82" i="16" l="1"/>
  <c r="Q82" i="16" s="1"/>
  <c r="N83" i="16" l="1"/>
  <c r="Q83" i="16" s="1"/>
  <c r="N84" i="16" l="1"/>
  <c r="Q84" i="16" s="1"/>
  <c r="N85" i="16" l="1"/>
  <c r="Q85" i="16" s="1"/>
  <c r="N86" i="16" l="1"/>
  <c r="Q86" i="16" s="1"/>
  <c r="N87" i="16" l="1"/>
  <c r="Q87" i="16" s="1"/>
  <c r="N88" i="16" l="1"/>
  <c r="Q88" i="16" s="1"/>
  <c r="N89" i="16" l="1"/>
  <c r="Q89" i="16" s="1"/>
  <c r="N90" i="16" l="1"/>
  <c r="Q90" i="16" s="1"/>
  <c r="N91" i="16" l="1"/>
  <c r="Q91" i="16" s="1"/>
  <c r="N92" i="16" l="1"/>
  <c r="Q92" i="16" s="1"/>
  <c r="N93" i="16" l="1"/>
  <c r="Q93" i="16" s="1"/>
  <c r="N94" i="16" l="1"/>
  <c r="Q94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tc={22E646B5-4E1C-496F-8002-20C7AB261677}</author>
  </authors>
  <commentList>
    <comment ref="J19" authorId="0" shapeId="0" xr:uid="{22E646B5-4E1C-496F-8002-20C7AB261677}">
      <text>
        <t>[Threaded comment]
Your version of Excel allows you to read this threaded comment; however, any edits to it will get removed if the file is opened in a newer version of Excel. Learn more: https://go.microsoft.com/fwlink/?linkid=870924
Comment:
    1.758MT needs to be assigned to IGT 345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Bhatt Impex Pvt. Ltd</author>
  </authors>
  <commentList>
    <comment ref="Z259" authorId="0" shapeId="0" xr:uid="{D975A636-7B3E-4AA0-B8F6-B8F0CA6CAE66}">
      <text>
        <r>
          <rPr>
            <b/>
            <sz val="9"/>
            <color indexed="81"/>
            <rFont val="Tahoma"/>
            <family val="2"/>
          </rPr>
          <t>Bhatt Impex Pvt. Ltd: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tc={B807FC7F-9F9A-4240-B5EE-521CF7495681}</author>
    <author>tc={5747A406-4F32-4C80-9F86-5F5C0469ED07}</author>
  </authors>
  <commentList>
    <comment ref="J36" authorId="0" shapeId="0" xr:uid="{B807FC7F-9F9A-4240-B5EE-521CF7495681}">
      <text>
        <t>[Threaded comment]
Your version of Excel allows you to read this threaded comment; however, any edits to it will get removed if the file is opened in a newer version of Excel. Learn more: https://go.microsoft.com/fwlink/?linkid=870924
Comment:
    MUN-056 is having ----Kgs GM</t>
      </text>
    </comment>
    <comment ref="J37" authorId="1" shapeId="0" xr:uid="{5747A406-4F32-4C80-9F86-5F5C0469ED07}">
      <text>
        <t>[Threaded comment]
Your version of Excel allows you to read this threaded comment; however, any edits to it will get removed if the file is opened in a newer version of Excel. Learn more: https://go.microsoft.com/fwlink/?linkid=870924
Comment:
    MUN-056 is having ----KG GM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<sst xmlns="http://schemas.openxmlformats.org/spreadsheetml/2006/main" count="14389" uniqueCount="1312">
  <si>
    <t>Invoice#</t>
  </si>
  <si>
    <t>Advance Status</t>
  </si>
  <si>
    <t>Due Date</t>
  </si>
  <si>
    <t>Material ref.</t>
  </si>
  <si>
    <t>Party</t>
  </si>
  <si>
    <t>Amount</t>
  </si>
  <si>
    <t>Credited Amount</t>
  </si>
  <si>
    <t>Date</t>
  </si>
  <si>
    <t>PI sent?</t>
  </si>
  <si>
    <t>Agent?</t>
  </si>
  <si>
    <t>Formula Dragdown Nec.?</t>
  </si>
  <si>
    <t>Location of Advance Draft</t>
  </si>
  <si>
    <t>C:\Users\Sandeep-Bhatt\Desktop\Template Advance.xlsx</t>
  </si>
  <si>
    <t>GENERATE ADVANCE REPORTS</t>
  </si>
  <si>
    <t>SALE</t>
  </si>
  <si>
    <t>Yes</t>
  </si>
  <si>
    <t>PURCHASE</t>
  </si>
  <si>
    <t>HOLD</t>
  </si>
  <si>
    <t>No</t>
  </si>
  <si>
    <t>GENERATE ASK</t>
  </si>
  <si>
    <t>Days to Due Date?</t>
  </si>
  <si>
    <t>GENERATE SEND</t>
  </si>
  <si>
    <t>GENERATE DUE DATES</t>
  </si>
  <si>
    <t>Alert Type</t>
  </si>
  <si>
    <t>Alert Description</t>
  </si>
  <si>
    <t>Sheet</t>
  </si>
  <si>
    <t>New Material Details</t>
  </si>
  <si>
    <t>Document Workflow</t>
  </si>
  <si>
    <t>BI</t>
  </si>
  <si>
    <t/>
  </si>
  <si>
    <t>Last DOC WKFLOW Import</t>
  </si>
  <si>
    <t>Contract Number</t>
  </si>
  <si>
    <t>Booking?</t>
  </si>
  <si>
    <t xml:space="preserve">Material </t>
  </si>
  <si>
    <t>Qty Apprx</t>
  </si>
  <si>
    <t>Unit</t>
  </si>
  <si>
    <t>Price</t>
  </si>
  <si>
    <t>ETA</t>
  </si>
  <si>
    <t>Duty</t>
  </si>
  <si>
    <t>Booking Number</t>
  </si>
  <si>
    <t>Notes</t>
  </si>
  <si>
    <t>PI</t>
  </si>
  <si>
    <t>Arrived?</t>
  </si>
  <si>
    <t>yes</t>
  </si>
  <si>
    <t>KGs</t>
  </si>
  <si>
    <t>BI 21830</t>
  </si>
  <si>
    <t>BI 21869</t>
  </si>
  <si>
    <t>BI 21891</t>
  </si>
  <si>
    <t>BI 21218</t>
  </si>
  <si>
    <t>BI 21331</t>
  </si>
  <si>
    <t>BI 21333</t>
  </si>
  <si>
    <t>BI 21368</t>
  </si>
  <si>
    <t>BI 21385</t>
  </si>
  <si>
    <t>BI 21401</t>
  </si>
  <si>
    <t>BI 21404</t>
  </si>
  <si>
    <t>BI 21478</t>
  </si>
  <si>
    <t>BI 21497</t>
  </si>
  <si>
    <t>BI 21665</t>
  </si>
  <si>
    <t>BI 21693</t>
  </si>
  <si>
    <t>BI 21761</t>
  </si>
  <si>
    <t>BI 21811</t>
  </si>
  <si>
    <t>BI 21819</t>
  </si>
  <si>
    <t>IGT 1</t>
  </si>
  <si>
    <t>Perfect Metacraft LLP (vendor)</t>
  </si>
  <si>
    <t>BI 22781</t>
  </si>
  <si>
    <t>BI 22913</t>
  </si>
  <si>
    <t>BI 22923</t>
  </si>
  <si>
    <t>BI 22964</t>
  </si>
  <si>
    <t>BI 22999</t>
  </si>
  <si>
    <t>BI 22998</t>
  </si>
  <si>
    <t>BI 23020</t>
  </si>
  <si>
    <t>BI 23068</t>
  </si>
  <si>
    <t>no</t>
  </si>
  <si>
    <t>BI 23042</t>
  </si>
  <si>
    <t>BI 23074</t>
  </si>
  <si>
    <t>Containers/ Set name</t>
  </si>
  <si>
    <t>Booking No.</t>
  </si>
  <si>
    <t>Alerts</t>
  </si>
  <si>
    <t>Vendor Invoice + TF</t>
  </si>
  <si>
    <t>SIMS</t>
  </si>
  <si>
    <t>Checklist</t>
  </si>
  <si>
    <t>Fedex Send Date</t>
  </si>
  <si>
    <t>Fedex Receipt Date</t>
  </si>
  <si>
    <t>Fedex Alert</t>
  </si>
  <si>
    <t>TimeStamp &gt;</t>
  </si>
  <si>
    <t>Done</t>
  </si>
  <si>
    <t>S.O. #</t>
  </si>
  <si>
    <t>Customer</t>
  </si>
  <si>
    <t>FOB</t>
  </si>
  <si>
    <t>QTY Delivered</t>
  </si>
  <si>
    <t>Expected Delivery</t>
  </si>
  <si>
    <t>Override</t>
  </si>
  <si>
    <t>Alert</t>
  </si>
  <si>
    <t>SO Sent</t>
  </si>
  <si>
    <t>Data Alert</t>
  </si>
  <si>
    <t>QTY Booked</t>
  </si>
  <si>
    <t>Duty of QTY Booked</t>
  </si>
  <si>
    <t>PI Due Days</t>
  </si>
  <si>
    <t>QTY Assigned</t>
  </si>
  <si>
    <t>Assigned FROM</t>
  </si>
  <si>
    <t>Balance Left to be assigned</t>
  </si>
  <si>
    <t>006/19-20</t>
  </si>
  <si>
    <t>complete</t>
  </si>
  <si>
    <t>Cu</t>
  </si>
  <si>
    <t>360</t>
  </si>
  <si>
    <t>Arman Extrusion</t>
  </si>
  <si>
    <t>Jamnagar</t>
  </si>
  <si>
    <t>27-Dec-19</t>
  </si>
  <si>
    <t>Zn</t>
  </si>
  <si>
    <t>Perfect Auto Industries</t>
  </si>
  <si>
    <t>IGT 339</t>
  </si>
  <si>
    <t xml:space="preserve">Bhatt International Inc. </t>
  </si>
  <si>
    <t>MT</t>
  </si>
  <si>
    <t>IGT 453</t>
  </si>
  <si>
    <t>PickUp Number</t>
  </si>
  <si>
    <t>Sales Order Number</t>
  </si>
  <si>
    <t>Keywords to Remember</t>
  </si>
  <si>
    <t>ERD</t>
  </si>
  <si>
    <t>Shipping Company</t>
  </si>
  <si>
    <t>POD</t>
  </si>
  <si>
    <t>Final Destination</t>
  </si>
  <si>
    <t>Free days</t>
  </si>
  <si>
    <t>Qty</t>
  </si>
  <si>
    <t>Cut off Date</t>
  </si>
  <si>
    <t>Invoice</t>
  </si>
  <si>
    <t>Packing List</t>
  </si>
  <si>
    <t>E-Way Bill</t>
  </si>
  <si>
    <t>Approximate Transit Time</t>
  </si>
  <si>
    <t>Status</t>
  </si>
  <si>
    <t>Web Links ETA</t>
  </si>
  <si>
    <t>Last Updated</t>
  </si>
  <si>
    <t>Update Necessary</t>
  </si>
  <si>
    <t>Loading Weight</t>
  </si>
  <si>
    <t>Documents Alert</t>
  </si>
  <si>
    <t>Rate</t>
  </si>
  <si>
    <t>MUN-001</t>
  </si>
  <si>
    <t xml:space="preserve">Samay Transport </t>
  </si>
  <si>
    <t>NA</t>
  </si>
  <si>
    <t>Used</t>
  </si>
  <si>
    <t>Export Bookings</t>
  </si>
  <si>
    <t>MUN-002</t>
  </si>
  <si>
    <t>Export ETAs</t>
  </si>
  <si>
    <t>MUN-003</t>
  </si>
  <si>
    <t>MUN-004</t>
  </si>
  <si>
    <t>MUN-005</t>
  </si>
  <si>
    <t>MUN-006</t>
  </si>
  <si>
    <t>Process Edits</t>
  </si>
  <si>
    <t>MUN-007</t>
  </si>
  <si>
    <t>MUN-008</t>
  </si>
  <si>
    <t xml:space="preserve"> </t>
  </si>
  <si>
    <t>MUN-009</t>
  </si>
  <si>
    <t>MUN-010</t>
  </si>
  <si>
    <t>MUN-011</t>
  </si>
  <si>
    <t>MUN-012</t>
  </si>
  <si>
    <t>MUN-013</t>
  </si>
  <si>
    <t>MUN-014</t>
  </si>
  <si>
    <t>MUN-015</t>
  </si>
  <si>
    <t>Import</t>
  </si>
  <si>
    <t>MUN-016</t>
  </si>
  <si>
    <t>MUN-017</t>
  </si>
  <si>
    <t>MUN-018</t>
  </si>
  <si>
    <t>MUN-019</t>
  </si>
  <si>
    <t>MUN-020</t>
  </si>
  <si>
    <t>MUN-021</t>
  </si>
  <si>
    <t>MUN-022</t>
  </si>
  <si>
    <t>MUN-023</t>
  </si>
  <si>
    <t>MUN-024</t>
  </si>
  <si>
    <t>MUN-025</t>
  </si>
  <si>
    <t>MUN-026</t>
  </si>
  <si>
    <t>MUN-027</t>
  </si>
  <si>
    <t>MUN-028</t>
  </si>
  <si>
    <t>MUN-029</t>
  </si>
  <si>
    <t>MUN-030</t>
  </si>
  <si>
    <t>MUN-031</t>
  </si>
  <si>
    <t>MUN-032</t>
  </si>
  <si>
    <t>MUN-033</t>
  </si>
  <si>
    <t>MUN-034</t>
  </si>
  <si>
    <t>MUN-035</t>
  </si>
  <si>
    <t>MUN-036</t>
  </si>
  <si>
    <t>MUN-037</t>
  </si>
  <si>
    <t>MUN-038</t>
  </si>
  <si>
    <t>MUN-039</t>
  </si>
  <si>
    <t>MUN-040</t>
  </si>
  <si>
    <t>MUN-041</t>
  </si>
  <si>
    <t>MUN-042</t>
  </si>
  <si>
    <t>MUN-043</t>
  </si>
  <si>
    <t>MUN-044</t>
  </si>
  <si>
    <t>MUN-045</t>
  </si>
  <si>
    <t>MUN-046</t>
  </si>
  <si>
    <t>MUN-047</t>
  </si>
  <si>
    <t>MUN-048</t>
  </si>
  <si>
    <t>MUN-049</t>
  </si>
  <si>
    <t>MUN-050</t>
  </si>
  <si>
    <t>MUN-051</t>
  </si>
  <si>
    <t>MUN-052</t>
  </si>
  <si>
    <t>MUN-053</t>
  </si>
  <si>
    <t>MUN-054</t>
  </si>
  <si>
    <t>MUN-055</t>
  </si>
  <si>
    <t>MUN-056</t>
  </si>
  <si>
    <t>MUN-057</t>
  </si>
  <si>
    <t>MUN-058</t>
  </si>
  <si>
    <t>MUN-059</t>
  </si>
  <si>
    <t>MUN-060</t>
  </si>
  <si>
    <t>MUN-061</t>
  </si>
  <si>
    <t>MUN-062</t>
  </si>
  <si>
    <t>MUN-063</t>
  </si>
  <si>
    <t>MUN-064</t>
  </si>
  <si>
    <t>MUN-065</t>
  </si>
  <si>
    <t>MUN-066</t>
  </si>
  <si>
    <t>MUN-067</t>
  </si>
  <si>
    <t>MUN-068</t>
  </si>
  <si>
    <t>MUN-069</t>
  </si>
  <si>
    <t>MUN-070</t>
  </si>
  <si>
    <t>MUN-071</t>
  </si>
  <si>
    <t>MUN-072</t>
  </si>
  <si>
    <t>MUN-073</t>
  </si>
  <si>
    <t>MUN-074</t>
  </si>
  <si>
    <t>MUN-075</t>
  </si>
  <si>
    <t>MUN-076</t>
  </si>
  <si>
    <t>MUN-077</t>
  </si>
  <si>
    <t>MUN-078</t>
  </si>
  <si>
    <t>MUN-079</t>
  </si>
  <si>
    <t>MUN-080</t>
  </si>
  <si>
    <t>MUN-081</t>
  </si>
  <si>
    <t>MUN-082</t>
  </si>
  <si>
    <t>MUN-083</t>
  </si>
  <si>
    <t>MUN-084</t>
  </si>
  <si>
    <t>MUN-085</t>
  </si>
  <si>
    <t>MUN-086</t>
  </si>
  <si>
    <t>MUN-087</t>
  </si>
  <si>
    <t>MUN-088</t>
  </si>
  <si>
    <t>MUN-089</t>
  </si>
  <si>
    <t>MUN-090</t>
  </si>
  <si>
    <t>MUN-091</t>
  </si>
  <si>
    <t>MUN-092</t>
  </si>
  <si>
    <t>MUN-093</t>
  </si>
  <si>
    <t>MUN-094</t>
  </si>
  <si>
    <t>MUN-095</t>
  </si>
  <si>
    <t>MUN-096</t>
  </si>
  <si>
    <t>MUN-097</t>
  </si>
  <si>
    <t>MUN-098</t>
  </si>
  <si>
    <t>MUN-099</t>
  </si>
  <si>
    <t>MUN-100</t>
  </si>
  <si>
    <t>MUN-101</t>
  </si>
  <si>
    <t>MUN-102</t>
  </si>
  <si>
    <t>MUN-103</t>
  </si>
  <si>
    <t>MUN-104</t>
  </si>
  <si>
    <t>MUN-105</t>
  </si>
  <si>
    <t>MUN-106</t>
  </si>
  <si>
    <t>MUN-107</t>
  </si>
  <si>
    <t>MUN-108</t>
  </si>
  <si>
    <t>MUN-109</t>
  </si>
  <si>
    <t>MUN-110</t>
  </si>
  <si>
    <t>MUN-111</t>
  </si>
  <si>
    <t>MUN-112</t>
  </si>
  <si>
    <t>MUN-113</t>
  </si>
  <si>
    <t>MUN-114</t>
  </si>
  <si>
    <t>MUN-115</t>
  </si>
  <si>
    <t>MUN-116</t>
  </si>
  <si>
    <t>MUN-117</t>
  </si>
  <si>
    <t>MUN-118</t>
  </si>
  <si>
    <t>MUN-119</t>
  </si>
  <si>
    <t>MUN-120</t>
  </si>
  <si>
    <t>MUN-121</t>
  </si>
  <si>
    <t>MUN-122</t>
  </si>
  <si>
    <t>MUN-123</t>
  </si>
  <si>
    <t>MUN-124</t>
  </si>
  <si>
    <t>MUN-125</t>
  </si>
  <si>
    <t>MUN-126</t>
  </si>
  <si>
    <t>MUN-127</t>
  </si>
  <si>
    <t>MUN-128</t>
  </si>
  <si>
    <t>MUN-129</t>
  </si>
  <si>
    <t>MUN-130</t>
  </si>
  <si>
    <t>MUN-131</t>
  </si>
  <si>
    <t>MUN-132</t>
  </si>
  <si>
    <t>MUN-133</t>
  </si>
  <si>
    <t>MUN-134</t>
  </si>
  <si>
    <t>MUN-135</t>
  </si>
  <si>
    <t>MUN-136</t>
  </si>
  <si>
    <t>MUN-137</t>
  </si>
  <si>
    <t>MUN-138</t>
  </si>
  <si>
    <t>MUN-139</t>
  </si>
  <si>
    <t>MUN-140</t>
  </si>
  <si>
    <t>MUN-141</t>
  </si>
  <si>
    <t>MUN-142</t>
  </si>
  <si>
    <t>MUN-143</t>
  </si>
  <si>
    <t>MUN-144</t>
  </si>
  <si>
    <t>MUN-145</t>
  </si>
  <si>
    <t>MUN-146</t>
  </si>
  <si>
    <t>MUN-147</t>
  </si>
  <si>
    <t>MUN-148</t>
  </si>
  <si>
    <t>MUN-149</t>
  </si>
  <si>
    <t>MUN-150</t>
  </si>
  <si>
    <t>Ready Status</t>
  </si>
  <si>
    <t>Approvals Range</t>
  </si>
  <si>
    <t>Lbs</t>
  </si>
  <si>
    <t>Expected</t>
  </si>
  <si>
    <t>Arrived</t>
  </si>
  <si>
    <t>Ready Status 2</t>
  </si>
  <si>
    <t>Confirmation and Approvals</t>
  </si>
  <si>
    <t>Document Set</t>
  </si>
  <si>
    <t>India Office</t>
  </si>
  <si>
    <t>USA office</t>
  </si>
  <si>
    <t>Document Number</t>
  </si>
  <si>
    <t>Type</t>
  </si>
  <si>
    <t>Source File Path</t>
  </si>
  <si>
    <t>Destination File Path</t>
  </si>
  <si>
    <t>Approval List</t>
  </si>
  <si>
    <t>C:\Users\Rajendrasinh Rathod\OneDrive\Bhatt International Inc\BhattERP Ready to Implement\Approval List.xlsx</t>
  </si>
  <si>
    <t>Last Import</t>
  </si>
  <si>
    <t>Approved</t>
  </si>
  <si>
    <t>On Hold</t>
  </si>
  <si>
    <t>Select Contract</t>
  </si>
  <si>
    <t>Weight</t>
  </si>
  <si>
    <t>Percentage</t>
  </si>
  <si>
    <t>Item</t>
  </si>
  <si>
    <t>Item Heading</t>
  </si>
  <si>
    <t>Item Font</t>
  </si>
  <si>
    <t>Pl</t>
  </si>
  <si>
    <t>Total Sales</t>
  </si>
  <si>
    <t>Total Arrived</t>
  </si>
  <si>
    <t>Total Expected</t>
  </si>
  <si>
    <t>Net</t>
  </si>
  <si>
    <t>Adjustments:</t>
  </si>
  <si>
    <t>Metal Name</t>
  </si>
  <si>
    <t>Quantity (KGs)</t>
  </si>
  <si>
    <t>Note:</t>
  </si>
  <si>
    <t>Everything MUST have a tag!</t>
  </si>
  <si>
    <t>Formats</t>
  </si>
  <si>
    <t>Metal</t>
  </si>
  <si>
    <t>Subgroup</t>
  </si>
  <si>
    <t>Weight (KGs)</t>
  </si>
  <si>
    <t>Net (Unadjusted)</t>
  </si>
  <si>
    <t>Metal 1</t>
  </si>
  <si>
    <t>Metal 2</t>
  </si>
  <si>
    <t>Subgroup 1</t>
  </si>
  <si>
    <t>Subgroup 2</t>
  </si>
  <si>
    <t>Weight 1</t>
  </si>
  <si>
    <t>Weight 2</t>
  </si>
  <si>
    <t>Net - Unadjusted</t>
  </si>
  <si>
    <t>Master Ref # Database</t>
  </si>
  <si>
    <t>Vendors</t>
  </si>
  <si>
    <t>Buyers</t>
  </si>
  <si>
    <t>Central Contacts Database</t>
  </si>
  <si>
    <t>Material</t>
  </si>
  <si>
    <t>Material Code</t>
  </si>
  <si>
    <t>Material Tag</t>
  </si>
  <si>
    <t>Material Tags</t>
  </si>
  <si>
    <t>Copper</t>
  </si>
  <si>
    <t>Tag</t>
  </si>
  <si>
    <t>Select &gt;</t>
  </si>
  <si>
    <t>Starting Inventory</t>
  </si>
  <si>
    <t>Starting Duty</t>
  </si>
  <si>
    <t>Forecast Days</t>
  </si>
  <si>
    <t>Net Weight In</t>
  </si>
  <si>
    <t>Duty In</t>
  </si>
  <si>
    <t>Net Weight Out</t>
  </si>
  <si>
    <t>Duty Out</t>
  </si>
  <si>
    <t>Net Weight</t>
  </si>
  <si>
    <t xml:space="preserve">Net Duty </t>
  </si>
  <si>
    <t xml:space="preserve">Net </t>
  </si>
  <si>
    <t>Expected Deliveries</t>
  </si>
  <si>
    <t>Adjusted Net</t>
  </si>
  <si>
    <t>Batch ID #</t>
  </si>
  <si>
    <t>Metal Code</t>
  </si>
  <si>
    <t>Shipment Status</t>
  </si>
  <si>
    <t>IGT 3-28</t>
  </si>
  <si>
    <t>IGT 6-19</t>
  </si>
  <si>
    <t>Bin ID</t>
  </si>
  <si>
    <t>Shipped/Unshipped</t>
  </si>
  <si>
    <t>Unshipped</t>
  </si>
  <si>
    <t>Data Range</t>
  </si>
  <si>
    <t>BI 23117</t>
  </si>
  <si>
    <t>BI 23114</t>
  </si>
  <si>
    <t>BI 23130</t>
  </si>
  <si>
    <t>BI 23143</t>
  </si>
  <si>
    <t>BI 23126</t>
  </si>
  <si>
    <t>BI 23137</t>
  </si>
  <si>
    <t>BI 23138</t>
  </si>
  <si>
    <t>BI 23139</t>
  </si>
  <si>
    <t>BI 23183</t>
  </si>
  <si>
    <t>BI 23196</t>
  </si>
  <si>
    <t>BI 23226</t>
  </si>
  <si>
    <t>BI 23233</t>
  </si>
  <si>
    <t>BI 23204</t>
  </si>
  <si>
    <t>BI 23217</t>
  </si>
  <si>
    <t>BI 23230</t>
  </si>
  <si>
    <t>BI 23245</t>
  </si>
  <si>
    <t>BI 23158</t>
  </si>
  <si>
    <t>BI 23214</t>
  </si>
  <si>
    <t>BI 23250</t>
  </si>
  <si>
    <t>IGT 4</t>
  </si>
  <si>
    <t>IGT 5</t>
  </si>
  <si>
    <t>Sync</t>
  </si>
  <si>
    <t>Booking Management</t>
  </si>
  <si>
    <t>C:\Users\rsr\OneDrive - Bhatt International, Inc\Bhatt International Inc\Bhatt International Inc\BhattERP Ready to Implement\Docs Office India\Contacts\Central Contacts Database BhattERP.xlsm</t>
  </si>
  <si>
    <t>BI 23305</t>
  </si>
  <si>
    <t>BI 23247</t>
  </si>
  <si>
    <t>BI 23281</t>
  </si>
  <si>
    <t>BI 23313</t>
  </si>
  <si>
    <t>BI 23359</t>
  </si>
  <si>
    <t>BI 23373</t>
  </si>
  <si>
    <t>BI 23375</t>
  </si>
  <si>
    <t>BI 23386</t>
  </si>
  <si>
    <t>BI 23390</t>
  </si>
  <si>
    <t>BI 23392</t>
  </si>
  <si>
    <t>BI 23393</t>
  </si>
  <si>
    <t>BI 23398</t>
  </si>
  <si>
    <t>BI 23402</t>
  </si>
  <si>
    <t>3</t>
  </si>
  <si>
    <t>BI 23406</t>
  </si>
  <si>
    <t>BI 23409</t>
  </si>
  <si>
    <t>BI 23417</t>
  </si>
  <si>
    <t>Inventory</t>
  </si>
  <si>
    <t>MUN-151</t>
  </si>
  <si>
    <t>MUN-152</t>
  </si>
  <si>
    <t>MUN-153</t>
  </si>
  <si>
    <t>MUN-154</t>
  </si>
  <si>
    <t>MUN-155</t>
  </si>
  <si>
    <t>MUN-156</t>
  </si>
  <si>
    <t>MUN-157</t>
  </si>
  <si>
    <t>MUN-158</t>
  </si>
  <si>
    <t>MUN-159</t>
  </si>
  <si>
    <t>MUN-160</t>
  </si>
  <si>
    <t>MUN-161</t>
  </si>
  <si>
    <t>MUN-162</t>
  </si>
  <si>
    <t>MUN-163</t>
  </si>
  <si>
    <t>MUN-164</t>
  </si>
  <si>
    <t>MUN-165</t>
  </si>
  <si>
    <t>MUN-166</t>
  </si>
  <si>
    <t>MUN-167</t>
  </si>
  <si>
    <t>MUN-168</t>
  </si>
  <si>
    <t>MUN-169</t>
  </si>
  <si>
    <t>MUN-170</t>
  </si>
  <si>
    <t>MUN-171</t>
  </si>
  <si>
    <t>MUN-172</t>
  </si>
  <si>
    <t>MUN-173</t>
  </si>
  <si>
    <t>MUN-174</t>
  </si>
  <si>
    <t>MUN-175</t>
  </si>
  <si>
    <t>MUN-176</t>
  </si>
  <si>
    <t>MUN-177</t>
  </si>
  <si>
    <t>MUN-178</t>
  </si>
  <si>
    <t>MUN-179</t>
  </si>
  <si>
    <t>MUN-180</t>
  </si>
  <si>
    <t>MUN-181</t>
  </si>
  <si>
    <t>MUN-182</t>
  </si>
  <si>
    <t>MUN-183</t>
  </si>
  <si>
    <t>MUN-184</t>
  </si>
  <si>
    <t>MUN-185</t>
  </si>
  <si>
    <t>MUN-186</t>
  </si>
  <si>
    <t>MUN-187</t>
  </si>
  <si>
    <t>MUN-188</t>
  </si>
  <si>
    <t>MUN-189</t>
  </si>
  <si>
    <t>MUN-190</t>
  </si>
  <si>
    <t>MUN-191</t>
  </si>
  <si>
    <t>MUN-192</t>
  </si>
  <si>
    <t>MUN-193</t>
  </si>
  <si>
    <t>MUN-194</t>
  </si>
  <si>
    <t>MUN-195</t>
  </si>
  <si>
    <t>MUN-196</t>
  </si>
  <si>
    <t>MUN-197</t>
  </si>
  <si>
    <t>MUN-198</t>
  </si>
  <si>
    <t>MUN-199</t>
  </si>
  <si>
    <t>MUN-200</t>
  </si>
  <si>
    <t>IGT 485</t>
  </si>
  <si>
    <t>Sales Orders</t>
  </si>
  <si>
    <t>Data Sync</t>
  </si>
  <si>
    <t>No Export / Import Done for Docworkflow for over 2 days</t>
  </si>
  <si>
    <t>Hitendra</t>
  </si>
  <si>
    <t>Sync With Doc Workflow</t>
  </si>
  <si>
    <t>New Material Details - External</t>
  </si>
  <si>
    <t>No Import From Booking Module for 2 days or more</t>
  </si>
  <si>
    <t>Supplier</t>
  </si>
  <si>
    <t>ICD</t>
  </si>
  <si>
    <t>Booking ERD</t>
  </si>
  <si>
    <t>Timestamp</t>
  </si>
  <si>
    <t>Shipping Line</t>
  </si>
  <si>
    <t>PI Days</t>
  </si>
  <si>
    <t>BI 20811</t>
  </si>
  <si>
    <t>BI 20814</t>
  </si>
  <si>
    <t>BI 20817</t>
  </si>
  <si>
    <t>BI 20820</t>
  </si>
  <si>
    <t>BI 20823</t>
  </si>
  <si>
    <t>BI 20826</t>
  </si>
  <si>
    <t>BI 20829</t>
  </si>
  <si>
    <t>BI 20832</t>
  </si>
  <si>
    <t>BI 20835</t>
  </si>
  <si>
    <t>BI 20838</t>
  </si>
  <si>
    <t>BI 20841</t>
  </si>
  <si>
    <t>BI 20844</t>
  </si>
  <si>
    <t>BI 20847</t>
  </si>
  <si>
    <t>BI 20850</t>
  </si>
  <si>
    <t>BI 20853</t>
  </si>
  <si>
    <t>BI 20856</t>
  </si>
  <si>
    <t>BI 20859</t>
  </si>
  <si>
    <t>BI 20862</t>
  </si>
  <si>
    <t>BI 20865</t>
  </si>
  <si>
    <t>BI 20868</t>
  </si>
  <si>
    <t>BI 20871</t>
  </si>
  <si>
    <t>BI 20874</t>
  </si>
  <si>
    <t>BI 20877</t>
  </si>
  <si>
    <t>BI 20880</t>
  </si>
  <si>
    <t>BI 20883</t>
  </si>
  <si>
    <t>BI 20886</t>
  </si>
  <si>
    <t>BI 20889</t>
  </si>
  <si>
    <t>BI 20892</t>
  </si>
  <si>
    <t>BI 20895</t>
  </si>
  <si>
    <t>BI 20898</t>
  </si>
  <si>
    <t>BI 20901</t>
  </si>
  <si>
    <t>BI 20904</t>
  </si>
  <si>
    <t>BI 20907</t>
  </si>
  <si>
    <t>BI 20910</t>
  </si>
  <si>
    <t>BI 20913</t>
  </si>
  <si>
    <t>BI 20916</t>
  </si>
  <si>
    <t>BI 20919</t>
  </si>
  <si>
    <t>BI 20922</t>
  </si>
  <si>
    <t>BI 20925</t>
  </si>
  <si>
    <t>BI 20928</t>
  </si>
  <si>
    <t>BI 20931</t>
  </si>
  <si>
    <t>BI 20934</t>
  </si>
  <si>
    <t>BI 20937</t>
  </si>
  <si>
    <t>BI 20940</t>
  </si>
  <si>
    <t>BI 20943</t>
  </si>
  <si>
    <t>BI 20946</t>
  </si>
  <si>
    <t>BI 20949</t>
  </si>
  <si>
    <t>BI 20952</t>
  </si>
  <si>
    <t>BI 20955</t>
  </si>
  <si>
    <t>BI 20958</t>
  </si>
  <si>
    <t>BI 20961</t>
  </si>
  <si>
    <t>BI 20964</t>
  </si>
  <si>
    <t>BI 20967</t>
  </si>
  <si>
    <t>BI 20970</t>
  </si>
  <si>
    <t>BI 20973</t>
  </si>
  <si>
    <t>BI 20976</t>
  </si>
  <si>
    <t>BI 20979</t>
  </si>
  <si>
    <t>BI 20982</t>
  </si>
  <si>
    <t>BI 20985</t>
  </si>
  <si>
    <t>BI 20988</t>
  </si>
  <si>
    <t>BI 20991</t>
  </si>
  <si>
    <t>BI 20994</t>
  </si>
  <si>
    <t>BI 20997</t>
  </si>
  <si>
    <t>BI 21000</t>
  </si>
  <si>
    <t>BI 21003</t>
  </si>
  <si>
    <t>BI 21006</t>
  </si>
  <si>
    <t>BI 21009</t>
  </si>
  <si>
    <t>BI 21012</t>
  </si>
  <si>
    <t>BI 21015</t>
  </si>
  <si>
    <t>BI 21018</t>
  </si>
  <si>
    <t>BI 21021</t>
  </si>
  <si>
    <t>BI 21024</t>
  </si>
  <si>
    <t>BI 21027</t>
  </si>
  <si>
    <t>BI 21030</t>
  </si>
  <si>
    <t>BI 21033</t>
  </si>
  <si>
    <t>BI 21036</t>
  </si>
  <si>
    <t>BI 21039</t>
  </si>
  <si>
    <t>BI 21042</t>
  </si>
  <si>
    <t>BI 21045</t>
  </si>
  <si>
    <t>BI 21048</t>
  </si>
  <si>
    <t>BI 21051</t>
  </si>
  <si>
    <t>BI 21054</t>
  </si>
  <si>
    <t>BI 21057</t>
  </si>
  <si>
    <t>BI 21060</t>
  </si>
  <si>
    <t>BI 21063</t>
  </si>
  <si>
    <t>BI 21066</t>
  </si>
  <si>
    <t>BI 21069</t>
  </si>
  <si>
    <t>BI 21072</t>
  </si>
  <si>
    <t>BI 21075</t>
  </si>
  <si>
    <t>BI 21078</t>
  </si>
  <si>
    <t>BI 21081</t>
  </si>
  <si>
    <t>BI 21084</t>
  </si>
  <si>
    <t>BI 21087</t>
  </si>
  <si>
    <t>BI 21090</t>
  </si>
  <si>
    <t>BI 21093</t>
  </si>
  <si>
    <t>BI 21096</t>
  </si>
  <si>
    <t>BI 21099</t>
  </si>
  <si>
    <t>BI 21102</t>
  </si>
  <si>
    <t>BI 21105</t>
  </si>
  <si>
    <t>BI 21108</t>
  </si>
  <si>
    <t>BI 21111</t>
  </si>
  <si>
    <t>BI 21114</t>
  </si>
  <si>
    <t>BI 21117</t>
  </si>
  <si>
    <t>BI 21120</t>
  </si>
  <si>
    <t>BI 21123</t>
  </si>
  <si>
    <t>BI 21126</t>
  </si>
  <si>
    <t>BI 21129</t>
  </si>
  <si>
    <t>BI 21132</t>
  </si>
  <si>
    <t>BI 21135</t>
  </si>
  <si>
    <t>BI 21138</t>
  </si>
  <si>
    <t>BI 21141</t>
  </si>
  <si>
    <t>BI 21144</t>
  </si>
  <si>
    <t>BI 21147</t>
  </si>
  <si>
    <t>BI 21150</t>
  </si>
  <si>
    <t>BI 21153</t>
  </si>
  <si>
    <t>BI 21156</t>
  </si>
  <si>
    <t>BI 21159</t>
  </si>
  <si>
    <t>BI 21162</t>
  </si>
  <si>
    <t>BI 21165</t>
  </si>
  <si>
    <t>BI 21168</t>
  </si>
  <si>
    <t>BI 21171</t>
  </si>
  <si>
    <t>BI 21174</t>
  </si>
  <si>
    <t>BI 21177</t>
  </si>
  <si>
    <t>BI 21180</t>
  </si>
  <si>
    <t>BI 21183</t>
  </si>
  <si>
    <t>BI 21186</t>
  </si>
  <si>
    <t>BI 21189</t>
  </si>
  <si>
    <t>BI 21192</t>
  </si>
  <si>
    <t>BI 21195</t>
  </si>
  <si>
    <t>BI 21198</t>
  </si>
  <si>
    <t>BI 21201</t>
  </si>
  <si>
    <t>BI 21204</t>
  </si>
  <si>
    <t>BI 21207</t>
  </si>
  <si>
    <t>BI 21210</t>
  </si>
  <si>
    <t>BI 21213</t>
  </si>
  <si>
    <t>BI 21216</t>
  </si>
  <si>
    <t>BI 21219</t>
  </si>
  <si>
    <t>BI 21222</t>
  </si>
  <si>
    <t>BI 21225</t>
  </si>
  <si>
    <t>BI 21228</t>
  </si>
  <si>
    <t>BI 21231</t>
  </si>
  <si>
    <t>BI 21234</t>
  </si>
  <si>
    <t>BI 21237</t>
  </si>
  <si>
    <t>BI 21240</t>
  </si>
  <si>
    <t>BI 21243</t>
  </si>
  <si>
    <t>BI 21246</t>
  </si>
  <si>
    <t>BI 21249</t>
  </si>
  <si>
    <t>BI 21252</t>
  </si>
  <si>
    <t>BI 21255</t>
  </si>
  <si>
    <t>BI 21258</t>
  </si>
  <si>
    <t>BI 21261</t>
  </si>
  <si>
    <t>BI 21264</t>
  </si>
  <si>
    <t>BI 21267</t>
  </si>
  <si>
    <t>BI 21270</t>
  </si>
  <si>
    <t>BI 21273</t>
  </si>
  <si>
    <t>BI 21276</t>
  </si>
  <si>
    <t>BI 21279</t>
  </si>
  <si>
    <t>BI 21282</t>
  </si>
  <si>
    <t>BI 21285</t>
  </si>
  <si>
    <t>BI 21288</t>
  </si>
  <si>
    <t>BI 21291</t>
  </si>
  <si>
    <t>BI 21294</t>
  </si>
  <si>
    <t>BI 21297</t>
  </si>
  <si>
    <t>BI 21300</t>
  </si>
  <si>
    <t>BI 21303</t>
  </si>
  <si>
    <t>BI 21306</t>
  </si>
  <si>
    <t>BI 21309</t>
  </si>
  <si>
    <t>BI 21312</t>
  </si>
  <si>
    <t>BI 21315</t>
  </si>
  <si>
    <t>BI 21318</t>
  </si>
  <si>
    <t>BI 21321</t>
  </si>
  <si>
    <t>BI 21324</t>
  </si>
  <si>
    <t>BI 21327</t>
  </si>
  <si>
    <t>BI 21330</t>
  </si>
  <si>
    <t>BI 21336</t>
  </si>
  <si>
    <t>BI 21339</t>
  </si>
  <si>
    <t>BI 21342</t>
  </si>
  <si>
    <t>BI 21345</t>
  </si>
  <si>
    <t>BI 21348</t>
  </si>
  <si>
    <t>BI 21351</t>
  </si>
  <si>
    <t>BI 21354</t>
  </si>
  <si>
    <t>BI 21357</t>
  </si>
  <si>
    <t>BI 21360</t>
  </si>
  <si>
    <t>BI 21363</t>
  </si>
  <si>
    <t>BI 21366</t>
  </si>
  <si>
    <t>BI 21369</t>
  </si>
  <si>
    <t>BI 21372</t>
  </si>
  <si>
    <t>BI 21375</t>
  </si>
  <si>
    <t>BI 21378</t>
  </si>
  <si>
    <t>BI 21381</t>
  </si>
  <si>
    <t>BI 21384</t>
  </si>
  <si>
    <t>BI 21387</t>
  </si>
  <si>
    <t>BI 21390</t>
  </si>
  <si>
    <t>BI 21393</t>
  </si>
  <si>
    <t>BI 21396</t>
  </si>
  <si>
    <t>BI 21399</t>
  </si>
  <si>
    <t>BI 21402</t>
  </si>
  <si>
    <t>BI 21405</t>
  </si>
  <si>
    <t>BI 21408</t>
  </si>
  <si>
    <t>BI 21411</t>
  </si>
  <si>
    <t>BI 21414</t>
  </si>
  <si>
    <t>BI 21417</t>
  </si>
  <si>
    <t>BI 21420</t>
  </si>
  <si>
    <t>BI 21423</t>
  </si>
  <si>
    <t>BI 21426</t>
  </si>
  <si>
    <t>BI 21429</t>
  </si>
  <si>
    <t>BI 21432</t>
  </si>
  <si>
    <t>BI 21435</t>
  </si>
  <si>
    <t>BI 21438</t>
  </si>
  <si>
    <t>BI 21441</t>
  </si>
  <si>
    <t>BI 21444</t>
  </si>
  <si>
    <t>BI 21447</t>
  </si>
  <si>
    <t>BI 21450</t>
  </si>
  <si>
    <t>BI 21453</t>
  </si>
  <si>
    <t>BI 21456</t>
  </si>
  <si>
    <t>BI 21459</t>
  </si>
  <si>
    <t>BI 21462</t>
  </si>
  <si>
    <t>BI 21465</t>
  </si>
  <si>
    <t>BI 21468</t>
  </si>
  <si>
    <t>BI 21471</t>
  </si>
  <si>
    <t>BI 21474</t>
  </si>
  <si>
    <t>BI 21477</t>
  </si>
  <si>
    <t>BI 21480</t>
  </si>
  <si>
    <t>BI 21483</t>
  </si>
  <si>
    <t>BI 21486</t>
  </si>
  <si>
    <t>BI 21489</t>
  </si>
  <si>
    <t>BI 21492</t>
  </si>
  <si>
    <t>BI 21495</t>
  </si>
  <si>
    <t>BI 21498</t>
  </si>
  <si>
    <t>BI 21501</t>
  </si>
  <si>
    <t>BI 21504</t>
  </si>
  <si>
    <t>BI 21507</t>
  </si>
  <si>
    <t>BI 21510</t>
  </si>
  <si>
    <t>BI 21513</t>
  </si>
  <si>
    <t>BI 21516</t>
  </si>
  <si>
    <t>BI 21519</t>
  </si>
  <si>
    <t>BI 21522</t>
  </si>
  <si>
    <t>BI 21525</t>
  </si>
  <si>
    <t>BI 21528</t>
  </si>
  <si>
    <t>BI 21531</t>
  </si>
  <si>
    <t>BI 21534</t>
  </si>
  <si>
    <t>BI 21537</t>
  </si>
  <si>
    <t>BI 21540</t>
  </si>
  <si>
    <t>BI 21543</t>
  </si>
  <si>
    <t>BI 21546</t>
  </si>
  <si>
    <t>BI 21549</t>
  </si>
  <si>
    <t>BI 21552</t>
  </si>
  <si>
    <t>BI 21555</t>
  </si>
  <si>
    <t>BI 21558</t>
  </si>
  <si>
    <t>BI 21561</t>
  </si>
  <si>
    <t>BI 21564</t>
  </si>
  <si>
    <t>BI 21567</t>
  </si>
  <si>
    <t>BI 21570</t>
  </si>
  <si>
    <t>BI 21573</t>
  </si>
  <si>
    <t>BI 21576</t>
  </si>
  <si>
    <t>BI 21579</t>
  </si>
  <si>
    <t>BI 21582</t>
  </si>
  <si>
    <t>BI 21585</t>
  </si>
  <si>
    <t>BI 21588</t>
  </si>
  <si>
    <t>BI 21591</t>
  </si>
  <si>
    <t>BI 21594</t>
  </si>
  <si>
    <t>BI 21597</t>
  </si>
  <si>
    <t>BI 21600</t>
  </si>
  <si>
    <t>BI 21603</t>
  </si>
  <si>
    <t>BI 21606</t>
  </si>
  <si>
    <t>BI 21609</t>
  </si>
  <si>
    <t>BI 21612</t>
  </si>
  <si>
    <t>BI 21615</t>
  </si>
  <si>
    <t>BI 21618</t>
  </si>
  <si>
    <t>BI 21621</t>
  </si>
  <si>
    <t>BI 21624</t>
  </si>
  <si>
    <t>BI 21627</t>
  </si>
  <si>
    <t>BI 21630</t>
  </si>
  <si>
    <t>BI 21633</t>
  </si>
  <si>
    <t>BI 21636</t>
  </si>
  <si>
    <t>BI 21639</t>
  </si>
  <si>
    <t>BI 21642</t>
  </si>
  <si>
    <t>BI 21645</t>
  </si>
  <si>
    <t>BI 21648</t>
  </si>
  <si>
    <t>BI 21651</t>
  </si>
  <si>
    <t>BI 21654</t>
  </si>
  <si>
    <t>BI 21657</t>
  </si>
  <si>
    <t>BI 21660</t>
  </si>
  <si>
    <t>BI 21663</t>
  </si>
  <si>
    <t>BI 21666</t>
  </si>
  <si>
    <t>BI 21669</t>
  </si>
  <si>
    <t>BI 21672</t>
  </si>
  <si>
    <t>BI 21675</t>
  </si>
  <si>
    <t>BI 21678</t>
  </si>
  <si>
    <t>BI 21681</t>
  </si>
  <si>
    <t>BI 21684</t>
  </si>
  <si>
    <t>BI 21687</t>
  </si>
  <si>
    <t>BI 21690</t>
  </si>
  <si>
    <t>BI 21696</t>
  </si>
  <si>
    <t>BI 21699</t>
  </si>
  <si>
    <t>BI 21702</t>
  </si>
  <si>
    <t>BI 21705</t>
  </si>
  <si>
    <t>BI 21708</t>
  </si>
  <si>
    <t>BI 21711</t>
  </si>
  <si>
    <t>BI 21714</t>
  </si>
  <si>
    <t>BI 21717</t>
  </si>
  <si>
    <t>BI 21720</t>
  </si>
  <si>
    <t>BI 21723</t>
  </si>
  <si>
    <t>BI 21726</t>
  </si>
  <si>
    <t>BI 21729</t>
  </si>
  <si>
    <t>BI 21732</t>
  </si>
  <si>
    <t>BI 21735</t>
  </si>
  <si>
    <t>BI 21738</t>
  </si>
  <si>
    <t>BI 21741</t>
  </si>
  <si>
    <t>BI 21744</t>
  </si>
  <si>
    <t>BI 21747</t>
  </si>
  <si>
    <t>BI 21750</t>
  </si>
  <si>
    <t>BI 21753</t>
  </si>
  <si>
    <t>BI 21756</t>
  </si>
  <si>
    <t>BI 21759</t>
  </si>
  <si>
    <t>BI 21762</t>
  </si>
  <si>
    <t>BI 21765</t>
  </si>
  <si>
    <t>BI 21768</t>
  </si>
  <si>
    <t>BI 21771</t>
  </si>
  <si>
    <t>BI 21774</t>
  </si>
  <si>
    <t>BI 21777</t>
  </si>
  <si>
    <t>BI 21780</t>
  </si>
  <si>
    <t>BI 21783</t>
  </si>
  <si>
    <t>BI 21786</t>
  </si>
  <si>
    <t>BI 21789</t>
  </si>
  <si>
    <t>BI 21792</t>
  </si>
  <si>
    <t>BI 21795</t>
  </si>
  <si>
    <t>BI 21798</t>
  </si>
  <si>
    <t>BI 21801</t>
  </si>
  <si>
    <t>BI 21804</t>
  </si>
  <si>
    <t>BI 21807</t>
  </si>
  <si>
    <t>BI 21810</t>
  </si>
  <si>
    <t>BI 21813</t>
  </si>
  <si>
    <t>BI 21816</t>
  </si>
  <si>
    <t>BI 21822</t>
  </si>
  <si>
    <t>BI 21825</t>
  </si>
  <si>
    <t>BI 21828</t>
  </si>
  <si>
    <t>BI 21831</t>
  </si>
  <si>
    <t>BI 21834</t>
  </si>
  <si>
    <t>BI 21837</t>
  </si>
  <si>
    <t>BI 21840</t>
  </si>
  <si>
    <t>BI 21843</t>
  </si>
  <si>
    <t>BI 21846</t>
  </si>
  <si>
    <t>BI 21849</t>
  </si>
  <si>
    <t>BI 21852</t>
  </si>
  <si>
    <t>BI 21855</t>
  </si>
  <si>
    <t>BI 21858</t>
  </si>
  <si>
    <t>BI 21861</t>
  </si>
  <si>
    <t>BI 21864</t>
  </si>
  <si>
    <t>BI 21867</t>
  </si>
  <si>
    <t>BI 21870</t>
  </si>
  <si>
    <t>BI 21873</t>
  </si>
  <si>
    <t>BI 21876</t>
  </si>
  <si>
    <t>BI 21879</t>
  </si>
  <si>
    <t>BI 21882</t>
  </si>
  <si>
    <t>BI 21885</t>
  </si>
  <si>
    <t>BI 21888</t>
  </si>
  <si>
    <t>BI 21894</t>
  </si>
  <si>
    <t>BI 21897</t>
  </si>
  <si>
    <t>BI 21900</t>
  </si>
  <si>
    <t>BI 21903</t>
  </si>
  <si>
    <t>BI 21906</t>
  </si>
  <si>
    <t>BI 21909</t>
  </si>
  <si>
    <t>BI 21912</t>
  </si>
  <si>
    <t>BI 21915</t>
  </si>
  <si>
    <t>BI 21918</t>
  </si>
  <si>
    <t>BI 21921</t>
  </si>
  <si>
    <t>BI 21924</t>
  </si>
  <si>
    <t>BI 21927</t>
  </si>
  <si>
    <t>BI 21930</t>
  </si>
  <si>
    <t>BI 21933</t>
  </si>
  <si>
    <t>BI 21936</t>
  </si>
  <si>
    <t>BI 21939</t>
  </si>
  <si>
    <t>BI 21942</t>
  </si>
  <si>
    <t>BI 21945</t>
  </si>
  <si>
    <t>BI 21948</t>
  </si>
  <si>
    <t>BI 21951</t>
  </si>
  <si>
    <t>BI 21954</t>
  </si>
  <si>
    <t>BI 21957</t>
  </si>
  <si>
    <t>BI 21960</t>
  </si>
  <si>
    <t>BI 21963</t>
  </si>
  <si>
    <t>BI 21966</t>
  </si>
  <si>
    <t>BI 21969</t>
  </si>
  <si>
    <t>BI 21972</t>
  </si>
  <si>
    <t>BI 21975</t>
  </si>
  <si>
    <t>BI 21978</t>
  </si>
  <si>
    <t>BI 21981</t>
  </si>
  <si>
    <t>BI 21984</t>
  </si>
  <si>
    <t>BI 21987</t>
  </si>
  <si>
    <t>BI 21990</t>
  </si>
  <si>
    <t>BI 21993</t>
  </si>
  <si>
    <t>BI 21996</t>
  </si>
  <si>
    <t>BI 21999</t>
  </si>
  <si>
    <t>BI 22002</t>
  </si>
  <si>
    <t>BI 22005</t>
  </si>
  <si>
    <t>BI 22008</t>
  </si>
  <si>
    <t>BI 22011</t>
  </si>
  <si>
    <t>BI 22014</t>
  </si>
  <si>
    <t>BI 22017</t>
  </si>
  <si>
    <t>BI 22020</t>
  </si>
  <si>
    <t>BI 22023</t>
  </si>
  <si>
    <t>BI 22026</t>
  </si>
  <si>
    <t>BI 22029</t>
  </si>
  <si>
    <t>BI 22032</t>
  </si>
  <si>
    <t>BI 22035</t>
  </si>
  <si>
    <t>BI 22038</t>
  </si>
  <si>
    <t>BI 22041</t>
  </si>
  <si>
    <t>BI 22044</t>
  </si>
  <si>
    <t>BI 22047</t>
  </si>
  <si>
    <t>BI 22050</t>
  </si>
  <si>
    <t>BI 22053</t>
  </si>
  <si>
    <t>BI 22056</t>
  </si>
  <si>
    <t>BI 22059</t>
  </si>
  <si>
    <t>BI 22062</t>
  </si>
  <si>
    <t>BI 22065</t>
  </si>
  <si>
    <t>BI 22068</t>
  </si>
  <si>
    <t>BI 22071</t>
  </si>
  <si>
    <t>BI 22074</t>
  </si>
  <si>
    <t>BI 22077</t>
  </si>
  <si>
    <t>BI 22080</t>
  </si>
  <si>
    <t>BI 22083</t>
  </si>
  <si>
    <t>BI 22086</t>
  </si>
  <si>
    <t>BI 22089</t>
  </si>
  <si>
    <t>BI 22092</t>
  </si>
  <si>
    <t>BI 22095</t>
  </si>
  <si>
    <t>BI 22098</t>
  </si>
  <si>
    <t>BI 22101</t>
  </si>
  <si>
    <t>BI 22104</t>
  </si>
  <si>
    <t>BI 22107</t>
  </si>
  <si>
    <t>BI 22110</t>
  </si>
  <si>
    <t>BI 22113</t>
  </si>
  <si>
    <t>BI 22116</t>
  </si>
  <si>
    <t>BI 22119</t>
  </si>
  <si>
    <t>BI 22122</t>
  </si>
  <si>
    <t>BI 22125</t>
  </si>
  <si>
    <t>BI 22128</t>
  </si>
  <si>
    <t>BI 22131</t>
  </si>
  <si>
    <t>BI 22134</t>
  </si>
  <si>
    <t>BI 22137</t>
  </si>
  <si>
    <t>BI 22140</t>
  </si>
  <si>
    <t>BI 22143</t>
  </si>
  <si>
    <t>BI 22146</t>
  </si>
  <si>
    <t>BI 22149</t>
  </si>
  <si>
    <t>BI 22152</t>
  </si>
  <si>
    <t>BI 22155</t>
  </si>
  <si>
    <t>BI 22158</t>
  </si>
  <si>
    <t>BI 22161</t>
  </si>
  <si>
    <t>BI 22164</t>
  </si>
  <si>
    <t>BI 22167</t>
  </si>
  <si>
    <t>BI 22170</t>
  </si>
  <si>
    <t>BI 22173</t>
  </si>
  <si>
    <t>BI 22176</t>
  </si>
  <si>
    <t>BI 22179</t>
  </si>
  <si>
    <t>BI 22182</t>
  </si>
  <si>
    <t>BI 22185</t>
  </si>
  <si>
    <t>BI 22188</t>
  </si>
  <si>
    <t>BI 22191</t>
  </si>
  <si>
    <t>BI 22194</t>
  </si>
  <si>
    <t>BI 22197</t>
  </si>
  <si>
    <t>BI 22200</t>
  </si>
  <si>
    <t>BI 22203</t>
  </si>
  <si>
    <t>BI 22206</t>
  </si>
  <si>
    <t>BI 22209</t>
  </si>
  <si>
    <t>BI 22212</t>
  </si>
  <si>
    <t>BI 22215</t>
  </si>
  <si>
    <t>BI 22218</t>
  </si>
  <si>
    <t>BI 22221</t>
  </si>
  <si>
    <t>BI 22224</t>
  </si>
  <si>
    <t>BI 22227</t>
  </si>
  <si>
    <t>BI 22230</t>
  </si>
  <si>
    <t>BI 22233</t>
  </si>
  <si>
    <t>BI 22236</t>
  </si>
  <si>
    <t>BI 22239</t>
  </si>
  <si>
    <t>BI 22242</t>
  </si>
  <si>
    <t>BI 22245</t>
  </si>
  <si>
    <t>BI 22248</t>
  </si>
  <si>
    <t>BI 22251</t>
  </si>
  <si>
    <t>BI 22254</t>
  </si>
  <si>
    <t>BI 22257</t>
  </si>
  <si>
    <t>BI 22260</t>
  </si>
  <si>
    <t>BI 22263</t>
  </si>
  <si>
    <t>BI 22266</t>
  </si>
  <si>
    <t>BI 22269</t>
  </si>
  <si>
    <t>BI 22272</t>
  </si>
  <si>
    <t>BI 22275</t>
  </si>
  <si>
    <t>BI 22278</t>
  </si>
  <si>
    <t>BI 22281</t>
  </si>
  <si>
    <t>BI 22284</t>
  </si>
  <si>
    <t>BI 22287</t>
  </si>
  <si>
    <t>BI 22290</t>
  </si>
  <si>
    <t>BI 22293</t>
  </si>
  <si>
    <t>BI 22296</t>
  </si>
  <si>
    <t>BI 22299</t>
  </si>
  <si>
    <t>BI 22302</t>
  </si>
  <si>
    <t>BI 22305</t>
  </si>
  <si>
    <t>BI 22308</t>
  </si>
  <si>
    <t>BI 22311</t>
  </si>
  <si>
    <t>BI 22314</t>
  </si>
  <si>
    <t>BI 22317</t>
  </si>
  <si>
    <t>BI 22320</t>
  </si>
  <si>
    <t>BI 22323</t>
  </si>
  <si>
    <t>BI 22326</t>
  </si>
  <si>
    <t>BI 22329</t>
  </si>
  <si>
    <t>BI 22332</t>
  </si>
  <si>
    <t>BI 22335</t>
  </si>
  <si>
    <t>BI 22338</t>
  </si>
  <si>
    <t>BI 22341</t>
  </si>
  <si>
    <t>BI 22344</t>
  </si>
  <si>
    <t>BI 22347</t>
  </si>
  <si>
    <t>BI 22350</t>
  </si>
  <si>
    <t>BI 22353</t>
  </si>
  <si>
    <t>BI 22356</t>
  </si>
  <si>
    <t>BI 22359</t>
  </si>
  <si>
    <t>BI 22362</t>
  </si>
  <si>
    <t>BI 22365</t>
  </si>
  <si>
    <t>BI 22368</t>
  </si>
  <si>
    <t>BI 22371</t>
  </si>
  <si>
    <t>BI 22374</t>
  </si>
  <si>
    <t>BI 22377</t>
  </si>
  <si>
    <t>BI 22380</t>
  </si>
  <si>
    <t>BI 22383</t>
  </si>
  <si>
    <t>BI 22386</t>
  </si>
  <si>
    <t>BI 22389</t>
  </si>
  <si>
    <t>BI 22392</t>
  </si>
  <si>
    <t>BI 22395</t>
  </si>
  <si>
    <t>BI 22398</t>
  </si>
  <si>
    <t>BI 22401</t>
  </si>
  <si>
    <t>BI 22404</t>
  </si>
  <si>
    <t>BI 22407</t>
  </si>
  <si>
    <t>BI 22410</t>
  </si>
  <si>
    <t>BI 22413</t>
  </si>
  <si>
    <t>BI 22416</t>
  </si>
  <si>
    <t>BI 22419</t>
  </si>
  <si>
    <t>BI 22422</t>
  </si>
  <si>
    <t>BI 22425</t>
  </si>
  <si>
    <t>BI 22428</t>
  </si>
  <si>
    <t>BI 22431</t>
  </si>
  <si>
    <t>BI 22434</t>
  </si>
  <si>
    <t>BI 22437</t>
  </si>
  <si>
    <t>BI 22440</t>
  </si>
  <si>
    <t>BI 22443</t>
  </si>
  <si>
    <t>BI 22446</t>
  </si>
  <si>
    <t>BI 22449</t>
  </si>
  <si>
    <t>BI 22452</t>
  </si>
  <si>
    <t>BI 22455</t>
  </si>
  <si>
    <t>BI 22458</t>
  </si>
  <si>
    <t>BI 22461</t>
  </si>
  <si>
    <t>BI 22464</t>
  </si>
  <si>
    <t>BI 22467</t>
  </si>
  <si>
    <t>BI 22470</t>
  </si>
  <si>
    <t>BI 22473</t>
  </si>
  <si>
    <t>BI 22476</t>
  </si>
  <si>
    <t>BI 22479</t>
  </si>
  <si>
    <t>BI 22482</t>
  </si>
  <si>
    <t>BI 22485</t>
  </si>
  <si>
    <t>BI 22488</t>
  </si>
  <si>
    <t>BI 22491</t>
  </si>
  <si>
    <t>BI 22494</t>
  </si>
  <si>
    <t>BI 22497</t>
  </si>
  <si>
    <t>BI 22500</t>
  </si>
  <si>
    <t>BI 22503</t>
  </si>
  <si>
    <t>BI 22506</t>
  </si>
  <si>
    <t>BI 22509</t>
  </si>
  <si>
    <t>BI 22512</t>
  </si>
  <si>
    <t>BI 22515</t>
  </si>
  <si>
    <t>BI 22518</t>
  </si>
  <si>
    <t>BI 22521</t>
  </si>
  <si>
    <t>BI 22524</t>
  </si>
  <si>
    <t>BI 22527</t>
  </si>
  <si>
    <t>BI 22530</t>
  </si>
  <si>
    <t>BI 22533</t>
  </si>
  <si>
    <t>BI 22536</t>
  </si>
  <si>
    <t>BI 22539</t>
  </si>
  <si>
    <t>BI 22542</t>
  </si>
  <si>
    <t>BI 22545</t>
  </si>
  <si>
    <t>BI 22548</t>
  </si>
  <si>
    <t>BI 22551</t>
  </si>
  <si>
    <t>BI 22554</t>
  </si>
  <si>
    <t>BI 22557</t>
  </si>
  <si>
    <t>BI 22560</t>
  </si>
  <si>
    <t>BI 22563</t>
  </si>
  <si>
    <t>BI 22566</t>
  </si>
  <si>
    <t>BI 22569</t>
  </si>
  <si>
    <t>BI 22572</t>
  </si>
  <si>
    <t>BI 22575</t>
  </si>
  <si>
    <t>BI 22578</t>
  </si>
  <si>
    <t>BI 22581</t>
  </si>
  <si>
    <t>BI 22584</t>
  </si>
  <si>
    <t>BI 22587</t>
  </si>
  <si>
    <t>BI 22590</t>
  </si>
  <si>
    <t>BI 22593</t>
  </si>
  <si>
    <t>BI 22596</t>
  </si>
  <si>
    <t>BI 22599</t>
  </si>
  <si>
    <t>BI 22602</t>
  </si>
  <si>
    <t>BI 22605</t>
  </si>
  <si>
    <t>BI 22608</t>
  </si>
  <si>
    <t>BI 22611</t>
  </si>
  <si>
    <t>BI 22614</t>
  </si>
  <si>
    <t>BI 22617</t>
  </si>
  <si>
    <t>BI 22620</t>
  </si>
  <si>
    <t>BI 22623</t>
  </si>
  <si>
    <t>BI 22626</t>
  </si>
  <si>
    <t>BI 22629</t>
  </si>
  <si>
    <t>BI 22632</t>
  </si>
  <si>
    <t>BI 22635</t>
  </si>
  <si>
    <t>BI 22638</t>
  </si>
  <si>
    <t>BI 22641</t>
  </si>
  <si>
    <t>BI 22644</t>
  </si>
  <si>
    <t>BI 22647</t>
  </si>
  <si>
    <t>BI 22650</t>
  </si>
  <si>
    <t>BI 22653</t>
  </si>
  <si>
    <t>BI 22656</t>
  </si>
  <si>
    <t>BI 22659</t>
  </si>
  <si>
    <t>BI 22662</t>
  </si>
  <si>
    <t>BI 22665</t>
  </si>
  <si>
    <t>BI 22668</t>
  </si>
  <si>
    <t>BI 22671</t>
  </si>
  <si>
    <t>BI 22674</t>
  </si>
  <si>
    <t>BI 22677</t>
  </si>
  <si>
    <t>BI 22680</t>
  </si>
  <si>
    <t>BI 22683</t>
  </si>
  <si>
    <t>BI 22686</t>
  </si>
  <si>
    <t>BI 22689</t>
  </si>
  <si>
    <t>BI 22692</t>
  </si>
  <si>
    <t>BI 22695</t>
  </si>
  <si>
    <t>BI 22698</t>
  </si>
  <si>
    <t>BI 22701</t>
  </si>
  <si>
    <t>BI 22704</t>
  </si>
  <si>
    <t>BI 22707</t>
  </si>
  <si>
    <t>BI 22710</t>
  </si>
  <si>
    <t>BI 22713</t>
  </si>
  <si>
    <t>BI 22716</t>
  </si>
  <si>
    <t>BI 22719</t>
  </si>
  <si>
    <t>BI 22722</t>
  </si>
  <si>
    <t>BI 22725</t>
  </si>
  <si>
    <t>BI 22728</t>
  </si>
  <si>
    <t>BI 22731</t>
  </si>
  <si>
    <t>BI 22734</t>
  </si>
  <si>
    <t>BI 22737</t>
  </si>
  <si>
    <t>BI 22740</t>
  </si>
  <si>
    <t>BI 22743</t>
  </si>
  <si>
    <t>BI 22746</t>
  </si>
  <si>
    <t>BI 22749</t>
  </si>
  <si>
    <t>BI 22752</t>
  </si>
  <si>
    <t>BI 22755</t>
  </si>
  <si>
    <t>BI 22758</t>
  </si>
  <si>
    <t>BI 22761</t>
  </si>
  <si>
    <t>BI 22764</t>
  </si>
  <si>
    <t>BI 22767</t>
  </si>
  <si>
    <t>BI 22770</t>
  </si>
  <si>
    <t>BI 22773</t>
  </si>
  <si>
    <t>BI 22776</t>
  </si>
  <si>
    <t>BI 22779</t>
  </si>
  <si>
    <t>BI 22782</t>
  </si>
  <si>
    <t>BI 22785</t>
  </si>
  <si>
    <t>BI 22788</t>
  </si>
  <si>
    <t>BI 22791</t>
  </si>
  <si>
    <t>BI 22794</t>
  </si>
  <si>
    <t>BI 22797</t>
  </si>
  <si>
    <t>BI 22800</t>
  </si>
  <si>
    <t>BI 22803</t>
  </si>
  <si>
    <t>BI 22806</t>
  </si>
  <si>
    <t>BI 22809</t>
  </si>
  <si>
    <t>BI 22812</t>
  </si>
  <si>
    <t>BI 22815</t>
  </si>
  <si>
    <t>BI 22818</t>
  </si>
  <si>
    <t>BI 22821</t>
  </si>
  <si>
    <t>BI 22824</t>
  </si>
  <si>
    <t>BI 22827</t>
  </si>
  <si>
    <t>BI 22830</t>
  </si>
  <si>
    <t>BI 22833</t>
  </si>
  <si>
    <t>BI 22836</t>
  </si>
  <si>
    <t>BI 22839</t>
  </si>
  <si>
    <t>BI 22842</t>
  </si>
  <si>
    <t>BI 22845</t>
  </si>
  <si>
    <t>BI 22848</t>
  </si>
  <si>
    <t>BI 22851</t>
  </si>
  <si>
    <t>BI 22854</t>
  </si>
  <si>
    <t>BI 22857</t>
  </si>
  <si>
    <t>BI 22860</t>
  </si>
  <si>
    <t>BI 22863</t>
  </si>
  <si>
    <t>BI 22866</t>
  </si>
  <si>
    <t>BI 22869</t>
  </si>
  <si>
    <t>BI 22872</t>
  </si>
  <si>
    <t>BI 22875</t>
  </si>
  <si>
    <t>BI 22878</t>
  </si>
  <si>
    <t>BI 22881</t>
  </si>
  <si>
    <t>BI 22884</t>
  </si>
  <si>
    <t>BI 22887</t>
  </si>
  <si>
    <t>BI 22890</t>
  </si>
  <si>
    <t>BI 22893</t>
  </si>
  <si>
    <t>BI 22896</t>
  </si>
  <si>
    <t>BI 22899</t>
  </si>
  <si>
    <t>BI 22902</t>
  </si>
  <si>
    <t>BI 22905</t>
  </si>
  <si>
    <t>BI 22908</t>
  </si>
  <si>
    <t>BI 22911</t>
  </si>
  <si>
    <t>BI 22914</t>
  </si>
  <si>
    <t>BI 22917</t>
  </si>
  <si>
    <t>BI 22920</t>
  </si>
  <si>
    <t>BI 22926</t>
  </si>
  <si>
    <t>BI 22929</t>
  </si>
  <si>
    <t>BI 22932</t>
  </si>
  <si>
    <t>BI 22935</t>
  </si>
  <si>
    <t>BI 22938</t>
  </si>
  <si>
    <t>BI 22941</t>
  </si>
  <si>
    <t>BI 22944</t>
  </si>
  <si>
    <t>BI 22947</t>
  </si>
  <si>
    <t>BI 22950</t>
  </si>
  <si>
    <t>BI 22953</t>
  </si>
  <si>
    <t>BI 22956</t>
  </si>
  <si>
    <t>BI 22959</t>
  </si>
  <si>
    <t>BI 22962</t>
  </si>
  <si>
    <t>BI 22965</t>
  </si>
  <si>
    <t>BI 22968</t>
  </si>
  <si>
    <t>BI 22971</t>
  </si>
  <si>
    <t>BI 22974</t>
  </si>
  <si>
    <t>BI 22977</t>
  </si>
  <si>
    <t>BI 22980</t>
  </si>
  <si>
    <t>BI 22983</t>
  </si>
  <si>
    <t>BI 22986</t>
  </si>
  <si>
    <t>BI 22989</t>
  </si>
  <si>
    <t>BI 22992</t>
  </si>
  <si>
    <t>BI 22995</t>
  </si>
  <si>
    <t>BI 23001</t>
  </si>
  <si>
    <t>BI 23004</t>
  </si>
  <si>
    <t>BI 23007</t>
  </si>
  <si>
    <t>BI 23010</t>
  </si>
  <si>
    <t>BI 23013</t>
  </si>
  <si>
    <t>BI 23016</t>
  </si>
  <si>
    <t>BI 23019</t>
  </si>
  <si>
    <t>BI 23022</t>
  </si>
  <si>
    <t>BI 23025</t>
  </si>
  <si>
    <t>BI 23028</t>
  </si>
  <si>
    <t>BI 23031</t>
  </si>
  <si>
    <t>BI 23034</t>
  </si>
  <si>
    <t>BI 23037</t>
  </si>
  <si>
    <t>BI 23040</t>
  </si>
  <si>
    <t>BI 23043</t>
  </si>
  <si>
    <t>BI 23046</t>
  </si>
  <si>
    <t>BI 23049</t>
  </si>
  <si>
    <t>BI 23052</t>
  </si>
  <si>
    <t>BI 23055</t>
  </si>
  <si>
    <t>BI 23058</t>
  </si>
  <si>
    <t>BI 23061</t>
  </si>
  <si>
    <t>BI 23064</t>
  </si>
  <si>
    <t>BI 23067</t>
  </si>
  <si>
    <t>BI 23070</t>
  </si>
  <si>
    <t>BI 23073</t>
  </si>
  <si>
    <t>BI 23076</t>
  </si>
  <si>
    <t>BI 23079</t>
  </si>
  <si>
    <t>BI 23082</t>
  </si>
  <si>
    <t>BI 23085</t>
  </si>
  <si>
    <t>BI 23088</t>
  </si>
  <si>
    <t>BI 23091</t>
  </si>
  <si>
    <t>BI 23094</t>
  </si>
  <si>
    <t>BI 23097</t>
  </si>
  <si>
    <t>BI 23100</t>
  </si>
  <si>
    <t>BI 23103</t>
  </si>
  <si>
    <t>BI 23106</t>
  </si>
  <si>
    <t>BI 23109</t>
  </si>
  <si>
    <t>BI 23112</t>
  </si>
  <si>
    <t>BI 23115</t>
  </si>
  <si>
    <t>BI 23118</t>
  </si>
  <si>
    <t>BI 23121</t>
  </si>
  <si>
    <t>BI 23124</t>
  </si>
  <si>
    <t>BI 23127</t>
  </si>
  <si>
    <t>BI 23133</t>
  </si>
  <si>
    <t>BI 23136</t>
  </si>
  <si>
    <t>BI 23142</t>
  </si>
  <si>
    <t>BI 23145</t>
  </si>
  <si>
    <t>BI 23148</t>
  </si>
  <si>
    <t>BI 23151</t>
  </si>
  <si>
    <t>BI 23154</t>
  </si>
  <si>
    <t>BI 23157</t>
  </si>
  <si>
    <t>BI 23160</t>
  </si>
  <si>
    <t>BI 23163</t>
  </si>
  <si>
    <t>BI 23166</t>
  </si>
  <si>
    <t>BI 23169</t>
  </si>
  <si>
    <t>BI 23172</t>
  </si>
  <si>
    <t>BI 23175</t>
  </si>
  <si>
    <t>BI 23178</t>
  </si>
  <si>
    <t>BI 23181</t>
  </si>
  <si>
    <t>BI 23184</t>
  </si>
  <si>
    <t>BI 23187</t>
  </si>
  <si>
    <t>BI 23190</t>
  </si>
  <si>
    <t>BI 23193</t>
  </si>
  <si>
    <t>BI 23199</t>
  </si>
  <si>
    <t>BI 23202</t>
  </si>
  <si>
    <t>BI 23205</t>
  </si>
  <si>
    <t>BI 23208</t>
  </si>
  <si>
    <t>BI 23211</t>
  </si>
  <si>
    <t>BI 23220</t>
  </si>
  <si>
    <t>BI 23223</t>
  </si>
  <si>
    <t>BI 23229</t>
  </si>
  <si>
    <t>BI 23232</t>
  </si>
  <si>
    <t>BI 23235</t>
  </si>
  <si>
    <t>BI 23238</t>
  </si>
  <si>
    <t>BI 23241</t>
  </si>
  <si>
    <t>BI 23244</t>
  </si>
  <si>
    <t>BI 23253</t>
  </si>
  <si>
    <t>BI 23256</t>
  </si>
  <si>
    <t>BI 23259</t>
  </si>
  <si>
    <t>BI 23262</t>
  </si>
  <si>
    <t>BI 23265</t>
  </si>
  <si>
    <t>BI 23268</t>
  </si>
  <si>
    <t>BI 23271</t>
  </si>
  <si>
    <t>BI 23274</t>
  </si>
  <si>
    <t>BI 23277</t>
  </si>
  <si>
    <t>BI 23280</t>
  </si>
  <si>
    <t>BI 23283</t>
  </si>
  <si>
    <t>BI 23286</t>
  </si>
  <si>
    <t>BI 23289</t>
  </si>
  <si>
    <t>BI 23292</t>
  </si>
  <si>
    <t>BI 23295</t>
  </si>
  <si>
    <t>BI 23298</t>
  </si>
  <si>
    <t>BI 23301</t>
  </si>
  <si>
    <t>BI 23304</t>
  </si>
  <si>
    <t>BI 23307</t>
  </si>
  <si>
    <t>BI 23310</t>
  </si>
  <si>
    <t>BI 23316</t>
  </si>
  <si>
    <t>BI 23319</t>
  </si>
  <si>
    <t>BI 23322</t>
  </si>
  <si>
    <t>BI 23325</t>
  </si>
  <si>
    <t>BI 23328</t>
  </si>
  <si>
    <t>BI 23331</t>
  </si>
  <si>
    <t>BI 23334</t>
  </si>
  <si>
    <t>BI 23337</t>
  </si>
  <si>
    <t>BI 23340</t>
  </si>
  <si>
    <t>BI 23343</t>
  </si>
  <si>
    <t>BI 23346</t>
  </si>
  <si>
    <t xml:space="preserve">Zorbal TL </t>
  </si>
  <si>
    <t>Loni</t>
  </si>
  <si>
    <t>Ratan Aluminium Recycling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</si>
</sst>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d&quot;-&quot;mmm&quot;-&quot;yyyy"/>
    <numFmt numFmtId="166" formatCode="[$-409]d\-mmm\-yy;@"/>
    <numFmt numFmtId="167" formatCode="_(* #,##0.0000_);_(* \(#,##0.0000\);_(* &quot;-&quot;????_);_(@_)"/>
    <numFmt numFmtId="168" formatCode="_(* #,##0_);_(* \(#,##0\);_(* &quot;-&quot;????_);_(@_)"/>
    <numFmt numFmtId="169" formatCode="_ [$₹-4009]\ * #,##0.00_ ;_ [$₹-4009]\ * \-#,##0.00_ ;_ [$₹-4009]\ * &quot;-&quot;??_ ;_ @_ "/>
    <numFmt numFmtId="170" formatCode="_(&quot;$&quot;* #,##0.000_);_(&quot;$&quot;* \(#,##0.000\);_(&quot;$&quot;* &quot;-&quot;??_);_(@_)"/>
    <numFmt numFmtId="171" formatCode="_([$$-409]* #,##0.000_);_([$$-409]* \(#,##0.000\);_([$$-409]* &quot;-&quot;??_);_(@_)"/>
  </numFmts>
  <fonts count="3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Arial,Unicode MS"/>
    </font>
    <font>
      <sz val="10"/>
      <color theme="1"/>
      <name val="ArialUnicodeMS"/>
    </font>
    <font>
      <sz val="10"/>
      <color rgb="FF000000"/>
      <name val="Arial,Unicode MS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1"/>
      <name val="Calibri Light"/>
      <family val="2"/>
      <scheme val="major"/>
    </font>
    <font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rgb="FF000000"/>
      <name val="Abadi"/>
      <family val="2"/>
    </font>
    <font>
      <b/>
      <sz val="14"/>
      <color rgb="FF000000"/>
      <name val="Aharoni"/>
      <charset val="177"/>
    </font>
  </fonts>
  <fills count="26">
    <fill>
      <patternFill patternType="none"/>
    </fill>
    <fill>
      <patternFill patternType="gray125"/>
    </fill>
    <fill>
      <patternFill patternType="solid">
        <fgColor rgb="FF434343"/>
        <bgColor rgb="FF434343"/>
      </patternFill>
    </fill>
    <fill>
      <patternFill patternType="solid">
        <fgColor rgb="FF000000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FEFEF"/>
        <bgColor rgb="FFEFEFEF"/>
      </patternFill>
    </fill>
    <fill>
      <patternFill patternType="solid">
        <fgColor rgb="FF980000"/>
        <bgColor rgb="FF980000"/>
      </patternFill>
    </fill>
    <fill>
      <patternFill patternType="solid">
        <fgColor theme="5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darkGray">
        <fgColor auto="1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theme="4"/>
      </bottom>
      <diagonal/>
    </border>
    <border>
      <left style="medium">
        <color rgb="FF317082"/>
      </left>
      <right style="medium">
        <color rgb="FF317082"/>
      </right>
      <top style="medium">
        <color rgb="FF317082"/>
      </top>
      <bottom/>
      <diagonal/>
    </border>
    <border>
      <left style="medium">
        <color rgb="FF317082"/>
      </left>
      <right style="medium">
        <color rgb="FF317082"/>
      </right>
      <top/>
      <bottom/>
      <diagonal/>
    </border>
    <border>
      <left style="medium">
        <color rgb="FF317082"/>
      </left>
      <right style="medium">
        <color rgb="FF317082"/>
      </right>
      <top/>
      <bottom style="medium">
        <color rgb="FF317082"/>
      </bottom>
      <diagonal/>
    </border>
  </borders>
  <cellStyleXfs count="19">
    <xf numFmtId="0" fontId="0" fillId="0" borderId="0"/>
    <xf numFmtId="0" fontId="7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0" fontId="1" fillId="7" borderId="0" applyNumberFormat="0" applyBorder="0" applyAlignment="0" applyProtection="0"/>
    <xf numFmtId="9" fontId="9" fillId="0" borderId="0" applyFont="0" applyFill="0" applyBorder="0" applyAlignment="0" applyProtection="0"/>
    <xf numFmtId="0" fontId="19" fillId="10" borderId="1" applyNumberFormat="0" applyAlignment="0" applyProtection="0"/>
    <xf numFmtId="0" fontId="20" fillId="11" borderId="2" applyNumberFormat="0" applyAlignment="0" applyProtection="0"/>
    <xf numFmtId="0" fontId="21" fillId="11" borderId="1" applyNumberFormat="0" applyAlignment="0" applyProtection="0"/>
    <xf numFmtId="0" fontId="22" fillId="12" borderId="3" applyNumberFormat="0" applyAlignment="0" applyProtection="0"/>
    <xf numFmtId="0" fontId="23" fillId="0" borderId="4" applyNumberFormat="0" applyFill="0" applyAlignment="0" applyProtection="0"/>
    <xf numFmtId="0" fontId="8" fillId="13" borderId="0" applyFont="0"/>
    <xf numFmtId="0" fontId="24" fillId="0" borderId="5" applyNumberFormat="0" applyFill="0" applyAlignment="0" applyProtection="0"/>
    <xf numFmtId="0" fontId="8" fillId="0" borderId="6" applyNumberFormat="0" applyFill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1" fillId="17" borderId="0" applyNumberFormat="0" applyBorder="0" applyAlignment="0" applyProtection="0"/>
    <xf numFmtId="0" fontId="9" fillId="18" borderId="7" applyNumberFormat="0" applyFont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</cellStyleXfs>
  <cellXfs count="152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0" fontId="6" fillId="0" borderId="0" xfId="0" applyFont="1"/>
    <xf numFmtId="0" fontId="6" fillId="3" borderId="0" xfId="0" applyFont="1" applyFill="1"/>
    <xf numFmtId="0" fontId="6" fillId="4" borderId="0" xfId="0" applyFont="1" applyFill="1"/>
    <xf numFmtId="0" fontId="1" fillId="0" borderId="0" xfId="0" applyFont="1"/>
    <xf numFmtId="0" fontId="4" fillId="3" borderId="0" xfId="0" applyFont="1" applyFill="1"/>
    <xf numFmtId="0" fontId="2" fillId="3" borderId="0" xfId="0" applyFont="1" applyFill="1" applyAlignment="1">
      <alignment horizontal="left" wrapText="1"/>
    </xf>
    <xf numFmtId="166" fontId="2" fillId="3" borderId="0" xfId="0" applyNumberFormat="1" applyFont="1" applyFill="1" applyAlignment="1">
      <alignment horizontal="left" wrapText="1"/>
    </xf>
    <xf numFmtId="16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7" fillId="0" borderId="0" xfId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8" fillId="0" borderId="0" xfId="0" applyFont="1"/>
    <xf numFmtId="0" fontId="8" fillId="0" borderId="0" xfId="0" applyFont="1" applyProtection="1">
      <protection locked="0"/>
    </xf>
    <xf numFmtId="22" fontId="0" fillId="0" borderId="0" xfId="0" applyNumberFormat="1" applyProtection="1">
      <protection locked="0"/>
    </xf>
    <xf numFmtId="0" fontId="2" fillId="2" borderId="0" xfId="0" applyFont="1" applyFill="1"/>
    <xf numFmtId="165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3" fillId="0" borderId="0" xfId="0" applyFont="1"/>
    <xf numFmtId="166" fontId="0" fillId="0" borderId="0" xfId="0" applyNumberFormat="1"/>
    <xf numFmtId="0" fontId="1" fillId="8" borderId="0" xfId="0" applyFont="1" applyFill="1"/>
    <xf numFmtId="166" fontId="1" fillId="8" borderId="0" xfId="0" applyNumberFormat="1" applyFont="1" applyFill="1"/>
    <xf numFmtId="164" fontId="1" fillId="8" borderId="0" xfId="2" applyFont="1" applyFill="1"/>
    <xf numFmtId="166" fontId="1" fillId="8" borderId="0" xfId="2" applyNumberFormat="1" applyFont="1" applyFill="1"/>
    <xf numFmtId="0" fontId="10" fillId="9" borderId="0" xfId="0" applyFont="1" applyFill="1"/>
    <xf numFmtId="164" fontId="1" fillId="7" borderId="0" xfId="3" applyNumberFormat="1"/>
    <xf numFmtId="0" fontId="1" fillId="4" borderId="0" xfId="0" applyFont="1" applyFill="1"/>
    <xf numFmtId="0" fontId="0" fillId="0" borderId="0" xfId="0" applyAlignment="1" applyProtection="1">
      <alignment horizontal="fill"/>
      <protection locked="0"/>
    </xf>
    <xf numFmtId="0" fontId="3" fillId="5" borderId="0" xfId="0" applyFont="1" applyFill="1"/>
    <xf numFmtId="166" fontId="3" fillId="5" borderId="0" xfId="0" applyNumberFormat="1" applyFont="1" applyFill="1" applyAlignment="1">
      <alignment horizontal="center"/>
    </xf>
    <xf numFmtId="0" fontId="3" fillId="5" borderId="0" xfId="0" applyFont="1" applyFill="1" applyAlignment="1">
      <alignment horizontal="center"/>
    </xf>
    <xf numFmtId="164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 wrapText="1"/>
      <protection locked="0"/>
    </xf>
    <xf numFmtId="2" fontId="2" fillId="2" borderId="0" xfId="0" applyNumberFormat="1" applyFont="1" applyFill="1" applyAlignment="1">
      <alignment horizontal="left"/>
    </xf>
    <xf numFmtId="2" fontId="0" fillId="0" borderId="0" xfId="0" applyNumberFormat="1" applyAlignment="1" applyProtection="1">
      <alignment horizontal="left"/>
      <protection locked="0"/>
    </xf>
    <xf numFmtId="164" fontId="0" fillId="0" borderId="0" xfId="2" applyFont="1" applyProtection="1">
      <protection locked="0"/>
    </xf>
    <xf numFmtId="0" fontId="7" fillId="0" borderId="0" xfId="1" applyAlignment="1" applyProtection="1">
      <alignment horizontal="fill"/>
      <protection locked="0"/>
    </xf>
    <xf numFmtId="0" fontId="2" fillId="2" borderId="0" xfId="0" applyFont="1" applyFill="1" applyAlignment="1">
      <alignment horizontal="center"/>
    </xf>
    <xf numFmtId="0" fontId="12" fillId="0" borderId="0" xfId="0" applyFont="1"/>
    <xf numFmtId="15" fontId="12" fillId="0" borderId="0" xfId="0" applyNumberFormat="1" applyFont="1" applyProtection="1">
      <protection locked="0"/>
    </xf>
    <xf numFmtId="166" fontId="2" fillId="2" borderId="0" xfId="0" applyNumberFormat="1" applyFont="1" applyFill="1" applyAlignment="1">
      <alignment horizontal="left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4" fillId="0" borderId="0" xfId="0" applyFont="1"/>
    <xf numFmtId="0" fontId="15" fillId="0" borderId="0" xfId="0" applyFont="1" applyAlignment="1" applyProtection="1">
      <alignment horizontal="left"/>
      <protection locked="0"/>
    </xf>
    <xf numFmtId="0" fontId="11" fillId="0" borderId="0" xfId="0" applyFont="1"/>
    <xf numFmtId="2" fontId="0" fillId="0" borderId="0" xfId="0" applyNumberFormat="1" applyProtection="1">
      <protection locked="0"/>
    </xf>
    <xf numFmtId="164" fontId="2" fillId="2" borderId="0" xfId="2" applyFont="1" applyFill="1" applyAlignment="1">
      <alignment wrapText="1"/>
    </xf>
    <xf numFmtId="167" fontId="2" fillId="2" borderId="0" xfId="0" applyNumberFormat="1" applyFont="1" applyFill="1" applyAlignment="1">
      <alignment wrapText="1"/>
    </xf>
    <xf numFmtId="167" fontId="3" fillId="0" borderId="0" xfId="0" applyNumberFormat="1" applyFont="1" applyAlignment="1" applyProtection="1">
      <alignment horizontal="left"/>
      <protection locked="0"/>
    </xf>
    <xf numFmtId="2" fontId="3" fillId="0" borderId="0" xfId="0" applyNumberFormat="1" applyFont="1" applyAlignment="1" applyProtection="1">
      <alignment horizontal="left"/>
      <protection locked="0"/>
    </xf>
    <xf numFmtId="0" fontId="15" fillId="0" borderId="0" xfId="0" applyFont="1" applyProtection="1">
      <protection locked="0"/>
    </xf>
    <xf numFmtId="2" fontId="15" fillId="0" borderId="0" xfId="0" applyNumberFormat="1" applyFont="1" applyAlignment="1" applyProtection="1">
      <alignment horizontal="left"/>
      <protection locked="0"/>
    </xf>
    <xf numFmtId="166" fontId="15" fillId="0" borderId="0" xfId="0" applyNumberFormat="1" applyFont="1" applyProtection="1">
      <protection locked="0"/>
    </xf>
    <xf numFmtId="0" fontId="15" fillId="0" borderId="0" xfId="0" applyFont="1"/>
    <xf numFmtId="167" fontId="15" fillId="0" borderId="0" xfId="0" applyNumberFormat="1" applyFont="1" applyAlignment="1" applyProtection="1">
      <alignment horizontal="left"/>
      <protection locked="0"/>
    </xf>
    <xf numFmtId="22" fontId="15" fillId="0" borderId="0" xfId="0" applyNumberFormat="1" applyFont="1"/>
    <xf numFmtId="14" fontId="15" fillId="0" borderId="0" xfId="0" applyNumberFormat="1" applyFont="1"/>
    <xf numFmtId="22" fontId="15" fillId="0" borderId="0" xfId="0" applyNumberFormat="1" applyFont="1" applyProtection="1">
      <protection locked="0"/>
    </xf>
    <xf numFmtId="168" fontId="15" fillId="0" borderId="0" xfId="0" applyNumberFormat="1" applyFont="1" applyAlignment="1" applyProtection="1">
      <alignment horizontal="left"/>
      <protection locked="0"/>
    </xf>
    <xf numFmtId="2" fontId="15" fillId="0" borderId="0" xfId="0" applyNumberFormat="1" applyFont="1" applyAlignment="1" applyProtection="1">
      <alignment horizontal="right"/>
      <protection locked="0"/>
    </xf>
    <xf numFmtId="0" fontId="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4" fontId="15" fillId="0" borderId="0" xfId="2" applyFont="1" applyFill="1" applyProtection="1">
      <protection locked="0"/>
    </xf>
    <xf numFmtId="14" fontId="2" fillId="2" borderId="0" xfId="0" applyNumberFormat="1" applyFont="1" applyFill="1" applyAlignment="1">
      <alignment horizontal="left"/>
    </xf>
    <xf numFmtId="14" fontId="0" fillId="0" borderId="0" xfId="0" applyNumberFormat="1" applyAlignment="1" applyProtection="1">
      <alignment horizontal="left"/>
      <protection locked="0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wrapText="1"/>
    </xf>
    <xf numFmtId="166" fontId="2" fillId="3" borderId="0" xfId="0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right" vertical="center" wrapText="1"/>
    </xf>
    <xf numFmtId="165" fontId="2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/>
    <xf numFmtId="22" fontId="2" fillId="2" borderId="0" xfId="0" applyNumberFormat="1" applyFont="1" applyFill="1"/>
    <xf numFmtId="2" fontId="2" fillId="2" borderId="0" xfId="0" applyNumberFormat="1" applyFont="1" applyFill="1"/>
    <xf numFmtId="2" fontId="15" fillId="0" borderId="0" xfId="0" applyNumberFormat="1" applyFont="1" applyProtection="1">
      <protection locked="0"/>
    </xf>
    <xf numFmtId="0" fontId="21" fillId="11" borderId="1" xfId="7" applyProtection="1">
      <protection locked="0"/>
    </xf>
    <xf numFmtId="0" fontId="21" fillId="11" borderId="1" xfId="7" applyNumberFormat="1" applyProtection="1"/>
    <xf numFmtId="0" fontId="19" fillId="10" borderId="1" xfId="5" applyProtection="1"/>
    <xf numFmtId="0" fontId="20" fillId="11" borderId="2" xfId="6" applyProtection="1"/>
    <xf numFmtId="2" fontId="0" fillId="0" borderId="0" xfId="0" applyNumberFormat="1"/>
    <xf numFmtId="10" fontId="21" fillId="11" borderId="1" xfId="4" applyNumberFormat="1" applyFont="1" applyFill="1" applyBorder="1" applyProtection="1"/>
    <xf numFmtId="10" fontId="0" fillId="0" borderId="0" xfId="4" applyNumberFormat="1" applyFont="1" applyProtection="1">
      <protection locked="0"/>
    </xf>
    <xf numFmtId="14" fontId="0" fillId="0" borderId="0" xfId="0" applyNumberFormat="1"/>
    <xf numFmtId="0" fontId="22" fillId="12" borderId="3" xfId="8" applyProtection="1"/>
    <xf numFmtId="14" fontId="19" fillId="10" borderId="1" xfId="5" applyNumberFormat="1" applyProtection="1"/>
    <xf numFmtId="0" fontId="1" fillId="7" borderId="0" xfId="3" applyNumberFormat="1" applyProtection="1"/>
    <xf numFmtId="0" fontId="21" fillId="11" borderId="0" xfId="7" applyNumberFormat="1" applyBorder="1" applyProtection="1"/>
    <xf numFmtId="15" fontId="12" fillId="0" borderId="0" xfId="0" applyNumberFormat="1" applyFont="1"/>
    <xf numFmtId="169" fontId="15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2" fontId="19" fillId="10" borderId="1" xfId="5" applyNumberFormat="1" applyProtection="1"/>
    <xf numFmtId="2" fontId="15" fillId="0" borderId="0" xfId="0" applyNumberFormat="1" applyFont="1"/>
    <xf numFmtId="169" fontId="15" fillId="0" borderId="0" xfId="0" applyNumberFormat="1" applyFont="1"/>
    <xf numFmtId="2" fontId="19" fillId="10" borderId="1" xfId="5" applyNumberFormat="1"/>
    <xf numFmtId="4" fontId="0" fillId="0" borderId="0" xfId="0" applyNumberFormat="1"/>
    <xf numFmtId="4" fontId="22" fillId="12" borderId="3" xfId="8" applyNumberFormat="1" applyProtection="1"/>
    <xf numFmtId="4" fontId="19" fillId="10" borderId="1" xfId="5" applyNumberFormat="1" applyProtection="1"/>
    <xf numFmtId="0" fontId="23" fillId="0" borderId="4" xfId="9"/>
    <xf numFmtId="0" fontId="22" fillId="12" borderId="3" xfId="8"/>
    <xf numFmtId="1" fontId="15" fillId="0" borderId="0" xfId="0" applyNumberFormat="1" applyFont="1" applyProtection="1">
      <protection locked="0"/>
    </xf>
    <xf numFmtId="164" fontId="3" fillId="14" borderId="0" xfId="2" applyFont="1" applyFill="1" applyAlignment="1" applyProtection="1">
      <alignment horizontal="left"/>
      <protection locked="0"/>
    </xf>
    <xf numFmtId="164" fontId="3" fillId="0" borderId="0" xfId="2" applyFont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70" fontId="3" fillId="0" borderId="0" xfId="2" applyNumberFormat="1" applyFont="1" applyFill="1" applyAlignment="1" applyProtection="1">
      <alignment horizontal="left"/>
      <protection locked="0"/>
    </xf>
    <xf numFmtId="22" fontId="0" fillId="0" borderId="0" xfId="0" applyNumberFormat="1"/>
    <xf numFmtId="14" fontId="8" fillId="0" borderId="0" xfId="0" applyNumberFormat="1" applyFont="1"/>
    <xf numFmtId="164" fontId="0" fillId="0" borderId="0" xfId="2" applyFont="1" applyProtection="1"/>
    <xf numFmtId="164" fontId="0" fillId="0" borderId="0" xfId="0" applyNumberFormat="1"/>
    <xf numFmtId="2" fontId="8" fillId="0" borderId="0" xfId="0" applyNumberFormat="1" applyFont="1"/>
    <xf numFmtId="2" fontId="22" fillId="12" borderId="3" xfId="8" applyNumberFormat="1" applyProtection="1"/>
    <xf numFmtId="0" fontId="27" fillId="18" borderId="7" xfId="16" applyFont="1" applyProtection="1"/>
    <xf numFmtId="0" fontId="24" fillId="0" borderId="5" xfId="11" applyProtection="1"/>
    <xf numFmtId="14" fontId="26" fillId="17" borderId="0" xfId="15" applyNumberFormat="1" applyFont="1" applyAlignment="1" applyProtection="1">
      <alignment horizontal="left"/>
    </xf>
    <xf numFmtId="0" fontId="8" fillId="0" borderId="6" xfId="12" applyProtection="1"/>
    <xf numFmtId="0" fontId="25" fillId="16" borderId="0" xfId="14" applyFont="1" applyAlignment="1" applyProtection="1"/>
    <xf numFmtId="0" fontId="25" fillId="16" borderId="0" xfId="14" applyFont="1" applyAlignment="1" applyProtection="1">
      <alignment horizontal="left"/>
    </xf>
    <xf numFmtId="2" fontId="25" fillId="16" borderId="0" xfId="14" applyNumberFormat="1" applyFont="1" applyProtection="1"/>
    <xf numFmtId="0" fontId="25" fillId="16" borderId="0" xfId="14" applyFont="1" applyProtection="1"/>
    <xf numFmtId="14" fontId="2" fillId="3" borderId="0" xfId="0" applyNumberFormat="1" applyFont="1" applyFill="1" applyAlignment="1">
      <alignment horizontal="left" wrapText="1"/>
    </xf>
    <xf numFmtId="0" fontId="8" fillId="0" borderId="9" xfId="12" applyBorder="1" applyProtection="1">
      <protection locked="0"/>
    </xf>
    <xf numFmtId="0" fontId="9" fillId="19" borderId="8" xfId="17" applyBorder="1" applyProtection="1">
      <protection locked="0"/>
    </xf>
    <xf numFmtId="0" fontId="19" fillId="10" borderId="8" xfId="5" applyBorder="1" applyAlignment="1" applyProtection="1">
      <alignment horizontal="left"/>
      <protection locked="0"/>
    </xf>
    <xf numFmtId="0" fontId="9" fillId="15" borderId="8" xfId="13" applyBorder="1" applyAlignment="1" applyProtection="1">
      <alignment horizontal="left"/>
      <protection locked="0"/>
    </xf>
    <xf numFmtId="2" fontId="20" fillId="22" borderId="8" xfId="6" applyNumberFormat="1" applyFill="1" applyBorder="1" applyProtection="1">
      <protection locked="0"/>
    </xf>
    <xf numFmtId="2" fontId="20" fillId="21" borderId="8" xfId="6" applyNumberFormat="1" applyFill="1" applyBorder="1" applyProtection="1">
      <protection locked="0"/>
    </xf>
    <xf numFmtId="0" fontId="28" fillId="23" borderId="8" xfId="18" applyFont="1" applyFill="1" applyBorder="1" applyProtection="1">
      <protection locked="0"/>
    </xf>
    <xf numFmtId="3" fontId="0" fillId="0" borderId="0" xfId="0" applyNumberFormat="1"/>
    <xf numFmtId="0" fontId="0" fillId="24" borderId="8" xfId="0" applyFill="1" applyBorder="1" applyProtection="1">
      <protection locked="0"/>
    </xf>
    <xf numFmtId="2" fontId="0" fillId="24" borderId="8" xfId="0" applyNumberFormat="1" applyFill="1" applyBorder="1" applyProtection="1">
      <protection locked="0"/>
    </xf>
    <xf numFmtId="0" fontId="21" fillId="11" borderId="1" xfId="7" applyProtection="1"/>
    <xf numFmtId="0" fontId="0" fillId="25" borderId="0" xfId="0" applyFill="1" applyProtection="1">
      <protection locked="0"/>
    </xf>
    <xf numFmtId="10" fontId="0" fillId="0" borderId="0" xfId="4" applyNumberFormat="1" applyFont="1" applyProtection="1"/>
    <xf numFmtId="0" fontId="2" fillId="2" borderId="10" xfId="0" applyFont="1" applyFill="1" applyBorder="1"/>
    <xf numFmtId="0" fontId="2" fillId="2" borderId="11" xfId="0" applyFont="1" applyFill="1" applyBorder="1"/>
    <xf numFmtId="0" fontId="3" fillId="0" borderId="11" xfId="0" applyFont="1" applyBorder="1"/>
    <xf numFmtId="0" fontId="3" fillId="0" borderId="12" xfId="0" applyFont="1" applyBorder="1"/>
    <xf numFmtId="15" fontId="0" fillId="0" borderId="0" xfId="0" applyNumberFormat="1"/>
    <xf numFmtId="171" fontId="0" fillId="0" borderId="0" xfId="2" applyNumberFormat="1" applyFont="1" applyProtection="1">
      <protection locked="0"/>
    </xf>
    <xf numFmtId="171" fontId="2" fillId="2" borderId="0" xfId="2" applyNumberFormat="1" applyFont="1" applyFill="1" applyAlignment="1">
      <alignment wrapText="1"/>
    </xf>
    <xf numFmtId="0" fontId="3" fillId="0" borderId="0" xfId="0" quotePrefix="1" applyFont="1" applyProtection="1">
      <protection locked="0"/>
    </xf>
    <xf numFmtId="16" fontId="0" fillId="0" borderId="0" xfId="0" applyNumberFormat="1"/>
    <xf numFmtId="171" fontId="2" fillId="2" borderId="0" xfId="0" applyNumberFormat="1" applyFont="1" applyFill="1" applyAlignment="1">
      <alignment wrapText="1"/>
    </xf>
    <xf numFmtId="0" fontId="5" fillId="6" borderId="0" xfId="0" applyFont="1" applyFill="1" applyAlignment="1">
      <alignment horizontal="center"/>
    </xf>
    <xf numFmtId="0" fontId="0" fillId="0" borderId="0" xfId="0"/>
  </cellXfs>
  <cellStyles count="19">
    <cellStyle name="20% - Accent1" xfId="13" builtinId="30"/>
    <cellStyle name="20% - Accent6" xfId="18" builtinId="50"/>
    <cellStyle name="40% - Accent2" xfId="14" builtinId="35"/>
    <cellStyle name="40% - Accent4" xfId="17" builtinId="43"/>
    <cellStyle name="Accent2" xfId="3" builtinId="33"/>
    <cellStyle name="Accent4" xfId="15" builtinId="41"/>
    <cellStyle name="Calculation" xfId="7" builtinId="22"/>
    <cellStyle name="Check Cell" xfId="8" builtinId="23"/>
    <cellStyle name="Currency" xfId="2" builtinId="4"/>
    <cellStyle name="Heading 2" xfId="11" builtinId="17"/>
    <cellStyle name="Heading 3" xfId="9" builtinId="18"/>
    <cellStyle name="Hyperlink" xfId="1" builtinId="8"/>
    <cellStyle name="Input" xfId="5" builtinId="20"/>
    <cellStyle name="Normal" xfId="0" builtinId="0"/>
    <cellStyle name="Note" xfId="16" builtinId="10"/>
    <cellStyle name="Output" xfId="6" builtinId="21"/>
    <cellStyle name="Percent" xfId="4" builtinId="5"/>
    <cellStyle name="Style 1" xfId="10" xr:uid="{0DEC3B47-A91A-4778-A18F-EAE5412639ED}"/>
    <cellStyle name="Total" xfId="12" builtinId="25"/>
  </cellStyles>
  <dxfs count="212"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4C7C3"/>
          <bgColor rgb="FFF4C7C3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rgb="FF9C5700"/>
      </font>
      <fill>
        <patternFill>
          <bgColor theme="1"/>
        </patternFill>
      </fill>
    </dxf>
  </dxfs>
  <tableStyles count="1" defaultTableStyle="TableStyleMedium2" defaultPivotStyle="PivotStyleLight16">
    <tableStyle name="Table Style 1" pivot="0" count="0" xr9:uid="{1D5197E9-3013-4D64-BF46-AB89863C103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6</xdr:row>
          <xdr:rowOff>180975</xdr:rowOff>
        </xdr:from>
        <xdr:to>
          <xdr:col>11</xdr:col>
          <xdr:colOff>9525</xdr:colOff>
          <xdr:row>9</xdr:row>
          <xdr:rowOff>0</xdr:rowOff>
        </xdr:to>
        <xdr:sp macro="" textlink="">
          <xdr:nvSpPr>
            <xdr:cNvPr id="19475" name="Button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0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1876425</xdr:colOff>
          <xdr:row>0</xdr:row>
          <xdr:rowOff>180975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0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180975</xdr:rowOff>
        </xdr:from>
        <xdr:to>
          <xdr:col>11</xdr:col>
          <xdr:colOff>0</xdr:colOff>
          <xdr:row>12</xdr:row>
          <xdr:rowOff>180975</xdr:rowOff>
        </xdr:to>
        <xdr:sp macro="" textlink="">
          <xdr:nvSpPr>
            <xdr:cNvPr id="19477" name="Button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0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15</xdr:row>
          <xdr:rowOff>180975</xdr:rowOff>
        </xdr:from>
        <xdr:to>
          <xdr:col>11</xdr:col>
          <xdr:colOff>9525</xdr:colOff>
          <xdr:row>16</xdr:row>
          <xdr:rowOff>180975</xdr:rowOff>
        </xdr:to>
        <xdr:sp macro="" textlink="">
          <xdr:nvSpPr>
            <xdr:cNvPr id="19482" name="Button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0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18</xdr:row>
          <xdr:rowOff>180975</xdr:rowOff>
        </xdr:from>
        <xdr:to>
          <xdr:col>11</xdr:col>
          <xdr:colOff>9525</xdr:colOff>
          <xdr:row>20</xdr:row>
          <xdr:rowOff>0</xdr:rowOff>
        </xdr:to>
        <xdr:sp macro="" textlink="">
          <xdr:nvSpPr>
            <xdr:cNvPr id="19487" name="Button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0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Due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238125</xdr:rowOff>
        </xdr:from>
        <xdr:to>
          <xdr:col>6</xdr:col>
          <xdr:colOff>600075</xdr:colOff>
          <xdr:row>3</xdr:row>
          <xdr:rowOff>161925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Kaam Ni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790575</xdr:colOff>
          <xdr:row>0</xdr:row>
          <xdr:rowOff>28575</xdr:rowOff>
        </xdr:from>
        <xdr:to>
          <xdr:col>15</xdr:col>
          <xdr:colOff>28575</xdr:colOff>
          <xdr:row>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badi"/>
                </a:rPr>
                <a:t>SYNC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0</xdr:rowOff>
        </xdr:from>
        <xdr:to>
          <xdr:col>3</xdr:col>
          <xdr:colOff>1095375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0</xdr:rowOff>
        </xdr:from>
        <xdr:to>
          <xdr:col>5</xdr:col>
          <xdr:colOff>1247775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0</xdr:rowOff>
        </xdr:from>
        <xdr:to>
          <xdr:col>4</xdr:col>
          <xdr:colOff>0</xdr:colOff>
          <xdr:row>0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0</xdr:rowOff>
        </xdr:from>
        <xdr:to>
          <xdr:col>6</xdr:col>
          <xdr:colOff>0</xdr:colOff>
          <xdr:row>0</xdr:row>
          <xdr:rowOff>342900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6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2</xdr:row>
          <xdr:rowOff>180975</xdr:rowOff>
        </xdr:from>
        <xdr:to>
          <xdr:col>32</xdr:col>
          <xdr:colOff>495300</xdr:colOff>
          <xdr:row>6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7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Export Bookings and 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7</xdr:row>
          <xdr:rowOff>180975</xdr:rowOff>
        </xdr:from>
        <xdr:to>
          <xdr:col>32</xdr:col>
          <xdr:colOff>504825</xdr:colOff>
          <xdr:row>11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7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Import Bookings and ETA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600075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Dest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0</xdr:rowOff>
        </xdr:from>
        <xdr:to>
          <xdr:col>8</xdr:col>
          <xdr:colOff>0</xdr:colOff>
          <xdr:row>7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 Approvals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190500</xdr:rowOff>
        </xdr:from>
        <xdr:to>
          <xdr:col>8</xdr:col>
          <xdr:colOff>0</xdr:colOff>
          <xdr:row>13</xdr:row>
          <xdr:rowOff>28575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Reprocess Source File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14</xdr:row>
          <xdr:rowOff>180975</xdr:rowOff>
        </xdr:from>
        <xdr:to>
          <xdr:col>7</xdr:col>
          <xdr:colOff>600075</xdr:colOff>
          <xdr:row>17</xdr:row>
          <xdr:rowOff>9525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Approvals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28575</xdr:rowOff>
        </xdr:from>
        <xdr:to>
          <xdr:col>9</xdr:col>
          <xdr:colOff>485775</xdr:colOff>
          <xdr:row>0</xdr:row>
          <xdr:rowOff>180975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B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561975</xdr:colOff>
          <xdr:row>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B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Contracts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0</xdr:row>
          <xdr:rowOff>28575</xdr:rowOff>
        </xdr:from>
        <xdr:to>
          <xdr:col>17</xdr:col>
          <xdr:colOff>600075</xdr:colOff>
          <xdr:row>1</xdr:row>
          <xdr:rowOff>9525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B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0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B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Quick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38100</xdr:rowOff>
        </xdr:from>
        <xdr:to>
          <xdr:col>6</xdr:col>
          <xdr:colOff>0</xdr:colOff>
          <xdr:row>1</xdr:row>
          <xdr:rowOff>28575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TRY ME</a:t>
              </a:r>
            </a:p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TRY 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0</xdr:row>
          <xdr:rowOff>28575</xdr:rowOff>
        </xdr:from>
        <xdr:to>
          <xdr:col>10</xdr:col>
          <xdr:colOff>0</xdr:colOff>
          <xdr:row>1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180975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Ref#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180975</xdr:rowOff>
        </xdr:from>
        <xdr:to>
          <xdr:col>9</xdr:col>
          <xdr:colOff>9525</xdr:colOff>
          <xdr:row>11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D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Export/Import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nb/OneDrive/Bhatt%20International%20Inc/BhattERP%20Ready%20to%20Implement/Big%20Work%20Book/Big%20Workbook%20Master%20Template%20-%20Edi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 Sheet"/>
      <sheetName val="Sheet1"/>
      <sheetName val="General Directory of Contacts"/>
      <sheetName val="Item Recovery Sheet"/>
      <sheetName val="SEZ Sheet"/>
      <sheetName val="Invoices"/>
      <sheetName val="Consolidation Sheet"/>
      <sheetName val="SEZ &amp; Consolidated Invoices"/>
      <sheetName val="Container Details"/>
      <sheetName val="Vendor Invoices"/>
      <sheetName val="Payments Sheet"/>
      <sheetName val="Sheet2"/>
      <sheetName val="Statement Generator"/>
      <sheetName val="Summary"/>
      <sheetName val="SEZ Consolidated Incoming Pay"/>
      <sheetName val="To Be Hidden"/>
      <sheetName val="Maintenance Sheet"/>
      <sheetName val="Data Check"/>
      <sheetName val="Business Analytics"/>
      <sheetName val="Business Analytics 1"/>
      <sheetName val="Business Analytics 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rpan Bhatt" id="{C346E488-E330-4F6A-9D97-FD68BE5A551E}" userId="557e856bfc237a20" providerId="Windows Live"/>
  <person displayName="Rajendrasinh Rathod" id="{C698332C-D350-47A4-96BE-1DF7C201F3DD}" userId="Rajendrasinh Rathod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078F66-3713-4663-A21B-6F6B8163AB7D}" name="Tag" displayName="Tag" ref="AC1:AC51" totalsRowShown="0" headerRowDxfId="5" dataDxfId="4">
  <autoFilter ref="AC1:AC51" xr:uid="{657DD2DB-2930-4711-B072-74176E234BCF}"/>
  <tableColumns count="1">
    <tableColumn id="1" xr3:uid="{B1B6886F-2A20-45E2-90E3-4D34E2D81C70}" name="Material Tags" dataDxfId="3">
      <calculatedColumnFormula array="1">IFERROR(INDEX(W:W,SMALL(IF($AB$2:$AB$1000=1,ROW($AB$2:$AB$1000),""),ROW()-1)),"")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2CA1BA-C607-40E4-90E0-E6FB7D9534C7}" name="Code" displayName="Code" ref="V1:V63" totalsRowShown="0" headerRowDxfId="2" dataDxfId="1">
  <autoFilter ref="V1:V63" xr:uid="{44DF223D-83F3-449A-8800-977B06969A40}"/>
  <tableColumns count="1">
    <tableColumn id="1" xr3:uid="{364B1C8A-4F2B-4B9E-89FE-49D6BC80476F}" name="Material Cod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9" dT="2021-07-07T05:36:02.74" personId="{C346E488-E330-4F6A-9D97-FD68BE5A551E}" id="{22E646B5-4E1C-496F-8002-20C7AB261677}">
    <text>1.758MT needs to be assigned to IGT 345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36" dT="2022-08-02T18:50:29.48" personId="{C698332C-D350-47A4-96BE-1DF7C201F3DD}" id="{B807FC7F-9F9A-4240-B5EE-521CF7495681}">
    <text>MUN-056 is having ----Kgs GM</text>
  </threadedComment>
  <threadedComment ref="J37" dT="2022-08-02T18:51:03.46" personId="{C698332C-D350-47A4-96BE-1DF7C201F3DD}" id="{5747A406-4F32-4C80-9F86-5F5C0469ED07}">
    <text>MUN-056 is having ----KG GM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A494E-90B6-40B6-B990-B5EA7BB122BE}">
  <sheetPr codeName="Sheet8"/>
  <dimension ref="A1:T60"/>
  <sheetViews>
    <sheetView topLeftCell="B1" workbookViewId="0">
      <pane ySplit="1" topLeftCell="A33" activePane="bottomLeft" state="frozen"/>
      <selection pane="bottomLeft" activeCell="A33" sqref="A33"/>
    </sheetView>
  </sheetViews>
  <sheetFormatPr defaultColWidth="5.5703125" defaultRowHeight="15"/>
  <cols>
    <col min="1" max="1" width="8.42578125" bestFit="1" customWidth="1"/>
    <col min="2" max="2" width="14.5703125" style="2" bestFit="1" customWidth="1"/>
    <col min="3" max="3" width="10.140625" style="4" bestFit="1" customWidth="1"/>
    <col min="4" max="4" width="12" style="2" bestFit="1" customWidth="1"/>
    <col min="5" max="5" width="11.85546875" style="2" bestFit="1" customWidth="1"/>
    <col min="6" max="6" width="11.5703125" style="36" bestFit="1" customWidth="1"/>
    <col min="7" max="7" width="18" style="36" bestFit="1" customWidth="1"/>
    <col min="8" max="8" width="10.140625" style="4" bestFit="1" customWidth="1"/>
    <col min="9" max="9" width="7.85546875" style="2" bestFit="1" customWidth="1"/>
    <col min="10" max="10" width="7.140625" style="2" bestFit="1" customWidth="1"/>
    <col min="11" max="11" width="28.140625" bestFit="1" customWidth="1"/>
    <col min="12" max="12" width="7.5703125" style="2" customWidth="1"/>
    <col min="13" max="13" width="8.42578125" bestFit="1" customWidth="1"/>
    <col min="14" max="14" width="14.5703125" style="2" bestFit="1" customWidth="1"/>
    <col min="15" max="15" width="9.85546875" style="4" bestFit="1" customWidth="1"/>
    <col min="16" max="16" width="12" style="2" bestFit="1" customWidth="1"/>
    <col min="17" max="17" width="9.85546875" style="2" customWidth="1"/>
    <col min="18" max="18" width="13.140625" style="36" customWidth="1"/>
    <col min="19" max="19" width="18" style="36" bestFit="1" customWidth="1"/>
    <col min="20" max="20" width="6.5703125" style="4" bestFit="1" customWidth="1"/>
  </cols>
  <sheetData>
    <row r="1" spans="1:20">
      <c r="A1" s="25" t="s">
        <v>0</v>
      </c>
      <c r="B1" s="25" t="s">
        <v>1</v>
      </c>
      <c r="C1" s="26" t="s">
        <v>2</v>
      </c>
      <c r="D1" s="25" t="s">
        <v>3</v>
      </c>
      <c r="E1" s="25" t="s">
        <v>4</v>
      </c>
      <c r="F1" s="27" t="s">
        <v>5</v>
      </c>
      <c r="G1" s="27" t="s">
        <v>6</v>
      </c>
      <c r="H1" s="28" t="s">
        <v>7</v>
      </c>
      <c r="I1" s="25" t="s">
        <v>8</v>
      </c>
      <c r="J1" s="29" t="s">
        <v>9</v>
      </c>
      <c r="K1" s="30" t="s">
        <v>10</v>
      </c>
      <c r="L1" t="str">
        <f>IF(COUNTA(Sheet2!A:A)&gt;1002,"Yes","No")</f>
        <v>Yes</v>
      </c>
      <c r="M1" s="25" t="s">
        <v>0</v>
      </c>
      <c r="N1" s="25" t="s">
        <v>1</v>
      </c>
      <c r="O1" s="26" t="s">
        <v>2</v>
      </c>
      <c r="P1" s="25" t="s">
        <v>3</v>
      </c>
      <c r="Q1" s="25" t="s">
        <v>4</v>
      </c>
      <c r="R1" s="27" t="s">
        <v>5</v>
      </c>
      <c r="S1" s="27" t="s">
        <v>6</v>
      </c>
      <c r="T1" s="28" t="s">
        <v>7</v>
      </c>
    </row>
    <row r="2" spans="1:20">
      <c r="A2" t="s">
        <v>113</v>
      </c>
      <c r="K2" s="17" t="s">
        <v>11</v>
      </c>
      <c r="L2"/>
    </row>
    <row r="3" spans="1:20">
      <c r="K3" s="2" t="s">
        <v>12</v>
      </c>
      <c r="L3"/>
    </row>
    <row r="4" spans="1:20">
      <c r="K4" s="17" t="s">
        <v>13</v>
      </c>
      <c r="L4"/>
    </row>
    <row r="5" spans="1:20">
      <c r="K5" t="s">
        <v>14</v>
      </c>
      <c r="L5" s="2" t="s">
        <v>15</v>
      </c>
    </row>
    <row r="6" spans="1:20">
      <c r="K6" t="s">
        <v>16</v>
      </c>
      <c r="L6" s="2" t="s">
        <v>15</v>
      </c>
    </row>
    <row r="7" spans="1:20">
      <c r="K7" t="s">
        <v>17</v>
      </c>
      <c r="L7" s="2" t="s">
        <v>18</v>
      </c>
    </row>
    <row r="11" spans="1:20">
      <c r="K11" s="17" t="s">
        <v>19</v>
      </c>
    </row>
    <row r="12" spans="1:20">
      <c r="K12" t="s">
        <v>20</v>
      </c>
      <c r="L12" s="2">
        <v>1</v>
      </c>
    </row>
    <row r="15" spans="1:20">
      <c r="K15" s="17" t="s">
        <v>21</v>
      </c>
    </row>
    <row r="16" spans="1:20">
      <c r="K16" t="s">
        <v>20</v>
      </c>
      <c r="L16" s="2">
        <v>6</v>
      </c>
    </row>
    <row r="19" spans="9:11">
      <c r="K19" s="17" t="s">
        <v>22</v>
      </c>
    </row>
    <row r="26" spans="9:11">
      <c r="I26" s="12"/>
    </row>
    <row r="34" spans="9:9">
      <c r="I34" s="12"/>
    </row>
    <row r="35" spans="9:9">
      <c r="I35" s="12"/>
    </row>
    <row r="49" spans="3:9">
      <c r="C49" s="12"/>
      <c r="D49" s="4"/>
    </row>
    <row r="50" spans="3:9">
      <c r="C50" s="12"/>
      <c r="D50" s="4"/>
    </row>
    <row r="51" spans="3:9">
      <c r="C51" s="12"/>
      <c r="D51" s="4"/>
    </row>
    <row r="52" spans="3:9">
      <c r="C52" s="12"/>
      <c r="D52" s="4"/>
    </row>
    <row r="53" spans="3:9">
      <c r="C53" s="12"/>
      <c r="D53" s="4"/>
    </row>
    <row r="54" spans="3:9">
      <c r="C54" s="12"/>
      <c r="D54" s="4"/>
    </row>
    <row r="55" spans="3:9">
      <c r="C55" s="12"/>
      <c r="D55" s="4"/>
      <c r="I55" s="12"/>
    </row>
    <row r="56" spans="3:9">
      <c r="C56" s="12"/>
      <c r="D56" s="4"/>
    </row>
    <row r="57" spans="3:9">
      <c r="C57" s="12"/>
      <c r="D57" s="4"/>
    </row>
    <row r="58" spans="3:9">
      <c r="C58" s="12"/>
      <c r="D58" s="4"/>
    </row>
    <row r="59" spans="3:9">
      <c r="C59" s="12"/>
      <c r="D59" s="4"/>
    </row>
    <row r="60" spans="3:9">
      <c r="C60" s="12"/>
      <c r="D60" s="4"/>
    </row>
  </sheetData>
  <sheetProtection sheet="1" objects="1" scenarios="1" sort="0" autoFilter="0"/>
  <autoFilter ref="A1:T115" xr:uid="{A48DF0C3-5641-4715-8D47-43E2D8201389}"/>
  <conditionalFormatting sqref="B1:C1">
    <cfRule type="containsText" dxfId="211" priority="58" operator="containsText" text="N/A">
      <formula>NOT(ISERROR(SEARCH("N/A",B1)))</formula>
    </cfRule>
    <cfRule type="containsText" dxfId="210" priority="59" operator="containsText" text="Hold">
      <formula>NOT(ISERROR(SEARCH("Hold",B1)))</formula>
    </cfRule>
    <cfRule type="containsText" dxfId="209" priority="60" operator="containsText" text="Received">
      <formula>NOT(ISERROR(SEARCH("Received",B1)))</formula>
    </cfRule>
  </conditionalFormatting>
  <conditionalFormatting sqref="B1 B4:B25 B27:B1048576">
    <cfRule type="containsText" dxfId="208" priority="51" operator="containsText" text="Hold">
      <formula>NOT(ISERROR(SEARCH("Hold",B1)))</formula>
    </cfRule>
    <cfRule type="containsText" dxfId="207" priority="52" operator="containsText" text="Received">
      <formula>NOT(ISERROR(SEARCH("Received",B1)))</formula>
    </cfRule>
    <cfRule type="containsText" dxfId="206" priority="53" operator="containsText" text="Ask">
      <formula>NOT(ISERROR(SEARCH("Ask",B1)))</formula>
    </cfRule>
  </conditionalFormatting>
  <conditionalFormatting sqref="N4:N1048576">
    <cfRule type="containsText" dxfId="205" priority="46" operator="containsText" text="Send">
      <formula>NOT(ISERROR(SEARCH("Send",N4)))</formula>
    </cfRule>
    <cfRule type="containsText" dxfId="204" priority="48" operator="containsText" text="Sent">
      <formula>NOT(ISERROR(SEARCH("Sent",N4)))</formula>
    </cfRule>
    <cfRule type="containsText" dxfId="203" priority="50" operator="containsText" text="Hold">
      <formula>NOT(ISERROR(SEARCH("Hold",N4)))</formula>
    </cfRule>
  </conditionalFormatting>
  <conditionalFormatting sqref="N1">
    <cfRule type="containsText" dxfId="202" priority="43" operator="containsText" text="Send">
      <formula>NOT(ISERROR(SEARCH("Send",N1)))</formula>
    </cfRule>
    <cfRule type="containsText" dxfId="201" priority="44" operator="containsText" text="Sent">
      <formula>NOT(ISERROR(SEARCH("Sent",N1)))</formula>
    </cfRule>
    <cfRule type="containsText" dxfId="200" priority="45" operator="containsText" text="Hold">
      <formula>NOT(ISERROR(SEARCH("Hold",N1)))</formula>
    </cfRule>
  </conditionalFormatting>
  <conditionalFormatting sqref="B3">
    <cfRule type="containsText" dxfId="199" priority="25" operator="containsText" text="Hold">
      <formula>NOT(ISERROR(SEARCH("Hold",B3)))</formula>
    </cfRule>
    <cfRule type="containsText" dxfId="198" priority="26" operator="containsText" text="Received">
      <formula>NOT(ISERROR(SEARCH("Received",B3)))</formula>
    </cfRule>
    <cfRule type="containsText" dxfId="197" priority="27" operator="containsText" text="Ask">
      <formula>NOT(ISERROR(SEARCH("Ask",B3)))</formula>
    </cfRule>
  </conditionalFormatting>
  <conditionalFormatting sqref="B2">
    <cfRule type="containsText" dxfId="196" priority="19" operator="containsText" text="Hold">
      <formula>NOT(ISERROR(SEARCH("Hold",B2)))</formula>
    </cfRule>
    <cfRule type="containsText" dxfId="195" priority="20" operator="containsText" text="Received">
      <formula>NOT(ISERROR(SEARCH("Received",B2)))</formula>
    </cfRule>
    <cfRule type="containsText" dxfId="194" priority="21" operator="containsText" text="Ask">
      <formula>NOT(ISERROR(SEARCH("Ask",B2)))</formula>
    </cfRule>
  </conditionalFormatting>
  <conditionalFormatting sqref="N2">
    <cfRule type="containsText" dxfId="193" priority="16" operator="containsText" text="Send">
      <formula>NOT(ISERROR(SEARCH("Send",N2)))</formula>
    </cfRule>
    <cfRule type="containsText" dxfId="192" priority="17" operator="containsText" text="Sent">
      <formula>NOT(ISERROR(SEARCH("Sent",N2)))</formula>
    </cfRule>
    <cfRule type="containsText" dxfId="191" priority="18" operator="containsText" text="Hold">
      <formula>NOT(ISERROR(SEARCH("Hold",N2)))</formula>
    </cfRule>
  </conditionalFormatting>
  <conditionalFormatting sqref="B27">
    <cfRule type="containsText" dxfId="190" priority="13" operator="containsText" text="Hold">
      <formula>NOT(ISERROR(SEARCH("Hold",B27)))</formula>
    </cfRule>
    <cfRule type="containsText" dxfId="189" priority="14" operator="containsText" text="Received">
      <formula>NOT(ISERROR(SEARCH("Received",B27)))</formula>
    </cfRule>
    <cfRule type="containsText" dxfId="188" priority="15" operator="containsText" text="Ask">
      <formula>NOT(ISERROR(SEARCH("Ask",B27)))</formula>
    </cfRule>
  </conditionalFormatting>
  <conditionalFormatting sqref="N3">
    <cfRule type="containsText" dxfId="187" priority="10" operator="containsText" text="Send">
      <formula>NOT(ISERROR(SEARCH("Send",N3)))</formula>
    </cfRule>
    <cfRule type="containsText" dxfId="186" priority="11" operator="containsText" text="Sent">
      <formula>NOT(ISERROR(SEARCH("Sent",N3)))</formula>
    </cfRule>
    <cfRule type="containsText" dxfId="185" priority="12" operator="containsText" text="Hold">
      <formula>NOT(ISERROR(SEARCH("Hold",N3)))</formula>
    </cfRule>
  </conditionalFormatting>
  <conditionalFormatting sqref="B26">
    <cfRule type="containsText" dxfId="184" priority="7" operator="containsText" text="Hold">
      <formula>NOT(ISERROR(SEARCH("Hold",B26)))</formula>
    </cfRule>
    <cfRule type="containsText" dxfId="183" priority="8" operator="containsText" text="Received">
      <formula>NOT(ISERROR(SEARCH("Received",B26)))</formula>
    </cfRule>
    <cfRule type="containsText" dxfId="182" priority="9" operator="containsText" text="Ask">
      <formula>NOT(ISERROR(SEARCH("Ask",B26)))</formula>
    </cfRule>
  </conditionalFormatting>
  <conditionalFormatting sqref="B26">
    <cfRule type="containsText" dxfId="181" priority="4" operator="containsText" text="Hold">
      <formula>NOT(ISERROR(SEARCH("Hold",B26)))</formula>
    </cfRule>
    <cfRule type="containsText" dxfId="180" priority="5" operator="containsText" text="Received">
      <formula>NOT(ISERROR(SEARCH("Received",B26)))</formula>
    </cfRule>
    <cfRule type="containsText" dxfId="179" priority="6" operator="containsText" text="Ask">
      <formula>NOT(ISERROR(SEARCH("Ask",B26)))</formula>
    </cfRule>
  </conditionalFormatting>
  <conditionalFormatting sqref="B25">
    <cfRule type="containsText" dxfId="178" priority="1" operator="containsText" text="Hold">
      <formula>NOT(ISERROR(SEARCH("Hold",B25)))</formula>
    </cfRule>
    <cfRule type="containsText" dxfId="177" priority="2" operator="containsText" text="Received">
      <formula>NOT(ISERROR(SEARCH("Received",B25)))</formula>
    </cfRule>
    <cfRule type="containsText" dxfId="176" priority="3" operator="containsText" text="Ask">
      <formula>NOT(ISERROR(SEARCH("Ask",B25)))</formula>
    </cfRule>
  </conditionalFormatting>
  <dataValidations count="3">
    <dataValidation type="list" allowBlank="1" showInputMessage="1" showErrorMessage="1" sqref="B2:B1048576" xr:uid="{3691BFF6-6C67-49EF-BDCA-BBF36BA274C5}">
      <formula1>"Hold, Ask, Received"</formula1>
    </dataValidation>
    <dataValidation type="list" allowBlank="1" showInputMessage="1" showErrorMessage="1" sqref="N1:N1048576" xr:uid="{7B3E808F-850E-45B1-97D1-B3A14DA953B0}">
      <formula1>"Hold, Send, Sent"</formula1>
    </dataValidation>
    <dataValidation type="list" allowBlank="1" showInputMessage="1" showErrorMessage="1" sqref="L5:L7" xr:uid="{AED110DC-B8DC-4720-9F1C-F542CEB07B7C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5" r:id="rId4" name="Button 19">
              <controlPr defaultSize="0" print="0" autoFill="0" autoPict="0" macro="[0]!GenerateAdvancePaymentReport">
                <anchor moveWithCells="1" sizeWithCells="1">
                  <from>
                    <xdr:col>9</xdr:col>
                    <xdr:colOff>485775</xdr:colOff>
                    <xdr:row>6</xdr:row>
                    <xdr:rowOff>180975</xdr:rowOff>
                  </from>
                  <to>
                    <xdr:col>11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5" name="Button 20">
              <controlPr defaultSize="0" print="0" autoFill="0" autoPict="0" macro="[0]!AdvanceTemplateBrowse">
                <anchor moveWithCells="1" sizeWithCells="1">
                  <from>
                    <xdr:col>10</xdr:col>
                    <xdr:colOff>1876425</xdr:colOff>
                    <xdr:row>0</xdr:row>
                    <xdr:rowOff>180975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6" name="Button 21">
              <controlPr defaultSize="0" print="0" autoFill="0" autoPict="0" macro="[0]!GenAsk">
                <anchor moveWithCells="1" sizeWithCells="1">
                  <from>
                    <xdr:col>10</xdr:col>
                    <xdr:colOff>0</xdr:colOff>
                    <xdr:row>11</xdr:row>
                    <xdr:rowOff>180975</xdr:rowOff>
                  </from>
                  <to>
                    <xdr:col>11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7" name="Button 26">
              <controlPr defaultSize="0" print="0" autoFill="0" autoPict="0" macro="[0]!GenSend">
                <anchor moveWithCells="1" sizeWithCells="1">
                  <from>
                    <xdr:col>9</xdr:col>
                    <xdr:colOff>466725</xdr:colOff>
                    <xdr:row>15</xdr:row>
                    <xdr:rowOff>180975</xdr:rowOff>
                  </from>
                  <to>
                    <xdr:col>11</xdr:col>
                    <xdr:colOff>9525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8" name="Button 31">
              <controlPr defaultSize="0" print="0" autoFill="0" autoPict="0" macro="[0]!GenDueDate">
                <anchor moveWithCells="1" sizeWithCells="1">
                  <from>
                    <xdr:col>10</xdr:col>
                    <xdr:colOff>0</xdr:colOff>
                    <xdr:row>18</xdr:row>
                    <xdr:rowOff>180975</xdr:rowOff>
                  </from>
                  <to>
                    <xdr:col>11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1" operator="containsText" id="{A48EB4CB-8337-475B-9756-8043E5A973D5}">
            <xm:f>NOT(ISERROR(SEARCH("Ask",B1)))</xm:f>
            <xm:f>"Ask"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B1:C1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1F3E7FD-523B-4215-8ED3-C40056F284D4}">
          <x14:formula1>
            <xm:f>'Master Database'!$E:$E</xm:f>
          </x14:formula1>
          <xm:sqref>E5:E1048576</xm:sqref>
        </x14:dataValidation>
        <x14:dataValidation type="list" allowBlank="1" showInputMessage="1" showErrorMessage="1" xr:uid="{85678C4D-2316-4199-B426-9528C8F078BB}">
          <x14:formula1>
            <xm:f>'Master Database'!$C:$C</xm:f>
          </x14:formula1>
          <xm:sqref>Q5:Q1048576 Q1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BB58-90BD-47D9-9143-6D9094E1A626}">
  <sheetPr codeName="Sheet18">
    <tabColor rgb="FF00B050"/>
  </sheetPr>
  <dimension ref="C2:E8"/>
  <sheetViews>
    <sheetView workbookViewId="0">
      <selection activeCell="D4" sqref="D4"/>
    </sheetView>
  </sheetViews>
  <sheetFormatPr defaultRowHeight="15"/>
  <cols>
    <col min="3" max="3" width="25.7109375" bestFit="1" customWidth="1"/>
  </cols>
  <sheetData>
    <row r="2" spans="3:5">
      <c r="C2" t="s">
        <v>25</v>
      </c>
      <c r="D2" t="s">
        <v>77</v>
      </c>
    </row>
    <row r="3" spans="3:5">
      <c r="C3" t="s">
        <v>26</v>
      </c>
      <c r="D3">
        <f>COUNTIF(Checklist!C:C,Dashboard!C3)</f>
        <v>0</v>
      </c>
    </row>
    <row r="4" spans="3:5">
      <c r="C4" t="s">
        <v>470</v>
      </c>
      <c r="D4">
        <f>COUNTIF(Checklist!C:C,Dashboard!C4)</f>
        <v>1</v>
      </c>
    </row>
    <row r="5" spans="3:5">
      <c r="C5" t="s">
        <v>27</v>
      </c>
      <c r="D5">
        <f>COUNTIF(Checklist!C:C,Dashboard!C5)</f>
        <v>1</v>
      </c>
    </row>
    <row r="6" spans="3:5">
      <c r="C6" t="s">
        <v>465</v>
      </c>
      <c r="D6">
        <f>COUNTIF(Checklist!C:C,Dashboard!C6)</f>
        <v>0</v>
      </c>
      <c r="E6">
        <f>D6-27</f>
        <v>-27</v>
      </c>
    </row>
    <row r="7" spans="3:5">
      <c r="C7" t="s">
        <v>394</v>
      </c>
      <c r="D7">
        <f>COUNTIF(Checklist!C:C,Dashboard!C7)</f>
        <v>1</v>
      </c>
    </row>
    <row r="8" spans="3:5">
      <c r="C8" t="s">
        <v>413</v>
      </c>
      <c r="D8">
        <f>COUNTIF(Checklist!C:C,Dashboard!C8)</f>
        <v>0</v>
      </c>
    </row>
  </sheetData>
  <autoFilter ref="C2:D8" xr:uid="{14E8BB58-90BD-47D9-9143-6D9094E1A62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CBD3-4081-49BB-BD75-56E13D2E0D70}">
  <sheetPr codeName="Sheet16">
    <pageSetUpPr fitToPage="1"/>
  </sheetPr>
  <dimension ref="A1:D146"/>
  <sheetViews>
    <sheetView zoomScale="114" zoomScaleNormal="115" workbookViewId="0">
      <selection activeCell="B44" sqref="B44"/>
    </sheetView>
  </sheetViews>
  <sheetFormatPr defaultColWidth="9.140625" defaultRowHeight="15"/>
  <cols>
    <col min="1" max="1" width="19" style="2" customWidth="1"/>
    <col min="2" max="2" width="55" style="2" bestFit="1" customWidth="1"/>
    <col min="3" max="3" width="29" style="2" bestFit="1" customWidth="1"/>
    <col min="4" max="16384" width="9.140625" style="2"/>
  </cols>
  <sheetData>
    <row r="1" spans="1:4" customFormat="1" ht="21">
      <c r="A1" s="118" t="s">
        <v>23</v>
      </c>
      <c r="B1" s="118" t="s">
        <v>24</v>
      </c>
      <c r="C1" s="118" t="s">
        <v>25</v>
      </c>
      <c r="D1" t="str">
        <f>"Total "&amp;COUNTA(A2:A178)</f>
        <v>Total 3</v>
      </c>
    </row>
    <row r="2" spans="1:4">
      <c r="A2" s="2" t="s">
        <v>393</v>
      </c>
      <c r="B2" s="2" t="s">
        <v>469</v>
      </c>
      <c r="C2" s="2" t="s">
        <v>470</v>
      </c>
    </row>
    <row r="3" spans="1:4">
      <c r="A3" s="2" t="s">
        <v>466</v>
      </c>
      <c r="B3" s="2" t="s">
        <v>467</v>
      </c>
      <c r="C3" s="2" t="s">
        <v>27</v>
      </c>
    </row>
    <row r="4" spans="1:4">
      <c r="A4" s="2" t="s">
        <v>393</v>
      </c>
      <c r="B4" s="2" t="s">
        <v>471</v>
      </c>
      <c r="C4" s="2" t="s">
        <v>394</v>
      </c>
    </row>
    <row r="137" spans="4:4">
      <c r="D137" s="2" t="s">
        <v>468</v>
      </c>
    </row>
    <row r="140" spans="4:4">
      <c r="D140" s="2" t="s">
        <v>468</v>
      </c>
    </row>
    <row r="143" spans="4:4">
      <c r="D143" s="2" t="s">
        <v>468</v>
      </c>
    </row>
    <row r="146" spans="4:4">
      <c r="D146" s="2" t="s">
        <v>468</v>
      </c>
    </row>
  </sheetData>
  <sheetProtection sheet="1" objects="1" scenarios="1" formatCells="0" formatColumns="0" formatRows="0" sort="0" autoFilter="0"/>
  <autoFilter ref="A1:C178" xr:uid="{211BE02E-FE51-48F7-B1AD-D7F98E6335D5}"/>
  <pageMargins left="0.7" right="0.7" top="0.75" bottom="0.75" header="0.3" footer="0.3"/>
  <pageSetup paperSize="9" scale="88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Checklist">
                <anchor moveWithCells="1" sizeWithCells="1">
                  <from>
                    <xdr:col>3</xdr:col>
                    <xdr:colOff>600075</xdr:colOff>
                    <xdr:row>0</xdr:row>
                    <xdr:rowOff>238125</xdr:rowOff>
                  </from>
                  <to>
                    <xdr:col>6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4883"/>
  <sheetViews>
    <sheetView zoomScale="112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2" sqref="T2"/>
    </sheetView>
  </sheetViews>
  <sheetFormatPr defaultColWidth="9.140625" defaultRowHeight="15"/>
  <cols>
    <col min="1" max="1" width="11.140625" bestFit="1" customWidth="1"/>
    <col min="2" max="2" width="19.42578125" bestFit="1" customWidth="1"/>
    <col min="3" max="3" width="9.5703125" style="24" bestFit="1" customWidth="1"/>
    <col min="4" max="4" width="8.42578125" customWidth="1"/>
    <col min="5" max="5" width="9.85546875" style="2" customWidth="1"/>
    <col min="6" max="6" width="11.42578125" style="2" customWidth="1"/>
    <col min="7" max="7" width="10.140625" style="2" customWidth="1"/>
    <col min="8" max="8" width="29.140625" style="2" customWidth="1"/>
    <col min="9" max="9" width="11" style="15" bestFit="1" customWidth="1"/>
    <col min="10" max="10" width="19.140625" style="15" customWidth="1"/>
    <col min="11" max="11" width="11.140625" bestFit="1" customWidth="1"/>
    <col min="12" max="12" width="54.42578125" customWidth="1"/>
    <col min="13" max="13" width="11.140625" bestFit="1" customWidth="1"/>
    <col min="14" max="14" width="11.85546875" bestFit="1" customWidth="1"/>
    <col min="15" max="15" width="13.85546875" bestFit="1" customWidth="1"/>
    <col min="16" max="16" width="12.140625" customWidth="1"/>
    <col min="19" max="19" width="9.140625" style="2"/>
    <col min="20" max="20" width="10.140625" style="2" bestFit="1" customWidth="1"/>
    <col min="21" max="16384" width="9.140625" style="2"/>
  </cols>
  <sheetData>
    <row r="1" spans="1:20" customFormat="1" ht="39">
      <c r="A1" s="10" t="s">
        <v>75</v>
      </c>
      <c r="B1" s="10" t="s">
        <v>76</v>
      </c>
      <c r="C1" s="11" t="s">
        <v>37</v>
      </c>
      <c r="D1" s="10" t="s">
        <v>77</v>
      </c>
      <c r="E1" s="10" t="s">
        <v>78</v>
      </c>
      <c r="F1" s="10" t="s">
        <v>79</v>
      </c>
      <c r="G1" s="10" t="s">
        <v>80</v>
      </c>
      <c r="H1" s="10" t="s">
        <v>40</v>
      </c>
      <c r="I1" s="126" t="s">
        <v>81</v>
      </c>
      <c r="J1" s="126" t="s">
        <v>82</v>
      </c>
      <c r="K1" s="10" t="s">
        <v>83</v>
      </c>
      <c r="L1" s="10" t="s">
        <v>84</v>
      </c>
      <c r="M1" s="15">
        <v>45344</v>
      </c>
    </row>
    <row r="2" spans="1:20">
      <c r="A2" s="23" t="e">
        <f>IF(Sheet2!#REF!&lt;&gt;"",Sheet2!#REF!,"")</f>
        <v>#REF!</v>
      </c>
      <c r="B2" s="33" t="e">
        <f>IF(Sheet2!#REF!&lt;&gt;"",Sheet2!#REF!,"")</f>
        <v>#REF!</v>
      </c>
      <c r="C2" s="34" t="e">
        <f>IF(Sheet2!#REF!&lt;&gt;"",Sheet2!#REF!,"")</f>
        <v>#REF!</v>
      </c>
      <c r="D2" s="35" t="str">
        <f ca="1">IFERROR(IF(AND((C2-TODAY())&lt;15,B2&lt;&gt;""),IF(I2="","Alert",""),""),"")</f>
        <v/>
      </c>
      <c r="E2" s="3" t="s">
        <v>43</v>
      </c>
      <c r="F2" s="3" t="s">
        <v>43</v>
      </c>
      <c r="G2" s="3" t="s">
        <v>43</v>
      </c>
      <c r="H2" s="3"/>
      <c r="I2" s="15" t="s">
        <v>85</v>
      </c>
      <c r="J2" s="15" t="s">
        <v>85</v>
      </c>
      <c r="K2" t="str">
        <f ca="1">IFERROR(IF(I2&lt;&gt;"",IF(J2="",IF(TODAY()-I2&gt;3,"ALERT",""),""),""),"")</f>
        <v/>
      </c>
      <c r="S2" s="12"/>
      <c r="T2" s="15"/>
    </row>
    <row r="3" spans="1:20">
      <c r="A3" s="23" t="e">
        <f>IF(Sheet2!#REF!&lt;&gt;"",Sheet2!#REF!,"")</f>
        <v>#REF!</v>
      </c>
      <c r="B3" s="33" t="e">
        <f>IF(Sheet2!#REF!&lt;&gt;"",Sheet2!#REF!,"")</f>
        <v>#REF!</v>
      </c>
      <c r="C3" s="34" t="e">
        <f>IF(Sheet2!#REF!&lt;&gt;"",Sheet2!#REF!,"")</f>
        <v>#REF!</v>
      </c>
      <c r="D3" s="35" t="str">
        <f ca="1">IFERROR(IF(AND((C3-TODAY())&lt;15,B3&lt;&gt;""),IF(I3="","Alert",""),""),"")</f>
        <v/>
      </c>
      <c r="E3" s="3"/>
      <c r="F3" s="3"/>
      <c r="G3" s="3"/>
      <c r="H3" s="3"/>
      <c r="K3" t="str">
        <f t="shared" ref="K3:K27" ca="1" si="0">IFERROR(IF(I3&lt;&gt;"",IF(J3="",IF(TODAY()-I3&gt;3,"ALERT",""),""),""),"")</f>
        <v/>
      </c>
    </row>
    <row r="4" spans="1:20">
      <c r="A4" s="23" t="e">
        <f>IF(Sheet2!#REF!&lt;&gt;"",Sheet2!#REF!,"")</f>
        <v>#REF!</v>
      </c>
      <c r="B4" s="33" t="e">
        <f>IF(Sheet2!#REF!&lt;&gt;"",Sheet2!#REF!,"")</f>
        <v>#REF!</v>
      </c>
      <c r="C4" s="34" t="e">
        <f>IF(Sheet2!#REF!&lt;&gt;"",Sheet2!#REF!,"")</f>
        <v>#REF!</v>
      </c>
      <c r="D4" s="35" t="str">
        <f t="shared" ref="D4:D66" ca="1" si="1">IFERROR(IF(AND((C4-TODAY())&lt;15,B4&lt;&gt;""),IF(I4="","Alert",""),""),"")</f>
        <v/>
      </c>
      <c r="E4" s="3"/>
      <c r="F4" s="3"/>
      <c r="G4" s="3"/>
      <c r="H4" s="3"/>
      <c r="K4" t="str">
        <f t="shared" ca="1" si="0"/>
        <v/>
      </c>
    </row>
    <row r="5" spans="1:20">
      <c r="A5" s="23" t="e">
        <f>IF(Sheet2!#REF!&lt;&gt;"",Sheet2!#REF!,"")</f>
        <v>#REF!</v>
      </c>
      <c r="B5" s="33" t="e">
        <f>IF(Sheet2!#REF!&lt;&gt;"",Sheet2!#REF!,"")</f>
        <v>#REF!</v>
      </c>
      <c r="C5" s="34" t="e">
        <f>IF(Sheet2!#REF!&lt;&gt;"",Sheet2!#REF!,"")</f>
        <v>#REF!</v>
      </c>
      <c r="D5" s="35" t="str">
        <f t="shared" ca="1" si="1"/>
        <v/>
      </c>
      <c r="E5" s="3"/>
      <c r="F5" s="3"/>
      <c r="G5" s="3"/>
      <c r="H5" s="3"/>
      <c r="K5" t="str">
        <f t="shared" ca="1" si="0"/>
        <v/>
      </c>
    </row>
    <row r="6" spans="1:20">
      <c r="A6" s="23" t="e">
        <f>IF(Sheet2!#REF!&lt;&gt;"",Sheet2!#REF!,"")</f>
        <v>#REF!</v>
      </c>
      <c r="B6" s="33" t="e">
        <f>IF(Sheet2!#REF!&lt;&gt;"",Sheet2!#REF!,"")</f>
        <v>#REF!</v>
      </c>
      <c r="C6" s="34" t="e">
        <f>IF(Sheet2!#REF!&lt;&gt;"",Sheet2!#REF!,"")</f>
        <v>#REF!</v>
      </c>
      <c r="D6" s="35" t="str">
        <f t="shared" ca="1" si="1"/>
        <v/>
      </c>
      <c r="E6" s="3"/>
      <c r="F6" s="3"/>
      <c r="G6" s="3"/>
      <c r="H6" s="3"/>
      <c r="K6" t="str">
        <f t="shared" ca="1" si="0"/>
        <v/>
      </c>
    </row>
    <row r="7" spans="1:20">
      <c r="A7" s="23" t="e">
        <f>IF(Sheet2!#REF!&lt;&gt;"",Sheet2!#REF!,"")</f>
        <v>#REF!</v>
      </c>
      <c r="B7" s="33" t="e">
        <f>IF(Sheet2!#REF!&lt;&gt;"",Sheet2!#REF!,"")</f>
        <v>#REF!</v>
      </c>
      <c r="C7" s="34" t="e">
        <f>IF(Sheet2!#REF!&lt;&gt;"",Sheet2!#REF!,"")</f>
        <v>#REF!</v>
      </c>
      <c r="D7" s="35" t="str">
        <f t="shared" ca="1" si="1"/>
        <v/>
      </c>
      <c r="E7" s="3"/>
      <c r="F7" s="3"/>
      <c r="G7" s="3"/>
      <c r="H7" s="3"/>
      <c r="K7" t="str">
        <f t="shared" ca="1" si="0"/>
        <v/>
      </c>
    </row>
    <row r="8" spans="1:20">
      <c r="A8" s="23" t="e">
        <f>IF(Sheet2!#REF!&lt;&gt;"",Sheet2!#REF!,"")</f>
        <v>#REF!</v>
      </c>
      <c r="B8" s="33" t="e">
        <f>IF(Sheet2!#REF!&lt;&gt;"",Sheet2!#REF!,"")</f>
        <v>#REF!</v>
      </c>
      <c r="C8" s="34" t="e">
        <f>IF(Sheet2!#REF!&lt;&gt;"",Sheet2!#REF!,"")</f>
        <v>#REF!</v>
      </c>
      <c r="D8" s="35" t="str">
        <f t="shared" ca="1" si="1"/>
        <v/>
      </c>
      <c r="E8" s="3"/>
      <c r="F8" s="3"/>
      <c r="G8" s="3"/>
      <c r="H8" s="3"/>
      <c r="K8" t="str">
        <f t="shared" ca="1" si="0"/>
        <v/>
      </c>
    </row>
    <row r="9" spans="1:20">
      <c r="A9" s="23" t="e">
        <f>IF(Sheet2!#REF!&lt;&gt;"",Sheet2!#REF!,"")</f>
        <v>#REF!</v>
      </c>
      <c r="B9" s="33" t="e">
        <f>IF(Sheet2!#REF!&lt;&gt;"",Sheet2!#REF!,"")</f>
        <v>#REF!</v>
      </c>
      <c r="C9" s="34" t="e">
        <f>IF(Sheet2!#REF!&lt;&gt;"",Sheet2!#REF!,"")</f>
        <v>#REF!</v>
      </c>
      <c r="D9" s="35" t="str">
        <f t="shared" ca="1" si="1"/>
        <v/>
      </c>
      <c r="E9" s="3"/>
      <c r="F9" s="3"/>
      <c r="G9" s="3"/>
      <c r="H9" s="3"/>
      <c r="K9" t="str">
        <f t="shared" ca="1" si="0"/>
        <v/>
      </c>
    </row>
    <row r="10" spans="1:20">
      <c r="A10" s="23" t="e">
        <f>IF(Sheet2!#REF!&lt;&gt;"",Sheet2!#REF!,"")</f>
        <v>#REF!</v>
      </c>
      <c r="B10" s="33" t="e">
        <f>IF(Sheet2!#REF!&lt;&gt;"",Sheet2!#REF!,"")</f>
        <v>#REF!</v>
      </c>
      <c r="C10" s="34" t="e">
        <f>IF(Sheet2!#REF!&lt;&gt;"",Sheet2!#REF!,"")</f>
        <v>#REF!</v>
      </c>
      <c r="D10" s="35" t="str">
        <f t="shared" ca="1" si="1"/>
        <v/>
      </c>
      <c r="E10" s="3"/>
      <c r="F10" s="3"/>
      <c r="G10" s="3"/>
      <c r="H10" s="3"/>
      <c r="K10" t="str">
        <f t="shared" ca="1" si="0"/>
        <v/>
      </c>
    </row>
    <row r="11" spans="1:20">
      <c r="A11" s="23" t="e">
        <f>IF(Sheet2!#REF!&lt;&gt;"",Sheet2!#REF!,"")</f>
        <v>#REF!</v>
      </c>
      <c r="B11" s="33" t="e">
        <f>IF(Sheet2!#REF!&lt;&gt;"",Sheet2!#REF!,"")</f>
        <v>#REF!</v>
      </c>
      <c r="C11" s="34" t="e">
        <f>IF(Sheet2!#REF!&lt;&gt;"",Sheet2!#REF!,"")</f>
        <v>#REF!</v>
      </c>
      <c r="D11" s="35" t="str">
        <f t="shared" ca="1" si="1"/>
        <v/>
      </c>
      <c r="E11" s="3"/>
      <c r="F11" s="3"/>
      <c r="G11" s="3"/>
      <c r="H11" s="3"/>
      <c r="K11" t="str">
        <f t="shared" ca="1" si="0"/>
        <v/>
      </c>
    </row>
    <row r="12" spans="1:20">
      <c r="A12" s="23" t="e">
        <f>IF(Sheet2!#REF!&lt;&gt;"",Sheet2!#REF!,"")</f>
        <v>#REF!</v>
      </c>
      <c r="B12" s="33" t="e">
        <f>IF(Sheet2!#REF!&lt;&gt;"",Sheet2!#REF!,"")</f>
        <v>#REF!</v>
      </c>
      <c r="C12" s="34" t="e">
        <f>IF(Sheet2!#REF!&lt;&gt;"",Sheet2!#REF!,"")</f>
        <v>#REF!</v>
      </c>
      <c r="D12" s="35" t="str">
        <f t="shared" ca="1" si="1"/>
        <v/>
      </c>
      <c r="E12" s="3"/>
      <c r="F12" s="3"/>
      <c r="G12" s="3"/>
      <c r="H12" s="3"/>
      <c r="K12" t="str">
        <f t="shared" ca="1" si="0"/>
        <v/>
      </c>
    </row>
    <row r="13" spans="1:20">
      <c r="A13" s="23" t="e">
        <f>IF(Sheet2!#REF!&lt;&gt;"",Sheet2!#REF!,"")</f>
        <v>#REF!</v>
      </c>
      <c r="B13" s="33" t="e">
        <f>IF(Sheet2!#REF!&lt;&gt;"",Sheet2!#REF!,"")</f>
        <v>#REF!</v>
      </c>
      <c r="C13" s="34" t="e">
        <f>IF(Sheet2!#REF!&lt;&gt;"",Sheet2!#REF!,"")</f>
        <v>#REF!</v>
      </c>
      <c r="D13" s="35" t="str">
        <f t="shared" ca="1" si="1"/>
        <v/>
      </c>
      <c r="E13" s="3"/>
      <c r="F13" s="3"/>
      <c r="G13" s="3"/>
      <c r="H13" s="3"/>
      <c r="K13" t="str">
        <f t="shared" ca="1" si="0"/>
        <v/>
      </c>
    </row>
    <row r="14" spans="1:20">
      <c r="A14" s="23" t="e">
        <f>IF(Sheet2!#REF!&lt;&gt;"",Sheet2!#REF!,"")</f>
        <v>#REF!</v>
      </c>
      <c r="B14" s="33" t="e">
        <f>IF(Sheet2!#REF!&lt;&gt;"",Sheet2!#REF!,"")</f>
        <v>#REF!</v>
      </c>
      <c r="C14" s="34" t="e">
        <f>IF(Sheet2!#REF!&lt;&gt;"",Sheet2!#REF!,"")</f>
        <v>#REF!</v>
      </c>
      <c r="D14" s="35" t="str">
        <f t="shared" ca="1" si="1"/>
        <v/>
      </c>
      <c r="E14" s="3"/>
      <c r="F14" s="3"/>
      <c r="G14" s="3"/>
      <c r="H14" s="3"/>
      <c r="K14" t="str">
        <f t="shared" ca="1" si="0"/>
        <v/>
      </c>
    </row>
    <row r="15" spans="1:20">
      <c r="A15" s="23" t="e">
        <f>IF(Sheet2!#REF!&lt;&gt;"",Sheet2!#REF!,"")</f>
        <v>#REF!</v>
      </c>
      <c r="B15" s="33" t="e">
        <f>IF(Sheet2!#REF!&lt;&gt;"",Sheet2!#REF!,"")</f>
        <v>#REF!</v>
      </c>
      <c r="C15" s="34" t="e">
        <f>IF(Sheet2!#REF!&lt;&gt;"",Sheet2!#REF!,"")</f>
        <v>#REF!</v>
      </c>
      <c r="D15" s="35" t="str">
        <f t="shared" ca="1" si="1"/>
        <v/>
      </c>
      <c r="E15" s="3"/>
      <c r="F15" s="3"/>
      <c r="G15" s="3"/>
      <c r="H15" s="3"/>
      <c r="K15" t="str">
        <f t="shared" ca="1" si="0"/>
        <v/>
      </c>
    </row>
    <row r="16" spans="1:20">
      <c r="A16" s="23" t="e">
        <f>IF(Sheet2!#REF!&lt;&gt;"",Sheet2!#REF!,"")</f>
        <v>#REF!</v>
      </c>
      <c r="B16" s="33" t="e">
        <f>IF(Sheet2!#REF!&lt;&gt;"",Sheet2!#REF!,"")</f>
        <v>#REF!</v>
      </c>
      <c r="C16" s="34" t="e">
        <f>IF(Sheet2!#REF!&lt;&gt;"",Sheet2!#REF!,"")</f>
        <v>#REF!</v>
      </c>
      <c r="D16" s="35" t="str">
        <f t="shared" ca="1" si="1"/>
        <v/>
      </c>
      <c r="E16" s="3"/>
      <c r="F16" s="3"/>
      <c r="G16" s="3"/>
      <c r="H16" s="3"/>
      <c r="K16" t="str">
        <f t="shared" ca="1" si="0"/>
        <v/>
      </c>
    </row>
    <row r="17" spans="1:11">
      <c r="A17" s="23" t="e">
        <f>IF(Sheet2!#REF!&lt;&gt;"",Sheet2!#REF!,"")</f>
        <v>#REF!</v>
      </c>
      <c r="B17" s="33" t="e">
        <f>IF(Sheet2!#REF!&lt;&gt;"",Sheet2!#REF!,"")</f>
        <v>#REF!</v>
      </c>
      <c r="C17" s="34" t="e">
        <f>IF(Sheet2!#REF!&lt;&gt;"",Sheet2!#REF!,"")</f>
        <v>#REF!</v>
      </c>
      <c r="D17" s="35" t="str">
        <f ca="1">IFERROR(IF(AND((C17-TODAY())&lt;15,B17&lt;&gt;""),IF(I17="","Alert",""),""),"")</f>
        <v/>
      </c>
      <c r="E17" s="3"/>
      <c r="F17" s="3"/>
      <c r="G17" s="3"/>
      <c r="H17" s="3"/>
      <c r="K17" t="str">
        <f t="shared" ca="1" si="0"/>
        <v/>
      </c>
    </row>
    <row r="18" spans="1:11">
      <c r="A18" s="23" t="e">
        <f>IF(Sheet2!#REF!&lt;&gt;"",Sheet2!#REF!,"")</f>
        <v>#REF!</v>
      </c>
      <c r="B18" s="33" t="e">
        <f>IF(Sheet2!#REF!&lt;&gt;"",Sheet2!#REF!,"")</f>
        <v>#REF!</v>
      </c>
      <c r="C18" s="34" t="e">
        <f>IF(Sheet2!#REF!&lt;&gt;"",Sheet2!#REF!,"")</f>
        <v>#REF!</v>
      </c>
      <c r="D18" s="35" t="str">
        <f t="shared" ca="1" si="1"/>
        <v/>
      </c>
      <c r="E18" s="3"/>
      <c r="F18" s="3"/>
      <c r="G18" s="3"/>
      <c r="H18" s="3"/>
      <c r="K18" t="str">
        <f t="shared" ca="1" si="0"/>
        <v/>
      </c>
    </row>
    <row r="19" spans="1:11">
      <c r="A19" s="23" t="e">
        <f>IF(Sheet2!#REF!&lt;&gt;"",Sheet2!#REF!,"")</f>
        <v>#REF!</v>
      </c>
      <c r="B19" s="33" t="e">
        <f>IF(Sheet2!#REF!&lt;&gt;"",Sheet2!#REF!,"")</f>
        <v>#REF!</v>
      </c>
      <c r="C19" s="34" t="e">
        <f>IF(Sheet2!#REF!&lt;&gt;"",Sheet2!#REF!,"")</f>
        <v>#REF!</v>
      </c>
      <c r="D19" s="35" t="str">
        <f t="shared" ca="1" si="1"/>
        <v/>
      </c>
      <c r="E19" s="3"/>
      <c r="F19" s="3"/>
      <c r="G19" s="3"/>
      <c r="H19" s="3"/>
      <c r="K19" t="str">
        <f t="shared" ca="1" si="0"/>
        <v/>
      </c>
    </row>
    <row r="20" spans="1:11">
      <c r="A20" s="23" t="e">
        <f>IF(Sheet2!#REF!&lt;&gt;"",Sheet2!#REF!,"")</f>
        <v>#REF!</v>
      </c>
      <c r="B20" s="33" t="e">
        <f>IF(Sheet2!#REF!&lt;&gt;"",Sheet2!#REF!,"")</f>
        <v>#REF!</v>
      </c>
      <c r="C20" s="34" t="e">
        <f>IF(Sheet2!#REF!&lt;&gt;"",Sheet2!#REF!,"")</f>
        <v>#REF!</v>
      </c>
      <c r="D20" s="35" t="str">
        <f t="shared" ca="1" si="1"/>
        <v/>
      </c>
      <c r="E20" s="3"/>
      <c r="F20" s="3"/>
      <c r="G20" s="3"/>
      <c r="H20" s="3"/>
      <c r="K20" t="str">
        <f t="shared" ca="1" si="0"/>
        <v/>
      </c>
    </row>
    <row r="21" spans="1:11">
      <c r="A21" s="23" t="e">
        <f>IF(Sheet2!#REF!&lt;&gt;"",Sheet2!#REF!,"")</f>
        <v>#REF!</v>
      </c>
      <c r="B21" s="33" t="e">
        <f>IF(Sheet2!#REF!&lt;&gt;"",Sheet2!#REF!,"")</f>
        <v>#REF!</v>
      </c>
      <c r="C21" s="34" t="e">
        <f>IF(Sheet2!#REF!&lt;&gt;"",Sheet2!#REF!,"")</f>
        <v>#REF!</v>
      </c>
      <c r="D21" s="35" t="str">
        <f t="shared" ca="1" si="1"/>
        <v/>
      </c>
      <c r="E21" s="3"/>
      <c r="F21" s="3"/>
      <c r="G21" s="3"/>
      <c r="H21" s="3"/>
      <c r="K21" t="str">
        <f t="shared" ca="1" si="0"/>
        <v/>
      </c>
    </row>
    <row r="22" spans="1:11">
      <c r="A22" s="23" t="e">
        <f>IF(Sheet2!#REF!&lt;&gt;"",Sheet2!#REF!,"")</f>
        <v>#REF!</v>
      </c>
      <c r="B22" s="33" t="e">
        <f>IF(Sheet2!#REF!&lt;&gt;"",Sheet2!#REF!,"")</f>
        <v>#REF!</v>
      </c>
      <c r="C22" s="34" t="e">
        <f>IF(Sheet2!#REF!&lt;&gt;"",Sheet2!#REF!,"")</f>
        <v>#REF!</v>
      </c>
      <c r="D22" s="35" t="str">
        <f t="shared" ca="1" si="1"/>
        <v/>
      </c>
      <c r="E22" s="3"/>
      <c r="F22" s="3"/>
      <c r="G22" s="3"/>
      <c r="H22" s="3"/>
      <c r="K22" t="str">
        <f t="shared" ca="1" si="0"/>
        <v/>
      </c>
    </row>
    <row r="23" spans="1:11">
      <c r="A23" s="23" t="e">
        <f>IF(Sheet2!#REF!&lt;&gt;"",Sheet2!#REF!,"")</f>
        <v>#REF!</v>
      </c>
      <c r="B23" s="33" t="e">
        <f>IF(Sheet2!#REF!&lt;&gt;"",Sheet2!#REF!,"")</f>
        <v>#REF!</v>
      </c>
      <c r="C23" s="34" t="e">
        <f>IF(Sheet2!#REF!&lt;&gt;"",Sheet2!#REF!,"")</f>
        <v>#REF!</v>
      </c>
      <c r="D23" s="35" t="str">
        <f t="shared" ca="1" si="1"/>
        <v/>
      </c>
      <c r="E23" s="3"/>
      <c r="F23" s="3"/>
      <c r="G23" s="3"/>
      <c r="H23" s="3"/>
      <c r="K23" t="str">
        <f t="shared" ca="1" si="0"/>
        <v/>
      </c>
    </row>
    <row r="24" spans="1:11">
      <c r="A24" s="23" t="e">
        <f>IF(Sheet2!#REF!&lt;&gt;"",Sheet2!#REF!,"")</f>
        <v>#REF!</v>
      </c>
      <c r="B24" s="33" t="e">
        <f>IF(Sheet2!#REF!&lt;&gt;"",Sheet2!#REF!,"")</f>
        <v>#REF!</v>
      </c>
      <c r="C24" s="34" t="e">
        <f>IF(Sheet2!#REF!&lt;&gt;"",Sheet2!#REF!,"")</f>
        <v>#REF!</v>
      </c>
      <c r="D24" s="35" t="str">
        <f t="shared" ca="1" si="1"/>
        <v/>
      </c>
      <c r="E24" s="3"/>
      <c r="F24" s="3"/>
      <c r="G24" s="3"/>
      <c r="H24" s="3"/>
      <c r="K24" t="str">
        <f t="shared" ca="1" si="0"/>
        <v/>
      </c>
    </row>
    <row r="25" spans="1:11">
      <c r="A25" s="23" t="e">
        <f>IF(Sheet2!#REF!&lt;&gt;"",Sheet2!#REF!,"")</f>
        <v>#REF!</v>
      </c>
      <c r="B25" s="33" t="e">
        <f>IF(Sheet2!#REF!&lt;&gt;"",Sheet2!#REF!,"")</f>
        <v>#REF!</v>
      </c>
      <c r="C25" s="34" t="e">
        <f>IF(Sheet2!#REF!&lt;&gt;"",Sheet2!#REF!,"")</f>
        <v>#REF!</v>
      </c>
      <c r="D25" s="35" t="str">
        <f t="shared" ca="1" si="1"/>
        <v/>
      </c>
      <c r="E25" s="3"/>
      <c r="F25" s="3"/>
      <c r="G25" s="3"/>
      <c r="H25" s="3"/>
      <c r="K25" t="str">
        <f t="shared" ca="1" si="0"/>
        <v/>
      </c>
    </row>
    <row r="26" spans="1:11">
      <c r="A26" s="23" t="e">
        <f>IF(Sheet2!#REF!&lt;&gt;"",Sheet2!#REF!,"")</f>
        <v>#REF!</v>
      </c>
      <c r="B26" s="33" t="e">
        <f>IF(Sheet2!#REF!&lt;&gt;"",Sheet2!#REF!,"")</f>
        <v>#REF!</v>
      </c>
      <c r="C26" s="34" t="e">
        <f>IF(Sheet2!#REF!&lt;&gt;"",Sheet2!#REF!,"")</f>
        <v>#REF!</v>
      </c>
      <c r="D26" s="35" t="str">
        <f t="shared" ca="1" si="1"/>
        <v/>
      </c>
      <c r="E26" s="3"/>
      <c r="F26" s="3"/>
      <c r="G26" s="3"/>
      <c r="H26" s="3"/>
      <c r="K26" t="str">
        <f t="shared" ca="1" si="0"/>
        <v/>
      </c>
    </row>
    <row r="27" spans="1:11">
      <c r="A27" s="23" t="e">
        <f>IF(Sheet2!#REF!&lt;&gt;"",Sheet2!#REF!,"")</f>
        <v>#REF!</v>
      </c>
      <c r="B27" s="33" t="e">
        <f>IF(Sheet2!#REF!&lt;&gt;"",Sheet2!#REF!,"")</f>
        <v>#REF!</v>
      </c>
      <c r="C27" s="34" t="e">
        <f>IF(Sheet2!#REF!&lt;&gt;"",Sheet2!#REF!,"")</f>
        <v>#REF!</v>
      </c>
      <c r="D27" s="35" t="str">
        <f t="shared" ca="1" si="1"/>
        <v/>
      </c>
      <c r="E27" s="3"/>
      <c r="F27" s="3"/>
      <c r="G27" s="3"/>
      <c r="K27" t="str">
        <f t="shared" ca="1" si="0"/>
        <v/>
      </c>
    </row>
    <row r="28" spans="1:11">
      <c r="A28" s="23" t="e">
        <f>IF(Sheet2!#REF!&lt;&gt;"",Sheet2!#REF!,"")</f>
        <v>#REF!</v>
      </c>
      <c r="B28" s="33" t="e">
        <f>IF(Sheet2!#REF!&lt;&gt;"",Sheet2!#REF!,"")</f>
        <v>#REF!</v>
      </c>
      <c r="C28" s="34" t="e">
        <f>IF(Sheet2!#REF!&lt;&gt;"",Sheet2!#REF!,"")</f>
        <v>#REF!</v>
      </c>
      <c r="D28" s="35" t="str">
        <f t="shared" ca="1" si="1"/>
        <v/>
      </c>
      <c r="E28" s="3"/>
      <c r="F28" s="3"/>
      <c r="G28" s="3"/>
      <c r="H28" s="3"/>
      <c r="K28" t="str">
        <f t="shared" ref="K28:K66" ca="1" si="2">IF(I28&lt;&gt;"",IF(J28="",IF(TODAY()-I28&gt;3,"ALERT",""),""),"")</f>
        <v/>
      </c>
    </row>
    <row r="29" spans="1:11">
      <c r="A29" s="23" t="e">
        <f>IF(Sheet2!#REF!&lt;&gt;"",Sheet2!#REF!,"")</f>
        <v>#REF!</v>
      </c>
      <c r="B29" s="33" t="e">
        <f>IF(Sheet2!#REF!&lt;&gt;"",Sheet2!#REF!,"")</f>
        <v>#REF!</v>
      </c>
      <c r="C29" s="34" t="e">
        <f>IF(Sheet2!#REF!&lt;&gt;"",Sheet2!#REF!,"")</f>
        <v>#REF!</v>
      </c>
      <c r="D29" s="35" t="str">
        <f t="shared" ca="1" si="1"/>
        <v/>
      </c>
      <c r="E29" s="3"/>
      <c r="F29" s="3"/>
      <c r="G29" s="3"/>
      <c r="H29" s="3"/>
      <c r="K29" t="str">
        <f t="shared" ca="1" si="2"/>
        <v/>
      </c>
    </row>
    <row r="30" spans="1:11">
      <c r="A30" s="23" t="e">
        <f>IF(Sheet2!#REF!&lt;&gt;"",Sheet2!#REF!,"")</f>
        <v>#REF!</v>
      </c>
      <c r="B30" s="33" t="e">
        <f>IF(Sheet2!#REF!&lt;&gt;"",Sheet2!#REF!,"")</f>
        <v>#REF!</v>
      </c>
      <c r="C30" s="34" t="e">
        <f>IF(Sheet2!#REF!&lt;&gt;"",Sheet2!#REF!,"")</f>
        <v>#REF!</v>
      </c>
      <c r="D30" s="35" t="str">
        <f t="shared" ca="1" si="1"/>
        <v/>
      </c>
      <c r="E30" s="3"/>
      <c r="F30" s="3"/>
      <c r="G30" s="3"/>
      <c r="H30" s="3"/>
      <c r="K30" t="str">
        <f t="shared" ca="1" si="2"/>
        <v/>
      </c>
    </row>
    <row r="31" spans="1:11">
      <c r="A31" s="23" t="e">
        <f>IF(Sheet2!#REF!&lt;&gt;"",Sheet2!#REF!,"")</f>
        <v>#REF!</v>
      </c>
      <c r="B31" s="33" t="e">
        <f>IF(Sheet2!#REF!&lt;&gt;"",Sheet2!#REF!,"")</f>
        <v>#REF!</v>
      </c>
      <c r="C31" s="34" t="e">
        <f>IF(Sheet2!#REF!&lt;&gt;"",Sheet2!#REF!,"")</f>
        <v>#REF!</v>
      </c>
      <c r="D31" s="35" t="str">
        <f t="shared" ca="1" si="1"/>
        <v/>
      </c>
      <c r="G31" s="3"/>
      <c r="H31" s="3"/>
      <c r="K31" t="str">
        <f t="shared" ca="1" si="2"/>
        <v/>
      </c>
    </row>
    <row r="32" spans="1:11">
      <c r="A32" s="23" t="e">
        <f>IF(Sheet2!#REF!&lt;&gt;"",Sheet2!#REF!,"")</f>
        <v>#REF!</v>
      </c>
      <c r="B32" s="33" t="e">
        <f>IF(Sheet2!#REF!&lt;&gt;"",Sheet2!#REF!,"")</f>
        <v>#REF!</v>
      </c>
      <c r="C32" s="34" t="e">
        <f>IF(Sheet2!#REF!&lt;&gt;"",Sheet2!#REF!,"")</f>
        <v>#REF!</v>
      </c>
      <c r="D32" s="35" t="str">
        <f t="shared" ca="1" si="1"/>
        <v/>
      </c>
      <c r="E32" s="3"/>
      <c r="F32" s="3"/>
      <c r="G32" s="3"/>
      <c r="H32" s="3"/>
      <c r="K32" t="str">
        <f t="shared" ca="1" si="2"/>
        <v/>
      </c>
    </row>
    <row r="33" spans="1:11">
      <c r="A33" s="23" t="e">
        <f>IF(Sheet2!#REF!&lt;&gt;"",Sheet2!#REF!,"")</f>
        <v>#REF!</v>
      </c>
      <c r="B33" s="33" t="e">
        <f>IF(Sheet2!#REF!&lt;&gt;"",Sheet2!#REF!,"")</f>
        <v>#REF!</v>
      </c>
      <c r="C33" s="34" t="e">
        <f>IF(Sheet2!#REF!&lt;&gt;"",Sheet2!#REF!,"")</f>
        <v>#REF!</v>
      </c>
      <c r="D33" s="35" t="str">
        <f t="shared" ca="1" si="1"/>
        <v/>
      </c>
      <c r="E33" s="3"/>
      <c r="F33" s="3"/>
      <c r="G33" s="3"/>
      <c r="H33" s="3"/>
      <c r="K33" t="str">
        <f t="shared" ca="1" si="2"/>
        <v/>
      </c>
    </row>
    <row r="34" spans="1:11">
      <c r="A34" s="23" t="e">
        <f>IF(Sheet2!#REF!&lt;&gt;"",Sheet2!#REF!,"")</f>
        <v>#REF!</v>
      </c>
      <c r="B34" s="33" t="e">
        <f>IF(Sheet2!#REF!&lt;&gt;"",Sheet2!#REF!,"")</f>
        <v>#REF!</v>
      </c>
      <c r="C34" s="34" t="e">
        <f>IF(Sheet2!#REF!&lt;&gt;"",Sheet2!#REF!,"")</f>
        <v>#REF!</v>
      </c>
      <c r="D34" s="35" t="str">
        <f t="shared" ca="1" si="1"/>
        <v/>
      </c>
      <c r="E34" s="3"/>
      <c r="F34" s="3"/>
      <c r="G34" s="3"/>
      <c r="H34" s="3"/>
      <c r="K34" t="str">
        <f t="shared" ca="1" si="2"/>
        <v/>
      </c>
    </row>
    <row r="35" spans="1:11">
      <c r="A35" s="23" t="e">
        <f>IF(Sheet2!#REF!&lt;&gt;"",Sheet2!#REF!,"")</f>
        <v>#REF!</v>
      </c>
      <c r="B35" s="33" t="e">
        <f>IF(Sheet2!#REF!&lt;&gt;"",Sheet2!#REF!,"")</f>
        <v>#REF!</v>
      </c>
      <c r="C35" s="34" t="e">
        <f>IF(Sheet2!#REF!&lt;&gt;"",Sheet2!#REF!,"")</f>
        <v>#REF!</v>
      </c>
      <c r="D35" s="35" t="str">
        <f t="shared" ca="1" si="1"/>
        <v/>
      </c>
      <c r="E35" s="3"/>
      <c r="F35" s="3"/>
      <c r="G35" s="3"/>
      <c r="H35" s="3"/>
      <c r="K35" t="str">
        <f t="shared" ca="1" si="2"/>
        <v/>
      </c>
    </row>
    <row r="36" spans="1:11">
      <c r="A36" s="23" t="e">
        <f>IF(Sheet2!#REF!&lt;&gt;"",Sheet2!#REF!,"")</f>
        <v>#REF!</v>
      </c>
      <c r="B36" s="33" t="e">
        <f>IF(Sheet2!#REF!&lt;&gt;"",Sheet2!#REF!,"")</f>
        <v>#REF!</v>
      </c>
      <c r="C36" s="34" t="e">
        <f>IF(Sheet2!#REF!&lt;&gt;"",Sheet2!#REF!,"")</f>
        <v>#REF!</v>
      </c>
      <c r="D36" s="35" t="str">
        <f t="shared" ca="1" si="1"/>
        <v/>
      </c>
      <c r="E36" s="3"/>
      <c r="F36" s="3"/>
      <c r="G36" s="3"/>
      <c r="H36" s="3"/>
      <c r="K36" t="str">
        <f t="shared" ca="1" si="2"/>
        <v/>
      </c>
    </row>
    <row r="37" spans="1:11">
      <c r="A37" s="23" t="e">
        <f>IF(Sheet2!#REF!&lt;&gt;"",Sheet2!#REF!,"")</f>
        <v>#REF!</v>
      </c>
      <c r="B37" s="33" t="e">
        <f>IF(Sheet2!#REF!&lt;&gt;"",Sheet2!#REF!,"")</f>
        <v>#REF!</v>
      </c>
      <c r="C37" s="34" t="e">
        <f>IF(Sheet2!#REF!&lt;&gt;"",Sheet2!#REF!,"")</f>
        <v>#REF!</v>
      </c>
      <c r="D37" s="35" t="str">
        <f t="shared" ca="1" si="1"/>
        <v/>
      </c>
      <c r="E37" s="3"/>
      <c r="F37" s="3"/>
      <c r="G37" s="3"/>
      <c r="H37" s="3"/>
      <c r="K37" t="str">
        <f t="shared" ca="1" si="2"/>
        <v/>
      </c>
    </row>
    <row r="38" spans="1:11">
      <c r="A38" s="23" t="e">
        <f>IF(Sheet2!#REF!&lt;&gt;"",Sheet2!#REF!,"")</f>
        <v>#REF!</v>
      </c>
      <c r="B38" s="33" t="e">
        <f>IF(Sheet2!#REF!&lt;&gt;"",Sheet2!#REF!,"")</f>
        <v>#REF!</v>
      </c>
      <c r="C38" s="34" t="e">
        <f>IF(Sheet2!#REF!&lt;&gt;"",Sheet2!#REF!,"")</f>
        <v>#REF!</v>
      </c>
      <c r="D38" s="35" t="str">
        <f t="shared" ca="1" si="1"/>
        <v/>
      </c>
      <c r="E38" s="3"/>
      <c r="F38" s="3"/>
      <c r="G38" s="3"/>
      <c r="H38" s="3"/>
      <c r="K38" t="str">
        <f t="shared" ca="1" si="2"/>
        <v/>
      </c>
    </row>
    <row r="39" spans="1:11">
      <c r="A39" s="23" t="e">
        <f>IF(Sheet2!#REF!&lt;&gt;"",Sheet2!#REF!,"")</f>
        <v>#REF!</v>
      </c>
      <c r="B39" s="33" t="e">
        <f>IF(Sheet2!#REF!&lt;&gt;"",Sheet2!#REF!,"")</f>
        <v>#REF!</v>
      </c>
      <c r="C39" s="34" t="e">
        <f>IF(Sheet2!#REF!&lt;&gt;"",Sheet2!#REF!,"")</f>
        <v>#REF!</v>
      </c>
      <c r="D39" s="35" t="str">
        <f t="shared" ca="1" si="1"/>
        <v/>
      </c>
      <c r="E39" s="3"/>
      <c r="F39" s="3"/>
      <c r="G39" s="3"/>
      <c r="H39" s="3"/>
      <c r="K39" t="str">
        <f t="shared" ca="1" si="2"/>
        <v/>
      </c>
    </row>
    <row r="40" spans="1:11">
      <c r="A40" s="23" t="e">
        <f>IF(Sheet2!#REF!&lt;&gt;"",Sheet2!#REF!,"")</f>
        <v>#REF!</v>
      </c>
      <c r="B40" s="33" t="e">
        <f>IF(Sheet2!#REF!&lt;&gt;"",Sheet2!#REF!,"")</f>
        <v>#REF!</v>
      </c>
      <c r="C40" s="34" t="e">
        <f>IF(Sheet2!#REF!&lt;&gt;"",Sheet2!#REF!,"")</f>
        <v>#REF!</v>
      </c>
      <c r="D40" s="35" t="str">
        <f t="shared" ca="1" si="1"/>
        <v/>
      </c>
      <c r="E40" s="3"/>
      <c r="F40" s="3"/>
      <c r="G40" s="3"/>
      <c r="H40" s="3"/>
      <c r="K40" t="str">
        <f t="shared" ca="1" si="2"/>
        <v/>
      </c>
    </row>
    <row r="41" spans="1:11">
      <c r="A41" s="23" t="e">
        <f>IF(Sheet2!#REF!&lt;&gt;"",Sheet2!#REF!,"")</f>
        <v>#REF!</v>
      </c>
      <c r="B41" s="33" t="e">
        <f>IF(Sheet2!#REF!&lt;&gt;"",Sheet2!#REF!,"")</f>
        <v>#REF!</v>
      </c>
      <c r="C41" s="34" t="e">
        <f>IF(Sheet2!#REF!&lt;&gt;"",Sheet2!#REF!,"")</f>
        <v>#REF!</v>
      </c>
      <c r="D41" s="35" t="str">
        <f t="shared" ca="1" si="1"/>
        <v/>
      </c>
      <c r="E41" s="3"/>
      <c r="F41" s="3"/>
      <c r="G41" s="3"/>
      <c r="H41" s="3"/>
      <c r="K41" t="str">
        <f t="shared" ca="1" si="2"/>
        <v/>
      </c>
    </row>
    <row r="42" spans="1:11">
      <c r="A42" s="23" t="e">
        <f>IF(Sheet2!#REF!&lt;&gt;"",Sheet2!#REF!,"")</f>
        <v>#REF!</v>
      </c>
      <c r="B42" s="33" t="e">
        <f>IF(Sheet2!#REF!&lt;&gt;"",Sheet2!#REF!,"")</f>
        <v>#REF!</v>
      </c>
      <c r="C42" s="34" t="e">
        <f>IF(Sheet2!#REF!&lt;&gt;"",Sheet2!#REF!,"")</f>
        <v>#REF!</v>
      </c>
      <c r="D42" s="35" t="str">
        <f t="shared" ca="1" si="1"/>
        <v/>
      </c>
      <c r="E42" s="3"/>
      <c r="F42" s="3"/>
      <c r="G42" s="3"/>
      <c r="H42" s="3"/>
      <c r="K42" t="str">
        <f t="shared" ca="1" si="2"/>
        <v/>
      </c>
    </row>
    <row r="43" spans="1:11">
      <c r="A43" s="23" t="e">
        <f>IF(Sheet2!#REF!&lt;&gt;"",Sheet2!#REF!,"")</f>
        <v>#REF!</v>
      </c>
      <c r="B43" s="33" t="e">
        <f>IF(Sheet2!#REF!&lt;&gt;"",Sheet2!#REF!,"")</f>
        <v>#REF!</v>
      </c>
      <c r="C43" s="34" t="e">
        <f>IF(Sheet2!#REF!&lt;&gt;"",Sheet2!#REF!,"")</f>
        <v>#REF!</v>
      </c>
      <c r="D43" s="35" t="str">
        <f t="shared" ca="1" si="1"/>
        <v/>
      </c>
      <c r="E43" s="3"/>
      <c r="F43" s="3"/>
      <c r="G43" s="3"/>
      <c r="H43" s="3"/>
      <c r="K43" t="str">
        <f t="shared" ca="1" si="2"/>
        <v/>
      </c>
    </row>
    <row r="44" spans="1:11">
      <c r="A44" s="23" t="e">
        <f>IF(Sheet2!#REF!&lt;&gt;"",Sheet2!#REF!,"")</f>
        <v>#REF!</v>
      </c>
      <c r="B44" s="33" t="e">
        <f>IF(Sheet2!#REF!&lt;&gt;"",Sheet2!#REF!,"")</f>
        <v>#REF!</v>
      </c>
      <c r="C44" s="34" t="e">
        <f>IF(Sheet2!#REF!&lt;&gt;"",Sheet2!#REF!,"")</f>
        <v>#REF!</v>
      </c>
      <c r="D44" s="35" t="str">
        <f t="shared" ca="1" si="1"/>
        <v/>
      </c>
      <c r="E44" s="3"/>
      <c r="F44" s="3"/>
      <c r="G44" s="3"/>
      <c r="K44" t="str">
        <f t="shared" ca="1" si="2"/>
        <v/>
      </c>
    </row>
    <row r="45" spans="1:11">
      <c r="A45" s="23" t="e">
        <f>IF(Sheet2!#REF!&lt;&gt;"",Sheet2!#REF!,"")</f>
        <v>#REF!</v>
      </c>
      <c r="B45" s="33" t="e">
        <f>IF(Sheet2!#REF!&lt;&gt;"",Sheet2!#REF!,"")</f>
        <v>#REF!</v>
      </c>
      <c r="C45" s="34" t="e">
        <f>IF(Sheet2!#REF!&lt;&gt;"",Sheet2!#REF!,"")</f>
        <v>#REF!</v>
      </c>
      <c r="D45" s="35" t="str">
        <f t="shared" ca="1" si="1"/>
        <v/>
      </c>
      <c r="E45" s="3"/>
      <c r="F45" s="3"/>
      <c r="G45" s="3"/>
      <c r="H45" s="3"/>
      <c r="K45" t="str">
        <f t="shared" ca="1" si="2"/>
        <v/>
      </c>
    </row>
    <row r="46" spans="1:11">
      <c r="A46" s="23" t="e">
        <f>IF(Sheet2!#REF!&lt;&gt;"",Sheet2!#REF!,"")</f>
        <v>#REF!</v>
      </c>
      <c r="B46" s="33" t="e">
        <f>IF(Sheet2!#REF!&lt;&gt;"",Sheet2!#REF!,"")</f>
        <v>#REF!</v>
      </c>
      <c r="C46" s="34" t="e">
        <f>IF(Sheet2!#REF!&lt;&gt;"",Sheet2!#REF!,"")</f>
        <v>#REF!</v>
      </c>
      <c r="D46" s="35" t="str">
        <f t="shared" ca="1" si="1"/>
        <v/>
      </c>
      <c r="E46" s="3"/>
      <c r="F46" s="3"/>
      <c r="G46" s="3"/>
      <c r="H46" s="3"/>
      <c r="K46" t="str">
        <f t="shared" ca="1" si="2"/>
        <v/>
      </c>
    </row>
    <row r="47" spans="1:11">
      <c r="A47" s="23" t="e">
        <f>IF(Sheet2!#REF!&lt;&gt;"",Sheet2!#REF!,"")</f>
        <v>#REF!</v>
      </c>
      <c r="B47" s="33" t="e">
        <f>IF(Sheet2!#REF!&lt;&gt;"",Sheet2!#REF!,"")</f>
        <v>#REF!</v>
      </c>
      <c r="C47" s="34" t="e">
        <f>IF(Sheet2!#REF!&lt;&gt;"",Sheet2!#REF!,"")</f>
        <v>#REF!</v>
      </c>
      <c r="D47" s="35" t="str">
        <f t="shared" ca="1" si="1"/>
        <v/>
      </c>
      <c r="E47" s="3"/>
      <c r="F47" s="3"/>
      <c r="G47" s="3"/>
      <c r="H47" s="3"/>
      <c r="K47" t="str">
        <f t="shared" ca="1" si="2"/>
        <v/>
      </c>
    </row>
    <row r="48" spans="1:11">
      <c r="A48" s="23" t="e">
        <f>IF(Sheet2!#REF!&lt;&gt;"",Sheet2!#REF!,"")</f>
        <v>#REF!</v>
      </c>
      <c r="B48" s="33" t="e">
        <f>IF(Sheet2!#REF!&lt;&gt;"",Sheet2!#REF!,"")</f>
        <v>#REF!</v>
      </c>
      <c r="C48" s="34" t="e">
        <f>IF(Sheet2!#REF!&lt;&gt;"",Sheet2!#REF!,"")</f>
        <v>#REF!</v>
      </c>
      <c r="D48" s="35" t="str">
        <f t="shared" ca="1" si="1"/>
        <v/>
      </c>
      <c r="E48" s="3"/>
      <c r="F48" s="3"/>
      <c r="G48" s="3"/>
      <c r="H48" s="3"/>
      <c r="K48" t="str">
        <f t="shared" ca="1" si="2"/>
        <v/>
      </c>
    </row>
    <row r="49" spans="1:11">
      <c r="A49" s="23" t="e">
        <f>IF(Sheet2!#REF!&lt;&gt;"",Sheet2!#REF!,"")</f>
        <v>#REF!</v>
      </c>
      <c r="B49" s="33" t="e">
        <f>IF(Sheet2!#REF!&lt;&gt;"",Sheet2!#REF!,"")</f>
        <v>#REF!</v>
      </c>
      <c r="C49" s="34" t="e">
        <f>IF(Sheet2!#REF!&lt;&gt;"",Sheet2!#REF!,"")</f>
        <v>#REF!</v>
      </c>
      <c r="D49" s="35" t="str">
        <f t="shared" ca="1" si="1"/>
        <v/>
      </c>
      <c r="E49" s="3"/>
      <c r="F49" s="3"/>
      <c r="G49" s="3"/>
      <c r="H49" s="3"/>
      <c r="K49" t="str">
        <f t="shared" ca="1" si="2"/>
        <v/>
      </c>
    </row>
    <row r="50" spans="1:11">
      <c r="A50" s="23" t="e">
        <f>IF(Sheet2!#REF!&lt;&gt;"",Sheet2!#REF!,"")</f>
        <v>#REF!</v>
      </c>
      <c r="B50" s="33" t="e">
        <f>IF(Sheet2!#REF!&lt;&gt;"",Sheet2!#REF!,"")</f>
        <v>#REF!</v>
      </c>
      <c r="C50" s="34" t="e">
        <f>IF(Sheet2!#REF!&lt;&gt;"",Sheet2!#REF!,"")</f>
        <v>#REF!</v>
      </c>
      <c r="D50" s="35" t="str">
        <f t="shared" ca="1" si="1"/>
        <v/>
      </c>
      <c r="E50" s="3"/>
      <c r="F50" s="3"/>
      <c r="G50" s="3"/>
      <c r="H50" s="3"/>
      <c r="K50" t="str">
        <f t="shared" ca="1" si="2"/>
        <v/>
      </c>
    </row>
    <row r="51" spans="1:11">
      <c r="A51" s="23" t="e">
        <f>IF(Sheet2!#REF!&lt;&gt;"",Sheet2!#REF!,"")</f>
        <v>#REF!</v>
      </c>
      <c r="B51" s="33" t="e">
        <f>IF(Sheet2!#REF!&lt;&gt;"",Sheet2!#REF!,"")</f>
        <v>#REF!</v>
      </c>
      <c r="C51" s="34" t="e">
        <f>IF(Sheet2!#REF!&lt;&gt;"",Sheet2!#REF!,"")</f>
        <v>#REF!</v>
      </c>
      <c r="D51" s="35" t="str">
        <f t="shared" ca="1" si="1"/>
        <v/>
      </c>
      <c r="E51" s="3"/>
      <c r="F51" s="3"/>
      <c r="G51" s="3"/>
      <c r="H51" s="3"/>
      <c r="K51" t="str">
        <f t="shared" ca="1" si="2"/>
        <v/>
      </c>
    </row>
    <row r="52" spans="1:11">
      <c r="A52" s="23" t="e">
        <f>IF(Sheet2!#REF!&lt;&gt;"",Sheet2!#REF!,"")</f>
        <v>#REF!</v>
      </c>
      <c r="B52" s="33" t="e">
        <f>IF(Sheet2!#REF!&lt;&gt;"",Sheet2!#REF!,"")</f>
        <v>#REF!</v>
      </c>
      <c r="C52" s="34" t="e">
        <f>IF(Sheet2!#REF!&lt;&gt;"",Sheet2!#REF!,"")</f>
        <v>#REF!</v>
      </c>
      <c r="D52" s="35" t="str">
        <f t="shared" ca="1" si="1"/>
        <v/>
      </c>
      <c r="E52" s="3"/>
      <c r="F52" s="3"/>
      <c r="G52" s="3"/>
      <c r="H52" s="3"/>
      <c r="K52" t="str">
        <f t="shared" ca="1" si="2"/>
        <v/>
      </c>
    </row>
    <row r="53" spans="1:11">
      <c r="A53" s="23" t="e">
        <f>IF(Sheet2!#REF!&lt;&gt;"",Sheet2!#REF!,"")</f>
        <v>#REF!</v>
      </c>
      <c r="B53" s="33" t="e">
        <f>IF(Sheet2!#REF!&lt;&gt;"",Sheet2!#REF!,"")</f>
        <v>#REF!</v>
      </c>
      <c r="C53" s="34" t="e">
        <f>IF(Sheet2!#REF!&lt;&gt;"",Sheet2!#REF!,"")</f>
        <v>#REF!</v>
      </c>
      <c r="D53" s="35" t="str">
        <f t="shared" ca="1" si="1"/>
        <v/>
      </c>
      <c r="E53" s="3"/>
      <c r="F53" s="3"/>
      <c r="G53" s="3"/>
      <c r="H53" s="3"/>
      <c r="K53" t="str">
        <f t="shared" ca="1" si="2"/>
        <v/>
      </c>
    </row>
    <row r="54" spans="1:11">
      <c r="A54" s="23" t="e">
        <f>IF(Sheet2!#REF!&lt;&gt;"",Sheet2!#REF!,"")</f>
        <v>#REF!</v>
      </c>
      <c r="B54" s="33" t="e">
        <f>IF(Sheet2!#REF!&lt;&gt;"",Sheet2!#REF!,"")</f>
        <v>#REF!</v>
      </c>
      <c r="C54" s="34" t="e">
        <f>IF(Sheet2!#REF!&lt;&gt;"",Sheet2!#REF!,"")</f>
        <v>#REF!</v>
      </c>
      <c r="D54" s="35" t="str">
        <f t="shared" ca="1" si="1"/>
        <v/>
      </c>
      <c r="E54" s="3"/>
      <c r="F54" s="3"/>
      <c r="G54" s="3"/>
      <c r="H54" s="3"/>
      <c r="K54" t="str">
        <f t="shared" ca="1" si="2"/>
        <v/>
      </c>
    </row>
    <row r="55" spans="1:11">
      <c r="A55" s="23" t="e">
        <f>IF(Sheet2!#REF!&lt;&gt;"",Sheet2!#REF!,"")</f>
        <v>#REF!</v>
      </c>
      <c r="B55" s="33" t="e">
        <f>IF(Sheet2!#REF!&lt;&gt;"",Sheet2!#REF!,"")</f>
        <v>#REF!</v>
      </c>
      <c r="C55" s="34" t="e">
        <f>IF(Sheet2!#REF!&lt;&gt;"",Sheet2!#REF!,"")</f>
        <v>#REF!</v>
      </c>
      <c r="D55" s="35" t="str">
        <f t="shared" ca="1" si="1"/>
        <v/>
      </c>
      <c r="E55" s="3"/>
      <c r="F55" s="3"/>
      <c r="G55" s="3"/>
      <c r="H55" s="3"/>
      <c r="K55" t="str">
        <f t="shared" ca="1" si="2"/>
        <v/>
      </c>
    </row>
    <row r="56" spans="1:11">
      <c r="A56" s="23" t="e">
        <f>IF(Sheet2!#REF!&lt;&gt;"",Sheet2!#REF!,"")</f>
        <v>#REF!</v>
      </c>
      <c r="B56" s="33" t="e">
        <f>IF(Sheet2!#REF!&lt;&gt;"",Sheet2!#REF!,"")</f>
        <v>#REF!</v>
      </c>
      <c r="C56" s="34" t="e">
        <f>IF(Sheet2!#REF!&lt;&gt;"",Sheet2!#REF!,"")</f>
        <v>#REF!</v>
      </c>
      <c r="D56" s="35" t="str">
        <f t="shared" ca="1" si="1"/>
        <v/>
      </c>
      <c r="E56" s="3"/>
      <c r="F56" s="3"/>
      <c r="G56" s="3"/>
      <c r="H56" s="3"/>
      <c r="K56" t="str">
        <f t="shared" ca="1" si="2"/>
        <v/>
      </c>
    </row>
    <row r="57" spans="1:11">
      <c r="A57" s="23" t="e">
        <f>IF(Sheet2!#REF!&lt;&gt;"",Sheet2!#REF!,"")</f>
        <v>#REF!</v>
      </c>
      <c r="B57" s="33" t="e">
        <f>IF(Sheet2!#REF!&lt;&gt;"",Sheet2!#REF!,"")</f>
        <v>#REF!</v>
      </c>
      <c r="C57" s="34" t="e">
        <f>IF(Sheet2!#REF!&lt;&gt;"",Sheet2!#REF!,"")</f>
        <v>#REF!</v>
      </c>
      <c r="D57" s="35" t="str">
        <f t="shared" ca="1" si="1"/>
        <v/>
      </c>
      <c r="E57" s="3"/>
      <c r="F57" s="3"/>
      <c r="G57" s="3"/>
      <c r="H57" s="3"/>
      <c r="K57" t="str">
        <f t="shared" ca="1" si="2"/>
        <v/>
      </c>
    </row>
    <row r="58" spans="1:11">
      <c r="A58" s="23" t="s">
        <v>64</v>
      </c>
      <c r="B58" s="33" t="e">
        <f>IF(Sheet2!#REF!&lt;&gt;"",Sheet2!#REF!,"")</f>
        <v>#REF!</v>
      </c>
      <c r="C58" s="34" t="e">
        <f>IF(Sheet2!#REF!&lt;&gt;"",Sheet2!#REF!,"")</f>
        <v>#REF!</v>
      </c>
      <c r="D58" s="35" t="str">
        <f t="shared" ca="1" si="1"/>
        <v/>
      </c>
      <c r="E58" s="3"/>
      <c r="F58" s="3"/>
      <c r="G58" s="3"/>
      <c r="H58" s="3"/>
      <c r="K58" t="str">
        <f t="shared" ca="1" si="2"/>
        <v/>
      </c>
    </row>
    <row r="59" spans="1:11">
      <c r="A59" s="23" t="e">
        <f>IF(Sheet2!#REF!&lt;&gt;"",Sheet2!#REF!,"")</f>
        <v>#REF!</v>
      </c>
      <c r="B59" s="33" t="e">
        <f>IF(Sheet2!#REF!&lt;&gt;"",Sheet2!#REF!,"")</f>
        <v>#REF!</v>
      </c>
      <c r="C59" s="34" t="e">
        <f>IF(Sheet2!#REF!&lt;&gt;"",Sheet2!#REF!,"")</f>
        <v>#REF!</v>
      </c>
      <c r="D59" s="35" t="str">
        <f t="shared" ca="1" si="1"/>
        <v/>
      </c>
      <c r="E59" s="3"/>
      <c r="F59" s="3"/>
      <c r="G59" s="3"/>
      <c r="H59" s="3"/>
      <c r="K59" t="str">
        <f t="shared" ca="1" si="2"/>
        <v/>
      </c>
    </row>
    <row r="60" spans="1:11">
      <c r="A60" s="23" t="e">
        <f>IF(Sheet2!#REF!&lt;&gt;"",Sheet2!#REF!,"")</f>
        <v>#REF!</v>
      </c>
      <c r="B60" s="33" t="e">
        <f>IF(Sheet2!#REF!&lt;&gt;"",Sheet2!#REF!,"")</f>
        <v>#REF!</v>
      </c>
      <c r="C60" s="34" t="e">
        <f>IF(Sheet2!#REF!&lt;&gt;"",Sheet2!#REF!,"")</f>
        <v>#REF!</v>
      </c>
      <c r="D60" s="35" t="str">
        <f t="shared" ca="1" si="1"/>
        <v/>
      </c>
      <c r="E60" s="3"/>
      <c r="F60" s="3"/>
      <c r="G60" s="3"/>
      <c r="H60" s="3"/>
      <c r="K60" t="str">
        <f t="shared" ca="1" si="2"/>
        <v/>
      </c>
    </row>
    <row r="61" spans="1:11">
      <c r="A61" s="23" t="e">
        <f>IF(Sheet2!#REF!&lt;&gt;"",Sheet2!#REF!,"")</f>
        <v>#REF!</v>
      </c>
      <c r="B61" s="33" t="e">
        <f>IF(Sheet2!#REF!&lt;&gt;"",Sheet2!#REF!,"")</f>
        <v>#REF!</v>
      </c>
      <c r="C61" s="34" t="e">
        <f>IF(Sheet2!#REF!&lt;&gt;"",Sheet2!#REF!,"")</f>
        <v>#REF!</v>
      </c>
      <c r="D61" s="35" t="str">
        <f t="shared" ca="1" si="1"/>
        <v/>
      </c>
      <c r="E61" s="3"/>
      <c r="F61" s="3"/>
      <c r="G61" s="3"/>
      <c r="H61" s="3"/>
      <c r="K61" t="str">
        <f t="shared" ca="1" si="2"/>
        <v/>
      </c>
    </row>
    <row r="62" spans="1:11">
      <c r="A62" s="23" t="s">
        <v>65</v>
      </c>
      <c r="B62" s="33" t="e">
        <f>IF(Sheet2!#REF!&lt;&gt;"",Sheet2!#REF!,"")</f>
        <v>#REF!</v>
      </c>
      <c r="C62" s="34" t="e">
        <f>IF(Sheet2!#REF!&lt;&gt;"",Sheet2!#REF!,"")</f>
        <v>#REF!</v>
      </c>
      <c r="D62" s="35" t="str">
        <f t="shared" ca="1" si="1"/>
        <v/>
      </c>
      <c r="E62" s="3"/>
      <c r="F62" s="3"/>
      <c r="G62" s="3"/>
      <c r="H62" s="3"/>
      <c r="K62" t="str">
        <f t="shared" ca="1" si="2"/>
        <v/>
      </c>
    </row>
    <row r="63" spans="1:11">
      <c r="A63" s="23" t="s">
        <v>66</v>
      </c>
      <c r="B63" s="33" t="e">
        <f>IF(Sheet2!#REF!&lt;&gt;"",Sheet2!#REF!,"")</f>
        <v>#REF!</v>
      </c>
      <c r="C63" s="34" t="e">
        <f>IF(Sheet2!#REF!&lt;&gt;"",Sheet2!#REF!,"")</f>
        <v>#REF!</v>
      </c>
      <c r="D63" s="35" t="str">
        <f t="shared" ca="1" si="1"/>
        <v/>
      </c>
      <c r="E63" s="3"/>
      <c r="F63" s="3"/>
      <c r="G63" s="3"/>
      <c r="H63" s="3"/>
      <c r="K63" t="str">
        <f t="shared" ca="1" si="2"/>
        <v/>
      </c>
    </row>
    <row r="64" spans="1:11">
      <c r="A64" s="23" t="e">
        <f>IF(Sheet2!#REF!&lt;&gt;"",Sheet2!#REF!,"")</f>
        <v>#REF!</v>
      </c>
      <c r="B64" s="33" t="e">
        <f>IF(Sheet2!#REF!&lt;&gt;"",Sheet2!#REF!,"")</f>
        <v>#REF!</v>
      </c>
      <c r="C64" s="34" t="e">
        <f>IF(Sheet2!#REF!&lt;&gt;"",Sheet2!#REF!,"")</f>
        <v>#REF!</v>
      </c>
      <c r="D64" s="35" t="str">
        <f t="shared" ca="1" si="1"/>
        <v/>
      </c>
      <c r="E64" s="3"/>
      <c r="F64" s="3"/>
      <c r="G64" s="3"/>
      <c r="H64" s="3"/>
      <c r="K64" t="str">
        <f t="shared" ca="1" si="2"/>
        <v/>
      </c>
    </row>
    <row r="65" spans="1:11">
      <c r="A65" s="23" t="e">
        <f>IF(Sheet2!#REF!&lt;&gt;"",Sheet2!#REF!,"")</f>
        <v>#REF!</v>
      </c>
      <c r="B65" s="33" t="e">
        <f>IF(Sheet2!#REF!&lt;&gt;"",Sheet2!#REF!,"")</f>
        <v>#REF!</v>
      </c>
      <c r="C65" s="34" t="e">
        <f>IF(Sheet2!#REF!&lt;&gt;"",Sheet2!#REF!,"")</f>
        <v>#REF!</v>
      </c>
      <c r="D65" s="35" t="str">
        <f t="shared" ca="1" si="1"/>
        <v/>
      </c>
      <c r="E65" s="3"/>
      <c r="F65" s="3"/>
      <c r="G65" s="3"/>
      <c r="H65" s="3"/>
      <c r="K65" t="str">
        <f t="shared" ca="1" si="2"/>
        <v/>
      </c>
    </row>
    <row r="66" spans="1:11">
      <c r="A66" s="23" t="e">
        <f>IF(Sheet2!#REF!&lt;&gt;"",Sheet2!#REF!,"")</f>
        <v>#REF!</v>
      </c>
      <c r="B66" s="33" t="e">
        <f>IF(Sheet2!#REF!&lt;&gt;"",Sheet2!#REF!,"")</f>
        <v>#REF!</v>
      </c>
      <c r="C66" s="34" t="e">
        <f>IF(Sheet2!#REF!&lt;&gt;"",Sheet2!#REF!,"")</f>
        <v>#REF!</v>
      </c>
      <c r="D66" s="35" t="str">
        <f t="shared" ca="1" si="1"/>
        <v/>
      </c>
      <c r="E66" s="3"/>
      <c r="F66" s="3"/>
      <c r="G66" s="3"/>
      <c r="H66" s="3"/>
      <c r="K66" t="str">
        <f t="shared" ca="1" si="2"/>
        <v/>
      </c>
    </row>
    <row r="67" spans="1:11">
      <c r="A67" s="23" t="e">
        <f>IF(Sheet2!#REF!&lt;&gt;"",Sheet2!#REF!,"")</f>
        <v>#REF!</v>
      </c>
      <c r="B67" s="33" t="e">
        <f>IF(Sheet2!#REF!&lt;&gt;"",Sheet2!#REF!,"")</f>
        <v>#REF!</v>
      </c>
      <c r="C67" s="34" t="e">
        <f>IF(Sheet2!#REF!&lt;&gt;"",Sheet2!#REF!,"")</f>
        <v>#REF!</v>
      </c>
      <c r="D67" s="35" t="str">
        <f t="shared" ref="D67:D130" ca="1" si="3">IFERROR(IF(AND((C67-TODAY())&lt;15,B67&lt;&gt;""),IF(I67="","Alert",""),""),"")</f>
        <v/>
      </c>
      <c r="E67" s="3"/>
      <c r="F67" s="3"/>
      <c r="G67" s="3"/>
      <c r="H67" s="3"/>
      <c r="K67" t="str">
        <f t="shared" ref="K67:K130" ca="1" si="4">IF(I67&lt;&gt;"",IF(J67="",IF(TODAY()-I67&gt;3,"ALERT",""),""),"")</f>
        <v/>
      </c>
    </row>
    <row r="68" spans="1:11">
      <c r="A68" s="23" t="e">
        <f>IF(Sheet2!#REF!&lt;&gt;"",Sheet2!#REF!,"")</f>
        <v>#REF!</v>
      </c>
      <c r="B68" s="33" t="e">
        <f>IF(Sheet2!#REF!&lt;&gt;"",Sheet2!#REF!,"")</f>
        <v>#REF!</v>
      </c>
      <c r="C68" s="34" t="e">
        <f>IF(Sheet2!#REF!&lt;&gt;"",Sheet2!#REF!,"")</f>
        <v>#REF!</v>
      </c>
      <c r="D68" s="35" t="str">
        <f t="shared" ca="1" si="3"/>
        <v/>
      </c>
      <c r="E68" s="3"/>
      <c r="F68" s="3"/>
      <c r="G68" s="3"/>
      <c r="H68" s="3"/>
      <c r="K68" t="str">
        <f t="shared" ca="1" si="4"/>
        <v/>
      </c>
    </row>
    <row r="69" spans="1:11">
      <c r="A69" s="23" t="s">
        <v>67</v>
      </c>
      <c r="B69" s="33" t="e">
        <f>IF(Sheet2!#REF!&lt;&gt;"",Sheet2!#REF!,"")</f>
        <v>#REF!</v>
      </c>
      <c r="C69" s="34" t="e">
        <f>IF(Sheet2!#REF!&lt;&gt;"",Sheet2!#REF!,"")</f>
        <v>#REF!</v>
      </c>
      <c r="D69" s="35" t="str">
        <f t="shared" ca="1" si="3"/>
        <v/>
      </c>
      <c r="E69" s="3"/>
      <c r="F69" s="3"/>
      <c r="G69" s="3"/>
      <c r="H69" s="3"/>
      <c r="K69" t="str">
        <f t="shared" ca="1" si="4"/>
        <v/>
      </c>
    </row>
    <row r="70" spans="1:11">
      <c r="A70" s="23" t="s">
        <v>68</v>
      </c>
      <c r="B70" s="33" t="e">
        <f>IF(Sheet2!#REF!&lt;&gt;"",Sheet2!#REF!,"")</f>
        <v>#REF!</v>
      </c>
      <c r="C70" s="34" t="e">
        <f>IF(Sheet2!#REF!&lt;&gt;"",Sheet2!#REF!,"")</f>
        <v>#REF!</v>
      </c>
      <c r="D70" s="35" t="str">
        <f t="shared" ca="1" si="3"/>
        <v/>
      </c>
      <c r="E70" s="3"/>
      <c r="F70" s="3"/>
      <c r="G70" s="3"/>
      <c r="H70" s="3"/>
      <c r="K70" t="str">
        <f t="shared" ca="1" si="4"/>
        <v/>
      </c>
    </row>
    <row r="71" spans="1:11">
      <c r="A71" s="23" t="s">
        <v>69</v>
      </c>
      <c r="B71" s="33" t="e">
        <f>IF(Sheet2!#REF!&lt;&gt;"",Sheet2!#REF!,"")</f>
        <v>#REF!</v>
      </c>
      <c r="C71" s="34" t="e">
        <f>IF(Sheet2!#REF!&lt;&gt;"",Sheet2!#REF!,"")</f>
        <v>#REF!</v>
      </c>
      <c r="D71" s="35" t="str">
        <f t="shared" ca="1" si="3"/>
        <v/>
      </c>
      <c r="E71" s="3"/>
      <c r="F71" s="3"/>
      <c r="G71" s="3"/>
      <c r="H71" s="3"/>
      <c r="K71" t="str">
        <f t="shared" ca="1" si="4"/>
        <v/>
      </c>
    </row>
    <row r="72" spans="1:11">
      <c r="A72" s="23" t="s">
        <v>70</v>
      </c>
      <c r="B72" s="33" t="e">
        <f>IF(Sheet2!#REF!&lt;&gt;"",Sheet2!#REF!,"")</f>
        <v>#REF!</v>
      </c>
      <c r="C72" s="34" t="e">
        <f>IF(Sheet2!#REF!&lt;&gt;"",Sheet2!#REF!,"")</f>
        <v>#REF!</v>
      </c>
      <c r="D72" s="35" t="str">
        <f t="shared" ca="1" si="3"/>
        <v/>
      </c>
      <c r="E72" s="3"/>
      <c r="F72" s="3"/>
      <c r="G72" s="3"/>
      <c r="H72" s="3"/>
      <c r="K72" t="str">
        <f t="shared" ca="1" si="4"/>
        <v/>
      </c>
    </row>
    <row r="73" spans="1:11">
      <c r="A73" s="23" t="s">
        <v>71</v>
      </c>
      <c r="B73" s="33" t="e">
        <f>IF(Sheet2!#REF!&lt;&gt;"",Sheet2!#REF!,"")</f>
        <v>#REF!</v>
      </c>
      <c r="C73" s="34" t="e">
        <f>IF(Sheet2!#REF!&lt;&gt;"",Sheet2!#REF!,"")</f>
        <v>#REF!</v>
      </c>
      <c r="D73" s="35" t="str">
        <f t="shared" ca="1" si="3"/>
        <v/>
      </c>
      <c r="E73" s="3"/>
      <c r="F73" s="3"/>
      <c r="G73" s="3"/>
      <c r="H73" s="3"/>
      <c r="K73" t="str">
        <f t="shared" ca="1" si="4"/>
        <v/>
      </c>
    </row>
    <row r="74" spans="1:11">
      <c r="A74" s="23" t="s">
        <v>73</v>
      </c>
      <c r="B74" s="33" t="e">
        <f>IF(Sheet2!#REF!&lt;&gt;"",Sheet2!#REF!,"")</f>
        <v>#REF!</v>
      </c>
      <c r="C74" s="34" t="e">
        <f>IF(Sheet2!#REF!&lt;&gt;"",Sheet2!#REF!,"")</f>
        <v>#REF!</v>
      </c>
      <c r="D74" s="35" t="str">
        <f t="shared" ca="1" si="3"/>
        <v/>
      </c>
      <c r="E74" s="3"/>
      <c r="F74" s="3"/>
      <c r="G74" s="3"/>
      <c r="H74" s="3"/>
      <c r="K74" t="str">
        <f t="shared" ca="1" si="4"/>
        <v/>
      </c>
    </row>
    <row r="75" spans="1:11">
      <c r="A75" s="23" t="s">
        <v>74</v>
      </c>
      <c r="B75" s="33" t="e">
        <f>IF(Sheet2!#REF!&lt;&gt;"",Sheet2!#REF!,"")</f>
        <v>#REF!</v>
      </c>
      <c r="C75" s="34" t="e">
        <f>IF(Sheet2!#REF!&lt;&gt;"",Sheet2!#REF!,"")</f>
        <v>#REF!</v>
      </c>
      <c r="D75" s="35" t="str">
        <f t="shared" ca="1" si="3"/>
        <v/>
      </c>
      <c r="E75" s="3"/>
      <c r="F75" s="3"/>
      <c r="G75" s="3"/>
      <c r="H75" s="3"/>
      <c r="K75" t="str">
        <f t="shared" ca="1" si="4"/>
        <v/>
      </c>
    </row>
    <row r="76" spans="1:11">
      <c r="A76" s="23" t="s">
        <v>372</v>
      </c>
      <c r="B76" s="33" t="e">
        <f>IF(Sheet2!#REF!&lt;&gt;"",Sheet2!#REF!,"")</f>
        <v>#REF!</v>
      </c>
      <c r="C76" s="34" t="e">
        <f>IF(Sheet2!#REF!&lt;&gt;"",Sheet2!#REF!,"")</f>
        <v>#REF!</v>
      </c>
      <c r="D76" s="35" t="str">
        <f t="shared" ca="1" si="3"/>
        <v/>
      </c>
      <c r="E76" s="3"/>
      <c r="F76" s="3"/>
      <c r="G76" s="3"/>
      <c r="H76" s="3"/>
      <c r="K76" t="str">
        <f t="shared" ca="1" si="4"/>
        <v/>
      </c>
    </row>
    <row r="77" spans="1:11">
      <c r="A77" s="23" t="s">
        <v>373</v>
      </c>
      <c r="B77" s="33" t="e">
        <f>IF(Sheet2!#REF!&lt;&gt;"",Sheet2!#REF!,"")</f>
        <v>#REF!</v>
      </c>
      <c r="C77" s="34" t="e">
        <f>IF(Sheet2!#REF!&lt;&gt;"",Sheet2!#REF!,"")</f>
        <v>#REF!</v>
      </c>
      <c r="D77" s="35" t="str">
        <f t="shared" ca="1" si="3"/>
        <v/>
      </c>
      <c r="E77" s="3"/>
      <c r="F77" s="3"/>
      <c r="G77" s="3"/>
      <c r="H77" s="3"/>
      <c r="K77" t="str">
        <f t="shared" ca="1" si="4"/>
        <v/>
      </c>
    </row>
    <row r="78" spans="1:11">
      <c r="A78" s="23" t="s">
        <v>374</v>
      </c>
      <c r="B78" s="33" t="e">
        <f>IF(Sheet2!#REF!&lt;&gt;"",Sheet2!#REF!,"")</f>
        <v>#REF!</v>
      </c>
      <c r="C78" s="34" t="e">
        <f>IF(Sheet2!#REF!&lt;&gt;"",Sheet2!#REF!,"")</f>
        <v>#REF!</v>
      </c>
      <c r="D78" s="35" t="str">
        <f t="shared" ca="1" si="3"/>
        <v/>
      </c>
      <c r="E78" s="3"/>
      <c r="F78" s="3"/>
      <c r="G78" s="3"/>
      <c r="H78" s="3"/>
      <c r="K78" t="str">
        <f t="shared" ca="1" si="4"/>
        <v/>
      </c>
    </row>
    <row r="79" spans="1:11">
      <c r="A79" s="23" t="s">
        <v>375</v>
      </c>
      <c r="B79" s="33" t="e">
        <f>IF(Sheet2!#REF!&lt;&gt;"",Sheet2!#REF!,"")</f>
        <v>#REF!</v>
      </c>
      <c r="C79" s="34" t="e">
        <f>IF(Sheet2!#REF!&lt;&gt;"",Sheet2!#REF!,"")</f>
        <v>#REF!</v>
      </c>
      <c r="D79" s="35" t="str">
        <f t="shared" ca="1" si="3"/>
        <v/>
      </c>
      <c r="E79" s="3"/>
      <c r="F79" s="3"/>
      <c r="G79" s="3"/>
      <c r="H79" s="3"/>
      <c r="K79" t="str">
        <f t="shared" ca="1" si="4"/>
        <v/>
      </c>
    </row>
    <row r="80" spans="1:11">
      <c r="A80" s="23" t="s">
        <v>376</v>
      </c>
      <c r="B80" s="33" t="e">
        <f>IF(Sheet2!#REF!&lt;&gt;"",Sheet2!#REF!,"")</f>
        <v>#REF!</v>
      </c>
      <c r="C80" s="34" t="e">
        <f>IF(Sheet2!#REF!&lt;&gt;"",Sheet2!#REF!,"")</f>
        <v>#REF!</v>
      </c>
      <c r="D80" s="35" t="str">
        <f t="shared" ca="1" si="3"/>
        <v/>
      </c>
      <c r="E80" s="3"/>
      <c r="F80" s="3"/>
      <c r="G80" s="3"/>
      <c r="H80" s="3"/>
      <c r="K80" t="str">
        <f t="shared" ca="1" si="4"/>
        <v/>
      </c>
    </row>
    <row r="81" spans="1:11">
      <c r="A81" s="23" t="s">
        <v>377</v>
      </c>
      <c r="B81" s="33" t="e">
        <f>IF(Sheet2!#REF!&lt;&gt;"",Sheet2!#REF!,"")</f>
        <v>#REF!</v>
      </c>
      <c r="C81" s="34" t="e">
        <f>IF(Sheet2!#REF!&lt;&gt;"",Sheet2!#REF!,"")</f>
        <v>#REF!</v>
      </c>
      <c r="D81" s="35" t="str">
        <f t="shared" ca="1" si="3"/>
        <v/>
      </c>
      <c r="E81" s="3"/>
      <c r="F81" s="3"/>
      <c r="G81" s="3"/>
      <c r="H81" s="3"/>
      <c r="K81" t="str">
        <f t="shared" ca="1" si="4"/>
        <v/>
      </c>
    </row>
    <row r="82" spans="1:11">
      <c r="A82" s="23" t="s">
        <v>378</v>
      </c>
      <c r="B82" s="33" t="e">
        <f>IF(Sheet2!#REF!&lt;&gt;"",Sheet2!#REF!,"")</f>
        <v>#REF!</v>
      </c>
      <c r="C82" s="34" t="e">
        <f>IF(Sheet2!#REF!&lt;&gt;"",Sheet2!#REF!,"")</f>
        <v>#REF!</v>
      </c>
      <c r="D82" s="35" t="str">
        <f t="shared" ca="1" si="3"/>
        <v/>
      </c>
      <c r="E82" s="3"/>
      <c r="F82" s="3"/>
      <c r="G82" s="3"/>
      <c r="H82" s="3"/>
      <c r="K82" t="str">
        <f t="shared" ca="1" si="4"/>
        <v/>
      </c>
    </row>
    <row r="83" spans="1:11">
      <c r="A83" s="23" t="s">
        <v>379</v>
      </c>
      <c r="B83" s="33" t="e">
        <f>IF(Sheet2!#REF!&lt;&gt;"",Sheet2!#REF!,"")</f>
        <v>#REF!</v>
      </c>
      <c r="C83" s="34" t="e">
        <f>IF(Sheet2!#REF!&lt;&gt;"",Sheet2!#REF!,"")</f>
        <v>#REF!</v>
      </c>
      <c r="D83" s="35" t="str">
        <f t="shared" ca="1" si="3"/>
        <v/>
      </c>
      <c r="E83" s="3"/>
      <c r="F83" s="3"/>
      <c r="G83" s="3"/>
      <c r="H83" s="3"/>
      <c r="K83" t="str">
        <f t="shared" ca="1" si="4"/>
        <v/>
      </c>
    </row>
    <row r="84" spans="1:11">
      <c r="A84" s="23" t="s">
        <v>380</v>
      </c>
      <c r="B84" s="33" t="e">
        <f>IF(Sheet2!#REF!&lt;&gt;"",Sheet2!#REF!,"")</f>
        <v>#REF!</v>
      </c>
      <c r="C84" s="34" t="e">
        <f>IF(Sheet2!#REF!&lt;&gt;"",Sheet2!#REF!,"")</f>
        <v>#REF!</v>
      </c>
      <c r="D84" s="35" t="str">
        <f t="shared" ca="1" si="3"/>
        <v/>
      </c>
      <c r="E84" s="3"/>
      <c r="F84" s="3"/>
      <c r="G84" s="3"/>
      <c r="H84" s="3"/>
      <c r="K84" t="str">
        <f t="shared" ca="1" si="4"/>
        <v/>
      </c>
    </row>
    <row r="85" spans="1:11">
      <c r="A85" s="23" t="s">
        <v>381</v>
      </c>
      <c r="B85" s="33" t="e">
        <f>IF(Sheet2!#REF!&lt;&gt;"",Sheet2!#REF!,"")</f>
        <v>#REF!</v>
      </c>
      <c r="C85" s="34" t="e">
        <f>IF(Sheet2!#REF!&lt;&gt;"",Sheet2!#REF!,"")</f>
        <v>#REF!</v>
      </c>
      <c r="D85" s="35" t="str">
        <f t="shared" ca="1" si="3"/>
        <v/>
      </c>
      <c r="E85" s="3"/>
      <c r="F85" s="3"/>
      <c r="G85" s="3"/>
      <c r="H85" s="3"/>
      <c r="K85" t="str">
        <f t="shared" ca="1" si="4"/>
        <v/>
      </c>
    </row>
    <row r="86" spans="1:11">
      <c r="A86" s="23" t="s">
        <v>385</v>
      </c>
      <c r="B86" s="33" t="e">
        <f>IF(Sheet2!#REF!&lt;&gt;"",Sheet2!#REF!,"")</f>
        <v>#REF!</v>
      </c>
      <c r="C86" s="34" t="e">
        <f>IF(Sheet2!#REF!&lt;&gt;"",Sheet2!#REF!,"")</f>
        <v>#REF!</v>
      </c>
      <c r="D86" s="35" t="str">
        <f t="shared" ca="1" si="3"/>
        <v/>
      </c>
      <c r="E86" s="3"/>
      <c r="F86" s="3"/>
      <c r="G86" s="3"/>
      <c r="H86" s="3"/>
      <c r="K86" t="str">
        <f t="shared" ca="1" si="4"/>
        <v/>
      </c>
    </row>
    <row r="87" spans="1:11">
      <c r="A87" s="23" t="s">
        <v>382</v>
      </c>
      <c r="B87" s="33" t="e">
        <f>IF(Sheet2!#REF!&lt;&gt;"",Sheet2!#REF!,"")</f>
        <v>#REF!</v>
      </c>
      <c r="C87" s="34" t="e">
        <f>IF(Sheet2!#REF!&lt;&gt;"",Sheet2!#REF!,"")</f>
        <v>#REF!</v>
      </c>
      <c r="D87" s="35" t="str">
        <f t="shared" ca="1" si="3"/>
        <v/>
      </c>
      <c r="E87" s="3"/>
      <c r="F87" s="3"/>
      <c r="G87" s="3"/>
      <c r="H87" s="3"/>
      <c r="K87" t="str">
        <f t="shared" ca="1" si="4"/>
        <v/>
      </c>
    </row>
    <row r="88" spans="1:11">
      <c r="A88" s="23" t="s">
        <v>383</v>
      </c>
      <c r="B88" s="33" t="e">
        <f>IF(Sheet2!#REF!&lt;&gt;"",Sheet2!#REF!,"")</f>
        <v>#REF!</v>
      </c>
      <c r="C88" s="34" t="e">
        <f>IF(Sheet2!#REF!&lt;&gt;"",Sheet2!#REF!,"")</f>
        <v>#REF!</v>
      </c>
      <c r="D88" s="35" t="str">
        <f t="shared" ca="1" si="3"/>
        <v/>
      </c>
      <c r="E88" s="3"/>
      <c r="F88" s="3"/>
      <c r="G88" s="3"/>
      <c r="H88" s="3"/>
      <c r="K88" t="str">
        <f t="shared" ca="1" si="4"/>
        <v/>
      </c>
    </row>
    <row r="89" spans="1:11">
      <c r="A89" s="23" t="s">
        <v>384</v>
      </c>
      <c r="B89" s="33" t="e">
        <f>IF(Sheet2!#REF!&lt;&gt;"",Sheet2!#REF!,"")</f>
        <v>#REF!</v>
      </c>
      <c r="C89" s="34" t="e">
        <f>IF(Sheet2!#REF!&lt;&gt;"",Sheet2!#REF!,"")</f>
        <v>#REF!</v>
      </c>
      <c r="D89" s="35" t="str">
        <f t="shared" ca="1" si="3"/>
        <v/>
      </c>
      <c r="E89" s="3"/>
      <c r="F89" s="3"/>
      <c r="G89" s="3"/>
      <c r="H89" s="3"/>
      <c r="K89" t="str">
        <f t="shared" ca="1" si="4"/>
        <v/>
      </c>
    </row>
    <row r="90" spans="1:11">
      <c r="A90" s="23" t="s">
        <v>386</v>
      </c>
      <c r="B90" s="33" t="e">
        <f>IF(Sheet2!#REF!&lt;&gt;"",Sheet2!#REF!,"")</f>
        <v>#REF!</v>
      </c>
      <c r="C90" s="34" t="e">
        <f>IF(Sheet2!#REF!&lt;&gt;"",Sheet2!#REF!,"")</f>
        <v>#REF!</v>
      </c>
      <c r="D90" s="35" t="str">
        <f t="shared" ca="1" si="3"/>
        <v/>
      </c>
      <c r="E90" s="3"/>
      <c r="F90" s="3"/>
      <c r="G90" s="3"/>
      <c r="H90" s="3"/>
      <c r="K90" t="str">
        <f t="shared" ca="1" si="4"/>
        <v/>
      </c>
    </row>
    <row r="91" spans="1:11">
      <c r="A91" s="23" t="s">
        <v>387</v>
      </c>
      <c r="B91" s="33" t="e">
        <f>IF(Sheet2!#REF!&lt;&gt;"",Sheet2!#REF!,"")</f>
        <v>#REF!</v>
      </c>
      <c r="C91" s="34" t="e">
        <f>IF(Sheet2!#REF!&lt;&gt;"",Sheet2!#REF!,"")</f>
        <v>#REF!</v>
      </c>
      <c r="D91" s="35" t="str">
        <f t="shared" ca="1" si="3"/>
        <v/>
      </c>
      <c r="E91" s="3"/>
      <c r="F91" s="3"/>
      <c r="G91" s="3"/>
      <c r="H91" s="3"/>
      <c r="K91" t="str">
        <f t="shared" ca="1" si="4"/>
        <v/>
      </c>
    </row>
    <row r="92" spans="1:11">
      <c r="A92" s="23" t="s">
        <v>388</v>
      </c>
      <c r="B92" s="33" t="e">
        <f>IF(Sheet2!#REF!&lt;&gt;"",Sheet2!#REF!,"")</f>
        <v>#REF!</v>
      </c>
      <c r="C92" s="34" t="e">
        <f>IF(Sheet2!#REF!&lt;&gt;"",Sheet2!#REF!,"")</f>
        <v>#REF!</v>
      </c>
      <c r="D92" s="35" t="str">
        <f t="shared" ca="1" si="3"/>
        <v/>
      </c>
      <c r="E92" s="3"/>
      <c r="F92" s="3"/>
      <c r="G92" s="3"/>
      <c r="H92" s="3"/>
      <c r="K92" t="str">
        <f t="shared" ca="1" si="4"/>
        <v/>
      </c>
    </row>
    <row r="93" spans="1:11">
      <c r="A93" s="23" t="s">
        <v>389</v>
      </c>
      <c r="B93" s="33" t="e">
        <f>IF(Sheet2!#REF!&lt;&gt;"",Sheet2!#REF!,"")</f>
        <v>#REF!</v>
      </c>
      <c r="C93" s="34" t="e">
        <f>IF(Sheet2!#REF!&lt;&gt;"",Sheet2!#REF!,"")</f>
        <v>#REF!</v>
      </c>
      <c r="D93" s="35" t="str">
        <f t="shared" ca="1" si="3"/>
        <v/>
      </c>
      <c r="E93" s="3"/>
      <c r="F93" s="3"/>
      <c r="G93" s="3"/>
      <c r="H93" s="3"/>
      <c r="K93" t="str">
        <f t="shared" ca="1" si="4"/>
        <v/>
      </c>
    </row>
    <row r="94" spans="1:11">
      <c r="A94" s="23" t="s">
        <v>390</v>
      </c>
      <c r="B94" s="33" t="e">
        <f>IF(Sheet2!#REF!&lt;&gt;"",Sheet2!#REF!,"")</f>
        <v>#REF!</v>
      </c>
      <c r="C94" s="34" t="e">
        <f>IF(Sheet2!#REF!&lt;&gt;"",Sheet2!#REF!,"")</f>
        <v>#REF!</v>
      </c>
      <c r="D94" s="35" t="str">
        <f t="shared" ca="1" si="3"/>
        <v/>
      </c>
      <c r="E94" s="3"/>
      <c r="F94" s="3"/>
      <c r="G94" s="3"/>
      <c r="H94" s="3"/>
      <c r="K94" t="str">
        <f t="shared" ca="1" si="4"/>
        <v/>
      </c>
    </row>
    <row r="95" spans="1:11">
      <c r="A95" s="23" t="e">
        <f>IF(Sheet2!#REF!&lt;&gt;"",Sheet2!#REF!,"")</f>
        <v>#REF!</v>
      </c>
      <c r="B95" s="33" t="e">
        <f>IF(Sheet2!#REF!&lt;&gt;"",Sheet2!#REF!,"")</f>
        <v>#REF!</v>
      </c>
      <c r="C95" s="34" t="e">
        <f>IF(Sheet2!#REF!&lt;&gt;"",Sheet2!#REF!,"")</f>
        <v>#REF!</v>
      </c>
      <c r="D95" s="35" t="str">
        <f t="shared" ca="1" si="3"/>
        <v/>
      </c>
      <c r="E95" s="3"/>
      <c r="F95" s="3"/>
      <c r="G95" s="3"/>
      <c r="H95" s="3"/>
      <c r="K95" t="str">
        <f t="shared" ca="1" si="4"/>
        <v/>
      </c>
    </row>
    <row r="96" spans="1:11">
      <c r="A96" s="23" t="s">
        <v>391</v>
      </c>
      <c r="B96" s="33" t="e">
        <f>IF(Sheet2!#REF!&lt;&gt;"",Sheet2!#REF!,"")</f>
        <v>#REF!</v>
      </c>
      <c r="C96" s="34" t="e">
        <f>IF(Sheet2!#REF!&lt;&gt;"",Sheet2!#REF!,"")</f>
        <v>#REF!</v>
      </c>
      <c r="D96" s="35" t="str">
        <f t="shared" ca="1" si="3"/>
        <v/>
      </c>
      <c r="E96" s="3"/>
      <c r="F96" s="3"/>
      <c r="G96" s="3"/>
      <c r="H96" s="3"/>
      <c r="K96" t="str">
        <f t="shared" ca="1" si="4"/>
        <v/>
      </c>
    </row>
    <row r="97" spans="1:11">
      <c r="A97" s="23" t="s">
        <v>392</v>
      </c>
      <c r="B97" s="33" t="e">
        <f>IF(Sheet2!#REF!&lt;&gt;"",Sheet2!#REF!,"")</f>
        <v>#REF!</v>
      </c>
      <c r="C97" s="34" t="e">
        <f>IF(Sheet2!#REF!&lt;&gt;"",Sheet2!#REF!,"")</f>
        <v>#REF!</v>
      </c>
      <c r="D97" s="35" t="str">
        <f t="shared" ca="1" si="3"/>
        <v/>
      </c>
      <c r="E97" s="3"/>
      <c r="F97" s="3"/>
      <c r="G97" s="3"/>
      <c r="H97" s="3"/>
      <c r="K97" t="str">
        <f t="shared" ca="1" si="4"/>
        <v/>
      </c>
    </row>
    <row r="98" spans="1:11">
      <c r="A98" s="23" t="e">
        <f>IF(Sheet2!#REF!&lt;&gt;"",Sheet2!#REF!,"")</f>
        <v>#REF!</v>
      </c>
      <c r="B98" s="33" t="e">
        <f>IF(Sheet2!#REF!&lt;&gt;"",Sheet2!#REF!,"")</f>
        <v>#REF!</v>
      </c>
      <c r="C98" s="34" t="e">
        <f>IF(Sheet2!#REF!&lt;&gt;"",Sheet2!#REF!,"")</f>
        <v>#REF!</v>
      </c>
      <c r="D98" s="35" t="str">
        <f t="shared" ca="1" si="3"/>
        <v/>
      </c>
      <c r="E98" s="3"/>
      <c r="F98" s="3"/>
      <c r="G98" s="3"/>
      <c r="H98" s="3"/>
      <c r="K98" t="str">
        <f t="shared" ca="1" si="4"/>
        <v/>
      </c>
    </row>
    <row r="99" spans="1:11">
      <c r="A99" s="23" t="s">
        <v>396</v>
      </c>
      <c r="B99" s="33" t="e">
        <f>IF(Sheet2!#REF!&lt;&gt;"",Sheet2!#REF!,"")</f>
        <v>#REF!</v>
      </c>
      <c r="C99" s="34" t="e">
        <f>IF(Sheet2!#REF!&lt;&gt;"",Sheet2!#REF!,"")</f>
        <v>#REF!</v>
      </c>
      <c r="D99" s="35" t="str">
        <f t="shared" ca="1" si="3"/>
        <v/>
      </c>
      <c r="E99" s="3"/>
      <c r="F99" s="3"/>
      <c r="G99" s="3"/>
      <c r="H99" s="3"/>
      <c r="K99" t="str">
        <f t="shared" ca="1" si="4"/>
        <v/>
      </c>
    </row>
    <row r="100" spans="1:11">
      <c r="A100" s="23" t="s">
        <v>397</v>
      </c>
      <c r="B100" s="33" t="e">
        <f>IF(Sheet2!#REF!&lt;&gt;"",Sheet2!#REF!,"")</f>
        <v>#REF!</v>
      </c>
      <c r="C100" s="34" t="e">
        <f>IF(Sheet2!#REF!&lt;&gt;"",Sheet2!#REF!,"")</f>
        <v>#REF!</v>
      </c>
      <c r="D100" s="35" t="str">
        <f t="shared" ca="1" si="3"/>
        <v/>
      </c>
      <c r="E100" s="3"/>
      <c r="F100" s="3"/>
      <c r="G100" s="3"/>
      <c r="H100" s="3"/>
      <c r="K100" t="str">
        <f t="shared" ca="1" si="4"/>
        <v/>
      </c>
    </row>
    <row r="101" spans="1:11">
      <c r="A101" s="23" t="s">
        <v>398</v>
      </c>
      <c r="B101" s="33" t="e">
        <f>IF(Sheet2!#REF!&lt;&gt;"",Sheet2!#REF!,"")</f>
        <v>#REF!</v>
      </c>
      <c r="C101" s="34" t="e">
        <f>IF(Sheet2!#REF!&lt;&gt;"",Sheet2!#REF!,"")</f>
        <v>#REF!</v>
      </c>
      <c r="D101" s="35" t="str">
        <f t="shared" ca="1" si="3"/>
        <v/>
      </c>
      <c r="E101" s="3"/>
      <c r="F101" s="3"/>
      <c r="G101" s="3"/>
      <c r="H101" s="3"/>
      <c r="K101" t="str">
        <f t="shared" ca="1" si="4"/>
        <v/>
      </c>
    </row>
    <row r="102" spans="1:11">
      <c r="A102" s="23" t="s">
        <v>399</v>
      </c>
      <c r="B102" s="33" t="e">
        <f>IF(Sheet2!#REF!&lt;&gt;"",Sheet2!#REF!,"")</f>
        <v>#REF!</v>
      </c>
      <c r="C102" s="34" t="e">
        <f>IF(Sheet2!#REF!&lt;&gt;"",Sheet2!#REF!,"")</f>
        <v>#REF!</v>
      </c>
      <c r="D102" s="35" t="str">
        <f t="shared" ca="1" si="3"/>
        <v/>
      </c>
      <c r="E102" s="3"/>
      <c r="F102" s="3"/>
      <c r="G102" s="3"/>
      <c r="H102" s="3"/>
      <c r="K102" t="str">
        <f t="shared" ca="1" si="4"/>
        <v/>
      </c>
    </row>
    <row r="103" spans="1:11">
      <c r="A103" s="23" t="s">
        <v>400</v>
      </c>
      <c r="B103" s="33" t="e">
        <f>IF(Sheet2!#REF!&lt;&gt;"",Sheet2!#REF!,"")</f>
        <v>#REF!</v>
      </c>
      <c r="C103" s="34" t="e">
        <f>IF(Sheet2!#REF!&lt;&gt;"",Sheet2!#REF!,"")</f>
        <v>#REF!</v>
      </c>
      <c r="D103" s="35" t="str">
        <f t="shared" ca="1" si="3"/>
        <v/>
      </c>
      <c r="E103" s="3"/>
      <c r="F103" s="3"/>
      <c r="G103" s="3"/>
      <c r="H103" s="3"/>
      <c r="K103" t="str">
        <f t="shared" ca="1" si="4"/>
        <v/>
      </c>
    </row>
    <row r="104" spans="1:11">
      <c r="A104" s="23" t="s">
        <v>401</v>
      </c>
      <c r="B104" s="33" t="e">
        <f>IF(Sheet2!#REF!&lt;&gt;"",Sheet2!#REF!,"")</f>
        <v>#REF!</v>
      </c>
      <c r="C104" s="34" t="e">
        <f>IF(Sheet2!#REF!&lt;&gt;"",Sheet2!#REF!,"")</f>
        <v>#REF!</v>
      </c>
      <c r="D104" s="35" t="str">
        <f t="shared" ca="1" si="3"/>
        <v/>
      </c>
      <c r="E104" s="3"/>
      <c r="F104" s="3"/>
      <c r="G104" s="3"/>
      <c r="H104" s="3"/>
      <c r="K104" t="str">
        <f t="shared" ca="1" si="4"/>
        <v/>
      </c>
    </row>
    <row r="105" spans="1:11">
      <c r="A105" s="23" t="s">
        <v>402</v>
      </c>
      <c r="B105" s="33" t="e">
        <f>IF(Sheet2!#REF!&lt;&gt;"",Sheet2!#REF!,"")</f>
        <v>#REF!</v>
      </c>
      <c r="C105" s="34" t="e">
        <f>IF(Sheet2!#REF!&lt;&gt;"",Sheet2!#REF!,"")</f>
        <v>#REF!</v>
      </c>
      <c r="D105" s="35" t="str">
        <f t="shared" ca="1" si="3"/>
        <v/>
      </c>
      <c r="E105" s="3"/>
      <c r="F105" s="3"/>
      <c r="G105" s="3"/>
      <c r="H105" s="3"/>
      <c r="K105" t="str">
        <f t="shared" ca="1" si="4"/>
        <v/>
      </c>
    </row>
    <row r="106" spans="1:11">
      <c r="A106" s="23" t="s">
        <v>403</v>
      </c>
      <c r="B106" s="33" t="e">
        <f>IF(Sheet2!#REF!&lt;&gt;"",Sheet2!#REF!,"")</f>
        <v>#REF!</v>
      </c>
      <c r="C106" s="34" t="e">
        <f>IF(Sheet2!#REF!&lt;&gt;"",Sheet2!#REF!,"")</f>
        <v>#REF!</v>
      </c>
      <c r="D106" s="35" t="str">
        <f t="shared" ca="1" si="3"/>
        <v/>
      </c>
      <c r="E106" s="3"/>
      <c r="F106" s="3"/>
      <c r="G106" s="3"/>
      <c r="H106" s="3"/>
      <c r="K106" t="str">
        <f t="shared" ca="1" si="4"/>
        <v/>
      </c>
    </row>
    <row r="107" spans="1:11">
      <c r="A107" s="23" t="s">
        <v>404</v>
      </c>
      <c r="B107" s="33" t="e">
        <f>IF(Sheet2!#REF!&lt;&gt;"",Sheet2!#REF!,"")</f>
        <v>#REF!</v>
      </c>
      <c r="C107" s="34" t="e">
        <f>IF(Sheet2!#REF!&lt;&gt;"",Sheet2!#REF!,"")</f>
        <v>#REF!</v>
      </c>
      <c r="D107" s="35" t="str">
        <f t="shared" ca="1" si="3"/>
        <v/>
      </c>
      <c r="E107" s="3"/>
      <c r="F107" s="3"/>
      <c r="G107" s="3"/>
      <c r="H107" s="3"/>
      <c r="K107" t="str">
        <f t="shared" ca="1" si="4"/>
        <v/>
      </c>
    </row>
    <row r="108" spans="1:11">
      <c r="A108" s="23" t="s">
        <v>405</v>
      </c>
      <c r="B108" s="33" t="e">
        <f>IF(Sheet2!#REF!&lt;&gt;"",Sheet2!#REF!,"")</f>
        <v>#REF!</v>
      </c>
      <c r="C108" s="34" t="e">
        <f>IF(Sheet2!#REF!&lt;&gt;"",Sheet2!#REF!,"")</f>
        <v>#REF!</v>
      </c>
      <c r="D108" s="35" t="str">
        <f t="shared" ca="1" si="3"/>
        <v/>
      </c>
      <c r="E108" s="3"/>
      <c r="F108" s="3"/>
      <c r="G108" s="3"/>
      <c r="H108" s="3"/>
      <c r="K108" t="str">
        <f t="shared" ca="1" si="4"/>
        <v/>
      </c>
    </row>
    <row r="109" spans="1:11">
      <c r="A109" s="23" t="s">
        <v>406</v>
      </c>
      <c r="B109" s="33" t="e">
        <f>IF(Sheet2!#REF!&lt;&gt;"",Sheet2!#REF!,"")</f>
        <v>#REF!</v>
      </c>
      <c r="C109" s="34" t="e">
        <f>IF(Sheet2!#REF!&lt;&gt;"",Sheet2!#REF!,"")</f>
        <v>#REF!</v>
      </c>
      <c r="D109" s="35" t="str">
        <f t="shared" ca="1" si="3"/>
        <v/>
      </c>
      <c r="E109" s="3"/>
      <c r="F109" s="3"/>
      <c r="G109" s="3"/>
      <c r="H109" s="3"/>
      <c r="K109" t="str">
        <f t="shared" ca="1" si="4"/>
        <v/>
      </c>
    </row>
    <row r="110" spans="1:11">
      <c r="A110" s="23" t="e">
        <f>IF(Sheet2!#REF!&lt;&gt;"",Sheet2!#REF!,"")</f>
        <v>#REF!</v>
      </c>
      <c r="B110" s="33" t="e">
        <f>IF(Sheet2!#REF!&lt;&gt;"",Sheet2!#REF!,"")</f>
        <v>#REF!</v>
      </c>
      <c r="C110" s="34" t="e">
        <f>IF(Sheet2!#REF!&lt;&gt;"",Sheet2!#REF!,"")</f>
        <v>#REF!</v>
      </c>
      <c r="D110" s="35" t="str">
        <f t="shared" ca="1" si="3"/>
        <v/>
      </c>
      <c r="E110" s="3"/>
      <c r="F110" s="3"/>
      <c r="G110" s="3"/>
      <c r="H110" s="3"/>
      <c r="K110" t="str">
        <f t="shared" ca="1" si="4"/>
        <v/>
      </c>
    </row>
    <row r="111" spans="1:11">
      <c r="A111" s="23" t="e">
        <f>IF(Sheet2!#REF!&lt;&gt;"",Sheet2!#REF!,"")</f>
        <v>#REF!</v>
      </c>
      <c r="B111" s="33" t="e">
        <f>IF(Sheet2!#REF!&lt;&gt;"",Sheet2!#REF!,"")</f>
        <v>#REF!</v>
      </c>
      <c r="C111" s="34" t="e">
        <f>IF(Sheet2!#REF!&lt;&gt;"",Sheet2!#REF!,"")</f>
        <v>#REF!</v>
      </c>
      <c r="D111" s="35" t="str">
        <f t="shared" ca="1" si="3"/>
        <v/>
      </c>
      <c r="E111" s="3"/>
      <c r="F111" s="3"/>
      <c r="G111" s="3"/>
      <c r="H111" s="3"/>
      <c r="K111" t="str">
        <f t="shared" ca="1" si="4"/>
        <v/>
      </c>
    </row>
    <row r="112" spans="1:11">
      <c r="A112" s="23" t="s">
        <v>407</v>
      </c>
      <c r="B112" s="33" t="e">
        <f>IF(Sheet2!#REF!&lt;&gt;"",Sheet2!#REF!,"")</f>
        <v>#REF!</v>
      </c>
      <c r="C112" s="34" t="e">
        <f>IF(Sheet2!#REF!&lt;&gt;"",Sheet2!#REF!,"")</f>
        <v>#REF!</v>
      </c>
      <c r="D112" s="35" t="str">
        <f t="shared" ca="1" si="3"/>
        <v/>
      </c>
      <c r="E112" s="3"/>
      <c r="F112" s="3"/>
      <c r="G112" s="3"/>
      <c r="H112" s="3"/>
      <c r="K112" t="str">
        <f t="shared" ca="1" si="4"/>
        <v/>
      </c>
    </row>
    <row r="113" spans="1:11">
      <c r="A113" s="23" t="s">
        <v>407</v>
      </c>
      <c r="B113" s="33" t="e">
        <f>IF(Sheet2!#REF!&lt;&gt;"",Sheet2!#REF!,"")</f>
        <v>#REF!</v>
      </c>
      <c r="C113" s="34" t="e">
        <f>IF(Sheet2!#REF!&lt;&gt;"",Sheet2!#REF!,"")</f>
        <v>#REF!</v>
      </c>
      <c r="D113" s="35" t="str">
        <f t="shared" ca="1" si="3"/>
        <v/>
      </c>
      <c r="E113" s="3"/>
      <c r="F113" s="3"/>
      <c r="G113" s="3"/>
      <c r="H113" s="3"/>
      <c r="K113" t="str">
        <f t="shared" ca="1" si="4"/>
        <v/>
      </c>
    </row>
    <row r="114" spans="1:11">
      <c r="A114" s="23" t="s">
        <v>408</v>
      </c>
      <c r="B114" s="33" t="e">
        <f>IF(Sheet2!#REF!&lt;&gt;"",Sheet2!#REF!,"")</f>
        <v>#REF!</v>
      </c>
      <c r="C114" s="34" t="e">
        <f>IF(Sheet2!#REF!&lt;&gt;"",Sheet2!#REF!,"")</f>
        <v>#REF!</v>
      </c>
      <c r="D114" s="35" t="str">
        <f t="shared" ca="1" si="3"/>
        <v/>
      </c>
      <c r="E114" s="3"/>
      <c r="F114" s="3"/>
      <c r="G114" s="3"/>
      <c r="H114" s="3"/>
      <c r="K114" t="str">
        <f t="shared" ca="1" si="4"/>
        <v/>
      </c>
    </row>
    <row r="115" spans="1:11">
      <c r="A115" s="23" t="s">
        <v>410</v>
      </c>
      <c r="B115" s="33" t="e">
        <f>IF(Sheet2!#REF!&lt;&gt;"",Sheet2!#REF!,"")</f>
        <v>#REF!</v>
      </c>
      <c r="C115" s="34" t="e">
        <f>IF(Sheet2!#REF!&lt;&gt;"",Sheet2!#REF!,"")</f>
        <v>#REF!</v>
      </c>
      <c r="D115" s="35" t="str">
        <f t="shared" ca="1" si="3"/>
        <v/>
      </c>
      <c r="E115" s="3"/>
      <c r="F115" s="3"/>
      <c r="G115" s="3"/>
      <c r="H115" s="3"/>
      <c r="K115" t="str">
        <f t="shared" ca="1" si="4"/>
        <v/>
      </c>
    </row>
    <row r="116" spans="1:11">
      <c r="A116" s="23" t="s">
        <v>412</v>
      </c>
      <c r="B116" s="33" t="e">
        <f>IF(Sheet2!#REF!&lt;&gt;"",Sheet2!#REF!,"")</f>
        <v>#REF!</v>
      </c>
      <c r="C116" s="34" t="e">
        <f>IF(Sheet2!#REF!&lt;&gt;"",Sheet2!#REF!,"")</f>
        <v>#REF!</v>
      </c>
      <c r="D116" s="35" t="str">
        <f t="shared" ca="1" si="3"/>
        <v/>
      </c>
      <c r="E116" s="3"/>
      <c r="F116" s="3"/>
      <c r="G116" s="3"/>
      <c r="H116" s="3"/>
      <c r="K116" t="str">
        <f t="shared" ca="1" si="4"/>
        <v/>
      </c>
    </row>
    <row r="117" spans="1:11">
      <c r="A117" s="23" t="e">
        <f>IF(Sheet2!#REF!&lt;&gt;"",Sheet2!#REF!,"")</f>
        <v>#REF!</v>
      </c>
      <c r="B117" s="33" t="e">
        <f>IF(Sheet2!#REF!&lt;&gt;"",Sheet2!#REF!,"")</f>
        <v>#REF!</v>
      </c>
      <c r="C117" s="34" t="e">
        <f>IF(Sheet2!#REF!&lt;&gt;"",Sheet2!#REF!,"")</f>
        <v>#REF!</v>
      </c>
      <c r="D117" s="35" t="str">
        <f t="shared" ca="1" si="3"/>
        <v/>
      </c>
      <c r="E117" s="3"/>
      <c r="F117" s="3"/>
      <c r="G117" s="3"/>
      <c r="H117" s="3"/>
      <c r="K117" t="str">
        <f t="shared" ca="1" si="4"/>
        <v/>
      </c>
    </row>
    <row r="118" spans="1:11">
      <c r="A118" s="23" t="e">
        <f>IF(Sheet2!#REF!&lt;&gt;"",Sheet2!#REF!,"")</f>
        <v>#REF!</v>
      </c>
      <c r="B118" s="33" t="e">
        <f>IF(Sheet2!#REF!&lt;&gt;"",Sheet2!#REF!,"")</f>
        <v>#REF!</v>
      </c>
      <c r="C118" s="34" t="e">
        <f>IF(Sheet2!#REF!&lt;&gt;"",Sheet2!#REF!,"")</f>
        <v>#REF!</v>
      </c>
      <c r="D118" s="35" t="str">
        <f t="shared" ca="1" si="3"/>
        <v/>
      </c>
      <c r="E118" s="3"/>
      <c r="F118" s="3"/>
      <c r="G118" s="3"/>
      <c r="H118" s="3"/>
      <c r="K118" t="str">
        <f t="shared" ca="1" si="4"/>
        <v/>
      </c>
    </row>
    <row r="119" spans="1:11">
      <c r="A119" s="23" t="e">
        <f>IF(Sheet2!#REF!&lt;&gt;"",Sheet2!#REF!,"")</f>
        <v>#REF!</v>
      </c>
      <c r="B119" s="33" t="e">
        <f>IF(Sheet2!#REF!&lt;&gt;"",Sheet2!#REF!,"")</f>
        <v>#REF!</v>
      </c>
      <c r="C119" s="34" t="e">
        <f>IF(Sheet2!#REF!&lt;&gt;"",Sheet2!#REF!,"")</f>
        <v>#REF!</v>
      </c>
      <c r="D119" s="35" t="str">
        <f t="shared" ca="1" si="3"/>
        <v/>
      </c>
      <c r="E119" s="3"/>
      <c r="F119" s="3"/>
      <c r="G119" s="3"/>
      <c r="H119" s="3"/>
      <c r="K119" t="str">
        <f t="shared" ca="1" si="4"/>
        <v/>
      </c>
    </row>
    <row r="120" spans="1:11">
      <c r="A120" s="23" t="e">
        <f>IF(Sheet2!#REF!&lt;&gt;"",Sheet2!#REF!,"")</f>
        <v>#REF!</v>
      </c>
      <c r="B120" s="33" t="e">
        <f>IF(Sheet2!#REF!&lt;&gt;"",Sheet2!#REF!,"")</f>
        <v>#REF!</v>
      </c>
      <c r="C120" s="34" t="e">
        <f>IF(Sheet2!#REF!&lt;&gt;"",Sheet2!#REF!,"")</f>
        <v>#REF!</v>
      </c>
      <c r="D120" s="35" t="str">
        <f t="shared" ca="1" si="3"/>
        <v/>
      </c>
      <c r="E120" s="3"/>
      <c r="F120" s="3"/>
      <c r="G120" s="3"/>
      <c r="H120" s="3"/>
      <c r="K120" t="str">
        <f t="shared" ca="1" si="4"/>
        <v/>
      </c>
    </row>
    <row r="121" spans="1:11">
      <c r="A121" s="23" t="e">
        <f>IF(Sheet2!#REF!&lt;&gt;"",Sheet2!#REF!,"")</f>
        <v>#REF!</v>
      </c>
      <c r="B121" s="33" t="e">
        <f>IF(Sheet2!#REF!&lt;&gt;"",Sheet2!#REF!,"")</f>
        <v>#REF!</v>
      </c>
      <c r="C121" s="34" t="e">
        <f>IF(Sheet2!#REF!&lt;&gt;"",Sheet2!#REF!,"")</f>
        <v>#REF!</v>
      </c>
      <c r="D121" s="35" t="str">
        <f t="shared" ca="1" si="3"/>
        <v/>
      </c>
      <c r="E121" s="3"/>
      <c r="F121" s="3"/>
      <c r="G121" s="3"/>
      <c r="H121" s="3"/>
      <c r="K121" t="str">
        <f t="shared" ca="1" si="4"/>
        <v/>
      </c>
    </row>
    <row r="122" spans="1:11">
      <c r="A122" s="23" t="e">
        <f>IF(Sheet2!#REF!&lt;&gt;"",Sheet2!#REF!,"")</f>
        <v>#REF!</v>
      </c>
      <c r="B122" s="33" t="e">
        <f>IF(Sheet2!#REF!&lt;&gt;"",Sheet2!#REF!,"")</f>
        <v>#REF!</v>
      </c>
      <c r="C122" s="34" t="e">
        <f>IF(Sheet2!#REF!&lt;&gt;"",Sheet2!#REF!,"")</f>
        <v>#REF!</v>
      </c>
      <c r="D122" s="35" t="str">
        <f t="shared" ca="1" si="3"/>
        <v/>
      </c>
      <c r="E122" s="3"/>
      <c r="F122" s="3"/>
      <c r="G122" s="3"/>
      <c r="H122" s="3"/>
      <c r="K122" t="str">
        <f t="shared" ca="1" si="4"/>
        <v/>
      </c>
    </row>
    <row r="123" spans="1:11">
      <c r="A123" s="23" t="e">
        <f>IF(Sheet2!#REF!&lt;&gt;"",Sheet2!#REF!,"")</f>
        <v>#REF!</v>
      </c>
      <c r="B123" s="33" t="e">
        <f>IF(Sheet2!#REF!&lt;&gt;"",Sheet2!#REF!,"")</f>
        <v>#REF!</v>
      </c>
      <c r="C123" s="34" t="e">
        <f>IF(Sheet2!#REF!&lt;&gt;"",Sheet2!#REF!,"")</f>
        <v>#REF!</v>
      </c>
      <c r="D123" s="35" t="str">
        <f t="shared" ca="1" si="3"/>
        <v/>
      </c>
      <c r="E123" s="3"/>
      <c r="F123" s="3"/>
      <c r="G123" s="3"/>
      <c r="H123" s="3"/>
      <c r="K123" t="str">
        <f t="shared" ca="1" si="4"/>
        <v/>
      </c>
    </row>
    <row r="124" spans="1:11">
      <c r="A124" s="23" t="e">
        <f>IF(Sheet2!#REF!&lt;&gt;"",Sheet2!#REF!,"")</f>
        <v>#REF!</v>
      </c>
      <c r="B124" s="33" t="e">
        <f>IF(Sheet2!#REF!&lt;&gt;"",Sheet2!#REF!,"")</f>
        <v>#REF!</v>
      </c>
      <c r="C124" s="34" t="e">
        <f>IF(Sheet2!#REF!&lt;&gt;"",Sheet2!#REF!,"")</f>
        <v>#REF!</v>
      </c>
      <c r="D124" s="35" t="str">
        <f t="shared" ca="1" si="3"/>
        <v/>
      </c>
      <c r="E124" s="3"/>
      <c r="F124" s="3"/>
      <c r="G124" s="3"/>
      <c r="H124" s="3"/>
      <c r="K124" t="str">
        <f t="shared" ca="1" si="4"/>
        <v/>
      </c>
    </row>
    <row r="125" spans="1:11">
      <c r="A125" s="23" t="e">
        <f>IF(Sheet2!#REF!&lt;&gt;"",Sheet2!#REF!,"")</f>
        <v>#REF!</v>
      </c>
      <c r="B125" s="33" t="e">
        <f>IF(Sheet2!#REF!&lt;&gt;"",Sheet2!#REF!,"")</f>
        <v>#REF!</v>
      </c>
      <c r="C125" s="34" t="e">
        <f>IF(Sheet2!#REF!&lt;&gt;"",Sheet2!#REF!,"")</f>
        <v>#REF!</v>
      </c>
      <c r="D125" s="35" t="str">
        <f t="shared" ca="1" si="3"/>
        <v/>
      </c>
      <c r="E125" s="3"/>
      <c r="F125" s="3"/>
      <c r="G125" s="3"/>
      <c r="H125" s="3"/>
      <c r="K125" t="str">
        <f t="shared" ca="1" si="4"/>
        <v/>
      </c>
    </row>
    <row r="126" spans="1:11">
      <c r="A126" s="23" t="e">
        <f>IF(Sheet2!#REF!&lt;&gt;"",Sheet2!#REF!,"")</f>
        <v>#REF!</v>
      </c>
      <c r="B126" s="33" t="e">
        <f>IF(Sheet2!#REF!&lt;&gt;"",Sheet2!#REF!,"")</f>
        <v>#REF!</v>
      </c>
      <c r="C126" s="34" t="e">
        <f>IF(Sheet2!#REF!&lt;&gt;"",Sheet2!#REF!,"")</f>
        <v>#REF!</v>
      </c>
      <c r="D126" s="35" t="str">
        <f t="shared" ca="1" si="3"/>
        <v/>
      </c>
      <c r="E126" s="3"/>
      <c r="F126" s="3"/>
      <c r="G126" s="3"/>
      <c r="H126" s="3"/>
      <c r="K126" t="str">
        <f t="shared" ca="1" si="4"/>
        <v/>
      </c>
    </row>
    <row r="127" spans="1:11">
      <c r="A127" s="23" t="e">
        <f>IF(Sheet2!#REF!&lt;&gt;"",Sheet2!#REF!,"")</f>
        <v>#REF!</v>
      </c>
      <c r="B127" s="33" t="e">
        <f>IF(Sheet2!#REF!&lt;&gt;"",Sheet2!#REF!,"")</f>
        <v>#REF!</v>
      </c>
      <c r="C127" s="34" t="e">
        <f>IF(Sheet2!#REF!&lt;&gt;"",Sheet2!#REF!,"")</f>
        <v>#REF!</v>
      </c>
      <c r="D127" s="35" t="str">
        <f t="shared" ca="1" si="3"/>
        <v/>
      </c>
      <c r="E127" s="3"/>
      <c r="F127" s="3"/>
      <c r="G127" s="3"/>
      <c r="H127" s="3"/>
      <c r="K127" t="str">
        <f t="shared" ca="1" si="4"/>
        <v/>
      </c>
    </row>
    <row r="128" spans="1:11">
      <c r="A128" s="23" t="e">
        <f>IF(Sheet2!#REF!&lt;&gt;"",Sheet2!#REF!,"")</f>
        <v>#REF!</v>
      </c>
      <c r="B128" s="33" t="e">
        <f>IF(Sheet2!#REF!&lt;&gt;"",Sheet2!#REF!,"")</f>
        <v>#REF!</v>
      </c>
      <c r="C128" s="34" t="e">
        <f>IF(Sheet2!#REF!&lt;&gt;"",Sheet2!#REF!,"")</f>
        <v>#REF!</v>
      </c>
      <c r="D128" s="35" t="str">
        <f t="shared" ca="1" si="3"/>
        <v/>
      </c>
      <c r="E128" s="3"/>
      <c r="F128" s="3"/>
      <c r="G128" s="3"/>
      <c r="H128" s="3"/>
      <c r="K128" t="str">
        <f t="shared" ca="1" si="4"/>
        <v/>
      </c>
    </row>
    <row r="129" spans="1:11">
      <c r="A129" s="23" t="e">
        <f>IF(Sheet2!#REF!&lt;&gt;"",Sheet2!#REF!,"")</f>
        <v>#REF!</v>
      </c>
      <c r="B129" s="33" t="e">
        <f>IF(Sheet2!#REF!&lt;&gt;"",Sheet2!#REF!,"")</f>
        <v>#REF!</v>
      </c>
      <c r="C129" s="34" t="e">
        <f>IF(Sheet2!#REF!&lt;&gt;"",Sheet2!#REF!,"")</f>
        <v>#REF!</v>
      </c>
      <c r="D129" s="35" t="str">
        <f t="shared" ca="1" si="3"/>
        <v/>
      </c>
      <c r="E129" s="3"/>
      <c r="F129" s="3"/>
      <c r="G129" s="3"/>
      <c r="H129" s="3"/>
      <c r="K129" t="str">
        <f t="shared" ca="1" si="4"/>
        <v/>
      </c>
    </row>
    <row r="130" spans="1:11">
      <c r="A130" s="23" t="e">
        <f>IF(Sheet2!#REF!&lt;&gt;"",Sheet2!#REF!,"")</f>
        <v>#REF!</v>
      </c>
      <c r="B130" s="33" t="e">
        <f>IF(Sheet2!#REF!&lt;&gt;"",Sheet2!#REF!,"")</f>
        <v>#REF!</v>
      </c>
      <c r="C130" s="34" t="e">
        <f>IF(Sheet2!#REF!&lt;&gt;"",Sheet2!#REF!,"")</f>
        <v>#REF!</v>
      </c>
      <c r="D130" s="35" t="str">
        <f t="shared" ca="1" si="3"/>
        <v/>
      </c>
      <c r="E130" s="3"/>
      <c r="F130" s="3"/>
      <c r="G130" s="3"/>
      <c r="H130" s="3"/>
      <c r="K130" t="str">
        <f t="shared" ca="1" si="4"/>
        <v/>
      </c>
    </row>
    <row r="131" spans="1:11">
      <c r="A131" s="23" t="e">
        <f>IF(Sheet2!#REF!&lt;&gt;"",Sheet2!#REF!,"")</f>
        <v>#REF!</v>
      </c>
      <c r="B131" s="33" t="e">
        <f>IF(Sheet2!#REF!&lt;&gt;"",Sheet2!#REF!,"")</f>
        <v>#REF!</v>
      </c>
      <c r="C131" s="34" t="e">
        <f>IF(Sheet2!#REF!&lt;&gt;"",Sheet2!#REF!,"")</f>
        <v>#REF!</v>
      </c>
      <c r="D131" s="35" t="str">
        <f t="shared" ref="D131:D194" ca="1" si="5">IFERROR(IF(AND((C131-TODAY())&lt;15,B131&lt;&gt;""),IF(I131="","Alert",""),""),"")</f>
        <v/>
      </c>
      <c r="E131" s="3"/>
      <c r="F131" s="3"/>
      <c r="G131" s="3"/>
      <c r="H131" s="3"/>
      <c r="K131" t="str">
        <f t="shared" ref="K131:K166" ca="1" si="6">IF(I131&lt;&gt;"",IF(J131="",IF(TODAY()-I131&gt;3,"ALERT",""),""),"")</f>
        <v/>
      </c>
    </row>
    <row r="132" spans="1:11">
      <c r="A132" s="23" t="e">
        <f>IF(Sheet2!#REF!&lt;&gt;"",Sheet2!#REF!,"")</f>
        <v>#REF!</v>
      </c>
      <c r="B132" s="33" t="e">
        <f>IF(Sheet2!#REF!&lt;&gt;"",Sheet2!#REF!,"")</f>
        <v>#REF!</v>
      </c>
      <c r="C132" s="34" t="e">
        <f>IF(Sheet2!#REF!&lt;&gt;"",Sheet2!#REF!,"")</f>
        <v>#REF!</v>
      </c>
      <c r="D132" s="35" t="str">
        <f t="shared" ca="1" si="5"/>
        <v/>
      </c>
      <c r="E132" s="3"/>
      <c r="F132" s="3"/>
      <c r="G132" s="3"/>
      <c r="H132" s="3"/>
      <c r="K132" t="str">
        <f t="shared" ca="1" si="6"/>
        <v/>
      </c>
    </row>
    <row r="133" spans="1:11">
      <c r="A133" s="23" t="e">
        <f>IF(Sheet2!#REF!&lt;&gt;"",Sheet2!#REF!,"")</f>
        <v>#REF!</v>
      </c>
      <c r="B133" s="33" t="e">
        <f>IF(Sheet2!#REF!&lt;&gt;"",Sheet2!#REF!,"")</f>
        <v>#REF!</v>
      </c>
      <c r="C133" s="34" t="e">
        <f>IF(Sheet2!#REF!&lt;&gt;"",Sheet2!#REF!,"")</f>
        <v>#REF!</v>
      </c>
      <c r="D133" s="35" t="str">
        <f t="shared" ca="1" si="5"/>
        <v/>
      </c>
      <c r="E133" s="3"/>
      <c r="F133" s="3"/>
      <c r="G133" s="3"/>
      <c r="H133" s="3"/>
      <c r="K133" t="str">
        <f t="shared" ca="1" si="6"/>
        <v/>
      </c>
    </row>
    <row r="134" spans="1:11">
      <c r="A134" s="23" t="e">
        <f>IF(Sheet2!#REF!&lt;&gt;"",Sheet2!#REF!,"")</f>
        <v>#REF!</v>
      </c>
      <c r="B134" s="33" t="e">
        <f>IF(Sheet2!#REF!&lt;&gt;"",Sheet2!#REF!,"")</f>
        <v>#REF!</v>
      </c>
      <c r="C134" s="34" t="e">
        <f>IF(Sheet2!#REF!&lt;&gt;"",Sheet2!#REF!,"")</f>
        <v>#REF!</v>
      </c>
      <c r="D134" s="35" t="str">
        <f t="shared" ca="1" si="5"/>
        <v/>
      </c>
      <c r="E134" s="3"/>
      <c r="F134" s="3"/>
      <c r="G134" s="3"/>
      <c r="H134" s="3"/>
      <c r="K134" t="str">
        <f t="shared" ca="1" si="6"/>
        <v/>
      </c>
    </row>
    <row r="135" spans="1:11">
      <c r="A135" s="23" t="e">
        <f>IF(Sheet2!#REF!&lt;&gt;"",Sheet2!#REF!,"")</f>
        <v>#REF!</v>
      </c>
      <c r="B135" s="33" t="e">
        <f>IF(Sheet2!#REF!&lt;&gt;"",Sheet2!#REF!,"")</f>
        <v>#REF!</v>
      </c>
      <c r="C135" s="34" t="e">
        <f>IF(Sheet2!#REF!&lt;&gt;"",Sheet2!#REF!,"")</f>
        <v>#REF!</v>
      </c>
      <c r="D135" s="35" t="str">
        <f t="shared" ca="1" si="5"/>
        <v/>
      </c>
      <c r="E135" s="3"/>
      <c r="F135" s="3"/>
      <c r="G135" s="3"/>
      <c r="H135" s="3"/>
      <c r="K135" t="str">
        <f t="shared" ca="1" si="6"/>
        <v/>
      </c>
    </row>
    <row r="136" spans="1:11">
      <c r="A136" s="23" t="e">
        <f>IF(Sheet2!#REF!&lt;&gt;"",Sheet2!#REF!,"")</f>
        <v>#REF!</v>
      </c>
      <c r="B136" s="33" t="e">
        <f>IF(Sheet2!#REF!&lt;&gt;"",Sheet2!#REF!,"")</f>
        <v>#REF!</v>
      </c>
      <c r="C136" s="34" t="e">
        <f>IF(Sheet2!#REF!&lt;&gt;"",Sheet2!#REF!,"")</f>
        <v>#REF!</v>
      </c>
      <c r="D136" s="35" t="str">
        <f t="shared" ca="1" si="5"/>
        <v/>
      </c>
      <c r="E136" s="3"/>
      <c r="F136" s="3"/>
      <c r="G136" s="3"/>
      <c r="H136" s="3"/>
      <c r="K136" t="str">
        <f t="shared" ca="1" si="6"/>
        <v/>
      </c>
    </row>
    <row r="137" spans="1:11">
      <c r="A137" s="23" t="e">
        <f>IF(Sheet2!#REF!&lt;&gt;"",Sheet2!#REF!,"")</f>
        <v>#REF!</v>
      </c>
      <c r="B137" s="33" t="e">
        <f>IF(Sheet2!#REF!&lt;&gt;"",Sheet2!#REF!,"")</f>
        <v>#REF!</v>
      </c>
      <c r="C137" s="34" t="e">
        <f>IF(Sheet2!#REF!&lt;&gt;"",Sheet2!#REF!,"")</f>
        <v>#REF!</v>
      </c>
      <c r="D137" s="35" t="str">
        <f t="shared" ca="1" si="5"/>
        <v/>
      </c>
      <c r="E137" s="3"/>
      <c r="F137" s="3"/>
      <c r="G137" s="3"/>
      <c r="H137" s="3"/>
      <c r="K137" t="str">
        <f t="shared" ca="1" si="6"/>
        <v/>
      </c>
    </row>
    <row r="138" spans="1:11">
      <c r="A138" s="23" t="e">
        <f>IF(Sheet2!#REF!&lt;&gt;"",Sheet2!#REF!,"")</f>
        <v>#REF!</v>
      </c>
      <c r="B138" s="33" t="e">
        <f>IF(Sheet2!#REF!&lt;&gt;"",Sheet2!#REF!,"")</f>
        <v>#REF!</v>
      </c>
      <c r="C138" s="34" t="e">
        <f>IF(Sheet2!#REF!&lt;&gt;"",Sheet2!#REF!,"")</f>
        <v>#REF!</v>
      </c>
      <c r="D138" s="35" t="str">
        <f t="shared" ca="1" si="5"/>
        <v/>
      </c>
      <c r="E138" s="3"/>
      <c r="F138" s="3"/>
      <c r="G138" s="3"/>
      <c r="H138" s="3"/>
      <c r="K138" t="str">
        <f t="shared" ca="1" si="6"/>
        <v/>
      </c>
    </row>
    <row r="139" spans="1:11">
      <c r="A139" s="23" t="e">
        <f>IF(Sheet2!#REF!&lt;&gt;"",Sheet2!#REF!,"")</f>
        <v>#REF!</v>
      </c>
      <c r="B139" s="33" t="e">
        <f>IF(Sheet2!#REF!&lt;&gt;"",Sheet2!#REF!,"")</f>
        <v>#REF!</v>
      </c>
      <c r="C139" s="34" t="e">
        <f>IF(Sheet2!#REF!&lt;&gt;"",Sheet2!#REF!,"")</f>
        <v>#REF!</v>
      </c>
      <c r="D139" s="35" t="str">
        <f t="shared" ca="1" si="5"/>
        <v/>
      </c>
      <c r="E139" s="3"/>
      <c r="F139" s="3"/>
      <c r="G139" s="3"/>
      <c r="H139" s="3"/>
      <c r="K139" t="str">
        <f t="shared" ca="1" si="6"/>
        <v/>
      </c>
    </row>
    <row r="140" spans="1:11">
      <c r="A140" s="23" t="e">
        <f>IF(Sheet2!#REF!&lt;&gt;"",Sheet2!#REF!,"")</f>
        <v>#REF!</v>
      </c>
      <c r="B140" s="33" t="e">
        <f>IF(Sheet2!#REF!&lt;&gt;"",Sheet2!#REF!,"")</f>
        <v>#REF!</v>
      </c>
      <c r="C140" s="34" t="e">
        <f>IF(Sheet2!#REF!&lt;&gt;"",Sheet2!#REF!,"")</f>
        <v>#REF!</v>
      </c>
      <c r="D140" s="35" t="str">
        <f t="shared" ca="1" si="5"/>
        <v/>
      </c>
      <c r="E140" s="3"/>
      <c r="F140" s="3"/>
      <c r="G140" s="3"/>
      <c r="H140" s="3"/>
      <c r="K140" t="str">
        <f t="shared" ca="1" si="6"/>
        <v/>
      </c>
    </row>
    <row r="141" spans="1:11">
      <c r="A141" s="23" t="e">
        <f>IF(Sheet2!#REF!&lt;&gt;"",Sheet2!#REF!,"")</f>
        <v>#REF!</v>
      </c>
      <c r="B141" s="33" t="e">
        <f>IF(Sheet2!#REF!&lt;&gt;"",Sheet2!#REF!,"")</f>
        <v>#REF!</v>
      </c>
      <c r="C141" s="34" t="e">
        <f>IF(Sheet2!#REF!&lt;&gt;"",Sheet2!#REF!,"")</f>
        <v>#REF!</v>
      </c>
      <c r="D141" s="35" t="str">
        <f t="shared" ca="1" si="5"/>
        <v/>
      </c>
      <c r="E141" s="3"/>
      <c r="F141" s="3"/>
      <c r="G141" s="3"/>
      <c r="H141" s="3"/>
      <c r="K141" t="str">
        <f t="shared" ca="1" si="6"/>
        <v/>
      </c>
    </row>
    <row r="142" spans="1:11">
      <c r="A142" s="23" t="e">
        <f>IF(Sheet2!#REF!&lt;&gt;"",Sheet2!#REF!,"")</f>
        <v>#REF!</v>
      </c>
      <c r="B142" s="33" t="e">
        <f>IF(Sheet2!#REF!&lt;&gt;"",Sheet2!#REF!,"")</f>
        <v>#REF!</v>
      </c>
      <c r="C142" s="34" t="e">
        <f>IF(Sheet2!#REF!&lt;&gt;"",Sheet2!#REF!,"")</f>
        <v>#REF!</v>
      </c>
      <c r="D142" s="35" t="str">
        <f t="shared" ca="1" si="5"/>
        <v/>
      </c>
      <c r="E142" s="3"/>
      <c r="F142" s="3"/>
      <c r="G142" s="3"/>
      <c r="H142" s="3"/>
      <c r="K142" t="str">
        <f t="shared" ca="1" si="6"/>
        <v/>
      </c>
    </row>
    <row r="143" spans="1:11">
      <c r="A143" s="23" t="e">
        <f>IF(Sheet2!#REF!&lt;&gt;"",Sheet2!#REF!,"")</f>
        <v>#REF!</v>
      </c>
      <c r="B143" s="33" t="e">
        <f>IF(Sheet2!#REF!&lt;&gt;"",Sheet2!#REF!,"")</f>
        <v>#REF!</v>
      </c>
      <c r="C143" s="34" t="e">
        <f>IF(Sheet2!#REF!&lt;&gt;"",Sheet2!#REF!,"")</f>
        <v>#REF!</v>
      </c>
      <c r="D143" s="35" t="str">
        <f t="shared" ca="1" si="5"/>
        <v/>
      </c>
      <c r="E143" s="3"/>
      <c r="F143" s="3"/>
      <c r="G143" s="3"/>
      <c r="H143" s="3"/>
      <c r="K143" t="str">
        <f t="shared" ca="1" si="6"/>
        <v/>
      </c>
    </row>
    <row r="144" spans="1:11">
      <c r="A144" s="23" t="e">
        <f>IF(Sheet2!#REF!&lt;&gt;"",Sheet2!#REF!,"")</f>
        <v>#REF!</v>
      </c>
      <c r="B144" s="33" t="e">
        <f>IF(Sheet2!#REF!&lt;&gt;"",Sheet2!#REF!,"")</f>
        <v>#REF!</v>
      </c>
      <c r="C144" s="34" t="e">
        <f>IF(Sheet2!#REF!&lt;&gt;"",Sheet2!#REF!,"")</f>
        <v>#REF!</v>
      </c>
      <c r="D144" s="35" t="str">
        <f t="shared" ca="1" si="5"/>
        <v/>
      </c>
      <c r="E144" s="3"/>
      <c r="F144" s="3"/>
      <c r="G144" s="3"/>
      <c r="H144" s="3"/>
      <c r="K144" t="str">
        <f t="shared" ca="1" si="6"/>
        <v/>
      </c>
    </row>
    <row r="145" spans="1:11">
      <c r="A145" s="23" t="e">
        <f>IF(Sheet2!#REF!&lt;&gt;"",Sheet2!#REF!,"")</f>
        <v>#REF!</v>
      </c>
      <c r="B145" s="33" t="e">
        <f>IF(Sheet2!#REF!&lt;&gt;"",Sheet2!#REF!,"")</f>
        <v>#REF!</v>
      </c>
      <c r="C145" s="34" t="e">
        <f>IF(Sheet2!#REF!&lt;&gt;"",Sheet2!#REF!,"")</f>
        <v>#REF!</v>
      </c>
      <c r="D145" s="35" t="str">
        <f t="shared" ca="1" si="5"/>
        <v/>
      </c>
      <c r="E145" s="3"/>
      <c r="F145" s="3"/>
      <c r="G145" s="3"/>
      <c r="H145" s="3"/>
      <c r="K145" t="str">
        <f t="shared" ca="1" si="6"/>
        <v/>
      </c>
    </row>
    <row r="146" spans="1:11">
      <c r="A146" s="23" t="e">
        <f>IF(Sheet2!#REF!&lt;&gt;"",Sheet2!#REF!,"")</f>
        <v>#REF!</v>
      </c>
      <c r="B146" s="33" t="e">
        <f>IF(Sheet2!#REF!&lt;&gt;"",Sheet2!#REF!,"")</f>
        <v>#REF!</v>
      </c>
      <c r="C146" s="34" t="e">
        <f>IF(Sheet2!#REF!&lt;&gt;"",Sheet2!#REF!,"")</f>
        <v>#REF!</v>
      </c>
      <c r="D146" s="35" t="str">
        <f t="shared" ca="1" si="5"/>
        <v/>
      </c>
      <c r="E146" s="3"/>
      <c r="F146" s="3"/>
      <c r="G146" s="3"/>
      <c r="H146" s="3"/>
      <c r="K146" t="str">
        <f t="shared" ca="1" si="6"/>
        <v/>
      </c>
    </row>
    <row r="147" spans="1:11">
      <c r="A147" s="23" t="e">
        <f>IF(Sheet2!#REF!&lt;&gt;"",Sheet2!#REF!,"")</f>
        <v>#REF!</v>
      </c>
      <c r="B147" s="33" t="e">
        <f>IF(Sheet2!#REF!&lt;&gt;"",Sheet2!#REF!,"")</f>
        <v>#REF!</v>
      </c>
      <c r="C147" s="34" t="e">
        <f>IF(Sheet2!#REF!&lt;&gt;"",Sheet2!#REF!,"")</f>
        <v>#REF!</v>
      </c>
      <c r="D147" s="35" t="str">
        <f t="shared" ca="1" si="5"/>
        <v/>
      </c>
      <c r="E147" s="3"/>
      <c r="F147" s="3"/>
      <c r="G147" s="3"/>
      <c r="H147" s="3"/>
      <c r="K147" t="str">
        <f t="shared" ca="1" si="6"/>
        <v/>
      </c>
    </row>
    <row r="148" spans="1:11">
      <c r="A148" s="23" t="e">
        <f>IF(Sheet2!#REF!&lt;&gt;"",Sheet2!#REF!,"")</f>
        <v>#REF!</v>
      </c>
      <c r="B148" s="33" t="e">
        <f>IF(Sheet2!#REF!&lt;&gt;"",Sheet2!#REF!,"")</f>
        <v>#REF!</v>
      </c>
      <c r="C148" s="34" t="e">
        <f>IF(Sheet2!#REF!&lt;&gt;"",Sheet2!#REF!,"")</f>
        <v>#REF!</v>
      </c>
      <c r="D148" s="35" t="str">
        <f t="shared" ca="1" si="5"/>
        <v/>
      </c>
      <c r="E148" s="3"/>
      <c r="F148" s="3"/>
      <c r="G148" s="3"/>
      <c r="H148" s="3"/>
      <c r="K148" t="str">
        <f t="shared" ca="1" si="6"/>
        <v/>
      </c>
    </row>
    <row r="149" spans="1:11">
      <c r="A149" s="23" t="e">
        <f>IF(Sheet2!#REF!&lt;&gt;"",Sheet2!#REF!,"")</f>
        <v>#REF!</v>
      </c>
      <c r="B149" s="33" t="e">
        <f>IF(Sheet2!#REF!&lt;&gt;"",Sheet2!#REF!,"")</f>
        <v>#REF!</v>
      </c>
      <c r="C149" s="34" t="e">
        <f>IF(Sheet2!#REF!&lt;&gt;"",Sheet2!#REF!,"")</f>
        <v>#REF!</v>
      </c>
      <c r="D149" s="35" t="str">
        <f t="shared" ca="1" si="5"/>
        <v/>
      </c>
      <c r="E149" s="3"/>
      <c r="F149" s="3"/>
      <c r="G149" s="3"/>
      <c r="H149" s="3"/>
      <c r="K149" t="str">
        <f t="shared" ca="1" si="6"/>
        <v/>
      </c>
    </row>
    <row r="150" spans="1:11">
      <c r="A150" s="23" t="e">
        <f>IF(Sheet2!#REF!&lt;&gt;"",Sheet2!#REF!,"")</f>
        <v>#REF!</v>
      </c>
      <c r="B150" s="33" t="e">
        <f>IF(Sheet2!#REF!&lt;&gt;"",Sheet2!#REF!,"")</f>
        <v>#REF!</v>
      </c>
      <c r="C150" s="34" t="e">
        <f>IF(Sheet2!#REF!&lt;&gt;"",Sheet2!#REF!,"")</f>
        <v>#REF!</v>
      </c>
      <c r="D150" s="35" t="str">
        <f t="shared" ca="1" si="5"/>
        <v/>
      </c>
      <c r="E150" s="3"/>
      <c r="F150" s="3"/>
      <c r="G150" s="3"/>
      <c r="H150" s="3"/>
      <c r="K150" t="str">
        <f t="shared" ca="1" si="6"/>
        <v/>
      </c>
    </row>
    <row r="151" spans="1:11">
      <c r="A151" s="23" t="e">
        <f>IF(Sheet2!#REF!&lt;&gt;"",Sheet2!#REF!,"")</f>
        <v>#REF!</v>
      </c>
      <c r="B151" s="33" t="e">
        <f>IF(Sheet2!#REF!&lt;&gt;"",Sheet2!#REF!,"")</f>
        <v>#REF!</v>
      </c>
      <c r="C151" s="34" t="e">
        <f>IF(Sheet2!#REF!&lt;&gt;"",Sheet2!#REF!,"")</f>
        <v>#REF!</v>
      </c>
      <c r="D151" s="35" t="str">
        <f t="shared" ca="1" si="5"/>
        <v/>
      </c>
      <c r="E151" s="3"/>
      <c r="F151" s="3"/>
      <c r="G151" s="3"/>
      <c r="H151" s="3"/>
      <c r="K151" t="str">
        <f t="shared" ca="1" si="6"/>
        <v/>
      </c>
    </row>
    <row r="152" spans="1:11">
      <c r="A152" s="23" t="e">
        <f>IF(Sheet2!#REF!&lt;&gt;"",Sheet2!#REF!,"")</f>
        <v>#REF!</v>
      </c>
      <c r="B152" s="33" t="e">
        <f>IF(Sheet2!#REF!&lt;&gt;"",Sheet2!#REF!,"")</f>
        <v>#REF!</v>
      </c>
      <c r="C152" s="34" t="e">
        <f>IF(Sheet2!#REF!&lt;&gt;"",Sheet2!#REF!,"")</f>
        <v>#REF!</v>
      </c>
      <c r="D152" s="35" t="str">
        <f t="shared" ca="1" si="5"/>
        <v/>
      </c>
      <c r="E152" s="3"/>
      <c r="F152" s="3"/>
      <c r="G152" s="3"/>
      <c r="H152" s="3"/>
      <c r="K152" t="str">
        <f t="shared" ca="1" si="6"/>
        <v/>
      </c>
    </row>
    <row r="153" spans="1:11">
      <c r="A153" s="23" t="e">
        <f>IF(Sheet2!#REF!&lt;&gt;"",Sheet2!#REF!,"")</f>
        <v>#REF!</v>
      </c>
      <c r="B153" s="33" t="e">
        <f>IF(Sheet2!#REF!&lt;&gt;"",Sheet2!#REF!,"")</f>
        <v>#REF!</v>
      </c>
      <c r="C153" s="34" t="e">
        <f>IF(Sheet2!#REF!&lt;&gt;"",Sheet2!#REF!,"")</f>
        <v>#REF!</v>
      </c>
      <c r="D153" s="35" t="str">
        <f t="shared" ca="1" si="5"/>
        <v/>
      </c>
      <c r="E153" s="3"/>
      <c r="F153" s="3"/>
      <c r="G153" s="3"/>
      <c r="H153" s="3"/>
      <c r="K153" t="str">
        <f t="shared" ca="1" si="6"/>
        <v/>
      </c>
    </row>
    <row r="154" spans="1:11">
      <c r="A154" s="23" t="e">
        <f>IF(Sheet2!#REF!&lt;&gt;"",Sheet2!#REF!,"")</f>
        <v>#REF!</v>
      </c>
      <c r="B154" s="33" t="e">
        <f>IF(Sheet2!#REF!&lt;&gt;"",Sheet2!#REF!,"")</f>
        <v>#REF!</v>
      </c>
      <c r="C154" s="34" t="e">
        <f>IF(Sheet2!#REF!&lt;&gt;"",Sheet2!#REF!,"")</f>
        <v>#REF!</v>
      </c>
      <c r="D154" s="35" t="str">
        <f t="shared" ca="1" si="5"/>
        <v/>
      </c>
      <c r="E154" s="3"/>
      <c r="F154" s="3"/>
      <c r="G154" s="3"/>
      <c r="H154" s="3"/>
      <c r="K154" t="str">
        <f t="shared" ca="1" si="6"/>
        <v/>
      </c>
    </row>
    <row r="155" spans="1:11">
      <c r="A155" s="23" t="e">
        <f>IF(Sheet2!#REF!&lt;&gt;"",Sheet2!#REF!,"")</f>
        <v>#REF!</v>
      </c>
      <c r="B155" s="33" t="e">
        <f>IF(Sheet2!#REF!&lt;&gt;"",Sheet2!#REF!,"")</f>
        <v>#REF!</v>
      </c>
      <c r="C155" s="34" t="e">
        <f>IF(Sheet2!#REF!&lt;&gt;"",Sheet2!#REF!,"")</f>
        <v>#REF!</v>
      </c>
      <c r="D155" s="35" t="str">
        <f t="shared" ca="1" si="5"/>
        <v/>
      </c>
      <c r="E155" s="3"/>
      <c r="F155" s="3"/>
      <c r="G155" s="3"/>
      <c r="H155" s="3"/>
      <c r="K155" t="str">
        <f t="shared" ca="1" si="6"/>
        <v/>
      </c>
    </row>
    <row r="156" spans="1:11">
      <c r="A156" s="23" t="e">
        <f>IF(Sheet2!#REF!&lt;&gt;"",Sheet2!#REF!,"")</f>
        <v>#REF!</v>
      </c>
      <c r="B156" s="33" t="e">
        <f>IF(Sheet2!#REF!&lt;&gt;"",Sheet2!#REF!,"")</f>
        <v>#REF!</v>
      </c>
      <c r="C156" s="34" t="e">
        <f>IF(Sheet2!#REF!&lt;&gt;"",Sheet2!#REF!,"")</f>
        <v>#REF!</v>
      </c>
      <c r="D156" s="35" t="str">
        <f t="shared" ca="1" si="5"/>
        <v/>
      </c>
      <c r="E156" s="3"/>
      <c r="F156" s="3"/>
      <c r="G156" s="3"/>
      <c r="H156" s="3"/>
      <c r="K156" t="str">
        <f t="shared" ca="1" si="6"/>
        <v/>
      </c>
    </row>
    <row r="157" spans="1:11">
      <c r="A157" s="23" t="e">
        <f>IF(Sheet2!#REF!&lt;&gt;"",Sheet2!#REF!,"")</f>
        <v>#REF!</v>
      </c>
      <c r="B157" s="33" t="e">
        <f>IF(Sheet2!#REF!&lt;&gt;"",Sheet2!#REF!,"")</f>
        <v>#REF!</v>
      </c>
      <c r="C157" s="34" t="e">
        <f>IF(Sheet2!#REF!&lt;&gt;"",Sheet2!#REF!,"")</f>
        <v>#REF!</v>
      </c>
      <c r="D157" s="35" t="str">
        <f t="shared" ca="1" si="5"/>
        <v/>
      </c>
      <c r="E157" s="3"/>
      <c r="F157" s="3"/>
      <c r="G157" s="3"/>
      <c r="H157" s="3"/>
      <c r="K157" t="str">
        <f t="shared" ca="1" si="6"/>
        <v/>
      </c>
    </row>
    <row r="158" spans="1:11">
      <c r="A158" s="23" t="e">
        <f>IF(Sheet2!#REF!&lt;&gt;"",Sheet2!#REF!,"")</f>
        <v>#REF!</v>
      </c>
      <c r="B158" s="33" t="e">
        <f>IF(Sheet2!#REF!&lt;&gt;"",Sheet2!#REF!,"")</f>
        <v>#REF!</v>
      </c>
      <c r="C158" s="34" t="e">
        <f>IF(Sheet2!#REF!&lt;&gt;"",Sheet2!#REF!,"")</f>
        <v>#REF!</v>
      </c>
      <c r="D158" s="35" t="str">
        <f t="shared" ca="1" si="5"/>
        <v/>
      </c>
      <c r="E158" s="3"/>
      <c r="F158" s="3"/>
      <c r="G158" s="3"/>
      <c r="H158" s="3"/>
      <c r="K158" t="str">
        <f t="shared" ca="1" si="6"/>
        <v/>
      </c>
    </row>
    <row r="159" spans="1:11">
      <c r="A159" s="23" t="e">
        <f>IF(Sheet2!#REF!&lt;&gt;"",Sheet2!#REF!,"")</f>
        <v>#REF!</v>
      </c>
      <c r="B159" s="33" t="e">
        <f>IF(Sheet2!#REF!&lt;&gt;"",Sheet2!#REF!,"")</f>
        <v>#REF!</v>
      </c>
      <c r="C159" s="34" t="e">
        <f>IF(Sheet2!#REF!&lt;&gt;"",Sheet2!#REF!,"")</f>
        <v>#REF!</v>
      </c>
      <c r="D159" s="35" t="str">
        <f t="shared" ca="1" si="5"/>
        <v/>
      </c>
      <c r="E159" s="3"/>
      <c r="F159" s="3"/>
      <c r="G159" s="3"/>
      <c r="H159" s="3"/>
      <c r="K159" t="str">
        <f t="shared" ca="1" si="6"/>
        <v/>
      </c>
    </row>
    <row r="160" spans="1:11">
      <c r="A160" s="23" t="e">
        <f>IF(Sheet2!#REF!&lt;&gt;"",Sheet2!#REF!,"")</f>
        <v>#REF!</v>
      </c>
      <c r="B160" s="33" t="e">
        <f>IF(Sheet2!#REF!&lt;&gt;"",Sheet2!#REF!,"")</f>
        <v>#REF!</v>
      </c>
      <c r="C160" s="34" t="e">
        <f>IF(Sheet2!#REF!&lt;&gt;"",Sheet2!#REF!,"")</f>
        <v>#REF!</v>
      </c>
      <c r="D160" s="35" t="str">
        <f t="shared" ca="1" si="5"/>
        <v/>
      </c>
      <c r="E160" s="3"/>
      <c r="F160" s="3"/>
      <c r="G160" s="3"/>
      <c r="H160" s="3"/>
      <c r="K160" t="str">
        <f t="shared" ca="1" si="6"/>
        <v/>
      </c>
    </row>
    <row r="161" spans="1:11">
      <c r="A161" s="23" t="e">
        <f>IF(Sheet2!#REF!&lt;&gt;"",Sheet2!#REF!,"")</f>
        <v>#REF!</v>
      </c>
      <c r="B161" s="33" t="e">
        <f>IF(Sheet2!#REF!&lt;&gt;"",Sheet2!#REF!,"")</f>
        <v>#REF!</v>
      </c>
      <c r="C161" s="34" t="e">
        <f>IF(Sheet2!#REF!&lt;&gt;"",Sheet2!#REF!,"")</f>
        <v>#REF!</v>
      </c>
      <c r="D161" s="35" t="str">
        <f t="shared" ca="1" si="5"/>
        <v/>
      </c>
      <c r="E161" s="3"/>
      <c r="F161" s="3"/>
      <c r="G161" s="3"/>
      <c r="H161" s="3"/>
      <c r="K161" t="str">
        <f t="shared" ca="1" si="6"/>
        <v/>
      </c>
    </row>
    <row r="162" spans="1:11">
      <c r="A162" s="23" t="e">
        <f>IF(Sheet2!#REF!&lt;&gt;"",Sheet2!#REF!,"")</f>
        <v>#REF!</v>
      </c>
      <c r="B162" s="33" t="e">
        <f>IF(Sheet2!#REF!&lt;&gt;"",Sheet2!#REF!,"")</f>
        <v>#REF!</v>
      </c>
      <c r="C162" s="34" t="e">
        <f>IF(Sheet2!#REF!&lt;&gt;"",Sheet2!#REF!,"")</f>
        <v>#REF!</v>
      </c>
      <c r="D162" s="35" t="str">
        <f t="shared" ca="1" si="5"/>
        <v/>
      </c>
      <c r="E162" s="3"/>
      <c r="F162" s="3"/>
      <c r="G162" s="3"/>
      <c r="H162" s="3"/>
      <c r="K162" t="str">
        <f t="shared" ca="1" si="6"/>
        <v/>
      </c>
    </row>
    <row r="163" spans="1:11">
      <c r="A163" s="23" t="e">
        <f>IF(Sheet2!#REF!&lt;&gt;"",Sheet2!#REF!,"")</f>
        <v>#REF!</v>
      </c>
      <c r="B163" s="33" t="e">
        <f>IF(Sheet2!#REF!&lt;&gt;"",Sheet2!#REF!,"")</f>
        <v>#REF!</v>
      </c>
      <c r="C163" s="34" t="e">
        <f>IF(Sheet2!#REF!&lt;&gt;"",Sheet2!#REF!,"")</f>
        <v>#REF!</v>
      </c>
      <c r="D163" s="35" t="str">
        <f t="shared" ca="1" si="5"/>
        <v/>
      </c>
      <c r="E163" s="3"/>
      <c r="F163" s="3"/>
      <c r="G163" s="3"/>
      <c r="H163" s="3"/>
      <c r="K163" t="str">
        <f t="shared" ca="1" si="6"/>
        <v/>
      </c>
    </row>
    <row r="164" spans="1:11">
      <c r="A164" s="23" t="e">
        <f>IF(Sheet2!#REF!&lt;&gt;"",Sheet2!#REF!,"")</f>
        <v>#REF!</v>
      </c>
      <c r="B164" s="33" t="e">
        <f>IF(Sheet2!#REF!&lt;&gt;"",Sheet2!#REF!,"")</f>
        <v>#REF!</v>
      </c>
      <c r="C164" s="34" t="e">
        <f>IF(Sheet2!#REF!&lt;&gt;"",Sheet2!#REF!,"")</f>
        <v>#REF!</v>
      </c>
      <c r="D164" s="35" t="str">
        <f t="shared" ca="1" si="5"/>
        <v/>
      </c>
      <c r="E164" s="3"/>
      <c r="F164" s="3"/>
      <c r="G164" s="3"/>
      <c r="H164" s="3"/>
      <c r="K164" t="str">
        <f t="shared" ca="1" si="6"/>
        <v/>
      </c>
    </row>
    <row r="165" spans="1:11">
      <c r="A165" s="23" t="e">
        <f>IF(Sheet2!#REF!&lt;&gt;"",Sheet2!#REF!,"")</f>
        <v>#REF!</v>
      </c>
      <c r="B165" s="33" t="e">
        <f>IF(Sheet2!#REF!&lt;&gt;"",Sheet2!#REF!,"")</f>
        <v>#REF!</v>
      </c>
      <c r="C165" s="34" t="e">
        <f>IF(Sheet2!#REF!&lt;&gt;"",Sheet2!#REF!,"")</f>
        <v>#REF!</v>
      </c>
      <c r="D165" s="35" t="str">
        <f t="shared" ca="1" si="5"/>
        <v/>
      </c>
      <c r="E165" s="3"/>
      <c r="F165" s="3"/>
      <c r="G165" s="3"/>
      <c r="H165" s="3"/>
      <c r="K165" t="str">
        <f t="shared" ca="1" si="6"/>
        <v/>
      </c>
    </row>
    <row r="166" spans="1:11">
      <c r="A166" s="23" t="e">
        <f>IF(Sheet2!#REF!&lt;&gt;"",Sheet2!#REF!,"")</f>
        <v>#REF!</v>
      </c>
      <c r="B166" s="33" t="e">
        <f>IF(Sheet2!#REF!&lt;&gt;"",Sheet2!#REF!,"")</f>
        <v>#REF!</v>
      </c>
      <c r="C166" s="34" t="e">
        <f>IF(Sheet2!#REF!&lt;&gt;"",Sheet2!#REF!,"")</f>
        <v>#REF!</v>
      </c>
      <c r="D166" s="35" t="str">
        <f t="shared" ca="1" si="5"/>
        <v/>
      </c>
      <c r="E166" s="3"/>
      <c r="F166" s="3"/>
      <c r="G166" s="3"/>
      <c r="H166" s="3"/>
      <c r="K166" t="str">
        <f t="shared" ca="1" si="6"/>
        <v/>
      </c>
    </row>
    <row r="167" spans="1:11">
      <c r="A167" s="23" t="e">
        <f>IF(Sheet2!#REF!&lt;&gt;"",Sheet2!#REF!,"")</f>
        <v>#REF!</v>
      </c>
      <c r="B167" s="33" t="e">
        <f>IF(Sheet2!#REF!&lt;&gt;"",Sheet2!#REF!,"")</f>
        <v>#REF!</v>
      </c>
      <c r="C167" s="34" t="e">
        <f>IF(Sheet2!#REF!&lt;&gt;"",Sheet2!#REF!,"")</f>
        <v>#REF!</v>
      </c>
      <c r="D167" s="35" t="str">
        <f t="shared" ca="1" si="5"/>
        <v/>
      </c>
      <c r="E167" s="3"/>
      <c r="F167" s="3"/>
      <c r="G167" s="3"/>
      <c r="H167" s="3"/>
      <c r="K167" t="str">
        <f t="shared" ref="K167:K194" ca="1" si="7">IF(I167&lt;&gt;"",IF(J167="",IF(TODAY()-I167&gt;3,"ALERT",""),""),"")</f>
        <v/>
      </c>
    </row>
    <row r="168" spans="1:11">
      <c r="A168" s="23" t="e">
        <f>IF(Sheet2!#REF!&lt;&gt;"",Sheet2!#REF!,"")</f>
        <v>#REF!</v>
      </c>
      <c r="B168" s="33" t="e">
        <f>IF(Sheet2!#REF!&lt;&gt;"",Sheet2!#REF!,"")</f>
        <v>#REF!</v>
      </c>
      <c r="C168" s="34" t="e">
        <f>IF(Sheet2!#REF!&lt;&gt;"",Sheet2!#REF!,"")</f>
        <v>#REF!</v>
      </c>
      <c r="D168" s="35" t="str">
        <f t="shared" ca="1" si="5"/>
        <v/>
      </c>
      <c r="E168" s="3"/>
      <c r="F168" s="3"/>
      <c r="G168" s="3"/>
      <c r="H168" s="3"/>
      <c r="K168" t="str">
        <f t="shared" ca="1" si="7"/>
        <v/>
      </c>
    </row>
    <row r="169" spans="1:11">
      <c r="A169" s="23" t="e">
        <f>IF(Sheet2!#REF!&lt;&gt;"",Sheet2!#REF!,"")</f>
        <v>#REF!</v>
      </c>
      <c r="B169" s="33" t="e">
        <f>IF(Sheet2!#REF!&lt;&gt;"",Sheet2!#REF!,"")</f>
        <v>#REF!</v>
      </c>
      <c r="C169" s="34" t="e">
        <f>IF(Sheet2!#REF!&lt;&gt;"",Sheet2!#REF!,"")</f>
        <v>#REF!</v>
      </c>
      <c r="D169" s="35" t="str">
        <f t="shared" ca="1" si="5"/>
        <v/>
      </c>
      <c r="E169" s="3"/>
      <c r="F169" s="3"/>
      <c r="G169" s="3"/>
      <c r="H169" s="3"/>
      <c r="K169" t="str">
        <f t="shared" ca="1" si="7"/>
        <v/>
      </c>
    </row>
    <row r="170" spans="1:11">
      <c r="A170" s="23" t="e">
        <f>IF(Sheet2!#REF!&lt;&gt;"",Sheet2!#REF!,"")</f>
        <v>#REF!</v>
      </c>
      <c r="B170" s="33" t="e">
        <f>IF(Sheet2!#REF!&lt;&gt;"",Sheet2!#REF!,"")</f>
        <v>#REF!</v>
      </c>
      <c r="C170" s="34" t="e">
        <f>IF(Sheet2!#REF!&lt;&gt;"",Sheet2!#REF!,"")</f>
        <v>#REF!</v>
      </c>
      <c r="D170" s="35" t="str">
        <f t="shared" ca="1" si="5"/>
        <v/>
      </c>
      <c r="E170" s="3"/>
      <c r="F170" s="3"/>
      <c r="G170" s="3"/>
      <c r="H170" s="3"/>
      <c r="K170" t="str">
        <f t="shared" ca="1" si="7"/>
        <v/>
      </c>
    </row>
    <row r="171" spans="1:11">
      <c r="A171" s="23" t="e">
        <f>IF(Sheet2!#REF!&lt;&gt;"",Sheet2!#REF!,"")</f>
        <v>#REF!</v>
      </c>
      <c r="B171" s="33" t="e">
        <f>IF(Sheet2!#REF!&lt;&gt;"",Sheet2!#REF!,"")</f>
        <v>#REF!</v>
      </c>
      <c r="C171" s="34" t="e">
        <f>IF(Sheet2!#REF!&lt;&gt;"",Sheet2!#REF!,"")</f>
        <v>#REF!</v>
      </c>
      <c r="D171" s="35" t="str">
        <f t="shared" ca="1" si="5"/>
        <v/>
      </c>
      <c r="E171" s="3"/>
      <c r="F171" s="3"/>
      <c r="G171" s="3"/>
      <c r="H171" s="3"/>
      <c r="K171" t="str">
        <f t="shared" ca="1" si="7"/>
        <v/>
      </c>
    </row>
    <row r="172" spans="1:11">
      <c r="A172" s="23" t="e">
        <f>IF(Sheet2!#REF!&lt;&gt;"",Sheet2!#REF!,"")</f>
        <v>#REF!</v>
      </c>
      <c r="B172" s="33" t="e">
        <f>IF(Sheet2!#REF!&lt;&gt;"",Sheet2!#REF!,"")</f>
        <v>#REF!</v>
      </c>
      <c r="C172" s="34" t="e">
        <f>IF(Sheet2!#REF!&lt;&gt;"",Sheet2!#REF!,"")</f>
        <v>#REF!</v>
      </c>
      <c r="D172" s="35" t="str">
        <f t="shared" ca="1" si="5"/>
        <v/>
      </c>
      <c r="E172" s="3"/>
      <c r="F172" s="3"/>
      <c r="G172" s="3"/>
      <c r="H172" s="3"/>
      <c r="K172" t="str">
        <f t="shared" ca="1" si="7"/>
        <v/>
      </c>
    </row>
    <row r="173" spans="1:11">
      <c r="A173" s="23" t="e">
        <f>IF(Sheet2!#REF!&lt;&gt;"",Sheet2!#REF!,"")</f>
        <v>#REF!</v>
      </c>
      <c r="B173" s="33" t="e">
        <f>IF(Sheet2!#REF!&lt;&gt;"",Sheet2!#REF!,"")</f>
        <v>#REF!</v>
      </c>
      <c r="C173" s="34" t="e">
        <f>IF(Sheet2!#REF!&lt;&gt;"",Sheet2!#REF!,"")</f>
        <v>#REF!</v>
      </c>
      <c r="D173" s="35" t="str">
        <f t="shared" ca="1" si="5"/>
        <v/>
      </c>
      <c r="E173" s="3"/>
      <c r="F173" s="3"/>
      <c r="G173" s="3"/>
      <c r="H173" s="3"/>
      <c r="K173" t="str">
        <f t="shared" ca="1" si="7"/>
        <v/>
      </c>
    </row>
    <row r="174" spans="1:11">
      <c r="A174" s="23" t="e">
        <f>IF(Sheet2!#REF!&lt;&gt;"",Sheet2!#REF!,"")</f>
        <v>#REF!</v>
      </c>
      <c r="B174" s="33" t="e">
        <f>IF(Sheet2!#REF!&lt;&gt;"",Sheet2!#REF!,"")</f>
        <v>#REF!</v>
      </c>
      <c r="C174" s="34" t="e">
        <f>IF(Sheet2!#REF!&lt;&gt;"",Sheet2!#REF!,"")</f>
        <v>#REF!</v>
      </c>
      <c r="D174" s="35" t="str">
        <f t="shared" ca="1" si="5"/>
        <v/>
      </c>
      <c r="E174" s="3"/>
      <c r="F174" s="3"/>
      <c r="G174" s="3"/>
      <c r="H174" s="3"/>
      <c r="K174" t="str">
        <f t="shared" ca="1" si="7"/>
        <v/>
      </c>
    </row>
    <row r="175" spans="1:11">
      <c r="A175" s="23" t="e">
        <f>IF(Sheet2!#REF!&lt;&gt;"",Sheet2!#REF!,"")</f>
        <v>#REF!</v>
      </c>
      <c r="B175" s="33" t="e">
        <f>IF(Sheet2!#REF!&lt;&gt;"",Sheet2!#REF!,"")</f>
        <v>#REF!</v>
      </c>
      <c r="C175" s="34" t="e">
        <f>IF(Sheet2!#REF!&lt;&gt;"",Sheet2!#REF!,"")</f>
        <v>#REF!</v>
      </c>
      <c r="D175" s="35" t="str">
        <f t="shared" ca="1" si="5"/>
        <v/>
      </c>
      <c r="E175" s="3"/>
      <c r="F175" s="3"/>
      <c r="G175" s="3"/>
      <c r="H175" s="3"/>
      <c r="K175" t="str">
        <f t="shared" ca="1" si="7"/>
        <v/>
      </c>
    </row>
    <row r="176" spans="1:11">
      <c r="A176" s="23" t="e">
        <f>IF(Sheet2!#REF!&lt;&gt;"",Sheet2!#REF!,"")</f>
        <v>#REF!</v>
      </c>
      <c r="B176" s="33" t="e">
        <f>IF(Sheet2!#REF!&lt;&gt;"",Sheet2!#REF!,"")</f>
        <v>#REF!</v>
      </c>
      <c r="C176" s="34" t="e">
        <f>IF(Sheet2!#REF!&lt;&gt;"",Sheet2!#REF!,"")</f>
        <v>#REF!</v>
      </c>
      <c r="D176" s="35" t="str">
        <f t="shared" ca="1" si="5"/>
        <v/>
      </c>
      <c r="E176" s="3"/>
      <c r="F176" s="3"/>
      <c r="G176" s="3"/>
      <c r="H176" s="3"/>
      <c r="K176" t="str">
        <f t="shared" ca="1" si="7"/>
        <v/>
      </c>
    </row>
    <row r="177" spans="1:11">
      <c r="A177" s="23" t="e">
        <f>IF(Sheet2!#REF!&lt;&gt;"",Sheet2!#REF!,"")</f>
        <v>#REF!</v>
      </c>
      <c r="B177" s="33" t="e">
        <f>IF(Sheet2!#REF!&lt;&gt;"",Sheet2!#REF!,"")</f>
        <v>#REF!</v>
      </c>
      <c r="C177" s="34" t="e">
        <f>IF(Sheet2!#REF!&lt;&gt;"",Sheet2!#REF!,"")</f>
        <v>#REF!</v>
      </c>
      <c r="D177" s="35" t="str">
        <f t="shared" ca="1" si="5"/>
        <v/>
      </c>
      <c r="E177" s="3"/>
      <c r="F177" s="3"/>
      <c r="G177" s="3"/>
      <c r="H177" s="3"/>
      <c r="K177" t="str">
        <f t="shared" ca="1" si="7"/>
        <v/>
      </c>
    </row>
    <row r="178" spans="1:11">
      <c r="A178" s="23" t="e">
        <f>IF(Sheet2!#REF!&lt;&gt;"",Sheet2!#REF!,"")</f>
        <v>#REF!</v>
      </c>
      <c r="B178" s="33" t="e">
        <f>IF(Sheet2!#REF!&lt;&gt;"",Sheet2!#REF!,"")</f>
        <v>#REF!</v>
      </c>
      <c r="C178" s="34" t="e">
        <f>IF(Sheet2!#REF!&lt;&gt;"",Sheet2!#REF!,"")</f>
        <v>#REF!</v>
      </c>
      <c r="D178" s="35" t="str">
        <f t="shared" ca="1" si="5"/>
        <v/>
      </c>
      <c r="E178" s="3"/>
      <c r="F178" s="3"/>
      <c r="G178" s="3"/>
      <c r="H178" s="3"/>
      <c r="K178" t="str">
        <f t="shared" ca="1" si="7"/>
        <v/>
      </c>
    </row>
    <row r="179" spans="1:11">
      <c r="A179" s="23" t="e">
        <f>IF(Sheet2!#REF!&lt;&gt;"",Sheet2!#REF!,"")</f>
        <v>#REF!</v>
      </c>
      <c r="B179" s="33" t="e">
        <f>IF(Sheet2!#REF!&lt;&gt;"",Sheet2!#REF!,"")</f>
        <v>#REF!</v>
      </c>
      <c r="C179" s="34" t="e">
        <f>IF(Sheet2!#REF!&lt;&gt;"",Sheet2!#REF!,"")</f>
        <v>#REF!</v>
      </c>
      <c r="D179" s="35" t="str">
        <f t="shared" ca="1" si="5"/>
        <v/>
      </c>
      <c r="E179" s="3"/>
      <c r="F179" s="3"/>
      <c r="G179" s="3"/>
      <c r="H179" s="3"/>
      <c r="K179" t="str">
        <f t="shared" ca="1" si="7"/>
        <v/>
      </c>
    </row>
    <row r="180" spans="1:11">
      <c r="A180" s="23" t="e">
        <f>IF(Sheet2!#REF!&lt;&gt;"",Sheet2!#REF!,"")</f>
        <v>#REF!</v>
      </c>
      <c r="B180" s="33" t="e">
        <f>IF(Sheet2!#REF!&lt;&gt;"",Sheet2!#REF!,"")</f>
        <v>#REF!</v>
      </c>
      <c r="C180" s="34" t="e">
        <f>IF(Sheet2!#REF!&lt;&gt;"",Sheet2!#REF!,"")</f>
        <v>#REF!</v>
      </c>
      <c r="D180" s="35" t="str">
        <f t="shared" ca="1" si="5"/>
        <v/>
      </c>
      <c r="E180" s="3"/>
      <c r="F180" s="3"/>
      <c r="G180" s="3"/>
      <c r="H180" s="3"/>
      <c r="K180" t="str">
        <f t="shared" ca="1" si="7"/>
        <v/>
      </c>
    </row>
    <row r="181" spans="1:11">
      <c r="A181" s="23" t="e">
        <f>IF(Sheet2!#REF!&lt;&gt;"",Sheet2!#REF!,"")</f>
        <v>#REF!</v>
      </c>
      <c r="B181" s="33" t="e">
        <f>IF(Sheet2!#REF!&lt;&gt;"",Sheet2!#REF!,"")</f>
        <v>#REF!</v>
      </c>
      <c r="C181" s="34" t="e">
        <f>IF(Sheet2!#REF!&lt;&gt;"",Sheet2!#REF!,"")</f>
        <v>#REF!</v>
      </c>
      <c r="D181" s="35" t="str">
        <f t="shared" ca="1" si="5"/>
        <v/>
      </c>
      <c r="E181" s="3"/>
      <c r="F181" s="3"/>
      <c r="G181" s="3"/>
      <c r="H181" s="3"/>
      <c r="K181" t="str">
        <f t="shared" ca="1" si="7"/>
        <v/>
      </c>
    </row>
    <row r="182" spans="1:11">
      <c r="A182" s="23" t="e">
        <f>IF(Sheet2!#REF!&lt;&gt;"",Sheet2!#REF!,"")</f>
        <v>#REF!</v>
      </c>
      <c r="B182" s="33" t="e">
        <f>IF(Sheet2!#REF!&lt;&gt;"",Sheet2!#REF!,"")</f>
        <v>#REF!</v>
      </c>
      <c r="C182" s="34" t="e">
        <f>IF(Sheet2!#REF!&lt;&gt;"",Sheet2!#REF!,"")</f>
        <v>#REF!</v>
      </c>
      <c r="D182" s="35" t="str">
        <f t="shared" ca="1" si="5"/>
        <v/>
      </c>
      <c r="E182" s="3"/>
      <c r="F182" s="3"/>
      <c r="G182" s="3"/>
      <c r="H182" s="3"/>
      <c r="K182" t="str">
        <f t="shared" ca="1" si="7"/>
        <v/>
      </c>
    </row>
    <row r="183" spans="1:11">
      <c r="A183" s="23" t="e">
        <f>IF(Sheet2!#REF!&lt;&gt;"",Sheet2!#REF!,"")</f>
        <v>#REF!</v>
      </c>
      <c r="B183" s="33" t="e">
        <f>IF(Sheet2!#REF!&lt;&gt;"",Sheet2!#REF!,"")</f>
        <v>#REF!</v>
      </c>
      <c r="C183" s="34" t="e">
        <f>IF(Sheet2!#REF!&lt;&gt;"",Sheet2!#REF!,"")</f>
        <v>#REF!</v>
      </c>
      <c r="D183" s="35" t="str">
        <f t="shared" ca="1" si="5"/>
        <v/>
      </c>
      <c r="E183" s="3"/>
      <c r="F183" s="3"/>
      <c r="G183" s="3"/>
      <c r="H183" s="3"/>
      <c r="K183" t="str">
        <f t="shared" ca="1" si="7"/>
        <v/>
      </c>
    </row>
    <row r="184" spans="1:11">
      <c r="A184" s="23" t="e">
        <f>IF(Sheet2!#REF!&lt;&gt;"",Sheet2!#REF!,"")</f>
        <v>#REF!</v>
      </c>
      <c r="B184" s="33" t="e">
        <f>IF(Sheet2!#REF!&lt;&gt;"",Sheet2!#REF!,"")</f>
        <v>#REF!</v>
      </c>
      <c r="C184" s="34" t="e">
        <f>IF(Sheet2!#REF!&lt;&gt;"",Sheet2!#REF!,"")</f>
        <v>#REF!</v>
      </c>
      <c r="D184" s="35" t="str">
        <f t="shared" ca="1" si="5"/>
        <v/>
      </c>
      <c r="E184" s="3"/>
      <c r="F184" s="3"/>
      <c r="G184" s="3"/>
      <c r="H184" s="3"/>
      <c r="K184" t="str">
        <f t="shared" ca="1" si="7"/>
        <v/>
      </c>
    </row>
    <row r="185" spans="1:11">
      <c r="A185" s="23" t="e">
        <f>IF(Sheet2!#REF!&lt;&gt;"",Sheet2!#REF!,"")</f>
        <v>#REF!</v>
      </c>
      <c r="B185" s="33" t="e">
        <f>IF(Sheet2!#REF!&lt;&gt;"",Sheet2!#REF!,"")</f>
        <v>#REF!</v>
      </c>
      <c r="C185" s="34" t="e">
        <f>IF(Sheet2!#REF!&lt;&gt;"",Sheet2!#REF!,"")</f>
        <v>#REF!</v>
      </c>
      <c r="D185" s="35" t="str">
        <f t="shared" ca="1" si="5"/>
        <v/>
      </c>
      <c r="E185" s="3"/>
      <c r="F185" s="3"/>
      <c r="G185" s="3"/>
      <c r="H185" s="3"/>
      <c r="K185" t="str">
        <f t="shared" ca="1" si="7"/>
        <v/>
      </c>
    </row>
    <row r="186" spans="1:11">
      <c r="A186" s="23" t="e">
        <f>IF(Sheet2!#REF!&lt;&gt;"",Sheet2!#REF!,"")</f>
        <v>#REF!</v>
      </c>
      <c r="B186" s="33" t="e">
        <f>IF(Sheet2!#REF!&lt;&gt;"",Sheet2!#REF!,"")</f>
        <v>#REF!</v>
      </c>
      <c r="C186" s="34" t="e">
        <f>IF(Sheet2!#REF!&lt;&gt;"",Sheet2!#REF!,"")</f>
        <v>#REF!</v>
      </c>
      <c r="D186" s="35" t="str">
        <f t="shared" ca="1" si="5"/>
        <v/>
      </c>
      <c r="E186" s="3"/>
      <c r="F186" s="3"/>
      <c r="G186" s="3"/>
      <c r="H186" s="3"/>
      <c r="K186" t="str">
        <f t="shared" ca="1" si="7"/>
        <v/>
      </c>
    </row>
    <row r="187" spans="1:11">
      <c r="A187" s="23" t="e">
        <f>IF(Sheet2!#REF!&lt;&gt;"",Sheet2!#REF!,"")</f>
        <v>#REF!</v>
      </c>
      <c r="B187" s="33" t="e">
        <f>IF(Sheet2!#REF!&lt;&gt;"",Sheet2!#REF!,"")</f>
        <v>#REF!</v>
      </c>
      <c r="C187" s="34" t="e">
        <f>IF(Sheet2!#REF!&lt;&gt;"",Sheet2!#REF!,"")</f>
        <v>#REF!</v>
      </c>
      <c r="D187" s="35" t="str">
        <f t="shared" ca="1" si="5"/>
        <v/>
      </c>
      <c r="E187" s="3"/>
      <c r="F187" s="3"/>
      <c r="G187" s="3"/>
      <c r="H187" s="3"/>
      <c r="K187" t="str">
        <f t="shared" ca="1" si="7"/>
        <v/>
      </c>
    </row>
    <row r="188" spans="1:11">
      <c r="A188" s="23" t="e">
        <f>IF(Sheet2!#REF!&lt;&gt;"",Sheet2!#REF!,"")</f>
        <v>#REF!</v>
      </c>
      <c r="B188" s="33" t="e">
        <f>IF(Sheet2!#REF!&lt;&gt;"",Sheet2!#REF!,"")</f>
        <v>#REF!</v>
      </c>
      <c r="C188" s="34" t="e">
        <f>IF(Sheet2!#REF!&lt;&gt;"",Sheet2!#REF!,"")</f>
        <v>#REF!</v>
      </c>
      <c r="D188" s="35" t="str">
        <f t="shared" ca="1" si="5"/>
        <v/>
      </c>
      <c r="E188" s="3"/>
      <c r="F188" s="3"/>
      <c r="G188" s="3"/>
      <c r="H188" s="3"/>
      <c r="K188" t="str">
        <f t="shared" ca="1" si="7"/>
        <v/>
      </c>
    </row>
    <row r="189" spans="1:11">
      <c r="A189" s="23" t="e">
        <f>IF(Sheet2!#REF!&lt;&gt;"",Sheet2!#REF!,"")</f>
        <v>#REF!</v>
      </c>
      <c r="B189" s="33" t="e">
        <f>IF(Sheet2!#REF!&lt;&gt;"",Sheet2!#REF!,"")</f>
        <v>#REF!</v>
      </c>
      <c r="C189" s="34" t="e">
        <f>IF(Sheet2!#REF!&lt;&gt;"",Sheet2!#REF!,"")</f>
        <v>#REF!</v>
      </c>
      <c r="D189" s="35" t="str">
        <f t="shared" ca="1" si="5"/>
        <v/>
      </c>
      <c r="E189" s="3"/>
      <c r="F189" s="3"/>
      <c r="G189" s="3"/>
      <c r="H189" s="3"/>
      <c r="K189" t="str">
        <f t="shared" ca="1" si="7"/>
        <v/>
      </c>
    </row>
    <row r="190" spans="1:11">
      <c r="A190" s="23" t="e">
        <f>IF(Sheet2!#REF!&lt;&gt;"",Sheet2!#REF!,"")</f>
        <v>#REF!</v>
      </c>
      <c r="B190" s="33" t="e">
        <f>IF(Sheet2!#REF!&lt;&gt;"",Sheet2!#REF!,"")</f>
        <v>#REF!</v>
      </c>
      <c r="C190" s="34" t="e">
        <f>IF(Sheet2!#REF!&lt;&gt;"",Sheet2!#REF!,"")</f>
        <v>#REF!</v>
      </c>
      <c r="D190" s="35" t="str">
        <f t="shared" ca="1" si="5"/>
        <v/>
      </c>
      <c r="E190" s="3"/>
      <c r="F190" s="3"/>
      <c r="G190" s="3"/>
      <c r="H190" s="3"/>
      <c r="K190" t="str">
        <f t="shared" ca="1" si="7"/>
        <v/>
      </c>
    </row>
    <row r="191" spans="1:11">
      <c r="A191" s="23" t="e">
        <f>IF(Sheet2!#REF!&lt;&gt;"",Sheet2!#REF!,"")</f>
        <v>#REF!</v>
      </c>
      <c r="B191" s="33" t="e">
        <f>IF(Sheet2!#REF!&lt;&gt;"",Sheet2!#REF!,"")</f>
        <v>#REF!</v>
      </c>
      <c r="C191" s="34" t="e">
        <f>IF(Sheet2!#REF!&lt;&gt;"",Sheet2!#REF!,"")</f>
        <v>#REF!</v>
      </c>
      <c r="D191" s="35" t="str">
        <f t="shared" ca="1" si="5"/>
        <v/>
      </c>
      <c r="E191" s="3"/>
      <c r="F191" s="3"/>
      <c r="G191" s="3"/>
      <c r="H191" s="3"/>
      <c r="K191" t="str">
        <f t="shared" ca="1" si="7"/>
        <v/>
      </c>
    </row>
    <row r="192" spans="1:11">
      <c r="A192" s="23" t="e">
        <f>IF(Sheet2!#REF!&lt;&gt;"",Sheet2!#REF!,"")</f>
        <v>#REF!</v>
      </c>
      <c r="B192" s="33" t="e">
        <f>IF(Sheet2!#REF!&lt;&gt;"",Sheet2!#REF!,"")</f>
        <v>#REF!</v>
      </c>
      <c r="C192" s="34" t="e">
        <f>IF(Sheet2!#REF!&lt;&gt;"",Sheet2!#REF!,"")</f>
        <v>#REF!</v>
      </c>
      <c r="D192" s="35" t="str">
        <f t="shared" ca="1" si="5"/>
        <v/>
      </c>
      <c r="E192" s="3"/>
      <c r="F192" s="3"/>
      <c r="G192" s="3"/>
      <c r="H192" s="3"/>
      <c r="K192" t="str">
        <f t="shared" ca="1" si="7"/>
        <v/>
      </c>
    </row>
    <row r="193" spans="1:11">
      <c r="A193" s="23" t="e">
        <f>IF(Sheet2!#REF!&lt;&gt;"",Sheet2!#REF!,"")</f>
        <v>#REF!</v>
      </c>
      <c r="B193" s="33" t="e">
        <f>IF(Sheet2!#REF!&lt;&gt;"",Sheet2!#REF!,"")</f>
        <v>#REF!</v>
      </c>
      <c r="C193" s="34" t="e">
        <f>IF(Sheet2!#REF!&lt;&gt;"",Sheet2!#REF!,"")</f>
        <v>#REF!</v>
      </c>
      <c r="D193" s="35" t="str">
        <f t="shared" ca="1" si="5"/>
        <v/>
      </c>
      <c r="E193" s="3"/>
      <c r="F193" s="3"/>
      <c r="G193" s="3"/>
      <c r="H193" s="3"/>
      <c r="K193" t="str">
        <f t="shared" ca="1" si="7"/>
        <v/>
      </c>
    </row>
    <row r="194" spans="1:11">
      <c r="A194" s="23" t="e">
        <f>IF(Sheet2!#REF!&lt;&gt;"",Sheet2!#REF!,"")</f>
        <v>#REF!</v>
      </c>
      <c r="B194" s="33" t="e">
        <f>IF(Sheet2!#REF!&lt;&gt;"",Sheet2!#REF!,"")</f>
        <v>#REF!</v>
      </c>
      <c r="C194" s="34" t="e">
        <f>IF(Sheet2!#REF!&lt;&gt;"",Sheet2!#REF!,"")</f>
        <v>#REF!</v>
      </c>
      <c r="D194" s="35" t="str">
        <f t="shared" ca="1" si="5"/>
        <v/>
      </c>
      <c r="E194" s="3"/>
      <c r="F194" s="3"/>
      <c r="G194" s="3"/>
      <c r="H194" s="3"/>
      <c r="K194" t="str">
        <f t="shared" ca="1" si="7"/>
        <v/>
      </c>
    </row>
    <row r="195" spans="1:11">
      <c r="A195" s="23" t="e">
        <f>IF(Sheet2!#REF!&lt;&gt;"",Sheet2!#REF!,"")</f>
        <v>#REF!</v>
      </c>
      <c r="B195" s="33" t="e">
        <f>IF(Sheet2!#REF!&lt;&gt;"",Sheet2!#REF!,"")</f>
        <v>#REF!</v>
      </c>
      <c r="C195" s="34" t="e">
        <f>IF(Sheet2!#REF!&lt;&gt;"",Sheet2!#REF!,"")</f>
        <v>#REF!</v>
      </c>
      <c r="D195" s="35" t="str">
        <f t="shared" ref="D195:D258" ca="1" si="8">IFERROR(IF(AND((C195-TODAY())&lt;15,B195&lt;&gt;""),IF(I195="","Alert",""),""),"")</f>
        <v/>
      </c>
      <c r="E195" s="3"/>
      <c r="F195" s="3"/>
      <c r="G195" s="3"/>
      <c r="H195" s="3"/>
      <c r="K195" t="str">
        <f t="shared" ref="K195:K258" ca="1" si="9">IF(I195&lt;&gt;"",IF(J195="",IF(TODAY()-I195&gt;3,"ALERT",""),""),"")</f>
        <v/>
      </c>
    </row>
    <row r="196" spans="1:11">
      <c r="A196" s="23" t="e">
        <f>IF(Sheet2!#REF!&lt;&gt;"",Sheet2!#REF!,"")</f>
        <v>#REF!</v>
      </c>
      <c r="B196" s="33" t="e">
        <f>IF(Sheet2!#REF!&lt;&gt;"",Sheet2!#REF!,"")</f>
        <v>#REF!</v>
      </c>
      <c r="C196" s="34" t="e">
        <f>IF(Sheet2!#REF!&lt;&gt;"",Sheet2!#REF!,"")</f>
        <v>#REF!</v>
      </c>
      <c r="D196" s="35" t="str">
        <f t="shared" ca="1" si="8"/>
        <v/>
      </c>
      <c r="E196" s="3"/>
      <c r="F196" s="3"/>
      <c r="G196" s="3"/>
      <c r="H196" s="3"/>
      <c r="K196" t="str">
        <f t="shared" ca="1" si="9"/>
        <v/>
      </c>
    </row>
    <row r="197" spans="1:11">
      <c r="A197" s="23" t="e">
        <f>IF(Sheet2!#REF!&lt;&gt;"",Sheet2!#REF!,"")</f>
        <v>#REF!</v>
      </c>
      <c r="B197" s="33" t="e">
        <f>IF(Sheet2!#REF!&lt;&gt;"",Sheet2!#REF!,"")</f>
        <v>#REF!</v>
      </c>
      <c r="C197" s="34" t="e">
        <f>IF(Sheet2!#REF!&lt;&gt;"",Sheet2!#REF!,"")</f>
        <v>#REF!</v>
      </c>
      <c r="D197" s="35" t="str">
        <f t="shared" ca="1" si="8"/>
        <v/>
      </c>
      <c r="E197" s="3"/>
      <c r="F197" s="3"/>
      <c r="G197" s="3"/>
      <c r="H197" s="3"/>
      <c r="K197" t="str">
        <f t="shared" ca="1" si="9"/>
        <v/>
      </c>
    </row>
    <row r="198" spans="1:11">
      <c r="A198" s="23" t="e">
        <f>IF(Sheet2!#REF!&lt;&gt;"",Sheet2!#REF!,"")</f>
        <v>#REF!</v>
      </c>
      <c r="B198" s="33" t="e">
        <f>IF(Sheet2!#REF!&lt;&gt;"",Sheet2!#REF!,"")</f>
        <v>#REF!</v>
      </c>
      <c r="C198" s="34" t="e">
        <f>IF(Sheet2!#REF!&lt;&gt;"",Sheet2!#REF!,"")</f>
        <v>#REF!</v>
      </c>
      <c r="D198" s="35" t="str">
        <f t="shared" ca="1" si="8"/>
        <v/>
      </c>
      <c r="E198" s="3"/>
      <c r="F198" s="3"/>
      <c r="G198" s="3"/>
      <c r="H198" s="3"/>
      <c r="K198" t="str">
        <f t="shared" ca="1" si="9"/>
        <v/>
      </c>
    </row>
    <row r="199" spans="1:11">
      <c r="A199" s="23" t="e">
        <f>IF(Sheet2!#REF!&lt;&gt;"",Sheet2!#REF!,"")</f>
        <v>#REF!</v>
      </c>
      <c r="B199" s="33" t="e">
        <f>IF(Sheet2!#REF!&lt;&gt;"",Sheet2!#REF!,"")</f>
        <v>#REF!</v>
      </c>
      <c r="C199" s="34" t="e">
        <f>IF(Sheet2!#REF!&lt;&gt;"",Sheet2!#REF!,"")</f>
        <v>#REF!</v>
      </c>
      <c r="D199" s="35" t="str">
        <f t="shared" ca="1" si="8"/>
        <v/>
      </c>
      <c r="E199" s="3"/>
      <c r="F199" s="3"/>
      <c r="G199" s="3"/>
      <c r="H199" s="3"/>
      <c r="K199" t="str">
        <f t="shared" ca="1" si="9"/>
        <v/>
      </c>
    </row>
    <row r="200" spans="1:11">
      <c r="A200" s="23" t="e">
        <f>IF(Sheet2!#REF!&lt;&gt;"",Sheet2!#REF!,"")</f>
        <v>#REF!</v>
      </c>
      <c r="B200" s="33" t="e">
        <f>IF(Sheet2!#REF!&lt;&gt;"",Sheet2!#REF!,"")</f>
        <v>#REF!</v>
      </c>
      <c r="C200" s="34" t="e">
        <f>IF(Sheet2!#REF!&lt;&gt;"",Sheet2!#REF!,"")</f>
        <v>#REF!</v>
      </c>
      <c r="D200" s="35" t="str">
        <f t="shared" ca="1" si="8"/>
        <v/>
      </c>
      <c r="E200" s="3"/>
      <c r="F200" s="3"/>
      <c r="G200" s="3"/>
      <c r="H200" s="3"/>
      <c r="K200" t="str">
        <f t="shared" ca="1" si="9"/>
        <v/>
      </c>
    </row>
    <row r="201" spans="1:11">
      <c r="A201" s="23" t="e">
        <f>IF(Sheet2!#REF!&lt;&gt;"",Sheet2!#REF!,"")</f>
        <v>#REF!</v>
      </c>
      <c r="B201" s="33" t="e">
        <f>IF(Sheet2!#REF!&lt;&gt;"",Sheet2!#REF!,"")</f>
        <v>#REF!</v>
      </c>
      <c r="C201" s="34" t="e">
        <f>IF(Sheet2!#REF!&lt;&gt;"",Sheet2!#REF!,"")</f>
        <v>#REF!</v>
      </c>
      <c r="D201" s="35" t="str">
        <f t="shared" ca="1" si="8"/>
        <v/>
      </c>
      <c r="E201" s="3"/>
      <c r="F201" s="3"/>
      <c r="G201" s="3"/>
      <c r="H201" s="3"/>
      <c r="K201" t="str">
        <f t="shared" ca="1" si="9"/>
        <v/>
      </c>
    </row>
    <row r="202" spans="1:11">
      <c r="A202" s="23" t="e">
        <f>IF(Sheet2!#REF!&lt;&gt;"",Sheet2!#REF!,"")</f>
        <v>#REF!</v>
      </c>
      <c r="B202" s="33" t="e">
        <f>IF(Sheet2!#REF!&lt;&gt;"",Sheet2!#REF!,"")</f>
        <v>#REF!</v>
      </c>
      <c r="C202" s="34" t="e">
        <f>IF(Sheet2!#REF!&lt;&gt;"",Sheet2!#REF!,"")</f>
        <v>#REF!</v>
      </c>
      <c r="D202" s="35" t="str">
        <f t="shared" ca="1" si="8"/>
        <v/>
      </c>
      <c r="E202" s="3"/>
      <c r="F202" s="3"/>
      <c r="G202" s="3"/>
      <c r="H202" s="3"/>
      <c r="K202" t="str">
        <f t="shared" ca="1" si="9"/>
        <v/>
      </c>
    </row>
    <row r="203" spans="1:11">
      <c r="A203" s="23" t="e">
        <f>IF(Sheet2!#REF!&lt;&gt;"",Sheet2!#REF!,"")</f>
        <v>#REF!</v>
      </c>
      <c r="B203" s="33" t="e">
        <f>IF(Sheet2!#REF!&lt;&gt;"",Sheet2!#REF!,"")</f>
        <v>#REF!</v>
      </c>
      <c r="C203" s="34" t="e">
        <f>IF(Sheet2!#REF!&lt;&gt;"",Sheet2!#REF!,"")</f>
        <v>#REF!</v>
      </c>
      <c r="D203" s="35" t="str">
        <f t="shared" ca="1" si="8"/>
        <v/>
      </c>
      <c r="E203" s="3"/>
      <c r="F203" s="3"/>
      <c r="G203" s="3"/>
      <c r="H203" s="3"/>
      <c r="K203" t="str">
        <f t="shared" ca="1" si="9"/>
        <v/>
      </c>
    </row>
    <row r="204" spans="1:11">
      <c r="A204" s="23" t="e">
        <f>IF(Sheet2!#REF!&lt;&gt;"",Sheet2!#REF!,"")</f>
        <v>#REF!</v>
      </c>
      <c r="B204" s="33" t="e">
        <f>IF(Sheet2!#REF!&lt;&gt;"",Sheet2!#REF!,"")</f>
        <v>#REF!</v>
      </c>
      <c r="C204" s="34" t="e">
        <f>IF(Sheet2!#REF!&lt;&gt;"",Sheet2!#REF!,"")</f>
        <v>#REF!</v>
      </c>
      <c r="D204" s="35" t="str">
        <f t="shared" ca="1" si="8"/>
        <v/>
      </c>
      <c r="E204" s="3"/>
      <c r="F204" s="3"/>
      <c r="G204" s="3"/>
      <c r="H204" s="3"/>
      <c r="K204" t="str">
        <f t="shared" ca="1" si="9"/>
        <v/>
      </c>
    </row>
    <row r="205" spans="1:11">
      <c r="A205" s="23" t="e">
        <f>IF(Sheet2!#REF!&lt;&gt;"",Sheet2!#REF!,"")</f>
        <v>#REF!</v>
      </c>
      <c r="B205" s="33" t="e">
        <f>IF(Sheet2!#REF!&lt;&gt;"",Sheet2!#REF!,"")</f>
        <v>#REF!</v>
      </c>
      <c r="C205" s="34" t="e">
        <f>IF(Sheet2!#REF!&lt;&gt;"",Sheet2!#REF!,"")</f>
        <v>#REF!</v>
      </c>
      <c r="D205" s="35" t="str">
        <f t="shared" ca="1" si="8"/>
        <v/>
      </c>
      <c r="E205" s="3"/>
      <c r="F205" s="3"/>
      <c r="G205" s="3"/>
      <c r="H205" s="3"/>
      <c r="K205" t="str">
        <f t="shared" ca="1" si="9"/>
        <v/>
      </c>
    </row>
    <row r="206" spans="1:11">
      <c r="A206" s="23" t="e">
        <f>IF(Sheet2!#REF!&lt;&gt;"",Sheet2!#REF!,"")</f>
        <v>#REF!</v>
      </c>
      <c r="B206" s="33" t="e">
        <f>IF(Sheet2!#REF!&lt;&gt;"",Sheet2!#REF!,"")</f>
        <v>#REF!</v>
      </c>
      <c r="C206" s="34" t="e">
        <f>IF(Sheet2!#REF!&lt;&gt;"",Sheet2!#REF!,"")</f>
        <v>#REF!</v>
      </c>
      <c r="D206" s="35" t="str">
        <f t="shared" ca="1" si="8"/>
        <v/>
      </c>
      <c r="E206" s="3"/>
      <c r="F206" s="3"/>
      <c r="G206" s="3"/>
      <c r="H206" s="3"/>
      <c r="K206" t="str">
        <f t="shared" ca="1" si="9"/>
        <v/>
      </c>
    </row>
    <row r="207" spans="1:11">
      <c r="A207" s="23" t="e">
        <f>IF(Sheet2!#REF!&lt;&gt;"",Sheet2!#REF!,"")</f>
        <v>#REF!</v>
      </c>
      <c r="B207" s="33" t="e">
        <f>IF(Sheet2!#REF!&lt;&gt;"",Sheet2!#REF!,"")</f>
        <v>#REF!</v>
      </c>
      <c r="C207" s="34" t="e">
        <f>IF(Sheet2!#REF!&lt;&gt;"",Sheet2!#REF!,"")</f>
        <v>#REF!</v>
      </c>
      <c r="D207" s="35" t="str">
        <f t="shared" ca="1" si="8"/>
        <v/>
      </c>
      <c r="E207" s="3"/>
      <c r="F207" s="3"/>
      <c r="G207" s="3"/>
      <c r="H207" s="3"/>
      <c r="K207" t="str">
        <f t="shared" ca="1" si="9"/>
        <v/>
      </c>
    </row>
    <row r="208" spans="1:11">
      <c r="A208" s="23" t="e">
        <f>IF(Sheet2!#REF!&lt;&gt;"",Sheet2!#REF!,"")</f>
        <v>#REF!</v>
      </c>
      <c r="B208" s="33" t="e">
        <f>IF(Sheet2!#REF!&lt;&gt;"",Sheet2!#REF!,"")</f>
        <v>#REF!</v>
      </c>
      <c r="C208" s="34" t="e">
        <f>IF(Sheet2!#REF!&lt;&gt;"",Sheet2!#REF!,"")</f>
        <v>#REF!</v>
      </c>
      <c r="D208" s="35" t="str">
        <f t="shared" ca="1" si="8"/>
        <v/>
      </c>
      <c r="E208" s="3"/>
      <c r="F208" s="3"/>
      <c r="G208" s="3"/>
      <c r="H208" s="3"/>
      <c r="K208" t="str">
        <f t="shared" ca="1" si="9"/>
        <v/>
      </c>
    </row>
    <row r="209" spans="1:11">
      <c r="A209" s="23" t="e">
        <f>IF(Sheet2!#REF!&lt;&gt;"",Sheet2!#REF!,"")</f>
        <v>#REF!</v>
      </c>
      <c r="B209" s="33" t="e">
        <f>IF(Sheet2!#REF!&lt;&gt;"",Sheet2!#REF!,"")</f>
        <v>#REF!</v>
      </c>
      <c r="C209" s="34" t="e">
        <f>IF(Sheet2!#REF!&lt;&gt;"",Sheet2!#REF!,"")</f>
        <v>#REF!</v>
      </c>
      <c r="D209" s="35" t="str">
        <f t="shared" ca="1" si="8"/>
        <v/>
      </c>
      <c r="E209" s="3"/>
      <c r="F209" s="3"/>
      <c r="G209" s="3"/>
      <c r="H209" s="3"/>
      <c r="K209" t="str">
        <f t="shared" ca="1" si="9"/>
        <v/>
      </c>
    </row>
    <row r="210" spans="1:11">
      <c r="A210" s="23" t="e">
        <f>IF(Sheet2!#REF!&lt;&gt;"",Sheet2!#REF!,"")</f>
        <v>#REF!</v>
      </c>
      <c r="B210" s="33" t="e">
        <f>IF(Sheet2!#REF!&lt;&gt;"",Sheet2!#REF!,"")</f>
        <v>#REF!</v>
      </c>
      <c r="C210" s="34" t="e">
        <f>IF(Sheet2!#REF!&lt;&gt;"",Sheet2!#REF!,"")</f>
        <v>#REF!</v>
      </c>
      <c r="D210" s="35" t="str">
        <f t="shared" ca="1" si="8"/>
        <v/>
      </c>
      <c r="E210" s="3"/>
      <c r="F210" s="3"/>
      <c r="G210" s="3"/>
      <c r="H210" s="3"/>
      <c r="K210" t="str">
        <f t="shared" ca="1" si="9"/>
        <v/>
      </c>
    </row>
    <row r="211" spans="1:11">
      <c r="A211" s="23" t="e">
        <f>IF(Sheet2!#REF!&lt;&gt;"",Sheet2!#REF!,"")</f>
        <v>#REF!</v>
      </c>
      <c r="B211" s="33" t="e">
        <f>IF(Sheet2!#REF!&lt;&gt;"",Sheet2!#REF!,"")</f>
        <v>#REF!</v>
      </c>
      <c r="C211" s="34" t="e">
        <f>IF(Sheet2!#REF!&lt;&gt;"",Sheet2!#REF!,"")</f>
        <v>#REF!</v>
      </c>
      <c r="D211" s="35" t="str">
        <f t="shared" ca="1" si="8"/>
        <v/>
      </c>
      <c r="E211" s="3"/>
      <c r="F211" s="3"/>
      <c r="G211" s="3"/>
      <c r="H211" s="3"/>
      <c r="K211" t="str">
        <f t="shared" ca="1" si="9"/>
        <v/>
      </c>
    </row>
    <row r="212" spans="1:11">
      <c r="A212" s="23" t="e">
        <f>IF(Sheet2!#REF!&lt;&gt;"",Sheet2!#REF!,"")</f>
        <v>#REF!</v>
      </c>
      <c r="B212" s="33" t="e">
        <f>IF(Sheet2!#REF!&lt;&gt;"",Sheet2!#REF!,"")</f>
        <v>#REF!</v>
      </c>
      <c r="C212" s="34" t="e">
        <f>IF(Sheet2!#REF!&lt;&gt;"",Sheet2!#REF!,"")</f>
        <v>#REF!</v>
      </c>
      <c r="D212" s="35" t="str">
        <f t="shared" ca="1" si="8"/>
        <v/>
      </c>
      <c r="E212" s="3"/>
      <c r="F212" s="3"/>
      <c r="G212" s="3"/>
      <c r="H212" s="3"/>
      <c r="K212" t="str">
        <f t="shared" ca="1" si="9"/>
        <v/>
      </c>
    </row>
    <row r="213" spans="1:11">
      <c r="A213" s="23" t="e">
        <f>IF(Sheet2!#REF!&lt;&gt;"",Sheet2!#REF!,"")</f>
        <v>#REF!</v>
      </c>
      <c r="B213" s="33" t="e">
        <f>IF(Sheet2!#REF!&lt;&gt;"",Sheet2!#REF!,"")</f>
        <v>#REF!</v>
      </c>
      <c r="C213" s="34" t="e">
        <f>IF(Sheet2!#REF!&lt;&gt;"",Sheet2!#REF!,"")</f>
        <v>#REF!</v>
      </c>
      <c r="D213" s="35" t="str">
        <f t="shared" ca="1" si="8"/>
        <v/>
      </c>
      <c r="E213" s="3"/>
      <c r="F213" s="3"/>
      <c r="G213" s="3"/>
      <c r="H213" s="3"/>
      <c r="K213" t="str">
        <f t="shared" ca="1" si="9"/>
        <v/>
      </c>
    </row>
    <row r="214" spans="1:11">
      <c r="A214" s="23" t="e">
        <f>IF(Sheet2!#REF!&lt;&gt;"",Sheet2!#REF!,"")</f>
        <v>#REF!</v>
      </c>
      <c r="B214" s="33" t="e">
        <f>IF(Sheet2!#REF!&lt;&gt;"",Sheet2!#REF!,"")</f>
        <v>#REF!</v>
      </c>
      <c r="C214" s="34" t="e">
        <f>IF(Sheet2!#REF!&lt;&gt;"",Sheet2!#REF!,"")</f>
        <v>#REF!</v>
      </c>
      <c r="D214" s="35" t="str">
        <f t="shared" ca="1" si="8"/>
        <v/>
      </c>
      <c r="E214" s="3"/>
      <c r="F214" s="3"/>
      <c r="G214" s="3"/>
      <c r="H214" s="3"/>
      <c r="K214" t="str">
        <f t="shared" ca="1" si="9"/>
        <v/>
      </c>
    </row>
    <row r="215" spans="1:11">
      <c r="A215" s="23" t="e">
        <f>IF(Sheet2!#REF!&lt;&gt;"",Sheet2!#REF!,"")</f>
        <v>#REF!</v>
      </c>
      <c r="B215" s="33" t="e">
        <f>IF(Sheet2!#REF!&lt;&gt;"",Sheet2!#REF!,"")</f>
        <v>#REF!</v>
      </c>
      <c r="C215" s="34" t="e">
        <f>IF(Sheet2!#REF!&lt;&gt;"",Sheet2!#REF!,"")</f>
        <v>#REF!</v>
      </c>
      <c r="D215" s="35" t="str">
        <f t="shared" ca="1" si="8"/>
        <v/>
      </c>
      <c r="E215" s="3"/>
      <c r="F215" s="3"/>
      <c r="G215" s="3"/>
      <c r="H215" s="3"/>
      <c r="K215" t="str">
        <f t="shared" ca="1" si="9"/>
        <v/>
      </c>
    </row>
    <row r="216" spans="1:11">
      <c r="A216" s="23" t="e">
        <f>IF(Sheet2!#REF!&lt;&gt;"",Sheet2!#REF!,"")</f>
        <v>#REF!</v>
      </c>
      <c r="B216" s="33" t="e">
        <f>IF(Sheet2!#REF!&lt;&gt;"",Sheet2!#REF!,"")</f>
        <v>#REF!</v>
      </c>
      <c r="C216" s="34" t="e">
        <f>IF(Sheet2!#REF!&lt;&gt;"",Sheet2!#REF!,"")</f>
        <v>#REF!</v>
      </c>
      <c r="D216" s="35" t="str">
        <f t="shared" ca="1" si="8"/>
        <v/>
      </c>
      <c r="F216" s="3"/>
      <c r="G216" s="3"/>
      <c r="H216" s="3"/>
      <c r="K216" t="str">
        <f t="shared" ca="1" si="9"/>
        <v/>
      </c>
    </row>
    <row r="217" spans="1:11">
      <c r="A217" s="23" t="e">
        <f>IF(Sheet2!#REF!&lt;&gt;"",Sheet2!#REF!,"")</f>
        <v>#REF!</v>
      </c>
      <c r="B217" s="33" t="e">
        <f>IF(Sheet2!#REF!&lt;&gt;"",Sheet2!#REF!,"")</f>
        <v>#REF!</v>
      </c>
      <c r="C217" s="34" t="e">
        <f>IF(Sheet2!#REF!&lt;&gt;"",Sheet2!#REF!,"")</f>
        <v>#REF!</v>
      </c>
      <c r="D217" s="35" t="str">
        <f t="shared" ca="1" si="8"/>
        <v/>
      </c>
      <c r="E217" s="3"/>
      <c r="F217" s="3"/>
      <c r="G217" s="3"/>
      <c r="H217" s="3"/>
      <c r="K217" t="str">
        <f t="shared" ca="1" si="9"/>
        <v/>
      </c>
    </row>
    <row r="218" spans="1:11">
      <c r="A218" s="23" t="e">
        <f>IF(Sheet2!#REF!&lt;&gt;"",Sheet2!#REF!,"")</f>
        <v>#REF!</v>
      </c>
      <c r="B218" s="33" t="e">
        <f>IF(Sheet2!#REF!&lt;&gt;"",Sheet2!#REF!,"")</f>
        <v>#REF!</v>
      </c>
      <c r="C218" s="34" t="e">
        <f>IF(Sheet2!#REF!&lt;&gt;"",Sheet2!#REF!,"")</f>
        <v>#REF!</v>
      </c>
      <c r="D218" s="35" t="str">
        <f t="shared" ca="1" si="8"/>
        <v/>
      </c>
      <c r="E218" s="3"/>
      <c r="F218" s="3"/>
      <c r="G218" s="3"/>
      <c r="H218" s="3"/>
      <c r="K218" t="str">
        <f t="shared" ca="1" si="9"/>
        <v/>
      </c>
    </row>
    <row r="219" spans="1:11">
      <c r="A219" s="23" t="e">
        <f>IF(Sheet2!#REF!&lt;&gt;"",Sheet2!#REF!,"")</f>
        <v>#REF!</v>
      </c>
      <c r="B219" s="33" t="e">
        <f>IF(Sheet2!#REF!&lt;&gt;"",Sheet2!#REF!,"")</f>
        <v>#REF!</v>
      </c>
      <c r="C219" s="34" t="e">
        <f>IF(Sheet2!#REF!&lt;&gt;"",Sheet2!#REF!,"")</f>
        <v>#REF!</v>
      </c>
      <c r="D219" s="35" t="str">
        <f t="shared" ca="1" si="8"/>
        <v/>
      </c>
      <c r="E219" s="3"/>
      <c r="F219" s="3"/>
      <c r="G219" s="3"/>
      <c r="H219" s="3"/>
      <c r="K219" t="str">
        <f t="shared" ca="1" si="9"/>
        <v/>
      </c>
    </row>
    <row r="220" spans="1:11">
      <c r="A220" s="23" t="e">
        <f>IF(Sheet2!#REF!&lt;&gt;"",Sheet2!#REF!,"")</f>
        <v>#REF!</v>
      </c>
      <c r="B220" s="33" t="e">
        <f>IF(Sheet2!#REF!&lt;&gt;"",Sheet2!#REF!,"")</f>
        <v>#REF!</v>
      </c>
      <c r="C220" s="34" t="e">
        <f>IF(Sheet2!#REF!&lt;&gt;"",Sheet2!#REF!,"")</f>
        <v>#REF!</v>
      </c>
      <c r="D220" s="35" t="str">
        <f t="shared" ca="1" si="8"/>
        <v/>
      </c>
      <c r="E220" s="3"/>
      <c r="F220" s="3"/>
      <c r="G220" s="3"/>
      <c r="H220" s="3"/>
      <c r="K220" t="str">
        <f t="shared" ca="1" si="9"/>
        <v/>
      </c>
    </row>
    <row r="221" spans="1:11">
      <c r="A221" s="23" t="e">
        <f>IF(Sheet2!#REF!&lt;&gt;"",Sheet2!#REF!,"")</f>
        <v>#REF!</v>
      </c>
      <c r="B221" s="33" t="e">
        <f>IF(Sheet2!#REF!&lt;&gt;"",Sheet2!#REF!,"")</f>
        <v>#REF!</v>
      </c>
      <c r="C221" s="34" t="e">
        <f>IF(Sheet2!#REF!&lt;&gt;"",Sheet2!#REF!,"")</f>
        <v>#REF!</v>
      </c>
      <c r="D221" s="35" t="str">
        <f t="shared" ca="1" si="8"/>
        <v/>
      </c>
      <c r="E221" s="3"/>
      <c r="F221" s="3"/>
      <c r="G221" s="3"/>
      <c r="H221" s="3"/>
      <c r="K221" t="str">
        <f t="shared" ca="1" si="9"/>
        <v/>
      </c>
    </row>
    <row r="222" spans="1:11">
      <c r="A222" s="23" t="e">
        <f>IF(Sheet2!#REF!&lt;&gt;"",Sheet2!#REF!,"")</f>
        <v>#REF!</v>
      </c>
      <c r="B222" s="33" t="e">
        <f>IF(Sheet2!#REF!&lt;&gt;"",Sheet2!#REF!,"")</f>
        <v>#REF!</v>
      </c>
      <c r="C222" s="34" t="e">
        <f>IF(Sheet2!#REF!&lt;&gt;"",Sheet2!#REF!,"")</f>
        <v>#REF!</v>
      </c>
      <c r="D222" s="35" t="str">
        <f t="shared" ca="1" si="8"/>
        <v/>
      </c>
      <c r="E222" s="3"/>
      <c r="F222" s="3"/>
      <c r="G222" s="3"/>
      <c r="H222" s="3"/>
      <c r="K222" t="str">
        <f t="shared" ca="1" si="9"/>
        <v/>
      </c>
    </row>
    <row r="223" spans="1:11">
      <c r="A223" s="23" t="e">
        <f>IF(Sheet2!#REF!&lt;&gt;"",Sheet2!#REF!,"")</f>
        <v>#REF!</v>
      </c>
      <c r="B223" s="33" t="e">
        <f>IF(Sheet2!#REF!&lt;&gt;"",Sheet2!#REF!,"")</f>
        <v>#REF!</v>
      </c>
      <c r="C223" s="34" t="e">
        <f>IF(Sheet2!#REF!&lt;&gt;"",Sheet2!#REF!,"")</f>
        <v>#REF!</v>
      </c>
      <c r="D223" s="35" t="str">
        <f t="shared" ca="1" si="8"/>
        <v/>
      </c>
      <c r="E223" s="3"/>
      <c r="F223" s="3"/>
      <c r="G223" s="3"/>
      <c r="H223" s="3"/>
      <c r="K223" t="str">
        <f t="shared" ca="1" si="9"/>
        <v/>
      </c>
    </row>
    <row r="224" spans="1:11">
      <c r="A224" s="23" t="e">
        <f>IF(Sheet2!#REF!&lt;&gt;"",Sheet2!#REF!,"")</f>
        <v>#REF!</v>
      </c>
      <c r="B224" s="33" t="e">
        <f>IF(Sheet2!#REF!&lt;&gt;"",Sheet2!#REF!,"")</f>
        <v>#REF!</v>
      </c>
      <c r="C224" s="34" t="e">
        <f>IF(Sheet2!#REF!&lt;&gt;"",Sheet2!#REF!,"")</f>
        <v>#REF!</v>
      </c>
      <c r="D224" s="35" t="str">
        <f t="shared" ca="1" si="8"/>
        <v/>
      </c>
      <c r="E224" s="3"/>
      <c r="F224" s="3"/>
      <c r="G224" s="3"/>
      <c r="H224" s="3"/>
      <c r="K224" t="str">
        <f t="shared" ca="1" si="9"/>
        <v/>
      </c>
    </row>
    <row r="225" spans="1:11">
      <c r="A225" s="23" t="e">
        <f>IF(Sheet2!#REF!&lt;&gt;"",Sheet2!#REF!,"")</f>
        <v>#REF!</v>
      </c>
      <c r="B225" s="33" t="e">
        <f>IF(Sheet2!#REF!&lt;&gt;"",Sheet2!#REF!,"")</f>
        <v>#REF!</v>
      </c>
      <c r="C225" s="34" t="e">
        <f>IF(Sheet2!#REF!&lt;&gt;"",Sheet2!#REF!,"")</f>
        <v>#REF!</v>
      </c>
      <c r="D225" s="35" t="str">
        <f t="shared" ca="1" si="8"/>
        <v/>
      </c>
      <c r="E225" s="3"/>
      <c r="F225" s="3"/>
      <c r="G225" s="3"/>
      <c r="H225" s="3"/>
      <c r="K225" t="str">
        <f t="shared" ca="1" si="9"/>
        <v/>
      </c>
    </row>
    <row r="226" spans="1:11">
      <c r="A226" s="23" t="e">
        <f>IF(Sheet2!#REF!&lt;&gt;"",Sheet2!#REF!,"")</f>
        <v>#REF!</v>
      </c>
      <c r="B226" s="33" t="e">
        <f>IF(Sheet2!#REF!&lt;&gt;"",Sheet2!#REF!,"")</f>
        <v>#REF!</v>
      </c>
      <c r="C226" s="34" t="e">
        <f>IF(Sheet2!#REF!&lt;&gt;"",Sheet2!#REF!,"")</f>
        <v>#REF!</v>
      </c>
      <c r="D226" s="35" t="str">
        <f t="shared" ca="1" si="8"/>
        <v/>
      </c>
      <c r="E226" s="3"/>
      <c r="F226" s="3"/>
      <c r="G226" s="3"/>
      <c r="H226" s="3"/>
      <c r="K226" t="str">
        <f t="shared" ca="1" si="9"/>
        <v/>
      </c>
    </row>
    <row r="227" spans="1:11">
      <c r="A227" s="23" t="e">
        <f>IF(Sheet2!#REF!&lt;&gt;"",Sheet2!#REF!,"")</f>
        <v>#REF!</v>
      </c>
      <c r="B227" s="33" t="e">
        <f>IF(Sheet2!#REF!&lt;&gt;"",Sheet2!#REF!,"")</f>
        <v>#REF!</v>
      </c>
      <c r="C227" s="34" t="e">
        <f>IF(Sheet2!#REF!&lt;&gt;"",Sheet2!#REF!,"")</f>
        <v>#REF!</v>
      </c>
      <c r="D227" s="35" t="str">
        <f t="shared" ca="1" si="8"/>
        <v/>
      </c>
      <c r="E227" s="3"/>
      <c r="F227" s="3"/>
      <c r="G227" s="3"/>
      <c r="H227" s="3"/>
      <c r="K227" t="str">
        <f t="shared" ca="1" si="9"/>
        <v/>
      </c>
    </row>
    <row r="228" spans="1:11">
      <c r="A228" s="23" t="e">
        <f>IF(Sheet2!#REF!&lt;&gt;"",Sheet2!#REF!,"")</f>
        <v>#REF!</v>
      </c>
      <c r="B228" s="33" t="e">
        <f>IF(Sheet2!#REF!&lt;&gt;"",Sheet2!#REF!,"")</f>
        <v>#REF!</v>
      </c>
      <c r="C228" s="34" t="e">
        <f>IF(Sheet2!#REF!&lt;&gt;"",Sheet2!#REF!,"")</f>
        <v>#REF!</v>
      </c>
      <c r="D228" s="35" t="str">
        <f t="shared" ca="1" si="8"/>
        <v/>
      </c>
      <c r="E228" s="3"/>
      <c r="F228" s="3"/>
      <c r="G228" s="3"/>
      <c r="H228" s="3"/>
      <c r="K228" t="str">
        <f t="shared" ca="1" si="9"/>
        <v/>
      </c>
    </row>
    <row r="229" spans="1:11">
      <c r="A229" s="23" t="e">
        <f>IF(Sheet2!#REF!&lt;&gt;"",Sheet2!#REF!,"")</f>
        <v>#REF!</v>
      </c>
      <c r="B229" s="33" t="e">
        <f>IF(Sheet2!#REF!&lt;&gt;"",Sheet2!#REF!,"")</f>
        <v>#REF!</v>
      </c>
      <c r="C229" s="34" t="e">
        <f>IF(Sheet2!#REF!&lt;&gt;"",Sheet2!#REF!,"")</f>
        <v>#REF!</v>
      </c>
      <c r="D229" s="35" t="str">
        <f t="shared" ca="1" si="8"/>
        <v/>
      </c>
      <c r="E229" s="3"/>
      <c r="F229" s="3"/>
      <c r="G229" s="3"/>
      <c r="H229" s="3"/>
      <c r="K229" t="str">
        <f t="shared" ca="1" si="9"/>
        <v/>
      </c>
    </row>
    <row r="230" spans="1:11">
      <c r="A230" s="23" t="e">
        <f>IF(Sheet2!#REF!&lt;&gt;"",Sheet2!#REF!,"")</f>
        <v>#REF!</v>
      </c>
      <c r="B230" s="33" t="e">
        <f>IF(Sheet2!#REF!&lt;&gt;"",Sheet2!#REF!,"")</f>
        <v>#REF!</v>
      </c>
      <c r="C230" s="34" t="e">
        <f>IF(Sheet2!#REF!&lt;&gt;"",Sheet2!#REF!,"")</f>
        <v>#REF!</v>
      </c>
      <c r="D230" s="35" t="str">
        <f t="shared" ca="1" si="8"/>
        <v/>
      </c>
      <c r="E230" s="3"/>
      <c r="F230" s="3"/>
      <c r="G230" s="3"/>
      <c r="H230" s="3"/>
      <c r="K230" t="str">
        <f t="shared" ca="1" si="9"/>
        <v/>
      </c>
    </row>
    <row r="231" spans="1:11">
      <c r="A231" s="23" t="e">
        <f>IF(Sheet2!#REF!&lt;&gt;"",Sheet2!#REF!,"")</f>
        <v>#REF!</v>
      </c>
      <c r="B231" s="33" t="e">
        <f>IF(Sheet2!#REF!&lt;&gt;"",Sheet2!#REF!,"")</f>
        <v>#REF!</v>
      </c>
      <c r="C231" s="34" t="e">
        <f>IF(Sheet2!#REF!&lt;&gt;"",Sheet2!#REF!,"")</f>
        <v>#REF!</v>
      </c>
      <c r="D231" s="35" t="str">
        <f t="shared" ca="1" si="8"/>
        <v/>
      </c>
      <c r="E231" s="3"/>
      <c r="F231" s="3"/>
      <c r="G231" s="3"/>
      <c r="H231" s="3"/>
      <c r="K231" t="str">
        <f t="shared" ca="1" si="9"/>
        <v/>
      </c>
    </row>
    <row r="232" spans="1:11">
      <c r="A232" s="23" t="e">
        <f>IF(Sheet2!#REF!&lt;&gt;"",Sheet2!#REF!,"")</f>
        <v>#REF!</v>
      </c>
      <c r="B232" s="33" t="e">
        <f>IF(Sheet2!#REF!&lt;&gt;"",Sheet2!#REF!,"")</f>
        <v>#REF!</v>
      </c>
      <c r="C232" s="34" t="e">
        <f>IF(Sheet2!#REF!&lt;&gt;"",Sheet2!#REF!,"")</f>
        <v>#REF!</v>
      </c>
      <c r="D232" s="35" t="str">
        <f t="shared" ca="1" si="8"/>
        <v/>
      </c>
      <c r="E232" s="3"/>
      <c r="F232" s="3"/>
      <c r="G232" s="3"/>
      <c r="H232" s="3"/>
      <c r="K232" t="str">
        <f t="shared" ca="1" si="9"/>
        <v/>
      </c>
    </row>
    <row r="233" spans="1:11">
      <c r="A233" s="23" t="e">
        <f>IF(Sheet2!#REF!&lt;&gt;"",Sheet2!#REF!,"")</f>
        <v>#REF!</v>
      </c>
      <c r="B233" s="33" t="e">
        <f>IF(Sheet2!#REF!&lt;&gt;"",Sheet2!#REF!,"")</f>
        <v>#REF!</v>
      </c>
      <c r="C233" s="34" t="e">
        <f>IF(Sheet2!#REF!&lt;&gt;"",Sheet2!#REF!,"")</f>
        <v>#REF!</v>
      </c>
      <c r="D233" s="35" t="str">
        <f t="shared" ca="1" si="8"/>
        <v/>
      </c>
      <c r="E233" s="3"/>
      <c r="F233" s="3"/>
      <c r="G233" s="3"/>
      <c r="H233" s="3"/>
      <c r="K233" t="str">
        <f t="shared" ca="1" si="9"/>
        <v/>
      </c>
    </row>
    <row r="234" spans="1:11">
      <c r="A234" s="23" t="e">
        <f>IF(Sheet2!#REF!&lt;&gt;"",Sheet2!#REF!,"")</f>
        <v>#REF!</v>
      </c>
      <c r="B234" s="33" t="e">
        <f>IF(Sheet2!#REF!&lt;&gt;"",Sheet2!#REF!,"")</f>
        <v>#REF!</v>
      </c>
      <c r="C234" s="34" t="e">
        <f>IF(Sheet2!#REF!&lt;&gt;"",Sheet2!#REF!,"")</f>
        <v>#REF!</v>
      </c>
      <c r="D234" s="35" t="str">
        <f t="shared" ca="1" si="8"/>
        <v/>
      </c>
      <c r="E234" s="3"/>
      <c r="F234" s="3"/>
      <c r="G234" s="3"/>
      <c r="H234" s="3"/>
      <c r="K234" t="str">
        <f t="shared" ca="1" si="9"/>
        <v/>
      </c>
    </row>
    <row r="235" spans="1:11">
      <c r="A235" s="23" t="e">
        <f>IF(Sheet2!#REF!&lt;&gt;"",Sheet2!#REF!,"")</f>
        <v>#REF!</v>
      </c>
      <c r="B235" s="33" t="e">
        <f>IF(Sheet2!#REF!&lt;&gt;"",Sheet2!#REF!,"")</f>
        <v>#REF!</v>
      </c>
      <c r="C235" s="34" t="e">
        <f>IF(Sheet2!#REF!&lt;&gt;"",Sheet2!#REF!,"")</f>
        <v>#REF!</v>
      </c>
      <c r="D235" s="35" t="str">
        <f t="shared" ca="1" si="8"/>
        <v/>
      </c>
      <c r="E235" s="3"/>
      <c r="F235" s="3"/>
      <c r="G235" s="3"/>
      <c r="H235" s="3"/>
      <c r="K235" t="str">
        <f t="shared" ca="1" si="9"/>
        <v/>
      </c>
    </row>
    <row r="236" spans="1:11">
      <c r="A236" s="23" t="e">
        <f>IF(Sheet2!#REF!&lt;&gt;"",Sheet2!#REF!,"")</f>
        <v>#REF!</v>
      </c>
      <c r="B236" s="33" t="e">
        <f>IF(Sheet2!#REF!&lt;&gt;"",Sheet2!#REF!,"")</f>
        <v>#REF!</v>
      </c>
      <c r="C236" s="34" t="e">
        <f>IF(Sheet2!#REF!&lt;&gt;"",Sheet2!#REF!,"")</f>
        <v>#REF!</v>
      </c>
      <c r="D236" s="35" t="str">
        <f t="shared" ca="1" si="8"/>
        <v/>
      </c>
      <c r="E236" s="3"/>
      <c r="F236" s="3"/>
      <c r="G236" s="3"/>
      <c r="H236" s="3"/>
      <c r="K236" t="str">
        <f t="shared" ca="1" si="9"/>
        <v/>
      </c>
    </row>
    <row r="237" spans="1:11">
      <c r="A237" s="23" t="e">
        <f>IF(Sheet2!#REF!&lt;&gt;"",Sheet2!#REF!,"")</f>
        <v>#REF!</v>
      </c>
      <c r="B237" s="33" t="e">
        <f>IF(Sheet2!#REF!&lt;&gt;"",Sheet2!#REF!,"")</f>
        <v>#REF!</v>
      </c>
      <c r="C237" s="34" t="e">
        <f>IF(Sheet2!#REF!&lt;&gt;"",Sheet2!#REF!,"")</f>
        <v>#REF!</v>
      </c>
      <c r="D237" s="35" t="str">
        <f t="shared" ca="1" si="8"/>
        <v/>
      </c>
      <c r="E237" s="3"/>
      <c r="F237" s="3"/>
      <c r="G237" s="3"/>
      <c r="H237" s="3"/>
      <c r="K237" t="str">
        <f t="shared" ca="1" si="9"/>
        <v/>
      </c>
    </row>
    <row r="238" spans="1:11">
      <c r="A238" s="23" t="e">
        <f>IF(Sheet2!#REF!&lt;&gt;"",Sheet2!#REF!,"")</f>
        <v>#REF!</v>
      </c>
      <c r="B238" s="33" t="e">
        <f>IF(Sheet2!#REF!&lt;&gt;"",Sheet2!#REF!,"")</f>
        <v>#REF!</v>
      </c>
      <c r="C238" s="34" t="e">
        <f>IF(Sheet2!#REF!&lt;&gt;"",Sheet2!#REF!,"")</f>
        <v>#REF!</v>
      </c>
      <c r="D238" s="35" t="str">
        <f t="shared" ca="1" si="8"/>
        <v/>
      </c>
      <c r="E238" s="3"/>
      <c r="F238" s="3"/>
      <c r="G238" s="3"/>
      <c r="H238" s="3"/>
      <c r="K238" t="str">
        <f t="shared" ca="1" si="9"/>
        <v/>
      </c>
    </row>
    <row r="239" spans="1:11">
      <c r="A239" s="23" t="e">
        <f>IF(Sheet2!#REF!&lt;&gt;"",Sheet2!#REF!,"")</f>
        <v>#REF!</v>
      </c>
      <c r="B239" s="33" t="e">
        <f>IF(Sheet2!#REF!&lt;&gt;"",Sheet2!#REF!,"")</f>
        <v>#REF!</v>
      </c>
      <c r="C239" s="34" t="e">
        <f>IF(Sheet2!#REF!&lt;&gt;"",Sheet2!#REF!,"")</f>
        <v>#REF!</v>
      </c>
      <c r="D239" s="35" t="str">
        <f t="shared" ca="1" si="8"/>
        <v/>
      </c>
      <c r="E239" s="3"/>
      <c r="F239" s="3"/>
      <c r="G239" s="3"/>
      <c r="H239" s="3"/>
      <c r="K239" t="str">
        <f t="shared" ca="1" si="9"/>
        <v/>
      </c>
    </row>
    <row r="240" spans="1:11">
      <c r="A240" s="23" t="e">
        <f>IF(Sheet2!#REF!&lt;&gt;"",Sheet2!#REF!,"")</f>
        <v>#REF!</v>
      </c>
      <c r="B240" s="33" t="e">
        <f>IF(Sheet2!#REF!&lt;&gt;"",Sheet2!#REF!,"")</f>
        <v>#REF!</v>
      </c>
      <c r="C240" s="34" t="e">
        <f>IF(Sheet2!#REF!&lt;&gt;"",Sheet2!#REF!,"")</f>
        <v>#REF!</v>
      </c>
      <c r="D240" s="35" t="str">
        <f t="shared" ca="1" si="8"/>
        <v/>
      </c>
      <c r="E240" s="3"/>
      <c r="F240" s="3"/>
      <c r="G240" s="3"/>
      <c r="H240" s="3"/>
      <c r="K240" t="str">
        <f t="shared" ca="1" si="9"/>
        <v/>
      </c>
    </row>
    <row r="241" spans="1:11">
      <c r="A241" s="23" t="e">
        <f>IF(Sheet2!#REF!&lt;&gt;"",Sheet2!#REF!,"")</f>
        <v>#REF!</v>
      </c>
      <c r="B241" s="33" t="e">
        <f>IF(Sheet2!#REF!&lt;&gt;"",Sheet2!#REF!,"")</f>
        <v>#REF!</v>
      </c>
      <c r="C241" s="34" t="e">
        <f>IF(Sheet2!#REF!&lt;&gt;"",Sheet2!#REF!,"")</f>
        <v>#REF!</v>
      </c>
      <c r="D241" s="35" t="str">
        <f t="shared" ca="1" si="8"/>
        <v/>
      </c>
      <c r="E241" s="3"/>
      <c r="F241" s="3"/>
      <c r="G241" s="3"/>
      <c r="H241" s="3"/>
      <c r="K241" t="str">
        <f t="shared" ca="1" si="9"/>
        <v/>
      </c>
    </row>
    <row r="242" spans="1:11">
      <c r="A242" s="23" t="e">
        <f>IF(Sheet2!#REF!&lt;&gt;"",Sheet2!#REF!,"")</f>
        <v>#REF!</v>
      </c>
      <c r="B242" s="33" t="e">
        <f>IF(Sheet2!#REF!&lt;&gt;"",Sheet2!#REF!,"")</f>
        <v>#REF!</v>
      </c>
      <c r="C242" s="34" t="e">
        <f>IF(Sheet2!#REF!&lt;&gt;"",Sheet2!#REF!,"")</f>
        <v>#REF!</v>
      </c>
      <c r="D242" s="35" t="str">
        <f t="shared" ca="1" si="8"/>
        <v/>
      </c>
      <c r="E242" s="3"/>
      <c r="F242" s="3"/>
      <c r="G242" s="3"/>
      <c r="H242" s="3"/>
      <c r="K242" t="str">
        <f t="shared" ca="1" si="9"/>
        <v/>
      </c>
    </row>
    <row r="243" spans="1:11">
      <c r="A243" s="23" t="e">
        <f>IF(Sheet2!#REF!&lt;&gt;"",Sheet2!#REF!,"")</f>
        <v>#REF!</v>
      </c>
      <c r="B243" s="33" t="e">
        <f>IF(Sheet2!#REF!&lt;&gt;"",Sheet2!#REF!,"")</f>
        <v>#REF!</v>
      </c>
      <c r="C243" s="34" t="e">
        <f>IF(Sheet2!#REF!&lt;&gt;"",Sheet2!#REF!,"")</f>
        <v>#REF!</v>
      </c>
      <c r="D243" s="35" t="str">
        <f t="shared" ca="1" si="8"/>
        <v/>
      </c>
      <c r="E243" s="3"/>
      <c r="F243" s="3"/>
      <c r="G243" s="3"/>
      <c r="H243" s="3"/>
      <c r="K243" t="str">
        <f t="shared" ca="1" si="9"/>
        <v/>
      </c>
    </row>
    <row r="244" spans="1:11">
      <c r="A244" s="23" t="e">
        <f>IF(Sheet2!#REF!&lt;&gt;"",Sheet2!#REF!,"")</f>
        <v>#REF!</v>
      </c>
      <c r="B244" s="33" t="e">
        <f>IF(Sheet2!#REF!&lt;&gt;"",Sheet2!#REF!,"")</f>
        <v>#REF!</v>
      </c>
      <c r="C244" s="34" t="e">
        <f>IF(Sheet2!#REF!&lt;&gt;"",Sheet2!#REF!,"")</f>
        <v>#REF!</v>
      </c>
      <c r="D244" s="35" t="str">
        <f t="shared" ca="1" si="8"/>
        <v/>
      </c>
      <c r="E244" s="3"/>
      <c r="F244" s="3"/>
      <c r="G244" s="3"/>
      <c r="H244" s="3"/>
      <c r="K244" t="str">
        <f t="shared" ca="1" si="9"/>
        <v/>
      </c>
    </row>
    <row r="245" spans="1:11">
      <c r="A245" s="23" t="e">
        <f>IF(Sheet2!#REF!&lt;&gt;"",Sheet2!#REF!,"")</f>
        <v>#REF!</v>
      </c>
      <c r="B245" s="33" t="e">
        <f>IF(Sheet2!#REF!&lt;&gt;"",Sheet2!#REF!,"")</f>
        <v>#REF!</v>
      </c>
      <c r="C245" s="34" t="e">
        <f>IF(Sheet2!#REF!&lt;&gt;"",Sheet2!#REF!,"")</f>
        <v>#REF!</v>
      </c>
      <c r="D245" s="35" t="str">
        <f t="shared" ca="1" si="8"/>
        <v/>
      </c>
      <c r="E245" s="3"/>
      <c r="F245" s="3"/>
      <c r="G245" s="3"/>
      <c r="H245" s="3"/>
      <c r="K245" t="str">
        <f t="shared" ca="1" si="9"/>
        <v/>
      </c>
    </row>
    <row r="246" spans="1:11">
      <c r="A246" s="23" t="e">
        <f>IF(Sheet2!#REF!&lt;&gt;"",Sheet2!#REF!,"")</f>
        <v>#REF!</v>
      </c>
      <c r="B246" s="33" t="e">
        <f>IF(Sheet2!#REF!&lt;&gt;"",Sheet2!#REF!,"")</f>
        <v>#REF!</v>
      </c>
      <c r="C246" s="34" t="e">
        <f>IF(Sheet2!#REF!&lt;&gt;"",Sheet2!#REF!,"")</f>
        <v>#REF!</v>
      </c>
      <c r="D246" s="35" t="str">
        <f t="shared" ca="1" si="8"/>
        <v/>
      </c>
      <c r="E246" s="3"/>
      <c r="F246" s="3"/>
      <c r="G246" s="3"/>
      <c r="H246" s="3"/>
      <c r="K246" t="str">
        <f t="shared" ca="1" si="9"/>
        <v/>
      </c>
    </row>
    <row r="247" spans="1:11">
      <c r="A247" s="23" t="e">
        <f>IF(Sheet2!#REF!&lt;&gt;"",Sheet2!#REF!,"")</f>
        <v>#REF!</v>
      </c>
      <c r="B247" s="33" t="e">
        <f>IF(Sheet2!#REF!&lt;&gt;"",Sheet2!#REF!,"")</f>
        <v>#REF!</v>
      </c>
      <c r="C247" s="34" t="e">
        <f>IF(Sheet2!#REF!&lt;&gt;"",Sheet2!#REF!,"")</f>
        <v>#REF!</v>
      </c>
      <c r="D247" s="35" t="str">
        <f t="shared" ca="1" si="8"/>
        <v/>
      </c>
      <c r="E247" s="3"/>
      <c r="F247" s="3"/>
      <c r="G247" s="3"/>
      <c r="H247" s="3"/>
      <c r="K247" t="str">
        <f t="shared" ca="1" si="9"/>
        <v/>
      </c>
    </row>
    <row r="248" spans="1:11">
      <c r="A248" s="23" t="e">
        <f>IF(Sheet2!#REF!&lt;&gt;"",Sheet2!#REF!,"")</f>
        <v>#REF!</v>
      </c>
      <c r="B248" s="33" t="e">
        <f>IF(Sheet2!#REF!&lt;&gt;"",Sheet2!#REF!,"")</f>
        <v>#REF!</v>
      </c>
      <c r="C248" s="34" t="e">
        <f>IF(Sheet2!#REF!&lt;&gt;"",Sheet2!#REF!,"")</f>
        <v>#REF!</v>
      </c>
      <c r="D248" s="35" t="str">
        <f t="shared" ca="1" si="8"/>
        <v/>
      </c>
      <c r="E248" s="3"/>
      <c r="F248" s="3"/>
      <c r="G248" s="3"/>
      <c r="K248" t="str">
        <f t="shared" ca="1" si="9"/>
        <v/>
      </c>
    </row>
    <row r="249" spans="1:11">
      <c r="A249" s="23" t="e">
        <f>IF(Sheet2!#REF!&lt;&gt;"",Sheet2!#REF!,"")</f>
        <v>#REF!</v>
      </c>
      <c r="B249" s="33" t="e">
        <f>IF(Sheet2!#REF!&lt;&gt;"",Sheet2!#REF!,"")</f>
        <v>#REF!</v>
      </c>
      <c r="C249" s="34" t="e">
        <f>IF(Sheet2!#REF!&lt;&gt;"",Sheet2!#REF!,"")</f>
        <v>#REF!</v>
      </c>
      <c r="D249" s="35" t="str">
        <f t="shared" ca="1" si="8"/>
        <v/>
      </c>
      <c r="E249" s="3"/>
      <c r="F249" s="3"/>
      <c r="G249" s="3"/>
      <c r="H249" s="3"/>
      <c r="K249" t="str">
        <f t="shared" ca="1" si="9"/>
        <v/>
      </c>
    </row>
    <row r="250" spans="1:11">
      <c r="A250" s="23" t="e">
        <f>IF(Sheet2!#REF!&lt;&gt;"",Sheet2!#REF!,"")</f>
        <v>#REF!</v>
      </c>
      <c r="B250" s="33" t="e">
        <f>IF(Sheet2!#REF!&lt;&gt;"",Sheet2!#REF!,"")</f>
        <v>#REF!</v>
      </c>
      <c r="C250" s="34" t="e">
        <f>IF(Sheet2!#REF!&lt;&gt;"",Sheet2!#REF!,"")</f>
        <v>#REF!</v>
      </c>
      <c r="D250" s="35" t="str">
        <f t="shared" ca="1" si="8"/>
        <v/>
      </c>
      <c r="E250" s="3"/>
      <c r="F250" s="3"/>
      <c r="G250" s="3"/>
      <c r="H250" s="3"/>
      <c r="K250" t="str">
        <f t="shared" ca="1" si="9"/>
        <v/>
      </c>
    </row>
    <row r="251" spans="1:11">
      <c r="A251" s="23" t="e">
        <f>IF(Sheet2!#REF!&lt;&gt;"",Sheet2!#REF!,"")</f>
        <v>#REF!</v>
      </c>
      <c r="B251" s="33" t="e">
        <f>IF(Sheet2!#REF!&lt;&gt;"",Sheet2!#REF!,"")</f>
        <v>#REF!</v>
      </c>
      <c r="C251" s="34" t="e">
        <f>IF(Sheet2!#REF!&lt;&gt;"",Sheet2!#REF!,"")</f>
        <v>#REF!</v>
      </c>
      <c r="D251" s="35" t="str">
        <f t="shared" ca="1" si="8"/>
        <v/>
      </c>
      <c r="E251" s="3"/>
      <c r="F251" s="3"/>
      <c r="G251" s="3"/>
      <c r="H251" s="3"/>
      <c r="K251" t="str">
        <f t="shared" ca="1" si="9"/>
        <v/>
      </c>
    </row>
    <row r="252" spans="1:11">
      <c r="A252" s="23" t="e">
        <f>IF(Sheet2!#REF!&lt;&gt;"",Sheet2!#REF!,"")</f>
        <v>#REF!</v>
      </c>
      <c r="B252" s="33" t="e">
        <f>IF(Sheet2!#REF!&lt;&gt;"",Sheet2!#REF!,"")</f>
        <v>#REF!</v>
      </c>
      <c r="C252" s="34" t="e">
        <f>IF(Sheet2!#REF!&lt;&gt;"",Sheet2!#REF!,"")</f>
        <v>#REF!</v>
      </c>
      <c r="D252" s="35" t="str">
        <f t="shared" ca="1" si="8"/>
        <v/>
      </c>
      <c r="E252" s="3"/>
      <c r="F252" s="3"/>
      <c r="G252" s="3"/>
      <c r="H252" s="3"/>
      <c r="K252" t="str">
        <f t="shared" ca="1" si="9"/>
        <v/>
      </c>
    </row>
    <row r="253" spans="1:11">
      <c r="A253" s="23" t="e">
        <f>IF(Sheet2!#REF!&lt;&gt;"",Sheet2!#REF!,"")</f>
        <v>#REF!</v>
      </c>
      <c r="B253" s="33" t="e">
        <f>IF(Sheet2!#REF!&lt;&gt;"",Sheet2!#REF!,"")</f>
        <v>#REF!</v>
      </c>
      <c r="C253" s="34" t="e">
        <f>IF(Sheet2!#REF!&lt;&gt;"",Sheet2!#REF!,"")</f>
        <v>#REF!</v>
      </c>
      <c r="D253" s="35" t="str">
        <f t="shared" ca="1" si="8"/>
        <v/>
      </c>
      <c r="E253" s="3"/>
      <c r="F253" s="3"/>
      <c r="G253" s="3"/>
      <c r="H253" s="3"/>
      <c r="K253" t="str">
        <f t="shared" ca="1" si="9"/>
        <v/>
      </c>
    </row>
    <row r="254" spans="1:11">
      <c r="A254" s="23" t="e">
        <f>IF(Sheet2!#REF!&lt;&gt;"",Sheet2!#REF!,"")</f>
        <v>#REF!</v>
      </c>
      <c r="B254" s="33" t="e">
        <f>IF(Sheet2!#REF!&lt;&gt;"",Sheet2!#REF!,"")</f>
        <v>#REF!</v>
      </c>
      <c r="C254" s="34" t="e">
        <f>IF(Sheet2!#REF!&lt;&gt;"",Sheet2!#REF!,"")</f>
        <v>#REF!</v>
      </c>
      <c r="D254" s="35" t="str">
        <f t="shared" ca="1" si="8"/>
        <v/>
      </c>
      <c r="E254" s="3"/>
      <c r="F254" s="3"/>
      <c r="G254" s="3"/>
      <c r="H254" s="3"/>
      <c r="K254" t="str">
        <f t="shared" ca="1" si="9"/>
        <v/>
      </c>
    </row>
    <row r="255" spans="1:11">
      <c r="A255" s="23" t="e">
        <f>IF(Sheet2!#REF!&lt;&gt;"",Sheet2!#REF!,"")</f>
        <v>#REF!</v>
      </c>
      <c r="B255" s="33" t="e">
        <f>IF(Sheet2!#REF!&lt;&gt;"",Sheet2!#REF!,"")</f>
        <v>#REF!</v>
      </c>
      <c r="C255" s="34" t="e">
        <f>IF(Sheet2!#REF!&lt;&gt;"",Sheet2!#REF!,"")</f>
        <v>#REF!</v>
      </c>
      <c r="D255" s="35" t="str">
        <f t="shared" ca="1" si="8"/>
        <v/>
      </c>
      <c r="E255" s="3"/>
      <c r="F255" s="3"/>
      <c r="G255" s="3"/>
      <c r="H255" s="3"/>
      <c r="K255" t="str">
        <f t="shared" ca="1" si="9"/>
        <v/>
      </c>
    </row>
    <row r="256" spans="1:11">
      <c r="A256" s="23" t="e">
        <f>IF(Sheet2!#REF!&lt;&gt;"",Sheet2!#REF!,"")</f>
        <v>#REF!</v>
      </c>
      <c r="B256" s="33" t="e">
        <f>IF(Sheet2!#REF!&lt;&gt;"",Sheet2!#REF!,"")</f>
        <v>#REF!</v>
      </c>
      <c r="C256" s="34" t="e">
        <f>IF(Sheet2!#REF!&lt;&gt;"",Sheet2!#REF!,"")</f>
        <v>#REF!</v>
      </c>
      <c r="D256" s="35" t="str">
        <f t="shared" ca="1" si="8"/>
        <v/>
      </c>
      <c r="E256" s="3"/>
      <c r="F256" s="3"/>
      <c r="G256" s="3"/>
      <c r="H256" s="3"/>
      <c r="K256" t="str">
        <f t="shared" ca="1" si="9"/>
        <v/>
      </c>
    </row>
    <row r="257" spans="1:11">
      <c r="A257" s="23" t="e">
        <f>IF(Sheet2!#REF!&lt;&gt;"",Sheet2!#REF!,"")</f>
        <v>#REF!</v>
      </c>
      <c r="B257" s="33" t="e">
        <f>IF(Sheet2!#REF!&lt;&gt;"",Sheet2!#REF!,"")</f>
        <v>#REF!</v>
      </c>
      <c r="C257" s="34" t="e">
        <f>IF(Sheet2!#REF!&lt;&gt;"",Sheet2!#REF!,"")</f>
        <v>#REF!</v>
      </c>
      <c r="D257" s="35" t="str">
        <f t="shared" ca="1" si="8"/>
        <v/>
      </c>
      <c r="E257" s="3"/>
      <c r="F257" s="3"/>
      <c r="G257" s="3"/>
      <c r="H257" s="3"/>
      <c r="K257" t="str">
        <f t="shared" ca="1" si="9"/>
        <v/>
      </c>
    </row>
    <row r="258" spans="1:11">
      <c r="A258" s="23" t="e">
        <f>IF(Sheet2!#REF!&lt;&gt;"",Sheet2!#REF!,"")</f>
        <v>#REF!</v>
      </c>
      <c r="B258" s="33" t="e">
        <f>IF(Sheet2!#REF!&lt;&gt;"",Sheet2!#REF!,"")</f>
        <v>#REF!</v>
      </c>
      <c r="C258" s="34" t="e">
        <f>IF(Sheet2!#REF!&lt;&gt;"",Sheet2!#REF!,"")</f>
        <v>#REF!</v>
      </c>
      <c r="D258" s="35" t="str">
        <f t="shared" ca="1" si="8"/>
        <v/>
      </c>
      <c r="E258" s="3"/>
      <c r="F258" s="3"/>
      <c r="G258" s="3"/>
      <c r="H258" s="3"/>
      <c r="K258" t="str">
        <f t="shared" ca="1" si="9"/>
        <v/>
      </c>
    </row>
    <row r="259" spans="1:11">
      <c r="A259" s="23" t="e">
        <f>IF(Sheet2!#REF!&lt;&gt;"",Sheet2!#REF!,"")</f>
        <v>#REF!</v>
      </c>
      <c r="B259" s="33" t="e">
        <f>IF(Sheet2!#REF!&lt;&gt;"",Sheet2!#REF!,"")</f>
        <v>#REF!</v>
      </c>
      <c r="C259" s="34" t="e">
        <f>IF(Sheet2!#REF!&lt;&gt;"",Sheet2!#REF!,"")</f>
        <v>#REF!</v>
      </c>
      <c r="D259" s="35" t="str">
        <f t="shared" ref="D259:D322" ca="1" si="10">IFERROR(IF(AND((C259-TODAY())&lt;15,B259&lt;&gt;""),IF(I259="","Alert",""),""),"")</f>
        <v/>
      </c>
      <c r="E259" s="3"/>
      <c r="F259" s="3"/>
      <c r="G259" s="3"/>
      <c r="H259" s="3"/>
      <c r="K259" t="str">
        <f t="shared" ref="K259:K322" ca="1" si="11">IF(I259&lt;&gt;"",IF(J259="",IF(TODAY()-I259&gt;3,"ALERT",""),""),"")</f>
        <v/>
      </c>
    </row>
    <row r="260" spans="1:11">
      <c r="A260" s="23" t="e">
        <f>IF(Sheet2!#REF!&lt;&gt;"",Sheet2!#REF!,"")</f>
        <v>#REF!</v>
      </c>
      <c r="B260" s="33" t="e">
        <f>IF(Sheet2!#REF!&lt;&gt;"",Sheet2!#REF!,"")</f>
        <v>#REF!</v>
      </c>
      <c r="C260" s="34" t="e">
        <f>IF(Sheet2!#REF!&lt;&gt;"",Sheet2!#REF!,"")</f>
        <v>#REF!</v>
      </c>
      <c r="D260" s="35" t="str">
        <f t="shared" ca="1" si="10"/>
        <v/>
      </c>
      <c r="E260" s="3"/>
      <c r="F260" s="3"/>
      <c r="G260" s="3"/>
      <c r="H260" s="3"/>
      <c r="K260" t="str">
        <f t="shared" ca="1" si="11"/>
        <v/>
      </c>
    </row>
    <row r="261" spans="1:11">
      <c r="A261" s="23" t="e">
        <f>IF(Sheet2!#REF!&lt;&gt;"",Sheet2!#REF!,"")</f>
        <v>#REF!</v>
      </c>
      <c r="B261" s="33" t="e">
        <f>IF(Sheet2!#REF!&lt;&gt;"",Sheet2!#REF!,"")</f>
        <v>#REF!</v>
      </c>
      <c r="C261" s="34" t="e">
        <f>IF(Sheet2!#REF!&lt;&gt;"",Sheet2!#REF!,"")</f>
        <v>#REF!</v>
      </c>
      <c r="D261" s="35" t="str">
        <f t="shared" ca="1" si="10"/>
        <v/>
      </c>
      <c r="E261" s="3"/>
      <c r="F261" s="3"/>
      <c r="G261" s="3"/>
      <c r="H261" s="3"/>
      <c r="K261" t="str">
        <f t="shared" ca="1" si="11"/>
        <v/>
      </c>
    </row>
    <row r="262" spans="1:11">
      <c r="A262" s="23" t="e">
        <f>IF(Sheet2!#REF!&lt;&gt;"",Sheet2!#REF!,"")</f>
        <v>#REF!</v>
      </c>
      <c r="B262" s="33" t="e">
        <f>IF(Sheet2!#REF!&lt;&gt;"",Sheet2!#REF!,"")</f>
        <v>#REF!</v>
      </c>
      <c r="C262" s="34" t="e">
        <f>IF(Sheet2!#REF!&lt;&gt;"",Sheet2!#REF!,"")</f>
        <v>#REF!</v>
      </c>
      <c r="D262" s="35" t="str">
        <f t="shared" ca="1" si="10"/>
        <v/>
      </c>
      <c r="E262" s="3"/>
      <c r="F262" s="3"/>
      <c r="G262" s="3"/>
      <c r="H262" s="3"/>
      <c r="K262" t="str">
        <f t="shared" ca="1" si="11"/>
        <v/>
      </c>
    </row>
    <row r="263" spans="1:11">
      <c r="A263" s="23" t="e">
        <f>IF(Sheet2!#REF!&lt;&gt;"",Sheet2!#REF!,"")</f>
        <v>#REF!</v>
      </c>
      <c r="B263" s="33" t="e">
        <f>IF(Sheet2!#REF!&lt;&gt;"",Sheet2!#REF!,"")</f>
        <v>#REF!</v>
      </c>
      <c r="C263" s="34" t="e">
        <f>IF(Sheet2!#REF!&lt;&gt;"",Sheet2!#REF!,"")</f>
        <v>#REF!</v>
      </c>
      <c r="D263" s="35" t="str">
        <f t="shared" ca="1" si="10"/>
        <v/>
      </c>
      <c r="E263" s="3"/>
      <c r="F263" s="3"/>
      <c r="G263" s="3"/>
      <c r="H263" s="3"/>
      <c r="K263" t="str">
        <f t="shared" ca="1" si="11"/>
        <v/>
      </c>
    </row>
    <row r="264" spans="1:11">
      <c r="A264" s="23" t="e">
        <f>IF(Sheet2!#REF!&lt;&gt;"",Sheet2!#REF!,"")</f>
        <v>#REF!</v>
      </c>
      <c r="B264" s="33" t="e">
        <f>IF(Sheet2!#REF!&lt;&gt;"",Sheet2!#REF!,"")</f>
        <v>#REF!</v>
      </c>
      <c r="C264" s="34" t="e">
        <f>IF(Sheet2!#REF!&lt;&gt;"",Sheet2!#REF!,"")</f>
        <v>#REF!</v>
      </c>
      <c r="D264" s="35" t="str">
        <f t="shared" ca="1" si="10"/>
        <v/>
      </c>
      <c r="E264" s="3"/>
      <c r="F264" s="3"/>
      <c r="G264" s="3"/>
      <c r="H264" s="3"/>
      <c r="K264" t="str">
        <f t="shared" ca="1" si="11"/>
        <v/>
      </c>
    </row>
    <row r="265" spans="1:11">
      <c r="A265" s="23" t="e">
        <f>IF(Sheet2!#REF!&lt;&gt;"",Sheet2!#REF!,"")</f>
        <v>#REF!</v>
      </c>
      <c r="B265" s="33" t="e">
        <f>IF(Sheet2!#REF!&lt;&gt;"",Sheet2!#REF!,"")</f>
        <v>#REF!</v>
      </c>
      <c r="C265" s="34" t="e">
        <f>IF(Sheet2!#REF!&lt;&gt;"",Sheet2!#REF!,"")</f>
        <v>#REF!</v>
      </c>
      <c r="D265" s="35" t="str">
        <f t="shared" ca="1" si="10"/>
        <v/>
      </c>
      <c r="E265" s="3"/>
      <c r="F265" s="3"/>
      <c r="G265" s="3"/>
      <c r="H265" s="3"/>
      <c r="K265" t="str">
        <f t="shared" ca="1" si="11"/>
        <v/>
      </c>
    </row>
    <row r="266" spans="1:11">
      <c r="A266" s="23" t="e">
        <f>IF(Sheet2!#REF!&lt;&gt;"",Sheet2!#REF!,"")</f>
        <v>#REF!</v>
      </c>
      <c r="B266" s="33" t="e">
        <f>IF(Sheet2!#REF!&lt;&gt;"",Sheet2!#REF!,"")</f>
        <v>#REF!</v>
      </c>
      <c r="C266" s="34" t="e">
        <f>IF(Sheet2!#REF!&lt;&gt;"",Sheet2!#REF!,"")</f>
        <v>#REF!</v>
      </c>
      <c r="D266" s="35" t="str">
        <f t="shared" ca="1" si="10"/>
        <v/>
      </c>
      <c r="E266" s="3"/>
      <c r="F266" s="3"/>
      <c r="G266" s="3"/>
      <c r="H266" s="3"/>
      <c r="K266" t="str">
        <f t="shared" ca="1" si="11"/>
        <v/>
      </c>
    </row>
    <row r="267" spans="1:11">
      <c r="A267" s="23" t="e">
        <f>IF(Sheet2!#REF!&lt;&gt;"",Sheet2!#REF!,"")</f>
        <v>#REF!</v>
      </c>
      <c r="B267" s="33" t="e">
        <f>IF(Sheet2!#REF!&lt;&gt;"",Sheet2!#REF!,"")</f>
        <v>#REF!</v>
      </c>
      <c r="C267" s="34" t="e">
        <f>IF(Sheet2!#REF!&lt;&gt;"",Sheet2!#REF!,"")</f>
        <v>#REF!</v>
      </c>
      <c r="D267" s="35" t="str">
        <f t="shared" ca="1" si="10"/>
        <v/>
      </c>
      <c r="E267" s="3"/>
      <c r="F267" s="3"/>
      <c r="G267" s="3"/>
      <c r="H267" s="3"/>
      <c r="K267" t="str">
        <f t="shared" ca="1" si="11"/>
        <v/>
      </c>
    </row>
    <row r="268" spans="1:11">
      <c r="A268" s="23" t="e">
        <f>IF(Sheet2!#REF!&lt;&gt;"",Sheet2!#REF!,"")</f>
        <v>#REF!</v>
      </c>
      <c r="B268" s="33" t="e">
        <f>IF(Sheet2!#REF!&lt;&gt;"",Sheet2!#REF!,"")</f>
        <v>#REF!</v>
      </c>
      <c r="C268" s="34" t="e">
        <f>IF(Sheet2!#REF!&lt;&gt;"",Sheet2!#REF!,"")</f>
        <v>#REF!</v>
      </c>
      <c r="D268" s="35" t="str">
        <f t="shared" ca="1" si="10"/>
        <v/>
      </c>
      <c r="E268" s="3"/>
      <c r="F268" s="3"/>
      <c r="G268" s="3"/>
      <c r="H268" s="3"/>
      <c r="K268" t="str">
        <f t="shared" ca="1" si="11"/>
        <v/>
      </c>
    </row>
    <row r="269" spans="1:11">
      <c r="A269" s="23" t="e">
        <f>IF(Sheet2!#REF!&lt;&gt;"",Sheet2!#REF!,"")</f>
        <v>#REF!</v>
      </c>
      <c r="B269" s="33" t="e">
        <f>IF(Sheet2!#REF!&lt;&gt;"",Sheet2!#REF!,"")</f>
        <v>#REF!</v>
      </c>
      <c r="C269" s="34" t="e">
        <f>IF(Sheet2!#REF!&lt;&gt;"",Sheet2!#REF!,"")</f>
        <v>#REF!</v>
      </c>
      <c r="D269" s="35" t="str">
        <f t="shared" ca="1" si="10"/>
        <v/>
      </c>
      <c r="E269" s="3"/>
      <c r="F269" s="3"/>
      <c r="G269" s="3"/>
      <c r="H269" s="3"/>
      <c r="K269" t="str">
        <f t="shared" ca="1" si="11"/>
        <v/>
      </c>
    </row>
    <row r="270" spans="1:11">
      <c r="A270" s="23" t="e">
        <f>IF(Sheet2!#REF!&lt;&gt;"",Sheet2!#REF!,"")</f>
        <v>#REF!</v>
      </c>
      <c r="B270" s="33" t="e">
        <f>IF(Sheet2!#REF!&lt;&gt;"",Sheet2!#REF!,"")</f>
        <v>#REF!</v>
      </c>
      <c r="C270" s="34" t="e">
        <f>IF(Sheet2!#REF!&lt;&gt;"",Sheet2!#REF!,"")</f>
        <v>#REF!</v>
      </c>
      <c r="D270" s="35" t="str">
        <f t="shared" ca="1" si="10"/>
        <v/>
      </c>
      <c r="E270" s="3"/>
      <c r="F270" s="3"/>
      <c r="G270" s="3"/>
      <c r="H270" s="3"/>
      <c r="K270" t="str">
        <f t="shared" ca="1" si="11"/>
        <v/>
      </c>
    </row>
    <row r="271" spans="1:11">
      <c r="A271" s="23" t="e">
        <f>IF(Sheet2!#REF!&lt;&gt;"",Sheet2!#REF!,"")</f>
        <v>#REF!</v>
      </c>
      <c r="B271" s="33" t="e">
        <f>IF(Sheet2!#REF!&lt;&gt;"",Sheet2!#REF!,"")</f>
        <v>#REF!</v>
      </c>
      <c r="C271" s="34" t="e">
        <f>IF(Sheet2!#REF!&lt;&gt;"",Sheet2!#REF!,"")</f>
        <v>#REF!</v>
      </c>
      <c r="D271" s="35" t="str">
        <f t="shared" ca="1" si="10"/>
        <v/>
      </c>
      <c r="G271" s="3"/>
      <c r="H271" s="3"/>
      <c r="K271" t="str">
        <f t="shared" ca="1" si="11"/>
        <v/>
      </c>
    </row>
    <row r="272" spans="1:11">
      <c r="A272" s="23" t="e">
        <f>IF(Sheet2!#REF!&lt;&gt;"",Sheet2!#REF!,"")</f>
        <v>#REF!</v>
      </c>
      <c r="B272" s="33" t="e">
        <f>IF(Sheet2!#REF!&lt;&gt;"",Sheet2!#REF!,"")</f>
        <v>#REF!</v>
      </c>
      <c r="C272" s="34" t="e">
        <f>IF(Sheet2!#REF!&lt;&gt;"",Sheet2!#REF!,"")</f>
        <v>#REF!</v>
      </c>
      <c r="D272" s="35" t="str">
        <f t="shared" ca="1" si="10"/>
        <v/>
      </c>
      <c r="E272" s="3"/>
      <c r="F272" s="3"/>
      <c r="G272" s="3"/>
      <c r="H272" s="3"/>
      <c r="K272" t="str">
        <f t="shared" ca="1" si="11"/>
        <v/>
      </c>
    </row>
    <row r="273" spans="1:11">
      <c r="A273" s="23" t="e">
        <f>IF(Sheet2!#REF!&lt;&gt;"",Sheet2!#REF!,"")</f>
        <v>#REF!</v>
      </c>
      <c r="B273" s="33" t="e">
        <f>IF(Sheet2!#REF!&lt;&gt;"",Sheet2!#REF!,"")</f>
        <v>#REF!</v>
      </c>
      <c r="C273" s="34" t="e">
        <f>IF(Sheet2!#REF!&lt;&gt;"",Sheet2!#REF!,"")</f>
        <v>#REF!</v>
      </c>
      <c r="D273" s="35" t="str">
        <f t="shared" ca="1" si="10"/>
        <v/>
      </c>
      <c r="E273" s="3"/>
      <c r="F273" s="3"/>
      <c r="G273" s="3"/>
      <c r="H273" s="3"/>
      <c r="K273" t="str">
        <f t="shared" ca="1" si="11"/>
        <v/>
      </c>
    </row>
    <row r="274" spans="1:11">
      <c r="A274" s="23" t="e">
        <f>IF(Sheet2!#REF!&lt;&gt;"",Sheet2!#REF!,"")</f>
        <v>#REF!</v>
      </c>
      <c r="B274" s="33" t="e">
        <f>IF(Sheet2!#REF!&lt;&gt;"",Sheet2!#REF!,"")</f>
        <v>#REF!</v>
      </c>
      <c r="C274" s="34" t="e">
        <f>IF(Sheet2!#REF!&lt;&gt;"",Sheet2!#REF!,"")</f>
        <v>#REF!</v>
      </c>
      <c r="D274" s="35" t="str">
        <f t="shared" ca="1" si="10"/>
        <v/>
      </c>
      <c r="E274" s="3"/>
      <c r="F274" s="3"/>
      <c r="G274" s="3"/>
      <c r="H274" s="3"/>
      <c r="K274" t="str">
        <f t="shared" ca="1" si="11"/>
        <v/>
      </c>
    </row>
    <row r="275" spans="1:11">
      <c r="A275" s="23" t="e">
        <f>IF(Sheet2!#REF!&lt;&gt;"",Sheet2!#REF!,"")</f>
        <v>#REF!</v>
      </c>
      <c r="B275" s="33" t="e">
        <f>IF(Sheet2!#REF!&lt;&gt;"",Sheet2!#REF!,"")</f>
        <v>#REF!</v>
      </c>
      <c r="C275" s="34" t="e">
        <f>IF(Sheet2!#REF!&lt;&gt;"",Sheet2!#REF!,"")</f>
        <v>#REF!</v>
      </c>
      <c r="D275" s="35" t="str">
        <f t="shared" ca="1" si="10"/>
        <v/>
      </c>
      <c r="E275" s="3"/>
      <c r="F275" s="3"/>
      <c r="G275" s="3"/>
      <c r="H275" s="3"/>
      <c r="K275" t="str">
        <f t="shared" ca="1" si="11"/>
        <v/>
      </c>
    </row>
    <row r="276" spans="1:11">
      <c r="A276" s="23" t="e">
        <f>IF(Sheet2!#REF!&lt;&gt;"",Sheet2!#REF!,"")</f>
        <v>#REF!</v>
      </c>
      <c r="B276" s="33" t="e">
        <f>IF(Sheet2!#REF!&lt;&gt;"",Sheet2!#REF!,"")</f>
        <v>#REF!</v>
      </c>
      <c r="C276" s="34" t="e">
        <f>IF(Sheet2!#REF!&lt;&gt;"",Sheet2!#REF!,"")</f>
        <v>#REF!</v>
      </c>
      <c r="D276" s="35" t="str">
        <f t="shared" ca="1" si="10"/>
        <v/>
      </c>
      <c r="E276" s="3"/>
      <c r="F276" s="3"/>
      <c r="G276" s="3"/>
      <c r="H276" s="3"/>
      <c r="K276" t="str">
        <f t="shared" ca="1" si="11"/>
        <v/>
      </c>
    </row>
    <row r="277" spans="1:11">
      <c r="A277" s="23" t="e">
        <f>IF(Sheet2!#REF!&lt;&gt;"",Sheet2!#REF!,"")</f>
        <v>#REF!</v>
      </c>
      <c r="B277" s="33" t="e">
        <f>IF(Sheet2!#REF!&lt;&gt;"",Sheet2!#REF!,"")</f>
        <v>#REF!</v>
      </c>
      <c r="C277" s="34" t="e">
        <f>IF(Sheet2!#REF!&lt;&gt;"",Sheet2!#REF!,"")</f>
        <v>#REF!</v>
      </c>
      <c r="D277" s="35" t="str">
        <f t="shared" ca="1" si="10"/>
        <v/>
      </c>
      <c r="E277" s="3"/>
      <c r="F277" s="3"/>
      <c r="G277" s="3"/>
      <c r="H277" s="3"/>
      <c r="K277" t="str">
        <f t="shared" ca="1" si="11"/>
        <v/>
      </c>
    </row>
    <row r="278" spans="1:11">
      <c r="A278" s="23" t="e">
        <f>IF(Sheet2!#REF!&lt;&gt;"",Sheet2!#REF!,"")</f>
        <v>#REF!</v>
      </c>
      <c r="B278" s="33" t="e">
        <f>IF(Sheet2!#REF!&lt;&gt;"",Sheet2!#REF!,"")</f>
        <v>#REF!</v>
      </c>
      <c r="C278" s="34" t="e">
        <f>IF(Sheet2!#REF!&lt;&gt;"",Sheet2!#REF!,"")</f>
        <v>#REF!</v>
      </c>
      <c r="D278" s="35" t="str">
        <f t="shared" ca="1" si="10"/>
        <v/>
      </c>
      <c r="E278" s="3"/>
      <c r="F278" s="3"/>
      <c r="G278" s="3"/>
      <c r="H278" s="3"/>
      <c r="K278" t="str">
        <f t="shared" ca="1" si="11"/>
        <v/>
      </c>
    </row>
    <row r="279" spans="1:11">
      <c r="A279" s="23" t="e">
        <f>IF(Sheet2!#REF!&lt;&gt;"",Sheet2!#REF!,"")</f>
        <v>#REF!</v>
      </c>
      <c r="B279" s="33" t="e">
        <f>IF(Sheet2!#REF!&lt;&gt;"",Sheet2!#REF!,"")</f>
        <v>#REF!</v>
      </c>
      <c r="C279" s="34" t="e">
        <f>IF(Sheet2!#REF!&lt;&gt;"",Sheet2!#REF!,"")</f>
        <v>#REF!</v>
      </c>
      <c r="D279" s="35" t="str">
        <f t="shared" ca="1" si="10"/>
        <v/>
      </c>
      <c r="E279" s="3"/>
      <c r="F279" s="3"/>
      <c r="G279" s="3"/>
      <c r="H279" s="3"/>
      <c r="K279" t="str">
        <f t="shared" ca="1" si="11"/>
        <v/>
      </c>
    </row>
    <row r="280" spans="1:11">
      <c r="A280" s="23" t="e">
        <f>IF(Sheet2!#REF!&lt;&gt;"",Sheet2!#REF!,"")</f>
        <v>#REF!</v>
      </c>
      <c r="B280" s="33" t="e">
        <f>IF(Sheet2!#REF!&lt;&gt;"",Sheet2!#REF!,"")</f>
        <v>#REF!</v>
      </c>
      <c r="C280" s="34" t="e">
        <f>IF(Sheet2!#REF!&lt;&gt;"",Sheet2!#REF!,"")</f>
        <v>#REF!</v>
      </c>
      <c r="D280" s="35" t="str">
        <f t="shared" ca="1" si="10"/>
        <v/>
      </c>
      <c r="E280" s="3"/>
      <c r="F280" s="3"/>
      <c r="G280" s="3"/>
      <c r="H280" s="3"/>
      <c r="K280" t="str">
        <f t="shared" ca="1" si="11"/>
        <v/>
      </c>
    </row>
    <row r="281" spans="1:11">
      <c r="A281" s="23" t="e">
        <f>IF(Sheet2!#REF!&lt;&gt;"",Sheet2!#REF!,"")</f>
        <v>#REF!</v>
      </c>
      <c r="B281" s="33" t="e">
        <f>IF(Sheet2!#REF!&lt;&gt;"",Sheet2!#REF!,"")</f>
        <v>#REF!</v>
      </c>
      <c r="C281" s="34" t="e">
        <f>IF(Sheet2!#REF!&lt;&gt;"",Sheet2!#REF!,"")</f>
        <v>#REF!</v>
      </c>
      <c r="D281" s="35" t="str">
        <f t="shared" ca="1" si="10"/>
        <v/>
      </c>
      <c r="E281" s="3"/>
      <c r="F281" s="3"/>
      <c r="G281" s="3"/>
      <c r="H281" s="3"/>
      <c r="K281" t="str">
        <f t="shared" ca="1" si="11"/>
        <v/>
      </c>
    </row>
    <row r="282" spans="1:11">
      <c r="A282" s="23" t="e">
        <f>IF(Sheet2!#REF!&lt;&gt;"",Sheet2!#REF!,"")</f>
        <v>#REF!</v>
      </c>
      <c r="B282" s="33" t="e">
        <f>IF(Sheet2!#REF!&lt;&gt;"",Sheet2!#REF!,"")</f>
        <v>#REF!</v>
      </c>
      <c r="C282" s="34" t="e">
        <f>IF(Sheet2!#REF!&lt;&gt;"",Sheet2!#REF!,"")</f>
        <v>#REF!</v>
      </c>
      <c r="D282" s="35" t="str">
        <f t="shared" ca="1" si="10"/>
        <v/>
      </c>
      <c r="E282" s="3"/>
      <c r="F282" s="3"/>
      <c r="G282" s="3"/>
      <c r="H282" s="3"/>
      <c r="K282" t="str">
        <f t="shared" ca="1" si="11"/>
        <v/>
      </c>
    </row>
    <row r="283" spans="1:11">
      <c r="A283" s="23" t="e">
        <f>IF(Sheet2!#REF!&lt;&gt;"",Sheet2!#REF!,"")</f>
        <v>#REF!</v>
      </c>
      <c r="B283" s="33" t="e">
        <f>IF(Sheet2!#REF!&lt;&gt;"",Sheet2!#REF!,"")</f>
        <v>#REF!</v>
      </c>
      <c r="C283" s="34" t="e">
        <f>IF(Sheet2!#REF!&lt;&gt;"",Sheet2!#REF!,"")</f>
        <v>#REF!</v>
      </c>
      <c r="D283" s="35" t="str">
        <f t="shared" ca="1" si="10"/>
        <v/>
      </c>
      <c r="E283" s="3"/>
      <c r="F283" s="3"/>
      <c r="G283" s="3"/>
      <c r="H283" s="3"/>
      <c r="K283" t="str">
        <f t="shared" ca="1" si="11"/>
        <v/>
      </c>
    </row>
    <row r="284" spans="1:11">
      <c r="A284" s="23" t="e">
        <f>IF(Sheet2!#REF!&lt;&gt;"",Sheet2!#REF!,"")</f>
        <v>#REF!</v>
      </c>
      <c r="B284" s="33" t="e">
        <f>IF(Sheet2!#REF!&lt;&gt;"",Sheet2!#REF!,"")</f>
        <v>#REF!</v>
      </c>
      <c r="C284" s="34" t="e">
        <f>IF(Sheet2!#REF!&lt;&gt;"",Sheet2!#REF!,"")</f>
        <v>#REF!</v>
      </c>
      <c r="D284" s="35" t="str">
        <f t="shared" ca="1" si="10"/>
        <v/>
      </c>
      <c r="E284" s="3"/>
      <c r="F284" s="3"/>
      <c r="G284" s="3"/>
      <c r="H284" s="3"/>
      <c r="K284" t="str">
        <f t="shared" ca="1" si="11"/>
        <v/>
      </c>
    </row>
    <row r="285" spans="1:11">
      <c r="A285" s="23" t="e">
        <f>IF(Sheet2!#REF!&lt;&gt;"",Sheet2!#REF!,"")</f>
        <v>#REF!</v>
      </c>
      <c r="B285" s="33" t="e">
        <f>IF(Sheet2!#REF!&lt;&gt;"",Sheet2!#REF!,"")</f>
        <v>#REF!</v>
      </c>
      <c r="C285" s="34" t="e">
        <f>IF(Sheet2!#REF!&lt;&gt;"",Sheet2!#REF!,"")</f>
        <v>#REF!</v>
      </c>
      <c r="D285" s="35" t="str">
        <f t="shared" ca="1" si="10"/>
        <v/>
      </c>
      <c r="E285" s="3"/>
      <c r="F285" s="3"/>
      <c r="G285" s="3"/>
      <c r="H285" s="3"/>
      <c r="K285" t="str">
        <f t="shared" ca="1" si="11"/>
        <v/>
      </c>
    </row>
    <row r="286" spans="1:11">
      <c r="A286" s="23" t="e">
        <f>IF(Sheet2!#REF!&lt;&gt;"",Sheet2!#REF!,"")</f>
        <v>#REF!</v>
      </c>
      <c r="B286" s="33" t="e">
        <f>IF(Sheet2!#REF!&lt;&gt;"",Sheet2!#REF!,"")</f>
        <v>#REF!</v>
      </c>
      <c r="C286" s="34" t="e">
        <f>IF(Sheet2!#REF!&lt;&gt;"",Sheet2!#REF!,"")</f>
        <v>#REF!</v>
      </c>
      <c r="D286" s="35" t="str">
        <f t="shared" ca="1" si="10"/>
        <v/>
      </c>
      <c r="E286" s="3"/>
      <c r="F286" s="3"/>
      <c r="G286" s="3"/>
      <c r="H286" s="3"/>
      <c r="K286" t="str">
        <f t="shared" ca="1" si="11"/>
        <v/>
      </c>
    </row>
    <row r="287" spans="1:11">
      <c r="A287" s="23" t="e">
        <f>IF(Sheet2!#REF!&lt;&gt;"",Sheet2!#REF!,"")</f>
        <v>#REF!</v>
      </c>
      <c r="B287" s="33" t="e">
        <f>IF(Sheet2!#REF!&lt;&gt;"",Sheet2!#REF!,"")</f>
        <v>#REF!</v>
      </c>
      <c r="C287" s="34" t="e">
        <f>IF(Sheet2!#REF!&lt;&gt;"",Sheet2!#REF!,"")</f>
        <v>#REF!</v>
      </c>
      <c r="D287" s="35" t="str">
        <f t="shared" ca="1" si="10"/>
        <v/>
      </c>
      <c r="E287" s="3"/>
      <c r="F287" s="3"/>
      <c r="G287" s="3"/>
      <c r="H287" s="3"/>
      <c r="K287" t="str">
        <f t="shared" ca="1" si="11"/>
        <v/>
      </c>
    </row>
    <row r="288" spans="1:11">
      <c r="A288" s="23" t="e">
        <f>IF(Sheet2!#REF!&lt;&gt;"",Sheet2!#REF!,"")</f>
        <v>#REF!</v>
      </c>
      <c r="B288" s="33" t="e">
        <f>IF(Sheet2!#REF!&lt;&gt;"",Sheet2!#REF!,"")</f>
        <v>#REF!</v>
      </c>
      <c r="C288" s="34" t="e">
        <f>IF(Sheet2!#REF!&lt;&gt;"",Sheet2!#REF!,"")</f>
        <v>#REF!</v>
      </c>
      <c r="D288" s="35" t="str">
        <f t="shared" ca="1" si="10"/>
        <v/>
      </c>
      <c r="E288" s="3"/>
      <c r="F288" s="3"/>
      <c r="G288" s="3"/>
      <c r="H288" s="3"/>
      <c r="K288" t="str">
        <f t="shared" ca="1" si="11"/>
        <v/>
      </c>
    </row>
    <row r="289" spans="1:11">
      <c r="A289" s="23" t="e">
        <f>IF(Sheet2!#REF!&lt;&gt;"",Sheet2!#REF!,"")</f>
        <v>#REF!</v>
      </c>
      <c r="B289" s="33" t="e">
        <f>IF(Sheet2!#REF!&lt;&gt;"",Sheet2!#REF!,"")</f>
        <v>#REF!</v>
      </c>
      <c r="C289" s="34" t="e">
        <f>IF(Sheet2!#REF!&lt;&gt;"",Sheet2!#REF!,"")</f>
        <v>#REF!</v>
      </c>
      <c r="D289" s="35" t="str">
        <f t="shared" ca="1" si="10"/>
        <v/>
      </c>
      <c r="E289" s="3"/>
      <c r="F289" s="3"/>
      <c r="G289" s="3"/>
      <c r="H289" s="3"/>
      <c r="K289" t="str">
        <f t="shared" ca="1" si="11"/>
        <v/>
      </c>
    </row>
    <row r="290" spans="1:11">
      <c r="A290" s="23" t="e">
        <f>IF(Sheet2!#REF!&lt;&gt;"",Sheet2!#REF!,"")</f>
        <v>#REF!</v>
      </c>
      <c r="B290" s="33" t="e">
        <f>IF(Sheet2!#REF!&lt;&gt;"",Sheet2!#REF!,"")</f>
        <v>#REF!</v>
      </c>
      <c r="C290" s="34" t="e">
        <f>IF(Sheet2!#REF!&lt;&gt;"",Sheet2!#REF!,"")</f>
        <v>#REF!</v>
      </c>
      <c r="D290" s="35" t="str">
        <f t="shared" ca="1" si="10"/>
        <v/>
      </c>
      <c r="E290" s="3"/>
      <c r="F290" s="3"/>
      <c r="G290" s="3"/>
      <c r="H290" s="3"/>
      <c r="K290" t="str">
        <f t="shared" ca="1" si="11"/>
        <v/>
      </c>
    </row>
    <row r="291" spans="1:11">
      <c r="A291" s="23" t="e">
        <f>IF(Sheet2!#REF!&lt;&gt;"",Sheet2!#REF!,"")</f>
        <v>#REF!</v>
      </c>
      <c r="B291" s="33" t="e">
        <f>IF(Sheet2!#REF!&lt;&gt;"",Sheet2!#REF!,"")</f>
        <v>#REF!</v>
      </c>
      <c r="C291" s="34" t="e">
        <f>IF(Sheet2!#REF!&lt;&gt;"",Sheet2!#REF!,"")</f>
        <v>#REF!</v>
      </c>
      <c r="D291" s="35" t="str">
        <f t="shared" ca="1" si="10"/>
        <v/>
      </c>
      <c r="E291" s="3"/>
      <c r="F291" s="3"/>
      <c r="G291" s="3"/>
      <c r="H291" s="3"/>
      <c r="K291" t="str">
        <f t="shared" ca="1" si="11"/>
        <v/>
      </c>
    </row>
    <row r="292" spans="1:11">
      <c r="A292" s="23" t="e">
        <f>IF(Sheet2!#REF!&lt;&gt;"",Sheet2!#REF!,"")</f>
        <v>#REF!</v>
      </c>
      <c r="B292" s="33" t="e">
        <f>IF(Sheet2!#REF!&lt;&gt;"",Sheet2!#REF!,"")</f>
        <v>#REF!</v>
      </c>
      <c r="C292" s="34" t="e">
        <f>IF(Sheet2!#REF!&lt;&gt;"",Sheet2!#REF!,"")</f>
        <v>#REF!</v>
      </c>
      <c r="D292" s="35" t="str">
        <f t="shared" ca="1" si="10"/>
        <v/>
      </c>
      <c r="E292" s="3"/>
      <c r="F292" s="3"/>
      <c r="G292" s="3"/>
      <c r="H292" s="3"/>
      <c r="K292" t="str">
        <f t="shared" ca="1" si="11"/>
        <v/>
      </c>
    </row>
    <row r="293" spans="1:11">
      <c r="A293" s="23" t="e">
        <f>IF(Sheet2!#REF!&lt;&gt;"",Sheet2!#REF!,"")</f>
        <v>#REF!</v>
      </c>
      <c r="B293" s="33" t="e">
        <f>IF(Sheet2!#REF!&lt;&gt;"",Sheet2!#REF!,"")</f>
        <v>#REF!</v>
      </c>
      <c r="C293" s="34" t="e">
        <f>IF(Sheet2!#REF!&lt;&gt;"",Sheet2!#REF!,"")</f>
        <v>#REF!</v>
      </c>
      <c r="D293" s="35" t="str">
        <f t="shared" ca="1" si="10"/>
        <v/>
      </c>
      <c r="E293" s="3"/>
      <c r="F293" s="3"/>
      <c r="G293" s="3"/>
      <c r="H293" s="3"/>
      <c r="K293" t="str">
        <f t="shared" ca="1" si="11"/>
        <v/>
      </c>
    </row>
    <row r="294" spans="1:11">
      <c r="A294" s="23" t="e">
        <f>IF(Sheet2!#REF!&lt;&gt;"",Sheet2!#REF!,"")</f>
        <v>#REF!</v>
      </c>
      <c r="B294" s="33" t="e">
        <f>IF(Sheet2!#REF!&lt;&gt;"",Sheet2!#REF!,"")</f>
        <v>#REF!</v>
      </c>
      <c r="C294" s="34" t="e">
        <f>IF(Sheet2!#REF!&lt;&gt;"",Sheet2!#REF!,"")</f>
        <v>#REF!</v>
      </c>
      <c r="D294" s="35" t="str">
        <f t="shared" ca="1" si="10"/>
        <v/>
      </c>
      <c r="E294" s="3"/>
      <c r="F294" s="3"/>
      <c r="G294" s="3"/>
      <c r="H294" s="3"/>
      <c r="K294" t="str">
        <f t="shared" ca="1" si="11"/>
        <v/>
      </c>
    </row>
    <row r="295" spans="1:11">
      <c r="A295" s="23" t="e">
        <f>IF(Sheet2!#REF!&lt;&gt;"",Sheet2!#REF!,"")</f>
        <v>#REF!</v>
      </c>
      <c r="B295" s="33" t="e">
        <f>IF(Sheet2!#REF!&lt;&gt;"",Sheet2!#REF!,"")</f>
        <v>#REF!</v>
      </c>
      <c r="C295" s="34" t="e">
        <f>IF(Sheet2!#REF!&lt;&gt;"",Sheet2!#REF!,"")</f>
        <v>#REF!</v>
      </c>
      <c r="D295" s="35" t="str">
        <f t="shared" ca="1" si="10"/>
        <v/>
      </c>
      <c r="E295" s="3"/>
      <c r="F295" s="3"/>
      <c r="G295" s="3"/>
      <c r="H295" s="3"/>
      <c r="K295" t="str">
        <f t="shared" ca="1" si="11"/>
        <v/>
      </c>
    </row>
    <row r="296" spans="1:11">
      <c r="A296" s="23" t="e">
        <f>IF(Sheet2!#REF!&lt;&gt;"",Sheet2!#REF!,"")</f>
        <v>#REF!</v>
      </c>
      <c r="B296" s="33" t="e">
        <f>IF(Sheet2!#REF!&lt;&gt;"",Sheet2!#REF!,"")</f>
        <v>#REF!</v>
      </c>
      <c r="C296" s="34" t="e">
        <f>IF(Sheet2!#REF!&lt;&gt;"",Sheet2!#REF!,"")</f>
        <v>#REF!</v>
      </c>
      <c r="D296" s="35" t="str">
        <f t="shared" ca="1" si="10"/>
        <v/>
      </c>
      <c r="E296" s="3"/>
      <c r="F296" s="3"/>
      <c r="G296" s="3"/>
      <c r="H296" s="3"/>
      <c r="K296" t="str">
        <f t="shared" ca="1" si="11"/>
        <v/>
      </c>
    </row>
    <row r="297" spans="1:11">
      <c r="A297" s="23" t="e">
        <f>IF(Sheet2!#REF!&lt;&gt;"",Sheet2!#REF!,"")</f>
        <v>#REF!</v>
      </c>
      <c r="B297" s="33" t="e">
        <f>IF(Sheet2!#REF!&lt;&gt;"",Sheet2!#REF!,"")</f>
        <v>#REF!</v>
      </c>
      <c r="C297" s="34" t="e">
        <f>IF(Sheet2!#REF!&lt;&gt;"",Sheet2!#REF!,"")</f>
        <v>#REF!</v>
      </c>
      <c r="D297" s="35" t="str">
        <f t="shared" ca="1" si="10"/>
        <v/>
      </c>
      <c r="E297" s="3"/>
      <c r="F297" s="3"/>
      <c r="G297" s="3"/>
      <c r="H297" s="3"/>
      <c r="K297" t="str">
        <f t="shared" ca="1" si="11"/>
        <v/>
      </c>
    </row>
    <row r="298" spans="1:11">
      <c r="A298" s="23" t="e">
        <f>IF(Sheet2!#REF!&lt;&gt;"",Sheet2!#REF!,"")</f>
        <v>#REF!</v>
      </c>
      <c r="B298" s="33" t="e">
        <f>IF(Sheet2!#REF!&lt;&gt;"",Sheet2!#REF!,"")</f>
        <v>#REF!</v>
      </c>
      <c r="C298" s="34" t="e">
        <f>IF(Sheet2!#REF!&lt;&gt;"",Sheet2!#REF!,"")</f>
        <v>#REF!</v>
      </c>
      <c r="D298" s="35" t="str">
        <f t="shared" ca="1" si="10"/>
        <v/>
      </c>
      <c r="E298" s="3"/>
      <c r="F298" s="3"/>
      <c r="G298" s="3"/>
      <c r="H298" s="3"/>
      <c r="K298" t="str">
        <f t="shared" ca="1" si="11"/>
        <v/>
      </c>
    </row>
    <row r="299" spans="1:11">
      <c r="A299" s="23" t="e">
        <f>IF(Sheet2!#REF!&lt;&gt;"",Sheet2!#REF!,"")</f>
        <v>#REF!</v>
      </c>
      <c r="B299" s="33" t="e">
        <f>IF(Sheet2!#REF!&lt;&gt;"",Sheet2!#REF!,"")</f>
        <v>#REF!</v>
      </c>
      <c r="C299" s="34" t="e">
        <f>IF(Sheet2!#REF!&lt;&gt;"",Sheet2!#REF!,"")</f>
        <v>#REF!</v>
      </c>
      <c r="D299" s="35" t="str">
        <f t="shared" ca="1" si="10"/>
        <v/>
      </c>
      <c r="E299" s="3"/>
      <c r="F299" s="3"/>
      <c r="G299" s="3"/>
      <c r="H299" s="3"/>
      <c r="K299" t="str">
        <f t="shared" ca="1" si="11"/>
        <v/>
      </c>
    </row>
    <row r="300" spans="1:11">
      <c r="A300" s="23" t="e">
        <f>IF(Sheet2!#REF!&lt;&gt;"",Sheet2!#REF!,"")</f>
        <v>#REF!</v>
      </c>
      <c r="B300" s="33" t="e">
        <f>IF(Sheet2!#REF!&lt;&gt;"",Sheet2!#REF!,"")</f>
        <v>#REF!</v>
      </c>
      <c r="C300" s="34" t="e">
        <f>IF(Sheet2!#REF!&lt;&gt;"",Sheet2!#REF!,"")</f>
        <v>#REF!</v>
      </c>
      <c r="D300" s="35" t="str">
        <f t="shared" ca="1" si="10"/>
        <v/>
      </c>
      <c r="E300" s="3"/>
      <c r="F300" s="3"/>
      <c r="G300" s="3"/>
      <c r="H300" s="3"/>
      <c r="K300" t="str">
        <f t="shared" ca="1" si="11"/>
        <v/>
      </c>
    </row>
    <row r="301" spans="1:11">
      <c r="A301" s="23" t="e">
        <f>IF(Sheet2!#REF!&lt;&gt;"",Sheet2!#REF!,"")</f>
        <v>#REF!</v>
      </c>
      <c r="B301" s="33" t="e">
        <f>IF(Sheet2!#REF!&lt;&gt;"",Sheet2!#REF!,"")</f>
        <v>#REF!</v>
      </c>
      <c r="C301" s="34" t="e">
        <f>IF(Sheet2!#REF!&lt;&gt;"",Sheet2!#REF!,"")</f>
        <v>#REF!</v>
      </c>
      <c r="D301" s="35" t="str">
        <f t="shared" ca="1" si="10"/>
        <v/>
      </c>
      <c r="E301" s="3"/>
      <c r="F301" s="3"/>
      <c r="G301" s="3"/>
      <c r="H301" s="3"/>
      <c r="K301" t="str">
        <f t="shared" ca="1" si="11"/>
        <v/>
      </c>
    </row>
    <row r="302" spans="1:11">
      <c r="A302" s="23" t="e">
        <f>IF(Sheet2!#REF!&lt;&gt;"",Sheet2!#REF!,"")</f>
        <v>#REF!</v>
      </c>
      <c r="B302" s="33" t="e">
        <f>IF(Sheet2!#REF!&lt;&gt;"",Sheet2!#REF!,"")</f>
        <v>#REF!</v>
      </c>
      <c r="C302" s="34" t="e">
        <f>IF(Sheet2!#REF!&lt;&gt;"",Sheet2!#REF!,"")</f>
        <v>#REF!</v>
      </c>
      <c r="D302" s="35" t="str">
        <f t="shared" ca="1" si="10"/>
        <v/>
      </c>
      <c r="E302" s="3"/>
      <c r="F302" s="3"/>
      <c r="G302" s="3"/>
      <c r="H302" s="3"/>
      <c r="K302" t="str">
        <f t="shared" ca="1" si="11"/>
        <v/>
      </c>
    </row>
    <row r="303" spans="1:11">
      <c r="A303" s="23" t="e">
        <f>IF(Sheet2!#REF!&lt;&gt;"",Sheet2!#REF!,"")</f>
        <v>#REF!</v>
      </c>
      <c r="B303" s="33" t="e">
        <f>IF(Sheet2!#REF!&lt;&gt;"",Sheet2!#REF!,"")</f>
        <v>#REF!</v>
      </c>
      <c r="C303" s="34" t="e">
        <f>IF(Sheet2!#REF!&lt;&gt;"",Sheet2!#REF!,"")</f>
        <v>#REF!</v>
      </c>
      <c r="D303" s="35" t="str">
        <f t="shared" ca="1" si="10"/>
        <v/>
      </c>
      <c r="E303" s="3"/>
      <c r="F303" s="3"/>
      <c r="G303" s="3"/>
      <c r="H303" s="3"/>
      <c r="K303" t="str">
        <f t="shared" ca="1" si="11"/>
        <v/>
      </c>
    </row>
    <row r="304" spans="1:11">
      <c r="A304" s="23" t="e">
        <f>IF(Sheet2!#REF!&lt;&gt;"",Sheet2!#REF!,"")</f>
        <v>#REF!</v>
      </c>
      <c r="B304" s="33" t="e">
        <f>IF(Sheet2!#REF!&lt;&gt;"",Sheet2!#REF!,"")</f>
        <v>#REF!</v>
      </c>
      <c r="C304" s="34" t="e">
        <f>IF(Sheet2!#REF!&lt;&gt;"",Sheet2!#REF!,"")</f>
        <v>#REF!</v>
      </c>
      <c r="D304" s="35" t="str">
        <f t="shared" ca="1" si="10"/>
        <v/>
      </c>
      <c r="E304" s="3"/>
      <c r="F304" s="3"/>
      <c r="G304" s="3"/>
      <c r="H304" s="3"/>
      <c r="K304" t="str">
        <f t="shared" ca="1" si="11"/>
        <v/>
      </c>
    </row>
    <row r="305" spans="1:11">
      <c r="A305" s="23" t="e">
        <f>IF(Sheet2!#REF!&lt;&gt;"",Sheet2!#REF!,"")</f>
        <v>#REF!</v>
      </c>
      <c r="B305" s="33" t="e">
        <f>IF(Sheet2!#REF!&lt;&gt;"",Sheet2!#REF!,"")</f>
        <v>#REF!</v>
      </c>
      <c r="C305" s="34" t="e">
        <f>IF(Sheet2!#REF!&lt;&gt;"",Sheet2!#REF!,"")</f>
        <v>#REF!</v>
      </c>
      <c r="D305" s="35" t="str">
        <f t="shared" ca="1" si="10"/>
        <v/>
      </c>
      <c r="E305" s="3"/>
      <c r="F305" s="3"/>
      <c r="G305" s="3"/>
      <c r="H305" s="3"/>
      <c r="K305" t="str">
        <f t="shared" ca="1" si="11"/>
        <v/>
      </c>
    </row>
    <row r="306" spans="1:11">
      <c r="A306" s="23" t="e">
        <f>IF(Sheet2!#REF!&lt;&gt;"",Sheet2!#REF!,"")</f>
        <v>#REF!</v>
      </c>
      <c r="B306" s="33" t="e">
        <f>IF(Sheet2!#REF!&lt;&gt;"",Sheet2!#REF!,"")</f>
        <v>#REF!</v>
      </c>
      <c r="C306" s="34" t="e">
        <f>IF(Sheet2!#REF!&lt;&gt;"",Sheet2!#REF!,"")</f>
        <v>#REF!</v>
      </c>
      <c r="D306" s="35" t="str">
        <f t="shared" ca="1" si="10"/>
        <v/>
      </c>
      <c r="E306" s="3"/>
      <c r="F306" s="3"/>
      <c r="G306" s="3"/>
      <c r="H306" s="3"/>
      <c r="K306" t="str">
        <f t="shared" ca="1" si="11"/>
        <v/>
      </c>
    </row>
    <row r="307" spans="1:11">
      <c r="A307" s="23" t="e">
        <f>IF(Sheet2!#REF!&lt;&gt;"",Sheet2!#REF!,"")</f>
        <v>#REF!</v>
      </c>
      <c r="B307" s="33" t="e">
        <f>IF(Sheet2!#REF!&lt;&gt;"",Sheet2!#REF!,"")</f>
        <v>#REF!</v>
      </c>
      <c r="C307" s="34" t="e">
        <f>IF(Sheet2!#REF!&lt;&gt;"",Sheet2!#REF!,"")</f>
        <v>#REF!</v>
      </c>
      <c r="D307" s="35" t="str">
        <f t="shared" ca="1" si="10"/>
        <v/>
      </c>
      <c r="E307" s="3"/>
      <c r="F307" s="3"/>
      <c r="G307" s="3"/>
      <c r="H307" s="3"/>
      <c r="K307" t="str">
        <f t="shared" ca="1" si="11"/>
        <v/>
      </c>
    </row>
    <row r="308" spans="1:11">
      <c r="A308" s="23" t="e">
        <f>IF(Sheet2!#REF!&lt;&gt;"",Sheet2!#REF!,"")</f>
        <v>#REF!</v>
      </c>
      <c r="B308" s="33" t="e">
        <f>IF(Sheet2!#REF!&lt;&gt;"",Sheet2!#REF!,"")</f>
        <v>#REF!</v>
      </c>
      <c r="C308" s="34" t="e">
        <f>IF(Sheet2!#REF!&lt;&gt;"",Sheet2!#REF!,"")</f>
        <v>#REF!</v>
      </c>
      <c r="D308" s="35" t="str">
        <f t="shared" ca="1" si="10"/>
        <v/>
      </c>
      <c r="E308" s="3"/>
      <c r="F308" s="3"/>
      <c r="G308" s="3"/>
      <c r="H308" s="3"/>
      <c r="K308" t="str">
        <f t="shared" ca="1" si="11"/>
        <v/>
      </c>
    </row>
    <row r="309" spans="1:11">
      <c r="A309" s="23" t="e">
        <f>IF(Sheet2!#REF!&lt;&gt;"",Sheet2!#REF!,"")</f>
        <v>#REF!</v>
      </c>
      <c r="B309" s="33" t="e">
        <f>IF(Sheet2!#REF!&lt;&gt;"",Sheet2!#REF!,"")</f>
        <v>#REF!</v>
      </c>
      <c r="C309" s="34" t="e">
        <f>IF(Sheet2!#REF!&lt;&gt;"",Sheet2!#REF!,"")</f>
        <v>#REF!</v>
      </c>
      <c r="D309" s="35" t="str">
        <f t="shared" ca="1" si="10"/>
        <v/>
      </c>
      <c r="E309" s="3"/>
      <c r="F309" s="3"/>
      <c r="G309" s="3"/>
      <c r="H309" s="3"/>
      <c r="K309" t="str">
        <f t="shared" ca="1" si="11"/>
        <v/>
      </c>
    </row>
    <row r="310" spans="1:11">
      <c r="A310" s="23" t="e">
        <f>IF(Sheet2!#REF!&lt;&gt;"",Sheet2!#REF!,"")</f>
        <v>#REF!</v>
      </c>
      <c r="B310" s="33" t="e">
        <f>IF(Sheet2!#REF!&lt;&gt;"",Sheet2!#REF!,"")</f>
        <v>#REF!</v>
      </c>
      <c r="C310" s="34" t="e">
        <f>IF(Sheet2!#REF!&lt;&gt;"",Sheet2!#REF!,"")</f>
        <v>#REF!</v>
      </c>
      <c r="D310" s="35" t="str">
        <f t="shared" ca="1" si="10"/>
        <v/>
      </c>
      <c r="E310" s="3"/>
      <c r="F310" s="3"/>
      <c r="G310" s="3"/>
      <c r="H310" s="3"/>
      <c r="K310" t="str">
        <f t="shared" ca="1" si="11"/>
        <v/>
      </c>
    </row>
    <row r="311" spans="1:11">
      <c r="A311" s="23" t="e">
        <f>IF(Sheet2!#REF!&lt;&gt;"",Sheet2!#REF!,"")</f>
        <v>#REF!</v>
      </c>
      <c r="B311" s="33" t="e">
        <f>IF(Sheet2!#REF!&lt;&gt;"",Sheet2!#REF!,"")</f>
        <v>#REF!</v>
      </c>
      <c r="C311" s="34" t="e">
        <f>IF(Sheet2!#REF!&lt;&gt;"",Sheet2!#REF!,"")</f>
        <v>#REF!</v>
      </c>
      <c r="D311" s="35" t="str">
        <f t="shared" ca="1" si="10"/>
        <v/>
      </c>
      <c r="E311" s="3"/>
      <c r="F311" s="3"/>
      <c r="G311" s="3"/>
      <c r="H311" s="3"/>
      <c r="K311" t="str">
        <f t="shared" ca="1" si="11"/>
        <v/>
      </c>
    </row>
    <row r="312" spans="1:11">
      <c r="A312" s="23" t="e">
        <f>IF(Sheet2!#REF!&lt;&gt;"",Sheet2!#REF!,"")</f>
        <v>#REF!</v>
      </c>
      <c r="B312" s="33" t="e">
        <f>IF(Sheet2!#REF!&lt;&gt;"",Sheet2!#REF!,"")</f>
        <v>#REF!</v>
      </c>
      <c r="C312" s="34" t="e">
        <f>IF(Sheet2!#REF!&lt;&gt;"",Sheet2!#REF!,"")</f>
        <v>#REF!</v>
      </c>
      <c r="D312" s="35" t="str">
        <f t="shared" ca="1" si="10"/>
        <v/>
      </c>
      <c r="E312" s="3"/>
      <c r="F312" s="3"/>
      <c r="G312" s="3"/>
      <c r="H312" s="3"/>
      <c r="K312" t="str">
        <f t="shared" ca="1" si="11"/>
        <v/>
      </c>
    </row>
    <row r="313" spans="1:11">
      <c r="A313" s="23" t="e">
        <f>IF(Sheet2!#REF!&lt;&gt;"",Sheet2!#REF!,"")</f>
        <v>#REF!</v>
      </c>
      <c r="B313" s="33" t="e">
        <f>IF(Sheet2!#REF!&lt;&gt;"",Sheet2!#REF!,"")</f>
        <v>#REF!</v>
      </c>
      <c r="C313" s="34" t="e">
        <f>IF(Sheet2!#REF!&lt;&gt;"",Sheet2!#REF!,"")</f>
        <v>#REF!</v>
      </c>
      <c r="D313" s="35" t="str">
        <f t="shared" ca="1" si="10"/>
        <v/>
      </c>
      <c r="E313" s="3"/>
      <c r="F313" s="3"/>
      <c r="G313" s="3"/>
      <c r="H313" s="3"/>
      <c r="K313" t="str">
        <f t="shared" ca="1" si="11"/>
        <v/>
      </c>
    </row>
    <row r="314" spans="1:11">
      <c r="A314" s="23" t="e">
        <f>IF(Sheet2!#REF!&lt;&gt;"",Sheet2!#REF!,"")</f>
        <v>#REF!</v>
      </c>
      <c r="B314" s="33" t="e">
        <f>IF(Sheet2!#REF!&lt;&gt;"",Sheet2!#REF!,"")</f>
        <v>#REF!</v>
      </c>
      <c r="C314" s="34" t="e">
        <f>IF(Sheet2!#REF!&lt;&gt;"",Sheet2!#REF!,"")</f>
        <v>#REF!</v>
      </c>
      <c r="D314" s="35" t="str">
        <f t="shared" ca="1" si="10"/>
        <v/>
      </c>
      <c r="E314" s="3"/>
      <c r="F314" s="3"/>
      <c r="G314" s="3"/>
      <c r="H314" s="3"/>
      <c r="K314" t="str">
        <f t="shared" ca="1" si="11"/>
        <v/>
      </c>
    </row>
    <row r="315" spans="1:11">
      <c r="A315" s="23" t="e">
        <f>IF(Sheet2!#REF!&lt;&gt;"",Sheet2!#REF!,"")</f>
        <v>#REF!</v>
      </c>
      <c r="B315" s="33" t="e">
        <f>IF(Sheet2!#REF!&lt;&gt;"",Sheet2!#REF!,"")</f>
        <v>#REF!</v>
      </c>
      <c r="C315" s="34" t="e">
        <f>IF(Sheet2!#REF!&lt;&gt;"",Sheet2!#REF!,"")</f>
        <v>#REF!</v>
      </c>
      <c r="D315" s="35" t="str">
        <f t="shared" ca="1" si="10"/>
        <v/>
      </c>
      <c r="E315" s="3"/>
      <c r="F315" s="3"/>
      <c r="G315" s="3"/>
      <c r="H315" s="3"/>
      <c r="K315" t="str">
        <f t="shared" ca="1" si="11"/>
        <v/>
      </c>
    </row>
    <row r="316" spans="1:11">
      <c r="A316" s="23" t="e">
        <f>IF(Sheet2!#REF!&lt;&gt;"",Sheet2!#REF!,"")</f>
        <v>#REF!</v>
      </c>
      <c r="B316" s="33" t="e">
        <f>IF(Sheet2!#REF!&lt;&gt;"",Sheet2!#REF!,"")</f>
        <v>#REF!</v>
      </c>
      <c r="C316" s="34" t="e">
        <f>IF(Sheet2!#REF!&lt;&gt;"",Sheet2!#REF!,"")</f>
        <v>#REF!</v>
      </c>
      <c r="D316" s="35" t="str">
        <f t="shared" ca="1" si="10"/>
        <v/>
      </c>
      <c r="E316" s="3"/>
      <c r="F316" s="3"/>
      <c r="G316" s="3"/>
      <c r="H316" s="3"/>
      <c r="K316" t="str">
        <f t="shared" ca="1" si="11"/>
        <v/>
      </c>
    </row>
    <row r="317" spans="1:11">
      <c r="A317" s="23" t="e">
        <f>IF(Sheet2!#REF!&lt;&gt;"",Sheet2!#REF!,"")</f>
        <v>#REF!</v>
      </c>
      <c r="B317" s="33" t="e">
        <f>IF(Sheet2!#REF!&lt;&gt;"",Sheet2!#REF!,"")</f>
        <v>#REF!</v>
      </c>
      <c r="C317" s="34" t="e">
        <f>IF(Sheet2!#REF!&lt;&gt;"",Sheet2!#REF!,"")</f>
        <v>#REF!</v>
      </c>
      <c r="D317" s="35" t="str">
        <f t="shared" ca="1" si="10"/>
        <v/>
      </c>
      <c r="E317" s="3"/>
      <c r="F317" s="3"/>
      <c r="G317" s="3"/>
      <c r="H317" s="3"/>
      <c r="K317" t="str">
        <f t="shared" ca="1" si="11"/>
        <v/>
      </c>
    </row>
    <row r="318" spans="1:11">
      <c r="A318" s="23" t="e">
        <f>IF(Sheet2!#REF!&lt;&gt;"",Sheet2!#REF!,"")</f>
        <v>#REF!</v>
      </c>
      <c r="B318" s="33" t="e">
        <f>IF(Sheet2!#REF!&lt;&gt;"",Sheet2!#REF!,"")</f>
        <v>#REF!</v>
      </c>
      <c r="C318" s="34" t="e">
        <f>IF(Sheet2!#REF!&lt;&gt;"",Sheet2!#REF!,"")</f>
        <v>#REF!</v>
      </c>
      <c r="D318" s="35" t="str">
        <f t="shared" ca="1" si="10"/>
        <v/>
      </c>
      <c r="E318" s="3"/>
      <c r="F318" s="3"/>
      <c r="G318" s="3"/>
      <c r="H318" s="3"/>
      <c r="K318" t="str">
        <f t="shared" ca="1" si="11"/>
        <v/>
      </c>
    </row>
    <row r="319" spans="1:11">
      <c r="A319" s="23" t="e">
        <f>IF(Sheet2!#REF!&lt;&gt;"",Sheet2!#REF!,"")</f>
        <v>#REF!</v>
      </c>
      <c r="B319" s="33" t="e">
        <f>IF(Sheet2!#REF!&lt;&gt;"",Sheet2!#REF!,"")</f>
        <v>#REF!</v>
      </c>
      <c r="C319" s="34" t="e">
        <f>IF(Sheet2!#REF!&lt;&gt;"",Sheet2!#REF!,"")</f>
        <v>#REF!</v>
      </c>
      <c r="D319" s="35" t="str">
        <f t="shared" ca="1" si="10"/>
        <v/>
      </c>
      <c r="E319" s="3"/>
      <c r="F319" s="3"/>
      <c r="G319" s="3"/>
      <c r="H319" s="3"/>
      <c r="K319" t="str">
        <f t="shared" ca="1" si="11"/>
        <v/>
      </c>
    </row>
    <row r="320" spans="1:11">
      <c r="A320" s="23" t="e">
        <f>IF(Sheet2!#REF!&lt;&gt;"",Sheet2!#REF!,"")</f>
        <v>#REF!</v>
      </c>
      <c r="B320" s="33" t="e">
        <f>IF(Sheet2!#REF!&lt;&gt;"",Sheet2!#REF!,"")</f>
        <v>#REF!</v>
      </c>
      <c r="C320" s="34" t="e">
        <f>IF(Sheet2!#REF!&lt;&gt;"",Sheet2!#REF!,"")</f>
        <v>#REF!</v>
      </c>
      <c r="D320" s="35" t="str">
        <f t="shared" ca="1" si="10"/>
        <v/>
      </c>
      <c r="E320" s="3"/>
      <c r="F320" s="3"/>
      <c r="G320" s="3"/>
      <c r="H320" s="3"/>
      <c r="K320" t="str">
        <f t="shared" ca="1" si="11"/>
        <v/>
      </c>
    </row>
    <row r="321" spans="1:11">
      <c r="A321" s="23" t="e">
        <f>IF(Sheet2!#REF!&lt;&gt;"",Sheet2!#REF!,"")</f>
        <v>#REF!</v>
      </c>
      <c r="B321" s="33" t="e">
        <f>IF(Sheet2!#REF!&lt;&gt;"",Sheet2!#REF!,"")</f>
        <v>#REF!</v>
      </c>
      <c r="C321" s="34" t="e">
        <f>IF(Sheet2!#REF!&lt;&gt;"",Sheet2!#REF!,"")</f>
        <v>#REF!</v>
      </c>
      <c r="D321" s="35" t="str">
        <f t="shared" ca="1" si="10"/>
        <v/>
      </c>
      <c r="E321" s="3"/>
      <c r="F321" s="3"/>
      <c r="G321" s="3"/>
      <c r="H321" s="3"/>
      <c r="K321" t="str">
        <f t="shared" ca="1" si="11"/>
        <v/>
      </c>
    </row>
    <row r="322" spans="1:11">
      <c r="A322" s="23" t="e">
        <f>IF(Sheet2!#REF!&lt;&gt;"",Sheet2!#REF!,"")</f>
        <v>#REF!</v>
      </c>
      <c r="B322" s="33" t="e">
        <f>IF(Sheet2!#REF!&lt;&gt;"",Sheet2!#REF!,"")</f>
        <v>#REF!</v>
      </c>
      <c r="C322" s="34" t="e">
        <f>IF(Sheet2!#REF!&lt;&gt;"",Sheet2!#REF!,"")</f>
        <v>#REF!</v>
      </c>
      <c r="D322" s="35" t="str">
        <f t="shared" ca="1" si="10"/>
        <v/>
      </c>
      <c r="E322" s="3"/>
      <c r="F322" s="3"/>
      <c r="G322" s="3"/>
      <c r="H322" s="3"/>
      <c r="K322" t="str">
        <f t="shared" ca="1" si="11"/>
        <v/>
      </c>
    </row>
    <row r="323" spans="1:11">
      <c r="A323" s="23" t="e">
        <f>IF(Sheet2!#REF!&lt;&gt;"",Sheet2!#REF!,"")</f>
        <v>#REF!</v>
      </c>
      <c r="B323" s="33" t="e">
        <f>IF(Sheet2!#REF!&lt;&gt;"",Sheet2!#REF!,"")</f>
        <v>#REF!</v>
      </c>
      <c r="C323" s="34" t="e">
        <f>IF(Sheet2!#REF!&lt;&gt;"",Sheet2!#REF!,"")</f>
        <v>#REF!</v>
      </c>
      <c r="D323" s="35" t="str">
        <f t="shared" ref="D323:D386" ca="1" si="12">IFERROR(IF(AND((C323-TODAY())&lt;15,B323&lt;&gt;""),IF(I323="","Alert",""),""),"")</f>
        <v/>
      </c>
      <c r="E323" s="3"/>
      <c r="F323" s="3"/>
      <c r="G323" s="3"/>
      <c r="H323" s="3"/>
      <c r="K323" t="str">
        <f t="shared" ref="K323:K386" ca="1" si="13">IF(I323&lt;&gt;"",IF(J323="",IF(TODAY()-I323&gt;3,"ALERT",""),""),"")</f>
        <v/>
      </c>
    </row>
    <row r="324" spans="1:11">
      <c r="A324" s="23" t="e">
        <f>IF(Sheet2!#REF!&lt;&gt;"",Sheet2!#REF!,"")</f>
        <v>#REF!</v>
      </c>
      <c r="B324" s="33" t="e">
        <f>IF(Sheet2!#REF!&lt;&gt;"",Sheet2!#REF!,"")</f>
        <v>#REF!</v>
      </c>
      <c r="C324" s="34" t="e">
        <f>IF(Sheet2!#REF!&lt;&gt;"",Sheet2!#REF!,"")</f>
        <v>#REF!</v>
      </c>
      <c r="D324" s="35" t="str">
        <f t="shared" ca="1" si="12"/>
        <v/>
      </c>
      <c r="E324" s="3"/>
      <c r="F324" s="3"/>
      <c r="G324" s="3"/>
      <c r="H324" s="3"/>
      <c r="K324" t="str">
        <f t="shared" ca="1" si="13"/>
        <v/>
      </c>
    </row>
    <row r="325" spans="1:11">
      <c r="A325" s="23" t="e">
        <f>IF(Sheet2!#REF!&lt;&gt;"",Sheet2!#REF!,"")</f>
        <v>#REF!</v>
      </c>
      <c r="B325" s="33" t="e">
        <f>IF(Sheet2!#REF!&lt;&gt;"",Sheet2!#REF!,"")</f>
        <v>#REF!</v>
      </c>
      <c r="C325" s="34" t="e">
        <f>IF(Sheet2!#REF!&lt;&gt;"",Sheet2!#REF!,"")</f>
        <v>#REF!</v>
      </c>
      <c r="D325" s="35" t="str">
        <f t="shared" ca="1" si="12"/>
        <v/>
      </c>
      <c r="E325" s="3"/>
      <c r="F325" s="3"/>
      <c r="G325" s="3"/>
      <c r="H325" s="3"/>
      <c r="K325" t="str">
        <f t="shared" ca="1" si="13"/>
        <v/>
      </c>
    </row>
    <row r="326" spans="1:11">
      <c r="A326" s="23" t="e">
        <f>IF(Sheet2!#REF!&lt;&gt;"",Sheet2!#REF!,"")</f>
        <v>#REF!</v>
      </c>
      <c r="B326" s="33" t="e">
        <f>IF(Sheet2!#REF!&lt;&gt;"",Sheet2!#REF!,"")</f>
        <v>#REF!</v>
      </c>
      <c r="C326" s="34" t="e">
        <f>IF(Sheet2!#REF!&lt;&gt;"",Sheet2!#REF!,"")</f>
        <v>#REF!</v>
      </c>
      <c r="D326" s="35" t="str">
        <f t="shared" ca="1" si="12"/>
        <v/>
      </c>
      <c r="E326" s="3"/>
      <c r="F326" s="3"/>
      <c r="G326" s="3"/>
      <c r="H326" s="3"/>
      <c r="K326" t="str">
        <f t="shared" ca="1" si="13"/>
        <v/>
      </c>
    </row>
    <row r="327" spans="1:11">
      <c r="A327" s="23" t="e">
        <f>IF(Sheet2!#REF!&lt;&gt;"",Sheet2!#REF!,"")</f>
        <v>#REF!</v>
      </c>
      <c r="B327" s="33" t="e">
        <f>IF(Sheet2!#REF!&lt;&gt;"",Sheet2!#REF!,"")</f>
        <v>#REF!</v>
      </c>
      <c r="C327" s="34" t="e">
        <f>IF(Sheet2!#REF!&lt;&gt;"",Sheet2!#REF!,"")</f>
        <v>#REF!</v>
      </c>
      <c r="D327" s="35" t="str">
        <f t="shared" ca="1" si="12"/>
        <v/>
      </c>
      <c r="E327" s="3"/>
      <c r="F327" s="3"/>
      <c r="G327" s="3"/>
      <c r="H327" s="3"/>
      <c r="K327" t="str">
        <f t="shared" ca="1" si="13"/>
        <v/>
      </c>
    </row>
    <row r="328" spans="1:11">
      <c r="A328" s="23" t="e">
        <f>IF(Sheet2!#REF!&lt;&gt;"",Sheet2!#REF!,"")</f>
        <v>#REF!</v>
      </c>
      <c r="B328" s="33" t="e">
        <f>IF(Sheet2!#REF!&lt;&gt;"",Sheet2!#REF!,"")</f>
        <v>#REF!</v>
      </c>
      <c r="C328" s="34" t="e">
        <f>IF(Sheet2!#REF!&lt;&gt;"",Sheet2!#REF!,"")</f>
        <v>#REF!</v>
      </c>
      <c r="D328" s="35" t="str">
        <f t="shared" ca="1" si="12"/>
        <v/>
      </c>
      <c r="E328" s="3"/>
      <c r="F328" s="3"/>
      <c r="G328" s="3"/>
      <c r="H328" s="3"/>
      <c r="K328" t="str">
        <f t="shared" ca="1" si="13"/>
        <v/>
      </c>
    </row>
    <row r="329" spans="1:11">
      <c r="A329" s="23" t="e">
        <f>IF(Sheet2!#REF!&lt;&gt;"",Sheet2!#REF!,"")</f>
        <v>#REF!</v>
      </c>
      <c r="B329" s="33" t="e">
        <f>IF(Sheet2!#REF!&lt;&gt;"",Sheet2!#REF!,"")</f>
        <v>#REF!</v>
      </c>
      <c r="C329" s="34" t="e">
        <f>IF(Sheet2!#REF!&lt;&gt;"",Sheet2!#REF!,"")</f>
        <v>#REF!</v>
      </c>
      <c r="D329" s="35" t="str">
        <f t="shared" ca="1" si="12"/>
        <v/>
      </c>
      <c r="E329" s="3"/>
      <c r="F329" s="3"/>
      <c r="G329" s="3"/>
      <c r="H329" s="3"/>
      <c r="K329" t="str">
        <f t="shared" ca="1" si="13"/>
        <v/>
      </c>
    </row>
    <row r="330" spans="1:11">
      <c r="A330" s="23" t="e">
        <f>IF(Sheet2!#REF!&lt;&gt;"",Sheet2!#REF!,"")</f>
        <v>#REF!</v>
      </c>
      <c r="B330" s="33" t="e">
        <f>IF(Sheet2!#REF!&lt;&gt;"",Sheet2!#REF!,"")</f>
        <v>#REF!</v>
      </c>
      <c r="C330" s="34" t="e">
        <f>IF(Sheet2!#REF!&lt;&gt;"",Sheet2!#REF!,"")</f>
        <v>#REF!</v>
      </c>
      <c r="D330" s="35" t="str">
        <f t="shared" ca="1" si="12"/>
        <v/>
      </c>
      <c r="E330" s="3"/>
      <c r="F330" s="3"/>
      <c r="G330" s="3"/>
      <c r="H330" s="3"/>
      <c r="K330" t="str">
        <f t="shared" ca="1" si="13"/>
        <v/>
      </c>
    </row>
    <row r="331" spans="1:11">
      <c r="A331" s="23" t="e">
        <f>IF(Sheet2!#REF!&lt;&gt;"",Sheet2!#REF!,"")</f>
        <v>#REF!</v>
      </c>
      <c r="B331" s="33" t="e">
        <f>IF(Sheet2!#REF!&lt;&gt;"",Sheet2!#REF!,"")</f>
        <v>#REF!</v>
      </c>
      <c r="C331" s="34" t="e">
        <f>IF(Sheet2!#REF!&lt;&gt;"",Sheet2!#REF!,"")</f>
        <v>#REF!</v>
      </c>
      <c r="D331" s="35" t="str">
        <f t="shared" ca="1" si="12"/>
        <v/>
      </c>
      <c r="E331" s="3"/>
      <c r="F331" s="3"/>
      <c r="G331" s="3"/>
      <c r="H331" s="3"/>
      <c r="K331" t="str">
        <f t="shared" ca="1" si="13"/>
        <v/>
      </c>
    </row>
    <row r="332" spans="1:11">
      <c r="A332" s="23" t="e">
        <f>IF(Sheet2!#REF!&lt;&gt;"",Sheet2!#REF!,"")</f>
        <v>#REF!</v>
      </c>
      <c r="B332" s="33" t="e">
        <f>IF(Sheet2!#REF!&lt;&gt;"",Sheet2!#REF!,"")</f>
        <v>#REF!</v>
      </c>
      <c r="C332" s="34" t="e">
        <f>IF(Sheet2!#REF!&lt;&gt;"",Sheet2!#REF!,"")</f>
        <v>#REF!</v>
      </c>
      <c r="D332" s="35" t="str">
        <f t="shared" ca="1" si="12"/>
        <v/>
      </c>
      <c r="E332" s="3"/>
      <c r="F332" s="3"/>
      <c r="G332" s="3"/>
      <c r="H332" s="3"/>
      <c r="K332" t="str">
        <f t="shared" ca="1" si="13"/>
        <v/>
      </c>
    </row>
    <row r="333" spans="1:11">
      <c r="A333" s="23" t="e">
        <f>IF(Sheet2!#REF!&lt;&gt;"",Sheet2!#REF!,"")</f>
        <v>#REF!</v>
      </c>
      <c r="B333" s="33" t="e">
        <f>IF(Sheet2!#REF!&lt;&gt;"",Sheet2!#REF!,"")</f>
        <v>#REF!</v>
      </c>
      <c r="C333" s="34" t="e">
        <f>IF(Sheet2!#REF!&lt;&gt;"",Sheet2!#REF!,"")</f>
        <v>#REF!</v>
      </c>
      <c r="D333" s="35" t="str">
        <f t="shared" ca="1" si="12"/>
        <v/>
      </c>
      <c r="E333" s="3"/>
      <c r="F333" s="3"/>
      <c r="G333" s="3"/>
      <c r="H333" s="3"/>
      <c r="K333" t="str">
        <f t="shared" ca="1" si="13"/>
        <v/>
      </c>
    </row>
    <row r="334" spans="1:11">
      <c r="A334" s="23" t="e">
        <f>IF(Sheet2!#REF!&lt;&gt;"",Sheet2!#REF!,"")</f>
        <v>#REF!</v>
      </c>
      <c r="B334" s="33" t="e">
        <f>IF(Sheet2!#REF!&lt;&gt;"",Sheet2!#REF!,"")</f>
        <v>#REF!</v>
      </c>
      <c r="C334" s="34" t="e">
        <f>IF(Sheet2!#REF!&lt;&gt;"",Sheet2!#REF!,"")</f>
        <v>#REF!</v>
      </c>
      <c r="D334" s="35" t="str">
        <f t="shared" ca="1" si="12"/>
        <v/>
      </c>
      <c r="E334" s="3"/>
      <c r="F334" s="3"/>
      <c r="G334" s="3"/>
      <c r="H334" s="3"/>
      <c r="K334" t="str">
        <f t="shared" ca="1" si="13"/>
        <v/>
      </c>
    </row>
    <row r="335" spans="1:11">
      <c r="A335" s="23" t="e">
        <f>IF(Sheet2!#REF!&lt;&gt;"",Sheet2!#REF!,"")</f>
        <v>#REF!</v>
      </c>
      <c r="B335" s="33" t="e">
        <f>IF(Sheet2!#REF!&lt;&gt;"",Sheet2!#REF!,"")</f>
        <v>#REF!</v>
      </c>
      <c r="C335" s="34" t="e">
        <f>IF(Sheet2!#REF!&lt;&gt;"",Sheet2!#REF!,"")</f>
        <v>#REF!</v>
      </c>
      <c r="D335" s="35" t="str">
        <f t="shared" ca="1" si="12"/>
        <v/>
      </c>
      <c r="E335" s="3"/>
      <c r="F335" s="3"/>
      <c r="G335" s="3"/>
      <c r="H335" s="3"/>
      <c r="K335" t="str">
        <f t="shared" ca="1" si="13"/>
        <v/>
      </c>
    </row>
    <row r="336" spans="1:11">
      <c r="A336" s="23" t="e">
        <f>IF(Sheet2!#REF!&lt;&gt;"",Sheet2!#REF!,"")</f>
        <v>#REF!</v>
      </c>
      <c r="B336" s="33" t="e">
        <f>IF(Sheet2!#REF!&lt;&gt;"",Sheet2!#REF!,"")</f>
        <v>#REF!</v>
      </c>
      <c r="C336" s="34" t="e">
        <f>IF(Sheet2!#REF!&lt;&gt;"",Sheet2!#REF!,"")</f>
        <v>#REF!</v>
      </c>
      <c r="D336" s="35" t="str">
        <f t="shared" ca="1" si="12"/>
        <v/>
      </c>
      <c r="E336" s="3"/>
      <c r="F336" s="3"/>
      <c r="G336" s="3"/>
      <c r="H336" s="3"/>
      <c r="K336" t="str">
        <f t="shared" ca="1" si="13"/>
        <v/>
      </c>
    </row>
    <row r="337" spans="1:11">
      <c r="A337" s="23" t="e">
        <f>IF(Sheet2!#REF!&lt;&gt;"",Sheet2!#REF!,"")</f>
        <v>#REF!</v>
      </c>
      <c r="B337" s="33" t="e">
        <f>IF(Sheet2!#REF!&lt;&gt;"",Sheet2!#REF!,"")</f>
        <v>#REF!</v>
      </c>
      <c r="C337" s="34" t="e">
        <f>IF(Sheet2!#REF!&lt;&gt;"",Sheet2!#REF!,"")</f>
        <v>#REF!</v>
      </c>
      <c r="D337" s="35" t="str">
        <f t="shared" ca="1" si="12"/>
        <v/>
      </c>
      <c r="E337" s="3"/>
      <c r="F337" s="3"/>
      <c r="G337" s="3"/>
      <c r="H337" s="3"/>
      <c r="K337" t="str">
        <f t="shared" ca="1" si="13"/>
        <v/>
      </c>
    </row>
    <row r="338" spans="1:11">
      <c r="A338" s="23" t="e">
        <f>IF(Sheet2!#REF!&lt;&gt;"",Sheet2!#REF!,"")</f>
        <v>#REF!</v>
      </c>
      <c r="B338" s="33" t="e">
        <f>IF(Sheet2!#REF!&lt;&gt;"",Sheet2!#REF!,"")</f>
        <v>#REF!</v>
      </c>
      <c r="C338" s="34" t="e">
        <f>IF(Sheet2!#REF!&lt;&gt;"",Sheet2!#REF!,"")</f>
        <v>#REF!</v>
      </c>
      <c r="D338" s="35" t="str">
        <f t="shared" ca="1" si="12"/>
        <v/>
      </c>
      <c r="E338" s="3"/>
      <c r="F338" s="3"/>
      <c r="G338" s="3"/>
      <c r="H338" s="3"/>
      <c r="K338" t="str">
        <f t="shared" ca="1" si="13"/>
        <v/>
      </c>
    </row>
    <row r="339" spans="1:11">
      <c r="A339" s="23" t="e">
        <f>IF(Sheet2!#REF!&lt;&gt;"",Sheet2!#REF!,"")</f>
        <v>#REF!</v>
      </c>
      <c r="B339" s="33" t="e">
        <f>IF(Sheet2!#REF!&lt;&gt;"",Sheet2!#REF!,"")</f>
        <v>#REF!</v>
      </c>
      <c r="C339" s="34" t="e">
        <f>IF(Sheet2!#REF!&lt;&gt;"",Sheet2!#REF!,"")</f>
        <v>#REF!</v>
      </c>
      <c r="D339" s="35" t="str">
        <f t="shared" ca="1" si="12"/>
        <v/>
      </c>
      <c r="E339" s="3"/>
      <c r="F339" s="3"/>
      <c r="G339" s="3"/>
      <c r="H339" s="3"/>
      <c r="K339" t="str">
        <f t="shared" ca="1" si="13"/>
        <v/>
      </c>
    </row>
    <row r="340" spans="1:11">
      <c r="A340" s="23" t="e">
        <f>IF(Sheet2!#REF!&lt;&gt;"",Sheet2!#REF!,"")</f>
        <v>#REF!</v>
      </c>
      <c r="B340" s="33" t="e">
        <f>IF(Sheet2!#REF!&lt;&gt;"",Sheet2!#REF!,"")</f>
        <v>#REF!</v>
      </c>
      <c r="C340" s="34" t="e">
        <f>IF(Sheet2!#REF!&lt;&gt;"",Sheet2!#REF!,"")</f>
        <v>#REF!</v>
      </c>
      <c r="D340" s="35" t="str">
        <f t="shared" ca="1" si="12"/>
        <v/>
      </c>
      <c r="E340" s="3"/>
      <c r="F340" s="3"/>
      <c r="G340" s="3"/>
      <c r="H340" s="3"/>
      <c r="K340" t="str">
        <f t="shared" ca="1" si="13"/>
        <v/>
      </c>
    </row>
    <row r="341" spans="1:11">
      <c r="A341" s="23" t="e">
        <f>IF(Sheet2!#REF!&lt;&gt;"",Sheet2!#REF!,"")</f>
        <v>#REF!</v>
      </c>
      <c r="B341" s="33" t="e">
        <f>IF(Sheet2!#REF!&lt;&gt;"",Sheet2!#REF!,"")</f>
        <v>#REF!</v>
      </c>
      <c r="C341" s="34" t="e">
        <f>IF(Sheet2!#REF!&lt;&gt;"",Sheet2!#REF!,"")</f>
        <v>#REF!</v>
      </c>
      <c r="D341" s="35" t="str">
        <f t="shared" ca="1" si="12"/>
        <v/>
      </c>
      <c r="E341" s="3"/>
      <c r="F341" s="3"/>
      <c r="G341" s="3"/>
      <c r="H341" s="3"/>
      <c r="K341" t="str">
        <f t="shared" ca="1" si="13"/>
        <v/>
      </c>
    </row>
    <row r="342" spans="1:11">
      <c r="A342" s="23" t="e">
        <f>IF(Sheet2!#REF!&lt;&gt;"",Sheet2!#REF!,"")</f>
        <v>#REF!</v>
      </c>
      <c r="B342" s="33" t="e">
        <f>IF(Sheet2!#REF!&lt;&gt;"",Sheet2!#REF!,"")</f>
        <v>#REF!</v>
      </c>
      <c r="C342" s="34" t="e">
        <f>IF(Sheet2!#REF!&lt;&gt;"",Sheet2!#REF!,"")</f>
        <v>#REF!</v>
      </c>
      <c r="D342" s="35" t="str">
        <f t="shared" ca="1" si="12"/>
        <v/>
      </c>
      <c r="E342" s="3"/>
      <c r="F342" s="3"/>
      <c r="G342" s="3"/>
      <c r="H342" s="3"/>
      <c r="K342" t="str">
        <f t="shared" ca="1" si="13"/>
        <v/>
      </c>
    </row>
    <row r="343" spans="1:11">
      <c r="A343" s="23" t="e">
        <f>IF(Sheet2!#REF!&lt;&gt;"",Sheet2!#REF!,"")</f>
        <v>#REF!</v>
      </c>
      <c r="B343" s="33" t="e">
        <f>IF(Sheet2!#REF!&lt;&gt;"",Sheet2!#REF!,"")</f>
        <v>#REF!</v>
      </c>
      <c r="C343" s="34" t="e">
        <f>IF(Sheet2!#REF!&lt;&gt;"",Sheet2!#REF!,"")</f>
        <v>#REF!</v>
      </c>
      <c r="D343" s="35" t="str">
        <f t="shared" ca="1" si="12"/>
        <v/>
      </c>
      <c r="E343" s="3"/>
      <c r="F343" s="3"/>
      <c r="G343" s="3"/>
      <c r="H343" s="3"/>
      <c r="K343" t="str">
        <f t="shared" ca="1" si="13"/>
        <v/>
      </c>
    </row>
    <row r="344" spans="1:11">
      <c r="A344" s="23" t="e">
        <f>IF(Sheet2!#REF!&lt;&gt;"",Sheet2!#REF!,"")</f>
        <v>#REF!</v>
      </c>
      <c r="B344" s="33" t="e">
        <f>IF(Sheet2!#REF!&lt;&gt;"",Sheet2!#REF!,"")</f>
        <v>#REF!</v>
      </c>
      <c r="C344" s="34" t="e">
        <f>IF(Sheet2!#REF!&lt;&gt;"",Sheet2!#REF!,"")</f>
        <v>#REF!</v>
      </c>
      <c r="D344" s="35" t="str">
        <f t="shared" ca="1" si="12"/>
        <v/>
      </c>
      <c r="E344" s="3"/>
      <c r="F344" s="3"/>
      <c r="G344" s="3"/>
      <c r="H344" s="3"/>
      <c r="K344" t="str">
        <f t="shared" ca="1" si="13"/>
        <v/>
      </c>
    </row>
    <row r="345" spans="1:11">
      <c r="A345" s="23" t="e">
        <f>IF(Sheet2!#REF!&lt;&gt;"",Sheet2!#REF!,"")</f>
        <v>#REF!</v>
      </c>
      <c r="B345" s="33" t="e">
        <f>IF(Sheet2!#REF!&lt;&gt;"",Sheet2!#REF!,"")</f>
        <v>#REF!</v>
      </c>
      <c r="C345" s="34" t="e">
        <f>IF(Sheet2!#REF!&lt;&gt;"",Sheet2!#REF!,"")</f>
        <v>#REF!</v>
      </c>
      <c r="D345" s="35" t="str">
        <f t="shared" ca="1" si="12"/>
        <v/>
      </c>
      <c r="E345" s="3"/>
      <c r="F345" s="3"/>
      <c r="G345" s="3"/>
      <c r="H345" s="3"/>
      <c r="K345" t="str">
        <f t="shared" ca="1" si="13"/>
        <v/>
      </c>
    </row>
    <row r="346" spans="1:11">
      <c r="A346" s="23" t="e">
        <f>IF(Sheet2!#REF!&lt;&gt;"",Sheet2!#REF!,"")</f>
        <v>#REF!</v>
      </c>
      <c r="B346" s="33" t="e">
        <f>IF(Sheet2!#REF!&lt;&gt;"",Sheet2!#REF!,"")</f>
        <v>#REF!</v>
      </c>
      <c r="C346" s="34" t="e">
        <f>IF(Sheet2!#REF!&lt;&gt;"",Sheet2!#REF!,"")</f>
        <v>#REF!</v>
      </c>
      <c r="D346" s="35" t="str">
        <f t="shared" ca="1" si="12"/>
        <v/>
      </c>
      <c r="E346" s="3"/>
      <c r="F346" s="3"/>
      <c r="G346" s="3"/>
      <c r="H346" s="3"/>
      <c r="K346" t="str">
        <f t="shared" ca="1" si="13"/>
        <v/>
      </c>
    </row>
    <row r="347" spans="1:11">
      <c r="A347" s="23" t="e">
        <f>IF(Sheet2!#REF!&lt;&gt;"",Sheet2!#REF!,"")</f>
        <v>#REF!</v>
      </c>
      <c r="B347" s="33" t="e">
        <f>IF(Sheet2!#REF!&lt;&gt;"",Sheet2!#REF!,"")</f>
        <v>#REF!</v>
      </c>
      <c r="C347" s="34" t="e">
        <f>IF(Sheet2!#REF!&lt;&gt;"",Sheet2!#REF!,"")</f>
        <v>#REF!</v>
      </c>
      <c r="D347" s="35" t="str">
        <f t="shared" ca="1" si="12"/>
        <v/>
      </c>
      <c r="E347" s="3"/>
      <c r="F347" s="3"/>
      <c r="G347" s="3"/>
      <c r="H347" s="3"/>
      <c r="K347" t="str">
        <f t="shared" ca="1" si="13"/>
        <v/>
      </c>
    </row>
    <row r="348" spans="1:11">
      <c r="A348" s="23" t="e">
        <f>IF(Sheet2!#REF!&lt;&gt;"",Sheet2!#REF!,"")</f>
        <v>#REF!</v>
      </c>
      <c r="B348" s="33" t="e">
        <f>IF(Sheet2!#REF!&lt;&gt;"",Sheet2!#REF!,"")</f>
        <v>#REF!</v>
      </c>
      <c r="C348" s="34" t="e">
        <f>IF(Sheet2!#REF!&lt;&gt;"",Sheet2!#REF!,"")</f>
        <v>#REF!</v>
      </c>
      <c r="D348" s="35" t="str">
        <f t="shared" ca="1" si="12"/>
        <v/>
      </c>
      <c r="E348" s="3"/>
      <c r="F348" s="3"/>
      <c r="G348" s="3"/>
      <c r="H348" s="3"/>
      <c r="K348" t="str">
        <f t="shared" ca="1" si="13"/>
        <v/>
      </c>
    </row>
    <row r="349" spans="1:11">
      <c r="A349" s="23" t="e">
        <f>IF(Sheet2!#REF!&lt;&gt;"",Sheet2!#REF!,"")</f>
        <v>#REF!</v>
      </c>
      <c r="B349" s="33" t="e">
        <f>IF(Sheet2!#REF!&lt;&gt;"",Sheet2!#REF!,"")</f>
        <v>#REF!</v>
      </c>
      <c r="C349" s="34" t="e">
        <f>IF(Sheet2!#REF!&lt;&gt;"",Sheet2!#REF!,"")</f>
        <v>#REF!</v>
      </c>
      <c r="D349" s="35" t="str">
        <f t="shared" ca="1" si="12"/>
        <v/>
      </c>
      <c r="E349" s="3"/>
      <c r="F349" s="3"/>
      <c r="G349" s="3"/>
      <c r="H349" s="3"/>
      <c r="K349" t="str">
        <f t="shared" ca="1" si="13"/>
        <v/>
      </c>
    </row>
    <row r="350" spans="1:11">
      <c r="A350" s="23" t="e">
        <f>IF(Sheet2!#REF!&lt;&gt;"",Sheet2!#REF!,"")</f>
        <v>#REF!</v>
      </c>
      <c r="B350" s="33" t="e">
        <f>IF(Sheet2!#REF!&lt;&gt;"",Sheet2!#REF!,"")</f>
        <v>#REF!</v>
      </c>
      <c r="C350" s="34" t="e">
        <f>IF(Sheet2!#REF!&lt;&gt;"",Sheet2!#REF!,"")</f>
        <v>#REF!</v>
      </c>
      <c r="D350" s="35" t="str">
        <f t="shared" ca="1" si="12"/>
        <v/>
      </c>
      <c r="E350" s="3"/>
      <c r="F350" s="3"/>
      <c r="G350" s="3"/>
      <c r="H350" s="3"/>
      <c r="K350" t="str">
        <f t="shared" ca="1" si="13"/>
        <v/>
      </c>
    </row>
    <row r="351" spans="1:11">
      <c r="A351" s="23" t="e">
        <f>IF(Sheet2!#REF!&lt;&gt;"",Sheet2!#REF!,"")</f>
        <v>#REF!</v>
      </c>
      <c r="B351" s="33" t="e">
        <f>IF(Sheet2!#REF!&lt;&gt;"",Sheet2!#REF!,"")</f>
        <v>#REF!</v>
      </c>
      <c r="C351" s="34" t="e">
        <f>IF(Sheet2!#REF!&lt;&gt;"",Sheet2!#REF!,"")</f>
        <v>#REF!</v>
      </c>
      <c r="D351" s="35" t="str">
        <f t="shared" ca="1" si="12"/>
        <v/>
      </c>
      <c r="E351" s="3"/>
      <c r="F351" s="3"/>
      <c r="G351" s="3"/>
      <c r="H351" s="3"/>
      <c r="K351" t="str">
        <f t="shared" ca="1" si="13"/>
        <v/>
      </c>
    </row>
    <row r="352" spans="1:11">
      <c r="A352" s="23" t="e">
        <f>IF(Sheet2!#REF!&lt;&gt;"",Sheet2!#REF!,"")</f>
        <v>#REF!</v>
      </c>
      <c r="B352" s="33" t="e">
        <f>IF(Sheet2!#REF!&lt;&gt;"",Sheet2!#REF!,"")</f>
        <v>#REF!</v>
      </c>
      <c r="C352" s="34" t="e">
        <f>IF(Sheet2!#REF!&lt;&gt;"",Sheet2!#REF!,"")</f>
        <v>#REF!</v>
      </c>
      <c r="D352" s="35" t="str">
        <f t="shared" ca="1" si="12"/>
        <v/>
      </c>
      <c r="E352" s="3"/>
      <c r="F352" s="3"/>
      <c r="G352" s="3"/>
      <c r="H352" s="3"/>
      <c r="K352" t="str">
        <f t="shared" ca="1" si="13"/>
        <v/>
      </c>
    </row>
    <row r="353" spans="1:11">
      <c r="A353" s="23" t="e">
        <f>IF(Sheet2!#REF!&lt;&gt;"",Sheet2!#REF!,"")</f>
        <v>#REF!</v>
      </c>
      <c r="B353" s="33" t="e">
        <f>IF(Sheet2!#REF!&lt;&gt;"",Sheet2!#REF!,"")</f>
        <v>#REF!</v>
      </c>
      <c r="C353" s="34" t="e">
        <f>IF(Sheet2!#REF!&lt;&gt;"",Sheet2!#REF!,"")</f>
        <v>#REF!</v>
      </c>
      <c r="D353" s="35" t="str">
        <f t="shared" ca="1" si="12"/>
        <v/>
      </c>
      <c r="E353" s="3"/>
      <c r="F353" s="3"/>
      <c r="G353" s="3"/>
      <c r="H353" s="3"/>
      <c r="K353" t="str">
        <f t="shared" ca="1" si="13"/>
        <v/>
      </c>
    </row>
    <row r="354" spans="1:11">
      <c r="A354" s="23" t="e">
        <f>IF(Sheet2!#REF!&lt;&gt;"",Sheet2!#REF!,"")</f>
        <v>#REF!</v>
      </c>
      <c r="B354" s="33" t="e">
        <f>IF(Sheet2!#REF!&lt;&gt;"",Sheet2!#REF!,"")</f>
        <v>#REF!</v>
      </c>
      <c r="C354" s="34" t="e">
        <f>IF(Sheet2!#REF!&lt;&gt;"",Sheet2!#REF!,"")</f>
        <v>#REF!</v>
      </c>
      <c r="D354" s="35" t="str">
        <f t="shared" ca="1" si="12"/>
        <v/>
      </c>
      <c r="E354" s="3"/>
      <c r="F354" s="3"/>
      <c r="G354" s="3"/>
      <c r="H354" s="3"/>
      <c r="K354" t="str">
        <f t="shared" ca="1" si="13"/>
        <v/>
      </c>
    </row>
    <row r="355" spans="1:11">
      <c r="A355" s="23" t="e">
        <f>IF(Sheet2!#REF!&lt;&gt;"",Sheet2!#REF!,"")</f>
        <v>#REF!</v>
      </c>
      <c r="B355" s="33" t="e">
        <f>IF(Sheet2!#REF!&lt;&gt;"",Sheet2!#REF!,"")</f>
        <v>#REF!</v>
      </c>
      <c r="C355" s="34" t="e">
        <f>IF(Sheet2!#REF!&lt;&gt;"",Sheet2!#REF!,"")</f>
        <v>#REF!</v>
      </c>
      <c r="D355" s="35" t="str">
        <f t="shared" ca="1" si="12"/>
        <v/>
      </c>
      <c r="E355" s="3"/>
      <c r="F355" s="3"/>
      <c r="G355" s="3"/>
      <c r="H355" s="3"/>
      <c r="K355" t="str">
        <f t="shared" ca="1" si="13"/>
        <v/>
      </c>
    </row>
    <row r="356" spans="1:11">
      <c r="A356" s="23" t="e">
        <f>IF(Sheet2!#REF!&lt;&gt;"",Sheet2!#REF!,"")</f>
        <v>#REF!</v>
      </c>
      <c r="B356" s="33" t="e">
        <f>IF(Sheet2!#REF!&lt;&gt;"",Sheet2!#REF!,"")</f>
        <v>#REF!</v>
      </c>
      <c r="C356" s="34" t="e">
        <f>IF(Sheet2!#REF!&lt;&gt;"",Sheet2!#REF!,"")</f>
        <v>#REF!</v>
      </c>
      <c r="D356" s="35" t="str">
        <f t="shared" ca="1" si="12"/>
        <v/>
      </c>
      <c r="E356" s="3"/>
      <c r="F356" s="3"/>
      <c r="G356" s="3"/>
      <c r="H356" s="3"/>
      <c r="K356" t="str">
        <f t="shared" ca="1" si="13"/>
        <v/>
      </c>
    </row>
    <row r="357" spans="1:11">
      <c r="A357" s="23" t="e">
        <f>IF(Sheet2!#REF!&lt;&gt;"",Sheet2!#REF!,"")</f>
        <v>#REF!</v>
      </c>
      <c r="B357" s="33" t="e">
        <f>IF(Sheet2!#REF!&lt;&gt;"",Sheet2!#REF!,"")</f>
        <v>#REF!</v>
      </c>
      <c r="C357" s="34" t="e">
        <f>IF(Sheet2!#REF!&lt;&gt;"",Sheet2!#REF!,"")</f>
        <v>#REF!</v>
      </c>
      <c r="D357" s="35" t="str">
        <f t="shared" ca="1" si="12"/>
        <v/>
      </c>
      <c r="E357" s="3"/>
      <c r="F357" s="3"/>
      <c r="G357" s="3"/>
      <c r="H357" s="3"/>
      <c r="K357" t="str">
        <f t="shared" ca="1" si="13"/>
        <v/>
      </c>
    </row>
    <row r="358" spans="1:11">
      <c r="A358" s="23" t="e">
        <f>IF(Sheet2!#REF!&lt;&gt;"",Sheet2!#REF!,"")</f>
        <v>#REF!</v>
      </c>
      <c r="B358" s="33" t="e">
        <f>IF(Sheet2!#REF!&lt;&gt;"",Sheet2!#REF!,"")</f>
        <v>#REF!</v>
      </c>
      <c r="C358" s="34" t="e">
        <f>IF(Sheet2!#REF!&lt;&gt;"",Sheet2!#REF!,"")</f>
        <v>#REF!</v>
      </c>
      <c r="D358" s="35" t="str">
        <f t="shared" ca="1" si="12"/>
        <v/>
      </c>
      <c r="E358" s="3"/>
      <c r="F358" s="3"/>
      <c r="G358" s="3"/>
      <c r="H358" s="3"/>
      <c r="K358" t="str">
        <f t="shared" ca="1" si="13"/>
        <v/>
      </c>
    </row>
    <row r="359" spans="1:11">
      <c r="A359" s="23" t="e">
        <f>IF(Sheet2!#REF!&lt;&gt;"",Sheet2!#REF!,"")</f>
        <v>#REF!</v>
      </c>
      <c r="B359" s="33" t="e">
        <f>IF(Sheet2!#REF!&lt;&gt;"",Sheet2!#REF!,"")</f>
        <v>#REF!</v>
      </c>
      <c r="C359" s="34" t="e">
        <f>IF(Sheet2!#REF!&lt;&gt;"",Sheet2!#REF!,"")</f>
        <v>#REF!</v>
      </c>
      <c r="D359" s="35" t="str">
        <f t="shared" ca="1" si="12"/>
        <v/>
      </c>
      <c r="E359" s="3"/>
      <c r="F359" s="3"/>
      <c r="G359" s="3"/>
      <c r="H359" s="3"/>
      <c r="K359" t="str">
        <f t="shared" ca="1" si="13"/>
        <v/>
      </c>
    </row>
    <row r="360" spans="1:11">
      <c r="A360" s="23" t="e">
        <f>IF(Sheet2!#REF!&lt;&gt;"",Sheet2!#REF!,"")</f>
        <v>#REF!</v>
      </c>
      <c r="B360" s="33" t="e">
        <f>IF(Sheet2!#REF!&lt;&gt;"",Sheet2!#REF!,"")</f>
        <v>#REF!</v>
      </c>
      <c r="C360" s="34" t="e">
        <f>IF(Sheet2!#REF!&lt;&gt;"",Sheet2!#REF!,"")</f>
        <v>#REF!</v>
      </c>
      <c r="D360" s="35" t="str">
        <f t="shared" ca="1" si="12"/>
        <v/>
      </c>
      <c r="E360" s="3"/>
      <c r="F360" s="3"/>
      <c r="G360" s="3"/>
      <c r="H360" s="3"/>
      <c r="K360" t="str">
        <f t="shared" ca="1" si="13"/>
        <v/>
      </c>
    </row>
    <row r="361" spans="1:11">
      <c r="A361" s="23" t="e">
        <f>IF(Sheet2!#REF!&lt;&gt;"",Sheet2!#REF!,"")</f>
        <v>#REF!</v>
      </c>
      <c r="B361" s="33" t="e">
        <f>IF(Sheet2!#REF!&lt;&gt;"",Sheet2!#REF!,"")</f>
        <v>#REF!</v>
      </c>
      <c r="C361" s="34" t="e">
        <f>IF(Sheet2!#REF!&lt;&gt;"",Sheet2!#REF!,"")</f>
        <v>#REF!</v>
      </c>
      <c r="D361" s="35" t="str">
        <f t="shared" ca="1" si="12"/>
        <v/>
      </c>
      <c r="E361" s="3"/>
      <c r="F361" s="3"/>
      <c r="G361" s="3"/>
      <c r="H361" s="3"/>
      <c r="K361" t="str">
        <f t="shared" ca="1" si="13"/>
        <v/>
      </c>
    </row>
    <row r="362" spans="1:11">
      <c r="A362" s="23" t="e">
        <f>IF(Sheet2!#REF!&lt;&gt;"",Sheet2!#REF!,"")</f>
        <v>#REF!</v>
      </c>
      <c r="B362" s="33" t="e">
        <f>IF(Sheet2!#REF!&lt;&gt;"",Sheet2!#REF!,"")</f>
        <v>#REF!</v>
      </c>
      <c r="C362" s="34" t="e">
        <f>IF(Sheet2!#REF!&lt;&gt;"",Sheet2!#REF!,"")</f>
        <v>#REF!</v>
      </c>
      <c r="D362" s="35" t="str">
        <f t="shared" ca="1" si="12"/>
        <v/>
      </c>
      <c r="E362" s="3"/>
      <c r="F362" s="3"/>
      <c r="G362" s="3"/>
      <c r="H362" s="3"/>
      <c r="K362" t="str">
        <f t="shared" ca="1" si="13"/>
        <v/>
      </c>
    </row>
    <row r="363" spans="1:11">
      <c r="A363" s="23" t="e">
        <f>IF(Sheet2!#REF!&lt;&gt;"",Sheet2!#REF!,"")</f>
        <v>#REF!</v>
      </c>
      <c r="B363" s="33" t="e">
        <f>IF(Sheet2!#REF!&lt;&gt;"",Sheet2!#REF!,"")</f>
        <v>#REF!</v>
      </c>
      <c r="C363" s="34" t="e">
        <f>IF(Sheet2!#REF!&lt;&gt;"",Sheet2!#REF!,"")</f>
        <v>#REF!</v>
      </c>
      <c r="D363" s="35" t="str">
        <f t="shared" ca="1" si="12"/>
        <v/>
      </c>
      <c r="E363" s="3"/>
      <c r="F363" s="3"/>
      <c r="G363" s="3"/>
      <c r="H363" s="3"/>
      <c r="K363" t="str">
        <f t="shared" ca="1" si="13"/>
        <v/>
      </c>
    </row>
    <row r="364" spans="1:11">
      <c r="A364" s="23" t="e">
        <f>IF(Sheet2!#REF!&lt;&gt;"",Sheet2!#REF!,"")</f>
        <v>#REF!</v>
      </c>
      <c r="B364" s="33" t="e">
        <f>IF(Sheet2!#REF!&lt;&gt;"",Sheet2!#REF!,"")</f>
        <v>#REF!</v>
      </c>
      <c r="C364" s="34" t="e">
        <f>IF(Sheet2!#REF!&lt;&gt;"",Sheet2!#REF!,"")</f>
        <v>#REF!</v>
      </c>
      <c r="D364" s="35" t="str">
        <f t="shared" ca="1" si="12"/>
        <v/>
      </c>
      <c r="E364" s="3"/>
      <c r="F364" s="3"/>
      <c r="G364" s="3"/>
      <c r="H364" s="3"/>
      <c r="K364" t="str">
        <f t="shared" ca="1" si="13"/>
        <v/>
      </c>
    </row>
    <row r="365" spans="1:11">
      <c r="A365" s="23" t="e">
        <f>IF(Sheet2!#REF!&lt;&gt;"",Sheet2!#REF!,"")</f>
        <v>#REF!</v>
      </c>
      <c r="B365" s="33" t="e">
        <f>IF(Sheet2!#REF!&lt;&gt;"",Sheet2!#REF!,"")</f>
        <v>#REF!</v>
      </c>
      <c r="C365" s="34" t="e">
        <f>IF(Sheet2!#REF!&lt;&gt;"",Sheet2!#REF!,"")</f>
        <v>#REF!</v>
      </c>
      <c r="D365" s="35" t="str">
        <f t="shared" ca="1" si="12"/>
        <v/>
      </c>
      <c r="E365" s="3"/>
      <c r="F365" s="3"/>
      <c r="G365" s="3"/>
      <c r="H365" s="3"/>
      <c r="K365" t="str">
        <f t="shared" ca="1" si="13"/>
        <v/>
      </c>
    </row>
    <row r="366" spans="1:11">
      <c r="A366" s="23" t="e">
        <f>IF(Sheet2!#REF!&lt;&gt;"",Sheet2!#REF!,"")</f>
        <v>#REF!</v>
      </c>
      <c r="B366" s="33" t="e">
        <f>IF(Sheet2!#REF!&lt;&gt;"",Sheet2!#REF!,"")</f>
        <v>#REF!</v>
      </c>
      <c r="C366" s="34" t="e">
        <f>IF(Sheet2!#REF!&lt;&gt;"",Sheet2!#REF!,"")</f>
        <v>#REF!</v>
      </c>
      <c r="D366" s="35" t="str">
        <f t="shared" ca="1" si="12"/>
        <v/>
      </c>
      <c r="E366" s="3"/>
      <c r="F366" s="3"/>
      <c r="G366" s="3"/>
      <c r="H366" s="3"/>
      <c r="K366" t="str">
        <f t="shared" ca="1" si="13"/>
        <v/>
      </c>
    </row>
    <row r="367" spans="1:11">
      <c r="A367" s="23" t="e">
        <f>IF(Sheet2!#REF!&lt;&gt;"",Sheet2!#REF!,"")</f>
        <v>#REF!</v>
      </c>
      <c r="B367" s="33" t="e">
        <f>IF(Sheet2!#REF!&lt;&gt;"",Sheet2!#REF!,"")</f>
        <v>#REF!</v>
      </c>
      <c r="C367" s="34" t="e">
        <f>IF(Sheet2!#REF!&lt;&gt;"",Sheet2!#REF!,"")</f>
        <v>#REF!</v>
      </c>
      <c r="D367" s="35" t="str">
        <f t="shared" ca="1" si="12"/>
        <v/>
      </c>
      <c r="E367" s="3"/>
      <c r="F367" s="3"/>
      <c r="G367" s="3"/>
      <c r="H367" s="3"/>
      <c r="K367" t="str">
        <f t="shared" ca="1" si="13"/>
        <v/>
      </c>
    </row>
    <row r="368" spans="1:11">
      <c r="A368" s="23" t="e">
        <f>IF(Sheet2!#REF!&lt;&gt;"",Sheet2!#REF!,"")</f>
        <v>#REF!</v>
      </c>
      <c r="B368" s="33" t="e">
        <f>IF(Sheet2!#REF!&lt;&gt;"",Sheet2!#REF!,"")</f>
        <v>#REF!</v>
      </c>
      <c r="C368" s="34" t="e">
        <f>IF(Sheet2!#REF!&lt;&gt;"",Sheet2!#REF!,"")</f>
        <v>#REF!</v>
      </c>
      <c r="D368" s="35" t="str">
        <f t="shared" ca="1" si="12"/>
        <v/>
      </c>
      <c r="E368" s="3"/>
      <c r="F368" s="3"/>
      <c r="G368" s="3"/>
      <c r="H368" s="3"/>
      <c r="K368" t="str">
        <f t="shared" ca="1" si="13"/>
        <v/>
      </c>
    </row>
    <row r="369" spans="1:11">
      <c r="A369" s="23" t="e">
        <f>IF(Sheet2!#REF!&lt;&gt;"",Sheet2!#REF!,"")</f>
        <v>#REF!</v>
      </c>
      <c r="B369" s="33" t="e">
        <f>IF(Sheet2!#REF!&lt;&gt;"",Sheet2!#REF!,"")</f>
        <v>#REF!</v>
      </c>
      <c r="C369" s="34" t="e">
        <f>IF(Sheet2!#REF!&lt;&gt;"",Sheet2!#REF!,"")</f>
        <v>#REF!</v>
      </c>
      <c r="D369" s="35" t="str">
        <f t="shared" ca="1" si="12"/>
        <v/>
      </c>
      <c r="E369" s="3"/>
      <c r="F369" s="3"/>
      <c r="G369" s="3"/>
      <c r="H369" s="3"/>
      <c r="K369" t="str">
        <f t="shared" ca="1" si="13"/>
        <v/>
      </c>
    </row>
    <row r="370" spans="1:11">
      <c r="A370" s="23" t="e">
        <f>IF(Sheet2!#REF!&lt;&gt;"",Sheet2!#REF!,"")</f>
        <v>#REF!</v>
      </c>
      <c r="B370" s="33" t="e">
        <f>IF(Sheet2!#REF!&lt;&gt;"",Sheet2!#REF!,"")</f>
        <v>#REF!</v>
      </c>
      <c r="C370" s="34" t="e">
        <f>IF(Sheet2!#REF!&lt;&gt;"",Sheet2!#REF!,"")</f>
        <v>#REF!</v>
      </c>
      <c r="D370" s="35" t="str">
        <f t="shared" ca="1" si="12"/>
        <v/>
      </c>
      <c r="E370" s="3"/>
      <c r="F370" s="3"/>
      <c r="G370" s="3"/>
      <c r="H370" s="3"/>
      <c r="K370" t="str">
        <f t="shared" ca="1" si="13"/>
        <v/>
      </c>
    </row>
    <row r="371" spans="1:11">
      <c r="A371" s="23" t="e">
        <f>IF(Sheet2!#REF!&lt;&gt;"",Sheet2!#REF!,"")</f>
        <v>#REF!</v>
      </c>
      <c r="B371" s="33" t="e">
        <f>IF(Sheet2!#REF!&lt;&gt;"",Sheet2!#REF!,"")</f>
        <v>#REF!</v>
      </c>
      <c r="C371" s="34" t="e">
        <f>IF(Sheet2!#REF!&lt;&gt;"",Sheet2!#REF!,"")</f>
        <v>#REF!</v>
      </c>
      <c r="D371" s="35" t="str">
        <f t="shared" ca="1" si="12"/>
        <v/>
      </c>
      <c r="E371" s="3"/>
      <c r="F371" s="3"/>
      <c r="G371" s="3"/>
      <c r="H371" s="3"/>
      <c r="K371" t="str">
        <f t="shared" ca="1" si="13"/>
        <v/>
      </c>
    </row>
    <row r="372" spans="1:11">
      <c r="A372" s="23" t="e">
        <f>IF(Sheet2!#REF!&lt;&gt;"",Sheet2!#REF!,"")</f>
        <v>#REF!</v>
      </c>
      <c r="B372" s="33" t="e">
        <f>IF(Sheet2!#REF!&lt;&gt;"",Sheet2!#REF!,"")</f>
        <v>#REF!</v>
      </c>
      <c r="C372" s="34" t="e">
        <f>IF(Sheet2!#REF!&lt;&gt;"",Sheet2!#REF!,"")</f>
        <v>#REF!</v>
      </c>
      <c r="D372" s="35" t="str">
        <f t="shared" ca="1" si="12"/>
        <v/>
      </c>
      <c r="E372" s="3"/>
      <c r="F372" s="3"/>
      <c r="G372" s="3"/>
      <c r="H372" s="3"/>
      <c r="K372" t="str">
        <f t="shared" ca="1" si="13"/>
        <v/>
      </c>
    </row>
    <row r="373" spans="1:11">
      <c r="A373" s="23" t="e">
        <f>IF(Sheet2!#REF!&lt;&gt;"",Sheet2!#REF!,"")</f>
        <v>#REF!</v>
      </c>
      <c r="B373" s="33" t="e">
        <f>IF(Sheet2!#REF!&lt;&gt;"",Sheet2!#REF!,"")</f>
        <v>#REF!</v>
      </c>
      <c r="C373" s="34" t="e">
        <f>IF(Sheet2!#REF!&lt;&gt;"",Sheet2!#REF!,"")</f>
        <v>#REF!</v>
      </c>
      <c r="D373" s="35" t="str">
        <f t="shared" ca="1" si="12"/>
        <v/>
      </c>
      <c r="E373" s="3"/>
      <c r="F373" s="3"/>
      <c r="G373" s="3"/>
      <c r="H373" s="3"/>
      <c r="K373" t="str">
        <f t="shared" ca="1" si="13"/>
        <v/>
      </c>
    </row>
    <row r="374" spans="1:11">
      <c r="A374" s="23" t="e">
        <f>IF(Sheet2!#REF!&lt;&gt;"",Sheet2!#REF!,"")</f>
        <v>#REF!</v>
      </c>
      <c r="B374" s="33" t="e">
        <f>IF(Sheet2!#REF!&lt;&gt;"",Sheet2!#REF!,"")</f>
        <v>#REF!</v>
      </c>
      <c r="C374" s="34" t="e">
        <f>IF(Sheet2!#REF!&lt;&gt;"",Sheet2!#REF!,"")</f>
        <v>#REF!</v>
      </c>
      <c r="D374" s="35" t="str">
        <f t="shared" ca="1" si="12"/>
        <v/>
      </c>
      <c r="E374" s="3"/>
      <c r="F374" s="3"/>
      <c r="G374" s="3"/>
      <c r="H374" s="3"/>
      <c r="K374" t="str">
        <f t="shared" ca="1" si="13"/>
        <v/>
      </c>
    </row>
    <row r="375" spans="1:11">
      <c r="A375" s="23" t="e">
        <f>IF(Sheet2!#REF!&lt;&gt;"",Sheet2!#REF!,"")</f>
        <v>#REF!</v>
      </c>
      <c r="B375" s="33" t="e">
        <f>IF(Sheet2!#REF!&lt;&gt;"",Sheet2!#REF!,"")</f>
        <v>#REF!</v>
      </c>
      <c r="C375" s="34" t="e">
        <f>IF(Sheet2!#REF!&lt;&gt;"",Sheet2!#REF!,"")</f>
        <v>#REF!</v>
      </c>
      <c r="D375" s="35" t="str">
        <f t="shared" ca="1" si="12"/>
        <v/>
      </c>
      <c r="E375" s="3"/>
      <c r="F375" s="3"/>
      <c r="G375" s="3"/>
      <c r="H375" s="3"/>
      <c r="K375" t="str">
        <f t="shared" ca="1" si="13"/>
        <v/>
      </c>
    </row>
    <row r="376" spans="1:11">
      <c r="A376" s="23" t="e">
        <f>IF(Sheet2!#REF!&lt;&gt;"",Sheet2!#REF!,"")</f>
        <v>#REF!</v>
      </c>
      <c r="B376" s="33" t="e">
        <f>IF(Sheet2!#REF!&lt;&gt;"",Sheet2!#REF!,"")</f>
        <v>#REF!</v>
      </c>
      <c r="C376" s="34" t="e">
        <f>IF(Sheet2!#REF!&lt;&gt;"",Sheet2!#REF!,"")</f>
        <v>#REF!</v>
      </c>
      <c r="D376" s="35" t="str">
        <f t="shared" ca="1" si="12"/>
        <v/>
      </c>
      <c r="E376" s="3"/>
      <c r="F376" s="3"/>
      <c r="G376" s="3"/>
      <c r="H376" s="3"/>
      <c r="K376" t="str">
        <f t="shared" ca="1" si="13"/>
        <v/>
      </c>
    </row>
    <row r="377" spans="1:11">
      <c r="A377" s="23" t="e">
        <f>IF(Sheet2!#REF!&lt;&gt;"",Sheet2!#REF!,"")</f>
        <v>#REF!</v>
      </c>
      <c r="B377" s="33" t="e">
        <f>IF(Sheet2!#REF!&lt;&gt;"",Sheet2!#REF!,"")</f>
        <v>#REF!</v>
      </c>
      <c r="C377" s="34" t="e">
        <f>IF(Sheet2!#REF!&lt;&gt;"",Sheet2!#REF!,"")</f>
        <v>#REF!</v>
      </c>
      <c r="D377" s="35" t="str">
        <f t="shared" ca="1" si="12"/>
        <v/>
      </c>
      <c r="E377" s="3"/>
      <c r="F377" s="3"/>
      <c r="G377" s="3"/>
      <c r="H377" s="3"/>
      <c r="K377" t="str">
        <f t="shared" ca="1" si="13"/>
        <v/>
      </c>
    </row>
    <row r="378" spans="1:11">
      <c r="A378" s="23" t="e">
        <f>IF(Sheet2!#REF!&lt;&gt;"",Sheet2!#REF!,"")</f>
        <v>#REF!</v>
      </c>
      <c r="B378" s="33" t="e">
        <f>IF(Sheet2!#REF!&lt;&gt;"",Sheet2!#REF!,"")</f>
        <v>#REF!</v>
      </c>
      <c r="C378" s="34" t="e">
        <f>IF(Sheet2!#REF!&lt;&gt;"",Sheet2!#REF!,"")</f>
        <v>#REF!</v>
      </c>
      <c r="D378" s="35" t="str">
        <f t="shared" ca="1" si="12"/>
        <v/>
      </c>
      <c r="E378" s="3"/>
      <c r="F378" s="3"/>
      <c r="G378" s="3"/>
      <c r="H378" s="3"/>
      <c r="K378" t="str">
        <f t="shared" ca="1" si="13"/>
        <v/>
      </c>
    </row>
    <row r="379" spans="1:11">
      <c r="A379" s="23" t="e">
        <f>IF(Sheet2!#REF!&lt;&gt;"",Sheet2!#REF!,"")</f>
        <v>#REF!</v>
      </c>
      <c r="B379" s="33" t="e">
        <f>IF(Sheet2!#REF!&lt;&gt;"",Sheet2!#REF!,"")</f>
        <v>#REF!</v>
      </c>
      <c r="C379" s="34" t="e">
        <f>IF(Sheet2!#REF!&lt;&gt;"",Sheet2!#REF!,"")</f>
        <v>#REF!</v>
      </c>
      <c r="D379" s="35" t="str">
        <f t="shared" ca="1" si="12"/>
        <v/>
      </c>
      <c r="E379" s="3"/>
      <c r="F379" s="3"/>
      <c r="G379" s="3"/>
      <c r="H379" s="3"/>
      <c r="K379" t="str">
        <f t="shared" ca="1" si="13"/>
        <v/>
      </c>
    </row>
    <row r="380" spans="1:11">
      <c r="A380" s="23" t="e">
        <f>IF(Sheet2!#REF!&lt;&gt;"",Sheet2!#REF!,"")</f>
        <v>#REF!</v>
      </c>
      <c r="B380" s="33" t="e">
        <f>IF(Sheet2!#REF!&lt;&gt;"",Sheet2!#REF!,"")</f>
        <v>#REF!</v>
      </c>
      <c r="C380" s="34" t="e">
        <f>IF(Sheet2!#REF!&lt;&gt;"",Sheet2!#REF!,"")</f>
        <v>#REF!</v>
      </c>
      <c r="D380" s="35" t="str">
        <f t="shared" ca="1" si="12"/>
        <v/>
      </c>
      <c r="E380" s="3"/>
      <c r="F380" s="3"/>
      <c r="G380" s="3"/>
      <c r="H380" s="3"/>
      <c r="K380" t="str">
        <f t="shared" ca="1" si="13"/>
        <v/>
      </c>
    </row>
    <row r="381" spans="1:11">
      <c r="A381" s="23" t="e">
        <f>IF(Sheet2!#REF!&lt;&gt;"",Sheet2!#REF!,"")</f>
        <v>#REF!</v>
      </c>
      <c r="B381" s="33" t="e">
        <f>IF(Sheet2!#REF!&lt;&gt;"",Sheet2!#REF!,"")</f>
        <v>#REF!</v>
      </c>
      <c r="C381" s="34" t="e">
        <f>IF(Sheet2!#REF!&lt;&gt;"",Sheet2!#REF!,"")</f>
        <v>#REF!</v>
      </c>
      <c r="D381" s="35" t="str">
        <f t="shared" ca="1" si="12"/>
        <v/>
      </c>
      <c r="E381" s="3"/>
      <c r="F381" s="3"/>
      <c r="G381" s="3"/>
      <c r="H381" s="3"/>
      <c r="K381" t="str">
        <f t="shared" ca="1" si="13"/>
        <v/>
      </c>
    </row>
    <row r="382" spans="1:11">
      <c r="A382" s="23" t="e">
        <f>IF(Sheet2!#REF!&lt;&gt;"",Sheet2!#REF!,"")</f>
        <v>#REF!</v>
      </c>
      <c r="B382" s="33" t="e">
        <f>IF(Sheet2!#REF!&lt;&gt;"",Sheet2!#REF!,"")</f>
        <v>#REF!</v>
      </c>
      <c r="C382" s="34" t="e">
        <f>IF(Sheet2!#REF!&lt;&gt;"",Sheet2!#REF!,"")</f>
        <v>#REF!</v>
      </c>
      <c r="D382" s="35" t="str">
        <f t="shared" ca="1" si="12"/>
        <v/>
      </c>
      <c r="E382" s="3"/>
      <c r="F382" s="3"/>
      <c r="G382" s="3"/>
      <c r="H382" s="3"/>
      <c r="K382" t="str">
        <f t="shared" ca="1" si="13"/>
        <v/>
      </c>
    </row>
    <row r="383" spans="1:11">
      <c r="A383" s="23" t="e">
        <f>IF(Sheet2!#REF!&lt;&gt;"",Sheet2!#REF!,"")</f>
        <v>#REF!</v>
      </c>
      <c r="B383" s="33" t="e">
        <f>IF(Sheet2!#REF!&lt;&gt;"",Sheet2!#REF!,"")</f>
        <v>#REF!</v>
      </c>
      <c r="C383" s="34" t="e">
        <f>IF(Sheet2!#REF!&lt;&gt;"",Sheet2!#REF!,"")</f>
        <v>#REF!</v>
      </c>
      <c r="D383" s="35" t="str">
        <f t="shared" ca="1" si="12"/>
        <v/>
      </c>
      <c r="E383" s="3"/>
      <c r="F383" s="3"/>
      <c r="G383" s="3"/>
      <c r="H383" s="3"/>
      <c r="K383" t="str">
        <f t="shared" ca="1" si="13"/>
        <v/>
      </c>
    </row>
    <row r="384" spans="1:11">
      <c r="A384" s="23" t="e">
        <f>IF(Sheet2!#REF!&lt;&gt;"",Sheet2!#REF!,"")</f>
        <v>#REF!</v>
      </c>
      <c r="B384" s="33" t="e">
        <f>IF(Sheet2!#REF!&lt;&gt;"",Sheet2!#REF!,"")</f>
        <v>#REF!</v>
      </c>
      <c r="C384" s="34" t="e">
        <f>IF(Sheet2!#REF!&lt;&gt;"",Sheet2!#REF!,"")</f>
        <v>#REF!</v>
      </c>
      <c r="D384" s="35" t="str">
        <f t="shared" ca="1" si="12"/>
        <v/>
      </c>
      <c r="E384" s="3"/>
      <c r="F384" s="3"/>
      <c r="G384" s="3"/>
      <c r="H384" s="3"/>
      <c r="K384" t="str">
        <f t="shared" ca="1" si="13"/>
        <v/>
      </c>
    </row>
    <row r="385" spans="1:11">
      <c r="A385" s="23" t="e">
        <f>IF(Sheet2!#REF!&lt;&gt;"",Sheet2!#REF!,"")</f>
        <v>#REF!</v>
      </c>
      <c r="B385" s="33" t="e">
        <f>IF(Sheet2!#REF!&lt;&gt;"",Sheet2!#REF!,"")</f>
        <v>#REF!</v>
      </c>
      <c r="C385" s="34" t="e">
        <f>IF(Sheet2!#REF!&lt;&gt;"",Sheet2!#REF!,"")</f>
        <v>#REF!</v>
      </c>
      <c r="D385" s="35" t="str">
        <f t="shared" ca="1" si="12"/>
        <v/>
      </c>
      <c r="E385" s="3"/>
      <c r="F385" s="3"/>
      <c r="G385" s="3"/>
      <c r="H385" s="3"/>
      <c r="K385" t="str">
        <f t="shared" ca="1" si="13"/>
        <v/>
      </c>
    </row>
    <row r="386" spans="1:11">
      <c r="A386" s="23" t="e">
        <f>IF(Sheet2!#REF!&lt;&gt;"",Sheet2!#REF!,"")</f>
        <v>#REF!</v>
      </c>
      <c r="B386" s="33" t="e">
        <f>IF(Sheet2!#REF!&lt;&gt;"",Sheet2!#REF!,"")</f>
        <v>#REF!</v>
      </c>
      <c r="C386" s="34" t="e">
        <f>IF(Sheet2!#REF!&lt;&gt;"",Sheet2!#REF!,"")</f>
        <v>#REF!</v>
      </c>
      <c r="D386" s="35" t="str">
        <f t="shared" ca="1" si="12"/>
        <v/>
      </c>
      <c r="E386" s="3"/>
      <c r="F386" s="3"/>
      <c r="G386" s="3"/>
      <c r="H386" s="3"/>
      <c r="K386" t="str">
        <f t="shared" ca="1" si="13"/>
        <v/>
      </c>
    </row>
    <row r="387" spans="1:11">
      <c r="A387" s="23" t="e">
        <f>IF(Sheet2!#REF!&lt;&gt;"",Sheet2!#REF!,"")</f>
        <v>#REF!</v>
      </c>
      <c r="B387" s="33" t="e">
        <f>IF(Sheet2!#REF!&lt;&gt;"",Sheet2!#REF!,"")</f>
        <v>#REF!</v>
      </c>
      <c r="C387" s="34" t="e">
        <f>IF(Sheet2!#REF!&lt;&gt;"",Sheet2!#REF!,"")</f>
        <v>#REF!</v>
      </c>
      <c r="D387" s="35" t="str">
        <f t="shared" ref="D387:D450" ca="1" si="14">IFERROR(IF(AND((C387-TODAY())&lt;15,B387&lt;&gt;""),IF(I387="","Alert",""),""),"")</f>
        <v/>
      </c>
      <c r="E387" s="3"/>
      <c r="F387" s="3"/>
      <c r="G387" s="3"/>
      <c r="H387" s="3"/>
      <c r="K387" t="str">
        <f t="shared" ref="K387:K450" ca="1" si="15">IF(I387&lt;&gt;"",IF(J387="",IF(TODAY()-I387&gt;3,"ALERT",""),""),"")</f>
        <v/>
      </c>
    </row>
    <row r="388" spans="1:11">
      <c r="A388" s="23" t="e">
        <f>IF(Sheet2!#REF!&lt;&gt;"",Sheet2!#REF!,"")</f>
        <v>#REF!</v>
      </c>
      <c r="B388" s="33" t="e">
        <f>IF(Sheet2!#REF!&lt;&gt;"",Sheet2!#REF!,"")</f>
        <v>#REF!</v>
      </c>
      <c r="C388" s="34" t="e">
        <f>IF(Sheet2!#REF!&lt;&gt;"",Sheet2!#REF!,"")</f>
        <v>#REF!</v>
      </c>
      <c r="D388" s="35" t="str">
        <f t="shared" ca="1" si="14"/>
        <v/>
      </c>
      <c r="E388" s="3"/>
      <c r="F388" s="3"/>
      <c r="G388" s="3"/>
      <c r="H388" s="3"/>
      <c r="K388" t="str">
        <f t="shared" ca="1" si="15"/>
        <v/>
      </c>
    </row>
    <row r="389" spans="1:11">
      <c r="A389" s="23" t="e">
        <f>IF(Sheet2!#REF!&lt;&gt;"",Sheet2!#REF!,"")</f>
        <v>#REF!</v>
      </c>
      <c r="B389" s="33" t="e">
        <f>IF(Sheet2!#REF!&lt;&gt;"",Sheet2!#REF!,"")</f>
        <v>#REF!</v>
      </c>
      <c r="C389" s="34" t="e">
        <f>IF(Sheet2!#REF!&lt;&gt;"",Sheet2!#REF!,"")</f>
        <v>#REF!</v>
      </c>
      <c r="D389" s="35" t="str">
        <f t="shared" ca="1" si="14"/>
        <v/>
      </c>
      <c r="E389" s="3"/>
      <c r="F389" s="3"/>
      <c r="G389" s="3"/>
      <c r="H389" s="3"/>
      <c r="K389" t="str">
        <f t="shared" ca="1" si="15"/>
        <v/>
      </c>
    </row>
    <row r="390" spans="1:11">
      <c r="A390" s="23" t="e">
        <f>IF(Sheet2!#REF!&lt;&gt;"",Sheet2!#REF!,"")</f>
        <v>#REF!</v>
      </c>
      <c r="B390" s="33" t="e">
        <f>IF(Sheet2!#REF!&lt;&gt;"",Sheet2!#REF!,"")</f>
        <v>#REF!</v>
      </c>
      <c r="C390" s="34" t="e">
        <f>IF(Sheet2!#REF!&lt;&gt;"",Sheet2!#REF!,"")</f>
        <v>#REF!</v>
      </c>
      <c r="D390" s="35" t="str">
        <f t="shared" ca="1" si="14"/>
        <v/>
      </c>
      <c r="E390" s="3"/>
      <c r="F390" s="3"/>
      <c r="G390" s="3"/>
      <c r="H390" s="3"/>
      <c r="K390" t="str">
        <f t="shared" ca="1" si="15"/>
        <v/>
      </c>
    </row>
    <row r="391" spans="1:11">
      <c r="A391" s="23" t="e">
        <f>IF(Sheet2!#REF!&lt;&gt;"",Sheet2!#REF!,"")</f>
        <v>#REF!</v>
      </c>
      <c r="B391" s="33" t="e">
        <f>IF(Sheet2!#REF!&lt;&gt;"",Sheet2!#REF!,"")</f>
        <v>#REF!</v>
      </c>
      <c r="C391" s="34" t="e">
        <f>IF(Sheet2!#REF!&lt;&gt;"",Sheet2!#REF!,"")</f>
        <v>#REF!</v>
      </c>
      <c r="D391" s="35" t="str">
        <f t="shared" ca="1" si="14"/>
        <v/>
      </c>
      <c r="E391" s="3"/>
      <c r="F391" s="3"/>
      <c r="G391" s="3"/>
      <c r="H391" s="3"/>
      <c r="K391" t="str">
        <f t="shared" ca="1" si="15"/>
        <v/>
      </c>
    </row>
    <row r="392" spans="1:11">
      <c r="A392" s="23" t="e">
        <f>IF(Sheet2!#REF!&lt;&gt;"",Sheet2!#REF!,"")</f>
        <v>#REF!</v>
      </c>
      <c r="B392" s="33" t="e">
        <f>IF(Sheet2!#REF!&lt;&gt;"",Sheet2!#REF!,"")</f>
        <v>#REF!</v>
      </c>
      <c r="C392" s="34" t="e">
        <f>IF(Sheet2!#REF!&lt;&gt;"",Sheet2!#REF!,"")</f>
        <v>#REF!</v>
      </c>
      <c r="D392" s="35" t="str">
        <f t="shared" ca="1" si="14"/>
        <v/>
      </c>
      <c r="E392" s="3"/>
      <c r="F392" s="3"/>
      <c r="G392" s="3"/>
      <c r="H392" s="3"/>
      <c r="K392" t="str">
        <f t="shared" ca="1" si="15"/>
        <v/>
      </c>
    </row>
    <row r="393" spans="1:11">
      <c r="A393" s="23" t="e">
        <f>IF(Sheet2!#REF!&lt;&gt;"",Sheet2!#REF!,"")</f>
        <v>#REF!</v>
      </c>
      <c r="B393" s="33" t="e">
        <f>IF(Sheet2!#REF!&lt;&gt;"",Sheet2!#REF!,"")</f>
        <v>#REF!</v>
      </c>
      <c r="C393" s="34" t="e">
        <f>IF(Sheet2!#REF!&lt;&gt;"",Sheet2!#REF!,"")</f>
        <v>#REF!</v>
      </c>
      <c r="D393" s="35" t="str">
        <f t="shared" ca="1" si="14"/>
        <v/>
      </c>
      <c r="E393" s="3"/>
      <c r="F393" s="3"/>
      <c r="G393" s="3"/>
      <c r="H393" s="3"/>
      <c r="K393" t="str">
        <f t="shared" ca="1" si="15"/>
        <v/>
      </c>
    </row>
    <row r="394" spans="1:11">
      <c r="A394" s="23" t="e">
        <f>IF(Sheet2!#REF!&lt;&gt;"",Sheet2!#REF!,"")</f>
        <v>#REF!</v>
      </c>
      <c r="B394" s="33" t="e">
        <f>IF(Sheet2!#REF!&lt;&gt;"",Sheet2!#REF!,"")</f>
        <v>#REF!</v>
      </c>
      <c r="C394" s="34" t="e">
        <f>IF(Sheet2!#REF!&lt;&gt;"",Sheet2!#REF!,"")</f>
        <v>#REF!</v>
      </c>
      <c r="D394" s="35" t="str">
        <f t="shared" ca="1" si="14"/>
        <v/>
      </c>
      <c r="E394" s="3"/>
      <c r="F394" s="3"/>
      <c r="G394" s="3"/>
      <c r="H394" s="3"/>
      <c r="K394" t="str">
        <f t="shared" ca="1" si="15"/>
        <v/>
      </c>
    </row>
    <row r="395" spans="1:11">
      <c r="A395" s="23" t="e">
        <f>IF(Sheet2!#REF!&lt;&gt;"",Sheet2!#REF!,"")</f>
        <v>#REF!</v>
      </c>
      <c r="B395" s="33" t="e">
        <f>IF(Sheet2!#REF!&lt;&gt;"",Sheet2!#REF!,"")</f>
        <v>#REF!</v>
      </c>
      <c r="C395" s="34" t="e">
        <f>IF(Sheet2!#REF!&lt;&gt;"",Sheet2!#REF!,"")</f>
        <v>#REF!</v>
      </c>
      <c r="D395" s="35" t="str">
        <f t="shared" ca="1" si="14"/>
        <v/>
      </c>
      <c r="E395" s="3"/>
      <c r="F395" s="3"/>
      <c r="G395" s="3"/>
      <c r="H395" s="3"/>
      <c r="K395" t="str">
        <f t="shared" ca="1" si="15"/>
        <v/>
      </c>
    </row>
    <row r="396" spans="1:11">
      <c r="A396" s="23" t="e">
        <f>IF(Sheet2!#REF!&lt;&gt;"",Sheet2!#REF!,"")</f>
        <v>#REF!</v>
      </c>
      <c r="B396" s="33" t="e">
        <f>IF(Sheet2!#REF!&lt;&gt;"",Sheet2!#REF!,"")</f>
        <v>#REF!</v>
      </c>
      <c r="C396" s="34" t="e">
        <f>IF(Sheet2!#REF!&lt;&gt;"",Sheet2!#REF!,"")</f>
        <v>#REF!</v>
      </c>
      <c r="D396" s="35" t="str">
        <f t="shared" ca="1" si="14"/>
        <v/>
      </c>
      <c r="E396" s="3"/>
      <c r="F396" s="3"/>
      <c r="G396" s="3"/>
      <c r="H396" s="3"/>
      <c r="K396" t="str">
        <f t="shared" ca="1" si="15"/>
        <v/>
      </c>
    </row>
    <row r="397" spans="1:11">
      <c r="A397" s="23" t="e">
        <f>IF(Sheet2!#REF!&lt;&gt;"",Sheet2!#REF!,"")</f>
        <v>#REF!</v>
      </c>
      <c r="B397" s="33" t="e">
        <f>IF(Sheet2!#REF!&lt;&gt;"",Sheet2!#REF!,"")</f>
        <v>#REF!</v>
      </c>
      <c r="C397" s="34" t="e">
        <f>IF(Sheet2!#REF!&lt;&gt;"",Sheet2!#REF!,"")</f>
        <v>#REF!</v>
      </c>
      <c r="D397" s="35" t="str">
        <f t="shared" ca="1" si="14"/>
        <v/>
      </c>
      <c r="E397" s="3"/>
      <c r="F397" s="3"/>
      <c r="G397" s="3"/>
      <c r="H397" s="3"/>
      <c r="K397" t="str">
        <f t="shared" ca="1" si="15"/>
        <v/>
      </c>
    </row>
    <row r="398" spans="1:11">
      <c r="A398" s="23" t="e">
        <f>IF(Sheet2!#REF!&lt;&gt;"",Sheet2!#REF!,"")</f>
        <v>#REF!</v>
      </c>
      <c r="B398" s="33" t="e">
        <f>IF(Sheet2!#REF!&lt;&gt;"",Sheet2!#REF!,"")</f>
        <v>#REF!</v>
      </c>
      <c r="C398" s="34" t="e">
        <f>IF(Sheet2!#REF!&lt;&gt;"",Sheet2!#REF!,"")</f>
        <v>#REF!</v>
      </c>
      <c r="D398" s="35" t="str">
        <f t="shared" ca="1" si="14"/>
        <v/>
      </c>
      <c r="E398" s="3"/>
      <c r="F398" s="3"/>
      <c r="G398" s="3"/>
      <c r="H398" s="3"/>
      <c r="K398" t="str">
        <f t="shared" ca="1" si="15"/>
        <v/>
      </c>
    </row>
    <row r="399" spans="1:11">
      <c r="A399" s="23" t="e">
        <f>IF(Sheet2!#REF!&lt;&gt;"",Sheet2!#REF!,"")</f>
        <v>#REF!</v>
      </c>
      <c r="B399" s="33" t="e">
        <f>IF(Sheet2!#REF!&lt;&gt;"",Sheet2!#REF!,"")</f>
        <v>#REF!</v>
      </c>
      <c r="C399" s="34" t="e">
        <f>IF(Sheet2!#REF!&lt;&gt;"",Sheet2!#REF!,"")</f>
        <v>#REF!</v>
      </c>
      <c r="D399" s="35" t="str">
        <f t="shared" ca="1" si="14"/>
        <v/>
      </c>
      <c r="E399" s="3"/>
      <c r="F399" s="3"/>
      <c r="G399" s="3"/>
      <c r="H399" s="3"/>
      <c r="K399" t="str">
        <f t="shared" ca="1" si="15"/>
        <v/>
      </c>
    </row>
    <row r="400" spans="1:11">
      <c r="A400" s="23" t="e">
        <f>IF(Sheet2!#REF!&lt;&gt;"",Sheet2!#REF!,"")</f>
        <v>#REF!</v>
      </c>
      <c r="B400" s="33" t="e">
        <f>IF(Sheet2!#REF!&lt;&gt;"",Sheet2!#REF!,"")</f>
        <v>#REF!</v>
      </c>
      <c r="C400" s="34" t="e">
        <f>IF(Sheet2!#REF!&lt;&gt;"",Sheet2!#REF!,"")</f>
        <v>#REF!</v>
      </c>
      <c r="D400" s="35" t="str">
        <f t="shared" ca="1" si="14"/>
        <v/>
      </c>
      <c r="E400" s="3"/>
      <c r="F400" s="3"/>
      <c r="G400" s="3"/>
      <c r="H400" s="3"/>
      <c r="K400" t="str">
        <f t="shared" ca="1" si="15"/>
        <v/>
      </c>
    </row>
    <row r="401" spans="1:11">
      <c r="A401" s="23" t="e">
        <f>IF(Sheet2!#REF!&lt;&gt;"",Sheet2!#REF!,"")</f>
        <v>#REF!</v>
      </c>
      <c r="B401" s="33" t="e">
        <f>IF(Sheet2!#REF!&lt;&gt;"",Sheet2!#REF!,"")</f>
        <v>#REF!</v>
      </c>
      <c r="C401" s="34" t="e">
        <f>IF(Sheet2!#REF!&lt;&gt;"",Sheet2!#REF!,"")</f>
        <v>#REF!</v>
      </c>
      <c r="D401" s="35" t="str">
        <f t="shared" ca="1" si="14"/>
        <v/>
      </c>
      <c r="E401" s="3"/>
      <c r="F401" s="3"/>
      <c r="G401" s="3"/>
      <c r="H401" s="3"/>
      <c r="K401" t="str">
        <f t="shared" ca="1" si="15"/>
        <v/>
      </c>
    </row>
    <row r="402" spans="1:11">
      <c r="A402" s="23" t="e">
        <f>IF(Sheet2!#REF!&lt;&gt;"",Sheet2!#REF!,"")</f>
        <v>#REF!</v>
      </c>
      <c r="B402" s="33" t="e">
        <f>IF(Sheet2!#REF!&lt;&gt;"",Sheet2!#REF!,"")</f>
        <v>#REF!</v>
      </c>
      <c r="C402" s="34" t="e">
        <f>IF(Sheet2!#REF!&lt;&gt;"",Sheet2!#REF!,"")</f>
        <v>#REF!</v>
      </c>
      <c r="D402" s="35" t="str">
        <f t="shared" ca="1" si="14"/>
        <v/>
      </c>
      <c r="E402" s="3"/>
      <c r="F402" s="3"/>
      <c r="G402" s="3"/>
      <c r="H402" s="3"/>
      <c r="K402" t="str">
        <f t="shared" ca="1" si="15"/>
        <v/>
      </c>
    </row>
    <row r="403" spans="1:11">
      <c r="A403" s="23" t="e">
        <f>IF(Sheet2!#REF!&lt;&gt;"",Sheet2!#REF!,"")</f>
        <v>#REF!</v>
      </c>
      <c r="B403" s="33" t="e">
        <f>IF(Sheet2!#REF!&lt;&gt;"",Sheet2!#REF!,"")</f>
        <v>#REF!</v>
      </c>
      <c r="C403" s="34" t="e">
        <f>IF(Sheet2!#REF!&lt;&gt;"",Sheet2!#REF!,"")</f>
        <v>#REF!</v>
      </c>
      <c r="D403" s="35" t="str">
        <f t="shared" ca="1" si="14"/>
        <v/>
      </c>
      <c r="E403" s="3"/>
      <c r="F403" s="3"/>
      <c r="G403" s="3"/>
      <c r="H403" s="3"/>
      <c r="K403" t="str">
        <f t="shared" ca="1" si="15"/>
        <v/>
      </c>
    </row>
    <row r="404" spans="1:11">
      <c r="A404" s="23" t="e">
        <f>IF(Sheet2!#REF!&lt;&gt;"",Sheet2!#REF!,"")</f>
        <v>#REF!</v>
      </c>
      <c r="B404" s="33" t="e">
        <f>IF(Sheet2!#REF!&lt;&gt;"",Sheet2!#REF!,"")</f>
        <v>#REF!</v>
      </c>
      <c r="C404" s="34" t="e">
        <f>IF(Sheet2!#REF!&lt;&gt;"",Sheet2!#REF!,"")</f>
        <v>#REF!</v>
      </c>
      <c r="D404" s="35" t="str">
        <f t="shared" ca="1" si="14"/>
        <v/>
      </c>
      <c r="E404" s="3"/>
      <c r="F404" s="3"/>
      <c r="G404" s="3"/>
      <c r="H404" s="3"/>
      <c r="K404" t="str">
        <f t="shared" ca="1" si="15"/>
        <v/>
      </c>
    </row>
    <row r="405" spans="1:11">
      <c r="A405" s="23" t="e">
        <f>IF(Sheet2!#REF!&lt;&gt;"",Sheet2!#REF!,"")</f>
        <v>#REF!</v>
      </c>
      <c r="B405" s="33" t="e">
        <f>IF(Sheet2!#REF!&lt;&gt;"",Sheet2!#REF!,"")</f>
        <v>#REF!</v>
      </c>
      <c r="C405" s="34" t="e">
        <f>IF(Sheet2!#REF!&lt;&gt;"",Sheet2!#REF!,"")</f>
        <v>#REF!</v>
      </c>
      <c r="D405" s="35" t="str">
        <f t="shared" ca="1" si="14"/>
        <v/>
      </c>
      <c r="E405" s="3"/>
      <c r="F405" s="3"/>
      <c r="G405" s="3"/>
      <c r="H405" s="3"/>
      <c r="K405" t="str">
        <f t="shared" ca="1" si="15"/>
        <v/>
      </c>
    </row>
    <row r="406" spans="1:11">
      <c r="A406" s="23" t="e">
        <f>IF(Sheet2!#REF!&lt;&gt;"",Sheet2!#REF!,"")</f>
        <v>#REF!</v>
      </c>
      <c r="B406" s="33" t="e">
        <f>IF(Sheet2!#REF!&lt;&gt;"",Sheet2!#REF!,"")</f>
        <v>#REF!</v>
      </c>
      <c r="C406" s="34" t="e">
        <f>IF(Sheet2!#REF!&lt;&gt;"",Sheet2!#REF!,"")</f>
        <v>#REF!</v>
      </c>
      <c r="D406" s="35" t="str">
        <f t="shared" ca="1" si="14"/>
        <v/>
      </c>
      <c r="E406" s="3"/>
      <c r="F406" s="3"/>
      <c r="G406" s="3"/>
      <c r="H406" s="3"/>
      <c r="K406" t="str">
        <f t="shared" ca="1" si="15"/>
        <v/>
      </c>
    </row>
    <row r="407" spans="1:11">
      <c r="A407" s="23" t="e">
        <f>IF(Sheet2!#REF!&lt;&gt;"",Sheet2!#REF!,"")</f>
        <v>#REF!</v>
      </c>
      <c r="B407" s="33" t="e">
        <f>IF(Sheet2!#REF!&lt;&gt;"",Sheet2!#REF!,"")</f>
        <v>#REF!</v>
      </c>
      <c r="C407" s="34" t="e">
        <f>IF(Sheet2!#REF!&lt;&gt;"",Sheet2!#REF!,"")</f>
        <v>#REF!</v>
      </c>
      <c r="D407" s="35" t="str">
        <f t="shared" ca="1" si="14"/>
        <v/>
      </c>
      <c r="E407" s="3"/>
      <c r="F407" s="3"/>
      <c r="G407" s="3"/>
      <c r="H407" s="3"/>
      <c r="K407" t="str">
        <f t="shared" ca="1" si="15"/>
        <v/>
      </c>
    </row>
    <row r="408" spans="1:11">
      <c r="A408" s="23" t="e">
        <f>IF(Sheet2!#REF!&lt;&gt;"",Sheet2!#REF!,"")</f>
        <v>#REF!</v>
      </c>
      <c r="B408" s="33" t="e">
        <f>IF(Sheet2!#REF!&lt;&gt;"",Sheet2!#REF!,"")</f>
        <v>#REF!</v>
      </c>
      <c r="C408" s="34" t="e">
        <f>IF(Sheet2!#REF!&lt;&gt;"",Sheet2!#REF!,"")</f>
        <v>#REF!</v>
      </c>
      <c r="D408" s="35" t="str">
        <f t="shared" ca="1" si="14"/>
        <v/>
      </c>
      <c r="E408" s="3"/>
      <c r="F408" s="3"/>
      <c r="G408" s="3"/>
      <c r="H408" s="3"/>
      <c r="K408" t="str">
        <f t="shared" ca="1" si="15"/>
        <v/>
      </c>
    </row>
    <row r="409" spans="1:11">
      <c r="A409" s="23" t="e">
        <f>IF(Sheet2!#REF!&lt;&gt;"",Sheet2!#REF!,"")</f>
        <v>#REF!</v>
      </c>
      <c r="B409" s="33" t="e">
        <f>IF(Sheet2!#REF!&lt;&gt;"",Sheet2!#REF!,"")</f>
        <v>#REF!</v>
      </c>
      <c r="C409" s="34" t="e">
        <f>IF(Sheet2!#REF!&lt;&gt;"",Sheet2!#REF!,"")</f>
        <v>#REF!</v>
      </c>
      <c r="D409" s="35" t="str">
        <f t="shared" ca="1" si="14"/>
        <v/>
      </c>
      <c r="E409" s="3"/>
      <c r="F409" s="3"/>
      <c r="G409" s="3"/>
      <c r="H409" s="3"/>
      <c r="K409" t="str">
        <f t="shared" ca="1" si="15"/>
        <v/>
      </c>
    </row>
    <row r="410" spans="1:11">
      <c r="A410" s="23" t="e">
        <f>IF(Sheet2!#REF!&lt;&gt;"",Sheet2!#REF!,"")</f>
        <v>#REF!</v>
      </c>
      <c r="B410" s="33" t="e">
        <f>IF(Sheet2!#REF!&lt;&gt;"",Sheet2!#REF!,"")</f>
        <v>#REF!</v>
      </c>
      <c r="C410" s="34" t="e">
        <f>IF(Sheet2!#REF!&lt;&gt;"",Sheet2!#REF!,"")</f>
        <v>#REF!</v>
      </c>
      <c r="D410" s="35" t="str">
        <f t="shared" ca="1" si="14"/>
        <v/>
      </c>
      <c r="E410" s="3"/>
      <c r="F410" s="3"/>
      <c r="G410" s="3"/>
      <c r="H410" s="3"/>
      <c r="K410" t="str">
        <f t="shared" ca="1" si="15"/>
        <v/>
      </c>
    </row>
    <row r="411" spans="1:11">
      <c r="A411" s="23" t="e">
        <f>IF(Sheet2!#REF!&lt;&gt;"",Sheet2!#REF!,"")</f>
        <v>#REF!</v>
      </c>
      <c r="B411" s="33" t="e">
        <f>IF(Sheet2!#REF!&lt;&gt;"",Sheet2!#REF!,"")</f>
        <v>#REF!</v>
      </c>
      <c r="C411" s="34" t="e">
        <f>IF(Sheet2!#REF!&lt;&gt;"",Sheet2!#REF!,"")</f>
        <v>#REF!</v>
      </c>
      <c r="D411" s="35" t="str">
        <f t="shared" ca="1" si="14"/>
        <v/>
      </c>
      <c r="E411" s="3"/>
      <c r="F411" s="3"/>
      <c r="G411" s="3"/>
      <c r="H411" s="3"/>
      <c r="K411" t="str">
        <f t="shared" ca="1" si="15"/>
        <v/>
      </c>
    </row>
    <row r="412" spans="1:11">
      <c r="A412" s="23" t="e">
        <f>IF(Sheet2!#REF!&lt;&gt;"",Sheet2!#REF!,"")</f>
        <v>#REF!</v>
      </c>
      <c r="B412" s="33" t="e">
        <f>IF(Sheet2!#REF!&lt;&gt;"",Sheet2!#REF!,"")</f>
        <v>#REF!</v>
      </c>
      <c r="C412" s="34" t="e">
        <f>IF(Sheet2!#REF!&lt;&gt;"",Sheet2!#REF!,"")</f>
        <v>#REF!</v>
      </c>
      <c r="D412" s="35" t="str">
        <f t="shared" ca="1" si="14"/>
        <v/>
      </c>
      <c r="E412" s="3"/>
      <c r="F412" s="3"/>
      <c r="G412" s="3"/>
      <c r="H412" s="3"/>
      <c r="K412" t="str">
        <f t="shared" ca="1" si="15"/>
        <v/>
      </c>
    </row>
    <row r="413" spans="1:11">
      <c r="A413" s="23" t="e">
        <f>IF(Sheet2!#REF!&lt;&gt;"",Sheet2!#REF!,"")</f>
        <v>#REF!</v>
      </c>
      <c r="B413" s="33" t="e">
        <f>IF(Sheet2!#REF!&lt;&gt;"",Sheet2!#REF!,"")</f>
        <v>#REF!</v>
      </c>
      <c r="C413" s="34" t="e">
        <f>IF(Sheet2!#REF!&lt;&gt;"",Sheet2!#REF!,"")</f>
        <v>#REF!</v>
      </c>
      <c r="D413" s="35" t="str">
        <f t="shared" ca="1" si="14"/>
        <v/>
      </c>
      <c r="E413" s="3"/>
      <c r="F413" s="3"/>
      <c r="G413" s="3"/>
      <c r="H413" s="3"/>
      <c r="K413" t="str">
        <f t="shared" ca="1" si="15"/>
        <v/>
      </c>
    </row>
    <row r="414" spans="1:11">
      <c r="A414" s="23" t="e">
        <f>IF(Sheet2!#REF!&lt;&gt;"",Sheet2!#REF!,"")</f>
        <v>#REF!</v>
      </c>
      <c r="B414" s="33" t="e">
        <f>IF(Sheet2!#REF!&lt;&gt;"",Sheet2!#REF!,"")</f>
        <v>#REF!</v>
      </c>
      <c r="C414" s="34" t="e">
        <f>IF(Sheet2!#REF!&lt;&gt;"",Sheet2!#REF!,"")</f>
        <v>#REF!</v>
      </c>
      <c r="D414" s="35" t="str">
        <f t="shared" ca="1" si="14"/>
        <v/>
      </c>
      <c r="E414" s="3"/>
      <c r="F414" s="3"/>
      <c r="G414" s="3"/>
      <c r="H414" s="3"/>
      <c r="K414" t="str">
        <f t="shared" ca="1" si="15"/>
        <v/>
      </c>
    </row>
    <row r="415" spans="1:11">
      <c r="A415" s="23" t="e">
        <f>IF(Sheet2!#REF!&lt;&gt;"",Sheet2!#REF!,"")</f>
        <v>#REF!</v>
      </c>
      <c r="B415" s="33" t="e">
        <f>IF(Sheet2!#REF!&lt;&gt;"",Sheet2!#REF!,"")</f>
        <v>#REF!</v>
      </c>
      <c r="C415" s="34" t="e">
        <f>IF(Sheet2!#REF!&lt;&gt;"",Sheet2!#REF!,"")</f>
        <v>#REF!</v>
      </c>
      <c r="D415" s="35" t="str">
        <f t="shared" ca="1" si="14"/>
        <v/>
      </c>
      <c r="E415" s="3"/>
      <c r="F415" s="3"/>
      <c r="G415" s="3"/>
      <c r="H415" s="3"/>
      <c r="K415" t="str">
        <f t="shared" ca="1" si="15"/>
        <v/>
      </c>
    </row>
    <row r="416" spans="1:11">
      <c r="A416" s="23" t="e">
        <f>IF(Sheet2!#REF!&lt;&gt;"",Sheet2!#REF!,"")</f>
        <v>#REF!</v>
      </c>
      <c r="B416" s="33" t="e">
        <f>IF(Sheet2!#REF!&lt;&gt;"",Sheet2!#REF!,"")</f>
        <v>#REF!</v>
      </c>
      <c r="C416" s="34" t="e">
        <f>IF(Sheet2!#REF!&lt;&gt;"",Sheet2!#REF!,"")</f>
        <v>#REF!</v>
      </c>
      <c r="D416" s="35" t="str">
        <f t="shared" ca="1" si="14"/>
        <v/>
      </c>
      <c r="E416" s="3"/>
      <c r="F416" s="3"/>
      <c r="G416" s="3"/>
      <c r="H416" s="3"/>
      <c r="K416" t="str">
        <f t="shared" ca="1" si="15"/>
        <v/>
      </c>
    </row>
    <row r="417" spans="1:11">
      <c r="A417" s="23" t="e">
        <f>IF(Sheet2!#REF!&lt;&gt;"",Sheet2!#REF!,"")</f>
        <v>#REF!</v>
      </c>
      <c r="B417" s="33" t="e">
        <f>IF(Sheet2!#REF!&lt;&gt;"",Sheet2!#REF!,"")</f>
        <v>#REF!</v>
      </c>
      <c r="C417" s="34" t="e">
        <f>IF(Sheet2!#REF!&lt;&gt;"",Sheet2!#REF!,"")</f>
        <v>#REF!</v>
      </c>
      <c r="D417" s="35" t="str">
        <f t="shared" ca="1" si="14"/>
        <v/>
      </c>
      <c r="E417" s="3"/>
      <c r="F417" s="3"/>
      <c r="G417" s="3"/>
      <c r="H417" s="3"/>
      <c r="K417" t="str">
        <f t="shared" ca="1" si="15"/>
        <v/>
      </c>
    </row>
    <row r="418" spans="1:11">
      <c r="A418" s="23" t="e">
        <f>IF(Sheet2!#REF!&lt;&gt;"",Sheet2!#REF!,"")</f>
        <v>#REF!</v>
      </c>
      <c r="B418" s="33" t="e">
        <f>IF(Sheet2!#REF!&lt;&gt;"",Sheet2!#REF!,"")</f>
        <v>#REF!</v>
      </c>
      <c r="C418" s="34" t="e">
        <f>IF(Sheet2!#REF!&lt;&gt;"",Sheet2!#REF!,"")</f>
        <v>#REF!</v>
      </c>
      <c r="D418" s="35" t="str">
        <f t="shared" ca="1" si="14"/>
        <v/>
      </c>
      <c r="E418" s="3"/>
      <c r="F418" s="3"/>
      <c r="G418" s="3"/>
      <c r="H418" s="3"/>
      <c r="K418" t="str">
        <f t="shared" ca="1" si="15"/>
        <v/>
      </c>
    </row>
    <row r="419" spans="1:11">
      <c r="A419" s="23" t="e">
        <f>IF(Sheet2!#REF!&lt;&gt;"",Sheet2!#REF!,"")</f>
        <v>#REF!</v>
      </c>
      <c r="B419" s="33" t="e">
        <f>IF(Sheet2!#REF!&lt;&gt;"",Sheet2!#REF!,"")</f>
        <v>#REF!</v>
      </c>
      <c r="C419" s="34" t="e">
        <f>IF(Sheet2!#REF!&lt;&gt;"",Sheet2!#REF!,"")</f>
        <v>#REF!</v>
      </c>
      <c r="D419" s="35" t="str">
        <f t="shared" ca="1" si="14"/>
        <v/>
      </c>
      <c r="E419" s="3"/>
      <c r="F419" s="3"/>
      <c r="G419" s="3"/>
      <c r="H419" s="3"/>
      <c r="K419" t="str">
        <f t="shared" ca="1" si="15"/>
        <v/>
      </c>
    </row>
    <row r="420" spans="1:11">
      <c r="A420" s="23" t="e">
        <f>IF(Sheet2!#REF!&lt;&gt;"",Sheet2!#REF!,"")</f>
        <v>#REF!</v>
      </c>
      <c r="B420" s="33" t="e">
        <f>IF(Sheet2!#REF!&lt;&gt;"",Sheet2!#REF!,"")</f>
        <v>#REF!</v>
      </c>
      <c r="C420" s="34" t="e">
        <f>IF(Sheet2!#REF!&lt;&gt;"",Sheet2!#REF!,"")</f>
        <v>#REF!</v>
      </c>
      <c r="D420" s="35" t="str">
        <f t="shared" ca="1" si="14"/>
        <v/>
      </c>
      <c r="E420" s="3"/>
      <c r="F420" s="3"/>
      <c r="G420" s="3"/>
      <c r="H420" s="3"/>
      <c r="K420" t="str">
        <f t="shared" ca="1" si="15"/>
        <v/>
      </c>
    </row>
    <row r="421" spans="1:11">
      <c r="A421" s="23" t="e">
        <f>IF(Sheet2!#REF!&lt;&gt;"",Sheet2!#REF!,"")</f>
        <v>#REF!</v>
      </c>
      <c r="B421" s="33" t="e">
        <f>IF(Sheet2!#REF!&lt;&gt;"",Sheet2!#REF!,"")</f>
        <v>#REF!</v>
      </c>
      <c r="C421" s="34" t="e">
        <f>IF(Sheet2!#REF!&lt;&gt;"",Sheet2!#REF!,"")</f>
        <v>#REF!</v>
      </c>
      <c r="D421" s="35" t="str">
        <f t="shared" ca="1" si="14"/>
        <v/>
      </c>
      <c r="E421" s="3"/>
      <c r="F421" s="3"/>
      <c r="G421" s="3"/>
      <c r="H421" s="3"/>
      <c r="K421" t="str">
        <f t="shared" ca="1" si="15"/>
        <v/>
      </c>
    </row>
    <row r="422" spans="1:11">
      <c r="A422" s="23" t="e">
        <f>IF(Sheet2!#REF!&lt;&gt;"",Sheet2!#REF!,"")</f>
        <v>#REF!</v>
      </c>
      <c r="B422" s="33" t="e">
        <f>IF(Sheet2!#REF!&lt;&gt;"",Sheet2!#REF!,"")</f>
        <v>#REF!</v>
      </c>
      <c r="C422" s="34" t="e">
        <f>IF(Sheet2!#REF!&lt;&gt;"",Sheet2!#REF!,"")</f>
        <v>#REF!</v>
      </c>
      <c r="D422" s="35" t="str">
        <f t="shared" ca="1" si="14"/>
        <v/>
      </c>
      <c r="E422" s="3"/>
      <c r="F422" s="3"/>
      <c r="G422" s="3"/>
      <c r="H422" s="3"/>
      <c r="K422" t="str">
        <f t="shared" ca="1" si="15"/>
        <v/>
      </c>
    </row>
    <row r="423" spans="1:11">
      <c r="A423" s="23" t="e">
        <f>IF(Sheet2!#REF!&lt;&gt;"",Sheet2!#REF!,"")</f>
        <v>#REF!</v>
      </c>
      <c r="B423" s="33" t="e">
        <f>IF(Sheet2!#REF!&lt;&gt;"",Sheet2!#REF!,"")</f>
        <v>#REF!</v>
      </c>
      <c r="C423" s="34" t="e">
        <f>IF(Sheet2!#REF!&lt;&gt;"",Sheet2!#REF!,"")</f>
        <v>#REF!</v>
      </c>
      <c r="D423" s="35" t="str">
        <f t="shared" ca="1" si="14"/>
        <v/>
      </c>
      <c r="E423" s="3"/>
      <c r="F423" s="3"/>
      <c r="G423" s="3"/>
      <c r="H423" s="3"/>
      <c r="K423" t="str">
        <f t="shared" ca="1" si="15"/>
        <v/>
      </c>
    </row>
    <row r="424" spans="1:11">
      <c r="A424" s="23" t="e">
        <f>IF(Sheet2!#REF!&lt;&gt;"",Sheet2!#REF!,"")</f>
        <v>#REF!</v>
      </c>
      <c r="B424" s="33" t="e">
        <f>IF(Sheet2!#REF!&lt;&gt;"",Sheet2!#REF!,"")</f>
        <v>#REF!</v>
      </c>
      <c r="C424" s="34" t="e">
        <f>IF(Sheet2!#REF!&lt;&gt;"",Sheet2!#REF!,"")</f>
        <v>#REF!</v>
      </c>
      <c r="D424" s="35" t="str">
        <f t="shared" ca="1" si="14"/>
        <v/>
      </c>
      <c r="E424" s="3"/>
      <c r="F424" s="3"/>
      <c r="G424" s="3"/>
      <c r="H424" s="3"/>
      <c r="K424" t="str">
        <f t="shared" ca="1" si="15"/>
        <v/>
      </c>
    </row>
    <row r="425" spans="1:11">
      <c r="A425" s="23" t="e">
        <f>IF(Sheet2!#REF!&lt;&gt;"",Sheet2!#REF!,"")</f>
        <v>#REF!</v>
      </c>
      <c r="B425" s="33" t="e">
        <f>IF(Sheet2!#REF!&lt;&gt;"",Sheet2!#REF!,"")</f>
        <v>#REF!</v>
      </c>
      <c r="C425" s="34" t="e">
        <f>IF(Sheet2!#REF!&lt;&gt;"",Sheet2!#REF!,"")</f>
        <v>#REF!</v>
      </c>
      <c r="D425" s="35" t="str">
        <f t="shared" ca="1" si="14"/>
        <v/>
      </c>
      <c r="E425" s="3"/>
      <c r="F425" s="3"/>
      <c r="G425" s="3"/>
      <c r="H425" s="3"/>
      <c r="K425" t="str">
        <f t="shared" ca="1" si="15"/>
        <v/>
      </c>
    </row>
    <row r="426" spans="1:11">
      <c r="A426" s="23" t="e">
        <f>IF(Sheet2!#REF!&lt;&gt;"",Sheet2!#REF!,"")</f>
        <v>#REF!</v>
      </c>
      <c r="B426" s="33" t="e">
        <f>IF(Sheet2!#REF!&lt;&gt;"",Sheet2!#REF!,"")</f>
        <v>#REF!</v>
      </c>
      <c r="C426" s="34" t="e">
        <f>IF(Sheet2!#REF!&lt;&gt;"",Sheet2!#REF!,"")</f>
        <v>#REF!</v>
      </c>
      <c r="D426" s="35" t="str">
        <f t="shared" ca="1" si="14"/>
        <v/>
      </c>
      <c r="E426" s="3"/>
      <c r="F426" s="3"/>
      <c r="G426" s="3"/>
      <c r="H426" s="3"/>
      <c r="K426" t="str">
        <f t="shared" ca="1" si="15"/>
        <v/>
      </c>
    </row>
    <row r="427" spans="1:11">
      <c r="A427" s="23" t="e">
        <f>IF(Sheet2!#REF!&lt;&gt;"",Sheet2!#REF!,"")</f>
        <v>#REF!</v>
      </c>
      <c r="B427" s="33" t="e">
        <f>IF(Sheet2!#REF!&lt;&gt;"",Sheet2!#REF!,"")</f>
        <v>#REF!</v>
      </c>
      <c r="C427" s="34" t="e">
        <f>IF(Sheet2!#REF!&lt;&gt;"",Sheet2!#REF!,"")</f>
        <v>#REF!</v>
      </c>
      <c r="D427" s="35" t="str">
        <f t="shared" ca="1" si="14"/>
        <v/>
      </c>
      <c r="E427" s="3"/>
      <c r="F427" s="3"/>
      <c r="G427" s="3"/>
      <c r="H427" s="3"/>
      <c r="K427" t="str">
        <f t="shared" ca="1" si="15"/>
        <v/>
      </c>
    </row>
    <row r="428" spans="1:11">
      <c r="A428" s="23" t="e">
        <f>IF(Sheet2!#REF!&lt;&gt;"",Sheet2!#REF!,"")</f>
        <v>#REF!</v>
      </c>
      <c r="B428" s="33" t="e">
        <f>IF(Sheet2!#REF!&lt;&gt;"",Sheet2!#REF!,"")</f>
        <v>#REF!</v>
      </c>
      <c r="C428" s="34" t="e">
        <f>IF(Sheet2!#REF!&lt;&gt;"",Sheet2!#REF!,"")</f>
        <v>#REF!</v>
      </c>
      <c r="D428" s="35" t="str">
        <f t="shared" ca="1" si="14"/>
        <v/>
      </c>
      <c r="E428" s="3"/>
      <c r="F428" s="3"/>
      <c r="G428" s="3"/>
      <c r="H428" s="3"/>
      <c r="K428" t="str">
        <f t="shared" ca="1" si="15"/>
        <v/>
      </c>
    </row>
    <row r="429" spans="1:11">
      <c r="A429" s="23" t="e">
        <f>IF(Sheet2!#REF!&lt;&gt;"",Sheet2!#REF!,"")</f>
        <v>#REF!</v>
      </c>
      <c r="B429" s="33" t="e">
        <f>IF(Sheet2!#REF!&lt;&gt;"",Sheet2!#REF!,"")</f>
        <v>#REF!</v>
      </c>
      <c r="C429" s="34" t="e">
        <f>IF(Sheet2!#REF!&lt;&gt;"",Sheet2!#REF!,"")</f>
        <v>#REF!</v>
      </c>
      <c r="D429" s="35" t="str">
        <f t="shared" ca="1" si="14"/>
        <v/>
      </c>
      <c r="E429" s="3"/>
      <c r="F429" s="3"/>
      <c r="G429" s="3"/>
      <c r="H429" s="3"/>
      <c r="K429" t="str">
        <f t="shared" ca="1" si="15"/>
        <v/>
      </c>
    </row>
    <row r="430" spans="1:11">
      <c r="A430" s="23" t="e">
        <f>IF(Sheet2!#REF!&lt;&gt;"",Sheet2!#REF!,"")</f>
        <v>#REF!</v>
      </c>
      <c r="B430" s="33" t="e">
        <f>IF(Sheet2!#REF!&lt;&gt;"",Sheet2!#REF!,"")</f>
        <v>#REF!</v>
      </c>
      <c r="C430" s="34" t="e">
        <f>IF(Sheet2!#REF!&lt;&gt;"",Sheet2!#REF!,"")</f>
        <v>#REF!</v>
      </c>
      <c r="D430" s="35" t="str">
        <f t="shared" ca="1" si="14"/>
        <v/>
      </c>
      <c r="E430" s="3"/>
      <c r="F430" s="3"/>
      <c r="G430" s="3"/>
      <c r="H430" s="3"/>
      <c r="K430" t="str">
        <f t="shared" ca="1" si="15"/>
        <v/>
      </c>
    </row>
    <row r="431" spans="1:11">
      <c r="A431" s="23" t="e">
        <f>IF(Sheet2!#REF!&lt;&gt;"",Sheet2!#REF!,"")</f>
        <v>#REF!</v>
      </c>
      <c r="B431" s="33" t="e">
        <f>IF(Sheet2!#REF!&lt;&gt;"",Sheet2!#REF!,"")</f>
        <v>#REF!</v>
      </c>
      <c r="C431" s="34" t="e">
        <f>IF(Sheet2!#REF!&lt;&gt;"",Sheet2!#REF!,"")</f>
        <v>#REF!</v>
      </c>
      <c r="D431" s="35" t="str">
        <f t="shared" ca="1" si="14"/>
        <v/>
      </c>
      <c r="E431" s="3"/>
      <c r="F431" s="3"/>
      <c r="G431" s="3"/>
      <c r="H431" s="3"/>
      <c r="K431" t="str">
        <f t="shared" ca="1" si="15"/>
        <v/>
      </c>
    </row>
    <row r="432" spans="1:11">
      <c r="A432" s="23" t="e">
        <f>IF(Sheet2!#REF!&lt;&gt;"",Sheet2!#REF!,"")</f>
        <v>#REF!</v>
      </c>
      <c r="B432" s="33" t="e">
        <f>IF(Sheet2!#REF!&lt;&gt;"",Sheet2!#REF!,"")</f>
        <v>#REF!</v>
      </c>
      <c r="C432" s="34" t="e">
        <f>IF(Sheet2!#REF!&lt;&gt;"",Sheet2!#REF!,"")</f>
        <v>#REF!</v>
      </c>
      <c r="D432" s="35" t="str">
        <f t="shared" ca="1" si="14"/>
        <v/>
      </c>
      <c r="E432" s="3"/>
      <c r="F432" s="3"/>
      <c r="G432" s="3"/>
      <c r="H432" s="3"/>
      <c r="K432" t="str">
        <f t="shared" ca="1" si="15"/>
        <v/>
      </c>
    </row>
    <row r="433" spans="1:11">
      <c r="A433" s="23" t="e">
        <f>IF(Sheet2!#REF!&lt;&gt;"",Sheet2!#REF!,"")</f>
        <v>#REF!</v>
      </c>
      <c r="B433" s="33" t="e">
        <f>IF(Sheet2!#REF!&lt;&gt;"",Sheet2!#REF!,"")</f>
        <v>#REF!</v>
      </c>
      <c r="C433" s="34" t="e">
        <f>IF(Sheet2!#REF!&lt;&gt;"",Sheet2!#REF!,"")</f>
        <v>#REF!</v>
      </c>
      <c r="D433" s="35" t="str">
        <f t="shared" ca="1" si="14"/>
        <v/>
      </c>
      <c r="E433" s="3"/>
      <c r="F433" s="3"/>
      <c r="G433" s="3"/>
      <c r="H433" s="3"/>
      <c r="K433" t="str">
        <f t="shared" ca="1" si="15"/>
        <v/>
      </c>
    </row>
    <row r="434" spans="1:11">
      <c r="A434" s="23" t="e">
        <f>IF(Sheet2!#REF!&lt;&gt;"",Sheet2!#REF!,"")</f>
        <v>#REF!</v>
      </c>
      <c r="B434" s="33" t="e">
        <f>IF(Sheet2!#REF!&lt;&gt;"",Sheet2!#REF!,"")</f>
        <v>#REF!</v>
      </c>
      <c r="C434" s="34" t="e">
        <f>IF(Sheet2!#REF!&lt;&gt;"",Sheet2!#REF!,"")</f>
        <v>#REF!</v>
      </c>
      <c r="D434" s="35" t="str">
        <f t="shared" ca="1" si="14"/>
        <v/>
      </c>
      <c r="E434" s="3"/>
      <c r="F434" s="3"/>
      <c r="G434" s="3"/>
      <c r="H434" s="3"/>
      <c r="K434" t="str">
        <f t="shared" ca="1" si="15"/>
        <v/>
      </c>
    </row>
    <row r="435" spans="1:11">
      <c r="A435" s="23" t="e">
        <f>IF(Sheet2!#REF!&lt;&gt;"",Sheet2!#REF!,"")</f>
        <v>#REF!</v>
      </c>
      <c r="B435" s="33" t="e">
        <f>IF(Sheet2!#REF!&lt;&gt;"",Sheet2!#REF!,"")</f>
        <v>#REF!</v>
      </c>
      <c r="C435" s="34" t="e">
        <f>IF(Sheet2!#REF!&lt;&gt;"",Sheet2!#REF!,"")</f>
        <v>#REF!</v>
      </c>
      <c r="D435" s="35" t="str">
        <f t="shared" ca="1" si="14"/>
        <v/>
      </c>
      <c r="E435" s="3"/>
      <c r="F435" s="3"/>
      <c r="G435" s="3"/>
      <c r="H435" s="3"/>
      <c r="K435" t="str">
        <f t="shared" ca="1" si="15"/>
        <v/>
      </c>
    </row>
    <row r="436" spans="1:11">
      <c r="A436" s="23" t="e">
        <f>IF(Sheet2!#REF!&lt;&gt;"",Sheet2!#REF!,"")</f>
        <v>#REF!</v>
      </c>
      <c r="B436" s="33" t="e">
        <f>IF(Sheet2!#REF!&lt;&gt;"",Sheet2!#REF!,"")</f>
        <v>#REF!</v>
      </c>
      <c r="C436" s="34" t="e">
        <f>IF(Sheet2!#REF!&lt;&gt;"",Sheet2!#REF!,"")</f>
        <v>#REF!</v>
      </c>
      <c r="D436" s="35" t="str">
        <f t="shared" ca="1" si="14"/>
        <v/>
      </c>
      <c r="E436" s="3"/>
      <c r="F436" s="3"/>
      <c r="G436" s="3"/>
      <c r="H436" s="3"/>
      <c r="K436" t="str">
        <f t="shared" ca="1" si="15"/>
        <v/>
      </c>
    </row>
    <row r="437" spans="1:11">
      <c r="A437" s="23" t="e">
        <f>IF(Sheet2!#REF!&lt;&gt;"",Sheet2!#REF!,"")</f>
        <v>#REF!</v>
      </c>
      <c r="B437" s="33" t="e">
        <f>IF(Sheet2!#REF!&lt;&gt;"",Sheet2!#REF!,"")</f>
        <v>#REF!</v>
      </c>
      <c r="C437" s="34" t="e">
        <f>IF(Sheet2!#REF!&lt;&gt;"",Sheet2!#REF!,"")</f>
        <v>#REF!</v>
      </c>
      <c r="D437" s="35" t="str">
        <f t="shared" ca="1" si="14"/>
        <v/>
      </c>
      <c r="E437" s="3"/>
      <c r="F437" s="3"/>
      <c r="G437" s="3"/>
      <c r="H437" s="3"/>
      <c r="K437" t="str">
        <f t="shared" ca="1" si="15"/>
        <v/>
      </c>
    </row>
    <row r="438" spans="1:11">
      <c r="A438" s="23" t="e">
        <f>IF(Sheet2!#REF!&lt;&gt;"",Sheet2!#REF!,"")</f>
        <v>#REF!</v>
      </c>
      <c r="B438" s="33" t="e">
        <f>IF(Sheet2!#REF!&lt;&gt;"",Sheet2!#REF!,"")</f>
        <v>#REF!</v>
      </c>
      <c r="C438" s="34" t="e">
        <f>IF(Sheet2!#REF!&lt;&gt;"",Sheet2!#REF!,"")</f>
        <v>#REF!</v>
      </c>
      <c r="D438" s="35" t="str">
        <f t="shared" ca="1" si="14"/>
        <v/>
      </c>
      <c r="E438" s="3"/>
      <c r="F438" s="3"/>
      <c r="G438" s="3"/>
      <c r="H438" s="3"/>
      <c r="K438" t="str">
        <f t="shared" ca="1" si="15"/>
        <v/>
      </c>
    </row>
    <row r="439" spans="1:11">
      <c r="A439" s="23" t="e">
        <f>IF(Sheet2!#REF!&lt;&gt;"",Sheet2!#REF!,"")</f>
        <v>#REF!</v>
      </c>
      <c r="B439" s="33" t="e">
        <f>IF(Sheet2!#REF!&lt;&gt;"",Sheet2!#REF!,"")</f>
        <v>#REF!</v>
      </c>
      <c r="C439" s="34" t="e">
        <f>IF(Sheet2!#REF!&lt;&gt;"",Sheet2!#REF!,"")</f>
        <v>#REF!</v>
      </c>
      <c r="D439" s="35" t="str">
        <f t="shared" ca="1" si="14"/>
        <v/>
      </c>
      <c r="E439" s="3"/>
      <c r="F439" s="3"/>
      <c r="G439" s="3"/>
      <c r="H439" s="3"/>
      <c r="K439" t="str">
        <f t="shared" ca="1" si="15"/>
        <v/>
      </c>
    </row>
    <row r="440" spans="1:11">
      <c r="A440" s="23" t="e">
        <f>IF(Sheet2!#REF!&lt;&gt;"",Sheet2!#REF!,"")</f>
        <v>#REF!</v>
      </c>
      <c r="B440" s="33" t="e">
        <f>IF(Sheet2!#REF!&lt;&gt;"",Sheet2!#REF!,"")</f>
        <v>#REF!</v>
      </c>
      <c r="C440" s="34" t="e">
        <f>IF(Sheet2!#REF!&lt;&gt;"",Sheet2!#REF!,"")</f>
        <v>#REF!</v>
      </c>
      <c r="D440" s="35" t="str">
        <f t="shared" ca="1" si="14"/>
        <v/>
      </c>
      <c r="E440" s="3"/>
      <c r="F440" s="3"/>
      <c r="G440" s="3"/>
      <c r="H440" s="3"/>
      <c r="K440" t="str">
        <f t="shared" ca="1" si="15"/>
        <v/>
      </c>
    </row>
    <row r="441" spans="1:11">
      <c r="A441" s="23" t="e">
        <f>IF(Sheet2!#REF!&lt;&gt;"",Sheet2!#REF!,"")</f>
        <v>#REF!</v>
      </c>
      <c r="B441" s="33" t="e">
        <f>IF(Sheet2!#REF!&lt;&gt;"",Sheet2!#REF!,"")</f>
        <v>#REF!</v>
      </c>
      <c r="C441" s="34" t="e">
        <f>IF(Sheet2!#REF!&lt;&gt;"",Sheet2!#REF!,"")</f>
        <v>#REF!</v>
      </c>
      <c r="D441" s="35" t="str">
        <f t="shared" ca="1" si="14"/>
        <v/>
      </c>
      <c r="E441" s="3"/>
      <c r="F441" s="3"/>
      <c r="G441" s="3"/>
      <c r="H441" s="3"/>
      <c r="K441" t="str">
        <f t="shared" ca="1" si="15"/>
        <v/>
      </c>
    </row>
    <row r="442" spans="1:11">
      <c r="A442" s="23" t="e">
        <f>IF(Sheet2!#REF!&lt;&gt;"",Sheet2!#REF!,"")</f>
        <v>#REF!</v>
      </c>
      <c r="B442" s="33" t="e">
        <f>IF(Sheet2!#REF!&lt;&gt;"",Sheet2!#REF!,"")</f>
        <v>#REF!</v>
      </c>
      <c r="C442" s="34" t="e">
        <f>IF(Sheet2!#REF!&lt;&gt;"",Sheet2!#REF!,"")</f>
        <v>#REF!</v>
      </c>
      <c r="D442" s="35" t="str">
        <f t="shared" ca="1" si="14"/>
        <v/>
      </c>
      <c r="E442" s="3"/>
      <c r="F442" s="3"/>
      <c r="G442" s="3"/>
      <c r="H442" s="3"/>
      <c r="K442" t="str">
        <f t="shared" ca="1" si="15"/>
        <v/>
      </c>
    </row>
    <row r="443" spans="1:11">
      <c r="A443" s="23" t="e">
        <f>IF(Sheet2!#REF!&lt;&gt;"",Sheet2!#REF!,"")</f>
        <v>#REF!</v>
      </c>
      <c r="B443" s="33" t="e">
        <f>IF(Sheet2!#REF!&lt;&gt;"",Sheet2!#REF!,"")</f>
        <v>#REF!</v>
      </c>
      <c r="C443" s="34" t="e">
        <f>IF(Sheet2!#REF!&lt;&gt;"",Sheet2!#REF!,"")</f>
        <v>#REF!</v>
      </c>
      <c r="D443" s="35" t="str">
        <f t="shared" ca="1" si="14"/>
        <v/>
      </c>
      <c r="E443" s="3"/>
      <c r="F443" s="3"/>
      <c r="G443" s="3"/>
      <c r="H443" s="3"/>
      <c r="K443" t="str">
        <f t="shared" ca="1" si="15"/>
        <v/>
      </c>
    </row>
    <row r="444" spans="1:11">
      <c r="A444" s="23" t="e">
        <f>IF(Sheet2!#REF!&lt;&gt;"",Sheet2!#REF!,"")</f>
        <v>#REF!</v>
      </c>
      <c r="B444" s="33" t="e">
        <f>IF(Sheet2!#REF!&lt;&gt;"",Sheet2!#REF!,"")</f>
        <v>#REF!</v>
      </c>
      <c r="C444" s="34" t="e">
        <f>IF(Sheet2!#REF!&lt;&gt;"",Sheet2!#REF!,"")</f>
        <v>#REF!</v>
      </c>
      <c r="D444" s="35" t="str">
        <f t="shared" ca="1" si="14"/>
        <v/>
      </c>
      <c r="E444" s="3"/>
      <c r="F444" s="3"/>
      <c r="G444" s="3"/>
      <c r="H444" s="3"/>
      <c r="K444" t="str">
        <f t="shared" ca="1" si="15"/>
        <v/>
      </c>
    </row>
    <row r="445" spans="1:11">
      <c r="A445" s="23" t="e">
        <f>IF(Sheet2!#REF!&lt;&gt;"",Sheet2!#REF!,"")</f>
        <v>#REF!</v>
      </c>
      <c r="B445" s="33" t="e">
        <f>IF(Sheet2!#REF!&lt;&gt;"",Sheet2!#REF!,"")</f>
        <v>#REF!</v>
      </c>
      <c r="C445" s="34" t="e">
        <f>IF(Sheet2!#REF!&lt;&gt;"",Sheet2!#REF!,"")</f>
        <v>#REF!</v>
      </c>
      <c r="D445" s="35" t="str">
        <f t="shared" ca="1" si="14"/>
        <v/>
      </c>
      <c r="E445" s="3"/>
      <c r="F445" s="3"/>
      <c r="G445" s="3"/>
      <c r="H445" s="3"/>
      <c r="K445" t="str">
        <f t="shared" ca="1" si="15"/>
        <v/>
      </c>
    </row>
    <row r="446" spans="1:11">
      <c r="A446" s="23" t="e">
        <f>IF(Sheet2!#REF!&lt;&gt;"",Sheet2!#REF!,"")</f>
        <v>#REF!</v>
      </c>
      <c r="B446" s="33" t="e">
        <f>IF(Sheet2!#REF!&lt;&gt;"",Sheet2!#REF!,"")</f>
        <v>#REF!</v>
      </c>
      <c r="C446" s="34" t="e">
        <f>IF(Sheet2!#REF!&lt;&gt;"",Sheet2!#REF!,"")</f>
        <v>#REF!</v>
      </c>
      <c r="D446" s="35" t="str">
        <f t="shared" ca="1" si="14"/>
        <v/>
      </c>
      <c r="E446" s="3"/>
      <c r="F446" s="3"/>
      <c r="G446" s="3"/>
      <c r="H446" s="3"/>
      <c r="K446" t="str">
        <f t="shared" ca="1" si="15"/>
        <v/>
      </c>
    </row>
    <row r="447" spans="1:11">
      <c r="A447" s="23" t="e">
        <f>IF(Sheet2!#REF!&lt;&gt;"",Sheet2!#REF!,"")</f>
        <v>#REF!</v>
      </c>
      <c r="B447" s="33" t="e">
        <f>IF(Sheet2!#REF!&lt;&gt;"",Sheet2!#REF!,"")</f>
        <v>#REF!</v>
      </c>
      <c r="C447" s="34" t="e">
        <f>IF(Sheet2!#REF!&lt;&gt;"",Sheet2!#REF!,"")</f>
        <v>#REF!</v>
      </c>
      <c r="D447" s="35" t="str">
        <f t="shared" ca="1" si="14"/>
        <v/>
      </c>
      <c r="E447" s="3"/>
      <c r="F447" s="3"/>
      <c r="G447" s="3"/>
      <c r="H447" s="3"/>
      <c r="K447" t="str">
        <f t="shared" ca="1" si="15"/>
        <v/>
      </c>
    </row>
    <row r="448" spans="1:11">
      <c r="A448" s="23" t="e">
        <f>IF(Sheet2!#REF!&lt;&gt;"",Sheet2!#REF!,"")</f>
        <v>#REF!</v>
      </c>
      <c r="B448" s="33" t="e">
        <f>IF(Sheet2!#REF!&lt;&gt;"",Sheet2!#REF!,"")</f>
        <v>#REF!</v>
      </c>
      <c r="C448" s="34" t="e">
        <f>IF(Sheet2!#REF!&lt;&gt;"",Sheet2!#REF!,"")</f>
        <v>#REF!</v>
      </c>
      <c r="D448" s="35" t="str">
        <f t="shared" ca="1" si="14"/>
        <v/>
      </c>
      <c r="E448" s="3"/>
      <c r="F448" s="3"/>
      <c r="G448" s="3"/>
      <c r="H448" s="3"/>
      <c r="K448" t="str">
        <f t="shared" ca="1" si="15"/>
        <v/>
      </c>
    </row>
    <row r="449" spans="1:11">
      <c r="A449" s="23" t="e">
        <f>IF(Sheet2!#REF!&lt;&gt;"",Sheet2!#REF!,"")</f>
        <v>#REF!</v>
      </c>
      <c r="B449" s="33" t="e">
        <f>IF(Sheet2!#REF!&lt;&gt;"",Sheet2!#REF!,"")</f>
        <v>#REF!</v>
      </c>
      <c r="C449" s="34" t="e">
        <f>IF(Sheet2!#REF!&lt;&gt;"",Sheet2!#REF!,"")</f>
        <v>#REF!</v>
      </c>
      <c r="D449" s="35" t="str">
        <f t="shared" ca="1" si="14"/>
        <v/>
      </c>
      <c r="E449" s="3"/>
      <c r="F449" s="3"/>
      <c r="G449" s="3"/>
      <c r="H449" s="3"/>
      <c r="K449" t="str">
        <f t="shared" ca="1" si="15"/>
        <v/>
      </c>
    </row>
    <row r="450" spans="1:11">
      <c r="A450" s="23" t="e">
        <f>IF(Sheet2!#REF!&lt;&gt;"",Sheet2!#REF!,"")</f>
        <v>#REF!</v>
      </c>
      <c r="B450" s="33" t="e">
        <f>IF(Sheet2!#REF!&lt;&gt;"",Sheet2!#REF!,"")</f>
        <v>#REF!</v>
      </c>
      <c r="C450" s="34" t="e">
        <f>IF(Sheet2!#REF!&lt;&gt;"",Sheet2!#REF!,"")</f>
        <v>#REF!</v>
      </c>
      <c r="D450" s="35" t="str">
        <f t="shared" ca="1" si="14"/>
        <v/>
      </c>
      <c r="E450" s="3"/>
      <c r="F450" s="3"/>
      <c r="G450" s="3"/>
      <c r="H450" s="3"/>
      <c r="K450" t="str">
        <f t="shared" ca="1" si="15"/>
        <v/>
      </c>
    </row>
    <row r="451" spans="1:11">
      <c r="A451" s="23" t="e">
        <f>IF(Sheet2!#REF!&lt;&gt;"",Sheet2!#REF!,"")</f>
        <v>#REF!</v>
      </c>
      <c r="B451" s="33" t="e">
        <f>IF(Sheet2!#REF!&lt;&gt;"",Sheet2!#REF!,"")</f>
        <v>#REF!</v>
      </c>
      <c r="C451" s="34" t="e">
        <f>IF(Sheet2!#REF!&lt;&gt;"",Sheet2!#REF!,"")</f>
        <v>#REF!</v>
      </c>
      <c r="D451" s="35" t="str">
        <f t="shared" ref="D451:D514" ca="1" si="16">IFERROR(IF(AND((C451-TODAY())&lt;15,B451&lt;&gt;""),IF(I451="","Alert",""),""),"")</f>
        <v/>
      </c>
      <c r="E451" s="3"/>
      <c r="F451" s="3"/>
      <c r="G451" s="3"/>
      <c r="H451" s="3"/>
      <c r="K451" t="str">
        <f t="shared" ref="K451:K514" ca="1" si="17">IF(I451&lt;&gt;"",IF(J451="",IF(TODAY()-I451&gt;3,"ALERT",""),""),"")</f>
        <v/>
      </c>
    </row>
    <row r="452" spans="1:11">
      <c r="A452" s="23" t="e">
        <f>IF(Sheet2!#REF!&lt;&gt;"",Sheet2!#REF!,"")</f>
        <v>#REF!</v>
      </c>
      <c r="B452" s="33" t="e">
        <f>IF(Sheet2!#REF!&lt;&gt;"",Sheet2!#REF!,"")</f>
        <v>#REF!</v>
      </c>
      <c r="C452" s="34" t="e">
        <f>IF(Sheet2!#REF!&lt;&gt;"",Sheet2!#REF!,"")</f>
        <v>#REF!</v>
      </c>
      <c r="D452" s="35" t="str">
        <f t="shared" ca="1" si="16"/>
        <v/>
      </c>
      <c r="E452" s="3"/>
      <c r="F452" s="3"/>
      <c r="G452" s="3"/>
      <c r="H452" s="3"/>
      <c r="K452" t="str">
        <f t="shared" ca="1" si="17"/>
        <v/>
      </c>
    </row>
    <row r="453" spans="1:11">
      <c r="A453" s="23" t="e">
        <f>IF(Sheet2!#REF!&lt;&gt;"",Sheet2!#REF!,"")</f>
        <v>#REF!</v>
      </c>
      <c r="B453" s="33" t="e">
        <f>IF(Sheet2!#REF!&lt;&gt;"",Sheet2!#REF!,"")</f>
        <v>#REF!</v>
      </c>
      <c r="C453" s="34" t="e">
        <f>IF(Sheet2!#REF!&lt;&gt;"",Sheet2!#REF!,"")</f>
        <v>#REF!</v>
      </c>
      <c r="D453" s="35" t="str">
        <f t="shared" ca="1" si="16"/>
        <v/>
      </c>
      <c r="E453" s="3"/>
      <c r="F453" s="3"/>
      <c r="G453" s="3"/>
      <c r="H453" s="3"/>
      <c r="K453" t="str">
        <f t="shared" ca="1" si="17"/>
        <v/>
      </c>
    </row>
    <row r="454" spans="1:11">
      <c r="A454" s="23" t="e">
        <f>IF(Sheet2!#REF!&lt;&gt;"",Sheet2!#REF!,"")</f>
        <v>#REF!</v>
      </c>
      <c r="B454" s="33" t="e">
        <f>IF(Sheet2!#REF!&lt;&gt;"",Sheet2!#REF!,"")</f>
        <v>#REF!</v>
      </c>
      <c r="C454" s="34" t="e">
        <f>IF(Sheet2!#REF!&lt;&gt;"",Sheet2!#REF!,"")</f>
        <v>#REF!</v>
      </c>
      <c r="D454" s="35" t="str">
        <f t="shared" ca="1" si="16"/>
        <v/>
      </c>
      <c r="E454" s="3"/>
      <c r="F454" s="3"/>
      <c r="G454" s="3"/>
      <c r="H454" s="3"/>
      <c r="K454" t="str">
        <f t="shared" ca="1" si="17"/>
        <v/>
      </c>
    </row>
    <row r="455" spans="1:11">
      <c r="A455" s="23" t="e">
        <f>IF(Sheet2!#REF!&lt;&gt;"",Sheet2!#REF!,"")</f>
        <v>#REF!</v>
      </c>
      <c r="B455" s="33" t="e">
        <f>IF(Sheet2!#REF!&lt;&gt;"",Sheet2!#REF!,"")</f>
        <v>#REF!</v>
      </c>
      <c r="C455" s="34" t="e">
        <f>IF(Sheet2!#REF!&lt;&gt;"",Sheet2!#REF!,"")</f>
        <v>#REF!</v>
      </c>
      <c r="D455" s="35" t="str">
        <f t="shared" ca="1" si="16"/>
        <v/>
      </c>
      <c r="E455" s="3"/>
      <c r="F455" s="3"/>
      <c r="G455" s="3"/>
      <c r="H455" s="3"/>
      <c r="K455" t="str">
        <f t="shared" ca="1" si="17"/>
        <v/>
      </c>
    </row>
    <row r="456" spans="1:11">
      <c r="A456" s="23" t="e">
        <f>IF(Sheet2!#REF!&lt;&gt;"",Sheet2!#REF!,"")</f>
        <v>#REF!</v>
      </c>
      <c r="B456" s="33" t="e">
        <f>IF(Sheet2!#REF!&lt;&gt;"",Sheet2!#REF!,"")</f>
        <v>#REF!</v>
      </c>
      <c r="C456" s="34" t="e">
        <f>IF(Sheet2!#REF!&lt;&gt;"",Sheet2!#REF!,"")</f>
        <v>#REF!</v>
      </c>
      <c r="D456" s="35" t="str">
        <f t="shared" ca="1" si="16"/>
        <v/>
      </c>
      <c r="E456" s="3"/>
      <c r="F456" s="3"/>
      <c r="G456" s="3"/>
      <c r="H456" s="3"/>
      <c r="K456" t="str">
        <f t="shared" ca="1" si="17"/>
        <v/>
      </c>
    </row>
    <row r="457" spans="1:11">
      <c r="A457" s="23" t="e">
        <f>IF(Sheet2!#REF!&lt;&gt;"",Sheet2!#REF!,"")</f>
        <v>#REF!</v>
      </c>
      <c r="B457" s="33" t="e">
        <f>IF(Sheet2!#REF!&lt;&gt;"",Sheet2!#REF!,"")</f>
        <v>#REF!</v>
      </c>
      <c r="C457" s="34" t="e">
        <f>IF(Sheet2!#REF!&lt;&gt;"",Sheet2!#REF!,"")</f>
        <v>#REF!</v>
      </c>
      <c r="D457" s="35" t="str">
        <f t="shared" ca="1" si="16"/>
        <v/>
      </c>
      <c r="E457" s="3"/>
      <c r="F457" s="3"/>
      <c r="G457" s="3"/>
      <c r="H457" s="3"/>
      <c r="K457" t="str">
        <f t="shared" ca="1" si="17"/>
        <v/>
      </c>
    </row>
    <row r="458" spans="1:11">
      <c r="A458" s="23" t="e">
        <f>IF(Sheet2!#REF!&lt;&gt;"",Sheet2!#REF!,"")</f>
        <v>#REF!</v>
      </c>
      <c r="B458" s="33" t="e">
        <f>IF(Sheet2!#REF!&lt;&gt;"",Sheet2!#REF!,"")</f>
        <v>#REF!</v>
      </c>
      <c r="C458" s="34" t="e">
        <f>IF(Sheet2!#REF!&lt;&gt;"",Sheet2!#REF!,"")</f>
        <v>#REF!</v>
      </c>
      <c r="D458" s="35" t="str">
        <f t="shared" ca="1" si="16"/>
        <v/>
      </c>
      <c r="E458" s="3"/>
      <c r="F458" s="3"/>
      <c r="G458" s="3"/>
      <c r="H458" s="3"/>
      <c r="K458" t="str">
        <f t="shared" ca="1" si="17"/>
        <v/>
      </c>
    </row>
    <row r="459" spans="1:11">
      <c r="A459" s="23" t="e">
        <f>IF(Sheet2!#REF!&lt;&gt;"",Sheet2!#REF!,"")</f>
        <v>#REF!</v>
      </c>
      <c r="B459" s="33" t="e">
        <f>IF(Sheet2!#REF!&lt;&gt;"",Sheet2!#REF!,"")</f>
        <v>#REF!</v>
      </c>
      <c r="C459" s="34" t="e">
        <f>IF(Sheet2!#REF!&lt;&gt;"",Sheet2!#REF!,"")</f>
        <v>#REF!</v>
      </c>
      <c r="D459" s="35" t="str">
        <f t="shared" ca="1" si="16"/>
        <v/>
      </c>
      <c r="E459" s="3"/>
      <c r="F459" s="3"/>
      <c r="G459" s="3"/>
      <c r="H459" s="3"/>
      <c r="K459" t="str">
        <f t="shared" ca="1" si="17"/>
        <v/>
      </c>
    </row>
    <row r="460" spans="1:11">
      <c r="A460" s="23" t="e">
        <f>IF(Sheet2!#REF!&lt;&gt;"",Sheet2!#REF!,"")</f>
        <v>#REF!</v>
      </c>
      <c r="B460" s="33" t="e">
        <f>IF(Sheet2!#REF!&lt;&gt;"",Sheet2!#REF!,"")</f>
        <v>#REF!</v>
      </c>
      <c r="C460" s="34" t="e">
        <f>IF(Sheet2!#REF!&lt;&gt;"",Sheet2!#REF!,"")</f>
        <v>#REF!</v>
      </c>
      <c r="D460" s="35" t="str">
        <f t="shared" ca="1" si="16"/>
        <v/>
      </c>
      <c r="E460" s="3"/>
      <c r="F460" s="3"/>
      <c r="G460" s="3"/>
      <c r="H460" s="3"/>
      <c r="K460" t="str">
        <f t="shared" ca="1" si="17"/>
        <v/>
      </c>
    </row>
    <row r="461" spans="1:11">
      <c r="A461" s="23" t="e">
        <f>IF(Sheet2!#REF!&lt;&gt;"",Sheet2!#REF!,"")</f>
        <v>#REF!</v>
      </c>
      <c r="B461" s="33" t="e">
        <f>IF(Sheet2!#REF!&lt;&gt;"",Sheet2!#REF!,"")</f>
        <v>#REF!</v>
      </c>
      <c r="C461" s="34" t="e">
        <f>IF(Sheet2!#REF!&lt;&gt;"",Sheet2!#REF!,"")</f>
        <v>#REF!</v>
      </c>
      <c r="D461" s="35" t="str">
        <f t="shared" ca="1" si="16"/>
        <v/>
      </c>
      <c r="E461" s="3"/>
      <c r="F461" s="3"/>
      <c r="G461" s="3"/>
      <c r="H461" s="3"/>
      <c r="K461" t="str">
        <f t="shared" ca="1" si="17"/>
        <v/>
      </c>
    </row>
    <row r="462" spans="1:11">
      <c r="A462" s="23" t="e">
        <f>IF(Sheet2!#REF!&lt;&gt;"",Sheet2!#REF!,"")</f>
        <v>#REF!</v>
      </c>
      <c r="B462" s="33" t="e">
        <f>IF(Sheet2!#REF!&lt;&gt;"",Sheet2!#REF!,"")</f>
        <v>#REF!</v>
      </c>
      <c r="C462" s="34" t="e">
        <f>IF(Sheet2!#REF!&lt;&gt;"",Sheet2!#REF!,"")</f>
        <v>#REF!</v>
      </c>
      <c r="D462" s="35" t="str">
        <f t="shared" ca="1" si="16"/>
        <v/>
      </c>
      <c r="E462" s="3"/>
      <c r="F462" s="3"/>
      <c r="G462" s="3"/>
      <c r="H462" s="3"/>
      <c r="K462" t="str">
        <f t="shared" ca="1" si="17"/>
        <v/>
      </c>
    </row>
    <row r="463" spans="1:11">
      <c r="A463" s="23" t="e">
        <f>IF(Sheet2!#REF!&lt;&gt;"",Sheet2!#REF!,"")</f>
        <v>#REF!</v>
      </c>
      <c r="B463" s="33" t="e">
        <f>IF(Sheet2!#REF!&lt;&gt;"",Sheet2!#REF!,"")</f>
        <v>#REF!</v>
      </c>
      <c r="C463" s="34" t="e">
        <f>IF(Sheet2!#REF!&lt;&gt;"",Sheet2!#REF!,"")</f>
        <v>#REF!</v>
      </c>
      <c r="D463" s="35" t="str">
        <f t="shared" ca="1" si="16"/>
        <v/>
      </c>
      <c r="E463" s="3"/>
      <c r="F463" s="3"/>
      <c r="G463" s="3"/>
      <c r="H463" s="3"/>
      <c r="K463" t="str">
        <f t="shared" ca="1" si="17"/>
        <v/>
      </c>
    </row>
    <row r="464" spans="1:11">
      <c r="A464" s="23" t="e">
        <f>IF(Sheet2!#REF!&lt;&gt;"",Sheet2!#REF!,"")</f>
        <v>#REF!</v>
      </c>
      <c r="B464" s="33" t="e">
        <f>IF(Sheet2!#REF!&lt;&gt;"",Sheet2!#REF!,"")</f>
        <v>#REF!</v>
      </c>
      <c r="C464" s="34" t="e">
        <f>IF(Sheet2!#REF!&lt;&gt;"",Sheet2!#REF!,"")</f>
        <v>#REF!</v>
      </c>
      <c r="D464" s="35" t="str">
        <f t="shared" ca="1" si="16"/>
        <v/>
      </c>
      <c r="E464" s="3"/>
      <c r="F464" s="3"/>
      <c r="G464" s="3"/>
      <c r="H464" s="3"/>
      <c r="K464" t="str">
        <f t="shared" ca="1" si="17"/>
        <v/>
      </c>
    </row>
    <row r="465" spans="1:11">
      <c r="A465" s="23" t="e">
        <f>IF(Sheet2!#REF!&lt;&gt;"",Sheet2!#REF!,"")</f>
        <v>#REF!</v>
      </c>
      <c r="B465" s="33" t="e">
        <f>IF(Sheet2!#REF!&lt;&gt;"",Sheet2!#REF!,"")</f>
        <v>#REF!</v>
      </c>
      <c r="C465" s="34" t="e">
        <f>IF(Sheet2!#REF!&lt;&gt;"",Sheet2!#REF!,"")</f>
        <v>#REF!</v>
      </c>
      <c r="D465" s="35" t="str">
        <f t="shared" ca="1" si="16"/>
        <v/>
      </c>
      <c r="E465" s="3"/>
      <c r="F465" s="3"/>
      <c r="G465" s="3"/>
      <c r="H465" s="3"/>
      <c r="K465" t="str">
        <f t="shared" ca="1" si="17"/>
        <v/>
      </c>
    </row>
    <row r="466" spans="1:11">
      <c r="A466" s="23" t="e">
        <f>IF(Sheet2!#REF!&lt;&gt;"",Sheet2!#REF!,"")</f>
        <v>#REF!</v>
      </c>
      <c r="B466" s="33" t="e">
        <f>IF(Sheet2!#REF!&lt;&gt;"",Sheet2!#REF!,"")</f>
        <v>#REF!</v>
      </c>
      <c r="C466" s="34" t="e">
        <f>IF(Sheet2!#REF!&lt;&gt;"",Sheet2!#REF!,"")</f>
        <v>#REF!</v>
      </c>
      <c r="D466" s="35" t="str">
        <f t="shared" ca="1" si="16"/>
        <v/>
      </c>
      <c r="E466" s="3"/>
      <c r="F466" s="3"/>
      <c r="G466" s="3"/>
      <c r="H466" s="3"/>
      <c r="K466" t="str">
        <f t="shared" ca="1" si="17"/>
        <v/>
      </c>
    </row>
    <row r="467" spans="1:11">
      <c r="A467" s="23" t="e">
        <f>IF(Sheet2!#REF!&lt;&gt;"",Sheet2!#REF!,"")</f>
        <v>#REF!</v>
      </c>
      <c r="B467" s="33" t="e">
        <f>IF(Sheet2!#REF!&lt;&gt;"",Sheet2!#REF!,"")</f>
        <v>#REF!</v>
      </c>
      <c r="C467" s="34" t="e">
        <f>IF(Sheet2!#REF!&lt;&gt;"",Sheet2!#REF!,"")</f>
        <v>#REF!</v>
      </c>
      <c r="D467" s="35" t="str">
        <f t="shared" ca="1" si="16"/>
        <v/>
      </c>
      <c r="E467" s="3"/>
      <c r="F467" s="3"/>
      <c r="G467" s="3"/>
      <c r="H467" s="3"/>
      <c r="K467" t="str">
        <f t="shared" ca="1" si="17"/>
        <v/>
      </c>
    </row>
    <row r="468" spans="1:11">
      <c r="A468" s="23" t="e">
        <f>IF(Sheet2!#REF!&lt;&gt;"",Sheet2!#REF!,"")</f>
        <v>#REF!</v>
      </c>
      <c r="B468" s="33" t="e">
        <f>IF(Sheet2!#REF!&lt;&gt;"",Sheet2!#REF!,"")</f>
        <v>#REF!</v>
      </c>
      <c r="C468" s="34" t="e">
        <f>IF(Sheet2!#REF!&lt;&gt;"",Sheet2!#REF!,"")</f>
        <v>#REF!</v>
      </c>
      <c r="D468" s="35" t="str">
        <f t="shared" ca="1" si="16"/>
        <v/>
      </c>
      <c r="E468" s="3"/>
      <c r="F468" s="3"/>
      <c r="G468" s="3"/>
      <c r="H468" s="3"/>
      <c r="K468" t="str">
        <f t="shared" ca="1" si="17"/>
        <v/>
      </c>
    </row>
    <row r="469" spans="1:11">
      <c r="A469" s="23" t="e">
        <f>IF(Sheet2!#REF!&lt;&gt;"",Sheet2!#REF!,"")</f>
        <v>#REF!</v>
      </c>
      <c r="B469" s="33" t="e">
        <f>IF(Sheet2!#REF!&lt;&gt;"",Sheet2!#REF!,"")</f>
        <v>#REF!</v>
      </c>
      <c r="C469" s="34" t="e">
        <f>IF(Sheet2!#REF!&lt;&gt;"",Sheet2!#REF!,"")</f>
        <v>#REF!</v>
      </c>
      <c r="D469" s="35" t="str">
        <f t="shared" ca="1" si="16"/>
        <v/>
      </c>
      <c r="E469" s="3"/>
      <c r="F469" s="3"/>
      <c r="G469" s="3"/>
      <c r="H469" s="3"/>
      <c r="K469" t="str">
        <f t="shared" ca="1" si="17"/>
        <v/>
      </c>
    </row>
    <row r="470" spans="1:11">
      <c r="A470" s="23" t="e">
        <f>IF(Sheet2!#REF!&lt;&gt;"",Sheet2!#REF!,"")</f>
        <v>#REF!</v>
      </c>
      <c r="B470" s="33" t="e">
        <f>IF(Sheet2!#REF!&lt;&gt;"",Sheet2!#REF!,"")</f>
        <v>#REF!</v>
      </c>
      <c r="C470" s="34" t="e">
        <f>IF(Sheet2!#REF!&lt;&gt;"",Sheet2!#REF!,"")</f>
        <v>#REF!</v>
      </c>
      <c r="D470" s="35" t="str">
        <f t="shared" ca="1" si="16"/>
        <v/>
      </c>
      <c r="E470" s="3"/>
      <c r="F470" s="3"/>
      <c r="G470" s="3"/>
      <c r="H470" s="3"/>
      <c r="K470" t="str">
        <f t="shared" ca="1" si="17"/>
        <v/>
      </c>
    </row>
    <row r="471" spans="1:11">
      <c r="A471" s="23" t="e">
        <f>IF(Sheet2!#REF!&lt;&gt;"",Sheet2!#REF!,"")</f>
        <v>#REF!</v>
      </c>
      <c r="B471" s="33" t="e">
        <f>IF(Sheet2!#REF!&lt;&gt;"",Sheet2!#REF!,"")</f>
        <v>#REF!</v>
      </c>
      <c r="C471" s="34" t="e">
        <f>IF(Sheet2!#REF!&lt;&gt;"",Sheet2!#REF!,"")</f>
        <v>#REF!</v>
      </c>
      <c r="D471" s="35" t="str">
        <f t="shared" ca="1" si="16"/>
        <v/>
      </c>
      <c r="E471" s="3"/>
      <c r="F471" s="3"/>
      <c r="G471" s="3"/>
      <c r="H471" s="3"/>
      <c r="K471" t="str">
        <f t="shared" ca="1" si="17"/>
        <v/>
      </c>
    </row>
    <row r="472" spans="1:11">
      <c r="A472" s="23" t="e">
        <f>IF(Sheet2!#REF!&lt;&gt;"",Sheet2!#REF!,"")</f>
        <v>#REF!</v>
      </c>
      <c r="B472" s="33" t="e">
        <f>IF(Sheet2!#REF!&lt;&gt;"",Sheet2!#REF!,"")</f>
        <v>#REF!</v>
      </c>
      <c r="C472" s="34" t="e">
        <f>IF(Sheet2!#REF!&lt;&gt;"",Sheet2!#REF!,"")</f>
        <v>#REF!</v>
      </c>
      <c r="D472" s="35" t="str">
        <f t="shared" ca="1" si="16"/>
        <v/>
      </c>
      <c r="E472" s="3"/>
      <c r="F472" s="3"/>
      <c r="G472" s="3"/>
      <c r="H472" s="3"/>
      <c r="K472" t="str">
        <f t="shared" ca="1" si="17"/>
        <v/>
      </c>
    </row>
    <row r="473" spans="1:11">
      <c r="A473" s="23" t="e">
        <f>IF(Sheet2!#REF!&lt;&gt;"",Sheet2!#REF!,"")</f>
        <v>#REF!</v>
      </c>
      <c r="B473" s="33" t="e">
        <f>IF(Sheet2!#REF!&lt;&gt;"",Sheet2!#REF!,"")</f>
        <v>#REF!</v>
      </c>
      <c r="C473" s="34" t="e">
        <f>IF(Sheet2!#REF!&lt;&gt;"",Sheet2!#REF!,"")</f>
        <v>#REF!</v>
      </c>
      <c r="D473" s="35" t="str">
        <f t="shared" ca="1" si="16"/>
        <v/>
      </c>
      <c r="E473" s="3"/>
      <c r="F473" s="3"/>
      <c r="G473" s="3"/>
      <c r="H473" s="3"/>
      <c r="K473" t="str">
        <f t="shared" ca="1" si="17"/>
        <v/>
      </c>
    </row>
    <row r="474" spans="1:11">
      <c r="A474" s="23" t="e">
        <f>IF(Sheet2!#REF!&lt;&gt;"",Sheet2!#REF!,"")</f>
        <v>#REF!</v>
      </c>
      <c r="B474" s="33" t="e">
        <f>IF(Sheet2!#REF!&lt;&gt;"",Sheet2!#REF!,"")</f>
        <v>#REF!</v>
      </c>
      <c r="C474" s="34" t="e">
        <f>IF(Sheet2!#REF!&lt;&gt;"",Sheet2!#REF!,"")</f>
        <v>#REF!</v>
      </c>
      <c r="D474" s="35" t="str">
        <f t="shared" ca="1" si="16"/>
        <v/>
      </c>
      <c r="E474" s="3"/>
      <c r="F474" s="3"/>
      <c r="G474" s="3"/>
      <c r="H474" s="3"/>
      <c r="K474" t="str">
        <f t="shared" ca="1" si="17"/>
        <v/>
      </c>
    </row>
    <row r="475" spans="1:11">
      <c r="A475" s="23" t="e">
        <f>IF(Sheet2!#REF!&lt;&gt;"",Sheet2!#REF!,"")</f>
        <v>#REF!</v>
      </c>
      <c r="B475" s="33" t="e">
        <f>IF(Sheet2!#REF!&lt;&gt;"",Sheet2!#REF!,"")</f>
        <v>#REF!</v>
      </c>
      <c r="C475" s="34" t="e">
        <f>IF(Sheet2!#REF!&lt;&gt;"",Sheet2!#REF!,"")</f>
        <v>#REF!</v>
      </c>
      <c r="D475" s="35" t="str">
        <f t="shared" ca="1" si="16"/>
        <v/>
      </c>
      <c r="E475" s="3"/>
      <c r="F475" s="3"/>
      <c r="G475" s="3"/>
      <c r="H475" s="3"/>
      <c r="K475" t="str">
        <f t="shared" ca="1" si="17"/>
        <v/>
      </c>
    </row>
    <row r="476" spans="1:11">
      <c r="A476" s="23" t="e">
        <f>IF(Sheet2!#REF!&lt;&gt;"",Sheet2!#REF!,"")</f>
        <v>#REF!</v>
      </c>
      <c r="B476" s="33" t="e">
        <f>IF(Sheet2!#REF!&lt;&gt;"",Sheet2!#REF!,"")</f>
        <v>#REF!</v>
      </c>
      <c r="C476" s="34" t="e">
        <f>IF(Sheet2!#REF!&lt;&gt;"",Sheet2!#REF!,"")</f>
        <v>#REF!</v>
      </c>
      <c r="D476" s="35" t="str">
        <f t="shared" ca="1" si="16"/>
        <v/>
      </c>
      <c r="E476" s="3"/>
      <c r="F476" s="3"/>
      <c r="G476" s="3"/>
      <c r="H476" s="3"/>
      <c r="K476" t="str">
        <f t="shared" ca="1" si="17"/>
        <v/>
      </c>
    </row>
    <row r="477" spans="1:11">
      <c r="A477" s="23" t="e">
        <f>IF(Sheet2!#REF!&lt;&gt;"",Sheet2!#REF!,"")</f>
        <v>#REF!</v>
      </c>
      <c r="B477" s="33" t="e">
        <f>IF(Sheet2!#REF!&lt;&gt;"",Sheet2!#REF!,"")</f>
        <v>#REF!</v>
      </c>
      <c r="C477" s="34" t="e">
        <f>IF(Sheet2!#REF!&lt;&gt;"",Sheet2!#REF!,"")</f>
        <v>#REF!</v>
      </c>
      <c r="D477" s="35" t="str">
        <f t="shared" ca="1" si="16"/>
        <v/>
      </c>
      <c r="E477" s="3"/>
      <c r="F477" s="3"/>
      <c r="G477" s="3"/>
      <c r="H477" s="3"/>
      <c r="K477" t="str">
        <f t="shared" ca="1" si="17"/>
        <v/>
      </c>
    </row>
    <row r="478" spans="1:11">
      <c r="A478" s="23" t="e">
        <f>IF(Sheet2!#REF!&lt;&gt;"",Sheet2!#REF!,"")</f>
        <v>#REF!</v>
      </c>
      <c r="B478" s="33" t="e">
        <f>IF(Sheet2!#REF!&lt;&gt;"",Sheet2!#REF!,"")</f>
        <v>#REF!</v>
      </c>
      <c r="C478" s="34" t="e">
        <f>IF(Sheet2!#REF!&lt;&gt;"",Sheet2!#REF!,"")</f>
        <v>#REF!</v>
      </c>
      <c r="D478" s="35" t="str">
        <f t="shared" ca="1" si="16"/>
        <v/>
      </c>
      <c r="E478" s="3"/>
      <c r="F478" s="3"/>
      <c r="G478" s="3"/>
      <c r="H478" s="3"/>
      <c r="K478" t="str">
        <f t="shared" ca="1" si="17"/>
        <v/>
      </c>
    </row>
    <row r="479" spans="1:11">
      <c r="A479" s="23" t="e">
        <f>IF(Sheet2!#REF!&lt;&gt;"",Sheet2!#REF!,"")</f>
        <v>#REF!</v>
      </c>
      <c r="B479" s="33" t="e">
        <f>IF(Sheet2!#REF!&lt;&gt;"",Sheet2!#REF!,"")</f>
        <v>#REF!</v>
      </c>
      <c r="C479" s="34" t="e">
        <f>IF(Sheet2!#REF!&lt;&gt;"",Sheet2!#REF!,"")</f>
        <v>#REF!</v>
      </c>
      <c r="D479" s="35" t="str">
        <f t="shared" ca="1" si="16"/>
        <v/>
      </c>
      <c r="E479" s="3"/>
      <c r="F479" s="3"/>
      <c r="G479" s="3"/>
      <c r="H479" s="3"/>
      <c r="K479" t="str">
        <f t="shared" ca="1" si="17"/>
        <v/>
      </c>
    </row>
    <row r="480" spans="1:11">
      <c r="A480" s="23" t="e">
        <f>IF(Sheet2!#REF!&lt;&gt;"",Sheet2!#REF!,"")</f>
        <v>#REF!</v>
      </c>
      <c r="B480" s="33" t="e">
        <f>IF(Sheet2!#REF!&lt;&gt;"",Sheet2!#REF!,"")</f>
        <v>#REF!</v>
      </c>
      <c r="C480" s="34" t="e">
        <f>IF(Sheet2!#REF!&lt;&gt;"",Sheet2!#REF!,"")</f>
        <v>#REF!</v>
      </c>
      <c r="D480" s="35" t="str">
        <f t="shared" ca="1" si="16"/>
        <v/>
      </c>
      <c r="E480" s="3"/>
      <c r="F480" s="3"/>
      <c r="G480" s="3"/>
      <c r="H480" s="3"/>
      <c r="K480" t="str">
        <f t="shared" ca="1" si="17"/>
        <v/>
      </c>
    </row>
    <row r="481" spans="1:11">
      <c r="A481" s="23" t="e">
        <f>IF(Sheet2!#REF!&lt;&gt;"",Sheet2!#REF!,"")</f>
        <v>#REF!</v>
      </c>
      <c r="B481" s="33" t="e">
        <f>IF(Sheet2!#REF!&lt;&gt;"",Sheet2!#REF!,"")</f>
        <v>#REF!</v>
      </c>
      <c r="C481" s="34" t="e">
        <f>IF(Sheet2!#REF!&lt;&gt;"",Sheet2!#REF!,"")</f>
        <v>#REF!</v>
      </c>
      <c r="D481" s="35" t="str">
        <f t="shared" ca="1" si="16"/>
        <v/>
      </c>
      <c r="E481" s="3"/>
      <c r="F481" s="3"/>
      <c r="G481" s="3"/>
      <c r="H481" s="3"/>
      <c r="K481" t="str">
        <f t="shared" ca="1" si="17"/>
        <v/>
      </c>
    </row>
    <row r="482" spans="1:11">
      <c r="A482" s="23" t="e">
        <f>IF(Sheet2!#REF!&lt;&gt;"",Sheet2!#REF!,"")</f>
        <v>#REF!</v>
      </c>
      <c r="B482" s="33" t="e">
        <f>IF(Sheet2!#REF!&lt;&gt;"",Sheet2!#REF!,"")</f>
        <v>#REF!</v>
      </c>
      <c r="C482" s="34" t="e">
        <f>IF(Sheet2!#REF!&lt;&gt;"",Sheet2!#REF!,"")</f>
        <v>#REF!</v>
      </c>
      <c r="D482" s="35" t="str">
        <f t="shared" ca="1" si="16"/>
        <v/>
      </c>
      <c r="E482" s="3"/>
      <c r="F482" s="3"/>
      <c r="G482" s="3"/>
      <c r="H482" s="3"/>
      <c r="K482" t="str">
        <f t="shared" ca="1" si="17"/>
        <v/>
      </c>
    </row>
    <row r="483" spans="1:11">
      <c r="A483" s="23" t="e">
        <f>IF(Sheet2!#REF!&lt;&gt;"",Sheet2!#REF!,"")</f>
        <v>#REF!</v>
      </c>
      <c r="B483" s="33" t="e">
        <f>IF(Sheet2!#REF!&lt;&gt;"",Sheet2!#REF!,"")</f>
        <v>#REF!</v>
      </c>
      <c r="C483" s="34" t="e">
        <f>IF(Sheet2!#REF!&lt;&gt;"",Sheet2!#REF!,"")</f>
        <v>#REF!</v>
      </c>
      <c r="D483" s="35" t="str">
        <f t="shared" ca="1" si="16"/>
        <v/>
      </c>
      <c r="E483" s="3"/>
      <c r="F483" s="3"/>
      <c r="G483" s="3"/>
      <c r="H483" s="3"/>
      <c r="K483" t="str">
        <f t="shared" ca="1" si="17"/>
        <v/>
      </c>
    </row>
    <row r="484" spans="1:11">
      <c r="A484" s="23" t="e">
        <f>IF(Sheet2!#REF!&lt;&gt;"",Sheet2!#REF!,"")</f>
        <v>#REF!</v>
      </c>
      <c r="B484" s="33" t="e">
        <f>IF(Sheet2!#REF!&lt;&gt;"",Sheet2!#REF!,"")</f>
        <v>#REF!</v>
      </c>
      <c r="C484" s="34" t="e">
        <f>IF(Sheet2!#REF!&lt;&gt;"",Sheet2!#REF!,"")</f>
        <v>#REF!</v>
      </c>
      <c r="D484" s="35" t="str">
        <f t="shared" ca="1" si="16"/>
        <v/>
      </c>
      <c r="E484" s="3"/>
      <c r="F484" s="3"/>
      <c r="G484" s="3"/>
      <c r="H484" s="3"/>
      <c r="K484" t="str">
        <f t="shared" ca="1" si="17"/>
        <v/>
      </c>
    </row>
    <row r="485" spans="1:11">
      <c r="A485" s="23" t="e">
        <f>IF(Sheet2!#REF!&lt;&gt;"",Sheet2!#REF!,"")</f>
        <v>#REF!</v>
      </c>
      <c r="B485" s="33" t="e">
        <f>IF(Sheet2!#REF!&lt;&gt;"",Sheet2!#REF!,"")</f>
        <v>#REF!</v>
      </c>
      <c r="C485" s="34" t="e">
        <f>IF(Sheet2!#REF!&lt;&gt;"",Sheet2!#REF!,"")</f>
        <v>#REF!</v>
      </c>
      <c r="D485" s="35" t="str">
        <f t="shared" ca="1" si="16"/>
        <v/>
      </c>
      <c r="E485" s="3"/>
      <c r="F485" s="3"/>
      <c r="G485" s="3"/>
      <c r="H485" s="3"/>
      <c r="K485" t="str">
        <f t="shared" ca="1" si="17"/>
        <v/>
      </c>
    </row>
    <row r="486" spans="1:11">
      <c r="A486" s="23" t="e">
        <f>IF(Sheet2!#REF!&lt;&gt;"",Sheet2!#REF!,"")</f>
        <v>#REF!</v>
      </c>
      <c r="B486" s="33" t="e">
        <f>IF(Sheet2!#REF!&lt;&gt;"",Sheet2!#REF!,"")</f>
        <v>#REF!</v>
      </c>
      <c r="C486" s="34" t="e">
        <f>IF(Sheet2!#REF!&lt;&gt;"",Sheet2!#REF!,"")</f>
        <v>#REF!</v>
      </c>
      <c r="D486" s="35" t="str">
        <f t="shared" ca="1" si="16"/>
        <v/>
      </c>
      <c r="E486" s="3"/>
      <c r="F486" s="3"/>
      <c r="G486" s="3"/>
      <c r="H486" s="3"/>
      <c r="K486" t="str">
        <f t="shared" ca="1" si="17"/>
        <v/>
      </c>
    </row>
    <row r="487" spans="1:11">
      <c r="A487" s="23" t="e">
        <f>IF(Sheet2!#REF!&lt;&gt;"",Sheet2!#REF!,"")</f>
        <v>#REF!</v>
      </c>
      <c r="B487" s="33" t="e">
        <f>IF(Sheet2!#REF!&lt;&gt;"",Sheet2!#REF!,"")</f>
        <v>#REF!</v>
      </c>
      <c r="C487" s="34" t="e">
        <f>IF(Sheet2!#REF!&lt;&gt;"",Sheet2!#REF!,"")</f>
        <v>#REF!</v>
      </c>
      <c r="D487" s="35" t="str">
        <f t="shared" ca="1" si="16"/>
        <v/>
      </c>
      <c r="E487" s="3"/>
      <c r="F487" s="3"/>
      <c r="G487" s="3"/>
      <c r="H487" s="3"/>
      <c r="K487" t="str">
        <f t="shared" ca="1" si="17"/>
        <v/>
      </c>
    </row>
    <row r="488" spans="1:11">
      <c r="A488" s="23" t="e">
        <f>IF(Sheet2!#REF!&lt;&gt;"",Sheet2!#REF!,"")</f>
        <v>#REF!</v>
      </c>
      <c r="B488" s="33" t="e">
        <f>IF(Sheet2!#REF!&lt;&gt;"",Sheet2!#REF!,"")</f>
        <v>#REF!</v>
      </c>
      <c r="C488" s="34" t="e">
        <f>IF(Sheet2!#REF!&lt;&gt;"",Sheet2!#REF!,"")</f>
        <v>#REF!</v>
      </c>
      <c r="D488" s="35" t="str">
        <f t="shared" ca="1" si="16"/>
        <v/>
      </c>
      <c r="E488" s="3"/>
      <c r="F488" s="3"/>
      <c r="G488" s="3"/>
      <c r="H488" s="3"/>
      <c r="K488" t="str">
        <f t="shared" ca="1" si="17"/>
        <v/>
      </c>
    </row>
    <row r="489" spans="1:11">
      <c r="A489" s="23" t="e">
        <f>IF(Sheet2!#REF!&lt;&gt;"",Sheet2!#REF!,"")</f>
        <v>#REF!</v>
      </c>
      <c r="B489" s="33" t="e">
        <f>IF(Sheet2!#REF!&lt;&gt;"",Sheet2!#REF!,"")</f>
        <v>#REF!</v>
      </c>
      <c r="C489" s="34" t="e">
        <f>IF(Sheet2!#REF!&lt;&gt;"",Sheet2!#REF!,"")</f>
        <v>#REF!</v>
      </c>
      <c r="D489" s="35" t="str">
        <f t="shared" ca="1" si="16"/>
        <v/>
      </c>
      <c r="E489" s="3"/>
      <c r="F489" s="3"/>
      <c r="G489" s="3"/>
      <c r="H489" s="3"/>
      <c r="K489" t="str">
        <f t="shared" ca="1" si="17"/>
        <v/>
      </c>
    </row>
    <row r="490" spans="1:11">
      <c r="A490" s="23" t="e">
        <f>IF(Sheet2!#REF!&lt;&gt;"",Sheet2!#REF!,"")</f>
        <v>#REF!</v>
      </c>
      <c r="B490" s="33" t="e">
        <f>IF(Sheet2!#REF!&lt;&gt;"",Sheet2!#REF!,"")</f>
        <v>#REF!</v>
      </c>
      <c r="C490" s="34" t="e">
        <f>IF(Sheet2!#REF!&lt;&gt;"",Sheet2!#REF!,"")</f>
        <v>#REF!</v>
      </c>
      <c r="D490" s="35" t="str">
        <f t="shared" ca="1" si="16"/>
        <v/>
      </c>
      <c r="E490" s="3"/>
      <c r="F490" s="3"/>
      <c r="G490" s="3"/>
      <c r="H490" s="3"/>
      <c r="K490" t="str">
        <f t="shared" ca="1" si="17"/>
        <v/>
      </c>
    </row>
    <row r="491" spans="1:11">
      <c r="A491" s="23" t="e">
        <f>IF(Sheet2!#REF!&lt;&gt;"",Sheet2!#REF!,"")</f>
        <v>#REF!</v>
      </c>
      <c r="B491" s="33" t="e">
        <f>IF(Sheet2!#REF!&lt;&gt;"",Sheet2!#REF!,"")</f>
        <v>#REF!</v>
      </c>
      <c r="C491" s="34" t="e">
        <f>IF(Sheet2!#REF!&lt;&gt;"",Sheet2!#REF!,"")</f>
        <v>#REF!</v>
      </c>
      <c r="D491" s="35" t="str">
        <f t="shared" ca="1" si="16"/>
        <v/>
      </c>
      <c r="E491" s="3"/>
      <c r="F491" s="3"/>
      <c r="G491" s="3"/>
      <c r="H491" s="3"/>
      <c r="K491" t="str">
        <f t="shared" ca="1" si="17"/>
        <v/>
      </c>
    </row>
    <row r="492" spans="1:11">
      <c r="A492" s="23" t="e">
        <f>IF(Sheet2!#REF!&lt;&gt;"",Sheet2!#REF!,"")</f>
        <v>#REF!</v>
      </c>
      <c r="B492" s="33" t="e">
        <f>IF(Sheet2!#REF!&lt;&gt;"",Sheet2!#REF!,"")</f>
        <v>#REF!</v>
      </c>
      <c r="C492" s="34" t="e">
        <f>IF(Sheet2!#REF!&lt;&gt;"",Sheet2!#REF!,"")</f>
        <v>#REF!</v>
      </c>
      <c r="D492" s="35" t="str">
        <f t="shared" ca="1" si="16"/>
        <v/>
      </c>
      <c r="E492" s="3"/>
      <c r="F492" s="3"/>
      <c r="G492" s="3"/>
      <c r="H492" s="3"/>
      <c r="K492" t="str">
        <f t="shared" ca="1" si="17"/>
        <v/>
      </c>
    </row>
    <row r="493" spans="1:11">
      <c r="A493" s="23" t="e">
        <f>IF(Sheet2!#REF!&lt;&gt;"",Sheet2!#REF!,"")</f>
        <v>#REF!</v>
      </c>
      <c r="B493" s="33" t="e">
        <f>IF(Sheet2!#REF!&lt;&gt;"",Sheet2!#REF!,"")</f>
        <v>#REF!</v>
      </c>
      <c r="C493" s="34" t="e">
        <f>IF(Sheet2!#REF!&lt;&gt;"",Sheet2!#REF!,"")</f>
        <v>#REF!</v>
      </c>
      <c r="D493" s="35" t="str">
        <f t="shared" ca="1" si="16"/>
        <v/>
      </c>
      <c r="E493" s="3"/>
      <c r="F493" s="3"/>
      <c r="G493" s="3"/>
      <c r="H493" s="3"/>
      <c r="K493" t="str">
        <f t="shared" ca="1" si="17"/>
        <v/>
      </c>
    </row>
    <row r="494" spans="1:11">
      <c r="A494" s="23" t="e">
        <f>IF(Sheet2!#REF!&lt;&gt;"",Sheet2!#REF!,"")</f>
        <v>#REF!</v>
      </c>
      <c r="B494" s="33" t="e">
        <f>IF(Sheet2!#REF!&lt;&gt;"",Sheet2!#REF!,"")</f>
        <v>#REF!</v>
      </c>
      <c r="C494" s="34" t="e">
        <f>IF(Sheet2!#REF!&lt;&gt;"",Sheet2!#REF!,"")</f>
        <v>#REF!</v>
      </c>
      <c r="D494" s="35" t="str">
        <f t="shared" ca="1" si="16"/>
        <v/>
      </c>
      <c r="E494" s="3"/>
      <c r="F494" s="3"/>
      <c r="G494" s="3"/>
      <c r="H494" s="3"/>
      <c r="K494" t="str">
        <f t="shared" ca="1" si="17"/>
        <v/>
      </c>
    </row>
    <row r="495" spans="1:11">
      <c r="A495" s="23" t="e">
        <f>IF(Sheet2!#REF!&lt;&gt;"",Sheet2!#REF!,"")</f>
        <v>#REF!</v>
      </c>
      <c r="B495" s="33" t="e">
        <f>IF(Sheet2!#REF!&lt;&gt;"",Sheet2!#REF!,"")</f>
        <v>#REF!</v>
      </c>
      <c r="C495" s="34" t="e">
        <f>IF(Sheet2!#REF!&lt;&gt;"",Sheet2!#REF!,"")</f>
        <v>#REF!</v>
      </c>
      <c r="D495" s="35" t="str">
        <f t="shared" ca="1" si="16"/>
        <v/>
      </c>
      <c r="E495" s="3"/>
      <c r="F495" s="3"/>
      <c r="G495" s="3"/>
      <c r="H495" s="3"/>
      <c r="K495" t="str">
        <f t="shared" ca="1" si="17"/>
        <v/>
      </c>
    </row>
    <row r="496" spans="1:11">
      <c r="A496" s="23" t="e">
        <f>IF(Sheet2!#REF!&lt;&gt;"",Sheet2!#REF!,"")</f>
        <v>#REF!</v>
      </c>
      <c r="B496" s="33" t="e">
        <f>IF(Sheet2!#REF!&lt;&gt;"",Sheet2!#REF!,"")</f>
        <v>#REF!</v>
      </c>
      <c r="C496" s="34" t="e">
        <f>IF(Sheet2!#REF!&lt;&gt;"",Sheet2!#REF!,"")</f>
        <v>#REF!</v>
      </c>
      <c r="D496" s="35" t="str">
        <f t="shared" ca="1" si="16"/>
        <v/>
      </c>
      <c r="E496" s="3"/>
      <c r="F496" s="3"/>
      <c r="G496" s="3"/>
      <c r="H496" s="3"/>
      <c r="K496" t="str">
        <f t="shared" ca="1" si="17"/>
        <v/>
      </c>
    </row>
    <row r="497" spans="1:11">
      <c r="A497" s="23" t="e">
        <f>IF(Sheet2!#REF!&lt;&gt;"",Sheet2!#REF!,"")</f>
        <v>#REF!</v>
      </c>
      <c r="B497" s="33" t="e">
        <f>IF(Sheet2!#REF!&lt;&gt;"",Sheet2!#REF!,"")</f>
        <v>#REF!</v>
      </c>
      <c r="C497" s="34" t="e">
        <f>IF(Sheet2!#REF!&lt;&gt;"",Sheet2!#REF!,"")</f>
        <v>#REF!</v>
      </c>
      <c r="D497" s="35" t="str">
        <f t="shared" ca="1" si="16"/>
        <v/>
      </c>
      <c r="E497" s="3"/>
      <c r="F497" s="3"/>
      <c r="G497" s="3"/>
      <c r="H497" s="3"/>
      <c r="K497" t="str">
        <f t="shared" ca="1" si="17"/>
        <v/>
      </c>
    </row>
    <row r="498" spans="1:11">
      <c r="A498" s="23" t="e">
        <f>IF(Sheet2!#REF!&lt;&gt;"",Sheet2!#REF!,"")</f>
        <v>#REF!</v>
      </c>
      <c r="B498" s="33" t="e">
        <f>IF(Sheet2!#REF!&lt;&gt;"",Sheet2!#REF!,"")</f>
        <v>#REF!</v>
      </c>
      <c r="C498" s="34" t="e">
        <f>IF(Sheet2!#REF!&lt;&gt;"",Sheet2!#REF!,"")</f>
        <v>#REF!</v>
      </c>
      <c r="D498" s="35" t="str">
        <f t="shared" ca="1" si="16"/>
        <v/>
      </c>
      <c r="E498" s="3"/>
      <c r="F498" s="3"/>
      <c r="G498" s="3"/>
      <c r="H498" s="3"/>
      <c r="K498" t="str">
        <f t="shared" ca="1" si="17"/>
        <v/>
      </c>
    </row>
    <row r="499" spans="1:11">
      <c r="A499" s="23" t="e">
        <f>IF(Sheet2!#REF!&lt;&gt;"",Sheet2!#REF!,"")</f>
        <v>#REF!</v>
      </c>
      <c r="B499" s="33" t="e">
        <f>IF(Sheet2!#REF!&lt;&gt;"",Sheet2!#REF!,"")</f>
        <v>#REF!</v>
      </c>
      <c r="C499" s="34" t="e">
        <f>IF(Sheet2!#REF!&lt;&gt;"",Sheet2!#REF!,"")</f>
        <v>#REF!</v>
      </c>
      <c r="D499" s="35" t="str">
        <f t="shared" ca="1" si="16"/>
        <v/>
      </c>
      <c r="E499" s="3"/>
      <c r="F499" s="3"/>
      <c r="G499" s="3"/>
      <c r="H499" s="3"/>
      <c r="K499" t="str">
        <f t="shared" ca="1" si="17"/>
        <v/>
      </c>
    </row>
    <row r="500" spans="1:11">
      <c r="A500" s="23" t="e">
        <f>IF(Sheet2!#REF!&lt;&gt;"",Sheet2!#REF!,"")</f>
        <v>#REF!</v>
      </c>
      <c r="B500" s="33" t="e">
        <f>IF(Sheet2!#REF!&lt;&gt;"",Sheet2!#REF!,"")</f>
        <v>#REF!</v>
      </c>
      <c r="C500" s="34" t="e">
        <f>IF(Sheet2!#REF!&lt;&gt;"",Sheet2!#REF!,"")</f>
        <v>#REF!</v>
      </c>
      <c r="D500" s="35" t="str">
        <f t="shared" ca="1" si="16"/>
        <v/>
      </c>
      <c r="E500" s="3"/>
      <c r="F500" s="3"/>
      <c r="G500" s="3"/>
      <c r="H500" s="3"/>
      <c r="K500" t="str">
        <f t="shared" ca="1" si="17"/>
        <v/>
      </c>
    </row>
    <row r="501" spans="1:11">
      <c r="A501" s="23" t="e">
        <f>IF(Sheet2!#REF!&lt;&gt;"",Sheet2!#REF!,"")</f>
        <v>#REF!</v>
      </c>
      <c r="B501" s="33" t="e">
        <f>IF(Sheet2!#REF!&lt;&gt;"",Sheet2!#REF!,"")</f>
        <v>#REF!</v>
      </c>
      <c r="C501" s="34" t="e">
        <f>IF(Sheet2!#REF!&lt;&gt;"",Sheet2!#REF!,"")</f>
        <v>#REF!</v>
      </c>
      <c r="D501" s="35" t="str">
        <f t="shared" ca="1" si="16"/>
        <v/>
      </c>
      <c r="E501" s="3"/>
      <c r="F501" s="3"/>
      <c r="G501" s="3"/>
      <c r="H501" s="3"/>
      <c r="K501" t="str">
        <f t="shared" ca="1" si="17"/>
        <v/>
      </c>
    </row>
    <row r="502" spans="1:11">
      <c r="A502" s="23" t="e">
        <f>IF(Sheet2!#REF!&lt;&gt;"",Sheet2!#REF!,"")</f>
        <v>#REF!</v>
      </c>
      <c r="B502" s="33" t="e">
        <f>IF(Sheet2!#REF!&lt;&gt;"",Sheet2!#REF!,"")</f>
        <v>#REF!</v>
      </c>
      <c r="C502" s="34" t="e">
        <f>IF(Sheet2!#REF!&lt;&gt;"",Sheet2!#REF!,"")</f>
        <v>#REF!</v>
      </c>
      <c r="D502" s="35" t="str">
        <f t="shared" ca="1" si="16"/>
        <v/>
      </c>
      <c r="E502" s="3"/>
      <c r="F502" s="3"/>
      <c r="G502" s="3"/>
      <c r="H502" s="3"/>
      <c r="K502" t="str">
        <f t="shared" ca="1" si="17"/>
        <v/>
      </c>
    </row>
    <row r="503" spans="1:11">
      <c r="A503" s="23" t="e">
        <f>IF(Sheet2!#REF!&lt;&gt;"",Sheet2!#REF!,"")</f>
        <v>#REF!</v>
      </c>
      <c r="B503" s="33" t="e">
        <f>IF(Sheet2!#REF!&lt;&gt;"",Sheet2!#REF!,"")</f>
        <v>#REF!</v>
      </c>
      <c r="C503" s="34" t="e">
        <f>IF(Sheet2!#REF!&lt;&gt;"",Sheet2!#REF!,"")</f>
        <v>#REF!</v>
      </c>
      <c r="D503" s="35" t="str">
        <f t="shared" ca="1" si="16"/>
        <v/>
      </c>
      <c r="E503" s="3"/>
      <c r="F503" s="3"/>
      <c r="G503" s="3"/>
      <c r="H503" s="3"/>
      <c r="K503" t="str">
        <f t="shared" ca="1" si="17"/>
        <v/>
      </c>
    </row>
    <row r="504" spans="1:11">
      <c r="A504" s="23" t="e">
        <f>IF(Sheet2!#REF!&lt;&gt;"",Sheet2!#REF!,"")</f>
        <v>#REF!</v>
      </c>
      <c r="B504" s="33" t="e">
        <f>IF(Sheet2!#REF!&lt;&gt;"",Sheet2!#REF!,"")</f>
        <v>#REF!</v>
      </c>
      <c r="C504" s="34" t="e">
        <f>IF(Sheet2!#REF!&lt;&gt;"",Sheet2!#REF!,"")</f>
        <v>#REF!</v>
      </c>
      <c r="D504" s="35" t="str">
        <f t="shared" ca="1" si="16"/>
        <v/>
      </c>
      <c r="E504" s="3"/>
      <c r="F504" s="3"/>
      <c r="G504" s="3"/>
      <c r="H504" s="3"/>
      <c r="K504" t="str">
        <f t="shared" ca="1" si="17"/>
        <v/>
      </c>
    </row>
    <row r="505" spans="1:11">
      <c r="A505" s="23" t="e">
        <f>IF(Sheet2!#REF!&lt;&gt;"",Sheet2!#REF!,"")</f>
        <v>#REF!</v>
      </c>
      <c r="B505" s="33" t="e">
        <f>IF(Sheet2!#REF!&lt;&gt;"",Sheet2!#REF!,"")</f>
        <v>#REF!</v>
      </c>
      <c r="C505" s="34" t="e">
        <f>IF(Sheet2!#REF!&lt;&gt;"",Sheet2!#REF!,"")</f>
        <v>#REF!</v>
      </c>
      <c r="D505" s="35" t="str">
        <f t="shared" ca="1" si="16"/>
        <v/>
      </c>
      <c r="E505" s="3"/>
      <c r="F505" s="3"/>
      <c r="G505" s="3"/>
      <c r="H505" s="3"/>
      <c r="K505" t="str">
        <f t="shared" ca="1" si="17"/>
        <v/>
      </c>
    </row>
    <row r="506" spans="1:11">
      <c r="A506" s="23" t="e">
        <f>IF(Sheet2!#REF!&lt;&gt;"",Sheet2!#REF!,"")</f>
        <v>#REF!</v>
      </c>
      <c r="B506" s="33" t="e">
        <f>IF(Sheet2!#REF!&lt;&gt;"",Sheet2!#REF!,"")</f>
        <v>#REF!</v>
      </c>
      <c r="C506" s="34" t="e">
        <f>IF(Sheet2!#REF!&lt;&gt;"",Sheet2!#REF!,"")</f>
        <v>#REF!</v>
      </c>
      <c r="D506" s="35" t="str">
        <f t="shared" ca="1" si="16"/>
        <v/>
      </c>
      <c r="E506" s="3"/>
      <c r="F506" s="3"/>
      <c r="G506" s="3"/>
      <c r="H506" s="3"/>
      <c r="K506" t="str">
        <f t="shared" ca="1" si="17"/>
        <v/>
      </c>
    </row>
    <row r="507" spans="1:11">
      <c r="A507" s="23" t="e">
        <f>IF(Sheet2!#REF!&lt;&gt;"",Sheet2!#REF!,"")</f>
        <v>#REF!</v>
      </c>
      <c r="B507" s="33" t="e">
        <f>IF(Sheet2!#REF!&lt;&gt;"",Sheet2!#REF!,"")</f>
        <v>#REF!</v>
      </c>
      <c r="C507" s="34" t="e">
        <f>IF(Sheet2!#REF!&lt;&gt;"",Sheet2!#REF!,"")</f>
        <v>#REF!</v>
      </c>
      <c r="D507" s="35" t="str">
        <f t="shared" ca="1" si="16"/>
        <v/>
      </c>
      <c r="E507" s="3"/>
      <c r="F507" s="3"/>
      <c r="G507" s="3"/>
      <c r="H507" s="3"/>
      <c r="K507" t="str">
        <f t="shared" ca="1" si="17"/>
        <v/>
      </c>
    </row>
    <row r="508" spans="1:11">
      <c r="A508" s="23" t="e">
        <f>IF(Sheet2!#REF!&lt;&gt;"",Sheet2!#REF!,"")</f>
        <v>#REF!</v>
      </c>
      <c r="B508" s="33" t="e">
        <f>IF(Sheet2!#REF!&lt;&gt;"",Sheet2!#REF!,"")</f>
        <v>#REF!</v>
      </c>
      <c r="C508" s="34" t="e">
        <f>IF(Sheet2!#REF!&lt;&gt;"",Sheet2!#REF!,"")</f>
        <v>#REF!</v>
      </c>
      <c r="D508" s="35" t="str">
        <f t="shared" ca="1" si="16"/>
        <v/>
      </c>
      <c r="E508" s="3"/>
      <c r="F508" s="3"/>
      <c r="G508" s="3"/>
      <c r="H508" s="3"/>
      <c r="K508" t="str">
        <f t="shared" ca="1" si="17"/>
        <v/>
      </c>
    </row>
    <row r="509" spans="1:11">
      <c r="A509" s="23" t="e">
        <f>IF(Sheet2!#REF!&lt;&gt;"",Sheet2!#REF!,"")</f>
        <v>#REF!</v>
      </c>
      <c r="B509" s="33" t="e">
        <f>IF(Sheet2!#REF!&lt;&gt;"",Sheet2!#REF!,"")</f>
        <v>#REF!</v>
      </c>
      <c r="C509" s="34" t="e">
        <f>IF(Sheet2!#REF!&lt;&gt;"",Sheet2!#REF!,"")</f>
        <v>#REF!</v>
      </c>
      <c r="D509" s="35" t="str">
        <f t="shared" ca="1" si="16"/>
        <v/>
      </c>
      <c r="E509" s="3"/>
      <c r="F509" s="3"/>
      <c r="G509" s="3"/>
      <c r="H509" s="3"/>
      <c r="K509" t="str">
        <f t="shared" ca="1" si="17"/>
        <v/>
      </c>
    </row>
    <row r="510" spans="1:11">
      <c r="A510" s="23" t="e">
        <f>IF(Sheet2!#REF!&lt;&gt;"",Sheet2!#REF!,"")</f>
        <v>#REF!</v>
      </c>
      <c r="B510" s="33" t="e">
        <f>IF(Sheet2!#REF!&lt;&gt;"",Sheet2!#REF!,"")</f>
        <v>#REF!</v>
      </c>
      <c r="C510" s="34" t="e">
        <f>IF(Sheet2!#REF!&lt;&gt;"",Sheet2!#REF!,"")</f>
        <v>#REF!</v>
      </c>
      <c r="D510" s="35" t="str">
        <f t="shared" ca="1" si="16"/>
        <v/>
      </c>
      <c r="E510" s="3"/>
      <c r="F510" s="3"/>
      <c r="G510" s="3"/>
      <c r="H510" s="3"/>
      <c r="K510" t="str">
        <f t="shared" ca="1" si="17"/>
        <v/>
      </c>
    </row>
    <row r="511" spans="1:11">
      <c r="A511" s="23" t="e">
        <f>IF(Sheet2!#REF!&lt;&gt;"",Sheet2!#REF!,"")</f>
        <v>#REF!</v>
      </c>
      <c r="B511" s="33" t="e">
        <f>IF(Sheet2!#REF!&lt;&gt;"",Sheet2!#REF!,"")</f>
        <v>#REF!</v>
      </c>
      <c r="C511" s="34" t="e">
        <f>IF(Sheet2!#REF!&lt;&gt;"",Sheet2!#REF!,"")</f>
        <v>#REF!</v>
      </c>
      <c r="D511" s="35" t="str">
        <f t="shared" ca="1" si="16"/>
        <v/>
      </c>
      <c r="E511" s="3"/>
      <c r="F511" s="3"/>
      <c r="G511" s="3"/>
      <c r="H511" s="3"/>
      <c r="K511" t="str">
        <f t="shared" ca="1" si="17"/>
        <v/>
      </c>
    </row>
    <row r="512" spans="1:11">
      <c r="A512" s="23" t="e">
        <f>IF(Sheet2!#REF!&lt;&gt;"",Sheet2!#REF!,"")</f>
        <v>#REF!</v>
      </c>
      <c r="B512" s="33" t="e">
        <f>IF(Sheet2!#REF!&lt;&gt;"",Sheet2!#REF!,"")</f>
        <v>#REF!</v>
      </c>
      <c r="C512" s="34" t="e">
        <f>IF(Sheet2!#REF!&lt;&gt;"",Sheet2!#REF!,"")</f>
        <v>#REF!</v>
      </c>
      <c r="D512" s="35" t="str">
        <f t="shared" ca="1" si="16"/>
        <v/>
      </c>
      <c r="E512" s="3"/>
      <c r="F512" s="3"/>
      <c r="G512" s="3"/>
      <c r="H512" s="3"/>
      <c r="K512" t="str">
        <f t="shared" ca="1" si="17"/>
        <v/>
      </c>
    </row>
    <row r="513" spans="1:11">
      <c r="A513" s="23" t="e">
        <f>IF(Sheet2!#REF!&lt;&gt;"",Sheet2!#REF!,"")</f>
        <v>#REF!</v>
      </c>
      <c r="B513" s="33" t="e">
        <f>IF(Sheet2!#REF!&lt;&gt;"",Sheet2!#REF!,"")</f>
        <v>#REF!</v>
      </c>
      <c r="C513" s="34" t="e">
        <f>IF(Sheet2!#REF!&lt;&gt;"",Sheet2!#REF!,"")</f>
        <v>#REF!</v>
      </c>
      <c r="D513" s="35" t="str">
        <f t="shared" ca="1" si="16"/>
        <v/>
      </c>
      <c r="E513" s="3"/>
      <c r="F513" s="3"/>
      <c r="G513" s="3"/>
      <c r="H513" s="3"/>
      <c r="K513" t="str">
        <f t="shared" ca="1" si="17"/>
        <v/>
      </c>
    </row>
    <row r="514" spans="1:11">
      <c r="A514" s="23" t="e">
        <f>IF(Sheet2!#REF!&lt;&gt;"",Sheet2!#REF!,"")</f>
        <v>#REF!</v>
      </c>
      <c r="B514" s="33" t="e">
        <f>IF(Sheet2!#REF!&lt;&gt;"",Sheet2!#REF!,"")</f>
        <v>#REF!</v>
      </c>
      <c r="C514" s="34" t="e">
        <f>IF(Sheet2!#REF!&lt;&gt;"",Sheet2!#REF!,"")</f>
        <v>#REF!</v>
      </c>
      <c r="D514" s="35" t="str">
        <f t="shared" ca="1" si="16"/>
        <v/>
      </c>
      <c r="E514" s="3"/>
      <c r="F514" s="3"/>
      <c r="G514" s="3"/>
      <c r="H514" s="3"/>
      <c r="K514" t="str">
        <f t="shared" ca="1" si="17"/>
        <v/>
      </c>
    </row>
    <row r="515" spans="1:11">
      <c r="A515" s="23" t="e">
        <f>IF(Sheet2!#REF!&lt;&gt;"",Sheet2!#REF!,"")</f>
        <v>#REF!</v>
      </c>
      <c r="B515" s="33" t="e">
        <f>IF(Sheet2!#REF!&lt;&gt;"",Sheet2!#REF!,"")</f>
        <v>#REF!</v>
      </c>
      <c r="C515" s="34" t="e">
        <f>IF(Sheet2!#REF!&lt;&gt;"",Sheet2!#REF!,"")</f>
        <v>#REF!</v>
      </c>
      <c r="D515" s="35" t="str">
        <f t="shared" ref="D515:D578" ca="1" si="18">IFERROR(IF(AND((C515-TODAY())&lt;15,B515&lt;&gt;""),IF(I515="","Alert",""),""),"")</f>
        <v/>
      </c>
      <c r="E515" s="3"/>
      <c r="F515" s="3"/>
      <c r="G515" s="3"/>
      <c r="H515" s="3"/>
      <c r="K515" t="str">
        <f t="shared" ref="K515:K578" ca="1" si="19">IF(I515&lt;&gt;"",IF(J515="",IF(TODAY()-I515&gt;3,"ALERT",""),""),"")</f>
        <v/>
      </c>
    </row>
    <row r="516" spans="1:11">
      <c r="A516" s="23" t="e">
        <f>IF(Sheet2!#REF!&lt;&gt;"",Sheet2!#REF!,"")</f>
        <v>#REF!</v>
      </c>
      <c r="B516" s="33" t="e">
        <f>IF(Sheet2!#REF!&lt;&gt;"",Sheet2!#REF!,"")</f>
        <v>#REF!</v>
      </c>
      <c r="C516" s="34" t="e">
        <f>IF(Sheet2!#REF!&lt;&gt;"",Sheet2!#REF!,"")</f>
        <v>#REF!</v>
      </c>
      <c r="D516" s="35" t="str">
        <f t="shared" ca="1" si="18"/>
        <v/>
      </c>
      <c r="E516" s="3"/>
      <c r="F516" s="3"/>
      <c r="G516" s="3"/>
      <c r="H516" s="3"/>
      <c r="K516" t="str">
        <f t="shared" ca="1" si="19"/>
        <v/>
      </c>
    </row>
    <row r="517" spans="1:11">
      <c r="A517" s="23" t="e">
        <f>IF(Sheet2!#REF!&lt;&gt;"",Sheet2!#REF!,"")</f>
        <v>#REF!</v>
      </c>
      <c r="B517" s="33" t="e">
        <f>IF(Sheet2!#REF!&lt;&gt;"",Sheet2!#REF!,"")</f>
        <v>#REF!</v>
      </c>
      <c r="C517" s="34" t="e">
        <f>IF(Sheet2!#REF!&lt;&gt;"",Sheet2!#REF!,"")</f>
        <v>#REF!</v>
      </c>
      <c r="D517" s="35" t="str">
        <f t="shared" ca="1" si="18"/>
        <v/>
      </c>
      <c r="E517" s="3"/>
      <c r="F517" s="3"/>
      <c r="G517" s="3"/>
      <c r="H517" s="3"/>
      <c r="K517" t="str">
        <f t="shared" ca="1" si="19"/>
        <v/>
      </c>
    </row>
    <row r="518" spans="1:11">
      <c r="A518" s="23" t="e">
        <f>IF(Sheet2!#REF!&lt;&gt;"",Sheet2!#REF!,"")</f>
        <v>#REF!</v>
      </c>
      <c r="B518" s="33" t="e">
        <f>IF(Sheet2!#REF!&lt;&gt;"",Sheet2!#REF!,"")</f>
        <v>#REF!</v>
      </c>
      <c r="C518" s="34" t="e">
        <f>IF(Sheet2!#REF!&lt;&gt;"",Sheet2!#REF!,"")</f>
        <v>#REF!</v>
      </c>
      <c r="D518" s="35" t="str">
        <f t="shared" ca="1" si="18"/>
        <v/>
      </c>
      <c r="E518" s="3"/>
      <c r="F518" s="3"/>
      <c r="G518" s="3"/>
      <c r="H518" s="3"/>
      <c r="K518" t="str">
        <f t="shared" ca="1" si="19"/>
        <v/>
      </c>
    </row>
    <row r="519" spans="1:11">
      <c r="A519" s="23" t="e">
        <f>IF(Sheet2!#REF!&lt;&gt;"",Sheet2!#REF!,"")</f>
        <v>#REF!</v>
      </c>
      <c r="B519" s="33" t="e">
        <f>IF(Sheet2!#REF!&lt;&gt;"",Sheet2!#REF!,"")</f>
        <v>#REF!</v>
      </c>
      <c r="C519" s="34" t="e">
        <f>IF(Sheet2!#REF!&lt;&gt;"",Sheet2!#REF!,"")</f>
        <v>#REF!</v>
      </c>
      <c r="D519" s="35" t="str">
        <f t="shared" ca="1" si="18"/>
        <v/>
      </c>
      <c r="E519" s="3"/>
      <c r="F519" s="3"/>
      <c r="G519" s="3"/>
      <c r="H519" s="3"/>
      <c r="K519" t="str">
        <f t="shared" ca="1" si="19"/>
        <v/>
      </c>
    </row>
    <row r="520" spans="1:11">
      <c r="A520" s="23" t="e">
        <f>IF(Sheet2!#REF!&lt;&gt;"",Sheet2!#REF!,"")</f>
        <v>#REF!</v>
      </c>
      <c r="B520" s="33" t="e">
        <f>IF(Sheet2!#REF!&lt;&gt;"",Sheet2!#REF!,"")</f>
        <v>#REF!</v>
      </c>
      <c r="C520" s="34" t="e">
        <f>IF(Sheet2!#REF!&lt;&gt;"",Sheet2!#REF!,"")</f>
        <v>#REF!</v>
      </c>
      <c r="D520" s="35" t="str">
        <f t="shared" ca="1" si="18"/>
        <v/>
      </c>
      <c r="E520" s="3"/>
      <c r="F520" s="3"/>
      <c r="G520" s="3"/>
      <c r="H520" s="3"/>
      <c r="K520" t="str">
        <f t="shared" ca="1" si="19"/>
        <v/>
      </c>
    </row>
    <row r="521" spans="1:11">
      <c r="A521" s="23" t="e">
        <f>IF(Sheet2!#REF!&lt;&gt;"",Sheet2!#REF!,"")</f>
        <v>#REF!</v>
      </c>
      <c r="B521" s="33" t="e">
        <f>IF(Sheet2!#REF!&lt;&gt;"",Sheet2!#REF!,"")</f>
        <v>#REF!</v>
      </c>
      <c r="C521" s="34" t="e">
        <f>IF(Sheet2!#REF!&lt;&gt;"",Sheet2!#REF!,"")</f>
        <v>#REF!</v>
      </c>
      <c r="D521" s="35" t="str">
        <f t="shared" ca="1" si="18"/>
        <v/>
      </c>
      <c r="E521" s="3"/>
      <c r="F521" s="3"/>
      <c r="G521" s="3"/>
      <c r="H521" s="3"/>
      <c r="K521" t="str">
        <f t="shared" ca="1" si="19"/>
        <v/>
      </c>
    </row>
    <row r="522" spans="1:11">
      <c r="A522" s="23" t="e">
        <f>IF(Sheet2!#REF!&lt;&gt;"",Sheet2!#REF!,"")</f>
        <v>#REF!</v>
      </c>
      <c r="B522" s="33" t="e">
        <f>IF(Sheet2!#REF!&lt;&gt;"",Sheet2!#REF!,"")</f>
        <v>#REF!</v>
      </c>
      <c r="C522" s="34" t="e">
        <f>IF(Sheet2!#REF!&lt;&gt;"",Sheet2!#REF!,"")</f>
        <v>#REF!</v>
      </c>
      <c r="D522" s="35" t="str">
        <f t="shared" ca="1" si="18"/>
        <v/>
      </c>
      <c r="E522" s="3"/>
      <c r="F522" s="3"/>
      <c r="G522" s="3"/>
      <c r="H522" s="3"/>
      <c r="K522" t="str">
        <f t="shared" ca="1" si="19"/>
        <v/>
      </c>
    </row>
    <row r="523" spans="1:11">
      <c r="A523" s="23" t="e">
        <f>IF(Sheet2!#REF!&lt;&gt;"",Sheet2!#REF!,"")</f>
        <v>#REF!</v>
      </c>
      <c r="B523" s="33" t="e">
        <f>IF(Sheet2!#REF!&lt;&gt;"",Sheet2!#REF!,"")</f>
        <v>#REF!</v>
      </c>
      <c r="C523" s="34" t="e">
        <f>IF(Sheet2!#REF!&lt;&gt;"",Sheet2!#REF!,"")</f>
        <v>#REF!</v>
      </c>
      <c r="D523" s="35" t="str">
        <f t="shared" ca="1" si="18"/>
        <v/>
      </c>
      <c r="E523" s="3"/>
      <c r="F523" s="3"/>
      <c r="G523" s="3"/>
      <c r="H523" s="3"/>
      <c r="K523" t="str">
        <f t="shared" ca="1" si="19"/>
        <v/>
      </c>
    </row>
    <row r="524" spans="1:11">
      <c r="A524" s="23" t="e">
        <f>IF(Sheet2!#REF!&lt;&gt;"",Sheet2!#REF!,"")</f>
        <v>#REF!</v>
      </c>
      <c r="B524" s="33" t="e">
        <f>IF(Sheet2!#REF!&lt;&gt;"",Sheet2!#REF!,"")</f>
        <v>#REF!</v>
      </c>
      <c r="C524" s="34" t="e">
        <f>IF(Sheet2!#REF!&lt;&gt;"",Sheet2!#REF!,"")</f>
        <v>#REF!</v>
      </c>
      <c r="D524" s="35" t="str">
        <f t="shared" ca="1" si="18"/>
        <v/>
      </c>
      <c r="E524" s="3"/>
      <c r="F524" s="3"/>
      <c r="G524" s="3"/>
      <c r="H524" s="3"/>
      <c r="K524" t="str">
        <f t="shared" ca="1" si="19"/>
        <v/>
      </c>
    </row>
    <row r="525" spans="1:11">
      <c r="A525" s="23" t="e">
        <f>IF(Sheet2!#REF!&lt;&gt;"",Sheet2!#REF!,"")</f>
        <v>#REF!</v>
      </c>
      <c r="B525" s="33" t="e">
        <f>IF(Sheet2!#REF!&lt;&gt;"",Sheet2!#REF!,"")</f>
        <v>#REF!</v>
      </c>
      <c r="C525" s="34" t="e">
        <f>IF(Sheet2!#REF!&lt;&gt;"",Sheet2!#REF!,"")</f>
        <v>#REF!</v>
      </c>
      <c r="D525" s="35" t="str">
        <f t="shared" ca="1" si="18"/>
        <v/>
      </c>
      <c r="E525" s="3"/>
      <c r="F525" s="3"/>
      <c r="G525" s="3"/>
      <c r="H525" s="3"/>
      <c r="K525" t="str">
        <f t="shared" ca="1" si="19"/>
        <v/>
      </c>
    </row>
    <row r="526" spans="1:11">
      <c r="A526" s="23" t="e">
        <f>IF(Sheet2!#REF!&lt;&gt;"",Sheet2!#REF!,"")</f>
        <v>#REF!</v>
      </c>
      <c r="B526" s="33" t="e">
        <f>IF(Sheet2!#REF!&lt;&gt;"",Sheet2!#REF!,"")</f>
        <v>#REF!</v>
      </c>
      <c r="C526" s="34" t="e">
        <f>IF(Sheet2!#REF!&lt;&gt;"",Sheet2!#REF!,"")</f>
        <v>#REF!</v>
      </c>
      <c r="D526" s="35" t="str">
        <f t="shared" ca="1" si="18"/>
        <v/>
      </c>
      <c r="E526" s="3"/>
      <c r="F526" s="3"/>
      <c r="G526" s="3"/>
      <c r="H526" s="3"/>
      <c r="K526" t="str">
        <f t="shared" ca="1" si="19"/>
        <v/>
      </c>
    </row>
    <row r="527" spans="1:11">
      <c r="A527" s="23" t="e">
        <f>IF(Sheet2!#REF!&lt;&gt;"",Sheet2!#REF!,"")</f>
        <v>#REF!</v>
      </c>
      <c r="B527" s="33" t="e">
        <f>IF(Sheet2!#REF!&lt;&gt;"",Sheet2!#REF!,"")</f>
        <v>#REF!</v>
      </c>
      <c r="C527" s="34" t="e">
        <f>IF(Sheet2!#REF!&lt;&gt;"",Sheet2!#REF!,"")</f>
        <v>#REF!</v>
      </c>
      <c r="D527" s="35" t="str">
        <f t="shared" ca="1" si="18"/>
        <v/>
      </c>
      <c r="E527" s="3"/>
      <c r="F527" s="3"/>
      <c r="G527" s="3"/>
      <c r="H527" s="3"/>
      <c r="K527" t="str">
        <f t="shared" ca="1" si="19"/>
        <v/>
      </c>
    </row>
    <row r="528" spans="1:11">
      <c r="A528" s="23" t="e">
        <f>IF(Sheet2!#REF!&lt;&gt;"",Sheet2!#REF!,"")</f>
        <v>#REF!</v>
      </c>
      <c r="B528" s="33" t="e">
        <f>IF(Sheet2!#REF!&lt;&gt;"",Sheet2!#REF!,"")</f>
        <v>#REF!</v>
      </c>
      <c r="C528" s="34" t="e">
        <f>IF(Sheet2!#REF!&lt;&gt;"",Sheet2!#REF!,"")</f>
        <v>#REF!</v>
      </c>
      <c r="D528" s="35" t="str">
        <f t="shared" ca="1" si="18"/>
        <v/>
      </c>
      <c r="E528" s="3"/>
      <c r="F528" s="3"/>
      <c r="G528" s="3"/>
      <c r="H528" s="3"/>
      <c r="K528" t="str">
        <f t="shared" ca="1" si="19"/>
        <v/>
      </c>
    </row>
    <row r="529" spans="1:11">
      <c r="A529" s="23" t="e">
        <f>IF(Sheet2!#REF!&lt;&gt;"",Sheet2!#REF!,"")</f>
        <v>#REF!</v>
      </c>
      <c r="B529" s="33" t="e">
        <f>IF(Sheet2!#REF!&lt;&gt;"",Sheet2!#REF!,"")</f>
        <v>#REF!</v>
      </c>
      <c r="C529" s="34" t="e">
        <f>IF(Sheet2!#REF!&lt;&gt;"",Sheet2!#REF!,"")</f>
        <v>#REF!</v>
      </c>
      <c r="D529" s="35" t="str">
        <f t="shared" ca="1" si="18"/>
        <v/>
      </c>
      <c r="E529" s="3"/>
      <c r="F529" s="3"/>
      <c r="G529" s="3"/>
      <c r="H529" s="3"/>
      <c r="K529" t="str">
        <f t="shared" ca="1" si="19"/>
        <v/>
      </c>
    </row>
    <row r="530" spans="1:11">
      <c r="A530" s="23" t="e">
        <f>IF(Sheet2!#REF!&lt;&gt;"",Sheet2!#REF!,"")</f>
        <v>#REF!</v>
      </c>
      <c r="B530" s="33" t="e">
        <f>IF(Sheet2!#REF!&lt;&gt;"",Sheet2!#REF!,"")</f>
        <v>#REF!</v>
      </c>
      <c r="C530" s="34" t="e">
        <f>IF(Sheet2!#REF!&lt;&gt;"",Sheet2!#REF!,"")</f>
        <v>#REF!</v>
      </c>
      <c r="D530" s="35" t="str">
        <f t="shared" ca="1" si="18"/>
        <v/>
      </c>
      <c r="E530" s="3"/>
      <c r="F530" s="3"/>
      <c r="G530" s="3"/>
      <c r="H530" s="3"/>
      <c r="K530" t="str">
        <f t="shared" ca="1" si="19"/>
        <v/>
      </c>
    </row>
    <row r="531" spans="1:11">
      <c r="A531" s="23" t="e">
        <f>IF(Sheet2!#REF!&lt;&gt;"",Sheet2!#REF!,"")</f>
        <v>#REF!</v>
      </c>
      <c r="B531" s="33" t="e">
        <f>IF(Sheet2!#REF!&lt;&gt;"",Sheet2!#REF!,"")</f>
        <v>#REF!</v>
      </c>
      <c r="C531" s="34" t="e">
        <f>IF(Sheet2!#REF!&lt;&gt;"",Sheet2!#REF!,"")</f>
        <v>#REF!</v>
      </c>
      <c r="D531" s="35" t="str">
        <f t="shared" ca="1" si="18"/>
        <v/>
      </c>
      <c r="E531" s="3"/>
      <c r="F531" s="3"/>
      <c r="G531" s="3"/>
      <c r="H531" s="3"/>
      <c r="K531" t="str">
        <f t="shared" ca="1" si="19"/>
        <v/>
      </c>
    </row>
    <row r="532" spans="1:11">
      <c r="A532" s="23" t="e">
        <f>IF(Sheet2!#REF!&lt;&gt;"",Sheet2!#REF!,"")</f>
        <v>#REF!</v>
      </c>
      <c r="B532" s="33" t="e">
        <f>IF(Sheet2!#REF!&lt;&gt;"",Sheet2!#REF!,"")</f>
        <v>#REF!</v>
      </c>
      <c r="C532" s="34" t="e">
        <f>IF(Sheet2!#REF!&lt;&gt;"",Sheet2!#REF!,"")</f>
        <v>#REF!</v>
      </c>
      <c r="D532" s="35" t="str">
        <f t="shared" ca="1" si="18"/>
        <v/>
      </c>
      <c r="E532" s="3"/>
      <c r="F532" s="3"/>
      <c r="G532" s="3"/>
      <c r="H532" s="3"/>
      <c r="K532" t="str">
        <f t="shared" ca="1" si="19"/>
        <v/>
      </c>
    </row>
    <row r="533" spans="1:11">
      <c r="A533" s="23" t="e">
        <f>IF(Sheet2!#REF!&lt;&gt;"",Sheet2!#REF!,"")</f>
        <v>#REF!</v>
      </c>
      <c r="B533" s="33" t="e">
        <f>IF(Sheet2!#REF!&lt;&gt;"",Sheet2!#REF!,"")</f>
        <v>#REF!</v>
      </c>
      <c r="C533" s="34" t="e">
        <f>IF(Sheet2!#REF!&lt;&gt;"",Sheet2!#REF!,"")</f>
        <v>#REF!</v>
      </c>
      <c r="D533" s="35" t="str">
        <f t="shared" ca="1" si="18"/>
        <v/>
      </c>
      <c r="E533" s="3"/>
      <c r="F533" s="3"/>
      <c r="G533" s="3"/>
      <c r="H533" s="3"/>
      <c r="K533" t="str">
        <f t="shared" ca="1" si="19"/>
        <v/>
      </c>
    </row>
    <row r="534" spans="1:11">
      <c r="A534" s="23" t="e">
        <f>IF(Sheet2!#REF!&lt;&gt;"",Sheet2!#REF!,"")</f>
        <v>#REF!</v>
      </c>
      <c r="B534" s="33" t="e">
        <f>IF(Sheet2!#REF!&lt;&gt;"",Sheet2!#REF!,"")</f>
        <v>#REF!</v>
      </c>
      <c r="C534" s="34" t="e">
        <f>IF(Sheet2!#REF!&lt;&gt;"",Sheet2!#REF!,"")</f>
        <v>#REF!</v>
      </c>
      <c r="D534" s="35" t="str">
        <f t="shared" ca="1" si="18"/>
        <v/>
      </c>
      <c r="E534" s="3"/>
      <c r="F534" s="3"/>
      <c r="G534" s="3"/>
      <c r="H534" s="3"/>
      <c r="K534" t="str">
        <f t="shared" ca="1" si="19"/>
        <v/>
      </c>
    </row>
    <row r="535" spans="1:11">
      <c r="A535" s="23" t="e">
        <f>IF(Sheet2!#REF!&lt;&gt;"",Sheet2!#REF!,"")</f>
        <v>#REF!</v>
      </c>
      <c r="B535" s="33" t="e">
        <f>IF(Sheet2!#REF!&lt;&gt;"",Sheet2!#REF!,"")</f>
        <v>#REF!</v>
      </c>
      <c r="C535" s="34" t="e">
        <f>IF(Sheet2!#REF!&lt;&gt;"",Sheet2!#REF!,"")</f>
        <v>#REF!</v>
      </c>
      <c r="D535" s="35" t="str">
        <f t="shared" ca="1" si="18"/>
        <v/>
      </c>
      <c r="E535" s="3"/>
      <c r="F535" s="3"/>
      <c r="G535" s="3"/>
      <c r="H535" s="3"/>
      <c r="K535" t="str">
        <f t="shared" ca="1" si="19"/>
        <v/>
      </c>
    </row>
    <row r="536" spans="1:11">
      <c r="A536" s="23" t="e">
        <f>IF(Sheet2!#REF!&lt;&gt;"",Sheet2!#REF!,"")</f>
        <v>#REF!</v>
      </c>
      <c r="B536" s="33" t="e">
        <f>IF(Sheet2!#REF!&lt;&gt;"",Sheet2!#REF!,"")</f>
        <v>#REF!</v>
      </c>
      <c r="C536" s="34" t="e">
        <f>IF(Sheet2!#REF!&lt;&gt;"",Sheet2!#REF!,"")</f>
        <v>#REF!</v>
      </c>
      <c r="D536" s="35" t="str">
        <f t="shared" ca="1" si="18"/>
        <v/>
      </c>
      <c r="E536" s="3"/>
      <c r="F536" s="3"/>
      <c r="G536" s="3"/>
      <c r="H536" s="3"/>
      <c r="K536" t="str">
        <f t="shared" ca="1" si="19"/>
        <v/>
      </c>
    </row>
    <row r="537" spans="1:11">
      <c r="A537" s="23" t="e">
        <f>IF(Sheet2!#REF!&lt;&gt;"",Sheet2!#REF!,"")</f>
        <v>#REF!</v>
      </c>
      <c r="B537" s="33" t="e">
        <f>IF(Sheet2!#REF!&lt;&gt;"",Sheet2!#REF!,"")</f>
        <v>#REF!</v>
      </c>
      <c r="C537" s="34" t="e">
        <f>IF(Sheet2!#REF!&lt;&gt;"",Sheet2!#REF!,"")</f>
        <v>#REF!</v>
      </c>
      <c r="D537" s="35" t="str">
        <f t="shared" ca="1" si="18"/>
        <v/>
      </c>
      <c r="E537" s="3"/>
      <c r="F537" s="3"/>
      <c r="G537" s="3"/>
      <c r="H537" s="3"/>
      <c r="K537" t="str">
        <f t="shared" ca="1" si="19"/>
        <v/>
      </c>
    </row>
    <row r="538" spans="1:11">
      <c r="A538" s="23" t="e">
        <f>IF(Sheet2!#REF!&lt;&gt;"",Sheet2!#REF!,"")</f>
        <v>#REF!</v>
      </c>
      <c r="B538" s="33" t="e">
        <f>IF(Sheet2!#REF!&lt;&gt;"",Sheet2!#REF!,"")</f>
        <v>#REF!</v>
      </c>
      <c r="C538" s="34" t="e">
        <f>IF(Sheet2!#REF!&lt;&gt;"",Sheet2!#REF!,"")</f>
        <v>#REF!</v>
      </c>
      <c r="D538" s="35" t="str">
        <f t="shared" ca="1" si="18"/>
        <v/>
      </c>
      <c r="E538" s="3"/>
      <c r="F538" s="3"/>
      <c r="G538" s="3"/>
      <c r="H538" s="3"/>
      <c r="K538" t="str">
        <f t="shared" ca="1" si="19"/>
        <v/>
      </c>
    </row>
    <row r="539" spans="1:11">
      <c r="A539" s="23" t="e">
        <f>IF(Sheet2!#REF!&lt;&gt;"",Sheet2!#REF!,"")</f>
        <v>#REF!</v>
      </c>
      <c r="B539" s="33" t="e">
        <f>IF(Sheet2!#REF!&lt;&gt;"",Sheet2!#REF!,"")</f>
        <v>#REF!</v>
      </c>
      <c r="C539" s="34" t="e">
        <f>IF(Sheet2!#REF!&lt;&gt;"",Sheet2!#REF!,"")</f>
        <v>#REF!</v>
      </c>
      <c r="D539" s="35" t="str">
        <f t="shared" ca="1" si="18"/>
        <v/>
      </c>
      <c r="E539" s="3"/>
      <c r="F539" s="3"/>
      <c r="G539" s="3"/>
      <c r="H539" s="3"/>
      <c r="K539" t="str">
        <f t="shared" ca="1" si="19"/>
        <v/>
      </c>
    </row>
    <row r="540" spans="1:11">
      <c r="A540" s="23" t="e">
        <f>IF(Sheet2!#REF!&lt;&gt;"",Sheet2!#REF!,"")</f>
        <v>#REF!</v>
      </c>
      <c r="B540" s="33" t="e">
        <f>IF(Sheet2!#REF!&lt;&gt;"",Sheet2!#REF!,"")</f>
        <v>#REF!</v>
      </c>
      <c r="C540" s="34" t="e">
        <f>IF(Sheet2!#REF!&lt;&gt;"",Sheet2!#REF!,"")</f>
        <v>#REF!</v>
      </c>
      <c r="D540" s="35" t="str">
        <f t="shared" ca="1" si="18"/>
        <v/>
      </c>
      <c r="E540" s="3"/>
      <c r="F540" s="3"/>
      <c r="G540" s="3"/>
      <c r="H540" s="3"/>
      <c r="K540" t="str">
        <f t="shared" ca="1" si="19"/>
        <v/>
      </c>
    </row>
    <row r="541" spans="1:11">
      <c r="A541" s="23" t="e">
        <f>IF(Sheet2!#REF!&lt;&gt;"",Sheet2!#REF!,"")</f>
        <v>#REF!</v>
      </c>
      <c r="B541" s="33" t="e">
        <f>IF(Sheet2!#REF!&lt;&gt;"",Sheet2!#REF!,"")</f>
        <v>#REF!</v>
      </c>
      <c r="C541" s="34" t="e">
        <f>IF(Sheet2!#REF!&lt;&gt;"",Sheet2!#REF!,"")</f>
        <v>#REF!</v>
      </c>
      <c r="D541" s="35" t="str">
        <f t="shared" ca="1" si="18"/>
        <v/>
      </c>
      <c r="E541" s="3"/>
      <c r="F541" s="3"/>
      <c r="G541" s="3"/>
      <c r="H541" s="3"/>
      <c r="K541" t="str">
        <f t="shared" ca="1" si="19"/>
        <v/>
      </c>
    </row>
    <row r="542" spans="1:11">
      <c r="A542" s="23" t="e">
        <f>IF(Sheet2!#REF!&lt;&gt;"",Sheet2!#REF!,"")</f>
        <v>#REF!</v>
      </c>
      <c r="B542" s="33" t="e">
        <f>IF(Sheet2!#REF!&lt;&gt;"",Sheet2!#REF!,"")</f>
        <v>#REF!</v>
      </c>
      <c r="C542" s="34" t="e">
        <f>IF(Sheet2!#REF!&lt;&gt;"",Sheet2!#REF!,"")</f>
        <v>#REF!</v>
      </c>
      <c r="D542" s="35" t="str">
        <f t="shared" ca="1" si="18"/>
        <v/>
      </c>
      <c r="E542" s="3"/>
      <c r="F542" s="3"/>
      <c r="G542" s="3"/>
      <c r="H542" s="3"/>
      <c r="K542" t="str">
        <f t="shared" ca="1" si="19"/>
        <v/>
      </c>
    </row>
    <row r="543" spans="1:11">
      <c r="A543" s="23" t="e">
        <f>IF(Sheet2!#REF!&lt;&gt;"",Sheet2!#REF!,"")</f>
        <v>#REF!</v>
      </c>
      <c r="B543" s="33" t="e">
        <f>IF(Sheet2!#REF!&lt;&gt;"",Sheet2!#REF!,"")</f>
        <v>#REF!</v>
      </c>
      <c r="C543" s="34" t="e">
        <f>IF(Sheet2!#REF!&lt;&gt;"",Sheet2!#REF!,"")</f>
        <v>#REF!</v>
      </c>
      <c r="D543" s="35" t="str">
        <f t="shared" ca="1" si="18"/>
        <v/>
      </c>
      <c r="E543" s="3"/>
      <c r="F543" s="3"/>
      <c r="G543" s="3"/>
      <c r="H543" s="3"/>
      <c r="K543" t="str">
        <f t="shared" ca="1" si="19"/>
        <v/>
      </c>
    </row>
    <row r="544" spans="1:11">
      <c r="A544" s="23" t="e">
        <f>IF(Sheet2!#REF!&lt;&gt;"",Sheet2!#REF!,"")</f>
        <v>#REF!</v>
      </c>
      <c r="B544" s="33" t="e">
        <f>IF(Sheet2!#REF!&lt;&gt;"",Sheet2!#REF!,"")</f>
        <v>#REF!</v>
      </c>
      <c r="C544" s="34" t="e">
        <f>IF(Sheet2!#REF!&lt;&gt;"",Sheet2!#REF!,"")</f>
        <v>#REF!</v>
      </c>
      <c r="D544" s="35" t="str">
        <f t="shared" ca="1" si="18"/>
        <v/>
      </c>
      <c r="E544" s="3"/>
      <c r="F544" s="3"/>
      <c r="G544" s="3"/>
      <c r="H544" s="3"/>
      <c r="K544" t="str">
        <f t="shared" ca="1" si="19"/>
        <v/>
      </c>
    </row>
    <row r="545" spans="1:11">
      <c r="A545" s="23" t="e">
        <f>IF(Sheet2!#REF!&lt;&gt;"",Sheet2!#REF!,"")</f>
        <v>#REF!</v>
      </c>
      <c r="B545" s="33" t="e">
        <f>IF(Sheet2!#REF!&lt;&gt;"",Sheet2!#REF!,"")</f>
        <v>#REF!</v>
      </c>
      <c r="C545" s="34" t="e">
        <f>IF(Sheet2!#REF!&lt;&gt;"",Sheet2!#REF!,"")</f>
        <v>#REF!</v>
      </c>
      <c r="D545" s="35" t="str">
        <f t="shared" ca="1" si="18"/>
        <v/>
      </c>
      <c r="E545" s="3"/>
      <c r="F545" s="3"/>
      <c r="G545" s="3"/>
      <c r="H545" s="3"/>
      <c r="K545" t="str">
        <f t="shared" ca="1" si="19"/>
        <v/>
      </c>
    </row>
    <row r="546" spans="1:11">
      <c r="A546" s="23" t="e">
        <f>IF(Sheet2!#REF!&lt;&gt;"",Sheet2!#REF!,"")</f>
        <v>#REF!</v>
      </c>
      <c r="B546" s="33" t="e">
        <f>IF(Sheet2!#REF!&lt;&gt;"",Sheet2!#REF!,"")</f>
        <v>#REF!</v>
      </c>
      <c r="C546" s="34" t="e">
        <f>IF(Sheet2!#REF!&lt;&gt;"",Sheet2!#REF!,"")</f>
        <v>#REF!</v>
      </c>
      <c r="D546" s="35" t="str">
        <f t="shared" ca="1" si="18"/>
        <v/>
      </c>
      <c r="E546" s="3"/>
      <c r="F546" s="3"/>
      <c r="G546" s="3"/>
      <c r="H546" s="3"/>
      <c r="K546" t="str">
        <f t="shared" ca="1" si="19"/>
        <v/>
      </c>
    </row>
    <row r="547" spans="1:11">
      <c r="A547" s="23" t="e">
        <f>IF(Sheet2!#REF!&lt;&gt;"",Sheet2!#REF!,"")</f>
        <v>#REF!</v>
      </c>
      <c r="B547" s="33" t="e">
        <f>IF(Sheet2!#REF!&lt;&gt;"",Sheet2!#REF!,"")</f>
        <v>#REF!</v>
      </c>
      <c r="C547" s="34" t="e">
        <f>IF(Sheet2!#REF!&lt;&gt;"",Sheet2!#REF!,"")</f>
        <v>#REF!</v>
      </c>
      <c r="D547" s="35" t="str">
        <f t="shared" ca="1" si="18"/>
        <v/>
      </c>
      <c r="E547" s="3"/>
      <c r="F547" s="3"/>
      <c r="G547" s="3"/>
      <c r="H547" s="3"/>
      <c r="K547" t="str">
        <f t="shared" ca="1" si="19"/>
        <v/>
      </c>
    </row>
    <row r="548" spans="1:11">
      <c r="A548" s="23" t="e">
        <f>IF(Sheet2!#REF!&lt;&gt;"",Sheet2!#REF!,"")</f>
        <v>#REF!</v>
      </c>
      <c r="B548" s="33" t="e">
        <f>IF(Sheet2!#REF!&lt;&gt;"",Sheet2!#REF!,"")</f>
        <v>#REF!</v>
      </c>
      <c r="C548" s="34" t="e">
        <f>IF(Sheet2!#REF!&lt;&gt;"",Sheet2!#REF!,"")</f>
        <v>#REF!</v>
      </c>
      <c r="D548" s="35" t="str">
        <f t="shared" ca="1" si="18"/>
        <v/>
      </c>
      <c r="E548" s="3"/>
      <c r="F548" s="3"/>
      <c r="G548" s="3"/>
      <c r="H548" s="3"/>
      <c r="K548" t="str">
        <f t="shared" ca="1" si="19"/>
        <v/>
      </c>
    </row>
    <row r="549" spans="1:11">
      <c r="A549" s="23" t="e">
        <f>IF(Sheet2!#REF!&lt;&gt;"",Sheet2!#REF!,"")</f>
        <v>#REF!</v>
      </c>
      <c r="B549" s="33" t="e">
        <f>IF(Sheet2!#REF!&lt;&gt;"",Sheet2!#REF!,"")</f>
        <v>#REF!</v>
      </c>
      <c r="C549" s="34" t="e">
        <f>IF(Sheet2!#REF!&lt;&gt;"",Sheet2!#REF!,"")</f>
        <v>#REF!</v>
      </c>
      <c r="D549" s="35" t="str">
        <f t="shared" ca="1" si="18"/>
        <v/>
      </c>
      <c r="E549" s="3"/>
      <c r="F549" s="3"/>
      <c r="G549" s="3"/>
      <c r="H549" s="3"/>
      <c r="K549" t="str">
        <f t="shared" ca="1" si="19"/>
        <v/>
      </c>
    </row>
    <row r="550" spans="1:11">
      <c r="A550" s="23" t="e">
        <f>IF(Sheet2!#REF!&lt;&gt;"",Sheet2!#REF!,"")</f>
        <v>#REF!</v>
      </c>
      <c r="B550" s="33" t="e">
        <f>IF(Sheet2!#REF!&lt;&gt;"",Sheet2!#REF!,"")</f>
        <v>#REF!</v>
      </c>
      <c r="C550" s="34" t="e">
        <f>IF(Sheet2!#REF!&lt;&gt;"",Sheet2!#REF!,"")</f>
        <v>#REF!</v>
      </c>
      <c r="D550" s="35" t="str">
        <f t="shared" ca="1" si="18"/>
        <v/>
      </c>
      <c r="E550" s="3"/>
      <c r="F550" s="3"/>
      <c r="G550" s="3"/>
      <c r="H550" s="3"/>
      <c r="K550" t="str">
        <f t="shared" ca="1" si="19"/>
        <v/>
      </c>
    </row>
    <row r="551" spans="1:11">
      <c r="A551" s="23" t="e">
        <f>IF(Sheet2!#REF!&lt;&gt;"",Sheet2!#REF!,"")</f>
        <v>#REF!</v>
      </c>
      <c r="B551" s="33" t="e">
        <f>IF(Sheet2!#REF!&lt;&gt;"",Sheet2!#REF!,"")</f>
        <v>#REF!</v>
      </c>
      <c r="C551" s="34" t="e">
        <f>IF(Sheet2!#REF!&lt;&gt;"",Sheet2!#REF!,"")</f>
        <v>#REF!</v>
      </c>
      <c r="D551" s="35" t="str">
        <f t="shared" ca="1" si="18"/>
        <v/>
      </c>
      <c r="E551" s="3"/>
      <c r="F551" s="3"/>
      <c r="G551" s="3"/>
      <c r="H551" s="3"/>
      <c r="K551" t="str">
        <f t="shared" ca="1" si="19"/>
        <v/>
      </c>
    </row>
    <row r="552" spans="1:11">
      <c r="A552" s="23" t="e">
        <f>IF(Sheet2!#REF!&lt;&gt;"",Sheet2!#REF!,"")</f>
        <v>#REF!</v>
      </c>
      <c r="B552" s="33" t="e">
        <f>IF(Sheet2!#REF!&lt;&gt;"",Sheet2!#REF!,"")</f>
        <v>#REF!</v>
      </c>
      <c r="C552" s="34" t="e">
        <f>IF(Sheet2!#REF!&lt;&gt;"",Sheet2!#REF!,"")</f>
        <v>#REF!</v>
      </c>
      <c r="D552" s="35" t="str">
        <f t="shared" ca="1" si="18"/>
        <v/>
      </c>
      <c r="E552" s="3"/>
      <c r="F552" s="3"/>
      <c r="G552" s="3"/>
      <c r="H552" s="3"/>
      <c r="K552" t="str">
        <f t="shared" ca="1" si="19"/>
        <v/>
      </c>
    </row>
    <row r="553" spans="1:11">
      <c r="A553" s="23" t="e">
        <f>IF(Sheet2!#REF!&lt;&gt;"",Sheet2!#REF!,"")</f>
        <v>#REF!</v>
      </c>
      <c r="B553" s="33" t="e">
        <f>IF(Sheet2!#REF!&lt;&gt;"",Sheet2!#REF!,"")</f>
        <v>#REF!</v>
      </c>
      <c r="C553" s="34" t="e">
        <f>IF(Sheet2!#REF!&lt;&gt;"",Sheet2!#REF!,"")</f>
        <v>#REF!</v>
      </c>
      <c r="D553" s="35" t="str">
        <f t="shared" ca="1" si="18"/>
        <v/>
      </c>
      <c r="E553" s="3"/>
      <c r="F553" s="3"/>
      <c r="G553" s="3"/>
      <c r="H553" s="3"/>
      <c r="K553" t="str">
        <f t="shared" ca="1" si="19"/>
        <v/>
      </c>
    </row>
    <row r="554" spans="1:11">
      <c r="A554" s="23" t="e">
        <f>IF(Sheet2!#REF!&lt;&gt;"",Sheet2!#REF!,"")</f>
        <v>#REF!</v>
      </c>
      <c r="B554" s="33" t="e">
        <f>IF(Sheet2!#REF!&lt;&gt;"",Sheet2!#REF!,"")</f>
        <v>#REF!</v>
      </c>
      <c r="C554" s="34" t="e">
        <f>IF(Sheet2!#REF!&lt;&gt;"",Sheet2!#REF!,"")</f>
        <v>#REF!</v>
      </c>
      <c r="D554" s="35" t="str">
        <f t="shared" ca="1" si="18"/>
        <v/>
      </c>
      <c r="E554" s="3"/>
      <c r="F554" s="3"/>
      <c r="G554" s="3"/>
      <c r="H554" s="3"/>
      <c r="K554" t="str">
        <f t="shared" ca="1" si="19"/>
        <v/>
      </c>
    </row>
    <row r="555" spans="1:11">
      <c r="A555" s="23" t="e">
        <f>IF(Sheet2!#REF!&lt;&gt;"",Sheet2!#REF!,"")</f>
        <v>#REF!</v>
      </c>
      <c r="B555" s="33" t="e">
        <f>IF(Sheet2!#REF!&lt;&gt;"",Sheet2!#REF!,"")</f>
        <v>#REF!</v>
      </c>
      <c r="C555" s="34" t="e">
        <f>IF(Sheet2!#REF!&lt;&gt;"",Sheet2!#REF!,"")</f>
        <v>#REF!</v>
      </c>
      <c r="D555" s="35" t="str">
        <f t="shared" ca="1" si="18"/>
        <v/>
      </c>
      <c r="E555" s="3"/>
      <c r="F555" s="3"/>
      <c r="G555" s="3"/>
      <c r="H555" s="3"/>
      <c r="K555" t="str">
        <f t="shared" ca="1" si="19"/>
        <v/>
      </c>
    </row>
    <row r="556" spans="1:11">
      <c r="A556" s="23" t="e">
        <f>IF(Sheet2!#REF!&lt;&gt;"",Sheet2!#REF!,"")</f>
        <v>#REF!</v>
      </c>
      <c r="B556" s="33" t="e">
        <f>IF(Sheet2!#REF!&lt;&gt;"",Sheet2!#REF!,"")</f>
        <v>#REF!</v>
      </c>
      <c r="C556" s="34" t="e">
        <f>IF(Sheet2!#REF!&lt;&gt;"",Sheet2!#REF!,"")</f>
        <v>#REF!</v>
      </c>
      <c r="D556" s="35" t="str">
        <f t="shared" ca="1" si="18"/>
        <v/>
      </c>
      <c r="E556" s="3"/>
      <c r="F556" s="3"/>
      <c r="G556" s="3"/>
      <c r="H556" s="3"/>
      <c r="K556" t="str">
        <f t="shared" ca="1" si="19"/>
        <v/>
      </c>
    </row>
    <row r="557" spans="1:11">
      <c r="A557" s="23" t="e">
        <f>IF(Sheet2!#REF!&lt;&gt;"",Sheet2!#REF!,"")</f>
        <v>#REF!</v>
      </c>
      <c r="B557" s="33" t="e">
        <f>IF(Sheet2!#REF!&lt;&gt;"",Sheet2!#REF!,"")</f>
        <v>#REF!</v>
      </c>
      <c r="C557" s="34" t="e">
        <f>IF(Sheet2!#REF!&lt;&gt;"",Sheet2!#REF!,"")</f>
        <v>#REF!</v>
      </c>
      <c r="D557" s="35" t="str">
        <f t="shared" ca="1" si="18"/>
        <v/>
      </c>
      <c r="E557" s="3"/>
      <c r="F557" s="3"/>
      <c r="G557" s="3"/>
      <c r="H557" s="3"/>
      <c r="K557" t="str">
        <f t="shared" ca="1" si="19"/>
        <v/>
      </c>
    </row>
    <row r="558" spans="1:11">
      <c r="A558" s="23" t="e">
        <f>IF(Sheet2!#REF!&lt;&gt;"",Sheet2!#REF!,"")</f>
        <v>#REF!</v>
      </c>
      <c r="B558" s="33" t="e">
        <f>IF(Sheet2!#REF!&lt;&gt;"",Sheet2!#REF!,"")</f>
        <v>#REF!</v>
      </c>
      <c r="C558" s="34" t="e">
        <f>IF(Sheet2!#REF!&lt;&gt;"",Sheet2!#REF!,"")</f>
        <v>#REF!</v>
      </c>
      <c r="D558" s="35" t="str">
        <f t="shared" ca="1" si="18"/>
        <v/>
      </c>
      <c r="E558" s="3"/>
      <c r="F558" s="3"/>
      <c r="G558" s="3"/>
      <c r="H558" s="3"/>
      <c r="K558" t="str">
        <f t="shared" ca="1" si="19"/>
        <v/>
      </c>
    </row>
    <row r="559" spans="1:11">
      <c r="A559" s="23" t="e">
        <f>IF(Sheet2!#REF!&lt;&gt;"",Sheet2!#REF!,"")</f>
        <v>#REF!</v>
      </c>
      <c r="B559" s="33" t="e">
        <f>IF(Sheet2!#REF!&lt;&gt;"",Sheet2!#REF!,"")</f>
        <v>#REF!</v>
      </c>
      <c r="C559" s="34" t="e">
        <f>IF(Sheet2!#REF!&lt;&gt;"",Sheet2!#REF!,"")</f>
        <v>#REF!</v>
      </c>
      <c r="D559" s="35" t="str">
        <f t="shared" ca="1" si="18"/>
        <v/>
      </c>
      <c r="E559" s="3"/>
      <c r="F559" s="3"/>
      <c r="G559" s="3"/>
      <c r="H559" s="3"/>
      <c r="K559" t="str">
        <f t="shared" ca="1" si="19"/>
        <v/>
      </c>
    </row>
    <row r="560" spans="1:11">
      <c r="A560" s="23" t="e">
        <f>IF(Sheet2!#REF!&lt;&gt;"",Sheet2!#REF!,"")</f>
        <v>#REF!</v>
      </c>
      <c r="B560" s="33" t="e">
        <f>IF(Sheet2!#REF!&lt;&gt;"",Sheet2!#REF!,"")</f>
        <v>#REF!</v>
      </c>
      <c r="C560" s="34" t="e">
        <f>IF(Sheet2!#REF!&lt;&gt;"",Sheet2!#REF!,"")</f>
        <v>#REF!</v>
      </c>
      <c r="D560" s="35" t="str">
        <f t="shared" ca="1" si="18"/>
        <v/>
      </c>
      <c r="E560" s="3"/>
      <c r="F560" s="3"/>
      <c r="G560" s="3"/>
      <c r="H560" s="3"/>
      <c r="K560" t="str">
        <f t="shared" ca="1" si="19"/>
        <v/>
      </c>
    </row>
    <row r="561" spans="1:11">
      <c r="A561" s="23" t="e">
        <f>IF(Sheet2!#REF!&lt;&gt;"",Sheet2!#REF!,"")</f>
        <v>#REF!</v>
      </c>
      <c r="B561" s="33" t="e">
        <f>IF(Sheet2!#REF!&lt;&gt;"",Sheet2!#REF!,"")</f>
        <v>#REF!</v>
      </c>
      <c r="C561" s="34" t="e">
        <f>IF(Sheet2!#REF!&lt;&gt;"",Sheet2!#REF!,"")</f>
        <v>#REF!</v>
      </c>
      <c r="D561" s="35" t="str">
        <f t="shared" ca="1" si="18"/>
        <v/>
      </c>
      <c r="E561" s="3"/>
      <c r="F561" s="3"/>
      <c r="G561" s="3"/>
      <c r="H561" s="3"/>
      <c r="K561" t="str">
        <f t="shared" ca="1" si="19"/>
        <v/>
      </c>
    </row>
    <row r="562" spans="1:11">
      <c r="A562" s="23" t="e">
        <f>IF(Sheet2!#REF!&lt;&gt;"",Sheet2!#REF!,"")</f>
        <v>#REF!</v>
      </c>
      <c r="B562" s="33" t="e">
        <f>IF(Sheet2!#REF!&lt;&gt;"",Sheet2!#REF!,"")</f>
        <v>#REF!</v>
      </c>
      <c r="C562" s="34" t="e">
        <f>IF(Sheet2!#REF!&lt;&gt;"",Sheet2!#REF!,"")</f>
        <v>#REF!</v>
      </c>
      <c r="D562" s="35" t="str">
        <f t="shared" ca="1" si="18"/>
        <v/>
      </c>
      <c r="E562" s="3"/>
      <c r="F562" s="3"/>
      <c r="G562" s="3"/>
      <c r="H562" s="3"/>
      <c r="K562" t="str">
        <f t="shared" ca="1" si="19"/>
        <v/>
      </c>
    </row>
    <row r="563" spans="1:11">
      <c r="A563" s="23" t="e">
        <f>IF(Sheet2!#REF!&lt;&gt;"",Sheet2!#REF!,"")</f>
        <v>#REF!</v>
      </c>
      <c r="B563" s="33" t="e">
        <f>IF(Sheet2!#REF!&lt;&gt;"",Sheet2!#REF!,"")</f>
        <v>#REF!</v>
      </c>
      <c r="C563" s="34" t="e">
        <f>IF(Sheet2!#REF!&lt;&gt;"",Sheet2!#REF!,"")</f>
        <v>#REF!</v>
      </c>
      <c r="D563" s="35" t="str">
        <f t="shared" ca="1" si="18"/>
        <v/>
      </c>
      <c r="E563" s="3"/>
      <c r="F563" s="3"/>
      <c r="G563" s="3"/>
      <c r="H563" s="3"/>
      <c r="K563" t="str">
        <f t="shared" ca="1" si="19"/>
        <v/>
      </c>
    </row>
    <row r="564" spans="1:11">
      <c r="A564" s="23" t="e">
        <f>IF(Sheet2!#REF!&lt;&gt;"",Sheet2!#REF!,"")</f>
        <v>#REF!</v>
      </c>
      <c r="B564" s="33" t="e">
        <f>IF(Sheet2!#REF!&lt;&gt;"",Sheet2!#REF!,"")</f>
        <v>#REF!</v>
      </c>
      <c r="C564" s="34" t="e">
        <f>IF(Sheet2!#REF!&lt;&gt;"",Sheet2!#REF!,"")</f>
        <v>#REF!</v>
      </c>
      <c r="D564" s="35" t="str">
        <f t="shared" ca="1" si="18"/>
        <v/>
      </c>
      <c r="E564" s="3"/>
      <c r="F564" s="3"/>
      <c r="G564" s="3"/>
      <c r="H564" s="3"/>
      <c r="K564" t="str">
        <f t="shared" ca="1" si="19"/>
        <v/>
      </c>
    </row>
    <row r="565" spans="1:11">
      <c r="A565" s="23" t="e">
        <f>IF(Sheet2!#REF!&lt;&gt;"",Sheet2!#REF!,"")</f>
        <v>#REF!</v>
      </c>
      <c r="B565" s="33" t="e">
        <f>IF(Sheet2!#REF!&lt;&gt;"",Sheet2!#REF!,"")</f>
        <v>#REF!</v>
      </c>
      <c r="C565" s="34" t="e">
        <f>IF(Sheet2!#REF!&lt;&gt;"",Sheet2!#REF!,"")</f>
        <v>#REF!</v>
      </c>
      <c r="D565" s="35" t="str">
        <f t="shared" ca="1" si="18"/>
        <v/>
      </c>
      <c r="E565" s="3"/>
      <c r="F565" s="3"/>
      <c r="G565" s="3"/>
      <c r="H565" s="3"/>
      <c r="K565" t="str">
        <f t="shared" ca="1" si="19"/>
        <v/>
      </c>
    </row>
    <row r="566" spans="1:11">
      <c r="A566" s="23" t="e">
        <f>IF(Sheet2!#REF!&lt;&gt;"",Sheet2!#REF!,"")</f>
        <v>#REF!</v>
      </c>
      <c r="B566" s="33" t="e">
        <f>IF(Sheet2!#REF!&lt;&gt;"",Sheet2!#REF!,"")</f>
        <v>#REF!</v>
      </c>
      <c r="C566" s="34" t="e">
        <f>IF(Sheet2!#REF!&lt;&gt;"",Sheet2!#REF!,"")</f>
        <v>#REF!</v>
      </c>
      <c r="D566" s="35" t="str">
        <f t="shared" ca="1" si="18"/>
        <v/>
      </c>
      <c r="E566" s="3"/>
      <c r="F566" s="3"/>
      <c r="G566" s="3"/>
      <c r="H566" s="3"/>
      <c r="K566" t="str">
        <f t="shared" ca="1" si="19"/>
        <v/>
      </c>
    </row>
    <row r="567" spans="1:11">
      <c r="A567" s="23" t="e">
        <f>IF(Sheet2!#REF!&lt;&gt;"",Sheet2!#REF!,"")</f>
        <v>#REF!</v>
      </c>
      <c r="B567" s="33" t="e">
        <f>IF(Sheet2!#REF!&lt;&gt;"",Sheet2!#REF!,"")</f>
        <v>#REF!</v>
      </c>
      <c r="C567" s="34" t="e">
        <f>IF(Sheet2!#REF!&lt;&gt;"",Sheet2!#REF!,"")</f>
        <v>#REF!</v>
      </c>
      <c r="D567" s="35" t="str">
        <f t="shared" ca="1" si="18"/>
        <v/>
      </c>
      <c r="E567" s="3"/>
      <c r="F567" s="3"/>
      <c r="G567" s="3"/>
      <c r="H567" s="3"/>
      <c r="K567" t="str">
        <f t="shared" ca="1" si="19"/>
        <v/>
      </c>
    </row>
    <row r="568" spans="1:11">
      <c r="A568" s="23" t="e">
        <f>IF(Sheet2!#REF!&lt;&gt;"",Sheet2!#REF!,"")</f>
        <v>#REF!</v>
      </c>
      <c r="B568" s="33" t="e">
        <f>IF(Sheet2!#REF!&lt;&gt;"",Sheet2!#REF!,"")</f>
        <v>#REF!</v>
      </c>
      <c r="C568" s="34" t="e">
        <f>IF(Sheet2!#REF!&lt;&gt;"",Sheet2!#REF!,"")</f>
        <v>#REF!</v>
      </c>
      <c r="D568" s="35" t="str">
        <f t="shared" ca="1" si="18"/>
        <v/>
      </c>
      <c r="E568" s="3"/>
      <c r="F568" s="3"/>
      <c r="G568" s="3"/>
      <c r="H568" s="3"/>
      <c r="K568" t="str">
        <f t="shared" ca="1" si="19"/>
        <v/>
      </c>
    </row>
    <row r="569" spans="1:11">
      <c r="A569" s="23" t="e">
        <f>IF(Sheet2!#REF!&lt;&gt;"",Sheet2!#REF!,"")</f>
        <v>#REF!</v>
      </c>
      <c r="B569" s="33" t="e">
        <f>IF(Sheet2!#REF!&lt;&gt;"",Sheet2!#REF!,"")</f>
        <v>#REF!</v>
      </c>
      <c r="C569" s="34" t="e">
        <f>IF(Sheet2!#REF!&lt;&gt;"",Sheet2!#REF!,"")</f>
        <v>#REF!</v>
      </c>
      <c r="D569" s="35" t="str">
        <f t="shared" ca="1" si="18"/>
        <v/>
      </c>
      <c r="E569" s="3"/>
      <c r="F569" s="3"/>
      <c r="G569" s="3"/>
      <c r="H569" s="3"/>
      <c r="K569" t="str">
        <f t="shared" ca="1" si="19"/>
        <v/>
      </c>
    </row>
    <row r="570" spans="1:11">
      <c r="A570" s="23" t="e">
        <f>IF(Sheet2!#REF!&lt;&gt;"",Sheet2!#REF!,"")</f>
        <v>#REF!</v>
      </c>
      <c r="B570" s="33" t="e">
        <f>IF(Sheet2!#REF!&lt;&gt;"",Sheet2!#REF!,"")</f>
        <v>#REF!</v>
      </c>
      <c r="C570" s="34" t="e">
        <f>IF(Sheet2!#REF!&lt;&gt;"",Sheet2!#REF!,"")</f>
        <v>#REF!</v>
      </c>
      <c r="D570" s="35" t="str">
        <f t="shared" ca="1" si="18"/>
        <v/>
      </c>
      <c r="E570" s="3"/>
      <c r="F570" s="3"/>
      <c r="G570" s="3"/>
      <c r="H570" s="3"/>
      <c r="K570" t="str">
        <f t="shared" ca="1" si="19"/>
        <v/>
      </c>
    </row>
    <row r="571" spans="1:11">
      <c r="A571" s="23" t="e">
        <f>IF(Sheet2!#REF!&lt;&gt;"",Sheet2!#REF!,"")</f>
        <v>#REF!</v>
      </c>
      <c r="B571" s="33" t="e">
        <f>IF(Sheet2!#REF!&lt;&gt;"",Sheet2!#REF!,"")</f>
        <v>#REF!</v>
      </c>
      <c r="C571" s="34" t="e">
        <f>IF(Sheet2!#REF!&lt;&gt;"",Sheet2!#REF!,"")</f>
        <v>#REF!</v>
      </c>
      <c r="D571" s="35" t="str">
        <f t="shared" ca="1" si="18"/>
        <v/>
      </c>
      <c r="E571" s="3"/>
      <c r="F571" s="3"/>
      <c r="G571" s="3"/>
      <c r="H571" s="3"/>
      <c r="K571" t="str">
        <f t="shared" ca="1" si="19"/>
        <v/>
      </c>
    </row>
    <row r="572" spans="1:11">
      <c r="A572" s="23" t="e">
        <f>IF(Sheet2!#REF!&lt;&gt;"",Sheet2!#REF!,"")</f>
        <v>#REF!</v>
      </c>
      <c r="B572" s="33" t="e">
        <f>IF(Sheet2!#REF!&lt;&gt;"",Sheet2!#REF!,"")</f>
        <v>#REF!</v>
      </c>
      <c r="C572" s="34" t="e">
        <f>IF(Sheet2!#REF!&lt;&gt;"",Sheet2!#REF!,"")</f>
        <v>#REF!</v>
      </c>
      <c r="D572" s="35" t="str">
        <f t="shared" ca="1" si="18"/>
        <v/>
      </c>
      <c r="E572" s="3"/>
      <c r="F572" s="3"/>
      <c r="G572" s="3"/>
      <c r="H572" s="3"/>
      <c r="K572" t="str">
        <f t="shared" ca="1" si="19"/>
        <v/>
      </c>
    </row>
    <row r="573" spans="1:11">
      <c r="A573" s="23" t="e">
        <f>IF(Sheet2!#REF!&lt;&gt;"",Sheet2!#REF!,"")</f>
        <v>#REF!</v>
      </c>
      <c r="B573" s="33" t="e">
        <f>IF(Sheet2!#REF!&lt;&gt;"",Sheet2!#REF!,"")</f>
        <v>#REF!</v>
      </c>
      <c r="C573" s="34" t="e">
        <f>IF(Sheet2!#REF!&lt;&gt;"",Sheet2!#REF!,"")</f>
        <v>#REF!</v>
      </c>
      <c r="D573" s="35" t="str">
        <f t="shared" ca="1" si="18"/>
        <v/>
      </c>
      <c r="E573" s="3"/>
      <c r="F573" s="3"/>
      <c r="G573" s="3"/>
      <c r="H573" s="3"/>
      <c r="K573" t="str">
        <f t="shared" ca="1" si="19"/>
        <v/>
      </c>
    </row>
    <row r="574" spans="1:11">
      <c r="A574" s="23" t="e">
        <f>IF(Sheet2!#REF!&lt;&gt;"",Sheet2!#REF!,"")</f>
        <v>#REF!</v>
      </c>
      <c r="B574" s="33" t="e">
        <f>IF(Sheet2!#REF!&lt;&gt;"",Sheet2!#REF!,"")</f>
        <v>#REF!</v>
      </c>
      <c r="C574" s="34" t="e">
        <f>IF(Sheet2!#REF!&lt;&gt;"",Sheet2!#REF!,"")</f>
        <v>#REF!</v>
      </c>
      <c r="D574" s="35" t="str">
        <f t="shared" ca="1" si="18"/>
        <v/>
      </c>
      <c r="E574" s="3"/>
      <c r="F574" s="3"/>
      <c r="G574" s="3"/>
      <c r="H574" s="3"/>
      <c r="K574" t="str">
        <f t="shared" ca="1" si="19"/>
        <v/>
      </c>
    </row>
    <row r="575" spans="1:11">
      <c r="A575" s="23" t="e">
        <f>IF(Sheet2!#REF!&lt;&gt;"",Sheet2!#REF!,"")</f>
        <v>#REF!</v>
      </c>
      <c r="B575" s="33" t="e">
        <f>IF(Sheet2!#REF!&lt;&gt;"",Sheet2!#REF!,"")</f>
        <v>#REF!</v>
      </c>
      <c r="C575" s="34" t="e">
        <f>IF(Sheet2!#REF!&lt;&gt;"",Sheet2!#REF!,"")</f>
        <v>#REF!</v>
      </c>
      <c r="D575" s="35" t="str">
        <f t="shared" ca="1" si="18"/>
        <v/>
      </c>
      <c r="E575" s="3"/>
      <c r="F575" s="3"/>
      <c r="G575" s="3"/>
      <c r="H575" s="3"/>
      <c r="K575" t="str">
        <f t="shared" ca="1" si="19"/>
        <v/>
      </c>
    </row>
    <row r="576" spans="1:11">
      <c r="A576" s="23" t="e">
        <f>IF(Sheet2!#REF!&lt;&gt;"",Sheet2!#REF!,"")</f>
        <v>#REF!</v>
      </c>
      <c r="B576" s="33" t="e">
        <f>IF(Sheet2!#REF!&lt;&gt;"",Sheet2!#REF!,"")</f>
        <v>#REF!</v>
      </c>
      <c r="C576" s="34" t="e">
        <f>IF(Sheet2!#REF!&lt;&gt;"",Sheet2!#REF!,"")</f>
        <v>#REF!</v>
      </c>
      <c r="D576" s="35" t="str">
        <f t="shared" ca="1" si="18"/>
        <v/>
      </c>
      <c r="E576" s="3"/>
      <c r="F576" s="3"/>
      <c r="G576" s="3"/>
      <c r="H576" s="3"/>
      <c r="K576" t="str">
        <f t="shared" ca="1" si="19"/>
        <v/>
      </c>
    </row>
    <row r="577" spans="1:11">
      <c r="A577" s="23" t="e">
        <f>IF(Sheet2!#REF!&lt;&gt;"",Sheet2!#REF!,"")</f>
        <v>#REF!</v>
      </c>
      <c r="B577" s="33" t="e">
        <f>IF(Sheet2!#REF!&lt;&gt;"",Sheet2!#REF!,"")</f>
        <v>#REF!</v>
      </c>
      <c r="C577" s="34" t="e">
        <f>IF(Sheet2!#REF!&lt;&gt;"",Sheet2!#REF!,"")</f>
        <v>#REF!</v>
      </c>
      <c r="D577" s="35" t="str">
        <f t="shared" ca="1" si="18"/>
        <v/>
      </c>
      <c r="E577" s="3"/>
      <c r="F577" s="3"/>
      <c r="G577" s="3"/>
      <c r="H577" s="3"/>
      <c r="K577" t="str">
        <f t="shared" ca="1" si="19"/>
        <v/>
      </c>
    </row>
    <row r="578" spans="1:11">
      <c r="A578" s="23" t="e">
        <f>IF(Sheet2!#REF!&lt;&gt;"",Sheet2!#REF!,"")</f>
        <v>#REF!</v>
      </c>
      <c r="B578" s="33" t="e">
        <f>IF(Sheet2!#REF!&lt;&gt;"",Sheet2!#REF!,"")</f>
        <v>#REF!</v>
      </c>
      <c r="C578" s="34" t="e">
        <f>IF(Sheet2!#REF!&lt;&gt;"",Sheet2!#REF!,"")</f>
        <v>#REF!</v>
      </c>
      <c r="D578" s="35" t="str">
        <f t="shared" ca="1" si="18"/>
        <v/>
      </c>
      <c r="E578" s="3"/>
      <c r="F578" s="3"/>
      <c r="G578" s="3"/>
      <c r="H578" s="3"/>
      <c r="K578" t="str">
        <f t="shared" ca="1" si="19"/>
        <v/>
      </c>
    </row>
    <row r="579" spans="1:11">
      <c r="A579" s="23" t="e">
        <f>IF(Sheet2!#REF!&lt;&gt;"",Sheet2!#REF!,"")</f>
        <v>#REF!</v>
      </c>
      <c r="B579" s="33" t="e">
        <f>IF(Sheet2!#REF!&lt;&gt;"",Sheet2!#REF!,"")</f>
        <v>#REF!</v>
      </c>
      <c r="C579" s="34" t="e">
        <f>IF(Sheet2!#REF!&lt;&gt;"",Sheet2!#REF!,"")</f>
        <v>#REF!</v>
      </c>
      <c r="D579" s="35" t="str">
        <f t="shared" ref="D579:D642" ca="1" si="20">IFERROR(IF(AND((C579-TODAY())&lt;15,B579&lt;&gt;""),IF(I579="","Alert",""),""),"")</f>
        <v/>
      </c>
      <c r="E579" s="3"/>
      <c r="F579" s="3"/>
      <c r="G579" s="3"/>
      <c r="H579" s="3"/>
      <c r="K579" t="str">
        <f t="shared" ref="K579:K642" ca="1" si="21">IF(I579&lt;&gt;"",IF(J579="",IF(TODAY()-I579&gt;3,"ALERT",""),""),"")</f>
        <v/>
      </c>
    </row>
    <row r="580" spans="1:11">
      <c r="A580" s="23" t="e">
        <f>IF(Sheet2!#REF!&lt;&gt;"",Sheet2!#REF!,"")</f>
        <v>#REF!</v>
      </c>
      <c r="B580" s="33" t="e">
        <f>IF(Sheet2!#REF!&lt;&gt;"",Sheet2!#REF!,"")</f>
        <v>#REF!</v>
      </c>
      <c r="C580" s="34" t="e">
        <f>IF(Sheet2!#REF!&lt;&gt;"",Sheet2!#REF!,"")</f>
        <v>#REF!</v>
      </c>
      <c r="D580" s="35" t="str">
        <f t="shared" ca="1" si="20"/>
        <v/>
      </c>
      <c r="E580" s="3"/>
      <c r="F580" s="3"/>
      <c r="G580" s="3"/>
      <c r="H580" s="3"/>
      <c r="K580" t="str">
        <f t="shared" ca="1" si="21"/>
        <v/>
      </c>
    </row>
    <row r="581" spans="1:11">
      <c r="A581" s="23" t="e">
        <f>IF(Sheet2!#REF!&lt;&gt;"",Sheet2!#REF!,"")</f>
        <v>#REF!</v>
      </c>
      <c r="B581" s="33" t="e">
        <f>IF(Sheet2!#REF!&lt;&gt;"",Sheet2!#REF!,"")</f>
        <v>#REF!</v>
      </c>
      <c r="C581" s="34" t="e">
        <f>IF(Sheet2!#REF!&lt;&gt;"",Sheet2!#REF!,"")</f>
        <v>#REF!</v>
      </c>
      <c r="D581" s="35" t="str">
        <f t="shared" ca="1" si="20"/>
        <v/>
      </c>
      <c r="E581" s="3"/>
      <c r="F581" s="3"/>
      <c r="G581" s="3"/>
      <c r="H581" s="3"/>
      <c r="K581" t="str">
        <f t="shared" ca="1" si="21"/>
        <v/>
      </c>
    </row>
    <row r="582" spans="1:11">
      <c r="A582" s="23" t="e">
        <f>IF(Sheet2!#REF!&lt;&gt;"",Sheet2!#REF!,"")</f>
        <v>#REF!</v>
      </c>
      <c r="B582" s="33" t="e">
        <f>IF(Sheet2!#REF!&lt;&gt;"",Sheet2!#REF!,"")</f>
        <v>#REF!</v>
      </c>
      <c r="C582" s="34" t="e">
        <f>IF(Sheet2!#REF!&lt;&gt;"",Sheet2!#REF!,"")</f>
        <v>#REF!</v>
      </c>
      <c r="D582" s="35" t="str">
        <f t="shared" ca="1" si="20"/>
        <v/>
      </c>
      <c r="E582" s="3"/>
      <c r="F582" s="3"/>
      <c r="G582" s="3"/>
      <c r="H582" s="3"/>
      <c r="K582" t="str">
        <f t="shared" ca="1" si="21"/>
        <v/>
      </c>
    </row>
    <row r="583" spans="1:11">
      <c r="A583" s="23" t="e">
        <f>IF(Sheet2!#REF!&lt;&gt;"",Sheet2!#REF!,"")</f>
        <v>#REF!</v>
      </c>
      <c r="B583" s="33" t="e">
        <f>IF(Sheet2!#REF!&lt;&gt;"",Sheet2!#REF!,"")</f>
        <v>#REF!</v>
      </c>
      <c r="C583" s="34" t="e">
        <f>IF(Sheet2!#REF!&lt;&gt;"",Sheet2!#REF!,"")</f>
        <v>#REF!</v>
      </c>
      <c r="D583" s="35" t="str">
        <f t="shared" ca="1" si="20"/>
        <v/>
      </c>
      <c r="E583" s="3"/>
      <c r="F583" s="3"/>
      <c r="G583" s="3"/>
      <c r="H583" s="3"/>
      <c r="K583" t="str">
        <f t="shared" ca="1" si="21"/>
        <v/>
      </c>
    </row>
    <row r="584" spans="1:11">
      <c r="A584" s="23" t="e">
        <f>IF(Sheet2!#REF!&lt;&gt;"",Sheet2!#REF!,"")</f>
        <v>#REF!</v>
      </c>
      <c r="B584" s="33" t="e">
        <f>IF(Sheet2!#REF!&lt;&gt;"",Sheet2!#REF!,"")</f>
        <v>#REF!</v>
      </c>
      <c r="C584" s="34" t="e">
        <f>IF(Sheet2!#REF!&lt;&gt;"",Sheet2!#REF!,"")</f>
        <v>#REF!</v>
      </c>
      <c r="D584" s="35" t="str">
        <f t="shared" ca="1" si="20"/>
        <v/>
      </c>
      <c r="E584" s="3"/>
      <c r="F584" s="3"/>
      <c r="G584" s="3"/>
      <c r="H584" s="3"/>
      <c r="K584" t="str">
        <f t="shared" ca="1" si="21"/>
        <v/>
      </c>
    </row>
    <row r="585" spans="1:11">
      <c r="A585" s="23" t="e">
        <f>IF(Sheet2!#REF!&lt;&gt;"",Sheet2!#REF!,"")</f>
        <v>#REF!</v>
      </c>
      <c r="B585" s="33" t="e">
        <f>IF(Sheet2!#REF!&lt;&gt;"",Sheet2!#REF!,"")</f>
        <v>#REF!</v>
      </c>
      <c r="C585" s="34" t="e">
        <f>IF(Sheet2!#REF!&lt;&gt;"",Sheet2!#REF!,"")</f>
        <v>#REF!</v>
      </c>
      <c r="D585" s="35" t="str">
        <f t="shared" ca="1" si="20"/>
        <v/>
      </c>
      <c r="E585" s="3"/>
      <c r="F585" s="3"/>
      <c r="G585" s="3"/>
      <c r="H585" s="3"/>
      <c r="K585" t="str">
        <f t="shared" ca="1" si="21"/>
        <v/>
      </c>
    </row>
    <row r="586" spans="1:11">
      <c r="A586" s="23" t="e">
        <f>IF(Sheet2!#REF!&lt;&gt;"",Sheet2!#REF!,"")</f>
        <v>#REF!</v>
      </c>
      <c r="B586" s="33" t="e">
        <f>IF(Sheet2!#REF!&lt;&gt;"",Sheet2!#REF!,"")</f>
        <v>#REF!</v>
      </c>
      <c r="C586" s="34" t="e">
        <f>IF(Sheet2!#REF!&lt;&gt;"",Sheet2!#REF!,"")</f>
        <v>#REF!</v>
      </c>
      <c r="D586" s="35" t="str">
        <f t="shared" ca="1" si="20"/>
        <v/>
      </c>
      <c r="E586" s="3"/>
      <c r="F586" s="3"/>
      <c r="G586" s="3"/>
      <c r="H586" s="3"/>
      <c r="K586" t="str">
        <f t="shared" ca="1" si="21"/>
        <v/>
      </c>
    </row>
    <row r="587" spans="1:11">
      <c r="A587" s="23" t="e">
        <f>IF(Sheet2!#REF!&lt;&gt;"",Sheet2!#REF!,"")</f>
        <v>#REF!</v>
      </c>
      <c r="B587" s="33" t="e">
        <f>IF(Sheet2!#REF!&lt;&gt;"",Sheet2!#REF!,"")</f>
        <v>#REF!</v>
      </c>
      <c r="C587" s="34" t="e">
        <f>IF(Sheet2!#REF!&lt;&gt;"",Sheet2!#REF!,"")</f>
        <v>#REF!</v>
      </c>
      <c r="D587" s="35" t="str">
        <f t="shared" ca="1" si="20"/>
        <v/>
      </c>
      <c r="E587" s="3"/>
      <c r="F587" s="3"/>
      <c r="G587" s="3"/>
      <c r="H587" s="3"/>
      <c r="K587" t="str">
        <f t="shared" ca="1" si="21"/>
        <v/>
      </c>
    </row>
    <row r="588" spans="1:11">
      <c r="A588" s="23" t="e">
        <f>IF(Sheet2!#REF!&lt;&gt;"",Sheet2!#REF!,"")</f>
        <v>#REF!</v>
      </c>
      <c r="B588" s="33" t="e">
        <f>IF(Sheet2!#REF!&lt;&gt;"",Sheet2!#REF!,"")</f>
        <v>#REF!</v>
      </c>
      <c r="C588" s="34" t="e">
        <f>IF(Sheet2!#REF!&lt;&gt;"",Sheet2!#REF!,"")</f>
        <v>#REF!</v>
      </c>
      <c r="D588" s="35" t="str">
        <f t="shared" ca="1" si="20"/>
        <v/>
      </c>
      <c r="E588" s="3"/>
      <c r="F588" s="3"/>
      <c r="G588" s="3"/>
      <c r="H588" s="3"/>
      <c r="K588" t="str">
        <f t="shared" ca="1" si="21"/>
        <v/>
      </c>
    </row>
    <row r="589" spans="1:11">
      <c r="A589" s="23" t="e">
        <f>IF(Sheet2!#REF!&lt;&gt;"",Sheet2!#REF!,"")</f>
        <v>#REF!</v>
      </c>
      <c r="B589" s="33" t="e">
        <f>IF(Sheet2!#REF!&lt;&gt;"",Sheet2!#REF!,"")</f>
        <v>#REF!</v>
      </c>
      <c r="C589" s="34" t="e">
        <f>IF(Sheet2!#REF!&lt;&gt;"",Sheet2!#REF!,"")</f>
        <v>#REF!</v>
      </c>
      <c r="D589" s="35" t="str">
        <f t="shared" ca="1" si="20"/>
        <v/>
      </c>
      <c r="E589" s="3"/>
      <c r="F589" s="3"/>
      <c r="G589" s="3"/>
      <c r="H589" s="3"/>
      <c r="K589" t="str">
        <f t="shared" ca="1" si="21"/>
        <v/>
      </c>
    </row>
    <row r="590" spans="1:11">
      <c r="A590" s="23" t="e">
        <f>IF(Sheet2!#REF!&lt;&gt;"",Sheet2!#REF!,"")</f>
        <v>#REF!</v>
      </c>
      <c r="B590" s="33" t="e">
        <f>IF(Sheet2!#REF!&lt;&gt;"",Sheet2!#REF!,"")</f>
        <v>#REF!</v>
      </c>
      <c r="C590" s="34" t="e">
        <f>IF(Sheet2!#REF!&lt;&gt;"",Sheet2!#REF!,"")</f>
        <v>#REF!</v>
      </c>
      <c r="D590" s="35" t="str">
        <f t="shared" ca="1" si="20"/>
        <v/>
      </c>
      <c r="E590" s="3"/>
      <c r="F590" s="3"/>
      <c r="G590" s="3"/>
      <c r="H590" s="3"/>
      <c r="K590" t="str">
        <f t="shared" ca="1" si="21"/>
        <v/>
      </c>
    </row>
    <row r="591" spans="1:11">
      <c r="A591" s="23" t="e">
        <f>IF(Sheet2!#REF!&lt;&gt;"",Sheet2!#REF!,"")</f>
        <v>#REF!</v>
      </c>
      <c r="B591" s="33" t="e">
        <f>IF(Sheet2!#REF!&lt;&gt;"",Sheet2!#REF!,"")</f>
        <v>#REF!</v>
      </c>
      <c r="C591" s="34" t="e">
        <f>IF(Sheet2!#REF!&lt;&gt;"",Sheet2!#REF!,"")</f>
        <v>#REF!</v>
      </c>
      <c r="D591" s="35" t="str">
        <f t="shared" ca="1" si="20"/>
        <v/>
      </c>
      <c r="E591" s="3"/>
      <c r="F591" s="3"/>
      <c r="G591" s="3"/>
      <c r="H591" s="3"/>
      <c r="K591" t="str">
        <f t="shared" ca="1" si="21"/>
        <v/>
      </c>
    </row>
    <row r="592" spans="1:11">
      <c r="A592" s="23" t="e">
        <f>IF(Sheet2!#REF!&lt;&gt;"",Sheet2!#REF!,"")</f>
        <v>#REF!</v>
      </c>
      <c r="B592" s="33" t="e">
        <f>IF(Sheet2!#REF!&lt;&gt;"",Sheet2!#REF!,"")</f>
        <v>#REF!</v>
      </c>
      <c r="C592" s="34" t="e">
        <f>IF(Sheet2!#REF!&lt;&gt;"",Sheet2!#REF!,"")</f>
        <v>#REF!</v>
      </c>
      <c r="D592" s="35" t="str">
        <f t="shared" ca="1" si="20"/>
        <v/>
      </c>
      <c r="E592" s="3"/>
      <c r="F592" s="3"/>
      <c r="G592" s="3"/>
      <c r="H592" s="3"/>
      <c r="K592" t="str">
        <f t="shared" ca="1" si="21"/>
        <v/>
      </c>
    </row>
    <row r="593" spans="1:11">
      <c r="A593" s="23" t="e">
        <f>IF(Sheet2!#REF!&lt;&gt;"",Sheet2!#REF!,"")</f>
        <v>#REF!</v>
      </c>
      <c r="B593" s="33" t="e">
        <f>IF(Sheet2!#REF!&lt;&gt;"",Sheet2!#REF!,"")</f>
        <v>#REF!</v>
      </c>
      <c r="C593" s="34" t="e">
        <f>IF(Sheet2!#REF!&lt;&gt;"",Sheet2!#REF!,"")</f>
        <v>#REF!</v>
      </c>
      <c r="D593" s="35" t="str">
        <f t="shared" ca="1" si="20"/>
        <v/>
      </c>
      <c r="E593" s="3"/>
      <c r="F593" s="3"/>
      <c r="G593" s="3"/>
      <c r="H593" s="3"/>
      <c r="K593" t="str">
        <f t="shared" ca="1" si="21"/>
        <v/>
      </c>
    </row>
    <row r="594" spans="1:11">
      <c r="A594" s="23" t="e">
        <f>IF(Sheet2!#REF!&lt;&gt;"",Sheet2!#REF!,"")</f>
        <v>#REF!</v>
      </c>
      <c r="B594" s="33" t="e">
        <f>IF(Sheet2!#REF!&lt;&gt;"",Sheet2!#REF!,"")</f>
        <v>#REF!</v>
      </c>
      <c r="C594" s="34" t="e">
        <f>IF(Sheet2!#REF!&lt;&gt;"",Sheet2!#REF!,"")</f>
        <v>#REF!</v>
      </c>
      <c r="D594" s="35" t="str">
        <f t="shared" ca="1" si="20"/>
        <v/>
      </c>
      <c r="E594" s="3"/>
      <c r="F594" s="3"/>
      <c r="G594" s="3"/>
      <c r="H594" s="3"/>
      <c r="K594" t="str">
        <f t="shared" ca="1" si="21"/>
        <v/>
      </c>
    </row>
    <row r="595" spans="1:11">
      <c r="A595" s="23" t="e">
        <f>IF(Sheet2!#REF!&lt;&gt;"",Sheet2!#REF!,"")</f>
        <v>#REF!</v>
      </c>
      <c r="B595" s="33" t="e">
        <f>IF(Sheet2!#REF!&lt;&gt;"",Sheet2!#REF!,"")</f>
        <v>#REF!</v>
      </c>
      <c r="C595" s="34" t="e">
        <f>IF(Sheet2!#REF!&lt;&gt;"",Sheet2!#REF!,"")</f>
        <v>#REF!</v>
      </c>
      <c r="D595" s="35" t="str">
        <f t="shared" ca="1" si="20"/>
        <v/>
      </c>
      <c r="E595" s="3"/>
      <c r="F595" s="3"/>
      <c r="G595" s="3"/>
      <c r="H595" s="3"/>
      <c r="K595" t="str">
        <f t="shared" ca="1" si="21"/>
        <v/>
      </c>
    </row>
    <row r="596" spans="1:11">
      <c r="A596" s="23" t="e">
        <f>IF(Sheet2!#REF!&lt;&gt;"",Sheet2!#REF!,"")</f>
        <v>#REF!</v>
      </c>
      <c r="B596" s="33" t="e">
        <f>IF(Sheet2!#REF!&lt;&gt;"",Sheet2!#REF!,"")</f>
        <v>#REF!</v>
      </c>
      <c r="C596" s="34" t="e">
        <f>IF(Sheet2!#REF!&lt;&gt;"",Sheet2!#REF!,"")</f>
        <v>#REF!</v>
      </c>
      <c r="D596" s="35" t="str">
        <f t="shared" ca="1" si="20"/>
        <v/>
      </c>
      <c r="E596" s="3"/>
      <c r="F596" s="3"/>
      <c r="G596" s="3"/>
      <c r="H596" s="3"/>
      <c r="K596" t="str">
        <f t="shared" ca="1" si="21"/>
        <v/>
      </c>
    </row>
    <row r="597" spans="1:11">
      <c r="A597" s="23" t="e">
        <f>IF(Sheet2!#REF!&lt;&gt;"",Sheet2!#REF!,"")</f>
        <v>#REF!</v>
      </c>
      <c r="B597" s="33" t="e">
        <f>IF(Sheet2!#REF!&lt;&gt;"",Sheet2!#REF!,"")</f>
        <v>#REF!</v>
      </c>
      <c r="C597" s="34" t="e">
        <f>IF(Sheet2!#REF!&lt;&gt;"",Sheet2!#REF!,"")</f>
        <v>#REF!</v>
      </c>
      <c r="D597" s="35" t="str">
        <f t="shared" ca="1" si="20"/>
        <v/>
      </c>
      <c r="E597" s="3"/>
      <c r="F597" s="3"/>
      <c r="G597" s="3"/>
      <c r="H597" s="3"/>
      <c r="K597" t="str">
        <f t="shared" ca="1" si="21"/>
        <v/>
      </c>
    </row>
    <row r="598" spans="1:11">
      <c r="A598" s="23" t="e">
        <f>IF(Sheet2!#REF!&lt;&gt;"",Sheet2!#REF!,"")</f>
        <v>#REF!</v>
      </c>
      <c r="B598" s="33" t="e">
        <f>IF(Sheet2!#REF!&lt;&gt;"",Sheet2!#REF!,"")</f>
        <v>#REF!</v>
      </c>
      <c r="C598" s="34" t="e">
        <f>IF(Sheet2!#REF!&lt;&gt;"",Sheet2!#REF!,"")</f>
        <v>#REF!</v>
      </c>
      <c r="D598" s="35" t="str">
        <f t="shared" ca="1" si="20"/>
        <v/>
      </c>
      <c r="E598" s="3"/>
      <c r="F598" s="3"/>
      <c r="G598" s="3"/>
      <c r="H598" s="3"/>
      <c r="K598" t="str">
        <f t="shared" ca="1" si="21"/>
        <v/>
      </c>
    </row>
    <row r="599" spans="1:11">
      <c r="A599" s="23" t="e">
        <f>IF(Sheet2!#REF!&lt;&gt;"",Sheet2!#REF!,"")</f>
        <v>#REF!</v>
      </c>
      <c r="B599" s="33" t="e">
        <f>IF(Sheet2!#REF!&lt;&gt;"",Sheet2!#REF!,"")</f>
        <v>#REF!</v>
      </c>
      <c r="C599" s="34" t="e">
        <f>IF(Sheet2!#REF!&lt;&gt;"",Sheet2!#REF!,"")</f>
        <v>#REF!</v>
      </c>
      <c r="D599" s="35" t="str">
        <f t="shared" ca="1" si="20"/>
        <v/>
      </c>
      <c r="E599" s="3"/>
      <c r="F599" s="3"/>
      <c r="G599" s="3"/>
      <c r="H599" s="3"/>
      <c r="K599" t="str">
        <f t="shared" ca="1" si="21"/>
        <v/>
      </c>
    </row>
    <row r="600" spans="1:11">
      <c r="A600" s="23" t="e">
        <f>IF(Sheet2!#REF!&lt;&gt;"",Sheet2!#REF!,"")</f>
        <v>#REF!</v>
      </c>
      <c r="B600" s="33" t="e">
        <f>IF(Sheet2!#REF!&lt;&gt;"",Sheet2!#REF!,"")</f>
        <v>#REF!</v>
      </c>
      <c r="C600" s="34" t="e">
        <f>IF(Sheet2!#REF!&lt;&gt;"",Sheet2!#REF!,"")</f>
        <v>#REF!</v>
      </c>
      <c r="D600" s="35" t="str">
        <f t="shared" ca="1" si="20"/>
        <v/>
      </c>
      <c r="E600" s="3"/>
      <c r="F600" s="3"/>
      <c r="G600" s="3"/>
      <c r="H600" s="3"/>
      <c r="K600" t="str">
        <f t="shared" ca="1" si="21"/>
        <v/>
      </c>
    </row>
    <row r="601" spans="1:11">
      <c r="A601" s="23" t="e">
        <f>IF(Sheet2!#REF!&lt;&gt;"",Sheet2!#REF!,"")</f>
        <v>#REF!</v>
      </c>
      <c r="B601" s="33" t="e">
        <f>IF(Sheet2!#REF!&lt;&gt;"",Sheet2!#REF!,"")</f>
        <v>#REF!</v>
      </c>
      <c r="C601" s="34" t="e">
        <f>IF(Sheet2!#REF!&lt;&gt;"",Sheet2!#REF!,"")</f>
        <v>#REF!</v>
      </c>
      <c r="D601" s="35" t="str">
        <f t="shared" ca="1" si="20"/>
        <v/>
      </c>
      <c r="E601" s="3"/>
      <c r="F601" s="3"/>
      <c r="G601" s="3"/>
      <c r="H601" s="3"/>
      <c r="K601" t="str">
        <f t="shared" ca="1" si="21"/>
        <v/>
      </c>
    </row>
    <row r="602" spans="1:11">
      <c r="A602" s="23" t="e">
        <f>IF(Sheet2!#REF!&lt;&gt;"",Sheet2!#REF!,"")</f>
        <v>#REF!</v>
      </c>
      <c r="B602" s="33" t="e">
        <f>IF(Sheet2!#REF!&lt;&gt;"",Sheet2!#REF!,"")</f>
        <v>#REF!</v>
      </c>
      <c r="C602" s="34" t="e">
        <f>IF(Sheet2!#REF!&lt;&gt;"",Sheet2!#REF!,"")</f>
        <v>#REF!</v>
      </c>
      <c r="D602" s="35" t="str">
        <f t="shared" ca="1" si="20"/>
        <v/>
      </c>
      <c r="E602" s="3"/>
      <c r="F602" s="3"/>
      <c r="G602" s="3"/>
      <c r="H602" s="3"/>
      <c r="K602" t="str">
        <f t="shared" ca="1" si="21"/>
        <v/>
      </c>
    </row>
    <row r="603" spans="1:11">
      <c r="A603" s="23" t="e">
        <f>IF(Sheet2!#REF!&lt;&gt;"",Sheet2!#REF!,"")</f>
        <v>#REF!</v>
      </c>
      <c r="B603" s="33" t="e">
        <f>IF(Sheet2!#REF!&lt;&gt;"",Sheet2!#REF!,"")</f>
        <v>#REF!</v>
      </c>
      <c r="C603" s="34" t="e">
        <f>IF(Sheet2!#REF!&lt;&gt;"",Sheet2!#REF!,"")</f>
        <v>#REF!</v>
      </c>
      <c r="D603" s="35" t="str">
        <f t="shared" ca="1" si="20"/>
        <v/>
      </c>
      <c r="E603" s="3"/>
      <c r="F603" s="3"/>
      <c r="G603" s="3"/>
      <c r="H603" s="3"/>
      <c r="K603" t="str">
        <f t="shared" ca="1" si="21"/>
        <v/>
      </c>
    </row>
    <row r="604" spans="1:11">
      <c r="A604" s="23" t="e">
        <f>IF(Sheet2!#REF!&lt;&gt;"",Sheet2!#REF!,"")</f>
        <v>#REF!</v>
      </c>
      <c r="B604" s="33" t="e">
        <f>IF(Sheet2!#REF!&lt;&gt;"",Sheet2!#REF!,"")</f>
        <v>#REF!</v>
      </c>
      <c r="C604" s="34" t="e">
        <f>IF(Sheet2!#REF!&lt;&gt;"",Sheet2!#REF!,"")</f>
        <v>#REF!</v>
      </c>
      <c r="D604" s="35" t="str">
        <f t="shared" ca="1" si="20"/>
        <v/>
      </c>
      <c r="E604" s="3"/>
      <c r="F604" s="3"/>
      <c r="G604" s="3"/>
      <c r="H604" s="3"/>
      <c r="K604" t="str">
        <f t="shared" ca="1" si="21"/>
        <v/>
      </c>
    </row>
    <row r="605" spans="1:11">
      <c r="A605" s="23" t="e">
        <f>IF(Sheet2!#REF!&lt;&gt;"",Sheet2!#REF!,"")</f>
        <v>#REF!</v>
      </c>
      <c r="B605" s="33" t="e">
        <f>IF(Sheet2!#REF!&lt;&gt;"",Sheet2!#REF!,"")</f>
        <v>#REF!</v>
      </c>
      <c r="C605" s="34" t="e">
        <f>IF(Sheet2!#REF!&lt;&gt;"",Sheet2!#REF!,"")</f>
        <v>#REF!</v>
      </c>
      <c r="D605" s="35" t="str">
        <f t="shared" ca="1" si="20"/>
        <v/>
      </c>
      <c r="E605" s="3"/>
      <c r="F605" s="3"/>
      <c r="G605" s="3"/>
      <c r="H605" s="3"/>
      <c r="K605" t="str">
        <f t="shared" ca="1" si="21"/>
        <v/>
      </c>
    </row>
    <row r="606" spans="1:11">
      <c r="A606" s="23" t="e">
        <f>IF(Sheet2!#REF!&lt;&gt;"",Sheet2!#REF!,"")</f>
        <v>#REF!</v>
      </c>
      <c r="B606" s="33" t="e">
        <f>IF(Sheet2!#REF!&lt;&gt;"",Sheet2!#REF!,"")</f>
        <v>#REF!</v>
      </c>
      <c r="C606" s="34" t="e">
        <f>IF(Sheet2!#REF!&lt;&gt;"",Sheet2!#REF!,"")</f>
        <v>#REF!</v>
      </c>
      <c r="D606" s="35" t="str">
        <f t="shared" ca="1" si="20"/>
        <v/>
      </c>
      <c r="E606" s="3"/>
      <c r="F606" s="3"/>
      <c r="G606" s="3"/>
      <c r="H606" s="3"/>
      <c r="K606" t="str">
        <f t="shared" ca="1" si="21"/>
        <v/>
      </c>
    </row>
    <row r="607" spans="1:11">
      <c r="A607" s="23" t="e">
        <f>IF(Sheet2!#REF!&lt;&gt;"",Sheet2!#REF!,"")</f>
        <v>#REF!</v>
      </c>
      <c r="B607" s="33" t="e">
        <f>IF(Sheet2!#REF!&lt;&gt;"",Sheet2!#REF!,"")</f>
        <v>#REF!</v>
      </c>
      <c r="C607" s="34" t="e">
        <f>IF(Sheet2!#REF!&lt;&gt;"",Sheet2!#REF!,"")</f>
        <v>#REF!</v>
      </c>
      <c r="D607" s="35" t="str">
        <f t="shared" ca="1" si="20"/>
        <v/>
      </c>
      <c r="E607" s="3"/>
      <c r="F607" s="3"/>
      <c r="G607" s="3"/>
      <c r="H607" s="3"/>
      <c r="K607" t="str">
        <f t="shared" ca="1" si="21"/>
        <v/>
      </c>
    </row>
    <row r="608" spans="1:11">
      <c r="A608" s="23" t="e">
        <f>IF(Sheet2!#REF!&lt;&gt;"",Sheet2!#REF!,"")</f>
        <v>#REF!</v>
      </c>
      <c r="B608" s="33" t="e">
        <f>IF(Sheet2!#REF!&lt;&gt;"",Sheet2!#REF!,"")</f>
        <v>#REF!</v>
      </c>
      <c r="C608" s="34" t="e">
        <f>IF(Sheet2!#REF!&lt;&gt;"",Sheet2!#REF!,"")</f>
        <v>#REF!</v>
      </c>
      <c r="D608" s="35" t="str">
        <f t="shared" ca="1" si="20"/>
        <v/>
      </c>
      <c r="E608" s="3"/>
      <c r="F608" s="3"/>
      <c r="G608" s="3"/>
      <c r="H608" s="3"/>
      <c r="K608" t="str">
        <f t="shared" ca="1" si="21"/>
        <v/>
      </c>
    </row>
    <row r="609" spans="1:11">
      <c r="A609" s="23" t="e">
        <f>IF(Sheet2!#REF!&lt;&gt;"",Sheet2!#REF!,"")</f>
        <v>#REF!</v>
      </c>
      <c r="B609" s="33" t="e">
        <f>IF(Sheet2!#REF!&lt;&gt;"",Sheet2!#REF!,"")</f>
        <v>#REF!</v>
      </c>
      <c r="C609" s="34" t="e">
        <f>IF(Sheet2!#REF!&lt;&gt;"",Sheet2!#REF!,"")</f>
        <v>#REF!</v>
      </c>
      <c r="D609" s="35" t="str">
        <f t="shared" ca="1" si="20"/>
        <v/>
      </c>
      <c r="E609" s="3"/>
      <c r="F609" s="3"/>
      <c r="G609" s="3"/>
      <c r="H609" s="3"/>
      <c r="K609" t="str">
        <f t="shared" ca="1" si="21"/>
        <v/>
      </c>
    </row>
    <row r="610" spans="1:11">
      <c r="A610" s="23" t="e">
        <f>IF(Sheet2!#REF!&lt;&gt;"",Sheet2!#REF!,"")</f>
        <v>#REF!</v>
      </c>
      <c r="B610" s="33" t="e">
        <f>IF(Sheet2!#REF!&lt;&gt;"",Sheet2!#REF!,"")</f>
        <v>#REF!</v>
      </c>
      <c r="C610" s="34" t="e">
        <f>IF(Sheet2!#REF!&lt;&gt;"",Sheet2!#REF!,"")</f>
        <v>#REF!</v>
      </c>
      <c r="D610" s="35" t="str">
        <f t="shared" ca="1" si="20"/>
        <v/>
      </c>
      <c r="E610" s="3"/>
      <c r="F610" s="3"/>
      <c r="G610" s="3"/>
      <c r="H610" s="3"/>
      <c r="K610" t="str">
        <f t="shared" ca="1" si="21"/>
        <v/>
      </c>
    </row>
    <row r="611" spans="1:11">
      <c r="A611" s="23" t="e">
        <f>IF(Sheet2!#REF!&lt;&gt;"",Sheet2!#REF!,"")</f>
        <v>#REF!</v>
      </c>
      <c r="B611" s="33" t="e">
        <f>IF(Sheet2!#REF!&lt;&gt;"",Sheet2!#REF!,"")</f>
        <v>#REF!</v>
      </c>
      <c r="C611" s="34" t="e">
        <f>IF(Sheet2!#REF!&lt;&gt;"",Sheet2!#REF!,"")</f>
        <v>#REF!</v>
      </c>
      <c r="D611" s="35" t="str">
        <f t="shared" ca="1" si="20"/>
        <v/>
      </c>
      <c r="E611" s="3"/>
      <c r="F611" s="3"/>
      <c r="G611" s="3"/>
      <c r="H611" s="3"/>
      <c r="K611" t="str">
        <f t="shared" ca="1" si="21"/>
        <v/>
      </c>
    </row>
    <row r="612" spans="1:11">
      <c r="A612" s="23" t="e">
        <f>IF(Sheet2!#REF!&lt;&gt;"",Sheet2!#REF!,"")</f>
        <v>#REF!</v>
      </c>
      <c r="B612" s="33" t="e">
        <f>IF(Sheet2!#REF!&lt;&gt;"",Sheet2!#REF!,"")</f>
        <v>#REF!</v>
      </c>
      <c r="C612" s="34" t="e">
        <f>IF(Sheet2!#REF!&lt;&gt;"",Sheet2!#REF!,"")</f>
        <v>#REF!</v>
      </c>
      <c r="D612" s="35" t="str">
        <f t="shared" ca="1" si="20"/>
        <v/>
      </c>
      <c r="E612" s="3"/>
      <c r="F612" s="3"/>
      <c r="G612" s="3"/>
      <c r="H612" s="3"/>
      <c r="K612" t="str">
        <f t="shared" ca="1" si="21"/>
        <v/>
      </c>
    </row>
    <row r="613" spans="1:11">
      <c r="A613" s="23" t="e">
        <f>IF(Sheet2!#REF!&lt;&gt;"",Sheet2!#REF!,"")</f>
        <v>#REF!</v>
      </c>
      <c r="B613" s="33" t="e">
        <f>IF(Sheet2!#REF!&lt;&gt;"",Sheet2!#REF!,"")</f>
        <v>#REF!</v>
      </c>
      <c r="C613" s="34" t="e">
        <f>IF(Sheet2!#REF!&lt;&gt;"",Sheet2!#REF!,"")</f>
        <v>#REF!</v>
      </c>
      <c r="D613" s="35" t="str">
        <f t="shared" ca="1" si="20"/>
        <v/>
      </c>
      <c r="E613" s="3"/>
      <c r="F613" s="3"/>
      <c r="G613" s="3"/>
      <c r="H613" s="3"/>
      <c r="K613" t="str">
        <f t="shared" ca="1" si="21"/>
        <v/>
      </c>
    </row>
    <row r="614" spans="1:11">
      <c r="A614" s="23" t="e">
        <f>IF(Sheet2!#REF!&lt;&gt;"",Sheet2!#REF!,"")</f>
        <v>#REF!</v>
      </c>
      <c r="B614" s="33" t="e">
        <f>IF(Sheet2!#REF!&lt;&gt;"",Sheet2!#REF!,"")</f>
        <v>#REF!</v>
      </c>
      <c r="C614" s="34" t="e">
        <f>IF(Sheet2!#REF!&lt;&gt;"",Sheet2!#REF!,"")</f>
        <v>#REF!</v>
      </c>
      <c r="D614" s="35" t="str">
        <f t="shared" ca="1" si="20"/>
        <v/>
      </c>
      <c r="E614" s="3"/>
      <c r="F614" s="3"/>
      <c r="G614" s="3"/>
      <c r="H614" s="3"/>
      <c r="K614" t="str">
        <f t="shared" ca="1" si="21"/>
        <v/>
      </c>
    </row>
    <row r="615" spans="1:11">
      <c r="A615" s="23" t="e">
        <f>IF(Sheet2!#REF!&lt;&gt;"",Sheet2!#REF!,"")</f>
        <v>#REF!</v>
      </c>
      <c r="B615" s="33" t="e">
        <f>IF(Sheet2!#REF!&lt;&gt;"",Sheet2!#REF!,"")</f>
        <v>#REF!</v>
      </c>
      <c r="C615" s="34" t="e">
        <f>IF(Sheet2!#REF!&lt;&gt;"",Sheet2!#REF!,"")</f>
        <v>#REF!</v>
      </c>
      <c r="D615" s="35" t="str">
        <f t="shared" ca="1" si="20"/>
        <v/>
      </c>
      <c r="E615" s="3"/>
      <c r="F615" s="3"/>
      <c r="G615" s="3"/>
      <c r="H615" s="3"/>
      <c r="K615" t="str">
        <f t="shared" ca="1" si="21"/>
        <v/>
      </c>
    </row>
    <row r="616" spans="1:11">
      <c r="A616" s="23" t="e">
        <f>IF(Sheet2!#REF!&lt;&gt;"",Sheet2!#REF!,"")</f>
        <v>#REF!</v>
      </c>
      <c r="B616" s="33" t="e">
        <f>IF(Sheet2!#REF!&lt;&gt;"",Sheet2!#REF!,"")</f>
        <v>#REF!</v>
      </c>
      <c r="C616" s="34" t="e">
        <f>IF(Sheet2!#REF!&lt;&gt;"",Sheet2!#REF!,"")</f>
        <v>#REF!</v>
      </c>
      <c r="D616" s="35" t="str">
        <f t="shared" ca="1" si="20"/>
        <v/>
      </c>
      <c r="E616" s="3"/>
      <c r="F616" s="3"/>
      <c r="G616" s="3"/>
      <c r="H616" s="3"/>
      <c r="K616" t="str">
        <f t="shared" ca="1" si="21"/>
        <v/>
      </c>
    </row>
    <row r="617" spans="1:11">
      <c r="A617" s="23" t="e">
        <f>IF(Sheet2!#REF!&lt;&gt;"",Sheet2!#REF!,"")</f>
        <v>#REF!</v>
      </c>
      <c r="B617" s="33" t="e">
        <f>IF(Sheet2!#REF!&lt;&gt;"",Sheet2!#REF!,"")</f>
        <v>#REF!</v>
      </c>
      <c r="C617" s="34" t="e">
        <f>IF(Sheet2!#REF!&lt;&gt;"",Sheet2!#REF!,"")</f>
        <v>#REF!</v>
      </c>
      <c r="D617" s="35" t="str">
        <f t="shared" ca="1" si="20"/>
        <v/>
      </c>
      <c r="E617" s="3"/>
      <c r="F617" s="3"/>
      <c r="G617" s="3"/>
      <c r="H617" s="3"/>
      <c r="K617" t="str">
        <f t="shared" ca="1" si="21"/>
        <v/>
      </c>
    </row>
    <row r="618" spans="1:11">
      <c r="A618" s="23" t="e">
        <f>IF(Sheet2!#REF!&lt;&gt;"",Sheet2!#REF!,"")</f>
        <v>#REF!</v>
      </c>
      <c r="B618" s="33" t="e">
        <f>IF(Sheet2!#REF!&lt;&gt;"",Sheet2!#REF!,"")</f>
        <v>#REF!</v>
      </c>
      <c r="C618" s="34" t="e">
        <f>IF(Sheet2!#REF!&lt;&gt;"",Sheet2!#REF!,"")</f>
        <v>#REF!</v>
      </c>
      <c r="D618" s="35" t="str">
        <f t="shared" ca="1" si="20"/>
        <v/>
      </c>
      <c r="E618" s="3"/>
      <c r="F618" s="3"/>
      <c r="G618" s="3"/>
      <c r="H618" s="3"/>
      <c r="K618" t="str">
        <f t="shared" ca="1" si="21"/>
        <v/>
      </c>
    </row>
    <row r="619" spans="1:11">
      <c r="A619" s="23" t="e">
        <f>IF(Sheet2!#REF!&lt;&gt;"",Sheet2!#REF!,"")</f>
        <v>#REF!</v>
      </c>
      <c r="B619" s="33" t="e">
        <f>IF(Sheet2!#REF!&lt;&gt;"",Sheet2!#REF!,"")</f>
        <v>#REF!</v>
      </c>
      <c r="C619" s="34" t="e">
        <f>IF(Sheet2!#REF!&lt;&gt;"",Sheet2!#REF!,"")</f>
        <v>#REF!</v>
      </c>
      <c r="D619" s="35" t="str">
        <f t="shared" ca="1" si="20"/>
        <v/>
      </c>
      <c r="E619" s="3"/>
      <c r="F619" s="3"/>
      <c r="G619" s="3"/>
      <c r="H619" s="3"/>
      <c r="K619" t="str">
        <f t="shared" ca="1" si="21"/>
        <v/>
      </c>
    </row>
    <row r="620" spans="1:11">
      <c r="A620" s="23" t="e">
        <f>IF(Sheet2!#REF!&lt;&gt;"",Sheet2!#REF!,"")</f>
        <v>#REF!</v>
      </c>
      <c r="B620" s="33" t="e">
        <f>IF(Sheet2!#REF!&lt;&gt;"",Sheet2!#REF!,"")</f>
        <v>#REF!</v>
      </c>
      <c r="C620" s="34" t="e">
        <f>IF(Sheet2!#REF!&lt;&gt;"",Sheet2!#REF!,"")</f>
        <v>#REF!</v>
      </c>
      <c r="D620" s="35" t="str">
        <f t="shared" ca="1" si="20"/>
        <v/>
      </c>
      <c r="E620" s="3"/>
      <c r="F620" s="3"/>
      <c r="G620" s="3"/>
      <c r="H620" s="3"/>
      <c r="K620" t="str">
        <f t="shared" ca="1" si="21"/>
        <v/>
      </c>
    </row>
    <row r="621" spans="1:11">
      <c r="A621" s="23" t="e">
        <f>IF(Sheet2!#REF!&lt;&gt;"",Sheet2!#REF!,"")</f>
        <v>#REF!</v>
      </c>
      <c r="B621" s="33" t="e">
        <f>IF(Sheet2!#REF!&lt;&gt;"",Sheet2!#REF!,"")</f>
        <v>#REF!</v>
      </c>
      <c r="C621" s="34" t="e">
        <f>IF(Sheet2!#REF!&lt;&gt;"",Sheet2!#REF!,"")</f>
        <v>#REF!</v>
      </c>
      <c r="D621" s="35" t="str">
        <f t="shared" ca="1" si="20"/>
        <v/>
      </c>
      <c r="E621" s="3"/>
      <c r="F621" s="3"/>
      <c r="G621" s="3"/>
      <c r="H621" s="3"/>
      <c r="K621" t="str">
        <f t="shared" ca="1" si="21"/>
        <v/>
      </c>
    </row>
    <row r="622" spans="1:11">
      <c r="A622" s="23" t="e">
        <f>IF(Sheet2!#REF!&lt;&gt;"",Sheet2!#REF!,"")</f>
        <v>#REF!</v>
      </c>
      <c r="B622" s="33" t="e">
        <f>IF(Sheet2!#REF!&lt;&gt;"",Sheet2!#REF!,"")</f>
        <v>#REF!</v>
      </c>
      <c r="C622" s="34" t="e">
        <f>IF(Sheet2!#REF!&lt;&gt;"",Sheet2!#REF!,"")</f>
        <v>#REF!</v>
      </c>
      <c r="D622" s="35" t="str">
        <f t="shared" ca="1" si="20"/>
        <v/>
      </c>
      <c r="E622" s="3"/>
      <c r="F622" s="3"/>
      <c r="G622" s="3"/>
      <c r="H622" s="3"/>
      <c r="K622" t="str">
        <f t="shared" ca="1" si="21"/>
        <v/>
      </c>
    </row>
    <row r="623" spans="1:11">
      <c r="A623" s="23" t="e">
        <f>IF(Sheet2!#REF!&lt;&gt;"",Sheet2!#REF!,"")</f>
        <v>#REF!</v>
      </c>
      <c r="B623" s="33" t="e">
        <f>IF(Sheet2!#REF!&lt;&gt;"",Sheet2!#REF!,"")</f>
        <v>#REF!</v>
      </c>
      <c r="C623" s="34" t="e">
        <f>IF(Sheet2!#REF!&lt;&gt;"",Sheet2!#REF!,"")</f>
        <v>#REF!</v>
      </c>
      <c r="D623" s="35" t="str">
        <f t="shared" ca="1" si="20"/>
        <v/>
      </c>
      <c r="E623" s="3"/>
      <c r="F623" s="3"/>
      <c r="G623" s="3"/>
      <c r="H623" s="3"/>
      <c r="K623" t="str">
        <f t="shared" ca="1" si="21"/>
        <v/>
      </c>
    </row>
    <row r="624" spans="1:11">
      <c r="A624" s="23" t="e">
        <f>IF(Sheet2!#REF!&lt;&gt;"",Sheet2!#REF!,"")</f>
        <v>#REF!</v>
      </c>
      <c r="B624" s="33" t="e">
        <f>IF(Sheet2!#REF!&lt;&gt;"",Sheet2!#REF!,"")</f>
        <v>#REF!</v>
      </c>
      <c r="C624" s="34" t="e">
        <f>IF(Sheet2!#REF!&lt;&gt;"",Sheet2!#REF!,"")</f>
        <v>#REF!</v>
      </c>
      <c r="D624" s="35" t="str">
        <f t="shared" ca="1" si="20"/>
        <v/>
      </c>
      <c r="E624" s="3"/>
      <c r="F624" s="3"/>
      <c r="G624" s="3"/>
      <c r="H624" s="3"/>
      <c r="K624" t="str">
        <f t="shared" ca="1" si="21"/>
        <v/>
      </c>
    </row>
    <row r="625" spans="1:11">
      <c r="A625" s="23" t="e">
        <f>IF(Sheet2!#REF!&lt;&gt;"",Sheet2!#REF!,"")</f>
        <v>#REF!</v>
      </c>
      <c r="B625" s="33" t="e">
        <f>IF(Sheet2!#REF!&lt;&gt;"",Sheet2!#REF!,"")</f>
        <v>#REF!</v>
      </c>
      <c r="C625" s="34" t="e">
        <f>IF(Sheet2!#REF!&lt;&gt;"",Sheet2!#REF!,"")</f>
        <v>#REF!</v>
      </c>
      <c r="D625" s="35" t="str">
        <f t="shared" ca="1" si="20"/>
        <v/>
      </c>
      <c r="E625" s="3"/>
      <c r="F625" s="3"/>
      <c r="G625" s="3"/>
      <c r="H625" s="3"/>
      <c r="K625" t="str">
        <f t="shared" ca="1" si="21"/>
        <v/>
      </c>
    </row>
    <row r="626" spans="1:11">
      <c r="A626" s="23" t="e">
        <f>IF(Sheet2!#REF!&lt;&gt;"",Sheet2!#REF!,"")</f>
        <v>#REF!</v>
      </c>
      <c r="B626" s="33" t="e">
        <f>IF(Sheet2!#REF!&lt;&gt;"",Sheet2!#REF!,"")</f>
        <v>#REF!</v>
      </c>
      <c r="C626" s="34" t="e">
        <f>IF(Sheet2!#REF!&lt;&gt;"",Sheet2!#REF!,"")</f>
        <v>#REF!</v>
      </c>
      <c r="D626" s="35" t="str">
        <f t="shared" ca="1" si="20"/>
        <v/>
      </c>
      <c r="E626" s="3"/>
      <c r="F626" s="3"/>
      <c r="G626" s="3"/>
      <c r="H626" s="3"/>
      <c r="K626" t="str">
        <f t="shared" ca="1" si="21"/>
        <v/>
      </c>
    </row>
    <row r="627" spans="1:11">
      <c r="A627" s="23" t="e">
        <f>IF(Sheet2!#REF!&lt;&gt;"",Sheet2!#REF!,"")</f>
        <v>#REF!</v>
      </c>
      <c r="B627" s="33" t="e">
        <f>IF(Sheet2!#REF!&lt;&gt;"",Sheet2!#REF!,"")</f>
        <v>#REF!</v>
      </c>
      <c r="C627" s="34" t="e">
        <f>IF(Sheet2!#REF!&lt;&gt;"",Sheet2!#REF!,"")</f>
        <v>#REF!</v>
      </c>
      <c r="D627" s="35" t="str">
        <f t="shared" ca="1" si="20"/>
        <v/>
      </c>
      <c r="E627" s="3"/>
      <c r="F627" s="3"/>
      <c r="G627" s="3"/>
      <c r="H627" s="3"/>
      <c r="K627" t="str">
        <f t="shared" ca="1" si="21"/>
        <v/>
      </c>
    </row>
    <row r="628" spans="1:11">
      <c r="A628" s="23" t="e">
        <f>IF(Sheet2!#REF!&lt;&gt;"",Sheet2!#REF!,"")</f>
        <v>#REF!</v>
      </c>
      <c r="B628" s="33" t="e">
        <f>IF(Sheet2!#REF!&lt;&gt;"",Sheet2!#REF!,"")</f>
        <v>#REF!</v>
      </c>
      <c r="C628" s="34" t="e">
        <f>IF(Sheet2!#REF!&lt;&gt;"",Sheet2!#REF!,"")</f>
        <v>#REF!</v>
      </c>
      <c r="D628" s="35" t="str">
        <f t="shared" ca="1" si="20"/>
        <v/>
      </c>
      <c r="E628" s="3"/>
      <c r="F628" s="3"/>
      <c r="G628" s="3"/>
      <c r="H628" s="3"/>
      <c r="K628" t="str">
        <f t="shared" ca="1" si="21"/>
        <v/>
      </c>
    </row>
    <row r="629" spans="1:11">
      <c r="A629" s="23" t="e">
        <f>IF(Sheet2!#REF!&lt;&gt;"",Sheet2!#REF!,"")</f>
        <v>#REF!</v>
      </c>
      <c r="B629" s="33" t="e">
        <f>IF(Sheet2!#REF!&lt;&gt;"",Sheet2!#REF!,"")</f>
        <v>#REF!</v>
      </c>
      <c r="C629" s="34" t="e">
        <f>IF(Sheet2!#REF!&lt;&gt;"",Sheet2!#REF!,"")</f>
        <v>#REF!</v>
      </c>
      <c r="D629" s="35" t="str">
        <f t="shared" ca="1" si="20"/>
        <v/>
      </c>
      <c r="E629" s="3"/>
      <c r="F629" s="3"/>
      <c r="G629" s="3"/>
      <c r="H629" s="3"/>
      <c r="K629" t="str">
        <f t="shared" ca="1" si="21"/>
        <v/>
      </c>
    </row>
    <row r="630" spans="1:11">
      <c r="A630" s="23" t="e">
        <f>IF(Sheet2!#REF!&lt;&gt;"",Sheet2!#REF!,"")</f>
        <v>#REF!</v>
      </c>
      <c r="B630" s="33" t="e">
        <f>IF(Sheet2!#REF!&lt;&gt;"",Sheet2!#REF!,"")</f>
        <v>#REF!</v>
      </c>
      <c r="C630" s="34" t="e">
        <f>IF(Sheet2!#REF!&lt;&gt;"",Sheet2!#REF!,"")</f>
        <v>#REF!</v>
      </c>
      <c r="D630" s="35" t="str">
        <f t="shared" ca="1" si="20"/>
        <v/>
      </c>
      <c r="E630" s="3"/>
      <c r="F630" s="3"/>
      <c r="G630" s="3"/>
      <c r="H630" s="3"/>
      <c r="K630" t="str">
        <f t="shared" ca="1" si="21"/>
        <v/>
      </c>
    </row>
    <row r="631" spans="1:11">
      <c r="A631" s="23" t="e">
        <f>IF(Sheet2!#REF!&lt;&gt;"",Sheet2!#REF!,"")</f>
        <v>#REF!</v>
      </c>
      <c r="B631" s="33" t="e">
        <f>IF(Sheet2!#REF!&lt;&gt;"",Sheet2!#REF!,"")</f>
        <v>#REF!</v>
      </c>
      <c r="C631" s="34" t="e">
        <f>IF(Sheet2!#REF!&lt;&gt;"",Sheet2!#REF!,"")</f>
        <v>#REF!</v>
      </c>
      <c r="D631" s="35" t="str">
        <f t="shared" ca="1" si="20"/>
        <v/>
      </c>
      <c r="E631" s="3"/>
      <c r="F631" s="3"/>
      <c r="G631" s="3"/>
      <c r="H631" s="3"/>
      <c r="K631" t="str">
        <f t="shared" ca="1" si="21"/>
        <v/>
      </c>
    </row>
    <row r="632" spans="1:11">
      <c r="A632" s="23" t="e">
        <f>IF(Sheet2!#REF!&lt;&gt;"",Sheet2!#REF!,"")</f>
        <v>#REF!</v>
      </c>
      <c r="B632" s="33" t="e">
        <f>IF(Sheet2!#REF!&lt;&gt;"",Sheet2!#REF!,"")</f>
        <v>#REF!</v>
      </c>
      <c r="C632" s="34" t="e">
        <f>IF(Sheet2!#REF!&lt;&gt;"",Sheet2!#REF!,"")</f>
        <v>#REF!</v>
      </c>
      <c r="D632" s="35" t="str">
        <f t="shared" ca="1" si="20"/>
        <v/>
      </c>
      <c r="E632" s="3"/>
      <c r="F632" s="3"/>
      <c r="G632" s="3"/>
      <c r="H632" s="3"/>
      <c r="K632" t="str">
        <f t="shared" ca="1" si="21"/>
        <v/>
      </c>
    </row>
    <row r="633" spans="1:11">
      <c r="A633" s="23" t="e">
        <f>IF(Sheet2!#REF!&lt;&gt;"",Sheet2!#REF!,"")</f>
        <v>#REF!</v>
      </c>
      <c r="B633" s="33" t="e">
        <f>IF(Sheet2!#REF!&lt;&gt;"",Sheet2!#REF!,"")</f>
        <v>#REF!</v>
      </c>
      <c r="C633" s="34" t="e">
        <f>IF(Sheet2!#REF!&lt;&gt;"",Sheet2!#REF!,"")</f>
        <v>#REF!</v>
      </c>
      <c r="D633" s="35" t="str">
        <f t="shared" ca="1" si="20"/>
        <v/>
      </c>
      <c r="E633" s="3"/>
      <c r="F633" s="3"/>
      <c r="G633" s="3"/>
      <c r="H633" s="3"/>
      <c r="K633" t="str">
        <f t="shared" ca="1" si="21"/>
        <v/>
      </c>
    </row>
    <row r="634" spans="1:11">
      <c r="A634" s="23" t="e">
        <f>IF(Sheet2!#REF!&lt;&gt;"",Sheet2!#REF!,"")</f>
        <v>#REF!</v>
      </c>
      <c r="B634" s="33" t="e">
        <f>IF(Sheet2!#REF!&lt;&gt;"",Sheet2!#REF!,"")</f>
        <v>#REF!</v>
      </c>
      <c r="C634" s="34" t="e">
        <f>IF(Sheet2!#REF!&lt;&gt;"",Sheet2!#REF!,"")</f>
        <v>#REF!</v>
      </c>
      <c r="D634" s="35" t="str">
        <f t="shared" ca="1" si="20"/>
        <v/>
      </c>
      <c r="E634" s="3"/>
      <c r="F634" s="3"/>
      <c r="G634" s="3"/>
      <c r="H634" s="3"/>
      <c r="K634" t="str">
        <f t="shared" ca="1" si="21"/>
        <v/>
      </c>
    </row>
    <row r="635" spans="1:11">
      <c r="A635" s="23" t="e">
        <f>IF(Sheet2!#REF!&lt;&gt;"",Sheet2!#REF!,"")</f>
        <v>#REF!</v>
      </c>
      <c r="B635" s="33" t="e">
        <f>IF(Sheet2!#REF!&lt;&gt;"",Sheet2!#REF!,"")</f>
        <v>#REF!</v>
      </c>
      <c r="C635" s="34" t="e">
        <f>IF(Sheet2!#REF!&lt;&gt;"",Sheet2!#REF!,"")</f>
        <v>#REF!</v>
      </c>
      <c r="D635" s="35" t="str">
        <f t="shared" ca="1" si="20"/>
        <v/>
      </c>
      <c r="E635" s="3"/>
      <c r="F635" s="3"/>
      <c r="G635" s="3"/>
      <c r="H635" s="3"/>
      <c r="K635" t="str">
        <f t="shared" ca="1" si="21"/>
        <v/>
      </c>
    </row>
    <row r="636" spans="1:11">
      <c r="A636" s="23" t="e">
        <f>IF(Sheet2!#REF!&lt;&gt;"",Sheet2!#REF!,"")</f>
        <v>#REF!</v>
      </c>
      <c r="B636" s="33" t="e">
        <f>IF(Sheet2!#REF!&lt;&gt;"",Sheet2!#REF!,"")</f>
        <v>#REF!</v>
      </c>
      <c r="C636" s="34" t="e">
        <f>IF(Sheet2!#REF!&lt;&gt;"",Sheet2!#REF!,"")</f>
        <v>#REF!</v>
      </c>
      <c r="D636" s="35" t="str">
        <f t="shared" ca="1" si="20"/>
        <v/>
      </c>
      <c r="E636" s="3"/>
      <c r="F636" s="3"/>
      <c r="G636" s="3"/>
      <c r="H636" s="3"/>
      <c r="K636" t="str">
        <f t="shared" ca="1" si="21"/>
        <v/>
      </c>
    </row>
    <row r="637" spans="1:11">
      <c r="A637" s="23" t="e">
        <f>IF(Sheet2!#REF!&lt;&gt;"",Sheet2!#REF!,"")</f>
        <v>#REF!</v>
      </c>
      <c r="B637" s="33" t="e">
        <f>IF(Sheet2!#REF!&lt;&gt;"",Sheet2!#REF!,"")</f>
        <v>#REF!</v>
      </c>
      <c r="C637" s="34" t="e">
        <f>IF(Sheet2!#REF!&lt;&gt;"",Sheet2!#REF!,"")</f>
        <v>#REF!</v>
      </c>
      <c r="D637" s="35" t="str">
        <f t="shared" ca="1" si="20"/>
        <v/>
      </c>
      <c r="E637" s="3"/>
      <c r="F637" s="3"/>
      <c r="G637" s="3"/>
      <c r="H637" s="3"/>
      <c r="K637" t="str">
        <f t="shared" ca="1" si="21"/>
        <v/>
      </c>
    </row>
    <row r="638" spans="1:11">
      <c r="A638" s="23" t="e">
        <f>IF(Sheet2!#REF!&lt;&gt;"",Sheet2!#REF!,"")</f>
        <v>#REF!</v>
      </c>
      <c r="B638" s="33" t="e">
        <f>IF(Sheet2!#REF!&lt;&gt;"",Sheet2!#REF!,"")</f>
        <v>#REF!</v>
      </c>
      <c r="C638" s="34" t="e">
        <f>IF(Sheet2!#REF!&lt;&gt;"",Sheet2!#REF!,"")</f>
        <v>#REF!</v>
      </c>
      <c r="D638" s="35" t="str">
        <f t="shared" ca="1" si="20"/>
        <v/>
      </c>
      <c r="E638" s="3"/>
      <c r="F638" s="3"/>
      <c r="G638" s="3"/>
      <c r="H638" s="3"/>
      <c r="K638" t="str">
        <f t="shared" ca="1" si="21"/>
        <v/>
      </c>
    </row>
    <row r="639" spans="1:11">
      <c r="A639" s="23" t="e">
        <f>IF(Sheet2!#REF!&lt;&gt;"",Sheet2!#REF!,"")</f>
        <v>#REF!</v>
      </c>
      <c r="B639" s="33" t="e">
        <f>IF(Sheet2!#REF!&lt;&gt;"",Sheet2!#REF!,"")</f>
        <v>#REF!</v>
      </c>
      <c r="C639" s="34" t="e">
        <f>IF(Sheet2!#REF!&lt;&gt;"",Sheet2!#REF!,"")</f>
        <v>#REF!</v>
      </c>
      <c r="D639" s="35" t="str">
        <f t="shared" ca="1" si="20"/>
        <v/>
      </c>
      <c r="E639" s="3"/>
      <c r="F639" s="3"/>
      <c r="G639" s="3"/>
      <c r="H639" s="3"/>
      <c r="K639" t="str">
        <f t="shared" ca="1" si="21"/>
        <v/>
      </c>
    </row>
    <row r="640" spans="1:11">
      <c r="A640" s="23" t="e">
        <f>IF(Sheet2!#REF!&lt;&gt;"",Sheet2!#REF!,"")</f>
        <v>#REF!</v>
      </c>
      <c r="B640" s="33" t="e">
        <f>IF(Sheet2!#REF!&lt;&gt;"",Sheet2!#REF!,"")</f>
        <v>#REF!</v>
      </c>
      <c r="C640" s="34" t="e">
        <f>IF(Sheet2!#REF!&lt;&gt;"",Sheet2!#REF!,"")</f>
        <v>#REF!</v>
      </c>
      <c r="D640" s="35" t="str">
        <f t="shared" ca="1" si="20"/>
        <v/>
      </c>
      <c r="E640" s="3"/>
      <c r="F640" s="3"/>
      <c r="G640" s="3"/>
      <c r="H640" s="3"/>
      <c r="K640" t="str">
        <f t="shared" ca="1" si="21"/>
        <v/>
      </c>
    </row>
    <row r="641" spans="1:11">
      <c r="A641" s="23" t="e">
        <f>IF(Sheet2!#REF!&lt;&gt;"",Sheet2!#REF!,"")</f>
        <v>#REF!</v>
      </c>
      <c r="B641" s="33" t="e">
        <f>IF(Sheet2!#REF!&lt;&gt;"",Sheet2!#REF!,"")</f>
        <v>#REF!</v>
      </c>
      <c r="C641" s="34" t="e">
        <f>IF(Sheet2!#REF!&lt;&gt;"",Sheet2!#REF!,"")</f>
        <v>#REF!</v>
      </c>
      <c r="D641" s="35" t="str">
        <f t="shared" ca="1" si="20"/>
        <v/>
      </c>
      <c r="E641" s="3"/>
      <c r="F641" s="3"/>
      <c r="G641" s="3"/>
      <c r="H641" s="3"/>
      <c r="K641" t="str">
        <f t="shared" ca="1" si="21"/>
        <v/>
      </c>
    </row>
    <row r="642" spans="1:11">
      <c r="A642" s="23" t="e">
        <f>IF(Sheet2!#REF!&lt;&gt;"",Sheet2!#REF!,"")</f>
        <v>#REF!</v>
      </c>
      <c r="B642" s="33" t="e">
        <f>IF(Sheet2!#REF!&lt;&gt;"",Sheet2!#REF!,"")</f>
        <v>#REF!</v>
      </c>
      <c r="C642" s="34" t="e">
        <f>IF(Sheet2!#REF!&lt;&gt;"",Sheet2!#REF!,"")</f>
        <v>#REF!</v>
      </c>
      <c r="D642" s="35" t="str">
        <f t="shared" ca="1" si="20"/>
        <v/>
      </c>
      <c r="E642" s="3"/>
      <c r="F642" s="3"/>
      <c r="G642" s="3"/>
      <c r="H642" s="3"/>
      <c r="K642" t="str">
        <f t="shared" ca="1" si="21"/>
        <v/>
      </c>
    </row>
    <row r="643" spans="1:11">
      <c r="A643" s="23" t="e">
        <f>IF(Sheet2!#REF!&lt;&gt;"",Sheet2!#REF!,"")</f>
        <v>#REF!</v>
      </c>
      <c r="B643" s="33" t="e">
        <f>IF(Sheet2!#REF!&lt;&gt;"",Sheet2!#REF!,"")</f>
        <v>#REF!</v>
      </c>
      <c r="C643" s="34" t="e">
        <f>IF(Sheet2!#REF!&lt;&gt;"",Sheet2!#REF!,"")</f>
        <v>#REF!</v>
      </c>
      <c r="D643" s="35" t="str">
        <f t="shared" ref="D643:D706" ca="1" si="22">IFERROR(IF(AND((C643-TODAY())&lt;15,B643&lt;&gt;""),IF(I643="","Alert",""),""),"")</f>
        <v/>
      </c>
      <c r="E643" s="3"/>
      <c r="F643" s="3"/>
      <c r="G643" s="3"/>
      <c r="H643" s="3"/>
      <c r="K643" t="str">
        <f t="shared" ref="K643:K706" ca="1" si="23">IF(I643&lt;&gt;"",IF(J643="",IF(TODAY()-I643&gt;3,"ALERT",""),""),"")</f>
        <v/>
      </c>
    </row>
    <row r="644" spans="1:11">
      <c r="A644" s="23" t="e">
        <f>IF(Sheet2!#REF!&lt;&gt;"",Sheet2!#REF!,"")</f>
        <v>#REF!</v>
      </c>
      <c r="B644" s="33" t="e">
        <f>IF(Sheet2!#REF!&lt;&gt;"",Sheet2!#REF!,"")</f>
        <v>#REF!</v>
      </c>
      <c r="C644" s="34" t="e">
        <f>IF(Sheet2!#REF!&lt;&gt;"",Sheet2!#REF!,"")</f>
        <v>#REF!</v>
      </c>
      <c r="D644" s="35" t="str">
        <f t="shared" ca="1" si="22"/>
        <v/>
      </c>
      <c r="E644" s="3"/>
      <c r="F644" s="3"/>
      <c r="G644" s="3"/>
      <c r="H644" s="3"/>
      <c r="K644" t="str">
        <f t="shared" ca="1" si="23"/>
        <v/>
      </c>
    </row>
    <row r="645" spans="1:11">
      <c r="A645" s="23" t="e">
        <f>IF(Sheet2!#REF!&lt;&gt;"",Sheet2!#REF!,"")</f>
        <v>#REF!</v>
      </c>
      <c r="B645" s="33" t="e">
        <f>IF(Sheet2!#REF!&lt;&gt;"",Sheet2!#REF!,"")</f>
        <v>#REF!</v>
      </c>
      <c r="C645" s="34" t="e">
        <f>IF(Sheet2!#REF!&lt;&gt;"",Sheet2!#REF!,"")</f>
        <v>#REF!</v>
      </c>
      <c r="D645" s="35" t="str">
        <f t="shared" ca="1" si="22"/>
        <v/>
      </c>
      <c r="E645" s="3"/>
      <c r="F645" s="3"/>
      <c r="G645" s="3"/>
      <c r="H645" s="3"/>
      <c r="K645" t="str">
        <f t="shared" ca="1" si="23"/>
        <v/>
      </c>
    </row>
    <row r="646" spans="1:11">
      <c r="A646" s="23" t="e">
        <f>IF(Sheet2!#REF!&lt;&gt;"",Sheet2!#REF!,"")</f>
        <v>#REF!</v>
      </c>
      <c r="B646" s="33" t="e">
        <f>IF(Sheet2!#REF!&lt;&gt;"",Sheet2!#REF!,"")</f>
        <v>#REF!</v>
      </c>
      <c r="C646" s="34" t="e">
        <f>IF(Sheet2!#REF!&lt;&gt;"",Sheet2!#REF!,"")</f>
        <v>#REF!</v>
      </c>
      <c r="D646" s="35" t="str">
        <f t="shared" ca="1" si="22"/>
        <v/>
      </c>
      <c r="E646" s="3"/>
      <c r="F646" s="3"/>
      <c r="G646" s="3"/>
      <c r="H646" s="3"/>
      <c r="K646" t="str">
        <f t="shared" ca="1" si="23"/>
        <v/>
      </c>
    </row>
    <row r="647" spans="1:11">
      <c r="A647" s="23" t="e">
        <f>IF(Sheet2!#REF!&lt;&gt;"",Sheet2!#REF!,"")</f>
        <v>#REF!</v>
      </c>
      <c r="B647" s="33" t="e">
        <f>IF(Sheet2!#REF!&lt;&gt;"",Sheet2!#REF!,"")</f>
        <v>#REF!</v>
      </c>
      <c r="C647" s="34" t="e">
        <f>IF(Sheet2!#REF!&lt;&gt;"",Sheet2!#REF!,"")</f>
        <v>#REF!</v>
      </c>
      <c r="D647" s="35" t="str">
        <f t="shared" ca="1" si="22"/>
        <v/>
      </c>
      <c r="E647" s="3"/>
      <c r="F647" s="3"/>
      <c r="G647" s="3"/>
      <c r="H647" s="3"/>
      <c r="K647" t="str">
        <f t="shared" ca="1" si="23"/>
        <v/>
      </c>
    </row>
    <row r="648" spans="1:11">
      <c r="A648" s="23" t="e">
        <f>IF(Sheet2!#REF!&lt;&gt;"",Sheet2!#REF!,"")</f>
        <v>#REF!</v>
      </c>
      <c r="B648" s="33" t="e">
        <f>IF(Sheet2!#REF!&lt;&gt;"",Sheet2!#REF!,"")</f>
        <v>#REF!</v>
      </c>
      <c r="C648" s="34" t="e">
        <f>IF(Sheet2!#REF!&lt;&gt;"",Sheet2!#REF!,"")</f>
        <v>#REF!</v>
      </c>
      <c r="D648" s="35" t="str">
        <f t="shared" ca="1" si="22"/>
        <v/>
      </c>
      <c r="E648" s="3"/>
      <c r="F648" s="3"/>
      <c r="G648" s="3"/>
      <c r="H648" s="3"/>
      <c r="K648" t="str">
        <f t="shared" ca="1" si="23"/>
        <v/>
      </c>
    </row>
    <row r="649" spans="1:11">
      <c r="A649" s="23" t="e">
        <f>IF(Sheet2!#REF!&lt;&gt;"",Sheet2!#REF!,"")</f>
        <v>#REF!</v>
      </c>
      <c r="B649" s="33" t="e">
        <f>IF(Sheet2!#REF!&lt;&gt;"",Sheet2!#REF!,"")</f>
        <v>#REF!</v>
      </c>
      <c r="C649" s="34" t="e">
        <f>IF(Sheet2!#REF!&lt;&gt;"",Sheet2!#REF!,"")</f>
        <v>#REF!</v>
      </c>
      <c r="D649" s="35" t="str">
        <f t="shared" ca="1" si="22"/>
        <v/>
      </c>
      <c r="E649" s="3"/>
      <c r="F649" s="3"/>
      <c r="G649" s="3"/>
      <c r="H649" s="3"/>
      <c r="K649" t="str">
        <f t="shared" ca="1" si="23"/>
        <v/>
      </c>
    </row>
    <row r="650" spans="1:11">
      <c r="A650" s="23" t="e">
        <f>IF(Sheet2!#REF!&lt;&gt;"",Sheet2!#REF!,"")</f>
        <v>#REF!</v>
      </c>
      <c r="B650" s="33" t="e">
        <f>IF(Sheet2!#REF!&lt;&gt;"",Sheet2!#REF!,"")</f>
        <v>#REF!</v>
      </c>
      <c r="C650" s="34" t="e">
        <f>IF(Sheet2!#REF!&lt;&gt;"",Sheet2!#REF!,"")</f>
        <v>#REF!</v>
      </c>
      <c r="D650" s="35" t="str">
        <f t="shared" ca="1" si="22"/>
        <v/>
      </c>
      <c r="E650" s="3"/>
      <c r="F650" s="3"/>
      <c r="G650" s="3"/>
      <c r="H650" s="3"/>
      <c r="K650" t="str">
        <f t="shared" ca="1" si="23"/>
        <v/>
      </c>
    </row>
    <row r="651" spans="1:11">
      <c r="A651" s="23" t="e">
        <f>IF(Sheet2!#REF!&lt;&gt;"",Sheet2!#REF!,"")</f>
        <v>#REF!</v>
      </c>
      <c r="B651" s="33" t="e">
        <f>IF(Sheet2!#REF!&lt;&gt;"",Sheet2!#REF!,"")</f>
        <v>#REF!</v>
      </c>
      <c r="C651" s="34" t="e">
        <f>IF(Sheet2!#REF!&lt;&gt;"",Sheet2!#REF!,"")</f>
        <v>#REF!</v>
      </c>
      <c r="D651" s="35" t="str">
        <f t="shared" ca="1" si="22"/>
        <v/>
      </c>
      <c r="E651" s="3"/>
      <c r="F651" s="3"/>
      <c r="G651" s="3"/>
      <c r="H651" s="3"/>
      <c r="K651" t="str">
        <f t="shared" ca="1" si="23"/>
        <v/>
      </c>
    </row>
    <row r="652" spans="1:11">
      <c r="A652" s="23" t="e">
        <f>IF(Sheet2!#REF!&lt;&gt;"",Sheet2!#REF!,"")</f>
        <v>#REF!</v>
      </c>
      <c r="B652" s="33" t="e">
        <f>IF(Sheet2!#REF!&lt;&gt;"",Sheet2!#REF!,"")</f>
        <v>#REF!</v>
      </c>
      <c r="C652" s="34" t="e">
        <f>IF(Sheet2!#REF!&lt;&gt;"",Sheet2!#REF!,"")</f>
        <v>#REF!</v>
      </c>
      <c r="D652" s="35" t="str">
        <f t="shared" ca="1" si="22"/>
        <v/>
      </c>
      <c r="E652" s="3"/>
      <c r="F652" s="3"/>
      <c r="G652" s="3"/>
      <c r="H652" s="3"/>
      <c r="K652" t="str">
        <f t="shared" ca="1" si="23"/>
        <v/>
      </c>
    </row>
    <row r="653" spans="1:11">
      <c r="A653" s="23" t="e">
        <f>IF(Sheet2!#REF!&lt;&gt;"",Sheet2!#REF!,"")</f>
        <v>#REF!</v>
      </c>
      <c r="B653" s="33" t="e">
        <f>IF(Sheet2!#REF!&lt;&gt;"",Sheet2!#REF!,"")</f>
        <v>#REF!</v>
      </c>
      <c r="C653" s="34" t="e">
        <f>IF(Sheet2!#REF!&lt;&gt;"",Sheet2!#REF!,"")</f>
        <v>#REF!</v>
      </c>
      <c r="D653" s="35" t="str">
        <f t="shared" ca="1" si="22"/>
        <v/>
      </c>
      <c r="E653" s="3"/>
      <c r="F653" s="3"/>
      <c r="G653" s="3"/>
      <c r="H653" s="3"/>
      <c r="K653" t="str">
        <f t="shared" ca="1" si="23"/>
        <v/>
      </c>
    </row>
    <row r="654" spans="1:11">
      <c r="A654" s="23" t="e">
        <f>IF(Sheet2!#REF!&lt;&gt;"",Sheet2!#REF!,"")</f>
        <v>#REF!</v>
      </c>
      <c r="B654" s="33" t="e">
        <f>IF(Sheet2!#REF!&lt;&gt;"",Sheet2!#REF!,"")</f>
        <v>#REF!</v>
      </c>
      <c r="C654" s="34" t="e">
        <f>IF(Sheet2!#REF!&lt;&gt;"",Sheet2!#REF!,"")</f>
        <v>#REF!</v>
      </c>
      <c r="D654" s="35" t="str">
        <f t="shared" ca="1" si="22"/>
        <v/>
      </c>
      <c r="E654" s="3"/>
      <c r="F654" s="3"/>
      <c r="G654" s="3"/>
      <c r="H654" s="3"/>
      <c r="K654" t="str">
        <f t="shared" ca="1" si="23"/>
        <v/>
      </c>
    </row>
    <row r="655" spans="1:11">
      <c r="A655" s="23" t="e">
        <f>IF(Sheet2!#REF!&lt;&gt;"",Sheet2!#REF!,"")</f>
        <v>#REF!</v>
      </c>
      <c r="B655" s="33" t="e">
        <f>IF(Sheet2!#REF!&lt;&gt;"",Sheet2!#REF!,"")</f>
        <v>#REF!</v>
      </c>
      <c r="C655" s="34" t="e">
        <f>IF(Sheet2!#REF!&lt;&gt;"",Sheet2!#REF!,"")</f>
        <v>#REF!</v>
      </c>
      <c r="D655" s="35" t="str">
        <f t="shared" ca="1" si="22"/>
        <v/>
      </c>
      <c r="E655" s="3"/>
      <c r="F655" s="3"/>
      <c r="G655" s="3"/>
      <c r="H655" s="3"/>
      <c r="K655" t="str">
        <f t="shared" ca="1" si="23"/>
        <v/>
      </c>
    </row>
    <row r="656" spans="1:11">
      <c r="A656" s="23" t="e">
        <f>IF(Sheet2!#REF!&lt;&gt;"",Sheet2!#REF!,"")</f>
        <v>#REF!</v>
      </c>
      <c r="B656" s="33" t="e">
        <f>IF(Sheet2!#REF!&lt;&gt;"",Sheet2!#REF!,"")</f>
        <v>#REF!</v>
      </c>
      <c r="C656" s="34" t="e">
        <f>IF(Sheet2!#REF!&lt;&gt;"",Sheet2!#REF!,"")</f>
        <v>#REF!</v>
      </c>
      <c r="D656" s="35" t="str">
        <f t="shared" ca="1" si="22"/>
        <v/>
      </c>
      <c r="E656" s="3"/>
      <c r="F656" s="3"/>
      <c r="G656" s="3"/>
      <c r="H656" s="3"/>
      <c r="K656" t="str">
        <f t="shared" ca="1" si="23"/>
        <v/>
      </c>
    </row>
    <row r="657" spans="1:11">
      <c r="A657" s="23" t="e">
        <f>IF(Sheet2!#REF!&lt;&gt;"",Sheet2!#REF!,"")</f>
        <v>#REF!</v>
      </c>
      <c r="B657" s="33" t="e">
        <f>IF(Sheet2!#REF!&lt;&gt;"",Sheet2!#REF!,"")</f>
        <v>#REF!</v>
      </c>
      <c r="C657" s="34" t="e">
        <f>IF(Sheet2!#REF!&lt;&gt;"",Sheet2!#REF!,"")</f>
        <v>#REF!</v>
      </c>
      <c r="D657" s="35" t="str">
        <f t="shared" ca="1" si="22"/>
        <v/>
      </c>
      <c r="E657" s="3"/>
      <c r="F657" s="3"/>
      <c r="G657" s="3"/>
      <c r="H657" s="3"/>
      <c r="K657" t="str">
        <f t="shared" ca="1" si="23"/>
        <v/>
      </c>
    </row>
    <row r="658" spans="1:11">
      <c r="A658" s="23" t="e">
        <f>IF(Sheet2!#REF!&lt;&gt;"",Sheet2!#REF!,"")</f>
        <v>#REF!</v>
      </c>
      <c r="B658" s="33" t="e">
        <f>IF(Sheet2!#REF!&lt;&gt;"",Sheet2!#REF!,"")</f>
        <v>#REF!</v>
      </c>
      <c r="C658" s="34" t="e">
        <f>IF(Sheet2!#REF!&lt;&gt;"",Sheet2!#REF!,"")</f>
        <v>#REF!</v>
      </c>
      <c r="D658" s="35" t="str">
        <f t="shared" ca="1" si="22"/>
        <v/>
      </c>
      <c r="E658" s="3"/>
      <c r="F658" s="3"/>
      <c r="G658" s="3"/>
      <c r="H658" s="3"/>
      <c r="K658" t="str">
        <f t="shared" ca="1" si="23"/>
        <v/>
      </c>
    </row>
    <row r="659" spans="1:11">
      <c r="A659" s="23" t="e">
        <f>IF(Sheet2!#REF!&lt;&gt;"",Sheet2!#REF!,"")</f>
        <v>#REF!</v>
      </c>
      <c r="B659" s="33" t="e">
        <f>IF(Sheet2!#REF!&lt;&gt;"",Sheet2!#REF!,"")</f>
        <v>#REF!</v>
      </c>
      <c r="C659" s="34" t="e">
        <f>IF(Sheet2!#REF!&lt;&gt;"",Sheet2!#REF!,"")</f>
        <v>#REF!</v>
      </c>
      <c r="D659" s="35" t="str">
        <f t="shared" ca="1" si="22"/>
        <v/>
      </c>
      <c r="E659" s="3"/>
      <c r="F659" s="3"/>
      <c r="G659" s="3"/>
      <c r="H659" s="3"/>
      <c r="K659" t="str">
        <f t="shared" ca="1" si="23"/>
        <v/>
      </c>
    </row>
    <row r="660" spans="1:11">
      <c r="A660" s="23" t="e">
        <f>IF(Sheet2!#REF!&lt;&gt;"",Sheet2!#REF!,"")</f>
        <v>#REF!</v>
      </c>
      <c r="B660" s="33" t="e">
        <f>IF(Sheet2!#REF!&lt;&gt;"",Sheet2!#REF!,"")</f>
        <v>#REF!</v>
      </c>
      <c r="C660" s="34" t="e">
        <f>IF(Sheet2!#REF!&lt;&gt;"",Sheet2!#REF!,"")</f>
        <v>#REF!</v>
      </c>
      <c r="D660" s="35" t="str">
        <f t="shared" ca="1" si="22"/>
        <v/>
      </c>
      <c r="E660" s="3"/>
      <c r="F660" s="3"/>
      <c r="G660" s="3"/>
      <c r="H660" s="3"/>
      <c r="K660" t="str">
        <f t="shared" ca="1" si="23"/>
        <v/>
      </c>
    </row>
    <row r="661" spans="1:11">
      <c r="A661" s="23" t="e">
        <f>IF(Sheet2!#REF!&lt;&gt;"",Sheet2!#REF!,"")</f>
        <v>#REF!</v>
      </c>
      <c r="B661" s="33" t="e">
        <f>IF(Sheet2!#REF!&lt;&gt;"",Sheet2!#REF!,"")</f>
        <v>#REF!</v>
      </c>
      <c r="C661" s="34" t="e">
        <f>IF(Sheet2!#REF!&lt;&gt;"",Sheet2!#REF!,"")</f>
        <v>#REF!</v>
      </c>
      <c r="D661" s="35" t="str">
        <f t="shared" ca="1" si="22"/>
        <v/>
      </c>
      <c r="E661" s="3"/>
      <c r="F661" s="3"/>
      <c r="G661" s="3"/>
      <c r="H661" s="3"/>
      <c r="K661" t="str">
        <f t="shared" ca="1" si="23"/>
        <v/>
      </c>
    </row>
    <row r="662" spans="1:11">
      <c r="A662" s="23" t="e">
        <f>IF(Sheet2!#REF!&lt;&gt;"",Sheet2!#REF!,"")</f>
        <v>#REF!</v>
      </c>
      <c r="B662" s="33" t="e">
        <f>IF(Sheet2!#REF!&lt;&gt;"",Sheet2!#REF!,"")</f>
        <v>#REF!</v>
      </c>
      <c r="C662" s="34" t="e">
        <f>IF(Sheet2!#REF!&lt;&gt;"",Sheet2!#REF!,"")</f>
        <v>#REF!</v>
      </c>
      <c r="D662" s="35" t="str">
        <f t="shared" ca="1" si="22"/>
        <v/>
      </c>
      <c r="E662" s="3"/>
      <c r="F662" s="3"/>
      <c r="G662" s="3"/>
      <c r="H662" s="3"/>
      <c r="K662" t="str">
        <f t="shared" ca="1" si="23"/>
        <v/>
      </c>
    </row>
    <row r="663" spans="1:11">
      <c r="A663" s="23" t="e">
        <f>IF(Sheet2!#REF!&lt;&gt;"",Sheet2!#REF!,"")</f>
        <v>#REF!</v>
      </c>
      <c r="B663" s="33" t="e">
        <f>IF(Sheet2!#REF!&lt;&gt;"",Sheet2!#REF!,"")</f>
        <v>#REF!</v>
      </c>
      <c r="C663" s="34" t="e">
        <f>IF(Sheet2!#REF!&lt;&gt;"",Sheet2!#REF!,"")</f>
        <v>#REF!</v>
      </c>
      <c r="D663" s="35" t="str">
        <f t="shared" ca="1" si="22"/>
        <v/>
      </c>
      <c r="E663" s="3"/>
      <c r="F663" s="3"/>
      <c r="G663" s="3"/>
      <c r="H663" s="3"/>
      <c r="K663" t="str">
        <f t="shared" ca="1" si="23"/>
        <v/>
      </c>
    </row>
    <row r="664" spans="1:11">
      <c r="A664" s="23" t="e">
        <f>IF(Sheet2!#REF!&lt;&gt;"",Sheet2!#REF!,"")</f>
        <v>#REF!</v>
      </c>
      <c r="B664" s="33" t="e">
        <f>IF(Sheet2!#REF!&lt;&gt;"",Sheet2!#REF!,"")</f>
        <v>#REF!</v>
      </c>
      <c r="C664" s="34" t="e">
        <f>IF(Sheet2!#REF!&lt;&gt;"",Sheet2!#REF!,"")</f>
        <v>#REF!</v>
      </c>
      <c r="D664" s="35" t="str">
        <f t="shared" ca="1" si="22"/>
        <v/>
      </c>
      <c r="E664" s="3"/>
      <c r="F664" s="3"/>
      <c r="G664" s="3"/>
      <c r="H664" s="3"/>
      <c r="K664" t="str">
        <f t="shared" ca="1" si="23"/>
        <v/>
      </c>
    </row>
    <row r="665" spans="1:11">
      <c r="A665" s="23" t="e">
        <f>IF(Sheet2!#REF!&lt;&gt;"",Sheet2!#REF!,"")</f>
        <v>#REF!</v>
      </c>
      <c r="B665" s="33" t="e">
        <f>IF(Sheet2!#REF!&lt;&gt;"",Sheet2!#REF!,"")</f>
        <v>#REF!</v>
      </c>
      <c r="C665" s="34" t="e">
        <f>IF(Sheet2!#REF!&lt;&gt;"",Sheet2!#REF!,"")</f>
        <v>#REF!</v>
      </c>
      <c r="D665" s="35" t="str">
        <f t="shared" ca="1" si="22"/>
        <v/>
      </c>
      <c r="E665" s="3"/>
      <c r="F665" s="3"/>
      <c r="G665" s="3"/>
      <c r="H665" s="3"/>
      <c r="K665" t="str">
        <f t="shared" ca="1" si="23"/>
        <v/>
      </c>
    </row>
    <row r="666" spans="1:11">
      <c r="A666" s="23" t="e">
        <f>IF(Sheet2!#REF!&lt;&gt;"",Sheet2!#REF!,"")</f>
        <v>#REF!</v>
      </c>
      <c r="B666" s="33" t="e">
        <f>IF(Sheet2!#REF!&lt;&gt;"",Sheet2!#REF!,"")</f>
        <v>#REF!</v>
      </c>
      <c r="C666" s="34" t="e">
        <f>IF(Sheet2!#REF!&lt;&gt;"",Sheet2!#REF!,"")</f>
        <v>#REF!</v>
      </c>
      <c r="D666" s="35" t="str">
        <f t="shared" ca="1" si="22"/>
        <v/>
      </c>
      <c r="E666" s="3"/>
      <c r="F666" s="3"/>
      <c r="G666" s="3"/>
      <c r="H666" s="3"/>
      <c r="K666" t="str">
        <f t="shared" ca="1" si="23"/>
        <v/>
      </c>
    </row>
    <row r="667" spans="1:11">
      <c r="A667" s="23" t="e">
        <f>IF(Sheet2!#REF!&lt;&gt;"",Sheet2!#REF!,"")</f>
        <v>#REF!</v>
      </c>
      <c r="B667" s="33" t="e">
        <f>IF(Sheet2!#REF!&lt;&gt;"",Sheet2!#REF!,"")</f>
        <v>#REF!</v>
      </c>
      <c r="C667" s="34" t="e">
        <f>IF(Sheet2!#REF!&lt;&gt;"",Sheet2!#REF!,"")</f>
        <v>#REF!</v>
      </c>
      <c r="D667" s="35" t="str">
        <f t="shared" ca="1" si="22"/>
        <v/>
      </c>
      <c r="E667" s="3"/>
      <c r="F667" s="3"/>
      <c r="G667" s="3"/>
      <c r="H667" s="3"/>
      <c r="K667" t="str">
        <f t="shared" ca="1" si="23"/>
        <v/>
      </c>
    </row>
    <row r="668" spans="1:11">
      <c r="A668" s="23" t="e">
        <f>IF(Sheet2!#REF!&lt;&gt;"",Sheet2!#REF!,"")</f>
        <v>#REF!</v>
      </c>
      <c r="B668" s="33" t="e">
        <f>IF(Sheet2!#REF!&lt;&gt;"",Sheet2!#REF!,"")</f>
        <v>#REF!</v>
      </c>
      <c r="C668" s="34" t="e">
        <f>IF(Sheet2!#REF!&lt;&gt;"",Sheet2!#REF!,"")</f>
        <v>#REF!</v>
      </c>
      <c r="D668" s="35" t="str">
        <f t="shared" ca="1" si="22"/>
        <v/>
      </c>
      <c r="E668" s="3"/>
      <c r="F668" s="3"/>
      <c r="G668" s="3"/>
      <c r="H668" s="3"/>
      <c r="K668" t="str">
        <f t="shared" ca="1" si="23"/>
        <v/>
      </c>
    </row>
    <row r="669" spans="1:11">
      <c r="A669" s="23" t="e">
        <f>IF(Sheet2!#REF!&lt;&gt;"",Sheet2!#REF!,"")</f>
        <v>#REF!</v>
      </c>
      <c r="B669" s="33" t="e">
        <f>IF(Sheet2!#REF!&lt;&gt;"",Sheet2!#REF!,"")</f>
        <v>#REF!</v>
      </c>
      <c r="C669" s="34" t="e">
        <f>IF(Sheet2!#REF!&lt;&gt;"",Sheet2!#REF!,"")</f>
        <v>#REF!</v>
      </c>
      <c r="D669" s="35" t="str">
        <f t="shared" ca="1" si="22"/>
        <v/>
      </c>
      <c r="E669" s="3"/>
      <c r="F669" s="3"/>
      <c r="G669" s="3"/>
      <c r="H669" s="3"/>
      <c r="K669" t="str">
        <f t="shared" ca="1" si="23"/>
        <v/>
      </c>
    </row>
    <row r="670" spans="1:11">
      <c r="A670" s="23" t="e">
        <f>IF(Sheet2!#REF!&lt;&gt;"",Sheet2!#REF!,"")</f>
        <v>#REF!</v>
      </c>
      <c r="B670" s="33" t="e">
        <f>IF(Sheet2!#REF!&lt;&gt;"",Sheet2!#REF!,"")</f>
        <v>#REF!</v>
      </c>
      <c r="C670" s="34" t="e">
        <f>IF(Sheet2!#REF!&lt;&gt;"",Sheet2!#REF!,"")</f>
        <v>#REF!</v>
      </c>
      <c r="D670" s="35" t="str">
        <f t="shared" ca="1" si="22"/>
        <v/>
      </c>
      <c r="E670" s="3"/>
      <c r="F670" s="3"/>
      <c r="G670" s="3"/>
      <c r="H670" s="3"/>
      <c r="K670" t="str">
        <f t="shared" ca="1" si="23"/>
        <v/>
      </c>
    </row>
    <row r="671" spans="1:11">
      <c r="A671" s="23" t="e">
        <f>IF(Sheet2!#REF!&lt;&gt;"",Sheet2!#REF!,"")</f>
        <v>#REF!</v>
      </c>
      <c r="B671" s="33" t="e">
        <f>IF(Sheet2!#REF!&lt;&gt;"",Sheet2!#REF!,"")</f>
        <v>#REF!</v>
      </c>
      <c r="C671" s="34" t="e">
        <f>IF(Sheet2!#REF!&lt;&gt;"",Sheet2!#REF!,"")</f>
        <v>#REF!</v>
      </c>
      <c r="D671" s="35" t="str">
        <f t="shared" ca="1" si="22"/>
        <v/>
      </c>
      <c r="E671" s="3"/>
      <c r="F671" s="3"/>
      <c r="G671" s="3"/>
      <c r="H671" s="3"/>
      <c r="K671" t="str">
        <f t="shared" ca="1" si="23"/>
        <v/>
      </c>
    </row>
    <row r="672" spans="1:11">
      <c r="A672" s="23" t="e">
        <f>IF(Sheet2!#REF!&lt;&gt;"",Sheet2!#REF!,"")</f>
        <v>#REF!</v>
      </c>
      <c r="B672" s="33" t="e">
        <f>IF(Sheet2!#REF!&lt;&gt;"",Sheet2!#REF!,"")</f>
        <v>#REF!</v>
      </c>
      <c r="C672" s="34" t="e">
        <f>IF(Sheet2!#REF!&lt;&gt;"",Sheet2!#REF!,"")</f>
        <v>#REF!</v>
      </c>
      <c r="D672" s="35" t="str">
        <f t="shared" ca="1" si="22"/>
        <v/>
      </c>
      <c r="E672" s="3"/>
      <c r="F672" s="3"/>
      <c r="G672" s="3"/>
      <c r="H672" s="3"/>
      <c r="K672" t="str">
        <f t="shared" ca="1" si="23"/>
        <v/>
      </c>
    </row>
    <row r="673" spans="1:11">
      <c r="A673" s="23" t="e">
        <f>IF(Sheet2!#REF!&lt;&gt;"",Sheet2!#REF!,"")</f>
        <v>#REF!</v>
      </c>
      <c r="B673" s="33" t="e">
        <f>IF(Sheet2!#REF!&lt;&gt;"",Sheet2!#REF!,"")</f>
        <v>#REF!</v>
      </c>
      <c r="C673" s="34" t="e">
        <f>IF(Sheet2!#REF!&lt;&gt;"",Sheet2!#REF!,"")</f>
        <v>#REF!</v>
      </c>
      <c r="D673" s="35" t="str">
        <f t="shared" ca="1" si="22"/>
        <v/>
      </c>
      <c r="E673" s="3"/>
      <c r="F673" s="3"/>
      <c r="G673" s="3"/>
      <c r="H673" s="3"/>
      <c r="K673" t="str">
        <f t="shared" ca="1" si="23"/>
        <v/>
      </c>
    </row>
    <row r="674" spans="1:11">
      <c r="A674" s="23" t="e">
        <f>IF(Sheet2!#REF!&lt;&gt;"",Sheet2!#REF!,"")</f>
        <v>#REF!</v>
      </c>
      <c r="B674" s="33" t="e">
        <f>IF(Sheet2!#REF!&lt;&gt;"",Sheet2!#REF!,"")</f>
        <v>#REF!</v>
      </c>
      <c r="C674" s="34" t="e">
        <f>IF(Sheet2!#REF!&lt;&gt;"",Sheet2!#REF!,"")</f>
        <v>#REF!</v>
      </c>
      <c r="D674" s="35" t="str">
        <f t="shared" ca="1" si="22"/>
        <v/>
      </c>
      <c r="E674" s="3"/>
      <c r="F674" s="3"/>
      <c r="G674" s="3"/>
      <c r="H674" s="3"/>
      <c r="K674" t="str">
        <f t="shared" ca="1" si="23"/>
        <v/>
      </c>
    </row>
    <row r="675" spans="1:11">
      <c r="A675" s="23" t="e">
        <f>IF(Sheet2!#REF!&lt;&gt;"",Sheet2!#REF!,"")</f>
        <v>#REF!</v>
      </c>
      <c r="B675" s="33" t="e">
        <f>IF(Sheet2!#REF!&lt;&gt;"",Sheet2!#REF!,"")</f>
        <v>#REF!</v>
      </c>
      <c r="C675" s="34" t="e">
        <f>IF(Sheet2!#REF!&lt;&gt;"",Sheet2!#REF!,"")</f>
        <v>#REF!</v>
      </c>
      <c r="D675" s="35" t="str">
        <f t="shared" ca="1" si="22"/>
        <v/>
      </c>
      <c r="E675" s="3"/>
      <c r="F675" s="3"/>
      <c r="G675" s="3"/>
      <c r="H675" s="3"/>
      <c r="K675" t="str">
        <f t="shared" ca="1" si="23"/>
        <v/>
      </c>
    </row>
    <row r="676" spans="1:11">
      <c r="A676" s="23" t="e">
        <f>IF(Sheet2!#REF!&lt;&gt;"",Sheet2!#REF!,"")</f>
        <v>#REF!</v>
      </c>
      <c r="B676" s="33" t="e">
        <f>IF(Sheet2!#REF!&lt;&gt;"",Sheet2!#REF!,"")</f>
        <v>#REF!</v>
      </c>
      <c r="C676" s="34" t="e">
        <f>IF(Sheet2!#REF!&lt;&gt;"",Sheet2!#REF!,"")</f>
        <v>#REF!</v>
      </c>
      <c r="D676" s="35" t="str">
        <f t="shared" ca="1" si="22"/>
        <v/>
      </c>
      <c r="E676" s="3"/>
      <c r="F676" s="3"/>
      <c r="G676" s="3"/>
      <c r="H676" s="3"/>
      <c r="K676" t="str">
        <f t="shared" ca="1" si="23"/>
        <v/>
      </c>
    </row>
    <row r="677" spans="1:11">
      <c r="A677" s="23" t="e">
        <f>IF(Sheet2!#REF!&lt;&gt;"",Sheet2!#REF!,"")</f>
        <v>#REF!</v>
      </c>
      <c r="B677" s="33" t="e">
        <f>IF(Sheet2!#REF!&lt;&gt;"",Sheet2!#REF!,"")</f>
        <v>#REF!</v>
      </c>
      <c r="C677" s="34" t="e">
        <f>IF(Sheet2!#REF!&lt;&gt;"",Sheet2!#REF!,"")</f>
        <v>#REF!</v>
      </c>
      <c r="D677" s="35" t="str">
        <f t="shared" ca="1" si="22"/>
        <v/>
      </c>
      <c r="E677" s="3"/>
      <c r="F677" s="3"/>
      <c r="G677" s="3"/>
      <c r="H677" s="3"/>
      <c r="K677" t="str">
        <f t="shared" ca="1" si="23"/>
        <v/>
      </c>
    </row>
    <row r="678" spans="1:11">
      <c r="A678" s="23" t="e">
        <f>IF(Sheet2!#REF!&lt;&gt;"",Sheet2!#REF!,"")</f>
        <v>#REF!</v>
      </c>
      <c r="B678" s="33" t="e">
        <f>IF(Sheet2!#REF!&lt;&gt;"",Sheet2!#REF!,"")</f>
        <v>#REF!</v>
      </c>
      <c r="C678" s="34" t="e">
        <f>IF(Sheet2!#REF!&lt;&gt;"",Sheet2!#REF!,"")</f>
        <v>#REF!</v>
      </c>
      <c r="D678" s="35" t="str">
        <f t="shared" ca="1" si="22"/>
        <v/>
      </c>
      <c r="E678" s="3"/>
      <c r="F678" s="3"/>
      <c r="G678" s="3"/>
      <c r="H678" s="3"/>
      <c r="K678" t="str">
        <f t="shared" ca="1" si="23"/>
        <v/>
      </c>
    </row>
    <row r="679" spans="1:11">
      <c r="A679" s="23" t="e">
        <f>IF(Sheet2!#REF!&lt;&gt;"",Sheet2!#REF!,"")</f>
        <v>#REF!</v>
      </c>
      <c r="B679" s="33" t="e">
        <f>IF(Sheet2!#REF!&lt;&gt;"",Sheet2!#REF!,"")</f>
        <v>#REF!</v>
      </c>
      <c r="C679" s="34" t="e">
        <f>IF(Sheet2!#REF!&lt;&gt;"",Sheet2!#REF!,"")</f>
        <v>#REF!</v>
      </c>
      <c r="D679" s="35" t="str">
        <f t="shared" ca="1" si="22"/>
        <v/>
      </c>
      <c r="E679" s="3"/>
      <c r="F679" s="3"/>
      <c r="G679" s="3"/>
      <c r="H679" s="3"/>
      <c r="K679" t="str">
        <f t="shared" ca="1" si="23"/>
        <v/>
      </c>
    </row>
    <row r="680" spans="1:11">
      <c r="A680" s="23" t="e">
        <f>IF(Sheet2!#REF!&lt;&gt;"",Sheet2!#REF!,"")</f>
        <v>#REF!</v>
      </c>
      <c r="B680" s="33" t="e">
        <f>IF(Sheet2!#REF!&lt;&gt;"",Sheet2!#REF!,"")</f>
        <v>#REF!</v>
      </c>
      <c r="C680" s="34" t="e">
        <f>IF(Sheet2!#REF!&lt;&gt;"",Sheet2!#REF!,"")</f>
        <v>#REF!</v>
      </c>
      <c r="D680" s="35" t="str">
        <f t="shared" ca="1" si="22"/>
        <v/>
      </c>
      <c r="E680" s="3"/>
      <c r="F680" s="3"/>
      <c r="G680" s="3"/>
      <c r="H680" s="3"/>
      <c r="K680" t="str">
        <f t="shared" ca="1" si="23"/>
        <v/>
      </c>
    </row>
    <row r="681" spans="1:11">
      <c r="A681" s="23" t="e">
        <f>IF(Sheet2!#REF!&lt;&gt;"",Sheet2!#REF!,"")</f>
        <v>#REF!</v>
      </c>
      <c r="B681" s="33" t="e">
        <f>IF(Sheet2!#REF!&lt;&gt;"",Sheet2!#REF!,"")</f>
        <v>#REF!</v>
      </c>
      <c r="C681" s="34" t="e">
        <f>IF(Sheet2!#REF!&lt;&gt;"",Sheet2!#REF!,"")</f>
        <v>#REF!</v>
      </c>
      <c r="D681" s="35" t="str">
        <f t="shared" ca="1" si="22"/>
        <v/>
      </c>
      <c r="E681" s="3"/>
      <c r="F681" s="3"/>
      <c r="G681" s="3"/>
      <c r="H681" s="3"/>
      <c r="K681" t="str">
        <f t="shared" ca="1" si="23"/>
        <v/>
      </c>
    </row>
    <row r="682" spans="1:11">
      <c r="A682" s="23" t="e">
        <f>IF(Sheet2!#REF!&lt;&gt;"",Sheet2!#REF!,"")</f>
        <v>#REF!</v>
      </c>
      <c r="B682" s="33" t="e">
        <f>IF(Sheet2!#REF!&lt;&gt;"",Sheet2!#REF!,"")</f>
        <v>#REF!</v>
      </c>
      <c r="C682" s="34" t="e">
        <f>IF(Sheet2!#REF!&lt;&gt;"",Sheet2!#REF!,"")</f>
        <v>#REF!</v>
      </c>
      <c r="D682" s="35" t="str">
        <f t="shared" ca="1" si="22"/>
        <v/>
      </c>
      <c r="E682" s="3"/>
      <c r="F682" s="3"/>
      <c r="G682" s="3"/>
      <c r="H682" s="3"/>
      <c r="K682" t="str">
        <f t="shared" ca="1" si="23"/>
        <v/>
      </c>
    </row>
    <row r="683" spans="1:11">
      <c r="A683" s="23" t="e">
        <f>IF(Sheet2!#REF!&lt;&gt;"",Sheet2!#REF!,"")</f>
        <v>#REF!</v>
      </c>
      <c r="B683" s="33" t="e">
        <f>IF(Sheet2!#REF!&lt;&gt;"",Sheet2!#REF!,"")</f>
        <v>#REF!</v>
      </c>
      <c r="C683" s="34" t="e">
        <f>IF(Sheet2!#REF!&lt;&gt;"",Sheet2!#REF!,"")</f>
        <v>#REF!</v>
      </c>
      <c r="D683" s="35" t="str">
        <f t="shared" ca="1" si="22"/>
        <v/>
      </c>
      <c r="E683" s="3"/>
      <c r="F683" s="3"/>
      <c r="G683" s="3"/>
      <c r="H683" s="3"/>
      <c r="K683" t="str">
        <f t="shared" ca="1" si="23"/>
        <v/>
      </c>
    </row>
    <row r="684" spans="1:11">
      <c r="A684" s="23" t="e">
        <f>IF(Sheet2!#REF!&lt;&gt;"",Sheet2!#REF!,"")</f>
        <v>#REF!</v>
      </c>
      <c r="B684" s="33" t="e">
        <f>IF(Sheet2!#REF!&lt;&gt;"",Sheet2!#REF!,"")</f>
        <v>#REF!</v>
      </c>
      <c r="C684" s="34" t="e">
        <f>IF(Sheet2!#REF!&lt;&gt;"",Sheet2!#REF!,"")</f>
        <v>#REF!</v>
      </c>
      <c r="D684" s="35" t="str">
        <f t="shared" ca="1" si="22"/>
        <v/>
      </c>
      <c r="E684" s="3"/>
      <c r="F684" s="3"/>
      <c r="G684" s="3"/>
      <c r="H684" s="3"/>
      <c r="K684" t="str">
        <f t="shared" ca="1" si="23"/>
        <v/>
      </c>
    </row>
    <row r="685" spans="1:11">
      <c r="A685" s="23" t="e">
        <f>IF(Sheet2!#REF!&lt;&gt;"",Sheet2!#REF!,"")</f>
        <v>#REF!</v>
      </c>
      <c r="B685" s="33" t="e">
        <f>IF(Sheet2!#REF!&lt;&gt;"",Sheet2!#REF!,"")</f>
        <v>#REF!</v>
      </c>
      <c r="C685" s="34" t="e">
        <f>IF(Sheet2!#REF!&lt;&gt;"",Sheet2!#REF!,"")</f>
        <v>#REF!</v>
      </c>
      <c r="D685" s="35" t="str">
        <f t="shared" ca="1" si="22"/>
        <v/>
      </c>
      <c r="E685" s="3"/>
      <c r="F685" s="3"/>
      <c r="G685" s="3"/>
      <c r="H685" s="3"/>
      <c r="K685" t="str">
        <f t="shared" ca="1" si="23"/>
        <v/>
      </c>
    </row>
    <row r="686" spans="1:11">
      <c r="A686" s="23" t="e">
        <f>IF(Sheet2!#REF!&lt;&gt;"",Sheet2!#REF!,"")</f>
        <v>#REF!</v>
      </c>
      <c r="B686" s="33" t="e">
        <f>IF(Sheet2!#REF!&lt;&gt;"",Sheet2!#REF!,"")</f>
        <v>#REF!</v>
      </c>
      <c r="C686" s="34" t="e">
        <f>IF(Sheet2!#REF!&lt;&gt;"",Sheet2!#REF!,"")</f>
        <v>#REF!</v>
      </c>
      <c r="D686" s="35" t="str">
        <f t="shared" ca="1" si="22"/>
        <v/>
      </c>
      <c r="E686" s="3"/>
      <c r="F686" s="3"/>
      <c r="G686" s="3"/>
      <c r="H686" s="3"/>
      <c r="K686" t="str">
        <f t="shared" ca="1" si="23"/>
        <v/>
      </c>
    </row>
    <row r="687" spans="1:11">
      <c r="A687" s="23" t="e">
        <f>IF(Sheet2!#REF!&lt;&gt;"",Sheet2!#REF!,"")</f>
        <v>#REF!</v>
      </c>
      <c r="B687" s="33" t="e">
        <f>IF(Sheet2!#REF!&lt;&gt;"",Sheet2!#REF!,"")</f>
        <v>#REF!</v>
      </c>
      <c r="C687" s="34" t="e">
        <f>IF(Sheet2!#REF!&lt;&gt;"",Sheet2!#REF!,"")</f>
        <v>#REF!</v>
      </c>
      <c r="D687" s="35" t="str">
        <f t="shared" ca="1" si="22"/>
        <v/>
      </c>
      <c r="E687" s="3"/>
      <c r="F687" s="3"/>
      <c r="G687" s="3"/>
      <c r="H687" s="3"/>
      <c r="K687" t="str">
        <f t="shared" ca="1" si="23"/>
        <v/>
      </c>
    </row>
    <row r="688" spans="1:11">
      <c r="A688" s="23" t="e">
        <f>IF(Sheet2!#REF!&lt;&gt;"",Sheet2!#REF!,"")</f>
        <v>#REF!</v>
      </c>
      <c r="B688" s="33" t="e">
        <f>IF(Sheet2!#REF!&lt;&gt;"",Sheet2!#REF!,"")</f>
        <v>#REF!</v>
      </c>
      <c r="C688" s="34" t="e">
        <f>IF(Sheet2!#REF!&lt;&gt;"",Sheet2!#REF!,"")</f>
        <v>#REF!</v>
      </c>
      <c r="D688" s="35" t="str">
        <f t="shared" ca="1" si="22"/>
        <v/>
      </c>
      <c r="E688" s="3"/>
      <c r="F688" s="3"/>
      <c r="G688" s="3"/>
      <c r="H688" s="3"/>
      <c r="K688" t="str">
        <f t="shared" ca="1" si="23"/>
        <v/>
      </c>
    </row>
    <row r="689" spans="1:11">
      <c r="A689" s="23" t="e">
        <f>IF(Sheet2!#REF!&lt;&gt;"",Sheet2!#REF!,"")</f>
        <v>#REF!</v>
      </c>
      <c r="B689" s="33" t="e">
        <f>IF(Sheet2!#REF!&lt;&gt;"",Sheet2!#REF!,"")</f>
        <v>#REF!</v>
      </c>
      <c r="C689" s="34" t="e">
        <f>IF(Sheet2!#REF!&lt;&gt;"",Sheet2!#REF!,"")</f>
        <v>#REF!</v>
      </c>
      <c r="D689" s="35" t="str">
        <f t="shared" ca="1" si="22"/>
        <v/>
      </c>
      <c r="E689" s="3"/>
      <c r="F689" s="3"/>
      <c r="G689" s="3"/>
      <c r="H689" s="3"/>
      <c r="K689" t="str">
        <f t="shared" ca="1" si="23"/>
        <v/>
      </c>
    </row>
    <row r="690" spans="1:11">
      <c r="A690" s="23" t="e">
        <f>IF(Sheet2!#REF!&lt;&gt;"",Sheet2!#REF!,"")</f>
        <v>#REF!</v>
      </c>
      <c r="B690" s="33" t="e">
        <f>IF(Sheet2!#REF!&lt;&gt;"",Sheet2!#REF!,"")</f>
        <v>#REF!</v>
      </c>
      <c r="C690" s="34" t="e">
        <f>IF(Sheet2!#REF!&lt;&gt;"",Sheet2!#REF!,"")</f>
        <v>#REF!</v>
      </c>
      <c r="D690" s="35" t="str">
        <f t="shared" ca="1" si="22"/>
        <v/>
      </c>
      <c r="E690" s="3"/>
      <c r="F690" s="3"/>
      <c r="G690" s="3"/>
      <c r="H690" s="3"/>
      <c r="K690" t="str">
        <f t="shared" ca="1" si="23"/>
        <v/>
      </c>
    </row>
    <row r="691" spans="1:11">
      <c r="A691" s="23" t="e">
        <f>IF(Sheet2!#REF!&lt;&gt;"",Sheet2!#REF!,"")</f>
        <v>#REF!</v>
      </c>
      <c r="B691" s="33" t="e">
        <f>IF(Sheet2!#REF!&lt;&gt;"",Sheet2!#REF!,"")</f>
        <v>#REF!</v>
      </c>
      <c r="C691" s="34" t="e">
        <f>IF(Sheet2!#REF!&lt;&gt;"",Sheet2!#REF!,"")</f>
        <v>#REF!</v>
      </c>
      <c r="D691" s="35" t="str">
        <f t="shared" ca="1" si="22"/>
        <v/>
      </c>
      <c r="E691" s="3"/>
      <c r="F691" s="3"/>
      <c r="G691" s="3"/>
      <c r="H691" s="3"/>
      <c r="K691" t="str">
        <f t="shared" ca="1" si="23"/>
        <v/>
      </c>
    </row>
    <row r="692" spans="1:11">
      <c r="A692" s="23" t="e">
        <f>IF(Sheet2!#REF!&lt;&gt;"",Sheet2!#REF!,"")</f>
        <v>#REF!</v>
      </c>
      <c r="B692" s="33" t="e">
        <f>IF(Sheet2!#REF!&lt;&gt;"",Sheet2!#REF!,"")</f>
        <v>#REF!</v>
      </c>
      <c r="C692" s="34" t="e">
        <f>IF(Sheet2!#REF!&lt;&gt;"",Sheet2!#REF!,"")</f>
        <v>#REF!</v>
      </c>
      <c r="D692" s="35" t="str">
        <f t="shared" ca="1" si="22"/>
        <v/>
      </c>
      <c r="E692" s="3"/>
      <c r="F692" s="3"/>
      <c r="G692" s="3"/>
      <c r="H692" s="3"/>
      <c r="K692" t="str">
        <f t="shared" ca="1" si="23"/>
        <v/>
      </c>
    </row>
    <row r="693" spans="1:11">
      <c r="A693" s="23" t="e">
        <f>IF(Sheet2!#REF!&lt;&gt;"",Sheet2!#REF!,"")</f>
        <v>#REF!</v>
      </c>
      <c r="B693" s="33" t="e">
        <f>IF(Sheet2!#REF!&lt;&gt;"",Sheet2!#REF!,"")</f>
        <v>#REF!</v>
      </c>
      <c r="C693" s="34" t="e">
        <f>IF(Sheet2!#REF!&lt;&gt;"",Sheet2!#REF!,"")</f>
        <v>#REF!</v>
      </c>
      <c r="D693" s="35" t="str">
        <f t="shared" ca="1" si="22"/>
        <v/>
      </c>
      <c r="E693" s="3"/>
      <c r="F693" s="3"/>
      <c r="G693" s="3"/>
      <c r="H693" s="3"/>
      <c r="K693" t="str">
        <f t="shared" ca="1" si="23"/>
        <v/>
      </c>
    </row>
    <row r="694" spans="1:11">
      <c r="A694" s="23" t="e">
        <f>IF(Sheet2!#REF!&lt;&gt;"",Sheet2!#REF!,"")</f>
        <v>#REF!</v>
      </c>
      <c r="B694" s="33" t="e">
        <f>IF(Sheet2!#REF!&lt;&gt;"",Sheet2!#REF!,"")</f>
        <v>#REF!</v>
      </c>
      <c r="C694" s="34" t="e">
        <f>IF(Sheet2!#REF!&lt;&gt;"",Sheet2!#REF!,"")</f>
        <v>#REF!</v>
      </c>
      <c r="D694" s="35" t="str">
        <f t="shared" ca="1" si="22"/>
        <v/>
      </c>
      <c r="E694" s="3"/>
      <c r="F694" s="3"/>
      <c r="G694" s="3"/>
      <c r="H694" s="3"/>
      <c r="K694" t="str">
        <f t="shared" ca="1" si="23"/>
        <v/>
      </c>
    </row>
    <row r="695" spans="1:11">
      <c r="A695" s="23" t="e">
        <f>IF(Sheet2!#REF!&lt;&gt;"",Sheet2!#REF!,"")</f>
        <v>#REF!</v>
      </c>
      <c r="B695" s="33" t="e">
        <f>IF(Sheet2!#REF!&lt;&gt;"",Sheet2!#REF!,"")</f>
        <v>#REF!</v>
      </c>
      <c r="C695" s="34" t="e">
        <f>IF(Sheet2!#REF!&lt;&gt;"",Sheet2!#REF!,"")</f>
        <v>#REF!</v>
      </c>
      <c r="D695" s="35" t="str">
        <f t="shared" ca="1" si="22"/>
        <v/>
      </c>
      <c r="E695" s="3"/>
      <c r="F695" s="3"/>
      <c r="G695" s="3"/>
      <c r="H695" s="3"/>
      <c r="K695" t="str">
        <f t="shared" ca="1" si="23"/>
        <v/>
      </c>
    </row>
    <row r="696" spans="1:11">
      <c r="A696" s="23" t="e">
        <f>IF(Sheet2!#REF!&lt;&gt;"",Sheet2!#REF!,"")</f>
        <v>#REF!</v>
      </c>
      <c r="B696" s="33" t="e">
        <f>IF(Sheet2!#REF!&lt;&gt;"",Sheet2!#REF!,"")</f>
        <v>#REF!</v>
      </c>
      <c r="C696" s="34" t="e">
        <f>IF(Sheet2!#REF!&lt;&gt;"",Sheet2!#REF!,"")</f>
        <v>#REF!</v>
      </c>
      <c r="D696" s="35" t="str">
        <f t="shared" ca="1" si="22"/>
        <v/>
      </c>
      <c r="E696" s="3"/>
      <c r="F696" s="3"/>
      <c r="G696" s="3"/>
      <c r="H696" s="3"/>
      <c r="K696" t="str">
        <f t="shared" ca="1" si="23"/>
        <v/>
      </c>
    </row>
    <row r="697" spans="1:11">
      <c r="A697" s="23" t="e">
        <f>IF(Sheet2!#REF!&lt;&gt;"",Sheet2!#REF!,"")</f>
        <v>#REF!</v>
      </c>
      <c r="B697" s="33" t="e">
        <f>IF(Sheet2!#REF!&lt;&gt;"",Sheet2!#REF!,"")</f>
        <v>#REF!</v>
      </c>
      <c r="C697" s="34" t="e">
        <f>IF(Sheet2!#REF!&lt;&gt;"",Sheet2!#REF!,"")</f>
        <v>#REF!</v>
      </c>
      <c r="D697" s="35" t="str">
        <f t="shared" ca="1" si="22"/>
        <v/>
      </c>
      <c r="E697" s="3"/>
      <c r="F697" s="3"/>
      <c r="G697" s="3"/>
      <c r="H697" s="3"/>
      <c r="K697" t="str">
        <f t="shared" ca="1" si="23"/>
        <v/>
      </c>
    </row>
    <row r="698" spans="1:11">
      <c r="A698" s="23" t="e">
        <f>IF(Sheet2!#REF!&lt;&gt;"",Sheet2!#REF!,"")</f>
        <v>#REF!</v>
      </c>
      <c r="B698" s="33" t="e">
        <f>IF(Sheet2!#REF!&lt;&gt;"",Sheet2!#REF!,"")</f>
        <v>#REF!</v>
      </c>
      <c r="C698" s="34" t="e">
        <f>IF(Sheet2!#REF!&lt;&gt;"",Sheet2!#REF!,"")</f>
        <v>#REF!</v>
      </c>
      <c r="D698" s="35" t="str">
        <f t="shared" ca="1" si="22"/>
        <v/>
      </c>
      <c r="E698" s="3"/>
      <c r="F698" s="3"/>
      <c r="G698" s="3"/>
      <c r="H698" s="3"/>
      <c r="K698" t="str">
        <f t="shared" ca="1" si="23"/>
        <v/>
      </c>
    </row>
    <row r="699" spans="1:11">
      <c r="A699" s="23" t="e">
        <f>IF(Sheet2!#REF!&lt;&gt;"",Sheet2!#REF!,"")</f>
        <v>#REF!</v>
      </c>
      <c r="B699" s="33" t="e">
        <f>IF(Sheet2!#REF!&lt;&gt;"",Sheet2!#REF!,"")</f>
        <v>#REF!</v>
      </c>
      <c r="C699" s="34" t="e">
        <f>IF(Sheet2!#REF!&lt;&gt;"",Sheet2!#REF!,"")</f>
        <v>#REF!</v>
      </c>
      <c r="D699" s="35" t="str">
        <f t="shared" ca="1" si="22"/>
        <v/>
      </c>
      <c r="E699" s="3"/>
      <c r="F699" s="3"/>
      <c r="G699" s="3"/>
      <c r="H699" s="3"/>
      <c r="K699" t="str">
        <f t="shared" ca="1" si="23"/>
        <v/>
      </c>
    </row>
    <row r="700" spans="1:11">
      <c r="A700" s="23" t="e">
        <f>IF(Sheet2!#REF!&lt;&gt;"",Sheet2!#REF!,"")</f>
        <v>#REF!</v>
      </c>
      <c r="B700" s="33" t="e">
        <f>IF(Sheet2!#REF!&lt;&gt;"",Sheet2!#REF!,"")</f>
        <v>#REF!</v>
      </c>
      <c r="C700" s="34" t="e">
        <f>IF(Sheet2!#REF!&lt;&gt;"",Sheet2!#REF!,"")</f>
        <v>#REF!</v>
      </c>
      <c r="D700" s="35" t="str">
        <f t="shared" ca="1" si="22"/>
        <v/>
      </c>
      <c r="E700" s="3"/>
      <c r="F700" s="3"/>
      <c r="G700" s="3"/>
      <c r="H700" s="3"/>
      <c r="K700" t="str">
        <f t="shared" ca="1" si="23"/>
        <v/>
      </c>
    </row>
    <row r="701" spans="1:11">
      <c r="A701" s="23" t="e">
        <f>IF(Sheet2!#REF!&lt;&gt;"",Sheet2!#REF!,"")</f>
        <v>#REF!</v>
      </c>
      <c r="B701" s="33" t="e">
        <f>IF(Sheet2!#REF!&lt;&gt;"",Sheet2!#REF!,"")</f>
        <v>#REF!</v>
      </c>
      <c r="C701" s="34" t="e">
        <f>IF(Sheet2!#REF!&lt;&gt;"",Sheet2!#REF!,"")</f>
        <v>#REF!</v>
      </c>
      <c r="D701" s="35" t="str">
        <f t="shared" ca="1" si="22"/>
        <v/>
      </c>
      <c r="E701" s="3"/>
      <c r="F701" s="3"/>
      <c r="G701" s="3"/>
      <c r="H701" s="3"/>
      <c r="K701" t="str">
        <f t="shared" ca="1" si="23"/>
        <v/>
      </c>
    </row>
    <row r="702" spans="1:11">
      <c r="A702" s="23" t="e">
        <f>IF(Sheet2!#REF!&lt;&gt;"",Sheet2!#REF!,"")</f>
        <v>#REF!</v>
      </c>
      <c r="B702" s="33" t="e">
        <f>IF(Sheet2!#REF!&lt;&gt;"",Sheet2!#REF!,"")</f>
        <v>#REF!</v>
      </c>
      <c r="C702" s="34" t="e">
        <f>IF(Sheet2!#REF!&lt;&gt;"",Sheet2!#REF!,"")</f>
        <v>#REF!</v>
      </c>
      <c r="D702" s="35" t="str">
        <f t="shared" ca="1" si="22"/>
        <v/>
      </c>
      <c r="E702" s="3"/>
      <c r="F702" s="3"/>
      <c r="G702" s="3"/>
      <c r="H702" s="3"/>
      <c r="K702" t="str">
        <f t="shared" ca="1" si="23"/>
        <v/>
      </c>
    </row>
    <row r="703" spans="1:11">
      <c r="A703" s="23" t="e">
        <f>IF(Sheet2!#REF!&lt;&gt;"",Sheet2!#REF!,"")</f>
        <v>#REF!</v>
      </c>
      <c r="B703" s="33" t="e">
        <f>IF(Sheet2!#REF!&lt;&gt;"",Sheet2!#REF!,"")</f>
        <v>#REF!</v>
      </c>
      <c r="C703" s="34" t="e">
        <f>IF(Sheet2!#REF!&lt;&gt;"",Sheet2!#REF!,"")</f>
        <v>#REF!</v>
      </c>
      <c r="D703" s="35" t="str">
        <f t="shared" ca="1" si="22"/>
        <v/>
      </c>
      <c r="E703" s="3"/>
      <c r="F703" s="3"/>
      <c r="G703" s="3"/>
      <c r="H703" s="3"/>
      <c r="K703" t="str">
        <f t="shared" ca="1" si="23"/>
        <v/>
      </c>
    </row>
    <row r="704" spans="1:11">
      <c r="A704" s="23" t="e">
        <f>IF(Sheet2!#REF!&lt;&gt;"",Sheet2!#REF!,"")</f>
        <v>#REF!</v>
      </c>
      <c r="B704" s="33" t="e">
        <f>IF(Sheet2!#REF!&lt;&gt;"",Sheet2!#REF!,"")</f>
        <v>#REF!</v>
      </c>
      <c r="C704" s="34" t="e">
        <f>IF(Sheet2!#REF!&lt;&gt;"",Sheet2!#REF!,"")</f>
        <v>#REF!</v>
      </c>
      <c r="D704" s="35" t="str">
        <f t="shared" ca="1" si="22"/>
        <v/>
      </c>
      <c r="E704" s="3"/>
      <c r="F704" s="3"/>
      <c r="G704" s="3"/>
      <c r="H704" s="3"/>
      <c r="K704" t="str">
        <f t="shared" ca="1" si="23"/>
        <v/>
      </c>
    </row>
    <row r="705" spans="1:11">
      <c r="A705" s="23" t="e">
        <f>IF(Sheet2!#REF!&lt;&gt;"",Sheet2!#REF!,"")</f>
        <v>#REF!</v>
      </c>
      <c r="B705" s="33" t="e">
        <f>IF(Sheet2!#REF!&lt;&gt;"",Sheet2!#REF!,"")</f>
        <v>#REF!</v>
      </c>
      <c r="C705" s="34" t="e">
        <f>IF(Sheet2!#REF!&lt;&gt;"",Sheet2!#REF!,"")</f>
        <v>#REF!</v>
      </c>
      <c r="D705" s="35" t="str">
        <f t="shared" ca="1" si="22"/>
        <v/>
      </c>
      <c r="E705" s="3"/>
      <c r="F705" s="3"/>
      <c r="G705" s="3"/>
      <c r="H705" s="3"/>
      <c r="K705" t="str">
        <f t="shared" ca="1" si="23"/>
        <v/>
      </c>
    </row>
    <row r="706" spans="1:11">
      <c r="A706" s="23" t="e">
        <f>IF(Sheet2!#REF!&lt;&gt;"",Sheet2!#REF!,"")</f>
        <v>#REF!</v>
      </c>
      <c r="B706" s="33" t="e">
        <f>IF(Sheet2!#REF!&lt;&gt;"",Sheet2!#REF!,"")</f>
        <v>#REF!</v>
      </c>
      <c r="C706" s="34" t="e">
        <f>IF(Sheet2!#REF!&lt;&gt;"",Sheet2!#REF!,"")</f>
        <v>#REF!</v>
      </c>
      <c r="D706" s="35" t="str">
        <f t="shared" ca="1" si="22"/>
        <v/>
      </c>
      <c r="E706" s="3"/>
      <c r="F706" s="3"/>
      <c r="G706" s="3"/>
      <c r="H706" s="3"/>
      <c r="K706" t="str">
        <f t="shared" ca="1" si="23"/>
        <v/>
      </c>
    </row>
    <row r="707" spans="1:11">
      <c r="A707" s="23" t="e">
        <f>IF(Sheet2!#REF!&lt;&gt;"",Sheet2!#REF!,"")</f>
        <v>#REF!</v>
      </c>
      <c r="B707" s="33" t="e">
        <f>IF(Sheet2!#REF!&lt;&gt;"",Sheet2!#REF!,"")</f>
        <v>#REF!</v>
      </c>
      <c r="C707" s="34" t="e">
        <f>IF(Sheet2!#REF!&lt;&gt;"",Sheet2!#REF!,"")</f>
        <v>#REF!</v>
      </c>
      <c r="D707" s="35" t="str">
        <f t="shared" ref="D707:D770" ca="1" si="24">IFERROR(IF(AND((C707-TODAY())&lt;15,B707&lt;&gt;""),IF(I707="","Alert",""),""),"")</f>
        <v/>
      </c>
      <c r="E707" s="3"/>
      <c r="F707" s="3"/>
      <c r="G707" s="3"/>
      <c r="H707" s="3"/>
      <c r="K707" t="str">
        <f t="shared" ref="K707:K770" ca="1" si="25">IF(I707&lt;&gt;"",IF(J707="",IF(TODAY()-I707&gt;3,"ALERT",""),""),"")</f>
        <v/>
      </c>
    </row>
    <row r="708" spans="1:11">
      <c r="A708" s="23" t="e">
        <f>IF(Sheet2!#REF!&lt;&gt;"",Sheet2!#REF!,"")</f>
        <v>#REF!</v>
      </c>
      <c r="B708" s="33" t="e">
        <f>IF(Sheet2!#REF!&lt;&gt;"",Sheet2!#REF!,"")</f>
        <v>#REF!</v>
      </c>
      <c r="C708" s="34" t="e">
        <f>IF(Sheet2!#REF!&lt;&gt;"",Sheet2!#REF!,"")</f>
        <v>#REF!</v>
      </c>
      <c r="D708" s="35" t="str">
        <f t="shared" ca="1" si="24"/>
        <v/>
      </c>
      <c r="E708" s="3"/>
      <c r="F708" s="3"/>
      <c r="G708" s="3"/>
      <c r="H708" s="3"/>
      <c r="K708" t="str">
        <f t="shared" ca="1" si="25"/>
        <v/>
      </c>
    </row>
    <row r="709" spans="1:11">
      <c r="A709" s="23" t="e">
        <f>IF(Sheet2!#REF!&lt;&gt;"",Sheet2!#REF!,"")</f>
        <v>#REF!</v>
      </c>
      <c r="B709" s="33" t="e">
        <f>IF(Sheet2!#REF!&lt;&gt;"",Sheet2!#REF!,"")</f>
        <v>#REF!</v>
      </c>
      <c r="C709" s="34" t="e">
        <f>IF(Sheet2!#REF!&lt;&gt;"",Sheet2!#REF!,"")</f>
        <v>#REF!</v>
      </c>
      <c r="D709" s="35" t="str">
        <f t="shared" ca="1" si="24"/>
        <v/>
      </c>
      <c r="E709" s="3"/>
      <c r="F709" s="3"/>
      <c r="G709" s="3"/>
      <c r="H709" s="3"/>
      <c r="K709" t="str">
        <f t="shared" ca="1" si="25"/>
        <v/>
      </c>
    </row>
    <row r="710" spans="1:11">
      <c r="A710" s="23" t="e">
        <f>IF(Sheet2!#REF!&lt;&gt;"",Sheet2!#REF!,"")</f>
        <v>#REF!</v>
      </c>
      <c r="B710" s="33" t="e">
        <f>IF(Sheet2!#REF!&lt;&gt;"",Sheet2!#REF!,"")</f>
        <v>#REF!</v>
      </c>
      <c r="C710" s="34" t="e">
        <f>IF(Sheet2!#REF!&lt;&gt;"",Sheet2!#REF!,"")</f>
        <v>#REF!</v>
      </c>
      <c r="D710" s="35" t="str">
        <f t="shared" ca="1" si="24"/>
        <v/>
      </c>
      <c r="E710" s="3"/>
      <c r="F710" s="3"/>
      <c r="G710" s="3"/>
      <c r="H710" s="3"/>
      <c r="K710" t="str">
        <f t="shared" ca="1" si="25"/>
        <v/>
      </c>
    </row>
    <row r="711" spans="1:11">
      <c r="A711" s="23" t="e">
        <f>IF(Sheet2!#REF!&lt;&gt;"",Sheet2!#REF!,"")</f>
        <v>#REF!</v>
      </c>
      <c r="B711" s="33" t="e">
        <f>IF(Sheet2!#REF!&lt;&gt;"",Sheet2!#REF!,"")</f>
        <v>#REF!</v>
      </c>
      <c r="C711" s="34" t="e">
        <f>IF(Sheet2!#REF!&lt;&gt;"",Sheet2!#REF!,"")</f>
        <v>#REF!</v>
      </c>
      <c r="D711" s="35" t="str">
        <f t="shared" ca="1" si="24"/>
        <v/>
      </c>
      <c r="E711" s="3"/>
      <c r="F711" s="3"/>
      <c r="G711" s="3"/>
      <c r="H711" s="3"/>
      <c r="K711" t="str">
        <f t="shared" ca="1" si="25"/>
        <v/>
      </c>
    </row>
    <row r="712" spans="1:11">
      <c r="A712" s="23" t="e">
        <f>IF(Sheet2!#REF!&lt;&gt;"",Sheet2!#REF!,"")</f>
        <v>#REF!</v>
      </c>
      <c r="B712" s="33" t="e">
        <f>IF(Sheet2!#REF!&lt;&gt;"",Sheet2!#REF!,"")</f>
        <v>#REF!</v>
      </c>
      <c r="C712" s="34" t="e">
        <f>IF(Sheet2!#REF!&lt;&gt;"",Sheet2!#REF!,"")</f>
        <v>#REF!</v>
      </c>
      <c r="D712" s="35" t="str">
        <f t="shared" ca="1" si="24"/>
        <v/>
      </c>
      <c r="E712" s="3"/>
      <c r="F712" s="3"/>
      <c r="G712" s="3"/>
      <c r="H712" s="3"/>
      <c r="K712" t="str">
        <f t="shared" ca="1" si="25"/>
        <v/>
      </c>
    </row>
    <row r="713" spans="1:11">
      <c r="A713" s="23" t="e">
        <f>IF(Sheet2!#REF!&lt;&gt;"",Sheet2!#REF!,"")</f>
        <v>#REF!</v>
      </c>
      <c r="B713" s="33" t="e">
        <f>IF(Sheet2!#REF!&lt;&gt;"",Sheet2!#REF!,"")</f>
        <v>#REF!</v>
      </c>
      <c r="C713" s="34" t="e">
        <f>IF(Sheet2!#REF!&lt;&gt;"",Sheet2!#REF!,"")</f>
        <v>#REF!</v>
      </c>
      <c r="D713" s="35" t="str">
        <f t="shared" ca="1" si="24"/>
        <v/>
      </c>
      <c r="E713" s="3"/>
      <c r="F713" s="3"/>
      <c r="G713" s="3"/>
      <c r="H713" s="3"/>
      <c r="K713" t="str">
        <f t="shared" ca="1" si="25"/>
        <v/>
      </c>
    </row>
    <row r="714" spans="1:11">
      <c r="A714" s="23" t="e">
        <f>IF(Sheet2!#REF!&lt;&gt;"",Sheet2!#REF!,"")</f>
        <v>#REF!</v>
      </c>
      <c r="B714" s="33" t="e">
        <f>IF(Sheet2!#REF!&lt;&gt;"",Sheet2!#REF!,"")</f>
        <v>#REF!</v>
      </c>
      <c r="C714" s="34" t="e">
        <f>IF(Sheet2!#REF!&lt;&gt;"",Sheet2!#REF!,"")</f>
        <v>#REF!</v>
      </c>
      <c r="D714" s="35" t="str">
        <f t="shared" ca="1" si="24"/>
        <v/>
      </c>
      <c r="E714" s="3"/>
      <c r="F714" s="3"/>
      <c r="G714" s="3"/>
      <c r="H714" s="3"/>
      <c r="K714" t="str">
        <f t="shared" ca="1" si="25"/>
        <v/>
      </c>
    </row>
    <row r="715" spans="1:11">
      <c r="A715" s="23" t="e">
        <f>IF(Sheet2!#REF!&lt;&gt;"",Sheet2!#REF!,"")</f>
        <v>#REF!</v>
      </c>
      <c r="B715" s="33" t="e">
        <f>IF(Sheet2!#REF!&lt;&gt;"",Sheet2!#REF!,"")</f>
        <v>#REF!</v>
      </c>
      <c r="C715" s="34" t="e">
        <f>IF(Sheet2!#REF!&lt;&gt;"",Sheet2!#REF!,"")</f>
        <v>#REF!</v>
      </c>
      <c r="D715" s="35" t="str">
        <f t="shared" ca="1" si="24"/>
        <v/>
      </c>
      <c r="E715" s="3"/>
      <c r="F715" s="3"/>
      <c r="G715" s="3"/>
      <c r="H715" s="3"/>
      <c r="K715" t="str">
        <f t="shared" ca="1" si="25"/>
        <v/>
      </c>
    </row>
    <row r="716" spans="1:11">
      <c r="A716" s="23" t="e">
        <f>IF(Sheet2!#REF!&lt;&gt;"",Sheet2!#REF!,"")</f>
        <v>#REF!</v>
      </c>
      <c r="B716" s="33" t="e">
        <f>IF(Sheet2!#REF!&lt;&gt;"",Sheet2!#REF!,"")</f>
        <v>#REF!</v>
      </c>
      <c r="C716" s="34" t="e">
        <f>IF(Sheet2!#REF!&lt;&gt;"",Sheet2!#REF!,"")</f>
        <v>#REF!</v>
      </c>
      <c r="D716" s="35" t="str">
        <f t="shared" ca="1" si="24"/>
        <v/>
      </c>
      <c r="E716" s="3"/>
      <c r="F716" s="3"/>
      <c r="G716" s="3"/>
      <c r="H716" s="3"/>
      <c r="K716" t="str">
        <f t="shared" ca="1" si="25"/>
        <v/>
      </c>
    </row>
    <row r="717" spans="1:11">
      <c r="A717" s="23" t="e">
        <f>IF(Sheet2!#REF!&lt;&gt;"",Sheet2!#REF!,"")</f>
        <v>#REF!</v>
      </c>
      <c r="B717" s="33" t="e">
        <f>IF(Sheet2!#REF!&lt;&gt;"",Sheet2!#REF!,"")</f>
        <v>#REF!</v>
      </c>
      <c r="C717" s="34" t="e">
        <f>IF(Sheet2!#REF!&lt;&gt;"",Sheet2!#REF!,"")</f>
        <v>#REF!</v>
      </c>
      <c r="D717" s="35" t="str">
        <f t="shared" ca="1" si="24"/>
        <v/>
      </c>
      <c r="E717" s="3"/>
      <c r="F717" s="3"/>
      <c r="G717" s="3"/>
      <c r="H717" s="3"/>
      <c r="K717" t="str">
        <f t="shared" ca="1" si="25"/>
        <v/>
      </c>
    </row>
    <row r="718" spans="1:11">
      <c r="A718" s="23" t="e">
        <f>IF(Sheet2!#REF!&lt;&gt;"",Sheet2!#REF!,"")</f>
        <v>#REF!</v>
      </c>
      <c r="B718" s="33" t="e">
        <f>IF(Sheet2!#REF!&lt;&gt;"",Sheet2!#REF!,"")</f>
        <v>#REF!</v>
      </c>
      <c r="C718" s="34" t="e">
        <f>IF(Sheet2!#REF!&lt;&gt;"",Sheet2!#REF!,"")</f>
        <v>#REF!</v>
      </c>
      <c r="D718" s="35" t="str">
        <f t="shared" ca="1" si="24"/>
        <v/>
      </c>
      <c r="E718" s="3"/>
      <c r="F718" s="3"/>
      <c r="G718" s="3"/>
      <c r="H718" s="3"/>
      <c r="K718" t="str">
        <f t="shared" ca="1" si="25"/>
        <v/>
      </c>
    </row>
    <row r="719" spans="1:11">
      <c r="A719" s="23" t="e">
        <f>IF(Sheet2!#REF!&lt;&gt;"",Sheet2!#REF!,"")</f>
        <v>#REF!</v>
      </c>
      <c r="B719" s="33" t="e">
        <f>IF(Sheet2!#REF!&lt;&gt;"",Sheet2!#REF!,"")</f>
        <v>#REF!</v>
      </c>
      <c r="C719" s="34" t="e">
        <f>IF(Sheet2!#REF!&lt;&gt;"",Sheet2!#REF!,"")</f>
        <v>#REF!</v>
      </c>
      <c r="D719" s="35" t="str">
        <f t="shared" ca="1" si="24"/>
        <v/>
      </c>
      <c r="E719" s="3"/>
      <c r="F719" s="3"/>
      <c r="G719" s="3"/>
      <c r="H719" s="3"/>
      <c r="K719" t="str">
        <f t="shared" ca="1" si="25"/>
        <v/>
      </c>
    </row>
    <row r="720" spans="1:11">
      <c r="A720" s="23" t="e">
        <f>IF(Sheet2!#REF!&lt;&gt;"",Sheet2!#REF!,"")</f>
        <v>#REF!</v>
      </c>
      <c r="B720" s="33" t="e">
        <f>IF(Sheet2!#REF!&lt;&gt;"",Sheet2!#REF!,"")</f>
        <v>#REF!</v>
      </c>
      <c r="C720" s="34" t="e">
        <f>IF(Sheet2!#REF!&lt;&gt;"",Sheet2!#REF!,"")</f>
        <v>#REF!</v>
      </c>
      <c r="D720" s="35" t="str">
        <f t="shared" ca="1" si="24"/>
        <v/>
      </c>
      <c r="E720" s="3"/>
      <c r="F720" s="3"/>
      <c r="G720" s="3"/>
      <c r="H720" s="3"/>
      <c r="K720" t="str">
        <f t="shared" ca="1" si="25"/>
        <v/>
      </c>
    </row>
    <row r="721" spans="1:11">
      <c r="A721" s="23" t="e">
        <f>IF(Sheet2!#REF!&lt;&gt;"",Sheet2!#REF!,"")</f>
        <v>#REF!</v>
      </c>
      <c r="B721" s="33" t="e">
        <f>IF(Sheet2!#REF!&lt;&gt;"",Sheet2!#REF!,"")</f>
        <v>#REF!</v>
      </c>
      <c r="C721" s="34" t="e">
        <f>IF(Sheet2!#REF!&lt;&gt;"",Sheet2!#REF!,"")</f>
        <v>#REF!</v>
      </c>
      <c r="D721" s="35" t="str">
        <f t="shared" ca="1" si="24"/>
        <v/>
      </c>
      <c r="E721" s="3"/>
      <c r="F721" s="3"/>
      <c r="G721" s="3"/>
      <c r="H721" s="3"/>
      <c r="K721" t="str">
        <f t="shared" ca="1" si="25"/>
        <v/>
      </c>
    </row>
    <row r="722" spans="1:11">
      <c r="A722" s="23" t="e">
        <f>IF(Sheet2!#REF!&lt;&gt;"",Sheet2!#REF!,"")</f>
        <v>#REF!</v>
      </c>
      <c r="B722" s="33" t="e">
        <f>IF(Sheet2!#REF!&lt;&gt;"",Sheet2!#REF!,"")</f>
        <v>#REF!</v>
      </c>
      <c r="C722" s="34" t="e">
        <f>IF(Sheet2!#REF!&lt;&gt;"",Sheet2!#REF!,"")</f>
        <v>#REF!</v>
      </c>
      <c r="D722" s="35" t="str">
        <f t="shared" ca="1" si="24"/>
        <v/>
      </c>
      <c r="E722" s="3"/>
      <c r="F722" s="3"/>
      <c r="G722" s="3"/>
      <c r="H722" s="3"/>
      <c r="K722" t="str">
        <f t="shared" ca="1" si="25"/>
        <v/>
      </c>
    </row>
    <row r="723" spans="1:11">
      <c r="A723" s="23" t="e">
        <f>IF(Sheet2!#REF!&lt;&gt;"",Sheet2!#REF!,"")</f>
        <v>#REF!</v>
      </c>
      <c r="B723" s="33" t="e">
        <f>IF(Sheet2!#REF!&lt;&gt;"",Sheet2!#REF!,"")</f>
        <v>#REF!</v>
      </c>
      <c r="C723" s="34" t="e">
        <f>IF(Sheet2!#REF!&lt;&gt;"",Sheet2!#REF!,"")</f>
        <v>#REF!</v>
      </c>
      <c r="D723" s="35" t="str">
        <f t="shared" ca="1" si="24"/>
        <v/>
      </c>
      <c r="E723" s="3"/>
      <c r="F723" s="3"/>
      <c r="G723" s="3"/>
      <c r="H723" s="3"/>
      <c r="K723" t="str">
        <f t="shared" ca="1" si="25"/>
        <v/>
      </c>
    </row>
    <row r="724" spans="1:11">
      <c r="A724" s="23" t="e">
        <f>IF(Sheet2!#REF!&lt;&gt;"",Sheet2!#REF!,"")</f>
        <v>#REF!</v>
      </c>
      <c r="B724" s="33" t="e">
        <f>IF(Sheet2!#REF!&lt;&gt;"",Sheet2!#REF!,"")</f>
        <v>#REF!</v>
      </c>
      <c r="C724" s="34" t="e">
        <f>IF(Sheet2!#REF!&lt;&gt;"",Sheet2!#REF!,"")</f>
        <v>#REF!</v>
      </c>
      <c r="D724" s="35" t="str">
        <f t="shared" ca="1" si="24"/>
        <v/>
      </c>
      <c r="E724" s="3"/>
      <c r="F724" s="3"/>
      <c r="G724" s="3"/>
      <c r="H724" s="3"/>
      <c r="K724" t="str">
        <f t="shared" ca="1" si="25"/>
        <v/>
      </c>
    </row>
    <row r="725" spans="1:11">
      <c r="A725" s="23" t="e">
        <f>IF(Sheet2!#REF!&lt;&gt;"",Sheet2!#REF!,"")</f>
        <v>#REF!</v>
      </c>
      <c r="B725" s="33" t="e">
        <f>IF(Sheet2!#REF!&lt;&gt;"",Sheet2!#REF!,"")</f>
        <v>#REF!</v>
      </c>
      <c r="C725" s="34" t="e">
        <f>IF(Sheet2!#REF!&lt;&gt;"",Sheet2!#REF!,"")</f>
        <v>#REF!</v>
      </c>
      <c r="D725" s="35" t="str">
        <f t="shared" ca="1" si="24"/>
        <v/>
      </c>
      <c r="E725" s="3"/>
      <c r="F725" s="3"/>
      <c r="G725" s="3"/>
      <c r="H725" s="3"/>
      <c r="K725" t="str">
        <f t="shared" ca="1" si="25"/>
        <v/>
      </c>
    </row>
    <row r="726" spans="1:11">
      <c r="A726" s="23" t="e">
        <f>IF(Sheet2!#REF!&lt;&gt;"",Sheet2!#REF!,"")</f>
        <v>#REF!</v>
      </c>
      <c r="B726" s="33" t="e">
        <f>IF(Sheet2!#REF!&lt;&gt;"",Sheet2!#REF!,"")</f>
        <v>#REF!</v>
      </c>
      <c r="C726" s="34" t="e">
        <f>IF(Sheet2!#REF!&lt;&gt;"",Sheet2!#REF!,"")</f>
        <v>#REF!</v>
      </c>
      <c r="D726" s="35" t="str">
        <f t="shared" ca="1" si="24"/>
        <v/>
      </c>
      <c r="E726" s="3"/>
      <c r="F726" s="3"/>
      <c r="G726" s="3"/>
      <c r="H726" s="3"/>
      <c r="K726" t="str">
        <f t="shared" ca="1" si="25"/>
        <v/>
      </c>
    </row>
    <row r="727" spans="1:11">
      <c r="A727" s="23" t="e">
        <f>IF(Sheet2!#REF!&lt;&gt;"",Sheet2!#REF!,"")</f>
        <v>#REF!</v>
      </c>
      <c r="B727" s="33" t="e">
        <f>IF(Sheet2!#REF!&lt;&gt;"",Sheet2!#REF!,"")</f>
        <v>#REF!</v>
      </c>
      <c r="C727" s="34" t="e">
        <f>IF(Sheet2!#REF!&lt;&gt;"",Sheet2!#REF!,"")</f>
        <v>#REF!</v>
      </c>
      <c r="D727" s="35" t="str">
        <f t="shared" ca="1" si="24"/>
        <v/>
      </c>
      <c r="E727" s="3"/>
      <c r="F727" s="3"/>
      <c r="G727" s="3"/>
      <c r="H727" s="3"/>
      <c r="K727" t="str">
        <f t="shared" ca="1" si="25"/>
        <v/>
      </c>
    </row>
    <row r="728" spans="1:11">
      <c r="A728" s="23" t="e">
        <f>IF(Sheet2!#REF!&lt;&gt;"",Sheet2!#REF!,"")</f>
        <v>#REF!</v>
      </c>
      <c r="B728" s="33" t="e">
        <f>IF(Sheet2!#REF!&lt;&gt;"",Sheet2!#REF!,"")</f>
        <v>#REF!</v>
      </c>
      <c r="C728" s="34" t="e">
        <f>IF(Sheet2!#REF!&lt;&gt;"",Sheet2!#REF!,"")</f>
        <v>#REF!</v>
      </c>
      <c r="D728" s="35" t="str">
        <f t="shared" ca="1" si="24"/>
        <v/>
      </c>
      <c r="E728" s="3"/>
      <c r="F728" s="3"/>
      <c r="G728" s="3"/>
      <c r="H728" s="3"/>
      <c r="K728" t="str">
        <f t="shared" ca="1" si="25"/>
        <v/>
      </c>
    </row>
    <row r="729" spans="1:11">
      <c r="A729" s="23" t="e">
        <f>IF(Sheet2!#REF!&lt;&gt;"",Sheet2!#REF!,"")</f>
        <v>#REF!</v>
      </c>
      <c r="B729" s="33" t="e">
        <f>IF(Sheet2!#REF!&lt;&gt;"",Sheet2!#REF!,"")</f>
        <v>#REF!</v>
      </c>
      <c r="C729" s="34" t="e">
        <f>IF(Sheet2!#REF!&lt;&gt;"",Sheet2!#REF!,"")</f>
        <v>#REF!</v>
      </c>
      <c r="D729" s="35" t="str">
        <f t="shared" ca="1" si="24"/>
        <v/>
      </c>
      <c r="E729" s="3"/>
      <c r="F729" s="3"/>
      <c r="G729" s="3"/>
      <c r="H729" s="3"/>
      <c r="K729" t="str">
        <f t="shared" ca="1" si="25"/>
        <v/>
      </c>
    </row>
    <row r="730" spans="1:11">
      <c r="A730" s="23" t="e">
        <f>IF(Sheet2!#REF!&lt;&gt;"",Sheet2!#REF!,"")</f>
        <v>#REF!</v>
      </c>
      <c r="B730" s="33" t="e">
        <f>IF(Sheet2!#REF!&lt;&gt;"",Sheet2!#REF!,"")</f>
        <v>#REF!</v>
      </c>
      <c r="C730" s="34" t="e">
        <f>IF(Sheet2!#REF!&lt;&gt;"",Sheet2!#REF!,"")</f>
        <v>#REF!</v>
      </c>
      <c r="D730" s="35" t="str">
        <f t="shared" ca="1" si="24"/>
        <v/>
      </c>
      <c r="E730" s="3"/>
      <c r="F730" s="3"/>
      <c r="G730" s="3"/>
      <c r="H730" s="3"/>
      <c r="K730" t="str">
        <f t="shared" ca="1" si="25"/>
        <v/>
      </c>
    </row>
    <row r="731" spans="1:11">
      <c r="A731" s="23" t="e">
        <f>IF(Sheet2!#REF!&lt;&gt;"",Sheet2!#REF!,"")</f>
        <v>#REF!</v>
      </c>
      <c r="B731" s="33" t="e">
        <f>IF(Sheet2!#REF!&lt;&gt;"",Sheet2!#REF!,"")</f>
        <v>#REF!</v>
      </c>
      <c r="C731" s="34" t="e">
        <f>IF(Sheet2!#REF!&lt;&gt;"",Sheet2!#REF!,"")</f>
        <v>#REF!</v>
      </c>
      <c r="D731" s="35" t="str">
        <f t="shared" ca="1" si="24"/>
        <v/>
      </c>
      <c r="E731" s="3"/>
      <c r="F731" s="3"/>
      <c r="G731" s="3"/>
      <c r="H731" s="3"/>
      <c r="K731" t="str">
        <f t="shared" ca="1" si="25"/>
        <v/>
      </c>
    </row>
    <row r="732" spans="1:11">
      <c r="A732" s="23" t="e">
        <f>IF(Sheet2!#REF!&lt;&gt;"",Sheet2!#REF!,"")</f>
        <v>#REF!</v>
      </c>
      <c r="B732" s="33" t="e">
        <f>IF(Sheet2!#REF!&lt;&gt;"",Sheet2!#REF!,"")</f>
        <v>#REF!</v>
      </c>
      <c r="C732" s="34" t="e">
        <f>IF(Sheet2!#REF!&lt;&gt;"",Sheet2!#REF!,"")</f>
        <v>#REF!</v>
      </c>
      <c r="D732" s="35" t="str">
        <f t="shared" ca="1" si="24"/>
        <v/>
      </c>
      <c r="E732" s="3"/>
      <c r="F732" s="3"/>
      <c r="G732" s="3"/>
      <c r="H732" s="3"/>
      <c r="K732" t="str">
        <f t="shared" ca="1" si="25"/>
        <v/>
      </c>
    </row>
    <row r="733" spans="1:11">
      <c r="A733" s="23" t="e">
        <f>IF(Sheet2!#REF!&lt;&gt;"",Sheet2!#REF!,"")</f>
        <v>#REF!</v>
      </c>
      <c r="B733" s="33" t="e">
        <f>IF(Sheet2!#REF!&lt;&gt;"",Sheet2!#REF!,"")</f>
        <v>#REF!</v>
      </c>
      <c r="C733" s="34" t="e">
        <f>IF(Sheet2!#REF!&lt;&gt;"",Sheet2!#REF!,"")</f>
        <v>#REF!</v>
      </c>
      <c r="D733" s="35" t="str">
        <f t="shared" ca="1" si="24"/>
        <v/>
      </c>
      <c r="E733" s="3"/>
      <c r="F733" s="3"/>
      <c r="G733" s="3"/>
      <c r="H733" s="3"/>
      <c r="K733" t="str">
        <f t="shared" ca="1" si="25"/>
        <v/>
      </c>
    </row>
    <row r="734" spans="1:11">
      <c r="A734" s="23" t="e">
        <f>IF(Sheet2!#REF!&lt;&gt;"",Sheet2!#REF!,"")</f>
        <v>#REF!</v>
      </c>
      <c r="B734" s="33" t="e">
        <f>IF(Sheet2!#REF!&lt;&gt;"",Sheet2!#REF!,"")</f>
        <v>#REF!</v>
      </c>
      <c r="C734" s="34" t="e">
        <f>IF(Sheet2!#REF!&lt;&gt;"",Sheet2!#REF!,"")</f>
        <v>#REF!</v>
      </c>
      <c r="D734" s="35" t="str">
        <f t="shared" ca="1" si="24"/>
        <v/>
      </c>
      <c r="E734" s="3"/>
      <c r="F734" s="3"/>
      <c r="G734" s="3"/>
      <c r="H734" s="3"/>
      <c r="K734" t="str">
        <f t="shared" ca="1" si="25"/>
        <v/>
      </c>
    </row>
    <row r="735" spans="1:11">
      <c r="A735" s="23" t="e">
        <f>IF(Sheet2!#REF!&lt;&gt;"",Sheet2!#REF!,"")</f>
        <v>#REF!</v>
      </c>
      <c r="B735" s="33" t="e">
        <f>IF(Sheet2!#REF!&lt;&gt;"",Sheet2!#REF!,"")</f>
        <v>#REF!</v>
      </c>
      <c r="C735" s="34" t="e">
        <f>IF(Sheet2!#REF!&lt;&gt;"",Sheet2!#REF!,"")</f>
        <v>#REF!</v>
      </c>
      <c r="D735" s="35" t="str">
        <f t="shared" ca="1" si="24"/>
        <v/>
      </c>
      <c r="E735" s="3"/>
      <c r="F735" s="3"/>
      <c r="G735" s="3"/>
      <c r="H735" s="3"/>
      <c r="K735" t="str">
        <f t="shared" ca="1" si="25"/>
        <v/>
      </c>
    </row>
    <row r="736" spans="1:11">
      <c r="A736" s="23" t="e">
        <f>IF(Sheet2!#REF!&lt;&gt;"",Sheet2!#REF!,"")</f>
        <v>#REF!</v>
      </c>
      <c r="B736" s="33" t="e">
        <f>IF(Sheet2!#REF!&lt;&gt;"",Sheet2!#REF!,"")</f>
        <v>#REF!</v>
      </c>
      <c r="C736" s="34" t="e">
        <f>IF(Sheet2!#REF!&lt;&gt;"",Sheet2!#REF!,"")</f>
        <v>#REF!</v>
      </c>
      <c r="D736" s="35" t="str">
        <f t="shared" ca="1" si="24"/>
        <v/>
      </c>
      <c r="E736" s="3"/>
      <c r="F736" s="3"/>
      <c r="G736" s="3"/>
      <c r="H736" s="3"/>
      <c r="K736" t="str">
        <f t="shared" ca="1" si="25"/>
        <v/>
      </c>
    </row>
    <row r="737" spans="1:11">
      <c r="A737" s="23" t="e">
        <f>IF(Sheet2!#REF!&lt;&gt;"",Sheet2!#REF!,"")</f>
        <v>#REF!</v>
      </c>
      <c r="B737" s="33" t="e">
        <f>IF(Sheet2!#REF!&lt;&gt;"",Sheet2!#REF!,"")</f>
        <v>#REF!</v>
      </c>
      <c r="C737" s="34" t="e">
        <f>IF(Sheet2!#REF!&lt;&gt;"",Sheet2!#REF!,"")</f>
        <v>#REF!</v>
      </c>
      <c r="D737" s="35" t="str">
        <f t="shared" ca="1" si="24"/>
        <v/>
      </c>
      <c r="E737" s="3"/>
      <c r="F737" s="3"/>
      <c r="G737" s="3"/>
      <c r="H737" s="3"/>
      <c r="K737" t="str">
        <f t="shared" ca="1" si="25"/>
        <v/>
      </c>
    </row>
    <row r="738" spans="1:11">
      <c r="A738" s="23" t="e">
        <f>IF(Sheet2!#REF!&lt;&gt;"",Sheet2!#REF!,"")</f>
        <v>#REF!</v>
      </c>
      <c r="B738" s="33" t="e">
        <f>IF(Sheet2!#REF!&lt;&gt;"",Sheet2!#REF!,"")</f>
        <v>#REF!</v>
      </c>
      <c r="C738" s="34" t="e">
        <f>IF(Sheet2!#REF!&lt;&gt;"",Sheet2!#REF!,"")</f>
        <v>#REF!</v>
      </c>
      <c r="D738" s="35" t="str">
        <f t="shared" ca="1" si="24"/>
        <v/>
      </c>
      <c r="E738" s="3"/>
      <c r="F738" s="3"/>
      <c r="G738" s="3"/>
      <c r="H738" s="3"/>
      <c r="K738" t="str">
        <f t="shared" ca="1" si="25"/>
        <v/>
      </c>
    </row>
    <row r="739" spans="1:11">
      <c r="A739" s="23" t="e">
        <f>IF(Sheet2!#REF!&lt;&gt;"",Sheet2!#REF!,"")</f>
        <v>#REF!</v>
      </c>
      <c r="B739" s="33" t="e">
        <f>IF(Sheet2!#REF!&lt;&gt;"",Sheet2!#REF!,"")</f>
        <v>#REF!</v>
      </c>
      <c r="C739" s="34" t="e">
        <f>IF(Sheet2!#REF!&lt;&gt;"",Sheet2!#REF!,"")</f>
        <v>#REF!</v>
      </c>
      <c r="D739" s="35" t="str">
        <f t="shared" ca="1" si="24"/>
        <v/>
      </c>
      <c r="E739" s="3"/>
      <c r="F739" s="3"/>
      <c r="G739" s="3"/>
      <c r="H739" s="3"/>
      <c r="K739" t="str">
        <f t="shared" ca="1" si="25"/>
        <v/>
      </c>
    </row>
    <row r="740" spans="1:11">
      <c r="A740" s="23" t="e">
        <f>IF(Sheet2!#REF!&lt;&gt;"",Sheet2!#REF!,"")</f>
        <v>#REF!</v>
      </c>
      <c r="B740" s="33" t="e">
        <f>IF(Sheet2!#REF!&lt;&gt;"",Sheet2!#REF!,"")</f>
        <v>#REF!</v>
      </c>
      <c r="C740" s="34" t="e">
        <f>IF(Sheet2!#REF!&lt;&gt;"",Sheet2!#REF!,"")</f>
        <v>#REF!</v>
      </c>
      <c r="D740" s="35" t="str">
        <f t="shared" ca="1" si="24"/>
        <v/>
      </c>
      <c r="E740" s="3"/>
      <c r="F740" s="3"/>
      <c r="G740" s="3"/>
      <c r="H740" s="3"/>
      <c r="K740" t="str">
        <f t="shared" ca="1" si="25"/>
        <v/>
      </c>
    </row>
    <row r="741" spans="1:11">
      <c r="A741" s="23" t="e">
        <f>IF(Sheet2!#REF!&lt;&gt;"",Sheet2!#REF!,"")</f>
        <v>#REF!</v>
      </c>
      <c r="B741" s="33" t="e">
        <f>IF(Sheet2!#REF!&lt;&gt;"",Sheet2!#REF!,"")</f>
        <v>#REF!</v>
      </c>
      <c r="C741" s="34" t="e">
        <f>IF(Sheet2!#REF!&lt;&gt;"",Sheet2!#REF!,"")</f>
        <v>#REF!</v>
      </c>
      <c r="D741" s="35" t="str">
        <f t="shared" ca="1" si="24"/>
        <v/>
      </c>
      <c r="E741" s="3"/>
      <c r="F741" s="3"/>
      <c r="G741" s="3"/>
      <c r="H741" s="3"/>
      <c r="K741" t="str">
        <f t="shared" ca="1" si="25"/>
        <v/>
      </c>
    </row>
    <row r="742" spans="1:11">
      <c r="A742" s="23" t="e">
        <f>IF(Sheet2!#REF!&lt;&gt;"",Sheet2!#REF!,"")</f>
        <v>#REF!</v>
      </c>
      <c r="B742" s="33" t="e">
        <f>IF(Sheet2!#REF!&lt;&gt;"",Sheet2!#REF!,"")</f>
        <v>#REF!</v>
      </c>
      <c r="C742" s="34" t="e">
        <f>IF(Sheet2!#REF!&lt;&gt;"",Sheet2!#REF!,"")</f>
        <v>#REF!</v>
      </c>
      <c r="D742" s="35" t="str">
        <f t="shared" ca="1" si="24"/>
        <v/>
      </c>
      <c r="E742" s="3"/>
      <c r="F742" s="3"/>
      <c r="G742" s="3"/>
      <c r="H742" s="3"/>
      <c r="K742" t="str">
        <f t="shared" ca="1" si="25"/>
        <v/>
      </c>
    </row>
    <row r="743" spans="1:11">
      <c r="A743" s="23" t="e">
        <f>IF(Sheet2!#REF!&lt;&gt;"",Sheet2!#REF!,"")</f>
        <v>#REF!</v>
      </c>
      <c r="B743" s="33" t="e">
        <f>IF(Sheet2!#REF!&lt;&gt;"",Sheet2!#REF!,"")</f>
        <v>#REF!</v>
      </c>
      <c r="C743" s="34" t="e">
        <f>IF(Sheet2!#REF!&lt;&gt;"",Sheet2!#REF!,"")</f>
        <v>#REF!</v>
      </c>
      <c r="D743" s="35" t="str">
        <f t="shared" ca="1" si="24"/>
        <v/>
      </c>
      <c r="E743" s="3"/>
      <c r="F743" s="3"/>
      <c r="G743" s="3"/>
      <c r="H743" s="3"/>
      <c r="K743" t="str">
        <f t="shared" ca="1" si="25"/>
        <v/>
      </c>
    </row>
    <row r="744" spans="1:11">
      <c r="A744" s="23" t="e">
        <f>IF(Sheet2!#REF!&lt;&gt;"",Sheet2!#REF!,"")</f>
        <v>#REF!</v>
      </c>
      <c r="B744" s="33" t="e">
        <f>IF(Sheet2!#REF!&lt;&gt;"",Sheet2!#REF!,"")</f>
        <v>#REF!</v>
      </c>
      <c r="C744" s="34" t="e">
        <f>IF(Sheet2!#REF!&lt;&gt;"",Sheet2!#REF!,"")</f>
        <v>#REF!</v>
      </c>
      <c r="D744" s="35" t="str">
        <f t="shared" ca="1" si="24"/>
        <v/>
      </c>
      <c r="E744" s="3"/>
      <c r="F744" s="3"/>
      <c r="G744" s="3"/>
      <c r="H744" s="3"/>
      <c r="K744" t="str">
        <f t="shared" ca="1" si="25"/>
        <v/>
      </c>
    </row>
    <row r="745" spans="1:11">
      <c r="A745" s="23" t="e">
        <f>IF(Sheet2!#REF!&lt;&gt;"",Sheet2!#REF!,"")</f>
        <v>#REF!</v>
      </c>
      <c r="B745" s="33" t="e">
        <f>IF(Sheet2!#REF!&lt;&gt;"",Sheet2!#REF!,"")</f>
        <v>#REF!</v>
      </c>
      <c r="C745" s="34" t="e">
        <f>IF(Sheet2!#REF!&lt;&gt;"",Sheet2!#REF!,"")</f>
        <v>#REF!</v>
      </c>
      <c r="D745" s="35" t="str">
        <f t="shared" ca="1" si="24"/>
        <v/>
      </c>
      <c r="E745" s="3"/>
      <c r="F745" s="3"/>
      <c r="G745" s="3"/>
      <c r="H745" s="3"/>
      <c r="K745" t="str">
        <f t="shared" ca="1" si="25"/>
        <v/>
      </c>
    </row>
    <row r="746" spans="1:11">
      <c r="A746" s="23" t="e">
        <f>IF(Sheet2!#REF!&lt;&gt;"",Sheet2!#REF!,"")</f>
        <v>#REF!</v>
      </c>
      <c r="B746" s="33" t="e">
        <f>IF(Sheet2!#REF!&lt;&gt;"",Sheet2!#REF!,"")</f>
        <v>#REF!</v>
      </c>
      <c r="C746" s="34" t="e">
        <f>IF(Sheet2!#REF!&lt;&gt;"",Sheet2!#REF!,"")</f>
        <v>#REF!</v>
      </c>
      <c r="D746" s="35" t="str">
        <f t="shared" ca="1" si="24"/>
        <v/>
      </c>
      <c r="E746" s="3"/>
      <c r="F746" s="3"/>
      <c r="G746" s="3"/>
      <c r="H746" s="3"/>
      <c r="K746" t="str">
        <f t="shared" ca="1" si="25"/>
        <v/>
      </c>
    </row>
    <row r="747" spans="1:11">
      <c r="A747" s="23" t="e">
        <f>IF(Sheet2!#REF!&lt;&gt;"",Sheet2!#REF!,"")</f>
        <v>#REF!</v>
      </c>
      <c r="B747" s="33" t="e">
        <f>IF(Sheet2!#REF!&lt;&gt;"",Sheet2!#REF!,"")</f>
        <v>#REF!</v>
      </c>
      <c r="C747" s="34" t="e">
        <f>IF(Sheet2!#REF!&lt;&gt;"",Sheet2!#REF!,"")</f>
        <v>#REF!</v>
      </c>
      <c r="D747" s="35" t="str">
        <f t="shared" ca="1" si="24"/>
        <v/>
      </c>
      <c r="E747" s="3"/>
      <c r="F747" s="3"/>
      <c r="G747" s="3"/>
      <c r="H747" s="3"/>
      <c r="K747" t="str">
        <f t="shared" ca="1" si="25"/>
        <v/>
      </c>
    </row>
    <row r="748" spans="1:11">
      <c r="A748" s="23" t="e">
        <f>IF(Sheet2!#REF!&lt;&gt;"",Sheet2!#REF!,"")</f>
        <v>#REF!</v>
      </c>
      <c r="B748" s="33" t="e">
        <f>IF(Sheet2!#REF!&lt;&gt;"",Sheet2!#REF!,"")</f>
        <v>#REF!</v>
      </c>
      <c r="C748" s="34" t="e">
        <f>IF(Sheet2!#REF!&lt;&gt;"",Sheet2!#REF!,"")</f>
        <v>#REF!</v>
      </c>
      <c r="D748" s="35" t="str">
        <f t="shared" ca="1" si="24"/>
        <v/>
      </c>
      <c r="E748" s="3"/>
      <c r="F748" s="3"/>
      <c r="G748" s="3"/>
      <c r="H748" s="3"/>
      <c r="K748" t="str">
        <f t="shared" ca="1" si="25"/>
        <v/>
      </c>
    </row>
    <row r="749" spans="1:11">
      <c r="A749" s="23" t="e">
        <f>IF(Sheet2!#REF!&lt;&gt;"",Sheet2!#REF!,"")</f>
        <v>#REF!</v>
      </c>
      <c r="B749" s="33" t="e">
        <f>IF(Sheet2!#REF!&lt;&gt;"",Sheet2!#REF!,"")</f>
        <v>#REF!</v>
      </c>
      <c r="C749" s="34" t="e">
        <f>IF(Sheet2!#REF!&lt;&gt;"",Sheet2!#REF!,"")</f>
        <v>#REF!</v>
      </c>
      <c r="D749" s="35" t="str">
        <f t="shared" ca="1" si="24"/>
        <v/>
      </c>
      <c r="E749" s="3"/>
      <c r="F749" s="3"/>
      <c r="G749" s="3"/>
      <c r="H749" s="3"/>
      <c r="K749" t="str">
        <f t="shared" ca="1" si="25"/>
        <v/>
      </c>
    </row>
    <row r="750" spans="1:11">
      <c r="A750" s="23" t="e">
        <f>IF(Sheet2!#REF!&lt;&gt;"",Sheet2!#REF!,"")</f>
        <v>#REF!</v>
      </c>
      <c r="B750" s="33" t="e">
        <f>IF(Sheet2!#REF!&lt;&gt;"",Sheet2!#REF!,"")</f>
        <v>#REF!</v>
      </c>
      <c r="C750" s="34" t="e">
        <f>IF(Sheet2!#REF!&lt;&gt;"",Sheet2!#REF!,"")</f>
        <v>#REF!</v>
      </c>
      <c r="D750" s="35" t="str">
        <f t="shared" ca="1" si="24"/>
        <v/>
      </c>
      <c r="E750" s="3"/>
      <c r="F750" s="3"/>
      <c r="G750" s="3"/>
      <c r="H750" s="3"/>
      <c r="K750" t="str">
        <f t="shared" ca="1" si="25"/>
        <v/>
      </c>
    </row>
    <row r="751" spans="1:11">
      <c r="A751" s="23" t="e">
        <f>IF(Sheet2!#REF!&lt;&gt;"",Sheet2!#REF!,"")</f>
        <v>#REF!</v>
      </c>
      <c r="B751" s="33" t="e">
        <f>IF(Sheet2!#REF!&lt;&gt;"",Sheet2!#REF!,"")</f>
        <v>#REF!</v>
      </c>
      <c r="C751" s="34" t="e">
        <f>IF(Sheet2!#REF!&lt;&gt;"",Sheet2!#REF!,"")</f>
        <v>#REF!</v>
      </c>
      <c r="D751" s="35" t="str">
        <f t="shared" ca="1" si="24"/>
        <v/>
      </c>
      <c r="E751" s="3"/>
      <c r="F751" s="3"/>
      <c r="G751" s="3"/>
      <c r="H751" s="3"/>
      <c r="K751" t="str">
        <f t="shared" ca="1" si="25"/>
        <v/>
      </c>
    </row>
    <row r="752" spans="1:11">
      <c r="A752" s="23" t="e">
        <f>IF(Sheet2!#REF!&lt;&gt;"",Sheet2!#REF!,"")</f>
        <v>#REF!</v>
      </c>
      <c r="B752" s="33" t="e">
        <f>IF(Sheet2!#REF!&lt;&gt;"",Sheet2!#REF!,"")</f>
        <v>#REF!</v>
      </c>
      <c r="C752" s="34" t="e">
        <f>IF(Sheet2!#REF!&lt;&gt;"",Sheet2!#REF!,"")</f>
        <v>#REF!</v>
      </c>
      <c r="D752" s="35" t="str">
        <f t="shared" ca="1" si="24"/>
        <v/>
      </c>
      <c r="E752" s="3"/>
      <c r="F752" s="3"/>
      <c r="G752" s="3"/>
      <c r="H752" s="3"/>
      <c r="K752" t="str">
        <f t="shared" ca="1" si="25"/>
        <v/>
      </c>
    </row>
    <row r="753" spans="1:11">
      <c r="A753" s="23" t="e">
        <f>IF(Sheet2!#REF!&lt;&gt;"",Sheet2!#REF!,"")</f>
        <v>#REF!</v>
      </c>
      <c r="B753" s="33" t="e">
        <f>IF(Sheet2!#REF!&lt;&gt;"",Sheet2!#REF!,"")</f>
        <v>#REF!</v>
      </c>
      <c r="C753" s="34" t="e">
        <f>IF(Sheet2!#REF!&lt;&gt;"",Sheet2!#REF!,"")</f>
        <v>#REF!</v>
      </c>
      <c r="D753" s="35" t="str">
        <f t="shared" ca="1" si="24"/>
        <v/>
      </c>
      <c r="E753" s="3"/>
      <c r="F753" s="3"/>
      <c r="G753" s="3"/>
      <c r="H753" s="3"/>
      <c r="K753" t="str">
        <f t="shared" ca="1" si="25"/>
        <v/>
      </c>
    </row>
    <row r="754" spans="1:11">
      <c r="A754" s="23" t="e">
        <f>IF(Sheet2!#REF!&lt;&gt;"",Sheet2!#REF!,"")</f>
        <v>#REF!</v>
      </c>
      <c r="B754" s="33" t="e">
        <f>IF(Sheet2!#REF!&lt;&gt;"",Sheet2!#REF!,"")</f>
        <v>#REF!</v>
      </c>
      <c r="C754" s="34" t="e">
        <f>IF(Sheet2!#REF!&lt;&gt;"",Sheet2!#REF!,"")</f>
        <v>#REF!</v>
      </c>
      <c r="D754" s="35" t="str">
        <f t="shared" ca="1" si="24"/>
        <v/>
      </c>
      <c r="E754" s="3"/>
      <c r="F754" s="3"/>
      <c r="G754" s="3"/>
      <c r="H754" s="3"/>
      <c r="K754" t="str">
        <f t="shared" ca="1" si="25"/>
        <v/>
      </c>
    </row>
    <row r="755" spans="1:11">
      <c r="A755" s="23" t="e">
        <f>IF(Sheet2!#REF!&lt;&gt;"",Sheet2!#REF!,"")</f>
        <v>#REF!</v>
      </c>
      <c r="B755" s="33" t="e">
        <f>IF(Sheet2!#REF!&lt;&gt;"",Sheet2!#REF!,"")</f>
        <v>#REF!</v>
      </c>
      <c r="C755" s="34" t="e">
        <f>IF(Sheet2!#REF!&lt;&gt;"",Sheet2!#REF!,"")</f>
        <v>#REF!</v>
      </c>
      <c r="D755" s="35" t="str">
        <f t="shared" ca="1" si="24"/>
        <v/>
      </c>
      <c r="E755" s="3"/>
      <c r="F755" s="3"/>
      <c r="G755" s="3"/>
      <c r="H755" s="3"/>
      <c r="K755" t="str">
        <f t="shared" ca="1" si="25"/>
        <v/>
      </c>
    </row>
    <row r="756" spans="1:11">
      <c r="A756" s="23" t="e">
        <f>IF(Sheet2!#REF!&lt;&gt;"",Sheet2!#REF!,"")</f>
        <v>#REF!</v>
      </c>
      <c r="B756" s="33" t="e">
        <f>IF(Sheet2!#REF!&lt;&gt;"",Sheet2!#REF!,"")</f>
        <v>#REF!</v>
      </c>
      <c r="C756" s="34" t="e">
        <f>IF(Sheet2!#REF!&lt;&gt;"",Sheet2!#REF!,"")</f>
        <v>#REF!</v>
      </c>
      <c r="D756" s="35" t="str">
        <f t="shared" ca="1" si="24"/>
        <v/>
      </c>
      <c r="E756" s="3"/>
      <c r="F756" s="3"/>
      <c r="G756" s="3"/>
      <c r="H756" s="3"/>
      <c r="K756" t="str">
        <f t="shared" ca="1" si="25"/>
        <v/>
      </c>
    </row>
    <row r="757" spans="1:11">
      <c r="A757" s="23" t="e">
        <f>IF(Sheet2!#REF!&lt;&gt;"",Sheet2!#REF!,"")</f>
        <v>#REF!</v>
      </c>
      <c r="B757" s="33" t="e">
        <f>IF(Sheet2!#REF!&lt;&gt;"",Sheet2!#REF!,"")</f>
        <v>#REF!</v>
      </c>
      <c r="C757" s="34" t="e">
        <f>IF(Sheet2!#REF!&lt;&gt;"",Sheet2!#REF!,"")</f>
        <v>#REF!</v>
      </c>
      <c r="D757" s="35" t="str">
        <f t="shared" ca="1" si="24"/>
        <v/>
      </c>
      <c r="E757" s="3"/>
      <c r="F757" s="3"/>
      <c r="G757" s="3"/>
      <c r="H757" s="3"/>
      <c r="K757" t="str">
        <f t="shared" ca="1" si="25"/>
        <v/>
      </c>
    </row>
    <row r="758" spans="1:11">
      <c r="A758" s="23" t="e">
        <f>IF(Sheet2!#REF!&lt;&gt;"",Sheet2!#REF!,"")</f>
        <v>#REF!</v>
      </c>
      <c r="B758" s="33" t="e">
        <f>IF(Sheet2!#REF!&lt;&gt;"",Sheet2!#REF!,"")</f>
        <v>#REF!</v>
      </c>
      <c r="C758" s="34" t="e">
        <f>IF(Sheet2!#REF!&lt;&gt;"",Sheet2!#REF!,"")</f>
        <v>#REF!</v>
      </c>
      <c r="D758" s="35" t="str">
        <f t="shared" ca="1" si="24"/>
        <v/>
      </c>
      <c r="E758" s="3"/>
      <c r="F758" s="3"/>
      <c r="G758" s="3"/>
      <c r="H758" s="3"/>
      <c r="K758" t="str">
        <f t="shared" ca="1" si="25"/>
        <v/>
      </c>
    </row>
    <row r="759" spans="1:11">
      <c r="A759" s="23" t="e">
        <f>IF(Sheet2!#REF!&lt;&gt;"",Sheet2!#REF!,"")</f>
        <v>#REF!</v>
      </c>
      <c r="B759" s="33" t="e">
        <f>IF(Sheet2!#REF!&lt;&gt;"",Sheet2!#REF!,"")</f>
        <v>#REF!</v>
      </c>
      <c r="C759" s="34" t="e">
        <f>IF(Sheet2!#REF!&lt;&gt;"",Sheet2!#REF!,"")</f>
        <v>#REF!</v>
      </c>
      <c r="D759" s="35" t="str">
        <f t="shared" ca="1" si="24"/>
        <v/>
      </c>
      <c r="E759" s="3"/>
      <c r="F759" s="3"/>
      <c r="G759" s="3"/>
      <c r="H759" s="3"/>
      <c r="K759" t="str">
        <f t="shared" ca="1" si="25"/>
        <v/>
      </c>
    </row>
    <row r="760" spans="1:11">
      <c r="A760" s="23" t="e">
        <f>IF(Sheet2!#REF!&lt;&gt;"",Sheet2!#REF!,"")</f>
        <v>#REF!</v>
      </c>
      <c r="B760" s="33" t="e">
        <f>IF(Sheet2!#REF!&lt;&gt;"",Sheet2!#REF!,"")</f>
        <v>#REF!</v>
      </c>
      <c r="C760" s="34" t="e">
        <f>IF(Sheet2!#REF!&lt;&gt;"",Sheet2!#REF!,"")</f>
        <v>#REF!</v>
      </c>
      <c r="D760" s="35" t="str">
        <f t="shared" ca="1" si="24"/>
        <v/>
      </c>
      <c r="E760" s="3"/>
      <c r="F760" s="3"/>
      <c r="G760" s="3"/>
      <c r="H760" s="3"/>
      <c r="K760" t="str">
        <f t="shared" ca="1" si="25"/>
        <v/>
      </c>
    </row>
    <row r="761" spans="1:11">
      <c r="A761" s="23" t="e">
        <f>IF(Sheet2!#REF!&lt;&gt;"",Sheet2!#REF!,"")</f>
        <v>#REF!</v>
      </c>
      <c r="B761" s="33" t="e">
        <f>IF(Sheet2!#REF!&lt;&gt;"",Sheet2!#REF!,"")</f>
        <v>#REF!</v>
      </c>
      <c r="C761" s="34" t="e">
        <f>IF(Sheet2!#REF!&lt;&gt;"",Sheet2!#REF!,"")</f>
        <v>#REF!</v>
      </c>
      <c r="D761" s="35" t="str">
        <f t="shared" ca="1" si="24"/>
        <v/>
      </c>
      <c r="E761" s="3"/>
      <c r="F761" s="3"/>
      <c r="G761" s="3"/>
      <c r="H761" s="3"/>
      <c r="K761" t="str">
        <f t="shared" ca="1" si="25"/>
        <v/>
      </c>
    </row>
    <row r="762" spans="1:11">
      <c r="A762" s="23" t="e">
        <f>IF(Sheet2!#REF!&lt;&gt;"",Sheet2!#REF!,"")</f>
        <v>#REF!</v>
      </c>
      <c r="B762" s="33" t="e">
        <f>IF(Sheet2!#REF!&lt;&gt;"",Sheet2!#REF!,"")</f>
        <v>#REF!</v>
      </c>
      <c r="C762" s="34" t="e">
        <f>IF(Sheet2!#REF!&lt;&gt;"",Sheet2!#REF!,"")</f>
        <v>#REF!</v>
      </c>
      <c r="D762" s="35" t="str">
        <f t="shared" ca="1" si="24"/>
        <v/>
      </c>
      <c r="E762" s="3"/>
      <c r="F762" s="3"/>
      <c r="G762" s="3"/>
      <c r="H762" s="3"/>
      <c r="K762" t="str">
        <f t="shared" ca="1" si="25"/>
        <v/>
      </c>
    </row>
    <row r="763" spans="1:11">
      <c r="A763" s="23" t="e">
        <f>IF(Sheet2!#REF!&lt;&gt;"",Sheet2!#REF!,"")</f>
        <v>#REF!</v>
      </c>
      <c r="B763" s="33" t="e">
        <f>IF(Sheet2!#REF!&lt;&gt;"",Sheet2!#REF!,"")</f>
        <v>#REF!</v>
      </c>
      <c r="C763" s="34" t="e">
        <f>IF(Sheet2!#REF!&lt;&gt;"",Sheet2!#REF!,"")</f>
        <v>#REF!</v>
      </c>
      <c r="D763" s="35" t="str">
        <f t="shared" ca="1" si="24"/>
        <v/>
      </c>
      <c r="E763" s="3"/>
      <c r="F763" s="3"/>
      <c r="G763" s="3"/>
      <c r="H763" s="3"/>
      <c r="K763" t="str">
        <f t="shared" ca="1" si="25"/>
        <v/>
      </c>
    </row>
    <row r="764" spans="1:11">
      <c r="A764" s="23" t="e">
        <f>IF(Sheet2!#REF!&lt;&gt;"",Sheet2!#REF!,"")</f>
        <v>#REF!</v>
      </c>
      <c r="B764" s="33" t="e">
        <f>IF(Sheet2!#REF!&lt;&gt;"",Sheet2!#REF!,"")</f>
        <v>#REF!</v>
      </c>
      <c r="C764" s="34" t="e">
        <f>IF(Sheet2!#REF!&lt;&gt;"",Sheet2!#REF!,"")</f>
        <v>#REF!</v>
      </c>
      <c r="D764" s="35" t="str">
        <f t="shared" ca="1" si="24"/>
        <v/>
      </c>
      <c r="E764" s="3"/>
      <c r="F764" s="3"/>
      <c r="G764" s="3"/>
      <c r="H764" s="3"/>
      <c r="K764" t="str">
        <f t="shared" ca="1" si="25"/>
        <v/>
      </c>
    </row>
    <row r="765" spans="1:11">
      <c r="A765" s="23" t="e">
        <f>IF(Sheet2!#REF!&lt;&gt;"",Sheet2!#REF!,"")</f>
        <v>#REF!</v>
      </c>
      <c r="B765" s="33" t="e">
        <f>IF(Sheet2!#REF!&lt;&gt;"",Sheet2!#REF!,"")</f>
        <v>#REF!</v>
      </c>
      <c r="C765" s="34" t="e">
        <f>IF(Sheet2!#REF!&lt;&gt;"",Sheet2!#REF!,"")</f>
        <v>#REF!</v>
      </c>
      <c r="D765" s="35" t="str">
        <f t="shared" ca="1" si="24"/>
        <v/>
      </c>
      <c r="E765" s="3"/>
      <c r="F765" s="3"/>
      <c r="G765" s="3"/>
      <c r="H765" s="3"/>
      <c r="K765" t="str">
        <f t="shared" ca="1" si="25"/>
        <v/>
      </c>
    </row>
    <row r="766" spans="1:11">
      <c r="A766" s="23" t="e">
        <f>IF(Sheet2!#REF!&lt;&gt;"",Sheet2!#REF!,"")</f>
        <v>#REF!</v>
      </c>
      <c r="B766" s="33" t="e">
        <f>IF(Sheet2!#REF!&lt;&gt;"",Sheet2!#REF!,"")</f>
        <v>#REF!</v>
      </c>
      <c r="C766" s="34" t="e">
        <f>IF(Sheet2!#REF!&lt;&gt;"",Sheet2!#REF!,"")</f>
        <v>#REF!</v>
      </c>
      <c r="D766" s="35" t="str">
        <f t="shared" ca="1" si="24"/>
        <v/>
      </c>
      <c r="E766" s="3"/>
      <c r="F766" s="3"/>
      <c r="G766" s="3"/>
      <c r="H766" s="3"/>
      <c r="K766" t="str">
        <f t="shared" ca="1" si="25"/>
        <v/>
      </c>
    </row>
    <row r="767" spans="1:11">
      <c r="A767" s="23" t="e">
        <f>IF(Sheet2!#REF!&lt;&gt;"",Sheet2!#REF!,"")</f>
        <v>#REF!</v>
      </c>
      <c r="B767" s="33" t="e">
        <f>IF(Sheet2!#REF!&lt;&gt;"",Sheet2!#REF!,"")</f>
        <v>#REF!</v>
      </c>
      <c r="C767" s="34" t="e">
        <f>IF(Sheet2!#REF!&lt;&gt;"",Sheet2!#REF!,"")</f>
        <v>#REF!</v>
      </c>
      <c r="D767" s="35" t="str">
        <f t="shared" ca="1" si="24"/>
        <v/>
      </c>
      <c r="E767" s="3"/>
      <c r="F767" s="3"/>
      <c r="G767" s="3"/>
      <c r="H767" s="3"/>
      <c r="K767" t="str">
        <f t="shared" ca="1" si="25"/>
        <v/>
      </c>
    </row>
    <row r="768" spans="1:11">
      <c r="A768" s="23" t="e">
        <f>IF(Sheet2!#REF!&lt;&gt;"",Sheet2!#REF!,"")</f>
        <v>#REF!</v>
      </c>
      <c r="B768" s="33" t="e">
        <f>IF(Sheet2!#REF!&lt;&gt;"",Sheet2!#REF!,"")</f>
        <v>#REF!</v>
      </c>
      <c r="C768" s="34" t="e">
        <f>IF(Sheet2!#REF!&lt;&gt;"",Sheet2!#REF!,"")</f>
        <v>#REF!</v>
      </c>
      <c r="D768" s="35" t="str">
        <f t="shared" ca="1" si="24"/>
        <v/>
      </c>
      <c r="E768" s="3"/>
      <c r="F768" s="3"/>
      <c r="G768" s="3"/>
      <c r="H768" s="3"/>
      <c r="K768" t="str">
        <f t="shared" ca="1" si="25"/>
        <v/>
      </c>
    </row>
    <row r="769" spans="1:11">
      <c r="A769" s="23" t="e">
        <f>IF(Sheet2!#REF!&lt;&gt;"",Sheet2!#REF!,"")</f>
        <v>#REF!</v>
      </c>
      <c r="B769" s="33" t="e">
        <f>IF(Sheet2!#REF!&lt;&gt;"",Sheet2!#REF!,"")</f>
        <v>#REF!</v>
      </c>
      <c r="C769" s="34" t="e">
        <f>IF(Sheet2!#REF!&lt;&gt;"",Sheet2!#REF!,"")</f>
        <v>#REF!</v>
      </c>
      <c r="D769" s="35" t="str">
        <f t="shared" ca="1" si="24"/>
        <v/>
      </c>
      <c r="E769" s="3"/>
      <c r="F769" s="3"/>
      <c r="G769" s="3"/>
      <c r="H769" s="3"/>
      <c r="K769" t="str">
        <f t="shared" ca="1" si="25"/>
        <v/>
      </c>
    </row>
    <row r="770" spans="1:11">
      <c r="A770" s="23" t="e">
        <f>IF(Sheet2!#REF!&lt;&gt;"",Sheet2!#REF!,"")</f>
        <v>#REF!</v>
      </c>
      <c r="B770" s="33" t="e">
        <f>IF(Sheet2!#REF!&lt;&gt;"",Sheet2!#REF!,"")</f>
        <v>#REF!</v>
      </c>
      <c r="C770" s="34" t="e">
        <f>IF(Sheet2!#REF!&lt;&gt;"",Sheet2!#REF!,"")</f>
        <v>#REF!</v>
      </c>
      <c r="D770" s="35" t="str">
        <f t="shared" ca="1" si="24"/>
        <v/>
      </c>
      <c r="E770" s="3"/>
      <c r="F770" s="3"/>
      <c r="G770" s="3"/>
      <c r="H770" s="3"/>
      <c r="K770" t="str">
        <f t="shared" ca="1" si="25"/>
        <v/>
      </c>
    </row>
    <row r="771" spans="1:11">
      <c r="A771" s="23" t="e">
        <f>IF(Sheet2!#REF!&lt;&gt;"",Sheet2!#REF!,"")</f>
        <v>#REF!</v>
      </c>
      <c r="B771" s="33" t="e">
        <f>IF(Sheet2!#REF!&lt;&gt;"",Sheet2!#REF!,"")</f>
        <v>#REF!</v>
      </c>
      <c r="C771" s="34" t="e">
        <f>IF(Sheet2!#REF!&lt;&gt;"",Sheet2!#REF!,"")</f>
        <v>#REF!</v>
      </c>
      <c r="D771" s="35" t="str">
        <f t="shared" ref="D771:D834" ca="1" si="26">IFERROR(IF(AND((C771-TODAY())&lt;15,B771&lt;&gt;""),IF(I771="","Alert",""),""),"")</f>
        <v/>
      </c>
      <c r="E771" s="3"/>
      <c r="F771" s="3"/>
      <c r="G771" s="3"/>
      <c r="H771" s="3"/>
      <c r="K771" t="str">
        <f t="shared" ref="K771:K834" ca="1" si="27">IF(I771&lt;&gt;"",IF(J771="",IF(TODAY()-I771&gt;3,"ALERT",""),""),"")</f>
        <v/>
      </c>
    </row>
    <row r="772" spans="1:11">
      <c r="A772" s="23" t="e">
        <f>IF(Sheet2!#REF!&lt;&gt;"",Sheet2!#REF!,"")</f>
        <v>#REF!</v>
      </c>
      <c r="B772" s="33" t="e">
        <f>IF(Sheet2!#REF!&lt;&gt;"",Sheet2!#REF!,"")</f>
        <v>#REF!</v>
      </c>
      <c r="C772" s="34" t="e">
        <f>IF(Sheet2!#REF!&lt;&gt;"",Sheet2!#REF!,"")</f>
        <v>#REF!</v>
      </c>
      <c r="D772" s="35" t="str">
        <f t="shared" ca="1" si="26"/>
        <v/>
      </c>
      <c r="E772" s="3"/>
      <c r="F772" s="3"/>
      <c r="G772" s="3"/>
      <c r="H772" s="3"/>
      <c r="K772" t="str">
        <f t="shared" ca="1" si="27"/>
        <v/>
      </c>
    </row>
    <row r="773" spans="1:11">
      <c r="A773" s="23" t="e">
        <f>IF(Sheet2!#REF!&lt;&gt;"",Sheet2!#REF!,"")</f>
        <v>#REF!</v>
      </c>
      <c r="B773" s="33" t="e">
        <f>IF(Sheet2!#REF!&lt;&gt;"",Sheet2!#REF!,"")</f>
        <v>#REF!</v>
      </c>
      <c r="C773" s="34" t="e">
        <f>IF(Sheet2!#REF!&lt;&gt;"",Sheet2!#REF!,"")</f>
        <v>#REF!</v>
      </c>
      <c r="D773" s="35" t="str">
        <f t="shared" ca="1" si="26"/>
        <v/>
      </c>
      <c r="E773" s="3"/>
      <c r="F773" s="3"/>
      <c r="G773" s="3"/>
      <c r="H773" s="3"/>
      <c r="K773" t="str">
        <f t="shared" ca="1" si="27"/>
        <v/>
      </c>
    </row>
    <row r="774" spans="1:11">
      <c r="A774" s="23" t="e">
        <f>IF(Sheet2!#REF!&lt;&gt;"",Sheet2!#REF!,"")</f>
        <v>#REF!</v>
      </c>
      <c r="B774" s="33" t="e">
        <f>IF(Sheet2!#REF!&lt;&gt;"",Sheet2!#REF!,"")</f>
        <v>#REF!</v>
      </c>
      <c r="C774" s="34" t="e">
        <f>IF(Sheet2!#REF!&lt;&gt;"",Sheet2!#REF!,"")</f>
        <v>#REF!</v>
      </c>
      <c r="D774" s="35" t="str">
        <f t="shared" ca="1" si="26"/>
        <v/>
      </c>
      <c r="E774" s="3"/>
      <c r="F774" s="3"/>
      <c r="G774" s="3"/>
      <c r="H774" s="3"/>
      <c r="K774" t="str">
        <f t="shared" ca="1" si="27"/>
        <v/>
      </c>
    </row>
    <row r="775" spans="1:11">
      <c r="A775" s="23" t="e">
        <f>IF(Sheet2!#REF!&lt;&gt;"",Sheet2!#REF!,"")</f>
        <v>#REF!</v>
      </c>
      <c r="B775" s="33" t="e">
        <f>IF(Sheet2!#REF!&lt;&gt;"",Sheet2!#REF!,"")</f>
        <v>#REF!</v>
      </c>
      <c r="C775" s="34" t="e">
        <f>IF(Sheet2!#REF!&lt;&gt;"",Sheet2!#REF!,"")</f>
        <v>#REF!</v>
      </c>
      <c r="D775" s="35" t="str">
        <f t="shared" ca="1" si="26"/>
        <v/>
      </c>
      <c r="E775" s="3"/>
      <c r="F775" s="3"/>
      <c r="G775" s="3"/>
      <c r="H775" s="3"/>
      <c r="K775" t="str">
        <f t="shared" ca="1" si="27"/>
        <v/>
      </c>
    </row>
    <row r="776" spans="1:11">
      <c r="A776" s="23" t="e">
        <f>IF(Sheet2!#REF!&lt;&gt;"",Sheet2!#REF!,"")</f>
        <v>#REF!</v>
      </c>
      <c r="B776" s="33" t="e">
        <f>IF(Sheet2!#REF!&lt;&gt;"",Sheet2!#REF!,"")</f>
        <v>#REF!</v>
      </c>
      <c r="C776" s="34" t="e">
        <f>IF(Sheet2!#REF!&lt;&gt;"",Sheet2!#REF!,"")</f>
        <v>#REF!</v>
      </c>
      <c r="D776" s="35" t="str">
        <f t="shared" ca="1" si="26"/>
        <v/>
      </c>
      <c r="E776" s="3"/>
      <c r="F776" s="3"/>
      <c r="G776" s="3"/>
      <c r="H776" s="3"/>
      <c r="K776" t="str">
        <f t="shared" ca="1" si="27"/>
        <v/>
      </c>
    </row>
    <row r="777" spans="1:11">
      <c r="A777" s="23" t="e">
        <f>IF(Sheet2!#REF!&lt;&gt;"",Sheet2!#REF!,"")</f>
        <v>#REF!</v>
      </c>
      <c r="B777" s="33" t="e">
        <f>IF(Sheet2!#REF!&lt;&gt;"",Sheet2!#REF!,"")</f>
        <v>#REF!</v>
      </c>
      <c r="C777" s="34" t="e">
        <f>IF(Sheet2!#REF!&lt;&gt;"",Sheet2!#REF!,"")</f>
        <v>#REF!</v>
      </c>
      <c r="D777" s="35" t="str">
        <f t="shared" ca="1" si="26"/>
        <v/>
      </c>
      <c r="E777" s="3"/>
      <c r="F777" s="3"/>
      <c r="G777" s="3"/>
      <c r="H777" s="3"/>
      <c r="K777" t="str">
        <f t="shared" ca="1" si="27"/>
        <v/>
      </c>
    </row>
    <row r="778" spans="1:11">
      <c r="A778" s="23" t="e">
        <f>IF(Sheet2!#REF!&lt;&gt;"",Sheet2!#REF!,"")</f>
        <v>#REF!</v>
      </c>
      <c r="B778" s="33" t="e">
        <f>IF(Sheet2!#REF!&lt;&gt;"",Sheet2!#REF!,"")</f>
        <v>#REF!</v>
      </c>
      <c r="C778" s="34" t="e">
        <f>IF(Sheet2!#REF!&lt;&gt;"",Sheet2!#REF!,"")</f>
        <v>#REF!</v>
      </c>
      <c r="D778" s="35" t="str">
        <f t="shared" ca="1" si="26"/>
        <v/>
      </c>
      <c r="E778" s="3"/>
      <c r="F778" s="3"/>
      <c r="G778" s="3"/>
      <c r="H778" s="3"/>
      <c r="K778" t="str">
        <f t="shared" ca="1" si="27"/>
        <v/>
      </c>
    </row>
    <row r="779" spans="1:11">
      <c r="A779" s="23" t="e">
        <f>IF(Sheet2!#REF!&lt;&gt;"",Sheet2!#REF!,"")</f>
        <v>#REF!</v>
      </c>
      <c r="B779" s="33" t="e">
        <f>IF(Sheet2!#REF!&lt;&gt;"",Sheet2!#REF!,"")</f>
        <v>#REF!</v>
      </c>
      <c r="C779" s="34" t="e">
        <f>IF(Sheet2!#REF!&lt;&gt;"",Sheet2!#REF!,"")</f>
        <v>#REF!</v>
      </c>
      <c r="D779" s="35" t="str">
        <f t="shared" ca="1" si="26"/>
        <v/>
      </c>
      <c r="E779" s="3"/>
      <c r="F779" s="3"/>
      <c r="G779" s="3"/>
      <c r="H779" s="3"/>
      <c r="K779" t="str">
        <f t="shared" ca="1" si="27"/>
        <v/>
      </c>
    </row>
    <row r="780" spans="1:11">
      <c r="A780" s="23" t="e">
        <f>IF(Sheet2!#REF!&lt;&gt;"",Sheet2!#REF!,"")</f>
        <v>#REF!</v>
      </c>
      <c r="B780" s="33" t="e">
        <f>IF(Sheet2!#REF!&lt;&gt;"",Sheet2!#REF!,"")</f>
        <v>#REF!</v>
      </c>
      <c r="C780" s="34" t="e">
        <f>IF(Sheet2!#REF!&lt;&gt;"",Sheet2!#REF!,"")</f>
        <v>#REF!</v>
      </c>
      <c r="D780" s="35" t="str">
        <f t="shared" ca="1" si="26"/>
        <v/>
      </c>
      <c r="E780" s="3"/>
      <c r="F780" s="3"/>
      <c r="G780" s="3"/>
      <c r="H780" s="3"/>
      <c r="K780" t="str">
        <f t="shared" ca="1" si="27"/>
        <v/>
      </c>
    </row>
    <row r="781" spans="1:11">
      <c r="A781" s="23" t="e">
        <f>IF(Sheet2!#REF!&lt;&gt;"",Sheet2!#REF!,"")</f>
        <v>#REF!</v>
      </c>
      <c r="B781" s="33" t="e">
        <f>IF(Sheet2!#REF!&lt;&gt;"",Sheet2!#REF!,"")</f>
        <v>#REF!</v>
      </c>
      <c r="C781" s="34" t="e">
        <f>IF(Sheet2!#REF!&lt;&gt;"",Sheet2!#REF!,"")</f>
        <v>#REF!</v>
      </c>
      <c r="D781" s="35" t="str">
        <f t="shared" ca="1" si="26"/>
        <v/>
      </c>
      <c r="E781" s="3"/>
      <c r="F781" s="3"/>
      <c r="G781" s="3"/>
      <c r="H781" s="3"/>
      <c r="K781" t="str">
        <f t="shared" ca="1" si="27"/>
        <v/>
      </c>
    </row>
    <row r="782" spans="1:11">
      <c r="A782" s="23" t="e">
        <f>IF(Sheet2!#REF!&lt;&gt;"",Sheet2!#REF!,"")</f>
        <v>#REF!</v>
      </c>
      <c r="B782" s="33" t="e">
        <f>IF(Sheet2!#REF!&lt;&gt;"",Sheet2!#REF!,"")</f>
        <v>#REF!</v>
      </c>
      <c r="C782" s="34" t="e">
        <f>IF(Sheet2!#REF!&lt;&gt;"",Sheet2!#REF!,"")</f>
        <v>#REF!</v>
      </c>
      <c r="D782" s="35" t="str">
        <f t="shared" ca="1" si="26"/>
        <v/>
      </c>
      <c r="E782" s="3"/>
      <c r="F782" s="3"/>
      <c r="G782" s="3"/>
      <c r="H782" s="3"/>
      <c r="K782" t="str">
        <f t="shared" ca="1" si="27"/>
        <v/>
      </c>
    </row>
    <row r="783" spans="1:11">
      <c r="A783" s="23" t="e">
        <f>IF(Sheet2!#REF!&lt;&gt;"",Sheet2!#REF!,"")</f>
        <v>#REF!</v>
      </c>
      <c r="B783" s="33" t="e">
        <f>IF(Sheet2!#REF!&lt;&gt;"",Sheet2!#REF!,"")</f>
        <v>#REF!</v>
      </c>
      <c r="C783" s="34" t="e">
        <f>IF(Sheet2!#REF!&lt;&gt;"",Sheet2!#REF!,"")</f>
        <v>#REF!</v>
      </c>
      <c r="D783" s="35" t="str">
        <f t="shared" ca="1" si="26"/>
        <v/>
      </c>
      <c r="E783" s="3"/>
      <c r="F783" s="3"/>
      <c r="G783" s="3"/>
      <c r="H783" s="3"/>
      <c r="K783" t="str">
        <f t="shared" ca="1" si="27"/>
        <v/>
      </c>
    </row>
    <row r="784" spans="1:11">
      <c r="A784" s="23" t="e">
        <f>IF(Sheet2!#REF!&lt;&gt;"",Sheet2!#REF!,"")</f>
        <v>#REF!</v>
      </c>
      <c r="B784" s="33" t="e">
        <f>IF(Sheet2!#REF!&lt;&gt;"",Sheet2!#REF!,"")</f>
        <v>#REF!</v>
      </c>
      <c r="C784" s="34" t="e">
        <f>IF(Sheet2!#REF!&lt;&gt;"",Sheet2!#REF!,"")</f>
        <v>#REF!</v>
      </c>
      <c r="D784" s="35" t="str">
        <f t="shared" ca="1" si="26"/>
        <v/>
      </c>
      <c r="E784" s="3"/>
      <c r="F784" s="3"/>
      <c r="G784" s="3"/>
      <c r="H784" s="3"/>
      <c r="K784" t="str">
        <f t="shared" ca="1" si="27"/>
        <v/>
      </c>
    </row>
    <row r="785" spans="1:11">
      <c r="A785" s="23" t="e">
        <f>IF(Sheet2!#REF!&lt;&gt;"",Sheet2!#REF!,"")</f>
        <v>#REF!</v>
      </c>
      <c r="B785" s="33" t="e">
        <f>IF(Sheet2!#REF!&lt;&gt;"",Sheet2!#REF!,"")</f>
        <v>#REF!</v>
      </c>
      <c r="C785" s="34" t="e">
        <f>IF(Sheet2!#REF!&lt;&gt;"",Sheet2!#REF!,"")</f>
        <v>#REF!</v>
      </c>
      <c r="D785" s="35" t="str">
        <f t="shared" ca="1" si="26"/>
        <v/>
      </c>
      <c r="E785" s="3"/>
      <c r="F785" s="3"/>
      <c r="G785" s="3"/>
      <c r="H785" s="3"/>
      <c r="K785" t="str">
        <f t="shared" ca="1" si="27"/>
        <v/>
      </c>
    </row>
    <row r="786" spans="1:11">
      <c r="A786" s="23" t="e">
        <f>IF(Sheet2!#REF!&lt;&gt;"",Sheet2!#REF!,"")</f>
        <v>#REF!</v>
      </c>
      <c r="B786" s="33" t="e">
        <f>IF(Sheet2!#REF!&lt;&gt;"",Sheet2!#REF!,"")</f>
        <v>#REF!</v>
      </c>
      <c r="C786" s="34" t="e">
        <f>IF(Sheet2!#REF!&lt;&gt;"",Sheet2!#REF!,"")</f>
        <v>#REF!</v>
      </c>
      <c r="D786" s="35" t="str">
        <f t="shared" ca="1" si="26"/>
        <v/>
      </c>
      <c r="E786" s="3"/>
      <c r="F786" s="3"/>
      <c r="G786" s="3"/>
      <c r="H786" s="3"/>
      <c r="K786" t="str">
        <f t="shared" ca="1" si="27"/>
        <v/>
      </c>
    </row>
    <row r="787" spans="1:11">
      <c r="A787" s="23" t="e">
        <f>IF(Sheet2!#REF!&lt;&gt;"",Sheet2!#REF!,"")</f>
        <v>#REF!</v>
      </c>
      <c r="B787" s="33" t="e">
        <f>IF(Sheet2!#REF!&lt;&gt;"",Sheet2!#REF!,"")</f>
        <v>#REF!</v>
      </c>
      <c r="C787" s="34" t="e">
        <f>IF(Sheet2!#REF!&lt;&gt;"",Sheet2!#REF!,"")</f>
        <v>#REF!</v>
      </c>
      <c r="D787" s="35" t="str">
        <f t="shared" ca="1" si="26"/>
        <v/>
      </c>
      <c r="E787" s="3"/>
      <c r="F787" s="3"/>
      <c r="G787" s="3"/>
      <c r="H787" s="3"/>
      <c r="K787" t="str">
        <f t="shared" ca="1" si="27"/>
        <v/>
      </c>
    </row>
    <row r="788" spans="1:11">
      <c r="A788" s="23" t="e">
        <f>IF(Sheet2!#REF!&lt;&gt;"",Sheet2!#REF!,"")</f>
        <v>#REF!</v>
      </c>
      <c r="B788" s="33" t="e">
        <f>IF(Sheet2!#REF!&lt;&gt;"",Sheet2!#REF!,"")</f>
        <v>#REF!</v>
      </c>
      <c r="C788" s="34" t="e">
        <f>IF(Sheet2!#REF!&lt;&gt;"",Sheet2!#REF!,"")</f>
        <v>#REF!</v>
      </c>
      <c r="D788" s="35" t="str">
        <f t="shared" ca="1" si="26"/>
        <v/>
      </c>
      <c r="E788" s="3"/>
      <c r="F788" s="3"/>
      <c r="G788" s="3"/>
      <c r="H788" s="3"/>
      <c r="K788" t="str">
        <f t="shared" ca="1" si="27"/>
        <v/>
      </c>
    </row>
    <row r="789" spans="1:11">
      <c r="A789" s="23" t="e">
        <f>IF(Sheet2!#REF!&lt;&gt;"",Sheet2!#REF!,"")</f>
        <v>#REF!</v>
      </c>
      <c r="B789" s="33" t="e">
        <f>IF(Sheet2!#REF!&lt;&gt;"",Sheet2!#REF!,"")</f>
        <v>#REF!</v>
      </c>
      <c r="C789" s="34" t="e">
        <f>IF(Sheet2!#REF!&lt;&gt;"",Sheet2!#REF!,"")</f>
        <v>#REF!</v>
      </c>
      <c r="D789" s="35" t="str">
        <f t="shared" ca="1" si="26"/>
        <v/>
      </c>
      <c r="E789" s="3"/>
      <c r="F789" s="3"/>
      <c r="G789" s="3"/>
      <c r="H789" s="3"/>
      <c r="K789" t="str">
        <f t="shared" ca="1" si="27"/>
        <v/>
      </c>
    </row>
    <row r="790" spans="1:11">
      <c r="A790" s="23" t="e">
        <f>IF(Sheet2!#REF!&lt;&gt;"",Sheet2!#REF!,"")</f>
        <v>#REF!</v>
      </c>
      <c r="B790" s="33" t="e">
        <f>IF(Sheet2!#REF!&lt;&gt;"",Sheet2!#REF!,"")</f>
        <v>#REF!</v>
      </c>
      <c r="C790" s="34" t="e">
        <f>IF(Sheet2!#REF!&lt;&gt;"",Sheet2!#REF!,"")</f>
        <v>#REF!</v>
      </c>
      <c r="D790" s="35" t="str">
        <f t="shared" ca="1" si="26"/>
        <v/>
      </c>
      <c r="E790" s="3"/>
      <c r="F790" s="3"/>
      <c r="G790" s="3"/>
      <c r="H790" s="3"/>
      <c r="K790" t="str">
        <f t="shared" ca="1" si="27"/>
        <v/>
      </c>
    </row>
    <row r="791" spans="1:11">
      <c r="A791" s="23" t="e">
        <f>IF(Sheet2!#REF!&lt;&gt;"",Sheet2!#REF!,"")</f>
        <v>#REF!</v>
      </c>
      <c r="B791" s="33" t="e">
        <f>IF(Sheet2!#REF!&lt;&gt;"",Sheet2!#REF!,"")</f>
        <v>#REF!</v>
      </c>
      <c r="C791" s="34" t="e">
        <f>IF(Sheet2!#REF!&lt;&gt;"",Sheet2!#REF!,"")</f>
        <v>#REF!</v>
      </c>
      <c r="D791" s="35" t="str">
        <f t="shared" ca="1" si="26"/>
        <v/>
      </c>
      <c r="E791" s="3"/>
      <c r="F791" s="3"/>
      <c r="G791" s="3"/>
      <c r="H791" s="3"/>
      <c r="K791" t="str">
        <f t="shared" ca="1" si="27"/>
        <v/>
      </c>
    </row>
    <row r="792" spans="1:11">
      <c r="A792" s="23" t="e">
        <f>IF(Sheet2!#REF!&lt;&gt;"",Sheet2!#REF!,"")</f>
        <v>#REF!</v>
      </c>
      <c r="B792" s="33" t="e">
        <f>IF(Sheet2!#REF!&lt;&gt;"",Sheet2!#REF!,"")</f>
        <v>#REF!</v>
      </c>
      <c r="C792" s="34" t="e">
        <f>IF(Sheet2!#REF!&lt;&gt;"",Sheet2!#REF!,"")</f>
        <v>#REF!</v>
      </c>
      <c r="D792" s="35" t="str">
        <f t="shared" ca="1" si="26"/>
        <v/>
      </c>
      <c r="E792" s="3"/>
      <c r="F792" s="3"/>
      <c r="G792" s="3"/>
      <c r="H792" s="3"/>
      <c r="K792" t="str">
        <f t="shared" ca="1" si="27"/>
        <v/>
      </c>
    </row>
    <row r="793" spans="1:11">
      <c r="A793" s="23" t="e">
        <f>IF(Sheet2!#REF!&lt;&gt;"",Sheet2!#REF!,"")</f>
        <v>#REF!</v>
      </c>
      <c r="B793" s="33" t="e">
        <f>IF(Sheet2!#REF!&lt;&gt;"",Sheet2!#REF!,"")</f>
        <v>#REF!</v>
      </c>
      <c r="C793" s="34" t="e">
        <f>IF(Sheet2!#REF!&lt;&gt;"",Sheet2!#REF!,"")</f>
        <v>#REF!</v>
      </c>
      <c r="D793" s="35" t="str">
        <f t="shared" ca="1" si="26"/>
        <v/>
      </c>
      <c r="E793" s="3"/>
      <c r="F793" s="3"/>
      <c r="G793" s="3"/>
      <c r="H793" s="3"/>
      <c r="K793" t="str">
        <f t="shared" ca="1" si="27"/>
        <v/>
      </c>
    </row>
    <row r="794" spans="1:11">
      <c r="A794" s="23" t="e">
        <f>IF(Sheet2!#REF!&lt;&gt;"",Sheet2!#REF!,"")</f>
        <v>#REF!</v>
      </c>
      <c r="B794" s="33" t="e">
        <f>IF(Sheet2!#REF!&lt;&gt;"",Sheet2!#REF!,"")</f>
        <v>#REF!</v>
      </c>
      <c r="C794" s="34" t="e">
        <f>IF(Sheet2!#REF!&lt;&gt;"",Sheet2!#REF!,"")</f>
        <v>#REF!</v>
      </c>
      <c r="D794" s="35" t="str">
        <f t="shared" ca="1" si="26"/>
        <v/>
      </c>
      <c r="E794" s="3"/>
      <c r="F794" s="3"/>
      <c r="G794" s="3"/>
      <c r="H794" s="3"/>
      <c r="K794" t="str">
        <f t="shared" ca="1" si="27"/>
        <v/>
      </c>
    </row>
    <row r="795" spans="1:11">
      <c r="A795" s="23" t="e">
        <f>IF(Sheet2!#REF!&lt;&gt;"",Sheet2!#REF!,"")</f>
        <v>#REF!</v>
      </c>
      <c r="B795" s="33" t="e">
        <f>IF(Sheet2!#REF!&lt;&gt;"",Sheet2!#REF!,"")</f>
        <v>#REF!</v>
      </c>
      <c r="C795" s="34" t="e">
        <f>IF(Sheet2!#REF!&lt;&gt;"",Sheet2!#REF!,"")</f>
        <v>#REF!</v>
      </c>
      <c r="D795" s="35" t="str">
        <f t="shared" ca="1" si="26"/>
        <v/>
      </c>
      <c r="E795" s="3"/>
      <c r="F795" s="3"/>
      <c r="G795" s="3"/>
      <c r="H795" s="3"/>
      <c r="K795" t="str">
        <f t="shared" ca="1" si="27"/>
        <v/>
      </c>
    </row>
    <row r="796" spans="1:11">
      <c r="A796" s="23" t="e">
        <f>IF(Sheet2!#REF!&lt;&gt;"",Sheet2!#REF!,"")</f>
        <v>#REF!</v>
      </c>
      <c r="B796" s="33" t="e">
        <f>IF(Sheet2!#REF!&lt;&gt;"",Sheet2!#REF!,"")</f>
        <v>#REF!</v>
      </c>
      <c r="C796" s="34" t="e">
        <f>IF(Sheet2!#REF!&lt;&gt;"",Sheet2!#REF!,"")</f>
        <v>#REF!</v>
      </c>
      <c r="D796" s="35" t="str">
        <f t="shared" ca="1" si="26"/>
        <v/>
      </c>
      <c r="E796" s="3"/>
      <c r="F796" s="3"/>
      <c r="G796" s="3"/>
      <c r="H796" s="3"/>
      <c r="K796" t="str">
        <f t="shared" ca="1" si="27"/>
        <v/>
      </c>
    </row>
    <row r="797" spans="1:11">
      <c r="A797" s="23" t="e">
        <f>IF(Sheet2!#REF!&lt;&gt;"",Sheet2!#REF!,"")</f>
        <v>#REF!</v>
      </c>
      <c r="B797" s="33" t="e">
        <f>IF(Sheet2!#REF!&lt;&gt;"",Sheet2!#REF!,"")</f>
        <v>#REF!</v>
      </c>
      <c r="C797" s="34" t="e">
        <f>IF(Sheet2!#REF!&lt;&gt;"",Sheet2!#REF!,"")</f>
        <v>#REF!</v>
      </c>
      <c r="D797" s="35" t="str">
        <f t="shared" ca="1" si="26"/>
        <v/>
      </c>
      <c r="E797" s="3"/>
      <c r="F797" s="3"/>
      <c r="G797" s="3"/>
      <c r="H797" s="3"/>
      <c r="K797" t="str">
        <f t="shared" ca="1" si="27"/>
        <v/>
      </c>
    </row>
    <row r="798" spans="1:11">
      <c r="A798" s="23" t="e">
        <f>IF(Sheet2!#REF!&lt;&gt;"",Sheet2!#REF!,"")</f>
        <v>#REF!</v>
      </c>
      <c r="B798" s="33" t="e">
        <f>IF(Sheet2!#REF!&lt;&gt;"",Sheet2!#REF!,"")</f>
        <v>#REF!</v>
      </c>
      <c r="C798" s="34" t="e">
        <f>IF(Sheet2!#REF!&lt;&gt;"",Sheet2!#REF!,"")</f>
        <v>#REF!</v>
      </c>
      <c r="D798" s="35" t="str">
        <f t="shared" ca="1" si="26"/>
        <v/>
      </c>
      <c r="E798" s="3"/>
      <c r="F798" s="3"/>
      <c r="G798" s="3"/>
      <c r="H798" s="3"/>
      <c r="K798" t="str">
        <f t="shared" ca="1" si="27"/>
        <v/>
      </c>
    </row>
    <row r="799" spans="1:11">
      <c r="A799" s="23" t="e">
        <f>IF(Sheet2!#REF!&lt;&gt;"",Sheet2!#REF!,"")</f>
        <v>#REF!</v>
      </c>
      <c r="B799" s="33" t="e">
        <f>IF(Sheet2!#REF!&lt;&gt;"",Sheet2!#REF!,"")</f>
        <v>#REF!</v>
      </c>
      <c r="C799" s="34" t="e">
        <f>IF(Sheet2!#REF!&lt;&gt;"",Sheet2!#REF!,"")</f>
        <v>#REF!</v>
      </c>
      <c r="D799" s="35" t="str">
        <f t="shared" ca="1" si="26"/>
        <v/>
      </c>
      <c r="E799" s="3"/>
      <c r="F799" s="3"/>
      <c r="G799" s="3"/>
      <c r="H799" s="3"/>
      <c r="K799" t="str">
        <f t="shared" ca="1" si="27"/>
        <v/>
      </c>
    </row>
    <row r="800" spans="1:11">
      <c r="A800" s="23" t="e">
        <f>IF(Sheet2!#REF!&lt;&gt;"",Sheet2!#REF!,"")</f>
        <v>#REF!</v>
      </c>
      <c r="B800" s="33" t="e">
        <f>IF(Sheet2!#REF!&lt;&gt;"",Sheet2!#REF!,"")</f>
        <v>#REF!</v>
      </c>
      <c r="C800" s="34" t="e">
        <f>IF(Sheet2!#REF!&lt;&gt;"",Sheet2!#REF!,"")</f>
        <v>#REF!</v>
      </c>
      <c r="D800" s="35" t="str">
        <f t="shared" ca="1" si="26"/>
        <v/>
      </c>
      <c r="E800" s="3"/>
      <c r="F800" s="3"/>
      <c r="G800" s="3"/>
      <c r="H800" s="3"/>
      <c r="K800" t="str">
        <f t="shared" ca="1" si="27"/>
        <v/>
      </c>
    </row>
    <row r="801" spans="1:11">
      <c r="A801" s="23" t="e">
        <f>IF(Sheet2!#REF!&lt;&gt;"",Sheet2!#REF!,"")</f>
        <v>#REF!</v>
      </c>
      <c r="B801" s="33" t="e">
        <f>IF(Sheet2!#REF!&lt;&gt;"",Sheet2!#REF!,"")</f>
        <v>#REF!</v>
      </c>
      <c r="C801" s="34" t="e">
        <f>IF(Sheet2!#REF!&lt;&gt;"",Sheet2!#REF!,"")</f>
        <v>#REF!</v>
      </c>
      <c r="D801" s="35" t="str">
        <f t="shared" ca="1" si="26"/>
        <v/>
      </c>
      <c r="E801" s="3"/>
      <c r="F801" s="3"/>
      <c r="G801" s="3"/>
      <c r="H801" s="3"/>
      <c r="K801" t="str">
        <f t="shared" ca="1" si="27"/>
        <v/>
      </c>
    </row>
    <row r="802" spans="1:11">
      <c r="A802" s="23" t="e">
        <f>IF(Sheet2!#REF!&lt;&gt;"",Sheet2!#REF!,"")</f>
        <v>#REF!</v>
      </c>
      <c r="B802" s="33" t="e">
        <f>IF(Sheet2!#REF!&lt;&gt;"",Sheet2!#REF!,"")</f>
        <v>#REF!</v>
      </c>
      <c r="C802" s="34" t="e">
        <f>IF(Sheet2!#REF!&lt;&gt;"",Sheet2!#REF!,"")</f>
        <v>#REF!</v>
      </c>
      <c r="D802" s="35" t="str">
        <f t="shared" ca="1" si="26"/>
        <v/>
      </c>
      <c r="E802" s="3"/>
      <c r="F802" s="3"/>
      <c r="G802" s="3"/>
      <c r="H802" s="3"/>
      <c r="K802" t="str">
        <f t="shared" ca="1" si="27"/>
        <v/>
      </c>
    </row>
    <row r="803" spans="1:11">
      <c r="A803" s="23" t="e">
        <f>IF(Sheet2!#REF!&lt;&gt;"",Sheet2!#REF!,"")</f>
        <v>#REF!</v>
      </c>
      <c r="B803" s="33" t="e">
        <f>IF(Sheet2!#REF!&lt;&gt;"",Sheet2!#REF!,"")</f>
        <v>#REF!</v>
      </c>
      <c r="C803" s="34" t="e">
        <f>IF(Sheet2!#REF!&lt;&gt;"",Sheet2!#REF!,"")</f>
        <v>#REF!</v>
      </c>
      <c r="D803" s="35" t="str">
        <f t="shared" ca="1" si="26"/>
        <v/>
      </c>
      <c r="E803" s="3"/>
      <c r="F803" s="3"/>
      <c r="G803" s="3"/>
      <c r="H803" s="3"/>
      <c r="K803" t="str">
        <f t="shared" ca="1" si="27"/>
        <v/>
      </c>
    </row>
    <row r="804" spans="1:11">
      <c r="A804" s="23" t="e">
        <f>IF(Sheet2!#REF!&lt;&gt;"",Sheet2!#REF!,"")</f>
        <v>#REF!</v>
      </c>
      <c r="B804" s="33" t="e">
        <f>IF(Sheet2!#REF!&lt;&gt;"",Sheet2!#REF!,"")</f>
        <v>#REF!</v>
      </c>
      <c r="C804" s="34" t="e">
        <f>IF(Sheet2!#REF!&lt;&gt;"",Sheet2!#REF!,"")</f>
        <v>#REF!</v>
      </c>
      <c r="D804" s="35" t="str">
        <f t="shared" ca="1" si="26"/>
        <v/>
      </c>
      <c r="E804" s="3"/>
      <c r="F804" s="3"/>
      <c r="G804" s="3"/>
      <c r="H804" s="3"/>
      <c r="K804" t="str">
        <f t="shared" ca="1" si="27"/>
        <v/>
      </c>
    </row>
    <row r="805" spans="1:11">
      <c r="A805" s="23" t="e">
        <f>IF(Sheet2!#REF!&lt;&gt;"",Sheet2!#REF!,"")</f>
        <v>#REF!</v>
      </c>
      <c r="B805" s="33" t="e">
        <f>IF(Sheet2!#REF!&lt;&gt;"",Sheet2!#REF!,"")</f>
        <v>#REF!</v>
      </c>
      <c r="C805" s="34" t="e">
        <f>IF(Sheet2!#REF!&lt;&gt;"",Sheet2!#REF!,"")</f>
        <v>#REF!</v>
      </c>
      <c r="D805" s="35" t="str">
        <f t="shared" ca="1" si="26"/>
        <v/>
      </c>
      <c r="E805" s="3"/>
      <c r="F805" s="3"/>
      <c r="G805" s="3"/>
      <c r="H805" s="3"/>
      <c r="K805" t="str">
        <f t="shared" ca="1" si="27"/>
        <v/>
      </c>
    </row>
    <row r="806" spans="1:11">
      <c r="A806" s="23" t="e">
        <f>IF(Sheet2!#REF!&lt;&gt;"",Sheet2!#REF!,"")</f>
        <v>#REF!</v>
      </c>
      <c r="B806" s="33" t="e">
        <f>IF(Sheet2!#REF!&lt;&gt;"",Sheet2!#REF!,"")</f>
        <v>#REF!</v>
      </c>
      <c r="C806" s="34" t="e">
        <f>IF(Sheet2!#REF!&lt;&gt;"",Sheet2!#REF!,"")</f>
        <v>#REF!</v>
      </c>
      <c r="D806" s="35" t="str">
        <f t="shared" ca="1" si="26"/>
        <v/>
      </c>
      <c r="E806" s="3"/>
      <c r="F806" s="3"/>
      <c r="G806" s="3"/>
      <c r="H806" s="3"/>
      <c r="K806" t="str">
        <f t="shared" ca="1" si="27"/>
        <v/>
      </c>
    </row>
    <row r="807" spans="1:11">
      <c r="A807" s="23" t="e">
        <f>IF(Sheet2!#REF!&lt;&gt;"",Sheet2!#REF!,"")</f>
        <v>#REF!</v>
      </c>
      <c r="B807" s="33" t="e">
        <f>IF(Sheet2!#REF!&lt;&gt;"",Sheet2!#REF!,"")</f>
        <v>#REF!</v>
      </c>
      <c r="C807" s="34" t="e">
        <f>IF(Sheet2!#REF!&lt;&gt;"",Sheet2!#REF!,"")</f>
        <v>#REF!</v>
      </c>
      <c r="D807" s="35" t="str">
        <f t="shared" ca="1" si="26"/>
        <v/>
      </c>
      <c r="E807" s="3"/>
      <c r="F807" s="3"/>
      <c r="G807" s="3"/>
      <c r="H807" s="3"/>
      <c r="K807" t="str">
        <f t="shared" ca="1" si="27"/>
        <v/>
      </c>
    </row>
    <row r="808" spans="1:11">
      <c r="A808" s="23" t="e">
        <f>IF(Sheet2!#REF!&lt;&gt;"",Sheet2!#REF!,"")</f>
        <v>#REF!</v>
      </c>
      <c r="B808" s="33" t="e">
        <f>IF(Sheet2!#REF!&lt;&gt;"",Sheet2!#REF!,"")</f>
        <v>#REF!</v>
      </c>
      <c r="C808" s="34" t="e">
        <f>IF(Sheet2!#REF!&lt;&gt;"",Sheet2!#REF!,"")</f>
        <v>#REF!</v>
      </c>
      <c r="D808" s="35" t="str">
        <f t="shared" ca="1" si="26"/>
        <v/>
      </c>
      <c r="E808" s="3"/>
      <c r="F808" s="3"/>
      <c r="G808" s="3"/>
      <c r="H808" s="3"/>
      <c r="K808" t="str">
        <f t="shared" ca="1" si="27"/>
        <v/>
      </c>
    </row>
    <row r="809" spans="1:11">
      <c r="A809" s="23" t="e">
        <f>IF(Sheet2!#REF!&lt;&gt;"",Sheet2!#REF!,"")</f>
        <v>#REF!</v>
      </c>
      <c r="B809" s="33" t="e">
        <f>IF(Sheet2!#REF!&lt;&gt;"",Sheet2!#REF!,"")</f>
        <v>#REF!</v>
      </c>
      <c r="C809" s="34" t="e">
        <f>IF(Sheet2!#REF!&lt;&gt;"",Sheet2!#REF!,"")</f>
        <v>#REF!</v>
      </c>
      <c r="D809" s="35" t="str">
        <f t="shared" ca="1" si="26"/>
        <v/>
      </c>
      <c r="E809" s="3"/>
      <c r="F809" s="3"/>
      <c r="G809" s="3"/>
      <c r="H809" s="3"/>
      <c r="K809" t="str">
        <f t="shared" ca="1" si="27"/>
        <v/>
      </c>
    </row>
    <row r="810" spans="1:11">
      <c r="A810" s="23" t="e">
        <f>IF(Sheet2!#REF!&lt;&gt;"",Sheet2!#REF!,"")</f>
        <v>#REF!</v>
      </c>
      <c r="B810" s="33" t="e">
        <f>IF(Sheet2!#REF!&lt;&gt;"",Sheet2!#REF!,"")</f>
        <v>#REF!</v>
      </c>
      <c r="C810" s="34" t="e">
        <f>IF(Sheet2!#REF!&lt;&gt;"",Sheet2!#REF!,"")</f>
        <v>#REF!</v>
      </c>
      <c r="D810" s="35" t="str">
        <f t="shared" ca="1" si="26"/>
        <v/>
      </c>
      <c r="E810" s="3"/>
      <c r="F810" s="3"/>
      <c r="G810" s="3"/>
      <c r="H810" s="3"/>
      <c r="K810" t="str">
        <f t="shared" ca="1" si="27"/>
        <v/>
      </c>
    </row>
    <row r="811" spans="1:11">
      <c r="A811" s="23" t="e">
        <f>IF(Sheet2!#REF!&lt;&gt;"",Sheet2!#REF!,"")</f>
        <v>#REF!</v>
      </c>
      <c r="B811" s="33" t="e">
        <f>IF(Sheet2!#REF!&lt;&gt;"",Sheet2!#REF!,"")</f>
        <v>#REF!</v>
      </c>
      <c r="C811" s="34" t="e">
        <f>IF(Sheet2!#REF!&lt;&gt;"",Sheet2!#REF!,"")</f>
        <v>#REF!</v>
      </c>
      <c r="D811" s="35" t="str">
        <f t="shared" ca="1" si="26"/>
        <v/>
      </c>
      <c r="E811" s="3"/>
      <c r="F811" s="3"/>
      <c r="G811" s="3"/>
      <c r="H811" s="3"/>
      <c r="K811" t="str">
        <f t="shared" ca="1" si="27"/>
        <v/>
      </c>
    </row>
    <row r="812" spans="1:11">
      <c r="A812" s="23" t="e">
        <f>IF(Sheet2!#REF!&lt;&gt;"",Sheet2!#REF!,"")</f>
        <v>#REF!</v>
      </c>
      <c r="B812" s="33" t="e">
        <f>IF(Sheet2!#REF!&lt;&gt;"",Sheet2!#REF!,"")</f>
        <v>#REF!</v>
      </c>
      <c r="C812" s="34" t="e">
        <f>IF(Sheet2!#REF!&lt;&gt;"",Sheet2!#REF!,"")</f>
        <v>#REF!</v>
      </c>
      <c r="D812" s="35" t="str">
        <f t="shared" ca="1" si="26"/>
        <v/>
      </c>
      <c r="E812" s="3"/>
      <c r="F812" s="3"/>
      <c r="G812" s="3"/>
      <c r="H812" s="3"/>
      <c r="K812" t="str">
        <f t="shared" ca="1" si="27"/>
        <v/>
      </c>
    </row>
    <row r="813" spans="1:11">
      <c r="A813" s="23" t="e">
        <f>IF(Sheet2!#REF!&lt;&gt;"",Sheet2!#REF!,"")</f>
        <v>#REF!</v>
      </c>
      <c r="B813" s="33" t="e">
        <f>IF(Sheet2!#REF!&lt;&gt;"",Sheet2!#REF!,"")</f>
        <v>#REF!</v>
      </c>
      <c r="C813" s="34" t="e">
        <f>IF(Sheet2!#REF!&lt;&gt;"",Sheet2!#REF!,"")</f>
        <v>#REF!</v>
      </c>
      <c r="D813" s="35" t="str">
        <f t="shared" ca="1" si="26"/>
        <v/>
      </c>
      <c r="E813" s="3"/>
      <c r="F813" s="3"/>
      <c r="G813" s="3"/>
      <c r="H813" s="3"/>
      <c r="K813" t="str">
        <f t="shared" ca="1" si="27"/>
        <v/>
      </c>
    </row>
    <row r="814" spans="1:11">
      <c r="A814" s="23" t="e">
        <f>IF(Sheet2!#REF!&lt;&gt;"",Sheet2!#REF!,"")</f>
        <v>#REF!</v>
      </c>
      <c r="B814" s="33" t="e">
        <f>IF(Sheet2!#REF!&lt;&gt;"",Sheet2!#REF!,"")</f>
        <v>#REF!</v>
      </c>
      <c r="C814" s="34" t="e">
        <f>IF(Sheet2!#REF!&lt;&gt;"",Sheet2!#REF!,"")</f>
        <v>#REF!</v>
      </c>
      <c r="D814" s="35" t="str">
        <f t="shared" ca="1" si="26"/>
        <v/>
      </c>
      <c r="E814" s="3"/>
      <c r="F814" s="3"/>
      <c r="G814" s="3"/>
      <c r="H814" s="3"/>
      <c r="K814" t="str">
        <f t="shared" ca="1" si="27"/>
        <v/>
      </c>
    </row>
    <row r="815" spans="1:11">
      <c r="A815" s="23" t="e">
        <f>IF(Sheet2!#REF!&lt;&gt;"",Sheet2!#REF!,"")</f>
        <v>#REF!</v>
      </c>
      <c r="B815" s="33" t="e">
        <f>IF(Sheet2!#REF!&lt;&gt;"",Sheet2!#REF!,"")</f>
        <v>#REF!</v>
      </c>
      <c r="C815" s="34" t="e">
        <f>IF(Sheet2!#REF!&lt;&gt;"",Sheet2!#REF!,"")</f>
        <v>#REF!</v>
      </c>
      <c r="D815" s="35" t="str">
        <f t="shared" ca="1" si="26"/>
        <v/>
      </c>
      <c r="E815" s="3"/>
      <c r="F815" s="3"/>
      <c r="G815" s="3"/>
      <c r="H815" s="3"/>
      <c r="K815" t="str">
        <f t="shared" ca="1" si="27"/>
        <v/>
      </c>
    </row>
    <row r="816" spans="1:11">
      <c r="A816" s="23" t="e">
        <f>IF(Sheet2!#REF!&lt;&gt;"",Sheet2!#REF!,"")</f>
        <v>#REF!</v>
      </c>
      <c r="B816" s="33" t="e">
        <f>IF(Sheet2!#REF!&lt;&gt;"",Sheet2!#REF!,"")</f>
        <v>#REF!</v>
      </c>
      <c r="C816" s="34" t="e">
        <f>IF(Sheet2!#REF!&lt;&gt;"",Sheet2!#REF!,"")</f>
        <v>#REF!</v>
      </c>
      <c r="D816" s="35" t="str">
        <f t="shared" ca="1" si="26"/>
        <v/>
      </c>
      <c r="E816" s="3"/>
      <c r="F816" s="3"/>
      <c r="G816" s="3"/>
      <c r="H816" s="3"/>
      <c r="K816" t="str">
        <f t="shared" ca="1" si="27"/>
        <v/>
      </c>
    </row>
    <row r="817" spans="1:11">
      <c r="A817" s="23" t="e">
        <f>IF(Sheet2!#REF!&lt;&gt;"",Sheet2!#REF!,"")</f>
        <v>#REF!</v>
      </c>
      <c r="B817" s="33" t="e">
        <f>IF(Sheet2!#REF!&lt;&gt;"",Sheet2!#REF!,"")</f>
        <v>#REF!</v>
      </c>
      <c r="C817" s="34" t="e">
        <f>IF(Sheet2!#REF!&lt;&gt;"",Sheet2!#REF!,"")</f>
        <v>#REF!</v>
      </c>
      <c r="D817" s="35" t="str">
        <f t="shared" ca="1" si="26"/>
        <v/>
      </c>
      <c r="E817" s="3"/>
      <c r="F817" s="3"/>
      <c r="G817" s="3"/>
      <c r="H817" s="3"/>
      <c r="K817" t="str">
        <f t="shared" ca="1" si="27"/>
        <v/>
      </c>
    </row>
    <row r="818" spans="1:11">
      <c r="A818" s="23" t="e">
        <f>IF(Sheet2!#REF!&lt;&gt;"",Sheet2!#REF!,"")</f>
        <v>#REF!</v>
      </c>
      <c r="B818" s="33" t="e">
        <f>IF(Sheet2!#REF!&lt;&gt;"",Sheet2!#REF!,"")</f>
        <v>#REF!</v>
      </c>
      <c r="C818" s="34" t="e">
        <f>IF(Sheet2!#REF!&lt;&gt;"",Sheet2!#REF!,"")</f>
        <v>#REF!</v>
      </c>
      <c r="D818" s="35" t="str">
        <f t="shared" ca="1" si="26"/>
        <v/>
      </c>
      <c r="E818" s="3"/>
      <c r="F818" s="3"/>
      <c r="G818" s="3"/>
      <c r="H818" s="3"/>
      <c r="K818" t="str">
        <f t="shared" ca="1" si="27"/>
        <v/>
      </c>
    </row>
    <row r="819" spans="1:11">
      <c r="A819" s="23" t="e">
        <f>IF(Sheet2!#REF!&lt;&gt;"",Sheet2!#REF!,"")</f>
        <v>#REF!</v>
      </c>
      <c r="B819" s="33" t="e">
        <f>IF(Sheet2!#REF!&lt;&gt;"",Sheet2!#REF!,"")</f>
        <v>#REF!</v>
      </c>
      <c r="C819" s="34" t="e">
        <f>IF(Sheet2!#REF!&lt;&gt;"",Sheet2!#REF!,"")</f>
        <v>#REF!</v>
      </c>
      <c r="D819" s="35" t="str">
        <f t="shared" ca="1" si="26"/>
        <v/>
      </c>
      <c r="E819" s="3"/>
      <c r="F819" s="3"/>
      <c r="G819" s="3"/>
      <c r="H819" s="3"/>
      <c r="K819" t="str">
        <f t="shared" ca="1" si="27"/>
        <v/>
      </c>
    </row>
    <row r="820" spans="1:11">
      <c r="A820" s="23" t="e">
        <f>IF(Sheet2!#REF!&lt;&gt;"",Sheet2!#REF!,"")</f>
        <v>#REF!</v>
      </c>
      <c r="B820" s="33" t="e">
        <f>IF(Sheet2!#REF!&lt;&gt;"",Sheet2!#REF!,"")</f>
        <v>#REF!</v>
      </c>
      <c r="C820" s="34" t="e">
        <f>IF(Sheet2!#REF!&lt;&gt;"",Sheet2!#REF!,"")</f>
        <v>#REF!</v>
      </c>
      <c r="D820" s="35" t="str">
        <f t="shared" ca="1" si="26"/>
        <v/>
      </c>
      <c r="E820" s="3"/>
      <c r="F820" s="3"/>
      <c r="G820" s="3"/>
      <c r="H820" s="3"/>
      <c r="K820" t="str">
        <f t="shared" ca="1" si="27"/>
        <v/>
      </c>
    </row>
    <row r="821" spans="1:11">
      <c r="A821" s="23" t="e">
        <f>IF(Sheet2!#REF!&lt;&gt;"",Sheet2!#REF!,"")</f>
        <v>#REF!</v>
      </c>
      <c r="B821" s="33" t="e">
        <f>IF(Sheet2!#REF!&lt;&gt;"",Sheet2!#REF!,"")</f>
        <v>#REF!</v>
      </c>
      <c r="C821" s="34" t="e">
        <f>IF(Sheet2!#REF!&lt;&gt;"",Sheet2!#REF!,"")</f>
        <v>#REF!</v>
      </c>
      <c r="D821" s="35" t="str">
        <f t="shared" ca="1" si="26"/>
        <v/>
      </c>
      <c r="E821" s="3"/>
      <c r="F821" s="3"/>
      <c r="G821" s="3"/>
      <c r="H821" s="3"/>
      <c r="K821" t="str">
        <f t="shared" ca="1" si="27"/>
        <v/>
      </c>
    </row>
    <row r="822" spans="1:11">
      <c r="A822" s="23" t="e">
        <f>IF(Sheet2!#REF!&lt;&gt;"",Sheet2!#REF!,"")</f>
        <v>#REF!</v>
      </c>
      <c r="B822" s="33" t="e">
        <f>IF(Sheet2!#REF!&lt;&gt;"",Sheet2!#REF!,"")</f>
        <v>#REF!</v>
      </c>
      <c r="C822" s="34" t="e">
        <f>IF(Sheet2!#REF!&lt;&gt;"",Sheet2!#REF!,"")</f>
        <v>#REF!</v>
      </c>
      <c r="D822" s="35" t="str">
        <f t="shared" ca="1" si="26"/>
        <v/>
      </c>
      <c r="E822" s="3"/>
      <c r="F822" s="3"/>
      <c r="G822" s="3"/>
      <c r="H822" s="3"/>
      <c r="K822" t="str">
        <f t="shared" ca="1" si="27"/>
        <v/>
      </c>
    </row>
    <row r="823" spans="1:11">
      <c r="A823" s="23" t="e">
        <f>IF(Sheet2!#REF!&lt;&gt;"",Sheet2!#REF!,"")</f>
        <v>#REF!</v>
      </c>
      <c r="B823" s="33" t="e">
        <f>IF(Sheet2!#REF!&lt;&gt;"",Sheet2!#REF!,"")</f>
        <v>#REF!</v>
      </c>
      <c r="C823" s="34" t="e">
        <f>IF(Sheet2!#REF!&lt;&gt;"",Sheet2!#REF!,"")</f>
        <v>#REF!</v>
      </c>
      <c r="D823" s="35" t="str">
        <f t="shared" ca="1" si="26"/>
        <v/>
      </c>
      <c r="E823" s="3"/>
      <c r="F823" s="3"/>
      <c r="G823" s="3"/>
      <c r="H823" s="3"/>
      <c r="K823" t="str">
        <f t="shared" ca="1" si="27"/>
        <v/>
      </c>
    </row>
    <row r="824" spans="1:11">
      <c r="A824" s="23" t="e">
        <f>IF(Sheet2!#REF!&lt;&gt;"",Sheet2!#REF!,"")</f>
        <v>#REF!</v>
      </c>
      <c r="B824" s="33" t="e">
        <f>IF(Sheet2!#REF!&lt;&gt;"",Sheet2!#REF!,"")</f>
        <v>#REF!</v>
      </c>
      <c r="C824" s="34" t="e">
        <f>IF(Sheet2!#REF!&lt;&gt;"",Sheet2!#REF!,"")</f>
        <v>#REF!</v>
      </c>
      <c r="D824" s="35" t="str">
        <f t="shared" ca="1" si="26"/>
        <v/>
      </c>
      <c r="E824" s="3"/>
      <c r="F824" s="3"/>
      <c r="G824" s="3"/>
      <c r="H824" s="3"/>
      <c r="K824" t="str">
        <f t="shared" ca="1" si="27"/>
        <v/>
      </c>
    </row>
    <row r="825" spans="1:11">
      <c r="A825" s="23" t="e">
        <f>IF(Sheet2!#REF!&lt;&gt;"",Sheet2!#REF!,"")</f>
        <v>#REF!</v>
      </c>
      <c r="B825" s="33" t="e">
        <f>IF(Sheet2!#REF!&lt;&gt;"",Sheet2!#REF!,"")</f>
        <v>#REF!</v>
      </c>
      <c r="C825" s="34" t="e">
        <f>IF(Sheet2!#REF!&lt;&gt;"",Sheet2!#REF!,"")</f>
        <v>#REF!</v>
      </c>
      <c r="D825" s="35" t="str">
        <f t="shared" ca="1" si="26"/>
        <v/>
      </c>
      <c r="E825" s="3"/>
      <c r="F825" s="3"/>
      <c r="G825" s="3"/>
      <c r="H825" s="3"/>
      <c r="K825" t="str">
        <f t="shared" ca="1" si="27"/>
        <v/>
      </c>
    </row>
    <row r="826" spans="1:11">
      <c r="A826" s="23" t="e">
        <f>IF(Sheet2!#REF!&lt;&gt;"",Sheet2!#REF!,"")</f>
        <v>#REF!</v>
      </c>
      <c r="B826" s="33" t="e">
        <f>IF(Sheet2!#REF!&lt;&gt;"",Sheet2!#REF!,"")</f>
        <v>#REF!</v>
      </c>
      <c r="C826" s="34" t="e">
        <f>IF(Sheet2!#REF!&lt;&gt;"",Sheet2!#REF!,"")</f>
        <v>#REF!</v>
      </c>
      <c r="D826" s="35" t="str">
        <f t="shared" ca="1" si="26"/>
        <v/>
      </c>
      <c r="E826" s="3"/>
      <c r="F826" s="3"/>
      <c r="G826" s="3"/>
      <c r="H826" s="3"/>
      <c r="K826" t="str">
        <f t="shared" ca="1" si="27"/>
        <v/>
      </c>
    </row>
    <row r="827" spans="1:11">
      <c r="A827" s="23" t="e">
        <f>IF(Sheet2!#REF!&lt;&gt;"",Sheet2!#REF!,"")</f>
        <v>#REF!</v>
      </c>
      <c r="B827" s="33" t="e">
        <f>IF(Sheet2!#REF!&lt;&gt;"",Sheet2!#REF!,"")</f>
        <v>#REF!</v>
      </c>
      <c r="C827" s="34" t="e">
        <f>IF(Sheet2!#REF!&lt;&gt;"",Sheet2!#REF!,"")</f>
        <v>#REF!</v>
      </c>
      <c r="D827" s="35" t="str">
        <f t="shared" ca="1" si="26"/>
        <v/>
      </c>
      <c r="E827" s="3"/>
      <c r="F827" s="3"/>
      <c r="G827" s="3"/>
      <c r="H827" s="3"/>
      <c r="K827" t="str">
        <f t="shared" ca="1" si="27"/>
        <v/>
      </c>
    </row>
    <row r="828" spans="1:11">
      <c r="A828" s="23" t="e">
        <f>IF(Sheet2!#REF!&lt;&gt;"",Sheet2!#REF!,"")</f>
        <v>#REF!</v>
      </c>
      <c r="B828" s="33" t="e">
        <f>IF(Sheet2!#REF!&lt;&gt;"",Sheet2!#REF!,"")</f>
        <v>#REF!</v>
      </c>
      <c r="C828" s="34" t="e">
        <f>IF(Sheet2!#REF!&lt;&gt;"",Sheet2!#REF!,"")</f>
        <v>#REF!</v>
      </c>
      <c r="D828" s="35" t="str">
        <f t="shared" ca="1" si="26"/>
        <v/>
      </c>
      <c r="E828" s="3"/>
      <c r="F828" s="3"/>
      <c r="G828" s="3"/>
      <c r="H828" s="3"/>
      <c r="K828" t="str">
        <f t="shared" ca="1" si="27"/>
        <v/>
      </c>
    </row>
    <row r="829" spans="1:11">
      <c r="A829" s="23" t="e">
        <f>IF(Sheet2!#REF!&lt;&gt;"",Sheet2!#REF!,"")</f>
        <v>#REF!</v>
      </c>
      <c r="B829" s="33" t="e">
        <f>IF(Sheet2!#REF!&lt;&gt;"",Sheet2!#REF!,"")</f>
        <v>#REF!</v>
      </c>
      <c r="C829" s="34" t="e">
        <f>IF(Sheet2!#REF!&lt;&gt;"",Sheet2!#REF!,"")</f>
        <v>#REF!</v>
      </c>
      <c r="D829" s="35" t="str">
        <f t="shared" ca="1" si="26"/>
        <v/>
      </c>
      <c r="E829" s="3"/>
      <c r="F829" s="3"/>
      <c r="G829" s="3"/>
      <c r="H829" s="3"/>
      <c r="K829" t="str">
        <f t="shared" ca="1" si="27"/>
        <v/>
      </c>
    </row>
    <row r="830" spans="1:11">
      <c r="A830" s="23" t="e">
        <f>IF(Sheet2!#REF!&lt;&gt;"",Sheet2!#REF!,"")</f>
        <v>#REF!</v>
      </c>
      <c r="B830" s="33" t="e">
        <f>IF(Sheet2!#REF!&lt;&gt;"",Sheet2!#REF!,"")</f>
        <v>#REF!</v>
      </c>
      <c r="C830" s="34" t="e">
        <f>IF(Sheet2!#REF!&lt;&gt;"",Sheet2!#REF!,"")</f>
        <v>#REF!</v>
      </c>
      <c r="D830" s="35" t="str">
        <f t="shared" ca="1" si="26"/>
        <v/>
      </c>
      <c r="E830" s="3"/>
      <c r="F830" s="3"/>
      <c r="G830" s="3"/>
      <c r="H830" s="3"/>
      <c r="K830" t="str">
        <f t="shared" ca="1" si="27"/>
        <v/>
      </c>
    </row>
    <row r="831" spans="1:11">
      <c r="A831" s="23" t="e">
        <f>IF(Sheet2!#REF!&lt;&gt;"",Sheet2!#REF!,"")</f>
        <v>#REF!</v>
      </c>
      <c r="B831" s="33" t="e">
        <f>IF(Sheet2!#REF!&lt;&gt;"",Sheet2!#REF!,"")</f>
        <v>#REF!</v>
      </c>
      <c r="C831" s="34" t="e">
        <f>IF(Sheet2!#REF!&lt;&gt;"",Sheet2!#REF!,"")</f>
        <v>#REF!</v>
      </c>
      <c r="D831" s="35" t="str">
        <f t="shared" ca="1" si="26"/>
        <v/>
      </c>
      <c r="E831" s="3"/>
      <c r="F831" s="3"/>
      <c r="G831" s="3"/>
      <c r="H831" s="3"/>
      <c r="K831" t="str">
        <f t="shared" ca="1" si="27"/>
        <v/>
      </c>
    </row>
    <row r="832" spans="1:11">
      <c r="A832" s="23" t="e">
        <f>IF(Sheet2!#REF!&lt;&gt;"",Sheet2!#REF!,"")</f>
        <v>#REF!</v>
      </c>
      <c r="B832" s="33" t="e">
        <f>IF(Sheet2!#REF!&lt;&gt;"",Sheet2!#REF!,"")</f>
        <v>#REF!</v>
      </c>
      <c r="C832" s="34" t="e">
        <f>IF(Sheet2!#REF!&lt;&gt;"",Sheet2!#REF!,"")</f>
        <v>#REF!</v>
      </c>
      <c r="D832" s="35" t="str">
        <f t="shared" ca="1" si="26"/>
        <v/>
      </c>
      <c r="E832" s="3"/>
      <c r="F832" s="3"/>
      <c r="G832" s="3"/>
      <c r="H832" s="3"/>
      <c r="K832" t="str">
        <f t="shared" ca="1" si="27"/>
        <v/>
      </c>
    </row>
    <row r="833" spans="1:11">
      <c r="A833" s="23" t="e">
        <f>IF(Sheet2!#REF!&lt;&gt;"",Sheet2!#REF!,"")</f>
        <v>#REF!</v>
      </c>
      <c r="B833" s="33" t="e">
        <f>IF(Sheet2!#REF!&lt;&gt;"",Sheet2!#REF!,"")</f>
        <v>#REF!</v>
      </c>
      <c r="C833" s="34" t="e">
        <f>IF(Sheet2!#REF!&lt;&gt;"",Sheet2!#REF!,"")</f>
        <v>#REF!</v>
      </c>
      <c r="D833" s="35" t="str">
        <f t="shared" ca="1" si="26"/>
        <v/>
      </c>
      <c r="E833" s="3"/>
      <c r="F833" s="3"/>
      <c r="G833" s="3"/>
      <c r="H833" s="3"/>
      <c r="K833" t="str">
        <f t="shared" ca="1" si="27"/>
        <v/>
      </c>
    </row>
    <row r="834" spans="1:11">
      <c r="A834" s="23" t="e">
        <f>IF(Sheet2!#REF!&lt;&gt;"",Sheet2!#REF!,"")</f>
        <v>#REF!</v>
      </c>
      <c r="B834" s="33" t="e">
        <f>IF(Sheet2!#REF!&lt;&gt;"",Sheet2!#REF!,"")</f>
        <v>#REF!</v>
      </c>
      <c r="C834" s="34" t="e">
        <f>IF(Sheet2!#REF!&lt;&gt;"",Sheet2!#REF!,"")</f>
        <v>#REF!</v>
      </c>
      <c r="D834" s="35" t="str">
        <f t="shared" ca="1" si="26"/>
        <v/>
      </c>
      <c r="E834" s="3"/>
      <c r="F834" s="3"/>
      <c r="G834" s="3"/>
      <c r="H834" s="3"/>
      <c r="K834" t="str">
        <f t="shared" ca="1" si="27"/>
        <v/>
      </c>
    </row>
    <row r="835" spans="1:11">
      <c r="A835" s="23" t="e">
        <f>IF(Sheet2!#REF!&lt;&gt;"",Sheet2!#REF!,"")</f>
        <v>#REF!</v>
      </c>
      <c r="B835" s="33" t="e">
        <f>IF(Sheet2!#REF!&lt;&gt;"",Sheet2!#REF!,"")</f>
        <v>#REF!</v>
      </c>
      <c r="C835" s="34" t="e">
        <f>IF(Sheet2!#REF!&lt;&gt;"",Sheet2!#REF!,"")</f>
        <v>#REF!</v>
      </c>
      <c r="D835" s="35" t="str">
        <f t="shared" ref="D835:D898" ca="1" si="28">IFERROR(IF(AND((C835-TODAY())&lt;15,B835&lt;&gt;""),IF(I835="","Alert",""),""),"")</f>
        <v/>
      </c>
      <c r="E835" s="3"/>
      <c r="F835" s="3"/>
      <c r="G835" s="3"/>
      <c r="H835" s="3"/>
      <c r="K835" t="str">
        <f t="shared" ref="K835:K898" ca="1" si="29">IF(I835&lt;&gt;"",IF(J835="",IF(TODAY()-I835&gt;3,"ALERT",""),""),"")</f>
        <v/>
      </c>
    </row>
    <row r="836" spans="1:11">
      <c r="A836" s="23" t="e">
        <f>IF(Sheet2!#REF!&lt;&gt;"",Sheet2!#REF!,"")</f>
        <v>#REF!</v>
      </c>
      <c r="B836" s="33" t="e">
        <f>IF(Sheet2!#REF!&lt;&gt;"",Sheet2!#REF!,"")</f>
        <v>#REF!</v>
      </c>
      <c r="C836" s="34" t="e">
        <f>IF(Sheet2!#REF!&lt;&gt;"",Sheet2!#REF!,"")</f>
        <v>#REF!</v>
      </c>
      <c r="D836" s="35" t="str">
        <f t="shared" ca="1" si="28"/>
        <v/>
      </c>
      <c r="E836" s="3"/>
      <c r="F836" s="3"/>
      <c r="G836" s="3"/>
      <c r="H836" s="3"/>
      <c r="K836" t="str">
        <f t="shared" ca="1" si="29"/>
        <v/>
      </c>
    </row>
    <row r="837" spans="1:11">
      <c r="A837" s="23" t="e">
        <f>IF(Sheet2!#REF!&lt;&gt;"",Sheet2!#REF!,"")</f>
        <v>#REF!</v>
      </c>
      <c r="B837" s="33" t="e">
        <f>IF(Sheet2!#REF!&lt;&gt;"",Sheet2!#REF!,"")</f>
        <v>#REF!</v>
      </c>
      <c r="C837" s="34" t="e">
        <f>IF(Sheet2!#REF!&lt;&gt;"",Sheet2!#REF!,"")</f>
        <v>#REF!</v>
      </c>
      <c r="D837" s="35" t="str">
        <f t="shared" ca="1" si="28"/>
        <v/>
      </c>
      <c r="E837" s="3"/>
      <c r="F837" s="3"/>
      <c r="G837" s="3"/>
      <c r="H837" s="3"/>
      <c r="K837" t="str">
        <f t="shared" ca="1" si="29"/>
        <v/>
      </c>
    </row>
    <row r="838" spans="1:11">
      <c r="A838" s="23" t="e">
        <f>IF(Sheet2!#REF!&lt;&gt;"",Sheet2!#REF!,"")</f>
        <v>#REF!</v>
      </c>
      <c r="B838" s="33" t="e">
        <f>IF(Sheet2!#REF!&lt;&gt;"",Sheet2!#REF!,"")</f>
        <v>#REF!</v>
      </c>
      <c r="C838" s="34" t="e">
        <f>IF(Sheet2!#REF!&lt;&gt;"",Sheet2!#REF!,"")</f>
        <v>#REF!</v>
      </c>
      <c r="D838" s="35" t="str">
        <f t="shared" ca="1" si="28"/>
        <v/>
      </c>
      <c r="E838" s="3"/>
      <c r="F838" s="3"/>
      <c r="G838" s="3"/>
      <c r="H838" s="3"/>
      <c r="K838" t="str">
        <f t="shared" ca="1" si="29"/>
        <v/>
      </c>
    </row>
    <row r="839" spans="1:11">
      <c r="A839" s="23" t="e">
        <f>IF(Sheet2!#REF!&lt;&gt;"",Sheet2!#REF!,"")</f>
        <v>#REF!</v>
      </c>
      <c r="B839" s="33" t="e">
        <f>IF(Sheet2!#REF!&lt;&gt;"",Sheet2!#REF!,"")</f>
        <v>#REF!</v>
      </c>
      <c r="C839" s="34" t="e">
        <f>IF(Sheet2!#REF!&lt;&gt;"",Sheet2!#REF!,"")</f>
        <v>#REF!</v>
      </c>
      <c r="D839" s="35" t="str">
        <f t="shared" ca="1" si="28"/>
        <v/>
      </c>
      <c r="E839" s="3"/>
      <c r="F839" s="3"/>
      <c r="G839" s="3"/>
      <c r="H839" s="3"/>
      <c r="K839" t="str">
        <f t="shared" ca="1" si="29"/>
        <v/>
      </c>
    </row>
    <row r="840" spans="1:11">
      <c r="A840" s="23" t="e">
        <f>IF(Sheet2!#REF!&lt;&gt;"",Sheet2!#REF!,"")</f>
        <v>#REF!</v>
      </c>
      <c r="B840" s="33" t="e">
        <f>IF(Sheet2!#REF!&lt;&gt;"",Sheet2!#REF!,"")</f>
        <v>#REF!</v>
      </c>
      <c r="C840" s="34" t="e">
        <f>IF(Sheet2!#REF!&lt;&gt;"",Sheet2!#REF!,"")</f>
        <v>#REF!</v>
      </c>
      <c r="D840" s="35" t="str">
        <f t="shared" ca="1" si="28"/>
        <v/>
      </c>
      <c r="E840" s="3"/>
      <c r="F840" s="3"/>
      <c r="G840" s="3"/>
      <c r="H840" s="3"/>
      <c r="K840" t="str">
        <f t="shared" ca="1" si="29"/>
        <v/>
      </c>
    </row>
    <row r="841" spans="1:11">
      <c r="A841" s="23" t="e">
        <f>IF(Sheet2!#REF!&lt;&gt;"",Sheet2!#REF!,"")</f>
        <v>#REF!</v>
      </c>
      <c r="B841" s="33" t="e">
        <f>IF(Sheet2!#REF!&lt;&gt;"",Sheet2!#REF!,"")</f>
        <v>#REF!</v>
      </c>
      <c r="C841" s="34" t="e">
        <f>IF(Sheet2!#REF!&lt;&gt;"",Sheet2!#REF!,"")</f>
        <v>#REF!</v>
      </c>
      <c r="D841" s="35" t="str">
        <f t="shared" ca="1" si="28"/>
        <v/>
      </c>
      <c r="E841" s="3"/>
      <c r="F841" s="3"/>
      <c r="G841" s="3"/>
      <c r="H841" s="3"/>
      <c r="K841" t="str">
        <f t="shared" ca="1" si="29"/>
        <v/>
      </c>
    </row>
    <row r="842" spans="1:11">
      <c r="A842" s="23" t="e">
        <f>IF(Sheet2!#REF!&lt;&gt;"",Sheet2!#REF!,"")</f>
        <v>#REF!</v>
      </c>
      <c r="B842" s="33" t="e">
        <f>IF(Sheet2!#REF!&lt;&gt;"",Sheet2!#REF!,"")</f>
        <v>#REF!</v>
      </c>
      <c r="C842" s="34" t="e">
        <f>IF(Sheet2!#REF!&lt;&gt;"",Sheet2!#REF!,"")</f>
        <v>#REF!</v>
      </c>
      <c r="D842" s="35" t="str">
        <f t="shared" ca="1" si="28"/>
        <v/>
      </c>
      <c r="E842" s="3"/>
      <c r="F842" s="3"/>
      <c r="G842" s="3"/>
      <c r="H842" s="3"/>
      <c r="K842" t="str">
        <f t="shared" ca="1" si="29"/>
        <v/>
      </c>
    </row>
    <row r="843" spans="1:11">
      <c r="A843" s="23" t="e">
        <f>IF(Sheet2!#REF!&lt;&gt;"",Sheet2!#REF!,"")</f>
        <v>#REF!</v>
      </c>
      <c r="B843" s="33" t="e">
        <f>IF(Sheet2!#REF!&lt;&gt;"",Sheet2!#REF!,"")</f>
        <v>#REF!</v>
      </c>
      <c r="C843" s="34" t="e">
        <f>IF(Sheet2!#REF!&lt;&gt;"",Sheet2!#REF!,"")</f>
        <v>#REF!</v>
      </c>
      <c r="D843" s="35" t="str">
        <f t="shared" ca="1" si="28"/>
        <v/>
      </c>
      <c r="E843" s="3"/>
      <c r="F843" s="3"/>
      <c r="G843" s="3"/>
      <c r="H843" s="3"/>
      <c r="K843" t="str">
        <f t="shared" ca="1" si="29"/>
        <v/>
      </c>
    </row>
    <row r="844" spans="1:11">
      <c r="A844" s="23" t="e">
        <f>IF(Sheet2!#REF!&lt;&gt;"",Sheet2!#REF!,"")</f>
        <v>#REF!</v>
      </c>
      <c r="B844" s="33" t="e">
        <f>IF(Sheet2!#REF!&lt;&gt;"",Sheet2!#REF!,"")</f>
        <v>#REF!</v>
      </c>
      <c r="C844" s="34" t="e">
        <f>IF(Sheet2!#REF!&lt;&gt;"",Sheet2!#REF!,"")</f>
        <v>#REF!</v>
      </c>
      <c r="D844" s="35" t="str">
        <f t="shared" ca="1" si="28"/>
        <v/>
      </c>
      <c r="E844" s="3"/>
      <c r="F844" s="3"/>
      <c r="G844" s="3"/>
      <c r="H844" s="3"/>
      <c r="K844" t="str">
        <f t="shared" ca="1" si="29"/>
        <v/>
      </c>
    </row>
    <row r="845" spans="1:11">
      <c r="A845" s="23" t="e">
        <f>IF(Sheet2!#REF!&lt;&gt;"",Sheet2!#REF!,"")</f>
        <v>#REF!</v>
      </c>
      <c r="B845" s="33" t="e">
        <f>IF(Sheet2!#REF!&lt;&gt;"",Sheet2!#REF!,"")</f>
        <v>#REF!</v>
      </c>
      <c r="C845" s="34" t="e">
        <f>IF(Sheet2!#REF!&lt;&gt;"",Sheet2!#REF!,"")</f>
        <v>#REF!</v>
      </c>
      <c r="D845" s="35" t="str">
        <f t="shared" ca="1" si="28"/>
        <v/>
      </c>
      <c r="E845" s="3"/>
      <c r="F845" s="3"/>
      <c r="G845" s="3"/>
      <c r="H845" s="3"/>
      <c r="K845" t="str">
        <f t="shared" ca="1" si="29"/>
        <v/>
      </c>
    </row>
    <row r="846" spans="1:11">
      <c r="A846" s="23" t="e">
        <f>IF(Sheet2!#REF!&lt;&gt;"",Sheet2!#REF!,"")</f>
        <v>#REF!</v>
      </c>
      <c r="B846" s="33" t="e">
        <f>IF(Sheet2!#REF!&lt;&gt;"",Sheet2!#REF!,"")</f>
        <v>#REF!</v>
      </c>
      <c r="C846" s="34" t="e">
        <f>IF(Sheet2!#REF!&lt;&gt;"",Sheet2!#REF!,"")</f>
        <v>#REF!</v>
      </c>
      <c r="D846" s="35" t="str">
        <f t="shared" ca="1" si="28"/>
        <v/>
      </c>
      <c r="E846" s="3"/>
      <c r="F846" s="3"/>
      <c r="G846" s="3"/>
      <c r="H846" s="3"/>
      <c r="K846" t="str">
        <f t="shared" ca="1" si="29"/>
        <v/>
      </c>
    </row>
    <row r="847" spans="1:11">
      <c r="A847" s="23" t="e">
        <f>IF(Sheet2!#REF!&lt;&gt;"",Sheet2!#REF!,"")</f>
        <v>#REF!</v>
      </c>
      <c r="B847" s="33" t="e">
        <f>IF(Sheet2!#REF!&lt;&gt;"",Sheet2!#REF!,"")</f>
        <v>#REF!</v>
      </c>
      <c r="C847" s="34" t="e">
        <f>IF(Sheet2!#REF!&lt;&gt;"",Sheet2!#REF!,"")</f>
        <v>#REF!</v>
      </c>
      <c r="D847" s="35" t="str">
        <f t="shared" ca="1" si="28"/>
        <v/>
      </c>
      <c r="E847" s="3"/>
      <c r="F847" s="3"/>
      <c r="G847" s="3"/>
      <c r="H847" s="3"/>
      <c r="K847" t="str">
        <f t="shared" ca="1" si="29"/>
        <v/>
      </c>
    </row>
    <row r="848" spans="1:11">
      <c r="A848" s="23" t="e">
        <f>IF(Sheet2!#REF!&lt;&gt;"",Sheet2!#REF!,"")</f>
        <v>#REF!</v>
      </c>
      <c r="B848" s="33" t="e">
        <f>IF(Sheet2!#REF!&lt;&gt;"",Sheet2!#REF!,"")</f>
        <v>#REF!</v>
      </c>
      <c r="C848" s="34" t="e">
        <f>IF(Sheet2!#REF!&lt;&gt;"",Sheet2!#REF!,"")</f>
        <v>#REF!</v>
      </c>
      <c r="D848" s="35" t="str">
        <f t="shared" ca="1" si="28"/>
        <v/>
      </c>
      <c r="E848" s="3"/>
      <c r="F848" s="3"/>
      <c r="G848" s="3"/>
      <c r="H848" s="3"/>
      <c r="K848" t="str">
        <f t="shared" ca="1" si="29"/>
        <v/>
      </c>
    </row>
    <row r="849" spans="1:11">
      <c r="A849" s="23" t="e">
        <f>IF(Sheet2!#REF!&lt;&gt;"",Sheet2!#REF!,"")</f>
        <v>#REF!</v>
      </c>
      <c r="B849" s="33" t="e">
        <f>IF(Sheet2!#REF!&lt;&gt;"",Sheet2!#REF!,"")</f>
        <v>#REF!</v>
      </c>
      <c r="C849" s="34" t="e">
        <f>IF(Sheet2!#REF!&lt;&gt;"",Sheet2!#REF!,"")</f>
        <v>#REF!</v>
      </c>
      <c r="D849" s="35" t="str">
        <f t="shared" ca="1" si="28"/>
        <v/>
      </c>
      <c r="E849" s="3"/>
      <c r="F849" s="3"/>
      <c r="G849" s="3"/>
      <c r="H849" s="3"/>
      <c r="K849" t="str">
        <f t="shared" ca="1" si="29"/>
        <v/>
      </c>
    </row>
    <row r="850" spans="1:11">
      <c r="A850" s="23" t="e">
        <f>IF(Sheet2!#REF!&lt;&gt;"",Sheet2!#REF!,"")</f>
        <v>#REF!</v>
      </c>
      <c r="B850" s="33" t="e">
        <f>IF(Sheet2!#REF!&lt;&gt;"",Sheet2!#REF!,"")</f>
        <v>#REF!</v>
      </c>
      <c r="C850" s="34" t="e">
        <f>IF(Sheet2!#REF!&lt;&gt;"",Sheet2!#REF!,"")</f>
        <v>#REF!</v>
      </c>
      <c r="D850" s="35" t="str">
        <f t="shared" ca="1" si="28"/>
        <v/>
      </c>
      <c r="E850" s="3"/>
      <c r="F850" s="3"/>
      <c r="G850" s="3"/>
      <c r="H850" s="3"/>
      <c r="K850" t="str">
        <f t="shared" ca="1" si="29"/>
        <v/>
      </c>
    </row>
    <row r="851" spans="1:11">
      <c r="A851" s="23" t="e">
        <f>IF(Sheet2!#REF!&lt;&gt;"",Sheet2!#REF!,"")</f>
        <v>#REF!</v>
      </c>
      <c r="B851" s="33" t="e">
        <f>IF(Sheet2!#REF!&lt;&gt;"",Sheet2!#REF!,"")</f>
        <v>#REF!</v>
      </c>
      <c r="C851" s="34" t="e">
        <f>IF(Sheet2!#REF!&lt;&gt;"",Sheet2!#REF!,"")</f>
        <v>#REF!</v>
      </c>
      <c r="D851" s="35" t="str">
        <f t="shared" ca="1" si="28"/>
        <v/>
      </c>
      <c r="E851" s="3"/>
      <c r="F851" s="3"/>
      <c r="G851" s="3"/>
      <c r="H851" s="3"/>
      <c r="K851" t="str">
        <f t="shared" ca="1" si="29"/>
        <v/>
      </c>
    </row>
    <row r="852" spans="1:11">
      <c r="A852" s="23" t="e">
        <f>IF(Sheet2!#REF!&lt;&gt;"",Sheet2!#REF!,"")</f>
        <v>#REF!</v>
      </c>
      <c r="B852" s="33" t="e">
        <f>IF(Sheet2!#REF!&lt;&gt;"",Sheet2!#REF!,"")</f>
        <v>#REF!</v>
      </c>
      <c r="C852" s="34" t="e">
        <f>IF(Sheet2!#REF!&lt;&gt;"",Sheet2!#REF!,"")</f>
        <v>#REF!</v>
      </c>
      <c r="D852" s="35" t="str">
        <f t="shared" ca="1" si="28"/>
        <v/>
      </c>
      <c r="E852" s="3"/>
      <c r="F852" s="3"/>
      <c r="G852" s="3"/>
      <c r="H852" s="3"/>
      <c r="K852" t="str">
        <f t="shared" ca="1" si="29"/>
        <v/>
      </c>
    </row>
    <row r="853" spans="1:11">
      <c r="A853" s="23" t="e">
        <f>IF(Sheet2!#REF!&lt;&gt;"",Sheet2!#REF!,"")</f>
        <v>#REF!</v>
      </c>
      <c r="B853" s="33" t="e">
        <f>IF(Sheet2!#REF!&lt;&gt;"",Sheet2!#REF!,"")</f>
        <v>#REF!</v>
      </c>
      <c r="C853" s="34" t="e">
        <f>IF(Sheet2!#REF!&lt;&gt;"",Sheet2!#REF!,"")</f>
        <v>#REF!</v>
      </c>
      <c r="D853" s="35" t="str">
        <f t="shared" ca="1" si="28"/>
        <v/>
      </c>
      <c r="E853" s="3"/>
      <c r="F853" s="3"/>
      <c r="G853" s="3"/>
      <c r="H853" s="3"/>
      <c r="K853" t="str">
        <f t="shared" ca="1" si="29"/>
        <v/>
      </c>
    </row>
    <row r="854" spans="1:11">
      <c r="A854" s="23" t="e">
        <f>IF(Sheet2!#REF!&lt;&gt;"",Sheet2!#REF!,"")</f>
        <v>#REF!</v>
      </c>
      <c r="B854" s="33" t="e">
        <f>IF(Sheet2!#REF!&lt;&gt;"",Sheet2!#REF!,"")</f>
        <v>#REF!</v>
      </c>
      <c r="C854" s="34" t="e">
        <f>IF(Sheet2!#REF!&lt;&gt;"",Sheet2!#REF!,"")</f>
        <v>#REF!</v>
      </c>
      <c r="D854" s="35" t="str">
        <f t="shared" ca="1" si="28"/>
        <v/>
      </c>
      <c r="E854" s="3"/>
      <c r="F854" s="3"/>
      <c r="G854" s="3"/>
      <c r="H854" s="3"/>
      <c r="K854" t="str">
        <f t="shared" ca="1" si="29"/>
        <v/>
      </c>
    </row>
    <row r="855" spans="1:11">
      <c r="A855" s="23" t="e">
        <f>IF(Sheet2!#REF!&lt;&gt;"",Sheet2!#REF!,"")</f>
        <v>#REF!</v>
      </c>
      <c r="B855" s="33" t="e">
        <f>IF(Sheet2!#REF!&lt;&gt;"",Sheet2!#REF!,"")</f>
        <v>#REF!</v>
      </c>
      <c r="C855" s="34" t="e">
        <f>IF(Sheet2!#REF!&lt;&gt;"",Sheet2!#REF!,"")</f>
        <v>#REF!</v>
      </c>
      <c r="D855" s="35" t="str">
        <f t="shared" ca="1" si="28"/>
        <v/>
      </c>
      <c r="E855" s="3"/>
      <c r="F855" s="3"/>
      <c r="G855" s="3"/>
      <c r="H855" s="3"/>
      <c r="K855" t="str">
        <f t="shared" ca="1" si="29"/>
        <v/>
      </c>
    </row>
    <row r="856" spans="1:11">
      <c r="A856" s="23" t="e">
        <f>IF(Sheet2!#REF!&lt;&gt;"",Sheet2!#REF!,"")</f>
        <v>#REF!</v>
      </c>
      <c r="B856" s="33" t="e">
        <f>IF(Sheet2!#REF!&lt;&gt;"",Sheet2!#REF!,"")</f>
        <v>#REF!</v>
      </c>
      <c r="C856" s="34" t="e">
        <f>IF(Sheet2!#REF!&lt;&gt;"",Sheet2!#REF!,"")</f>
        <v>#REF!</v>
      </c>
      <c r="D856" s="35" t="str">
        <f t="shared" ca="1" si="28"/>
        <v/>
      </c>
      <c r="E856" s="3"/>
      <c r="F856" s="3"/>
      <c r="G856" s="3"/>
      <c r="H856" s="3"/>
      <c r="K856" t="str">
        <f t="shared" ca="1" si="29"/>
        <v/>
      </c>
    </row>
    <row r="857" spans="1:11">
      <c r="A857" s="23" t="e">
        <f>IF(Sheet2!#REF!&lt;&gt;"",Sheet2!#REF!,"")</f>
        <v>#REF!</v>
      </c>
      <c r="B857" s="33" t="e">
        <f>IF(Sheet2!#REF!&lt;&gt;"",Sheet2!#REF!,"")</f>
        <v>#REF!</v>
      </c>
      <c r="C857" s="34" t="e">
        <f>IF(Sheet2!#REF!&lt;&gt;"",Sheet2!#REF!,"")</f>
        <v>#REF!</v>
      </c>
      <c r="D857" s="35" t="str">
        <f t="shared" ca="1" si="28"/>
        <v/>
      </c>
      <c r="E857" s="3"/>
      <c r="F857" s="3"/>
      <c r="G857" s="3"/>
      <c r="H857" s="3"/>
      <c r="K857" t="str">
        <f t="shared" ca="1" si="29"/>
        <v/>
      </c>
    </row>
    <row r="858" spans="1:11">
      <c r="A858" s="23" t="e">
        <f>IF(Sheet2!#REF!&lt;&gt;"",Sheet2!#REF!,"")</f>
        <v>#REF!</v>
      </c>
      <c r="B858" s="33" t="e">
        <f>IF(Sheet2!#REF!&lt;&gt;"",Sheet2!#REF!,"")</f>
        <v>#REF!</v>
      </c>
      <c r="C858" s="34" t="e">
        <f>IF(Sheet2!#REF!&lt;&gt;"",Sheet2!#REF!,"")</f>
        <v>#REF!</v>
      </c>
      <c r="D858" s="35" t="str">
        <f t="shared" ca="1" si="28"/>
        <v/>
      </c>
      <c r="E858" s="3"/>
      <c r="F858" s="3"/>
      <c r="G858" s="3"/>
      <c r="H858" s="3"/>
      <c r="K858" t="str">
        <f t="shared" ca="1" si="29"/>
        <v/>
      </c>
    </row>
    <row r="859" spans="1:11">
      <c r="A859" s="23" t="e">
        <f>IF(Sheet2!#REF!&lt;&gt;"",Sheet2!#REF!,"")</f>
        <v>#REF!</v>
      </c>
      <c r="B859" s="33" t="e">
        <f>IF(Sheet2!#REF!&lt;&gt;"",Sheet2!#REF!,"")</f>
        <v>#REF!</v>
      </c>
      <c r="C859" s="34" t="e">
        <f>IF(Sheet2!#REF!&lt;&gt;"",Sheet2!#REF!,"")</f>
        <v>#REF!</v>
      </c>
      <c r="D859" s="35" t="str">
        <f t="shared" ca="1" si="28"/>
        <v/>
      </c>
      <c r="E859" s="3"/>
      <c r="F859" s="3"/>
      <c r="G859" s="3"/>
      <c r="H859" s="3"/>
      <c r="K859" t="str">
        <f t="shared" ca="1" si="29"/>
        <v/>
      </c>
    </row>
    <row r="860" spans="1:11">
      <c r="A860" s="23" t="e">
        <f>IF(Sheet2!#REF!&lt;&gt;"",Sheet2!#REF!,"")</f>
        <v>#REF!</v>
      </c>
      <c r="B860" s="33" t="e">
        <f>IF(Sheet2!#REF!&lt;&gt;"",Sheet2!#REF!,"")</f>
        <v>#REF!</v>
      </c>
      <c r="C860" s="34" t="e">
        <f>IF(Sheet2!#REF!&lt;&gt;"",Sheet2!#REF!,"")</f>
        <v>#REF!</v>
      </c>
      <c r="D860" s="35" t="str">
        <f t="shared" ca="1" si="28"/>
        <v/>
      </c>
      <c r="E860" s="3"/>
      <c r="F860" s="3"/>
      <c r="G860" s="3"/>
      <c r="H860" s="3"/>
      <c r="K860" t="str">
        <f t="shared" ca="1" si="29"/>
        <v/>
      </c>
    </row>
    <row r="861" spans="1:11">
      <c r="A861" s="23" t="e">
        <f>IF(Sheet2!#REF!&lt;&gt;"",Sheet2!#REF!,"")</f>
        <v>#REF!</v>
      </c>
      <c r="B861" s="33" t="e">
        <f>IF(Sheet2!#REF!&lt;&gt;"",Sheet2!#REF!,"")</f>
        <v>#REF!</v>
      </c>
      <c r="C861" s="34" t="e">
        <f>IF(Sheet2!#REF!&lt;&gt;"",Sheet2!#REF!,"")</f>
        <v>#REF!</v>
      </c>
      <c r="D861" s="35" t="str">
        <f t="shared" ca="1" si="28"/>
        <v/>
      </c>
      <c r="E861" s="3"/>
      <c r="F861" s="3"/>
      <c r="G861" s="3"/>
      <c r="H861" s="3"/>
      <c r="K861" t="str">
        <f t="shared" ca="1" si="29"/>
        <v/>
      </c>
    </row>
    <row r="862" spans="1:11">
      <c r="A862" s="23" t="e">
        <f>IF(Sheet2!#REF!&lt;&gt;"",Sheet2!#REF!,"")</f>
        <v>#REF!</v>
      </c>
      <c r="B862" s="33" t="e">
        <f>IF(Sheet2!#REF!&lt;&gt;"",Sheet2!#REF!,"")</f>
        <v>#REF!</v>
      </c>
      <c r="C862" s="34" t="e">
        <f>IF(Sheet2!#REF!&lt;&gt;"",Sheet2!#REF!,"")</f>
        <v>#REF!</v>
      </c>
      <c r="D862" s="35" t="str">
        <f t="shared" ca="1" si="28"/>
        <v/>
      </c>
      <c r="E862" s="3"/>
      <c r="F862" s="3"/>
      <c r="G862" s="3"/>
      <c r="H862" s="3"/>
      <c r="K862" t="str">
        <f t="shared" ca="1" si="29"/>
        <v/>
      </c>
    </row>
    <row r="863" spans="1:11">
      <c r="A863" s="23" t="e">
        <f>IF(Sheet2!#REF!&lt;&gt;"",Sheet2!#REF!,"")</f>
        <v>#REF!</v>
      </c>
      <c r="B863" s="33" t="e">
        <f>IF(Sheet2!#REF!&lt;&gt;"",Sheet2!#REF!,"")</f>
        <v>#REF!</v>
      </c>
      <c r="C863" s="34" t="e">
        <f>IF(Sheet2!#REF!&lt;&gt;"",Sheet2!#REF!,"")</f>
        <v>#REF!</v>
      </c>
      <c r="D863" s="35" t="str">
        <f t="shared" ca="1" si="28"/>
        <v/>
      </c>
      <c r="E863" s="3"/>
      <c r="F863" s="3"/>
      <c r="G863" s="3"/>
      <c r="H863" s="3"/>
      <c r="K863" t="str">
        <f t="shared" ca="1" si="29"/>
        <v/>
      </c>
    </row>
    <row r="864" spans="1:11">
      <c r="A864" s="23" t="e">
        <f>IF(Sheet2!#REF!&lt;&gt;"",Sheet2!#REF!,"")</f>
        <v>#REF!</v>
      </c>
      <c r="B864" s="33" t="e">
        <f>IF(Sheet2!#REF!&lt;&gt;"",Sheet2!#REF!,"")</f>
        <v>#REF!</v>
      </c>
      <c r="C864" s="34" t="e">
        <f>IF(Sheet2!#REF!&lt;&gt;"",Sheet2!#REF!,"")</f>
        <v>#REF!</v>
      </c>
      <c r="D864" s="35" t="str">
        <f t="shared" ca="1" si="28"/>
        <v/>
      </c>
      <c r="E864" s="3"/>
      <c r="F864" s="3"/>
      <c r="G864" s="3"/>
      <c r="H864" s="3"/>
      <c r="K864" t="str">
        <f t="shared" ca="1" si="29"/>
        <v/>
      </c>
    </row>
    <row r="865" spans="1:11">
      <c r="A865" s="23" t="e">
        <f>IF(Sheet2!#REF!&lt;&gt;"",Sheet2!#REF!,"")</f>
        <v>#REF!</v>
      </c>
      <c r="B865" s="33" t="e">
        <f>IF(Sheet2!#REF!&lt;&gt;"",Sheet2!#REF!,"")</f>
        <v>#REF!</v>
      </c>
      <c r="C865" s="34" t="e">
        <f>IF(Sheet2!#REF!&lt;&gt;"",Sheet2!#REF!,"")</f>
        <v>#REF!</v>
      </c>
      <c r="D865" s="35" t="str">
        <f t="shared" ca="1" si="28"/>
        <v/>
      </c>
      <c r="E865" s="3"/>
      <c r="F865" s="3"/>
      <c r="G865" s="3"/>
      <c r="H865" s="3"/>
      <c r="K865" t="str">
        <f t="shared" ca="1" si="29"/>
        <v/>
      </c>
    </row>
    <row r="866" spans="1:11">
      <c r="A866" s="23" t="e">
        <f>IF(Sheet2!#REF!&lt;&gt;"",Sheet2!#REF!,"")</f>
        <v>#REF!</v>
      </c>
      <c r="B866" s="33" t="e">
        <f>IF(Sheet2!#REF!&lt;&gt;"",Sheet2!#REF!,"")</f>
        <v>#REF!</v>
      </c>
      <c r="C866" s="34" t="e">
        <f>IF(Sheet2!#REF!&lt;&gt;"",Sheet2!#REF!,"")</f>
        <v>#REF!</v>
      </c>
      <c r="D866" s="35" t="str">
        <f t="shared" ca="1" si="28"/>
        <v/>
      </c>
      <c r="E866" s="3"/>
      <c r="F866" s="3"/>
      <c r="G866" s="3"/>
      <c r="H866" s="3"/>
      <c r="K866" t="str">
        <f t="shared" ca="1" si="29"/>
        <v/>
      </c>
    </row>
    <row r="867" spans="1:11">
      <c r="A867" s="23" t="e">
        <f>IF(Sheet2!#REF!&lt;&gt;"",Sheet2!#REF!,"")</f>
        <v>#REF!</v>
      </c>
      <c r="B867" s="33" t="e">
        <f>IF(Sheet2!#REF!&lt;&gt;"",Sheet2!#REF!,"")</f>
        <v>#REF!</v>
      </c>
      <c r="C867" s="34" t="e">
        <f>IF(Sheet2!#REF!&lt;&gt;"",Sheet2!#REF!,"")</f>
        <v>#REF!</v>
      </c>
      <c r="D867" s="35" t="str">
        <f t="shared" ca="1" si="28"/>
        <v/>
      </c>
      <c r="E867" s="3"/>
      <c r="F867" s="3"/>
      <c r="G867" s="3"/>
      <c r="H867" s="3"/>
      <c r="K867" t="str">
        <f t="shared" ca="1" si="29"/>
        <v/>
      </c>
    </row>
    <row r="868" spans="1:11">
      <c r="A868" s="23" t="e">
        <f>IF(Sheet2!#REF!&lt;&gt;"",Sheet2!#REF!,"")</f>
        <v>#REF!</v>
      </c>
      <c r="B868" s="33" t="e">
        <f>IF(Sheet2!#REF!&lt;&gt;"",Sheet2!#REF!,"")</f>
        <v>#REF!</v>
      </c>
      <c r="C868" s="34" t="e">
        <f>IF(Sheet2!#REF!&lt;&gt;"",Sheet2!#REF!,"")</f>
        <v>#REF!</v>
      </c>
      <c r="D868" s="35" t="str">
        <f t="shared" ca="1" si="28"/>
        <v/>
      </c>
      <c r="E868" s="3"/>
      <c r="F868" s="3"/>
      <c r="G868" s="3"/>
      <c r="H868" s="3"/>
      <c r="K868" t="str">
        <f t="shared" ca="1" si="29"/>
        <v/>
      </c>
    </row>
    <row r="869" spans="1:11">
      <c r="A869" s="23" t="e">
        <f>IF(Sheet2!#REF!&lt;&gt;"",Sheet2!#REF!,"")</f>
        <v>#REF!</v>
      </c>
      <c r="B869" s="33" t="e">
        <f>IF(Sheet2!#REF!&lt;&gt;"",Sheet2!#REF!,"")</f>
        <v>#REF!</v>
      </c>
      <c r="C869" s="34" t="e">
        <f>IF(Sheet2!#REF!&lt;&gt;"",Sheet2!#REF!,"")</f>
        <v>#REF!</v>
      </c>
      <c r="D869" s="35" t="str">
        <f t="shared" ca="1" si="28"/>
        <v/>
      </c>
      <c r="E869" s="3"/>
      <c r="F869" s="3"/>
      <c r="G869" s="3"/>
      <c r="H869" s="3"/>
      <c r="K869" t="str">
        <f t="shared" ca="1" si="29"/>
        <v/>
      </c>
    </row>
    <row r="870" spans="1:11">
      <c r="A870" s="23" t="e">
        <f>IF(Sheet2!#REF!&lt;&gt;"",Sheet2!#REF!,"")</f>
        <v>#REF!</v>
      </c>
      <c r="B870" s="33" t="e">
        <f>IF(Sheet2!#REF!&lt;&gt;"",Sheet2!#REF!,"")</f>
        <v>#REF!</v>
      </c>
      <c r="C870" s="34" t="e">
        <f>IF(Sheet2!#REF!&lt;&gt;"",Sheet2!#REF!,"")</f>
        <v>#REF!</v>
      </c>
      <c r="D870" s="35" t="str">
        <f t="shared" ca="1" si="28"/>
        <v/>
      </c>
      <c r="E870" s="3"/>
      <c r="F870" s="3"/>
      <c r="G870" s="3"/>
      <c r="H870" s="3"/>
      <c r="K870" t="str">
        <f t="shared" ca="1" si="29"/>
        <v/>
      </c>
    </row>
    <row r="871" spans="1:11">
      <c r="A871" s="23" t="e">
        <f>IF(Sheet2!#REF!&lt;&gt;"",Sheet2!#REF!,"")</f>
        <v>#REF!</v>
      </c>
      <c r="B871" s="33" t="e">
        <f>IF(Sheet2!#REF!&lt;&gt;"",Sheet2!#REF!,"")</f>
        <v>#REF!</v>
      </c>
      <c r="C871" s="34" t="e">
        <f>IF(Sheet2!#REF!&lt;&gt;"",Sheet2!#REF!,"")</f>
        <v>#REF!</v>
      </c>
      <c r="D871" s="35" t="str">
        <f t="shared" ca="1" si="28"/>
        <v/>
      </c>
      <c r="E871" s="3"/>
      <c r="F871" s="3"/>
      <c r="G871" s="3"/>
      <c r="H871" s="3"/>
      <c r="K871" t="str">
        <f t="shared" ca="1" si="29"/>
        <v/>
      </c>
    </row>
    <row r="872" spans="1:11">
      <c r="A872" s="23" t="e">
        <f>IF(Sheet2!#REF!&lt;&gt;"",Sheet2!#REF!,"")</f>
        <v>#REF!</v>
      </c>
      <c r="B872" s="33" t="e">
        <f>IF(Sheet2!#REF!&lt;&gt;"",Sheet2!#REF!,"")</f>
        <v>#REF!</v>
      </c>
      <c r="C872" s="34" t="e">
        <f>IF(Sheet2!#REF!&lt;&gt;"",Sheet2!#REF!,"")</f>
        <v>#REF!</v>
      </c>
      <c r="D872" s="35" t="str">
        <f t="shared" ca="1" si="28"/>
        <v/>
      </c>
      <c r="E872" s="3"/>
      <c r="F872" s="3"/>
      <c r="G872" s="3"/>
      <c r="H872" s="3"/>
      <c r="K872" t="str">
        <f t="shared" ca="1" si="29"/>
        <v/>
      </c>
    </row>
    <row r="873" spans="1:11">
      <c r="A873" s="23" t="e">
        <f>IF(Sheet2!#REF!&lt;&gt;"",Sheet2!#REF!,"")</f>
        <v>#REF!</v>
      </c>
      <c r="B873" s="33" t="e">
        <f>IF(Sheet2!#REF!&lt;&gt;"",Sheet2!#REF!,"")</f>
        <v>#REF!</v>
      </c>
      <c r="C873" s="34" t="e">
        <f>IF(Sheet2!#REF!&lt;&gt;"",Sheet2!#REF!,"")</f>
        <v>#REF!</v>
      </c>
      <c r="D873" s="35" t="str">
        <f t="shared" ca="1" si="28"/>
        <v/>
      </c>
      <c r="E873" s="3"/>
      <c r="F873" s="3"/>
      <c r="G873" s="3"/>
      <c r="H873" s="3"/>
      <c r="K873" t="str">
        <f t="shared" ca="1" si="29"/>
        <v/>
      </c>
    </row>
    <row r="874" spans="1:11">
      <c r="A874" s="23" t="e">
        <f>IF(Sheet2!#REF!&lt;&gt;"",Sheet2!#REF!,"")</f>
        <v>#REF!</v>
      </c>
      <c r="B874" s="33" t="e">
        <f>IF(Sheet2!#REF!&lt;&gt;"",Sheet2!#REF!,"")</f>
        <v>#REF!</v>
      </c>
      <c r="C874" s="34" t="e">
        <f>IF(Sheet2!#REF!&lt;&gt;"",Sheet2!#REF!,"")</f>
        <v>#REF!</v>
      </c>
      <c r="D874" s="35" t="str">
        <f t="shared" ca="1" si="28"/>
        <v/>
      </c>
      <c r="E874" s="3"/>
      <c r="F874" s="3"/>
      <c r="G874" s="3"/>
      <c r="H874" s="3"/>
      <c r="K874" t="str">
        <f t="shared" ca="1" si="29"/>
        <v/>
      </c>
    </row>
    <row r="875" spans="1:11">
      <c r="A875" s="23" t="e">
        <f>IF(Sheet2!#REF!&lt;&gt;"",Sheet2!#REF!,"")</f>
        <v>#REF!</v>
      </c>
      <c r="B875" s="33" t="e">
        <f>IF(Sheet2!#REF!&lt;&gt;"",Sheet2!#REF!,"")</f>
        <v>#REF!</v>
      </c>
      <c r="C875" s="34" t="e">
        <f>IF(Sheet2!#REF!&lt;&gt;"",Sheet2!#REF!,"")</f>
        <v>#REF!</v>
      </c>
      <c r="D875" s="35" t="str">
        <f t="shared" ca="1" si="28"/>
        <v/>
      </c>
      <c r="E875" s="3"/>
      <c r="F875" s="3"/>
      <c r="G875" s="3"/>
      <c r="H875" s="3"/>
      <c r="K875" t="str">
        <f t="shared" ca="1" si="29"/>
        <v/>
      </c>
    </row>
    <row r="876" spans="1:11">
      <c r="A876" s="23" t="e">
        <f>IF(Sheet2!#REF!&lt;&gt;"",Sheet2!#REF!,"")</f>
        <v>#REF!</v>
      </c>
      <c r="B876" s="33" t="e">
        <f>IF(Sheet2!#REF!&lt;&gt;"",Sheet2!#REF!,"")</f>
        <v>#REF!</v>
      </c>
      <c r="C876" s="34" t="e">
        <f>IF(Sheet2!#REF!&lt;&gt;"",Sheet2!#REF!,"")</f>
        <v>#REF!</v>
      </c>
      <c r="D876" s="35" t="str">
        <f t="shared" ca="1" si="28"/>
        <v/>
      </c>
      <c r="E876" s="3"/>
      <c r="F876" s="3"/>
      <c r="G876" s="3"/>
      <c r="H876" s="3"/>
      <c r="K876" t="str">
        <f t="shared" ca="1" si="29"/>
        <v/>
      </c>
    </row>
    <row r="877" spans="1:11">
      <c r="A877" s="23" t="e">
        <f>IF(Sheet2!#REF!&lt;&gt;"",Sheet2!#REF!,"")</f>
        <v>#REF!</v>
      </c>
      <c r="B877" s="33" t="e">
        <f>IF(Sheet2!#REF!&lt;&gt;"",Sheet2!#REF!,"")</f>
        <v>#REF!</v>
      </c>
      <c r="C877" s="34" t="e">
        <f>IF(Sheet2!#REF!&lt;&gt;"",Sheet2!#REF!,"")</f>
        <v>#REF!</v>
      </c>
      <c r="D877" s="35" t="str">
        <f t="shared" ca="1" si="28"/>
        <v/>
      </c>
      <c r="E877" s="3"/>
      <c r="F877" s="3"/>
      <c r="G877" s="3"/>
      <c r="H877" s="3"/>
      <c r="K877" t="str">
        <f t="shared" ca="1" si="29"/>
        <v/>
      </c>
    </row>
    <row r="878" spans="1:11">
      <c r="A878" s="23" t="e">
        <f>IF(Sheet2!#REF!&lt;&gt;"",Sheet2!#REF!,"")</f>
        <v>#REF!</v>
      </c>
      <c r="B878" s="33" t="e">
        <f>IF(Sheet2!#REF!&lt;&gt;"",Sheet2!#REF!,"")</f>
        <v>#REF!</v>
      </c>
      <c r="C878" s="34" t="e">
        <f>IF(Sheet2!#REF!&lt;&gt;"",Sheet2!#REF!,"")</f>
        <v>#REF!</v>
      </c>
      <c r="D878" s="35" t="str">
        <f t="shared" ca="1" si="28"/>
        <v/>
      </c>
      <c r="E878" s="3"/>
      <c r="F878" s="3"/>
      <c r="G878" s="3"/>
      <c r="H878" s="3"/>
      <c r="K878" t="str">
        <f t="shared" ca="1" si="29"/>
        <v/>
      </c>
    </row>
    <row r="879" spans="1:11">
      <c r="A879" s="23" t="e">
        <f>IF(Sheet2!#REF!&lt;&gt;"",Sheet2!#REF!,"")</f>
        <v>#REF!</v>
      </c>
      <c r="B879" s="33" t="e">
        <f>IF(Sheet2!#REF!&lt;&gt;"",Sheet2!#REF!,"")</f>
        <v>#REF!</v>
      </c>
      <c r="C879" s="34" t="e">
        <f>IF(Sheet2!#REF!&lt;&gt;"",Sheet2!#REF!,"")</f>
        <v>#REF!</v>
      </c>
      <c r="D879" s="35" t="str">
        <f t="shared" ca="1" si="28"/>
        <v/>
      </c>
      <c r="E879" s="3"/>
      <c r="F879" s="3"/>
      <c r="G879" s="3"/>
      <c r="H879" s="3"/>
      <c r="K879" t="str">
        <f t="shared" ca="1" si="29"/>
        <v/>
      </c>
    </row>
    <row r="880" spans="1:11">
      <c r="A880" s="23" t="e">
        <f>IF(Sheet2!#REF!&lt;&gt;"",Sheet2!#REF!,"")</f>
        <v>#REF!</v>
      </c>
      <c r="B880" s="33" t="e">
        <f>IF(Sheet2!#REF!&lt;&gt;"",Sheet2!#REF!,"")</f>
        <v>#REF!</v>
      </c>
      <c r="C880" s="34" t="e">
        <f>IF(Sheet2!#REF!&lt;&gt;"",Sheet2!#REF!,"")</f>
        <v>#REF!</v>
      </c>
      <c r="D880" s="35" t="str">
        <f t="shared" ca="1" si="28"/>
        <v/>
      </c>
      <c r="E880" s="3"/>
      <c r="F880" s="3"/>
      <c r="G880" s="3"/>
      <c r="H880" s="3"/>
      <c r="K880" t="str">
        <f t="shared" ca="1" si="29"/>
        <v/>
      </c>
    </row>
    <row r="881" spans="1:11">
      <c r="A881" s="23" t="e">
        <f>IF(Sheet2!#REF!&lt;&gt;"",Sheet2!#REF!,"")</f>
        <v>#REF!</v>
      </c>
      <c r="B881" s="33" t="e">
        <f>IF(Sheet2!#REF!&lt;&gt;"",Sheet2!#REF!,"")</f>
        <v>#REF!</v>
      </c>
      <c r="C881" s="34" t="e">
        <f>IF(Sheet2!#REF!&lt;&gt;"",Sheet2!#REF!,"")</f>
        <v>#REF!</v>
      </c>
      <c r="D881" s="35" t="str">
        <f t="shared" ca="1" si="28"/>
        <v/>
      </c>
      <c r="E881" s="3"/>
      <c r="F881" s="3"/>
      <c r="G881" s="3"/>
      <c r="H881" s="3"/>
      <c r="K881" t="str">
        <f t="shared" ca="1" si="29"/>
        <v/>
      </c>
    </row>
    <row r="882" spans="1:11">
      <c r="A882" s="23" t="e">
        <f>IF(Sheet2!#REF!&lt;&gt;"",Sheet2!#REF!,"")</f>
        <v>#REF!</v>
      </c>
      <c r="B882" s="33" t="e">
        <f>IF(Sheet2!#REF!&lt;&gt;"",Sheet2!#REF!,"")</f>
        <v>#REF!</v>
      </c>
      <c r="C882" s="34" t="e">
        <f>IF(Sheet2!#REF!&lt;&gt;"",Sheet2!#REF!,"")</f>
        <v>#REF!</v>
      </c>
      <c r="D882" s="35" t="str">
        <f t="shared" ca="1" si="28"/>
        <v/>
      </c>
      <c r="E882" s="3"/>
      <c r="F882" s="3"/>
      <c r="G882" s="3"/>
      <c r="H882" s="3"/>
      <c r="K882" t="str">
        <f t="shared" ca="1" si="29"/>
        <v/>
      </c>
    </row>
    <row r="883" spans="1:11">
      <c r="A883" s="23" t="e">
        <f>IF(Sheet2!#REF!&lt;&gt;"",Sheet2!#REF!,"")</f>
        <v>#REF!</v>
      </c>
      <c r="B883" s="33" t="e">
        <f>IF(Sheet2!#REF!&lt;&gt;"",Sheet2!#REF!,"")</f>
        <v>#REF!</v>
      </c>
      <c r="C883" s="34" t="e">
        <f>IF(Sheet2!#REF!&lt;&gt;"",Sheet2!#REF!,"")</f>
        <v>#REF!</v>
      </c>
      <c r="D883" s="35" t="str">
        <f t="shared" ca="1" si="28"/>
        <v/>
      </c>
      <c r="E883" s="3"/>
      <c r="F883" s="3"/>
      <c r="G883" s="3"/>
      <c r="H883" s="3"/>
      <c r="K883" t="str">
        <f t="shared" ca="1" si="29"/>
        <v/>
      </c>
    </row>
    <row r="884" spans="1:11">
      <c r="A884" s="23" t="e">
        <f>IF(Sheet2!#REF!&lt;&gt;"",Sheet2!#REF!,"")</f>
        <v>#REF!</v>
      </c>
      <c r="B884" s="33" t="e">
        <f>IF(Sheet2!#REF!&lt;&gt;"",Sheet2!#REF!,"")</f>
        <v>#REF!</v>
      </c>
      <c r="C884" s="34" t="e">
        <f>IF(Sheet2!#REF!&lt;&gt;"",Sheet2!#REF!,"")</f>
        <v>#REF!</v>
      </c>
      <c r="D884" s="35" t="str">
        <f t="shared" ca="1" si="28"/>
        <v/>
      </c>
      <c r="E884" s="3"/>
      <c r="F884" s="3"/>
      <c r="G884" s="3"/>
      <c r="H884" s="3"/>
      <c r="K884" t="str">
        <f t="shared" ca="1" si="29"/>
        <v/>
      </c>
    </row>
    <row r="885" spans="1:11">
      <c r="A885" s="23" t="e">
        <f>IF(Sheet2!#REF!&lt;&gt;"",Sheet2!#REF!,"")</f>
        <v>#REF!</v>
      </c>
      <c r="B885" s="33" t="e">
        <f>IF(Sheet2!#REF!&lt;&gt;"",Sheet2!#REF!,"")</f>
        <v>#REF!</v>
      </c>
      <c r="C885" s="34" t="e">
        <f>IF(Sheet2!#REF!&lt;&gt;"",Sheet2!#REF!,"")</f>
        <v>#REF!</v>
      </c>
      <c r="D885" s="35" t="str">
        <f t="shared" ca="1" si="28"/>
        <v/>
      </c>
      <c r="E885" s="3"/>
      <c r="F885" s="3"/>
      <c r="G885" s="3"/>
      <c r="H885" s="3"/>
      <c r="K885" t="str">
        <f t="shared" ca="1" si="29"/>
        <v/>
      </c>
    </row>
    <row r="886" spans="1:11">
      <c r="A886" s="23" t="e">
        <f>IF(Sheet2!#REF!&lt;&gt;"",Sheet2!#REF!,"")</f>
        <v>#REF!</v>
      </c>
      <c r="B886" s="33" t="e">
        <f>IF(Sheet2!#REF!&lt;&gt;"",Sheet2!#REF!,"")</f>
        <v>#REF!</v>
      </c>
      <c r="C886" s="34" t="e">
        <f>IF(Sheet2!#REF!&lt;&gt;"",Sheet2!#REF!,"")</f>
        <v>#REF!</v>
      </c>
      <c r="D886" s="35" t="str">
        <f t="shared" ca="1" si="28"/>
        <v/>
      </c>
      <c r="E886" s="3"/>
      <c r="F886" s="3"/>
      <c r="G886" s="3"/>
      <c r="H886" s="3"/>
      <c r="K886" t="str">
        <f t="shared" ca="1" si="29"/>
        <v/>
      </c>
    </row>
    <row r="887" spans="1:11">
      <c r="A887" s="23" t="e">
        <f>IF(Sheet2!#REF!&lt;&gt;"",Sheet2!#REF!,"")</f>
        <v>#REF!</v>
      </c>
      <c r="B887" s="33" t="e">
        <f>IF(Sheet2!#REF!&lt;&gt;"",Sheet2!#REF!,"")</f>
        <v>#REF!</v>
      </c>
      <c r="C887" s="34" t="e">
        <f>IF(Sheet2!#REF!&lt;&gt;"",Sheet2!#REF!,"")</f>
        <v>#REF!</v>
      </c>
      <c r="D887" s="35" t="str">
        <f t="shared" ca="1" si="28"/>
        <v/>
      </c>
      <c r="E887" s="3"/>
      <c r="F887" s="3"/>
      <c r="G887" s="3"/>
      <c r="H887" s="3"/>
      <c r="K887" t="str">
        <f t="shared" ca="1" si="29"/>
        <v/>
      </c>
    </row>
    <row r="888" spans="1:11">
      <c r="A888" s="23" t="e">
        <f>IF(Sheet2!#REF!&lt;&gt;"",Sheet2!#REF!,"")</f>
        <v>#REF!</v>
      </c>
      <c r="B888" s="33" t="e">
        <f>IF(Sheet2!#REF!&lt;&gt;"",Sheet2!#REF!,"")</f>
        <v>#REF!</v>
      </c>
      <c r="C888" s="34" t="e">
        <f>IF(Sheet2!#REF!&lt;&gt;"",Sheet2!#REF!,"")</f>
        <v>#REF!</v>
      </c>
      <c r="D888" s="35" t="str">
        <f t="shared" ca="1" si="28"/>
        <v/>
      </c>
      <c r="E888" s="3"/>
      <c r="F888" s="3"/>
      <c r="G888" s="3"/>
      <c r="H888" s="3"/>
      <c r="K888" t="str">
        <f t="shared" ca="1" si="29"/>
        <v/>
      </c>
    </row>
    <row r="889" spans="1:11">
      <c r="A889" s="23" t="e">
        <f>IF(Sheet2!#REF!&lt;&gt;"",Sheet2!#REF!,"")</f>
        <v>#REF!</v>
      </c>
      <c r="B889" s="33" t="e">
        <f>IF(Sheet2!#REF!&lt;&gt;"",Sheet2!#REF!,"")</f>
        <v>#REF!</v>
      </c>
      <c r="C889" s="34" t="e">
        <f>IF(Sheet2!#REF!&lt;&gt;"",Sheet2!#REF!,"")</f>
        <v>#REF!</v>
      </c>
      <c r="D889" s="35" t="str">
        <f t="shared" ca="1" si="28"/>
        <v/>
      </c>
      <c r="E889" s="3"/>
      <c r="F889" s="3"/>
      <c r="G889" s="3"/>
      <c r="H889" s="3"/>
      <c r="K889" t="str">
        <f t="shared" ca="1" si="29"/>
        <v/>
      </c>
    </row>
    <row r="890" spans="1:11">
      <c r="A890" s="23" t="e">
        <f>IF(Sheet2!#REF!&lt;&gt;"",Sheet2!#REF!,"")</f>
        <v>#REF!</v>
      </c>
      <c r="B890" s="33" t="e">
        <f>IF(Sheet2!#REF!&lt;&gt;"",Sheet2!#REF!,"")</f>
        <v>#REF!</v>
      </c>
      <c r="C890" s="34" t="e">
        <f>IF(Sheet2!#REF!&lt;&gt;"",Sheet2!#REF!,"")</f>
        <v>#REF!</v>
      </c>
      <c r="D890" s="35" t="str">
        <f t="shared" ca="1" si="28"/>
        <v/>
      </c>
      <c r="E890" s="3"/>
      <c r="F890" s="3"/>
      <c r="G890" s="3"/>
      <c r="H890" s="3"/>
      <c r="K890" t="str">
        <f t="shared" ca="1" si="29"/>
        <v/>
      </c>
    </row>
    <row r="891" spans="1:11">
      <c r="A891" s="23" t="e">
        <f>IF(Sheet2!#REF!&lt;&gt;"",Sheet2!#REF!,"")</f>
        <v>#REF!</v>
      </c>
      <c r="B891" s="33" t="e">
        <f>IF(Sheet2!#REF!&lt;&gt;"",Sheet2!#REF!,"")</f>
        <v>#REF!</v>
      </c>
      <c r="C891" s="34" t="e">
        <f>IF(Sheet2!#REF!&lt;&gt;"",Sheet2!#REF!,"")</f>
        <v>#REF!</v>
      </c>
      <c r="D891" s="35" t="str">
        <f t="shared" ca="1" si="28"/>
        <v/>
      </c>
      <c r="E891" s="3"/>
      <c r="F891" s="3"/>
      <c r="G891" s="3"/>
      <c r="H891" s="3"/>
      <c r="K891" t="str">
        <f t="shared" ca="1" si="29"/>
        <v/>
      </c>
    </row>
    <row r="892" spans="1:11">
      <c r="A892" s="23" t="e">
        <f>IF(Sheet2!#REF!&lt;&gt;"",Sheet2!#REF!,"")</f>
        <v>#REF!</v>
      </c>
      <c r="B892" s="33" t="e">
        <f>IF(Sheet2!#REF!&lt;&gt;"",Sheet2!#REF!,"")</f>
        <v>#REF!</v>
      </c>
      <c r="C892" s="34" t="e">
        <f>IF(Sheet2!#REF!&lt;&gt;"",Sheet2!#REF!,"")</f>
        <v>#REF!</v>
      </c>
      <c r="D892" s="35" t="str">
        <f t="shared" ca="1" si="28"/>
        <v/>
      </c>
      <c r="E892" s="3"/>
      <c r="F892" s="3"/>
      <c r="G892" s="3"/>
      <c r="H892" s="3"/>
      <c r="K892" t="str">
        <f t="shared" ca="1" si="29"/>
        <v/>
      </c>
    </row>
    <row r="893" spans="1:11">
      <c r="A893" s="23" t="e">
        <f>IF(Sheet2!#REF!&lt;&gt;"",Sheet2!#REF!,"")</f>
        <v>#REF!</v>
      </c>
      <c r="B893" s="33" t="e">
        <f>IF(Sheet2!#REF!&lt;&gt;"",Sheet2!#REF!,"")</f>
        <v>#REF!</v>
      </c>
      <c r="C893" s="34" t="e">
        <f>IF(Sheet2!#REF!&lt;&gt;"",Sheet2!#REF!,"")</f>
        <v>#REF!</v>
      </c>
      <c r="D893" s="35" t="str">
        <f t="shared" ca="1" si="28"/>
        <v/>
      </c>
      <c r="E893" s="3"/>
      <c r="F893" s="3"/>
      <c r="G893" s="3"/>
      <c r="H893" s="3"/>
      <c r="K893" t="str">
        <f t="shared" ca="1" si="29"/>
        <v/>
      </c>
    </row>
    <row r="894" spans="1:11">
      <c r="A894" s="23" t="e">
        <f>IF(Sheet2!#REF!&lt;&gt;"",Sheet2!#REF!,"")</f>
        <v>#REF!</v>
      </c>
      <c r="B894" s="33" t="e">
        <f>IF(Sheet2!#REF!&lt;&gt;"",Sheet2!#REF!,"")</f>
        <v>#REF!</v>
      </c>
      <c r="C894" s="34" t="e">
        <f>IF(Sheet2!#REF!&lt;&gt;"",Sheet2!#REF!,"")</f>
        <v>#REF!</v>
      </c>
      <c r="D894" s="35" t="str">
        <f t="shared" ca="1" si="28"/>
        <v/>
      </c>
      <c r="E894" s="3"/>
      <c r="F894" s="3"/>
      <c r="G894" s="3"/>
      <c r="H894" s="3"/>
      <c r="K894" t="str">
        <f t="shared" ca="1" si="29"/>
        <v/>
      </c>
    </row>
    <row r="895" spans="1:11">
      <c r="A895" s="23" t="e">
        <f>IF(Sheet2!#REF!&lt;&gt;"",Sheet2!#REF!,"")</f>
        <v>#REF!</v>
      </c>
      <c r="B895" s="33" t="e">
        <f>IF(Sheet2!#REF!&lt;&gt;"",Sheet2!#REF!,"")</f>
        <v>#REF!</v>
      </c>
      <c r="C895" s="34" t="e">
        <f>IF(Sheet2!#REF!&lt;&gt;"",Sheet2!#REF!,"")</f>
        <v>#REF!</v>
      </c>
      <c r="D895" s="35" t="str">
        <f t="shared" ca="1" si="28"/>
        <v/>
      </c>
      <c r="E895" s="3"/>
      <c r="F895" s="3"/>
      <c r="G895" s="3"/>
      <c r="H895" s="3"/>
      <c r="K895" t="str">
        <f t="shared" ca="1" si="29"/>
        <v/>
      </c>
    </row>
    <row r="896" spans="1:11">
      <c r="A896" s="23" t="e">
        <f>IF(Sheet2!#REF!&lt;&gt;"",Sheet2!#REF!,"")</f>
        <v>#REF!</v>
      </c>
      <c r="B896" s="33" t="e">
        <f>IF(Sheet2!#REF!&lt;&gt;"",Sheet2!#REF!,"")</f>
        <v>#REF!</v>
      </c>
      <c r="C896" s="34" t="e">
        <f>IF(Sheet2!#REF!&lt;&gt;"",Sheet2!#REF!,"")</f>
        <v>#REF!</v>
      </c>
      <c r="D896" s="35" t="str">
        <f t="shared" ca="1" si="28"/>
        <v/>
      </c>
      <c r="E896" s="3"/>
      <c r="F896" s="3"/>
      <c r="G896" s="3"/>
      <c r="H896" s="3"/>
      <c r="K896" t="str">
        <f t="shared" ca="1" si="29"/>
        <v/>
      </c>
    </row>
    <row r="897" spans="1:11">
      <c r="A897" s="23" t="e">
        <f>IF(Sheet2!#REF!&lt;&gt;"",Sheet2!#REF!,"")</f>
        <v>#REF!</v>
      </c>
      <c r="B897" s="33" t="e">
        <f>IF(Sheet2!#REF!&lt;&gt;"",Sheet2!#REF!,"")</f>
        <v>#REF!</v>
      </c>
      <c r="C897" s="34" t="e">
        <f>IF(Sheet2!#REF!&lt;&gt;"",Sheet2!#REF!,"")</f>
        <v>#REF!</v>
      </c>
      <c r="D897" s="35" t="str">
        <f t="shared" ca="1" si="28"/>
        <v/>
      </c>
      <c r="E897" s="3"/>
      <c r="F897" s="3"/>
      <c r="G897" s="3"/>
      <c r="H897" s="3"/>
      <c r="K897" t="str">
        <f t="shared" ca="1" si="29"/>
        <v/>
      </c>
    </row>
    <row r="898" spans="1:11">
      <c r="A898" s="23" t="e">
        <f>IF(Sheet2!#REF!&lt;&gt;"",Sheet2!#REF!,"")</f>
        <v>#REF!</v>
      </c>
      <c r="B898" s="33" t="e">
        <f>IF(Sheet2!#REF!&lt;&gt;"",Sheet2!#REF!,"")</f>
        <v>#REF!</v>
      </c>
      <c r="C898" s="34" t="e">
        <f>IF(Sheet2!#REF!&lt;&gt;"",Sheet2!#REF!,"")</f>
        <v>#REF!</v>
      </c>
      <c r="D898" s="35" t="str">
        <f t="shared" ca="1" si="28"/>
        <v/>
      </c>
      <c r="E898" s="3"/>
      <c r="F898" s="3"/>
      <c r="G898" s="3"/>
      <c r="H898" s="3"/>
      <c r="K898" t="str">
        <f t="shared" ca="1" si="29"/>
        <v/>
      </c>
    </row>
    <row r="899" spans="1:11">
      <c r="A899" s="23" t="e">
        <f>IF(Sheet2!#REF!&lt;&gt;"",Sheet2!#REF!,"")</f>
        <v>#REF!</v>
      </c>
      <c r="B899" s="33" t="e">
        <f>IF(Sheet2!#REF!&lt;&gt;"",Sheet2!#REF!,"")</f>
        <v>#REF!</v>
      </c>
      <c r="C899" s="34" t="e">
        <f>IF(Sheet2!#REF!&lt;&gt;"",Sheet2!#REF!,"")</f>
        <v>#REF!</v>
      </c>
      <c r="D899" s="35" t="str">
        <f t="shared" ref="D899:D962" ca="1" si="30">IFERROR(IF(AND((C899-TODAY())&lt;15,B899&lt;&gt;""),IF(I899="","Alert",""),""),"")</f>
        <v/>
      </c>
      <c r="E899" s="3"/>
      <c r="F899" s="3"/>
      <c r="G899" s="3"/>
      <c r="H899" s="3"/>
      <c r="K899" t="str">
        <f t="shared" ref="K899:K962" ca="1" si="31">IF(I899&lt;&gt;"",IF(J899="",IF(TODAY()-I899&gt;3,"ALERT",""),""),"")</f>
        <v/>
      </c>
    </row>
    <row r="900" spans="1:11">
      <c r="A900" s="23" t="e">
        <f>IF(Sheet2!#REF!&lt;&gt;"",Sheet2!#REF!,"")</f>
        <v>#REF!</v>
      </c>
      <c r="B900" s="33" t="e">
        <f>IF(Sheet2!#REF!&lt;&gt;"",Sheet2!#REF!,"")</f>
        <v>#REF!</v>
      </c>
      <c r="C900" s="34" t="e">
        <f>IF(Sheet2!#REF!&lt;&gt;"",Sheet2!#REF!,"")</f>
        <v>#REF!</v>
      </c>
      <c r="D900" s="35" t="str">
        <f t="shared" ca="1" si="30"/>
        <v/>
      </c>
      <c r="E900" s="3"/>
      <c r="F900" s="3"/>
      <c r="G900" s="3"/>
      <c r="H900" s="3"/>
      <c r="K900" t="str">
        <f t="shared" ca="1" si="31"/>
        <v/>
      </c>
    </row>
    <row r="901" spans="1:11">
      <c r="A901" s="23" t="e">
        <f>IF(Sheet2!#REF!&lt;&gt;"",Sheet2!#REF!,"")</f>
        <v>#REF!</v>
      </c>
      <c r="B901" s="33" t="e">
        <f>IF(Sheet2!#REF!&lt;&gt;"",Sheet2!#REF!,"")</f>
        <v>#REF!</v>
      </c>
      <c r="C901" s="34" t="e">
        <f>IF(Sheet2!#REF!&lt;&gt;"",Sheet2!#REF!,"")</f>
        <v>#REF!</v>
      </c>
      <c r="D901" s="35" t="str">
        <f t="shared" ca="1" si="30"/>
        <v/>
      </c>
      <c r="E901" s="3"/>
      <c r="F901" s="3"/>
      <c r="G901" s="3"/>
      <c r="H901" s="3"/>
      <c r="K901" t="str">
        <f t="shared" ca="1" si="31"/>
        <v/>
      </c>
    </row>
    <row r="902" spans="1:11">
      <c r="A902" s="23" t="e">
        <f>IF(Sheet2!#REF!&lt;&gt;"",Sheet2!#REF!,"")</f>
        <v>#REF!</v>
      </c>
      <c r="B902" s="33" t="e">
        <f>IF(Sheet2!#REF!&lt;&gt;"",Sheet2!#REF!,"")</f>
        <v>#REF!</v>
      </c>
      <c r="C902" s="34" t="e">
        <f>IF(Sheet2!#REF!&lt;&gt;"",Sheet2!#REF!,"")</f>
        <v>#REF!</v>
      </c>
      <c r="D902" s="35" t="str">
        <f t="shared" ca="1" si="30"/>
        <v/>
      </c>
      <c r="E902" s="3"/>
      <c r="F902" s="3"/>
      <c r="G902" s="3"/>
      <c r="H902" s="3"/>
      <c r="K902" t="str">
        <f t="shared" ca="1" si="31"/>
        <v/>
      </c>
    </row>
    <row r="903" spans="1:11">
      <c r="A903" s="23" t="e">
        <f>IF(Sheet2!#REF!&lt;&gt;"",Sheet2!#REF!,"")</f>
        <v>#REF!</v>
      </c>
      <c r="B903" s="33" t="e">
        <f>IF(Sheet2!#REF!&lt;&gt;"",Sheet2!#REF!,"")</f>
        <v>#REF!</v>
      </c>
      <c r="C903" s="34" t="e">
        <f>IF(Sheet2!#REF!&lt;&gt;"",Sheet2!#REF!,"")</f>
        <v>#REF!</v>
      </c>
      <c r="D903" s="35" t="str">
        <f t="shared" ca="1" si="30"/>
        <v/>
      </c>
      <c r="E903" s="3"/>
      <c r="F903" s="3"/>
      <c r="G903" s="3"/>
      <c r="H903" s="3"/>
      <c r="K903" t="str">
        <f t="shared" ca="1" si="31"/>
        <v/>
      </c>
    </row>
    <row r="904" spans="1:11">
      <c r="A904" s="23" t="e">
        <f>IF(Sheet2!#REF!&lt;&gt;"",Sheet2!#REF!,"")</f>
        <v>#REF!</v>
      </c>
      <c r="B904" s="33" t="e">
        <f>IF(Sheet2!#REF!&lt;&gt;"",Sheet2!#REF!,"")</f>
        <v>#REF!</v>
      </c>
      <c r="C904" s="34" t="e">
        <f>IF(Sheet2!#REF!&lt;&gt;"",Sheet2!#REF!,"")</f>
        <v>#REF!</v>
      </c>
      <c r="D904" s="35" t="str">
        <f t="shared" ca="1" si="30"/>
        <v/>
      </c>
      <c r="E904" s="3"/>
      <c r="F904" s="3"/>
      <c r="G904" s="3"/>
      <c r="H904" s="3"/>
      <c r="K904" t="str">
        <f t="shared" ca="1" si="31"/>
        <v/>
      </c>
    </row>
    <row r="905" spans="1:11">
      <c r="A905" s="23" t="e">
        <f>IF(Sheet2!#REF!&lt;&gt;"",Sheet2!#REF!,"")</f>
        <v>#REF!</v>
      </c>
      <c r="B905" s="33" t="e">
        <f>IF(Sheet2!#REF!&lt;&gt;"",Sheet2!#REF!,"")</f>
        <v>#REF!</v>
      </c>
      <c r="C905" s="34" t="e">
        <f>IF(Sheet2!#REF!&lt;&gt;"",Sheet2!#REF!,"")</f>
        <v>#REF!</v>
      </c>
      <c r="D905" s="35" t="str">
        <f t="shared" ca="1" si="30"/>
        <v/>
      </c>
      <c r="E905" s="3"/>
      <c r="F905" s="3"/>
      <c r="G905" s="3"/>
      <c r="H905" s="3"/>
      <c r="K905" t="str">
        <f t="shared" ca="1" si="31"/>
        <v/>
      </c>
    </row>
    <row r="906" spans="1:11">
      <c r="A906" s="23" t="e">
        <f>IF(Sheet2!#REF!&lt;&gt;"",Sheet2!#REF!,"")</f>
        <v>#REF!</v>
      </c>
      <c r="B906" s="33" t="e">
        <f>IF(Sheet2!#REF!&lt;&gt;"",Sheet2!#REF!,"")</f>
        <v>#REF!</v>
      </c>
      <c r="C906" s="34" t="e">
        <f>IF(Sheet2!#REF!&lt;&gt;"",Sheet2!#REF!,"")</f>
        <v>#REF!</v>
      </c>
      <c r="D906" s="35" t="str">
        <f t="shared" ca="1" si="30"/>
        <v/>
      </c>
      <c r="E906" s="3"/>
      <c r="F906" s="3"/>
      <c r="G906" s="3"/>
      <c r="H906" s="3"/>
      <c r="K906" t="str">
        <f t="shared" ca="1" si="31"/>
        <v/>
      </c>
    </row>
    <row r="907" spans="1:11">
      <c r="A907" s="23" t="e">
        <f>IF(Sheet2!#REF!&lt;&gt;"",Sheet2!#REF!,"")</f>
        <v>#REF!</v>
      </c>
      <c r="B907" s="33" t="e">
        <f>IF(Sheet2!#REF!&lt;&gt;"",Sheet2!#REF!,"")</f>
        <v>#REF!</v>
      </c>
      <c r="C907" s="34" t="e">
        <f>IF(Sheet2!#REF!&lt;&gt;"",Sheet2!#REF!,"")</f>
        <v>#REF!</v>
      </c>
      <c r="D907" s="35" t="str">
        <f t="shared" ca="1" si="30"/>
        <v/>
      </c>
      <c r="E907" s="3"/>
      <c r="F907" s="3"/>
      <c r="G907" s="3"/>
      <c r="H907" s="3"/>
      <c r="K907" t="str">
        <f t="shared" ca="1" si="31"/>
        <v/>
      </c>
    </row>
    <row r="908" spans="1:11">
      <c r="A908" s="23" t="e">
        <f>IF(Sheet2!#REF!&lt;&gt;"",Sheet2!#REF!,"")</f>
        <v>#REF!</v>
      </c>
      <c r="B908" s="33" t="e">
        <f>IF(Sheet2!#REF!&lt;&gt;"",Sheet2!#REF!,"")</f>
        <v>#REF!</v>
      </c>
      <c r="C908" s="34" t="e">
        <f>IF(Sheet2!#REF!&lt;&gt;"",Sheet2!#REF!,"")</f>
        <v>#REF!</v>
      </c>
      <c r="D908" s="35" t="str">
        <f t="shared" ca="1" si="30"/>
        <v/>
      </c>
      <c r="E908" s="3"/>
      <c r="F908" s="3"/>
      <c r="G908" s="3"/>
      <c r="H908" s="3"/>
      <c r="K908" t="str">
        <f t="shared" ca="1" si="31"/>
        <v/>
      </c>
    </row>
    <row r="909" spans="1:11">
      <c r="A909" s="23" t="e">
        <f>IF(Sheet2!#REF!&lt;&gt;"",Sheet2!#REF!,"")</f>
        <v>#REF!</v>
      </c>
      <c r="B909" s="33" t="e">
        <f>IF(Sheet2!#REF!&lt;&gt;"",Sheet2!#REF!,"")</f>
        <v>#REF!</v>
      </c>
      <c r="C909" s="34" t="e">
        <f>IF(Sheet2!#REF!&lt;&gt;"",Sheet2!#REF!,"")</f>
        <v>#REF!</v>
      </c>
      <c r="D909" s="35" t="str">
        <f t="shared" ca="1" si="30"/>
        <v/>
      </c>
      <c r="E909" s="3"/>
      <c r="F909" s="3"/>
      <c r="G909" s="3"/>
      <c r="H909" s="3"/>
      <c r="K909" t="str">
        <f t="shared" ca="1" si="31"/>
        <v/>
      </c>
    </row>
    <row r="910" spans="1:11">
      <c r="A910" s="23" t="e">
        <f>IF(Sheet2!#REF!&lt;&gt;"",Sheet2!#REF!,"")</f>
        <v>#REF!</v>
      </c>
      <c r="B910" s="33" t="e">
        <f>IF(Sheet2!#REF!&lt;&gt;"",Sheet2!#REF!,"")</f>
        <v>#REF!</v>
      </c>
      <c r="C910" s="34" t="e">
        <f>IF(Sheet2!#REF!&lt;&gt;"",Sheet2!#REF!,"")</f>
        <v>#REF!</v>
      </c>
      <c r="D910" s="35" t="str">
        <f t="shared" ca="1" si="30"/>
        <v/>
      </c>
      <c r="E910" s="3"/>
      <c r="F910" s="3"/>
      <c r="G910" s="3"/>
      <c r="H910" s="3"/>
      <c r="K910" t="str">
        <f t="shared" ca="1" si="31"/>
        <v/>
      </c>
    </row>
    <row r="911" spans="1:11">
      <c r="A911" s="23" t="e">
        <f>IF(Sheet2!#REF!&lt;&gt;"",Sheet2!#REF!,"")</f>
        <v>#REF!</v>
      </c>
      <c r="B911" s="33" t="e">
        <f>IF(Sheet2!#REF!&lt;&gt;"",Sheet2!#REF!,"")</f>
        <v>#REF!</v>
      </c>
      <c r="C911" s="34" t="e">
        <f>IF(Sheet2!#REF!&lt;&gt;"",Sheet2!#REF!,"")</f>
        <v>#REF!</v>
      </c>
      <c r="D911" s="35" t="str">
        <f t="shared" ca="1" si="30"/>
        <v/>
      </c>
      <c r="E911" s="3"/>
      <c r="F911" s="3"/>
      <c r="G911" s="3"/>
      <c r="H911" s="3"/>
      <c r="K911" t="str">
        <f t="shared" ca="1" si="31"/>
        <v/>
      </c>
    </row>
    <row r="912" spans="1:11">
      <c r="A912" s="23" t="e">
        <f>IF(Sheet2!#REF!&lt;&gt;"",Sheet2!#REF!,"")</f>
        <v>#REF!</v>
      </c>
      <c r="B912" s="33" t="e">
        <f>IF(Sheet2!#REF!&lt;&gt;"",Sheet2!#REF!,"")</f>
        <v>#REF!</v>
      </c>
      <c r="C912" s="34" t="e">
        <f>IF(Sheet2!#REF!&lt;&gt;"",Sheet2!#REF!,"")</f>
        <v>#REF!</v>
      </c>
      <c r="D912" s="35" t="str">
        <f t="shared" ca="1" si="30"/>
        <v/>
      </c>
      <c r="E912" s="3"/>
      <c r="F912" s="3"/>
      <c r="G912" s="3"/>
      <c r="H912" s="3"/>
      <c r="K912" t="str">
        <f t="shared" ca="1" si="31"/>
        <v/>
      </c>
    </row>
    <row r="913" spans="1:11">
      <c r="A913" s="23" t="e">
        <f>IF(Sheet2!#REF!&lt;&gt;"",Sheet2!#REF!,"")</f>
        <v>#REF!</v>
      </c>
      <c r="B913" s="33" t="e">
        <f>IF(Sheet2!#REF!&lt;&gt;"",Sheet2!#REF!,"")</f>
        <v>#REF!</v>
      </c>
      <c r="C913" s="34" t="e">
        <f>IF(Sheet2!#REF!&lt;&gt;"",Sheet2!#REF!,"")</f>
        <v>#REF!</v>
      </c>
      <c r="D913" s="35" t="str">
        <f t="shared" ca="1" si="30"/>
        <v/>
      </c>
      <c r="E913" s="3"/>
      <c r="F913" s="3"/>
      <c r="G913" s="3"/>
      <c r="H913" s="3"/>
      <c r="K913" t="str">
        <f t="shared" ca="1" si="31"/>
        <v/>
      </c>
    </row>
    <row r="914" spans="1:11">
      <c r="A914" s="23" t="e">
        <f>IF(Sheet2!#REF!&lt;&gt;"",Sheet2!#REF!,"")</f>
        <v>#REF!</v>
      </c>
      <c r="B914" s="33" t="e">
        <f>IF(Sheet2!#REF!&lt;&gt;"",Sheet2!#REF!,"")</f>
        <v>#REF!</v>
      </c>
      <c r="C914" s="34" t="e">
        <f>IF(Sheet2!#REF!&lt;&gt;"",Sheet2!#REF!,"")</f>
        <v>#REF!</v>
      </c>
      <c r="D914" s="35" t="str">
        <f t="shared" ca="1" si="30"/>
        <v/>
      </c>
      <c r="E914" s="3"/>
      <c r="F914" s="3"/>
      <c r="G914" s="3"/>
      <c r="H914" s="3"/>
      <c r="K914" t="str">
        <f t="shared" ca="1" si="31"/>
        <v/>
      </c>
    </row>
    <row r="915" spans="1:11">
      <c r="A915" s="23" t="e">
        <f>IF(Sheet2!#REF!&lt;&gt;"",Sheet2!#REF!,"")</f>
        <v>#REF!</v>
      </c>
      <c r="B915" s="33" t="e">
        <f>IF(Sheet2!#REF!&lt;&gt;"",Sheet2!#REF!,"")</f>
        <v>#REF!</v>
      </c>
      <c r="C915" s="34" t="e">
        <f>IF(Sheet2!#REF!&lt;&gt;"",Sheet2!#REF!,"")</f>
        <v>#REF!</v>
      </c>
      <c r="D915" s="35" t="str">
        <f t="shared" ca="1" si="30"/>
        <v/>
      </c>
      <c r="E915" s="3"/>
      <c r="F915" s="3"/>
      <c r="G915" s="3"/>
      <c r="H915" s="3"/>
      <c r="K915" t="str">
        <f t="shared" ca="1" si="31"/>
        <v/>
      </c>
    </row>
    <row r="916" spans="1:11">
      <c r="A916" s="23" t="e">
        <f>IF(Sheet2!#REF!&lt;&gt;"",Sheet2!#REF!,"")</f>
        <v>#REF!</v>
      </c>
      <c r="B916" s="33" t="e">
        <f>IF(Sheet2!#REF!&lt;&gt;"",Sheet2!#REF!,"")</f>
        <v>#REF!</v>
      </c>
      <c r="C916" s="34" t="e">
        <f>IF(Sheet2!#REF!&lt;&gt;"",Sheet2!#REF!,"")</f>
        <v>#REF!</v>
      </c>
      <c r="D916" s="35" t="str">
        <f t="shared" ca="1" si="30"/>
        <v/>
      </c>
      <c r="E916" s="3"/>
      <c r="F916" s="3"/>
      <c r="G916" s="3"/>
      <c r="H916" s="3"/>
      <c r="K916" t="str">
        <f t="shared" ca="1" si="31"/>
        <v/>
      </c>
    </row>
    <row r="917" spans="1:11">
      <c r="A917" s="23" t="e">
        <f>IF(Sheet2!#REF!&lt;&gt;"",Sheet2!#REF!,"")</f>
        <v>#REF!</v>
      </c>
      <c r="B917" s="33" t="e">
        <f>IF(Sheet2!#REF!&lt;&gt;"",Sheet2!#REF!,"")</f>
        <v>#REF!</v>
      </c>
      <c r="C917" s="34" t="e">
        <f>IF(Sheet2!#REF!&lt;&gt;"",Sheet2!#REF!,"")</f>
        <v>#REF!</v>
      </c>
      <c r="D917" s="35" t="str">
        <f t="shared" ca="1" si="30"/>
        <v/>
      </c>
      <c r="E917" s="3"/>
      <c r="F917" s="3"/>
      <c r="G917" s="3"/>
      <c r="H917" s="3"/>
      <c r="K917" t="str">
        <f t="shared" ca="1" si="31"/>
        <v/>
      </c>
    </row>
    <row r="918" spans="1:11">
      <c r="A918" s="23" t="e">
        <f>IF(Sheet2!#REF!&lt;&gt;"",Sheet2!#REF!,"")</f>
        <v>#REF!</v>
      </c>
      <c r="B918" s="33" t="e">
        <f>IF(Sheet2!#REF!&lt;&gt;"",Sheet2!#REF!,"")</f>
        <v>#REF!</v>
      </c>
      <c r="C918" s="34" t="e">
        <f>IF(Sheet2!#REF!&lt;&gt;"",Sheet2!#REF!,"")</f>
        <v>#REF!</v>
      </c>
      <c r="D918" s="35" t="str">
        <f t="shared" ca="1" si="30"/>
        <v/>
      </c>
      <c r="E918" s="3"/>
      <c r="F918" s="3"/>
      <c r="G918" s="3"/>
      <c r="H918" s="3"/>
      <c r="K918" t="str">
        <f t="shared" ca="1" si="31"/>
        <v/>
      </c>
    </row>
    <row r="919" spans="1:11">
      <c r="A919" s="23" t="e">
        <f>IF(Sheet2!#REF!&lt;&gt;"",Sheet2!#REF!,"")</f>
        <v>#REF!</v>
      </c>
      <c r="B919" s="33" t="e">
        <f>IF(Sheet2!#REF!&lt;&gt;"",Sheet2!#REF!,"")</f>
        <v>#REF!</v>
      </c>
      <c r="C919" s="34" t="e">
        <f>IF(Sheet2!#REF!&lt;&gt;"",Sheet2!#REF!,"")</f>
        <v>#REF!</v>
      </c>
      <c r="D919" s="35" t="str">
        <f t="shared" ca="1" si="30"/>
        <v/>
      </c>
      <c r="E919" s="3"/>
      <c r="F919" s="3"/>
      <c r="G919" s="3"/>
      <c r="H919" s="3"/>
      <c r="K919" t="str">
        <f t="shared" ca="1" si="31"/>
        <v/>
      </c>
    </row>
    <row r="920" spans="1:11">
      <c r="A920" s="23" t="e">
        <f>IF(Sheet2!#REF!&lt;&gt;"",Sheet2!#REF!,"")</f>
        <v>#REF!</v>
      </c>
      <c r="B920" s="33" t="e">
        <f>IF(Sheet2!#REF!&lt;&gt;"",Sheet2!#REF!,"")</f>
        <v>#REF!</v>
      </c>
      <c r="C920" s="34" t="e">
        <f>IF(Sheet2!#REF!&lt;&gt;"",Sheet2!#REF!,"")</f>
        <v>#REF!</v>
      </c>
      <c r="D920" s="35" t="str">
        <f t="shared" ca="1" si="30"/>
        <v/>
      </c>
      <c r="E920" s="3"/>
      <c r="F920" s="3"/>
      <c r="G920" s="3"/>
      <c r="H920" s="3"/>
      <c r="K920" t="str">
        <f t="shared" ca="1" si="31"/>
        <v/>
      </c>
    </row>
    <row r="921" spans="1:11">
      <c r="A921" s="23" t="e">
        <f>IF(Sheet2!#REF!&lt;&gt;"",Sheet2!#REF!,"")</f>
        <v>#REF!</v>
      </c>
      <c r="B921" s="33" t="e">
        <f>IF(Sheet2!#REF!&lt;&gt;"",Sheet2!#REF!,"")</f>
        <v>#REF!</v>
      </c>
      <c r="C921" s="34" t="e">
        <f>IF(Sheet2!#REF!&lt;&gt;"",Sheet2!#REF!,"")</f>
        <v>#REF!</v>
      </c>
      <c r="D921" s="35" t="str">
        <f t="shared" ca="1" si="30"/>
        <v/>
      </c>
      <c r="E921" s="3"/>
      <c r="F921" s="3"/>
      <c r="G921" s="3"/>
      <c r="H921" s="3"/>
      <c r="K921" t="str">
        <f t="shared" ca="1" si="31"/>
        <v/>
      </c>
    </row>
    <row r="922" spans="1:11">
      <c r="A922" s="23" t="e">
        <f>IF(Sheet2!#REF!&lt;&gt;"",Sheet2!#REF!,"")</f>
        <v>#REF!</v>
      </c>
      <c r="B922" s="33" t="e">
        <f>IF(Sheet2!#REF!&lt;&gt;"",Sheet2!#REF!,"")</f>
        <v>#REF!</v>
      </c>
      <c r="C922" s="34" t="e">
        <f>IF(Sheet2!#REF!&lt;&gt;"",Sheet2!#REF!,"")</f>
        <v>#REF!</v>
      </c>
      <c r="D922" s="35" t="str">
        <f t="shared" ca="1" si="30"/>
        <v/>
      </c>
      <c r="E922" s="3"/>
      <c r="F922" s="3"/>
      <c r="G922" s="3"/>
      <c r="H922" s="3"/>
      <c r="K922" t="str">
        <f t="shared" ca="1" si="31"/>
        <v/>
      </c>
    </row>
    <row r="923" spans="1:11">
      <c r="A923" s="23" t="e">
        <f>IF(Sheet2!#REF!&lt;&gt;"",Sheet2!#REF!,"")</f>
        <v>#REF!</v>
      </c>
      <c r="B923" s="33" t="e">
        <f>IF(Sheet2!#REF!&lt;&gt;"",Sheet2!#REF!,"")</f>
        <v>#REF!</v>
      </c>
      <c r="C923" s="34" t="e">
        <f>IF(Sheet2!#REF!&lt;&gt;"",Sheet2!#REF!,"")</f>
        <v>#REF!</v>
      </c>
      <c r="D923" s="35" t="str">
        <f t="shared" ca="1" si="30"/>
        <v/>
      </c>
      <c r="E923" s="3"/>
      <c r="F923" s="3"/>
      <c r="G923" s="3"/>
      <c r="H923" s="3"/>
      <c r="K923" t="str">
        <f t="shared" ca="1" si="31"/>
        <v/>
      </c>
    </row>
    <row r="924" spans="1:11">
      <c r="A924" s="23" t="e">
        <f>IF(Sheet2!#REF!&lt;&gt;"",Sheet2!#REF!,"")</f>
        <v>#REF!</v>
      </c>
      <c r="B924" s="33" t="e">
        <f>IF(Sheet2!#REF!&lt;&gt;"",Sheet2!#REF!,"")</f>
        <v>#REF!</v>
      </c>
      <c r="C924" s="34" t="e">
        <f>IF(Sheet2!#REF!&lt;&gt;"",Sheet2!#REF!,"")</f>
        <v>#REF!</v>
      </c>
      <c r="D924" s="35" t="str">
        <f t="shared" ca="1" si="30"/>
        <v/>
      </c>
      <c r="E924" s="3"/>
      <c r="F924" s="3"/>
      <c r="G924" s="3"/>
      <c r="H924" s="3"/>
      <c r="K924" t="str">
        <f t="shared" ca="1" si="31"/>
        <v/>
      </c>
    </row>
    <row r="925" spans="1:11">
      <c r="A925" s="23" t="e">
        <f>IF(Sheet2!#REF!&lt;&gt;"",Sheet2!#REF!,"")</f>
        <v>#REF!</v>
      </c>
      <c r="B925" s="33" t="e">
        <f>IF(Sheet2!#REF!&lt;&gt;"",Sheet2!#REF!,"")</f>
        <v>#REF!</v>
      </c>
      <c r="C925" s="34" t="e">
        <f>IF(Sheet2!#REF!&lt;&gt;"",Sheet2!#REF!,"")</f>
        <v>#REF!</v>
      </c>
      <c r="D925" s="35" t="str">
        <f t="shared" ca="1" si="30"/>
        <v/>
      </c>
      <c r="E925" s="3"/>
      <c r="F925" s="3"/>
      <c r="G925" s="3"/>
      <c r="H925" s="3"/>
      <c r="K925" t="str">
        <f t="shared" ca="1" si="31"/>
        <v/>
      </c>
    </row>
    <row r="926" spans="1:11">
      <c r="A926" s="23" t="e">
        <f>IF(Sheet2!#REF!&lt;&gt;"",Sheet2!#REF!,"")</f>
        <v>#REF!</v>
      </c>
      <c r="B926" s="33" t="e">
        <f>IF(Sheet2!#REF!&lt;&gt;"",Sheet2!#REF!,"")</f>
        <v>#REF!</v>
      </c>
      <c r="C926" s="34" t="e">
        <f>IF(Sheet2!#REF!&lt;&gt;"",Sheet2!#REF!,"")</f>
        <v>#REF!</v>
      </c>
      <c r="D926" s="35" t="str">
        <f t="shared" ca="1" si="30"/>
        <v/>
      </c>
      <c r="E926" s="3"/>
      <c r="F926" s="3"/>
      <c r="G926" s="3"/>
      <c r="H926" s="3"/>
      <c r="K926" t="str">
        <f t="shared" ca="1" si="31"/>
        <v/>
      </c>
    </row>
    <row r="927" spans="1:11">
      <c r="A927" s="23" t="e">
        <f>IF(Sheet2!#REF!&lt;&gt;"",Sheet2!#REF!,"")</f>
        <v>#REF!</v>
      </c>
      <c r="B927" s="33" t="e">
        <f>IF(Sheet2!#REF!&lt;&gt;"",Sheet2!#REF!,"")</f>
        <v>#REF!</v>
      </c>
      <c r="C927" s="34" t="e">
        <f>IF(Sheet2!#REF!&lt;&gt;"",Sheet2!#REF!,"")</f>
        <v>#REF!</v>
      </c>
      <c r="D927" s="35" t="str">
        <f t="shared" ca="1" si="30"/>
        <v/>
      </c>
      <c r="E927" s="3"/>
      <c r="F927" s="3"/>
      <c r="G927" s="3"/>
      <c r="H927" s="3"/>
      <c r="K927" t="str">
        <f t="shared" ca="1" si="31"/>
        <v/>
      </c>
    </row>
    <row r="928" spans="1:11">
      <c r="A928" s="23" t="e">
        <f>IF(Sheet2!#REF!&lt;&gt;"",Sheet2!#REF!,"")</f>
        <v>#REF!</v>
      </c>
      <c r="B928" s="33" t="e">
        <f>IF(Sheet2!#REF!&lt;&gt;"",Sheet2!#REF!,"")</f>
        <v>#REF!</v>
      </c>
      <c r="C928" s="34" t="e">
        <f>IF(Sheet2!#REF!&lt;&gt;"",Sheet2!#REF!,"")</f>
        <v>#REF!</v>
      </c>
      <c r="D928" s="35" t="str">
        <f t="shared" ca="1" si="30"/>
        <v/>
      </c>
      <c r="E928" s="3"/>
      <c r="F928" s="3"/>
      <c r="G928" s="3"/>
      <c r="H928" s="3"/>
      <c r="K928" t="str">
        <f t="shared" ca="1" si="31"/>
        <v/>
      </c>
    </row>
    <row r="929" spans="1:11">
      <c r="A929" s="23" t="e">
        <f>IF(Sheet2!#REF!&lt;&gt;"",Sheet2!#REF!,"")</f>
        <v>#REF!</v>
      </c>
      <c r="B929" s="33" t="e">
        <f>IF(Sheet2!#REF!&lt;&gt;"",Sheet2!#REF!,"")</f>
        <v>#REF!</v>
      </c>
      <c r="C929" s="34" t="e">
        <f>IF(Sheet2!#REF!&lt;&gt;"",Sheet2!#REF!,"")</f>
        <v>#REF!</v>
      </c>
      <c r="D929" s="35" t="str">
        <f t="shared" ca="1" si="30"/>
        <v/>
      </c>
      <c r="E929" s="3"/>
      <c r="F929" s="3"/>
      <c r="G929" s="3"/>
      <c r="H929" s="3"/>
      <c r="K929" t="str">
        <f t="shared" ca="1" si="31"/>
        <v/>
      </c>
    </row>
    <row r="930" spans="1:11">
      <c r="A930" s="23" t="e">
        <f>IF(Sheet2!#REF!&lt;&gt;"",Sheet2!#REF!,"")</f>
        <v>#REF!</v>
      </c>
      <c r="B930" s="33" t="e">
        <f>IF(Sheet2!#REF!&lt;&gt;"",Sheet2!#REF!,"")</f>
        <v>#REF!</v>
      </c>
      <c r="C930" s="34" t="e">
        <f>IF(Sheet2!#REF!&lt;&gt;"",Sheet2!#REF!,"")</f>
        <v>#REF!</v>
      </c>
      <c r="D930" s="35" t="str">
        <f t="shared" ca="1" si="30"/>
        <v/>
      </c>
      <c r="E930" s="3"/>
      <c r="F930" s="3"/>
      <c r="G930" s="3"/>
      <c r="H930" s="3"/>
      <c r="K930" t="str">
        <f t="shared" ca="1" si="31"/>
        <v/>
      </c>
    </row>
    <row r="931" spans="1:11">
      <c r="A931" s="23" t="e">
        <f>IF(Sheet2!#REF!&lt;&gt;"",Sheet2!#REF!,"")</f>
        <v>#REF!</v>
      </c>
      <c r="B931" s="33" t="e">
        <f>IF(Sheet2!#REF!&lt;&gt;"",Sheet2!#REF!,"")</f>
        <v>#REF!</v>
      </c>
      <c r="C931" s="34" t="e">
        <f>IF(Sheet2!#REF!&lt;&gt;"",Sheet2!#REF!,"")</f>
        <v>#REF!</v>
      </c>
      <c r="D931" s="35" t="str">
        <f t="shared" ca="1" si="30"/>
        <v/>
      </c>
      <c r="E931" s="3"/>
      <c r="F931" s="3"/>
      <c r="G931" s="3"/>
      <c r="H931" s="3"/>
      <c r="K931" t="str">
        <f t="shared" ca="1" si="31"/>
        <v/>
      </c>
    </row>
    <row r="932" spans="1:11">
      <c r="A932" s="23" t="e">
        <f>IF(Sheet2!#REF!&lt;&gt;"",Sheet2!#REF!,"")</f>
        <v>#REF!</v>
      </c>
      <c r="B932" s="33" t="e">
        <f>IF(Sheet2!#REF!&lt;&gt;"",Sheet2!#REF!,"")</f>
        <v>#REF!</v>
      </c>
      <c r="C932" s="34" t="e">
        <f>IF(Sheet2!#REF!&lt;&gt;"",Sheet2!#REF!,"")</f>
        <v>#REF!</v>
      </c>
      <c r="D932" s="35" t="str">
        <f t="shared" ca="1" si="30"/>
        <v/>
      </c>
      <c r="E932" s="3"/>
      <c r="F932" s="3"/>
      <c r="G932" s="3"/>
      <c r="H932" s="3"/>
      <c r="K932" t="str">
        <f t="shared" ca="1" si="31"/>
        <v/>
      </c>
    </row>
    <row r="933" spans="1:11">
      <c r="A933" s="23" t="e">
        <f>IF(Sheet2!#REF!&lt;&gt;"",Sheet2!#REF!,"")</f>
        <v>#REF!</v>
      </c>
      <c r="B933" s="33" t="e">
        <f>IF(Sheet2!#REF!&lt;&gt;"",Sheet2!#REF!,"")</f>
        <v>#REF!</v>
      </c>
      <c r="C933" s="34" t="e">
        <f>IF(Sheet2!#REF!&lt;&gt;"",Sheet2!#REF!,"")</f>
        <v>#REF!</v>
      </c>
      <c r="D933" s="35" t="str">
        <f t="shared" ca="1" si="30"/>
        <v/>
      </c>
      <c r="E933" s="3"/>
      <c r="F933" s="3"/>
      <c r="G933" s="3"/>
      <c r="H933" s="3"/>
      <c r="K933" t="str">
        <f t="shared" ca="1" si="31"/>
        <v/>
      </c>
    </row>
    <row r="934" spans="1:11">
      <c r="A934" s="23" t="e">
        <f>IF(Sheet2!#REF!&lt;&gt;"",Sheet2!#REF!,"")</f>
        <v>#REF!</v>
      </c>
      <c r="B934" s="33" t="e">
        <f>IF(Sheet2!#REF!&lt;&gt;"",Sheet2!#REF!,"")</f>
        <v>#REF!</v>
      </c>
      <c r="C934" s="34" t="e">
        <f>IF(Sheet2!#REF!&lt;&gt;"",Sheet2!#REF!,"")</f>
        <v>#REF!</v>
      </c>
      <c r="D934" s="35" t="str">
        <f t="shared" ca="1" si="30"/>
        <v/>
      </c>
      <c r="E934" s="3"/>
      <c r="F934" s="3"/>
      <c r="G934" s="3"/>
      <c r="H934" s="3"/>
      <c r="K934" t="str">
        <f t="shared" ca="1" si="31"/>
        <v/>
      </c>
    </row>
    <row r="935" spans="1:11">
      <c r="A935" s="23" t="e">
        <f>IF(Sheet2!#REF!&lt;&gt;"",Sheet2!#REF!,"")</f>
        <v>#REF!</v>
      </c>
      <c r="B935" s="33" t="e">
        <f>IF(Sheet2!#REF!&lt;&gt;"",Sheet2!#REF!,"")</f>
        <v>#REF!</v>
      </c>
      <c r="C935" s="34" t="e">
        <f>IF(Sheet2!#REF!&lt;&gt;"",Sheet2!#REF!,"")</f>
        <v>#REF!</v>
      </c>
      <c r="D935" s="35" t="str">
        <f t="shared" ca="1" si="30"/>
        <v/>
      </c>
      <c r="E935" s="3"/>
      <c r="F935" s="3"/>
      <c r="G935" s="3"/>
      <c r="H935" s="3"/>
      <c r="K935" t="str">
        <f t="shared" ca="1" si="31"/>
        <v/>
      </c>
    </row>
    <row r="936" spans="1:11">
      <c r="A936" s="23" t="e">
        <f>IF(Sheet2!#REF!&lt;&gt;"",Sheet2!#REF!,"")</f>
        <v>#REF!</v>
      </c>
      <c r="B936" s="33" t="e">
        <f>IF(Sheet2!#REF!&lt;&gt;"",Sheet2!#REF!,"")</f>
        <v>#REF!</v>
      </c>
      <c r="C936" s="34" t="e">
        <f>IF(Sheet2!#REF!&lt;&gt;"",Sheet2!#REF!,"")</f>
        <v>#REF!</v>
      </c>
      <c r="D936" s="35" t="str">
        <f t="shared" ca="1" si="30"/>
        <v/>
      </c>
      <c r="E936" s="3"/>
      <c r="F936" s="3"/>
      <c r="G936" s="3"/>
      <c r="H936" s="3"/>
      <c r="K936" t="str">
        <f t="shared" ca="1" si="31"/>
        <v/>
      </c>
    </row>
    <row r="937" spans="1:11">
      <c r="A937" s="23" t="e">
        <f>IF(Sheet2!#REF!&lt;&gt;"",Sheet2!#REF!,"")</f>
        <v>#REF!</v>
      </c>
      <c r="B937" s="33" t="e">
        <f>IF(Sheet2!#REF!&lt;&gt;"",Sheet2!#REF!,"")</f>
        <v>#REF!</v>
      </c>
      <c r="C937" s="34" t="e">
        <f>IF(Sheet2!#REF!&lt;&gt;"",Sheet2!#REF!,"")</f>
        <v>#REF!</v>
      </c>
      <c r="D937" s="35" t="str">
        <f t="shared" ca="1" si="30"/>
        <v/>
      </c>
      <c r="E937" s="3"/>
      <c r="F937" s="3"/>
      <c r="G937" s="3"/>
      <c r="H937" s="3"/>
      <c r="K937" t="str">
        <f t="shared" ca="1" si="31"/>
        <v/>
      </c>
    </row>
    <row r="938" spans="1:11">
      <c r="A938" s="23" t="e">
        <f>IF(Sheet2!#REF!&lt;&gt;"",Sheet2!#REF!,"")</f>
        <v>#REF!</v>
      </c>
      <c r="B938" s="33" t="e">
        <f>IF(Sheet2!#REF!&lt;&gt;"",Sheet2!#REF!,"")</f>
        <v>#REF!</v>
      </c>
      <c r="C938" s="34" t="e">
        <f>IF(Sheet2!#REF!&lt;&gt;"",Sheet2!#REF!,"")</f>
        <v>#REF!</v>
      </c>
      <c r="D938" s="35" t="str">
        <f t="shared" ca="1" si="30"/>
        <v/>
      </c>
      <c r="E938" s="3"/>
      <c r="F938" s="3"/>
      <c r="G938" s="3"/>
      <c r="H938" s="3"/>
      <c r="K938" t="str">
        <f t="shared" ca="1" si="31"/>
        <v/>
      </c>
    </row>
    <row r="939" spans="1:11">
      <c r="A939" s="23" t="e">
        <f>IF(Sheet2!#REF!&lt;&gt;"",Sheet2!#REF!,"")</f>
        <v>#REF!</v>
      </c>
      <c r="B939" s="33" t="e">
        <f>IF(Sheet2!#REF!&lt;&gt;"",Sheet2!#REF!,"")</f>
        <v>#REF!</v>
      </c>
      <c r="C939" s="34" t="e">
        <f>IF(Sheet2!#REF!&lt;&gt;"",Sheet2!#REF!,"")</f>
        <v>#REF!</v>
      </c>
      <c r="D939" s="35" t="str">
        <f t="shared" ca="1" si="30"/>
        <v/>
      </c>
      <c r="E939" s="3"/>
      <c r="F939" s="3"/>
      <c r="G939" s="3"/>
      <c r="H939" s="3"/>
      <c r="K939" t="str">
        <f t="shared" ca="1" si="31"/>
        <v/>
      </c>
    </row>
    <row r="940" spans="1:11">
      <c r="A940" s="23" t="e">
        <f>IF(Sheet2!#REF!&lt;&gt;"",Sheet2!#REF!,"")</f>
        <v>#REF!</v>
      </c>
      <c r="B940" s="33" t="e">
        <f>IF(Sheet2!#REF!&lt;&gt;"",Sheet2!#REF!,"")</f>
        <v>#REF!</v>
      </c>
      <c r="C940" s="34" t="e">
        <f>IF(Sheet2!#REF!&lt;&gt;"",Sheet2!#REF!,"")</f>
        <v>#REF!</v>
      </c>
      <c r="D940" s="35" t="str">
        <f t="shared" ca="1" si="30"/>
        <v/>
      </c>
      <c r="E940" s="3"/>
      <c r="F940" s="3"/>
      <c r="G940" s="3"/>
      <c r="H940" s="3"/>
      <c r="K940" t="str">
        <f t="shared" ca="1" si="31"/>
        <v/>
      </c>
    </row>
    <row r="941" spans="1:11">
      <c r="A941" s="23" t="e">
        <f>IF(Sheet2!#REF!&lt;&gt;"",Sheet2!#REF!,"")</f>
        <v>#REF!</v>
      </c>
      <c r="B941" s="33" t="e">
        <f>IF(Sheet2!#REF!&lt;&gt;"",Sheet2!#REF!,"")</f>
        <v>#REF!</v>
      </c>
      <c r="C941" s="34" t="e">
        <f>IF(Sheet2!#REF!&lt;&gt;"",Sheet2!#REF!,"")</f>
        <v>#REF!</v>
      </c>
      <c r="D941" s="35" t="str">
        <f t="shared" ca="1" si="30"/>
        <v/>
      </c>
      <c r="E941" s="3"/>
      <c r="F941" s="3"/>
      <c r="G941" s="3"/>
      <c r="H941" s="3"/>
      <c r="K941" t="str">
        <f t="shared" ca="1" si="31"/>
        <v/>
      </c>
    </row>
    <row r="942" spans="1:11">
      <c r="A942" s="23" t="e">
        <f>IF(Sheet2!#REF!&lt;&gt;"",Sheet2!#REF!,"")</f>
        <v>#REF!</v>
      </c>
      <c r="B942" s="33" t="e">
        <f>IF(Sheet2!#REF!&lt;&gt;"",Sheet2!#REF!,"")</f>
        <v>#REF!</v>
      </c>
      <c r="C942" s="34" t="e">
        <f>IF(Sheet2!#REF!&lt;&gt;"",Sheet2!#REF!,"")</f>
        <v>#REF!</v>
      </c>
      <c r="D942" s="35" t="str">
        <f t="shared" ca="1" si="30"/>
        <v/>
      </c>
      <c r="E942" s="3"/>
      <c r="F942" s="3"/>
      <c r="G942" s="3"/>
      <c r="H942" s="3"/>
      <c r="K942" t="str">
        <f t="shared" ca="1" si="31"/>
        <v/>
      </c>
    </row>
    <row r="943" spans="1:11">
      <c r="A943" s="23" t="e">
        <f>IF(Sheet2!#REF!&lt;&gt;"",Sheet2!#REF!,"")</f>
        <v>#REF!</v>
      </c>
      <c r="B943" s="33" t="e">
        <f>IF(Sheet2!#REF!&lt;&gt;"",Sheet2!#REF!,"")</f>
        <v>#REF!</v>
      </c>
      <c r="C943" s="34" t="e">
        <f>IF(Sheet2!#REF!&lt;&gt;"",Sheet2!#REF!,"")</f>
        <v>#REF!</v>
      </c>
      <c r="D943" s="35" t="str">
        <f t="shared" ca="1" si="30"/>
        <v/>
      </c>
      <c r="E943" s="3"/>
      <c r="F943" s="3"/>
      <c r="G943" s="3"/>
      <c r="H943" s="3"/>
      <c r="K943" t="str">
        <f t="shared" ca="1" si="31"/>
        <v/>
      </c>
    </row>
    <row r="944" spans="1:11">
      <c r="A944" s="23" t="e">
        <f>IF(Sheet2!#REF!&lt;&gt;"",Sheet2!#REF!,"")</f>
        <v>#REF!</v>
      </c>
      <c r="B944" s="33" t="e">
        <f>IF(Sheet2!#REF!&lt;&gt;"",Sheet2!#REF!,"")</f>
        <v>#REF!</v>
      </c>
      <c r="C944" s="34" t="e">
        <f>IF(Sheet2!#REF!&lt;&gt;"",Sheet2!#REF!,"")</f>
        <v>#REF!</v>
      </c>
      <c r="D944" s="35" t="str">
        <f t="shared" ca="1" si="30"/>
        <v/>
      </c>
      <c r="E944" s="3"/>
      <c r="F944" s="3"/>
      <c r="G944" s="3"/>
      <c r="H944" s="3"/>
      <c r="K944" t="str">
        <f t="shared" ca="1" si="31"/>
        <v/>
      </c>
    </row>
    <row r="945" spans="1:11">
      <c r="A945" s="23" t="e">
        <f>IF(Sheet2!#REF!&lt;&gt;"",Sheet2!#REF!,"")</f>
        <v>#REF!</v>
      </c>
      <c r="B945" s="33" t="e">
        <f>IF(Sheet2!#REF!&lt;&gt;"",Sheet2!#REF!,"")</f>
        <v>#REF!</v>
      </c>
      <c r="C945" s="34" t="e">
        <f>IF(Sheet2!#REF!&lt;&gt;"",Sheet2!#REF!,"")</f>
        <v>#REF!</v>
      </c>
      <c r="D945" s="35" t="str">
        <f t="shared" ca="1" si="30"/>
        <v/>
      </c>
      <c r="E945" s="3"/>
      <c r="F945" s="3"/>
      <c r="G945" s="3"/>
      <c r="H945" s="3"/>
      <c r="K945" t="str">
        <f t="shared" ca="1" si="31"/>
        <v/>
      </c>
    </row>
    <row r="946" spans="1:11">
      <c r="A946" s="23" t="e">
        <f>IF(Sheet2!#REF!&lt;&gt;"",Sheet2!#REF!,"")</f>
        <v>#REF!</v>
      </c>
      <c r="B946" s="33" t="e">
        <f>IF(Sheet2!#REF!&lt;&gt;"",Sheet2!#REF!,"")</f>
        <v>#REF!</v>
      </c>
      <c r="C946" s="34" t="e">
        <f>IF(Sheet2!#REF!&lt;&gt;"",Sheet2!#REF!,"")</f>
        <v>#REF!</v>
      </c>
      <c r="D946" s="35" t="str">
        <f t="shared" ca="1" si="30"/>
        <v/>
      </c>
      <c r="E946" s="3"/>
      <c r="F946" s="3"/>
      <c r="G946" s="3"/>
      <c r="H946" s="3"/>
      <c r="K946" t="str">
        <f t="shared" ca="1" si="31"/>
        <v/>
      </c>
    </row>
    <row r="947" spans="1:11">
      <c r="A947" s="23" t="e">
        <f>IF(Sheet2!#REF!&lt;&gt;"",Sheet2!#REF!,"")</f>
        <v>#REF!</v>
      </c>
      <c r="B947" s="33" t="e">
        <f>IF(Sheet2!#REF!&lt;&gt;"",Sheet2!#REF!,"")</f>
        <v>#REF!</v>
      </c>
      <c r="C947" s="34" t="e">
        <f>IF(Sheet2!#REF!&lt;&gt;"",Sheet2!#REF!,"")</f>
        <v>#REF!</v>
      </c>
      <c r="D947" s="35" t="str">
        <f t="shared" ca="1" si="30"/>
        <v/>
      </c>
      <c r="E947" s="3"/>
      <c r="F947" s="3"/>
      <c r="G947" s="3"/>
      <c r="H947" s="3"/>
      <c r="K947" t="str">
        <f t="shared" ca="1" si="31"/>
        <v/>
      </c>
    </row>
    <row r="948" spans="1:11">
      <c r="A948" s="23" t="e">
        <f>IF(Sheet2!#REF!&lt;&gt;"",Sheet2!#REF!,"")</f>
        <v>#REF!</v>
      </c>
      <c r="B948" s="33" t="e">
        <f>IF(Sheet2!#REF!&lt;&gt;"",Sheet2!#REF!,"")</f>
        <v>#REF!</v>
      </c>
      <c r="C948" s="34" t="e">
        <f>IF(Sheet2!#REF!&lt;&gt;"",Sheet2!#REF!,"")</f>
        <v>#REF!</v>
      </c>
      <c r="D948" s="35" t="str">
        <f t="shared" ca="1" si="30"/>
        <v/>
      </c>
      <c r="E948" s="3"/>
      <c r="F948" s="3"/>
      <c r="G948" s="3"/>
      <c r="H948" s="3"/>
      <c r="K948" t="str">
        <f t="shared" ca="1" si="31"/>
        <v/>
      </c>
    </row>
    <row r="949" spans="1:11">
      <c r="A949" s="23" t="e">
        <f>IF(Sheet2!#REF!&lt;&gt;"",Sheet2!#REF!,"")</f>
        <v>#REF!</v>
      </c>
      <c r="B949" s="33" t="e">
        <f>IF(Sheet2!#REF!&lt;&gt;"",Sheet2!#REF!,"")</f>
        <v>#REF!</v>
      </c>
      <c r="C949" s="34" t="e">
        <f>IF(Sheet2!#REF!&lt;&gt;"",Sheet2!#REF!,"")</f>
        <v>#REF!</v>
      </c>
      <c r="D949" s="35" t="str">
        <f t="shared" ca="1" si="30"/>
        <v/>
      </c>
      <c r="E949" s="3"/>
      <c r="F949" s="3"/>
      <c r="G949" s="3"/>
      <c r="H949" s="3"/>
      <c r="K949" t="str">
        <f t="shared" ca="1" si="31"/>
        <v/>
      </c>
    </row>
    <row r="950" spans="1:11">
      <c r="A950" s="23" t="e">
        <f>IF(Sheet2!#REF!&lt;&gt;"",Sheet2!#REF!,"")</f>
        <v>#REF!</v>
      </c>
      <c r="B950" s="33" t="e">
        <f>IF(Sheet2!#REF!&lt;&gt;"",Sheet2!#REF!,"")</f>
        <v>#REF!</v>
      </c>
      <c r="C950" s="34" t="e">
        <f>IF(Sheet2!#REF!&lt;&gt;"",Sheet2!#REF!,"")</f>
        <v>#REF!</v>
      </c>
      <c r="D950" s="35" t="str">
        <f t="shared" ca="1" si="30"/>
        <v/>
      </c>
      <c r="E950" s="3"/>
      <c r="F950" s="3"/>
      <c r="G950" s="3"/>
      <c r="H950" s="3"/>
      <c r="K950" t="str">
        <f t="shared" ca="1" si="31"/>
        <v/>
      </c>
    </row>
    <row r="951" spans="1:11">
      <c r="A951" s="23" t="e">
        <f>IF(Sheet2!#REF!&lt;&gt;"",Sheet2!#REF!,"")</f>
        <v>#REF!</v>
      </c>
      <c r="B951" s="33" t="e">
        <f>IF(Sheet2!#REF!&lt;&gt;"",Sheet2!#REF!,"")</f>
        <v>#REF!</v>
      </c>
      <c r="C951" s="34" t="e">
        <f>IF(Sheet2!#REF!&lt;&gt;"",Sheet2!#REF!,"")</f>
        <v>#REF!</v>
      </c>
      <c r="D951" s="35" t="str">
        <f t="shared" ca="1" si="30"/>
        <v/>
      </c>
      <c r="E951" s="3"/>
      <c r="F951" s="3"/>
      <c r="G951" s="3"/>
      <c r="H951" s="3"/>
      <c r="K951" t="str">
        <f t="shared" ca="1" si="31"/>
        <v/>
      </c>
    </row>
    <row r="952" spans="1:11">
      <c r="A952" s="23" t="e">
        <f>IF(Sheet2!#REF!&lt;&gt;"",Sheet2!#REF!,"")</f>
        <v>#REF!</v>
      </c>
      <c r="B952" s="33" t="e">
        <f>IF(Sheet2!#REF!&lt;&gt;"",Sheet2!#REF!,"")</f>
        <v>#REF!</v>
      </c>
      <c r="C952" s="34" t="e">
        <f>IF(Sheet2!#REF!&lt;&gt;"",Sheet2!#REF!,"")</f>
        <v>#REF!</v>
      </c>
      <c r="D952" s="35" t="str">
        <f t="shared" ca="1" si="30"/>
        <v/>
      </c>
      <c r="E952" s="3"/>
      <c r="F952" s="3"/>
      <c r="G952" s="3"/>
      <c r="H952" s="3"/>
      <c r="K952" t="str">
        <f t="shared" ca="1" si="31"/>
        <v/>
      </c>
    </row>
    <row r="953" spans="1:11">
      <c r="A953" s="23" t="e">
        <f>IF(Sheet2!#REF!&lt;&gt;"",Sheet2!#REF!,"")</f>
        <v>#REF!</v>
      </c>
      <c r="B953" s="33" t="e">
        <f>IF(Sheet2!#REF!&lt;&gt;"",Sheet2!#REF!,"")</f>
        <v>#REF!</v>
      </c>
      <c r="C953" s="34" t="e">
        <f>IF(Sheet2!#REF!&lt;&gt;"",Sheet2!#REF!,"")</f>
        <v>#REF!</v>
      </c>
      <c r="D953" s="35" t="str">
        <f t="shared" ca="1" si="30"/>
        <v/>
      </c>
      <c r="E953" s="3"/>
      <c r="F953" s="3"/>
      <c r="G953" s="3"/>
      <c r="H953" s="3"/>
      <c r="K953" t="str">
        <f t="shared" ca="1" si="31"/>
        <v/>
      </c>
    </row>
    <row r="954" spans="1:11">
      <c r="A954" s="23" t="e">
        <f>IF(Sheet2!#REF!&lt;&gt;"",Sheet2!#REF!,"")</f>
        <v>#REF!</v>
      </c>
      <c r="B954" s="33" t="e">
        <f>IF(Sheet2!#REF!&lt;&gt;"",Sheet2!#REF!,"")</f>
        <v>#REF!</v>
      </c>
      <c r="C954" s="34" t="e">
        <f>IF(Sheet2!#REF!&lt;&gt;"",Sheet2!#REF!,"")</f>
        <v>#REF!</v>
      </c>
      <c r="D954" s="35" t="str">
        <f t="shared" ca="1" si="30"/>
        <v/>
      </c>
      <c r="E954" s="3"/>
      <c r="F954" s="3"/>
      <c r="G954" s="3"/>
      <c r="H954" s="3"/>
      <c r="K954" t="str">
        <f t="shared" ca="1" si="31"/>
        <v/>
      </c>
    </row>
    <row r="955" spans="1:11">
      <c r="A955" s="23" t="e">
        <f>IF(Sheet2!#REF!&lt;&gt;"",Sheet2!#REF!,"")</f>
        <v>#REF!</v>
      </c>
      <c r="B955" s="33" t="e">
        <f>IF(Sheet2!#REF!&lt;&gt;"",Sheet2!#REF!,"")</f>
        <v>#REF!</v>
      </c>
      <c r="C955" s="34" t="e">
        <f>IF(Sheet2!#REF!&lt;&gt;"",Sheet2!#REF!,"")</f>
        <v>#REF!</v>
      </c>
      <c r="D955" s="35" t="str">
        <f t="shared" ca="1" si="30"/>
        <v/>
      </c>
      <c r="E955" s="3"/>
      <c r="F955" s="3"/>
      <c r="G955" s="3"/>
      <c r="H955" s="3"/>
      <c r="K955" t="str">
        <f t="shared" ca="1" si="31"/>
        <v/>
      </c>
    </row>
    <row r="956" spans="1:11">
      <c r="A956" s="23" t="e">
        <f>IF(Sheet2!#REF!&lt;&gt;"",Sheet2!#REF!,"")</f>
        <v>#REF!</v>
      </c>
      <c r="B956" s="33" t="e">
        <f>IF(Sheet2!#REF!&lt;&gt;"",Sheet2!#REF!,"")</f>
        <v>#REF!</v>
      </c>
      <c r="C956" s="34" t="e">
        <f>IF(Sheet2!#REF!&lt;&gt;"",Sheet2!#REF!,"")</f>
        <v>#REF!</v>
      </c>
      <c r="D956" s="35" t="str">
        <f t="shared" ca="1" si="30"/>
        <v/>
      </c>
      <c r="E956" s="3"/>
      <c r="F956" s="3"/>
      <c r="G956" s="3"/>
      <c r="H956" s="3"/>
      <c r="K956" t="str">
        <f t="shared" ca="1" si="31"/>
        <v/>
      </c>
    </row>
    <row r="957" spans="1:11">
      <c r="A957" s="23" t="e">
        <f>IF(Sheet2!#REF!&lt;&gt;"",Sheet2!#REF!,"")</f>
        <v>#REF!</v>
      </c>
      <c r="B957" s="33" t="e">
        <f>IF(Sheet2!#REF!&lt;&gt;"",Sheet2!#REF!,"")</f>
        <v>#REF!</v>
      </c>
      <c r="C957" s="34" t="e">
        <f>IF(Sheet2!#REF!&lt;&gt;"",Sheet2!#REF!,"")</f>
        <v>#REF!</v>
      </c>
      <c r="D957" s="35" t="str">
        <f t="shared" ca="1" si="30"/>
        <v/>
      </c>
      <c r="E957" s="3"/>
      <c r="F957" s="3"/>
      <c r="G957" s="3"/>
      <c r="H957" s="3"/>
      <c r="K957" t="str">
        <f t="shared" ca="1" si="31"/>
        <v/>
      </c>
    </row>
    <row r="958" spans="1:11">
      <c r="A958" s="23" t="e">
        <f>IF(Sheet2!#REF!&lt;&gt;"",Sheet2!#REF!,"")</f>
        <v>#REF!</v>
      </c>
      <c r="B958" s="33" t="e">
        <f>IF(Sheet2!#REF!&lt;&gt;"",Sheet2!#REF!,"")</f>
        <v>#REF!</v>
      </c>
      <c r="C958" s="34" t="e">
        <f>IF(Sheet2!#REF!&lt;&gt;"",Sheet2!#REF!,"")</f>
        <v>#REF!</v>
      </c>
      <c r="D958" s="35" t="str">
        <f t="shared" ca="1" si="30"/>
        <v/>
      </c>
      <c r="E958" s="3"/>
      <c r="F958" s="3"/>
      <c r="G958" s="3"/>
      <c r="H958" s="3"/>
      <c r="K958" t="str">
        <f t="shared" ca="1" si="31"/>
        <v/>
      </c>
    </row>
    <row r="959" spans="1:11">
      <c r="A959" s="23" t="e">
        <f>IF(Sheet2!#REF!&lt;&gt;"",Sheet2!#REF!,"")</f>
        <v>#REF!</v>
      </c>
      <c r="B959" s="33" t="e">
        <f>IF(Sheet2!#REF!&lt;&gt;"",Sheet2!#REF!,"")</f>
        <v>#REF!</v>
      </c>
      <c r="C959" s="34" t="e">
        <f>IF(Sheet2!#REF!&lt;&gt;"",Sheet2!#REF!,"")</f>
        <v>#REF!</v>
      </c>
      <c r="D959" s="35" t="str">
        <f t="shared" ca="1" si="30"/>
        <v/>
      </c>
      <c r="E959" s="3"/>
      <c r="F959" s="3"/>
      <c r="G959" s="3"/>
      <c r="H959" s="3"/>
      <c r="K959" t="str">
        <f t="shared" ca="1" si="31"/>
        <v/>
      </c>
    </row>
    <row r="960" spans="1:11">
      <c r="A960" s="23" t="e">
        <f>IF(Sheet2!#REF!&lt;&gt;"",Sheet2!#REF!,"")</f>
        <v>#REF!</v>
      </c>
      <c r="B960" s="33" t="e">
        <f>IF(Sheet2!#REF!&lt;&gt;"",Sheet2!#REF!,"")</f>
        <v>#REF!</v>
      </c>
      <c r="C960" s="34" t="e">
        <f>IF(Sheet2!#REF!&lt;&gt;"",Sheet2!#REF!,"")</f>
        <v>#REF!</v>
      </c>
      <c r="D960" s="35" t="str">
        <f t="shared" ca="1" si="30"/>
        <v/>
      </c>
      <c r="E960" s="3"/>
      <c r="F960" s="3"/>
      <c r="G960" s="3"/>
      <c r="H960" s="3"/>
      <c r="K960" t="str">
        <f t="shared" ca="1" si="31"/>
        <v/>
      </c>
    </row>
    <row r="961" spans="1:11">
      <c r="A961" s="23" t="e">
        <f>IF(Sheet2!#REF!&lt;&gt;"",Sheet2!#REF!,"")</f>
        <v>#REF!</v>
      </c>
      <c r="B961" s="33" t="e">
        <f>IF(Sheet2!#REF!&lt;&gt;"",Sheet2!#REF!,"")</f>
        <v>#REF!</v>
      </c>
      <c r="C961" s="34" t="e">
        <f>IF(Sheet2!#REF!&lt;&gt;"",Sheet2!#REF!,"")</f>
        <v>#REF!</v>
      </c>
      <c r="D961" s="35" t="str">
        <f t="shared" ca="1" si="30"/>
        <v/>
      </c>
      <c r="E961" s="3"/>
      <c r="F961" s="3"/>
      <c r="G961" s="3"/>
      <c r="H961" s="3"/>
      <c r="K961" t="str">
        <f t="shared" ca="1" si="31"/>
        <v/>
      </c>
    </row>
    <row r="962" spans="1:11">
      <c r="A962" s="23" t="e">
        <f>IF(Sheet2!#REF!&lt;&gt;"",Sheet2!#REF!,"")</f>
        <v>#REF!</v>
      </c>
      <c r="B962" s="33" t="e">
        <f>IF(Sheet2!#REF!&lt;&gt;"",Sheet2!#REF!,"")</f>
        <v>#REF!</v>
      </c>
      <c r="C962" s="34" t="e">
        <f>IF(Sheet2!#REF!&lt;&gt;"",Sheet2!#REF!,"")</f>
        <v>#REF!</v>
      </c>
      <c r="D962" s="35" t="str">
        <f t="shared" ca="1" si="30"/>
        <v/>
      </c>
      <c r="E962" s="3"/>
      <c r="F962" s="3"/>
      <c r="G962" s="3"/>
      <c r="H962" s="3"/>
      <c r="K962" t="str">
        <f t="shared" ca="1" si="31"/>
        <v/>
      </c>
    </row>
    <row r="963" spans="1:11">
      <c r="A963" s="23" t="e">
        <f>IF(Sheet2!#REF!&lt;&gt;"",Sheet2!#REF!,"")</f>
        <v>#REF!</v>
      </c>
      <c r="B963" s="33" t="e">
        <f>IF(Sheet2!#REF!&lt;&gt;"",Sheet2!#REF!,"")</f>
        <v>#REF!</v>
      </c>
      <c r="C963" s="34" t="e">
        <f>IF(Sheet2!#REF!&lt;&gt;"",Sheet2!#REF!,"")</f>
        <v>#REF!</v>
      </c>
      <c r="D963" s="35" t="str">
        <f t="shared" ref="D963:D1026" ca="1" si="32">IFERROR(IF(AND((C963-TODAY())&lt;15,B963&lt;&gt;""),IF(I963="","Alert",""),""),"")</f>
        <v/>
      </c>
      <c r="E963" s="3"/>
      <c r="F963" s="3"/>
      <c r="G963" s="3"/>
      <c r="H963" s="3"/>
      <c r="K963" t="str">
        <f t="shared" ref="K963:K1026" ca="1" si="33">IF(I963&lt;&gt;"",IF(J963="",IF(TODAY()-I963&gt;3,"ALERT",""),""),"")</f>
        <v/>
      </c>
    </row>
    <row r="964" spans="1:11">
      <c r="A964" s="23" t="e">
        <f>IF(Sheet2!#REF!&lt;&gt;"",Sheet2!#REF!,"")</f>
        <v>#REF!</v>
      </c>
      <c r="B964" s="33" t="e">
        <f>IF(Sheet2!#REF!&lt;&gt;"",Sheet2!#REF!,"")</f>
        <v>#REF!</v>
      </c>
      <c r="C964" s="34" t="e">
        <f>IF(Sheet2!#REF!&lt;&gt;"",Sheet2!#REF!,"")</f>
        <v>#REF!</v>
      </c>
      <c r="D964" s="35" t="str">
        <f t="shared" ca="1" si="32"/>
        <v/>
      </c>
      <c r="E964" s="3"/>
      <c r="F964" s="3"/>
      <c r="G964" s="3"/>
      <c r="H964" s="3"/>
      <c r="K964" t="str">
        <f t="shared" ca="1" si="33"/>
        <v/>
      </c>
    </row>
    <row r="965" spans="1:11">
      <c r="A965" s="23" t="e">
        <f>IF(Sheet2!#REF!&lt;&gt;"",Sheet2!#REF!,"")</f>
        <v>#REF!</v>
      </c>
      <c r="B965" s="33" t="e">
        <f>IF(Sheet2!#REF!&lt;&gt;"",Sheet2!#REF!,"")</f>
        <v>#REF!</v>
      </c>
      <c r="C965" s="34" t="e">
        <f>IF(Sheet2!#REF!&lt;&gt;"",Sheet2!#REF!,"")</f>
        <v>#REF!</v>
      </c>
      <c r="D965" s="35" t="str">
        <f t="shared" ca="1" si="32"/>
        <v/>
      </c>
      <c r="E965" s="3"/>
      <c r="F965" s="3"/>
      <c r="G965" s="3"/>
      <c r="H965" s="3"/>
      <c r="K965" t="str">
        <f t="shared" ca="1" si="33"/>
        <v/>
      </c>
    </row>
    <row r="966" spans="1:11">
      <c r="A966" s="23" t="e">
        <f>IF(Sheet2!#REF!&lt;&gt;"",Sheet2!#REF!,"")</f>
        <v>#REF!</v>
      </c>
      <c r="B966" s="33" t="e">
        <f>IF(Sheet2!#REF!&lt;&gt;"",Sheet2!#REF!,"")</f>
        <v>#REF!</v>
      </c>
      <c r="C966" s="34" t="e">
        <f>IF(Sheet2!#REF!&lt;&gt;"",Sheet2!#REF!,"")</f>
        <v>#REF!</v>
      </c>
      <c r="D966" s="35" t="str">
        <f t="shared" ca="1" si="32"/>
        <v/>
      </c>
      <c r="E966" s="3"/>
      <c r="F966" s="3"/>
      <c r="G966" s="3"/>
      <c r="H966" s="3"/>
      <c r="K966" t="str">
        <f t="shared" ca="1" si="33"/>
        <v/>
      </c>
    </row>
    <row r="967" spans="1:11">
      <c r="A967" s="23" t="e">
        <f>IF(Sheet2!#REF!&lt;&gt;"",Sheet2!#REF!,"")</f>
        <v>#REF!</v>
      </c>
      <c r="B967" s="33" t="e">
        <f>IF(Sheet2!#REF!&lt;&gt;"",Sheet2!#REF!,"")</f>
        <v>#REF!</v>
      </c>
      <c r="C967" s="34" t="e">
        <f>IF(Sheet2!#REF!&lt;&gt;"",Sheet2!#REF!,"")</f>
        <v>#REF!</v>
      </c>
      <c r="D967" s="35" t="str">
        <f t="shared" ca="1" si="32"/>
        <v/>
      </c>
      <c r="E967" s="3"/>
      <c r="F967" s="3"/>
      <c r="G967" s="3"/>
      <c r="H967" s="3"/>
      <c r="K967" t="str">
        <f t="shared" ca="1" si="33"/>
        <v/>
      </c>
    </row>
    <row r="968" spans="1:11">
      <c r="A968" s="23" t="e">
        <f>IF(Sheet2!#REF!&lt;&gt;"",Sheet2!#REF!,"")</f>
        <v>#REF!</v>
      </c>
      <c r="B968" s="33" t="e">
        <f>IF(Sheet2!#REF!&lt;&gt;"",Sheet2!#REF!,"")</f>
        <v>#REF!</v>
      </c>
      <c r="C968" s="34" t="e">
        <f>IF(Sheet2!#REF!&lt;&gt;"",Sheet2!#REF!,"")</f>
        <v>#REF!</v>
      </c>
      <c r="D968" s="35" t="str">
        <f t="shared" ca="1" si="32"/>
        <v/>
      </c>
      <c r="E968" s="3"/>
      <c r="F968" s="3"/>
      <c r="G968" s="3"/>
      <c r="H968" s="3"/>
      <c r="K968" t="str">
        <f t="shared" ca="1" si="33"/>
        <v/>
      </c>
    </row>
    <row r="969" spans="1:11">
      <c r="A969" s="23" t="e">
        <f>IF(Sheet2!#REF!&lt;&gt;"",Sheet2!#REF!,"")</f>
        <v>#REF!</v>
      </c>
      <c r="B969" s="33" t="e">
        <f>IF(Sheet2!#REF!&lt;&gt;"",Sheet2!#REF!,"")</f>
        <v>#REF!</v>
      </c>
      <c r="C969" s="34" t="e">
        <f>IF(Sheet2!#REF!&lt;&gt;"",Sheet2!#REF!,"")</f>
        <v>#REF!</v>
      </c>
      <c r="D969" s="35" t="str">
        <f t="shared" ca="1" si="32"/>
        <v/>
      </c>
      <c r="E969" s="3"/>
      <c r="F969" s="3"/>
      <c r="G969" s="3"/>
      <c r="H969" s="3"/>
      <c r="K969" t="str">
        <f t="shared" ca="1" si="33"/>
        <v/>
      </c>
    </row>
    <row r="970" spans="1:11">
      <c r="A970" s="23" t="e">
        <f>IF(Sheet2!#REF!&lt;&gt;"",Sheet2!#REF!,"")</f>
        <v>#REF!</v>
      </c>
      <c r="B970" s="33" t="e">
        <f>IF(Sheet2!#REF!&lt;&gt;"",Sheet2!#REF!,"")</f>
        <v>#REF!</v>
      </c>
      <c r="C970" s="34" t="e">
        <f>IF(Sheet2!#REF!&lt;&gt;"",Sheet2!#REF!,"")</f>
        <v>#REF!</v>
      </c>
      <c r="D970" s="35" t="str">
        <f t="shared" ca="1" si="32"/>
        <v/>
      </c>
      <c r="E970" s="3"/>
      <c r="F970" s="3"/>
      <c r="G970" s="3"/>
      <c r="H970" s="3"/>
      <c r="K970" t="str">
        <f t="shared" ca="1" si="33"/>
        <v/>
      </c>
    </row>
    <row r="971" spans="1:11">
      <c r="A971" s="23" t="e">
        <f>IF(Sheet2!#REF!&lt;&gt;"",Sheet2!#REF!,"")</f>
        <v>#REF!</v>
      </c>
      <c r="B971" s="33" t="e">
        <f>IF(Sheet2!#REF!&lt;&gt;"",Sheet2!#REF!,"")</f>
        <v>#REF!</v>
      </c>
      <c r="C971" s="34" t="e">
        <f>IF(Sheet2!#REF!&lt;&gt;"",Sheet2!#REF!,"")</f>
        <v>#REF!</v>
      </c>
      <c r="D971" s="35" t="str">
        <f t="shared" ca="1" si="32"/>
        <v/>
      </c>
      <c r="E971" s="3"/>
      <c r="F971" s="3"/>
      <c r="G971" s="3"/>
      <c r="H971" s="3"/>
      <c r="K971" t="str">
        <f t="shared" ca="1" si="33"/>
        <v/>
      </c>
    </row>
    <row r="972" spans="1:11">
      <c r="A972" s="23" t="e">
        <f>IF(Sheet2!#REF!&lt;&gt;"",Sheet2!#REF!,"")</f>
        <v>#REF!</v>
      </c>
      <c r="B972" s="33" t="e">
        <f>IF(Sheet2!#REF!&lt;&gt;"",Sheet2!#REF!,"")</f>
        <v>#REF!</v>
      </c>
      <c r="C972" s="34" t="e">
        <f>IF(Sheet2!#REF!&lt;&gt;"",Sheet2!#REF!,"")</f>
        <v>#REF!</v>
      </c>
      <c r="D972" s="35" t="str">
        <f t="shared" ca="1" si="32"/>
        <v/>
      </c>
      <c r="E972" s="3"/>
      <c r="F972" s="3"/>
      <c r="G972" s="3"/>
      <c r="H972" s="3"/>
      <c r="K972" t="str">
        <f t="shared" ca="1" si="33"/>
        <v/>
      </c>
    </row>
    <row r="973" spans="1:11">
      <c r="A973" s="23" t="e">
        <f>IF(Sheet2!#REF!&lt;&gt;"",Sheet2!#REF!,"")</f>
        <v>#REF!</v>
      </c>
      <c r="B973" s="33" t="e">
        <f>IF(Sheet2!#REF!&lt;&gt;"",Sheet2!#REF!,"")</f>
        <v>#REF!</v>
      </c>
      <c r="C973" s="34" t="e">
        <f>IF(Sheet2!#REF!&lt;&gt;"",Sheet2!#REF!,"")</f>
        <v>#REF!</v>
      </c>
      <c r="D973" s="35" t="str">
        <f t="shared" ca="1" si="32"/>
        <v/>
      </c>
      <c r="E973" s="3"/>
      <c r="F973" s="3"/>
      <c r="G973" s="3"/>
      <c r="H973" s="3"/>
      <c r="K973" t="str">
        <f t="shared" ca="1" si="33"/>
        <v/>
      </c>
    </row>
    <row r="974" spans="1:11">
      <c r="A974" s="23" t="e">
        <f>IF(Sheet2!#REF!&lt;&gt;"",Sheet2!#REF!,"")</f>
        <v>#REF!</v>
      </c>
      <c r="B974" s="33" t="e">
        <f>IF(Sheet2!#REF!&lt;&gt;"",Sheet2!#REF!,"")</f>
        <v>#REF!</v>
      </c>
      <c r="C974" s="34" t="e">
        <f>IF(Sheet2!#REF!&lt;&gt;"",Sheet2!#REF!,"")</f>
        <v>#REF!</v>
      </c>
      <c r="D974" s="35" t="str">
        <f t="shared" ca="1" si="32"/>
        <v/>
      </c>
      <c r="E974" s="3"/>
      <c r="F974" s="3"/>
      <c r="G974" s="3"/>
      <c r="H974" s="3"/>
      <c r="K974" t="str">
        <f t="shared" ca="1" si="33"/>
        <v/>
      </c>
    </row>
    <row r="975" spans="1:11">
      <c r="A975" s="23" t="e">
        <f>IF(Sheet2!#REF!&lt;&gt;"",Sheet2!#REF!,"")</f>
        <v>#REF!</v>
      </c>
      <c r="B975" s="33" t="e">
        <f>IF(Sheet2!#REF!&lt;&gt;"",Sheet2!#REF!,"")</f>
        <v>#REF!</v>
      </c>
      <c r="C975" s="34" t="e">
        <f>IF(Sheet2!#REF!&lt;&gt;"",Sheet2!#REF!,"")</f>
        <v>#REF!</v>
      </c>
      <c r="D975" s="35" t="str">
        <f t="shared" ca="1" si="32"/>
        <v/>
      </c>
      <c r="E975" s="3"/>
      <c r="F975" s="3"/>
      <c r="G975" s="3"/>
      <c r="H975" s="3"/>
      <c r="K975" t="str">
        <f t="shared" ca="1" si="33"/>
        <v/>
      </c>
    </row>
    <row r="976" spans="1:11">
      <c r="A976" s="23" t="e">
        <f>IF(Sheet2!#REF!&lt;&gt;"",Sheet2!#REF!,"")</f>
        <v>#REF!</v>
      </c>
      <c r="B976" s="33" t="e">
        <f>IF(Sheet2!#REF!&lt;&gt;"",Sheet2!#REF!,"")</f>
        <v>#REF!</v>
      </c>
      <c r="C976" s="34" t="e">
        <f>IF(Sheet2!#REF!&lt;&gt;"",Sheet2!#REF!,"")</f>
        <v>#REF!</v>
      </c>
      <c r="D976" s="35" t="str">
        <f t="shared" ca="1" si="32"/>
        <v/>
      </c>
      <c r="E976" s="3"/>
      <c r="F976" s="3"/>
      <c r="G976" s="3"/>
      <c r="H976" s="3"/>
      <c r="K976" t="str">
        <f t="shared" ca="1" si="33"/>
        <v/>
      </c>
    </row>
    <row r="977" spans="1:11">
      <c r="A977" s="23" t="e">
        <f>IF(Sheet2!#REF!&lt;&gt;"",Sheet2!#REF!,"")</f>
        <v>#REF!</v>
      </c>
      <c r="B977" s="33" t="e">
        <f>IF(Sheet2!#REF!&lt;&gt;"",Sheet2!#REF!,"")</f>
        <v>#REF!</v>
      </c>
      <c r="C977" s="34" t="e">
        <f>IF(Sheet2!#REF!&lt;&gt;"",Sheet2!#REF!,"")</f>
        <v>#REF!</v>
      </c>
      <c r="D977" s="35" t="str">
        <f t="shared" ca="1" si="32"/>
        <v/>
      </c>
      <c r="E977" s="3"/>
      <c r="F977" s="3"/>
      <c r="G977" s="3"/>
      <c r="H977" s="3"/>
      <c r="K977" t="str">
        <f t="shared" ca="1" si="33"/>
        <v/>
      </c>
    </row>
    <row r="978" spans="1:11">
      <c r="A978" s="23" t="e">
        <f>IF(Sheet2!#REF!&lt;&gt;"",Sheet2!#REF!,"")</f>
        <v>#REF!</v>
      </c>
      <c r="B978" s="33" t="e">
        <f>IF(Sheet2!#REF!&lt;&gt;"",Sheet2!#REF!,"")</f>
        <v>#REF!</v>
      </c>
      <c r="C978" s="34" t="e">
        <f>IF(Sheet2!#REF!&lt;&gt;"",Sheet2!#REF!,"")</f>
        <v>#REF!</v>
      </c>
      <c r="D978" s="35" t="str">
        <f t="shared" ca="1" si="32"/>
        <v/>
      </c>
      <c r="E978" s="3"/>
      <c r="F978" s="3"/>
      <c r="G978" s="3"/>
      <c r="H978" s="3"/>
      <c r="K978" t="str">
        <f t="shared" ca="1" si="33"/>
        <v/>
      </c>
    </row>
    <row r="979" spans="1:11">
      <c r="A979" s="23" t="e">
        <f>IF(Sheet2!#REF!&lt;&gt;"",Sheet2!#REF!,"")</f>
        <v>#REF!</v>
      </c>
      <c r="B979" s="33" t="e">
        <f>IF(Sheet2!#REF!&lt;&gt;"",Sheet2!#REF!,"")</f>
        <v>#REF!</v>
      </c>
      <c r="C979" s="34" t="e">
        <f>IF(Sheet2!#REF!&lt;&gt;"",Sheet2!#REF!,"")</f>
        <v>#REF!</v>
      </c>
      <c r="D979" s="35" t="str">
        <f t="shared" ca="1" si="32"/>
        <v/>
      </c>
      <c r="E979" s="3"/>
      <c r="F979" s="3"/>
      <c r="G979" s="3"/>
      <c r="H979" s="3"/>
      <c r="K979" t="str">
        <f t="shared" ca="1" si="33"/>
        <v/>
      </c>
    </row>
    <row r="980" spans="1:11">
      <c r="A980" s="23" t="e">
        <f>IF(Sheet2!#REF!&lt;&gt;"",Sheet2!#REF!,"")</f>
        <v>#REF!</v>
      </c>
      <c r="B980" s="33" t="e">
        <f>IF(Sheet2!#REF!&lt;&gt;"",Sheet2!#REF!,"")</f>
        <v>#REF!</v>
      </c>
      <c r="C980" s="34" t="e">
        <f>IF(Sheet2!#REF!&lt;&gt;"",Sheet2!#REF!,"")</f>
        <v>#REF!</v>
      </c>
      <c r="D980" s="35" t="str">
        <f t="shared" ca="1" si="32"/>
        <v/>
      </c>
      <c r="E980" s="3"/>
      <c r="F980" s="3"/>
      <c r="G980" s="3"/>
      <c r="H980" s="3"/>
      <c r="K980" t="str">
        <f t="shared" ca="1" si="33"/>
        <v/>
      </c>
    </row>
    <row r="981" spans="1:11">
      <c r="A981" s="23" t="e">
        <f>IF(Sheet2!#REF!&lt;&gt;"",Sheet2!#REF!,"")</f>
        <v>#REF!</v>
      </c>
      <c r="B981" s="33" t="e">
        <f>IF(Sheet2!#REF!&lt;&gt;"",Sheet2!#REF!,"")</f>
        <v>#REF!</v>
      </c>
      <c r="C981" s="34" t="e">
        <f>IF(Sheet2!#REF!&lt;&gt;"",Sheet2!#REF!,"")</f>
        <v>#REF!</v>
      </c>
      <c r="D981" s="35" t="str">
        <f t="shared" ca="1" si="32"/>
        <v/>
      </c>
      <c r="E981" s="3"/>
      <c r="F981" s="3"/>
      <c r="G981" s="3"/>
      <c r="H981" s="3"/>
      <c r="K981" t="str">
        <f t="shared" ca="1" si="33"/>
        <v/>
      </c>
    </row>
    <row r="982" spans="1:11">
      <c r="A982" s="23" t="e">
        <f>IF(Sheet2!#REF!&lt;&gt;"",Sheet2!#REF!,"")</f>
        <v>#REF!</v>
      </c>
      <c r="B982" s="33" t="e">
        <f>IF(Sheet2!#REF!&lt;&gt;"",Sheet2!#REF!,"")</f>
        <v>#REF!</v>
      </c>
      <c r="C982" s="34" t="e">
        <f>IF(Sheet2!#REF!&lt;&gt;"",Sheet2!#REF!,"")</f>
        <v>#REF!</v>
      </c>
      <c r="D982" s="35" t="str">
        <f t="shared" ca="1" si="32"/>
        <v/>
      </c>
      <c r="E982" s="3"/>
      <c r="F982" s="3"/>
      <c r="G982" s="3"/>
      <c r="H982" s="3"/>
      <c r="K982" t="str">
        <f t="shared" ca="1" si="33"/>
        <v/>
      </c>
    </row>
    <row r="983" spans="1:11">
      <c r="A983" s="23" t="e">
        <f>IF(Sheet2!#REF!&lt;&gt;"",Sheet2!#REF!,"")</f>
        <v>#REF!</v>
      </c>
      <c r="B983" s="33" t="e">
        <f>IF(Sheet2!#REF!&lt;&gt;"",Sheet2!#REF!,"")</f>
        <v>#REF!</v>
      </c>
      <c r="C983" s="34" t="e">
        <f>IF(Sheet2!#REF!&lt;&gt;"",Sheet2!#REF!,"")</f>
        <v>#REF!</v>
      </c>
      <c r="D983" s="35" t="str">
        <f t="shared" ca="1" si="32"/>
        <v/>
      </c>
      <c r="E983" s="3"/>
      <c r="F983" s="3"/>
      <c r="G983" s="3"/>
      <c r="H983" s="3"/>
      <c r="K983" t="str">
        <f t="shared" ca="1" si="33"/>
        <v/>
      </c>
    </row>
    <row r="984" spans="1:11">
      <c r="A984" s="23" t="e">
        <f>IF(Sheet2!#REF!&lt;&gt;"",Sheet2!#REF!,"")</f>
        <v>#REF!</v>
      </c>
      <c r="B984" s="33" t="e">
        <f>IF(Sheet2!#REF!&lt;&gt;"",Sheet2!#REF!,"")</f>
        <v>#REF!</v>
      </c>
      <c r="C984" s="34" t="e">
        <f>IF(Sheet2!#REF!&lt;&gt;"",Sheet2!#REF!,"")</f>
        <v>#REF!</v>
      </c>
      <c r="D984" s="35" t="str">
        <f t="shared" ca="1" si="32"/>
        <v/>
      </c>
      <c r="E984" s="3"/>
      <c r="F984" s="3"/>
      <c r="G984" s="3"/>
      <c r="H984" s="3"/>
      <c r="K984" t="str">
        <f t="shared" ca="1" si="33"/>
        <v/>
      </c>
    </row>
    <row r="985" spans="1:11">
      <c r="A985" s="23" t="e">
        <f>IF(Sheet2!#REF!&lt;&gt;"",Sheet2!#REF!,"")</f>
        <v>#REF!</v>
      </c>
      <c r="B985" s="33" t="e">
        <f>IF(Sheet2!#REF!&lt;&gt;"",Sheet2!#REF!,"")</f>
        <v>#REF!</v>
      </c>
      <c r="C985" s="34" t="e">
        <f>IF(Sheet2!#REF!&lt;&gt;"",Sheet2!#REF!,"")</f>
        <v>#REF!</v>
      </c>
      <c r="D985" s="35" t="str">
        <f t="shared" ca="1" si="32"/>
        <v/>
      </c>
      <c r="E985" s="3"/>
      <c r="F985" s="3"/>
      <c r="G985" s="3"/>
      <c r="H985" s="3"/>
      <c r="K985" t="str">
        <f t="shared" ca="1" si="33"/>
        <v/>
      </c>
    </row>
    <row r="986" spans="1:11">
      <c r="A986" s="23" t="e">
        <f>IF(Sheet2!#REF!&lt;&gt;"",Sheet2!#REF!,"")</f>
        <v>#REF!</v>
      </c>
      <c r="B986" s="33" t="e">
        <f>IF(Sheet2!#REF!&lt;&gt;"",Sheet2!#REF!,"")</f>
        <v>#REF!</v>
      </c>
      <c r="C986" s="34" t="e">
        <f>IF(Sheet2!#REF!&lt;&gt;"",Sheet2!#REF!,"")</f>
        <v>#REF!</v>
      </c>
      <c r="D986" s="35" t="str">
        <f t="shared" ca="1" si="32"/>
        <v/>
      </c>
      <c r="E986" s="3"/>
      <c r="F986" s="3"/>
      <c r="G986" s="3"/>
      <c r="H986" s="3"/>
      <c r="K986" t="str">
        <f t="shared" ca="1" si="33"/>
        <v/>
      </c>
    </row>
    <row r="987" spans="1:11">
      <c r="A987" s="23" t="e">
        <f>IF(Sheet2!#REF!&lt;&gt;"",Sheet2!#REF!,"")</f>
        <v>#REF!</v>
      </c>
      <c r="B987" s="33" t="e">
        <f>IF(Sheet2!#REF!&lt;&gt;"",Sheet2!#REF!,"")</f>
        <v>#REF!</v>
      </c>
      <c r="C987" s="34" t="e">
        <f>IF(Sheet2!#REF!&lt;&gt;"",Sheet2!#REF!,"")</f>
        <v>#REF!</v>
      </c>
      <c r="D987" s="35" t="str">
        <f t="shared" ca="1" si="32"/>
        <v/>
      </c>
      <c r="E987" s="3"/>
      <c r="F987" s="3"/>
      <c r="G987" s="3"/>
      <c r="H987" s="3"/>
      <c r="K987" t="str">
        <f t="shared" ca="1" si="33"/>
        <v/>
      </c>
    </row>
    <row r="988" spans="1:11">
      <c r="A988" s="23" t="e">
        <f>IF(Sheet2!#REF!&lt;&gt;"",Sheet2!#REF!,"")</f>
        <v>#REF!</v>
      </c>
      <c r="B988" s="33" t="e">
        <f>IF(Sheet2!#REF!&lt;&gt;"",Sheet2!#REF!,"")</f>
        <v>#REF!</v>
      </c>
      <c r="C988" s="34" t="e">
        <f>IF(Sheet2!#REF!&lt;&gt;"",Sheet2!#REF!,"")</f>
        <v>#REF!</v>
      </c>
      <c r="D988" s="35" t="str">
        <f t="shared" ca="1" si="32"/>
        <v/>
      </c>
      <c r="E988" s="3"/>
      <c r="F988" s="3"/>
      <c r="G988" s="3"/>
      <c r="H988" s="3"/>
      <c r="K988" t="str">
        <f t="shared" ca="1" si="33"/>
        <v/>
      </c>
    </row>
    <row r="989" spans="1:11">
      <c r="A989" s="23" t="e">
        <f>IF(Sheet2!#REF!&lt;&gt;"",Sheet2!#REF!,"")</f>
        <v>#REF!</v>
      </c>
      <c r="B989" s="33" t="e">
        <f>IF(Sheet2!#REF!&lt;&gt;"",Sheet2!#REF!,"")</f>
        <v>#REF!</v>
      </c>
      <c r="C989" s="34" t="e">
        <f>IF(Sheet2!#REF!&lt;&gt;"",Sheet2!#REF!,"")</f>
        <v>#REF!</v>
      </c>
      <c r="D989" s="35" t="str">
        <f t="shared" ca="1" si="32"/>
        <v/>
      </c>
      <c r="E989" s="3"/>
      <c r="F989" s="3"/>
      <c r="G989" s="3"/>
      <c r="H989" s="3"/>
      <c r="K989" t="str">
        <f t="shared" ca="1" si="33"/>
        <v/>
      </c>
    </row>
    <row r="990" spans="1:11">
      <c r="A990" s="23" t="e">
        <f>IF(Sheet2!#REF!&lt;&gt;"",Sheet2!#REF!,"")</f>
        <v>#REF!</v>
      </c>
      <c r="B990" s="33" t="e">
        <f>IF(Sheet2!#REF!&lt;&gt;"",Sheet2!#REF!,"")</f>
        <v>#REF!</v>
      </c>
      <c r="C990" s="34" t="e">
        <f>IF(Sheet2!#REF!&lt;&gt;"",Sheet2!#REF!,"")</f>
        <v>#REF!</v>
      </c>
      <c r="D990" s="35" t="str">
        <f t="shared" ca="1" si="32"/>
        <v/>
      </c>
      <c r="E990" s="3"/>
      <c r="F990" s="3"/>
      <c r="G990" s="3"/>
      <c r="H990" s="3"/>
      <c r="K990" t="str">
        <f t="shared" ca="1" si="33"/>
        <v/>
      </c>
    </row>
    <row r="991" spans="1:11">
      <c r="A991" s="23" t="e">
        <f>IF(Sheet2!#REF!&lt;&gt;"",Sheet2!#REF!,"")</f>
        <v>#REF!</v>
      </c>
      <c r="B991" s="33" t="e">
        <f>IF(Sheet2!#REF!&lt;&gt;"",Sheet2!#REF!,"")</f>
        <v>#REF!</v>
      </c>
      <c r="C991" s="34" t="e">
        <f>IF(Sheet2!#REF!&lt;&gt;"",Sheet2!#REF!,"")</f>
        <v>#REF!</v>
      </c>
      <c r="D991" s="35" t="str">
        <f t="shared" ca="1" si="32"/>
        <v/>
      </c>
      <c r="E991" s="3"/>
      <c r="F991" s="3"/>
      <c r="G991" s="3"/>
      <c r="H991" s="3"/>
      <c r="K991" t="str">
        <f t="shared" ca="1" si="33"/>
        <v/>
      </c>
    </row>
    <row r="992" spans="1:11">
      <c r="A992" s="23" t="e">
        <f>IF(Sheet2!#REF!&lt;&gt;"",Sheet2!#REF!,"")</f>
        <v>#REF!</v>
      </c>
      <c r="B992" s="33" t="e">
        <f>IF(Sheet2!#REF!&lt;&gt;"",Sheet2!#REF!,"")</f>
        <v>#REF!</v>
      </c>
      <c r="C992" s="34" t="e">
        <f>IF(Sheet2!#REF!&lt;&gt;"",Sheet2!#REF!,"")</f>
        <v>#REF!</v>
      </c>
      <c r="D992" s="35" t="str">
        <f t="shared" ca="1" si="32"/>
        <v/>
      </c>
      <c r="E992" s="3"/>
      <c r="F992" s="3"/>
      <c r="G992" s="3"/>
      <c r="H992" s="3"/>
      <c r="K992" t="str">
        <f t="shared" ca="1" si="33"/>
        <v/>
      </c>
    </row>
    <row r="993" spans="1:11">
      <c r="A993" s="23" t="e">
        <f>IF(Sheet2!#REF!&lt;&gt;"",Sheet2!#REF!,"")</f>
        <v>#REF!</v>
      </c>
      <c r="B993" s="33" t="e">
        <f>IF(Sheet2!#REF!&lt;&gt;"",Sheet2!#REF!,"")</f>
        <v>#REF!</v>
      </c>
      <c r="C993" s="34" t="e">
        <f>IF(Sheet2!#REF!&lt;&gt;"",Sheet2!#REF!,"")</f>
        <v>#REF!</v>
      </c>
      <c r="D993" s="35" t="str">
        <f t="shared" ca="1" si="32"/>
        <v/>
      </c>
      <c r="E993" s="3"/>
      <c r="F993" s="3"/>
      <c r="G993" s="3"/>
      <c r="H993" s="3"/>
      <c r="K993" t="str">
        <f t="shared" ca="1" si="33"/>
        <v/>
      </c>
    </row>
    <row r="994" spans="1:11">
      <c r="A994" s="23" t="e">
        <f>IF(Sheet2!#REF!&lt;&gt;"",Sheet2!#REF!,"")</f>
        <v>#REF!</v>
      </c>
      <c r="B994" s="33" t="e">
        <f>IF(Sheet2!#REF!&lt;&gt;"",Sheet2!#REF!,"")</f>
        <v>#REF!</v>
      </c>
      <c r="C994" s="34" t="e">
        <f>IF(Sheet2!#REF!&lt;&gt;"",Sheet2!#REF!,"")</f>
        <v>#REF!</v>
      </c>
      <c r="D994" s="35" t="str">
        <f t="shared" ca="1" si="32"/>
        <v/>
      </c>
      <c r="E994" s="3"/>
      <c r="F994" s="3"/>
      <c r="G994" s="3"/>
      <c r="H994" s="3"/>
      <c r="K994" t="str">
        <f t="shared" ca="1" si="33"/>
        <v/>
      </c>
    </row>
    <row r="995" spans="1:11">
      <c r="A995" s="23" t="e">
        <f>IF(Sheet2!#REF!&lt;&gt;"",Sheet2!#REF!,"")</f>
        <v>#REF!</v>
      </c>
      <c r="B995" s="33" t="e">
        <f>IF(Sheet2!#REF!&lt;&gt;"",Sheet2!#REF!,"")</f>
        <v>#REF!</v>
      </c>
      <c r="C995" s="34" t="e">
        <f>IF(Sheet2!#REF!&lt;&gt;"",Sheet2!#REF!,"")</f>
        <v>#REF!</v>
      </c>
      <c r="D995" s="35" t="str">
        <f t="shared" ca="1" si="32"/>
        <v/>
      </c>
      <c r="E995" s="3"/>
      <c r="F995" s="3"/>
      <c r="G995" s="3"/>
      <c r="H995" s="3"/>
      <c r="K995" t="str">
        <f t="shared" ca="1" si="33"/>
        <v/>
      </c>
    </row>
    <row r="996" spans="1:11">
      <c r="A996" s="23" t="e">
        <f>IF(Sheet2!#REF!&lt;&gt;"",Sheet2!#REF!,"")</f>
        <v>#REF!</v>
      </c>
      <c r="B996" s="33" t="e">
        <f>IF(Sheet2!#REF!&lt;&gt;"",Sheet2!#REF!,"")</f>
        <v>#REF!</v>
      </c>
      <c r="C996" s="34" t="e">
        <f>IF(Sheet2!#REF!&lt;&gt;"",Sheet2!#REF!,"")</f>
        <v>#REF!</v>
      </c>
      <c r="D996" s="35" t="str">
        <f t="shared" ca="1" si="32"/>
        <v/>
      </c>
      <c r="E996" s="3"/>
      <c r="F996" s="3"/>
      <c r="G996" s="3"/>
      <c r="H996" s="3"/>
      <c r="K996" t="str">
        <f t="shared" ca="1" si="33"/>
        <v/>
      </c>
    </row>
    <row r="997" spans="1:11">
      <c r="A997" s="23" t="e">
        <f>IF(Sheet2!#REF!&lt;&gt;"",Sheet2!#REF!,"")</f>
        <v>#REF!</v>
      </c>
      <c r="B997" s="33" t="e">
        <f>IF(Sheet2!#REF!&lt;&gt;"",Sheet2!#REF!,"")</f>
        <v>#REF!</v>
      </c>
      <c r="C997" s="34" t="e">
        <f>IF(Sheet2!#REF!&lt;&gt;"",Sheet2!#REF!,"")</f>
        <v>#REF!</v>
      </c>
      <c r="D997" s="35" t="str">
        <f t="shared" ca="1" si="32"/>
        <v/>
      </c>
      <c r="E997" s="3"/>
      <c r="F997" s="3"/>
      <c r="G997" s="3"/>
      <c r="H997" s="3"/>
      <c r="K997" t="str">
        <f t="shared" ca="1" si="33"/>
        <v/>
      </c>
    </row>
    <row r="998" spans="1:11">
      <c r="A998" s="23" t="e">
        <f>IF(Sheet2!#REF!&lt;&gt;"",Sheet2!#REF!,"")</f>
        <v>#REF!</v>
      </c>
      <c r="B998" s="33" t="e">
        <f>IF(Sheet2!#REF!&lt;&gt;"",Sheet2!#REF!,"")</f>
        <v>#REF!</v>
      </c>
      <c r="C998" s="34" t="e">
        <f>IF(Sheet2!#REF!&lt;&gt;"",Sheet2!#REF!,"")</f>
        <v>#REF!</v>
      </c>
      <c r="D998" s="35" t="str">
        <f t="shared" ca="1" si="32"/>
        <v/>
      </c>
      <c r="E998" s="3"/>
      <c r="F998" s="3"/>
      <c r="G998" s="3"/>
      <c r="H998" s="3"/>
      <c r="K998" t="str">
        <f t="shared" ca="1" si="33"/>
        <v/>
      </c>
    </row>
    <row r="999" spans="1:11">
      <c r="A999" s="23" t="e">
        <f>IF(Sheet2!#REF!&lt;&gt;"",Sheet2!#REF!,"")</f>
        <v>#REF!</v>
      </c>
      <c r="B999" s="33" t="e">
        <f>IF(Sheet2!#REF!&lt;&gt;"",Sheet2!#REF!,"")</f>
        <v>#REF!</v>
      </c>
      <c r="C999" s="34" t="e">
        <f>IF(Sheet2!#REF!&lt;&gt;"",Sheet2!#REF!,"")</f>
        <v>#REF!</v>
      </c>
      <c r="D999" s="35" t="str">
        <f t="shared" ca="1" si="32"/>
        <v/>
      </c>
      <c r="E999" s="3"/>
      <c r="F999" s="3"/>
      <c r="G999" s="3"/>
      <c r="H999" s="3"/>
      <c r="K999" t="str">
        <f t="shared" ca="1" si="33"/>
        <v/>
      </c>
    </row>
    <row r="1000" spans="1:11">
      <c r="A1000" s="23" t="e">
        <f>IF(Sheet2!#REF!&lt;&gt;"",Sheet2!#REF!,"")</f>
        <v>#REF!</v>
      </c>
      <c r="B1000" s="33" t="e">
        <f>IF(Sheet2!#REF!&lt;&gt;"",Sheet2!#REF!,"")</f>
        <v>#REF!</v>
      </c>
      <c r="C1000" s="34" t="e">
        <f>IF(Sheet2!#REF!&lt;&gt;"",Sheet2!#REF!,"")</f>
        <v>#REF!</v>
      </c>
      <c r="D1000" s="35" t="str">
        <f t="shared" ca="1" si="32"/>
        <v/>
      </c>
      <c r="E1000" s="3"/>
      <c r="F1000" s="3"/>
      <c r="G1000" s="3"/>
      <c r="H1000" s="3"/>
      <c r="K1000" t="str">
        <f t="shared" ca="1" si="33"/>
        <v/>
      </c>
    </row>
    <row r="1001" spans="1:11">
      <c r="A1001" s="23" t="e">
        <f>IF(Sheet2!#REF!&lt;&gt;"",Sheet2!#REF!,"")</f>
        <v>#REF!</v>
      </c>
      <c r="B1001" s="33" t="e">
        <f>IF(Sheet2!#REF!&lt;&gt;"",Sheet2!#REF!,"")</f>
        <v>#REF!</v>
      </c>
      <c r="C1001" s="34" t="e">
        <f>IF(Sheet2!#REF!&lt;&gt;"",Sheet2!#REF!,"")</f>
        <v>#REF!</v>
      </c>
      <c r="D1001" s="35" t="str">
        <f t="shared" ca="1" si="32"/>
        <v/>
      </c>
      <c r="E1001" s="3"/>
      <c r="F1001" s="3"/>
      <c r="G1001" s="3"/>
      <c r="H1001" s="3"/>
      <c r="K1001" t="str">
        <f t="shared" ca="1" si="33"/>
        <v/>
      </c>
    </row>
    <row r="1002" spans="1:11">
      <c r="A1002" s="23" t="e">
        <f>IF(Sheet2!#REF!&lt;&gt;"",Sheet2!#REF!,"")</f>
        <v>#REF!</v>
      </c>
      <c r="B1002" s="33" t="e">
        <f>IF(Sheet2!#REF!&lt;&gt;"",Sheet2!#REF!,"")</f>
        <v>#REF!</v>
      </c>
      <c r="C1002" s="34" t="e">
        <f>IF(Sheet2!#REF!&lt;&gt;"",Sheet2!#REF!,"")</f>
        <v>#REF!</v>
      </c>
      <c r="D1002" s="35" t="str">
        <f t="shared" ca="1" si="32"/>
        <v/>
      </c>
      <c r="E1002" s="3"/>
      <c r="F1002" s="3"/>
      <c r="G1002" s="3"/>
      <c r="H1002" s="3"/>
      <c r="K1002" t="str">
        <f t="shared" ca="1" si="33"/>
        <v/>
      </c>
    </row>
    <row r="1003" spans="1:11">
      <c r="A1003" s="23" t="e">
        <f>IF(Sheet2!#REF!&lt;&gt;"",Sheet2!#REF!,"")</f>
        <v>#REF!</v>
      </c>
      <c r="B1003" s="33" t="e">
        <f>IF(Sheet2!#REF!&lt;&gt;"",Sheet2!#REF!,"")</f>
        <v>#REF!</v>
      </c>
      <c r="C1003" s="34" t="e">
        <f>IF(Sheet2!#REF!&lt;&gt;"",Sheet2!#REF!,"")</f>
        <v>#REF!</v>
      </c>
      <c r="D1003" s="35" t="str">
        <f t="shared" ca="1" si="32"/>
        <v/>
      </c>
      <c r="E1003" s="3"/>
      <c r="F1003" s="3"/>
      <c r="G1003" s="3"/>
      <c r="H1003" s="3"/>
      <c r="K1003" t="str">
        <f t="shared" ca="1" si="33"/>
        <v/>
      </c>
    </row>
    <row r="1004" spans="1:11">
      <c r="A1004" s="23" t="e">
        <f>IF(Sheet2!#REF!&lt;&gt;"",Sheet2!#REF!,"")</f>
        <v>#REF!</v>
      </c>
      <c r="B1004" s="33" t="e">
        <f>IF(Sheet2!#REF!&lt;&gt;"",Sheet2!#REF!,"")</f>
        <v>#REF!</v>
      </c>
      <c r="C1004" s="34" t="e">
        <f>IF(Sheet2!#REF!&lt;&gt;"",Sheet2!#REF!,"")</f>
        <v>#REF!</v>
      </c>
      <c r="D1004" s="35" t="str">
        <f t="shared" ca="1" si="32"/>
        <v/>
      </c>
      <c r="E1004" s="3"/>
      <c r="F1004" s="3"/>
      <c r="G1004" s="3"/>
      <c r="H1004" s="3"/>
      <c r="K1004" t="str">
        <f t="shared" ca="1" si="33"/>
        <v/>
      </c>
    </row>
    <row r="1005" spans="1:11">
      <c r="A1005" s="23" t="e">
        <f>IF(Sheet2!#REF!&lt;&gt;"",Sheet2!#REF!,"")</f>
        <v>#REF!</v>
      </c>
      <c r="B1005" s="33" t="e">
        <f>IF(Sheet2!#REF!&lt;&gt;"",Sheet2!#REF!,"")</f>
        <v>#REF!</v>
      </c>
      <c r="C1005" s="34" t="e">
        <f>IF(Sheet2!#REF!&lt;&gt;"",Sheet2!#REF!,"")</f>
        <v>#REF!</v>
      </c>
      <c r="D1005" s="35" t="str">
        <f t="shared" ca="1" si="32"/>
        <v/>
      </c>
      <c r="E1005" s="3"/>
      <c r="F1005" s="3"/>
      <c r="G1005" s="3"/>
      <c r="H1005" s="3"/>
      <c r="K1005" t="str">
        <f t="shared" ca="1" si="33"/>
        <v/>
      </c>
    </row>
    <row r="1006" spans="1:11">
      <c r="A1006" s="23" t="e">
        <f>IF(Sheet2!#REF!&lt;&gt;"",Sheet2!#REF!,"")</f>
        <v>#REF!</v>
      </c>
      <c r="B1006" s="33" t="e">
        <f>IF(Sheet2!#REF!&lt;&gt;"",Sheet2!#REF!,"")</f>
        <v>#REF!</v>
      </c>
      <c r="C1006" s="34" t="e">
        <f>IF(Sheet2!#REF!&lt;&gt;"",Sheet2!#REF!,"")</f>
        <v>#REF!</v>
      </c>
      <c r="D1006" s="35" t="str">
        <f t="shared" ca="1" si="32"/>
        <v/>
      </c>
      <c r="E1006" s="3"/>
      <c r="F1006" s="3"/>
      <c r="G1006" s="3"/>
      <c r="H1006" s="3"/>
      <c r="K1006" t="str">
        <f t="shared" ca="1" si="33"/>
        <v/>
      </c>
    </row>
    <row r="1007" spans="1:11">
      <c r="A1007" s="23" t="e">
        <f>IF(Sheet2!#REF!&lt;&gt;"",Sheet2!#REF!,"")</f>
        <v>#REF!</v>
      </c>
      <c r="B1007" s="33" t="e">
        <f>IF(Sheet2!#REF!&lt;&gt;"",Sheet2!#REF!,"")</f>
        <v>#REF!</v>
      </c>
      <c r="C1007" s="34" t="e">
        <f>IF(Sheet2!#REF!&lt;&gt;"",Sheet2!#REF!,"")</f>
        <v>#REF!</v>
      </c>
      <c r="D1007" s="35" t="str">
        <f t="shared" ca="1" si="32"/>
        <v/>
      </c>
      <c r="E1007" s="3"/>
      <c r="F1007" s="3"/>
      <c r="G1007" s="3"/>
      <c r="H1007" s="3"/>
      <c r="K1007" t="str">
        <f t="shared" ca="1" si="33"/>
        <v/>
      </c>
    </row>
    <row r="1008" spans="1:11">
      <c r="A1008" s="23" t="e">
        <f>IF(Sheet2!#REF!&lt;&gt;"",Sheet2!#REF!,"")</f>
        <v>#REF!</v>
      </c>
      <c r="B1008" s="33" t="e">
        <f>IF(Sheet2!#REF!&lt;&gt;"",Sheet2!#REF!,"")</f>
        <v>#REF!</v>
      </c>
      <c r="C1008" s="34" t="e">
        <f>IF(Sheet2!#REF!&lt;&gt;"",Sheet2!#REF!,"")</f>
        <v>#REF!</v>
      </c>
      <c r="D1008" s="35" t="str">
        <f t="shared" ca="1" si="32"/>
        <v/>
      </c>
      <c r="E1008" s="3"/>
      <c r="F1008" s="3"/>
      <c r="G1008" s="3"/>
      <c r="H1008" s="3"/>
      <c r="K1008" t="str">
        <f t="shared" ca="1" si="33"/>
        <v/>
      </c>
    </row>
    <row r="1009" spans="1:11">
      <c r="A1009" s="23" t="e">
        <f>IF(Sheet2!#REF!&lt;&gt;"",Sheet2!#REF!,"")</f>
        <v>#REF!</v>
      </c>
      <c r="B1009" s="33" t="e">
        <f>IF(Sheet2!#REF!&lt;&gt;"",Sheet2!#REF!,"")</f>
        <v>#REF!</v>
      </c>
      <c r="C1009" s="34" t="e">
        <f>IF(Sheet2!#REF!&lt;&gt;"",Sheet2!#REF!,"")</f>
        <v>#REF!</v>
      </c>
      <c r="D1009" s="35" t="str">
        <f t="shared" ca="1" si="32"/>
        <v/>
      </c>
      <c r="E1009" s="3"/>
      <c r="F1009" s="3"/>
      <c r="G1009" s="3"/>
      <c r="H1009" s="3"/>
      <c r="K1009" t="str">
        <f t="shared" ca="1" si="33"/>
        <v/>
      </c>
    </row>
    <row r="1010" spans="1:11">
      <c r="A1010" s="23" t="e">
        <f>IF(Sheet2!#REF!&lt;&gt;"",Sheet2!#REF!,"")</f>
        <v>#REF!</v>
      </c>
      <c r="B1010" s="33" t="e">
        <f>IF(Sheet2!#REF!&lt;&gt;"",Sheet2!#REF!,"")</f>
        <v>#REF!</v>
      </c>
      <c r="C1010" s="34" t="e">
        <f>IF(Sheet2!#REF!&lt;&gt;"",Sheet2!#REF!,"")</f>
        <v>#REF!</v>
      </c>
      <c r="D1010" s="35" t="str">
        <f t="shared" ca="1" si="32"/>
        <v/>
      </c>
      <c r="E1010" s="3"/>
      <c r="F1010" s="3"/>
      <c r="G1010" s="3"/>
      <c r="H1010" s="3"/>
      <c r="K1010" t="str">
        <f t="shared" ca="1" si="33"/>
        <v/>
      </c>
    </row>
    <row r="1011" spans="1:11">
      <c r="A1011" s="23" t="e">
        <f>IF(Sheet2!#REF!&lt;&gt;"",Sheet2!#REF!,"")</f>
        <v>#REF!</v>
      </c>
      <c r="B1011" s="33" t="e">
        <f>IF(Sheet2!#REF!&lt;&gt;"",Sheet2!#REF!,"")</f>
        <v>#REF!</v>
      </c>
      <c r="C1011" s="34" t="e">
        <f>IF(Sheet2!#REF!&lt;&gt;"",Sheet2!#REF!,"")</f>
        <v>#REF!</v>
      </c>
      <c r="D1011" s="35" t="str">
        <f t="shared" ca="1" si="32"/>
        <v/>
      </c>
      <c r="E1011" s="3"/>
      <c r="F1011" s="3"/>
      <c r="G1011" s="3"/>
      <c r="H1011" s="3"/>
      <c r="K1011" t="str">
        <f t="shared" ca="1" si="33"/>
        <v/>
      </c>
    </row>
    <row r="1012" spans="1:11">
      <c r="A1012" s="23" t="e">
        <f>IF(Sheet2!#REF!&lt;&gt;"",Sheet2!#REF!,"")</f>
        <v>#REF!</v>
      </c>
      <c r="B1012" s="33" t="e">
        <f>IF(Sheet2!#REF!&lt;&gt;"",Sheet2!#REF!,"")</f>
        <v>#REF!</v>
      </c>
      <c r="C1012" s="34" t="e">
        <f>IF(Sheet2!#REF!&lt;&gt;"",Sheet2!#REF!,"")</f>
        <v>#REF!</v>
      </c>
      <c r="D1012" s="35" t="str">
        <f t="shared" ca="1" si="32"/>
        <v/>
      </c>
      <c r="E1012" s="3"/>
      <c r="F1012" s="3"/>
      <c r="G1012" s="3"/>
      <c r="H1012" s="3"/>
      <c r="K1012" t="str">
        <f t="shared" ca="1" si="33"/>
        <v/>
      </c>
    </row>
    <row r="1013" spans="1:11">
      <c r="A1013" s="23" t="e">
        <f>IF(Sheet2!#REF!&lt;&gt;"",Sheet2!#REF!,"")</f>
        <v>#REF!</v>
      </c>
      <c r="B1013" s="33" t="e">
        <f>IF(Sheet2!#REF!&lt;&gt;"",Sheet2!#REF!,"")</f>
        <v>#REF!</v>
      </c>
      <c r="C1013" s="34" t="e">
        <f>IF(Sheet2!#REF!&lt;&gt;"",Sheet2!#REF!,"")</f>
        <v>#REF!</v>
      </c>
      <c r="D1013" s="35" t="str">
        <f t="shared" ca="1" si="32"/>
        <v/>
      </c>
      <c r="E1013" s="3"/>
      <c r="F1013" s="3"/>
      <c r="G1013" s="3"/>
      <c r="H1013" s="3"/>
      <c r="K1013" t="str">
        <f t="shared" ca="1" si="33"/>
        <v/>
      </c>
    </row>
    <row r="1014" spans="1:11">
      <c r="A1014" s="23" t="e">
        <f>IF(Sheet2!#REF!&lt;&gt;"",Sheet2!#REF!,"")</f>
        <v>#REF!</v>
      </c>
      <c r="B1014" s="33" t="e">
        <f>IF(Sheet2!#REF!&lt;&gt;"",Sheet2!#REF!,"")</f>
        <v>#REF!</v>
      </c>
      <c r="C1014" s="34" t="e">
        <f>IF(Sheet2!#REF!&lt;&gt;"",Sheet2!#REF!,"")</f>
        <v>#REF!</v>
      </c>
      <c r="D1014" s="35" t="str">
        <f t="shared" ca="1" si="32"/>
        <v/>
      </c>
      <c r="E1014" s="3"/>
      <c r="F1014" s="3"/>
      <c r="G1014" s="3"/>
      <c r="H1014" s="3"/>
      <c r="K1014" t="str">
        <f t="shared" ca="1" si="33"/>
        <v/>
      </c>
    </row>
    <row r="1015" spans="1:11">
      <c r="A1015" s="23" t="e">
        <f>IF(Sheet2!#REF!&lt;&gt;"",Sheet2!#REF!,"")</f>
        <v>#REF!</v>
      </c>
      <c r="B1015" s="33" t="e">
        <f>IF(Sheet2!#REF!&lt;&gt;"",Sheet2!#REF!,"")</f>
        <v>#REF!</v>
      </c>
      <c r="C1015" s="34" t="e">
        <f>IF(Sheet2!#REF!&lt;&gt;"",Sheet2!#REF!,"")</f>
        <v>#REF!</v>
      </c>
      <c r="D1015" s="35" t="str">
        <f t="shared" ca="1" si="32"/>
        <v/>
      </c>
      <c r="E1015" s="3"/>
      <c r="F1015" s="3"/>
      <c r="G1015" s="3"/>
      <c r="H1015" s="3"/>
      <c r="K1015" t="str">
        <f t="shared" ca="1" si="33"/>
        <v/>
      </c>
    </row>
    <row r="1016" spans="1:11">
      <c r="A1016" s="23" t="e">
        <f>IF(Sheet2!#REF!&lt;&gt;"",Sheet2!#REF!,"")</f>
        <v>#REF!</v>
      </c>
      <c r="B1016" s="33" t="e">
        <f>IF(Sheet2!#REF!&lt;&gt;"",Sheet2!#REF!,"")</f>
        <v>#REF!</v>
      </c>
      <c r="C1016" s="34" t="e">
        <f>IF(Sheet2!#REF!&lt;&gt;"",Sheet2!#REF!,"")</f>
        <v>#REF!</v>
      </c>
      <c r="D1016" s="35" t="str">
        <f t="shared" ca="1" si="32"/>
        <v/>
      </c>
      <c r="E1016" s="3"/>
      <c r="F1016" s="3"/>
      <c r="G1016" s="3"/>
      <c r="H1016" s="3"/>
      <c r="K1016" t="str">
        <f t="shared" ca="1" si="33"/>
        <v/>
      </c>
    </row>
    <row r="1017" spans="1:11">
      <c r="A1017" s="23" t="e">
        <f>IF(Sheet2!#REF!&lt;&gt;"",Sheet2!#REF!,"")</f>
        <v>#REF!</v>
      </c>
      <c r="B1017" s="33" t="e">
        <f>IF(Sheet2!#REF!&lt;&gt;"",Sheet2!#REF!,"")</f>
        <v>#REF!</v>
      </c>
      <c r="C1017" s="34" t="e">
        <f>IF(Sheet2!#REF!&lt;&gt;"",Sheet2!#REF!,"")</f>
        <v>#REF!</v>
      </c>
      <c r="D1017" s="35" t="str">
        <f t="shared" ca="1" si="32"/>
        <v/>
      </c>
      <c r="E1017" s="3"/>
      <c r="F1017" s="3"/>
      <c r="G1017" s="3"/>
      <c r="H1017" s="3"/>
      <c r="K1017" t="str">
        <f t="shared" ca="1" si="33"/>
        <v/>
      </c>
    </row>
    <row r="1018" spans="1:11">
      <c r="A1018" s="23" t="e">
        <f>IF(Sheet2!#REF!&lt;&gt;"",Sheet2!#REF!,"")</f>
        <v>#REF!</v>
      </c>
      <c r="B1018" s="33" t="e">
        <f>IF(Sheet2!#REF!&lt;&gt;"",Sheet2!#REF!,"")</f>
        <v>#REF!</v>
      </c>
      <c r="C1018" s="34" t="e">
        <f>IF(Sheet2!#REF!&lt;&gt;"",Sheet2!#REF!,"")</f>
        <v>#REF!</v>
      </c>
      <c r="D1018" s="35" t="str">
        <f t="shared" ca="1" si="32"/>
        <v/>
      </c>
      <c r="E1018" s="3"/>
      <c r="F1018" s="3"/>
      <c r="G1018" s="3"/>
      <c r="H1018" s="3"/>
      <c r="K1018" t="str">
        <f t="shared" ca="1" si="33"/>
        <v/>
      </c>
    </row>
    <row r="1019" spans="1:11">
      <c r="A1019" s="23" t="e">
        <f>IF(Sheet2!#REF!&lt;&gt;"",Sheet2!#REF!,"")</f>
        <v>#REF!</v>
      </c>
      <c r="B1019" s="33" t="e">
        <f>IF(Sheet2!#REF!&lt;&gt;"",Sheet2!#REF!,"")</f>
        <v>#REF!</v>
      </c>
      <c r="C1019" s="34" t="e">
        <f>IF(Sheet2!#REF!&lt;&gt;"",Sheet2!#REF!,"")</f>
        <v>#REF!</v>
      </c>
      <c r="D1019" s="35" t="str">
        <f t="shared" ca="1" si="32"/>
        <v/>
      </c>
      <c r="E1019" s="3"/>
      <c r="F1019" s="3"/>
      <c r="G1019" s="3"/>
      <c r="H1019" s="3"/>
      <c r="K1019" t="str">
        <f t="shared" ca="1" si="33"/>
        <v/>
      </c>
    </row>
    <row r="1020" spans="1:11">
      <c r="A1020" s="23" t="e">
        <f>IF(Sheet2!#REF!&lt;&gt;"",Sheet2!#REF!,"")</f>
        <v>#REF!</v>
      </c>
      <c r="B1020" s="33" t="e">
        <f>IF(Sheet2!#REF!&lt;&gt;"",Sheet2!#REF!,"")</f>
        <v>#REF!</v>
      </c>
      <c r="C1020" s="34" t="e">
        <f>IF(Sheet2!#REF!&lt;&gt;"",Sheet2!#REF!,"")</f>
        <v>#REF!</v>
      </c>
      <c r="D1020" s="35" t="str">
        <f t="shared" ca="1" si="32"/>
        <v/>
      </c>
      <c r="E1020" s="3"/>
      <c r="F1020" s="3"/>
      <c r="G1020" s="3"/>
      <c r="H1020" s="3"/>
      <c r="K1020" t="str">
        <f t="shared" ca="1" si="33"/>
        <v/>
      </c>
    </row>
    <row r="1021" spans="1:11">
      <c r="A1021" s="23" t="e">
        <f>IF(Sheet2!#REF!&lt;&gt;"",Sheet2!#REF!,"")</f>
        <v>#REF!</v>
      </c>
      <c r="B1021" s="33" t="e">
        <f>IF(Sheet2!#REF!&lt;&gt;"",Sheet2!#REF!,"")</f>
        <v>#REF!</v>
      </c>
      <c r="C1021" s="34" t="e">
        <f>IF(Sheet2!#REF!&lt;&gt;"",Sheet2!#REF!,"")</f>
        <v>#REF!</v>
      </c>
      <c r="D1021" s="35" t="str">
        <f t="shared" ca="1" si="32"/>
        <v/>
      </c>
      <c r="E1021" s="3"/>
      <c r="F1021" s="3"/>
      <c r="G1021" s="3"/>
      <c r="H1021" s="3"/>
      <c r="K1021" t="str">
        <f t="shared" ca="1" si="33"/>
        <v/>
      </c>
    </row>
    <row r="1022" spans="1:11">
      <c r="A1022" s="23" t="e">
        <f>IF(Sheet2!#REF!&lt;&gt;"",Sheet2!#REF!,"")</f>
        <v>#REF!</v>
      </c>
      <c r="B1022" s="33" t="e">
        <f>IF(Sheet2!#REF!&lt;&gt;"",Sheet2!#REF!,"")</f>
        <v>#REF!</v>
      </c>
      <c r="C1022" s="34" t="e">
        <f>IF(Sheet2!#REF!&lt;&gt;"",Sheet2!#REF!,"")</f>
        <v>#REF!</v>
      </c>
      <c r="D1022" s="35" t="str">
        <f t="shared" ca="1" si="32"/>
        <v/>
      </c>
      <c r="E1022" s="3"/>
      <c r="F1022" s="3"/>
      <c r="G1022" s="3"/>
      <c r="H1022" s="3"/>
      <c r="K1022" t="str">
        <f t="shared" ca="1" si="33"/>
        <v/>
      </c>
    </row>
    <row r="1023" spans="1:11">
      <c r="A1023" s="23" t="e">
        <f>IF(Sheet2!#REF!&lt;&gt;"",Sheet2!#REF!,"")</f>
        <v>#REF!</v>
      </c>
      <c r="B1023" s="33" t="e">
        <f>IF(Sheet2!#REF!&lt;&gt;"",Sheet2!#REF!,"")</f>
        <v>#REF!</v>
      </c>
      <c r="C1023" s="34" t="e">
        <f>IF(Sheet2!#REF!&lt;&gt;"",Sheet2!#REF!,"")</f>
        <v>#REF!</v>
      </c>
      <c r="D1023" s="35" t="str">
        <f t="shared" ca="1" si="32"/>
        <v/>
      </c>
      <c r="E1023" s="3"/>
      <c r="F1023" s="3"/>
      <c r="G1023" s="3"/>
      <c r="H1023" s="3"/>
      <c r="K1023" t="str">
        <f t="shared" ca="1" si="33"/>
        <v/>
      </c>
    </row>
    <row r="1024" spans="1:11">
      <c r="A1024" s="23" t="e">
        <f>IF(Sheet2!#REF!&lt;&gt;"",Sheet2!#REF!,"")</f>
        <v>#REF!</v>
      </c>
      <c r="B1024" s="33" t="e">
        <f>IF(Sheet2!#REF!&lt;&gt;"",Sheet2!#REF!,"")</f>
        <v>#REF!</v>
      </c>
      <c r="C1024" s="34" t="e">
        <f>IF(Sheet2!#REF!&lt;&gt;"",Sheet2!#REF!,"")</f>
        <v>#REF!</v>
      </c>
      <c r="D1024" s="35" t="str">
        <f t="shared" ca="1" si="32"/>
        <v/>
      </c>
      <c r="E1024" s="3"/>
      <c r="F1024" s="3"/>
      <c r="G1024" s="3"/>
      <c r="H1024" s="3"/>
      <c r="K1024" t="str">
        <f t="shared" ca="1" si="33"/>
        <v/>
      </c>
    </row>
    <row r="1025" spans="1:11">
      <c r="A1025" s="23" t="e">
        <f>IF(Sheet2!#REF!&lt;&gt;"",Sheet2!#REF!,"")</f>
        <v>#REF!</v>
      </c>
      <c r="B1025" s="33" t="e">
        <f>IF(Sheet2!#REF!&lt;&gt;"",Sheet2!#REF!,"")</f>
        <v>#REF!</v>
      </c>
      <c r="C1025" s="34" t="e">
        <f>IF(Sheet2!#REF!&lt;&gt;"",Sheet2!#REF!,"")</f>
        <v>#REF!</v>
      </c>
      <c r="D1025" s="35" t="str">
        <f t="shared" ca="1" si="32"/>
        <v/>
      </c>
      <c r="E1025" s="3"/>
      <c r="F1025" s="3"/>
      <c r="G1025" s="3"/>
      <c r="H1025" s="3"/>
      <c r="K1025" t="str">
        <f t="shared" ca="1" si="33"/>
        <v/>
      </c>
    </row>
    <row r="1026" spans="1:11">
      <c r="A1026" s="23" t="e">
        <f>IF(Sheet2!#REF!&lt;&gt;"",Sheet2!#REF!,"")</f>
        <v>#REF!</v>
      </c>
      <c r="B1026" s="33" t="e">
        <f>IF(Sheet2!#REF!&lt;&gt;"",Sheet2!#REF!,"")</f>
        <v>#REF!</v>
      </c>
      <c r="C1026" s="34" t="e">
        <f>IF(Sheet2!#REF!&lt;&gt;"",Sheet2!#REF!,"")</f>
        <v>#REF!</v>
      </c>
      <c r="D1026" s="35" t="str">
        <f t="shared" ca="1" si="32"/>
        <v/>
      </c>
      <c r="E1026" s="3"/>
      <c r="F1026" s="3"/>
      <c r="G1026" s="3"/>
      <c r="H1026" s="3"/>
      <c r="K1026" t="str">
        <f t="shared" ca="1" si="33"/>
        <v/>
      </c>
    </row>
    <row r="1027" spans="1:11">
      <c r="A1027" s="23" t="e">
        <f>IF(Sheet2!#REF!&lt;&gt;"",Sheet2!#REF!,"")</f>
        <v>#REF!</v>
      </c>
      <c r="B1027" s="33" t="e">
        <f>IF(Sheet2!#REF!&lt;&gt;"",Sheet2!#REF!,"")</f>
        <v>#REF!</v>
      </c>
      <c r="C1027" s="34" t="e">
        <f>IF(Sheet2!#REF!&lt;&gt;"",Sheet2!#REF!,"")</f>
        <v>#REF!</v>
      </c>
      <c r="D1027" s="35" t="str">
        <f t="shared" ref="D1027:D1090" ca="1" si="34">IFERROR(IF(AND((C1027-TODAY())&lt;15,B1027&lt;&gt;""),IF(I1027="","Alert",""),""),"")</f>
        <v/>
      </c>
      <c r="E1027" s="3"/>
      <c r="F1027" s="3"/>
      <c r="G1027" s="3"/>
      <c r="H1027" s="3"/>
      <c r="K1027" t="str">
        <f t="shared" ref="K1027:K1090" ca="1" si="35">IF(I1027&lt;&gt;"",IF(J1027="",IF(TODAY()-I1027&gt;3,"ALERT",""),""),"")</f>
        <v/>
      </c>
    </row>
    <row r="1028" spans="1:11">
      <c r="A1028" s="23" t="e">
        <f>IF(Sheet2!#REF!&lt;&gt;"",Sheet2!#REF!,"")</f>
        <v>#REF!</v>
      </c>
      <c r="B1028" s="33" t="e">
        <f>IF(Sheet2!#REF!&lt;&gt;"",Sheet2!#REF!,"")</f>
        <v>#REF!</v>
      </c>
      <c r="C1028" s="34" t="e">
        <f>IF(Sheet2!#REF!&lt;&gt;"",Sheet2!#REF!,"")</f>
        <v>#REF!</v>
      </c>
      <c r="D1028" s="35" t="str">
        <f t="shared" ca="1" si="34"/>
        <v/>
      </c>
      <c r="E1028" s="3"/>
      <c r="F1028" s="3"/>
      <c r="G1028" s="3"/>
      <c r="H1028" s="3"/>
      <c r="K1028" t="str">
        <f t="shared" ca="1" si="35"/>
        <v/>
      </c>
    </row>
    <row r="1029" spans="1:11">
      <c r="A1029" s="23" t="e">
        <f>IF(Sheet2!#REF!&lt;&gt;"",Sheet2!#REF!,"")</f>
        <v>#REF!</v>
      </c>
      <c r="B1029" s="33" t="e">
        <f>IF(Sheet2!#REF!&lt;&gt;"",Sheet2!#REF!,"")</f>
        <v>#REF!</v>
      </c>
      <c r="C1029" s="34" t="e">
        <f>IF(Sheet2!#REF!&lt;&gt;"",Sheet2!#REF!,"")</f>
        <v>#REF!</v>
      </c>
      <c r="D1029" s="35" t="str">
        <f t="shared" ca="1" si="34"/>
        <v/>
      </c>
      <c r="E1029" s="3"/>
      <c r="F1029" s="3"/>
      <c r="G1029" s="3"/>
      <c r="H1029" s="3"/>
      <c r="K1029" t="str">
        <f t="shared" ca="1" si="35"/>
        <v/>
      </c>
    </row>
    <row r="1030" spans="1:11">
      <c r="A1030" s="23" t="e">
        <f>IF(Sheet2!#REF!&lt;&gt;"",Sheet2!#REF!,"")</f>
        <v>#REF!</v>
      </c>
      <c r="B1030" s="33" t="e">
        <f>IF(Sheet2!#REF!&lt;&gt;"",Sheet2!#REF!,"")</f>
        <v>#REF!</v>
      </c>
      <c r="C1030" s="34" t="e">
        <f>IF(Sheet2!#REF!&lt;&gt;"",Sheet2!#REF!,"")</f>
        <v>#REF!</v>
      </c>
      <c r="D1030" s="35" t="str">
        <f t="shared" ca="1" si="34"/>
        <v/>
      </c>
      <c r="E1030" s="3"/>
      <c r="F1030" s="3"/>
      <c r="G1030" s="3"/>
      <c r="H1030" s="3"/>
      <c r="K1030" t="str">
        <f t="shared" ca="1" si="35"/>
        <v/>
      </c>
    </row>
    <row r="1031" spans="1:11">
      <c r="A1031" s="23" t="e">
        <f>IF(Sheet2!#REF!&lt;&gt;"",Sheet2!#REF!,"")</f>
        <v>#REF!</v>
      </c>
      <c r="B1031" s="33" t="e">
        <f>IF(Sheet2!#REF!&lt;&gt;"",Sheet2!#REF!,"")</f>
        <v>#REF!</v>
      </c>
      <c r="C1031" s="34" t="e">
        <f>IF(Sheet2!#REF!&lt;&gt;"",Sheet2!#REF!,"")</f>
        <v>#REF!</v>
      </c>
      <c r="D1031" s="35" t="str">
        <f t="shared" ca="1" si="34"/>
        <v/>
      </c>
      <c r="E1031" s="3"/>
      <c r="F1031" s="3"/>
      <c r="G1031" s="3"/>
      <c r="H1031" s="3"/>
      <c r="K1031" t="str">
        <f t="shared" ca="1" si="35"/>
        <v/>
      </c>
    </row>
    <row r="1032" spans="1:11">
      <c r="A1032" s="23" t="e">
        <f>IF(Sheet2!#REF!&lt;&gt;"",Sheet2!#REF!,"")</f>
        <v>#REF!</v>
      </c>
      <c r="B1032" s="33" t="e">
        <f>IF(Sheet2!#REF!&lt;&gt;"",Sheet2!#REF!,"")</f>
        <v>#REF!</v>
      </c>
      <c r="C1032" s="34" t="e">
        <f>IF(Sheet2!#REF!&lt;&gt;"",Sheet2!#REF!,"")</f>
        <v>#REF!</v>
      </c>
      <c r="D1032" s="35" t="str">
        <f t="shared" ca="1" si="34"/>
        <v/>
      </c>
      <c r="E1032" s="3"/>
      <c r="F1032" s="3"/>
      <c r="G1032" s="3"/>
      <c r="H1032" s="3"/>
      <c r="K1032" t="str">
        <f t="shared" ca="1" si="35"/>
        <v/>
      </c>
    </row>
    <row r="1033" spans="1:11">
      <c r="A1033" s="23" t="e">
        <f>IF(Sheet2!#REF!&lt;&gt;"",Sheet2!#REF!,"")</f>
        <v>#REF!</v>
      </c>
      <c r="B1033" s="33" t="e">
        <f>IF(Sheet2!#REF!&lt;&gt;"",Sheet2!#REF!,"")</f>
        <v>#REF!</v>
      </c>
      <c r="C1033" s="34" t="e">
        <f>IF(Sheet2!#REF!&lt;&gt;"",Sheet2!#REF!,"")</f>
        <v>#REF!</v>
      </c>
      <c r="D1033" s="35" t="str">
        <f t="shared" ca="1" si="34"/>
        <v/>
      </c>
      <c r="E1033" s="3"/>
      <c r="F1033" s="3"/>
      <c r="G1033" s="3"/>
      <c r="H1033" s="3"/>
      <c r="K1033" t="str">
        <f t="shared" ca="1" si="35"/>
        <v/>
      </c>
    </row>
    <row r="1034" spans="1:11">
      <c r="A1034" s="23" t="e">
        <f>IF(Sheet2!#REF!&lt;&gt;"",Sheet2!#REF!,"")</f>
        <v>#REF!</v>
      </c>
      <c r="B1034" s="33" t="e">
        <f>IF(Sheet2!#REF!&lt;&gt;"",Sheet2!#REF!,"")</f>
        <v>#REF!</v>
      </c>
      <c r="C1034" s="34" t="e">
        <f>IF(Sheet2!#REF!&lt;&gt;"",Sheet2!#REF!,"")</f>
        <v>#REF!</v>
      </c>
      <c r="D1034" s="35" t="str">
        <f t="shared" ca="1" si="34"/>
        <v/>
      </c>
      <c r="E1034" s="3"/>
      <c r="F1034" s="3"/>
      <c r="G1034" s="3"/>
      <c r="H1034" s="3"/>
      <c r="K1034" t="str">
        <f t="shared" ca="1" si="35"/>
        <v/>
      </c>
    </row>
    <row r="1035" spans="1:11">
      <c r="A1035" s="23" t="e">
        <f>IF(Sheet2!#REF!&lt;&gt;"",Sheet2!#REF!,"")</f>
        <v>#REF!</v>
      </c>
      <c r="B1035" s="33" t="e">
        <f>IF(Sheet2!#REF!&lt;&gt;"",Sheet2!#REF!,"")</f>
        <v>#REF!</v>
      </c>
      <c r="C1035" s="34" t="e">
        <f>IF(Sheet2!#REF!&lt;&gt;"",Sheet2!#REF!,"")</f>
        <v>#REF!</v>
      </c>
      <c r="D1035" s="35" t="str">
        <f t="shared" ca="1" si="34"/>
        <v/>
      </c>
      <c r="E1035" s="3"/>
      <c r="F1035" s="3"/>
      <c r="G1035" s="3"/>
      <c r="H1035" s="3"/>
      <c r="K1035" t="str">
        <f t="shared" ca="1" si="35"/>
        <v/>
      </c>
    </row>
    <row r="1036" spans="1:11">
      <c r="A1036" s="23" t="e">
        <f>IF(Sheet2!#REF!&lt;&gt;"",Sheet2!#REF!,"")</f>
        <v>#REF!</v>
      </c>
      <c r="B1036" s="33" t="e">
        <f>IF(Sheet2!#REF!&lt;&gt;"",Sheet2!#REF!,"")</f>
        <v>#REF!</v>
      </c>
      <c r="C1036" s="34" t="e">
        <f>IF(Sheet2!#REF!&lt;&gt;"",Sheet2!#REF!,"")</f>
        <v>#REF!</v>
      </c>
      <c r="D1036" s="35" t="str">
        <f t="shared" ca="1" si="34"/>
        <v/>
      </c>
      <c r="E1036" s="3"/>
      <c r="F1036" s="3"/>
      <c r="G1036" s="3"/>
      <c r="H1036" s="3"/>
      <c r="K1036" t="str">
        <f t="shared" ca="1" si="35"/>
        <v/>
      </c>
    </row>
    <row r="1037" spans="1:11">
      <c r="A1037" s="23" t="e">
        <f>IF(Sheet2!#REF!&lt;&gt;"",Sheet2!#REF!,"")</f>
        <v>#REF!</v>
      </c>
      <c r="B1037" s="33" t="e">
        <f>IF(Sheet2!#REF!&lt;&gt;"",Sheet2!#REF!,"")</f>
        <v>#REF!</v>
      </c>
      <c r="C1037" s="34" t="e">
        <f>IF(Sheet2!#REF!&lt;&gt;"",Sheet2!#REF!,"")</f>
        <v>#REF!</v>
      </c>
      <c r="D1037" s="35" t="str">
        <f t="shared" ca="1" si="34"/>
        <v/>
      </c>
      <c r="E1037" s="3"/>
      <c r="F1037" s="3"/>
      <c r="G1037" s="3"/>
      <c r="H1037" s="3"/>
      <c r="K1037" t="str">
        <f t="shared" ca="1" si="35"/>
        <v/>
      </c>
    </row>
    <row r="1038" spans="1:11">
      <c r="A1038" s="23" t="e">
        <f>IF(Sheet2!#REF!&lt;&gt;"",Sheet2!#REF!,"")</f>
        <v>#REF!</v>
      </c>
      <c r="B1038" s="33" t="e">
        <f>IF(Sheet2!#REF!&lt;&gt;"",Sheet2!#REF!,"")</f>
        <v>#REF!</v>
      </c>
      <c r="C1038" s="34" t="e">
        <f>IF(Sheet2!#REF!&lt;&gt;"",Sheet2!#REF!,"")</f>
        <v>#REF!</v>
      </c>
      <c r="D1038" s="35" t="str">
        <f t="shared" ca="1" si="34"/>
        <v/>
      </c>
      <c r="E1038" s="3"/>
      <c r="F1038" s="3"/>
      <c r="G1038" s="3"/>
      <c r="H1038" s="3"/>
      <c r="K1038" t="str">
        <f t="shared" ca="1" si="35"/>
        <v/>
      </c>
    </row>
    <row r="1039" spans="1:11">
      <c r="A1039" s="23" t="e">
        <f>IF(Sheet2!#REF!&lt;&gt;"",Sheet2!#REF!,"")</f>
        <v>#REF!</v>
      </c>
      <c r="B1039" s="33" t="e">
        <f>IF(Sheet2!#REF!&lt;&gt;"",Sheet2!#REF!,"")</f>
        <v>#REF!</v>
      </c>
      <c r="C1039" s="34" t="e">
        <f>IF(Sheet2!#REF!&lt;&gt;"",Sheet2!#REF!,"")</f>
        <v>#REF!</v>
      </c>
      <c r="D1039" s="35" t="str">
        <f t="shared" ca="1" si="34"/>
        <v/>
      </c>
      <c r="E1039" s="3"/>
      <c r="F1039" s="3"/>
      <c r="G1039" s="3"/>
      <c r="H1039" s="3"/>
      <c r="K1039" t="str">
        <f t="shared" ca="1" si="35"/>
        <v/>
      </c>
    </row>
    <row r="1040" spans="1:11">
      <c r="A1040" s="23" t="e">
        <f>IF(Sheet2!#REF!&lt;&gt;"",Sheet2!#REF!,"")</f>
        <v>#REF!</v>
      </c>
      <c r="B1040" s="33" t="e">
        <f>IF(Sheet2!#REF!&lt;&gt;"",Sheet2!#REF!,"")</f>
        <v>#REF!</v>
      </c>
      <c r="C1040" s="34" t="e">
        <f>IF(Sheet2!#REF!&lt;&gt;"",Sheet2!#REF!,"")</f>
        <v>#REF!</v>
      </c>
      <c r="D1040" s="35" t="str">
        <f t="shared" ca="1" si="34"/>
        <v/>
      </c>
      <c r="E1040" s="3"/>
      <c r="F1040" s="3"/>
      <c r="G1040" s="3"/>
      <c r="H1040" s="3"/>
      <c r="K1040" t="str">
        <f t="shared" ca="1" si="35"/>
        <v/>
      </c>
    </row>
    <row r="1041" spans="1:11">
      <c r="A1041" s="23" t="e">
        <f>IF(Sheet2!#REF!&lt;&gt;"",Sheet2!#REF!,"")</f>
        <v>#REF!</v>
      </c>
      <c r="B1041" s="33" t="e">
        <f>IF(Sheet2!#REF!&lt;&gt;"",Sheet2!#REF!,"")</f>
        <v>#REF!</v>
      </c>
      <c r="C1041" s="34" t="e">
        <f>IF(Sheet2!#REF!&lt;&gt;"",Sheet2!#REF!,"")</f>
        <v>#REF!</v>
      </c>
      <c r="D1041" s="35" t="str">
        <f t="shared" ca="1" si="34"/>
        <v/>
      </c>
      <c r="E1041" s="3"/>
      <c r="F1041" s="3"/>
      <c r="G1041" s="3"/>
      <c r="H1041" s="3"/>
      <c r="K1041" t="str">
        <f t="shared" ca="1" si="35"/>
        <v/>
      </c>
    </row>
    <row r="1042" spans="1:11">
      <c r="A1042" s="23" t="e">
        <f>IF(Sheet2!#REF!&lt;&gt;"",Sheet2!#REF!,"")</f>
        <v>#REF!</v>
      </c>
      <c r="B1042" s="33" t="e">
        <f>IF(Sheet2!#REF!&lt;&gt;"",Sheet2!#REF!,"")</f>
        <v>#REF!</v>
      </c>
      <c r="C1042" s="34" t="e">
        <f>IF(Sheet2!#REF!&lt;&gt;"",Sheet2!#REF!,"")</f>
        <v>#REF!</v>
      </c>
      <c r="D1042" s="35" t="str">
        <f t="shared" ca="1" si="34"/>
        <v/>
      </c>
      <c r="E1042" s="3"/>
      <c r="F1042" s="3"/>
      <c r="G1042" s="3"/>
      <c r="H1042" s="3"/>
      <c r="K1042" t="str">
        <f t="shared" ca="1" si="35"/>
        <v/>
      </c>
    </row>
    <row r="1043" spans="1:11">
      <c r="A1043" s="23" t="e">
        <f>IF(Sheet2!#REF!&lt;&gt;"",Sheet2!#REF!,"")</f>
        <v>#REF!</v>
      </c>
      <c r="B1043" s="33" t="e">
        <f>IF(Sheet2!#REF!&lt;&gt;"",Sheet2!#REF!,"")</f>
        <v>#REF!</v>
      </c>
      <c r="C1043" s="34" t="e">
        <f>IF(Sheet2!#REF!&lt;&gt;"",Sheet2!#REF!,"")</f>
        <v>#REF!</v>
      </c>
      <c r="D1043" s="35" t="str">
        <f t="shared" ca="1" si="34"/>
        <v/>
      </c>
      <c r="E1043" s="3"/>
      <c r="F1043" s="3"/>
      <c r="G1043" s="3"/>
      <c r="H1043" s="3"/>
      <c r="K1043" t="str">
        <f t="shared" ca="1" si="35"/>
        <v/>
      </c>
    </row>
    <row r="1044" spans="1:11">
      <c r="A1044" s="23" t="e">
        <f>IF(Sheet2!#REF!&lt;&gt;"",Sheet2!#REF!,"")</f>
        <v>#REF!</v>
      </c>
      <c r="B1044" s="33" t="e">
        <f>IF(Sheet2!#REF!&lt;&gt;"",Sheet2!#REF!,"")</f>
        <v>#REF!</v>
      </c>
      <c r="C1044" s="34" t="e">
        <f>IF(Sheet2!#REF!&lt;&gt;"",Sheet2!#REF!,"")</f>
        <v>#REF!</v>
      </c>
      <c r="D1044" s="35" t="str">
        <f t="shared" ca="1" si="34"/>
        <v/>
      </c>
      <c r="E1044" s="3"/>
      <c r="F1044" s="3"/>
      <c r="G1044" s="3"/>
      <c r="H1044" s="3"/>
      <c r="K1044" t="str">
        <f t="shared" ca="1" si="35"/>
        <v/>
      </c>
    </row>
    <row r="1045" spans="1:11">
      <c r="A1045" s="23" t="e">
        <f>IF(Sheet2!#REF!&lt;&gt;"",Sheet2!#REF!,"")</f>
        <v>#REF!</v>
      </c>
      <c r="B1045" s="33" t="e">
        <f>IF(Sheet2!#REF!&lt;&gt;"",Sheet2!#REF!,"")</f>
        <v>#REF!</v>
      </c>
      <c r="C1045" s="34" t="e">
        <f>IF(Sheet2!#REF!&lt;&gt;"",Sheet2!#REF!,"")</f>
        <v>#REF!</v>
      </c>
      <c r="D1045" s="35" t="str">
        <f t="shared" ca="1" si="34"/>
        <v/>
      </c>
      <c r="E1045" s="3"/>
      <c r="F1045" s="3"/>
      <c r="G1045" s="3"/>
      <c r="H1045" s="3"/>
      <c r="K1045" t="str">
        <f t="shared" ca="1" si="35"/>
        <v/>
      </c>
    </row>
    <row r="1046" spans="1:11">
      <c r="A1046" s="23" t="e">
        <f>IF(Sheet2!#REF!&lt;&gt;"",Sheet2!#REF!,"")</f>
        <v>#REF!</v>
      </c>
      <c r="B1046" s="33" t="e">
        <f>IF(Sheet2!#REF!&lt;&gt;"",Sheet2!#REF!,"")</f>
        <v>#REF!</v>
      </c>
      <c r="C1046" s="34" t="e">
        <f>IF(Sheet2!#REF!&lt;&gt;"",Sheet2!#REF!,"")</f>
        <v>#REF!</v>
      </c>
      <c r="D1046" s="35" t="str">
        <f t="shared" ca="1" si="34"/>
        <v/>
      </c>
      <c r="E1046" s="3"/>
      <c r="F1046" s="3"/>
      <c r="G1046" s="3"/>
      <c r="H1046" s="3"/>
      <c r="K1046" t="str">
        <f t="shared" ca="1" si="35"/>
        <v/>
      </c>
    </row>
    <row r="1047" spans="1:11">
      <c r="A1047" s="23" t="e">
        <f>IF(Sheet2!#REF!&lt;&gt;"",Sheet2!#REF!,"")</f>
        <v>#REF!</v>
      </c>
      <c r="B1047" s="33" t="e">
        <f>IF(Sheet2!#REF!&lt;&gt;"",Sheet2!#REF!,"")</f>
        <v>#REF!</v>
      </c>
      <c r="C1047" s="34" t="e">
        <f>IF(Sheet2!#REF!&lt;&gt;"",Sheet2!#REF!,"")</f>
        <v>#REF!</v>
      </c>
      <c r="D1047" s="35" t="str">
        <f t="shared" ca="1" si="34"/>
        <v/>
      </c>
      <c r="E1047" s="3"/>
      <c r="F1047" s="3"/>
      <c r="G1047" s="3"/>
      <c r="H1047" s="3"/>
      <c r="K1047" t="str">
        <f t="shared" ca="1" si="35"/>
        <v/>
      </c>
    </row>
    <row r="1048" spans="1:11">
      <c r="A1048" s="23" t="e">
        <f>IF(Sheet2!#REF!&lt;&gt;"",Sheet2!#REF!,"")</f>
        <v>#REF!</v>
      </c>
      <c r="B1048" s="33" t="e">
        <f>IF(Sheet2!#REF!&lt;&gt;"",Sheet2!#REF!,"")</f>
        <v>#REF!</v>
      </c>
      <c r="C1048" s="34" t="e">
        <f>IF(Sheet2!#REF!&lt;&gt;"",Sheet2!#REF!,"")</f>
        <v>#REF!</v>
      </c>
      <c r="D1048" s="35" t="str">
        <f t="shared" ca="1" si="34"/>
        <v/>
      </c>
      <c r="E1048" s="3"/>
      <c r="F1048" s="3"/>
      <c r="G1048" s="3"/>
      <c r="H1048" s="3"/>
      <c r="K1048" t="str">
        <f t="shared" ca="1" si="35"/>
        <v/>
      </c>
    </row>
    <row r="1049" spans="1:11">
      <c r="A1049" s="23" t="e">
        <f>IF(Sheet2!#REF!&lt;&gt;"",Sheet2!#REF!,"")</f>
        <v>#REF!</v>
      </c>
      <c r="B1049" s="33" t="e">
        <f>IF(Sheet2!#REF!&lt;&gt;"",Sheet2!#REF!,"")</f>
        <v>#REF!</v>
      </c>
      <c r="C1049" s="34" t="e">
        <f>IF(Sheet2!#REF!&lt;&gt;"",Sheet2!#REF!,"")</f>
        <v>#REF!</v>
      </c>
      <c r="D1049" s="35" t="str">
        <f t="shared" ca="1" si="34"/>
        <v/>
      </c>
      <c r="E1049" s="3"/>
      <c r="F1049" s="3"/>
      <c r="G1049" s="3"/>
      <c r="H1049" s="3"/>
      <c r="K1049" t="str">
        <f t="shared" ca="1" si="35"/>
        <v/>
      </c>
    </row>
    <row r="1050" spans="1:11">
      <c r="A1050" s="23" t="e">
        <f>IF(Sheet2!#REF!&lt;&gt;"",Sheet2!#REF!,"")</f>
        <v>#REF!</v>
      </c>
      <c r="B1050" s="33" t="e">
        <f>IF(Sheet2!#REF!&lt;&gt;"",Sheet2!#REF!,"")</f>
        <v>#REF!</v>
      </c>
      <c r="C1050" s="34" t="e">
        <f>IF(Sheet2!#REF!&lt;&gt;"",Sheet2!#REF!,"")</f>
        <v>#REF!</v>
      </c>
      <c r="D1050" s="35" t="str">
        <f t="shared" ca="1" si="34"/>
        <v/>
      </c>
      <c r="E1050" s="3"/>
      <c r="F1050" s="3"/>
      <c r="G1050" s="3"/>
      <c r="H1050" s="3"/>
      <c r="K1050" t="str">
        <f t="shared" ca="1" si="35"/>
        <v/>
      </c>
    </row>
    <row r="1051" spans="1:11">
      <c r="A1051" s="23" t="e">
        <f>IF(Sheet2!#REF!&lt;&gt;"",Sheet2!#REF!,"")</f>
        <v>#REF!</v>
      </c>
      <c r="B1051" s="33" t="e">
        <f>IF(Sheet2!#REF!&lt;&gt;"",Sheet2!#REF!,"")</f>
        <v>#REF!</v>
      </c>
      <c r="C1051" s="34" t="e">
        <f>IF(Sheet2!#REF!&lt;&gt;"",Sheet2!#REF!,"")</f>
        <v>#REF!</v>
      </c>
      <c r="D1051" s="35" t="str">
        <f t="shared" ca="1" si="34"/>
        <v/>
      </c>
      <c r="E1051" s="3"/>
      <c r="F1051" s="3"/>
      <c r="G1051" s="3"/>
      <c r="H1051" s="3"/>
      <c r="K1051" t="str">
        <f t="shared" ca="1" si="35"/>
        <v/>
      </c>
    </row>
    <row r="1052" spans="1:11">
      <c r="A1052" s="23" t="e">
        <f>IF(Sheet2!#REF!&lt;&gt;"",Sheet2!#REF!,"")</f>
        <v>#REF!</v>
      </c>
      <c r="B1052" s="33" t="e">
        <f>IF(Sheet2!#REF!&lt;&gt;"",Sheet2!#REF!,"")</f>
        <v>#REF!</v>
      </c>
      <c r="C1052" s="34" t="e">
        <f>IF(Sheet2!#REF!&lt;&gt;"",Sheet2!#REF!,"")</f>
        <v>#REF!</v>
      </c>
      <c r="D1052" s="35" t="str">
        <f t="shared" ca="1" si="34"/>
        <v/>
      </c>
      <c r="E1052" s="3"/>
      <c r="F1052" s="3"/>
      <c r="G1052" s="3"/>
      <c r="H1052" s="3"/>
      <c r="K1052" t="str">
        <f t="shared" ca="1" si="35"/>
        <v/>
      </c>
    </row>
    <row r="1053" spans="1:11">
      <c r="A1053" s="23" t="e">
        <f>IF(Sheet2!#REF!&lt;&gt;"",Sheet2!#REF!,"")</f>
        <v>#REF!</v>
      </c>
      <c r="B1053" s="33" t="e">
        <f>IF(Sheet2!#REF!&lt;&gt;"",Sheet2!#REF!,"")</f>
        <v>#REF!</v>
      </c>
      <c r="C1053" s="34" t="e">
        <f>IF(Sheet2!#REF!&lt;&gt;"",Sheet2!#REF!,"")</f>
        <v>#REF!</v>
      </c>
      <c r="D1053" s="35" t="str">
        <f t="shared" ca="1" si="34"/>
        <v/>
      </c>
      <c r="E1053" s="3"/>
      <c r="F1053" s="3"/>
      <c r="G1053" s="3"/>
      <c r="H1053" s="3"/>
      <c r="K1053" t="str">
        <f t="shared" ca="1" si="35"/>
        <v/>
      </c>
    </row>
    <row r="1054" spans="1:11">
      <c r="A1054" s="23" t="e">
        <f>IF(Sheet2!#REF!&lt;&gt;"",Sheet2!#REF!,"")</f>
        <v>#REF!</v>
      </c>
      <c r="B1054" s="33" t="e">
        <f>IF(Sheet2!#REF!&lt;&gt;"",Sheet2!#REF!,"")</f>
        <v>#REF!</v>
      </c>
      <c r="C1054" s="34" t="e">
        <f>IF(Sheet2!#REF!&lt;&gt;"",Sheet2!#REF!,"")</f>
        <v>#REF!</v>
      </c>
      <c r="D1054" s="35" t="str">
        <f t="shared" ca="1" si="34"/>
        <v/>
      </c>
      <c r="E1054" s="3"/>
      <c r="F1054" s="3"/>
      <c r="G1054" s="3"/>
      <c r="H1054" s="3"/>
      <c r="K1054" t="str">
        <f t="shared" ca="1" si="35"/>
        <v/>
      </c>
    </row>
    <row r="1055" spans="1:11">
      <c r="A1055" s="23" t="e">
        <f>IF(Sheet2!#REF!&lt;&gt;"",Sheet2!#REF!,"")</f>
        <v>#REF!</v>
      </c>
      <c r="B1055" s="33" t="e">
        <f>IF(Sheet2!#REF!&lt;&gt;"",Sheet2!#REF!,"")</f>
        <v>#REF!</v>
      </c>
      <c r="C1055" s="34" t="e">
        <f>IF(Sheet2!#REF!&lt;&gt;"",Sheet2!#REF!,"")</f>
        <v>#REF!</v>
      </c>
      <c r="D1055" s="35" t="str">
        <f t="shared" ca="1" si="34"/>
        <v/>
      </c>
      <c r="E1055" s="3"/>
      <c r="F1055" s="3"/>
      <c r="G1055" s="3"/>
      <c r="H1055" s="3"/>
      <c r="K1055" t="str">
        <f t="shared" ca="1" si="35"/>
        <v/>
      </c>
    </row>
    <row r="1056" spans="1:11">
      <c r="A1056" s="23" t="e">
        <f>IF(Sheet2!#REF!&lt;&gt;"",Sheet2!#REF!,"")</f>
        <v>#REF!</v>
      </c>
      <c r="B1056" s="33" t="e">
        <f>IF(Sheet2!#REF!&lt;&gt;"",Sheet2!#REF!,"")</f>
        <v>#REF!</v>
      </c>
      <c r="C1056" s="34" t="e">
        <f>IF(Sheet2!#REF!&lt;&gt;"",Sheet2!#REF!,"")</f>
        <v>#REF!</v>
      </c>
      <c r="D1056" s="35" t="str">
        <f t="shared" ca="1" si="34"/>
        <v/>
      </c>
      <c r="E1056" s="3"/>
      <c r="F1056" s="3"/>
      <c r="G1056" s="3"/>
      <c r="H1056" s="3"/>
      <c r="K1056" t="str">
        <f t="shared" ca="1" si="35"/>
        <v/>
      </c>
    </row>
    <row r="1057" spans="1:11">
      <c r="A1057" s="23" t="e">
        <f>IF(Sheet2!#REF!&lt;&gt;"",Sheet2!#REF!,"")</f>
        <v>#REF!</v>
      </c>
      <c r="B1057" s="33" t="e">
        <f>IF(Sheet2!#REF!&lt;&gt;"",Sheet2!#REF!,"")</f>
        <v>#REF!</v>
      </c>
      <c r="C1057" s="34" t="e">
        <f>IF(Sheet2!#REF!&lt;&gt;"",Sheet2!#REF!,"")</f>
        <v>#REF!</v>
      </c>
      <c r="D1057" s="35" t="str">
        <f t="shared" ca="1" si="34"/>
        <v/>
      </c>
      <c r="E1057" s="3"/>
      <c r="F1057" s="3"/>
      <c r="G1057" s="3"/>
      <c r="H1057" s="3"/>
      <c r="K1057" t="str">
        <f t="shared" ca="1" si="35"/>
        <v/>
      </c>
    </row>
    <row r="1058" spans="1:11">
      <c r="A1058" s="23" t="e">
        <f>IF(Sheet2!#REF!&lt;&gt;"",Sheet2!#REF!,"")</f>
        <v>#REF!</v>
      </c>
      <c r="B1058" s="33" t="e">
        <f>IF(Sheet2!#REF!&lt;&gt;"",Sheet2!#REF!,"")</f>
        <v>#REF!</v>
      </c>
      <c r="C1058" s="34" t="e">
        <f>IF(Sheet2!#REF!&lt;&gt;"",Sheet2!#REF!,"")</f>
        <v>#REF!</v>
      </c>
      <c r="D1058" s="35" t="str">
        <f t="shared" ca="1" si="34"/>
        <v/>
      </c>
      <c r="E1058" s="3"/>
      <c r="F1058" s="3"/>
      <c r="G1058" s="3"/>
      <c r="H1058" s="3"/>
      <c r="K1058" t="str">
        <f t="shared" ca="1" si="35"/>
        <v/>
      </c>
    </row>
    <row r="1059" spans="1:11">
      <c r="A1059" s="23" t="e">
        <f>IF(Sheet2!#REF!&lt;&gt;"",Sheet2!#REF!,"")</f>
        <v>#REF!</v>
      </c>
      <c r="B1059" s="33" t="e">
        <f>IF(Sheet2!#REF!&lt;&gt;"",Sheet2!#REF!,"")</f>
        <v>#REF!</v>
      </c>
      <c r="C1059" s="34" t="e">
        <f>IF(Sheet2!#REF!&lt;&gt;"",Sheet2!#REF!,"")</f>
        <v>#REF!</v>
      </c>
      <c r="D1059" s="35" t="str">
        <f t="shared" ca="1" si="34"/>
        <v/>
      </c>
      <c r="E1059" s="3"/>
      <c r="F1059" s="3"/>
      <c r="G1059" s="3"/>
      <c r="H1059" s="3"/>
      <c r="K1059" t="str">
        <f t="shared" ca="1" si="35"/>
        <v/>
      </c>
    </row>
    <row r="1060" spans="1:11">
      <c r="A1060" s="23" t="e">
        <f>IF(Sheet2!#REF!&lt;&gt;"",Sheet2!#REF!,"")</f>
        <v>#REF!</v>
      </c>
      <c r="B1060" s="33" t="e">
        <f>IF(Sheet2!#REF!&lt;&gt;"",Sheet2!#REF!,"")</f>
        <v>#REF!</v>
      </c>
      <c r="C1060" s="34" t="e">
        <f>IF(Sheet2!#REF!&lt;&gt;"",Sheet2!#REF!,"")</f>
        <v>#REF!</v>
      </c>
      <c r="D1060" s="35" t="str">
        <f t="shared" ca="1" si="34"/>
        <v/>
      </c>
      <c r="E1060" s="3"/>
      <c r="F1060" s="3"/>
      <c r="G1060" s="3"/>
      <c r="H1060" s="3"/>
      <c r="K1060" t="str">
        <f t="shared" ca="1" si="35"/>
        <v/>
      </c>
    </row>
    <row r="1061" spans="1:11">
      <c r="A1061" s="23" t="e">
        <f>IF(Sheet2!#REF!&lt;&gt;"",Sheet2!#REF!,"")</f>
        <v>#REF!</v>
      </c>
      <c r="B1061" s="33" t="e">
        <f>IF(Sheet2!#REF!&lt;&gt;"",Sheet2!#REF!,"")</f>
        <v>#REF!</v>
      </c>
      <c r="C1061" s="34" t="e">
        <f>IF(Sheet2!#REF!&lt;&gt;"",Sheet2!#REF!,"")</f>
        <v>#REF!</v>
      </c>
      <c r="D1061" s="35" t="str">
        <f t="shared" ca="1" si="34"/>
        <v/>
      </c>
      <c r="E1061" s="3"/>
      <c r="F1061" s="3"/>
      <c r="G1061" s="3"/>
      <c r="H1061" s="3"/>
      <c r="K1061" t="str">
        <f t="shared" ca="1" si="35"/>
        <v/>
      </c>
    </row>
    <row r="1062" spans="1:11">
      <c r="A1062" s="23" t="e">
        <f>IF(Sheet2!#REF!&lt;&gt;"",Sheet2!#REF!,"")</f>
        <v>#REF!</v>
      </c>
      <c r="B1062" s="33" t="e">
        <f>IF(Sheet2!#REF!&lt;&gt;"",Sheet2!#REF!,"")</f>
        <v>#REF!</v>
      </c>
      <c r="C1062" s="34" t="e">
        <f>IF(Sheet2!#REF!&lt;&gt;"",Sheet2!#REF!,"")</f>
        <v>#REF!</v>
      </c>
      <c r="D1062" s="35" t="str">
        <f t="shared" ca="1" si="34"/>
        <v/>
      </c>
      <c r="E1062" s="3"/>
      <c r="F1062" s="3"/>
      <c r="G1062" s="3"/>
      <c r="H1062" s="3"/>
      <c r="K1062" t="str">
        <f t="shared" ca="1" si="35"/>
        <v/>
      </c>
    </row>
    <row r="1063" spans="1:11">
      <c r="A1063" s="23" t="e">
        <f>IF(Sheet2!#REF!&lt;&gt;"",Sheet2!#REF!,"")</f>
        <v>#REF!</v>
      </c>
      <c r="B1063" s="33" t="e">
        <f>IF(Sheet2!#REF!&lt;&gt;"",Sheet2!#REF!,"")</f>
        <v>#REF!</v>
      </c>
      <c r="C1063" s="34" t="e">
        <f>IF(Sheet2!#REF!&lt;&gt;"",Sheet2!#REF!,"")</f>
        <v>#REF!</v>
      </c>
      <c r="D1063" s="35" t="str">
        <f t="shared" ca="1" si="34"/>
        <v/>
      </c>
      <c r="E1063" s="3"/>
      <c r="F1063" s="3"/>
      <c r="G1063" s="3"/>
      <c r="H1063" s="3"/>
      <c r="K1063" t="str">
        <f t="shared" ca="1" si="35"/>
        <v/>
      </c>
    </row>
    <row r="1064" spans="1:11">
      <c r="A1064" s="23" t="e">
        <f>IF(Sheet2!#REF!&lt;&gt;"",Sheet2!#REF!,"")</f>
        <v>#REF!</v>
      </c>
      <c r="B1064" s="33" t="e">
        <f>IF(Sheet2!#REF!&lt;&gt;"",Sheet2!#REF!,"")</f>
        <v>#REF!</v>
      </c>
      <c r="C1064" s="34" t="e">
        <f>IF(Sheet2!#REF!&lt;&gt;"",Sheet2!#REF!,"")</f>
        <v>#REF!</v>
      </c>
      <c r="D1064" s="35" t="str">
        <f t="shared" ca="1" si="34"/>
        <v/>
      </c>
      <c r="E1064" s="3"/>
      <c r="F1064" s="3"/>
      <c r="G1064" s="3"/>
      <c r="H1064" s="3"/>
      <c r="K1064" t="str">
        <f t="shared" ca="1" si="35"/>
        <v/>
      </c>
    </row>
    <row r="1065" spans="1:11">
      <c r="A1065" s="23" t="e">
        <f>IF(Sheet2!#REF!&lt;&gt;"",Sheet2!#REF!,"")</f>
        <v>#REF!</v>
      </c>
      <c r="B1065" s="33" t="e">
        <f>IF(Sheet2!#REF!&lt;&gt;"",Sheet2!#REF!,"")</f>
        <v>#REF!</v>
      </c>
      <c r="C1065" s="34" t="e">
        <f>IF(Sheet2!#REF!&lt;&gt;"",Sheet2!#REF!,"")</f>
        <v>#REF!</v>
      </c>
      <c r="D1065" s="35" t="str">
        <f t="shared" ca="1" si="34"/>
        <v/>
      </c>
      <c r="E1065" s="3"/>
      <c r="F1065" s="3"/>
      <c r="G1065" s="3"/>
      <c r="H1065" s="3"/>
      <c r="K1065" t="str">
        <f t="shared" ca="1" si="35"/>
        <v/>
      </c>
    </row>
    <row r="1066" spans="1:11">
      <c r="A1066" s="23" t="e">
        <f>IF(Sheet2!#REF!&lt;&gt;"",Sheet2!#REF!,"")</f>
        <v>#REF!</v>
      </c>
      <c r="B1066" s="33" t="e">
        <f>IF(Sheet2!#REF!&lt;&gt;"",Sheet2!#REF!,"")</f>
        <v>#REF!</v>
      </c>
      <c r="C1066" s="34" t="e">
        <f>IF(Sheet2!#REF!&lt;&gt;"",Sheet2!#REF!,"")</f>
        <v>#REF!</v>
      </c>
      <c r="D1066" s="35" t="str">
        <f t="shared" ca="1" si="34"/>
        <v/>
      </c>
      <c r="E1066" s="3"/>
      <c r="F1066" s="3"/>
      <c r="G1066" s="3"/>
      <c r="H1066" s="3"/>
      <c r="K1066" t="str">
        <f t="shared" ca="1" si="35"/>
        <v/>
      </c>
    </row>
    <row r="1067" spans="1:11">
      <c r="A1067" s="23" t="e">
        <f>IF(Sheet2!#REF!&lt;&gt;"",Sheet2!#REF!,"")</f>
        <v>#REF!</v>
      </c>
      <c r="B1067" s="33" t="e">
        <f>IF(Sheet2!#REF!&lt;&gt;"",Sheet2!#REF!,"")</f>
        <v>#REF!</v>
      </c>
      <c r="C1067" s="34" t="e">
        <f>IF(Sheet2!#REF!&lt;&gt;"",Sheet2!#REF!,"")</f>
        <v>#REF!</v>
      </c>
      <c r="D1067" s="35" t="str">
        <f t="shared" ca="1" si="34"/>
        <v/>
      </c>
      <c r="E1067" s="3"/>
      <c r="F1067" s="3"/>
      <c r="G1067" s="3"/>
      <c r="H1067" s="3"/>
      <c r="K1067" t="str">
        <f t="shared" ca="1" si="35"/>
        <v/>
      </c>
    </row>
    <row r="1068" spans="1:11">
      <c r="A1068" s="23" t="e">
        <f>IF(Sheet2!#REF!&lt;&gt;"",Sheet2!#REF!,"")</f>
        <v>#REF!</v>
      </c>
      <c r="B1068" s="33" t="e">
        <f>IF(Sheet2!#REF!&lt;&gt;"",Sheet2!#REF!,"")</f>
        <v>#REF!</v>
      </c>
      <c r="C1068" s="34" t="e">
        <f>IF(Sheet2!#REF!&lt;&gt;"",Sheet2!#REF!,"")</f>
        <v>#REF!</v>
      </c>
      <c r="D1068" s="35" t="str">
        <f t="shared" ca="1" si="34"/>
        <v/>
      </c>
      <c r="E1068" s="3"/>
      <c r="F1068" s="3"/>
      <c r="G1068" s="3"/>
      <c r="H1068" s="3"/>
      <c r="K1068" t="str">
        <f t="shared" ca="1" si="35"/>
        <v/>
      </c>
    </row>
    <row r="1069" spans="1:11">
      <c r="A1069" s="23" t="e">
        <f>IF(Sheet2!#REF!&lt;&gt;"",Sheet2!#REF!,"")</f>
        <v>#REF!</v>
      </c>
      <c r="B1069" s="33" t="e">
        <f>IF(Sheet2!#REF!&lt;&gt;"",Sheet2!#REF!,"")</f>
        <v>#REF!</v>
      </c>
      <c r="C1069" s="34" t="e">
        <f>IF(Sheet2!#REF!&lt;&gt;"",Sheet2!#REF!,"")</f>
        <v>#REF!</v>
      </c>
      <c r="D1069" s="35" t="str">
        <f t="shared" ca="1" si="34"/>
        <v/>
      </c>
      <c r="E1069" s="3"/>
      <c r="F1069" s="3"/>
      <c r="G1069" s="3"/>
      <c r="H1069" s="3"/>
      <c r="K1069" t="str">
        <f t="shared" ca="1" si="35"/>
        <v/>
      </c>
    </row>
    <row r="1070" spans="1:11">
      <c r="A1070" s="23" t="e">
        <f>IF(Sheet2!#REF!&lt;&gt;"",Sheet2!#REF!,"")</f>
        <v>#REF!</v>
      </c>
      <c r="B1070" s="33" t="e">
        <f>IF(Sheet2!#REF!&lt;&gt;"",Sheet2!#REF!,"")</f>
        <v>#REF!</v>
      </c>
      <c r="C1070" s="34" t="e">
        <f>IF(Sheet2!#REF!&lt;&gt;"",Sheet2!#REF!,"")</f>
        <v>#REF!</v>
      </c>
      <c r="D1070" s="35" t="str">
        <f t="shared" ca="1" si="34"/>
        <v/>
      </c>
      <c r="E1070" s="3"/>
      <c r="F1070" s="3"/>
      <c r="G1070" s="3"/>
      <c r="H1070" s="3"/>
      <c r="K1070" t="str">
        <f t="shared" ca="1" si="35"/>
        <v/>
      </c>
    </row>
    <row r="1071" spans="1:11">
      <c r="A1071" s="23" t="e">
        <f>IF(Sheet2!#REF!&lt;&gt;"",Sheet2!#REF!,"")</f>
        <v>#REF!</v>
      </c>
      <c r="B1071" s="33" t="e">
        <f>IF(Sheet2!#REF!&lt;&gt;"",Sheet2!#REF!,"")</f>
        <v>#REF!</v>
      </c>
      <c r="C1071" s="34" t="e">
        <f>IF(Sheet2!#REF!&lt;&gt;"",Sheet2!#REF!,"")</f>
        <v>#REF!</v>
      </c>
      <c r="D1071" s="35" t="str">
        <f t="shared" ca="1" si="34"/>
        <v/>
      </c>
      <c r="E1071" s="3"/>
      <c r="F1071" s="3"/>
      <c r="G1071" s="3"/>
      <c r="H1071" s="3"/>
      <c r="K1071" t="str">
        <f t="shared" ca="1" si="35"/>
        <v/>
      </c>
    </row>
    <row r="1072" spans="1:11">
      <c r="A1072" s="23" t="e">
        <f>IF(Sheet2!#REF!&lt;&gt;"",Sheet2!#REF!,"")</f>
        <v>#REF!</v>
      </c>
      <c r="B1072" s="33" t="e">
        <f>IF(Sheet2!#REF!&lt;&gt;"",Sheet2!#REF!,"")</f>
        <v>#REF!</v>
      </c>
      <c r="C1072" s="34" t="e">
        <f>IF(Sheet2!#REF!&lt;&gt;"",Sheet2!#REF!,"")</f>
        <v>#REF!</v>
      </c>
      <c r="D1072" s="35" t="str">
        <f t="shared" ca="1" si="34"/>
        <v/>
      </c>
      <c r="E1072" s="3"/>
      <c r="F1072" s="3"/>
      <c r="G1072" s="3"/>
      <c r="H1072" s="3"/>
      <c r="K1072" t="str">
        <f t="shared" ca="1" si="35"/>
        <v/>
      </c>
    </row>
    <row r="1073" spans="1:11">
      <c r="A1073" s="23" t="e">
        <f>IF(Sheet2!#REF!&lt;&gt;"",Sheet2!#REF!,"")</f>
        <v>#REF!</v>
      </c>
      <c r="B1073" s="33" t="e">
        <f>IF(Sheet2!#REF!&lt;&gt;"",Sheet2!#REF!,"")</f>
        <v>#REF!</v>
      </c>
      <c r="C1073" s="34" t="e">
        <f>IF(Sheet2!#REF!&lt;&gt;"",Sheet2!#REF!,"")</f>
        <v>#REF!</v>
      </c>
      <c r="D1073" s="35" t="str">
        <f t="shared" ca="1" si="34"/>
        <v/>
      </c>
      <c r="E1073" s="3"/>
      <c r="F1073" s="3"/>
      <c r="G1073" s="3"/>
      <c r="H1073" s="3"/>
      <c r="K1073" t="str">
        <f t="shared" ca="1" si="35"/>
        <v/>
      </c>
    </row>
    <row r="1074" spans="1:11">
      <c r="A1074" s="23" t="e">
        <f>IF(Sheet2!#REF!&lt;&gt;"",Sheet2!#REF!,"")</f>
        <v>#REF!</v>
      </c>
      <c r="B1074" s="33" t="e">
        <f>IF(Sheet2!#REF!&lt;&gt;"",Sheet2!#REF!,"")</f>
        <v>#REF!</v>
      </c>
      <c r="C1074" s="34" t="e">
        <f>IF(Sheet2!#REF!&lt;&gt;"",Sheet2!#REF!,"")</f>
        <v>#REF!</v>
      </c>
      <c r="D1074" s="35" t="str">
        <f t="shared" ca="1" si="34"/>
        <v/>
      </c>
      <c r="E1074" s="3"/>
      <c r="F1074" s="3"/>
      <c r="G1074" s="3"/>
      <c r="H1074" s="3"/>
      <c r="K1074" t="str">
        <f t="shared" ca="1" si="35"/>
        <v/>
      </c>
    </row>
    <row r="1075" spans="1:11">
      <c r="A1075" s="23" t="e">
        <f>IF(Sheet2!#REF!&lt;&gt;"",Sheet2!#REF!,"")</f>
        <v>#REF!</v>
      </c>
      <c r="B1075" s="33" t="e">
        <f>IF(Sheet2!#REF!&lt;&gt;"",Sheet2!#REF!,"")</f>
        <v>#REF!</v>
      </c>
      <c r="C1075" s="34" t="e">
        <f>IF(Sheet2!#REF!&lt;&gt;"",Sheet2!#REF!,"")</f>
        <v>#REF!</v>
      </c>
      <c r="D1075" s="35" t="str">
        <f t="shared" ca="1" si="34"/>
        <v/>
      </c>
      <c r="E1075" s="3"/>
      <c r="F1075" s="3"/>
      <c r="G1075" s="3"/>
      <c r="H1075" s="3"/>
      <c r="K1075" t="str">
        <f t="shared" ca="1" si="35"/>
        <v/>
      </c>
    </row>
    <row r="1076" spans="1:11">
      <c r="A1076" s="23" t="e">
        <f>IF(Sheet2!#REF!&lt;&gt;"",Sheet2!#REF!,"")</f>
        <v>#REF!</v>
      </c>
      <c r="B1076" s="33" t="e">
        <f>IF(Sheet2!#REF!&lt;&gt;"",Sheet2!#REF!,"")</f>
        <v>#REF!</v>
      </c>
      <c r="C1076" s="34" t="e">
        <f>IF(Sheet2!#REF!&lt;&gt;"",Sheet2!#REF!,"")</f>
        <v>#REF!</v>
      </c>
      <c r="D1076" s="35" t="str">
        <f t="shared" ca="1" si="34"/>
        <v/>
      </c>
      <c r="E1076" s="3"/>
      <c r="F1076" s="3"/>
      <c r="G1076" s="3"/>
      <c r="H1076" s="3"/>
      <c r="K1076" t="str">
        <f t="shared" ca="1" si="35"/>
        <v/>
      </c>
    </row>
    <row r="1077" spans="1:11">
      <c r="A1077" s="23" t="e">
        <f>IF(Sheet2!#REF!&lt;&gt;"",Sheet2!#REF!,"")</f>
        <v>#REF!</v>
      </c>
      <c r="B1077" s="33" t="e">
        <f>IF(Sheet2!#REF!&lt;&gt;"",Sheet2!#REF!,"")</f>
        <v>#REF!</v>
      </c>
      <c r="C1077" s="34" t="e">
        <f>IF(Sheet2!#REF!&lt;&gt;"",Sheet2!#REF!,"")</f>
        <v>#REF!</v>
      </c>
      <c r="D1077" s="35" t="str">
        <f t="shared" ca="1" si="34"/>
        <v/>
      </c>
      <c r="E1077" s="3"/>
      <c r="F1077" s="3"/>
      <c r="G1077" s="3"/>
      <c r="H1077" s="3"/>
      <c r="K1077" t="str">
        <f t="shared" ca="1" si="35"/>
        <v/>
      </c>
    </row>
    <row r="1078" spans="1:11">
      <c r="A1078" s="23" t="e">
        <f>IF(Sheet2!#REF!&lt;&gt;"",Sheet2!#REF!,"")</f>
        <v>#REF!</v>
      </c>
      <c r="B1078" s="33" t="e">
        <f>IF(Sheet2!#REF!&lt;&gt;"",Sheet2!#REF!,"")</f>
        <v>#REF!</v>
      </c>
      <c r="C1078" s="34" t="e">
        <f>IF(Sheet2!#REF!&lt;&gt;"",Sheet2!#REF!,"")</f>
        <v>#REF!</v>
      </c>
      <c r="D1078" s="35" t="str">
        <f t="shared" ca="1" si="34"/>
        <v/>
      </c>
      <c r="E1078" s="3"/>
      <c r="F1078" s="3"/>
      <c r="G1078" s="3"/>
      <c r="H1078" s="3"/>
      <c r="K1078" t="str">
        <f t="shared" ca="1" si="35"/>
        <v/>
      </c>
    </row>
    <row r="1079" spans="1:11">
      <c r="A1079" s="23" t="e">
        <f>IF(Sheet2!#REF!&lt;&gt;"",Sheet2!#REF!,"")</f>
        <v>#REF!</v>
      </c>
      <c r="B1079" s="33" t="e">
        <f>IF(Sheet2!#REF!&lt;&gt;"",Sheet2!#REF!,"")</f>
        <v>#REF!</v>
      </c>
      <c r="C1079" s="34" t="e">
        <f>IF(Sheet2!#REF!&lt;&gt;"",Sheet2!#REF!,"")</f>
        <v>#REF!</v>
      </c>
      <c r="D1079" s="35" t="str">
        <f t="shared" ca="1" si="34"/>
        <v/>
      </c>
      <c r="E1079" s="3"/>
      <c r="F1079" s="3"/>
      <c r="G1079" s="3"/>
      <c r="H1079" s="3"/>
      <c r="K1079" t="str">
        <f t="shared" ca="1" si="35"/>
        <v/>
      </c>
    </row>
    <row r="1080" spans="1:11">
      <c r="A1080" s="23" t="e">
        <f>IF(Sheet2!#REF!&lt;&gt;"",Sheet2!#REF!,"")</f>
        <v>#REF!</v>
      </c>
      <c r="B1080" s="33" t="e">
        <f>IF(Sheet2!#REF!&lt;&gt;"",Sheet2!#REF!,"")</f>
        <v>#REF!</v>
      </c>
      <c r="C1080" s="34" t="e">
        <f>IF(Sheet2!#REF!&lt;&gt;"",Sheet2!#REF!,"")</f>
        <v>#REF!</v>
      </c>
      <c r="D1080" s="35" t="str">
        <f t="shared" ca="1" si="34"/>
        <v/>
      </c>
      <c r="E1080" s="3"/>
      <c r="F1080" s="3"/>
      <c r="G1080" s="3"/>
      <c r="H1080" s="3"/>
      <c r="K1080" t="str">
        <f t="shared" ca="1" si="35"/>
        <v/>
      </c>
    </row>
    <row r="1081" spans="1:11">
      <c r="A1081" s="23" t="e">
        <f>IF(Sheet2!#REF!&lt;&gt;"",Sheet2!#REF!,"")</f>
        <v>#REF!</v>
      </c>
      <c r="B1081" s="33" t="e">
        <f>IF(Sheet2!#REF!&lt;&gt;"",Sheet2!#REF!,"")</f>
        <v>#REF!</v>
      </c>
      <c r="C1081" s="34" t="e">
        <f>IF(Sheet2!#REF!&lt;&gt;"",Sheet2!#REF!,"")</f>
        <v>#REF!</v>
      </c>
      <c r="D1081" s="35" t="str">
        <f t="shared" ca="1" si="34"/>
        <v/>
      </c>
      <c r="E1081" s="3"/>
      <c r="F1081" s="3"/>
      <c r="G1081" s="3"/>
      <c r="H1081" s="3"/>
      <c r="K1081" t="str">
        <f t="shared" ca="1" si="35"/>
        <v/>
      </c>
    </row>
    <row r="1082" spans="1:11">
      <c r="A1082" s="23" t="e">
        <f>IF(Sheet2!#REF!&lt;&gt;"",Sheet2!#REF!,"")</f>
        <v>#REF!</v>
      </c>
      <c r="B1082" s="33" t="e">
        <f>IF(Sheet2!#REF!&lt;&gt;"",Sheet2!#REF!,"")</f>
        <v>#REF!</v>
      </c>
      <c r="C1082" s="34" t="e">
        <f>IF(Sheet2!#REF!&lt;&gt;"",Sheet2!#REF!,"")</f>
        <v>#REF!</v>
      </c>
      <c r="D1082" s="35" t="str">
        <f t="shared" ca="1" si="34"/>
        <v/>
      </c>
      <c r="E1082" s="3"/>
      <c r="F1082" s="3"/>
      <c r="G1082" s="3"/>
      <c r="H1082" s="3"/>
      <c r="K1082" t="str">
        <f t="shared" ca="1" si="35"/>
        <v/>
      </c>
    </row>
    <row r="1083" spans="1:11">
      <c r="A1083" s="23" t="e">
        <f>IF(Sheet2!#REF!&lt;&gt;"",Sheet2!#REF!,"")</f>
        <v>#REF!</v>
      </c>
      <c r="B1083" s="33" t="e">
        <f>IF(Sheet2!#REF!&lt;&gt;"",Sheet2!#REF!,"")</f>
        <v>#REF!</v>
      </c>
      <c r="C1083" s="34" t="e">
        <f>IF(Sheet2!#REF!&lt;&gt;"",Sheet2!#REF!,"")</f>
        <v>#REF!</v>
      </c>
      <c r="D1083" s="35" t="str">
        <f t="shared" ca="1" si="34"/>
        <v/>
      </c>
      <c r="E1083" s="3"/>
      <c r="F1083" s="3"/>
      <c r="G1083" s="3"/>
      <c r="H1083" s="3"/>
      <c r="K1083" t="str">
        <f t="shared" ca="1" si="35"/>
        <v/>
      </c>
    </row>
    <row r="1084" spans="1:11">
      <c r="A1084" s="23" t="e">
        <f>IF(Sheet2!#REF!&lt;&gt;"",Sheet2!#REF!,"")</f>
        <v>#REF!</v>
      </c>
      <c r="B1084" s="33" t="e">
        <f>IF(Sheet2!#REF!&lt;&gt;"",Sheet2!#REF!,"")</f>
        <v>#REF!</v>
      </c>
      <c r="C1084" s="34" t="e">
        <f>IF(Sheet2!#REF!&lt;&gt;"",Sheet2!#REF!,"")</f>
        <v>#REF!</v>
      </c>
      <c r="D1084" s="35" t="str">
        <f t="shared" ca="1" si="34"/>
        <v/>
      </c>
      <c r="E1084" s="3"/>
      <c r="F1084" s="3"/>
      <c r="G1084" s="3"/>
      <c r="H1084" s="3"/>
      <c r="K1084" t="str">
        <f t="shared" ca="1" si="35"/>
        <v/>
      </c>
    </row>
    <row r="1085" spans="1:11">
      <c r="A1085" s="23" t="e">
        <f>IF(Sheet2!#REF!&lt;&gt;"",Sheet2!#REF!,"")</f>
        <v>#REF!</v>
      </c>
      <c r="B1085" s="33" t="e">
        <f>IF(Sheet2!#REF!&lt;&gt;"",Sheet2!#REF!,"")</f>
        <v>#REF!</v>
      </c>
      <c r="C1085" s="34" t="e">
        <f>IF(Sheet2!#REF!&lt;&gt;"",Sheet2!#REF!,"")</f>
        <v>#REF!</v>
      </c>
      <c r="D1085" s="35" t="str">
        <f t="shared" ca="1" si="34"/>
        <v/>
      </c>
      <c r="E1085" s="3"/>
      <c r="F1085" s="3"/>
      <c r="G1085" s="3"/>
      <c r="H1085" s="3"/>
      <c r="K1085" t="str">
        <f t="shared" ca="1" si="35"/>
        <v/>
      </c>
    </row>
    <row r="1086" spans="1:11">
      <c r="A1086" s="23" t="e">
        <f>IF(Sheet2!#REF!&lt;&gt;"",Sheet2!#REF!,"")</f>
        <v>#REF!</v>
      </c>
      <c r="B1086" s="33" t="e">
        <f>IF(Sheet2!#REF!&lt;&gt;"",Sheet2!#REF!,"")</f>
        <v>#REF!</v>
      </c>
      <c r="C1086" s="34" t="e">
        <f>IF(Sheet2!#REF!&lt;&gt;"",Sheet2!#REF!,"")</f>
        <v>#REF!</v>
      </c>
      <c r="D1086" s="35" t="str">
        <f t="shared" ca="1" si="34"/>
        <v/>
      </c>
      <c r="E1086" s="3"/>
      <c r="F1086" s="3"/>
      <c r="G1086" s="3"/>
      <c r="H1086" s="3"/>
      <c r="K1086" t="str">
        <f t="shared" ca="1" si="35"/>
        <v/>
      </c>
    </row>
    <row r="1087" spans="1:11">
      <c r="A1087" s="23" t="e">
        <f>IF(Sheet2!#REF!&lt;&gt;"",Sheet2!#REF!,"")</f>
        <v>#REF!</v>
      </c>
      <c r="B1087" s="33" t="e">
        <f>IF(Sheet2!#REF!&lt;&gt;"",Sheet2!#REF!,"")</f>
        <v>#REF!</v>
      </c>
      <c r="C1087" s="34" t="e">
        <f>IF(Sheet2!#REF!&lt;&gt;"",Sheet2!#REF!,"")</f>
        <v>#REF!</v>
      </c>
      <c r="D1087" s="35" t="str">
        <f t="shared" ca="1" si="34"/>
        <v/>
      </c>
      <c r="E1087" s="3"/>
      <c r="F1087" s="3"/>
      <c r="G1087" s="3"/>
      <c r="H1087" s="3"/>
      <c r="K1087" t="str">
        <f t="shared" ca="1" si="35"/>
        <v/>
      </c>
    </row>
    <row r="1088" spans="1:11">
      <c r="A1088" s="23" t="e">
        <f>IF(Sheet2!#REF!&lt;&gt;"",Sheet2!#REF!,"")</f>
        <v>#REF!</v>
      </c>
      <c r="B1088" s="33" t="e">
        <f>IF(Sheet2!#REF!&lt;&gt;"",Sheet2!#REF!,"")</f>
        <v>#REF!</v>
      </c>
      <c r="C1088" s="34" t="e">
        <f>IF(Sheet2!#REF!&lt;&gt;"",Sheet2!#REF!,"")</f>
        <v>#REF!</v>
      </c>
      <c r="D1088" s="35" t="str">
        <f t="shared" ca="1" si="34"/>
        <v/>
      </c>
      <c r="E1088" s="3"/>
      <c r="F1088" s="3"/>
      <c r="G1088" s="3"/>
      <c r="H1088" s="3"/>
      <c r="K1088" t="str">
        <f t="shared" ca="1" si="35"/>
        <v/>
      </c>
    </row>
    <row r="1089" spans="1:11">
      <c r="A1089" s="23" t="e">
        <f>IF(Sheet2!#REF!&lt;&gt;"",Sheet2!#REF!,"")</f>
        <v>#REF!</v>
      </c>
      <c r="B1089" s="33" t="e">
        <f>IF(Sheet2!#REF!&lt;&gt;"",Sheet2!#REF!,"")</f>
        <v>#REF!</v>
      </c>
      <c r="C1089" s="34" t="e">
        <f>IF(Sheet2!#REF!&lt;&gt;"",Sheet2!#REF!,"")</f>
        <v>#REF!</v>
      </c>
      <c r="D1089" s="35" t="str">
        <f t="shared" ca="1" si="34"/>
        <v/>
      </c>
      <c r="E1089" s="3"/>
      <c r="F1089" s="3"/>
      <c r="G1089" s="3"/>
      <c r="H1089" s="3"/>
      <c r="K1089" t="str">
        <f t="shared" ca="1" si="35"/>
        <v/>
      </c>
    </row>
    <row r="1090" spans="1:11">
      <c r="A1090" s="23" t="e">
        <f>IF(Sheet2!#REF!&lt;&gt;"",Sheet2!#REF!,"")</f>
        <v>#REF!</v>
      </c>
      <c r="B1090" s="33" t="e">
        <f>IF(Sheet2!#REF!&lt;&gt;"",Sheet2!#REF!,"")</f>
        <v>#REF!</v>
      </c>
      <c r="C1090" s="34" t="e">
        <f>IF(Sheet2!#REF!&lt;&gt;"",Sheet2!#REF!,"")</f>
        <v>#REF!</v>
      </c>
      <c r="D1090" s="35" t="str">
        <f t="shared" ca="1" si="34"/>
        <v/>
      </c>
      <c r="E1090" s="3"/>
      <c r="F1090" s="3"/>
      <c r="G1090" s="3"/>
      <c r="H1090" s="3"/>
      <c r="K1090" t="str">
        <f t="shared" ca="1" si="35"/>
        <v/>
      </c>
    </row>
    <row r="1091" spans="1:11">
      <c r="A1091" s="23" t="e">
        <f>IF(Sheet2!#REF!&lt;&gt;"",Sheet2!#REF!,"")</f>
        <v>#REF!</v>
      </c>
      <c r="B1091" s="33" t="e">
        <f>IF(Sheet2!#REF!&lt;&gt;"",Sheet2!#REF!,"")</f>
        <v>#REF!</v>
      </c>
      <c r="C1091" s="34" t="e">
        <f>IF(Sheet2!#REF!&lt;&gt;"",Sheet2!#REF!,"")</f>
        <v>#REF!</v>
      </c>
      <c r="D1091" s="35" t="str">
        <f t="shared" ref="D1091:D1154" ca="1" si="36">IFERROR(IF(AND((C1091-TODAY())&lt;15,B1091&lt;&gt;""),IF(I1091="","Alert",""),""),"")</f>
        <v/>
      </c>
      <c r="E1091" s="3"/>
      <c r="F1091" s="3"/>
      <c r="G1091" s="3"/>
      <c r="H1091" s="3"/>
      <c r="K1091" t="str">
        <f t="shared" ref="K1091:K1154" ca="1" si="37">IF(I1091&lt;&gt;"",IF(J1091="",IF(TODAY()-I1091&gt;3,"ALERT",""),""),"")</f>
        <v/>
      </c>
    </row>
    <row r="1092" spans="1:11">
      <c r="A1092" s="23" t="e">
        <f>IF(Sheet2!#REF!&lt;&gt;"",Sheet2!#REF!,"")</f>
        <v>#REF!</v>
      </c>
      <c r="B1092" s="33" t="e">
        <f>IF(Sheet2!#REF!&lt;&gt;"",Sheet2!#REF!,"")</f>
        <v>#REF!</v>
      </c>
      <c r="C1092" s="34" t="e">
        <f>IF(Sheet2!#REF!&lt;&gt;"",Sheet2!#REF!,"")</f>
        <v>#REF!</v>
      </c>
      <c r="D1092" s="35" t="str">
        <f t="shared" ca="1" si="36"/>
        <v/>
      </c>
      <c r="E1092" s="3"/>
      <c r="F1092" s="3"/>
      <c r="G1092" s="3"/>
      <c r="H1092" s="3"/>
      <c r="K1092" t="str">
        <f t="shared" ca="1" si="37"/>
        <v/>
      </c>
    </row>
    <row r="1093" spans="1:11">
      <c r="A1093" s="23" t="e">
        <f>IF(Sheet2!#REF!&lt;&gt;"",Sheet2!#REF!,"")</f>
        <v>#REF!</v>
      </c>
      <c r="B1093" s="33" t="e">
        <f>IF(Sheet2!#REF!&lt;&gt;"",Sheet2!#REF!,"")</f>
        <v>#REF!</v>
      </c>
      <c r="C1093" s="34" t="e">
        <f>IF(Sheet2!#REF!&lt;&gt;"",Sheet2!#REF!,"")</f>
        <v>#REF!</v>
      </c>
      <c r="D1093" s="35" t="str">
        <f t="shared" ca="1" si="36"/>
        <v/>
      </c>
      <c r="E1093" s="3"/>
      <c r="F1093" s="3"/>
      <c r="G1093" s="3"/>
      <c r="H1093" s="3"/>
      <c r="K1093" t="str">
        <f t="shared" ca="1" si="37"/>
        <v/>
      </c>
    </row>
    <row r="1094" spans="1:11">
      <c r="A1094" s="23" t="e">
        <f>IF(Sheet2!#REF!&lt;&gt;"",Sheet2!#REF!,"")</f>
        <v>#REF!</v>
      </c>
      <c r="B1094" s="33" t="e">
        <f>IF(Sheet2!#REF!&lt;&gt;"",Sheet2!#REF!,"")</f>
        <v>#REF!</v>
      </c>
      <c r="C1094" s="34" t="e">
        <f>IF(Sheet2!#REF!&lt;&gt;"",Sheet2!#REF!,"")</f>
        <v>#REF!</v>
      </c>
      <c r="D1094" s="35" t="str">
        <f t="shared" ca="1" si="36"/>
        <v/>
      </c>
      <c r="E1094" s="3"/>
      <c r="F1094" s="3"/>
      <c r="G1094" s="3"/>
      <c r="H1094" s="3"/>
      <c r="K1094" t="str">
        <f t="shared" ca="1" si="37"/>
        <v/>
      </c>
    </row>
    <row r="1095" spans="1:11">
      <c r="A1095" s="23" t="e">
        <f>IF(Sheet2!#REF!&lt;&gt;"",Sheet2!#REF!,"")</f>
        <v>#REF!</v>
      </c>
      <c r="B1095" s="33" t="e">
        <f>IF(Sheet2!#REF!&lt;&gt;"",Sheet2!#REF!,"")</f>
        <v>#REF!</v>
      </c>
      <c r="C1095" s="34" t="e">
        <f>IF(Sheet2!#REF!&lt;&gt;"",Sheet2!#REF!,"")</f>
        <v>#REF!</v>
      </c>
      <c r="D1095" s="35" t="str">
        <f t="shared" ca="1" si="36"/>
        <v/>
      </c>
      <c r="E1095" s="3"/>
      <c r="F1095" s="3"/>
      <c r="G1095" s="3"/>
      <c r="H1095" s="3"/>
      <c r="K1095" t="str">
        <f t="shared" ca="1" si="37"/>
        <v/>
      </c>
    </row>
    <row r="1096" spans="1:11">
      <c r="A1096" s="23" t="e">
        <f>IF(Sheet2!#REF!&lt;&gt;"",Sheet2!#REF!,"")</f>
        <v>#REF!</v>
      </c>
      <c r="B1096" s="33" t="e">
        <f>IF(Sheet2!#REF!&lt;&gt;"",Sheet2!#REF!,"")</f>
        <v>#REF!</v>
      </c>
      <c r="C1096" s="34" t="e">
        <f>IF(Sheet2!#REF!&lt;&gt;"",Sheet2!#REF!,"")</f>
        <v>#REF!</v>
      </c>
      <c r="D1096" s="35" t="str">
        <f t="shared" ca="1" si="36"/>
        <v/>
      </c>
      <c r="E1096" s="3"/>
      <c r="F1096" s="3"/>
      <c r="G1096" s="3"/>
      <c r="H1096" s="3"/>
      <c r="K1096" t="str">
        <f t="shared" ca="1" si="37"/>
        <v/>
      </c>
    </row>
    <row r="1097" spans="1:11">
      <c r="A1097" s="23" t="e">
        <f>IF(Sheet2!#REF!&lt;&gt;"",Sheet2!#REF!,"")</f>
        <v>#REF!</v>
      </c>
      <c r="B1097" s="33" t="e">
        <f>IF(Sheet2!#REF!&lt;&gt;"",Sheet2!#REF!,"")</f>
        <v>#REF!</v>
      </c>
      <c r="C1097" s="34" t="e">
        <f>IF(Sheet2!#REF!&lt;&gt;"",Sheet2!#REF!,"")</f>
        <v>#REF!</v>
      </c>
      <c r="D1097" s="35" t="str">
        <f t="shared" ca="1" si="36"/>
        <v/>
      </c>
      <c r="E1097" s="3"/>
      <c r="F1097" s="3"/>
      <c r="G1097" s="3"/>
      <c r="H1097" s="3"/>
      <c r="K1097" t="str">
        <f t="shared" ca="1" si="37"/>
        <v/>
      </c>
    </row>
    <row r="1098" spans="1:11">
      <c r="A1098" s="23" t="e">
        <f>IF(Sheet2!#REF!&lt;&gt;"",Sheet2!#REF!,"")</f>
        <v>#REF!</v>
      </c>
      <c r="B1098" s="33" t="e">
        <f>IF(Sheet2!#REF!&lt;&gt;"",Sheet2!#REF!,"")</f>
        <v>#REF!</v>
      </c>
      <c r="C1098" s="34" t="e">
        <f>IF(Sheet2!#REF!&lt;&gt;"",Sheet2!#REF!,"")</f>
        <v>#REF!</v>
      </c>
      <c r="D1098" s="35" t="str">
        <f t="shared" ca="1" si="36"/>
        <v/>
      </c>
      <c r="E1098" s="3"/>
      <c r="F1098" s="3"/>
      <c r="G1098" s="3"/>
      <c r="H1098" s="3"/>
      <c r="K1098" t="str">
        <f t="shared" ca="1" si="37"/>
        <v/>
      </c>
    </row>
    <row r="1099" spans="1:11">
      <c r="A1099" s="23" t="e">
        <f>IF(Sheet2!#REF!&lt;&gt;"",Sheet2!#REF!,"")</f>
        <v>#REF!</v>
      </c>
      <c r="B1099" s="33" t="e">
        <f>IF(Sheet2!#REF!&lt;&gt;"",Sheet2!#REF!,"")</f>
        <v>#REF!</v>
      </c>
      <c r="C1099" s="34" t="e">
        <f>IF(Sheet2!#REF!&lt;&gt;"",Sheet2!#REF!,"")</f>
        <v>#REF!</v>
      </c>
      <c r="D1099" s="35" t="str">
        <f t="shared" ca="1" si="36"/>
        <v/>
      </c>
      <c r="E1099" s="3"/>
      <c r="F1099" s="3"/>
      <c r="G1099" s="3"/>
      <c r="H1099" s="3"/>
      <c r="K1099" t="str">
        <f t="shared" ca="1" si="37"/>
        <v/>
      </c>
    </row>
    <row r="1100" spans="1:11">
      <c r="A1100" s="23" t="e">
        <f>IF(Sheet2!#REF!&lt;&gt;"",Sheet2!#REF!,"")</f>
        <v>#REF!</v>
      </c>
      <c r="B1100" s="33" t="e">
        <f>IF(Sheet2!#REF!&lt;&gt;"",Sheet2!#REF!,"")</f>
        <v>#REF!</v>
      </c>
      <c r="C1100" s="34" t="e">
        <f>IF(Sheet2!#REF!&lt;&gt;"",Sheet2!#REF!,"")</f>
        <v>#REF!</v>
      </c>
      <c r="D1100" s="35" t="str">
        <f t="shared" ca="1" si="36"/>
        <v/>
      </c>
      <c r="E1100" s="3"/>
      <c r="F1100" s="3"/>
      <c r="G1100" s="3"/>
      <c r="H1100" s="3"/>
      <c r="K1100" t="str">
        <f t="shared" ca="1" si="37"/>
        <v/>
      </c>
    </row>
    <row r="1101" spans="1:11">
      <c r="A1101" s="23" t="e">
        <f>IF(Sheet2!#REF!&lt;&gt;"",Sheet2!#REF!,"")</f>
        <v>#REF!</v>
      </c>
      <c r="B1101" s="33" t="e">
        <f>IF(Sheet2!#REF!&lt;&gt;"",Sheet2!#REF!,"")</f>
        <v>#REF!</v>
      </c>
      <c r="C1101" s="34" t="e">
        <f>IF(Sheet2!#REF!&lt;&gt;"",Sheet2!#REF!,"")</f>
        <v>#REF!</v>
      </c>
      <c r="D1101" s="35" t="str">
        <f t="shared" ca="1" si="36"/>
        <v/>
      </c>
      <c r="E1101" s="3"/>
      <c r="F1101" s="3"/>
      <c r="G1101" s="3"/>
      <c r="H1101" s="3"/>
      <c r="K1101" t="str">
        <f t="shared" ca="1" si="37"/>
        <v/>
      </c>
    </row>
    <row r="1102" spans="1:11">
      <c r="A1102" s="23" t="e">
        <f>IF(Sheet2!#REF!&lt;&gt;"",Sheet2!#REF!,"")</f>
        <v>#REF!</v>
      </c>
      <c r="B1102" s="33" t="e">
        <f>IF(Sheet2!#REF!&lt;&gt;"",Sheet2!#REF!,"")</f>
        <v>#REF!</v>
      </c>
      <c r="C1102" s="34" t="e">
        <f>IF(Sheet2!#REF!&lt;&gt;"",Sheet2!#REF!,"")</f>
        <v>#REF!</v>
      </c>
      <c r="D1102" s="35" t="str">
        <f t="shared" ca="1" si="36"/>
        <v/>
      </c>
      <c r="E1102" s="3"/>
      <c r="F1102" s="3"/>
      <c r="G1102" s="3"/>
      <c r="H1102" s="3"/>
      <c r="K1102" t="str">
        <f t="shared" ca="1" si="37"/>
        <v/>
      </c>
    </row>
    <row r="1103" spans="1:11">
      <c r="A1103" s="23" t="e">
        <f>IF(Sheet2!#REF!&lt;&gt;"",Sheet2!#REF!,"")</f>
        <v>#REF!</v>
      </c>
      <c r="B1103" s="33" t="e">
        <f>IF(Sheet2!#REF!&lt;&gt;"",Sheet2!#REF!,"")</f>
        <v>#REF!</v>
      </c>
      <c r="C1103" s="34" t="e">
        <f>IF(Sheet2!#REF!&lt;&gt;"",Sheet2!#REF!,"")</f>
        <v>#REF!</v>
      </c>
      <c r="D1103" s="35" t="str">
        <f t="shared" ca="1" si="36"/>
        <v/>
      </c>
      <c r="E1103" s="3"/>
      <c r="F1103" s="3"/>
      <c r="G1103" s="3"/>
      <c r="H1103" s="3"/>
      <c r="K1103" t="str">
        <f t="shared" ca="1" si="37"/>
        <v/>
      </c>
    </row>
    <row r="1104" spans="1:11">
      <c r="A1104" s="23" t="e">
        <f>IF(Sheet2!#REF!&lt;&gt;"",Sheet2!#REF!,"")</f>
        <v>#REF!</v>
      </c>
      <c r="B1104" s="33" t="e">
        <f>IF(Sheet2!#REF!&lt;&gt;"",Sheet2!#REF!,"")</f>
        <v>#REF!</v>
      </c>
      <c r="C1104" s="34" t="e">
        <f>IF(Sheet2!#REF!&lt;&gt;"",Sheet2!#REF!,"")</f>
        <v>#REF!</v>
      </c>
      <c r="D1104" s="35" t="str">
        <f t="shared" ca="1" si="36"/>
        <v/>
      </c>
      <c r="E1104" s="3"/>
      <c r="F1104" s="3"/>
      <c r="G1104" s="3"/>
      <c r="H1104" s="3"/>
      <c r="K1104" t="str">
        <f t="shared" ca="1" si="37"/>
        <v/>
      </c>
    </row>
    <row r="1105" spans="1:11">
      <c r="A1105" s="23" t="e">
        <f>IF(Sheet2!#REF!&lt;&gt;"",Sheet2!#REF!,"")</f>
        <v>#REF!</v>
      </c>
      <c r="B1105" s="33" t="e">
        <f>IF(Sheet2!#REF!&lt;&gt;"",Sheet2!#REF!,"")</f>
        <v>#REF!</v>
      </c>
      <c r="C1105" s="34" t="e">
        <f>IF(Sheet2!#REF!&lt;&gt;"",Sheet2!#REF!,"")</f>
        <v>#REF!</v>
      </c>
      <c r="D1105" s="35" t="str">
        <f t="shared" ca="1" si="36"/>
        <v/>
      </c>
      <c r="E1105" s="3"/>
      <c r="F1105" s="3"/>
      <c r="G1105" s="3"/>
      <c r="H1105" s="3"/>
      <c r="K1105" t="str">
        <f t="shared" ca="1" si="37"/>
        <v/>
      </c>
    </row>
    <row r="1106" spans="1:11">
      <c r="A1106" s="23" t="e">
        <f>IF(Sheet2!#REF!&lt;&gt;"",Sheet2!#REF!,"")</f>
        <v>#REF!</v>
      </c>
      <c r="B1106" s="33" t="e">
        <f>IF(Sheet2!#REF!&lt;&gt;"",Sheet2!#REF!,"")</f>
        <v>#REF!</v>
      </c>
      <c r="C1106" s="34" t="e">
        <f>IF(Sheet2!#REF!&lt;&gt;"",Sheet2!#REF!,"")</f>
        <v>#REF!</v>
      </c>
      <c r="D1106" s="35" t="str">
        <f t="shared" ca="1" si="36"/>
        <v/>
      </c>
      <c r="E1106" s="3"/>
      <c r="F1106" s="3"/>
      <c r="G1106" s="3"/>
      <c r="H1106" s="3"/>
      <c r="K1106" t="str">
        <f t="shared" ca="1" si="37"/>
        <v/>
      </c>
    </row>
    <row r="1107" spans="1:11">
      <c r="A1107" s="23" t="e">
        <f>IF(Sheet2!#REF!&lt;&gt;"",Sheet2!#REF!,"")</f>
        <v>#REF!</v>
      </c>
      <c r="B1107" s="33" t="e">
        <f>IF(Sheet2!#REF!&lt;&gt;"",Sheet2!#REF!,"")</f>
        <v>#REF!</v>
      </c>
      <c r="C1107" s="34" t="e">
        <f>IF(Sheet2!#REF!&lt;&gt;"",Sheet2!#REF!,"")</f>
        <v>#REF!</v>
      </c>
      <c r="D1107" s="35" t="str">
        <f t="shared" ca="1" si="36"/>
        <v/>
      </c>
      <c r="E1107" s="3"/>
      <c r="F1107" s="3"/>
      <c r="G1107" s="3"/>
      <c r="H1107" s="3"/>
      <c r="K1107" t="str">
        <f t="shared" ca="1" si="37"/>
        <v/>
      </c>
    </row>
    <row r="1108" spans="1:11">
      <c r="A1108" s="23" t="e">
        <f>IF(Sheet2!#REF!&lt;&gt;"",Sheet2!#REF!,"")</f>
        <v>#REF!</v>
      </c>
      <c r="B1108" s="33" t="e">
        <f>IF(Sheet2!#REF!&lt;&gt;"",Sheet2!#REF!,"")</f>
        <v>#REF!</v>
      </c>
      <c r="C1108" s="34" t="e">
        <f>IF(Sheet2!#REF!&lt;&gt;"",Sheet2!#REF!,"")</f>
        <v>#REF!</v>
      </c>
      <c r="D1108" s="35" t="str">
        <f t="shared" ca="1" si="36"/>
        <v/>
      </c>
      <c r="E1108" s="3"/>
      <c r="F1108" s="3"/>
      <c r="G1108" s="3"/>
      <c r="H1108" s="3"/>
      <c r="K1108" t="str">
        <f t="shared" ca="1" si="37"/>
        <v/>
      </c>
    </row>
    <row r="1109" spans="1:11">
      <c r="A1109" s="23" t="e">
        <f>IF(Sheet2!#REF!&lt;&gt;"",Sheet2!#REF!,"")</f>
        <v>#REF!</v>
      </c>
      <c r="B1109" s="33" t="e">
        <f>IF(Sheet2!#REF!&lt;&gt;"",Sheet2!#REF!,"")</f>
        <v>#REF!</v>
      </c>
      <c r="C1109" s="34" t="e">
        <f>IF(Sheet2!#REF!&lt;&gt;"",Sheet2!#REF!,"")</f>
        <v>#REF!</v>
      </c>
      <c r="D1109" s="35" t="str">
        <f t="shared" ca="1" si="36"/>
        <v/>
      </c>
      <c r="E1109" s="3"/>
      <c r="F1109" s="3"/>
      <c r="G1109" s="3"/>
      <c r="H1109" s="3"/>
      <c r="K1109" t="str">
        <f t="shared" ca="1" si="37"/>
        <v/>
      </c>
    </row>
    <row r="1110" spans="1:11">
      <c r="A1110" s="23" t="e">
        <f>IF(Sheet2!#REF!&lt;&gt;"",Sheet2!#REF!,"")</f>
        <v>#REF!</v>
      </c>
      <c r="B1110" s="33" t="e">
        <f>IF(Sheet2!#REF!&lt;&gt;"",Sheet2!#REF!,"")</f>
        <v>#REF!</v>
      </c>
      <c r="C1110" s="34" t="e">
        <f>IF(Sheet2!#REF!&lt;&gt;"",Sheet2!#REF!,"")</f>
        <v>#REF!</v>
      </c>
      <c r="D1110" s="35" t="str">
        <f t="shared" ca="1" si="36"/>
        <v/>
      </c>
      <c r="E1110" s="3"/>
      <c r="F1110" s="3"/>
      <c r="G1110" s="3"/>
      <c r="H1110" s="3"/>
      <c r="K1110" t="str">
        <f t="shared" ca="1" si="37"/>
        <v/>
      </c>
    </row>
    <row r="1111" spans="1:11">
      <c r="A1111" s="23" t="e">
        <f>IF(Sheet2!#REF!&lt;&gt;"",Sheet2!#REF!,"")</f>
        <v>#REF!</v>
      </c>
      <c r="B1111" s="33" t="e">
        <f>IF(Sheet2!#REF!&lt;&gt;"",Sheet2!#REF!,"")</f>
        <v>#REF!</v>
      </c>
      <c r="C1111" s="34" t="e">
        <f>IF(Sheet2!#REF!&lt;&gt;"",Sheet2!#REF!,"")</f>
        <v>#REF!</v>
      </c>
      <c r="D1111" s="35" t="str">
        <f t="shared" ca="1" si="36"/>
        <v/>
      </c>
      <c r="E1111" s="3"/>
      <c r="F1111" s="3"/>
      <c r="G1111" s="3"/>
      <c r="H1111" s="3"/>
      <c r="K1111" t="str">
        <f t="shared" ca="1" si="37"/>
        <v/>
      </c>
    </row>
    <row r="1112" spans="1:11">
      <c r="A1112" s="23" t="e">
        <f>IF(Sheet2!#REF!&lt;&gt;"",Sheet2!#REF!,"")</f>
        <v>#REF!</v>
      </c>
      <c r="B1112" s="33" t="e">
        <f>IF(Sheet2!#REF!&lt;&gt;"",Sheet2!#REF!,"")</f>
        <v>#REF!</v>
      </c>
      <c r="C1112" s="34" t="e">
        <f>IF(Sheet2!#REF!&lt;&gt;"",Sheet2!#REF!,"")</f>
        <v>#REF!</v>
      </c>
      <c r="D1112" s="35" t="str">
        <f t="shared" ca="1" si="36"/>
        <v/>
      </c>
      <c r="E1112" s="3"/>
      <c r="F1112" s="3"/>
      <c r="G1112" s="3"/>
      <c r="H1112" s="3"/>
      <c r="K1112" t="str">
        <f t="shared" ca="1" si="37"/>
        <v/>
      </c>
    </row>
    <row r="1113" spans="1:11">
      <c r="A1113" s="23" t="e">
        <f>IF(Sheet2!#REF!&lt;&gt;"",Sheet2!#REF!,"")</f>
        <v>#REF!</v>
      </c>
      <c r="B1113" s="33" t="e">
        <f>IF(Sheet2!#REF!&lt;&gt;"",Sheet2!#REF!,"")</f>
        <v>#REF!</v>
      </c>
      <c r="C1113" s="34" t="e">
        <f>IF(Sheet2!#REF!&lt;&gt;"",Sheet2!#REF!,"")</f>
        <v>#REF!</v>
      </c>
      <c r="D1113" s="35" t="str">
        <f t="shared" ca="1" si="36"/>
        <v/>
      </c>
      <c r="E1113" s="3"/>
      <c r="F1113" s="3"/>
      <c r="G1113" s="3"/>
      <c r="H1113" s="3"/>
      <c r="K1113" t="str">
        <f t="shared" ca="1" si="37"/>
        <v/>
      </c>
    </row>
    <row r="1114" spans="1:11">
      <c r="A1114" s="23" t="e">
        <f>IF(Sheet2!#REF!&lt;&gt;"",Sheet2!#REF!,"")</f>
        <v>#REF!</v>
      </c>
      <c r="B1114" s="33" t="e">
        <f>IF(Sheet2!#REF!&lt;&gt;"",Sheet2!#REF!,"")</f>
        <v>#REF!</v>
      </c>
      <c r="C1114" s="34" t="e">
        <f>IF(Sheet2!#REF!&lt;&gt;"",Sheet2!#REF!,"")</f>
        <v>#REF!</v>
      </c>
      <c r="D1114" s="35" t="str">
        <f t="shared" ca="1" si="36"/>
        <v/>
      </c>
      <c r="E1114" s="3"/>
      <c r="F1114" s="3"/>
      <c r="G1114" s="3"/>
      <c r="H1114" s="3"/>
      <c r="K1114" t="str">
        <f t="shared" ca="1" si="37"/>
        <v/>
      </c>
    </row>
    <row r="1115" spans="1:11">
      <c r="A1115" s="23" t="e">
        <f>IF(Sheet2!#REF!&lt;&gt;"",Sheet2!#REF!,"")</f>
        <v>#REF!</v>
      </c>
      <c r="B1115" s="33" t="e">
        <f>IF(Sheet2!#REF!&lt;&gt;"",Sheet2!#REF!,"")</f>
        <v>#REF!</v>
      </c>
      <c r="C1115" s="34" t="e">
        <f>IF(Sheet2!#REF!&lt;&gt;"",Sheet2!#REF!,"")</f>
        <v>#REF!</v>
      </c>
      <c r="D1115" s="35" t="str">
        <f t="shared" ca="1" si="36"/>
        <v/>
      </c>
      <c r="E1115" s="3"/>
      <c r="F1115" s="3"/>
      <c r="G1115" s="3"/>
      <c r="H1115" s="3"/>
      <c r="K1115" t="str">
        <f t="shared" ca="1" si="37"/>
        <v/>
      </c>
    </row>
    <row r="1116" spans="1:11">
      <c r="A1116" s="23" t="e">
        <f>IF(Sheet2!#REF!&lt;&gt;"",Sheet2!#REF!,"")</f>
        <v>#REF!</v>
      </c>
      <c r="B1116" s="33" t="e">
        <f>IF(Sheet2!#REF!&lt;&gt;"",Sheet2!#REF!,"")</f>
        <v>#REF!</v>
      </c>
      <c r="C1116" s="34" t="e">
        <f>IF(Sheet2!#REF!&lt;&gt;"",Sheet2!#REF!,"")</f>
        <v>#REF!</v>
      </c>
      <c r="D1116" s="35" t="str">
        <f t="shared" ca="1" si="36"/>
        <v/>
      </c>
      <c r="E1116" s="3"/>
      <c r="F1116" s="3"/>
      <c r="G1116" s="3"/>
      <c r="H1116" s="3"/>
      <c r="K1116" t="str">
        <f t="shared" ca="1" si="37"/>
        <v/>
      </c>
    </row>
    <row r="1117" spans="1:11">
      <c r="A1117" s="23" t="e">
        <f>IF(Sheet2!#REF!&lt;&gt;"",Sheet2!#REF!,"")</f>
        <v>#REF!</v>
      </c>
      <c r="B1117" s="33" t="e">
        <f>IF(Sheet2!#REF!&lt;&gt;"",Sheet2!#REF!,"")</f>
        <v>#REF!</v>
      </c>
      <c r="C1117" s="34" t="e">
        <f>IF(Sheet2!#REF!&lt;&gt;"",Sheet2!#REF!,"")</f>
        <v>#REF!</v>
      </c>
      <c r="D1117" s="35" t="str">
        <f t="shared" ca="1" si="36"/>
        <v/>
      </c>
      <c r="E1117" s="3"/>
      <c r="F1117" s="3"/>
      <c r="G1117" s="3"/>
      <c r="H1117" s="3"/>
      <c r="K1117" t="str">
        <f t="shared" ca="1" si="37"/>
        <v/>
      </c>
    </row>
    <row r="1118" spans="1:11">
      <c r="A1118" s="23" t="e">
        <f>IF(Sheet2!#REF!&lt;&gt;"",Sheet2!#REF!,"")</f>
        <v>#REF!</v>
      </c>
      <c r="B1118" s="33" t="e">
        <f>IF(Sheet2!#REF!&lt;&gt;"",Sheet2!#REF!,"")</f>
        <v>#REF!</v>
      </c>
      <c r="C1118" s="34" t="e">
        <f>IF(Sheet2!#REF!&lt;&gt;"",Sheet2!#REF!,"")</f>
        <v>#REF!</v>
      </c>
      <c r="D1118" s="35" t="str">
        <f t="shared" ca="1" si="36"/>
        <v/>
      </c>
      <c r="E1118" s="3"/>
      <c r="F1118" s="3"/>
      <c r="G1118" s="3"/>
      <c r="H1118" s="3"/>
      <c r="K1118" t="str">
        <f t="shared" ca="1" si="37"/>
        <v/>
      </c>
    </row>
    <row r="1119" spans="1:11">
      <c r="A1119" s="23" t="e">
        <f>IF(Sheet2!#REF!&lt;&gt;"",Sheet2!#REF!,"")</f>
        <v>#REF!</v>
      </c>
      <c r="B1119" s="33" t="e">
        <f>IF(Sheet2!#REF!&lt;&gt;"",Sheet2!#REF!,"")</f>
        <v>#REF!</v>
      </c>
      <c r="C1119" s="34" t="e">
        <f>IF(Sheet2!#REF!&lt;&gt;"",Sheet2!#REF!,"")</f>
        <v>#REF!</v>
      </c>
      <c r="D1119" s="35" t="str">
        <f t="shared" ca="1" si="36"/>
        <v/>
      </c>
      <c r="E1119" s="3"/>
      <c r="F1119" s="3"/>
      <c r="G1119" s="3"/>
      <c r="H1119" s="3"/>
      <c r="K1119" t="str">
        <f t="shared" ca="1" si="37"/>
        <v/>
      </c>
    </row>
    <row r="1120" spans="1:11">
      <c r="A1120" s="23" t="e">
        <f>IF(Sheet2!#REF!&lt;&gt;"",Sheet2!#REF!,"")</f>
        <v>#REF!</v>
      </c>
      <c r="B1120" s="33" t="e">
        <f>IF(Sheet2!#REF!&lt;&gt;"",Sheet2!#REF!,"")</f>
        <v>#REF!</v>
      </c>
      <c r="C1120" s="34" t="e">
        <f>IF(Sheet2!#REF!&lt;&gt;"",Sheet2!#REF!,"")</f>
        <v>#REF!</v>
      </c>
      <c r="D1120" s="35" t="str">
        <f t="shared" ca="1" si="36"/>
        <v/>
      </c>
      <c r="E1120" s="3"/>
      <c r="F1120" s="3"/>
      <c r="G1120" s="3"/>
      <c r="H1120" s="3"/>
      <c r="K1120" t="str">
        <f t="shared" ca="1" si="37"/>
        <v/>
      </c>
    </row>
    <row r="1121" spans="1:11">
      <c r="A1121" s="23" t="e">
        <f>IF(Sheet2!#REF!&lt;&gt;"",Sheet2!#REF!,"")</f>
        <v>#REF!</v>
      </c>
      <c r="B1121" s="33" t="e">
        <f>IF(Sheet2!#REF!&lt;&gt;"",Sheet2!#REF!,"")</f>
        <v>#REF!</v>
      </c>
      <c r="C1121" s="34" t="e">
        <f>IF(Sheet2!#REF!&lt;&gt;"",Sheet2!#REF!,"")</f>
        <v>#REF!</v>
      </c>
      <c r="D1121" s="35" t="str">
        <f t="shared" ca="1" si="36"/>
        <v/>
      </c>
      <c r="E1121" s="3"/>
      <c r="F1121" s="3"/>
      <c r="G1121" s="3"/>
      <c r="H1121" s="3"/>
      <c r="K1121" t="str">
        <f t="shared" ca="1" si="37"/>
        <v/>
      </c>
    </row>
    <row r="1122" spans="1:11">
      <c r="A1122" s="23" t="e">
        <f>IF(Sheet2!#REF!&lt;&gt;"",Sheet2!#REF!,"")</f>
        <v>#REF!</v>
      </c>
      <c r="B1122" s="33" t="e">
        <f>IF(Sheet2!#REF!&lt;&gt;"",Sheet2!#REF!,"")</f>
        <v>#REF!</v>
      </c>
      <c r="C1122" s="34" t="e">
        <f>IF(Sheet2!#REF!&lt;&gt;"",Sheet2!#REF!,"")</f>
        <v>#REF!</v>
      </c>
      <c r="D1122" s="35" t="str">
        <f t="shared" ca="1" si="36"/>
        <v/>
      </c>
      <c r="E1122" s="3"/>
      <c r="F1122" s="3"/>
      <c r="G1122" s="3"/>
      <c r="H1122" s="3"/>
      <c r="K1122" t="str">
        <f t="shared" ca="1" si="37"/>
        <v/>
      </c>
    </row>
    <row r="1123" spans="1:11">
      <c r="A1123" s="23" t="e">
        <f>IF(Sheet2!#REF!&lt;&gt;"",Sheet2!#REF!,"")</f>
        <v>#REF!</v>
      </c>
      <c r="B1123" s="33" t="e">
        <f>IF(Sheet2!#REF!&lt;&gt;"",Sheet2!#REF!,"")</f>
        <v>#REF!</v>
      </c>
      <c r="C1123" s="34" t="e">
        <f>IF(Sheet2!#REF!&lt;&gt;"",Sheet2!#REF!,"")</f>
        <v>#REF!</v>
      </c>
      <c r="D1123" s="35" t="str">
        <f t="shared" ca="1" si="36"/>
        <v/>
      </c>
      <c r="E1123" s="3"/>
      <c r="F1123" s="3"/>
      <c r="G1123" s="3"/>
      <c r="H1123" s="3"/>
      <c r="K1123" t="str">
        <f t="shared" ca="1" si="37"/>
        <v/>
      </c>
    </row>
    <row r="1124" spans="1:11">
      <c r="A1124" s="23" t="e">
        <f>IF(Sheet2!#REF!&lt;&gt;"",Sheet2!#REF!,"")</f>
        <v>#REF!</v>
      </c>
      <c r="B1124" s="33" t="e">
        <f>IF(Sheet2!#REF!&lt;&gt;"",Sheet2!#REF!,"")</f>
        <v>#REF!</v>
      </c>
      <c r="C1124" s="34" t="e">
        <f>IF(Sheet2!#REF!&lt;&gt;"",Sheet2!#REF!,"")</f>
        <v>#REF!</v>
      </c>
      <c r="D1124" s="35" t="str">
        <f t="shared" ca="1" si="36"/>
        <v/>
      </c>
      <c r="E1124" s="3"/>
      <c r="F1124" s="3"/>
      <c r="G1124" s="3"/>
      <c r="H1124" s="3"/>
      <c r="K1124" t="str">
        <f t="shared" ca="1" si="37"/>
        <v/>
      </c>
    </row>
    <row r="1125" spans="1:11">
      <c r="A1125" s="23" t="e">
        <f>IF(Sheet2!#REF!&lt;&gt;"",Sheet2!#REF!,"")</f>
        <v>#REF!</v>
      </c>
      <c r="B1125" s="33" t="e">
        <f>IF(Sheet2!#REF!&lt;&gt;"",Sheet2!#REF!,"")</f>
        <v>#REF!</v>
      </c>
      <c r="C1125" s="34" t="e">
        <f>IF(Sheet2!#REF!&lt;&gt;"",Sheet2!#REF!,"")</f>
        <v>#REF!</v>
      </c>
      <c r="D1125" s="35" t="str">
        <f t="shared" ca="1" si="36"/>
        <v/>
      </c>
      <c r="E1125" s="3"/>
      <c r="F1125" s="3"/>
      <c r="G1125" s="3"/>
      <c r="H1125" s="3"/>
      <c r="K1125" t="str">
        <f t="shared" ca="1" si="37"/>
        <v/>
      </c>
    </row>
    <row r="1126" spans="1:11">
      <c r="A1126" s="23" t="e">
        <f>IF(Sheet2!#REF!&lt;&gt;"",Sheet2!#REF!,"")</f>
        <v>#REF!</v>
      </c>
      <c r="B1126" s="33" t="e">
        <f>IF(Sheet2!#REF!&lt;&gt;"",Sheet2!#REF!,"")</f>
        <v>#REF!</v>
      </c>
      <c r="C1126" s="34" t="e">
        <f>IF(Sheet2!#REF!&lt;&gt;"",Sheet2!#REF!,"")</f>
        <v>#REF!</v>
      </c>
      <c r="D1126" s="35" t="str">
        <f t="shared" ca="1" si="36"/>
        <v/>
      </c>
      <c r="E1126" s="3"/>
      <c r="F1126" s="3"/>
      <c r="G1126" s="3"/>
      <c r="H1126" s="3"/>
      <c r="K1126" t="str">
        <f t="shared" ca="1" si="37"/>
        <v/>
      </c>
    </row>
    <row r="1127" spans="1:11">
      <c r="A1127" s="23" t="e">
        <f>IF(Sheet2!#REF!&lt;&gt;"",Sheet2!#REF!,"")</f>
        <v>#REF!</v>
      </c>
      <c r="B1127" s="33" t="e">
        <f>IF(Sheet2!#REF!&lt;&gt;"",Sheet2!#REF!,"")</f>
        <v>#REF!</v>
      </c>
      <c r="C1127" s="34" t="e">
        <f>IF(Sheet2!#REF!&lt;&gt;"",Sheet2!#REF!,"")</f>
        <v>#REF!</v>
      </c>
      <c r="D1127" s="35" t="str">
        <f t="shared" ca="1" si="36"/>
        <v/>
      </c>
      <c r="E1127" s="3"/>
      <c r="F1127" s="3"/>
      <c r="G1127" s="3"/>
      <c r="H1127" s="3"/>
      <c r="K1127" t="str">
        <f t="shared" ca="1" si="37"/>
        <v/>
      </c>
    </row>
    <row r="1128" spans="1:11">
      <c r="A1128" s="23" t="e">
        <f>IF(Sheet2!#REF!&lt;&gt;"",Sheet2!#REF!,"")</f>
        <v>#REF!</v>
      </c>
      <c r="B1128" s="33" t="e">
        <f>IF(Sheet2!#REF!&lt;&gt;"",Sheet2!#REF!,"")</f>
        <v>#REF!</v>
      </c>
      <c r="C1128" s="34" t="e">
        <f>IF(Sheet2!#REF!&lt;&gt;"",Sheet2!#REF!,"")</f>
        <v>#REF!</v>
      </c>
      <c r="D1128" s="35" t="str">
        <f t="shared" ca="1" si="36"/>
        <v/>
      </c>
      <c r="E1128" s="3"/>
      <c r="F1128" s="3"/>
      <c r="G1128" s="3"/>
      <c r="H1128" s="3"/>
      <c r="K1128" t="str">
        <f t="shared" ca="1" si="37"/>
        <v/>
      </c>
    </row>
    <row r="1129" spans="1:11">
      <c r="A1129" s="23" t="e">
        <f>IF(Sheet2!#REF!&lt;&gt;"",Sheet2!#REF!,"")</f>
        <v>#REF!</v>
      </c>
      <c r="B1129" s="33" t="e">
        <f>IF(Sheet2!#REF!&lt;&gt;"",Sheet2!#REF!,"")</f>
        <v>#REF!</v>
      </c>
      <c r="C1129" s="34" t="e">
        <f>IF(Sheet2!#REF!&lt;&gt;"",Sheet2!#REF!,"")</f>
        <v>#REF!</v>
      </c>
      <c r="D1129" s="35" t="str">
        <f t="shared" ca="1" si="36"/>
        <v/>
      </c>
      <c r="E1129" s="3"/>
      <c r="F1129" s="3"/>
      <c r="G1129" s="3"/>
      <c r="H1129" s="3"/>
      <c r="K1129" t="str">
        <f t="shared" ca="1" si="37"/>
        <v/>
      </c>
    </row>
    <row r="1130" spans="1:11">
      <c r="A1130" s="23" t="e">
        <f>IF(Sheet2!#REF!&lt;&gt;"",Sheet2!#REF!,"")</f>
        <v>#REF!</v>
      </c>
      <c r="B1130" s="33" t="e">
        <f>IF(Sheet2!#REF!&lt;&gt;"",Sheet2!#REF!,"")</f>
        <v>#REF!</v>
      </c>
      <c r="C1130" s="34" t="e">
        <f>IF(Sheet2!#REF!&lt;&gt;"",Sheet2!#REF!,"")</f>
        <v>#REF!</v>
      </c>
      <c r="D1130" s="35" t="str">
        <f t="shared" ca="1" si="36"/>
        <v/>
      </c>
      <c r="E1130" s="3"/>
      <c r="F1130" s="3"/>
      <c r="G1130" s="3"/>
      <c r="H1130" s="3"/>
      <c r="K1130" t="str">
        <f t="shared" ca="1" si="37"/>
        <v/>
      </c>
    </row>
    <row r="1131" spans="1:11">
      <c r="A1131" s="23" t="e">
        <f>IF(Sheet2!#REF!&lt;&gt;"",Sheet2!#REF!,"")</f>
        <v>#REF!</v>
      </c>
      <c r="B1131" s="33" t="e">
        <f>IF(Sheet2!#REF!&lt;&gt;"",Sheet2!#REF!,"")</f>
        <v>#REF!</v>
      </c>
      <c r="C1131" s="34" t="e">
        <f>IF(Sheet2!#REF!&lt;&gt;"",Sheet2!#REF!,"")</f>
        <v>#REF!</v>
      </c>
      <c r="D1131" s="35" t="str">
        <f t="shared" ca="1" si="36"/>
        <v/>
      </c>
      <c r="E1131" s="3"/>
      <c r="F1131" s="3"/>
      <c r="G1131" s="3"/>
      <c r="H1131" s="3"/>
      <c r="K1131" t="str">
        <f t="shared" ca="1" si="37"/>
        <v/>
      </c>
    </row>
    <row r="1132" spans="1:11">
      <c r="A1132" s="23" t="e">
        <f>IF(Sheet2!#REF!&lt;&gt;"",Sheet2!#REF!,"")</f>
        <v>#REF!</v>
      </c>
      <c r="B1132" s="33" t="e">
        <f>IF(Sheet2!#REF!&lt;&gt;"",Sheet2!#REF!,"")</f>
        <v>#REF!</v>
      </c>
      <c r="C1132" s="34" t="e">
        <f>IF(Sheet2!#REF!&lt;&gt;"",Sheet2!#REF!,"")</f>
        <v>#REF!</v>
      </c>
      <c r="D1132" s="35" t="str">
        <f t="shared" ca="1" si="36"/>
        <v/>
      </c>
      <c r="E1132" s="3"/>
      <c r="F1132" s="3"/>
      <c r="G1132" s="3"/>
      <c r="H1132" s="3"/>
      <c r="K1132" t="str">
        <f t="shared" ca="1" si="37"/>
        <v/>
      </c>
    </row>
    <row r="1133" spans="1:11">
      <c r="A1133" s="23" t="e">
        <f>IF(Sheet2!#REF!&lt;&gt;"",Sheet2!#REF!,"")</f>
        <v>#REF!</v>
      </c>
      <c r="B1133" s="33" t="e">
        <f>IF(Sheet2!#REF!&lt;&gt;"",Sheet2!#REF!,"")</f>
        <v>#REF!</v>
      </c>
      <c r="C1133" s="34" t="e">
        <f>IF(Sheet2!#REF!&lt;&gt;"",Sheet2!#REF!,"")</f>
        <v>#REF!</v>
      </c>
      <c r="D1133" s="35" t="str">
        <f t="shared" ca="1" si="36"/>
        <v/>
      </c>
      <c r="E1133" s="3"/>
      <c r="F1133" s="3"/>
      <c r="G1133" s="3"/>
      <c r="H1133" s="3"/>
      <c r="K1133" t="str">
        <f t="shared" ca="1" si="37"/>
        <v/>
      </c>
    </row>
    <row r="1134" spans="1:11">
      <c r="A1134" s="23" t="e">
        <f>IF(Sheet2!#REF!&lt;&gt;"",Sheet2!#REF!,"")</f>
        <v>#REF!</v>
      </c>
      <c r="B1134" s="33" t="e">
        <f>IF(Sheet2!#REF!&lt;&gt;"",Sheet2!#REF!,"")</f>
        <v>#REF!</v>
      </c>
      <c r="C1134" s="34" t="e">
        <f>IF(Sheet2!#REF!&lt;&gt;"",Sheet2!#REF!,"")</f>
        <v>#REF!</v>
      </c>
      <c r="D1134" s="35" t="str">
        <f t="shared" ca="1" si="36"/>
        <v/>
      </c>
      <c r="E1134" s="3"/>
      <c r="F1134" s="3"/>
      <c r="G1134" s="3"/>
      <c r="H1134" s="3"/>
      <c r="K1134" t="str">
        <f t="shared" ca="1" si="37"/>
        <v/>
      </c>
    </row>
    <row r="1135" spans="1:11">
      <c r="A1135" s="23" t="e">
        <f>IF(Sheet2!#REF!&lt;&gt;"",Sheet2!#REF!,"")</f>
        <v>#REF!</v>
      </c>
      <c r="B1135" s="33" t="e">
        <f>IF(Sheet2!#REF!&lt;&gt;"",Sheet2!#REF!,"")</f>
        <v>#REF!</v>
      </c>
      <c r="C1135" s="34" t="e">
        <f>IF(Sheet2!#REF!&lt;&gt;"",Sheet2!#REF!,"")</f>
        <v>#REF!</v>
      </c>
      <c r="D1135" s="35" t="str">
        <f t="shared" ca="1" si="36"/>
        <v/>
      </c>
      <c r="E1135" s="3"/>
      <c r="F1135" s="3"/>
      <c r="G1135" s="3"/>
      <c r="H1135" s="3"/>
      <c r="K1135" t="str">
        <f t="shared" ca="1" si="37"/>
        <v/>
      </c>
    </row>
    <row r="1136" spans="1:11">
      <c r="A1136" s="23" t="e">
        <f>IF(Sheet2!#REF!&lt;&gt;"",Sheet2!#REF!,"")</f>
        <v>#REF!</v>
      </c>
      <c r="B1136" s="33" t="e">
        <f>IF(Sheet2!#REF!&lt;&gt;"",Sheet2!#REF!,"")</f>
        <v>#REF!</v>
      </c>
      <c r="C1136" s="34" t="e">
        <f>IF(Sheet2!#REF!&lt;&gt;"",Sheet2!#REF!,"")</f>
        <v>#REF!</v>
      </c>
      <c r="D1136" s="35" t="str">
        <f t="shared" ca="1" si="36"/>
        <v/>
      </c>
      <c r="E1136" s="3"/>
      <c r="F1136" s="3"/>
      <c r="G1136" s="3"/>
      <c r="H1136" s="3"/>
      <c r="K1136" t="str">
        <f t="shared" ca="1" si="37"/>
        <v/>
      </c>
    </row>
    <row r="1137" spans="1:11">
      <c r="A1137" s="23" t="e">
        <f>IF(Sheet2!#REF!&lt;&gt;"",Sheet2!#REF!,"")</f>
        <v>#REF!</v>
      </c>
      <c r="B1137" s="33" t="e">
        <f>IF(Sheet2!#REF!&lt;&gt;"",Sheet2!#REF!,"")</f>
        <v>#REF!</v>
      </c>
      <c r="C1137" s="34" t="e">
        <f>IF(Sheet2!#REF!&lt;&gt;"",Sheet2!#REF!,"")</f>
        <v>#REF!</v>
      </c>
      <c r="D1137" s="35" t="str">
        <f t="shared" ca="1" si="36"/>
        <v/>
      </c>
      <c r="E1137" s="3"/>
      <c r="F1137" s="3"/>
      <c r="G1137" s="3"/>
      <c r="H1137" s="3"/>
      <c r="K1137" t="str">
        <f t="shared" ca="1" si="37"/>
        <v/>
      </c>
    </row>
    <row r="1138" spans="1:11">
      <c r="A1138" s="23" t="e">
        <f>IF(Sheet2!#REF!&lt;&gt;"",Sheet2!#REF!,"")</f>
        <v>#REF!</v>
      </c>
      <c r="B1138" s="33" t="e">
        <f>IF(Sheet2!#REF!&lt;&gt;"",Sheet2!#REF!,"")</f>
        <v>#REF!</v>
      </c>
      <c r="C1138" s="34" t="e">
        <f>IF(Sheet2!#REF!&lt;&gt;"",Sheet2!#REF!,"")</f>
        <v>#REF!</v>
      </c>
      <c r="D1138" s="35" t="str">
        <f t="shared" ca="1" si="36"/>
        <v/>
      </c>
      <c r="E1138" s="3"/>
      <c r="F1138" s="3"/>
      <c r="G1138" s="3"/>
      <c r="H1138" s="3"/>
      <c r="K1138" t="str">
        <f t="shared" ca="1" si="37"/>
        <v/>
      </c>
    </row>
    <row r="1139" spans="1:11">
      <c r="A1139" s="23" t="e">
        <f>IF(Sheet2!#REF!&lt;&gt;"",Sheet2!#REF!,"")</f>
        <v>#REF!</v>
      </c>
      <c r="B1139" s="33" t="e">
        <f>IF(Sheet2!#REF!&lt;&gt;"",Sheet2!#REF!,"")</f>
        <v>#REF!</v>
      </c>
      <c r="C1139" s="34" t="e">
        <f>IF(Sheet2!#REF!&lt;&gt;"",Sheet2!#REF!,"")</f>
        <v>#REF!</v>
      </c>
      <c r="D1139" s="35" t="str">
        <f t="shared" ca="1" si="36"/>
        <v/>
      </c>
      <c r="E1139" s="3"/>
      <c r="F1139" s="3"/>
      <c r="G1139" s="3"/>
      <c r="H1139" s="3"/>
      <c r="K1139" t="str">
        <f t="shared" ca="1" si="37"/>
        <v/>
      </c>
    </row>
    <row r="1140" spans="1:11">
      <c r="A1140" s="23" t="e">
        <f>IF(Sheet2!#REF!&lt;&gt;"",Sheet2!#REF!,"")</f>
        <v>#REF!</v>
      </c>
      <c r="B1140" s="33" t="e">
        <f>IF(Sheet2!#REF!&lt;&gt;"",Sheet2!#REF!,"")</f>
        <v>#REF!</v>
      </c>
      <c r="C1140" s="34" t="e">
        <f>IF(Sheet2!#REF!&lt;&gt;"",Sheet2!#REF!,"")</f>
        <v>#REF!</v>
      </c>
      <c r="D1140" s="35" t="str">
        <f t="shared" ca="1" si="36"/>
        <v/>
      </c>
      <c r="E1140" s="3"/>
      <c r="F1140" s="3"/>
      <c r="G1140" s="3"/>
      <c r="H1140" s="3"/>
      <c r="K1140" t="str">
        <f t="shared" ca="1" si="37"/>
        <v/>
      </c>
    </row>
    <row r="1141" spans="1:11">
      <c r="A1141" s="23" t="e">
        <f>IF(Sheet2!#REF!&lt;&gt;"",Sheet2!#REF!,"")</f>
        <v>#REF!</v>
      </c>
      <c r="B1141" s="33" t="e">
        <f>IF(Sheet2!#REF!&lt;&gt;"",Sheet2!#REF!,"")</f>
        <v>#REF!</v>
      </c>
      <c r="C1141" s="34" t="e">
        <f>IF(Sheet2!#REF!&lt;&gt;"",Sheet2!#REF!,"")</f>
        <v>#REF!</v>
      </c>
      <c r="D1141" s="35" t="str">
        <f t="shared" ca="1" si="36"/>
        <v/>
      </c>
      <c r="E1141" s="3"/>
      <c r="F1141" s="3"/>
      <c r="G1141" s="3"/>
      <c r="H1141" s="3"/>
      <c r="K1141" t="str">
        <f t="shared" ca="1" si="37"/>
        <v/>
      </c>
    </row>
    <row r="1142" spans="1:11">
      <c r="A1142" s="23" t="e">
        <f>IF(Sheet2!#REF!&lt;&gt;"",Sheet2!#REF!,"")</f>
        <v>#REF!</v>
      </c>
      <c r="B1142" s="33" t="e">
        <f>IF(Sheet2!#REF!&lt;&gt;"",Sheet2!#REF!,"")</f>
        <v>#REF!</v>
      </c>
      <c r="C1142" s="34" t="e">
        <f>IF(Sheet2!#REF!&lt;&gt;"",Sheet2!#REF!,"")</f>
        <v>#REF!</v>
      </c>
      <c r="D1142" s="35" t="str">
        <f t="shared" ca="1" si="36"/>
        <v/>
      </c>
      <c r="E1142" s="3"/>
      <c r="F1142" s="3"/>
      <c r="G1142" s="3"/>
      <c r="H1142" s="3"/>
      <c r="K1142" t="str">
        <f t="shared" ca="1" si="37"/>
        <v/>
      </c>
    </row>
    <row r="1143" spans="1:11">
      <c r="A1143" s="23" t="e">
        <f>IF(Sheet2!#REF!&lt;&gt;"",Sheet2!#REF!,"")</f>
        <v>#REF!</v>
      </c>
      <c r="B1143" s="33" t="e">
        <f>IF(Sheet2!#REF!&lt;&gt;"",Sheet2!#REF!,"")</f>
        <v>#REF!</v>
      </c>
      <c r="C1143" s="34" t="e">
        <f>IF(Sheet2!#REF!&lt;&gt;"",Sheet2!#REF!,"")</f>
        <v>#REF!</v>
      </c>
      <c r="D1143" s="35" t="str">
        <f t="shared" ca="1" si="36"/>
        <v/>
      </c>
      <c r="E1143" s="3"/>
      <c r="F1143" s="3"/>
      <c r="G1143" s="3"/>
      <c r="H1143" s="3"/>
      <c r="K1143" t="str">
        <f t="shared" ca="1" si="37"/>
        <v/>
      </c>
    </row>
    <row r="1144" spans="1:11">
      <c r="A1144" s="23" t="e">
        <f>IF(Sheet2!#REF!&lt;&gt;"",Sheet2!#REF!,"")</f>
        <v>#REF!</v>
      </c>
      <c r="B1144" s="33" t="e">
        <f>IF(Sheet2!#REF!&lt;&gt;"",Sheet2!#REF!,"")</f>
        <v>#REF!</v>
      </c>
      <c r="C1144" s="34" t="e">
        <f>IF(Sheet2!#REF!&lt;&gt;"",Sheet2!#REF!,"")</f>
        <v>#REF!</v>
      </c>
      <c r="D1144" s="35" t="str">
        <f t="shared" ca="1" si="36"/>
        <v/>
      </c>
      <c r="E1144" s="3"/>
      <c r="F1144" s="3"/>
      <c r="G1144" s="3"/>
      <c r="H1144" s="3"/>
      <c r="K1144" t="str">
        <f t="shared" ca="1" si="37"/>
        <v/>
      </c>
    </row>
    <row r="1145" spans="1:11">
      <c r="A1145" s="23" t="e">
        <f>IF(Sheet2!#REF!&lt;&gt;"",Sheet2!#REF!,"")</f>
        <v>#REF!</v>
      </c>
      <c r="B1145" s="33" t="e">
        <f>IF(Sheet2!#REF!&lt;&gt;"",Sheet2!#REF!,"")</f>
        <v>#REF!</v>
      </c>
      <c r="C1145" s="34" t="e">
        <f>IF(Sheet2!#REF!&lt;&gt;"",Sheet2!#REF!,"")</f>
        <v>#REF!</v>
      </c>
      <c r="D1145" s="35" t="str">
        <f t="shared" ca="1" si="36"/>
        <v/>
      </c>
      <c r="E1145" s="3"/>
      <c r="F1145" s="3"/>
      <c r="G1145" s="3"/>
      <c r="H1145" s="3"/>
      <c r="K1145" t="str">
        <f t="shared" ca="1" si="37"/>
        <v/>
      </c>
    </row>
    <row r="1146" spans="1:11">
      <c r="A1146" s="23" t="e">
        <f>IF(Sheet2!#REF!&lt;&gt;"",Sheet2!#REF!,"")</f>
        <v>#REF!</v>
      </c>
      <c r="B1146" s="33" t="e">
        <f>IF(Sheet2!#REF!&lt;&gt;"",Sheet2!#REF!,"")</f>
        <v>#REF!</v>
      </c>
      <c r="C1146" s="34" t="e">
        <f>IF(Sheet2!#REF!&lt;&gt;"",Sheet2!#REF!,"")</f>
        <v>#REF!</v>
      </c>
      <c r="D1146" s="35" t="str">
        <f t="shared" ca="1" si="36"/>
        <v/>
      </c>
      <c r="E1146" s="3"/>
      <c r="F1146" s="3"/>
      <c r="G1146" s="3"/>
      <c r="H1146" s="3"/>
      <c r="K1146" t="str">
        <f t="shared" ca="1" si="37"/>
        <v/>
      </c>
    </row>
    <row r="1147" spans="1:11">
      <c r="A1147" s="23" t="e">
        <f>IF(Sheet2!#REF!&lt;&gt;"",Sheet2!#REF!,"")</f>
        <v>#REF!</v>
      </c>
      <c r="B1147" s="33" t="e">
        <f>IF(Sheet2!#REF!&lt;&gt;"",Sheet2!#REF!,"")</f>
        <v>#REF!</v>
      </c>
      <c r="C1147" s="34" t="e">
        <f>IF(Sheet2!#REF!&lt;&gt;"",Sheet2!#REF!,"")</f>
        <v>#REF!</v>
      </c>
      <c r="D1147" s="35" t="str">
        <f t="shared" ca="1" si="36"/>
        <v/>
      </c>
      <c r="E1147" s="3"/>
      <c r="F1147" s="3"/>
      <c r="G1147" s="3"/>
      <c r="H1147" s="3"/>
      <c r="K1147" t="str">
        <f t="shared" ca="1" si="37"/>
        <v/>
      </c>
    </row>
    <row r="1148" spans="1:11">
      <c r="A1148" s="23" t="e">
        <f>IF(Sheet2!#REF!&lt;&gt;"",Sheet2!#REF!,"")</f>
        <v>#REF!</v>
      </c>
      <c r="B1148" s="33" t="e">
        <f>IF(Sheet2!#REF!&lt;&gt;"",Sheet2!#REF!,"")</f>
        <v>#REF!</v>
      </c>
      <c r="C1148" s="34" t="e">
        <f>IF(Sheet2!#REF!&lt;&gt;"",Sheet2!#REF!,"")</f>
        <v>#REF!</v>
      </c>
      <c r="D1148" s="35" t="str">
        <f t="shared" ca="1" si="36"/>
        <v/>
      </c>
      <c r="E1148" s="3"/>
      <c r="F1148" s="3"/>
      <c r="G1148" s="3"/>
      <c r="H1148" s="3"/>
      <c r="K1148" t="str">
        <f t="shared" ca="1" si="37"/>
        <v/>
      </c>
    </row>
    <row r="1149" spans="1:11">
      <c r="A1149" s="23" t="e">
        <f>IF(Sheet2!#REF!&lt;&gt;"",Sheet2!#REF!,"")</f>
        <v>#REF!</v>
      </c>
      <c r="B1149" s="33" t="e">
        <f>IF(Sheet2!#REF!&lt;&gt;"",Sheet2!#REF!,"")</f>
        <v>#REF!</v>
      </c>
      <c r="C1149" s="34" t="e">
        <f>IF(Sheet2!#REF!&lt;&gt;"",Sheet2!#REF!,"")</f>
        <v>#REF!</v>
      </c>
      <c r="D1149" s="35" t="str">
        <f t="shared" ca="1" si="36"/>
        <v/>
      </c>
      <c r="E1149" s="3"/>
      <c r="F1149" s="3"/>
      <c r="G1149" s="3"/>
      <c r="H1149" s="3"/>
      <c r="K1149" t="str">
        <f t="shared" ca="1" si="37"/>
        <v/>
      </c>
    </row>
    <row r="1150" spans="1:11">
      <c r="A1150" s="23" t="e">
        <f>IF(Sheet2!#REF!&lt;&gt;"",Sheet2!#REF!,"")</f>
        <v>#REF!</v>
      </c>
      <c r="B1150" s="33" t="e">
        <f>IF(Sheet2!#REF!&lt;&gt;"",Sheet2!#REF!,"")</f>
        <v>#REF!</v>
      </c>
      <c r="C1150" s="34" t="e">
        <f>IF(Sheet2!#REF!&lt;&gt;"",Sheet2!#REF!,"")</f>
        <v>#REF!</v>
      </c>
      <c r="D1150" s="35" t="str">
        <f t="shared" ca="1" si="36"/>
        <v/>
      </c>
      <c r="E1150" s="3"/>
      <c r="F1150" s="3"/>
      <c r="G1150" s="3"/>
      <c r="H1150" s="3"/>
      <c r="K1150" t="str">
        <f t="shared" ca="1" si="37"/>
        <v/>
      </c>
    </row>
    <row r="1151" spans="1:11">
      <c r="A1151" s="23" t="e">
        <f>IF(Sheet2!#REF!&lt;&gt;"",Sheet2!#REF!,"")</f>
        <v>#REF!</v>
      </c>
      <c r="B1151" s="33" t="e">
        <f>IF(Sheet2!#REF!&lt;&gt;"",Sheet2!#REF!,"")</f>
        <v>#REF!</v>
      </c>
      <c r="C1151" s="34" t="e">
        <f>IF(Sheet2!#REF!&lt;&gt;"",Sheet2!#REF!,"")</f>
        <v>#REF!</v>
      </c>
      <c r="D1151" s="35" t="str">
        <f t="shared" ca="1" si="36"/>
        <v/>
      </c>
      <c r="E1151" s="3"/>
      <c r="F1151" s="3"/>
      <c r="G1151" s="3"/>
      <c r="H1151" s="3"/>
      <c r="K1151" t="str">
        <f t="shared" ca="1" si="37"/>
        <v/>
      </c>
    </row>
    <row r="1152" spans="1:11">
      <c r="A1152" s="23" t="e">
        <f>IF(Sheet2!#REF!&lt;&gt;"",Sheet2!#REF!,"")</f>
        <v>#REF!</v>
      </c>
      <c r="B1152" s="33" t="e">
        <f>IF(Sheet2!#REF!&lt;&gt;"",Sheet2!#REF!,"")</f>
        <v>#REF!</v>
      </c>
      <c r="C1152" s="34" t="e">
        <f>IF(Sheet2!#REF!&lt;&gt;"",Sheet2!#REF!,"")</f>
        <v>#REF!</v>
      </c>
      <c r="D1152" s="35" t="str">
        <f t="shared" ca="1" si="36"/>
        <v/>
      </c>
      <c r="E1152" s="3"/>
      <c r="F1152" s="3"/>
      <c r="G1152" s="3"/>
      <c r="H1152" s="3"/>
      <c r="K1152" t="str">
        <f t="shared" ca="1" si="37"/>
        <v/>
      </c>
    </row>
    <row r="1153" spans="1:11">
      <c r="A1153" s="23" t="e">
        <f>IF(Sheet2!#REF!&lt;&gt;"",Sheet2!#REF!,"")</f>
        <v>#REF!</v>
      </c>
      <c r="B1153" s="33" t="e">
        <f>IF(Sheet2!#REF!&lt;&gt;"",Sheet2!#REF!,"")</f>
        <v>#REF!</v>
      </c>
      <c r="C1153" s="34" t="e">
        <f>IF(Sheet2!#REF!&lt;&gt;"",Sheet2!#REF!,"")</f>
        <v>#REF!</v>
      </c>
      <c r="D1153" s="35" t="str">
        <f t="shared" ca="1" si="36"/>
        <v/>
      </c>
      <c r="E1153" s="3"/>
      <c r="F1153" s="3"/>
      <c r="G1153" s="3"/>
      <c r="H1153" s="3"/>
      <c r="K1153" t="str">
        <f t="shared" ca="1" si="37"/>
        <v/>
      </c>
    </row>
    <row r="1154" spans="1:11">
      <c r="A1154" s="23" t="e">
        <f>IF(Sheet2!#REF!&lt;&gt;"",Sheet2!#REF!,"")</f>
        <v>#REF!</v>
      </c>
      <c r="B1154" s="33" t="e">
        <f>IF(Sheet2!#REF!&lt;&gt;"",Sheet2!#REF!,"")</f>
        <v>#REF!</v>
      </c>
      <c r="C1154" s="34" t="e">
        <f>IF(Sheet2!#REF!&lt;&gt;"",Sheet2!#REF!,"")</f>
        <v>#REF!</v>
      </c>
      <c r="D1154" s="35" t="str">
        <f t="shared" ca="1" si="36"/>
        <v/>
      </c>
      <c r="E1154" s="3"/>
      <c r="F1154" s="3"/>
      <c r="G1154" s="3"/>
      <c r="H1154" s="3"/>
      <c r="K1154" t="str">
        <f t="shared" ca="1" si="37"/>
        <v/>
      </c>
    </row>
    <row r="1155" spans="1:11">
      <c r="A1155" s="23" t="e">
        <f>IF(Sheet2!#REF!&lt;&gt;"",Sheet2!#REF!,"")</f>
        <v>#REF!</v>
      </c>
      <c r="B1155" s="33" t="e">
        <f>IF(Sheet2!#REF!&lt;&gt;"",Sheet2!#REF!,"")</f>
        <v>#REF!</v>
      </c>
      <c r="C1155" s="34" t="e">
        <f>IF(Sheet2!#REF!&lt;&gt;"",Sheet2!#REF!,"")</f>
        <v>#REF!</v>
      </c>
      <c r="D1155" s="35" t="str">
        <f t="shared" ref="D1155:D1218" ca="1" si="38">IFERROR(IF(AND((C1155-TODAY())&lt;15,B1155&lt;&gt;""),IF(I1155="","Alert",""),""),"")</f>
        <v/>
      </c>
      <c r="E1155" s="3"/>
      <c r="F1155" s="3"/>
      <c r="G1155" s="3"/>
      <c r="H1155" s="3"/>
      <c r="K1155" t="str">
        <f t="shared" ref="K1155:K1218" ca="1" si="39">IF(I1155&lt;&gt;"",IF(J1155="",IF(TODAY()-I1155&gt;3,"ALERT",""),""),"")</f>
        <v/>
      </c>
    </row>
    <row r="1156" spans="1:11">
      <c r="A1156" s="23" t="e">
        <f>IF(Sheet2!#REF!&lt;&gt;"",Sheet2!#REF!,"")</f>
        <v>#REF!</v>
      </c>
      <c r="B1156" s="33" t="e">
        <f>IF(Sheet2!#REF!&lt;&gt;"",Sheet2!#REF!,"")</f>
        <v>#REF!</v>
      </c>
      <c r="C1156" s="34" t="e">
        <f>IF(Sheet2!#REF!&lt;&gt;"",Sheet2!#REF!,"")</f>
        <v>#REF!</v>
      </c>
      <c r="D1156" s="35" t="str">
        <f t="shared" ca="1" si="38"/>
        <v/>
      </c>
      <c r="E1156" s="3"/>
      <c r="F1156" s="3"/>
      <c r="G1156" s="3"/>
      <c r="H1156" s="3"/>
      <c r="K1156" t="str">
        <f t="shared" ca="1" si="39"/>
        <v/>
      </c>
    </row>
    <row r="1157" spans="1:11">
      <c r="A1157" s="23" t="e">
        <f>IF(Sheet2!#REF!&lt;&gt;"",Sheet2!#REF!,"")</f>
        <v>#REF!</v>
      </c>
      <c r="B1157" s="33" t="e">
        <f>IF(Sheet2!#REF!&lt;&gt;"",Sheet2!#REF!,"")</f>
        <v>#REF!</v>
      </c>
      <c r="C1157" s="34" t="e">
        <f>IF(Sheet2!#REF!&lt;&gt;"",Sheet2!#REF!,"")</f>
        <v>#REF!</v>
      </c>
      <c r="D1157" s="35" t="str">
        <f t="shared" ca="1" si="38"/>
        <v/>
      </c>
      <c r="E1157" s="3"/>
      <c r="F1157" s="3"/>
      <c r="G1157" s="3"/>
      <c r="H1157" s="3"/>
      <c r="K1157" t="str">
        <f t="shared" ca="1" si="39"/>
        <v/>
      </c>
    </row>
    <row r="1158" spans="1:11">
      <c r="A1158" s="23" t="e">
        <f>IF(Sheet2!#REF!&lt;&gt;"",Sheet2!#REF!,"")</f>
        <v>#REF!</v>
      </c>
      <c r="B1158" s="33" t="e">
        <f>IF(Sheet2!#REF!&lt;&gt;"",Sheet2!#REF!,"")</f>
        <v>#REF!</v>
      </c>
      <c r="C1158" s="34" t="e">
        <f>IF(Sheet2!#REF!&lt;&gt;"",Sheet2!#REF!,"")</f>
        <v>#REF!</v>
      </c>
      <c r="D1158" s="35" t="str">
        <f t="shared" ca="1" si="38"/>
        <v/>
      </c>
      <c r="E1158" s="3"/>
      <c r="F1158" s="3"/>
      <c r="G1158" s="3"/>
      <c r="H1158" s="3"/>
      <c r="K1158" t="str">
        <f t="shared" ca="1" si="39"/>
        <v/>
      </c>
    </row>
    <row r="1159" spans="1:11">
      <c r="A1159" s="23" t="e">
        <f>IF(Sheet2!#REF!&lt;&gt;"",Sheet2!#REF!,"")</f>
        <v>#REF!</v>
      </c>
      <c r="B1159" s="33" t="e">
        <f>IF(Sheet2!#REF!&lt;&gt;"",Sheet2!#REF!,"")</f>
        <v>#REF!</v>
      </c>
      <c r="C1159" s="34" t="e">
        <f>IF(Sheet2!#REF!&lt;&gt;"",Sheet2!#REF!,"")</f>
        <v>#REF!</v>
      </c>
      <c r="D1159" s="35" t="str">
        <f t="shared" ca="1" si="38"/>
        <v/>
      </c>
      <c r="E1159" s="3"/>
      <c r="F1159" s="3"/>
      <c r="G1159" s="3"/>
      <c r="H1159" s="3"/>
      <c r="K1159" t="str">
        <f t="shared" ca="1" si="39"/>
        <v/>
      </c>
    </row>
    <row r="1160" spans="1:11">
      <c r="A1160" s="23" t="e">
        <f>IF(Sheet2!#REF!&lt;&gt;"",Sheet2!#REF!,"")</f>
        <v>#REF!</v>
      </c>
      <c r="B1160" s="33" t="e">
        <f>IF(Sheet2!#REF!&lt;&gt;"",Sheet2!#REF!,"")</f>
        <v>#REF!</v>
      </c>
      <c r="C1160" s="34" t="e">
        <f>IF(Sheet2!#REF!&lt;&gt;"",Sheet2!#REF!,"")</f>
        <v>#REF!</v>
      </c>
      <c r="D1160" s="35" t="str">
        <f t="shared" ca="1" si="38"/>
        <v/>
      </c>
      <c r="E1160" s="3"/>
      <c r="F1160" s="3"/>
      <c r="G1160" s="3"/>
      <c r="H1160" s="3"/>
      <c r="K1160" t="str">
        <f t="shared" ca="1" si="39"/>
        <v/>
      </c>
    </row>
    <row r="1161" spans="1:11">
      <c r="A1161" s="23" t="e">
        <f>IF(Sheet2!#REF!&lt;&gt;"",Sheet2!#REF!,"")</f>
        <v>#REF!</v>
      </c>
      <c r="B1161" s="33" t="e">
        <f>IF(Sheet2!#REF!&lt;&gt;"",Sheet2!#REF!,"")</f>
        <v>#REF!</v>
      </c>
      <c r="C1161" s="34" t="e">
        <f>IF(Sheet2!#REF!&lt;&gt;"",Sheet2!#REF!,"")</f>
        <v>#REF!</v>
      </c>
      <c r="D1161" s="35" t="str">
        <f t="shared" ca="1" si="38"/>
        <v/>
      </c>
      <c r="E1161" s="3"/>
      <c r="F1161" s="3"/>
      <c r="G1161" s="3"/>
      <c r="H1161" s="3"/>
      <c r="K1161" t="str">
        <f t="shared" ca="1" si="39"/>
        <v/>
      </c>
    </row>
    <row r="1162" spans="1:11">
      <c r="A1162" s="23" t="e">
        <f>IF(Sheet2!#REF!&lt;&gt;"",Sheet2!#REF!,"")</f>
        <v>#REF!</v>
      </c>
      <c r="B1162" s="33" t="e">
        <f>IF(Sheet2!#REF!&lt;&gt;"",Sheet2!#REF!,"")</f>
        <v>#REF!</v>
      </c>
      <c r="C1162" s="34" t="e">
        <f>IF(Sheet2!#REF!&lt;&gt;"",Sheet2!#REF!,"")</f>
        <v>#REF!</v>
      </c>
      <c r="D1162" s="35" t="str">
        <f t="shared" ca="1" si="38"/>
        <v/>
      </c>
      <c r="E1162" s="3"/>
      <c r="F1162" s="3"/>
      <c r="G1162" s="3"/>
      <c r="H1162" s="3"/>
      <c r="K1162" t="str">
        <f t="shared" ca="1" si="39"/>
        <v/>
      </c>
    </row>
    <row r="1163" spans="1:11">
      <c r="A1163" s="23" t="e">
        <f>IF(Sheet2!#REF!&lt;&gt;"",Sheet2!#REF!,"")</f>
        <v>#REF!</v>
      </c>
      <c r="B1163" s="33" t="e">
        <f>IF(Sheet2!#REF!&lt;&gt;"",Sheet2!#REF!,"")</f>
        <v>#REF!</v>
      </c>
      <c r="C1163" s="34" t="e">
        <f>IF(Sheet2!#REF!&lt;&gt;"",Sheet2!#REF!,"")</f>
        <v>#REF!</v>
      </c>
      <c r="D1163" s="35" t="str">
        <f t="shared" ca="1" si="38"/>
        <v/>
      </c>
      <c r="E1163" s="3"/>
      <c r="F1163" s="3"/>
      <c r="G1163" s="3"/>
      <c r="H1163" s="3"/>
      <c r="K1163" t="str">
        <f t="shared" ca="1" si="39"/>
        <v/>
      </c>
    </row>
    <row r="1164" spans="1:11">
      <c r="A1164" s="23" t="e">
        <f>IF(Sheet2!#REF!&lt;&gt;"",Sheet2!#REF!,"")</f>
        <v>#REF!</v>
      </c>
      <c r="B1164" s="33" t="e">
        <f>IF(Sheet2!#REF!&lt;&gt;"",Sheet2!#REF!,"")</f>
        <v>#REF!</v>
      </c>
      <c r="C1164" s="34" t="e">
        <f>IF(Sheet2!#REF!&lt;&gt;"",Sheet2!#REF!,"")</f>
        <v>#REF!</v>
      </c>
      <c r="D1164" s="35" t="str">
        <f t="shared" ca="1" si="38"/>
        <v/>
      </c>
      <c r="E1164" s="3"/>
      <c r="F1164" s="3"/>
      <c r="G1164" s="3"/>
      <c r="H1164" s="3"/>
      <c r="K1164" t="str">
        <f t="shared" ca="1" si="39"/>
        <v/>
      </c>
    </row>
    <row r="1165" spans="1:11">
      <c r="A1165" s="23" t="e">
        <f>IF(Sheet2!#REF!&lt;&gt;"",Sheet2!#REF!,"")</f>
        <v>#REF!</v>
      </c>
      <c r="B1165" s="33" t="e">
        <f>IF(Sheet2!#REF!&lt;&gt;"",Sheet2!#REF!,"")</f>
        <v>#REF!</v>
      </c>
      <c r="C1165" s="34" t="e">
        <f>IF(Sheet2!#REF!&lt;&gt;"",Sheet2!#REF!,"")</f>
        <v>#REF!</v>
      </c>
      <c r="D1165" s="35" t="str">
        <f t="shared" ca="1" si="38"/>
        <v/>
      </c>
      <c r="E1165" s="3"/>
      <c r="F1165" s="3"/>
      <c r="G1165" s="3"/>
      <c r="H1165" s="3"/>
      <c r="K1165" t="str">
        <f t="shared" ca="1" si="39"/>
        <v/>
      </c>
    </row>
    <row r="1166" spans="1:11">
      <c r="A1166" s="23" t="e">
        <f>IF(Sheet2!#REF!&lt;&gt;"",Sheet2!#REF!,"")</f>
        <v>#REF!</v>
      </c>
      <c r="B1166" s="33" t="e">
        <f>IF(Sheet2!#REF!&lt;&gt;"",Sheet2!#REF!,"")</f>
        <v>#REF!</v>
      </c>
      <c r="C1166" s="34" t="e">
        <f>IF(Sheet2!#REF!&lt;&gt;"",Sheet2!#REF!,"")</f>
        <v>#REF!</v>
      </c>
      <c r="D1166" s="35" t="str">
        <f t="shared" ca="1" si="38"/>
        <v/>
      </c>
      <c r="E1166" s="3"/>
      <c r="F1166" s="3"/>
      <c r="G1166" s="3"/>
      <c r="H1166" s="3"/>
      <c r="K1166" t="str">
        <f t="shared" ca="1" si="39"/>
        <v/>
      </c>
    </row>
    <row r="1167" spans="1:11">
      <c r="A1167" s="23" t="e">
        <f>IF(Sheet2!#REF!&lt;&gt;"",Sheet2!#REF!,"")</f>
        <v>#REF!</v>
      </c>
      <c r="B1167" s="33" t="e">
        <f>IF(Sheet2!#REF!&lt;&gt;"",Sheet2!#REF!,"")</f>
        <v>#REF!</v>
      </c>
      <c r="C1167" s="34" t="e">
        <f>IF(Sheet2!#REF!&lt;&gt;"",Sheet2!#REF!,"")</f>
        <v>#REF!</v>
      </c>
      <c r="D1167" s="35" t="str">
        <f t="shared" ca="1" si="38"/>
        <v/>
      </c>
      <c r="E1167" s="3"/>
      <c r="F1167" s="3"/>
      <c r="G1167" s="3"/>
      <c r="H1167" s="3"/>
      <c r="K1167" t="str">
        <f t="shared" ca="1" si="39"/>
        <v/>
      </c>
    </row>
    <row r="1168" spans="1:11">
      <c r="A1168" s="23" t="e">
        <f>IF(Sheet2!#REF!&lt;&gt;"",Sheet2!#REF!,"")</f>
        <v>#REF!</v>
      </c>
      <c r="B1168" s="33" t="e">
        <f>IF(Sheet2!#REF!&lt;&gt;"",Sheet2!#REF!,"")</f>
        <v>#REF!</v>
      </c>
      <c r="C1168" s="34" t="e">
        <f>IF(Sheet2!#REF!&lt;&gt;"",Sheet2!#REF!,"")</f>
        <v>#REF!</v>
      </c>
      <c r="D1168" s="35" t="str">
        <f t="shared" ca="1" si="38"/>
        <v/>
      </c>
      <c r="E1168" s="3"/>
      <c r="F1168" s="3"/>
      <c r="G1168" s="3"/>
      <c r="H1168" s="3"/>
      <c r="K1168" t="str">
        <f t="shared" ca="1" si="39"/>
        <v/>
      </c>
    </row>
    <row r="1169" spans="1:11">
      <c r="A1169" s="23" t="e">
        <f>IF(Sheet2!#REF!&lt;&gt;"",Sheet2!#REF!,"")</f>
        <v>#REF!</v>
      </c>
      <c r="B1169" s="33" t="e">
        <f>IF(Sheet2!#REF!&lt;&gt;"",Sheet2!#REF!,"")</f>
        <v>#REF!</v>
      </c>
      <c r="C1169" s="34" t="e">
        <f>IF(Sheet2!#REF!&lt;&gt;"",Sheet2!#REF!,"")</f>
        <v>#REF!</v>
      </c>
      <c r="D1169" s="35" t="str">
        <f t="shared" ca="1" si="38"/>
        <v/>
      </c>
      <c r="E1169" s="3"/>
      <c r="F1169" s="3"/>
      <c r="G1169" s="3"/>
      <c r="H1169" s="3"/>
      <c r="K1169" t="str">
        <f t="shared" ca="1" si="39"/>
        <v/>
      </c>
    </row>
    <row r="1170" spans="1:11">
      <c r="A1170" s="23" t="e">
        <f>IF(Sheet2!#REF!&lt;&gt;"",Sheet2!#REF!,"")</f>
        <v>#REF!</v>
      </c>
      <c r="B1170" s="33" t="e">
        <f>IF(Sheet2!#REF!&lt;&gt;"",Sheet2!#REF!,"")</f>
        <v>#REF!</v>
      </c>
      <c r="C1170" s="34" t="e">
        <f>IF(Sheet2!#REF!&lt;&gt;"",Sheet2!#REF!,"")</f>
        <v>#REF!</v>
      </c>
      <c r="D1170" s="35" t="str">
        <f t="shared" ca="1" si="38"/>
        <v/>
      </c>
      <c r="E1170" s="3"/>
      <c r="F1170" s="3"/>
      <c r="G1170" s="3"/>
      <c r="H1170" s="3"/>
      <c r="K1170" t="str">
        <f t="shared" ca="1" si="39"/>
        <v/>
      </c>
    </row>
    <row r="1171" spans="1:11">
      <c r="A1171" s="23" t="e">
        <f>IF(Sheet2!#REF!&lt;&gt;"",Sheet2!#REF!,"")</f>
        <v>#REF!</v>
      </c>
      <c r="B1171" s="33" t="e">
        <f>IF(Sheet2!#REF!&lt;&gt;"",Sheet2!#REF!,"")</f>
        <v>#REF!</v>
      </c>
      <c r="C1171" s="34" t="e">
        <f>IF(Sheet2!#REF!&lt;&gt;"",Sheet2!#REF!,"")</f>
        <v>#REF!</v>
      </c>
      <c r="D1171" s="35" t="str">
        <f t="shared" ca="1" si="38"/>
        <v/>
      </c>
      <c r="E1171" s="3"/>
      <c r="F1171" s="3"/>
      <c r="G1171" s="3"/>
      <c r="H1171" s="3"/>
      <c r="K1171" t="str">
        <f t="shared" ca="1" si="39"/>
        <v/>
      </c>
    </row>
    <row r="1172" spans="1:11">
      <c r="A1172" s="23" t="e">
        <f>IF(Sheet2!#REF!&lt;&gt;"",Sheet2!#REF!,"")</f>
        <v>#REF!</v>
      </c>
      <c r="B1172" s="33" t="e">
        <f>IF(Sheet2!#REF!&lt;&gt;"",Sheet2!#REF!,"")</f>
        <v>#REF!</v>
      </c>
      <c r="C1172" s="34" t="e">
        <f>IF(Sheet2!#REF!&lt;&gt;"",Sheet2!#REF!,"")</f>
        <v>#REF!</v>
      </c>
      <c r="D1172" s="35" t="str">
        <f t="shared" ca="1" si="38"/>
        <v/>
      </c>
      <c r="E1172" s="3"/>
      <c r="F1172" s="3"/>
      <c r="G1172" s="3"/>
      <c r="H1172" s="3"/>
      <c r="K1172" t="str">
        <f t="shared" ca="1" si="39"/>
        <v/>
      </c>
    </row>
    <row r="1173" spans="1:11">
      <c r="A1173" s="23" t="e">
        <f>IF(Sheet2!#REF!&lt;&gt;"",Sheet2!#REF!,"")</f>
        <v>#REF!</v>
      </c>
      <c r="B1173" s="33" t="e">
        <f>IF(Sheet2!#REF!&lt;&gt;"",Sheet2!#REF!,"")</f>
        <v>#REF!</v>
      </c>
      <c r="C1173" s="34" t="e">
        <f>IF(Sheet2!#REF!&lt;&gt;"",Sheet2!#REF!,"")</f>
        <v>#REF!</v>
      </c>
      <c r="D1173" s="35" t="str">
        <f t="shared" ca="1" si="38"/>
        <v/>
      </c>
      <c r="E1173" s="3"/>
      <c r="F1173" s="3"/>
      <c r="G1173" s="3"/>
      <c r="H1173" s="3"/>
      <c r="K1173" t="str">
        <f t="shared" ca="1" si="39"/>
        <v/>
      </c>
    </row>
    <row r="1174" spans="1:11">
      <c r="A1174" s="23" t="e">
        <f>IF(Sheet2!#REF!&lt;&gt;"",Sheet2!#REF!,"")</f>
        <v>#REF!</v>
      </c>
      <c r="B1174" s="33" t="e">
        <f>IF(Sheet2!#REF!&lt;&gt;"",Sheet2!#REF!,"")</f>
        <v>#REF!</v>
      </c>
      <c r="C1174" s="34" t="e">
        <f>IF(Sheet2!#REF!&lt;&gt;"",Sheet2!#REF!,"")</f>
        <v>#REF!</v>
      </c>
      <c r="D1174" s="35" t="str">
        <f t="shared" ca="1" si="38"/>
        <v/>
      </c>
      <c r="E1174" s="3"/>
      <c r="F1174" s="3"/>
      <c r="G1174" s="3"/>
      <c r="H1174" s="3"/>
      <c r="K1174" t="str">
        <f t="shared" ca="1" si="39"/>
        <v/>
      </c>
    </row>
    <row r="1175" spans="1:11">
      <c r="A1175" s="23" t="e">
        <f>IF(Sheet2!#REF!&lt;&gt;"",Sheet2!#REF!,"")</f>
        <v>#REF!</v>
      </c>
      <c r="B1175" s="33" t="e">
        <f>IF(Sheet2!#REF!&lt;&gt;"",Sheet2!#REF!,"")</f>
        <v>#REF!</v>
      </c>
      <c r="C1175" s="34" t="e">
        <f>IF(Sheet2!#REF!&lt;&gt;"",Sheet2!#REF!,"")</f>
        <v>#REF!</v>
      </c>
      <c r="D1175" s="35" t="str">
        <f t="shared" ca="1" si="38"/>
        <v/>
      </c>
      <c r="E1175" s="3"/>
      <c r="F1175" s="3"/>
      <c r="G1175" s="3"/>
      <c r="H1175" s="3"/>
      <c r="K1175" t="str">
        <f t="shared" ca="1" si="39"/>
        <v/>
      </c>
    </row>
    <row r="1176" spans="1:11">
      <c r="A1176" s="23" t="e">
        <f>IF(Sheet2!#REF!&lt;&gt;"",Sheet2!#REF!,"")</f>
        <v>#REF!</v>
      </c>
      <c r="B1176" s="33" t="e">
        <f>IF(Sheet2!#REF!&lt;&gt;"",Sheet2!#REF!,"")</f>
        <v>#REF!</v>
      </c>
      <c r="C1176" s="34" t="e">
        <f>IF(Sheet2!#REF!&lt;&gt;"",Sheet2!#REF!,"")</f>
        <v>#REF!</v>
      </c>
      <c r="D1176" s="35" t="str">
        <f t="shared" ca="1" si="38"/>
        <v/>
      </c>
      <c r="E1176" s="3"/>
      <c r="F1176" s="3"/>
      <c r="G1176" s="3"/>
      <c r="H1176" s="3"/>
      <c r="K1176" t="str">
        <f t="shared" ca="1" si="39"/>
        <v/>
      </c>
    </row>
    <row r="1177" spans="1:11">
      <c r="A1177" s="23" t="e">
        <f>IF(Sheet2!#REF!&lt;&gt;"",Sheet2!#REF!,"")</f>
        <v>#REF!</v>
      </c>
      <c r="B1177" s="33" t="e">
        <f>IF(Sheet2!#REF!&lt;&gt;"",Sheet2!#REF!,"")</f>
        <v>#REF!</v>
      </c>
      <c r="C1177" s="34" t="e">
        <f>IF(Sheet2!#REF!&lt;&gt;"",Sheet2!#REF!,"")</f>
        <v>#REF!</v>
      </c>
      <c r="D1177" s="35" t="str">
        <f t="shared" ca="1" si="38"/>
        <v/>
      </c>
      <c r="E1177" s="3"/>
      <c r="F1177" s="3"/>
      <c r="G1177" s="3"/>
      <c r="H1177" s="3"/>
      <c r="K1177" t="str">
        <f t="shared" ca="1" si="39"/>
        <v/>
      </c>
    </row>
    <row r="1178" spans="1:11">
      <c r="A1178" s="23" t="e">
        <f>IF(Sheet2!#REF!&lt;&gt;"",Sheet2!#REF!,"")</f>
        <v>#REF!</v>
      </c>
      <c r="B1178" s="33" t="e">
        <f>IF(Sheet2!#REF!&lt;&gt;"",Sheet2!#REF!,"")</f>
        <v>#REF!</v>
      </c>
      <c r="C1178" s="34" t="e">
        <f>IF(Sheet2!#REF!&lt;&gt;"",Sheet2!#REF!,"")</f>
        <v>#REF!</v>
      </c>
      <c r="D1178" s="35" t="str">
        <f t="shared" ca="1" si="38"/>
        <v/>
      </c>
      <c r="E1178" s="3"/>
      <c r="F1178" s="3"/>
      <c r="G1178" s="3"/>
      <c r="H1178" s="3"/>
      <c r="K1178" t="str">
        <f t="shared" ca="1" si="39"/>
        <v/>
      </c>
    </row>
    <row r="1179" spans="1:11">
      <c r="A1179" s="23" t="e">
        <f>IF(Sheet2!#REF!&lt;&gt;"",Sheet2!#REF!,"")</f>
        <v>#REF!</v>
      </c>
      <c r="B1179" s="33" t="e">
        <f>IF(Sheet2!#REF!&lt;&gt;"",Sheet2!#REF!,"")</f>
        <v>#REF!</v>
      </c>
      <c r="C1179" s="34" t="e">
        <f>IF(Sheet2!#REF!&lt;&gt;"",Sheet2!#REF!,"")</f>
        <v>#REF!</v>
      </c>
      <c r="D1179" s="35" t="str">
        <f t="shared" ca="1" si="38"/>
        <v/>
      </c>
      <c r="E1179" s="3"/>
      <c r="F1179" s="3"/>
      <c r="G1179" s="3"/>
      <c r="H1179" s="3"/>
      <c r="K1179" t="str">
        <f t="shared" ca="1" si="39"/>
        <v/>
      </c>
    </row>
    <row r="1180" spans="1:11">
      <c r="A1180" s="23" t="e">
        <f>IF(Sheet2!#REF!&lt;&gt;"",Sheet2!#REF!,"")</f>
        <v>#REF!</v>
      </c>
      <c r="B1180" s="33" t="e">
        <f>IF(Sheet2!#REF!&lt;&gt;"",Sheet2!#REF!,"")</f>
        <v>#REF!</v>
      </c>
      <c r="C1180" s="34" t="e">
        <f>IF(Sheet2!#REF!&lt;&gt;"",Sheet2!#REF!,"")</f>
        <v>#REF!</v>
      </c>
      <c r="D1180" s="35" t="str">
        <f t="shared" ca="1" si="38"/>
        <v/>
      </c>
      <c r="E1180" s="3"/>
      <c r="F1180" s="3"/>
      <c r="G1180" s="3"/>
      <c r="H1180" s="3"/>
      <c r="K1180" t="str">
        <f t="shared" ca="1" si="39"/>
        <v/>
      </c>
    </row>
    <row r="1181" spans="1:11">
      <c r="A1181" s="23" t="e">
        <f>IF(Sheet2!#REF!&lt;&gt;"",Sheet2!#REF!,"")</f>
        <v>#REF!</v>
      </c>
      <c r="B1181" s="33" t="e">
        <f>IF(Sheet2!#REF!&lt;&gt;"",Sheet2!#REF!,"")</f>
        <v>#REF!</v>
      </c>
      <c r="C1181" s="34" t="e">
        <f>IF(Sheet2!#REF!&lt;&gt;"",Sheet2!#REF!,"")</f>
        <v>#REF!</v>
      </c>
      <c r="D1181" s="35" t="str">
        <f t="shared" ca="1" si="38"/>
        <v/>
      </c>
      <c r="E1181" s="3"/>
      <c r="F1181" s="3"/>
      <c r="G1181" s="3"/>
      <c r="H1181" s="3"/>
      <c r="K1181" t="str">
        <f t="shared" ca="1" si="39"/>
        <v/>
      </c>
    </row>
    <row r="1182" spans="1:11">
      <c r="A1182" s="23" t="e">
        <f>IF(Sheet2!#REF!&lt;&gt;"",Sheet2!#REF!,"")</f>
        <v>#REF!</v>
      </c>
      <c r="B1182" s="33" t="e">
        <f>IF(Sheet2!#REF!&lt;&gt;"",Sheet2!#REF!,"")</f>
        <v>#REF!</v>
      </c>
      <c r="C1182" s="34" t="e">
        <f>IF(Sheet2!#REF!&lt;&gt;"",Sheet2!#REF!,"")</f>
        <v>#REF!</v>
      </c>
      <c r="D1182" s="35" t="str">
        <f t="shared" ca="1" si="38"/>
        <v/>
      </c>
      <c r="E1182" s="3"/>
      <c r="F1182" s="3"/>
      <c r="G1182" s="3"/>
      <c r="H1182" s="3"/>
      <c r="K1182" t="str">
        <f t="shared" ca="1" si="39"/>
        <v/>
      </c>
    </row>
    <row r="1183" spans="1:11">
      <c r="A1183" s="23" t="e">
        <f>IF(Sheet2!#REF!&lt;&gt;"",Sheet2!#REF!,"")</f>
        <v>#REF!</v>
      </c>
      <c r="B1183" s="33" t="e">
        <f>IF(Sheet2!#REF!&lt;&gt;"",Sheet2!#REF!,"")</f>
        <v>#REF!</v>
      </c>
      <c r="C1183" s="34" t="e">
        <f>IF(Sheet2!#REF!&lt;&gt;"",Sheet2!#REF!,"")</f>
        <v>#REF!</v>
      </c>
      <c r="D1183" s="35" t="str">
        <f t="shared" ca="1" si="38"/>
        <v/>
      </c>
      <c r="E1183" s="3"/>
      <c r="F1183" s="3"/>
      <c r="G1183" s="3"/>
      <c r="H1183" s="3"/>
      <c r="K1183" t="str">
        <f t="shared" ca="1" si="39"/>
        <v/>
      </c>
    </row>
    <row r="1184" spans="1:11">
      <c r="A1184" s="23" t="e">
        <f>IF(Sheet2!#REF!&lt;&gt;"",Sheet2!#REF!,"")</f>
        <v>#REF!</v>
      </c>
      <c r="B1184" s="33" t="e">
        <f>IF(Sheet2!#REF!&lt;&gt;"",Sheet2!#REF!,"")</f>
        <v>#REF!</v>
      </c>
      <c r="C1184" s="34" t="e">
        <f>IF(Sheet2!#REF!&lt;&gt;"",Sheet2!#REF!,"")</f>
        <v>#REF!</v>
      </c>
      <c r="D1184" s="35" t="str">
        <f t="shared" ca="1" si="38"/>
        <v/>
      </c>
      <c r="E1184" s="3"/>
      <c r="F1184" s="3"/>
      <c r="G1184" s="3"/>
      <c r="H1184" s="3"/>
      <c r="K1184" t="str">
        <f t="shared" ca="1" si="39"/>
        <v/>
      </c>
    </row>
    <row r="1185" spans="1:11">
      <c r="A1185" s="23" t="e">
        <f>IF(Sheet2!#REF!&lt;&gt;"",Sheet2!#REF!,"")</f>
        <v>#REF!</v>
      </c>
      <c r="B1185" s="33" t="e">
        <f>IF(Sheet2!#REF!&lt;&gt;"",Sheet2!#REF!,"")</f>
        <v>#REF!</v>
      </c>
      <c r="C1185" s="34" t="e">
        <f>IF(Sheet2!#REF!&lt;&gt;"",Sheet2!#REF!,"")</f>
        <v>#REF!</v>
      </c>
      <c r="D1185" s="35" t="str">
        <f t="shared" ca="1" si="38"/>
        <v/>
      </c>
      <c r="E1185" s="3"/>
      <c r="F1185" s="3"/>
      <c r="G1185" s="3"/>
      <c r="H1185" s="3"/>
      <c r="K1185" t="str">
        <f t="shared" ca="1" si="39"/>
        <v/>
      </c>
    </row>
    <row r="1186" spans="1:11">
      <c r="A1186" s="23" t="e">
        <f>IF(Sheet2!#REF!&lt;&gt;"",Sheet2!#REF!,"")</f>
        <v>#REF!</v>
      </c>
      <c r="B1186" s="33" t="e">
        <f>IF(Sheet2!#REF!&lt;&gt;"",Sheet2!#REF!,"")</f>
        <v>#REF!</v>
      </c>
      <c r="C1186" s="34" t="e">
        <f>IF(Sheet2!#REF!&lt;&gt;"",Sheet2!#REF!,"")</f>
        <v>#REF!</v>
      </c>
      <c r="D1186" s="35" t="str">
        <f t="shared" ca="1" si="38"/>
        <v/>
      </c>
      <c r="E1186" s="3"/>
      <c r="F1186" s="3"/>
      <c r="G1186" s="3"/>
      <c r="H1186" s="3"/>
      <c r="K1186" t="str">
        <f t="shared" ca="1" si="39"/>
        <v/>
      </c>
    </row>
    <row r="1187" spans="1:11">
      <c r="A1187" s="23" t="e">
        <f>IF(Sheet2!#REF!&lt;&gt;"",Sheet2!#REF!,"")</f>
        <v>#REF!</v>
      </c>
      <c r="B1187" s="33" t="e">
        <f>IF(Sheet2!#REF!&lt;&gt;"",Sheet2!#REF!,"")</f>
        <v>#REF!</v>
      </c>
      <c r="C1187" s="34" t="e">
        <f>IF(Sheet2!#REF!&lt;&gt;"",Sheet2!#REF!,"")</f>
        <v>#REF!</v>
      </c>
      <c r="D1187" s="35" t="str">
        <f t="shared" ca="1" si="38"/>
        <v/>
      </c>
      <c r="E1187" s="3"/>
      <c r="F1187" s="3"/>
      <c r="G1187" s="3"/>
      <c r="H1187" s="3"/>
      <c r="K1187" t="str">
        <f t="shared" ca="1" si="39"/>
        <v/>
      </c>
    </row>
    <row r="1188" spans="1:11">
      <c r="A1188" s="23" t="e">
        <f>IF(Sheet2!#REF!&lt;&gt;"",Sheet2!#REF!,"")</f>
        <v>#REF!</v>
      </c>
      <c r="B1188" s="33" t="e">
        <f>IF(Sheet2!#REF!&lt;&gt;"",Sheet2!#REF!,"")</f>
        <v>#REF!</v>
      </c>
      <c r="C1188" s="34" t="e">
        <f>IF(Sheet2!#REF!&lt;&gt;"",Sheet2!#REF!,"")</f>
        <v>#REF!</v>
      </c>
      <c r="D1188" s="35" t="str">
        <f t="shared" ca="1" si="38"/>
        <v/>
      </c>
      <c r="E1188" s="3"/>
      <c r="F1188" s="3"/>
      <c r="G1188" s="3"/>
      <c r="H1188" s="3"/>
      <c r="K1188" t="str">
        <f t="shared" ca="1" si="39"/>
        <v/>
      </c>
    </row>
    <row r="1189" spans="1:11">
      <c r="A1189" s="23" t="e">
        <f>IF(Sheet2!#REF!&lt;&gt;"",Sheet2!#REF!,"")</f>
        <v>#REF!</v>
      </c>
      <c r="B1189" s="33" t="e">
        <f>IF(Sheet2!#REF!&lt;&gt;"",Sheet2!#REF!,"")</f>
        <v>#REF!</v>
      </c>
      <c r="C1189" s="34" t="e">
        <f>IF(Sheet2!#REF!&lt;&gt;"",Sheet2!#REF!,"")</f>
        <v>#REF!</v>
      </c>
      <c r="D1189" s="35" t="str">
        <f t="shared" ca="1" si="38"/>
        <v/>
      </c>
      <c r="E1189" s="3"/>
      <c r="F1189" s="3"/>
      <c r="G1189" s="3"/>
      <c r="H1189" s="3"/>
      <c r="K1189" t="str">
        <f t="shared" ca="1" si="39"/>
        <v/>
      </c>
    </row>
    <row r="1190" spans="1:11">
      <c r="A1190" s="23" t="e">
        <f>IF(Sheet2!#REF!&lt;&gt;"",Sheet2!#REF!,"")</f>
        <v>#REF!</v>
      </c>
      <c r="B1190" s="33" t="e">
        <f>IF(Sheet2!#REF!&lt;&gt;"",Sheet2!#REF!,"")</f>
        <v>#REF!</v>
      </c>
      <c r="C1190" s="34" t="e">
        <f>IF(Sheet2!#REF!&lt;&gt;"",Sheet2!#REF!,"")</f>
        <v>#REF!</v>
      </c>
      <c r="D1190" s="35" t="str">
        <f t="shared" ca="1" si="38"/>
        <v/>
      </c>
      <c r="E1190" s="3"/>
      <c r="F1190" s="3"/>
      <c r="G1190" s="3"/>
      <c r="H1190" s="3"/>
      <c r="K1190" t="str">
        <f t="shared" ca="1" si="39"/>
        <v/>
      </c>
    </row>
    <row r="1191" spans="1:11">
      <c r="A1191" s="23" t="e">
        <f>IF(Sheet2!#REF!&lt;&gt;"",Sheet2!#REF!,"")</f>
        <v>#REF!</v>
      </c>
      <c r="B1191" s="33" t="e">
        <f>IF(Sheet2!#REF!&lt;&gt;"",Sheet2!#REF!,"")</f>
        <v>#REF!</v>
      </c>
      <c r="C1191" s="34" t="e">
        <f>IF(Sheet2!#REF!&lt;&gt;"",Sheet2!#REF!,"")</f>
        <v>#REF!</v>
      </c>
      <c r="D1191" s="35" t="str">
        <f t="shared" ca="1" si="38"/>
        <v/>
      </c>
      <c r="E1191" s="3"/>
      <c r="F1191" s="3"/>
      <c r="G1191" s="3"/>
      <c r="H1191" s="3"/>
      <c r="K1191" t="str">
        <f t="shared" ca="1" si="39"/>
        <v/>
      </c>
    </row>
    <row r="1192" spans="1:11">
      <c r="A1192" s="23" t="e">
        <f>IF(Sheet2!#REF!&lt;&gt;"",Sheet2!#REF!,"")</f>
        <v>#REF!</v>
      </c>
      <c r="B1192" s="33" t="e">
        <f>IF(Sheet2!#REF!&lt;&gt;"",Sheet2!#REF!,"")</f>
        <v>#REF!</v>
      </c>
      <c r="C1192" s="34" t="e">
        <f>IF(Sheet2!#REF!&lt;&gt;"",Sheet2!#REF!,"")</f>
        <v>#REF!</v>
      </c>
      <c r="D1192" s="35" t="str">
        <f t="shared" ca="1" si="38"/>
        <v/>
      </c>
      <c r="E1192" s="3"/>
      <c r="F1192" s="3"/>
      <c r="G1192" s="3"/>
      <c r="H1192" s="3"/>
      <c r="K1192" t="str">
        <f t="shared" ca="1" si="39"/>
        <v/>
      </c>
    </row>
    <row r="1193" spans="1:11">
      <c r="A1193" s="23" t="e">
        <f>IF(Sheet2!#REF!&lt;&gt;"",Sheet2!#REF!,"")</f>
        <v>#REF!</v>
      </c>
      <c r="B1193" s="33" t="e">
        <f>IF(Sheet2!#REF!&lt;&gt;"",Sheet2!#REF!,"")</f>
        <v>#REF!</v>
      </c>
      <c r="C1193" s="34" t="e">
        <f>IF(Sheet2!#REF!&lt;&gt;"",Sheet2!#REF!,"")</f>
        <v>#REF!</v>
      </c>
      <c r="D1193" s="35" t="str">
        <f t="shared" ca="1" si="38"/>
        <v/>
      </c>
      <c r="E1193" s="3"/>
      <c r="F1193" s="3"/>
      <c r="G1193" s="3"/>
      <c r="H1193" s="3"/>
      <c r="K1193" t="str">
        <f t="shared" ca="1" si="39"/>
        <v/>
      </c>
    </row>
    <row r="1194" spans="1:11">
      <c r="A1194" s="23" t="e">
        <f>IF(Sheet2!#REF!&lt;&gt;"",Sheet2!#REF!,"")</f>
        <v>#REF!</v>
      </c>
      <c r="B1194" s="33" t="e">
        <f>IF(Sheet2!#REF!&lt;&gt;"",Sheet2!#REF!,"")</f>
        <v>#REF!</v>
      </c>
      <c r="C1194" s="34" t="e">
        <f>IF(Sheet2!#REF!&lt;&gt;"",Sheet2!#REF!,"")</f>
        <v>#REF!</v>
      </c>
      <c r="D1194" s="35" t="str">
        <f t="shared" ca="1" si="38"/>
        <v/>
      </c>
      <c r="E1194" s="3"/>
      <c r="F1194" s="3"/>
      <c r="G1194" s="3"/>
      <c r="H1194" s="3"/>
      <c r="K1194" t="str">
        <f t="shared" ca="1" si="39"/>
        <v/>
      </c>
    </row>
    <row r="1195" spans="1:11">
      <c r="A1195" s="23" t="e">
        <f>IF(Sheet2!#REF!&lt;&gt;"",Sheet2!#REF!,"")</f>
        <v>#REF!</v>
      </c>
      <c r="B1195" s="33" t="e">
        <f>IF(Sheet2!#REF!&lt;&gt;"",Sheet2!#REF!,"")</f>
        <v>#REF!</v>
      </c>
      <c r="C1195" s="34" t="e">
        <f>IF(Sheet2!#REF!&lt;&gt;"",Sheet2!#REF!,"")</f>
        <v>#REF!</v>
      </c>
      <c r="D1195" s="35" t="str">
        <f t="shared" ca="1" si="38"/>
        <v/>
      </c>
      <c r="E1195" s="3"/>
      <c r="F1195" s="3"/>
      <c r="G1195" s="3"/>
      <c r="H1195" s="3"/>
      <c r="K1195" t="str">
        <f t="shared" ca="1" si="39"/>
        <v/>
      </c>
    </row>
    <row r="1196" spans="1:11">
      <c r="A1196" s="23" t="e">
        <f>IF(Sheet2!#REF!&lt;&gt;"",Sheet2!#REF!,"")</f>
        <v>#REF!</v>
      </c>
      <c r="B1196" s="33" t="e">
        <f>IF(Sheet2!#REF!&lt;&gt;"",Sheet2!#REF!,"")</f>
        <v>#REF!</v>
      </c>
      <c r="C1196" s="34" t="e">
        <f>IF(Sheet2!#REF!&lt;&gt;"",Sheet2!#REF!,"")</f>
        <v>#REF!</v>
      </c>
      <c r="D1196" s="35" t="str">
        <f t="shared" ca="1" si="38"/>
        <v/>
      </c>
      <c r="E1196" s="3"/>
      <c r="F1196" s="3"/>
      <c r="G1196" s="3"/>
      <c r="H1196" s="3"/>
      <c r="K1196" t="str">
        <f t="shared" ca="1" si="39"/>
        <v/>
      </c>
    </row>
    <row r="1197" spans="1:11">
      <c r="A1197" s="23" t="e">
        <f>IF(Sheet2!#REF!&lt;&gt;"",Sheet2!#REF!,"")</f>
        <v>#REF!</v>
      </c>
      <c r="B1197" s="33" t="e">
        <f>IF(Sheet2!#REF!&lt;&gt;"",Sheet2!#REF!,"")</f>
        <v>#REF!</v>
      </c>
      <c r="C1197" s="34" t="e">
        <f>IF(Sheet2!#REF!&lt;&gt;"",Sheet2!#REF!,"")</f>
        <v>#REF!</v>
      </c>
      <c r="D1197" s="35" t="str">
        <f t="shared" ca="1" si="38"/>
        <v/>
      </c>
      <c r="E1197" s="3"/>
      <c r="F1197" s="3"/>
      <c r="G1197" s="3"/>
      <c r="H1197" s="3"/>
      <c r="K1197" t="str">
        <f t="shared" ca="1" si="39"/>
        <v/>
      </c>
    </row>
    <row r="1198" spans="1:11">
      <c r="A1198" s="23" t="e">
        <f>IF(Sheet2!#REF!&lt;&gt;"",Sheet2!#REF!,"")</f>
        <v>#REF!</v>
      </c>
      <c r="B1198" s="33" t="e">
        <f>IF(Sheet2!#REF!&lt;&gt;"",Sheet2!#REF!,"")</f>
        <v>#REF!</v>
      </c>
      <c r="C1198" s="34" t="e">
        <f>IF(Sheet2!#REF!&lt;&gt;"",Sheet2!#REF!,"")</f>
        <v>#REF!</v>
      </c>
      <c r="D1198" s="35" t="str">
        <f t="shared" ca="1" si="38"/>
        <v/>
      </c>
      <c r="E1198" s="3"/>
      <c r="F1198" s="3"/>
      <c r="G1198" s="3"/>
      <c r="H1198" s="3"/>
      <c r="K1198" t="str">
        <f t="shared" ca="1" si="39"/>
        <v/>
      </c>
    </row>
    <row r="1199" spans="1:11">
      <c r="A1199" s="23" t="e">
        <f>IF(Sheet2!#REF!&lt;&gt;"",Sheet2!#REF!,"")</f>
        <v>#REF!</v>
      </c>
      <c r="B1199" s="33" t="e">
        <f>IF(Sheet2!#REF!&lt;&gt;"",Sheet2!#REF!,"")</f>
        <v>#REF!</v>
      </c>
      <c r="C1199" s="34" t="e">
        <f>IF(Sheet2!#REF!&lt;&gt;"",Sheet2!#REF!,"")</f>
        <v>#REF!</v>
      </c>
      <c r="D1199" s="35" t="str">
        <f t="shared" ca="1" si="38"/>
        <v/>
      </c>
      <c r="E1199" s="3"/>
      <c r="F1199" s="3"/>
      <c r="G1199" s="3"/>
      <c r="H1199" s="3"/>
      <c r="K1199" t="str">
        <f t="shared" ca="1" si="39"/>
        <v/>
      </c>
    </row>
    <row r="1200" spans="1:11">
      <c r="A1200" s="23" t="e">
        <f>IF(Sheet2!#REF!&lt;&gt;"",Sheet2!#REF!,"")</f>
        <v>#REF!</v>
      </c>
      <c r="B1200" s="33" t="e">
        <f>IF(Sheet2!#REF!&lt;&gt;"",Sheet2!#REF!,"")</f>
        <v>#REF!</v>
      </c>
      <c r="C1200" s="34" t="e">
        <f>IF(Sheet2!#REF!&lt;&gt;"",Sheet2!#REF!,"")</f>
        <v>#REF!</v>
      </c>
      <c r="D1200" s="35" t="str">
        <f t="shared" ca="1" si="38"/>
        <v/>
      </c>
      <c r="E1200" s="3"/>
      <c r="F1200" s="3"/>
      <c r="G1200" s="3"/>
      <c r="H1200" s="3"/>
      <c r="K1200" t="str">
        <f t="shared" ca="1" si="39"/>
        <v/>
      </c>
    </row>
    <row r="1201" spans="1:11">
      <c r="A1201" s="23" t="e">
        <f>IF(Sheet2!#REF!&lt;&gt;"",Sheet2!#REF!,"")</f>
        <v>#REF!</v>
      </c>
      <c r="B1201" s="33" t="e">
        <f>IF(Sheet2!#REF!&lt;&gt;"",Sheet2!#REF!,"")</f>
        <v>#REF!</v>
      </c>
      <c r="C1201" s="34" t="e">
        <f>IF(Sheet2!#REF!&lt;&gt;"",Sheet2!#REF!,"")</f>
        <v>#REF!</v>
      </c>
      <c r="D1201" s="35" t="str">
        <f t="shared" ca="1" si="38"/>
        <v/>
      </c>
      <c r="E1201" s="3"/>
      <c r="F1201" s="3"/>
      <c r="G1201" s="3"/>
      <c r="H1201" s="3"/>
      <c r="K1201" t="str">
        <f t="shared" ca="1" si="39"/>
        <v/>
      </c>
    </row>
    <row r="1202" spans="1:11">
      <c r="A1202" s="23" t="e">
        <f>IF(Sheet2!#REF!&lt;&gt;"",Sheet2!#REF!,"")</f>
        <v>#REF!</v>
      </c>
      <c r="B1202" s="33" t="e">
        <f>IF(Sheet2!#REF!&lt;&gt;"",Sheet2!#REF!,"")</f>
        <v>#REF!</v>
      </c>
      <c r="C1202" s="34" t="e">
        <f>IF(Sheet2!#REF!&lt;&gt;"",Sheet2!#REF!,"")</f>
        <v>#REF!</v>
      </c>
      <c r="D1202" s="35" t="str">
        <f t="shared" ca="1" si="38"/>
        <v/>
      </c>
      <c r="E1202" s="3"/>
      <c r="F1202" s="3"/>
      <c r="G1202" s="3"/>
      <c r="H1202" s="3"/>
      <c r="K1202" t="str">
        <f t="shared" ca="1" si="39"/>
        <v/>
      </c>
    </row>
    <row r="1203" spans="1:11">
      <c r="A1203" s="23" t="e">
        <f>IF(Sheet2!#REF!&lt;&gt;"",Sheet2!#REF!,"")</f>
        <v>#REF!</v>
      </c>
      <c r="B1203" s="33" t="e">
        <f>IF(Sheet2!#REF!&lt;&gt;"",Sheet2!#REF!,"")</f>
        <v>#REF!</v>
      </c>
      <c r="C1203" s="34" t="e">
        <f>IF(Sheet2!#REF!&lt;&gt;"",Sheet2!#REF!,"")</f>
        <v>#REF!</v>
      </c>
      <c r="D1203" s="35" t="str">
        <f t="shared" ca="1" si="38"/>
        <v/>
      </c>
      <c r="E1203" s="3"/>
      <c r="F1203" s="3"/>
      <c r="G1203" s="3"/>
      <c r="H1203" s="3"/>
      <c r="K1203" t="str">
        <f t="shared" ca="1" si="39"/>
        <v/>
      </c>
    </row>
    <row r="1204" spans="1:11">
      <c r="A1204" s="23" t="e">
        <f>IF(Sheet2!#REF!&lt;&gt;"",Sheet2!#REF!,"")</f>
        <v>#REF!</v>
      </c>
      <c r="B1204" s="33" t="e">
        <f>IF(Sheet2!#REF!&lt;&gt;"",Sheet2!#REF!,"")</f>
        <v>#REF!</v>
      </c>
      <c r="C1204" s="34" t="e">
        <f>IF(Sheet2!#REF!&lt;&gt;"",Sheet2!#REF!,"")</f>
        <v>#REF!</v>
      </c>
      <c r="D1204" s="35" t="str">
        <f t="shared" ca="1" si="38"/>
        <v/>
      </c>
      <c r="E1204" s="3"/>
      <c r="F1204" s="3"/>
      <c r="G1204" s="3"/>
      <c r="H1204" s="3"/>
      <c r="K1204" t="str">
        <f t="shared" ca="1" si="39"/>
        <v/>
      </c>
    </row>
    <row r="1205" spans="1:11">
      <c r="A1205" s="23" t="e">
        <f>IF(Sheet2!#REF!&lt;&gt;"",Sheet2!#REF!,"")</f>
        <v>#REF!</v>
      </c>
      <c r="B1205" s="33" t="e">
        <f>IF(Sheet2!#REF!&lt;&gt;"",Sheet2!#REF!,"")</f>
        <v>#REF!</v>
      </c>
      <c r="C1205" s="34" t="e">
        <f>IF(Sheet2!#REF!&lt;&gt;"",Sheet2!#REF!,"")</f>
        <v>#REF!</v>
      </c>
      <c r="D1205" s="35" t="str">
        <f t="shared" ca="1" si="38"/>
        <v/>
      </c>
      <c r="E1205" s="3"/>
      <c r="F1205" s="3"/>
      <c r="G1205" s="3"/>
      <c r="H1205" s="3"/>
      <c r="K1205" t="str">
        <f t="shared" ca="1" si="39"/>
        <v/>
      </c>
    </row>
    <row r="1206" spans="1:11">
      <c r="A1206" s="23" t="e">
        <f>IF(Sheet2!#REF!&lt;&gt;"",Sheet2!#REF!,"")</f>
        <v>#REF!</v>
      </c>
      <c r="B1206" s="33" t="e">
        <f>IF(Sheet2!#REF!&lt;&gt;"",Sheet2!#REF!,"")</f>
        <v>#REF!</v>
      </c>
      <c r="C1206" s="34" t="e">
        <f>IF(Sheet2!#REF!&lt;&gt;"",Sheet2!#REF!,"")</f>
        <v>#REF!</v>
      </c>
      <c r="D1206" s="35" t="str">
        <f t="shared" ca="1" si="38"/>
        <v/>
      </c>
      <c r="E1206" s="3"/>
      <c r="F1206" s="3"/>
      <c r="G1206" s="3"/>
      <c r="H1206" s="3"/>
      <c r="K1206" t="str">
        <f t="shared" ca="1" si="39"/>
        <v/>
      </c>
    </row>
    <row r="1207" spans="1:11">
      <c r="A1207" s="23" t="e">
        <f>IF(Sheet2!#REF!&lt;&gt;"",Sheet2!#REF!,"")</f>
        <v>#REF!</v>
      </c>
      <c r="B1207" s="33" t="e">
        <f>IF(Sheet2!#REF!&lt;&gt;"",Sheet2!#REF!,"")</f>
        <v>#REF!</v>
      </c>
      <c r="C1207" s="34" t="e">
        <f>IF(Sheet2!#REF!&lt;&gt;"",Sheet2!#REF!,"")</f>
        <v>#REF!</v>
      </c>
      <c r="D1207" s="35" t="str">
        <f t="shared" ca="1" si="38"/>
        <v/>
      </c>
      <c r="E1207" s="3"/>
      <c r="F1207" s="3"/>
      <c r="G1207" s="3"/>
      <c r="H1207" s="3"/>
      <c r="K1207" t="str">
        <f t="shared" ca="1" si="39"/>
        <v/>
      </c>
    </row>
    <row r="1208" spans="1:11">
      <c r="A1208" s="23" t="e">
        <f>IF(Sheet2!#REF!&lt;&gt;"",Sheet2!#REF!,"")</f>
        <v>#REF!</v>
      </c>
      <c r="B1208" s="33" t="e">
        <f>IF(Sheet2!#REF!&lt;&gt;"",Sheet2!#REF!,"")</f>
        <v>#REF!</v>
      </c>
      <c r="C1208" s="34" t="e">
        <f>IF(Sheet2!#REF!&lt;&gt;"",Sheet2!#REF!,"")</f>
        <v>#REF!</v>
      </c>
      <c r="D1208" s="35" t="str">
        <f t="shared" ca="1" si="38"/>
        <v/>
      </c>
      <c r="E1208" s="3"/>
      <c r="F1208" s="3"/>
      <c r="G1208" s="3"/>
      <c r="H1208" s="3"/>
      <c r="K1208" t="str">
        <f t="shared" ca="1" si="39"/>
        <v/>
      </c>
    </row>
    <row r="1209" spans="1:11">
      <c r="A1209" s="23" t="e">
        <f>IF(Sheet2!#REF!&lt;&gt;"",Sheet2!#REF!,"")</f>
        <v>#REF!</v>
      </c>
      <c r="B1209" s="33" t="e">
        <f>IF(Sheet2!#REF!&lt;&gt;"",Sheet2!#REF!,"")</f>
        <v>#REF!</v>
      </c>
      <c r="C1209" s="34" t="e">
        <f>IF(Sheet2!#REF!&lt;&gt;"",Sheet2!#REF!,"")</f>
        <v>#REF!</v>
      </c>
      <c r="D1209" s="35" t="str">
        <f t="shared" ca="1" si="38"/>
        <v/>
      </c>
      <c r="E1209" s="3"/>
      <c r="F1209" s="3"/>
      <c r="G1209" s="3"/>
      <c r="H1209" s="3"/>
      <c r="K1209" t="str">
        <f t="shared" ca="1" si="39"/>
        <v/>
      </c>
    </row>
    <row r="1210" spans="1:11">
      <c r="A1210" s="23" t="e">
        <f>IF(Sheet2!#REF!&lt;&gt;"",Sheet2!#REF!,"")</f>
        <v>#REF!</v>
      </c>
      <c r="B1210" s="33" t="e">
        <f>IF(Sheet2!#REF!&lt;&gt;"",Sheet2!#REF!,"")</f>
        <v>#REF!</v>
      </c>
      <c r="C1210" s="34" t="e">
        <f>IF(Sheet2!#REF!&lt;&gt;"",Sheet2!#REF!,"")</f>
        <v>#REF!</v>
      </c>
      <c r="D1210" s="35" t="str">
        <f t="shared" ca="1" si="38"/>
        <v/>
      </c>
      <c r="E1210" s="3"/>
      <c r="F1210" s="3"/>
      <c r="G1210" s="3"/>
      <c r="H1210" s="3"/>
      <c r="K1210" t="str">
        <f t="shared" ca="1" si="39"/>
        <v/>
      </c>
    </row>
    <row r="1211" spans="1:11">
      <c r="A1211" s="23" t="e">
        <f>IF(Sheet2!#REF!&lt;&gt;"",Sheet2!#REF!,"")</f>
        <v>#REF!</v>
      </c>
      <c r="B1211" s="33" t="e">
        <f>IF(Sheet2!#REF!&lt;&gt;"",Sheet2!#REF!,"")</f>
        <v>#REF!</v>
      </c>
      <c r="C1211" s="34" t="e">
        <f>IF(Sheet2!#REF!&lt;&gt;"",Sheet2!#REF!,"")</f>
        <v>#REF!</v>
      </c>
      <c r="D1211" s="35" t="str">
        <f t="shared" ca="1" si="38"/>
        <v/>
      </c>
      <c r="E1211" s="3"/>
      <c r="F1211" s="3"/>
      <c r="G1211" s="3"/>
      <c r="H1211" s="3"/>
      <c r="K1211" t="str">
        <f t="shared" ca="1" si="39"/>
        <v/>
      </c>
    </row>
    <row r="1212" spans="1:11">
      <c r="A1212" s="23" t="e">
        <f>IF(Sheet2!#REF!&lt;&gt;"",Sheet2!#REF!,"")</f>
        <v>#REF!</v>
      </c>
      <c r="B1212" s="33" t="e">
        <f>IF(Sheet2!#REF!&lt;&gt;"",Sheet2!#REF!,"")</f>
        <v>#REF!</v>
      </c>
      <c r="C1212" s="34" t="e">
        <f>IF(Sheet2!#REF!&lt;&gt;"",Sheet2!#REF!,"")</f>
        <v>#REF!</v>
      </c>
      <c r="D1212" s="35" t="str">
        <f t="shared" ca="1" si="38"/>
        <v/>
      </c>
      <c r="E1212" s="3"/>
      <c r="F1212" s="3"/>
      <c r="G1212" s="3"/>
      <c r="H1212" s="3"/>
      <c r="K1212" t="str">
        <f t="shared" ca="1" si="39"/>
        <v/>
      </c>
    </row>
    <row r="1213" spans="1:11">
      <c r="A1213" s="23" t="e">
        <f>IF(Sheet2!#REF!&lt;&gt;"",Sheet2!#REF!,"")</f>
        <v>#REF!</v>
      </c>
      <c r="B1213" s="33" t="e">
        <f>IF(Sheet2!#REF!&lt;&gt;"",Sheet2!#REF!,"")</f>
        <v>#REF!</v>
      </c>
      <c r="C1213" s="34" t="e">
        <f>IF(Sheet2!#REF!&lt;&gt;"",Sheet2!#REF!,"")</f>
        <v>#REF!</v>
      </c>
      <c r="D1213" s="35" t="str">
        <f t="shared" ca="1" si="38"/>
        <v/>
      </c>
      <c r="E1213" s="3"/>
      <c r="F1213" s="3"/>
      <c r="G1213" s="3"/>
      <c r="H1213" s="3"/>
      <c r="K1213" t="str">
        <f t="shared" ca="1" si="39"/>
        <v/>
      </c>
    </row>
    <row r="1214" spans="1:11">
      <c r="A1214" s="23" t="e">
        <f>IF(Sheet2!#REF!&lt;&gt;"",Sheet2!#REF!,"")</f>
        <v>#REF!</v>
      </c>
      <c r="B1214" s="33" t="e">
        <f>IF(Sheet2!#REF!&lt;&gt;"",Sheet2!#REF!,"")</f>
        <v>#REF!</v>
      </c>
      <c r="C1214" s="34" t="e">
        <f>IF(Sheet2!#REF!&lt;&gt;"",Sheet2!#REF!,"")</f>
        <v>#REF!</v>
      </c>
      <c r="D1214" s="35" t="str">
        <f t="shared" ca="1" si="38"/>
        <v/>
      </c>
      <c r="E1214" s="3"/>
      <c r="F1214" s="3"/>
      <c r="G1214" s="3"/>
      <c r="H1214" s="3"/>
      <c r="K1214" t="str">
        <f t="shared" ca="1" si="39"/>
        <v/>
      </c>
    </row>
    <row r="1215" spans="1:11">
      <c r="A1215" s="23" t="e">
        <f>IF(Sheet2!#REF!&lt;&gt;"",Sheet2!#REF!,"")</f>
        <v>#REF!</v>
      </c>
      <c r="B1215" s="33" t="e">
        <f>IF(Sheet2!#REF!&lt;&gt;"",Sheet2!#REF!,"")</f>
        <v>#REF!</v>
      </c>
      <c r="C1215" s="34" t="e">
        <f>IF(Sheet2!#REF!&lt;&gt;"",Sheet2!#REF!,"")</f>
        <v>#REF!</v>
      </c>
      <c r="D1215" s="35" t="str">
        <f t="shared" ca="1" si="38"/>
        <v/>
      </c>
      <c r="E1215" s="3"/>
      <c r="F1215" s="3"/>
      <c r="G1215" s="3"/>
      <c r="H1215" s="3"/>
      <c r="K1215" t="str">
        <f t="shared" ca="1" si="39"/>
        <v/>
      </c>
    </row>
    <row r="1216" spans="1:11">
      <c r="A1216" s="23" t="e">
        <f>IF(Sheet2!#REF!&lt;&gt;"",Sheet2!#REF!,"")</f>
        <v>#REF!</v>
      </c>
      <c r="B1216" s="33" t="e">
        <f>IF(Sheet2!#REF!&lt;&gt;"",Sheet2!#REF!,"")</f>
        <v>#REF!</v>
      </c>
      <c r="C1216" s="34" t="e">
        <f>IF(Sheet2!#REF!&lt;&gt;"",Sheet2!#REF!,"")</f>
        <v>#REF!</v>
      </c>
      <c r="D1216" s="35" t="str">
        <f t="shared" ca="1" si="38"/>
        <v/>
      </c>
      <c r="E1216" s="3"/>
      <c r="F1216" s="3"/>
      <c r="G1216" s="3"/>
      <c r="H1216" s="3"/>
      <c r="K1216" t="str">
        <f t="shared" ca="1" si="39"/>
        <v/>
      </c>
    </row>
    <row r="1217" spans="1:11">
      <c r="A1217" s="23" t="e">
        <f>IF(Sheet2!#REF!&lt;&gt;"",Sheet2!#REF!,"")</f>
        <v>#REF!</v>
      </c>
      <c r="B1217" s="33" t="e">
        <f>IF(Sheet2!#REF!&lt;&gt;"",Sheet2!#REF!,"")</f>
        <v>#REF!</v>
      </c>
      <c r="C1217" s="34" t="e">
        <f>IF(Sheet2!#REF!&lt;&gt;"",Sheet2!#REF!,"")</f>
        <v>#REF!</v>
      </c>
      <c r="D1217" s="35" t="str">
        <f t="shared" ca="1" si="38"/>
        <v/>
      </c>
      <c r="E1217" s="3"/>
      <c r="F1217" s="3"/>
      <c r="G1217" s="3"/>
      <c r="H1217" s="3"/>
      <c r="K1217" t="str">
        <f t="shared" ca="1" si="39"/>
        <v/>
      </c>
    </row>
    <row r="1218" spans="1:11">
      <c r="A1218" s="23" t="e">
        <f>IF(Sheet2!#REF!&lt;&gt;"",Sheet2!#REF!,"")</f>
        <v>#REF!</v>
      </c>
      <c r="B1218" s="33" t="e">
        <f>IF(Sheet2!#REF!&lt;&gt;"",Sheet2!#REF!,"")</f>
        <v>#REF!</v>
      </c>
      <c r="C1218" s="34" t="e">
        <f>IF(Sheet2!#REF!&lt;&gt;"",Sheet2!#REF!,"")</f>
        <v>#REF!</v>
      </c>
      <c r="D1218" s="35" t="str">
        <f t="shared" ca="1" si="38"/>
        <v/>
      </c>
      <c r="E1218" s="3"/>
      <c r="F1218" s="3"/>
      <c r="G1218" s="3"/>
      <c r="H1218" s="3"/>
      <c r="K1218" t="str">
        <f t="shared" ca="1" si="39"/>
        <v/>
      </c>
    </row>
    <row r="1219" spans="1:11">
      <c r="A1219" s="23" t="e">
        <f>IF(Sheet2!#REF!&lt;&gt;"",Sheet2!#REF!,"")</f>
        <v>#REF!</v>
      </c>
      <c r="B1219" s="33" t="e">
        <f>IF(Sheet2!#REF!&lt;&gt;"",Sheet2!#REF!,"")</f>
        <v>#REF!</v>
      </c>
      <c r="C1219" s="34" t="e">
        <f>IF(Sheet2!#REF!&lt;&gt;"",Sheet2!#REF!,"")</f>
        <v>#REF!</v>
      </c>
      <c r="D1219" s="35" t="str">
        <f t="shared" ref="D1219:D1282" ca="1" si="40">IFERROR(IF(AND((C1219-TODAY())&lt;15,B1219&lt;&gt;""),IF(I1219="","Alert",""),""),"")</f>
        <v/>
      </c>
      <c r="E1219" s="3"/>
      <c r="F1219" s="3"/>
      <c r="G1219" s="3"/>
      <c r="H1219" s="3"/>
      <c r="K1219" t="str">
        <f t="shared" ref="K1219:K1282" ca="1" si="41">IF(I1219&lt;&gt;"",IF(J1219="",IF(TODAY()-I1219&gt;3,"ALERT",""),""),"")</f>
        <v/>
      </c>
    </row>
    <row r="1220" spans="1:11">
      <c r="A1220" s="23" t="e">
        <f>IF(Sheet2!#REF!&lt;&gt;"",Sheet2!#REF!,"")</f>
        <v>#REF!</v>
      </c>
      <c r="B1220" s="33" t="e">
        <f>IF(Sheet2!#REF!&lt;&gt;"",Sheet2!#REF!,"")</f>
        <v>#REF!</v>
      </c>
      <c r="C1220" s="34" t="e">
        <f>IF(Sheet2!#REF!&lt;&gt;"",Sheet2!#REF!,"")</f>
        <v>#REF!</v>
      </c>
      <c r="D1220" s="35" t="str">
        <f t="shared" ca="1" si="40"/>
        <v/>
      </c>
      <c r="E1220" s="3"/>
      <c r="F1220" s="3"/>
      <c r="G1220" s="3"/>
      <c r="H1220" s="3"/>
      <c r="K1220" t="str">
        <f t="shared" ca="1" si="41"/>
        <v/>
      </c>
    </row>
    <row r="1221" spans="1:11">
      <c r="A1221" s="23" t="e">
        <f>IF(Sheet2!#REF!&lt;&gt;"",Sheet2!#REF!,"")</f>
        <v>#REF!</v>
      </c>
      <c r="B1221" s="33" t="e">
        <f>IF(Sheet2!#REF!&lt;&gt;"",Sheet2!#REF!,"")</f>
        <v>#REF!</v>
      </c>
      <c r="C1221" s="34" t="e">
        <f>IF(Sheet2!#REF!&lt;&gt;"",Sheet2!#REF!,"")</f>
        <v>#REF!</v>
      </c>
      <c r="D1221" s="35" t="str">
        <f t="shared" ca="1" si="40"/>
        <v/>
      </c>
      <c r="E1221" s="3"/>
      <c r="F1221" s="3"/>
      <c r="G1221" s="3"/>
      <c r="H1221" s="3"/>
      <c r="K1221" t="str">
        <f t="shared" ca="1" si="41"/>
        <v/>
      </c>
    </row>
    <row r="1222" spans="1:11">
      <c r="A1222" s="23" t="e">
        <f>IF(Sheet2!#REF!&lt;&gt;"",Sheet2!#REF!,"")</f>
        <v>#REF!</v>
      </c>
      <c r="B1222" s="33" t="e">
        <f>IF(Sheet2!#REF!&lt;&gt;"",Sheet2!#REF!,"")</f>
        <v>#REF!</v>
      </c>
      <c r="C1222" s="34" t="e">
        <f>IF(Sheet2!#REF!&lt;&gt;"",Sheet2!#REF!,"")</f>
        <v>#REF!</v>
      </c>
      <c r="D1222" s="35" t="str">
        <f t="shared" ca="1" si="40"/>
        <v/>
      </c>
      <c r="E1222" s="3"/>
      <c r="F1222" s="3"/>
      <c r="G1222" s="3"/>
      <c r="H1222" s="3"/>
      <c r="K1222" t="str">
        <f t="shared" ca="1" si="41"/>
        <v/>
      </c>
    </row>
    <row r="1223" spans="1:11">
      <c r="A1223" s="23" t="e">
        <f>IF(Sheet2!#REF!&lt;&gt;"",Sheet2!#REF!,"")</f>
        <v>#REF!</v>
      </c>
      <c r="B1223" s="33" t="e">
        <f>IF(Sheet2!#REF!&lt;&gt;"",Sheet2!#REF!,"")</f>
        <v>#REF!</v>
      </c>
      <c r="C1223" s="34" t="e">
        <f>IF(Sheet2!#REF!&lt;&gt;"",Sheet2!#REF!,"")</f>
        <v>#REF!</v>
      </c>
      <c r="D1223" s="35" t="str">
        <f t="shared" ca="1" si="40"/>
        <v/>
      </c>
      <c r="E1223" s="3"/>
      <c r="F1223" s="3"/>
      <c r="G1223" s="3"/>
      <c r="H1223" s="3"/>
      <c r="K1223" t="str">
        <f t="shared" ca="1" si="41"/>
        <v/>
      </c>
    </row>
    <row r="1224" spans="1:11">
      <c r="A1224" s="23" t="e">
        <f>IF(Sheet2!#REF!&lt;&gt;"",Sheet2!#REF!,"")</f>
        <v>#REF!</v>
      </c>
      <c r="B1224" s="33" t="e">
        <f>IF(Sheet2!#REF!&lt;&gt;"",Sheet2!#REF!,"")</f>
        <v>#REF!</v>
      </c>
      <c r="C1224" s="34" t="e">
        <f>IF(Sheet2!#REF!&lt;&gt;"",Sheet2!#REF!,"")</f>
        <v>#REF!</v>
      </c>
      <c r="D1224" s="35" t="str">
        <f t="shared" ca="1" si="40"/>
        <v/>
      </c>
      <c r="E1224" s="3"/>
      <c r="F1224" s="3"/>
      <c r="G1224" s="3"/>
      <c r="H1224" s="3"/>
      <c r="K1224" t="str">
        <f t="shared" ca="1" si="41"/>
        <v/>
      </c>
    </row>
    <row r="1225" spans="1:11">
      <c r="A1225" s="23" t="e">
        <f>IF(Sheet2!#REF!&lt;&gt;"",Sheet2!#REF!,"")</f>
        <v>#REF!</v>
      </c>
      <c r="B1225" s="33" t="e">
        <f>IF(Sheet2!#REF!&lt;&gt;"",Sheet2!#REF!,"")</f>
        <v>#REF!</v>
      </c>
      <c r="C1225" s="34" t="e">
        <f>IF(Sheet2!#REF!&lt;&gt;"",Sheet2!#REF!,"")</f>
        <v>#REF!</v>
      </c>
      <c r="D1225" s="35" t="str">
        <f t="shared" ca="1" si="40"/>
        <v/>
      </c>
      <c r="E1225" s="3"/>
      <c r="F1225" s="3"/>
      <c r="G1225" s="3"/>
      <c r="H1225" s="3"/>
      <c r="K1225" t="str">
        <f t="shared" ca="1" si="41"/>
        <v/>
      </c>
    </row>
    <row r="1226" spans="1:11">
      <c r="A1226" s="23" t="e">
        <f>IF(Sheet2!#REF!&lt;&gt;"",Sheet2!#REF!,"")</f>
        <v>#REF!</v>
      </c>
      <c r="B1226" s="33" t="e">
        <f>IF(Sheet2!#REF!&lt;&gt;"",Sheet2!#REF!,"")</f>
        <v>#REF!</v>
      </c>
      <c r="C1226" s="34" t="e">
        <f>IF(Sheet2!#REF!&lt;&gt;"",Sheet2!#REF!,"")</f>
        <v>#REF!</v>
      </c>
      <c r="D1226" s="35" t="str">
        <f t="shared" ca="1" si="40"/>
        <v/>
      </c>
      <c r="E1226" s="3"/>
      <c r="F1226" s="3"/>
      <c r="G1226" s="3"/>
      <c r="H1226" s="3"/>
      <c r="K1226" t="str">
        <f t="shared" ca="1" si="41"/>
        <v/>
      </c>
    </row>
    <row r="1227" spans="1:11">
      <c r="A1227" s="23" t="e">
        <f>IF(Sheet2!#REF!&lt;&gt;"",Sheet2!#REF!,"")</f>
        <v>#REF!</v>
      </c>
      <c r="B1227" s="33" t="e">
        <f>IF(Sheet2!#REF!&lt;&gt;"",Sheet2!#REF!,"")</f>
        <v>#REF!</v>
      </c>
      <c r="C1227" s="34" t="e">
        <f>IF(Sheet2!#REF!&lt;&gt;"",Sheet2!#REF!,"")</f>
        <v>#REF!</v>
      </c>
      <c r="D1227" s="35" t="str">
        <f t="shared" ca="1" si="40"/>
        <v/>
      </c>
      <c r="E1227" s="3"/>
      <c r="F1227" s="3"/>
      <c r="G1227" s="3"/>
      <c r="H1227" s="3"/>
      <c r="K1227" t="str">
        <f t="shared" ca="1" si="41"/>
        <v/>
      </c>
    </row>
    <row r="1228" spans="1:11">
      <c r="A1228" s="23" t="e">
        <f>IF(Sheet2!#REF!&lt;&gt;"",Sheet2!#REF!,"")</f>
        <v>#REF!</v>
      </c>
      <c r="B1228" s="33" t="e">
        <f>IF(Sheet2!#REF!&lt;&gt;"",Sheet2!#REF!,"")</f>
        <v>#REF!</v>
      </c>
      <c r="C1228" s="34" t="e">
        <f>IF(Sheet2!#REF!&lt;&gt;"",Sheet2!#REF!,"")</f>
        <v>#REF!</v>
      </c>
      <c r="D1228" s="35" t="str">
        <f t="shared" ca="1" si="40"/>
        <v/>
      </c>
      <c r="E1228" s="3"/>
      <c r="F1228" s="3"/>
      <c r="G1228" s="3"/>
      <c r="H1228" s="3"/>
      <c r="K1228" t="str">
        <f t="shared" ca="1" si="41"/>
        <v/>
      </c>
    </row>
    <row r="1229" spans="1:11">
      <c r="A1229" s="23" t="e">
        <f>IF(Sheet2!#REF!&lt;&gt;"",Sheet2!#REF!,"")</f>
        <v>#REF!</v>
      </c>
      <c r="B1229" s="33" t="e">
        <f>IF(Sheet2!#REF!&lt;&gt;"",Sheet2!#REF!,"")</f>
        <v>#REF!</v>
      </c>
      <c r="C1229" s="34" t="e">
        <f>IF(Sheet2!#REF!&lt;&gt;"",Sheet2!#REF!,"")</f>
        <v>#REF!</v>
      </c>
      <c r="D1229" s="35" t="str">
        <f t="shared" ca="1" si="40"/>
        <v/>
      </c>
      <c r="E1229" s="3"/>
      <c r="F1229" s="3"/>
      <c r="G1229" s="3"/>
      <c r="H1229" s="3"/>
      <c r="K1229" t="str">
        <f t="shared" ca="1" si="41"/>
        <v/>
      </c>
    </row>
    <row r="1230" spans="1:11">
      <c r="A1230" s="23" t="e">
        <f>IF(Sheet2!#REF!&lt;&gt;"",Sheet2!#REF!,"")</f>
        <v>#REF!</v>
      </c>
      <c r="B1230" s="33" t="e">
        <f>IF(Sheet2!#REF!&lt;&gt;"",Sheet2!#REF!,"")</f>
        <v>#REF!</v>
      </c>
      <c r="C1230" s="34" t="e">
        <f>IF(Sheet2!#REF!&lt;&gt;"",Sheet2!#REF!,"")</f>
        <v>#REF!</v>
      </c>
      <c r="D1230" s="35" t="str">
        <f t="shared" ca="1" si="40"/>
        <v/>
      </c>
      <c r="E1230" s="3"/>
      <c r="F1230" s="3"/>
      <c r="G1230" s="3"/>
      <c r="H1230" s="3"/>
      <c r="K1230" t="str">
        <f t="shared" ca="1" si="41"/>
        <v/>
      </c>
    </row>
    <row r="1231" spans="1:11">
      <c r="A1231" s="23" t="e">
        <f>IF(Sheet2!#REF!&lt;&gt;"",Sheet2!#REF!,"")</f>
        <v>#REF!</v>
      </c>
      <c r="B1231" s="33" t="e">
        <f>IF(Sheet2!#REF!&lt;&gt;"",Sheet2!#REF!,"")</f>
        <v>#REF!</v>
      </c>
      <c r="C1231" s="34" t="e">
        <f>IF(Sheet2!#REF!&lt;&gt;"",Sheet2!#REF!,"")</f>
        <v>#REF!</v>
      </c>
      <c r="D1231" s="35" t="str">
        <f t="shared" ca="1" si="40"/>
        <v/>
      </c>
      <c r="E1231" s="3"/>
      <c r="F1231" s="3"/>
      <c r="G1231" s="3"/>
      <c r="H1231" s="3"/>
      <c r="K1231" t="str">
        <f t="shared" ca="1" si="41"/>
        <v/>
      </c>
    </row>
    <row r="1232" spans="1:11">
      <c r="A1232" s="23" t="e">
        <f>IF(Sheet2!#REF!&lt;&gt;"",Sheet2!#REF!,"")</f>
        <v>#REF!</v>
      </c>
      <c r="B1232" s="33" t="e">
        <f>IF(Sheet2!#REF!&lt;&gt;"",Sheet2!#REF!,"")</f>
        <v>#REF!</v>
      </c>
      <c r="C1232" s="34" t="e">
        <f>IF(Sheet2!#REF!&lt;&gt;"",Sheet2!#REF!,"")</f>
        <v>#REF!</v>
      </c>
      <c r="D1232" s="35" t="str">
        <f t="shared" ca="1" si="40"/>
        <v/>
      </c>
      <c r="E1232" s="3"/>
      <c r="F1232" s="3"/>
      <c r="G1232" s="3"/>
      <c r="H1232" s="3"/>
      <c r="K1232" t="str">
        <f t="shared" ca="1" si="41"/>
        <v/>
      </c>
    </row>
    <row r="1233" spans="1:11">
      <c r="A1233" s="23" t="e">
        <f>IF(Sheet2!#REF!&lt;&gt;"",Sheet2!#REF!,"")</f>
        <v>#REF!</v>
      </c>
      <c r="B1233" s="33" t="e">
        <f>IF(Sheet2!#REF!&lt;&gt;"",Sheet2!#REF!,"")</f>
        <v>#REF!</v>
      </c>
      <c r="C1233" s="34" t="e">
        <f>IF(Sheet2!#REF!&lt;&gt;"",Sheet2!#REF!,"")</f>
        <v>#REF!</v>
      </c>
      <c r="D1233" s="35" t="str">
        <f t="shared" ca="1" si="40"/>
        <v/>
      </c>
      <c r="E1233" s="3"/>
      <c r="F1233" s="3"/>
      <c r="G1233" s="3"/>
      <c r="H1233" s="3"/>
      <c r="K1233" t="str">
        <f t="shared" ca="1" si="41"/>
        <v/>
      </c>
    </row>
    <row r="1234" spans="1:11">
      <c r="A1234" s="23" t="e">
        <f>IF(Sheet2!#REF!&lt;&gt;"",Sheet2!#REF!,"")</f>
        <v>#REF!</v>
      </c>
      <c r="B1234" s="33" t="e">
        <f>IF(Sheet2!#REF!&lt;&gt;"",Sheet2!#REF!,"")</f>
        <v>#REF!</v>
      </c>
      <c r="C1234" s="34" t="e">
        <f>IF(Sheet2!#REF!&lt;&gt;"",Sheet2!#REF!,"")</f>
        <v>#REF!</v>
      </c>
      <c r="D1234" s="35" t="str">
        <f t="shared" ca="1" si="40"/>
        <v/>
      </c>
      <c r="E1234" s="3"/>
      <c r="F1234" s="3"/>
      <c r="G1234" s="3"/>
      <c r="H1234" s="3"/>
      <c r="K1234" t="str">
        <f t="shared" ca="1" si="41"/>
        <v/>
      </c>
    </row>
    <row r="1235" spans="1:11">
      <c r="A1235" s="23" t="e">
        <f>IF(Sheet2!#REF!&lt;&gt;"",Sheet2!#REF!,"")</f>
        <v>#REF!</v>
      </c>
      <c r="B1235" s="33" t="e">
        <f>IF(Sheet2!#REF!&lt;&gt;"",Sheet2!#REF!,"")</f>
        <v>#REF!</v>
      </c>
      <c r="C1235" s="34" t="e">
        <f>IF(Sheet2!#REF!&lt;&gt;"",Sheet2!#REF!,"")</f>
        <v>#REF!</v>
      </c>
      <c r="D1235" s="35" t="str">
        <f t="shared" ca="1" si="40"/>
        <v/>
      </c>
      <c r="E1235" s="3"/>
      <c r="F1235" s="3"/>
      <c r="G1235" s="3"/>
      <c r="H1235" s="3"/>
      <c r="K1235" t="str">
        <f t="shared" ca="1" si="41"/>
        <v/>
      </c>
    </row>
    <row r="1236" spans="1:11">
      <c r="A1236" s="23" t="e">
        <f>IF(Sheet2!#REF!&lt;&gt;"",Sheet2!#REF!,"")</f>
        <v>#REF!</v>
      </c>
      <c r="B1236" s="33" t="e">
        <f>IF(Sheet2!#REF!&lt;&gt;"",Sheet2!#REF!,"")</f>
        <v>#REF!</v>
      </c>
      <c r="C1236" s="34" t="e">
        <f>IF(Sheet2!#REF!&lt;&gt;"",Sheet2!#REF!,"")</f>
        <v>#REF!</v>
      </c>
      <c r="D1236" s="35" t="str">
        <f t="shared" ca="1" si="40"/>
        <v/>
      </c>
      <c r="E1236" s="3"/>
      <c r="F1236" s="3"/>
      <c r="G1236" s="3"/>
      <c r="H1236" s="3"/>
      <c r="K1236" t="str">
        <f t="shared" ca="1" si="41"/>
        <v/>
      </c>
    </row>
    <row r="1237" spans="1:11">
      <c r="A1237" s="23" t="e">
        <f>IF(Sheet2!#REF!&lt;&gt;"",Sheet2!#REF!,"")</f>
        <v>#REF!</v>
      </c>
      <c r="B1237" s="33" t="e">
        <f>IF(Sheet2!#REF!&lt;&gt;"",Sheet2!#REF!,"")</f>
        <v>#REF!</v>
      </c>
      <c r="C1237" s="34" t="e">
        <f>IF(Sheet2!#REF!&lt;&gt;"",Sheet2!#REF!,"")</f>
        <v>#REF!</v>
      </c>
      <c r="D1237" s="35" t="str">
        <f t="shared" ca="1" si="40"/>
        <v/>
      </c>
      <c r="E1237" s="3"/>
      <c r="F1237" s="3"/>
      <c r="G1237" s="3"/>
      <c r="H1237" s="3"/>
      <c r="K1237" t="str">
        <f t="shared" ca="1" si="41"/>
        <v/>
      </c>
    </row>
    <row r="1238" spans="1:11">
      <c r="A1238" s="23" t="e">
        <f>IF(Sheet2!#REF!&lt;&gt;"",Sheet2!#REF!,"")</f>
        <v>#REF!</v>
      </c>
      <c r="B1238" s="33" t="e">
        <f>IF(Sheet2!#REF!&lt;&gt;"",Sheet2!#REF!,"")</f>
        <v>#REF!</v>
      </c>
      <c r="C1238" s="34" t="e">
        <f>IF(Sheet2!#REF!&lt;&gt;"",Sheet2!#REF!,"")</f>
        <v>#REF!</v>
      </c>
      <c r="D1238" s="35" t="str">
        <f t="shared" ca="1" si="40"/>
        <v/>
      </c>
      <c r="E1238" s="3"/>
      <c r="F1238" s="3"/>
      <c r="G1238" s="3"/>
      <c r="H1238" s="3"/>
      <c r="K1238" t="str">
        <f t="shared" ca="1" si="41"/>
        <v/>
      </c>
    </row>
    <row r="1239" spans="1:11">
      <c r="A1239" s="23" t="e">
        <f>IF(Sheet2!#REF!&lt;&gt;"",Sheet2!#REF!,"")</f>
        <v>#REF!</v>
      </c>
      <c r="B1239" s="33" t="e">
        <f>IF(Sheet2!#REF!&lt;&gt;"",Sheet2!#REF!,"")</f>
        <v>#REF!</v>
      </c>
      <c r="C1239" s="34" t="e">
        <f>IF(Sheet2!#REF!&lt;&gt;"",Sheet2!#REF!,"")</f>
        <v>#REF!</v>
      </c>
      <c r="D1239" s="35" t="str">
        <f t="shared" ca="1" si="40"/>
        <v/>
      </c>
      <c r="E1239" s="3"/>
      <c r="F1239" s="3"/>
      <c r="G1239" s="3"/>
      <c r="H1239" s="3"/>
      <c r="K1239" t="str">
        <f t="shared" ca="1" si="41"/>
        <v/>
      </c>
    </row>
    <row r="1240" spans="1:11">
      <c r="A1240" s="23" t="e">
        <f>IF(Sheet2!#REF!&lt;&gt;"",Sheet2!#REF!,"")</f>
        <v>#REF!</v>
      </c>
      <c r="B1240" s="33" t="e">
        <f>IF(Sheet2!#REF!&lt;&gt;"",Sheet2!#REF!,"")</f>
        <v>#REF!</v>
      </c>
      <c r="C1240" s="34" t="e">
        <f>IF(Sheet2!#REF!&lt;&gt;"",Sheet2!#REF!,"")</f>
        <v>#REF!</v>
      </c>
      <c r="D1240" s="35" t="str">
        <f t="shared" ca="1" si="40"/>
        <v/>
      </c>
      <c r="E1240" s="3"/>
      <c r="F1240" s="3"/>
      <c r="G1240" s="3"/>
      <c r="H1240" s="3"/>
      <c r="K1240" t="str">
        <f t="shared" ca="1" si="41"/>
        <v/>
      </c>
    </row>
    <row r="1241" spans="1:11">
      <c r="A1241" s="23" t="e">
        <f>IF(Sheet2!#REF!&lt;&gt;"",Sheet2!#REF!,"")</f>
        <v>#REF!</v>
      </c>
      <c r="B1241" s="33" t="e">
        <f>IF(Sheet2!#REF!&lt;&gt;"",Sheet2!#REF!,"")</f>
        <v>#REF!</v>
      </c>
      <c r="C1241" s="34" t="e">
        <f>IF(Sheet2!#REF!&lt;&gt;"",Sheet2!#REF!,"")</f>
        <v>#REF!</v>
      </c>
      <c r="D1241" s="35" t="str">
        <f t="shared" ca="1" si="40"/>
        <v/>
      </c>
      <c r="E1241" s="3"/>
      <c r="F1241" s="3"/>
      <c r="G1241" s="3"/>
      <c r="H1241" s="3"/>
      <c r="K1241" t="str">
        <f t="shared" ca="1" si="41"/>
        <v/>
      </c>
    </row>
    <row r="1242" spans="1:11">
      <c r="A1242" s="23" t="e">
        <f>IF(Sheet2!#REF!&lt;&gt;"",Sheet2!#REF!,"")</f>
        <v>#REF!</v>
      </c>
      <c r="B1242" s="33" t="e">
        <f>IF(Sheet2!#REF!&lt;&gt;"",Sheet2!#REF!,"")</f>
        <v>#REF!</v>
      </c>
      <c r="C1242" s="34" t="e">
        <f>IF(Sheet2!#REF!&lt;&gt;"",Sheet2!#REF!,"")</f>
        <v>#REF!</v>
      </c>
      <c r="D1242" s="35" t="str">
        <f t="shared" ca="1" si="40"/>
        <v/>
      </c>
      <c r="E1242" s="3"/>
      <c r="F1242" s="3"/>
      <c r="G1242" s="3"/>
      <c r="H1242" s="3"/>
      <c r="K1242" t="str">
        <f t="shared" ca="1" si="41"/>
        <v/>
      </c>
    </row>
    <row r="1243" spans="1:11">
      <c r="A1243" s="23" t="e">
        <f>IF(Sheet2!#REF!&lt;&gt;"",Sheet2!#REF!,"")</f>
        <v>#REF!</v>
      </c>
      <c r="B1243" s="33" t="e">
        <f>IF(Sheet2!#REF!&lt;&gt;"",Sheet2!#REF!,"")</f>
        <v>#REF!</v>
      </c>
      <c r="C1243" s="34" t="e">
        <f>IF(Sheet2!#REF!&lt;&gt;"",Sheet2!#REF!,"")</f>
        <v>#REF!</v>
      </c>
      <c r="D1243" s="35" t="str">
        <f t="shared" ca="1" si="40"/>
        <v/>
      </c>
      <c r="E1243" s="3"/>
      <c r="F1243" s="3"/>
      <c r="G1243" s="3"/>
      <c r="H1243" s="3"/>
      <c r="K1243" t="str">
        <f t="shared" ca="1" si="41"/>
        <v/>
      </c>
    </row>
    <row r="1244" spans="1:11">
      <c r="A1244" s="23" t="e">
        <f>IF(Sheet2!#REF!&lt;&gt;"",Sheet2!#REF!,"")</f>
        <v>#REF!</v>
      </c>
      <c r="B1244" s="33" t="e">
        <f>IF(Sheet2!#REF!&lt;&gt;"",Sheet2!#REF!,"")</f>
        <v>#REF!</v>
      </c>
      <c r="C1244" s="34" t="e">
        <f>IF(Sheet2!#REF!&lt;&gt;"",Sheet2!#REF!,"")</f>
        <v>#REF!</v>
      </c>
      <c r="D1244" s="35" t="str">
        <f t="shared" ca="1" si="40"/>
        <v/>
      </c>
      <c r="E1244" s="3"/>
      <c r="F1244" s="3"/>
      <c r="G1244" s="3"/>
      <c r="H1244" s="3"/>
      <c r="K1244" t="str">
        <f t="shared" ca="1" si="41"/>
        <v/>
      </c>
    </row>
    <row r="1245" spans="1:11">
      <c r="A1245" s="23" t="e">
        <f>IF(Sheet2!#REF!&lt;&gt;"",Sheet2!#REF!,"")</f>
        <v>#REF!</v>
      </c>
      <c r="B1245" s="33" t="e">
        <f>IF(Sheet2!#REF!&lt;&gt;"",Sheet2!#REF!,"")</f>
        <v>#REF!</v>
      </c>
      <c r="C1245" s="34" t="e">
        <f>IF(Sheet2!#REF!&lt;&gt;"",Sheet2!#REF!,"")</f>
        <v>#REF!</v>
      </c>
      <c r="D1245" s="35" t="str">
        <f t="shared" ca="1" si="40"/>
        <v/>
      </c>
      <c r="E1245" s="3"/>
      <c r="F1245" s="3"/>
      <c r="G1245" s="3"/>
      <c r="H1245" s="3"/>
      <c r="K1245" t="str">
        <f t="shared" ca="1" si="41"/>
        <v/>
      </c>
    </row>
    <row r="1246" spans="1:11">
      <c r="A1246" s="23" t="e">
        <f>IF(Sheet2!#REF!&lt;&gt;"",Sheet2!#REF!,"")</f>
        <v>#REF!</v>
      </c>
      <c r="B1246" s="33" t="e">
        <f>IF(Sheet2!#REF!&lt;&gt;"",Sheet2!#REF!,"")</f>
        <v>#REF!</v>
      </c>
      <c r="C1246" s="34" t="e">
        <f>IF(Sheet2!#REF!&lt;&gt;"",Sheet2!#REF!,"")</f>
        <v>#REF!</v>
      </c>
      <c r="D1246" s="35" t="str">
        <f t="shared" ca="1" si="40"/>
        <v/>
      </c>
      <c r="E1246" s="3"/>
      <c r="F1246" s="3"/>
      <c r="G1246" s="3"/>
      <c r="H1246" s="3"/>
      <c r="K1246" t="str">
        <f t="shared" ca="1" si="41"/>
        <v/>
      </c>
    </row>
    <row r="1247" spans="1:11">
      <c r="A1247" s="23" t="e">
        <f>IF(Sheet2!#REF!&lt;&gt;"",Sheet2!#REF!,"")</f>
        <v>#REF!</v>
      </c>
      <c r="B1247" s="33" t="e">
        <f>IF(Sheet2!#REF!&lt;&gt;"",Sheet2!#REF!,"")</f>
        <v>#REF!</v>
      </c>
      <c r="C1247" s="34" t="e">
        <f>IF(Sheet2!#REF!&lt;&gt;"",Sheet2!#REF!,"")</f>
        <v>#REF!</v>
      </c>
      <c r="D1247" s="35" t="str">
        <f t="shared" ca="1" si="40"/>
        <v/>
      </c>
      <c r="E1247" s="3"/>
      <c r="F1247" s="3"/>
      <c r="G1247" s="3"/>
      <c r="H1247" s="3"/>
      <c r="K1247" t="str">
        <f t="shared" ca="1" si="41"/>
        <v/>
      </c>
    </row>
    <row r="1248" spans="1:11">
      <c r="A1248" s="23" t="e">
        <f>IF(Sheet2!#REF!&lt;&gt;"",Sheet2!#REF!,"")</f>
        <v>#REF!</v>
      </c>
      <c r="B1248" s="33" t="e">
        <f>IF(Sheet2!#REF!&lt;&gt;"",Sheet2!#REF!,"")</f>
        <v>#REF!</v>
      </c>
      <c r="C1248" s="34" t="e">
        <f>IF(Sheet2!#REF!&lt;&gt;"",Sheet2!#REF!,"")</f>
        <v>#REF!</v>
      </c>
      <c r="D1248" s="35" t="str">
        <f t="shared" ca="1" si="40"/>
        <v/>
      </c>
      <c r="E1248" s="3"/>
      <c r="F1248" s="3"/>
      <c r="G1248" s="3"/>
      <c r="H1248" s="3"/>
      <c r="K1248" t="str">
        <f t="shared" ca="1" si="41"/>
        <v/>
      </c>
    </row>
    <row r="1249" spans="1:11">
      <c r="A1249" s="23" t="e">
        <f>IF(Sheet2!#REF!&lt;&gt;"",Sheet2!#REF!,"")</f>
        <v>#REF!</v>
      </c>
      <c r="B1249" s="33" t="e">
        <f>IF(Sheet2!#REF!&lt;&gt;"",Sheet2!#REF!,"")</f>
        <v>#REF!</v>
      </c>
      <c r="C1249" s="34" t="e">
        <f>IF(Sheet2!#REF!&lt;&gt;"",Sheet2!#REF!,"")</f>
        <v>#REF!</v>
      </c>
      <c r="D1249" s="35" t="str">
        <f t="shared" ca="1" si="40"/>
        <v/>
      </c>
      <c r="E1249" s="3"/>
      <c r="F1249" s="3"/>
      <c r="G1249" s="3"/>
      <c r="H1249" s="3"/>
      <c r="K1249" t="str">
        <f t="shared" ca="1" si="41"/>
        <v/>
      </c>
    </row>
    <row r="1250" spans="1:11">
      <c r="A1250" s="23" t="e">
        <f>IF(Sheet2!#REF!&lt;&gt;"",Sheet2!#REF!,"")</f>
        <v>#REF!</v>
      </c>
      <c r="B1250" s="33" t="e">
        <f>IF(Sheet2!#REF!&lt;&gt;"",Sheet2!#REF!,"")</f>
        <v>#REF!</v>
      </c>
      <c r="C1250" s="34" t="e">
        <f>IF(Sheet2!#REF!&lt;&gt;"",Sheet2!#REF!,"")</f>
        <v>#REF!</v>
      </c>
      <c r="D1250" s="35" t="str">
        <f t="shared" ca="1" si="40"/>
        <v/>
      </c>
      <c r="E1250" s="3"/>
      <c r="F1250" s="3"/>
      <c r="G1250" s="3"/>
      <c r="H1250" s="3"/>
      <c r="K1250" t="str">
        <f t="shared" ca="1" si="41"/>
        <v/>
      </c>
    </row>
    <row r="1251" spans="1:11">
      <c r="A1251" s="23" t="e">
        <f>IF(Sheet2!#REF!&lt;&gt;"",Sheet2!#REF!,"")</f>
        <v>#REF!</v>
      </c>
      <c r="B1251" s="33" t="e">
        <f>IF(Sheet2!#REF!&lt;&gt;"",Sheet2!#REF!,"")</f>
        <v>#REF!</v>
      </c>
      <c r="C1251" s="34" t="e">
        <f>IF(Sheet2!#REF!&lt;&gt;"",Sheet2!#REF!,"")</f>
        <v>#REF!</v>
      </c>
      <c r="D1251" s="35" t="str">
        <f t="shared" ca="1" si="40"/>
        <v/>
      </c>
      <c r="E1251" s="3"/>
      <c r="F1251" s="3"/>
      <c r="G1251" s="3"/>
      <c r="H1251" s="3"/>
      <c r="K1251" t="str">
        <f t="shared" ca="1" si="41"/>
        <v/>
      </c>
    </row>
    <row r="1252" spans="1:11">
      <c r="A1252" s="23" t="e">
        <f>IF(Sheet2!#REF!&lt;&gt;"",Sheet2!#REF!,"")</f>
        <v>#REF!</v>
      </c>
      <c r="B1252" s="33" t="e">
        <f>IF(Sheet2!#REF!&lt;&gt;"",Sheet2!#REF!,"")</f>
        <v>#REF!</v>
      </c>
      <c r="C1252" s="34" t="e">
        <f>IF(Sheet2!#REF!&lt;&gt;"",Sheet2!#REF!,"")</f>
        <v>#REF!</v>
      </c>
      <c r="D1252" s="35" t="str">
        <f t="shared" ca="1" si="40"/>
        <v/>
      </c>
      <c r="E1252" s="3"/>
      <c r="F1252" s="3"/>
      <c r="G1252" s="3"/>
      <c r="H1252" s="3"/>
      <c r="K1252" t="str">
        <f t="shared" ca="1" si="41"/>
        <v/>
      </c>
    </row>
    <row r="1253" spans="1:11">
      <c r="A1253" s="23" t="e">
        <f>IF(Sheet2!#REF!&lt;&gt;"",Sheet2!#REF!,"")</f>
        <v>#REF!</v>
      </c>
      <c r="B1253" s="33" t="e">
        <f>IF(Sheet2!#REF!&lt;&gt;"",Sheet2!#REF!,"")</f>
        <v>#REF!</v>
      </c>
      <c r="C1253" s="34" t="e">
        <f>IF(Sheet2!#REF!&lt;&gt;"",Sheet2!#REF!,"")</f>
        <v>#REF!</v>
      </c>
      <c r="D1253" s="35" t="str">
        <f t="shared" ca="1" si="40"/>
        <v/>
      </c>
      <c r="E1253" s="3"/>
      <c r="F1253" s="3"/>
      <c r="G1253" s="3"/>
      <c r="H1253" s="3"/>
      <c r="K1253" t="str">
        <f t="shared" ca="1" si="41"/>
        <v/>
      </c>
    </row>
    <row r="1254" spans="1:11">
      <c r="A1254" s="23" t="e">
        <f>IF(Sheet2!#REF!&lt;&gt;"",Sheet2!#REF!,"")</f>
        <v>#REF!</v>
      </c>
      <c r="B1254" s="33" t="e">
        <f>IF(Sheet2!#REF!&lt;&gt;"",Sheet2!#REF!,"")</f>
        <v>#REF!</v>
      </c>
      <c r="C1254" s="34" t="e">
        <f>IF(Sheet2!#REF!&lt;&gt;"",Sheet2!#REF!,"")</f>
        <v>#REF!</v>
      </c>
      <c r="D1254" s="35" t="str">
        <f t="shared" ca="1" si="40"/>
        <v/>
      </c>
      <c r="E1254" s="3"/>
      <c r="F1254" s="3"/>
      <c r="G1254" s="3"/>
      <c r="H1254" s="3"/>
      <c r="K1254" t="str">
        <f t="shared" ca="1" si="41"/>
        <v/>
      </c>
    </row>
    <row r="1255" spans="1:11">
      <c r="A1255" s="23" t="e">
        <f>IF(Sheet2!#REF!&lt;&gt;"",Sheet2!#REF!,"")</f>
        <v>#REF!</v>
      </c>
      <c r="B1255" s="33" t="e">
        <f>IF(Sheet2!#REF!&lt;&gt;"",Sheet2!#REF!,"")</f>
        <v>#REF!</v>
      </c>
      <c r="C1255" s="34" t="e">
        <f>IF(Sheet2!#REF!&lt;&gt;"",Sheet2!#REF!,"")</f>
        <v>#REF!</v>
      </c>
      <c r="D1255" s="35" t="str">
        <f t="shared" ca="1" si="40"/>
        <v/>
      </c>
      <c r="E1255" s="3"/>
      <c r="F1255" s="3"/>
      <c r="G1255" s="3"/>
      <c r="H1255" s="3"/>
      <c r="K1255" t="str">
        <f t="shared" ca="1" si="41"/>
        <v/>
      </c>
    </row>
    <row r="1256" spans="1:11">
      <c r="A1256" s="23" t="e">
        <f>IF(Sheet2!#REF!&lt;&gt;"",Sheet2!#REF!,"")</f>
        <v>#REF!</v>
      </c>
      <c r="B1256" s="33" t="e">
        <f>IF(Sheet2!#REF!&lt;&gt;"",Sheet2!#REF!,"")</f>
        <v>#REF!</v>
      </c>
      <c r="C1256" s="34" t="e">
        <f>IF(Sheet2!#REF!&lt;&gt;"",Sheet2!#REF!,"")</f>
        <v>#REF!</v>
      </c>
      <c r="D1256" s="35" t="str">
        <f t="shared" ca="1" si="40"/>
        <v/>
      </c>
      <c r="E1256" s="3"/>
      <c r="F1256" s="3"/>
      <c r="G1256" s="3"/>
      <c r="H1256" s="3"/>
      <c r="K1256" t="str">
        <f t="shared" ca="1" si="41"/>
        <v/>
      </c>
    </row>
    <row r="1257" spans="1:11">
      <c r="A1257" s="23" t="e">
        <f>IF(Sheet2!#REF!&lt;&gt;"",Sheet2!#REF!,"")</f>
        <v>#REF!</v>
      </c>
      <c r="B1257" s="33" t="e">
        <f>IF(Sheet2!#REF!&lt;&gt;"",Sheet2!#REF!,"")</f>
        <v>#REF!</v>
      </c>
      <c r="C1257" s="34" t="e">
        <f>IF(Sheet2!#REF!&lt;&gt;"",Sheet2!#REF!,"")</f>
        <v>#REF!</v>
      </c>
      <c r="D1257" s="35" t="str">
        <f t="shared" ca="1" si="40"/>
        <v/>
      </c>
      <c r="E1257" s="3"/>
      <c r="F1257" s="3"/>
      <c r="G1257" s="3"/>
      <c r="H1257" s="3"/>
      <c r="K1257" t="str">
        <f t="shared" ca="1" si="41"/>
        <v/>
      </c>
    </row>
    <row r="1258" spans="1:11">
      <c r="A1258" s="23" t="e">
        <f>IF(Sheet2!#REF!&lt;&gt;"",Sheet2!#REF!,"")</f>
        <v>#REF!</v>
      </c>
      <c r="B1258" s="33" t="e">
        <f>IF(Sheet2!#REF!&lt;&gt;"",Sheet2!#REF!,"")</f>
        <v>#REF!</v>
      </c>
      <c r="C1258" s="34" t="e">
        <f>IF(Sheet2!#REF!&lt;&gt;"",Sheet2!#REF!,"")</f>
        <v>#REF!</v>
      </c>
      <c r="D1258" s="35" t="str">
        <f t="shared" ca="1" si="40"/>
        <v/>
      </c>
      <c r="E1258" s="3"/>
      <c r="F1258" s="3"/>
      <c r="G1258" s="3"/>
      <c r="H1258" s="3"/>
      <c r="K1258" t="str">
        <f t="shared" ca="1" si="41"/>
        <v/>
      </c>
    </row>
    <row r="1259" spans="1:11">
      <c r="A1259" s="23" t="e">
        <f>IF(Sheet2!#REF!&lt;&gt;"",Sheet2!#REF!,"")</f>
        <v>#REF!</v>
      </c>
      <c r="B1259" s="33" t="e">
        <f>IF(Sheet2!#REF!&lt;&gt;"",Sheet2!#REF!,"")</f>
        <v>#REF!</v>
      </c>
      <c r="C1259" s="34" t="e">
        <f>IF(Sheet2!#REF!&lt;&gt;"",Sheet2!#REF!,"")</f>
        <v>#REF!</v>
      </c>
      <c r="D1259" s="35" t="str">
        <f t="shared" ca="1" si="40"/>
        <v/>
      </c>
      <c r="E1259" s="3"/>
      <c r="F1259" s="3"/>
      <c r="G1259" s="3"/>
      <c r="H1259" s="3"/>
      <c r="K1259" t="str">
        <f t="shared" ca="1" si="41"/>
        <v/>
      </c>
    </row>
    <row r="1260" spans="1:11">
      <c r="A1260" s="23" t="e">
        <f>IF(Sheet2!#REF!&lt;&gt;"",Sheet2!#REF!,"")</f>
        <v>#REF!</v>
      </c>
      <c r="B1260" s="33" t="e">
        <f>IF(Sheet2!#REF!&lt;&gt;"",Sheet2!#REF!,"")</f>
        <v>#REF!</v>
      </c>
      <c r="C1260" s="34" t="e">
        <f>IF(Sheet2!#REF!&lt;&gt;"",Sheet2!#REF!,"")</f>
        <v>#REF!</v>
      </c>
      <c r="D1260" s="35" t="str">
        <f t="shared" ca="1" si="40"/>
        <v/>
      </c>
      <c r="E1260" s="3"/>
      <c r="F1260" s="3"/>
      <c r="G1260" s="3"/>
      <c r="H1260" s="3"/>
      <c r="K1260" t="str">
        <f t="shared" ca="1" si="41"/>
        <v/>
      </c>
    </row>
    <row r="1261" spans="1:11">
      <c r="A1261" s="23" t="e">
        <f>IF(Sheet2!#REF!&lt;&gt;"",Sheet2!#REF!,"")</f>
        <v>#REF!</v>
      </c>
      <c r="B1261" s="33" t="e">
        <f>IF(Sheet2!#REF!&lt;&gt;"",Sheet2!#REF!,"")</f>
        <v>#REF!</v>
      </c>
      <c r="C1261" s="34" t="e">
        <f>IF(Sheet2!#REF!&lt;&gt;"",Sheet2!#REF!,"")</f>
        <v>#REF!</v>
      </c>
      <c r="D1261" s="35" t="str">
        <f t="shared" ca="1" si="40"/>
        <v/>
      </c>
      <c r="E1261" s="3"/>
      <c r="F1261" s="3"/>
      <c r="G1261" s="3"/>
      <c r="H1261" s="3"/>
      <c r="K1261" t="str">
        <f t="shared" ca="1" si="41"/>
        <v/>
      </c>
    </row>
    <row r="1262" spans="1:11">
      <c r="A1262" s="23" t="e">
        <f>IF(Sheet2!#REF!&lt;&gt;"",Sheet2!#REF!,"")</f>
        <v>#REF!</v>
      </c>
      <c r="B1262" s="33" t="e">
        <f>IF(Sheet2!#REF!&lt;&gt;"",Sheet2!#REF!,"")</f>
        <v>#REF!</v>
      </c>
      <c r="C1262" s="34" t="e">
        <f>IF(Sheet2!#REF!&lt;&gt;"",Sheet2!#REF!,"")</f>
        <v>#REF!</v>
      </c>
      <c r="D1262" s="35" t="str">
        <f t="shared" ca="1" si="40"/>
        <v/>
      </c>
      <c r="E1262" s="3"/>
      <c r="F1262" s="3"/>
      <c r="G1262" s="3"/>
      <c r="H1262" s="3"/>
      <c r="K1262" t="str">
        <f t="shared" ca="1" si="41"/>
        <v/>
      </c>
    </row>
    <row r="1263" spans="1:11">
      <c r="A1263" s="23" t="e">
        <f>IF(Sheet2!#REF!&lt;&gt;"",Sheet2!#REF!,"")</f>
        <v>#REF!</v>
      </c>
      <c r="B1263" s="33" t="e">
        <f>IF(Sheet2!#REF!&lt;&gt;"",Sheet2!#REF!,"")</f>
        <v>#REF!</v>
      </c>
      <c r="C1263" s="34" t="e">
        <f>IF(Sheet2!#REF!&lt;&gt;"",Sheet2!#REF!,"")</f>
        <v>#REF!</v>
      </c>
      <c r="D1263" s="35" t="str">
        <f t="shared" ca="1" si="40"/>
        <v/>
      </c>
      <c r="E1263" s="3"/>
      <c r="F1263" s="3"/>
      <c r="G1263" s="3"/>
      <c r="H1263" s="3"/>
      <c r="K1263" t="str">
        <f t="shared" ca="1" si="41"/>
        <v/>
      </c>
    </row>
    <row r="1264" spans="1:11">
      <c r="A1264" s="23" t="e">
        <f>IF(Sheet2!#REF!&lt;&gt;"",Sheet2!#REF!,"")</f>
        <v>#REF!</v>
      </c>
      <c r="B1264" s="33" t="e">
        <f>IF(Sheet2!#REF!&lt;&gt;"",Sheet2!#REF!,"")</f>
        <v>#REF!</v>
      </c>
      <c r="C1264" s="34" t="e">
        <f>IF(Sheet2!#REF!&lt;&gt;"",Sheet2!#REF!,"")</f>
        <v>#REF!</v>
      </c>
      <c r="D1264" s="35" t="str">
        <f t="shared" ca="1" si="40"/>
        <v/>
      </c>
      <c r="E1264" s="3"/>
      <c r="F1264" s="3"/>
      <c r="G1264" s="3"/>
      <c r="H1264" s="3"/>
      <c r="K1264" t="str">
        <f t="shared" ca="1" si="41"/>
        <v/>
      </c>
    </row>
    <row r="1265" spans="1:11">
      <c r="A1265" s="23" t="e">
        <f>IF(Sheet2!#REF!&lt;&gt;"",Sheet2!#REF!,"")</f>
        <v>#REF!</v>
      </c>
      <c r="B1265" s="33" t="e">
        <f>IF(Sheet2!#REF!&lt;&gt;"",Sheet2!#REF!,"")</f>
        <v>#REF!</v>
      </c>
      <c r="C1265" s="34" t="e">
        <f>IF(Sheet2!#REF!&lt;&gt;"",Sheet2!#REF!,"")</f>
        <v>#REF!</v>
      </c>
      <c r="D1265" s="35" t="str">
        <f t="shared" ca="1" si="40"/>
        <v/>
      </c>
      <c r="E1265" s="3"/>
      <c r="F1265" s="3"/>
      <c r="G1265" s="3"/>
      <c r="H1265" s="3"/>
      <c r="K1265" t="str">
        <f t="shared" ca="1" si="41"/>
        <v/>
      </c>
    </row>
    <row r="1266" spans="1:11">
      <c r="A1266" s="23" t="e">
        <f>IF(Sheet2!#REF!&lt;&gt;"",Sheet2!#REF!,"")</f>
        <v>#REF!</v>
      </c>
      <c r="B1266" s="33" t="e">
        <f>IF(Sheet2!#REF!&lt;&gt;"",Sheet2!#REF!,"")</f>
        <v>#REF!</v>
      </c>
      <c r="C1266" s="34" t="e">
        <f>IF(Sheet2!#REF!&lt;&gt;"",Sheet2!#REF!,"")</f>
        <v>#REF!</v>
      </c>
      <c r="D1266" s="35" t="str">
        <f t="shared" ca="1" si="40"/>
        <v/>
      </c>
      <c r="E1266" s="3"/>
      <c r="F1266" s="3"/>
      <c r="G1266" s="3"/>
      <c r="H1266" s="3"/>
      <c r="K1266" t="str">
        <f t="shared" ca="1" si="41"/>
        <v/>
      </c>
    </row>
    <row r="1267" spans="1:11">
      <c r="A1267" s="23" t="e">
        <f>IF(Sheet2!#REF!&lt;&gt;"",Sheet2!#REF!,"")</f>
        <v>#REF!</v>
      </c>
      <c r="B1267" s="33" t="e">
        <f>IF(Sheet2!#REF!&lt;&gt;"",Sheet2!#REF!,"")</f>
        <v>#REF!</v>
      </c>
      <c r="C1267" s="34" t="e">
        <f>IF(Sheet2!#REF!&lt;&gt;"",Sheet2!#REF!,"")</f>
        <v>#REF!</v>
      </c>
      <c r="D1267" s="35" t="str">
        <f t="shared" ca="1" si="40"/>
        <v/>
      </c>
      <c r="E1267" s="3"/>
      <c r="F1267" s="3"/>
      <c r="G1267" s="3"/>
      <c r="H1267" s="3"/>
      <c r="K1267" t="str">
        <f t="shared" ca="1" si="41"/>
        <v/>
      </c>
    </row>
    <row r="1268" spans="1:11">
      <c r="A1268" s="23" t="e">
        <f>IF(Sheet2!#REF!&lt;&gt;"",Sheet2!#REF!,"")</f>
        <v>#REF!</v>
      </c>
      <c r="B1268" s="33" t="e">
        <f>IF(Sheet2!#REF!&lt;&gt;"",Sheet2!#REF!,"")</f>
        <v>#REF!</v>
      </c>
      <c r="C1268" s="34" t="e">
        <f>IF(Sheet2!#REF!&lt;&gt;"",Sheet2!#REF!,"")</f>
        <v>#REF!</v>
      </c>
      <c r="D1268" s="35" t="str">
        <f t="shared" ca="1" si="40"/>
        <v/>
      </c>
      <c r="E1268" s="3"/>
      <c r="F1268" s="3"/>
      <c r="G1268" s="3"/>
      <c r="H1268" s="3"/>
      <c r="K1268" t="str">
        <f t="shared" ca="1" si="41"/>
        <v/>
      </c>
    </row>
    <row r="1269" spans="1:11">
      <c r="A1269" s="23" t="e">
        <f>IF(Sheet2!#REF!&lt;&gt;"",Sheet2!#REF!,"")</f>
        <v>#REF!</v>
      </c>
      <c r="B1269" s="33" t="e">
        <f>IF(Sheet2!#REF!&lt;&gt;"",Sheet2!#REF!,"")</f>
        <v>#REF!</v>
      </c>
      <c r="C1269" s="34" t="e">
        <f>IF(Sheet2!#REF!&lt;&gt;"",Sheet2!#REF!,"")</f>
        <v>#REF!</v>
      </c>
      <c r="D1269" s="35" t="str">
        <f t="shared" ca="1" si="40"/>
        <v/>
      </c>
      <c r="E1269" s="3"/>
      <c r="F1269" s="3"/>
      <c r="G1269" s="3"/>
      <c r="H1269" s="3"/>
      <c r="K1269" t="str">
        <f t="shared" ca="1" si="41"/>
        <v/>
      </c>
    </row>
    <row r="1270" spans="1:11">
      <c r="A1270" s="23" t="e">
        <f>IF(Sheet2!#REF!&lt;&gt;"",Sheet2!#REF!,"")</f>
        <v>#REF!</v>
      </c>
      <c r="B1270" s="33" t="e">
        <f>IF(Sheet2!#REF!&lt;&gt;"",Sheet2!#REF!,"")</f>
        <v>#REF!</v>
      </c>
      <c r="C1270" s="34" t="e">
        <f>IF(Sheet2!#REF!&lt;&gt;"",Sheet2!#REF!,"")</f>
        <v>#REF!</v>
      </c>
      <c r="D1270" s="35" t="str">
        <f t="shared" ca="1" si="40"/>
        <v/>
      </c>
      <c r="E1270" s="3"/>
      <c r="F1270" s="3"/>
      <c r="G1270" s="3"/>
      <c r="H1270" s="3"/>
      <c r="K1270" t="str">
        <f t="shared" ca="1" si="41"/>
        <v/>
      </c>
    </row>
    <row r="1271" spans="1:11">
      <c r="A1271" s="23" t="e">
        <f>IF(Sheet2!#REF!&lt;&gt;"",Sheet2!#REF!,"")</f>
        <v>#REF!</v>
      </c>
      <c r="B1271" s="33" t="e">
        <f>IF(Sheet2!#REF!&lt;&gt;"",Sheet2!#REF!,"")</f>
        <v>#REF!</v>
      </c>
      <c r="C1271" s="34" t="e">
        <f>IF(Sheet2!#REF!&lt;&gt;"",Sheet2!#REF!,"")</f>
        <v>#REF!</v>
      </c>
      <c r="D1271" s="35" t="str">
        <f t="shared" ca="1" si="40"/>
        <v/>
      </c>
      <c r="E1271" s="3"/>
      <c r="F1271" s="3"/>
      <c r="G1271" s="3"/>
      <c r="H1271" s="3"/>
      <c r="K1271" t="str">
        <f t="shared" ca="1" si="41"/>
        <v/>
      </c>
    </row>
    <row r="1272" spans="1:11">
      <c r="A1272" s="23" t="e">
        <f>IF(Sheet2!#REF!&lt;&gt;"",Sheet2!#REF!,"")</f>
        <v>#REF!</v>
      </c>
      <c r="B1272" s="33" t="e">
        <f>IF(Sheet2!#REF!&lt;&gt;"",Sheet2!#REF!,"")</f>
        <v>#REF!</v>
      </c>
      <c r="C1272" s="34" t="e">
        <f>IF(Sheet2!#REF!&lt;&gt;"",Sheet2!#REF!,"")</f>
        <v>#REF!</v>
      </c>
      <c r="D1272" s="35" t="str">
        <f t="shared" ca="1" si="40"/>
        <v/>
      </c>
      <c r="E1272" s="3"/>
      <c r="F1272" s="3"/>
      <c r="G1272" s="3"/>
      <c r="H1272" s="3"/>
      <c r="K1272" t="str">
        <f t="shared" ca="1" si="41"/>
        <v/>
      </c>
    </row>
    <row r="1273" spans="1:11">
      <c r="A1273" s="23" t="e">
        <f>IF(Sheet2!#REF!&lt;&gt;"",Sheet2!#REF!,"")</f>
        <v>#REF!</v>
      </c>
      <c r="B1273" s="33" t="e">
        <f>IF(Sheet2!#REF!&lt;&gt;"",Sheet2!#REF!,"")</f>
        <v>#REF!</v>
      </c>
      <c r="C1273" s="34" t="e">
        <f>IF(Sheet2!#REF!&lt;&gt;"",Sheet2!#REF!,"")</f>
        <v>#REF!</v>
      </c>
      <c r="D1273" s="35" t="str">
        <f t="shared" ca="1" si="40"/>
        <v/>
      </c>
      <c r="E1273" s="3"/>
      <c r="F1273" s="3"/>
      <c r="G1273" s="3"/>
      <c r="H1273" s="3"/>
      <c r="K1273" t="str">
        <f t="shared" ca="1" si="41"/>
        <v/>
      </c>
    </row>
    <row r="1274" spans="1:11">
      <c r="A1274" s="23" t="e">
        <f>IF(Sheet2!#REF!&lt;&gt;"",Sheet2!#REF!,"")</f>
        <v>#REF!</v>
      </c>
      <c r="B1274" s="33" t="e">
        <f>IF(Sheet2!#REF!&lt;&gt;"",Sheet2!#REF!,"")</f>
        <v>#REF!</v>
      </c>
      <c r="C1274" s="34" t="e">
        <f>IF(Sheet2!#REF!&lt;&gt;"",Sheet2!#REF!,"")</f>
        <v>#REF!</v>
      </c>
      <c r="D1274" s="35" t="str">
        <f t="shared" ca="1" si="40"/>
        <v/>
      </c>
      <c r="E1274" s="3"/>
      <c r="F1274" s="3"/>
      <c r="G1274" s="3"/>
      <c r="H1274" s="3"/>
      <c r="K1274" t="str">
        <f t="shared" ca="1" si="41"/>
        <v/>
      </c>
    </row>
    <row r="1275" spans="1:11">
      <c r="A1275" s="23" t="e">
        <f>IF(Sheet2!#REF!&lt;&gt;"",Sheet2!#REF!,"")</f>
        <v>#REF!</v>
      </c>
      <c r="B1275" s="33" t="e">
        <f>IF(Sheet2!#REF!&lt;&gt;"",Sheet2!#REF!,"")</f>
        <v>#REF!</v>
      </c>
      <c r="C1275" s="34" t="e">
        <f>IF(Sheet2!#REF!&lt;&gt;"",Sheet2!#REF!,"")</f>
        <v>#REF!</v>
      </c>
      <c r="D1275" s="35" t="str">
        <f t="shared" ca="1" si="40"/>
        <v/>
      </c>
      <c r="E1275" s="3"/>
      <c r="F1275" s="3"/>
      <c r="G1275" s="3"/>
      <c r="H1275" s="3"/>
      <c r="K1275" t="str">
        <f t="shared" ca="1" si="41"/>
        <v/>
      </c>
    </row>
    <row r="1276" spans="1:11">
      <c r="A1276" s="23" t="e">
        <f>IF(Sheet2!#REF!&lt;&gt;"",Sheet2!#REF!,"")</f>
        <v>#REF!</v>
      </c>
      <c r="B1276" s="33" t="e">
        <f>IF(Sheet2!#REF!&lt;&gt;"",Sheet2!#REF!,"")</f>
        <v>#REF!</v>
      </c>
      <c r="C1276" s="34" t="e">
        <f>IF(Sheet2!#REF!&lt;&gt;"",Sheet2!#REF!,"")</f>
        <v>#REF!</v>
      </c>
      <c r="D1276" s="35" t="str">
        <f t="shared" ca="1" si="40"/>
        <v/>
      </c>
      <c r="E1276" s="3"/>
      <c r="F1276" s="3"/>
      <c r="G1276" s="3"/>
      <c r="H1276" s="3"/>
      <c r="K1276" t="str">
        <f t="shared" ca="1" si="41"/>
        <v/>
      </c>
    </row>
    <row r="1277" spans="1:11">
      <c r="A1277" s="23" t="e">
        <f>IF(Sheet2!#REF!&lt;&gt;"",Sheet2!#REF!,"")</f>
        <v>#REF!</v>
      </c>
      <c r="B1277" s="33" t="e">
        <f>IF(Sheet2!#REF!&lt;&gt;"",Sheet2!#REF!,"")</f>
        <v>#REF!</v>
      </c>
      <c r="C1277" s="34" t="e">
        <f>IF(Sheet2!#REF!&lt;&gt;"",Sheet2!#REF!,"")</f>
        <v>#REF!</v>
      </c>
      <c r="D1277" s="35" t="str">
        <f t="shared" ca="1" si="40"/>
        <v/>
      </c>
      <c r="E1277" s="3"/>
      <c r="F1277" s="3"/>
      <c r="G1277" s="3"/>
      <c r="H1277" s="3"/>
      <c r="K1277" t="str">
        <f t="shared" ca="1" si="41"/>
        <v/>
      </c>
    </row>
    <row r="1278" spans="1:11">
      <c r="A1278" s="23" t="e">
        <f>IF(Sheet2!#REF!&lt;&gt;"",Sheet2!#REF!,"")</f>
        <v>#REF!</v>
      </c>
      <c r="B1278" s="33" t="e">
        <f>IF(Sheet2!#REF!&lt;&gt;"",Sheet2!#REF!,"")</f>
        <v>#REF!</v>
      </c>
      <c r="C1278" s="34" t="e">
        <f>IF(Sheet2!#REF!&lt;&gt;"",Sheet2!#REF!,"")</f>
        <v>#REF!</v>
      </c>
      <c r="D1278" s="35" t="str">
        <f t="shared" ca="1" si="40"/>
        <v/>
      </c>
      <c r="E1278" s="3"/>
      <c r="F1278" s="3"/>
      <c r="G1278" s="3"/>
      <c r="H1278" s="3"/>
      <c r="K1278" t="str">
        <f t="shared" ca="1" si="41"/>
        <v/>
      </c>
    </row>
    <row r="1279" spans="1:11">
      <c r="A1279" s="23" t="e">
        <f>IF(Sheet2!#REF!&lt;&gt;"",Sheet2!#REF!,"")</f>
        <v>#REF!</v>
      </c>
      <c r="B1279" s="33" t="e">
        <f>IF(Sheet2!#REF!&lt;&gt;"",Sheet2!#REF!,"")</f>
        <v>#REF!</v>
      </c>
      <c r="C1279" s="34" t="e">
        <f>IF(Sheet2!#REF!&lt;&gt;"",Sheet2!#REF!,"")</f>
        <v>#REF!</v>
      </c>
      <c r="D1279" s="35" t="str">
        <f t="shared" ca="1" si="40"/>
        <v/>
      </c>
      <c r="E1279" s="3"/>
      <c r="F1279" s="3"/>
      <c r="G1279" s="3"/>
      <c r="H1279" s="3"/>
      <c r="K1279" t="str">
        <f t="shared" ca="1" si="41"/>
        <v/>
      </c>
    </row>
    <row r="1280" spans="1:11">
      <c r="A1280" s="23" t="e">
        <f>IF(Sheet2!#REF!&lt;&gt;"",Sheet2!#REF!,"")</f>
        <v>#REF!</v>
      </c>
      <c r="B1280" s="33" t="e">
        <f>IF(Sheet2!#REF!&lt;&gt;"",Sheet2!#REF!,"")</f>
        <v>#REF!</v>
      </c>
      <c r="C1280" s="34" t="e">
        <f>IF(Sheet2!#REF!&lt;&gt;"",Sheet2!#REF!,"")</f>
        <v>#REF!</v>
      </c>
      <c r="D1280" s="35" t="str">
        <f t="shared" ca="1" si="40"/>
        <v/>
      </c>
      <c r="E1280" s="3"/>
      <c r="F1280" s="3"/>
      <c r="G1280" s="3"/>
      <c r="H1280" s="3"/>
      <c r="K1280" t="str">
        <f t="shared" ca="1" si="41"/>
        <v/>
      </c>
    </row>
    <row r="1281" spans="1:11">
      <c r="A1281" s="23" t="e">
        <f>IF(Sheet2!#REF!&lt;&gt;"",Sheet2!#REF!,"")</f>
        <v>#REF!</v>
      </c>
      <c r="B1281" s="33" t="e">
        <f>IF(Sheet2!#REF!&lt;&gt;"",Sheet2!#REF!,"")</f>
        <v>#REF!</v>
      </c>
      <c r="C1281" s="34" t="e">
        <f>IF(Sheet2!#REF!&lt;&gt;"",Sheet2!#REF!,"")</f>
        <v>#REF!</v>
      </c>
      <c r="D1281" s="35" t="str">
        <f t="shared" ca="1" si="40"/>
        <v/>
      </c>
      <c r="E1281" s="3"/>
      <c r="F1281" s="3"/>
      <c r="G1281" s="3"/>
      <c r="H1281" s="3"/>
      <c r="K1281" t="str">
        <f t="shared" ca="1" si="41"/>
        <v/>
      </c>
    </row>
    <row r="1282" spans="1:11">
      <c r="A1282" s="23" t="e">
        <f>IF(Sheet2!#REF!&lt;&gt;"",Sheet2!#REF!,"")</f>
        <v>#REF!</v>
      </c>
      <c r="B1282" s="33" t="e">
        <f>IF(Sheet2!#REF!&lt;&gt;"",Sheet2!#REF!,"")</f>
        <v>#REF!</v>
      </c>
      <c r="C1282" s="34" t="e">
        <f>IF(Sheet2!#REF!&lt;&gt;"",Sheet2!#REF!,"")</f>
        <v>#REF!</v>
      </c>
      <c r="D1282" s="35" t="str">
        <f t="shared" ca="1" si="40"/>
        <v/>
      </c>
      <c r="E1282" s="3"/>
      <c r="F1282" s="3"/>
      <c r="G1282" s="3"/>
      <c r="H1282" s="3"/>
      <c r="K1282" t="str">
        <f t="shared" ca="1" si="41"/>
        <v/>
      </c>
    </row>
    <row r="1283" spans="1:11">
      <c r="A1283" s="23" t="e">
        <f>IF(Sheet2!#REF!&lt;&gt;"",Sheet2!#REF!,"")</f>
        <v>#REF!</v>
      </c>
      <c r="B1283" s="33" t="e">
        <f>IF(Sheet2!#REF!&lt;&gt;"",Sheet2!#REF!,"")</f>
        <v>#REF!</v>
      </c>
      <c r="C1283" s="34" t="e">
        <f>IF(Sheet2!#REF!&lt;&gt;"",Sheet2!#REF!,"")</f>
        <v>#REF!</v>
      </c>
      <c r="D1283" s="35" t="str">
        <f t="shared" ref="D1283:D1346" ca="1" si="42">IFERROR(IF(AND((C1283-TODAY())&lt;15,B1283&lt;&gt;""),IF(I1283="","Alert",""),""),"")</f>
        <v/>
      </c>
      <c r="E1283" s="3"/>
      <c r="F1283" s="3"/>
      <c r="G1283" s="3"/>
      <c r="H1283" s="3"/>
      <c r="K1283" t="str">
        <f t="shared" ref="K1283:K1346" ca="1" si="43">IF(I1283&lt;&gt;"",IF(J1283="",IF(TODAY()-I1283&gt;3,"ALERT",""),""),"")</f>
        <v/>
      </c>
    </row>
    <row r="1284" spans="1:11">
      <c r="A1284" s="23" t="e">
        <f>IF(Sheet2!#REF!&lt;&gt;"",Sheet2!#REF!,"")</f>
        <v>#REF!</v>
      </c>
      <c r="B1284" s="33" t="e">
        <f>IF(Sheet2!#REF!&lt;&gt;"",Sheet2!#REF!,"")</f>
        <v>#REF!</v>
      </c>
      <c r="C1284" s="34" t="e">
        <f>IF(Sheet2!#REF!&lt;&gt;"",Sheet2!#REF!,"")</f>
        <v>#REF!</v>
      </c>
      <c r="D1284" s="35" t="str">
        <f t="shared" ca="1" si="42"/>
        <v/>
      </c>
      <c r="E1284" s="3"/>
      <c r="F1284" s="3"/>
      <c r="G1284" s="3"/>
      <c r="H1284" s="3"/>
      <c r="K1284" t="str">
        <f t="shared" ca="1" si="43"/>
        <v/>
      </c>
    </row>
    <row r="1285" spans="1:11">
      <c r="A1285" s="23" t="e">
        <f>IF(Sheet2!#REF!&lt;&gt;"",Sheet2!#REF!,"")</f>
        <v>#REF!</v>
      </c>
      <c r="B1285" s="33" t="e">
        <f>IF(Sheet2!#REF!&lt;&gt;"",Sheet2!#REF!,"")</f>
        <v>#REF!</v>
      </c>
      <c r="C1285" s="34" t="e">
        <f>IF(Sheet2!#REF!&lt;&gt;"",Sheet2!#REF!,"")</f>
        <v>#REF!</v>
      </c>
      <c r="D1285" s="35" t="str">
        <f t="shared" ca="1" si="42"/>
        <v/>
      </c>
      <c r="E1285" s="3"/>
      <c r="F1285" s="3"/>
      <c r="G1285" s="3"/>
      <c r="H1285" s="3"/>
      <c r="K1285" t="str">
        <f t="shared" ca="1" si="43"/>
        <v/>
      </c>
    </row>
    <row r="1286" spans="1:11">
      <c r="A1286" s="23" t="e">
        <f>IF(Sheet2!#REF!&lt;&gt;"",Sheet2!#REF!,"")</f>
        <v>#REF!</v>
      </c>
      <c r="B1286" s="33" t="e">
        <f>IF(Sheet2!#REF!&lt;&gt;"",Sheet2!#REF!,"")</f>
        <v>#REF!</v>
      </c>
      <c r="C1286" s="34" t="e">
        <f>IF(Sheet2!#REF!&lt;&gt;"",Sheet2!#REF!,"")</f>
        <v>#REF!</v>
      </c>
      <c r="D1286" s="35" t="str">
        <f t="shared" ca="1" si="42"/>
        <v/>
      </c>
      <c r="E1286" s="3"/>
      <c r="F1286" s="3"/>
      <c r="G1286" s="3"/>
      <c r="H1286" s="3"/>
      <c r="K1286" t="str">
        <f t="shared" ca="1" si="43"/>
        <v/>
      </c>
    </row>
    <row r="1287" spans="1:11">
      <c r="A1287" s="23" t="e">
        <f>IF(Sheet2!#REF!&lt;&gt;"",Sheet2!#REF!,"")</f>
        <v>#REF!</v>
      </c>
      <c r="B1287" s="33" t="e">
        <f>IF(Sheet2!#REF!&lt;&gt;"",Sheet2!#REF!,"")</f>
        <v>#REF!</v>
      </c>
      <c r="C1287" s="34" t="e">
        <f>IF(Sheet2!#REF!&lt;&gt;"",Sheet2!#REF!,"")</f>
        <v>#REF!</v>
      </c>
      <c r="D1287" s="35" t="str">
        <f t="shared" ca="1" si="42"/>
        <v/>
      </c>
      <c r="E1287" s="3"/>
      <c r="F1287" s="3"/>
      <c r="G1287" s="3"/>
      <c r="H1287" s="3"/>
      <c r="K1287" t="str">
        <f t="shared" ca="1" si="43"/>
        <v/>
      </c>
    </row>
    <row r="1288" spans="1:11">
      <c r="A1288" s="23" t="e">
        <f>IF(Sheet2!#REF!&lt;&gt;"",Sheet2!#REF!,"")</f>
        <v>#REF!</v>
      </c>
      <c r="B1288" s="33" t="e">
        <f>IF(Sheet2!#REF!&lt;&gt;"",Sheet2!#REF!,"")</f>
        <v>#REF!</v>
      </c>
      <c r="C1288" s="34" t="e">
        <f>IF(Sheet2!#REF!&lt;&gt;"",Sheet2!#REF!,"")</f>
        <v>#REF!</v>
      </c>
      <c r="D1288" s="35" t="str">
        <f t="shared" ca="1" si="42"/>
        <v/>
      </c>
      <c r="E1288" s="3"/>
      <c r="F1288" s="3"/>
      <c r="G1288" s="3"/>
      <c r="H1288" s="3"/>
      <c r="K1288" t="str">
        <f t="shared" ca="1" si="43"/>
        <v/>
      </c>
    </row>
    <row r="1289" spans="1:11">
      <c r="A1289" s="23" t="e">
        <f>IF(Sheet2!#REF!&lt;&gt;"",Sheet2!#REF!,"")</f>
        <v>#REF!</v>
      </c>
      <c r="B1289" s="33" t="e">
        <f>IF(Sheet2!#REF!&lt;&gt;"",Sheet2!#REF!,"")</f>
        <v>#REF!</v>
      </c>
      <c r="C1289" s="34" t="e">
        <f>IF(Sheet2!#REF!&lt;&gt;"",Sheet2!#REF!,"")</f>
        <v>#REF!</v>
      </c>
      <c r="D1289" s="35" t="str">
        <f t="shared" ca="1" si="42"/>
        <v/>
      </c>
      <c r="E1289" s="3"/>
      <c r="F1289" s="3"/>
      <c r="G1289" s="3"/>
      <c r="H1289" s="3"/>
      <c r="K1289" t="str">
        <f t="shared" ca="1" si="43"/>
        <v/>
      </c>
    </row>
    <row r="1290" spans="1:11">
      <c r="A1290" s="23" t="e">
        <f>IF(Sheet2!#REF!&lt;&gt;"",Sheet2!#REF!,"")</f>
        <v>#REF!</v>
      </c>
      <c r="B1290" s="33" t="e">
        <f>IF(Sheet2!#REF!&lt;&gt;"",Sheet2!#REF!,"")</f>
        <v>#REF!</v>
      </c>
      <c r="C1290" s="34" t="e">
        <f>IF(Sheet2!#REF!&lt;&gt;"",Sheet2!#REF!,"")</f>
        <v>#REF!</v>
      </c>
      <c r="D1290" s="35" t="str">
        <f t="shared" ca="1" si="42"/>
        <v/>
      </c>
      <c r="E1290" s="3"/>
      <c r="F1290" s="3"/>
      <c r="G1290" s="3"/>
      <c r="H1290" s="3"/>
      <c r="K1290" t="str">
        <f t="shared" ca="1" si="43"/>
        <v/>
      </c>
    </row>
    <row r="1291" spans="1:11">
      <c r="A1291" s="23" t="e">
        <f>IF(Sheet2!#REF!&lt;&gt;"",Sheet2!#REF!,"")</f>
        <v>#REF!</v>
      </c>
      <c r="B1291" s="33" t="e">
        <f>IF(Sheet2!#REF!&lt;&gt;"",Sheet2!#REF!,"")</f>
        <v>#REF!</v>
      </c>
      <c r="C1291" s="34" t="e">
        <f>IF(Sheet2!#REF!&lt;&gt;"",Sheet2!#REF!,"")</f>
        <v>#REF!</v>
      </c>
      <c r="D1291" s="35" t="str">
        <f t="shared" ca="1" si="42"/>
        <v/>
      </c>
      <c r="E1291" s="3"/>
      <c r="F1291" s="3"/>
      <c r="G1291" s="3"/>
      <c r="H1291" s="3"/>
      <c r="K1291" t="str">
        <f t="shared" ca="1" si="43"/>
        <v/>
      </c>
    </row>
    <row r="1292" spans="1:11">
      <c r="A1292" s="23" t="e">
        <f>IF(Sheet2!#REF!&lt;&gt;"",Sheet2!#REF!,"")</f>
        <v>#REF!</v>
      </c>
      <c r="B1292" s="33" t="e">
        <f>IF(Sheet2!#REF!&lt;&gt;"",Sheet2!#REF!,"")</f>
        <v>#REF!</v>
      </c>
      <c r="C1292" s="34" t="e">
        <f>IF(Sheet2!#REF!&lt;&gt;"",Sheet2!#REF!,"")</f>
        <v>#REF!</v>
      </c>
      <c r="D1292" s="35" t="str">
        <f t="shared" ca="1" si="42"/>
        <v/>
      </c>
      <c r="E1292" s="3"/>
      <c r="F1292" s="3"/>
      <c r="G1292" s="3"/>
      <c r="H1292" s="3"/>
      <c r="K1292" t="str">
        <f t="shared" ca="1" si="43"/>
        <v/>
      </c>
    </row>
    <row r="1293" spans="1:11">
      <c r="A1293" s="23" t="e">
        <f>IF(Sheet2!#REF!&lt;&gt;"",Sheet2!#REF!,"")</f>
        <v>#REF!</v>
      </c>
      <c r="B1293" s="33" t="e">
        <f>IF(Sheet2!#REF!&lt;&gt;"",Sheet2!#REF!,"")</f>
        <v>#REF!</v>
      </c>
      <c r="C1293" s="34" t="e">
        <f>IF(Sheet2!#REF!&lt;&gt;"",Sheet2!#REF!,"")</f>
        <v>#REF!</v>
      </c>
      <c r="D1293" s="35" t="str">
        <f t="shared" ca="1" si="42"/>
        <v/>
      </c>
      <c r="E1293" s="3"/>
      <c r="F1293" s="3"/>
      <c r="G1293" s="3"/>
      <c r="H1293" s="3"/>
      <c r="K1293" t="str">
        <f t="shared" ca="1" si="43"/>
        <v/>
      </c>
    </row>
    <row r="1294" spans="1:11">
      <c r="A1294" s="23" t="e">
        <f>IF(Sheet2!#REF!&lt;&gt;"",Sheet2!#REF!,"")</f>
        <v>#REF!</v>
      </c>
      <c r="B1294" s="33" t="e">
        <f>IF(Sheet2!#REF!&lt;&gt;"",Sheet2!#REF!,"")</f>
        <v>#REF!</v>
      </c>
      <c r="C1294" s="34" t="e">
        <f>IF(Sheet2!#REF!&lt;&gt;"",Sheet2!#REF!,"")</f>
        <v>#REF!</v>
      </c>
      <c r="D1294" s="35" t="str">
        <f t="shared" ca="1" si="42"/>
        <v/>
      </c>
      <c r="E1294" s="3"/>
      <c r="F1294" s="3"/>
      <c r="G1294" s="3"/>
      <c r="H1294" s="3"/>
      <c r="K1294" t="str">
        <f t="shared" ca="1" si="43"/>
        <v/>
      </c>
    </row>
    <row r="1295" spans="1:11">
      <c r="A1295" s="23" t="e">
        <f>IF(Sheet2!#REF!&lt;&gt;"",Sheet2!#REF!,"")</f>
        <v>#REF!</v>
      </c>
      <c r="B1295" s="33" t="e">
        <f>IF(Sheet2!#REF!&lt;&gt;"",Sheet2!#REF!,"")</f>
        <v>#REF!</v>
      </c>
      <c r="C1295" s="34" t="e">
        <f>IF(Sheet2!#REF!&lt;&gt;"",Sheet2!#REF!,"")</f>
        <v>#REF!</v>
      </c>
      <c r="D1295" s="35" t="str">
        <f t="shared" ca="1" si="42"/>
        <v/>
      </c>
      <c r="E1295" s="3"/>
      <c r="F1295" s="3"/>
      <c r="G1295" s="3"/>
      <c r="H1295" s="3"/>
      <c r="K1295" t="str">
        <f t="shared" ca="1" si="43"/>
        <v/>
      </c>
    </row>
    <row r="1296" spans="1:11">
      <c r="A1296" s="23" t="e">
        <f>IF(Sheet2!#REF!&lt;&gt;"",Sheet2!#REF!,"")</f>
        <v>#REF!</v>
      </c>
      <c r="B1296" s="33" t="e">
        <f>IF(Sheet2!#REF!&lt;&gt;"",Sheet2!#REF!,"")</f>
        <v>#REF!</v>
      </c>
      <c r="C1296" s="34" t="e">
        <f>IF(Sheet2!#REF!&lt;&gt;"",Sheet2!#REF!,"")</f>
        <v>#REF!</v>
      </c>
      <c r="D1296" s="35" t="str">
        <f t="shared" ca="1" si="42"/>
        <v/>
      </c>
      <c r="E1296" s="3"/>
      <c r="F1296" s="3"/>
      <c r="G1296" s="3"/>
      <c r="H1296" s="3"/>
      <c r="K1296" t="str">
        <f t="shared" ca="1" si="43"/>
        <v/>
      </c>
    </row>
    <row r="1297" spans="1:11">
      <c r="A1297" s="23" t="e">
        <f>IF(Sheet2!#REF!&lt;&gt;"",Sheet2!#REF!,"")</f>
        <v>#REF!</v>
      </c>
      <c r="B1297" s="33" t="e">
        <f>IF(Sheet2!#REF!&lt;&gt;"",Sheet2!#REF!,"")</f>
        <v>#REF!</v>
      </c>
      <c r="C1297" s="34" t="e">
        <f>IF(Sheet2!#REF!&lt;&gt;"",Sheet2!#REF!,"")</f>
        <v>#REF!</v>
      </c>
      <c r="D1297" s="35" t="str">
        <f t="shared" ca="1" si="42"/>
        <v/>
      </c>
      <c r="E1297" s="3"/>
      <c r="F1297" s="3"/>
      <c r="G1297" s="3"/>
      <c r="H1297" s="3"/>
      <c r="K1297" t="str">
        <f t="shared" ca="1" si="43"/>
        <v/>
      </c>
    </row>
    <row r="1298" spans="1:11">
      <c r="A1298" s="23" t="e">
        <f>IF(Sheet2!#REF!&lt;&gt;"",Sheet2!#REF!,"")</f>
        <v>#REF!</v>
      </c>
      <c r="B1298" s="33" t="e">
        <f>IF(Sheet2!#REF!&lt;&gt;"",Sheet2!#REF!,"")</f>
        <v>#REF!</v>
      </c>
      <c r="C1298" s="34" t="e">
        <f>IF(Sheet2!#REF!&lt;&gt;"",Sheet2!#REF!,"")</f>
        <v>#REF!</v>
      </c>
      <c r="D1298" s="35" t="str">
        <f t="shared" ca="1" si="42"/>
        <v/>
      </c>
      <c r="E1298" s="3"/>
      <c r="F1298" s="3"/>
      <c r="G1298" s="3"/>
      <c r="H1298" s="3"/>
      <c r="K1298" t="str">
        <f t="shared" ca="1" si="43"/>
        <v/>
      </c>
    </row>
    <row r="1299" spans="1:11">
      <c r="A1299" s="23" t="e">
        <f>IF(Sheet2!#REF!&lt;&gt;"",Sheet2!#REF!,"")</f>
        <v>#REF!</v>
      </c>
      <c r="B1299" s="33" t="e">
        <f>IF(Sheet2!#REF!&lt;&gt;"",Sheet2!#REF!,"")</f>
        <v>#REF!</v>
      </c>
      <c r="C1299" s="34" t="e">
        <f>IF(Sheet2!#REF!&lt;&gt;"",Sheet2!#REF!,"")</f>
        <v>#REF!</v>
      </c>
      <c r="D1299" s="35" t="str">
        <f t="shared" ca="1" si="42"/>
        <v/>
      </c>
      <c r="E1299" s="3"/>
      <c r="F1299" s="3"/>
      <c r="G1299" s="3"/>
      <c r="H1299" s="3"/>
      <c r="K1299" t="str">
        <f t="shared" ca="1" si="43"/>
        <v/>
      </c>
    </row>
    <row r="1300" spans="1:11">
      <c r="A1300" s="23" t="e">
        <f>IF(Sheet2!#REF!&lt;&gt;"",Sheet2!#REF!,"")</f>
        <v>#REF!</v>
      </c>
      <c r="B1300" s="33" t="e">
        <f>IF(Sheet2!#REF!&lt;&gt;"",Sheet2!#REF!,"")</f>
        <v>#REF!</v>
      </c>
      <c r="C1300" s="34" t="e">
        <f>IF(Sheet2!#REF!&lt;&gt;"",Sheet2!#REF!,"")</f>
        <v>#REF!</v>
      </c>
      <c r="D1300" s="35" t="str">
        <f t="shared" ca="1" si="42"/>
        <v/>
      </c>
      <c r="E1300" s="3"/>
      <c r="F1300" s="3"/>
      <c r="G1300" s="3"/>
      <c r="H1300" s="3"/>
      <c r="K1300" t="str">
        <f t="shared" ca="1" si="43"/>
        <v/>
      </c>
    </row>
    <row r="1301" spans="1:11">
      <c r="A1301" s="23" t="e">
        <f>IF(Sheet2!#REF!&lt;&gt;"",Sheet2!#REF!,"")</f>
        <v>#REF!</v>
      </c>
      <c r="B1301" s="33" t="e">
        <f>IF(Sheet2!#REF!&lt;&gt;"",Sheet2!#REF!,"")</f>
        <v>#REF!</v>
      </c>
      <c r="C1301" s="34" t="e">
        <f>IF(Sheet2!#REF!&lt;&gt;"",Sheet2!#REF!,"")</f>
        <v>#REF!</v>
      </c>
      <c r="D1301" s="35" t="str">
        <f t="shared" ca="1" si="42"/>
        <v/>
      </c>
      <c r="E1301" s="3"/>
      <c r="F1301" s="3"/>
      <c r="G1301" s="3"/>
      <c r="H1301" s="3"/>
      <c r="K1301" t="str">
        <f t="shared" ca="1" si="43"/>
        <v/>
      </c>
    </row>
    <row r="1302" spans="1:11">
      <c r="A1302" s="23" t="e">
        <f>IF(Sheet2!#REF!&lt;&gt;"",Sheet2!#REF!,"")</f>
        <v>#REF!</v>
      </c>
      <c r="B1302" s="33" t="e">
        <f>IF(Sheet2!#REF!&lt;&gt;"",Sheet2!#REF!,"")</f>
        <v>#REF!</v>
      </c>
      <c r="C1302" s="34" t="e">
        <f>IF(Sheet2!#REF!&lt;&gt;"",Sheet2!#REF!,"")</f>
        <v>#REF!</v>
      </c>
      <c r="D1302" s="35" t="str">
        <f t="shared" ca="1" si="42"/>
        <v/>
      </c>
      <c r="E1302" s="3"/>
      <c r="F1302" s="3"/>
      <c r="G1302" s="3"/>
      <c r="H1302" s="3"/>
      <c r="K1302" t="str">
        <f t="shared" ca="1" si="43"/>
        <v/>
      </c>
    </row>
    <row r="1303" spans="1:11">
      <c r="A1303" s="23" t="e">
        <f>IF(Sheet2!#REF!&lt;&gt;"",Sheet2!#REF!,"")</f>
        <v>#REF!</v>
      </c>
      <c r="B1303" s="33" t="e">
        <f>IF(Sheet2!#REF!&lt;&gt;"",Sheet2!#REF!,"")</f>
        <v>#REF!</v>
      </c>
      <c r="C1303" s="34" t="e">
        <f>IF(Sheet2!#REF!&lt;&gt;"",Sheet2!#REF!,"")</f>
        <v>#REF!</v>
      </c>
      <c r="D1303" s="35" t="str">
        <f t="shared" ca="1" si="42"/>
        <v/>
      </c>
      <c r="E1303" s="3"/>
      <c r="F1303" s="3"/>
      <c r="G1303" s="3"/>
      <c r="H1303" s="3"/>
      <c r="K1303" t="str">
        <f t="shared" ca="1" si="43"/>
        <v/>
      </c>
    </row>
    <row r="1304" spans="1:11">
      <c r="A1304" s="23" t="e">
        <f>IF(Sheet2!#REF!&lt;&gt;"",Sheet2!#REF!,"")</f>
        <v>#REF!</v>
      </c>
      <c r="B1304" s="33" t="e">
        <f>IF(Sheet2!#REF!&lt;&gt;"",Sheet2!#REF!,"")</f>
        <v>#REF!</v>
      </c>
      <c r="C1304" s="34" t="e">
        <f>IF(Sheet2!#REF!&lt;&gt;"",Sheet2!#REF!,"")</f>
        <v>#REF!</v>
      </c>
      <c r="D1304" s="35" t="str">
        <f t="shared" ca="1" si="42"/>
        <v/>
      </c>
      <c r="E1304" s="3"/>
      <c r="F1304" s="3"/>
      <c r="G1304" s="3"/>
      <c r="H1304" s="3"/>
      <c r="K1304" t="str">
        <f t="shared" ca="1" si="43"/>
        <v/>
      </c>
    </row>
    <row r="1305" spans="1:11">
      <c r="A1305" s="23" t="e">
        <f>IF(Sheet2!#REF!&lt;&gt;"",Sheet2!#REF!,"")</f>
        <v>#REF!</v>
      </c>
      <c r="B1305" s="33" t="e">
        <f>IF(Sheet2!#REF!&lt;&gt;"",Sheet2!#REF!,"")</f>
        <v>#REF!</v>
      </c>
      <c r="C1305" s="34" t="e">
        <f>IF(Sheet2!#REF!&lt;&gt;"",Sheet2!#REF!,"")</f>
        <v>#REF!</v>
      </c>
      <c r="D1305" s="35" t="str">
        <f t="shared" ca="1" si="42"/>
        <v/>
      </c>
      <c r="E1305" s="3"/>
      <c r="F1305" s="3"/>
      <c r="G1305" s="3"/>
      <c r="H1305" s="3"/>
      <c r="K1305" t="str">
        <f t="shared" ca="1" si="43"/>
        <v/>
      </c>
    </row>
    <row r="1306" spans="1:11">
      <c r="A1306" s="23" t="e">
        <f>IF(Sheet2!#REF!&lt;&gt;"",Sheet2!#REF!,"")</f>
        <v>#REF!</v>
      </c>
      <c r="B1306" s="33" t="e">
        <f>IF(Sheet2!#REF!&lt;&gt;"",Sheet2!#REF!,"")</f>
        <v>#REF!</v>
      </c>
      <c r="C1306" s="34" t="e">
        <f>IF(Sheet2!#REF!&lt;&gt;"",Sheet2!#REF!,"")</f>
        <v>#REF!</v>
      </c>
      <c r="D1306" s="35" t="str">
        <f t="shared" ca="1" si="42"/>
        <v/>
      </c>
      <c r="E1306" s="3"/>
      <c r="F1306" s="3"/>
      <c r="G1306" s="3"/>
      <c r="H1306" s="3"/>
      <c r="K1306" t="str">
        <f t="shared" ca="1" si="43"/>
        <v/>
      </c>
    </row>
    <row r="1307" spans="1:11">
      <c r="A1307" s="23" t="e">
        <f>IF(Sheet2!#REF!&lt;&gt;"",Sheet2!#REF!,"")</f>
        <v>#REF!</v>
      </c>
      <c r="B1307" s="33" t="e">
        <f>IF(Sheet2!#REF!&lt;&gt;"",Sheet2!#REF!,"")</f>
        <v>#REF!</v>
      </c>
      <c r="C1307" s="34" t="e">
        <f>IF(Sheet2!#REF!&lt;&gt;"",Sheet2!#REF!,"")</f>
        <v>#REF!</v>
      </c>
      <c r="D1307" s="35" t="str">
        <f t="shared" ca="1" si="42"/>
        <v/>
      </c>
      <c r="E1307" s="3"/>
      <c r="F1307" s="3"/>
      <c r="G1307" s="3"/>
      <c r="H1307" s="3"/>
      <c r="K1307" t="str">
        <f t="shared" ca="1" si="43"/>
        <v/>
      </c>
    </row>
    <row r="1308" spans="1:11">
      <c r="A1308" s="23" t="e">
        <f>IF(Sheet2!#REF!&lt;&gt;"",Sheet2!#REF!,"")</f>
        <v>#REF!</v>
      </c>
      <c r="B1308" s="33" t="e">
        <f>IF(Sheet2!#REF!&lt;&gt;"",Sheet2!#REF!,"")</f>
        <v>#REF!</v>
      </c>
      <c r="C1308" s="34" t="e">
        <f>IF(Sheet2!#REF!&lt;&gt;"",Sheet2!#REF!,"")</f>
        <v>#REF!</v>
      </c>
      <c r="D1308" s="35" t="str">
        <f t="shared" ca="1" si="42"/>
        <v/>
      </c>
      <c r="E1308" s="3"/>
      <c r="F1308" s="3"/>
      <c r="G1308" s="3"/>
      <c r="H1308" s="3"/>
      <c r="K1308" t="str">
        <f t="shared" ca="1" si="43"/>
        <v/>
      </c>
    </row>
    <row r="1309" spans="1:11">
      <c r="A1309" s="23" t="e">
        <f>IF(Sheet2!#REF!&lt;&gt;"",Sheet2!#REF!,"")</f>
        <v>#REF!</v>
      </c>
      <c r="B1309" s="33" t="e">
        <f>IF(Sheet2!#REF!&lt;&gt;"",Sheet2!#REF!,"")</f>
        <v>#REF!</v>
      </c>
      <c r="C1309" s="34" t="e">
        <f>IF(Sheet2!#REF!&lt;&gt;"",Sheet2!#REF!,"")</f>
        <v>#REF!</v>
      </c>
      <c r="D1309" s="35" t="str">
        <f t="shared" ca="1" si="42"/>
        <v/>
      </c>
      <c r="E1309" s="3"/>
      <c r="F1309" s="3"/>
      <c r="G1309" s="3"/>
      <c r="H1309" s="3"/>
      <c r="K1309" t="str">
        <f t="shared" ca="1" si="43"/>
        <v/>
      </c>
    </row>
    <row r="1310" spans="1:11">
      <c r="A1310" s="23" t="e">
        <f>IF(Sheet2!#REF!&lt;&gt;"",Sheet2!#REF!,"")</f>
        <v>#REF!</v>
      </c>
      <c r="B1310" s="33" t="e">
        <f>IF(Sheet2!#REF!&lt;&gt;"",Sheet2!#REF!,"")</f>
        <v>#REF!</v>
      </c>
      <c r="C1310" s="34" t="e">
        <f>IF(Sheet2!#REF!&lt;&gt;"",Sheet2!#REF!,"")</f>
        <v>#REF!</v>
      </c>
      <c r="D1310" s="35" t="str">
        <f t="shared" ca="1" si="42"/>
        <v/>
      </c>
      <c r="E1310" s="3"/>
      <c r="F1310" s="3"/>
      <c r="G1310" s="3"/>
      <c r="H1310" s="3"/>
      <c r="K1310" t="str">
        <f t="shared" ca="1" si="43"/>
        <v/>
      </c>
    </row>
    <row r="1311" spans="1:11">
      <c r="A1311" s="23" t="e">
        <f>IF(Sheet2!#REF!&lt;&gt;"",Sheet2!#REF!,"")</f>
        <v>#REF!</v>
      </c>
      <c r="B1311" s="33" t="e">
        <f>IF(Sheet2!#REF!&lt;&gt;"",Sheet2!#REF!,"")</f>
        <v>#REF!</v>
      </c>
      <c r="C1311" s="34" t="e">
        <f>IF(Sheet2!#REF!&lt;&gt;"",Sheet2!#REF!,"")</f>
        <v>#REF!</v>
      </c>
      <c r="D1311" s="35" t="str">
        <f t="shared" ca="1" si="42"/>
        <v/>
      </c>
      <c r="E1311" s="3"/>
      <c r="F1311" s="3"/>
      <c r="G1311" s="3"/>
      <c r="H1311" s="3"/>
      <c r="K1311" t="str">
        <f t="shared" ca="1" si="43"/>
        <v/>
      </c>
    </row>
    <row r="1312" spans="1:11">
      <c r="A1312" s="23" t="e">
        <f>IF(Sheet2!#REF!&lt;&gt;"",Sheet2!#REF!,"")</f>
        <v>#REF!</v>
      </c>
      <c r="B1312" s="33" t="e">
        <f>IF(Sheet2!#REF!&lt;&gt;"",Sheet2!#REF!,"")</f>
        <v>#REF!</v>
      </c>
      <c r="C1312" s="34" t="e">
        <f>IF(Sheet2!#REF!&lt;&gt;"",Sheet2!#REF!,"")</f>
        <v>#REF!</v>
      </c>
      <c r="D1312" s="35" t="str">
        <f t="shared" ca="1" si="42"/>
        <v/>
      </c>
      <c r="E1312" s="3"/>
      <c r="F1312" s="3"/>
      <c r="G1312" s="3"/>
      <c r="H1312" s="3"/>
      <c r="K1312" t="str">
        <f t="shared" ca="1" si="43"/>
        <v/>
      </c>
    </row>
    <row r="1313" spans="1:11">
      <c r="A1313" s="23" t="e">
        <f>IF(Sheet2!#REF!&lt;&gt;"",Sheet2!#REF!,"")</f>
        <v>#REF!</v>
      </c>
      <c r="B1313" s="33" t="e">
        <f>IF(Sheet2!#REF!&lt;&gt;"",Sheet2!#REF!,"")</f>
        <v>#REF!</v>
      </c>
      <c r="C1313" s="34" t="e">
        <f>IF(Sheet2!#REF!&lt;&gt;"",Sheet2!#REF!,"")</f>
        <v>#REF!</v>
      </c>
      <c r="D1313" s="35" t="str">
        <f t="shared" ca="1" si="42"/>
        <v/>
      </c>
      <c r="E1313" s="3"/>
      <c r="F1313" s="3"/>
      <c r="G1313" s="3"/>
      <c r="H1313" s="3"/>
      <c r="K1313" t="str">
        <f t="shared" ca="1" si="43"/>
        <v/>
      </c>
    </row>
    <row r="1314" spans="1:11">
      <c r="A1314" s="23" t="e">
        <f>IF(Sheet2!#REF!&lt;&gt;"",Sheet2!#REF!,"")</f>
        <v>#REF!</v>
      </c>
      <c r="B1314" s="33" t="e">
        <f>IF(Sheet2!#REF!&lt;&gt;"",Sheet2!#REF!,"")</f>
        <v>#REF!</v>
      </c>
      <c r="C1314" s="34" t="e">
        <f>IF(Sheet2!#REF!&lt;&gt;"",Sheet2!#REF!,"")</f>
        <v>#REF!</v>
      </c>
      <c r="D1314" s="35" t="str">
        <f t="shared" ca="1" si="42"/>
        <v/>
      </c>
      <c r="E1314" s="3"/>
      <c r="F1314" s="3"/>
      <c r="G1314" s="3"/>
      <c r="H1314" s="3"/>
      <c r="K1314" t="str">
        <f t="shared" ca="1" si="43"/>
        <v/>
      </c>
    </row>
    <row r="1315" spans="1:11">
      <c r="A1315" s="23" t="e">
        <f>IF(Sheet2!#REF!&lt;&gt;"",Sheet2!#REF!,"")</f>
        <v>#REF!</v>
      </c>
      <c r="B1315" s="33" t="e">
        <f>IF(Sheet2!#REF!&lt;&gt;"",Sheet2!#REF!,"")</f>
        <v>#REF!</v>
      </c>
      <c r="C1315" s="34" t="e">
        <f>IF(Sheet2!#REF!&lt;&gt;"",Sheet2!#REF!,"")</f>
        <v>#REF!</v>
      </c>
      <c r="D1315" s="35" t="str">
        <f t="shared" ca="1" si="42"/>
        <v/>
      </c>
      <c r="E1315" s="3"/>
      <c r="F1315" s="3"/>
      <c r="G1315" s="3"/>
      <c r="H1315" s="3"/>
      <c r="K1315" t="str">
        <f t="shared" ca="1" si="43"/>
        <v/>
      </c>
    </row>
    <row r="1316" spans="1:11">
      <c r="A1316" s="23" t="e">
        <f>IF(Sheet2!#REF!&lt;&gt;"",Sheet2!#REF!,"")</f>
        <v>#REF!</v>
      </c>
      <c r="B1316" s="33" t="e">
        <f>IF(Sheet2!#REF!&lt;&gt;"",Sheet2!#REF!,"")</f>
        <v>#REF!</v>
      </c>
      <c r="C1316" s="34" t="e">
        <f>IF(Sheet2!#REF!&lt;&gt;"",Sheet2!#REF!,"")</f>
        <v>#REF!</v>
      </c>
      <c r="D1316" s="35" t="str">
        <f t="shared" ca="1" si="42"/>
        <v/>
      </c>
      <c r="E1316" s="3"/>
      <c r="F1316" s="3"/>
      <c r="G1316" s="3"/>
      <c r="H1316" s="3"/>
      <c r="K1316" t="str">
        <f t="shared" ca="1" si="43"/>
        <v/>
      </c>
    </row>
    <row r="1317" spans="1:11">
      <c r="A1317" s="23" t="e">
        <f>IF(Sheet2!#REF!&lt;&gt;"",Sheet2!#REF!,"")</f>
        <v>#REF!</v>
      </c>
      <c r="B1317" s="33" t="e">
        <f>IF(Sheet2!#REF!&lt;&gt;"",Sheet2!#REF!,"")</f>
        <v>#REF!</v>
      </c>
      <c r="C1317" s="34" t="e">
        <f>IF(Sheet2!#REF!&lt;&gt;"",Sheet2!#REF!,"")</f>
        <v>#REF!</v>
      </c>
      <c r="D1317" s="35" t="str">
        <f t="shared" ca="1" si="42"/>
        <v/>
      </c>
      <c r="E1317" s="3"/>
      <c r="F1317" s="3"/>
      <c r="G1317" s="3"/>
      <c r="H1317" s="3"/>
      <c r="K1317" t="str">
        <f t="shared" ca="1" si="43"/>
        <v/>
      </c>
    </row>
    <row r="1318" spans="1:11">
      <c r="A1318" s="23" t="e">
        <f>IF(Sheet2!#REF!&lt;&gt;"",Sheet2!#REF!,"")</f>
        <v>#REF!</v>
      </c>
      <c r="B1318" s="33" t="e">
        <f>IF(Sheet2!#REF!&lt;&gt;"",Sheet2!#REF!,"")</f>
        <v>#REF!</v>
      </c>
      <c r="C1318" s="34" t="e">
        <f>IF(Sheet2!#REF!&lt;&gt;"",Sheet2!#REF!,"")</f>
        <v>#REF!</v>
      </c>
      <c r="D1318" s="35" t="str">
        <f t="shared" ca="1" si="42"/>
        <v/>
      </c>
      <c r="E1318" s="3"/>
      <c r="F1318" s="3"/>
      <c r="G1318" s="3"/>
      <c r="H1318" s="3"/>
      <c r="K1318" t="str">
        <f t="shared" ca="1" si="43"/>
        <v/>
      </c>
    </row>
    <row r="1319" spans="1:11">
      <c r="A1319" s="23" t="e">
        <f>IF(Sheet2!#REF!&lt;&gt;"",Sheet2!#REF!,"")</f>
        <v>#REF!</v>
      </c>
      <c r="B1319" s="33" t="e">
        <f>IF(Sheet2!#REF!&lt;&gt;"",Sheet2!#REF!,"")</f>
        <v>#REF!</v>
      </c>
      <c r="C1319" s="34" t="e">
        <f>IF(Sheet2!#REF!&lt;&gt;"",Sheet2!#REF!,"")</f>
        <v>#REF!</v>
      </c>
      <c r="D1319" s="35" t="str">
        <f t="shared" ca="1" si="42"/>
        <v/>
      </c>
      <c r="E1319" s="3"/>
      <c r="F1319" s="3"/>
      <c r="G1319" s="3"/>
      <c r="H1319" s="3"/>
      <c r="K1319" t="str">
        <f t="shared" ca="1" si="43"/>
        <v/>
      </c>
    </row>
    <row r="1320" spans="1:11">
      <c r="A1320" s="23" t="e">
        <f>IF(Sheet2!#REF!&lt;&gt;"",Sheet2!#REF!,"")</f>
        <v>#REF!</v>
      </c>
      <c r="B1320" s="33" t="e">
        <f>IF(Sheet2!#REF!&lt;&gt;"",Sheet2!#REF!,"")</f>
        <v>#REF!</v>
      </c>
      <c r="C1320" s="34" t="e">
        <f>IF(Sheet2!#REF!&lt;&gt;"",Sheet2!#REF!,"")</f>
        <v>#REF!</v>
      </c>
      <c r="D1320" s="35" t="str">
        <f t="shared" ca="1" si="42"/>
        <v/>
      </c>
      <c r="E1320" s="3"/>
      <c r="F1320" s="3"/>
      <c r="G1320" s="3"/>
      <c r="H1320" s="3"/>
      <c r="K1320" t="str">
        <f t="shared" ca="1" si="43"/>
        <v/>
      </c>
    </row>
    <row r="1321" spans="1:11">
      <c r="A1321" s="23" t="e">
        <f>IF(Sheet2!#REF!&lt;&gt;"",Sheet2!#REF!,"")</f>
        <v>#REF!</v>
      </c>
      <c r="B1321" s="33" t="e">
        <f>IF(Sheet2!#REF!&lt;&gt;"",Sheet2!#REF!,"")</f>
        <v>#REF!</v>
      </c>
      <c r="C1321" s="34" t="e">
        <f>IF(Sheet2!#REF!&lt;&gt;"",Sheet2!#REF!,"")</f>
        <v>#REF!</v>
      </c>
      <c r="D1321" s="35" t="str">
        <f t="shared" ca="1" si="42"/>
        <v/>
      </c>
      <c r="E1321" s="3"/>
      <c r="F1321" s="3"/>
      <c r="G1321" s="3"/>
      <c r="H1321" s="3"/>
      <c r="K1321" t="str">
        <f t="shared" ca="1" si="43"/>
        <v/>
      </c>
    </row>
    <row r="1322" spans="1:11">
      <c r="A1322" s="23" t="e">
        <f>IF(Sheet2!#REF!&lt;&gt;"",Sheet2!#REF!,"")</f>
        <v>#REF!</v>
      </c>
      <c r="B1322" s="33" t="e">
        <f>IF(Sheet2!#REF!&lt;&gt;"",Sheet2!#REF!,"")</f>
        <v>#REF!</v>
      </c>
      <c r="C1322" s="34" t="e">
        <f>IF(Sheet2!#REF!&lt;&gt;"",Sheet2!#REF!,"")</f>
        <v>#REF!</v>
      </c>
      <c r="D1322" s="35" t="str">
        <f t="shared" ca="1" si="42"/>
        <v/>
      </c>
      <c r="E1322" s="3"/>
      <c r="F1322" s="3"/>
      <c r="G1322" s="3"/>
      <c r="H1322" s="3"/>
      <c r="K1322" t="str">
        <f t="shared" ca="1" si="43"/>
        <v/>
      </c>
    </row>
    <row r="1323" spans="1:11">
      <c r="A1323" s="23" t="e">
        <f>IF(Sheet2!#REF!&lt;&gt;"",Sheet2!#REF!,"")</f>
        <v>#REF!</v>
      </c>
      <c r="B1323" s="33" t="e">
        <f>IF(Sheet2!#REF!&lt;&gt;"",Sheet2!#REF!,"")</f>
        <v>#REF!</v>
      </c>
      <c r="C1323" s="34" t="e">
        <f>IF(Sheet2!#REF!&lt;&gt;"",Sheet2!#REF!,"")</f>
        <v>#REF!</v>
      </c>
      <c r="D1323" s="35" t="str">
        <f t="shared" ca="1" si="42"/>
        <v/>
      </c>
      <c r="E1323" s="3"/>
      <c r="F1323" s="3"/>
      <c r="G1323" s="3"/>
      <c r="H1323" s="3"/>
      <c r="K1323" t="str">
        <f t="shared" ca="1" si="43"/>
        <v/>
      </c>
    </row>
    <row r="1324" spans="1:11">
      <c r="A1324" s="23" t="e">
        <f>IF(Sheet2!#REF!&lt;&gt;"",Sheet2!#REF!,"")</f>
        <v>#REF!</v>
      </c>
      <c r="B1324" s="33" t="e">
        <f>IF(Sheet2!#REF!&lt;&gt;"",Sheet2!#REF!,"")</f>
        <v>#REF!</v>
      </c>
      <c r="C1324" s="34" t="e">
        <f>IF(Sheet2!#REF!&lt;&gt;"",Sheet2!#REF!,"")</f>
        <v>#REF!</v>
      </c>
      <c r="D1324" s="35" t="str">
        <f t="shared" ca="1" si="42"/>
        <v/>
      </c>
      <c r="E1324" s="3"/>
      <c r="F1324" s="3"/>
      <c r="G1324" s="3"/>
      <c r="H1324" s="3"/>
      <c r="K1324" t="str">
        <f t="shared" ca="1" si="43"/>
        <v/>
      </c>
    </row>
    <row r="1325" spans="1:11">
      <c r="A1325" s="23" t="e">
        <f>IF(Sheet2!#REF!&lt;&gt;"",Sheet2!#REF!,"")</f>
        <v>#REF!</v>
      </c>
      <c r="B1325" s="33" t="e">
        <f>IF(Sheet2!#REF!&lt;&gt;"",Sheet2!#REF!,"")</f>
        <v>#REF!</v>
      </c>
      <c r="C1325" s="34" t="e">
        <f>IF(Sheet2!#REF!&lt;&gt;"",Sheet2!#REF!,"")</f>
        <v>#REF!</v>
      </c>
      <c r="D1325" s="35" t="str">
        <f t="shared" ca="1" si="42"/>
        <v/>
      </c>
      <c r="E1325" s="3"/>
      <c r="F1325" s="3"/>
      <c r="G1325" s="3"/>
      <c r="H1325" s="3"/>
      <c r="K1325" t="str">
        <f t="shared" ca="1" si="43"/>
        <v/>
      </c>
    </row>
    <row r="1326" spans="1:11">
      <c r="A1326" s="23" t="e">
        <f>IF(Sheet2!#REF!&lt;&gt;"",Sheet2!#REF!,"")</f>
        <v>#REF!</v>
      </c>
      <c r="B1326" s="33" t="e">
        <f>IF(Sheet2!#REF!&lt;&gt;"",Sheet2!#REF!,"")</f>
        <v>#REF!</v>
      </c>
      <c r="C1326" s="34" t="e">
        <f>IF(Sheet2!#REF!&lt;&gt;"",Sheet2!#REF!,"")</f>
        <v>#REF!</v>
      </c>
      <c r="D1326" s="35" t="str">
        <f t="shared" ca="1" si="42"/>
        <v/>
      </c>
      <c r="E1326" s="3"/>
      <c r="F1326" s="3"/>
      <c r="G1326" s="3"/>
      <c r="H1326" s="3"/>
      <c r="K1326" t="str">
        <f t="shared" ca="1" si="43"/>
        <v/>
      </c>
    </row>
    <row r="1327" spans="1:11">
      <c r="A1327" s="23" t="e">
        <f>IF(Sheet2!#REF!&lt;&gt;"",Sheet2!#REF!,"")</f>
        <v>#REF!</v>
      </c>
      <c r="B1327" s="33" t="e">
        <f>IF(Sheet2!#REF!&lt;&gt;"",Sheet2!#REF!,"")</f>
        <v>#REF!</v>
      </c>
      <c r="C1327" s="34" t="e">
        <f>IF(Sheet2!#REF!&lt;&gt;"",Sheet2!#REF!,"")</f>
        <v>#REF!</v>
      </c>
      <c r="D1327" s="35" t="str">
        <f t="shared" ca="1" si="42"/>
        <v/>
      </c>
      <c r="E1327" s="3"/>
      <c r="F1327" s="3"/>
      <c r="G1327" s="3"/>
      <c r="H1327" s="3"/>
      <c r="K1327" t="str">
        <f t="shared" ca="1" si="43"/>
        <v/>
      </c>
    </row>
    <row r="1328" spans="1:11">
      <c r="A1328" s="23" t="e">
        <f>IF(Sheet2!#REF!&lt;&gt;"",Sheet2!#REF!,"")</f>
        <v>#REF!</v>
      </c>
      <c r="B1328" s="33" t="e">
        <f>IF(Sheet2!#REF!&lt;&gt;"",Sheet2!#REF!,"")</f>
        <v>#REF!</v>
      </c>
      <c r="C1328" s="34" t="e">
        <f>IF(Sheet2!#REF!&lt;&gt;"",Sheet2!#REF!,"")</f>
        <v>#REF!</v>
      </c>
      <c r="D1328" s="35" t="str">
        <f t="shared" ca="1" si="42"/>
        <v/>
      </c>
      <c r="E1328" s="3"/>
      <c r="F1328" s="3"/>
      <c r="G1328" s="3"/>
      <c r="H1328" s="3"/>
      <c r="K1328" t="str">
        <f t="shared" ca="1" si="43"/>
        <v/>
      </c>
    </row>
    <row r="1329" spans="1:11">
      <c r="A1329" s="23" t="e">
        <f>IF(Sheet2!#REF!&lt;&gt;"",Sheet2!#REF!,"")</f>
        <v>#REF!</v>
      </c>
      <c r="B1329" s="33" t="e">
        <f>IF(Sheet2!#REF!&lt;&gt;"",Sheet2!#REF!,"")</f>
        <v>#REF!</v>
      </c>
      <c r="C1329" s="34" t="e">
        <f>IF(Sheet2!#REF!&lt;&gt;"",Sheet2!#REF!,"")</f>
        <v>#REF!</v>
      </c>
      <c r="D1329" s="35" t="str">
        <f t="shared" ca="1" si="42"/>
        <v/>
      </c>
      <c r="E1329" s="3"/>
      <c r="F1329" s="3"/>
      <c r="G1329" s="3"/>
      <c r="H1329" s="3"/>
      <c r="K1329" t="str">
        <f t="shared" ca="1" si="43"/>
        <v/>
      </c>
    </row>
    <row r="1330" spans="1:11">
      <c r="A1330" s="23" t="e">
        <f>IF(Sheet2!#REF!&lt;&gt;"",Sheet2!#REF!,"")</f>
        <v>#REF!</v>
      </c>
      <c r="B1330" s="33" t="e">
        <f>IF(Sheet2!#REF!&lt;&gt;"",Sheet2!#REF!,"")</f>
        <v>#REF!</v>
      </c>
      <c r="C1330" s="34" t="e">
        <f>IF(Sheet2!#REF!&lt;&gt;"",Sheet2!#REF!,"")</f>
        <v>#REF!</v>
      </c>
      <c r="D1330" s="35" t="str">
        <f t="shared" ca="1" si="42"/>
        <v/>
      </c>
      <c r="E1330" s="3"/>
      <c r="F1330" s="3"/>
      <c r="G1330" s="3"/>
      <c r="H1330" s="3"/>
      <c r="K1330" t="str">
        <f t="shared" ca="1" si="43"/>
        <v/>
      </c>
    </row>
    <row r="1331" spans="1:11">
      <c r="A1331" s="23" t="e">
        <f>IF(Sheet2!#REF!&lt;&gt;"",Sheet2!#REF!,"")</f>
        <v>#REF!</v>
      </c>
      <c r="B1331" s="33" t="e">
        <f>IF(Sheet2!#REF!&lt;&gt;"",Sheet2!#REF!,"")</f>
        <v>#REF!</v>
      </c>
      <c r="C1331" s="34" t="e">
        <f>IF(Sheet2!#REF!&lt;&gt;"",Sheet2!#REF!,"")</f>
        <v>#REF!</v>
      </c>
      <c r="D1331" s="35" t="str">
        <f t="shared" ca="1" si="42"/>
        <v/>
      </c>
      <c r="E1331" s="3"/>
      <c r="F1331" s="3"/>
      <c r="G1331" s="3"/>
      <c r="H1331" s="3"/>
      <c r="K1331" t="str">
        <f t="shared" ca="1" si="43"/>
        <v/>
      </c>
    </row>
    <row r="1332" spans="1:11">
      <c r="A1332" s="23" t="e">
        <f>IF(Sheet2!#REF!&lt;&gt;"",Sheet2!#REF!,"")</f>
        <v>#REF!</v>
      </c>
      <c r="B1332" s="33" t="e">
        <f>IF(Sheet2!#REF!&lt;&gt;"",Sheet2!#REF!,"")</f>
        <v>#REF!</v>
      </c>
      <c r="C1332" s="34" t="e">
        <f>IF(Sheet2!#REF!&lt;&gt;"",Sheet2!#REF!,"")</f>
        <v>#REF!</v>
      </c>
      <c r="D1332" s="35" t="str">
        <f t="shared" ca="1" si="42"/>
        <v/>
      </c>
      <c r="E1332" s="3"/>
      <c r="F1332" s="3"/>
      <c r="G1332" s="3"/>
      <c r="H1332" s="3"/>
      <c r="K1332" t="str">
        <f t="shared" ca="1" si="43"/>
        <v/>
      </c>
    </row>
    <row r="1333" spans="1:11">
      <c r="A1333" s="23" t="e">
        <f>IF(Sheet2!#REF!&lt;&gt;"",Sheet2!#REF!,"")</f>
        <v>#REF!</v>
      </c>
      <c r="B1333" s="33" t="e">
        <f>IF(Sheet2!#REF!&lt;&gt;"",Sheet2!#REF!,"")</f>
        <v>#REF!</v>
      </c>
      <c r="C1333" s="34" t="e">
        <f>IF(Sheet2!#REF!&lt;&gt;"",Sheet2!#REF!,"")</f>
        <v>#REF!</v>
      </c>
      <c r="D1333" s="35" t="str">
        <f t="shared" ca="1" si="42"/>
        <v/>
      </c>
      <c r="E1333" s="3"/>
      <c r="F1333" s="3"/>
      <c r="G1333" s="3"/>
      <c r="H1333" s="3"/>
      <c r="K1333" t="str">
        <f t="shared" ca="1" si="43"/>
        <v/>
      </c>
    </row>
    <row r="1334" spans="1:11">
      <c r="A1334" s="23" t="e">
        <f>IF(Sheet2!#REF!&lt;&gt;"",Sheet2!#REF!,"")</f>
        <v>#REF!</v>
      </c>
      <c r="B1334" s="33" t="e">
        <f>IF(Sheet2!#REF!&lt;&gt;"",Sheet2!#REF!,"")</f>
        <v>#REF!</v>
      </c>
      <c r="C1334" s="34" t="e">
        <f>IF(Sheet2!#REF!&lt;&gt;"",Sheet2!#REF!,"")</f>
        <v>#REF!</v>
      </c>
      <c r="D1334" s="35" t="str">
        <f t="shared" ca="1" si="42"/>
        <v/>
      </c>
      <c r="E1334" s="3"/>
      <c r="F1334" s="3"/>
      <c r="G1334" s="3"/>
      <c r="H1334" s="3"/>
      <c r="K1334" t="str">
        <f t="shared" ca="1" si="43"/>
        <v/>
      </c>
    </row>
    <row r="1335" spans="1:11">
      <c r="A1335" s="23" t="e">
        <f>IF(Sheet2!#REF!&lt;&gt;"",Sheet2!#REF!,"")</f>
        <v>#REF!</v>
      </c>
      <c r="B1335" s="33" t="e">
        <f>IF(Sheet2!#REF!&lt;&gt;"",Sheet2!#REF!,"")</f>
        <v>#REF!</v>
      </c>
      <c r="C1335" s="34" t="e">
        <f>IF(Sheet2!#REF!&lt;&gt;"",Sheet2!#REF!,"")</f>
        <v>#REF!</v>
      </c>
      <c r="D1335" s="35" t="str">
        <f t="shared" ca="1" si="42"/>
        <v/>
      </c>
      <c r="E1335" s="3"/>
      <c r="F1335" s="3"/>
      <c r="G1335" s="3"/>
      <c r="H1335" s="3"/>
      <c r="K1335" t="str">
        <f t="shared" ca="1" si="43"/>
        <v/>
      </c>
    </row>
    <row r="1336" spans="1:11">
      <c r="A1336" s="23" t="e">
        <f>IF(Sheet2!#REF!&lt;&gt;"",Sheet2!#REF!,"")</f>
        <v>#REF!</v>
      </c>
      <c r="B1336" s="33" t="e">
        <f>IF(Sheet2!#REF!&lt;&gt;"",Sheet2!#REF!,"")</f>
        <v>#REF!</v>
      </c>
      <c r="C1336" s="34" t="e">
        <f>IF(Sheet2!#REF!&lt;&gt;"",Sheet2!#REF!,"")</f>
        <v>#REF!</v>
      </c>
      <c r="D1336" s="35" t="str">
        <f t="shared" ca="1" si="42"/>
        <v/>
      </c>
      <c r="E1336" s="3"/>
      <c r="F1336" s="3"/>
      <c r="G1336" s="3"/>
      <c r="H1336" s="3"/>
      <c r="K1336" t="str">
        <f t="shared" ca="1" si="43"/>
        <v/>
      </c>
    </row>
    <row r="1337" spans="1:11">
      <c r="A1337" s="23" t="e">
        <f>IF(Sheet2!#REF!&lt;&gt;"",Sheet2!#REF!,"")</f>
        <v>#REF!</v>
      </c>
      <c r="B1337" s="33" t="e">
        <f>IF(Sheet2!#REF!&lt;&gt;"",Sheet2!#REF!,"")</f>
        <v>#REF!</v>
      </c>
      <c r="C1337" s="34" t="e">
        <f>IF(Sheet2!#REF!&lt;&gt;"",Sheet2!#REF!,"")</f>
        <v>#REF!</v>
      </c>
      <c r="D1337" s="35" t="str">
        <f t="shared" ca="1" si="42"/>
        <v/>
      </c>
      <c r="E1337" s="3"/>
      <c r="F1337" s="3"/>
      <c r="G1337" s="3"/>
      <c r="H1337" s="3"/>
      <c r="K1337" t="str">
        <f t="shared" ca="1" si="43"/>
        <v/>
      </c>
    </row>
    <row r="1338" spans="1:11">
      <c r="A1338" s="23" t="e">
        <f>IF(Sheet2!#REF!&lt;&gt;"",Sheet2!#REF!,"")</f>
        <v>#REF!</v>
      </c>
      <c r="B1338" s="33" t="e">
        <f>IF(Sheet2!#REF!&lt;&gt;"",Sheet2!#REF!,"")</f>
        <v>#REF!</v>
      </c>
      <c r="C1338" s="34" t="e">
        <f>IF(Sheet2!#REF!&lt;&gt;"",Sheet2!#REF!,"")</f>
        <v>#REF!</v>
      </c>
      <c r="D1338" s="35" t="str">
        <f t="shared" ca="1" si="42"/>
        <v/>
      </c>
      <c r="E1338" s="3"/>
      <c r="F1338" s="3"/>
      <c r="G1338" s="3"/>
      <c r="H1338" s="3"/>
      <c r="K1338" t="str">
        <f t="shared" ca="1" si="43"/>
        <v/>
      </c>
    </row>
    <row r="1339" spans="1:11">
      <c r="A1339" s="23" t="e">
        <f>IF(Sheet2!#REF!&lt;&gt;"",Sheet2!#REF!,"")</f>
        <v>#REF!</v>
      </c>
      <c r="B1339" s="33" t="e">
        <f>IF(Sheet2!#REF!&lt;&gt;"",Sheet2!#REF!,"")</f>
        <v>#REF!</v>
      </c>
      <c r="C1339" s="34" t="e">
        <f>IF(Sheet2!#REF!&lt;&gt;"",Sheet2!#REF!,"")</f>
        <v>#REF!</v>
      </c>
      <c r="D1339" s="35" t="str">
        <f t="shared" ca="1" si="42"/>
        <v/>
      </c>
      <c r="E1339" s="3"/>
      <c r="F1339" s="3"/>
      <c r="G1339" s="3"/>
      <c r="H1339" s="3"/>
      <c r="K1339" t="str">
        <f t="shared" ca="1" si="43"/>
        <v/>
      </c>
    </row>
    <row r="1340" spans="1:11">
      <c r="A1340" s="23" t="e">
        <f>IF(Sheet2!#REF!&lt;&gt;"",Sheet2!#REF!,"")</f>
        <v>#REF!</v>
      </c>
      <c r="B1340" s="33" t="e">
        <f>IF(Sheet2!#REF!&lt;&gt;"",Sheet2!#REF!,"")</f>
        <v>#REF!</v>
      </c>
      <c r="C1340" s="34" t="e">
        <f>IF(Sheet2!#REF!&lt;&gt;"",Sheet2!#REF!,"")</f>
        <v>#REF!</v>
      </c>
      <c r="D1340" s="35" t="str">
        <f t="shared" ca="1" si="42"/>
        <v/>
      </c>
      <c r="E1340" s="3"/>
      <c r="F1340" s="3"/>
      <c r="G1340" s="3"/>
      <c r="H1340" s="3"/>
      <c r="K1340" t="str">
        <f t="shared" ca="1" si="43"/>
        <v/>
      </c>
    </row>
    <row r="1341" spans="1:11">
      <c r="A1341" s="23" t="e">
        <f>IF(Sheet2!#REF!&lt;&gt;"",Sheet2!#REF!,"")</f>
        <v>#REF!</v>
      </c>
      <c r="B1341" s="33" t="e">
        <f>IF(Sheet2!#REF!&lt;&gt;"",Sheet2!#REF!,"")</f>
        <v>#REF!</v>
      </c>
      <c r="C1341" s="34" t="e">
        <f>IF(Sheet2!#REF!&lt;&gt;"",Sheet2!#REF!,"")</f>
        <v>#REF!</v>
      </c>
      <c r="D1341" s="35" t="str">
        <f t="shared" ca="1" si="42"/>
        <v/>
      </c>
      <c r="E1341" s="3"/>
      <c r="F1341" s="3"/>
      <c r="G1341" s="3"/>
      <c r="H1341" s="3"/>
      <c r="K1341" t="str">
        <f t="shared" ca="1" si="43"/>
        <v/>
      </c>
    </row>
    <row r="1342" spans="1:11">
      <c r="A1342" s="23" t="e">
        <f>IF(Sheet2!#REF!&lt;&gt;"",Sheet2!#REF!,"")</f>
        <v>#REF!</v>
      </c>
      <c r="B1342" s="33" t="e">
        <f>IF(Sheet2!#REF!&lt;&gt;"",Sheet2!#REF!,"")</f>
        <v>#REF!</v>
      </c>
      <c r="C1342" s="34" t="e">
        <f>IF(Sheet2!#REF!&lt;&gt;"",Sheet2!#REF!,"")</f>
        <v>#REF!</v>
      </c>
      <c r="D1342" s="35" t="str">
        <f t="shared" ca="1" si="42"/>
        <v/>
      </c>
      <c r="E1342" s="3"/>
      <c r="F1342" s="3"/>
      <c r="G1342" s="3"/>
      <c r="H1342" s="3"/>
      <c r="K1342" t="str">
        <f t="shared" ca="1" si="43"/>
        <v/>
      </c>
    </row>
    <row r="1343" spans="1:11">
      <c r="A1343" s="23" t="e">
        <f>IF(Sheet2!#REF!&lt;&gt;"",Sheet2!#REF!,"")</f>
        <v>#REF!</v>
      </c>
      <c r="B1343" s="33" t="e">
        <f>IF(Sheet2!#REF!&lt;&gt;"",Sheet2!#REF!,"")</f>
        <v>#REF!</v>
      </c>
      <c r="C1343" s="34" t="e">
        <f>IF(Sheet2!#REF!&lt;&gt;"",Sheet2!#REF!,"")</f>
        <v>#REF!</v>
      </c>
      <c r="D1343" s="35" t="str">
        <f t="shared" ca="1" si="42"/>
        <v/>
      </c>
      <c r="E1343" s="3"/>
      <c r="F1343" s="3"/>
      <c r="G1343" s="3"/>
      <c r="H1343" s="3"/>
      <c r="K1343" t="str">
        <f t="shared" ca="1" si="43"/>
        <v/>
      </c>
    </row>
    <row r="1344" spans="1:11">
      <c r="A1344" s="23" t="e">
        <f>IF(Sheet2!#REF!&lt;&gt;"",Sheet2!#REF!,"")</f>
        <v>#REF!</v>
      </c>
      <c r="B1344" s="33" t="e">
        <f>IF(Sheet2!#REF!&lt;&gt;"",Sheet2!#REF!,"")</f>
        <v>#REF!</v>
      </c>
      <c r="C1344" s="34" t="e">
        <f>IF(Sheet2!#REF!&lt;&gt;"",Sheet2!#REF!,"")</f>
        <v>#REF!</v>
      </c>
      <c r="D1344" s="35" t="str">
        <f t="shared" ca="1" si="42"/>
        <v/>
      </c>
      <c r="E1344" s="3"/>
      <c r="F1344" s="3"/>
      <c r="G1344" s="3"/>
      <c r="H1344" s="3"/>
      <c r="K1344" t="str">
        <f t="shared" ca="1" si="43"/>
        <v/>
      </c>
    </row>
    <row r="1345" spans="1:11">
      <c r="A1345" s="23" t="e">
        <f>IF(Sheet2!#REF!&lt;&gt;"",Sheet2!#REF!,"")</f>
        <v>#REF!</v>
      </c>
      <c r="B1345" s="33" t="e">
        <f>IF(Sheet2!#REF!&lt;&gt;"",Sheet2!#REF!,"")</f>
        <v>#REF!</v>
      </c>
      <c r="C1345" s="34" t="e">
        <f>IF(Sheet2!#REF!&lt;&gt;"",Sheet2!#REF!,"")</f>
        <v>#REF!</v>
      </c>
      <c r="D1345" s="35" t="str">
        <f t="shared" ca="1" si="42"/>
        <v/>
      </c>
      <c r="E1345" s="3"/>
      <c r="F1345" s="3"/>
      <c r="G1345" s="3"/>
      <c r="H1345" s="3"/>
      <c r="K1345" t="str">
        <f t="shared" ca="1" si="43"/>
        <v/>
      </c>
    </row>
    <row r="1346" spans="1:11">
      <c r="A1346" s="23" t="e">
        <f>IF(Sheet2!#REF!&lt;&gt;"",Sheet2!#REF!,"")</f>
        <v>#REF!</v>
      </c>
      <c r="B1346" s="33" t="e">
        <f>IF(Sheet2!#REF!&lt;&gt;"",Sheet2!#REF!,"")</f>
        <v>#REF!</v>
      </c>
      <c r="C1346" s="34" t="e">
        <f>IF(Sheet2!#REF!&lt;&gt;"",Sheet2!#REF!,"")</f>
        <v>#REF!</v>
      </c>
      <c r="D1346" s="35" t="str">
        <f t="shared" ca="1" si="42"/>
        <v/>
      </c>
      <c r="E1346" s="3"/>
      <c r="F1346" s="3"/>
      <c r="G1346" s="3"/>
      <c r="H1346" s="3"/>
      <c r="K1346" t="str">
        <f t="shared" ca="1" si="43"/>
        <v/>
      </c>
    </row>
    <row r="1347" spans="1:11">
      <c r="A1347" s="23" t="e">
        <f>IF(Sheet2!#REF!&lt;&gt;"",Sheet2!#REF!,"")</f>
        <v>#REF!</v>
      </c>
      <c r="B1347" s="33" t="e">
        <f>IF(Sheet2!#REF!&lt;&gt;"",Sheet2!#REF!,"")</f>
        <v>#REF!</v>
      </c>
      <c r="C1347" s="34" t="e">
        <f>IF(Sheet2!#REF!&lt;&gt;"",Sheet2!#REF!,"")</f>
        <v>#REF!</v>
      </c>
      <c r="D1347" s="35" t="str">
        <f t="shared" ref="D1347:D1410" ca="1" si="44">IFERROR(IF(AND((C1347-TODAY())&lt;15,B1347&lt;&gt;""),IF(I1347="","Alert",""),""),"")</f>
        <v/>
      </c>
      <c r="E1347" s="3"/>
      <c r="F1347" s="3"/>
      <c r="G1347" s="3"/>
      <c r="H1347" s="3"/>
      <c r="K1347" t="str">
        <f t="shared" ref="K1347:K1410" ca="1" si="45">IF(I1347&lt;&gt;"",IF(J1347="",IF(TODAY()-I1347&gt;3,"ALERT",""),""),"")</f>
        <v/>
      </c>
    </row>
    <row r="1348" spans="1:11">
      <c r="A1348" s="23" t="e">
        <f>IF(Sheet2!#REF!&lt;&gt;"",Sheet2!#REF!,"")</f>
        <v>#REF!</v>
      </c>
      <c r="B1348" s="33" t="e">
        <f>IF(Sheet2!#REF!&lt;&gt;"",Sheet2!#REF!,"")</f>
        <v>#REF!</v>
      </c>
      <c r="C1348" s="34" t="e">
        <f>IF(Sheet2!#REF!&lt;&gt;"",Sheet2!#REF!,"")</f>
        <v>#REF!</v>
      </c>
      <c r="D1348" s="35" t="str">
        <f t="shared" ca="1" si="44"/>
        <v/>
      </c>
      <c r="E1348" s="3"/>
      <c r="F1348" s="3"/>
      <c r="G1348" s="3"/>
      <c r="H1348" s="3"/>
      <c r="K1348" t="str">
        <f t="shared" ca="1" si="45"/>
        <v/>
      </c>
    </row>
    <row r="1349" spans="1:11">
      <c r="A1349" s="23" t="e">
        <f>IF(Sheet2!#REF!&lt;&gt;"",Sheet2!#REF!,"")</f>
        <v>#REF!</v>
      </c>
      <c r="B1349" s="33" t="e">
        <f>IF(Sheet2!#REF!&lt;&gt;"",Sheet2!#REF!,"")</f>
        <v>#REF!</v>
      </c>
      <c r="C1349" s="34" t="e">
        <f>IF(Sheet2!#REF!&lt;&gt;"",Sheet2!#REF!,"")</f>
        <v>#REF!</v>
      </c>
      <c r="D1349" s="35" t="str">
        <f t="shared" ca="1" si="44"/>
        <v/>
      </c>
      <c r="E1349" s="3"/>
      <c r="F1349" s="3"/>
      <c r="G1349" s="3"/>
      <c r="H1349" s="3"/>
      <c r="K1349" t="str">
        <f t="shared" ca="1" si="45"/>
        <v/>
      </c>
    </row>
    <row r="1350" spans="1:11">
      <c r="A1350" s="23" t="e">
        <f>IF(Sheet2!#REF!&lt;&gt;"",Sheet2!#REF!,"")</f>
        <v>#REF!</v>
      </c>
      <c r="B1350" s="33" t="e">
        <f>IF(Sheet2!#REF!&lt;&gt;"",Sheet2!#REF!,"")</f>
        <v>#REF!</v>
      </c>
      <c r="C1350" s="34" t="e">
        <f>IF(Sheet2!#REF!&lt;&gt;"",Sheet2!#REF!,"")</f>
        <v>#REF!</v>
      </c>
      <c r="D1350" s="35" t="str">
        <f t="shared" ca="1" si="44"/>
        <v/>
      </c>
      <c r="E1350" s="3"/>
      <c r="F1350" s="3"/>
      <c r="G1350" s="3"/>
      <c r="H1350" s="3"/>
      <c r="K1350" t="str">
        <f t="shared" ca="1" si="45"/>
        <v/>
      </c>
    </row>
    <row r="1351" spans="1:11">
      <c r="A1351" s="23" t="e">
        <f>IF(Sheet2!#REF!&lt;&gt;"",Sheet2!#REF!,"")</f>
        <v>#REF!</v>
      </c>
      <c r="B1351" s="33" t="e">
        <f>IF(Sheet2!#REF!&lt;&gt;"",Sheet2!#REF!,"")</f>
        <v>#REF!</v>
      </c>
      <c r="C1351" s="34" t="e">
        <f>IF(Sheet2!#REF!&lt;&gt;"",Sheet2!#REF!,"")</f>
        <v>#REF!</v>
      </c>
      <c r="D1351" s="35" t="str">
        <f t="shared" ca="1" si="44"/>
        <v/>
      </c>
      <c r="E1351" s="3"/>
      <c r="F1351" s="3"/>
      <c r="G1351" s="3"/>
      <c r="H1351" s="3"/>
      <c r="K1351" t="str">
        <f t="shared" ca="1" si="45"/>
        <v/>
      </c>
    </row>
    <row r="1352" spans="1:11">
      <c r="A1352" s="23" t="e">
        <f>IF(Sheet2!#REF!&lt;&gt;"",Sheet2!#REF!,"")</f>
        <v>#REF!</v>
      </c>
      <c r="B1352" s="33" t="e">
        <f>IF(Sheet2!#REF!&lt;&gt;"",Sheet2!#REF!,"")</f>
        <v>#REF!</v>
      </c>
      <c r="C1352" s="34" t="e">
        <f>IF(Sheet2!#REF!&lt;&gt;"",Sheet2!#REF!,"")</f>
        <v>#REF!</v>
      </c>
      <c r="D1352" s="35" t="str">
        <f t="shared" ca="1" si="44"/>
        <v/>
      </c>
      <c r="E1352" s="3"/>
      <c r="F1352" s="3"/>
      <c r="G1352" s="3"/>
      <c r="H1352" s="3"/>
      <c r="K1352" t="str">
        <f t="shared" ca="1" si="45"/>
        <v/>
      </c>
    </row>
    <row r="1353" spans="1:11">
      <c r="A1353" s="23" t="e">
        <f>IF(Sheet2!#REF!&lt;&gt;"",Sheet2!#REF!,"")</f>
        <v>#REF!</v>
      </c>
      <c r="B1353" s="33" t="e">
        <f>IF(Sheet2!#REF!&lt;&gt;"",Sheet2!#REF!,"")</f>
        <v>#REF!</v>
      </c>
      <c r="C1353" s="34" t="e">
        <f>IF(Sheet2!#REF!&lt;&gt;"",Sheet2!#REF!,"")</f>
        <v>#REF!</v>
      </c>
      <c r="D1353" s="35" t="str">
        <f t="shared" ca="1" si="44"/>
        <v/>
      </c>
      <c r="E1353" s="3"/>
      <c r="F1353" s="3"/>
      <c r="G1353" s="3"/>
      <c r="H1353" s="3"/>
      <c r="K1353" t="str">
        <f t="shared" ca="1" si="45"/>
        <v/>
      </c>
    </row>
    <row r="1354" spans="1:11">
      <c r="A1354" s="23" t="e">
        <f>IF(Sheet2!#REF!&lt;&gt;"",Sheet2!#REF!,"")</f>
        <v>#REF!</v>
      </c>
      <c r="B1354" s="33" t="e">
        <f>IF(Sheet2!#REF!&lt;&gt;"",Sheet2!#REF!,"")</f>
        <v>#REF!</v>
      </c>
      <c r="C1354" s="34" t="e">
        <f>IF(Sheet2!#REF!&lt;&gt;"",Sheet2!#REF!,"")</f>
        <v>#REF!</v>
      </c>
      <c r="D1354" s="35" t="str">
        <f t="shared" ca="1" si="44"/>
        <v/>
      </c>
      <c r="E1354" s="3"/>
      <c r="F1354" s="3"/>
      <c r="G1354" s="3"/>
      <c r="H1354" s="3"/>
      <c r="K1354" t="str">
        <f t="shared" ca="1" si="45"/>
        <v/>
      </c>
    </row>
    <row r="1355" spans="1:11">
      <c r="A1355" s="23" t="e">
        <f>IF(Sheet2!#REF!&lt;&gt;"",Sheet2!#REF!,"")</f>
        <v>#REF!</v>
      </c>
      <c r="B1355" s="33" t="e">
        <f>IF(Sheet2!#REF!&lt;&gt;"",Sheet2!#REF!,"")</f>
        <v>#REF!</v>
      </c>
      <c r="C1355" s="34" t="e">
        <f>IF(Sheet2!#REF!&lt;&gt;"",Sheet2!#REF!,"")</f>
        <v>#REF!</v>
      </c>
      <c r="D1355" s="35" t="str">
        <f t="shared" ca="1" si="44"/>
        <v/>
      </c>
      <c r="E1355" s="3"/>
      <c r="F1355" s="3"/>
      <c r="G1355" s="3"/>
      <c r="H1355" s="3"/>
      <c r="K1355" t="str">
        <f t="shared" ca="1" si="45"/>
        <v/>
      </c>
    </row>
    <row r="1356" spans="1:11">
      <c r="A1356" s="23" t="e">
        <f>IF(Sheet2!#REF!&lt;&gt;"",Sheet2!#REF!,"")</f>
        <v>#REF!</v>
      </c>
      <c r="B1356" s="33" t="e">
        <f>IF(Sheet2!#REF!&lt;&gt;"",Sheet2!#REF!,"")</f>
        <v>#REF!</v>
      </c>
      <c r="C1356" s="34" t="e">
        <f>IF(Sheet2!#REF!&lt;&gt;"",Sheet2!#REF!,"")</f>
        <v>#REF!</v>
      </c>
      <c r="D1356" s="35" t="str">
        <f t="shared" ca="1" si="44"/>
        <v/>
      </c>
      <c r="E1356" s="3"/>
      <c r="F1356" s="3"/>
      <c r="G1356" s="3"/>
      <c r="H1356" s="3"/>
      <c r="K1356" t="str">
        <f t="shared" ca="1" si="45"/>
        <v/>
      </c>
    </row>
    <row r="1357" spans="1:11">
      <c r="A1357" s="23" t="e">
        <f>IF(Sheet2!#REF!&lt;&gt;"",Sheet2!#REF!,"")</f>
        <v>#REF!</v>
      </c>
      <c r="B1357" s="33" t="e">
        <f>IF(Sheet2!#REF!&lt;&gt;"",Sheet2!#REF!,"")</f>
        <v>#REF!</v>
      </c>
      <c r="C1357" s="34" t="e">
        <f>IF(Sheet2!#REF!&lt;&gt;"",Sheet2!#REF!,"")</f>
        <v>#REF!</v>
      </c>
      <c r="D1357" s="35" t="str">
        <f t="shared" ca="1" si="44"/>
        <v/>
      </c>
      <c r="E1357" s="3"/>
      <c r="F1357" s="3"/>
      <c r="G1357" s="3"/>
      <c r="H1357" s="3"/>
      <c r="K1357" t="str">
        <f t="shared" ca="1" si="45"/>
        <v/>
      </c>
    </row>
    <row r="1358" spans="1:11">
      <c r="A1358" s="23" t="e">
        <f>IF(Sheet2!#REF!&lt;&gt;"",Sheet2!#REF!,"")</f>
        <v>#REF!</v>
      </c>
      <c r="B1358" s="33" t="e">
        <f>IF(Sheet2!#REF!&lt;&gt;"",Sheet2!#REF!,"")</f>
        <v>#REF!</v>
      </c>
      <c r="C1358" s="34" t="e">
        <f>IF(Sheet2!#REF!&lt;&gt;"",Sheet2!#REF!,"")</f>
        <v>#REF!</v>
      </c>
      <c r="D1358" s="35" t="str">
        <f t="shared" ca="1" si="44"/>
        <v/>
      </c>
      <c r="E1358" s="3"/>
      <c r="F1358" s="3"/>
      <c r="G1358" s="3"/>
      <c r="H1358" s="3"/>
      <c r="K1358" t="str">
        <f t="shared" ca="1" si="45"/>
        <v/>
      </c>
    </row>
    <row r="1359" spans="1:11">
      <c r="A1359" s="23" t="e">
        <f>IF(Sheet2!#REF!&lt;&gt;"",Sheet2!#REF!,"")</f>
        <v>#REF!</v>
      </c>
      <c r="B1359" s="33" t="e">
        <f>IF(Sheet2!#REF!&lt;&gt;"",Sheet2!#REF!,"")</f>
        <v>#REF!</v>
      </c>
      <c r="C1359" s="34" t="e">
        <f>IF(Sheet2!#REF!&lt;&gt;"",Sheet2!#REF!,"")</f>
        <v>#REF!</v>
      </c>
      <c r="D1359" s="35" t="str">
        <f t="shared" ca="1" si="44"/>
        <v/>
      </c>
      <c r="E1359" s="3"/>
      <c r="F1359" s="3"/>
      <c r="G1359" s="3"/>
      <c r="H1359" s="3"/>
      <c r="K1359" t="str">
        <f t="shared" ca="1" si="45"/>
        <v/>
      </c>
    </row>
    <row r="1360" spans="1:11">
      <c r="A1360" s="23" t="e">
        <f>IF(Sheet2!#REF!&lt;&gt;"",Sheet2!#REF!,"")</f>
        <v>#REF!</v>
      </c>
      <c r="B1360" s="33" t="e">
        <f>IF(Sheet2!#REF!&lt;&gt;"",Sheet2!#REF!,"")</f>
        <v>#REF!</v>
      </c>
      <c r="C1360" s="34" t="e">
        <f>IF(Sheet2!#REF!&lt;&gt;"",Sheet2!#REF!,"")</f>
        <v>#REF!</v>
      </c>
      <c r="D1360" s="35" t="str">
        <f t="shared" ca="1" si="44"/>
        <v/>
      </c>
      <c r="E1360" s="3"/>
      <c r="F1360" s="3"/>
      <c r="G1360" s="3"/>
      <c r="H1360" s="3"/>
      <c r="K1360" t="str">
        <f t="shared" ca="1" si="45"/>
        <v/>
      </c>
    </row>
    <row r="1361" spans="1:11">
      <c r="A1361" s="23" t="e">
        <f>IF(Sheet2!#REF!&lt;&gt;"",Sheet2!#REF!,"")</f>
        <v>#REF!</v>
      </c>
      <c r="B1361" s="33" t="e">
        <f>IF(Sheet2!#REF!&lt;&gt;"",Sheet2!#REF!,"")</f>
        <v>#REF!</v>
      </c>
      <c r="C1361" s="34" t="e">
        <f>IF(Sheet2!#REF!&lt;&gt;"",Sheet2!#REF!,"")</f>
        <v>#REF!</v>
      </c>
      <c r="D1361" s="35" t="str">
        <f t="shared" ca="1" si="44"/>
        <v/>
      </c>
      <c r="E1361" s="3"/>
      <c r="F1361" s="3"/>
      <c r="G1361" s="3"/>
      <c r="H1361" s="3"/>
      <c r="K1361" t="str">
        <f t="shared" ca="1" si="45"/>
        <v/>
      </c>
    </row>
    <row r="1362" spans="1:11">
      <c r="A1362" s="23" t="e">
        <f>IF(Sheet2!#REF!&lt;&gt;"",Sheet2!#REF!,"")</f>
        <v>#REF!</v>
      </c>
      <c r="B1362" s="33" t="e">
        <f>IF(Sheet2!#REF!&lt;&gt;"",Sheet2!#REF!,"")</f>
        <v>#REF!</v>
      </c>
      <c r="C1362" s="34" t="e">
        <f>IF(Sheet2!#REF!&lt;&gt;"",Sheet2!#REF!,"")</f>
        <v>#REF!</v>
      </c>
      <c r="D1362" s="35" t="str">
        <f t="shared" ca="1" si="44"/>
        <v/>
      </c>
      <c r="E1362" s="3"/>
      <c r="F1362" s="3"/>
      <c r="G1362" s="3"/>
      <c r="H1362" s="3"/>
      <c r="K1362" t="str">
        <f t="shared" ca="1" si="45"/>
        <v/>
      </c>
    </row>
    <row r="1363" spans="1:11">
      <c r="A1363" s="23" t="e">
        <f>IF(Sheet2!#REF!&lt;&gt;"",Sheet2!#REF!,"")</f>
        <v>#REF!</v>
      </c>
      <c r="B1363" s="33" t="e">
        <f>IF(Sheet2!#REF!&lt;&gt;"",Sheet2!#REF!,"")</f>
        <v>#REF!</v>
      </c>
      <c r="C1363" s="34" t="e">
        <f>IF(Sheet2!#REF!&lt;&gt;"",Sheet2!#REF!,"")</f>
        <v>#REF!</v>
      </c>
      <c r="D1363" s="35" t="str">
        <f t="shared" ca="1" si="44"/>
        <v/>
      </c>
      <c r="E1363" s="3"/>
      <c r="F1363" s="3"/>
      <c r="G1363" s="3"/>
      <c r="H1363" s="3"/>
      <c r="K1363" t="str">
        <f t="shared" ca="1" si="45"/>
        <v/>
      </c>
    </row>
    <row r="1364" spans="1:11">
      <c r="A1364" s="23" t="e">
        <f>IF(Sheet2!#REF!&lt;&gt;"",Sheet2!#REF!,"")</f>
        <v>#REF!</v>
      </c>
      <c r="B1364" s="33" t="e">
        <f>IF(Sheet2!#REF!&lt;&gt;"",Sheet2!#REF!,"")</f>
        <v>#REF!</v>
      </c>
      <c r="C1364" s="34" t="e">
        <f>IF(Sheet2!#REF!&lt;&gt;"",Sheet2!#REF!,"")</f>
        <v>#REF!</v>
      </c>
      <c r="D1364" s="35" t="str">
        <f t="shared" ca="1" si="44"/>
        <v/>
      </c>
      <c r="E1364" s="3"/>
      <c r="F1364" s="3"/>
      <c r="G1364" s="3"/>
      <c r="H1364" s="3"/>
      <c r="K1364" t="str">
        <f t="shared" ca="1" si="45"/>
        <v/>
      </c>
    </row>
    <row r="1365" spans="1:11">
      <c r="A1365" s="23" t="e">
        <f>IF(Sheet2!#REF!&lt;&gt;"",Sheet2!#REF!,"")</f>
        <v>#REF!</v>
      </c>
      <c r="B1365" s="33" t="e">
        <f>IF(Sheet2!#REF!&lt;&gt;"",Sheet2!#REF!,"")</f>
        <v>#REF!</v>
      </c>
      <c r="C1365" s="34" t="e">
        <f>IF(Sheet2!#REF!&lt;&gt;"",Sheet2!#REF!,"")</f>
        <v>#REF!</v>
      </c>
      <c r="D1365" s="35" t="str">
        <f t="shared" ca="1" si="44"/>
        <v/>
      </c>
      <c r="E1365" s="3"/>
      <c r="F1365" s="3"/>
      <c r="G1365" s="3"/>
      <c r="H1365" s="3"/>
      <c r="K1365" t="str">
        <f t="shared" ca="1" si="45"/>
        <v/>
      </c>
    </row>
    <row r="1366" spans="1:11">
      <c r="A1366" s="23" t="e">
        <f>IF(Sheet2!#REF!&lt;&gt;"",Sheet2!#REF!,"")</f>
        <v>#REF!</v>
      </c>
      <c r="B1366" s="33" t="e">
        <f>IF(Sheet2!#REF!&lt;&gt;"",Sheet2!#REF!,"")</f>
        <v>#REF!</v>
      </c>
      <c r="C1366" s="34" t="e">
        <f>IF(Sheet2!#REF!&lt;&gt;"",Sheet2!#REF!,"")</f>
        <v>#REF!</v>
      </c>
      <c r="D1366" s="35" t="str">
        <f t="shared" ca="1" si="44"/>
        <v/>
      </c>
      <c r="E1366" s="3"/>
      <c r="F1366" s="3"/>
      <c r="G1366" s="3"/>
      <c r="H1366" s="3"/>
      <c r="K1366" t="str">
        <f t="shared" ca="1" si="45"/>
        <v/>
      </c>
    </row>
    <row r="1367" spans="1:11">
      <c r="A1367" s="23" t="e">
        <f>IF(Sheet2!#REF!&lt;&gt;"",Sheet2!#REF!,"")</f>
        <v>#REF!</v>
      </c>
      <c r="B1367" s="33" t="e">
        <f>IF(Sheet2!#REF!&lt;&gt;"",Sheet2!#REF!,"")</f>
        <v>#REF!</v>
      </c>
      <c r="C1367" s="34" t="e">
        <f>IF(Sheet2!#REF!&lt;&gt;"",Sheet2!#REF!,"")</f>
        <v>#REF!</v>
      </c>
      <c r="D1367" s="35" t="str">
        <f t="shared" ca="1" si="44"/>
        <v/>
      </c>
      <c r="E1367" s="3"/>
      <c r="F1367" s="3"/>
      <c r="G1367" s="3"/>
      <c r="H1367" s="3"/>
      <c r="K1367" t="str">
        <f t="shared" ca="1" si="45"/>
        <v/>
      </c>
    </row>
    <row r="1368" spans="1:11">
      <c r="A1368" s="23" t="e">
        <f>IF(Sheet2!#REF!&lt;&gt;"",Sheet2!#REF!,"")</f>
        <v>#REF!</v>
      </c>
      <c r="B1368" s="33" t="e">
        <f>IF(Sheet2!#REF!&lt;&gt;"",Sheet2!#REF!,"")</f>
        <v>#REF!</v>
      </c>
      <c r="C1368" s="34" t="e">
        <f>IF(Sheet2!#REF!&lt;&gt;"",Sheet2!#REF!,"")</f>
        <v>#REF!</v>
      </c>
      <c r="D1368" s="35" t="str">
        <f t="shared" ca="1" si="44"/>
        <v/>
      </c>
      <c r="E1368" s="3"/>
      <c r="F1368" s="3"/>
      <c r="G1368" s="3"/>
      <c r="H1368" s="3"/>
      <c r="K1368" t="str">
        <f t="shared" ca="1" si="45"/>
        <v/>
      </c>
    </row>
    <row r="1369" spans="1:11">
      <c r="A1369" s="23" t="e">
        <f>IF(Sheet2!#REF!&lt;&gt;"",Sheet2!#REF!,"")</f>
        <v>#REF!</v>
      </c>
      <c r="B1369" s="33" t="e">
        <f>IF(Sheet2!#REF!&lt;&gt;"",Sheet2!#REF!,"")</f>
        <v>#REF!</v>
      </c>
      <c r="C1369" s="34" t="e">
        <f>IF(Sheet2!#REF!&lt;&gt;"",Sheet2!#REF!,"")</f>
        <v>#REF!</v>
      </c>
      <c r="D1369" s="35" t="str">
        <f t="shared" ca="1" si="44"/>
        <v/>
      </c>
      <c r="E1369" s="3"/>
      <c r="F1369" s="3"/>
      <c r="G1369" s="3"/>
      <c r="H1369" s="3"/>
      <c r="K1369" t="str">
        <f t="shared" ca="1" si="45"/>
        <v/>
      </c>
    </row>
    <row r="1370" spans="1:11">
      <c r="A1370" s="23" t="e">
        <f>IF(Sheet2!#REF!&lt;&gt;"",Sheet2!#REF!,"")</f>
        <v>#REF!</v>
      </c>
      <c r="B1370" s="33" t="e">
        <f>IF(Sheet2!#REF!&lt;&gt;"",Sheet2!#REF!,"")</f>
        <v>#REF!</v>
      </c>
      <c r="C1370" s="34" t="e">
        <f>IF(Sheet2!#REF!&lt;&gt;"",Sheet2!#REF!,"")</f>
        <v>#REF!</v>
      </c>
      <c r="D1370" s="35" t="str">
        <f t="shared" ca="1" si="44"/>
        <v/>
      </c>
      <c r="E1370" s="3"/>
      <c r="F1370" s="3"/>
      <c r="G1370" s="3"/>
      <c r="H1370" s="3"/>
      <c r="K1370" t="str">
        <f t="shared" ca="1" si="45"/>
        <v/>
      </c>
    </row>
    <row r="1371" spans="1:11">
      <c r="A1371" s="23" t="e">
        <f>IF(Sheet2!#REF!&lt;&gt;"",Sheet2!#REF!,"")</f>
        <v>#REF!</v>
      </c>
      <c r="B1371" s="33" t="e">
        <f>IF(Sheet2!#REF!&lt;&gt;"",Sheet2!#REF!,"")</f>
        <v>#REF!</v>
      </c>
      <c r="C1371" s="34" t="e">
        <f>IF(Sheet2!#REF!&lt;&gt;"",Sheet2!#REF!,"")</f>
        <v>#REF!</v>
      </c>
      <c r="D1371" s="35" t="str">
        <f t="shared" ca="1" si="44"/>
        <v/>
      </c>
      <c r="E1371" s="3"/>
      <c r="F1371" s="3"/>
      <c r="G1371" s="3"/>
      <c r="H1371" s="3"/>
      <c r="K1371" t="str">
        <f t="shared" ca="1" si="45"/>
        <v/>
      </c>
    </row>
    <row r="1372" spans="1:11">
      <c r="A1372" s="23" t="e">
        <f>IF(Sheet2!#REF!&lt;&gt;"",Sheet2!#REF!,"")</f>
        <v>#REF!</v>
      </c>
      <c r="B1372" s="33" t="e">
        <f>IF(Sheet2!#REF!&lt;&gt;"",Sheet2!#REF!,"")</f>
        <v>#REF!</v>
      </c>
      <c r="C1372" s="34" t="e">
        <f>IF(Sheet2!#REF!&lt;&gt;"",Sheet2!#REF!,"")</f>
        <v>#REF!</v>
      </c>
      <c r="D1372" s="35" t="str">
        <f t="shared" ca="1" si="44"/>
        <v/>
      </c>
      <c r="E1372" s="3"/>
      <c r="F1372" s="3"/>
      <c r="G1372" s="3"/>
      <c r="H1372" s="3"/>
      <c r="K1372" t="str">
        <f t="shared" ca="1" si="45"/>
        <v/>
      </c>
    </row>
    <row r="1373" spans="1:11">
      <c r="A1373" s="23" t="e">
        <f>IF(Sheet2!#REF!&lt;&gt;"",Sheet2!#REF!,"")</f>
        <v>#REF!</v>
      </c>
      <c r="B1373" s="33" t="e">
        <f>IF(Sheet2!#REF!&lt;&gt;"",Sheet2!#REF!,"")</f>
        <v>#REF!</v>
      </c>
      <c r="C1373" s="34" t="e">
        <f>IF(Sheet2!#REF!&lt;&gt;"",Sheet2!#REF!,"")</f>
        <v>#REF!</v>
      </c>
      <c r="D1373" s="35" t="str">
        <f t="shared" ca="1" si="44"/>
        <v/>
      </c>
      <c r="E1373" s="3"/>
      <c r="F1373" s="3"/>
      <c r="G1373" s="3"/>
      <c r="H1373" s="3"/>
      <c r="K1373" t="str">
        <f t="shared" ca="1" si="45"/>
        <v/>
      </c>
    </row>
    <row r="1374" spans="1:11">
      <c r="A1374" s="23" t="e">
        <f>IF(Sheet2!#REF!&lt;&gt;"",Sheet2!#REF!,"")</f>
        <v>#REF!</v>
      </c>
      <c r="B1374" s="33" t="e">
        <f>IF(Sheet2!#REF!&lt;&gt;"",Sheet2!#REF!,"")</f>
        <v>#REF!</v>
      </c>
      <c r="C1374" s="34" t="e">
        <f>IF(Sheet2!#REF!&lt;&gt;"",Sheet2!#REF!,"")</f>
        <v>#REF!</v>
      </c>
      <c r="D1374" s="35" t="str">
        <f t="shared" ca="1" si="44"/>
        <v/>
      </c>
      <c r="E1374" s="3"/>
      <c r="F1374" s="3"/>
      <c r="G1374" s="3"/>
      <c r="H1374" s="3"/>
      <c r="K1374" t="str">
        <f t="shared" ca="1" si="45"/>
        <v/>
      </c>
    </row>
    <row r="1375" spans="1:11">
      <c r="A1375" s="23" t="e">
        <f>IF(Sheet2!#REF!&lt;&gt;"",Sheet2!#REF!,"")</f>
        <v>#REF!</v>
      </c>
      <c r="B1375" s="33" t="e">
        <f>IF(Sheet2!#REF!&lt;&gt;"",Sheet2!#REF!,"")</f>
        <v>#REF!</v>
      </c>
      <c r="C1375" s="34" t="e">
        <f>IF(Sheet2!#REF!&lt;&gt;"",Sheet2!#REF!,"")</f>
        <v>#REF!</v>
      </c>
      <c r="D1375" s="35" t="str">
        <f t="shared" ca="1" si="44"/>
        <v/>
      </c>
      <c r="E1375" s="3"/>
      <c r="F1375" s="3"/>
      <c r="G1375" s="3"/>
      <c r="H1375" s="3"/>
      <c r="K1375" t="str">
        <f t="shared" ca="1" si="45"/>
        <v/>
      </c>
    </row>
    <row r="1376" spans="1:11">
      <c r="A1376" s="23" t="e">
        <f>IF(Sheet2!#REF!&lt;&gt;"",Sheet2!#REF!,"")</f>
        <v>#REF!</v>
      </c>
      <c r="B1376" s="33" t="e">
        <f>IF(Sheet2!#REF!&lt;&gt;"",Sheet2!#REF!,"")</f>
        <v>#REF!</v>
      </c>
      <c r="C1376" s="34" t="e">
        <f>IF(Sheet2!#REF!&lt;&gt;"",Sheet2!#REF!,"")</f>
        <v>#REF!</v>
      </c>
      <c r="D1376" s="35" t="str">
        <f t="shared" ca="1" si="44"/>
        <v/>
      </c>
      <c r="E1376" s="3"/>
      <c r="F1376" s="3"/>
      <c r="G1376" s="3"/>
      <c r="H1376" s="3"/>
      <c r="K1376" t="str">
        <f t="shared" ca="1" si="45"/>
        <v/>
      </c>
    </row>
    <row r="1377" spans="1:11">
      <c r="A1377" s="23" t="e">
        <f>IF(Sheet2!#REF!&lt;&gt;"",Sheet2!#REF!,"")</f>
        <v>#REF!</v>
      </c>
      <c r="B1377" s="33" t="e">
        <f>IF(Sheet2!#REF!&lt;&gt;"",Sheet2!#REF!,"")</f>
        <v>#REF!</v>
      </c>
      <c r="C1377" s="34" t="e">
        <f>IF(Sheet2!#REF!&lt;&gt;"",Sheet2!#REF!,"")</f>
        <v>#REF!</v>
      </c>
      <c r="D1377" s="35" t="str">
        <f t="shared" ca="1" si="44"/>
        <v/>
      </c>
      <c r="E1377" s="3"/>
      <c r="F1377" s="3"/>
      <c r="G1377" s="3"/>
      <c r="H1377" s="3"/>
      <c r="K1377" t="str">
        <f t="shared" ca="1" si="45"/>
        <v/>
      </c>
    </row>
    <row r="1378" spans="1:11">
      <c r="A1378" s="23" t="e">
        <f>IF(Sheet2!#REF!&lt;&gt;"",Sheet2!#REF!,"")</f>
        <v>#REF!</v>
      </c>
      <c r="B1378" s="33" t="e">
        <f>IF(Sheet2!#REF!&lt;&gt;"",Sheet2!#REF!,"")</f>
        <v>#REF!</v>
      </c>
      <c r="C1378" s="34" t="e">
        <f>IF(Sheet2!#REF!&lt;&gt;"",Sheet2!#REF!,"")</f>
        <v>#REF!</v>
      </c>
      <c r="D1378" s="35" t="str">
        <f t="shared" ca="1" si="44"/>
        <v/>
      </c>
      <c r="E1378" s="3"/>
      <c r="F1378" s="3"/>
      <c r="G1378" s="3"/>
      <c r="H1378" s="3"/>
      <c r="K1378" t="str">
        <f t="shared" ca="1" si="45"/>
        <v/>
      </c>
    </row>
    <row r="1379" spans="1:11">
      <c r="A1379" s="23" t="e">
        <f>IF(Sheet2!#REF!&lt;&gt;"",Sheet2!#REF!,"")</f>
        <v>#REF!</v>
      </c>
      <c r="B1379" s="33" t="e">
        <f>IF(Sheet2!#REF!&lt;&gt;"",Sheet2!#REF!,"")</f>
        <v>#REF!</v>
      </c>
      <c r="C1379" s="34" t="e">
        <f>IF(Sheet2!#REF!&lt;&gt;"",Sheet2!#REF!,"")</f>
        <v>#REF!</v>
      </c>
      <c r="D1379" s="35" t="str">
        <f t="shared" ca="1" si="44"/>
        <v/>
      </c>
      <c r="E1379" s="3"/>
      <c r="F1379" s="3"/>
      <c r="G1379" s="3"/>
      <c r="H1379" s="3"/>
      <c r="K1379" t="str">
        <f t="shared" ca="1" si="45"/>
        <v/>
      </c>
    </row>
    <row r="1380" spans="1:11">
      <c r="A1380" s="23" t="e">
        <f>IF(Sheet2!#REF!&lt;&gt;"",Sheet2!#REF!,"")</f>
        <v>#REF!</v>
      </c>
      <c r="B1380" s="33" t="e">
        <f>IF(Sheet2!#REF!&lt;&gt;"",Sheet2!#REF!,"")</f>
        <v>#REF!</v>
      </c>
      <c r="C1380" s="34" t="e">
        <f>IF(Sheet2!#REF!&lt;&gt;"",Sheet2!#REF!,"")</f>
        <v>#REF!</v>
      </c>
      <c r="D1380" s="35" t="str">
        <f t="shared" ca="1" si="44"/>
        <v/>
      </c>
      <c r="E1380" s="3"/>
      <c r="F1380" s="3"/>
      <c r="G1380" s="3"/>
      <c r="H1380" s="3"/>
      <c r="K1380" t="str">
        <f t="shared" ca="1" si="45"/>
        <v/>
      </c>
    </row>
    <row r="1381" spans="1:11">
      <c r="A1381" s="23" t="e">
        <f>IF(Sheet2!#REF!&lt;&gt;"",Sheet2!#REF!,"")</f>
        <v>#REF!</v>
      </c>
      <c r="B1381" s="33" t="e">
        <f>IF(Sheet2!#REF!&lt;&gt;"",Sheet2!#REF!,"")</f>
        <v>#REF!</v>
      </c>
      <c r="C1381" s="34" t="e">
        <f>IF(Sheet2!#REF!&lt;&gt;"",Sheet2!#REF!,"")</f>
        <v>#REF!</v>
      </c>
      <c r="D1381" s="35" t="str">
        <f t="shared" ca="1" si="44"/>
        <v/>
      </c>
      <c r="E1381" s="3"/>
      <c r="F1381" s="3"/>
      <c r="G1381" s="3"/>
      <c r="H1381" s="3"/>
      <c r="K1381" t="str">
        <f t="shared" ca="1" si="45"/>
        <v/>
      </c>
    </row>
    <row r="1382" spans="1:11">
      <c r="A1382" s="23" t="e">
        <f>IF(Sheet2!#REF!&lt;&gt;"",Sheet2!#REF!,"")</f>
        <v>#REF!</v>
      </c>
      <c r="B1382" s="33" t="e">
        <f>IF(Sheet2!#REF!&lt;&gt;"",Sheet2!#REF!,"")</f>
        <v>#REF!</v>
      </c>
      <c r="C1382" s="34" t="e">
        <f>IF(Sheet2!#REF!&lt;&gt;"",Sheet2!#REF!,"")</f>
        <v>#REF!</v>
      </c>
      <c r="D1382" s="35" t="str">
        <f t="shared" ca="1" si="44"/>
        <v/>
      </c>
      <c r="E1382" s="3"/>
      <c r="F1382" s="3"/>
      <c r="G1382" s="3"/>
      <c r="H1382" s="3"/>
      <c r="K1382" t="str">
        <f t="shared" ca="1" si="45"/>
        <v/>
      </c>
    </row>
    <row r="1383" spans="1:11">
      <c r="A1383" s="23" t="e">
        <f>IF(Sheet2!#REF!&lt;&gt;"",Sheet2!#REF!,"")</f>
        <v>#REF!</v>
      </c>
      <c r="B1383" s="33" t="e">
        <f>IF(Sheet2!#REF!&lt;&gt;"",Sheet2!#REF!,"")</f>
        <v>#REF!</v>
      </c>
      <c r="C1383" s="34" t="e">
        <f>IF(Sheet2!#REF!&lt;&gt;"",Sheet2!#REF!,"")</f>
        <v>#REF!</v>
      </c>
      <c r="D1383" s="35" t="str">
        <f t="shared" ca="1" si="44"/>
        <v/>
      </c>
      <c r="E1383" s="3"/>
      <c r="F1383" s="3"/>
      <c r="G1383" s="3"/>
      <c r="H1383" s="3"/>
      <c r="K1383" t="str">
        <f t="shared" ca="1" si="45"/>
        <v/>
      </c>
    </row>
    <row r="1384" spans="1:11">
      <c r="A1384" s="23" t="e">
        <f>IF(Sheet2!#REF!&lt;&gt;"",Sheet2!#REF!,"")</f>
        <v>#REF!</v>
      </c>
      <c r="B1384" s="33" t="e">
        <f>IF(Sheet2!#REF!&lt;&gt;"",Sheet2!#REF!,"")</f>
        <v>#REF!</v>
      </c>
      <c r="C1384" s="34" t="e">
        <f>IF(Sheet2!#REF!&lt;&gt;"",Sheet2!#REF!,"")</f>
        <v>#REF!</v>
      </c>
      <c r="D1384" s="35" t="str">
        <f t="shared" ca="1" si="44"/>
        <v/>
      </c>
      <c r="E1384" s="3"/>
      <c r="F1384" s="3"/>
      <c r="G1384" s="3"/>
      <c r="H1384" s="3"/>
      <c r="K1384" t="str">
        <f t="shared" ca="1" si="45"/>
        <v/>
      </c>
    </row>
    <row r="1385" spans="1:11">
      <c r="A1385" s="23" t="e">
        <f>IF(Sheet2!#REF!&lt;&gt;"",Sheet2!#REF!,"")</f>
        <v>#REF!</v>
      </c>
      <c r="B1385" s="33" t="e">
        <f>IF(Sheet2!#REF!&lt;&gt;"",Sheet2!#REF!,"")</f>
        <v>#REF!</v>
      </c>
      <c r="C1385" s="34" t="e">
        <f>IF(Sheet2!#REF!&lt;&gt;"",Sheet2!#REF!,"")</f>
        <v>#REF!</v>
      </c>
      <c r="D1385" s="35" t="str">
        <f t="shared" ca="1" si="44"/>
        <v/>
      </c>
      <c r="E1385" s="3"/>
      <c r="F1385" s="3"/>
      <c r="G1385" s="3"/>
      <c r="H1385" s="3"/>
      <c r="K1385" t="str">
        <f t="shared" ca="1" si="45"/>
        <v/>
      </c>
    </row>
    <row r="1386" spans="1:11">
      <c r="A1386" s="23" t="e">
        <f>IF(Sheet2!#REF!&lt;&gt;"",Sheet2!#REF!,"")</f>
        <v>#REF!</v>
      </c>
      <c r="B1386" s="33" t="e">
        <f>IF(Sheet2!#REF!&lt;&gt;"",Sheet2!#REF!,"")</f>
        <v>#REF!</v>
      </c>
      <c r="C1386" s="34" t="e">
        <f>IF(Sheet2!#REF!&lt;&gt;"",Sheet2!#REF!,"")</f>
        <v>#REF!</v>
      </c>
      <c r="D1386" s="35" t="str">
        <f t="shared" ca="1" si="44"/>
        <v/>
      </c>
      <c r="E1386" s="3"/>
      <c r="F1386" s="3"/>
      <c r="G1386" s="3"/>
      <c r="H1386" s="3"/>
      <c r="K1386" t="str">
        <f t="shared" ca="1" si="45"/>
        <v/>
      </c>
    </row>
    <row r="1387" spans="1:11">
      <c r="A1387" s="23" t="e">
        <f>IF(Sheet2!#REF!&lt;&gt;"",Sheet2!#REF!,"")</f>
        <v>#REF!</v>
      </c>
      <c r="B1387" s="33" t="e">
        <f>IF(Sheet2!#REF!&lt;&gt;"",Sheet2!#REF!,"")</f>
        <v>#REF!</v>
      </c>
      <c r="C1387" s="34" t="e">
        <f>IF(Sheet2!#REF!&lt;&gt;"",Sheet2!#REF!,"")</f>
        <v>#REF!</v>
      </c>
      <c r="D1387" s="35" t="str">
        <f t="shared" ca="1" si="44"/>
        <v/>
      </c>
      <c r="E1387" s="3"/>
      <c r="F1387" s="3"/>
      <c r="G1387" s="3"/>
      <c r="H1387" s="3"/>
      <c r="K1387" t="str">
        <f t="shared" ca="1" si="45"/>
        <v/>
      </c>
    </row>
    <row r="1388" spans="1:11">
      <c r="A1388" s="23" t="e">
        <f>IF(Sheet2!#REF!&lt;&gt;"",Sheet2!#REF!,"")</f>
        <v>#REF!</v>
      </c>
      <c r="B1388" s="33" t="e">
        <f>IF(Sheet2!#REF!&lt;&gt;"",Sheet2!#REF!,"")</f>
        <v>#REF!</v>
      </c>
      <c r="C1388" s="34" t="e">
        <f>IF(Sheet2!#REF!&lt;&gt;"",Sheet2!#REF!,"")</f>
        <v>#REF!</v>
      </c>
      <c r="D1388" s="35" t="str">
        <f t="shared" ca="1" si="44"/>
        <v/>
      </c>
      <c r="E1388" s="3"/>
      <c r="F1388" s="3"/>
      <c r="G1388" s="3"/>
      <c r="H1388" s="3"/>
      <c r="K1388" t="str">
        <f t="shared" ca="1" si="45"/>
        <v/>
      </c>
    </row>
    <row r="1389" spans="1:11">
      <c r="A1389" s="23" t="e">
        <f>IF(Sheet2!#REF!&lt;&gt;"",Sheet2!#REF!,"")</f>
        <v>#REF!</v>
      </c>
      <c r="B1389" s="33" t="e">
        <f>IF(Sheet2!#REF!&lt;&gt;"",Sheet2!#REF!,"")</f>
        <v>#REF!</v>
      </c>
      <c r="C1389" s="34" t="e">
        <f>IF(Sheet2!#REF!&lt;&gt;"",Sheet2!#REF!,"")</f>
        <v>#REF!</v>
      </c>
      <c r="D1389" s="35" t="str">
        <f t="shared" ca="1" si="44"/>
        <v/>
      </c>
      <c r="E1389" s="3"/>
      <c r="F1389" s="3"/>
      <c r="G1389" s="3"/>
      <c r="H1389" s="3"/>
      <c r="K1389" t="str">
        <f t="shared" ca="1" si="45"/>
        <v/>
      </c>
    </row>
    <row r="1390" spans="1:11">
      <c r="A1390" s="23" t="e">
        <f>IF(Sheet2!#REF!&lt;&gt;"",Sheet2!#REF!,"")</f>
        <v>#REF!</v>
      </c>
      <c r="B1390" s="33" t="e">
        <f>IF(Sheet2!#REF!&lt;&gt;"",Sheet2!#REF!,"")</f>
        <v>#REF!</v>
      </c>
      <c r="C1390" s="34" t="e">
        <f>IF(Sheet2!#REF!&lt;&gt;"",Sheet2!#REF!,"")</f>
        <v>#REF!</v>
      </c>
      <c r="D1390" s="35" t="str">
        <f t="shared" ca="1" si="44"/>
        <v/>
      </c>
      <c r="E1390" s="3"/>
      <c r="F1390" s="3"/>
      <c r="G1390" s="3"/>
      <c r="H1390" s="3"/>
      <c r="K1390" t="str">
        <f t="shared" ca="1" si="45"/>
        <v/>
      </c>
    </row>
    <row r="1391" spans="1:11">
      <c r="A1391" s="23" t="e">
        <f>IF(Sheet2!#REF!&lt;&gt;"",Sheet2!#REF!,"")</f>
        <v>#REF!</v>
      </c>
      <c r="B1391" s="33" t="e">
        <f>IF(Sheet2!#REF!&lt;&gt;"",Sheet2!#REF!,"")</f>
        <v>#REF!</v>
      </c>
      <c r="C1391" s="34" t="e">
        <f>IF(Sheet2!#REF!&lt;&gt;"",Sheet2!#REF!,"")</f>
        <v>#REF!</v>
      </c>
      <c r="D1391" s="35" t="str">
        <f t="shared" ca="1" si="44"/>
        <v/>
      </c>
      <c r="E1391" s="3"/>
      <c r="F1391" s="3"/>
      <c r="G1391" s="3"/>
      <c r="H1391" s="3"/>
      <c r="K1391" t="str">
        <f t="shared" ca="1" si="45"/>
        <v/>
      </c>
    </row>
    <row r="1392" spans="1:11">
      <c r="A1392" s="23" t="e">
        <f>IF(Sheet2!#REF!&lt;&gt;"",Sheet2!#REF!,"")</f>
        <v>#REF!</v>
      </c>
      <c r="B1392" s="33" t="e">
        <f>IF(Sheet2!#REF!&lt;&gt;"",Sheet2!#REF!,"")</f>
        <v>#REF!</v>
      </c>
      <c r="C1392" s="34" t="e">
        <f>IF(Sheet2!#REF!&lt;&gt;"",Sheet2!#REF!,"")</f>
        <v>#REF!</v>
      </c>
      <c r="D1392" s="35" t="str">
        <f t="shared" ca="1" si="44"/>
        <v/>
      </c>
      <c r="E1392" s="3"/>
      <c r="F1392" s="3"/>
      <c r="G1392" s="3"/>
      <c r="H1392" s="3"/>
      <c r="K1392" t="str">
        <f t="shared" ca="1" si="45"/>
        <v/>
      </c>
    </row>
    <row r="1393" spans="1:11">
      <c r="A1393" s="23" t="e">
        <f>IF(Sheet2!#REF!&lt;&gt;"",Sheet2!#REF!,"")</f>
        <v>#REF!</v>
      </c>
      <c r="B1393" s="33" t="e">
        <f>IF(Sheet2!#REF!&lt;&gt;"",Sheet2!#REF!,"")</f>
        <v>#REF!</v>
      </c>
      <c r="C1393" s="34" t="e">
        <f>IF(Sheet2!#REF!&lt;&gt;"",Sheet2!#REF!,"")</f>
        <v>#REF!</v>
      </c>
      <c r="D1393" s="35" t="str">
        <f t="shared" ca="1" si="44"/>
        <v/>
      </c>
      <c r="E1393" s="3"/>
      <c r="F1393" s="3"/>
      <c r="G1393" s="3"/>
      <c r="H1393" s="3"/>
      <c r="K1393" t="str">
        <f t="shared" ca="1" si="45"/>
        <v/>
      </c>
    </row>
    <row r="1394" spans="1:11">
      <c r="A1394" s="23" t="e">
        <f>IF(Sheet2!#REF!&lt;&gt;"",Sheet2!#REF!,"")</f>
        <v>#REF!</v>
      </c>
      <c r="B1394" s="33" t="e">
        <f>IF(Sheet2!#REF!&lt;&gt;"",Sheet2!#REF!,"")</f>
        <v>#REF!</v>
      </c>
      <c r="C1394" s="34" t="e">
        <f>IF(Sheet2!#REF!&lt;&gt;"",Sheet2!#REF!,"")</f>
        <v>#REF!</v>
      </c>
      <c r="D1394" s="35" t="str">
        <f t="shared" ca="1" si="44"/>
        <v/>
      </c>
      <c r="E1394" s="3"/>
      <c r="F1394" s="3"/>
      <c r="G1394" s="3"/>
      <c r="H1394" s="3"/>
      <c r="K1394" t="str">
        <f t="shared" ca="1" si="45"/>
        <v/>
      </c>
    </row>
    <row r="1395" spans="1:11">
      <c r="A1395" s="23" t="e">
        <f>IF(Sheet2!#REF!&lt;&gt;"",Sheet2!#REF!,"")</f>
        <v>#REF!</v>
      </c>
      <c r="B1395" s="33" t="e">
        <f>IF(Sheet2!#REF!&lt;&gt;"",Sheet2!#REF!,"")</f>
        <v>#REF!</v>
      </c>
      <c r="C1395" s="34" t="e">
        <f>IF(Sheet2!#REF!&lt;&gt;"",Sheet2!#REF!,"")</f>
        <v>#REF!</v>
      </c>
      <c r="D1395" s="35" t="str">
        <f t="shared" ca="1" si="44"/>
        <v/>
      </c>
      <c r="E1395" s="3"/>
      <c r="F1395" s="3"/>
      <c r="G1395" s="3"/>
      <c r="H1395" s="3"/>
      <c r="K1395" t="str">
        <f t="shared" ca="1" si="45"/>
        <v/>
      </c>
    </row>
    <row r="1396" spans="1:11">
      <c r="A1396" s="23" t="e">
        <f>IF(Sheet2!#REF!&lt;&gt;"",Sheet2!#REF!,"")</f>
        <v>#REF!</v>
      </c>
      <c r="B1396" s="33" t="e">
        <f>IF(Sheet2!#REF!&lt;&gt;"",Sheet2!#REF!,"")</f>
        <v>#REF!</v>
      </c>
      <c r="C1396" s="34" t="e">
        <f>IF(Sheet2!#REF!&lt;&gt;"",Sheet2!#REF!,"")</f>
        <v>#REF!</v>
      </c>
      <c r="D1396" s="35" t="str">
        <f t="shared" ca="1" si="44"/>
        <v/>
      </c>
      <c r="E1396" s="3"/>
      <c r="F1396" s="3"/>
      <c r="G1396" s="3"/>
      <c r="H1396" s="3"/>
      <c r="K1396" t="str">
        <f t="shared" ca="1" si="45"/>
        <v/>
      </c>
    </row>
    <row r="1397" spans="1:11">
      <c r="A1397" s="23" t="e">
        <f>IF(Sheet2!#REF!&lt;&gt;"",Sheet2!#REF!,"")</f>
        <v>#REF!</v>
      </c>
      <c r="B1397" s="33" t="e">
        <f>IF(Sheet2!#REF!&lt;&gt;"",Sheet2!#REF!,"")</f>
        <v>#REF!</v>
      </c>
      <c r="C1397" s="34" t="e">
        <f>IF(Sheet2!#REF!&lt;&gt;"",Sheet2!#REF!,"")</f>
        <v>#REF!</v>
      </c>
      <c r="D1397" s="35" t="str">
        <f t="shared" ca="1" si="44"/>
        <v/>
      </c>
      <c r="E1397" s="3"/>
      <c r="F1397" s="3"/>
      <c r="G1397" s="3"/>
      <c r="H1397" s="3"/>
      <c r="K1397" t="str">
        <f t="shared" ca="1" si="45"/>
        <v/>
      </c>
    </row>
    <row r="1398" spans="1:11">
      <c r="A1398" s="23" t="e">
        <f>IF(Sheet2!#REF!&lt;&gt;"",Sheet2!#REF!,"")</f>
        <v>#REF!</v>
      </c>
      <c r="B1398" s="33" t="e">
        <f>IF(Sheet2!#REF!&lt;&gt;"",Sheet2!#REF!,"")</f>
        <v>#REF!</v>
      </c>
      <c r="C1398" s="34" t="e">
        <f>IF(Sheet2!#REF!&lt;&gt;"",Sheet2!#REF!,"")</f>
        <v>#REF!</v>
      </c>
      <c r="D1398" s="35" t="str">
        <f t="shared" ca="1" si="44"/>
        <v/>
      </c>
      <c r="E1398" s="3"/>
      <c r="F1398" s="3"/>
      <c r="G1398" s="3"/>
      <c r="H1398" s="3"/>
      <c r="K1398" t="str">
        <f t="shared" ca="1" si="45"/>
        <v/>
      </c>
    </row>
    <row r="1399" spans="1:11">
      <c r="A1399" s="23" t="e">
        <f>IF(Sheet2!#REF!&lt;&gt;"",Sheet2!#REF!,"")</f>
        <v>#REF!</v>
      </c>
      <c r="B1399" s="33" t="e">
        <f>IF(Sheet2!#REF!&lt;&gt;"",Sheet2!#REF!,"")</f>
        <v>#REF!</v>
      </c>
      <c r="C1399" s="34" t="e">
        <f>IF(Sheet2!#REF!&lt;&gt;"",Sheet2!#REF!,"")</f>
        <v>#REF!</v>
      </c>
      <c r="D1399" s="35" t="str">
        <f t="shared" ca="1" si="44"/>
        <v/>
      </c>
      <c r="E1399" s="3"/>
      <c r="F1399" s="3"/>
      <c r="G1399" s="3"/>
      <c r="H1399" s="3"/>
      <c r="K1399" t="str">
        <f t="shared" ca="1" si="45"/>
        <v/>
      </c>
    </row>
    <row r="1400" spans="1:11">
      <c r="A1400" s="23" t="e">
        <f>IF(Sheet2!#REF!&lt;&gt;"",Sheet2!#REF!,"")</f>
        <v>#REF!</v>
      </c>
      <c r="B1400" s="33" t="e">
        <f>IF(Sheet2!#REF!&lt;&gt;"",Sheet2!#REF!,"")</f>
        <v>#REF!</v>
      </c>
      <c r="C1400" s="34" t="e">
        <f>IF(Sheet2!#REF!&lt;&gt;"",Sheet2!#REF!,"")</f>
        <v>#REF!</v>
      </c>
      <c r="D1400" s="35" t="str">
        <f t="shared" ca="1" si="44"/>
        <v/>
      </c>
      <c r="E1400" s="3"/>
      <c r="F1400" s="3"/>
      <c r="G1400" s="3"/>
      <c r="H1400" s="3"/>
      <c r="K1400" t="str">
        <f t="shared" ca="1" si="45"/>
        <v/>
      </c>
    </row>
    <row r="1401" spans="1:11">
      <c r="A1401" s="23" t="e">
        <f>IF(Sheet2!#REF!&lt;&gt;"",Sheet2!#REF!,"")</f>
        <v>#REF!</v>
      </c>
      <c r="B1401" s="33" t="e">
        <f>IF(Sheet2!#REF!&lt;&gt;"",Sheet2!#REF!,"")</f>
        <v>#REF!</v>
      </c>
      <c r="C1401" s="34" t="e">
        <f>IF(Sheet2!#REF!&lt;&gt;"",Sheet2!#REF!,"")</f>
        <v>#REF!</v>
      </c>
      <c r="D1401" s="35" t="str">
        <f t="shared" ca="1" si="44"/>
        <v/>
      </c>
      <c r="E1401" s="3"/>
      <c r="F1401" s="3"/>
      <c r="G1401" s="3"/>
      <c r="H1401" s="3"/>
      <c r="K1401" t="str">
        <f t="shared" ca="1" si="45"/>
        <v/>
      </c>
    </row>
    <row r="1402" spans="1:11">
      <c r="A1402" s="23" t="e">
        <f>IF(Sheet2!#REF!&lt;&gt;"",Sheet2!#REF!,"")</f>
        <v>#REF!</v>
      </c>
      <c r="B1402" s="33" t="e">
        <f>IF(Sheet2!#REF!&lt;&gt;"",Sheet2!#REF!,"")</f>
        <v>#REF!</v>
      </c>
      <c r="C1402" s="34" t="e">
        <f>IF(Sheet2!#REF!&lt;&gt;"",Sheet2!#REF!,"")</f>
        <v>#REF!</v>
      </c>
      <c r="D1402" s="35" t="str">
        <f t="shared" ca="1" si="44"/>
        <v/>
      </c>
      <c r="E1402" s="3"/>
      <c r="F1402" s="3"/>
      <c r="G1402" s="3"/>
      <c r="H1402" s="3"/>
      <c r="K1402" t="str">
        <f t="shared" ca="1" si="45"/>
        <v/>
      </c>
    </row>
    <row r="1403" spans="1:11">
      <c r="A1403" s="23" t="e">
        <f>IF(Sheet2!#REF!&lt;&gt;"",Sheet2!#REF!,"")</f>
        <v>#REF!</v>
      </c>
      <c r="B1403" s="33" t="e">
        <f>IF(Sheet2!#REF!&lt;&gt;"",Sheet2!#REF!,"")</f>
        <v>#REF!</v>
      </c>
      <c r="C1403" s="34" t="e">
        <f>IF(Sheet2!#REF!&lt;&gt;"",Sheet2!#REF!,"")</f>
        <v>#REF!</v>
      </c>
      <c r="D1403" s="35" t="str">
        <f t="shared" ca="1" si="44"/>
        <v/>
      </c>
      <c r="E1403" s="3"/>
      <c r="F1403" s="3"/>
      <c r="G1403" s="3"/>
      <c r="H1403" s="3"/>
      <c r="K1403" t="str">
        <f t="shared" ca="1" si="45"/>
        <v/>
      </c>
    </row>
    <row r="1404" spans="1:11">
      <c r="A1404" s="23" t="e">
        <f>IF(Sheet2!#REF!&lt;&gt;"",Sheet2!#REF!,"")</f>
        <v>#REF!</v>
      </c>
      <c r="B1404" s="33" t="e">
        <f>IF(Sheet2!#REF!&lt;&gt;"",Sheet2!#REF!,"")</f>
        <v>#REF!</v>
      </c>
      <c r="C1404" s="34" t="e">
        <f>IF(Sheet2!#REF!&lt;&gt;"",Sheet2!#REF!,"")</f>
        <v>#REF!</v>
      </c>
      <c r="D1404" s="35" t="str">
        <f t="shared" ca="1" si="44"/>
        <v/>
      </c>
      <c r="E1404" s="3"/>
      <c r="F1404" s="3"/>
      <c r="G1404" s="3"/>
      <c r="H1404" s="3"/>
      <c r="K1404" t="str">
        <f t="shared" ca="1" si="45"/>
        <v/>
      </c>
    </row>
    <row r="1405" spans="1:11">
      <c r="A1405" s="23" t="e">
        <f>IF(Sheet2!#REF!&lt;&gt;"",Sheet2!#REF!,"")</f>
        <v>#REF!</v>
      </c>
      <c r="B1405" s="33" t="e">
        <f>IF(Sheet2!#REF!&lt;&gt;"",Sheet2!#REF!,"")</f>
        <v>#REF!</v>
      </c>
      <c r="C1405" s="34" t="e">
        <f>IF(Sheet2!#REF!&lt;&gt;"",Sheet2!#REF!,"")</f>
        <v>#REF!</v>
      </c>
      <c r="D1405" s="35" t="str">
        <f t="shared" ca="1" si="44"/>
        <v/>
      </c>
      <c r="E1405" s="3"/>
      <c r="F1405" s="3"/>
      <c r="G1405" s="3"/>
      <c r="H1405" s="3"/>
      <c r="K1405" t="str">
        <f t="shared" ca="1" si="45"/>
        <v/>
      </c>
    </row>
    <row r="1406" spans="1:11">
      <c r="A1406" s="23" t="e">
        <f>IF(Sheet2!#REF!&lt;&gt;"",Sheet2!#REF!,"")</f>
        <v>#REF!</v>
      </c>
      <c r="B1406" s="33" t="e">
        <f>IF(Sheet2!#REF!&lt;&gt;"",Sheet2!#REF!,"")</f>
        <v>#REF!</v>
      </c>
      <c r="C1406" s="34" t="e">
        <f>IF(Sheet2!#REF!&lt;&gt;"",Sheet2!#REF!,"")</f>
        <v>#REF!</v>
      </c>
      <c r="D1406" s="35" t="str">
        <f t="shared" ca="1" si="44"/>
        <v/>
      </c>
      <c r="E1406" s="3"/>
      <c r="F1406" s="3"/>
      <c r="G1406" s="3"/>
      <c r="H1406" s="3"/>
      <c r="K1406" t="str">
        <f t="shared" ca="1" si="45"/>
        <v/>
      </c>
    </row>
    <row r="1407" spans="1:11">
      <c r="A1407" s="23" t="e">
        <f>IF(Sheet2!#REF!&lt;&gt;"",Sheet2!#REF!,"")</f>
        <v>#REF!</v>
      </c>
      <c r="B1407" s="33" t="e">
        <f>IF(Sheet2!#REF!&lt;&gt;"",Sheet2!#REF!,"")</f>
        <v>#REF!</v>
      </c>
      <c r="C1407" s="34" t="e">
        <f>IF(Sheet2!#REF!&lt;&gt;"",Sheet2!#REF!,"")</f>
        <v>#REF!</v>
      </c>
      <c r="D1407" s="35" t="str">
        <f t="shared" ca="1" si="44"/>
        <v/>
      </c>
      <c r="E1407" s="3"/>
      <c r="F1407" s="3"/>
      <c r="G1407" s="3"/>
      <c r="H1407" s="3"/>
      <c r="K1407" t="str">
        <f t="shared" ca="1" si="45"/>
        <v/>
      </c>
    </row>
    <row r="1408" spans="1:11">
      <c r="A1408" s="23" t="e">
        <f>IF(Sheet2!#REF!&lt;&gt;"",Sheet2!#REF!,"")</f>
        <v>#REF!</v>
      </c>
      <c r="B1408" s="33" t="e">
        <f>IF(Sheet2!#REF!&lt;&gt;"",Sheet2!#REF!,"")</f>
        <v>#REF!</v>
      </c>
      <c r="C1408" s="34" t="e">
        <f>IF(Sheet2!#REF!&lt;&gt;"",Sheet2!#REF!,"")</f>
        <v>#REF!</v>
      </c>
      <c r="D1408" s="35" t="str">
        <f t="shared" ca="1" si="44"/>
        <v/>
      </c>
      <c r="E1408" s="3"/>
      <c r="F1408" s="3"/>
      <c r="G1408" s="3"/>
      <c r="H1408" s="3"/>
      <c r="K1408" t="str">
        <f t="shared" ca="1" si="45"/>
        <v/>
      </c>
    </row>
    <row r="1409" spans="1:11">
      <c r="A1409" s="23" t="e">
        <f>IF(Sheet2!#REF!&lt;&gt;"",Sheet2!#REF!,"")</f>
        <v>#REF!</v>
      </c>
      <c r="B1409" s="33" t="e">
        <f>IF(Sheet2!#REF!&lt;&gt;"",Sheet2!#REF!,"")</f>
        <v>#REF!</v>
      </c>
      <c r="C1409" s="34" t="e">
        <f>IF(Sheet2!#REF!&lt;&gt;"",Sheet2!#REF!,"")</f>
        <v>#REF!</v>
      </c>
      <c r="D1409" s="35" t="str">
        <f t="shared" ca="1" si="44"/>
        <v/>
      </c>
      <c r="E1409" s="3"/>
      <c r="F1409" s="3"/>
      <c r="G1409" s="3"/>
      <c r="H1409" s="3"/>
      <c r="K1409" t="str">
        <f t="shared" ca="1" si="45"/>
        <v/>
      </c>
    </row>
    <row r="1410" spans="1:11">
      <c r="A1410" s="23" t="e">
        <f>IF(Sheet2!#REF!&lt;&gt;"",Sheet2!#REF!,"")</f>
        <v>#REF!</v>
      </c>
      <c r="B1410" s="33" t="e">
        <f>IF(Sheet2!#REF!&lt;&gt;"",Sheet2!#REF!,"")</f>
        <v>#REF!</v>
      </c>
      <c r="C1410" s="34" t="e">
        <f>IF(Sheet2!#REF!&lt;&gt;"",Sheet2!#REF!,"")</f>
        <v>#REF!</v>
      </c>
      <c r="D1410" s="35" t="str">
        <f t="shared" ca="1" si="44"/>
        <v/>
      </c>
      <c r="E1410" s="3"/>
      <c r="F1410" s="3"/>
      <c r="G1410" s="3"/>
      <c r="H1410" s="3"/>
      <c r="K1410" t="str">
        <f t="shared" ca="1" si="45"/>
        <v/>
      </c>
    </row>
    <row r="1411" spans="1:11">
      <c r="A1411" s="23" t="e">
        <f>IF(Sheet2!#REF!&lt;&gt;"",Sheet2!#REF!,"")</f>
        <v>#REF!</v>
      </c>
      <c r="B1411" s="33" t="e">
        <f>IF(Sheet2!#REF!&lt;&gt;"",Sheet2!#REF!,"")</f>
        <v>#REF!</v>
      </c>
      <c r="C1411" s="34" t="e">
        <f>IF(Sheet2!#REF!&lt;&gt;"",Sheet2!#REF!,"")</f>
        <v>#REF!</v>
      </c>
      <c r="D1411" s="35" t="str">
        <f t="shared" ref="D1411:D1474" ca="1" si="46">IFERROR(IF(AND((C1411-TODAY())&lt;15,B1411&lt;&gt;""),IF(I1411="","Alert",""),""),"")</f>
        <v/>
      </c>
      <c r="E1411" s="3"/>
      <c r="F1411" s="3"/>
      <c r="G1411" s="3"/>
      <c r="H1411" s="3"/>
      <c r="K1411" t="str">
        <f t="shared" ref="K1411:K1474" ca="1" si="47">IF(I1411&lt;&gt;"",IF(J1411="",IF(TODAY()-I1411&gt;3,"ALERT",""),""),"")</f>
        <v/>
      </c>
    </row>
    <row r="1412" spans="1:11">
      <c r="A1412" s="23" t="e">
        <f>IF(Sheet2!#REF!&lt;&gt;"",Sheet2!#REF!,"")</f>
        <v>#REF!</v>
      </c>
      <c r="B1412" s="33" t="e">
        <f>IF(Sheet2!#REF!&lt;&gt;"",Sheet2!#REF!,"")</f>
        <v>#REF!</v>
      </c>
      <c r="C1412" s="34" t="e">
        <f>IF(Sheet2!#REF!&lt;&gt;"",Sheet2!#REF!,"")</f>
        <v>#REF!</v>
      </c>
      <c r="D1412" s="35" t="str">
        <f t="shared" ca="1" si="46"/>
        <v/>
      </c>
      <c r="E1412" s="3"/>
      <c r="F1412" s="3"/>
      <c r="G1412" s="3"/>
      <c r="H1412" s="3"/>
      <c r="K1412" t="str">
        <f t="shared" ca="1" si="47"/>
        <v/>
      </c>
    </row>
    <row r="1413" spans="1:11">
      <c r="A1413" s="23" t="e">
        <f>IF(Sheet2!#REF!&lt;&gt;"",Sheet2!#REF!,"")</f>
        <v>#REF!</v>
      </c>
      <c r="B1413" s="33" t="e">
        <f>IF(Sheet2!#REF!&lt;&gt;"",Sheet2!#REF!,"")</f>
        <v>#REF!</v>
      </c>
      <c r="C1413" s="34" t="e">
        <f>IF(Sheet2!#REF!&lt;&gt;"",Sheet2!#REF!,"")</f>
        <v>#REF!</v>
      </c>
      <c r="D1413" s="35" t="str">
        <f t="shared" ca="1" si="46"/>
        <v/>
      </c>
      <c r="E1413" s="3"/>
      <c r="F1413" s="3"/>
      <c r="G1413" s="3"/>
      <c r="H1413" s="3"/>
      <c r="K1413" t="str">
        <f t="shared" ca="1" si="47"/>
        <v/>
      </c>
    </row>
    <row r="1414" spans="1:11">
      <c r="A1414" s="23" t="e">
        <f>IF(Sheet2!#REF!&lt;&gt;"",Sheet2!#REF!,"")</f>
        <v>#REF!</v>
      </c>
      <c r="B1414" s="33" t="e">
        <f>IF(Sheet2!#REF!&lt;&gt;"",Sheet2!#REF!,"")</f>
        <v>#REF!</v>
      </c>
      <c r="C1414" s="34" t="e">
        <f>IF(Sheet2!#REF!&lt;&gt;"",Sheet2!#REF!,"")</f>
        <v>#REF!</v>
      </c>
      <c r="D1414" s="35" t="str">
        <f t="shared" ca="1" si="46"/>
        <v/>
      </c>
      <c r="E1414" s="3"/>
      <c r="F1414" s="3"/>
      <c r="G1414" s="3"/>
      <c r="H1414" s="3"/>
      <c r="K1414" t="str">
        <f t="shared" ca="1" si="47"/>
        <v/>
      </c>
    </row>
    <row r="1415" spans="1:11">
      <c r="A1415" s="23" t="e">
        <f>IF(Sheet2!#REF!&lt;&gt;"",Sheet2!#REF!,"")</f>
        <v>#REF!</v>
      </c>
      <c r="B1415" s="33" t="e">
        <f>IF(Sheet2!#REF!&lt;&gt;"",Sheet2!#REF!,"")</f>
        <v>#REF!</v>
      </c>
      <c r="C1415" s="34" t="e">
        <f>IF(Sheet2!#REF!&lt;&gt;"",Sheet2!#REF!,"")</f>
        <v>#REF!</v>
      </c>
      <c r="D1415" s="35" t="str">
        <f t="shared" ca="1" si="46"/>
        <v/>
      </c>
      <c r="E1415" s="3"/>
      <c r="F1415" s="3"/>
      <c r="G1415" s="3"/>
      <c r="H1415" s="3"/>
      <c r="K1415" t="str">
        <f t="shared" ca="1" si="47"/>
        <v/>
      </c>
    </row>
    <row r="1416" spans="1:11">
      <c r="A1416" s="23" t="e">
        <f>IF(Sheet2!#REF!&lt;&gt;"",Sheet2!#REF!,"")</f>
        <v>#REF!</v>
      </c>
      <c r="B1416" s="33" t="e">
        <f>IF(Sheet2!#REF!&lt;&gt;"",Sheet2!#REF!,"")</f>
        <v>#REF!</v>
      </c>
      <c r="C1416" s="34" t="e">
        <f>IF(Sheet2!#REF!&lt;&gt;"",Sheet2!#REF!,"")</f>
        <v>#REF!</v>
      </c>
      <c r="D1416" s="35" t="str">
        <f t="shared" ca="1" si="46"/>
        <v/>
      </c>
      <c r="E1416" s="3"/>
      <c r="F1416" s="3"/>
      <c r="G1416" s="3"/>
      <c r="H1416" s="3"/>
      <c r="K1416" t="str">
        <f t="shared" ca="1" si="47"/>
        <v/>
      </c>
    </row>
    <row r="1417" spans="1:11">
      <c r="A1417" s="23" t="e">
        <f>IF(Sheet2!#REF!&lt;&gt;"",Sheet2!#REF!,"")</f>
        <v>#REF!</v>
      </c>
      <c r="B1417" s="33" t="e">
        <f>IF(Sheet2!#REF!&lt;&gt;"",Sheet2!#REF!,"")</f>
        <v>#REF!</v>
      </c>
      <c r="C1417" s="34" t="e">
        <f>IF(Sheet2!#REF!&lt;&gt;"",Sheet2!#REF!,"")</f>
        <v>#REF!</v>
      </c>
      <c r="D1417" s="35" t="str">
        <f t="shared" ca="1" si="46"/>
        <v/>
      </c>
      <c r="E1417" s="3"/>
      <c r="F1417" s="3"/>
      <c r="G1417" s="3"/>
      <c r="H1417" s="3"/>
      <c r="K1417" t="str">
        <f t="shared" ca="1" si="47"/>
        <v/>
      </c>
    </row>
    <row r="1418" spans="1:11">
      <c r="A1418" s="23" t="e">
        <f>IF(Sheet2!#REF!&lt;&gt;"",Sheet2!#REF!,"")</f>
        <v>#REF!</v>
      </c>
      <c r="B1418" s="33" t="e">
        <f>IF(Sheet2!#REF!&lt;&gt;"",Sheet2!#REF!,"")</f>
        <v>#REF!</v>
      </c>
      <c r="C1418" s="34" t="e">
        <f>IF(Sheet2!#REF!&lt;&gt;"",Sheet2!#REF!,"")</f>
        <v>#REF!</v>
      </c>
      <c r="D1418" s="35" t="str">
        <f t="shared" ca="1" si="46"/>
        <v/>
      </c>
      <c r="E1418" s="3"/>
      <c r="F1418" s="3"/>
      <c r="G1418" s="3"/>
      <c r="H1418" s="3"/>
      <c r="K1418" t="str">
        <f t="shared" ca="1" si="47"/>
        <v/>
      </c>
    </row>
    <row r="1419" spans="1:11">
      <c r="A1419" s="23" t="e">
        <f>IF(Sheet2!#REF!&lt;&gt;"",Sheet2!#REF!,"")</f>
        <v>#REF!</v>
      </c>
      <c r="B1419" s="33" t="e">
        <f>IF(Sheet2!#REF!&lt;&gt;"",Sheet2!#REF!,"")</f>
        <v>#REF!</v>
      </c>
      <c r="C1419" s="34" t="e">
        <f>IF(Sheet2!#REF!&lt;&gt;"",Sheet2!#REF!,"")</f>
        <v>#REF!</v>
      </c>
      <c r="D1419" s="35" t="str">
        <f t="shared" ca="1" si="46"/>
        <v/>
      </c>
      <c r="E1419" s="3"/>
      <c r="F1419" s="3"/>
      <c r="G1419" s="3"/>
      <c r="H1419" s="3"/>
      <c r="K1419" t="str">
        <f t="shared" ca="1" si="47"/>
        <v/>
      </c>
    </row>
    <row r="1420" spans="1:11">
      <c r="A1420" s="23" t="e">
        <f>IF(Sheet2!#REF!&lt;&gt;"",Sheet2!#REF!,"")</f>
        <v>#REF!</v>
      </c>
      <c r="B1420" s="33" t="e">
        <f>IF(Sheet2!#REF!&lt;&gt;"",Sheet2!#REF!,"")</f>
        <v>#REF!</v>
      </c>
      <c r="C1420" s="34" t="e">
        <f>IF(Sheet2!#REF!&lt;&gt;"",Sheet2!#REF!,"")</f>
        <v>#REF!</v>
      </c>
      <c r="D1420" s="35" t="str">
        <f t="shared" ca="1" si="46"/>
        <v/>
      </c>
      <c r="E1420" s="3"/>
      <c r="F1420" s="3"/>
      <c r="G1420" s="3"/>
      <c r="H1420" s="3"/>
      <c r="K1420" t="str">
        <f t="shared" ca="1" si="47"/>
        <v/>
      </c>
    </row>
    <row r="1421" spans="1:11">
      <c r="A1421" s="23" t="e">
        <f>IF(Sheet2!#REF!&lt;&gt;"",Sheet2!#REF!,"")</f>
        <v>#REF!</v>
      </c>
      <c r="B1421" s="33" t="e">
        <f>IF(Sheet2!#REF!&lt;&gt;"",Sheet2!#REF!,"")</f>
        <v>#REF!</v>
      </c>
      <c r="C1421" s="34" t="e">
        <f>IF(Sheet2!#REF!&lt;&gt;"",Sheet2!#REF!,"")</f>
        <v>#REF!</v>
      </c>
      <c r="D1421" s="35" t="str">
        <f t="shared" ca="1" si="46"/>
        <v/>
      </c>
      <c r="E1421" s="3"/>
      <c r="F1421" s="3"/>
      <c r="G1421" s="3"/>
      <c r="H1421" s="3"/>
      <c r="K1421" t="str">
        <f t="shared" ca="1" si="47"/>
        <v/>
      </c>
    </row>
    <row r="1422" spans="1:11">
      <c r="A1422" s="23" t="e">
        <f>IF(Sheet2!#REF!&lt;&gt;"",Sheet2!#REF!,"")</f>
        <v>#REF!</v>
      </c>
      <c r="B1422" s="33" t="e">
        <f>IF(Sheet2!#REF!&lt;&gt;"",Sheet2!#REF!,"")</f>
        <v>#REF!</v>
      </c>
      <c r="C1422" s="34" t="e">
        <f>IF(Sheet2!#REF!&lt;&gt;"",Sheet2!#REF!,"")</f>
        <v>#REF!</v>
      </c>
      <c r="D1422" s="35" t="str">
        <f t="shared" ca="1" si="46"/>
        <v/>
      </c>
      <c r="E1422" s="3"/>
      <c r="F1422" s="3"/>
      <c r="G1422" s="3"/>
      <c r="H1422" s="3"/>
      <c r="K1422" t="str">
        <f t="shared" ca="1" si="47"/>
        <v/>
      </c>
    </row>
    <row r="1423" spans="1:11">
      <c r="A1423" s="23" t="e">
        <f>IF(Sheet2!#REF!&lt;&gt;"",Sheet2!#REF!,"")</f>
        <v>#REF!</v>
      </c>
      <c r="B1423" s="33" t="e">
        <f>IF(Sheet2!#REF!&lt;&gt;"",Sheet2!#REF!,"")</f>
        <v>#REF!</v>
      </c>
      <c r="C1423" s="34" t="e">
        <f>IF(Sheet2!#REF!&lt;&gt;"",Sheet2!#REF!,"")</f>
        <v>#REF!</v>
      </c>
      <c r="D1423" s="35" t="str">
        <f t="shared" ca="1" si="46"/>
        <v/>
      </c>
      <c r="E1423" s="3"/>
      <c r="F1423" s="3"/>
      <c r="G1423" s="3"/>
      <c r="H1423" s="3"/>
      <c r="K1423" t="str">
        <f t="shared" ca="1" si="47"/>
        <v/>
      </c>
    </row>
    <row r="1424" spans="1:11">
      <c r="A1424" s="23" t="e">
        <f>IF(Sheet2!#REF!&lt;&gt;"",Sheet2!#REF!,"")</f>
        <v>#REF!</v>
      </c>
      <c r="B1424" s="33" t="e">
        <f>IF(Sheet2!#REF!&lt;&gt;"",Sheet2!#REF!,"")</f>
        <v>#REF!</v>
      </c>
      <c r="C1424" s="34" t="e">
        <f>IF(Sheet2!#REF!&lt;&gt;"",Sheet2!#REF!,"")</f>
        <v>#REF!</v>
      </c>
      <c r="D1424" s="35" t="str">
        <f t="shared" ca="1" si="46"/>
        <v/>
      </c>
      <c r="E1424" s="3"/>
      <c r="F1424" s="3"/>
      <c r="G1424" s="3"/>
      <c r="H1424" s="3"/>
      <c r="K1424" t="str">
        <f t="shared" ca="1" si="47"/>
        <v/>
      </c>
    </row>
    <row r="1425" spans="1:11">
      <c r="A1425" s="23" t="e">
        <f>IF(Sheet2!#REF!&lt;&gt;"",Sheet2!#REF!,"")</f>
        <v>#REF!</v>
      </c>
      <c r="B1425" s="33" t="e">
        <f>IF(Sheet2!#REF!&lt;&gt;"",Sheet2!#REF!,"")</f>
        <v>#REF!</v>
      </c>
      <c r="C1425" s="34" t="e">
        <f>IF(Sheet2!#REF!&lt;&gt;"",Sheet2!#REF!,"")</f>
        <v>#REF!</v>
      </c>
      <c r="D1425" s="35" t="str">
        <f t="shared" ca="1" si="46"/>
        <v/>
      </c>
      <c r="E1425" s="3"/>
      <c r="F1425" s="3"/>
      <c r="G1425" s="3"/>
      <c r="H1425" s="3"/>
      <c r="K1425" t="str">
        <f t="shared" ca="1" si="47"/>
        <v/>
      </c>
    </row>
    <row r="1426" spans="1:11">
      <c r="A1426" s="23" t="e">
        <f>IF(Sheet2!#REF!&lt;&gt;"",Sheet2!#REF!,"")</f>
        <v>#REF!</v>
      </c>
      <c r="B1426" s="33" t="e">
        <f>IF(Sheet2!#REF!&lt;&gt;"",Sheet2!#REF!,"")</f>
        <v>#REF!</v>
      </c>
      <c r="C1426" s="34" t="e">
        <f>IF(Sheet2!#REF!&lt;&gt;"",Sheet2!#REF!,"")</f>
        <v>#REF!</v>
      </c>
      <c r="D1426" s="35" t="str">
        <f t="shared" ca="1" si="46"/>
        <v/>
      </c>
      <c r="E1426" s="3"/>
      <c r="F1426" s="3"/>
      <c r="G1426" s="3"/>
      <c r="H1426" s="3"/>
      <c r="K1426" t="str">
        <f t="shared" ca="1" si="47"/>
        <v/>
      </c>
    </row>
    <row r="1427" spans="1:11">
      <c r="A1427" s="23" t="e">
        <f>IF(Sheet2!#REF!&lt;&gt;"",Sheet2!#REF!,"")</f>
        <v>#REF!</v>
      </c>
      <c r="B1427" s="33" t="e">
        <f>IF(Sheet2!#REF!&lt;&gt;"",Sheet2!#REF!,"")</f>
        <v>#REF!</v>
      </c>
      <c r="C1427" s="34" t="e">
        <f>IF(Sheet2!#REF!&lt;&gt;"",Sheet2!#REF!,"")</f>
        <v>#REF!</v>
      </c>
      <c r="D1427" s="35" t="str">
        <f t="shared" ca="1" si="46"/>
        <v/>
      </c>
      <c r="E1427" s="3"/>
      <c r="F1427" s="3"/>
      <c r="G1427" s="3"/>
      <c r="H1427" s="3"/>
      <c r="K1427" t="str">
        <f t="shared" ca="1" si="47"/>
        <v/>
      </c>
    </row>
    <row r="1428" spans="1:11">
      <c r="A1428" s="23" t="e">
        <f>IF(Sheet2!#REF!&lt;&gt;"",Sheet2!#REF!,"")</f>
        <v>#REF!</v>
      </c>
      <c r="B1428" s="33" t="e">
        <f>IF(Sheet2!#REF!&lt;&gt;"",Sheet2!#REF!,"")</f>
        <v>#REF!</v>
      </c>
      <c r="C1428" s="34" t="e">
        <f>IF(Sheet2!#REF!&lt;&gt;"",Sheet2!#REF!,"")</f>
        <v>#REF!</v>
      </c>
      <c r="D1428" s="35" t="str">
        <f t="shared" ca="1" si="46"/>
        <v/>
      </c>
      <c r="E1428" s="3"/>
      <c r="F1428" s="3"/>
      <c r="G1428" s="3"/>
      <c r="H1428" s="3"/>
      <c r="K1428" t="str">
        <f t="shared" ca="1" si="47"/>
        <v/>
      </c>
    </row>
    <row r="1429" spans="1:11">
      <c r="A1429" s="23" t="e">
        <f>IF(Sheet2!#REF!&lt;&gt;"",Sheet2!#REF!,"")</f>
        <v>#REF!</v>
      </c>
      <c r="B1429" s="33" t="e">
        <f>IF(Sheet2!#REF!&lt;&gt;"",Sheet2!#REF!,"")</f>
        <v>#REF!</v>
      </c>
      <c r="C1429" s="34" t="e">
        <f>IF(Sheet2!#REF!&lt;&gt;"",Sheet2!#REF!,"")</f>
        <v>#REF!</v>
      </c>
      <c r="D1429" s="35" t="str">
        <f t="shared" ca="1" si="46"/>
        <v/>
      </c>
      <c r="E1429" s="3"/>
      <c r="F1429" s="3"/>
      <c r="G1429" s="3"/>
      <c r="H1429" s="3"/>
      <c r="K1429" t="str">
        <f t="shared" ca="1" si="47"/>
        <v/>
      </c>
    </row>
    <row r="1430" spans="1:11">
      <c r="A1430" s="23" t="e">
        <f>IF(Sheet2!#REF!&lt;&gt;"",Sheet2!#REF!,"")</f>
        <v>#REF!</v>
      </c>
      <c r="B1430" s="33" t="e">
        <f>IF(Sheet2!#REF!&lt;&gt;"",Sheet2!#REF!,"")</f>
        <v>#REF!</v>
      </c>
      <c r="C1430" s="34" t="e">
        <f>IF(Sheet2!#REF!&lt;&gt;"",Sheet2!#REF!,"")</f>
        <v>#REF!</v>
      </c>
      <c r="D1430" s="35" t="str">
        <f t="shared" ca="1" si="46"/>
        <v/>
      </c>
      <c r="E1430" s="3"/>
      <c r="F1430" s="3"/>
      <c r="G1430" s="3"/>
      <c r="H1430" s="3"/>
      <c r="K1430" t="str">
        <f t="shared" ca="1" si="47"/>
        <v/>
      </c>
    </row>
    <row r="1431" spans="1:11">
      <c r="A1431" s="23" t="e">
        <f>IF(Sheet2!#REF!&lt;&gt;"",Sheet2!#REF!,"")</f>
        <v>#REF!</v>
      </c>
      <c r="B1431" s="33" t="e">
        <f>IF(Sheet2!#REF!&lt;&gt;"",Sheet2!#REF!,"")</f>
        <v>#REF!</v>
      </c>
      <c r="C1431" s="34" t="e">
        <f>IF(Sheet2!#REF!&lt;&gt;"",Sheet2!#REF!,"")</f>
        <v>#REF!</v>
      </c>
      <c r="D1431" s="35" t="str">
        <f t="shared" ca="1" si="46"/>
        <v/>
      </c>
      <c r="E1431" s="3"/>
      <c r="F1431" s="3"/>
      <c r="G1431" s="3"/>
      <c r="H1431" s="3"/>
      <c r="K1431" t="str">
        <f t="shared" ca="1" si="47"/>
        <v/>
      </c>
    </row>
    <row r="1432" spans="1:11">
      <c r="A1432" s="23" t="e">
        <f>IF(Sheet2!#REF!&lt;&gt;"",Sheet2!#REF!,"")</f>
        <v>#REF!</v>
      </c>
      <c r="B1432" s="33" t="e">
        <f>IF(Sheet2!#REF!&lt;&gt;"",Sheet2!#REF!,"")</f>
        <v>#REF!</v>
      </c>
      <c r="C1432" s="34" t="e">
        <f>IF(Sheet2!#REF!&lt;&gt;"",Sheet2!#REF!,"")</f>
        <v>#REF!</v>
      </c>
      <c r="D1432" s="35" t="str">
        <f t="shared" ca="1" si="46"/>
        <v/>
      </c>
      <c r="E1432" s="3"/>
      <c r="F1432" s="3"/>
      <c r="G1432" s="3"/>
      <c r="H1432" s="3"/>
      <c r="K1432" t="str">
        <f t="shared" ca="1" si="47"/>
        <v/>
      </c>
    </row>
    <row r="1433" spans="1:11">
      <c r="A1433" s="23" t="e">
        <f>IF(Sheet2!#REF!&lt;&gt;"",Sheet2!#REF!,"")</f>
        <v>#REF!</v>
      </c>
      <c r="B1433" s="33" t="e">
        <f>IF(Sheet2!#REF!&lt;&gt;"",Sheet2!#REF!,"")</f>
        <v>#REF!</v>
      </c>
      <c r="C1433" s="34" t="e">
        <f>IF(Sheet2!#REF!&lt;&gt;"",Sheet2!#REF!,"")</f>
        <v>#REF!</v>
      </c>
      <c r="D1433" s="35" t="str">
        <f t="shared" ca="1" si="46"/>
        <v/>
      </c>
      <c r="E1433" s="3"/>
      <c r="F1433" s="3"/>
      <c r="G1433" s="3"/>
      <c r="H1433" s="3"/>
      <c r="K1433" t="str">
        <f t="shared" ca="1" si="47"/>
        <v/>
      </c>
    </row>
    <row r="1434" spans="1:11">
      <c r="A1434" s="23" t="e">
        <f>IF(Sheet2!#REF!&lt;&gt;"",Sheet2!#REF!,"")</f>
        <v>#REF!</v>
      </c>
      <c r="B1434" s="33" t="e">
        <f>IF(Sheet2!#REF!&lt;&gt;"",Sheet2!#REF!,"")</f>
        <v>#REF!</v>
      </c>
      <c r="C1434" s="34" t="e">
        <f>IF(Sheet2!#REF!&lt;&gt;"",Sheet2!#REF!,"")</f>
        <v>#REF!</v>
      </c>
      <c r="D1434" s="35" t="str">
        <f t="shared" ca="1" si="46"/>
        <v/>
      </c>
      <c r="E1434" s="3"/>
      <c r="F1434" s="3"/>
      <c r="G1434" s="3"/>
      <c r="H1434" s="3"/>
      <c r="K1434" t="str">
        <f t="shared" ca="1" si="47"/>
        <v/>
      </c>
    </row>
    <row r="1435" spans="1:11">
      <c r="A1435" s="23" t="e">
        <f>IF(Sheet2!#REF!&lt;&gt;"",Sheet2!#REF!,"")</f>
        <v>#REF!</v>
      </c>
      <c r="B1435" s="33" t="e">
        <f>IF(Sheet2!#REF!&lt;&gt;"",Sheet2!#REF!,"")</f>
        <v>#REF!</v>
      </c>
      <c r="C1435" s="34" t="e">
        <f>IF(Sheet2!#REF!&lt;&gt;"",Sheet2!#REF!,"")</f>
        <v>#REF!</v>
      </c>
      <c r="D1435" s="35" t="str">
        <f t="shared" ca="1" si="46"/>
        <v/>
      </c>
      <c r="E1435" s="3"/>
      <c r="F1435" s="3"/>
      <c r="G1435" s="3"/>
      <c r="H1435" s="3"/>
      <c r="K1435" t="str">
        <f t="shared" ca="1" si="47"/>
        <v/>
      </c>
    </row>
    <row r="1436" spans="1:11">
      <c r="A1436" s="23" t="e">
        <f>IF(Sheet2!#REF!&lt;&gt;"",Sheet2!#REF!,"")</f>
        <v>#REF!</v>
      </c>
      <c r="B1436" s="33" t="e">
        <f>IF(Sheet2!#REF!&lt;&gt;"",Sheet2!#REF!,"")</f>
        <v>#REF!</v>
      </c>
      <c r="C1436" s="34" t="e">
        <f>IF(Sheet2!#REF!&lt;&gt;"",Sheet2!#REF!,"")</f>
        <v>#REF!</v>
      </c>
      <c r="D1436" s="35" t="str">
        <f t="shared" ca="1" si="46"/>
        <v/>
      </c>
      <c r="E1436" s="3"/>
      <c r="F1436" s="3"/>
      <c r="G1436" s="3"/>
      <c r="H1436" s="3"/>
      <c r="K1436" t="str">
        <f t="shared" ca="1" si="47"/>
        <v/>
      </c>
    </row>
    <row r="1437" spans="1:11">
      <c r="A1437" s="23" t="e">
        <f>IF(Sheet2!#REF!&lt;&gt;"",Sheet2!#REF!,"")</f>
        <v>#REF!</v>
      </c>
      <c r="B1437" s="33" t="e">
        <f>IF(Sheet2!#REF!&lt;&gt;"",Sheet2!#REF!,"")</f>
        <v>#REF!</v>
      </c>
      <c r="C1437" s="34" t="e">
        <f>IF(Sheet2!#REF!&lt;&gt;"",Sheet2!#REF!,"")</f>
        <v>#REF!</v>
      </c>
      <c r="D1437" s="35" t="str">
        <f t="shared" ca="1" si="46"/>
        <v/>
      </c>
      <c r="E1437" s="3"/>
      <c r="F1437" s="3"/>
      <c r="G1437" s="3"/>
      <c r="H1437" s="3"/>
      <c r="K1437" t="str">
        <f t="shared" ca="1" si="47"/>
        <v/>
      </c>
    </row>
    <row r="1438" spans="1:11">
      <c r="A1438" s="23" t="e">
        <f>IF(Sheet2!#REF!&lt;&gt;"",Sheet2!#REF!,"")</f>
        <v>#REF!</v>
      </c>
      <c r="B1438" s="33" t="e">
        <f>IF(Sheet2!#REF!&lt;&gt;"",Sheet2!#REF!,"")</f>
        <v>#REF!</v>
      </c>
      <c r="C1438" s="34" t="e">
        <f>IF(Sheet2!#REF!&lt;&gt;"",Sheet2!#REF!,"")</f>
        <v>#REF!</v>
      </c>
      <c r="D1438" s="35" t="str">
        <f t="shared" ca="1" si="46"/>
        <v/>
      </c>
      <c r="E1438" s="3"/>
      <c r="F1438" s="3"/>
      <c r="G1438" s="3"/>
      <c r="H1438" s="3"/>
      <c r="K1438" t="str">
        <f t="shared" ca="1" si="47"/>
        <v/>
      </c>
    </row>
    <row r="1439" spans="1:11">
      <c r="A1439" s="23" t="e">
        <f>IF(Sheet2!#REF!&lt;&gt;"",Sheet2!#REF!,"")</f>
        <v>#REF!</v>
      </c>
      <c r="B1439" s="33" t="e">
        <f>IF(Sheet2!#REF!&lt;&gt;"",Sheet2!#REF!,"")</f>
        <v>#REF!</v>
      </c>
      <c r="C1439" s="34" t="e">
        <f>IF(Sheet2!#REF!&lt;&gt;"",Sheet2!#REF!,"")</f>
        <v>#REF!</v>
      </c>
      <c r="D1439" s="35" t="str">
        <f t="shared" ca="1" si="46"/>
        <v/>
      </c>
      <c r="E1439" s="3"/>
      <c r="F1439" s="3"/>
      <c r="G1439" s="3"/>
      <c r="H1439" s="3"/>
      <c r="K1439" t="str">
        <f t="shared" ca="1" si="47"/>
        <v/>
      </c>
    </row>
    <row r="1440" spans="1:11">
      <c r="A1440" s="23" t="e">
        <f>IF(Sheet2!#REF!&lt;&gt;"",Sheet2!#REF!,"")</f>
        <v>#REF!</v>
      </c>
      <c r="B1440" s="33" t="e">
        <f>IF(Sheet2!#REF!&lt;&gt;"",Sheet2!#REF!,"")</f>
        <v>#REF!</v>
      </c>
      <c r="C1440" s="34" t="e">
        <f>IF(Sheet2!#REF!&lt;&gt;"",Sheet2!#REF!,"")</f>
        <v>#REF!</v>
      </c>
      <c r="D1440" s="35" t="str">
        <f t="shared" ca="1" si="46"/>
        <v/>
      </c>
      <c r="E1440" s="3"/>
      <c r="F1440" s="3"/>
      <c r="G1440" s="3"/>
      <c r="H1440" s="3"/>
      <c r="K1440" t="str">
        <f t="shared" ca="1" si="47"/>
        <v/>
      </c>
    </row>
    <row r="1441" spans="1:11">
      <c r="A1441" s="23" t="e">
        <f>IF(Sheet2!#REF!&lt;&gt;"",Sheet2!#REF!,"")</f>
        <v>#REF!</v>
      </c>
      <c r="B1441" s="33" t="e">
        <f>IF(Sheet2!#REF!&lt;&gt;"",Sheet2!#REF!,"")</f>
        <v>#REF!</v>
      </c>
      <c r="C1441" s="34" t="e">
        <f>IF(Sheet2!#REF!&lt;&gt;"",Sheet2!#REF!,"")</f>
        <v>#REF!</v>
      </c>
      <c r="D1441" s="35" t="str">
        <f t="shared" ca="1" si="46"/>
        <v/>
      </c>
      <c r="E1441" s="3"/>
      <c r="F1441" s="3"/>
      <c r="G1441" s="3"/>
      <c r="H1441" s="3"/>
      <c r="K1441" t="str">
        <f t="shared" ca="1" si="47"/>
        <v/>
      </c>
    </row>
    <row r="1442" spans="1:11">
      <c r="A1442" s="23" t="e">
        <f>IF(Sheet2!#REF!&lt;&gt;"",Sheet2!#REF!,"")</f>
        <v>#REF!</v>
      </c>
      <c r="B1442" s="33" t="e">
        <f>IF(Sheet2!#REF!&lt;&gt;"",Sheet2!#REF!,"")</f>
        <v>#REF!</v>
      </c>
      <c r="C1442" s="34" t="e">
        <f>IF(Sheet2!#REF!&lt;&gt;"",Sheet2!#REF!,"")</f>
        <v>#REF!</v>
      </c>
      <c r="D1442" s="35" t="str">
        <f t="shared" ca="1" si="46"/>
        <v/>
      </c>
      <c r="E1442" s="3"/>
      <c r="F1442" s="3"/>
      <c r="G1442" s="3"/>
      <c r="H1442" s="3"/>
      <c r="K1442" t="str">
        <f t="shared" ca="1" si="47"/>
        <v/>
      </c>
    </row>
    <row r="1443" spans="1:11">
      <c r="A1443" s="23" t="e">
        <f>IF(Sheet2!#REF!&lt;&gt;"",Sheet2!#REF!,"")</f>
        <v>#REF!</v>
      </c>
      <c r="B1443" s="33" t="e">
        <f>IF(Sheet2!#REF!&lt;&gt;"",Sheet2!#REF!,"")</f>
        <v>#REF!</v>
      </c>
      <c r="C1443" s="34" t="e">
        <f>IF(Sheet2!#REF!&lt;&gt;"",Sheet2!#REF!,"")</f>
        <v>#REF!</v>
      </c>
      <c r="D1443" s="35" t="str">
        <f t="shared" ca="1" si="46"/>
        <v/>
      </c>
      <c r="E1443" s="3"/>
      <c r="F1443" s="3"/>
      <c r="G1443" s="3"/>
      <c r="H1443" s="3"/>
      <c r="K1443" t="str">
        <f t="shared" ca="1" si="47"/>
        <v/>
      </c>
    </row>
    <row r="1444" spans="1:11">
      <c r="A1444" s="23" t="e">
        <f>IF(Sheet2!#REF!&lt;&gt;"",Sheet2!#REF!,"")</f>
        <v>#REF!</v>
      </c>
      <c r="B1444" s="33" t="e">
        <f>IF(Sheet2!#REF!&lt;&gt;"",Sheet2!#REF!,"")</f>
        <v>#REF!</v>
      </c>
      <c r="C1444" s="34" t="e">
        <f>IF(Sheet2!#REF!&lt;&gt;"",Sheet2!#REF!,"")</f>
        <v>#REF!</v>
      </c>
      <c r="D1444" s="35" t="str">
        <f t="shared" ca="1" si="46"/>
        <v/>
      </c>
      <c r="E1444" s="3"/>
      <c r="F1444" s="3"/>
      <c r="G1444" s="3"/>
      <c r="H1444" s="3"/>
      <c r="K1444" t="str">
        <f t="shared" ca="1" si="47"/>
        <v/>
      </c>
    </row>
    <row r="1445" spans="1:11">
      <c r="A1445" s="23" t="e">
        <f>IF(Sheet2!#REF!&lt;&gt;"",Sheet2!#REF!,"")</f>
        <v>#REF!</v>
      </c>
      <c r="B1445" s="33" t="e">
        <f>IF(Sheet2!#REF!&lt;&gt;"",Sheet2!#REF!,"")</f>
        <v>#REF!</v>
      </c>
      <c r="C1445" s="34" t="e">
        <f>IF(Sheet2!#REF!&lt;&gt;"",Sheet2!#REF!,"")</f>
        <v>#REF!</v>
      </c>
      <c r="D1445" s="35" t="str">
        <f t="shared" ca="1" si="46"/>
        <v/>
      </c>
      <c r="E1445" s="3"/>
      <c r="F1445" s="3"/>
      <c r="G1445" s="3"/>
      <c r="H1445" s="3"/>
      <c r="K1445" t="str">
        <f t="shared" ca="1" si="47"/>
        <v/>
      </c>
    </row>
    <row r="1446" spans="1:11">
      <c r="A1446" s="23" t="e">
        <f>IF(Sheet2!#REF!&lt;&gt;"",Sheet2!#REF!,"")</f>
        <v>#REF!</v>
      </c>
      <c r="B1446" s="33" t="e">
        <f>IF(Sheet2!#REF!&lt;&gt;"",Sheet2!#REF!,"")</f>
        <v>#REF!</v>
      </c>
      <c r="C1446" s="34" t="e">
        <f>IF(Sheet2!#REF!&lt;&gt;"",Sheet2!#REF!,"")</f>
        <v>#REF!</v>
      </c>
      <c r="D1446" s="35" t="str">
        <f t="shared" ca="1" si="46"/>
        <v/>
      </c>
      <c r="E1446" s="3"/>
      <c r="F1446" s="3"/>
      <c r="G1446" s="3"/>
      <c r="H1446" s="3"/>
      <c r="K1446" t="str">
        <f t="shared" ca="1" si="47"/>
        <v/>
      </c>
    </row>
    <row r="1447" spans="1:11">
      <c r="A1447" s="23" t="e">
        <f>IF(Sheet2!#REF!&lt;&gt;"",Sheet2!#REF!,"")</f>
        <v>#REF!</v>
      </c>
      <c r="B1447" s="33" t="e">
        <f>IF(Sheet2!#REF!&lt;&gt;"",Sheet2!#REF!,"")</f>
        <v>#REF!</v>
      </c>
      <c r="C1447" s="34" t="e">
        <f>IF(Sheet2!#REF!&lt;&gt;"",Sheet2!#REF!,"")</f>
        <v>#REF!</v>
      </c>
      <c r="D1447" s="35" t="str">
        <f t="shared" ca="1" si="46"/>
        <v/>
      </c>
      <c r="E1447" s="3"/>
      <c r="F1447" s="3"/>
      <c r="G1447" s="3"/>
      <c r="H1447" s="3"/>
      <c r="K1447" t="str">
        <f t="shared" ca="1" si="47"/>
        <v/>
      </c>
    </row>
    <row r="1448" spans="1:11">
      <c r="A1448" s="23" t="e">
        <f>IF(Sheet2!#REF!&lt;&gt;"",Sheet2!#REF!,"")</f>
        <v>#REF!</v>
      </c>
      <c r="B1448" s="33" t="e">
        <f>IF(Sheet2!#REF!&lt;&gt;"",Sheet2!#REF!,"")</f>
        <v>#REF!</v>
      </c>
      <c r="C1448" s="34" t="e">
        <f>IF(Sheet2!#REF!&lt;&gt;"",Sheet2!#REF!,"")</f>
        <v>#REF!</v>
      </c>
      <c r="D1448" s="35" t="str">
        <f t="shared" ca="1" si="46"/>
        <v/>
      </c>
      <c r="E1448" s="3"/>
      <c r="F1448" s="3"/>
      <c r="G1448" s="3"/>
      <c r="H1448" s="3"/>
      <c r="K1448" t="str">
        <f t="shared" ca="1" si="47"/>
        <v/>
      </c>
    </row>
    <row r="1449" spans="1:11">
      <c r="A1449" s="23" t="e">
        <f>IF(Sheet2!#REF!&lt;&gt;"",Sheet2!#REF!,"")</f>
        <v>#REF!</v>
      </c>
      <c r="B1449" s="33" t="e">
        <f>IF(Sheet2!#REF!&lt;&gt;"",Sheet2!#REF!,"")</f>
        <v>#REF!</v>
      </c>
      <c r="C1449" s="34" t="e">
        <f>IF(Sheet2!#REF!&lt;&gt;"",Sheet2!#REF!,"")</f>
        <v>#REF!</v>
      </c>
      <c r="D1449" s="35" t="str">
        <f t="shared" ca="1" si="46"/>
        <v/>
      </c>
      <c r="E1449" s="3"/>
      <c r="F1449" s="3"/>
      <c r="G1449" s="3"/>
      <c r="H1449" s="3"/>
      <c r="K1449" t="str">
        <f t="shared" ca="1" si="47"/>
        <v/>
      </c>
    </row>
    <row r="1450" spans="1:11">
      <c r="A1450" s="23" t="e">
        <f>IF(Sheet2!#REF!&lt;&gt;"",Sheet2!#REF!,"")</f>
        <v>#REF!</v>
      </c>
      <c r="B1450" s="33" t="e">
        <f>IF(Sheet2!#REF!&lt;&gt;"",Sheet2!#REF!,"")</f>
        <v>#REF!</v>
      </c>
      <c r="C1450" s="34" t="e">
        <f>IF(Sheet2!#REF!&lt;&gt;"",Sheet2!#REF!,"")</f>
        <v>#REF!</v>
      </c>
      <c r="D1450" s="35" t="str">
        <f t="shared" ca="1" si="46"/>
        <v/>
      </c>
      <c r="E1450" s="3"/>
      <c r="F1450" s="3"/>
      <c r="G1450" s="3"/>
      <c r="H1450" s="3"/>
      <c r="K1450" t="str">
        <f t="shared" ca="1" si="47"/>
        <v/>
      </c>
    </row>
    <row r="1451" spans="1:11">
      <c r="A1451" s="23" t="e">
        <f>IF(Sheet2!#REF!&lt;&gt;"",Sheet2!#REF!,"")</f>
        <v>#REF!</v>
      </c>
      <c r="B1451" s="33" t="e">
        <f>IF(Sheet2!#REF!&lt;&gt;"",Sheet2!#REF!,"")</f>
        <v>#REF!</v>
      </c>
      <c r="C1451" s="34" t="e">
        <f>IF(Sheet2!#REF!&lt;&gt;"",Sheet2!#REF!,"")</f>
        <v>#REF!</v>
      </c>
      <c r="D1451" s="35" t="str">
        <f t="shared" ca="1" si="46"/>
        <v/>
      </c>
      <c r="E1451" s="3"/>
      <c r="F1451" s="3"/>
      <c r="G1451" s="3"/>
      <c r="H1451" s="3"/>
      <c r="K1451" t="str">
        <f t="shared" ca="1" si="47"/>
        <v/>
      </c>
    </row>
    <row r="1452" spans="1:11">
      <c r="A1452" s="23" t="e">
        <f>IF(Sheet2!#REF!&lt;&gt;"",Sheet2!#REF!,"")</f>
        <v>#REF!</v>
      </c>
      <c r="B1452" s="33" t="e">
        <f>IF(Sheet2!#REF!&lt;&gt;"",Sheet2!#REF!,"")</f>
        <v>#REF!</v>
      </c>
      <c r="C1452" s="34" t="e">
        <f>IF(Sheet2!#REF!&lt;&gt;"",Sheet2!#REF!,"")</f>
        <v>#REF!</v>
      </c>
      <c r="D1452" s="35" t="str">
        <f t="shared" ca="1" si="46"/>
        <v/>
      </c>
      <c r="E1452" s="3"/>
      <c r="F1452" s="3"/>
      <c r="G1452" s="3"/>
      <c r="H1452" s="3"/>
      <c r="K1452" t="str">
        <f t="shared" ca="1" si="47"/>
        <v/>
      </c>
    </row>
    <row r="1453" spans="1:11">
      <c r="A1453" s="23" t="e">
        <f>IF(Sheet2!#REF!&lt;&gt;"",Sheet2!#REF!,"")</f>
        <v>#REF!</v>
      </c>
      <c r="B1453" s="33" t="e">
        <f>IF(Sheet2!#REF!&lt;&gt;"",Sheet2!#REF!,"")</f>
        <v>#REF!</v>
      </c>
      <c r="C1453" s="34" t="e">
        <f>IF(Sheet2!#REF!&lt;&gt;"",Sheet2!#REF!,"")</f>
        <v>#REF!</v>
      </c>
      <c r="D1453" s="35" t="str">
        <f t="shared" ca="1" si="46"/>
        <v/>
      </c>
      <c r="E1453" s="3"/>
      <c r="F1453" s="3"/>
      <c r="G1453" s="3"/>
      <c r="H1453" s="3"/>
      <c r="K1453" t="str">
        <f t="shared" ca="1" si="47"/>
        <v/>
      </c>
    </row>
    <row r="1454" spans="1:11">
      <c r="A1454" s="23" t="e">
        <f>IF(Sheet2!#REF!&lt;&gt;"",Sheet2!#REF!,"")</f>
        <v>#REF!</v>
      </c>
      <c r="B1454" s="33" t="e">
        <f>IF(Sheet2!#REF!&lt;&gt;"",Sheet2!#REF!,"")</f>
        <v>#REF!</v>
      </c>
      <c r="C1454" s="34" t="e">
        <f>IF(Sheet2!#REF!&lt;&gt;"",Sheet2!#REF!,"")</f>
        <v>#REF!</v>
      </c>
      <c r="D1454" s="35" t="str">
        <f t="shared" ca="1" si="46"/>
        <v/>
      </c>
      <c r="E1454" s="3"/>
      <c r="F1454" s="3"/>
      <c r="G1454" s="3"/>
      <c r="H1454" s="3"/>
      <c r="K1454" t="str">
        <f t="shared" ca="1" si="47"/>
        <v/>
      </c>
    </row>
    <row r="1455" spans="1:11">
      <c r="A1455" s="23" t="e">
        <f>IF(Sheet2!#REF!&lt;&gt;"",Sheet2!#REF!,"")</f>
        <v>#REF!</v>
      </c>
      <c r="B1455" s="33" t="e">
        <f>IF(Sheet2!#REF!&lt;&gt;"",Sheet2!#REF!,"")</f>
        <v>#REF!</v>
      </c>
      <c r="C1455" s="34" t="e">
        <f>IF(Sheet2!#REF!&lt;&gt;"",Sheet2!#REF!,"")</f>
        <v>#REF!</v>
      </c>
      <c r="D1455" s="35" t="str">
        <f t="shared" ca="1" si="46"/>
        <v/>
      </c>
      <c r="E1455" s="3"/>
      <c r="F1455" s="3"/>
      <c r="G1455" s="3"/>
      <c r="H1455" s="3"/>
      <c r="K1455" t="str">
        <f t="shared" ca="1" si="47"/>
        <v/>
      </c>
    </row>
    <row r="1456" spans="1:11">
      <c r="A1456" s="23" t="e">
        <f>IF(Sheet2!#REF!&lt;&gt;"",Sheet2!#REF!,"")</f>
        <v>#REF!</v>
      </c>
      <c r="B1456" s="33" t="e">
        <f>IF(Sheet2!#REF!&lt;&gt;"",Sheet2!#REF!,"")</f>
        <v>#REF!</v>
      </c>
      <c r="C1456" s="34" t="e">
        <f>IF(Sheet2!#REF!&lt;&gt;"",Sheet2!#REF!,"")</f>
        <v>#REF!</v>
      </c>
      <c r="D1456" s="35" t="str">
        <f t="shared" ca="1" si="46"/>
        <v/>
      </c>
      <c r="E1456" s="3"/>
      <c r="F1456" s="3"/>
      <c r="G1456" s="3"/>
      <c r="H1456" s="3"/>
      <c r="K1456" t="str">
        <f t="shared" ca="1" si="47"/>
        <v/>
      </c>
    </row>
    <row r="1457" spans="1:11">
      <c r="A1457" s="23" t="e">
        <f>IF(Sheet2!#REF!&lt;&gt;"",Sheet2!#REF!,"")</f>
        <v>#REF!</v>
      </c>
      <c r="B1457" s="33" t="e">
        <f>IF(Sheet2!#REF!&lt;&gt;"",Sheet2!#REF!,"")</f>
        <v>#REF!</v>
      </c>
      <c r="C1457" s="34" t="e">
        <f>IF(Sheet2!#REF!&lt;&gt;"",Sheet2!#REF!,"")</f>
        <v>#REF!</v>
      </c>
      <c r="D1457" s="35" t="str">
        <f t="shared" ca="1" si="46"/>
        <v/>
      </c>
      <c r="E1457" s="3"/>
      <c r="F1457" s="3"/>
      <c r="G1457" s="3"/>
      <c r="H1457" s="3"/>
      <c r="K1457" t="str">
        <f t="shared" ca="1" si="47"/>
        <v/>
      </c>
    </row>
    <row r="1458" spans="1:11">
      <c r="A1458" s="23" t="e">
        <f>IF(Sheet2!#REF!&lt;&gt;"",Sheet2!#REF!,"")</f>
        <v>#REF!</v>
      </c>
      <c r="B1458" s="33" t="e">
        <f>IF(Sheet2!#REF!&lt;&gt;"",Sheet2!#REF!,"")</f>
        <v>#REF!</v>
      </c>
      <c r="C1458" s="34" t="e">
        <f>IF(Sheet2!#REF!&lt;&gt;"",Sheet2!#REF!,"")</f>
        <v>#REF!</v>
      </c>
      <c r="D1458" s="35" t="str">
        <f t="shared" ca="1" si="46"/>
        <v/>
      </c>
      <c r="E1458" s="3"/>
      <c r="F1458" s="3"/>
      <c r="G1458" s="3"/>
      <c r="H1458" s="3"/>
      <c r="K1458" t="str">
        <f t="shared" ca="1" si="47"/>
        <v/>
      </c>
    </row>
    <row r="1459" spans="1:11">
      <c r="A1459" s="23" t="e">
        <f>IF(Sheet2!#REF!&lt;&gt;"",Sheet2!#REF!,"")</f>
        <v>#REF!</v>
      </c>
      <c r="B1459" s="33" t="e">
        <f>IF(Sheet2!#REF!&lt;&gt;"",Sheet2!#REF!,"")</f>
        <v>#REF!</v>
      </c>
      <c r="C1459" s="34" t="e">
        <f>IF(Sheet2!#REF!&lt;&gt;"",Sheet2!#REF!,"")</f>
        <v>#REF!</v>
      </c>
      <c r="D1459" s="35" t="str">
        <f t="shared" ca="1" si="46"/>
        <v/>
      </c>
      <c r="E1459" s="3"/>
      <c r="F1459" s="3"/>
      <c r="G1459" s="3"/>
      <c r="H1459" s="3"/>
      <c r="K1459" t="str">
        <f t="shared" ca="1" si="47"/>
        <v/>
      </c>
    </row>
    <row r="1460" spans="1:11">
      <c r="A1460" s="23" t="e">
        <f>IF(Sheet2!#REF!&lt;&gt;"",Sheet2!#REF!,"")</f>
        <v>#REF!</v>
      </c>
      <c r="B1460" s="33" t="e">
        <f>IF(Sheet2!#REF!&lt;&gt;"",Sheet2!#REF!,"")</f>
        <v>#REF!</v>
      </c>
      <c r="C1460" s="34" t="e">
        <f>IF(Sheet2!#REF!&lt;&gt;"",Sheet2!#REF!,"")</f>
        <v>#REF!</v>
      </c>
      <c r="D1460" s="35" t="str">
        <f t="shared" ca="1" si="46"/>
        <v/>
      </c>
      <c r="E1460" s="3"/>
      <c r="F1460" s="3"/>
      <c r="G1460" s="3"/>
      <c r="H1460" s="3"/>
      <c r="K1460" t="str">
        <f t="shared" ca="1" si="47"/>
        <v/>
      </c>
    </row>
    <row r="1461" spans="1:11">
      <c r="A1461" s="23" t="e">
        <f>IF(Sheet2!#REF!&lt;&gt;"",Sheet2!#REF!,"")</f>
        <v>#REF!</v>
      </c>
      <c r="B1461" s="33" t="e">
        <f>IF(Sheet2!#REF!&lt;&gt;"",Sheet2!#REF!,"")</f>
        <v>#REF!</v>
      </c>
      <c r="C1461" s="34" t="e">
        <f>IF(Sheet2!#REF!&lt;&gt;"",Sheet2!#REF!,"")</f>
        <v>#REF!</v>
      </c>
      <c r="D1461" s="35" t="str">
        <f t="shared" ca="1" si="46"/>
        <v/>
      </c>
      <c r="E1461" s="3"/>
      <c r="F1461" s="3"/>
      <c r="G1461" s="3"/>
      <c r="H1461" s="3"/>
      <c r="K1461" t="str">
        <f t="shared" ca="1" si="47"/>
        <v/>
      </c>
    </row>
    <row r="1462" spans="1:11">
      <c r="A1462" s="23" t="e">
        <f>IF(Sheet2!#REF!&lt;&gt;"",Sheet2!#REF!,"")</f>
        <v>#REF!</v>
      </c>
      <c r="B1462" s="33" t="e">
        <f>IF(Sheet2!#REF!&lt;&gt;"",Sheet2!#REF!,"")</f>
        <v>#REF!</v>
      </c>
      <c r="C1462" s="34" t="e">
        <f>IF(Sheet2!#REF!&lt;&gt;"",Sheet2!#REF!,"")</f>
        <v>#REF!</v>
      </c>
      <c r="D1462" s="35" t="str">
        <f t="shared" ca="1" si="46"/>
        <v/>
      </c>
      <c r="E1462" s="3"/>
      <c r="F1462" s="3"/>
      <c r="G1462" s="3"/>
      <c r="H1462" s="3"/>
      <c r="K1462" t="str">
        <f t="shared" ca="1" si="47"/>
        <v/>
      </c>
    </row>
    <row r="1463" spans="1:11">
      <c r="A1463" s="23" t="e">
        <f>IF(Sheet2!#REF!&lt;&gt;"",Sheet2!#REF!,"")</f>
        <v>#REF!</v>
      </c>
      <c r="B1463" s="33" t="e">
        <f>IF(Sheet2!#REF!&lt;&gt;"",Sheet2!#REF!,"")</f>
        <v>#REF!</v>
      </c>
      <c r="C1463" s="34" t="e">
        <f>IF(Sheet2!#REF!&lt;&gt;"",Sheet2!#REF!,"")</f>
        <v>#REF!</v>
      </c>
      <c r="D1463" s="35" t="str">
        <f t="shared" ca="1" si="46"/>
        <v/>
      </c>
      <c r="E1463" s="3"/>
      <c r="F1463" s="3"/>
      <c r="G1463" s="3"/>
      <c r="H1463" s="3"/>
      <c r="K1463" t="str">
        <f t="shared" ca="1" si="47"/>
        <v/>
      </c>
    </row>
    <row r="1464" spans="1:11">
      <c r="A1464" s="23" t="e">
        <f>IF(Sheet2!#REF!&lt;&gt;"",Sheet2!#REF!,"")</f>
        <v>#REF!</v>
      </c>
      <c r="B1464" s="33" t="e">
        <f>IF(Sheet2!#REF!&lt;&gt;"",Sheet2!#REF!,"")</f>
        <v>#REF!</v>
      </c>
      <c r="C1464" s="34" t="e">
        <f>IF(Sheet2!#REF!&lt;&gt;"",Sheet2!#REF!,"")</f>
        <v>#REF!</v>
      </c>
      <c r="D1464" s="35" t="str">
        <f t="shared" ca="1" si="46"/>
        <v/>
      </c>
      <c r="E1464" s="3"/>
      <c r="F1464" s="3"/>
      <c r="G1464" s="3"/>
      <c r="H1464" s="3"/>
      <c r="K1464" t="str">
        <f t="shared" ca="1" si="47"/>
        <v/>
      </c>
    </row>
    <row r="1465" spans="1:11">
      <c r="A1465" s="23" t="e">
        <f>IF(Sheet2!#REF!&lt;&gt;"",Sheet2!#REF!,"")</f>
        <v>#REF!</v>
      </c>
      <c r="B1465" s="33" t="e">
        <f>IF(Sheet2!#REF!&lt;&gt;"",Sheet2!#REF!,"")</f>
        <v>#REF!</v>
      </c>
      <c r="C1465" s="34" t="e">
        <f>IF(Sheet2!#REF!&lt;&gt;"",Sheet2!#REF!,"")</f>
        <v>#REF!</v>
      </c>
      <c r="D1465" s="35" t="str">
        <f t="shared" ca="1" si="46"/>
        <v/>
      </c>
      <c r="E1465" s="3"/>
      <c r="F1465" s="3"/>
      <c r="G1465" s="3"/>
      <c r="H1465" s="3"/>
      <c r="K1465" t="str">
        <f t="shared" ca="1" si="47"/>
        <v/>
      </c>
    </row>
    <row r="1466" spans="1:11">
      <c r="A1466" s="23" t="e">
        <f>IF(Sheet2!#REF!&lt;&gt;"",Sheet2!#REF!,"")</f>
        <v>#REF!</v>
      </c>
      <c r="B1466" s="33" t="e">
        <f>IF(Sheet2!#REF!&lt;&gt;"",Sheet2!#REF!,"")</f>
        <v>#REF!</v>
      </c>
      <c r="C1466" s="34" t="e">
        <f>IF(Sheet2!#REF!&lt;&gt;"",Sheet2!#REF!,"")</f>
        <v>#REF!</v>
      </c>
      <c r="D1466" s="35" t="str">
        <f t="shared" ca="1" si="46"/>
        <v/>
      </c>
      <c r="E1466" s="3"/>
      <c r="F1466" s="3"/>
      <c r="G1466" s="3"/>
      <c r="H1466" s="3"/>
      <c r="K1466" t="str">
        <f t="shared" ca="1" si="47"/>
        <v/>
      </c>
    </row>
    <row r="1467" spans="1:11">
      <c r="A1467" s="23" t="e">
        <f>IF(Sheet2!#REF!&lt;&gt;"",Sheet2!#REF!,"")</f>
        <v>#REF!</v>
      </c>
      <c r="B1467" s="33" t="e">
        <f>IF(Sheet2!#REF!&lt;&gt;"",Sheet2!#REF!,"")</f>
        <v>#REF!</v>
      </c>
      <c r="C1467" s="34" t="e">
        <f>IF(Sheet2!#REF!&lt;&gt;"",Sheet2!#REF!,"")</f>
        <v>#REF!</v>
      </c>
      <c r="D1467" s="35" t="str">
        <f t="shared" ca="1" si="46"/>
        <v/>
      </c>
      <c r="E1467" s="3"/>
      <c r="F1467" s="3"/>
      <c r="G1467" s="3"/>
      <c r="H1467" s="3"/>
      <c r="K1467" t="str">
        <f t="shared" ca="1" si="47"/>
        <v/>
      </c>
    </row>
    <row r="1468" spans="1:11">
      <c r="A1468" s="23" t="e">
        <f>IF(Sheet2!#REF!&lt;&gt;"",Sheet2!#REF!,"")</f>
        <v>#REF!</v>
      </c>
      <c r="B1468" s="33" t="e">
        <f>IF(Sheet2!#REF!&lt;&gt;"",Sheet2!#REF!,"")</f>
        <v>#REF!</v>
      </c>
      <c r="C1468" s="34" t="e">
        <f>IF(Sheet2!#REF!&lt;&gt;"",Sheet2!#REF!,"")</f>
        <v>#REF!</v>
      </c>
      <c r="D1468" s="35" t="str">
        <f t="shared" ca="1" si="46"/>
        <v/>
      </c>
      <c r="E1468" s="3"/>
      <c r="F1468" s="3"/>
      <c r="G1468" s="3"/>
      <c r="H1468" s="3"/>
      <c r="K1468" t="str">
        <f t="shared" ca="1" si="47"/>
        <v/>
      </c>
    </row>
    <row r="1469" spans="1:11">
      <c r="A1469" s="23" t="e">
        <f>IF(Sheet2!#REF!&lt;&gt;"",Sheet2!#REF!,"")</f>
        <v>#REF!</v>
      </c>
      <c r="B1469" s="33" t="e">
        <f>IF(Sheet2!#REF!&lt;&gt;"",Sheet2!#REF!,"")</f>
        <v>#REF!</v>
      </c>
      <c r="C1469" s="34" t="e">
        <f>IF(Sheet2!#REF!&lt;&gt;"",Sheet2!#REF!,"")</f>
        <v>#REF!</v>
      </c>
      <c r="D1469" s="35" t="str">
        <f t="shared" ca="1" si="46"/>
        <v/>
      </c>
      <c r="E1469" s="3"/>
      <c r="F1469" s="3"/>
      <c r="G1469" s="3"/>
      <c r="H1469" s="3"/>
      <c r="K1469" t="str">
        <f t="shared" ca="1" si="47"/>
        <v/>
      </c>
    </row>
    <row r="1470" spans="1:11">
      <c r="A1470" s="23" t="e">
        <f>IF(Sheet2!#REF!&lt;&gt;"",Sheet2!#REF!,"")</f>
        <v>#REF!</v>
      </c>
      <c r="B1470" s="33" t="e">
        <f>IF(Sheet2!#REF!&lt;&gt;"",Sheet2!#REF!,"")</f>
        <v>#REF!</v>
      </c>
      <c r="C1470" s="34" t="e">
        <f>IF(Sheet2!#REF!&lt;&gt;"",Sheet2!#REF!,"")</f>
        <v>#REF!</v>
      </c>
      <c r="D1470" s="35" t="str">
        <f t="shared" ca="1" si="46"/>
        <v/>
      </c>
      <c r="E1470" s="3"/>
      <c r="F1470" s="3"/>
      <c r="G1470" s="3"/>
      <c r="H1470" s="3"/>
      <c r="K1470" t="str">
        <f t="shared" ca="1" si="47"/>
        <v/>
      </c>
    </row>
    <row r="1471" spans="1:11">
      <c r="A1471" s="23" t="e">
        <f>IF(Sheet2!#REF!&lt;&gt;"",Sheet2!#REF!,"")</f>
        <v>#REF!</v>
      </c>
      <c r="B1471" s="33" t="e">
        <f>IF(Sheet2!#REF!&lt;&gt;"",Sheet2!#REF!,"")</f>
        <v>#REF!</v>
      </c>
      <c r="C1471" s="34" t="e">
        <f>IF(Sheet2!#REF!&lt;&gt;"",Sheet2!#REF!,"")</f>
        <v>#REF!</v>
      </c>
      <c r="D1471" s="35" t="str">
        <f t="shared" ca="1" si="46"/>
        <v/>
      </c>
      <c r="E1471" s="3"/>
      <c r="F1471" s="3"/>
      <c r="G1471" s="3"/>
      <c r="H1471" s="3"/>
      <c r="K1471" t="str">
        <f t="shared" ca="1" si="47"/>
        <v/>
      </c>
    </row>
    <row r="1472" spans="1:11">
      <c r="A1472" s="23" t="e">
        <f>IF(Sheet2!#REF!&lt;&gt;"",Sheet2!#REF!,"")</f>
        <v>#REF!</v>
      </c>
      <c r="B1472" s="33" t="e">
        <f>IF(Sheet2!#REF!&lt;&gt;"",Sheet2!#REF!,"")</f>
        <v>#REF!</v>
      </c>
      <c r="C1472" s="34" t="e">
        <f>IF(Sheet2!#REF!&lt;&gt;"",Sheet2!#REF!,"")</f>
        <v>#REF!</v>
      </c>
      <c r="D1472" s="35" t="str">
        <f t="shared" ca="1" si="46"/>
        <v/>
      </c>
      <c r="E1472" s="3"/>
      <c r="F1472" s="3"/>
      <c r="G1472" s="3"/>
      <c r="H1472" s="3"/>
      <c r="K1472" t="str">
        <f t="shared" ca="1" si="47"/>
        <v/>
      </c>
    </row>
    <row r="1473" spans="1:11">
      <c r="A1473" s="23" t="e">
        <f>IF(Sheet2!#REF!&lt;&gt;"",Sheet2!#REF!,"")</f>
        <v>#REF!</v>
      </c>
      <c r="B1473" s="33" t="e">
        <f>IF(Sheet2!#REF!&lt;&gt;"",Sheet2!#REF!,"")</f>
        <v>#REF!</v>
      </c>
      <c r="C1473" s="34" t="e">
        <f>IF(Sheet2!#REF!&lt;&gt;"",Sheet2!#REF!,"")</f>
        <v>#REF!</v>
      </c>
      <c r="D1473" s="35" t="str">
        <f t="shared" ca="1" si="46"/>
        <v/>
      </c>
      <c r="E1473" s="3"/>
      <c r="F1473" s="3"/>
      <c r="G1473" s="3"/>
      <c r="H1473" s="3"/>
      <c r="K1473" t="str">
        <f t="shared" ca="1" si="47"/>
        <v/>
      </c>
    </row>
    <row r="1474" spans="1:11">
      <c r="A1474" s="23" t="e">
        <f>IF(Sheet2!#REF!&lt;&gt;"",Sheet2!#REF!,"")</f>
        <v>#REF!</v>
      </c>
      <c r="B1474" s="33" t="e">
        <f>IF(Sheet2!#REF!&lt;&gt;"",Sheet2!#REF!,"")</f>
        <v>#REF!</v>
      </c>
      <c r="C1474" s="34" t="e">
        <f>IF(Sheet2!#REF!&lt;&gt;"",Sheet2!#REF!,"")</f>
        <v>#REF!</v>
      </c>
      <c r="D1474" s="35" t="str">
        <f t="shared" ca="1" si="46"/>
        <v/>
      </c>
      <c r="E1474" s="3"/>
      <c r="F1474" s="3"/>
      <c r="G1474" s="3"/>
      <c r="H1474" s="3"/>
      <c r="K1474" t="str">
        <f t="shared" ca="1" si="47"/>
        <v/>
      </c>
    </row>
    <row r="1475" spans="1:11">
      <c r="A1475" s="23" t="e">
        <f>IF(Sheet2!#REF!&lt;&gt;"",Sheet2!#REF!,"")</f>
        <v>#REF!</v>
      </c>
      <c r="B1475" s="33" t="e">
        <f>IF(Sheet2!#REF!&lt;&gt;"",Sheet2!#REF!,"")</f>
        <v>#REF!</v>
      </c>
      <c r="C1475" s="34" t="e">
        <f>IF(Sheet2!#REF!&lt;&gt;"",Sheet2!#REF!,"")</f>
        <v>#REF!</v>
      </c>
      <c r="D1475" s="35" t="str">
        <f t="shared" ref="D1475:D1499" ca="1" si="48">IFERROR(IF(AND((C1475-TODAY())&lt;15,B1475&lt;&gt;""),IF(I1475="","Alert",""),""),"")</f>
        <v/>
      </c>
      <c r="E1475" s="3"/>
      <c r="F1475" s="3"/>
      <c r="G1475" s="3"/>
      <c r="H1475" s="3"/>
      <c r="K1475" t="str">
        <f t="shared" ref="K1475:K1499" ca="1" si="49">IF(I1475&lt;&gt;"",IF(J1475="",IF(TODAY()-I1475&gt;3,"ALERT",""),""),"")</f>
        <v/>
      </c>
    </row>
    <row r="1476" spans="1:11">
      <c r="A1476" s="23" t="e">
        <f>IF(Sheet2!#REF!&lt;&gt;"",Sheet2!#REF!,"")</f>
        <v>#REF!</v>
      </c>
      <c r="B1476" s="33" t="e">
        <f>IF(Sheet2!#REF!&lt;&gt;"",Sheet2!#REF!,"")</f>
        <v>#REF!</v>
      </c>
      <c r="C1476" s="34" t="e">
        <f>IF(Sheet2!#REF!&lt;&gt;"",Sheet2!#REF!,"")</f>
        <v>#REF!</v>
      </c>
      <c r="D1476" s="35" t="str">
        <f t="shared" ca="1" si="48"/>
        <v/>
      </c>
      <c r="E1476" s="3"/>
      <c r="F1476" s="3"/>
      <c r="G1476" s="3"/>
      <c r="H1476" s="3"/>
      <c r="K1476" t="str">
        <f t="shared" ca="1" si="49"/>
        <v/>
      </c>
    </row>
    <row r="1477" spans="1:11">
      <c r="A1477" s="23" t="e">
        <f>IF(Sheet2!#REF!&lt;&gt;"",Sheet2!#REF!,"")</f>
        <v>#REF!</v>
      </c>
      <c r="B1477" s="33" t="e">
        <f>IF(Sheet2!#REF!&lt;&gt;"",Sheet2!#REF!,"")</f>
        <v>#REF!</v>
      </c>
      <c r="C1477" s="34" t="e">
        <f>IF(Sheet2!#REF!&lt;&gt;"",Sheet2!#REF!,"")</f>
        <v>#REF!</v>
      </c>
      <c r="D1477" s="35" t="str">
        <f t="shared" ca="1" si="48"/>
        <v/>
      </c>
      <c r="E1477" s="3"/>
      <c r="F1477" s="3"/>
      <c r="G1477" s="3"/>
      <c r="H1477" s="3"/>
      <c r="K1477" t="str">
        <f t="shared" ca="1" si="49"/>
        <v/>
      </c>
    </row>
    <row r="1478" spans="1:11">
      <c r="A1478" s="23" t="e">
        <f>IF(Sheet2!#REF!&lt;&gt;"",Sheet2!#REF!,"")</f>
        <v>#REF!</v>
      </c>
      <c r="B1478" s="33" t="e">
        <f>IF(Sheet2!#REF!&lt;&gt;"",Sheet2!#REF!,"")</f>
        <v>#REF!</v>
      </c>
      <c r="C1478" s="34" t="e">
        <f>IF(Sheet2!#REF!&lt;&gt;"",Sheet2!#REF!,"")</f>
        <v>#REF!</v>
      </c>
      <c r="D1478" s="35" t="str">
        <f t="shared" ca="1" si="48"/>
        <v/>
      </c>
      <c r="E1478" s="3"/>
      <c r="F1478" s="3"/>
      <c r="G1478" s="3"/>
      <c r="H1478" s="3"/>
      <c r="K1478" t="str">
        <f t="shared" ca="1" si="49"/>
        <v/>
      </c>
    </row>
    <row r="1479" spans="1:11">
      <c r="A1479" s="23" t="e">
        <f>IF(Sheet2!#REF!&lt;&gt;"",Sheet2!#REF!,"")</f>
        <v>#REF!</v>
      </c>
      <c r="B1479" s="33" t="e">
        <f>IF(Sheet2!#REF!&lt;&gt;"",Sheet2!#REF!,"")</f>
        <v>#REF!</v>
      </c>
      <c r="C1479" s="34" t="e">
        <f>IF(Sheet2!#REF!&lt;&gt;"",Sheet2!#REF!,"")</f>
        <v>#REF!</v>
      </c>
      <c r="D1479" s="35" t="str">
        <f t="shared" ca="1" si="48"/>
        <v/>
      </c>
      <c r="E1479" s="3"/>
      <c r="F1479" s="3"/>
      <c r="G1479" s="3"/>
      <c r="H1479" s="3"/>
      <c r="K1479" t="str">
        <f t="shared" ca="1" si="49"/>
        <v/>
      </c>
    </row>
    <row r="1480" spans="1:11">
      <c r="A1480" s="23" t="e">
        <f>IF(Sheet2!#REF!&lt;&gt;"",Sheet2!#REF!,"")</f>
        <v>#REF!</v>
      </c>
      <c r="B1480" s="33" t="e">
        <f>IF(Sheet2!#REF!&lt;&gt;"",Sheet2!#REF!,"")</f>
        <v>#REF!</v>
      </c>
      <c r="C1480" s="34" t="e">
        <f>IF(Sheet2!#REF!&lt;&gt;"",Sheet2!#REF!,"")</f>
        <v>#REF!</v>
      </c>
      <c r="D1480" s="35" t="str">
        <f t="shared" ca="1" si="48"/>
        <v/>
      </c>
      <c r="E1480" s="3"/>
      <c r="F1480" s="3"/>
      <c r="G1480" s="3"/>
      <c r="H1480" s="3"/>
      <c r="K1480" t="str">
        <f t="shared" ca="1" si="49"/>
        <v/>
      </c>
    </row>
    <row r="1481" spans="1:11">
      <c r="A1481" s="23" t="e">
        <f>IF(Sheet2!#REF!&lt;&gt;"",Sheet2!#REF!,"")</f>
        <v>#REF!</v>
      </c>
      <c r="B1481" s="33" t="e">
        <f>IF(Sheet2!#REF!&lt;&gt;"",Sheet2!#REF!,"")</f>
        <v>#REF!</v>
      </c>
      <c r="C1481" s="34" t="e">
        <f>IF(Sheet2!#REF!&lt;&gt;"",Sheet2!#REF!,"")</f>
        <v>#REF!</v>
      </c>
      <c r="D1481" s="35" t="str">
        <f t="shared" ca="1" si="48"/>
        <v/>
      </c>
      <c r="E1481" s="3"/>
      <c r="F1481" s="3"/>
      <c r="G1481" s="3"/>
      <c r="H1481" s="3"/>
      <c r="K1481" t="str">
        <f t="shared" ca="1" si="49"/>
        <v/>
      </c>
    </row>
    <row r="1482" spans="1:11">
      <c r="A1482" s="23" t="e">
        <f>IF(Sheet2!#REF!&lt;&gt;"",Sheet2!#REF!,"")</f>
        <v>#REF!</v>
      </c>
      <c r="B1482" s="33" t="e">
        <f>IF(Sheet2!#REF!&lt;&gt;"",Sheet2!#REF!,"")</f>
        <v>#REF!</v>
      </c>
      <c r="C1482" s="34" t="e">
        <f>IF(Sheet2!#REF!&lt;&gt;"",Sheet2!#REF!,"")</f>
        <v>#REF!</v>
      </c>
      <c r="D1482" s="35" t="str">
        <f t="shared" ca="1" si="48"/>
        <v/>
      </c>
      <c r="E1482" s="3"/>
      <c r="F1482" s="3"/>
      <c r="G1482" s="3"/>
      <c r="H1482" s="3"/>
      <c r="K1482" t="str">
        <f t="shared" ca="1" si="49"/>
        <v/>
      </c>
    </row>
    <row r="1483" spans="1:11">
      <c r="A1483" s="23" t="e">
        <f>IF(Sheet2!#REF!&lt;&gt;"",Sheet2!#REF!,"")</f>
        <v>#REF!</v>
      </c>
      <c r="B1483" s="33" t="e">
        <f>IF(Sheet2!#REF!&lt;&gt;"",Sheet2!#REF!,"")</f>
        <v>#REF!</v>
      </c>
      <c r="C1483" s="34" t="e">
        <f>IF(Sheet2!#REF!&lt;&gt;"",Sheet2!#REF!,"")</f>
        <v>#REF!</v>
      </c>
      <c r="D1483" s="35" t="str">
        <f t="shared" ca="1" si="48"/>
        <v/>
      </c>
      <c r="E1483" s="3"/>
      <c r="F1483" s="3"/>
      <c r="G1483" s="3"/>
      <c r="H1483" s="3"/>
      <c r="K1483" t="str">
        <f t="shared" ca="1" si="49"/>
        <v/>
      </c>
    </row>
    <row r="1484" spans="1:11">
      <c r="A1484" s="23" t="e">
        <f>IF(Sheet2!#REF!&lt;&gt;"",Sheet2!#REF!,"")</f>
        <v>#REF!</v>
      </c>
      <c r="B1484" s="33" t="e">
        <f>IF(Sheet2!#REF!&lt;&gt;"",Sheet2!#REF!,"")</f>
        <v>#REF!</v>
      </c>
      <c r="C1484" s="34" t="e">
        <f>IF(Sheet2!#REF!&lt;&gt;"",Sheet2!#REF!,"")</f>
        <v>#REF!</v>
      </c>
      <c r="D1484" s="35" t="str">
        <f t="shared" ca="1" si="48"/>
        <v/>
      </c>
      <c r="E1484" s="3"/>
      <c r="F1484" s="3"/>
      <c r="G1484" s="3"/>
      <c r="H1484" s="3"/>
      <c r="K1484" t="str">
        <f t="shared" ca="1" si="49"/>
        <v/>
      </c>
    </row>
    <row r="1485" spans="1:11">
      <c r="A1485" s="23" t="e">
        <f>IF(Sheet2!#REF!&lt;&gt;"",Sheet2!#REF!,"")</f>
        <v>#REF!</v>
      </c>
      <c r="B1485" s="33" t="e">
        <f>IF(Sheet2!#REF!&lt;&gt;"",Sheet2!#REF!,"")</f>
        <v>#REF!</v>
      </c>
      <c r="C1485" s="34" t="e">
        <f>IF(Sheet2!#REF!&lt;&gt;"",Sheet2!#REF!,"")</f>
        <v>#REF!</v>
      </c>
      <c r="D1485" s="35" t="str">
        <f t="shared" ca="1" si="48"/>
        <v/>
      </c>
      <c r="E1485" s="3"/>
      <c r="F1485" s="3"/>
      <c r="G1485" s="3"/>
      <c r="H1485" s="3"/>
      <c r="K1485" t="str">
        <f t="shared" ca="1" si="49"/>
        <v/>
      </c>
    </row>
    <row r="1486" spans="1:11">
      <c r="A1486" s="23" t="e">
        <f>IF(Sheet2!#REF!&lt;&gt;"",Sheet2!#REF!,"")</f>
        <v>#REF!</v>
      </c>
      <c r="B1486" s="33" t="e">
        <f>IF(Sheet2!#REF!&lt;&gt;"",Sheet2!#REF!,"")</f>
        <v>#REF!</v>
      </c>
      <c r="C1486" s="34" t="e">
        <f>IF(Sheet2!#REF!&lt;&gt;"",Sheet2!#REF!,"")</f>
        <v>#REF!</v>
      </c>
      <c r="D1486" s="35" t="str">
        <f t="shared" ca="1" si="48"/>
        <v/>
      </c>
      <c r="E1486" s="3"/>
      <c r="F1486" s="3"/>
      <c r="G1486" s="3"/>
      <c r="H1486" s="3"/>
      <c r="K1486" t="str">
        <f t="shared" ca="1" si="49"/>
        <v/>
      </c>
    </row>
    <row r="1487" spans="1:11">
      <c r="A1487" s="23" t="e">
        <f>IF(Sheet2!#REF!&lt;&gt;"",Sheet2!#REF!,"")</f>
        <v>#REF!</v>
      </c>
      <c r="B1487" s="33" t="e">
        <f>IF(Sheet2!#REF!&lt;&gt;"",Sheet2!#REF!,"")</f>
        <v>#REF!</v>
      </c>
      <c r="C1487" s="34" t="e">
        <f>IF(Sheet2!#REF!&lt;&gt;"",Sheet2!#REF!,"")</f>
        <v>#REF!</v>
      </c>
      <c r="D1487" s="35" t="str">
        <f t="shared" ca="1" si="48"/>
        <v/>
      </c>
      <c r="E1487" s="3"/>
      <c r="F1487" s="3"/>
      <c r="G1487" s="3"/>
      <c r="H1487" s="3"/>
      <c r="K1487" t="str">
        <f t="shared" ca="1" si="49"/>
        <v/>
      </c>
    </row>
    <row r="1488" spans="1:11">
      <c r="A1488" s="23" t="e">
        <f>IF(Sheet2!#REF!&lt;&gt;"",Sheet2!#REF!,"")</f>
        <v>#REF!</v>
      </c>
      <c r="B1488" s="33" t="e">
        <f>IF(Sheet2!#REF!&lt;&gt;"",Sheet2!#REF!,"")</f>
        <v>#REF!</v>
      </c>
      <c r="C1488" s="34" t="e">
        <f>IF(Sheet2!#REF!&lt;&gt;"",Sheet2!#REF!,"")</f>
        <v>#REF!</v>
      </c>
      <c r="D1488" s="35" t="str">
        <f t="shared" ca="1" si="48"/>
        <v/>
      </c>
      <c r="E1488" s="3"/>
      <c r="F1488" s="3"/>
      <c r="G1488" s="3"/>
      <c r="H1488" s="3"/>
      <c r="K1488" t="str">
        <f t="shared" ca="1" si="49"/>
        <v/>
      </c>
    </row>
    <row r="1489" spans="1:11">
      <c r="A1489" s="23" t="e">
        <f>IF(Sheet2!#REF!&lt;&gt;"",Sheet2!#REF!,"")</f>
        <v>#REF!</v>
      </c>
      <c r="B1489" s="33" t="e">
        <f>IF(Sheet2!#REF!&lt;&gt;"",Sheet2!#REF!,"")</f>
        <v>#REF!</v>
      </c>
      <c r="C1489" s="34" t="e">
        <f>IF(Sheet2!#REF!&lt;&gt;"",Sheet2!#REF!,"")</f>
        <v>#REF!</v>
      </c>
      <c r="D1489" s="35" t="str">
        <f t="shared" ca="1" si="48"/>
        <v/>
      </c>
      <c r="E1489" s="3"/>
      <c r="F1489" s="3"/>
      <c r="G1489" s="3"/>
      <c r="H1489" s="3"/>
      <c r="K1489" t="str">
        <f t="shared" ca="1" si="49"/>
        <v/>
      </c>
    </row>
    <row r="1490" spans="1:11">
      <c r="A1490" s="23" t="e">
        <f>IF(Sheet2!#REF!&lt;&gt;"",Sheet2!#REF!,"")</f>
        <v>#REF!</v>
      </c>
      <c r="B1490" s="33" t="e">
        <f>IF(Sheet2!#REF!&lt;&gt;"",Sheet2!#REF!,"")</f>
        <v>#REF!</v>
      </c>
      <c r="C1490" s="34" t="e">
        <f>IF(Sheet2!#REF!&lt;&gt;"",Sheet2!#REF!,"")</f>
        <v>#REF!</v>
      </c>
      <c r="D1490" s="35" t="str">
        <f t="shared" ca="1" si="48"/>
        <v/>
      </c>
      <c r="E1490" s="3"/>
      <c r="F1490" s="3"/>
      <c r="G1490" s="3"/>
      <c r="H1490" s="3"/>
      <c r="K1490" t="str">
        <f t="shared" ca="1" si="49"/>
        <v/>
      </c>
    </row>
    <row r="1491" spans="1:11">
      <c r="A1491" s="23" t="e">
        <f>IF(Sheet2!#REF!&lt;&gt;"",Sheet2!#REF!,"")</f>
        <v>#REF!</v>
      </c>
      <c r="B1491" s="33" t="e">
        <f>IF(Sheet2!#REF!&lt;&gt;"",Sheet2!#REF!,"")</f>
        <v>#REF!</v>
      </c>
      <c r="C1491" s="34" t="e">
        <f>IF(Sheet2!#REF!&lt;&gt;"",Sheet2!#REF!,"")</f>
        <v>#REF!</v>
      </c>
      <c r="D1491" s="35" t="str">
        <f t="shared" ca="1" si="48"/>
        <v/>
      </c>
      <c r="E1491" s="3"/>
      <c r="F1491" s="3"/>
      <c r="G1491" s="3"/>
      <c r="H1491" s="3"/>
      <c r="K1491" t="str">
        <f t="shared" ca="1" si="49"/>
        <v/>
      </c>
    </row>
    <row r="1492" spans="1:11">
      <c r="A1492" s="23" t="e">
        <f>IF(Sheet2!#REF!&lt;&gt;"",Sheet2!#REF!,"")</f>
        <v>#REF!</v>
      </c>
      <c r="B1492" s="33" t="e">
        <f>IF(Sheet2!#REF!&lt;&gt;"",Sheet2!#REF!,"")</f>
        <v>#REF!</v>
      </c>
      <c r="C1492" s="34" t="e">
        <f>IF(Sheet2!#REF!&lt;&gt;"",Sheet2!#REF!,"")</f>
        <v>#REF!</v>
      </c>
      <c r="D1492" s="35" t="str">
        <f t="shared" ca="1" si="48"/>
        <v/>
      </c>
      <c r="E1492" s="3"/>
      <c r="F1492" s="3"/>
      <c r="G1492" s="3"/>
      <c r="H1492" s="3"/>
      <c r="K1492" t="str">
        <f t="shared" ca="1" si="49"/>
        <v/>
      </c>
    </row>
    <row r="1493" spans="1:11">
      <c r="A1493" s="23" t="e">
        <f>IF(Sheet2!#REF!&lt;&gt;"",Sheet2!#REF!,"")</f>
        <v>#REF!</v>
      </c>
      <c r="B1493" s="33" t="e">
        <f>IF(Sheet2!#REF!&lt;&gt;"",Sheet2!#REF!,"")</f>
        <v>#REF!</v>
      </c>
      <c r="C1493" s="34" t="e">
        <f>IF(Sheet2!#REF!&lt;&gt;"",Sheet2!#REF!,"")</f>
        <v>#REF!</v>
      </c>
      <c r="D1493" s="35" t="str">
        <f t="shared" ca="1" si="48"/>
        <v/>
      </c>
      <c r="E1493" s="3"/>
      <c r="F1493" s="3"/>
      <c r="G1493" s="3"/>
      <c r="H1493" s="3"/>
      <c r="K1493" t="str">
        <f t="shared" ca="1" si="49"/>
        <v/>
      </c>
    </row>
    <row r="1494" spans="1:11">
      <c r="A1494" s="23" t="e">
        <f>IF(Sheet2!#REF!&lt;&gt;"",Sheet2!#REF!,"")</f>
        <v>#REF!</v>
      </c>
      <c r="B1494" s="33" t="e">
        <f>IF(Sheet2!#REF!&lt;&gt;"",Sheet2!#REF!,"")</f>
        <v>#REF!</v>
      </c>
      <c r="C1494" s="34" t="e">
        <f>IF(Sheet2!#REF!&lt;&gt;"",Sheet2!#REF!,"")</f>
        <v>#REF!</v>
      </c>
      <c r="D1494" s="35" t="str">
        <f t="shared" ca="1" si="48"/>
        <v/>
      </c>
      <c r="E1494" s="3"/>
      <c r="F1494" s="3"/>
      <c r="G1494" s="3"/>
      <c r="H1494" s="3"/>
      <c r="K1494" t="str">
        <f t="shared" ca="1" si="49"/>
        <v/>
      </c>
    </row>
    <row r="1495" spans="1:11">
      <c r="A1495" s="23" t="e">
        <f>IF(Sheet2!#REF!&lt;&gt;"",Sheet2!#REF!,"")</f>
        <v>#REF!</v>
      </c>
      <c r="B1495" s="33" t="e">
        <f>IF(Sheet2!#REF!&lt;&gt;"",Sheet2!#REF!,"")</f>
        <v>#REF!</v>
      </c>
      <c r="C1495" s="34" t="e">
        <f>IF(Sheet2!#REF!&lt;&gt;"",Sheet2!#REF!,"")</f>
        <v>#REF!</v>
      </c>
      <c r="D1495" s="35" t="str">
        <f t="shared" ca="1" si="48"/>
        <v/>
      </c>
      <c r="E1495" s="3"/>
      <c r="F1495" s="3"/>
      <c r="G1495" s="3"/>
      <c r="H1495" s="3"/>
      <c r="K1495" t="str">
        <f t="shared" ca="1" si="49"/>
        <v/>
      </c>
    </row>
    <row r="1496" spans="1:11">
      <c r="A1496" s="23" t="e">
        <f>IF(Sheet2!#REF!&lt;&gt;"",Sheet2!#REF!,"")</f>
        <v>#REF!</v>
      </c>
      <c r="B1496" s="33" t="e">
        <f>IF(Sheet2!#REF!&lt;&gt;"",Sheet2!#REF!,"")</f>
        <v>#REF!</v>
      </c>
      <c r="C1496" s="34" t="e">
        <f>IF(Sheet2!#REF!&lt;&gt;"",Sheet2!#REF!,"")</f>
        <v>#REF!</v>
      </c>
      <c r="D1496" s="35" t="str">
        <f t="shared" ca="1" si="48"/>
        <v/>
      </c>
      <c r="E1496" s="3"/>
      <c r="F1496" s="3"/>
      <c r="G1496" s="3"/>
      <c r="H1496" s="3"/>
      <c r="K1496" t="str">
        <f t="shared" ca="1" si="49"/>
        <v/>
      </c>
    </row>
    <row r="1497" spans="1:11">
      <c r="A1497" s="23" t="e">
        <f>IF(Sheet2!#REF!&lt;&gt;"",Sheet2!#REF!,"")</f>
        <v>#REF!</v>
      </c>
      <c r="B1497" s="33" t="e">
        <f>IF(Sheet2!#REF!&lt;&gt;"",Sheet2!#REF!,"")</f>
        <v>#REF!</v>
      </c>
      <c r="C1497" s="34" t="e">
        <f>IF(Sheet2!#REF!&lt;&gt;"",Sheet2!#REF!,"")</f>
        <v>#REF!</v>
      </c>
      <c r="D1497" s="35" t="str">
        <f t="shared" ca="1" si="48"/>
        <v/>
      </c>
      <c r="E1497" s="3"/>
      <c r="F1497" s="3"/>
      <c r="G1497" s="3"/>
      <c r="H1497" s="3"/>
      <c r="K1497" t="str">
        <f t="shared" ca="1" si="49"/>
        <v/>
      </c>
    </row>
    <row r="1498" spans="1:11">
      <c r="A1498" s="23" t="e">
        <f>IF(Sheet2!#REF!&lt;&gt;"",Sheet2!#REF!,"")</f>
        <v>#REF!</v>
      </c>
      <c r="B1498" s="33" t="e">
        <f>IF(Sheet2!#REF!&lt;&gt;"",Sheet2!#REF!,"")</f>
        <v>#REF!</v>
      </c>
      <c r="C1498" s="34" t="e">
        <f>IF(Sheet2!#REF!&lt;&gt;"",Sheet2!#REF!,"")</f>
        <v>#REF!</v>
      </c>
      <c r="D1498" s="35" t="str">
        <f t="shared" ca="1" si="48"/>
        <v/>
      </c>
      <c r="E1498" s="3"/>
      <c r="F1498" s="3"/>
      <c r="G1498" s="3"/>
      <c r="H1498" s="3"/>
      <c r="K1498" t="str">
        <f t="shared" ca="1" si="49"/>
        <v/>
      </c>
    </row>
    <row r="1499" spans="1:11">
      <c r="A1499" s="23" t="e">
        <f>IF(Sheet2!#REF!&lt;&gt;"",Sheet2!#REF!,"")</f>
        <v>#REF!</v>
      </c>
      <c r="B1499" s="33" t="e">
        <f>IF(Sheet2!#REF!&lt;&gt;"",Sheet2!#REF!,"")</f>
        <v>#REF!</v>
      </c>
      <c r="C1499" s="34" t="e">
        <f>IF(Sheet2!#REF!&lt;&gt;"",Sheet2!#REF!,"")</f>
        <v>#REF!</v>
      </c>
      <c r="D1499" s="35" t="str">
        <f t="shared" ca="1" si="48"/>
        <v/>
      </c>
      <c r="E1499" s="3"/>
      <c r="F1499" s="3"/>
      <c r="G1499" s="3"/>
      <c r="H1499" s="3"/>
      <c r="K1499" t="str">
        <f t="shared" ca="1" si="49"/>
        <v/>
      </c>
    </row>
    <row r="1500" spans="1:11">
      <c r="E1500" s="3"/>
      <c r="F1500" s="3"/>
      <c r="G1500" s="3"/>
      <c r="H1500" s="3"/>
    </row>
    <row r="1501" spans="1:11">
      <c r="E1501" s="3"/>
      <c r="F1501" s="3"/>
      <c r="G1501" s="3"/>
      <c r="H1501" s="3"/>
    </row>
    <row r="1502" spans="1:11">
      <c r="E1502" s="3"/>
      <c r="F1502" s="3"/>
      <c r="G1502" s="3"/>
      <c r="H1502" s="3"/>
    </row>
    <row r="1503" spans="1:11">
      <c r="E1503" s="3"/>
      <c r="F1503" s="3"/>
      <c r="G1503" s="3"/>
      <c r="H1503" s="3"/>
    </row>
    <row r="1504" spans="1:11">
      <c r="E1504" s="3"/>
      <c r="F1504" s="3"/>
      <c r="G1504" s="3"/>
      <c r="H1504" s="3"/>
    </row>
    <row r="1505" spans="5:8">
      <c r="E1505" s="3"/>
      <c r="F1505" s="3"/>
      <c r="G1505" s="3"/>
      <c r="H1505" s="3"/>
    </row>
    <row r="1506" spans="5:8">
      <c r="E1506" s="3"/>
      <c r="F1506" s="3"/>
      <c r="G1506" s="3"/>
      <c r="H1506" s="3"/>
    </row>
    <row r="1507" spans="5:8">
      <c r="E1507" s="3"/>
      <c r="F1507" s="3"/>
      <c r="G1507" s="3"/>
      <c r="H1507" s="3"/>
    </row>
    <row r="1508" spans="5:8">
      <c r="E1508" s="3"/>
      <c r="F1508" s="3"/>
      <c r="G1508" s="3"/>
      <c r="H1508" s="3"/>
    </row>
    <row r="1509" spans="5:8">
      <c r="E1509" s="3"/>
      <c r="F1509" s="3"/>
      <c r="G1509" s="3"/>
      <c r="H1509" s="3"/>
    </row>
    <row r="1510" spans="5:8">
      <c r="E1510" s="3"/>
      <c r="F1510" s="3"/>
      <c r="G1510" s="3"/>
      <c r="H1510" s="3"/>
    </row>
    <row r="1511" spans="5:8">
      <c r="E1511" s="3"/>
      <c r="F1511" s="3"/>
      <c r="G1511" s="3"/>
      <c r="H1511" s="3"/>
    </row>
    <row r="1512" spans="5:8">
      <c r="E1512" s="3"/>
      <c r="F1512" s="3"/>
      <c r="G1512" s="3"/>
      <c r="H1512" s="3"/>
    </row>
    <row r="1513" spans="5:8">
      <c r="E1513" s="3"/>
      <c r="F1513" s="3"/>
      <c r="G1513" s="3"/>
      <c r="H1513" s="3"/>
    </row>
    <row r="1514" spans="5:8">
      <c r="E1514" s="3"/>
      <c r="F1514" s="3"/>
      <c r="G1514" s="3"/>
      <c r="H1514" s="3"/>
    </row>
    <row r="1515" spans="5:8">
      <c r="E1515" s="3"/>
      <c r="F1515" s="3"/>
      <c r="G1515" s="3"/>
      <c r="H1515" s="3"/>
    </row>
    <row r="1516" spans="5:8">
      <c r="E1516" s="3"/>
      <c r="F1516" s="3"/>
      <c r="G1516" s="3"/>
      <c r="H1516" s="3"/>
    </row>
    <row r="1517" spans="5:8">
      <c r="E1517" s="3"/>
      <c r="F1517" s="3"/>
      <c r="G1517" s="3"/>
      <c r="H1517" s="3"/>
    </row>
    <row r="1518" spans="5:8">
      <c r="E1518" s="3"/>
      <c r="F1518" s="3"/>
      <c r="G1518" s="3"/>
      <c r="H1518" s="3"/>
    </row>
    <row r="1519" spans="5:8">
      <c r="E1519" s="3"/>
      <c r="F1519" s="3"/>
      <c r="G1519" s="3"/>
      <c r="H1519" s="3"/>
    </row>
    <row r="1520" spans="5:8">
      <c r="E1520" s="3"/>
      <c r="F1520" s="3"/>
      <c r="G1520" s="3"/>
      <c r="H1520" s="3"/>
    </row>
    <row r="1521" spans="5:8">
      <c r="E1521" s="3"/>
      <c r="F1521" s="3"/>
      <c r="G1521" s="3"/>
      <c r="H1521" s="3"/>
    </row>
    <row r="1522" spans="5:8">
      <c r="E1522" s="3"/>
      <c r="F1522" s="3"/>
      <c r="G1522" s="3"/>
      <c r="H1522" s="3"/>
    </row>
    <row r="1523" spans="5:8">
      <c r="E1523" s="3"/>
      <c r="F1523" s="3"/>
      <c r="G1523" s="3"/>
      <c r="H1523" s="3"/>
    </row>
    <row r="1524" spans="5:8">
      <c r="E1524" s="3"/>
      <c r="F1524" s="3"/>
      <c r="G1524" s="3"/>
      <c r="H1524" s="3"/>
    </row>
    <row r="1525" spans="5:8">
      <c r="E1525" s="3"/>
      <c r="F1525" s="3"/>
      <c r="G1525" s="3"/>
      <c r="H1525" s="3"/>
    </row>
    <row r="1526" spans="5:8">
      <c r="E1526" s="3"/>
      <c r="F1526" s="3"/>
      <c r="G1526" s="3"/>
      <c r="H1526" s="3"/>
    </row>
    <row r="1527" spans="5:8">
      <c r="E1527" s="3"/>
      <c r="F1527" s="3"/>
      <c r="G1527" s="3"/>
      <c r="H1527" s="3"/>
    </row>
    <row r="1528" spans="5:8">
      <c r="E1528" s="3"/>
      <c r="F1528" s="3"/>
      <c r="G1528" s="3"/>
      <c r="H1528" s="3"/>
    </row>
    <row r="1529" spans="5:8">
      <c r="E1529" s="3"/>
      <c r="F1529" s="3"/>
      <c r="G1529" s="3"/>
      <c r="H1529" s="3"/>
    </row>
    <row r="1530" spans="5:8">
      <c r="E1530" s="3"/>
      <c r="F1530" s="3"/>
      <c r="G1530" s="3"/>
      <c r="H1530" s="3"/>
    </row>
    <row r="1531" spans="5:8">
      <c r="E1531" s="3"/>
      <c r="F1531" s="3"/>
      <c r="G1531" s="3"/>
      <c r="H1531" s="3"/>
    </row>
    <row r="1532" spans="5:8">
      <c r="E1532" s="3"/>
      <c r="F1532" s="3"/>
      <c r="G1532" s="3"/>
      <c r="H1532" s="3"/>
    </row>
    <row r="1533" spans="5:8">
      <c r="E1533" s="3"/>
      <c r="F1533" s="3"/>
      <c r="G1533" s="3"/>
      <c r="H1533" s="3"/>
    </row>
    <row r="1534" spans="5:8">
      <c r="E1534" s="3"/>
      <c r="F1534" s="3"/>
      <c r="G1534" s="3"/>
      <c r="H1534" s="3"/>
    </row>
    <row r="1535" spans="5:8">
      <c r="E1535" s="3"/>
      <c r="F1535" s="3"/>
      <c r="G1535" s="3"/>
      <c r="H1535" s="3"/>
    </row>
    <row r="1536" spans="5:8">
      <c r="E1536" s="3"/>
      <c r="F1536" s="3"/>
      <c r="G1536" s="3"/>
      <c r="H1536" s="3"/>
    </row>
    <row r="1537" spans="5:8">
      <c r="E1537" s="3"/>
      <c r="F1537" s="3"/>
      <c r="G1537" s="3"/>
      <c r="H1537" s="3"/>
    </row>
    <row r="1538" spans="5:8">
      <c r="E1538" s="3"/>
      <c r="F1538" s="3"/>
      <c r="G1538" s="3"/>
      <c r="H1538" s="3"/>
    </row>
    <row r="1539" spans="5:8">
      <c r="E1539" s="3"/>
      <c r="F1539" s="3"/>
      <c r="G1539" s="3"/>
      <c r="H1539" s="3"/>
    </row>
    <row r="1540" spans="5:8">
      <c r="E1540" s="3"/>
      <c r="F1540" s="3"/>
      <c r="G1540" s="3"/>
      <c r="H1540" s="3"/>
    </row>
    <row r="1541" spans="5:8">
      <c r="E1541" s="3"/>
      <c r="F1541" s="3"/>
      <c r="G1541" s="3"/>
      <c r="H1541" s="3"/>
    </row>
    <row r="1542" spans="5:8">
      <c r="E1542" s="3"/>
      <c r="F1542" s="3"/>
      <c r="G1542" s="3"/>
      <c r="H1542" s="3"/>
    </row>
    <row r="1543" spans="5:8">
      <c r="E1543" s="3"/>
      <c r="F1543" s="3"/>
      <c r="G1543" s="3"/>
      <c r="H1543" s="3"/>
    </row>
    <row r="1544" spans="5:8">
      <c r="E1544" s="3"/>
      <c r="F1544" s="3"/>
      <c r="G1544" s="3"/>
      <c r="H1544" s="3"/>
    </row>
    <row r="1545" spans="5:8">
      <c r="E1545" s="3"/>
      <c r="F1545" s="3"/>
      <c r="G1545" s="3"/>
      <c r="H1545" s="3"/>
    </row>
    <row r="1546" spans="5:8">
      <c r="E1546" s="3"/>
      <c r="F1546" s="3"/>
      <c r="G1546" s="3"/>
      <c r="H1546" s="3"/>
    </row>
    <row r="1547" spans="5:8">
      <c r="E1547" s="3"/>
      <c r="F1547" s="3"/>
      <c r="G1547" s="3"/>
      <c r="H1547" s="3"/>
    </row>
    <row r="1548" spans="5:8">
      <c r="E1548" s="3"/>
      <c r="F1548" s="3"/>
      <c r="G1548" s="3"/>
      <c r="H1548" s="3"/>
    </row>
    <row r="1549" spans="5:8">
      <c r="E1549" s="3"/>
      <c r="F1549" s="3"/>
      <c r="G1549" s="3"/>
      <c r="H1549" s="3"/>
    </row>
    <row r="1550" spans="5:8">
      <c r="E1550" s="3"/>
      <c r="F1550" s="3"/>
      <c r="G1550" s="3"/>
      <c r="H1550" s="3"/>
    </row>
    <row r="1551" spans="5:8">
      <c r="E1551" s="3"/>
      <c r="F1551" s="3"/>
      <c r="G1551" s="3"/>
      <c r="H1551" s="3"/>
    </row>
    <row r="1552" spans="5:8">
      <c r="E1552" s="3"/>
      <c r="F1552" s="3"/>
      <c r="G1552" s="3"/>
      <c r="H1552" s="3"/>
    </row>
    <row r="1553" spans="5:8">
      <c r="E1553" s="3"/>
      <c r="F1553" s="3"/>
      <c r="G1553" s="3"/>
      <c r="H1553" s="3"/>
    </row>
    <row r="1554" spans="5:8">
      <c r="E1554" s="3"/>
      <c r="F1554" s="3"/>
      <c r="G1554" s="3"/>
      <c r="H1554" s="3"/>
    </row>
    <row r="1555" spans="5:8">
      <c r="E1555" s="3"/>
      <c r="F1555" s="3"/>
      <c r="G1555" s="3"/>
      <c r="H1555" s="3"/>
    </row>
    <row r="1556" spans="5:8">
      <c r="E1556" s="3"/>
      <c r="F1556" s="3"/>
      <c r="G1556" s="3"/>
      <c r="H1556" s="3"/>
    </row>
    <row r="1557" spans="5:8">
      <c r="E1557" s="3"/>
      <c r="F1557" s="3"/>
      <c r="G1557" s="3"/>
      <c r="H1557" s="3"/>
    </row>
    <row r="1558" spans="5:8">
      <c r="E1558" s="3"/>
      <c r="F1558" s="3"/>
      <c r="G1558" s="3"/>
      <c r="H1558" s="3"/>
    </row>
    <row r="1559" spans="5:8">
      <c r="E1559" s="3"/>
      <c r="F1559" s="3"/>
      <c r="G1559" s="3"/>
      <c r="H1559" s="3"/>
    </row>
    <row r="1560" spans="5:8">
      <c r="E1560" s="3"/>
      <c r="F1560" s="3"/>
      <c r="G1560" s="3"/>
      <c r="H1560" s="3"/>
    </row>
    <row r="1561" spans="5:8">
      <c r="E1561" s="3"/>
      <c r="F1561" s="3"/>
      <c r="G1561" s="3"/>
      <c r="H1561" s="3"/>
    </row>
    <row r="1562" spans="5:8">
      <c r="E1562" s="3"/>
      <c r="F1562" s="3"/>
      <c r="G1562" s="3"/>
      <c r="H1562" s="3"/>
    </row>
    <row r="1563" spans="5:8">
      <c r="E1563" s="3"/>
      <c r="F1563" s="3"/>
      <c r="G1563" s="3"/>
      <c r="H1563" s="3"/>
    </row>
    <row r="1564" spans="5:8">
      <c r="E1564" s="3"/>
      <c r="F1564" s="3"/>
      <c r="G1564" s="3"/>
      <c r="H1564" s="3"/>
    </row>
    <row r="1565" spans="5:8">
      <c r="E1565" s="3"/>
      <c r="F1565" s="3"/>
      <c r="G1565" s="3"/>
      <c r="H1565" s="3"/>
    </row>
    <row r="1566" spans="5:8">
      <c r="E1566" s="3"/>
      <c r="F1566" s="3"/>
      <c r="G1566" s="3"/>
      <c r="H1566" s="3"/>
    </row>
    <row r="1567" spans="5:8">
      <c r="E1567" s="3"/>
      <c r="F1567" s="3"/>
      <c r="G1567" s="3"/>
      <c r="H1567" s="3"/>
    </row>
    <row r="1568" spans="5:8">
      <c r="E1568" s="3"/>
      <c r="F1568" s="3"/>
      <c r="G1568" s="3"/>
      <c r="H1568" s="3"/>
    </row>
    <row r="1569" spans="5:8">
      <c r="E1569" s="3"/>
      <c r="F1569" s="3"/>
      <c r="G1569" s="3"/>
      <c r="H1569" s="3"/>
    </row>
    <row r="1570" spans="5:8">
      <c r="E1570" s="3"/>
      <c r="F1570" s="3"/>
      <c r="G1570" s="3"/>
      <c r="H1570" s="3"/>
    </row>
    <row r="1571" spans="5:8">
      <c r="E1571" s="3"/>
      <c r="F1571" s="3"/>
      <c r="G1571" s="3"/>
      <c r="H1571" s="3"/>
    </row>
    <row r="1572" spans="5:8">
      <c r="E1572" s="3"/>
      <c r="F1572" s="3"/>
      <c r="G1572" s="3"/>
      <c r="H1572" s="3"/>
    </row>
    <row r="1573" spans="5:8">
      <c r="E1573" s="3"/>
      <c r="F1573" s="3"/>
      <c r="G1573" s="3"/>
      <c r="H1573" s="3"/>
    </row>
    <row r="1574" spans="5:8">
      <c r="E1574" s="3"/>
      <c r="F1574" s="3"/>
      <c r="G1574" s="3"/>
      <c r="H1574" s="3"/>
    </row>
    <row r="1575" spans="5:8">
      <c r="E1575" s="3"/>
      <c r="F1575" s="3"/>
      <c r="G1575" s="3"/>
      <c r="H1575" s="3"/>
    </row>
    <row r="1576" spans="5:8">
      <c r="E1576" s="3"/>
      <c r="F1576" s="3"/>
      <c r="G1576" s="3"/>
      <c r="H1576" s="3"/>
    </row>
    <row r="1577" spans="5:8">
      <c r="E1577" s="3"/>
      <c r="F1577" s="3"/>
      <c r="G1577" s="3"/>
      <c r="H1577" s="3"/>
    </row>
    <row r="1578" spans="5:8">
      <c r="E1578" s="3"/>
      <c r="F1578" s="3"/>
      <c r="G1578" s="3"/>
      <c r="H1578" s="3"/>
    </row>
    <row r="1579" spans="5:8">
      <c r="E1579" s="3"/>
      <c r="F1579" s="3"/>
      <c r="G1579" s="3"/>
      <c r="H1579" s="3"/>
    </row>
    <row r="1580" spans="5:8">
      <c r="E1580" s="3"/>
      <c r="F1580" s="3"/>
      <c r="G1580" s="3"/>
      <c r="H1580" s="3"/>
    </row>
    <row r="1581" spans="5:8">
      <c r="E1581" s="3"/>
      <c r="F1581" s="3"/>
      <c r="G1581" s="3"/>
      <c r="H1581" s="3"/>
    </row>
    <row r="1582" spans="5:8">
      <c r="E1582" s="3"/>
      <c r="F1582" s="3"/>
      <c r="G1582" s="3"/>
      <c r="H1582" s="3"/>
    </row>
    <row r="1583" spans="5:8">
      <c r="E1583" s="3"/>
      <c r="F1583" s="3"/>
      <c r="G1583" s="3"/>
      <c r="H1583" s="3"/>
    </row>
    <row r="1584" spans="5:8">
      <c r="E1584" s="3"/>
      <c r="F1584" s="3"/>
      <c r="G1584" s="3"/>
      <c r="H1584" s="3"/>
    </row>
    <row r="1585" spans="5:8">
      <c r="E1585" s="3"/>
      <c r="F1585" s="3"/>
      <c r="G1585" s="3"/>
      <c r="H1585" s="3"/>
    </row>
    <row r="1586" spans="5:8">
      <c r="E1586" s="3"/>
      <c r="F1586" s="3"/>
      <c r="G1586" s="3"/>
      <c r="H1586" s="3"/>
    </row>
    <row r="1587" spans="5:8">
      <c r="E1587" s="3"/>
      <c r="F1587" s="3"/>
      <c r="G1587" s="3"/>
      <c r="H1587" s="3"/>
    </row>
    <row r="1588" spans="5:8">
      <c r="E1588" s="3"/>
      <c r="F1588" s="3"/>
      <c r="G1588" s="3"/>
      <c r="H1588" s="3"/>
    </row>
    <row r="1589" spans="5:8">
      <c r="E1589" s="3"/>
      <c r="F1589" s="3"/>
      <c r="G1589" s="3"/>
      <c r="H1589" s="3"/>
    </row>
    <row r="1590" spans="5:8">
      <c r="E1590" s="3"/>
      <c r="F1590" s="3"/>
      <c r="G1590" s="3"/>
      <c r="H1590" s="3"/>
    </row>
    <row r="1591" spans="5:8">
      <c r="E1591" s="3"/>
      <c r="F1591" s="3"/>
      <c r="G1591" s="3"/>
      <c r="H1591" s="3"/>
    </row>
    <row r="1592" spans="5:8">
      <c r="E1592" s="3"/>
      <c r="F1592" s="3"/>
      <c r="G1592" s="3"/>
      <c r="H1592" s="3"/>
    </row>
    <row r="1593" spans="5:8">
      <c r="E1593" s="3"/>
      <c r="F1593" s="3"/>
      <c r="G1593" s="3"/>
      <c r="H1593" s="3"/>
    </row>
    <row r="1594" spans="5:8">
      <c r="E1594" s="3"/>
      <c r="F1594" s="3"/>
      <c r="G1594" s="3"/>
      <c r="H1594" s="3"/>
    </row>
    <row r="1595" spans="5:8">
      <c r="E1595" s="3"/>
      <c r="F1595" s="3"/>
      <c r="G1595" s="3"/>
      <c r="H1595" s="3"/>
    </row>
    <row r="1596" spans="5:8">
      <c r="E1596" s="3"/>
      <c r="F1596" s="3"/>
      <c r="G1596" s="3"/>
      <c r="H1596" s="3"/>
    </row>
    <row r="1597" spans="5:8">
      <c r="E1597" s="3"/>
      <c r="F1597" s="3"/>
      <c r="G1597" s="3"/>
      <c r="H1597" s="3"/>
    </row>
    <row r="1598" spans="5:8">
      <c r="E1598" s="3"/>
      <c r="F1598" s="3"/>
      <c r="G1598" s="3"/>
      <c r="H1598" s="3"/>
    </row>
    <row r="1599" spans="5:8">
      <c r="E1599" s="3"/>
      <c r="F1599" s="3"/>
      <c r="G1599" s="3"/>
      <c r="H1599" s="3"/>
    </row>
    <row r="1600" spans="5:8">
      <c r="E1600" s="3"/>
      <c r="F1600" s="3"/>
      <c r="G1600" s="3"/>
      <c r="H1600" s="3"/>
    </row>
    <row r="1601" spans="5:8">
      <c r="E1601" s="3"/>
      <c r="F1601" s="3"/>
      <c r="G1601" s="3"/>
      <c r="H1601" s="3"/>
    </row>
    <row r="1602" spans="5:8">
      <c r="E1602" s="3"/>
      <c r="F1602" s="3"/>
      <c r="G1602" s="3"/>
      <c r="H1602" s="3"/>
    </row>
    <row r="1603" spans="5:8">
      <c r="E1603" s="3"/>
      <c r="F1603" s="3"/>
      <c r="G1603" s="3"/>
      <c r="H1603" s="3"/>
    </row>
    <row r="1604" spans="5:8">
      <c r="E1604" s="3"/>
      <c r="F1604" s="3"/>
      <c r="G1604" s="3"/>
      <c r="H1604" s="3"/>
    </row>
    <row r="1605" spans="5:8">
      <c r="E1605" s="3"/>
      <c r="F1605" s="3"/>
      <c r="G1605" s="3"/>
      <c r="H1605" s="3"/>
    </row>
    <row r="1606" spans="5:8">
      <c r="E1606" s="3"/>
      <c r="F1606" s="3"/>
      <c r="G1606" s="3"/>
      <c r="H1606" s="3"/>
    </row>
    <row r="1607" spans="5:8">
      <c r="E1607" s="3"/>
      <c r="F1607" s="3"/>
      <c r="G1607" s="3"/>
      <c r="H1607" s="3"/>
    </row>
    <row r="1608" spans="5:8">
      <c r="E1608" s="3"/>
      <c r="F1608" s="3"/>
      <c r="G1608" s="3"/>
      <c r="H1608" s="3"/>
    </row>
    <row r="1609" spans="5:8">
      <c r="E1609" s="3"/>
      <c r="F1609" s="3"/>
      <c r="G1609" s="3"/>
      <c r="H1609" s="3"/>
    </row>
    <row r="1610" spans="5:8">
      <c r="E1610" s="3"/>
      <c r="F1610" s="3"/>
      <c r="G1610" s="3"/>
      <c r="H1610" s="3"/>
    </row>
    <row r="1611" spans="5:8">
      <c r="E1611" s="3"/>
      <c r="F1611" s="3"/>
      <c r="G1611" s="3"/>
      <c r="H1611" s="3"/>
    </row>
    <row r="1612" spans="5:8">
      <c r="E1612" s="3"/>
      <c r="F1612" s="3"/>
      <c r="G1612" s="3"/>
      <c r="H1612" s="3"/>
    </row>
    <row r="1613" spans="5:8">
      <c r="E1613" s="3"/>
      <c r="F1613" s="3"/>
      <c r="G1613" s="3"/>
      <c r="H1613" s="3"/>
    </row>
    <row r="1614" spans="5:8">
      <c r="E1614" s="3"/>
      <c r="F1614" s="3"/>
      <c r="G1614" s="3"/>
      <c r="H1614" s="3"/>
    </row>
    <row r="1615" spans="5:8">
      <c r="E1615" s="3"/>
      <c r="F1615" s="3"/>
      <c r="G1615" s="3"/>
      <c r="H1615" s="3"/>
    </row>
    <row r="1616" spans="5:8">
      <c r="E1616" s="3"/>
      <c r="F1616" s="3"/>
      <c r="G1616" s="3"/>
      <c r="H1616" s="3"/>
    </row>
    <row r="1617" spans="5:8">
      <c r="E1617" s="3"/>
      <c r="F1617" s="3"/>
      <c r="G1617" s="3"/>
      <c r="H1617" s="3"/>
    </row>
    <row r="1618" spans="5:8">
      <c r="E1618" s="3"/>
      <c r="F1618" s="3"/>
      <c r="G1618" s="3"/>
      <c r="H1618" s="3"/>
    </row>
    <row r="1619" spans="5:8">
      <c r="E1619" s="3"/>
      <c r="F1619" s="3"/>
      <c r="G1619" s="3"/>
      <c r="H1619" s="3"/>
    </row>
    <row r="1620" spans="5:8">
      <c r="E1620" s="3"/>
      <c r="F1620" s="3"/>
      <c r="G1620" s="3"/>
      <c r="H1620" s="3"/>
    </row>
    <row r="1621" spans="5:8">
      <c r="E1621" s="3"/>
      <c r="F1621" s="3"/>
      <c r="G1621" s="3"/>
      <c r="H1621" s="3"/>
    </row>
    <row r="1622" spans="5:8">
      <c r="E1622" s="3"/>
      <c r="F1622" s="3"/>
      <c r="G1622" s="3"/>
      <c r="H1622" s="3"/>
    </row>
    <row r="1623" spans="5:8">
      <c r="E1623" s="3"/>
      <c r="F1623" s="3"/>
      <c r="G1623" s="3"/>
      <c r="H1623" s="3"/>
    </row>
    <row r="1624" spans="5:8">
      <c r="E1624" s="3"/>
      <c r="F1624" s="3"/>
      <c r="G1624" s="3"/>
      <c r="H1624" s="3"/>
    </row>
    <row r="1625" spans="5:8">
      <c r="E1625" s="3"/>
      <c r="F1625" s="3"/>
      <c r="G1625" s="3"/>
      <c r="H1625" s="3"/>
    </row>
    <row r="1626" spans="5:8">
      <c r="E1626" s="3"/>
      <c r="F1626" s="3"/>
      <c r="G1626" s="3"/>
      <c r="H1626" s="3"/>
    </row>
    <row r="1627" spans="5:8">
      <c r="E1627" s="3"/>
      <c r="F1627" s="3"/>
      <c r="G1627" s="3"/>
      <c r="H1627" s="3"/>
    </row>
    <row r="1628" spans="5:8">
      <c r="E1628" s="3"/>
      <c r="F1628" s="3"/>
      <c r="G1628" s="3"/>
      <c r="H1628" s="3"/>
    </row>
    <row r="1629" spans="5:8">
      <c r="E1629" s="3"/>
      <c r="F1629" s="3"/>
      <c r="G1629" s="3"/>
      <c r="H1629" s="3"/>
    </row>
    <row r="1630" spans="5:8">
      <c r="E1630" s="3"/>
      <c r="F1630" s="3"/>
      <c r="G1630" s="3"/>
      <c r="H1630" s="3"/>
    </row>
    <row r="1631" spans="5:8">
      <c r="E1631" s="3"/>
      <c r="F1631" s="3"/>
      <c r="G1631" s="3"/>
      <c r="H1631" s="3"/>
    </row>
    <row r="1632" spans="5:8">
      <c r="E1632" s="3"/>
      <c r="F1632" s="3"/>
      <c r="G1632" s="3"/>
      <c r="H1632" s="3"/>
    </row>
    <row r="1633" spans="5:8">
      <c r="E1633" s="3"/>
      <c r="F1633" s="3"/>
      <c r="G1633" s="3"/>
      <c r="H1633" s="3"/>
    </row>
    <row r="1634" spans="5:8">
      <c r="E1634" s="3"/>
      <c r="F1634" s="3"/>
      <c r="G1634" s="3"/>
      <c r="H1634" s="3"/>
    </row>
    <row r="1635" spans="5:8">
      <c r="E1635" s="3"/>
      <c r="F1635" s="3"/>
      <c r="G1635" s="3"/>
      <c r="H1635" s="3"/>
    </row>
    <row r="1636" spans="5:8">
      <c r="E1636" s="3"/>
      <c r="F1636" s="3"/>
      <c r="G1636" s="3"/>
      <c r="H1636" s="3"/>
    </row>
    <row r="1637" spans="5:8">
      <c r="E1637" s="3"/>
      <c r="F1637" s="3"/>
      <c r="G1637" s="3"/>
      <c r="H1637" s="3"/>
    </row>
    <row r="1638" spans="5:8">
      <c r="E1638" s="3"/>
      <c r="F1638" s="3"/>
      <c r="G1638" s="3"/>
      <c r="H1638" s="3"/>
    </row>
    <row r="1639" spans="5:8">
      <c r="E1639" s="3"/>
      <c r="F1639" s="3"/>
      <c r="G1639" s="3"/>
      <c r="H1639" s="3"/>
    </row>
    <row r="1640" spans="5:8">
      <c r="E1640" s="3"/>
      <c r="F1640" s="3"/>
      <c r="G1640" s="3"/>
      <c r="H1640" s="3"/>
    </row>
    <row r="1641" spans="5:8">
      <c r="E1641" s="3"/>
      <c r="F1641" s="3"/>
      <c r="G1641" s="3"/>
      <c r="H1641" s="3"/>
    </row>
    <row r="1642" spans="5:8">
      <c r="E1642" s="3"/>
      <c r="F1642" s="3"/>
      <c r="G1642" s="3"/>
      <c r="H1642" s="3"/>
    </row>
    <row r="1643" spans="5:8">
      <c r="E1643" s="3"/>
      <c r="F1643" s="3"/>
      <c r="G1643" s="3"/>
      <c r="H1643" s="3"/>
    </row>
    <row r="1644" spans="5:8">
      <c r="E1644" s="3"/>
      <c r="F1644" s="3"/>
      <c r="G1644" s="3"/>
      <c r="H1644" s="3"/>
    </row>
    <row r="1645" spans="5:8">
      <c r="E1645" s="3"/>
      <c r="F1645" s="3"/>
      <c r="G1645" s="3"/>
      <c r="H1645" s="3"/>
    </row>
    <row r="1646" spans="5:8">
      <c r="E1646" s="3"/>
      <c r="F1646" s="3"/>
      <c r="G1646" s="3"/>
      <c r="H1646" s="3"/>
    </row>
    <row r="1647" spans="5:8">
      <c r="E1647" s="3"/>
      <c r="F1647" s="3"/>
      <c r="G1647" s="3"/>
      <c r="H1647" s="3"/>
    </row>
    <row r="1648" spans="5:8">
      <c r="E1648" s="3"/>
      <c r="F1648" s="3"/>
      <c r="G1648" s="3"/>
      <c r="H1648" s="3"/>
    </row>
    <row r="1649" spans="5:8">
      <c r="E1649" s="3"/>
      <c r="F1649" s="3"/>
      <c r="G1649" s="3"/>
      <c r="H1649" s="3"/>
    </row>
    <row r="1650" spans="5:8">
      <c r="E1650" s="3"/>
      <c r="F1650" s="3"/>
      <c r="G1650" s="3"/>
      <c r="H1650" s="3"/>
    </row>
    <row r="1651" spans="5:8">
      <c r="E1651" s="3"/>
      <c r="F1651" s="3"/>
      <c r="G1651" s="3"/>
      <c r="H1651" s="3"/>
    </row>
    <row r="1652" spans="5:8">
      <c r="E1652" s="3"/>
      <c r="F1652" s="3"/>
      <c r="G1652" s="3"/>
      <c r="H1652" s="3"/>
    </row>
    <row r="1653" spans="5:8">
      <c r="E1653" s="3"/>
      <c r="F1653" s="3"/>
      <c r="G1653" s="3"/>
      <c r="H1653" s="3"/>
    </row>
    <row r="1654" spans="5:8">
      <c r="E1654" s="3"/>
      <c r="F1654" s="3"/>
      <c r="G1654" s="3"/>
      <c r="H1654" s="3"/>
    </row>
    <row r="1655" spans="5:8">
      <c r="E1655" s="3"/>
      <c r="F1655" s="3"/>
      <c r="G1655" s="3"/>
      <c r="H1655" s="3"/>
    </row>
    <row r="1656" spans="5:8">
      <c r="E1656" s="3"/>
      <c r="F1656" s="3"/>
      <c r="G1656" s="3"/>
      <c r="H1656" s="3"/>
    </row>
    <row r="1657" spans="5:8">
      <c r="E1657" s="3"/>
      <c r="F1657" s="3"/>
      <c r="G1657" s="3"/>
      <c r="H1657" s="3"/>
    </row>
    <row r="1658" spans="5:8">
      <c r="E1658" s="3"/>
      <c r="F1658" s="3"/>
      <c r="G1658" s="3"/>
      <c r="H1658" s="3"/>
    </row>
    <row r="1659" spans="5:8">
      <c r="E1659" s="3"/>
      <c r="F1659" s="3"/>
      <c r="G1659" s="3"/>
      <c r="H1659" s="3"/>
    </row>
    <row r="1660" spans="5:8">
      <c r="E1660" s="3"/>
      <c r="F1660" s="3"/>
      <c r="G1660" s="3"/>
      <c r="H1660" s="3"/>
    </row>
    <row r="1661" spans="5:8">
      <c r="E1661" s="3"/>
      <c r="F1661" s="3"/>
      <c r="G1661" s="3"/>
      <c r="H1661" s="3"/>
    </row>
    <row r="1662" spans="5:8">
      <c r="E1662" s="3"/>
      <c r="F1662" s="3"/>
      <c r="G1662" s="3"/>
      <c r="H1662" s="3"/>
    </row>
    <row r="1663" spans="5:8">
      <c r="E1663" s="3"/>
      <c r="F1663" s="3"/>
      <c r="G1663" s="3"/>
      <c r="H1663" s="3"/>
    </row>
    <row r="1664" spans="5:8">
      <c r="E1664" s="3"/>
      <c r="F1664" s="3"/>
      <c r="G1664" s="3"/>
      <c r="H1664" s="3"/>
    </row>
    <row r="1665" spans="5:8">
      <c r="E1665" s="3"/>
      <c r="F1665" s="3"/>
      <c r="G1665" s="3"/>
      <c r="H1665" s="3"/>
    </row>
    <row r="1666" spans="5:8">
      <c r="E1666" s="3"/>
      <c r="F1666" s="3"/>
      <c r="G1666" s="3"/>
      <c r="H1666" s="3"/>
    </row>
    <row r="1667" spans="5:8">
      <c r="E1667" s="3"/>
      <c r="F1667" s="3"/>
      <c r="G1667" s="3"/>
      <c r="H1667" s="3"/>
    </row>
    <row r="1668" spans="5:8">
      <c r="E1668" s="3"/>
      <c r="F1668" s="3"/>
      <c r="G1668" s="3"/>
      <c r="H1668" s="3"/>
    </row>
    <row r="1669" spans="5:8">
      <c r="E1669" s="3"/>
      <c r="F1669" s="3"/>
      <c r="G1669" s="3"/>
      <c r="H1669" s="3"/>
    </row>
    <row r="1670" spans="5:8">
      <c r="E1670" s="3"/>
      <c r="F1670" s="3"/>
      <c r="G1670" s="3"/>
      <c r="H1670" s="3"/>
    </row>
    <row r="1671" spans="5:8">
      <c r="E1671" s="3"/>
      <c r="F1671" s="3"/>
      <c r="G1671" s="3"/>
      <c r="H1671" s="3"/>
    </row>
    <row r="1672" spans="5:8">
      <c r="E1672" s="3"/>
      <c r="F1672" s="3"/>
      <c r="G1672" s="3"/>
      <c r="H1672" s="3"/>
    </row>
    <row r="1673" spans="5:8">
      <c r="E1673" s="3"/>
      <c r="F1673" s="3"/>
      <c r="G1673" s="3"/>
      <c r="H1673" s="3"/>
    </row>
    <row r="1674" spans="5:8">
      <c r="E1674" s="3"/>
      <c r="F1674" s="3"/>
      <c r="G1674" s="3"/>
      <c r="H1674" s="3"/>
    </row>
    <row r="1675" spans="5:8">
      <c r="E1675" s="3"/>
      <c r="F1675" s="3"/>
      <c r="G1675" s="3"/>
      <c r="H1675" s="3"/>
    </row>
    <row r="1676" spans="5:8">
      <c r="E1676" s="3"/>
      <c r="F1676" s="3"/>
      <c r="G1676" s="3"/>
      <c r="H1676" s="3"/>
    </row>
    <row r="1677" spans="5:8">
      <c r="E1677" s="3"/>
      <c r="F1677" s="3"/>
      <c r="G1677" s="3"/>
      <c r="H1677" s="3"/>
    </row>
    <row r="1678" spans="5:8">
      <c r="E1678" s="3"/>
      <c r="F1678" s="3"/>
      <c r="G1678" s="3"/>
      <c r="H1678" s="3"/>
    </row>
    <row r="1679" spans="5:8">
      <c r="E1679" s="3"/>
      <c r="F1679" s="3"/>
      <c r="G1679" s="3"/>
      <c r="H1679" s="3"/>
    </row>
    <row r="1680" spans="5:8">
      <c r="E1680" s="3"/>
      <c r="F1680" s="3"/>
      <c r="G1680" s="3"/>
      <c r="H1680" s="3"/>
    </row>
    <row r="1681" spans="5:8">
      <c r="E1681" s="3"/>
      <c r="F1681" s="3"/>
      <c r="G1681" s="3"/>
      <c r="H1681" s="3"/>
    </row>
    <row r="1682" spans="5:8">
      <c r="E1682" s="3"/>
      <c r="F1682" s="3"/>
      <c r="G1682" s="3"/>
      <c r="H1682" s="3"/>
    </row>
    <row r="1683" spans="5:8">
      <c r="E1683" s="3"/>
      <c r="F1683" s="3"/>
      <c r="G1683" s="3"/>
      <c r="H1683" s="3"/>
    </row>
    <row r="1684" spans="5:8">
      <c r="E1684" s="3"/>
      <c r="F1684" s="3"/>
      <c r="G1684" s="3"/>
      <c r="H1684" s="3"/>
    </row>
    <row r="1685" spans="5:8">
      <c r="E1685" s="3"/>
      <c r="F1685" s="3"/>
      <c r="G1685" s="3"/>
      <c r="H1685" s="3"/>
    </row>
    <row r="1686" spans="5:8">
      <c r="E1686" s="3"/>
      <c r="F1686" s="3"/>
      <c r="G1686" s="3"/>
      <c r="H1686" s="3"/>
    </row>
    <row r="1687" spans="5:8">
      <c r="E1687" s="3"/>
      <c r="F1687" s="3"/>
      <c r="G1687" s="3"/>
      <c r="H1687" s="3"/>
    </row>
    <row r="1688" spans="5:8">
      <c r="E1688" s="3"/>
      <c r="F1688" s="3"/>
      <c r="G1688" s="3"/>
      <c r="H1688" s="3"/>
    </row>
    <row r="1689" spans="5:8">
      <c r="E1689" s="3"/>
      <c r="F1689" s="3"/>
      <c r="G1689" s="3"/>
      <c r="H1689" s="3"/>
    </row>
    <row r="1690" spans="5:8">
      <c r="E1690" s="3"/>
      <c r="F1690" s="3"/>
      <c r="G1690" s="3"/>
      <c r="H1690" s="3"/>
    </row>
    <row r="1691" spans="5:8">
      <c r="E1691" s="3"/>
      <c r="F1691" s="3"/>
      <c r="G1691" s="3"/>
      <c r="H1691" s="3"/>
    </row>
    <row r="1692" spans="5:8">
      <c r="E1692" s="3"/>
      <c r="F1692" s="3"/>
      <c r="G1692" s="3"/>
      <c r="H1692" s="3"/>
    </row>
    <row r="1693" spans="5:8">
      <c r="E1693" s="3"/>
      <c r="F1693" s="3"/>
      <c r="G1693" s="3"/>
      <c r="H1693" s="3"/>
    </row>
    <row r="1694" spans="5:8">
      <c r="E1694" s="3"/>
      <c r="F1694" s="3"/>
      <c r="G1694" s="3"/>
      <c r="H1694" s="3"/>
    </row>
    <row r="1695" spans="5:8">
      <c r="E1695" s="3"/>
      <c r="F1695" s="3"/>
      <c r="G1695" s="3"/>
      <c r="H1695" s="3"/>
    </row>
    <row r="1696" spans="5:8">
      <c r="E1696" s="3"/>
      <c r="F1696" s="3"/>
      <c r="G1696" s="3"/>
      <c r="H1696" s="3"/>
    </row>
    <row r="1697" spans="5:8">
      <c r="E1697" s="3"/>
      <c r="F1697" s="3"/>
      <c r="G1697" s="3"/>
      <c r="H1697" s="3"/>
    </row>
    <row r="1698" spans="5:8">
      <c r="E1698" s="3"/>
      <c r="F1698" s="3"/>
      <c r="G1698" s="3"/>
      <c r="H1698" s="3"/>
    </row>
    <row r="1699" spans="5:8">
      <c r="E1699" s="3"/>
      <c r="F1699" s="3"/>
      <c r="G1699" s="3"/>
      <c r="H1699" s="3"/>
    </row>
    <row r="1700" spans="5:8">
      <c r="E1700" s="3"/>
      <c r="F1700" s="3"/>
      <c r="G1700" s="3"/>
      <c r="H1700" s="3"/>
    </row>
    <row r="1701" spans="5:8">
      <c r="E1701" s="3"/>
      <c r="F1701" s="3"/>
      <c r="G1701" s="3"/>
      <c r="H1701" s="3"/>
    </row>
    <row r="1702" spans="5:8">
      <c r="E1702" s="3"/>
      <c r="F1702" s="3"/>
      <c r="G1702" s="3"/>
      <c r="H1702" s="3"/>
    </row>
    <row r="1703" spans="5:8">
      <c r="E1703" s="3"/>
      <c r="F1703" s="3"/>
      <c r="G1703" s="3"/>
      <c r="H1703" s="3"/>
    </row>
    <row r="1704" spans="5:8">
      <c r="E1704" s="3"/>
      <c r="F1704" s="3"/>
      <c r="G1704" s="3"/>
      <c r="H1704" s="3"/>
    </row>
    <row r="1705" spans="5:8">
      <c r="E1705" s="3"/>
      <c r="F1705" s="3"/>
      <c r="G1705" s="3"/>
      <c r="H1705" s="3"/>
    </row>
    <row r="1706" spans="5:8">
      <c r="E1706" s="3"/>
      <c r="F1706" s="3"/>
      <c r="G1706" s="3"/>
      <c r="H1706" s="3"/>
    </row>
    <row r="1707" spans="5:8">
      <c r="E1707" s="3"/>
      <c r="F1707" s="3"/>
      <c r="G1707" s="3"/>
      <c r="H1707" s="3"/>
    </row>
    <row r="1708" spans="5:8">
      <c r="E1708" s="3"/>
      <c r="F1708" s="3"/>
      <c r="G1708" s="3"/>
      <c r="H1708" s="3"/>
    </row>
    <row r="1709" spans="5:8">
      <c r="E1709" s="3"/>
      <c r="F1709" s="3"/>
      <c r="G1709" s="3"/>
      <c r="H1709" s="3"/>
    </row>
    <row r="1710" spans="5:8">
      <c r="E1710" s="3"/>
      <c r="F1710" s="3"/>
      <c r="G1710" s="3"/>
      <c r="H1710" s="3"/>
    </row>
    <row r="1711" spans="5:8">
      <c r="E1711" s="3"/>
      <c r="F1711" s="3"/>
      <c r="G1711" s="3"/>
      <c r="H1711" s="3"/>
    </row>
    <row r="1712" spans="5:8">
      <c r="E1712" s="3"/>
      <c r="F1712" s="3"/>
      <c r="G1712" s="3"/>
      <c r="H1712" s="3"/>
    </row>
    <row r="1713" spans="5:8">
      <c r="E1713" s="3"/>
      <c r="F1713" s="3"/>
      <c r="G1713" s="3"/>
      <c r="H1713" s="3"/>
    </row>
    <row r="1714" spans="5:8">
      <c r="E1714" s="3"/>
      <c r="F1714" s="3"/>
      <c r="G1714" s="3"/>
      <c r="H1714" s="3"/>
    </row>
    <row r="1715" spans="5:8">
      <c r="E1715" s="3"/>
      <c r="F1715" s="3"/>
      <c r="G1715" s="3"/>
      <c r="H1715" s="3"/>
    </row>
    <row r="1716" spans="5:8">
      <c r="E1716" s="3"/>
      <c r="F1716" s="3"/>
      <c r="G1716" s="3"/>
      <c r="H1716" s="3"/>
    </row>
    <row r="1717" spans="5:8">
      <c r="E1717" s="3"/>
      <c r="F1717" s="3"/>
      <c r="G1717" s="3"/>
      <c r="H1717" s="3"/>
    </row>
    <row r="1718" spans="5:8">
      <c r="E1718" s="3"/>
      <c r="F1718" s="3"/>
      <c r="G1718" s="3"/>
      <c r="H1718" s="3"/>
    </row>
    <row r="1719" spans="5:8">
      <c r="E1719" s="3"/>
      <c r="F1719" s="3"/>
      <c r="G1719" s="3"/>
      <c r="H1719" s="3"/>
    </row>
    <row r="1720" spans="5:8">
      <c r="E1720" s="3"/>
      <c r="F1720" s="3"/>
      <c r="G1720" s="3"/>
      <c r="H1720" s="3"/>
    </row>
    <row r="1721" spans="5:8">
      <c r="E1721" s="3"/>
      <c r="F1721" s="3"/>
      <c r="G1721" s="3"/>
      <c r="H1721" s="3"/>
    </row>
    <row r="1722" spans="5:8">
      <c r="E1722" s="3"/>
      <c r="F1722" s="3"/>
      <c r="G1722" s="3"/>
      <c r="H1722" s="3"/>
    </row>
    <row r="1723" spans="5:8">
      <c r="E1723" s="3"/>
      <c r="F1723" s="3"/>
      <c r="G1723" s="3"/>
      <c r="H1723" s="3"/>
    </row>
    <row r="1724" spans="5:8">
      <c r="E1724" s="3"/>
      <c r="F1724" s="3"/>
      <c r="G1724" s="3"/>
      <c r="H1724" s="3"/>
    </row>
    <row r="1725" spans="5:8">
      <c r="E1725" s="3"/>
      <c r="F1725" s="3"/>
      <c r="G1725" s="3"/>
      <c r="H1725" s="3"/>
    </row>
    <row r="1726" spans="5:8">
      <c r="E1726" s="3"/>
      <c r="F1726" s="3"/>
      <c r="G1726" s="3"/>
      <c r="H1726" s="3"/>
    </row>
    <row r="1727" spans="5:8">
      <c r="E1727" s="3"/>
      <c r="F1727" s="3"/>
      <c r="G1727" s="3"/>
      <c r="H1727" s="3"/>
    </row>
    <row r="1728" spans="5:8">
      <c r="E1728" s="3"/>
      <c r="F1728" s="3"/>
      <c r="G1728" s="3"/>
      <c r="H1728" s="3"/>
    </row>
    <row r="1729" spans="5:8">
      <c r="E1729" s="3"/>
      <c r="F1729" s="3"/>
      <c r="G1729" s="3"/>
      <c r="H1729" s="3"/>
    </row>
    <row r="1730" spans="5:8">
      <c r="E1730" s="3"/>
      <c r="F1730" s="3"/>
      <c r="G1730" s="3"/>
      <c r="H1730" s="3"/>
    </row>
    <row r="1731" spans="5:8">
      <c r="E1731" s="3"/>
      <c r="F1731" s="3"/>
      <c r="G1731" s="3"/>
      <c r="H1731" s="3"/>
    </row>
    <row r="1732" spans="5:8">
      <c r="E1732" s="3"/>
      <c r="F1732" s="3"/>
      <c r="G1732" s="3"/>
      <c r="H1732" s="3"/>
    </row>
    <row r="1733" spans="5:8">
      <c r="E1733" s="3"/>
      <c r="F1733" s="3"/>
      <c r="G1733" s="3"/>
      <c r="H1733" s="3"/>
    </row>
    <row r="1734" spans="5:8">
      <c r="E1734" s="3"/>
      <c r="F1734" s="3"/>
      <c r="G1734" s="3"/>
      <c r="H1734" s="3"/>
    </row>
    <row r="1735" spans="5:8">
      <c r="E1735" s="3"/>
      <c r="F1735" s="3"/>
      <c r="G1735" s="3"/>
      <c r="H1735" s="3"/>
    </row>
    <row r="1736" spans="5:8">
      <c r="E1736" s="3"/>
      <c r="F1736" s="3"/>
      <c r="G1736" s="3"/>
      <c r="H1736" s="3"/>
    </row>
    <row r="1737" spans="5:8">
      <c r="E1737" s="3"/>
      <c r="F1737" s="3"/>
      <c r="G1737" s="3"/>
      <c r="H1737" s="3"/>
    </row>
    <row r="1738" spans="5:8">
      <c r="E1738" s="3"/>
      <c r="F1738" s="3"/>
      <c r="G1738" s="3"/>
      <c r="H1738" s="3"/>
    </row>
    <row r="1739" spans="5:8">
      <c r="E1739" s="3"/>
      <c r="F1739" s="3"/>
      <c r="G1739" s="3"/>
      <c r="H1739" s="3"/>
    </row>
    <row r="1740" spans="5:8">
      <c r="E1740" s="3"/>
      <c r="F1740" s="3"/>
      <c r="G1740" s="3"/>
      <c r="H1740" s="3"/>
    </row>
    <row r="1741" spans="5:8">
      <c r="E1741" s="3"/>
      <c r="F1741" s="3"/>
      <c r="G1741" s="3"/>
      <c r="H1741" s="3"/>
    </row>
    <row r="1742" spans="5:8">
      <c r="E1742" s="3"/>
      <c r="F1742" s="3"/>
      <c r="G1742" s="3"/>
      <c r="H1742" s="3"/>
    </row>
    <row r="1743" spans="5:8">
      <c r="E1743" s="3"/>
      <c r="F1743" s="3"/>
      <c r="G1743" s="3"/>
      <c r="H1743" s="3"/>
    </row>
    <row r="1744" spans="5:8">
      <c r="E1744" s="3"/>
      <c r="F1744" s="3"/>
      <c r="G1744" s="3"/>
      <c r="H1744" s="3"/>
    </row>
    <row r="1745" spans="5:8">
      <c r="E1745" s="3"/>
      <c r="F1745" s="3"/>
      <c r="G1745" s="3"/>
      <c r="H1745" s="3"/>
    </row>
    <row r="1746" spans="5:8">
      <c r="E1746" s="3"/>
      <c r="F1746" s="3"/>
      <c r="G1746" s="3"/>
      <c r="H1746" s="3"/>
    </row>
    <row r="1747" spans="5:8">
      <c r="E1747" s="3"/>
      <c r="F1747" s="3"/>
      <c r="G1747" s="3"/>
      <c r="H1747" s="3"/>
    </row>
    <row r="1748" spans="5:8">
      <c r="E1748" s="3"/>
      <c r="F1748" s="3"/>
      <c r="G1748" s="3"/>
      <c r="H1748" s="3"/>
    </row>
    <row r="1749" spans="5:8">
      <c r="E1749" s="3"/>
      <c r="F1749" s="3"/>
      <c r="G1749" s="3"/>
      <c r="H1749" s="3"/>
    </row>
    <row r="1750" spans="5:8">
      <c r="E1750" s="3"/>
      <c r="F1750" s="3"/>
      <c r="G1750" s="3"/>
      <c r="H1750" s="3"/>
    </row>
    <row r="1751" spans="5:8">
      <c r="E1751" s="3"/>
      <c r="F1751" s="3"/>
      <c r="G1751" s="3"/>
      <c r="H1751" s="3"/>
    </row>
    <row r="1752" spans="5:8">
      <c r="E1752" s="3"/>
      <c r="F1752" s="3"/>
      <c r="G1752" s="3"/>
      <c r="H1752" s="3"/>
    </row>
    <row r="1753" spans="5:8">
      <c r="E1753" s="3"/>
      <c r="F1753" s="3"/>
      <c r="G1753" s="3"/>
      <c r="H1753" s="3"/>
    </row>
    <row r="1754" spans="5:8">
      <c r="E1754" s="3"/>
      <c r="F1754" s="3"/>
      <c r="G1754" s="3"/>
      <c r="H1754" s="3"/>
    </row>
    <row r="1755" spans="5:8">
      <c r="E1755" s="3"/>
      <c r="F1755" s="3"/>
      <c r="G1755" s="3"/>
      <c r="H1755" s="3"/>
    </row>
    <row r="1756" spans="5:8">
      <c r="E1756" s="3"/>
      <c r="F1756" s="3"/>
      <c r="G1756" s="3"/>
      <c r="H1756" s="3"/>
    </row>
    <row r="1757" spans="5:8">
      <c r="E1757" s="3"/>
      <c r="F1757" s="3"/>
      <c r="G1757" s="3"/>
      <c r="H1757" s="3"/>
    </row>
    <row r="1758" spans="5:8">
      <c r="E1758" s="3"/>
      <c r="F1758" s="3"/>
      <c r="G1758" s="3"/>
      <c r="H1758" s="3"/>
    </row>
    <row r="1759" spans="5:8">
      <c r="E1759" s="3"/>
      <c r="F1759" s="3"/>
      <c r="G1759" s="3"/>
      <c r="H1759" s="3"/>
    </row>
    <row r="1760" spans="5:8">
      <c r="E1760" s="3"/>
      <c r="F1760" s="3"/>
      <c r="G1760" s="3"/>
      <c r="H1760" s="3"/>
    </row>
    <row r="1761" spans="5:8">
      <c r="E1761" s="3"/>
      <c r="F1761" s="3"/>
      <c r="G1761" s="3"/>
      <c r="H1761" s="3"/>
    </row>
    <row r="1762" spans="5:8">
      <c r="E1762" s="3"/>
      <c r="F1762" s="3"/>
      <c r="G1762" s="3"/>
      <c r="H1762" s="3"/>
    </row>
    <row r="1763" spans="5:8">
      <c r="E1763" s="3"/>
      <c r="F1763" s="3"/>
      <c r="G1763" s="3"/>
      <c r="H1763" s="3"/>
    </row>
    <row r="1764" spans="5:8">
      <c r="E1764" s="3"/>
      <c r="F1764" s="3"/>
      <c r="G1764" s="3"/>
      <c r="H1764" s="3"/>
    </row>
    <row r="1765" spans="5:8">
      <c r="E1765" s="3"/>
      <c r="F1765" s="3"/>
      <c r="G1765" s="3"/>
      <c r="H1765" s="3"/>
    </row>
    <row r="1766" spans="5:8">
      <c r="E1766" s="3"/>
      <c r="F1766" s="3"/>
      <c r="G1766" s="3"/>
      <c r="H1766" s="3"/>
    </row>
    <row r="1767" spans="5:8">
      <c r="E1767" s="3"/>
      <c r="F1767" s="3"/>
      <c r="G1767" s="3"/>
      <c r="H1767" s="3"/>
    </row>
    <row r="1768" spans="5:8">
      <c r="E1768" s="3"/>
      <c r="F1768" s="3"/>
      <c r="G1768" s="3"/>
      <c r="H1768" s="3"/>
    </row>
    <row r="1769" spans="5:8">
      <c r="E1769" s="3"/>
      <c r="F1769" s="3"/>
      <c r="G1769" s="3"/>
      <c r="H1769" s="3"/>
    </row>
    <row r="1770" spans="5:8">
      <c r="E1770" s="3"/>
      <c r="F1770" s="3"/>
      <c r="G1770" s="3"/>
      <c r="H1770" s="3"/>
    </row>
    <row r="1771" spans="5:8">
      <c r="E1771" s="3"/>
      <c r="F1771" s="3"/>
      <c r="G1771" s="3"/>
      <c r="H1771" s="3"/>
    </row>
    <row r="1772" spans="5:8">
      <c r="E1772" s="3"/>
      <c r="F1772" s="3"/>
      <c r="G1772" s="3"/>
      <c r="H1772" s="3"/>
    </row>
    <row r="1773" spans="5:8">
      <c r="E1773" s="3"/>
      <c r="F1773" s="3"/>
      <c r="G1773" s="3"/>
      <c r="H1773" s="3"/>
    </row>
    <row r="1774" spans="5:8">
      <c r="E1774" s="3"/>
      <c r="F1774" s="3"/>
      <c r="G1774" s="3"/>
      <c r="H1774" s="3"/>
    </row>
    <row r="1775" spans="5:8">
      <c r="E1775" s="3"/>
      <c r="F1775" s="3"/>
      <c r="G1775" s="3"/>
      <c r="H1775" s="3"/>
    </row>
    <row r="1776" spans="5:8">
      <c r="E1776" s="3"/>
      <c r="F1776" s="3"/>
      <c r="G1776" s="3"/>
      <c r="H1776" s="3"/>
    </row>
    <row r="1777" spans="5:8">
      <c r="E1777" s="3"/>
      <c r="F1777" s="3"/>
      <c r="G1777" s="3"/>
      <c r="H1777" s="3"/>
    </row>
    <row r="1778" spans="5:8">
      <c r="E1778" s="3"/>
      <c r="F1778" s="3"/>
      <c r="G1778" s="3"/>
      <c r="H1778" s="3"/>
    </row>
    <row r="1779" spans="5:8">
      <c r="E1779" s="3"/>
      <c r="F1779" s="3"/>
      <c r="G1779" s="3"/>
      <c r="H1779" s="3"/>
    </row>
    <row r="1780" spans="5:8">
      <c r="E1780" s="3"/>
      <c r="F1780" s="3"/>
      <c r="G1780" s="3"/>
      <c r="H1780" s="3"/>
    </row>
    <row r="1781" spans="5:8">
      <c r="E1781" s="3"/>
      <c r="F1781" s="3"/>
      <c r="G1781" s="3"/>
      <c r="H1781" s="3"/>
    </row>
    <row r="1782" spans="5:8">
      <c r="E1782" s="3"/>
      <c r="F1782" s="3"/>
      <c r="G1782" s="3"/>
      <c r="H1782" s="3"/>
    </row>
    <row r="1783" spans="5:8">
      <c r="E1783" s="3"/>
      <c r="F1783" s="3"/>
      <c r="G1783" s="3"/>
      <c r="H1783" s="3"/>
    </row>
    <row r="1784" spans="5:8">
      <c r="E1784" s="3"/>
      <c r="F1784" s="3"/>
      <c r="G1784" s="3"/>
      <c r="H1784" s="3"/>
    </row>
    <row r="1785" spans="5:8">
      <c r="E1785" s="3"/>
      <c r="F1785" s="3"/>
      <c r="G1785" s="3"/>
      <c r="H1785" s="3"/>
    </row>
    <row r="1786" spans="5:8">
      <c r="E1786" s="3"/>
      <c r="F1786" s="3"/>
      <c r="G1786" s="3"/>
      <c r="H1786" s="3"/>
    </row>
    <row r="1787" spans="5:8">
      <c r="E1787" s="3"/>
      <c r="F1787" s="3"/>
      <c r="G1787" s="3"/>
      <c r="H1787" s="3"/>
    </row>
    <row r="1788" spans="5:8">
      <c r="E1788" s="3"/>
      <c r="F1788" s="3"/>
      <c r="G1788" s="3"/>
      <c r="H1788" s="3"/>
    </row>
    <row r="1789" spans="5:8">
      <c r="E1789" s="3"/>
      <c r="F1789" s="3"/>
      <c r="G1789" s="3"/>
      <c r="H1789" s="3"/>
    </row>
    <row r="1790" spans="5:8">
      <c r="E1790" s="3"/>
      <c r="F1790" s="3"/>
      <c r="G1790" s="3"/>
      <c r="H1790" s="3"/>
    </row>
    <row r="1791" spans="5:8">
      <c r="E1791" s="3"/>
      <c r="F1791" s="3"/>
      <c r="G1791" s="3"/>
      <c r="H1791" s="3"/>
    </row>
    <row r="1792" spans="5:8">
      <c r="E1792" s="3"/>
      <c r="F1792" s="3"/>
      <c r="G1792" s="3"/>
      <c r="H1792" s="3"/>
    </row>
    <row r="1793" spans="5:8">
      <c r="E1793" s="3"/>
      <c r="F1793" s="3"/>
      <c r="G1793" s="3"/>
      <c r="H1793" s="3"/>
    </row>
    <row r="1794" spans="5:8">
      <c r="E1794" s="3"/>
      <c r="F1794" s="3"/>
      <c r="G1794" s="3"/>
      <c r="H1794" s="3"/>
    </row>
    <row r="1795" spans="5:8">
      <c r="E1795" s="3"/>
      <c r="F1795" s="3"/>
      <c r="G1795" s="3"/>
      <c r="H1795" s="3"/>
    </row>
    <row r="1796" spans="5:8">
      <c r="E1796" s="3"/>
      <c r="F1796" s="3"/>
      <c r="G1796" s="3"/>
      <c r="H1796" s="3"/>
    </row>
    <row r="1797" spans="5:8">
      <c r="E1797" s="3"/>
      <c r="F1797" s="3"/>
      <c r="G1797" s="3"/>
      <c r="H1797" s="3"/>
    </row>
    <row r="1798" spans="5:8">
      <c r="E1798" s="3"/>
      <c r="F1798" s="3"/>
      <c r="G1798" s="3"/>
      <c r="H1798" s="3"/>
    </row>
    <row r="1799" spans="5:8">
      <c r="E1799" s="3"/>
      <c r="F1799" s="3"/>
      <c r="G1799" s="3"/>
      <c r="H1799" s="3"/>
    </row>
    <row r="1800" spans="5:8">
      <c r="E1800" s="3"/>
      <c r="F1800" s="3"/>
      <c r="G1800" s="3"/>
      <c r="H1800" s="3"/>
    </row>
    <row r="1801" spans="5:8">
      <c r="E1801" s="3"/>
      <c r="F1801" s="3"/>
      <c r="G1801" s="3"/>
      <c r="H1801" s="3"/>
    </row>
    <row r="1802" spans="5:8">
      <c r="E1802" s="3"/>
      <c r="F1802" s="3"/>
      <c r="G1802" s="3"/>
      <c r="H1802" s="3"/>
    </row>
    <row r="1803" spans="5:8">
      <c r="E1803" s="3"/>
      <c r="F1803" s="3"/>
      <c r="G1803" s="3"/>
      <c r="H1803" s="3"/>
    </row>
    <row r="1804" spans="5:8">
      <c r="E1804" s="3"/>
      <c r="F1804" s="3"/>
      <c r="G1804" s="3"/>
      <c r="H1804" s="3"/>
    </row>
    <row r="1805" spans="5:8">
      <c r="E1805" s="3"/>
      <c r="F1805" s="3"/>
      <c r="G1805" s="3"/>
      <c r="H1805" s="3"/>
    </row>
    <row r="1806" spans="5:8">
      <c r="E1806" s="3"/>
      <c r="F1806" s="3"/>
      <c r="G1806" s="3"/>
      <c r="H1806" s="3"/>
    </row>
    <row r="1807" spans="5:8">
      <c r="E1807" s="3"/>
      <c r="F1807" s="3"/>
      <c r="G1807" s="3"/>
      <c r="H1807" s="3"/>
    </row>
    <row r="1808" spans="5:8">
      <c r="E1808" s="3"/>
      <c r="F1808" s="3"/>
      <c r="G1808" s="3"/>
      <c r="H1808" s="3"/>
    </row>
    <row r="1809" spans="5:8">
      <c r="E1809" s="3"/>
      <c r="F1809" s="3"/>
      <c r="G1809" s="3"/>
      <c r="H1809" s="3"/>
    </row>
    <row r="1810" spans="5:8">
      <c r="E1810" s="3"/>
      <c r="F1810" s="3"/>
      <c r="G1810" s="3"/>
      <c r="H1810" s="3"/>
    </row>
    <row r="1811" spans="5:8">
      <c r="E1811" s="3"/>
      <c r="F1811" s="3"/>
      <c r="G1811" s="3"/>
      <c r="H1811" s="3"/>
    </row>
    <row r="1812" spans="5:8">
      <c r="E1812" s="3"/>
      <c r="F1812" s="3"/>
      <c r="G1812" s="3"/>
      <c r="H1812" s="3"/>
    </row>
    <row r="1813" spans="5:8">
      <c r="E1813" s="3"/>
      <c r="F1813" s="3"/>
      <c r="G1813" s="3"/>
      <c r="H1813" s="3"/>
    </row>
    <row r="1814" spans="5:8">
      <c r="E1814" s="3"/>
      <c r="F1814" s="3"/>
      <c r="G1814" s="3"/>
      <c r="H1814" s="3"/>
    </row>
    <row r="1815" spans="5:8">
      <c r="E1815" s="3"/>
      <c r="F1815" s="3"/>
      <c r="G1815" s="3"/>
      <c r="H1815" s="3"/>
    </row>
    <row r="1816" spans="5:8">
      <c r="E1816" s="3"/>
      <c r="F1816" s="3"/>
      <c r="G1816" s="3"/>
      <c r="H1816" s="3"/>
    </row>
    <row r="1817" spans="5:8">
      <c r="E1817" s="3"/>
      <c r="F1817" s="3"/>
      <c r="G1817" s="3"/>
      <c r="H1817" s="3"/>
    </row>
    <row r="1818" spans="5:8">
      <c r="E1818" s="3"/>
      <c r="F1818" s="3"/>
      <c r="G1818" s="3"/>
      <c r="H1818" s="3"/>
    </row>
    <row r="1819" spans="5:8">
      <c r="E1819" s="3"/>
      <c r="F1819" s="3"/>
      <c r="G1819" s="3"/>
      <c r="H1819" s="3"/>
    </row>
    <row r="1820" spans="5:8">
      <c r="E1820" s="3"/>
      <c r="F1820" s="3"/>
      <c r="G1820" s="3"/>
      <c r="H1820" s="3"/>
    </row>
    <row r="1821" spans="5:8">
      <c r="E1821" s="3"/>
      <c r="F1821" s="3"/>
      <c r="G1821" s="3"/>
      <c r="H1821" s="3"/>
    </row>
    <row r="1822" spans="5:8">
      <c r="E1822" s="3"/>
      <c r="F1822" s="3"/>
      <c r="G1822" s="3"/>
      <c r="H1822" s="3"/>
    </row>
    <row r="1823" spans="5:8">
      <c r="E1823" s="3"/>
      <c r="F1823" s="3"/>
      <c r="G1823" s="3"/>
      <c r="H1823" s="3"/>
    </row>
    <row r="1824" spans="5:8">
      <c r="E1824" s="3"/>
      <c r="F1824" s="3"/>
      <c r="G1824" s="3"/>
      <c r="H1824" s="3"/>
    </row>
    <row r="1825" spans="5:8">
      <c r="E1825" s="3"/>
      <c r="F1825" s="3"/>
      <c r="G1825" s="3"/>
      <c r="H1825" s="3"/>
    </row>
    <row r="1826" spans="5:8">
      <c r="E1826" s="3"/>
      <c r="F1826" s="3"/>
      <c r="G1826" s="3"/>
      <c r="H1826" s="3"/>
    </row>
    <row r="1827" spans="5:8">
      <c r="E1827" s="3"/>
      <c r="F1827" s="3"/>
      <c r="G1827" s="3"/>
      <c r="H1827" s="3"/>
    </row>
    <row r="1828" spans="5:8">
      <c r="E1828" s="3"/>
      <c r="F1828" s="3"/>
      <c r="G1828" s="3"/>
      <c r="H1828" s="3"/>
    </row>
    <row r="1829" spans="5:8">
      <c r="E1829" s="3"/>
      <c r="F1829" s="3"/>
      <c r="G1829" s="3"/>
      <c r="H1829" s="3"/>
    </row>
    <row r="1830" spans="5:8">
      <c r="E1830" s="3"/>
      <c r="F1830" s="3"/>
      <c r="G1830" s="3"/>
      <c r="H1830" s="3"/>
    </row>
    <row r="1831" spans="5:8">
      <c r="E1831" s="3"/>
      <c r="F1831" s="3"/>
      <c r="G1831" s="3"/>
      <c r="H1831" s="3"/>
    </row>
    <row r="1832" spans="5:8">
      <c r="E1832" s="3"/>
      <c r="F1832" s="3"/>
      <c r="G1832" s="3"/>
      <c r="H1832" s="3"/>
    </row>
    <row r="1833" spans="5:8">
      <c r="E1833" s="3"/>
      <c r="F1833" s="3"/>
      <c r="G1833" s="3"/>
      <c r="H1833" s="3"/>
    </row>
    <row r="1834" spans="5:8">
      <c r="E1834" s="3"/>
      <c r="F1834" s="3"/>
      <c r="G1834" s="3"/>
      <c r="H1834" s="3"/>
    </row>
    <row r="1835" spans="5:8">
      <c r="E1835" s="3"/>
      <c r="F1835" s="3"/>
      <c r="G1835" s="3"/>
      <c r="H1835" s="3"/>
    </row>
    <row r="1836" spans="5:8">
      <c r="E1836" s="3"/>
      <c r="F1836" s="3"/>
      <c r="G1836" s="3"/>
      <c r="H1836" s="3"/>
    </row>
    <row r="1837" spans="5:8">
      <c r="E1837" s="3"/>
      <c r="F1837" s="3"/>
      <c r="G1837" s="3"/>
      <c r="H1837" s="3"/>
    </row>
    <row r="1838" spans="5:8">
      <c r="E1838" s="3"/>
      <c r="F1838" s="3"/>
      <c r="G1838" s="3"/>
      <c r="H1838" s="3"/>
    </row>
    <row r="1839" spans="5:8">
      <c r="E1839" s="3"/>
      <c r="F1839" s="3"/>
      <c r="G1839" s="3"/>
      <c r="H1839" s="3"/>
    </row>
    <row r="1840" spans="5:8">
      <c r="E1840" s="3"/>
      <c r="F1840" s="3"/>
      <c r="G1840" s="3"/>
      <c r="H1840" s="3"/>
    </row>
    <row r="1841" spans="5:8">
      <c r="E1841" s="3"/>
      <c r="F1841" s="3"/>
      <c r="G1841" s="3"/>
      <c r="H1841" s="3"/>
    </row>
    <row r="1842" spans="5:8">
      <c r="E1842" s="3"/>
      <c r="F1842" s="3"/>
      <c r="G1842" s="3"/>
      <c r="H1842" s="3"/>
    </row>
    <row r="1843" spans="5:8">
      <c r="E1843" s="3"/>
      <c r="F1843" s="3"/>
      <c r="G1843" s="3"/>
      <c r="H1843" s="3"/>
    </row>
    <row r="1844" spans="5:8">
      <c r="E1844" s="3"/>
      <c r="F1844" s="3"/>
      <c r="G1844" s="3"/>
      <c r="H1844" s="3"/>
    </row>
    <row r="1845" spans="5:8">
      <c r="E1845" s="3"/>
      <c r="F1845" s="3"/>
      <c r="G1845" s="3"/>
      <c r="H1845" s="3"/>
    </row>
    <row r="1846" spans="5:8">
      <c r="E1846" s="3"/>
      <c r="F1846" s="3"/>
      <c r="G1846" s="3"/>
      <c r="H1846" s="3"/>
    </row>
    <row r="1847" spans="5:8">
      <c r="E1847" s="3"/>
      <c r="F1847" s="3"/>
      <c r="G1847" s="3"/>
      <c r="H1847" s="3"/>
    </row>
    <row r="1848" spans="5:8">
      <c r="E1848" s="3"/>
      <c r="F1848" s="3"/>
      <c r="G1848" s="3"/>
      <c r="H1848" s="3"/>
    </row>
    <row r="1849" spans="5:8">
      <c r="E1849" s="3"/>
      <c r="F1849" s="3"/>
      <c r="G1849" s="3"/>
      <c r="H1849" s="3"/>
    </row>
    <row r="1850" spans="5:8">
      <c r="E1850" s="3"/>
      <c r="F1850" s="3"/>
      <c r="G1850" s="3"/>
      <c r="H1850" s="3"/>
    </row>
    <row r="1851" spans="5:8">
      <c r="E1851" s="3"/>
      <c r="F1851" s="3"/>
      <c r="G1851" s="3"/>
      <c r="H1851" s="3"/>
    </row>
    <row r="1852" spans="5:8">
      <c r="E1852" s="3"/>
      <c r="F1852" s="3"/>
      <c r="G1852" s="3"/>
      <c r="H1852" s="3"/>
    </row>
    <row r="1853" spans="5:8">
      <c r="E1853" s="3"/>
      <c r="F1853" s="3"/>
      <c r="G1853" s="3"/>
      <c r="H1853" s="3"/>
    </row>
    <row r="1854" spans="5:8">
      <c r="E1854" s="3"/>
      <c r="F1854" s="3"/>
      <c r="G1854" s="3"/>
      <c r="H1854" s="3"/>
    </row>
    <row r="1855" spans="5:8">
      <c r="E1855" s="3"/>
      <c r="F1855" s="3"/>
      <c r="G1855" s="3"/>
      <c r="H1855" s="3"/>
    </row>
    <row r="1856" spans="5:8">
      <c r="E1856" s="3"/>
      <c r="F1856" s="3"/>
      <c r="G1856" s="3"/>
      <c r="H1856" s="3"/>
    </row>
    <row r="1857" spans="5:8">
      <c r="E1857" s="3"/>
      <c r="F1857" s="3"/>
      <c r="G1857" s="3"/>
      <c r="H1857" s="3"/>
    </row>
    <row r="1858" spans="5:8">
      <c r="E1858" s="3"/>
      <c r="F1858" s="3"/>
      <c r="G1858" s="3"/>
      <c r="H1858" s="3"/>
    </row>
    <row r="1859" spans="5:8">
      <c r="E1859" s="3"/>
      <c r="F1859" s="3"/>
      <c r="G1859" s="3"/>
      <c r="H1859" s="3"/>
    </row>
    <row r="1860" spans="5:8">
      <c r="E1860" s="3"/>
      <c r="F1860" s="3"/>
      <c r="G1860" s="3"/>
      <c r="H1860" s="3"/>
    </row>
    <row r="1861" spans="5:8">
      <c r="E1861" s="3"/>
      <c r="F1861" s="3"/>
      <c r="G1861" s="3"/>
      <c r="H1861" s="3"/>
    </row>
    <row r="1862" spans="5:8">
      <c r="E1862" s="3"/>
      <c r="F1862" s="3"/>
      <c r="G1862" s="3"/>
      <c r="H1862" s="3"/>
    </row>
    <row r="1863" spans="5:8">
      <c r="E1863" s="3"/>
      <c r="F1863" s="3"/>
      <c r="G1863" s="3"/>
      <c r="H1863" s="3"/>
    </row>
    <row r="1864" spans="5:8">
      <c r="E1864" s="3"/>
      <c r="F1864" s="3"/>
      <c r="G1864" s="3"/>
      <c r="H1864" s="3"/>
    </row>
    <row r="1865" spans="5:8">
      <c r="E1865" s="3"/>
      <c r="F1865" s="3"/>
      <c r="G1865" s="3"/>
      <c r="H1865" s="3"/>
    </row>
    <row r="1866" spans="5:8">
      <c r="E1866" s="3"/>
      <c r="F1866" s="3"/>
      <c r="G1866" s="3"/>
      <c r="H1866" s="3"/>
    </row>
    <row r="1867" spans="5:8">
      <c r="E1867" s="3"/>
      <c r="F1867" s="3"/>
      <c r="G1867" s="3"/>
      <c r="H1867" s="3"/>
    </row>
    <row r="1868" spans="5:8">
      <c r="E1868" s="3"/>
      <c r="F1868" s="3"/>
      <c r="G1868" s="3"/>
      <c r="H1868" s="3"/>
    </row>
    <row r="1869" spans="5:8">
      <c r="E1869" s="3"/>
      <c r="F1869" s="3"/>
      <c r="G1869" s="3"/>
      <c r="H1869" s="3"/>
    </row>
    <row r="1870" spans="5:8">
      <c r="E1870" s="3"/>
      <c r="F1870" s="3"/>
      <c r="G1870" s="3"/>
      <c r="H1870" s="3"/>
    </row>
    <row r="1871" spans="5:8">
      <c r="E1871" s="3"/>
      <c r="F1871" s="3"/>
      <c r="G1871" s="3"/>
      <c r="H1871" s="3"/>
    </row>
    <row r="1872" spans="5:8">
      <c r="E1872" s="3"/>
      <c r="F1872" s="3"/>
      <c r="G1872" s="3"/>
      <c r="H1872" s="3"/>
    </row>
    <row r="1873" spans="5:8">
      <c r="E1873" s="3"/>
      <c r="F1873" s="3"/>
      <c r="G1873" s="3"/>
      <c r="H1873" s="3"/>
    </row>
    <row r="1874" spans="5:8">
      <c r="E1874" s="3"/>
      <c r="F1874" s="3"/>
      <c r="G1874" s="3"/>
      <c r="H1874" s="3"/>
    </row>
    <row r="1875" spans="5:8">
      <c r="E1875" s="3"/>
      <c r="F1875" s="3"/>
      <c r="G1875" s="3"/>
      <c r="H1875" s="3"/>
    </row>
    <row r="1876" spans="5:8">
      <c r="E1876" s="3"/>
      <c r="F1876" s="3"/>
      <c r="G1876" s="3"/>
      <c r="H1876" s="3"/>
    </row>
    <row r="1877" spans="5:8">
      <c r="E1877" s="3"/>
      <c r="F1877" s="3"/>
      <c r="G1877" s="3"/>
      <c r="H1877" s="3"/>
    </row>
    <row r="1878" spans="5:8">
      <c r="E1878" s="3"/>
      <c r="F1878" s="3"/>
      <c r="G1878" s="3"/>
      <c r="H1878" s="3"/>
    </row>
    <row r="1879" spans="5:8">
      <c r="E1879" s="3"/>
      <c r="F1879" s="3"/>
      <c r="G1879" s="3"/>
      <c r="H1879" s="3"/>
    </row>
    <row r="1880" spans="5:8">
      <c r="E1880" s="3"/>
      <c r="F1880" s="3"/>
      <c r="G1880" s="3"/>
      <c r="H1880" s="3"/>
    </row>
    <row r="1881" spans="5:8">
      <c r="E1881" s="3"/>
      <c r="F1881" s="3"/>
      <c r="G1881" s="3"/>
      <c r="H1881" s="3"/>
    </row>
    <row r="1882" spans="5:8">
      <c r="E1882" s="3"/>
      <c r="F1882" s="3"/>
      <c r="G1882" s="3"/>
      <c r="H1882" s="3"/>
    </row>
    <row r="1883" spans="5:8">
      <c r="E1883" s="3"/>
      <c r="F1883" s="3"/>
      <c r="G1883" s="3"/>
      <c r="H1883" s="3"/>
    </row>
    <row r="1884" spans="5:8">
      <c r="E1884" s="3"/>
      <c r="F1884" s="3"/>
      <c r="G1884" s="3"/>
      <c r="H1884" s="3"/>
    </row>
    <row r="1885" spans="5:8">
      <c r="E1885" s="3"/>
      <c r="F1885" s="3"/>
      <c r="G1885" s="3"/>
      <c r="H1885" s="3"/>
    </row>
    <row r="1886" spans="5:8">
      <c r="E1886" s="3"/>
      <c r="F1886" s="3"/>
      <c r="G1886" s="3"/>
      <c r="H1886" s="3"/>
    </row>
    <row r="1887" spans="5:8">
      <c r="E1887" s="3"/>
      <c r="F1887" s="3"/>
      <c r="G1887" s="3"/>
      <c r="H1887" s="3"/>
    </row>
    <row r="1888" spans="5:8">
      <c r="E1888" s="3"/>
      <c r="F1888" s="3"/>
      <c r="G1888" s="3"/>
      <c r="H1888" s="3"/>
    </row>
    <row r="1889" spans="5:8">
      <c r="E1889" s="3"/>
      <c r="F1889" s="3"/>
      <c r="G1889" s="3"/>
      <c r="H1889" s="3"/>
    </row>
    <row r="1890" spans="5:8">
      <c r="E1890" s="3"/>
      <c r="F1890" s="3"/>
      <c r="G1890" s="3"/>
      <c r="H1890" s="3"/>
    </row>
    <row r="1891" spans="5:8">
      <c r="E1891" s="3"/>
      <c r="F1891" s="3"/>
      <c r="G1891" s="3"/>
      <c r="H1891" s="3"/>
    </row>
    <row r="1892" spans="5:8">
      <c r="E1892" s="3"/>
      <c r="F1892" s="3"/>
      <c r="G1892" s="3"/>
      <c r="H1892" s="3"/>
    </row>
    <row r="1893" spans="5:8">
      <c r="E1893" s="3"/>
      <c r="F1893" s="3"/>
      <c r="G1893" s="3"/>
      <c r="H1893" s="3"/>
    </row>
    <row r="1894" spans="5:8">
      <c r="E1894" s="3"/>
      <c r="F1894" s="3"/>
      <c r="G1894" s="3"/>
      <c r="H1894" s="3"/>
    </row>
    <row r="1895" spans="5:8">
      <c r="E1895" s="3"/>
      <c r="F1895" s="3"/>
      <c r="G1895" s="3"/>
      <c r="H1895" s="3"/>
    </row>
    <row r="1896" spans="5:8">
      <c r="E1896" s="3"/>
      <c r="F1896" s="3"/>
      <c r="G1896" s="3"/>
      <c r="H1896" s="3"/>
    </row>
    <row r="1897" spans="5:8">
      <c r="E1897" s="3"/>
      <c r="F1897" s="3"/>
      <c r="G1897" s="3"/>
      <c r="H1897" s="3"/>
    </row>
    <row r="1898" spans="5:8">
      <c r="E1898" s="3"/>
      <c r="F1898" s="3"/>
      <c r="G1898" s="3"/>
      <c r="H1898" s="3"/>
    </row>
    <row r="1899" spans="5:8">
      <c r="E1899" s="3"/>
      <c r="F1899" s="3"/>
      <c r="G1899" s="3"/>
      <c r="H1899" s="3"/>
    </row>
    <row r="1900" spans="5:8">
      <c r="E1900" s="3"/>
      <c r="F1900" s="3"/>
      <c r="G1900" s="3"/>
      <c r="H1900" s="3"/>
    </row>
    <row r="1901" spans="5:8">
      <c r="E1901" s="3"/>
      <c r="F1901" s="3"/>
      <c r="G1901" s="3"/>
      <c r="H1901" s="3"/>
    </row>
    <row r="1902" spans="5:8">
      <c r="E1902" s="3"/>
      <c r="F1902" s="3"/>
      <c r="G1902" s="3"/>
      <c r="H1902" s="3"/>
    </row>
    <row r="1903" spans="5:8">
      <c r="E1903" s="3"/>
      <c r="F1903" s="3"/>
      <c r="G1903" s="3"/>
      <c r="H1903" s="3"/>
    </row>
    <row r="1904" spans="5:8">
      <c r="E1904" s="3"/>
      <c r="F1904" s="3"/>
      <c r="G1904" s="3"/>
      <c r="H1904" s="3"/>
    </row>
    <row r="1905" spans="5:8">
      <c r="E1905" s="3"/>
      <c r="F1905" s="3"/>
      <c r="G1905" s="3"/>
      <c r="H1905" s="3"/>
    </row>
    <row r="1906" spans="5:8">
      <c r="E1906" s="3"/>
      <c r="F1906" s="3"/>
      <c r="G1906" s="3"/>
      <c r="H1906" s="3"/>
    </row>
    <row r="1907" spans="5:8">
      <c r="E1907" s="3"/>
      <c r="F1907" s="3"/>
      <c r="G1907" s="3"/>
      <c r="H1907" s="3"/>
    </row>
    <row r="1908" spans="5:8">
      <c r="E1908" s="3"/>
      <c r="F1908" s="3"/>
      <c r="G1908" s="3"/>
      <c r="H1908" s="3"/>
    </row>
    <row r="1909" spans="5:8">
      <c r="E1909" s="3"/>
      <c r="F1909" s="3"/>
      <c r="G1909" s="3"/>
      <c r="H1909" s="3"/>
    </row>
    <row r="1910" spans="5:8">
      <c r="E1910" s="3"/>
      <c r="F1910" s="3"/>
      <c r="G1910" s="3"/>
      <c r="H1910" s="3"/>
    </row>
    <row r="1911" spans="5:8">
      <c r="E1911" s="3"/>
      <c r="F1911" s="3"/>
      <c r="G1911" s="3"/>
      <c r="H1911" s="3"/>
    </row>
    <row r="1912" spans="5:8">
      <c r="E1912" s="3"/>
      <c r="F1912" s="3"/>
      <c r="G1912" s="3"/>
      <c r="H1912" s="3"/>
    </row>
    <row r="1913" spans="5:8">
      <c r="E1913" s="3"/>
      <c r="F1913" s="3"/>
      <c r="G1913" s="3"/>
      <c r="H1913" s="3"/>
    </row>
    <row r="1914" spans="5:8">
      <c r="E1914" s="3"/>
      <c r="F1914" s="3"/>
      <c r="G1914" s="3"/>
      <c r="H1914" s="3"/>
    </row>
    <row r="1915" spans="5:8">
      <c r="E1915" s="3"/>
      <c r="F1915" s="3"/>
      <c r="G1915" s="3"/>
      <c r="H1915" s="3"/>
    </row>
    <row r="1916" spans="5:8">
      <c r="E1916" s="3"/>
      <c r="F1916" s="3"/>
      <c r="G1916" s="3"/>
      <c r="H1916" s="3"/>
    </row>
    <row r="1917" spans="5:8">
      <c r="E1917" s="3"/>
      <c r="F1917" s="3"/>
      <c r="G1917" s="3"/>
      <c r="H1917" s="3"/>
    </row>
    <row r="1918" spans="5:8">
      <c r="E1918" s="3"/>
      <c r="F1918" s="3"/>
      <c r="G1918" s="3"/>
      <c r="H1918" s="3"/>
    </row>
    <row r="1919" spans="5:8">
      <c r="E1919" s="3"/>
      <c r="F1919" s="3"/>
      <c r="G1919" s="3"/>
      <c r="H1919" s="3"/>
    </row>
    <row r="1920" spans="5:8">
      <c r="E1920" s="3"/>
      <c r="F1920" s="3"/>
      <c r="G1920" s="3"/>
      <c r="H1920" s="3"/>
    </row>
    <row r="1921" spans="5:8">
      <c r="E1921" s="3"/>
      <c r="F1921" s="3"/>
      <c r="G1921" s="3"/>
      <c r="H1921" s="3"/>
    </row>
    <row r="1922" spans="5:8">
      <c r="E1922" s="3"/>
      <c r="F1922" s="3"/>
      <c r="G1922" s="3"/>
      <c r="H1922" s="3"/>
    </row>
    <row r="1923" spans="5:8">
      <c r="E1923" s="3"/>
      <c r="F1923" s="3"/>
      <c r="G1923" s="3"/>
      <c r="H1923" s="3"/>
    </row>
    <row r="1924" spans="5:8">
      <c r="E1924" s="3"/>
      <c r="F1924" s="3"/>
      <c r="G1924" s="3"/>
      <c r="H1924" s="3"/>
    </row>
    <row r="1925" spans="5:8">
      <c r="E1925" s="3"/>
      <c r="F1925" s="3"/>
      <c r="G1925" s="3"/>
      <c r="H1925" s="3"/>
    </row>
    <row r="1926" spans="5:8">
      <c r="E1926" s="3"/>
      <c r="F1926" s="3"/>
      <c r="G1926" s="3"/>
      <c r="H1926" s="3"/>
    </row>
    <row r="1927" spans="5:8">
      <c r="E1927" s="3"/>
      <c r="F1927" s="3"/>
      <c r="G1927" s="3"/>
      <c r="H1927" s="3"/>
    </row>
    <row r="1928" spans="5:8">
      <c r="E1928" s="3"/>
      <c r="F1928" s="3"/>
      <c r="G1928" s="3"/>
      <c r="H1928" s="3"/>
    </row>
    <row r="1929" spans="5:8">
      <c r="E1929" s="3"/>
      <c r="F1929" s="3"/>
      <c r="G1929" s="3"/>
      <c r="H1929" s="3"/>
    </row>
    <row r="1930" spans="5:8">
      <c r="E1930" s="3"/>
      <c r="F1930" s="3"/>
      <c r="G1930" s="3"/>
      <c r="H1930" s="3"/>
    </row>
    <row r="1931" spans="5:8">
      <c r="E1931" s="3"/>
      <c r="F1931" s="3"/>
      <c r="G1931" s="3"/>
      <c r="H1931" s="3"/>
    </row>
    <row r="1932" spans="5:8">
      <c r="E1932" s="3"/>
      <c r="F1932" s="3"/>
      <c r="G1932" s="3"/>
      <c r="H1932" s="3"/>
    </row>
    <row r="1933" spans="5:8">
      <c r="E1933" s="3"/>
      <c r="F1933" s="3"/>
      <c r="G1933" s="3"/>
      <c r="H1933" s="3"/>
    </row>
    <row r="1934" spans="5:8">
      <c r="E1934" s="3"/>
      <c r="F1934" s="3"/>
      <c r="G1934" s="3"/>
      <c r="H1934" s="3"/>
    </row>
    <row r="1935" spans="5:8">
      <c r="E1935" s="3"/>
      <c r="F1935" s="3"/>
      <c r="G1935" s="3"/>
      <c r="H1935" s="3"/>
    </row>
    <row r="1936" spans="5:8">
      <c r="E1936" s="3"/>
      <c r="F1936" s="3"/>
      <c r="G1936" s="3"/>
      <c r="H1936" s="3"/>
    </row>
    <row r="1937" spans="5:8">
      <c r="E1937" s="3"/>
      <c r="F1937" s="3"/>
      <c r="G1937" s="3"/>
      <c r="H1937" s="3"/>
    </row>
    <row r="1938" spans="5:8">
      <c r="E1938" s="3"/>
      <c r="F1938" s="3"/>
      <c r="G1938" s="3"/>
      <c r="H1938" s="3"/>
    </row>
    <row r="1939" spans="5:8">
      <c r="E1939" s="3"/>
      <c r="F1939" s="3"/>
      <c r="G1939" s="3"/>
      <c r="H1939" s="3"/>
    </row>
    <row r="1940" spans="5:8">
      <c r="E1940" s="3"/>
      <c r="F1940" s="3"/>
      <c r="G1940" s="3"/>
      <c r="H1940" s="3"/>
    </row>
    <row r="1941" spans="5:8">
      <c r="E1941" s="3"/>
      <c r="F1941" s="3"/>
      <c r="G1941" s="3"/>
      <c r="H1941" s="3"/>
    </row>
    <row r="1942" spans="5:8">
      <c r="E1942" s="3"/>
      <c r="F1942" s="3"/>
      <c r="G1942" s="3"/>
      <c r="H1942" s="3"/>
    </row>
    <row r="1943" spans="5:8">
      <c r="E1943" s="3"/>
      <c r="F1943" s="3"/>
      <c r="G1943" s="3"/>
      <c r="H1943" s="3"/>
    </row>
    <row r="1944" spans="5:8">
      <c r="E1944" s="3"/>
      <c r="F1944" s="3"/>
      <c r="G1944" s="3"/>
      <c r="H1944" s="3"/>
    </row>
    <row r="1945" spans="5:8">
      <c r="E1945" s="3"/>
      <c r="F1945" s="3"/>
      <c r="G1945" s="3"/>
      <c r="H1945" s="3"/>
    </row>
    <row r="1946" spans="5:8">
      <c r="E1946" s="3"/>
      <c r="F1946" s="3"/>
      <c r="G1946" s="3"/>
      <c r="H1946" s="3"/>
    </row>
    <row r="1947" spans="5:8">
      <c r="E1947" s="3"/>
      <c r="F1947" s="3"/>
      <c r="G1947" s="3"/>
      <c r="H1947" s="3"/>
    </row>
    <row r="1948" spans="5:8">
      <c r="E1948" s="3"/>
      <c r="F1948" s="3"/>
      <c r="G1948" s="3"/>
      <c r="H1948" s="3"/>
    </row>
    <row r="1949" spans="5:8">
      <c r="E1949" s="3"/>
      <c r="F1949" s="3"/>
      <c r="G1949" s="3"/>
      <c r="H1949" s="3"/>
    </row>
    <row r="1950" spans="5:8">
      <c r="E1950" s="3"/>
      <c r="F1950" s="3"/>
      <c r="G1950" s="3"/>
      <c r="H1950" s="3"/>
    </row>
    <row r="1951" spans="5:8">
      <c r="E1951" s="3"/>
      <c r="F1951" s="3"/>
      <c r="G1951" s="3"/>
      <c r="H1951" s="3"/>
    </row>
    <row r="1952" spans="5:8">
      <c r="E1952" s="3"/>
      <c r="F1952" s="3"/>
      <c r="G1952" s="3"/>
      <c r="H1952" s="3"/>
    </row>
    <row r="1953" spans="5:8">
      <c r="E1953" s="3"/>
      <c r="F1953" s="3"/>
      <c r="G1953" s="3"/>
      <c r="H1953" s="3"/>
    </row>
    <row r="1954" spans="5:8">
      <c r="E1954" s="3"/>
      <c r="F1954" s="3"/>
      <c r="G1954" s="3"/>
      <c r="H1954" s="3"/>
    </row>
    <row r="1955" spans="5:8">
      <c r="E1955" s="3"/>
      <c r="F1955" s="3"/>
      <c r="G1955" s="3"/>
      <c r="H1955" s="3"/>
    </row>
    <row r="1956" spans="5:8">
      <c r="E1956" s="3"/>
      <c r="F1956" s="3"/>
      <c r="G1956" s="3"/>
      <c r="H1956" s="3"/>
    </row>
    <row r="1957" spans="5:8">
      <c r="E1957" s="3"/>
      <c r="F1957" s="3"/>
      <c r="G1957" s="3"/>
      <c r="H1957" s="3"/>
    </row>
    <row r="1958" spans="5:8">
      <c r="E1958" s="3"/>
      <c r="F1958" s="3"/>
      <c r="G1958" s="3"/>
      <c r="H1958" s="3"/>
    </row>
    <row r="1959" spans="5:8">
      <c r="E1959" s="3"/>
      <c r="F1959" s="3"/>
      <c r="G1959" s="3"/>
      <c r="H1959" s="3"/>
    </row>
    <row r="1960" spans="5:8">
      <c r="E1960" s="3"/>
      <c r="F1960" s="3"/>
      <c r="G1960" s="3"/>
      <c r="H1960" s="3"/>
    </row>
    <row r="1961" spans="5:8">
      <c r="E1961" s="3"/>
      <c r="F1961" s="3"/>
      <c r="G1961" s="3"/>
      <c r="H1961" s="3"/>
    </row>
    <row r="1962" spans="5:8">
      <c r="E1962" s="3"/>
      <c r="F1962" s="3"/>
      <c r="G1962" s="3"/>
      <c r="H1962" s="3"/>
    </row>
    <row r="1963" spans="5:8">
      <c r="E1963" s="3"/>
      <c r="F1963" s="3"/>
      <c r="G1963" s="3"/>
      <c r="H1963" s="3"/>
    </row>
    <row r="1964" spans="5:8">
      <c r="E1964" s="3"/>
      <c r="F1964" s="3"/>
      <c r="G1964" s="3"/>
      <c r="H1964" s="3"/>
    </row>
    <row r="1965" spans="5:8">
      <c r="E1965" s="3"/>
      <c r="F1965" s="3"/>
      <c r="G1965" s="3"/>
      <c r="H1965" s="3"/>
    </row>
    <row r="1966" spans="5:8">
      <c r="E1966" s="3"/>
      <c r="F1966" s="3"/>
      <c r="G1966" s="3"/>
      <c r="H1966" s="3"/>
    </row>
    <row r="1967" spans="5:8">
      <c r="E1967" s="3"/>
      <c r="F1967" s="3"/>
      <c r="G1967" s="3"/>
      <c r="H1967" s="3"/>
    </row>
    <row r="1968" spans="5:8">
      <c r="E1968" s="3"/>
      <c r="F1968" s="3"/>
      <c r="G1968" s="3"/>
      <c r="H1968" s="3"/>
    </row>
    <row r="1969" spans="5:8">
      <c r="E1969" s="3"/>
      <c r="F1969" s="3"/>
      <c r="G1969" s="3"/>
      <c r="H1969" s="3"/>
    </row>
    <row r="1970" spans="5:8">
      <c r="E1970" s="3"/>
      <c r="F1970" s="3"/>
      <c r="G1970" s="3"/>
      <c r="H1970" s="3"/>
    </row>
    <row r="1971" spans="5:8">
      <c r="E1971" s="3"/>
      <c r="F1971" s="3"/>
      <c r="G1971" s="3"/>
      <c r="H1971" s="3"/>
    </row>
    <row r="1972" spans="5:8">
      <c r="E1972" s="3"/>
      <c r="F1972" s="3"/>
      <c r="G1972" s="3"/>
      <c r="H1972" s="3"/>
    </row>
    <row r="1973" spans="5:8">
      <c r="E1973" s="3"/>
      <c r="F1973" s="3"/>
      <c r="G1973" s="3"/>
      <c r="H1973" s="3"/>
    </row>
    <row r="1974" spans="5:8">
      <c r="E1974" s="3"/>
      <c r="F1974" s="3"/>
      <c r="G1974" s="3"/>
      <c r="H1974" s="3"/>
    </row>
    <row r="1975" spans="5:8">
      <c r="E1975" s="3"/>
      <c r="F1975" s="3"/>
      <c r="G1975" s="3"/>
      <c r="H1975" s="3"/>
    </row>
    <row r="1976" spans="5:8">
      <c r="E1976" s="3"/>
      <c r="F1976" s="3"/>
      <c r="G1976" s="3"/>
      <c r="H1976" s="3"/>
    </row>
    <row r="1977" spans="5:8">
      <c r="E1977" s="3"/>
      <c r="F1977" s="3"/>
      <c r="G1977" s="3"/>
      <c r="H1977" s="3"/>
    </row>
    <row r="1978" spans="5:8">
      <c r="E1978" s="3"/>
      <c r="F1978" s="3"/>
      <c r="G1978" s="3"/>
      <c r="H1978" s="3"/>
    </row>
    <row r="1979" spans="5:8">
      <c r="E1979" s="3"/>
      <c r="F1979" s="3"/>
      <c r="G1979" s="3"/>
      <c r="H1979" s="3"/>
    </row>
    <row r="1980" spans="5:8">
      <c r="E1980" s="3"/>
      <c r="F1980" s="3"/>
      <c r="G1980" s="3"/>
      <c r="H1980" s="3"/>
    </row>
    <row r="1981" spans="5:8">
      <c r="E1981" s="3"/>
      <c r="F1981" s="3"/>
      <c r="G1981" s="3"/>
      <c r="H1981" s="3"/>
    </row>
    <row r="1982" spans="5:8">
      <c r="E1982" s="3"/>
      <c r="F1982" s="3"/>
      <c r="G1982" s="3"/>
      <c r="H1982" s="3"/>
    </row>
    <row r="1983" spans="5:8">
      <c r="E1983" s="3"/>
      <c r="F1983" s="3"/>
      <c r="G1983" s="3"/>
      <c r="H1983" s="3"/>
    </row>
    <row r="1984" spans="5:8">
      <c r="E1984" s="3"/>
      <c r="F1984" s="3"/>
      <c r="G1984" s="3"/>
      <c r="H1984" s="3"/>
    </row>
    <row r="1985" spans="5:8">
      <c r="E1985" s="3"/>
      <c r="F1985" s="3"/>
      <c r="G1985" s="3"/>
      <c r="H1985" s="3"/>
    </row>
    <row r="1986" spans="5:8">
      <c r="E1986" s="3"/>
      <c r="F1986" s="3"/>
      <c r="G1986" s="3"/>
      <c r="H1986" s="3"/>
    </row>
    <row r="1987" spans="5:8">
      <c r="E1987" s="3"/>
      <c r="F1987" s="3"/>
      <c r="G1987" s="3"/>
      <c r="H1987" s="3"/>
    </row>
    <row r="1988" spans="5:8">
      <c r="E1988" s="3"/>
      <c r="F1988" s="3"/>
      <c r="G1988" s="3"/>
      <c r="H1988" s="3"/>
    </row>
    <row r="1989" spans="5:8">
      <c r="E1989" s="3"/>
      <c r="F1989" s="3"/>
      <c r="G1989" s="3"/>
      <c r="H1989" s="3"/>
    </row>
    <row r="1990" spans="5:8">
      <c r="E1990" s="3"/>
      <c r="F1990" s="3"/>
      <c r="G1990" s="3"/>
      <c r="H1990" s="3"/>
    </row>
    <row r="1991" spans="5:8">
      <c r="E1991" s="3"/>
      <c r="F1991" s="3"/>
      <c r="G1991" s="3"/>
      <c r="H1991" s="3"/>
    </row>
    <row r="1992" spans="5:8">
      <c r="E1992" s="3"/>
      <c r="F1992" s="3"/>
      <c r="G1992" s="3"/>
      <c r="H1992" s="3"/>
    </row>
    <row r="1993" spans="5:8">
      <c r="E1993" s="3"/>
      <c r="F1993" s="3"/>
      <c r="G1993" s="3"/>
      <c r="H1993" s="3"/>
    </row>
    <row r="1994" spans="5:8">
      <c r="E1994" s="3"/>
      <c r="F1994" s="3"/>
      <c r="G1994" s="3"/>
      <c r="H1994" s="3"/>
    </row>
    <row r="1995" spans="5:8">
      <c r="E1995" s="3"/>
      <c r="F1995" s="3"/>
      <c r="G1995" s="3"/>
      <c r="H1995" s="3"/>
    </row>
    <row r="1996" spans="5:8">
      <c r="E1996" s="3"/>
      <c r="F1996" s="3"/>
      <c r="G1996" s="3"/>
      <c r="H1996" s="3"/>
    </row>
    <row r="1997" spans="5:8">
      <c r="E1997" s="3"/>
      <c r="F1997" s="3"/>
      <c r="G1997" s="3"/>
      <c r="H1997" s="3"/>
    </row>
    <row r="1998" spans="5:8">
      <c r="E1998" s="3"/>
      <c r="F1998" s="3"/>
      <c r="G1998" s="3"/>
      <c r="H1998" s="3"/>
    </row>
    <row r="1999" spans="5:8">
      <c r="E1999" s="3"/>
      <c r="F1999" s="3"/>
      <c r="G1999" s="3"/>
      <c r="H1999" s="3"/>
    </row>
    <row r="2000" spans="5:8">
      <c r="E2000" s="3"/>
      <c r="F2000" s="3"/>
      <c r="G2000" s="3"/>
      <c r="H2000" s="3"/>
    </row>
    <row r="2001" spans="5:8">
      <c r="E2001" s="3"/>
      <c r="F2001" s="3"/>
      <c r="G2001" s="3"/>
      <c r="H2001" s="3"/>
    </row>
    <row r="2002" spans="5:8">
      <c r="E2002" s="3"/>
      <c r="F2002" s="3"/>
      <c r="G2002" s="3"/>
      <c r="H2002" s="3"/>
    </row>
    <row r="2003" spans="5:8">
      <c r="E2003" s="3"/>
      <c r="F2003" s="3"/>
      <c r="G2003" s="3"/>
      <c r="H2003" s="3"/>
    </row>
    <row r="2004" spans="5:8">
      <c r="E2004" s="3"/>
      <c r="F2004" s="3"/>
      <c r="G2004" s="3"/>
      <c r="H2004" s="3"/>
    </row>
    <row r="2005" spans="5:8">
      <c r="E2005" s="3"/>
      <c r="F2005" s="3"/>
      <c r="G2005" s="3"/>
      <c r="H2005" s="3"/>
    </row>
    <row r="2006" spans="5:8">
      <c r="E2006" s="3"/>
      <c r="F2006" s="3"/>
      <c r="G2006" s="3"/>
      <c r="H2006" s="3"/>
    </row>
    <row r="2007" spans="5:8">
      <c r="E2007" s="3"/>
      <c r="F2007" s="3"/>
      <c r="G2007" s="3"/>
      <c r="H2007" s="3"/>
    </row>
    <row r="2008" spans="5:8">
      <c r="E2008" s="3"/>
      <c r="F2008" s="3"/>
      <c r="G2008" s="3"/>
      <c r="H2008" s="3"/>
    </row>
    <row r="2009" spans="5:8">
      <c r="E2009" s="3"/>
      <c r="F2009" s="3"/>
      <c r="G2009" s="3"/>
      <c r="H2009" s="3"/>
    </row>
    <row r="2010" spans="5:8">
      <c r="E2010" s="3"/>
      <c r="F2010" s="3"/>
      <c r="G2010" s="3"/>
      <c r="H2010" s="3"/>
    </row>
    <row r="2011" spans="5:8">
      <c r="E2011" s="3"/>
      <c r="F2011" s="3"/>
      <c r="G2011" s="3"/>
      <c r="H2011" s="3"/>
    </row>
    <row r="2012" spans="5:8">
      <c r="E2012" s="3"/>
      <c r="F2012" s="3"/>
      <c r="G2012" s="3"/>
      <c r="H2012" s="3"/>
    </row>
    <row r="2013" spans="5:8">
      <c r="E2013" s="3"/>
      <c r="F2013" s="3"/>
      <c r="G2013" s="3"/>
      <c r="H2013" s="3"/>
    </row>
    <row r="2014" spans="5:8">
      <c r="E2014" s="3"/>
      <c r="F2014" s="3"/>
      <c r="G2014" s="3"/>
      <c r="H2014" s="3"/>
    </row>
    <row r="2015" spans="5:8">
      <c r="E2015" s="3"/>
      <c r="F2015" s="3"/>
      <c r="G2015" s="3"/>
      <c r="H2015" s="3"/>
    </row>
    <row r="2016" spans="5:8">
      <c r="E2016" s="3"/>
      <c r="F2016" s="3"/>
      <c r="G2016" s="3"/>
      <c r="H2016" s="3"/>
    </row>
    <row r="2017" spans="5:8">
      <c r="E2017" s="3"/>
      <c r="F2017" s="3"/>
      <c r="G2017" s="3"/>
      <c r="H2017" s="3"/>
    </row>
    <row r="2018" spans="5:8">
      <c r="E2018" s="3"/>
      <c r="F2018" s="3"/>
      <c r="G2018" s="3"/>
      <c r="H2018" s="3"/>
    </row>
    <row r="2019" spans="5:8">
      <c r="E2019" s="3"/>
      <c r="F2019" s="3"/>
      <c r="G2019" s="3"/>
      <c r="H2019" s="3"/>
    </row>
    <row r="2020" spans="5:8">
      <c r="E2020" s="3"/>
      <c r="F2020" s="3"/>
      <c r="G2020" s="3"/>
      <c r="H2020" s="3"/>
    </row>
    <row r="2021" spans="5:8">
      <c r="E2021" s="3"/>
      <c r="F2021" s="3"/>
      <c r="G2021" s="3"/>
      <c r="H2021" s="3"/>
    </row>
    <row r="2022" spans="5:8">
      <c r="E2022" s="3"/>
      <c r="F2022" s="3"/>
      <c r="G2022" s="3"/>
      <c r="H2022" s="3"/>
    </row>
    <row r="2023" spans="5:8">
      <c r="E2023" s="3"/>
      <c r="F2023" s="3"/>
      <c r="G2023" s="3"/>
      <c r="H2023" s="3"/>
    </row>
    <row r="2024" spans="5:8">
      <c r="E2024" s="3"/>
      <c r="F2024" s="3"/>
      <c r="G2024" s="3"/>
      <c r="H2024" s="3"/>
    </row>
    <row r="2025" spans="5:8">
      <c r="E2025" s="3"/>
      <c r="F2025" s="3"/>
      <c r="G2025" s="3"/>
      <c r="H2025" s="3"/>
    </row>
    <row r="2026" spans="5:8">
      <c r="E2026" s="3"/>
      <c r="F2026" s="3"/>
      <c r="G2026" s="3"/>
      <c r="H2026" s="3"/>
    </row>
    <row r="2027" spans="5:8">
      <c r="E2027" s="3"/>
      <c r="F2027" s="3"/>
      <c r="G2027" s="3"/>
      <c r="H2027" s="3"/>
    </row>
    <row r="2028" spans="5:8">
      <c r="E2028" s="3"/>
      <c r="F2028" s="3"/>
      <c r="G2028" s="3"/>
      <c r="H2028" s="3"/>
    </row>
    <row r="2029" spans="5:8">
      <c r="E2029" s="3"/>
      <c r="F2029" s="3"/>
      <c r="G2029" s="3"/>
      <c r="H2029" s="3"/>
    </row>
    <row r="2030" spans="5:8">
      <c r="E2030" s="3"/>
      <c r="F2030" s="3"/>
      <c r="G2030" s="3"/>
      <c r="H2030" s="3"/>
    </row>
    <row r="2031" spans="5:8">
      <c r="E2031" s="3"/>
      <c r="F2031" s="3"/>
      <c r="G2031" s="3"/>
      <c r="H2031" s="3"/>
    </row>
    <row r="2032" spans="5:8">
      <c r="E2032" s="3"/>
      <c r="F2032" s="3"/>
      <c r="G2032" s="3"/>
      <c r="H2032" s="3"/>
    </row>
    <row r="2033" spans="5:8">
      <c r="E2033" s="3"/>
      <c r="F2033" s="3"/>
      <c r="G2033" s="3"/>
      <c r="H2033" s="3"/>
    </row>
    <row r="2034" spans="5:8">
      <c r="E2034" s="3"/>
      <c r="F2034" s="3"/>
      <c r="G2034" s="3"/>
      <c r="H2034" s="3"/>
    </row>
    <row r="2035" spans="5:8">
      <c r="E2035" s="3"/>
      <c r="F2035" s="3"/>
      <c r="G2035" s="3"/>
      <c r="H2035" s="3"/>
    </row>
    <row r="2036" spans="5:8">
      <c r="E2036" s="3"/>
      <c r="F2036" s="3"/>
      <c r="G2036" s="3"/>
      <c r="H2036" s="3"/>
    </row>
    <row r="2037" spans="5:8">
      <c r="E2037" s="3"/>
      <c r="F2037" s="3"/>
      <c r="G2037" s="3"/>
      <c r="H2037" s="3"/>
    </row>
    <row r="2038" spans="5:8">
      <c r="E2038" s="3"/>
      <c r="F2038" s="3"/>
      <c r="G2038" s="3"/>
      <c r="H2038" s="3"/>
    </row>
    <row r="2039" spans="5:8">
      <c r="E2039" s="3"/>
      <c r="F2039" s="3"/>
      <c r="G2039" s="3"/>
      <c r="H2039" s="3"/>
    </row>
    <row r="2040" spans="5:8">
      <c r="E2040" s="3"/>
      <c r="F2040" s="3"/>
      <c r="G2040" s="3"/>
      <c r="H2040" s="3"/>
    </row>
    <row r="2041" spans="5:8">
      <c r="E2041" s="3"/>
      <c r="F2041" s="3"/>
      <c r="G2041" s="3"/>
      <c r="H2041" s="3"/>
    </row>
    <row r="2042" spans="5:8">
      <c r="E2042" s="3"/>
      <c r="F2042" s="3"/>
      <c r="G2042" s="3"/>
      <c r="H2042" s="3"/>
    </row>
    <row r="2043" spans="5:8">
      <c r="E2043" s="3"/>
      <c r="F2043" s="3"/>
      <c r="G2043" s="3"/>
      <c r="H2043" s="3"/>
    </row>
    <row r="2044" spans="5:8">
      <c r="E2044" s="3"/>
      <c r="F2044" s="3"/>
      <c r="G2044" s="3"/>
      <c r="H2044" s="3"/>
    </row>
    <row r="2045" spans="5:8">
      <c r="E2045" s="3"/>
      <c r="F2045" s="3"/>
      <c r="G2045" s="3"/>
      <c r="H2045" s="3"/>
    </row>
    <row r="2046" spans="5:8">
      <c r="E2046" s="3"/>
      <c r="F2046" s="3"/>
      <c r="G2046" s="3"/>
      <c r="H2046" s="3"/>
    </row>
    <row r="2047" spans="5:8">
      <c r="E2047" s="3"/>
      <c r="F2047" s="3"/>
      <c r="G2047" s="3"/>
      <c r="H2047" s="3"/>
    </row>
    <row r="2048" spans="5:8">
      <c r="E2048" s="3"/>
      <c r="F2048" s="3"/>
      <c r="G2048" s="3"/>
      <c r="H2048" s="3"/>
    </row>
    <row r="2049" spans="5:8">
      <c r="E2049" s="3"/>
      <c r="F2049" s="3"/>
      <c r="G2049" s="3"/>
      <c r="H2049" s="3"/>
    </row>
    <row r="2050" spans="5:8">
      <c r="E2050" s="3"/>
      <c r="F2050" s="3"/>
      <c r="G2050" s="3"/>
      <c r="H2050" s="3"/>
    </row>
    <row r="2051" spans="5:8">
      <c r="E2051" s="3"/>
      <c r="F2051" s="3"/>
      <c r="G2051" s="3"/>
      <c r="H2051" s="3"/>
    </row>
    <row r="2052" spans="5:8">
      <c r="E2052" s="3"/>
      <c r="F2052" s="3"/>
      <c r="G2052" s="3"/>
      <c r="H2052" s="3"/>
    </row>
    <row r="2053" spans="5:8">
      <c r="E2053" s="3"/>
      <c r="F2053" s="3"/>
      <c r="G2053" s="3"/>
      <c r="H2053" s="3"/>
    </row>
    <row r="2054" spans="5:8">
      <c r="E2054" s="3"/>
      <c r="F2054" s="3"/>
      <c r="G2054" s="3"/>
      <c r="H2054" s="3"/>
    </row>
    <row r="2055" spans="5:8">
      <c r="E2055" s="3"/>
      <c r="F2055" s="3"/>
      <c r="G2055" s="3"/>
      <c r="H2055" s="3"/>
    </row>
    <row r="2056" spans="5:8">
      <c r="E2056" s="3"/>
      <c r="F2056" s="3"/>
      <c r="G2056" s="3"/>
      <c r="H2056" s="3"/>
    </row>
    <row r="2057" spans="5:8">
      <c r="E2057" s="3"/>
      <c r="F2057" s="3"/>
      <c r="G2057" s="3"/>
      <c r="H2057" s="3"/>
    </row>
    <row r="2058" spans="5:8">
      <c r="E2058" s="3"/>
      <c r="F2058" s="3"/>
      <c r="G2058" s="3"/>
      <c r="H2058" s="3"/>
    </row>
    <row r="2059" spans="5:8">
      <c r="E2059" s="3"/>
      <c r="F2059" s="3"/>
      <c r="G2059" s="3"/>
      <c r="H2059" s="3"/>
    </row>
    <row r="2060" spans="5:8">
      <c r="E2060" s="3"/>
      <c r="F2060" s="3"/>
      <c r="G2060" s="3"/>
      <c r="H2060" s="3"/>
    </row>
    <row r="2061" spans="5:8">
      <c r="E2061" s="3"/>
      <c r="F2061" s="3"/>
      <c r="G2061" s="3"/>
      <c r="H2061" s="3"/>
    </row>
    <row r="2062" spans="5:8">
      <c r="E2062" s="3"/>
      <c r="F2062" s="3"/>
      <c r="G2062" s="3"/>
      <c r="H2062" s="3"/>
    </row>
    <row r="2063" spans="5:8">
      <c r="E2063" s="3"/>
      <c r="F2063" s="3"/>
      <c r="G2063" s="3"/>
      <c r="H2063" s="3"/>
    </row>
    <row r="2064" spans="5:8">
      <c r="E2064" s="3"/>
      <c r="F2064" s="3"/>
      <c r="G2064" s="3"/>
      <c r="H2064" s="3"/>
    </row>
    <row r="2065" spans="5:8">
      <c r="E2065" s="3"/>
      <c r="F2065" s="3"/>
      <c r="G2065" s="3"/>
      <c r="H2065" s="3"/>
    </row>
    <row r="2066" spans="5:8">
      <c r="E2066" s="3"/>
      <c r="F2066" s="3"/>
      <c r="G2066" s="3"/>
      <c r="H2066" s="3"/>
    </row>
    <row r="2067" spans="5:8">
      <c r="E2067" s="3"/>
      <c r="F2067" s="3"/>
      <c r="G2067" s="3"/>
      <c r="H2067" s="3"/>
    </row>
    <row r="2068" spans="5:8">
      <c r="E2068" s="3"/>
      <c r="F2068" s="3"/>
      <c r="G2068" s="3"/>
      <c r="H2068" s="3"/>
    </row>
    <row r="2069" spans="5:8">
      <c r="E2069" s="3"/>
      <c r="F2069" s="3"/>
      <c r="G2069" s="3"/>
      <c r="H2069" s="3"/>
    </row>
    <row r="2070" spans="5:8">
      <c r="E2070" s="3"/>
      <c r="F2070" s="3"/>
      <c r="G2070" s="3"/>
      <c r="H2070" s="3"/>
    </row>
    <row r="2071" spans="5:8">
      <c r="E2071" s="3"/>
      <c r="F2071" s="3"/>
      <c r="G2071" s="3"/>
      <c r="H2071" s="3"/>
    </row>
    <row r="2072" spans="5:8">
      <c r="E2072" s="3"/>
      <c r="F2072" s="3"/>
      <c r="G2072" s="3"/>
      <c r="H2072" s="3"/>
    </row>
    <row r="2073" spans="5:8">
      <c r="E2073" s="3"/>
      <c r="F2073" s="3"/>
      <c r="G2073" s="3"/>
      <c r="H2073" s="3"/>
    </row>
    <row r="2074" spans="5:8">
      <c r="E2074" s="3"/>
      <c r="F2074" s="3"/>
      <c r="G2074" s="3"/>
      <c r="H2074" s="3"/>
    </row>
    <row r="2075" spans="5:8">
      <c r="E2075" s="3"/>
      <c r="F2075" s="3"/>
      <c r="G2075" s="3"/>
      <c r="H2075" s="3"/>
    </row>
    <row r="2076" spans="5:8">
      <c r="E2076" s="3"/>
      <c r="F2076" s="3"/>
      <c r="G2076" s="3"/>
      <c r="H2076" s="3"/>
    </row>
    <row r="2077" spans="5:8">
      <c r="E2077" s="3"/>
      <c r="F2077" s="3"/>
      <c r="G2077" s="3"/>
      <c r="H2077" s="3"/>
    </row>
    <row r="2078" spans="5:8">
      <c r="E2078" s="3"/>
      <c r="F2078" s="3"/>
      <c r="G2078" s="3"/>
      <c r="H2078" s="3"/>
    </row>
    <row r="2079" spans="5:8">
      <c r="E2079" s="3"/>
      <c r="F2079" s="3"/>
      <c r="G2079" s="3"/>
      <c r="H2079" s="3"/>
    </row>
    <row r="2080" spans="5:8">
      <c r="E2080" s="3"/>
      <c r="F2080" s="3"/>
      <c r="G2080" s="3"/>
      <c r="H2080" s="3"/>
    </row>
    <row r="2081" spans="5:8">
      <c r="E2081" s="3"/>
      <c r="F2081" s="3"/>
      <c r="G2081" s="3"/>
      <c r="H2081" s="3"/>
    </row>
    <row r="2082" spans="5:8">
      <c r="E2082" s="3"/>
      <c r="F2082" s="3"/>
      <c r="G2082" s="3"/>
      <c r="H2082" s="3"/>
    </row>
    <row r="2083" spans="5:8">
      <c r="E2083" s="3"/>
      <c r="F2083" s="3"/>
      <c r="G2083" s="3"/>
      <c r="H2083" s="3"/>
    </row>
    <row r="2084" spans="5:8">
      <c r="E2084" s="3"/>
      <c r="F2084" s="3"/>
      <c r="G2084" s="3"/>
      <c r="H2084" s="3"/>
    </row>
    <row r="2085" spans="5:8">
      <c r="E2085" s="3"/>
      <c r="F2085" s="3"/>
      <c r="G2085" s="3"/>
      <c r="H2085" s="3"/>
    </row>
    <row r="2086" spans="5:8">
      <c r="E2086" s="3"/>
      <c r="F2086" s="3"/>
      <c r="G2086" s="3"/>
      <c r="H2086" s="3"/>
    </row>
    <row r="2087" spans="5:8">
      <c r="E2087" s="3"/>
      <c r="F2087" s="3"/>
      <c r="G2087" s="3"/>
      <c r="H2087" s="3"/>
    </row>
    <row r="2088" spans="5:8">
      <c r="E2088" s="3"/>
      <c r="F2088" s="3"/>
      <c r="G2088" s="3"/>
      <c r="H2088" s="3"/>
    </row>
    <row r="2089" spans="5:8">
      <c r="E2089" s="3"/>
      <c r="F2089" s="3"/>
      <c r="G2089" s="3"/>
      <c r="H2089" s="3"/>
    </row>
    <row r="2090" spans="5:8">
      <c r="E2090" s="3"/>
      <c r="F2090" s="3"/>
      <c r="G2090" s="3"/>
      <c r="H2090" s="3"/>
    </row>
    <row r="2091" spans="5:8">
      <c r="E2091" s="3"/>
      <c r="F2091" s="3"/>
      <c r="G2091" s="3"/>
      <c r="H2091" s="3"/>
    </row>
    <row r="2092" spans="5:8">
      <c r="E2092" s="3"/>
      <c r="F2092" s="3"/>
      <c r="G2092" s="3"/>
      <c r="H2092" s="3"/>
    </row>
    <row r="2093" spans="5:8">
      <c r="E2093" s="3"/>
      <c r="F2093" s="3"/>
      <c r="G2093" s="3"/>
      <c r="H2093" s="3"/>
    </row>
    <row r="2094" spans="5:8">
      <c r="E2094" s="3"/>
      <c r="F2094" s="3"/>
      <c r="G2094" s="3"/>
      <c r="H2094" s="3"/>
    </row>
    <row r="2095" spans="5:8">
      <c r="E2095" s="3"/>
      <c r="F2095" s="3"/>
      <c r="G2095" s="3"/>
      <c r="H2095" s="3"/>
    </row>
    <row r="2096" spans="5:8">
      <c r="E2096" s="3"/>
      <c r="F2096" s="3"/>
      <c r="G2096" s="3"/>
      <c r="H2096" s="3"/>
    </row>
    <row r="2097" spans="5:8">
      <c r="E2097" s="3"/>
      <c r="F2097" s="3"/>
      <c r="G2097" s="3"/>
      <c r="H2097" s="3"/>
    </row>
    <row r="2098" spans="5:8">
      <c r="E2098" s="3"/>
      <c r="F2098" s="3"/>
      <c r="G2098" s="3"/>
      <c r="H2098" s="3"/>
    </row>
    <row r="2099" spans="5:8">
      <c r="E2099" s="3"/>
      <c r="F2099" s="3"/>
      <c r="G2099" s="3"/>
      <c r="H2099" s="3"/>
    </row>
    <row r="2100" spans="5:8">
      <c r="E2100" s="3"/>
      <c r="F2100" s="3"/>
      <c r="G2100" s="3"/>
      <c r="H2100" s="3"/>
    </row>
    <row r="2101" spans="5:8">
      <c r="E2101" s="3"/>
      <c r="F2101" s="3"/>
      <c r="G2101" s="3"/>
      <c r="H2101" s="3"/>
    </row>
    <row r="2102" spans="5:8">
      <c r="E2102" s="3"/>
      <c r="F2102" s="3"/>
      <c r="G2102" s="3"/>
      <c r="H2102" s="3"/>
    </row>
    <row r="2103" spans="5:8">
      <c r="E2103" s="3"/>
      <c r="F2103" s="3"/>
      <c r="G2103" s="3"/>
      <c r="H2103" s="3"/>
    </row>
    <row r="2104" spans="5:8">
      <c r="E2104" s="3"/>
      <c r="F2104" s="3"/>
      <c r="G2104" s="3"/>
      <c r="H2104" s="3"/>
    </row>
    <row r="2105" spans="5:8">
      <c r="E2105" s="3"/>
      <c r="F2105" s="3"/>
      <c r="G2105" s="3"/>
      <c r="H2105" s="3"/>
    </row>
    <row r="2106" spans="5:8">
      <c r="E2106" s="3"/>
      <c r="F2106" s="3"/>
      <c r="G2106" s="3"/>
      <c r="H2106" s="3"/>
    </row>
    <row r="2107" spans="5:8">
      <c r="E2107" s="3"/>
      <c r="F2107" s="3"/>
      <c r="G2107" s="3"/>
      <c r="H2107" s="3"/>
    </row>
    <row r="2108" spans="5:8">
      <c r="E2108" s="3"/>
      <c r="F2108" s="3"/>
      <c r="G2108" s="3"/>
      <c r="H2108" s="3"/>
    </row>
    <row r="2109" spans="5:8">
      <c r="E2109" s="3"/>
      <c r="F2109" s="3"/>
      <c r="G2109" s="3"/>
      <c r="H2109" s="3"/>
    </row>
    <row r="2110" spans="5:8">
      <c r="E2110" s="3"/>
      <c r="F2110" s="3"/>
      <c r="G2110" s="3"/>
      <c r="H2110" s="3"/>
    </row>
    <row r="2111" spans="5:8">
      <c r="E2111" s="3"/>
      <c r="F2111" s="3"/>
      <c r="G2111" s="3"/>
      <c r="H2111" s="3"/>
    </row>
    <row r="2112" spans="5:8">
      <c r="E2112" s="3"/>
      <c r="F2112" s="3"/>
      <c r="G2112" s="3"/>
      <c r="H2112" s="3"/>
    </row>
    <row r="2113" spans="5:8">
      <c r="E2113" s="3"/>
      <c r="F2113" s="3"/>
      <c r="G2113" s="3"/>
      <c r="H2113" s="3"/>
    </row>
    <row r="2114" spans="5:8">
      <c r="E2114" s="3"/>
      <c r="F2114" s="3"/>
      <c r="G2114" s="3"/>
      <c r="H2114" s="3"/>
    </row>
    <row r="2115" spans="5:8">
      <c r="E2115" s="3"/>
      <c r="F2115" s="3"/>
      <c r="G2115" s="3"/>
      <c r="H2115" s="3"/>
    </row>
    <row r="2116" spans="5:8">
      <c r="E2116" s="3"/>
      <c r="F2116" s="3"/>
      <c r="G2116" s="3"/>
      <c r="H2116" s="3"/>
    </row>
    <row r="2117" spans="5:8">
      <c r="E2117" s="3"/>
      <c r="F2117" s="3"/>
      <c r="G2117" s="3"/>
      <c r="H2117" s="3"/>
    </row>
    <row r="2118" spans="5:8">
      <c r="E2118" s="3"/>
      <c r="F2118" s="3"/>
      <c r="G2118" s="3"/>
      <c r="H2118" s="3"/>
    </row>
    <row r="2119" spans="5:8">
      <c r="E2119" s="3"/>
      <c r="F2119" s="3"/>
      <c r="G2119" s="3"/>
      <c r="H2119" s="3"/>
    </row>
    <row r="2120" spans="5:8">
      <c r="E2120" s="3"/>
      <c r="F2120" s="3"/>
      <c r="G2120" s="3"/>
      <c r="H2120" s="3"/>
    </row>
    <row r="2121" spans="5:8">
      <c r="E2121" s="3"/>
      <c r="F2121" s="3"/>
      <c r="G2121" s="3"/>
      <c r="H2121" s="3"/>
    </row>
    <row r="2122" spans="5:8">
      <c r="E2122" s="3"/>
      <c r="F2122" s="3"/>
      <c r="G2122" s="3"/>
      <c r="H2122" s="3"/>
    </row>
    <row r="2123" spans="5:8">
      <c r="E2123" s="3"/>
      <c r="F2123" s="3"/>
      <c r="G2123" s="3"/>
      <c r="H2123" s="3"/>
    </row>
    <row r="2124" spans="5:8">
      <c r="E2124" s="3"/>
      <c r="F2124" s="3"/>
      <c r="G2124" s="3"/>
      <c r="H2124" s="3"/>
    </row>
    <row r="2125" spans="5:8">
      <c r="E2125" s="3"/>
      <c r="F2125" s="3"/>
      <c r="G2125" s="3"/>
      <c r="H2125" s="3"/>
    </row>
    <row r="2126" spans="5:8">
      <c r="E2126" s="3"/>
      <c r="F2126" s="3"/>
      <c r="G2126" s="3"/>
      <c r="H2126" s="3"/>
    </row>
    <row r="2127" spans="5:8">
      <c r="E2127" s="3"/>
      <c r="F2127" s="3"/>
      <c r="G2127" s="3"/>
      <c r="H2127" s="3"/>
    </row>
    <row r="2128" spans="5:8">
      <c r="E2128" s="3"/>
      <c r="F2128" s="3"/>
      <c r="G2128" s="3"/>
      <c r="H2128" s="3"/>
    </row>
    <row r="2129" spans="5:8">
      <c r="E2129" s="3"/>
      <c r="F2129" s="3"/>
      <c r="G2129" s="3"/>
      <c r="H2129" s="3"/>
    </row>
    <row r="2130" spans="5:8">
      <c r="E2130" s="3"/>
      <c r="F2130" s="3"/>
      <c r="G2130" s="3"/>
      <c r="H2130" s="3"/>
    </row>
    <row r="2131" spans="5:8">
      <c r="E2131" s="3"/>
      <c r="F2131" s="3"/>
      <c r="G2131" s="3"/>
      <c r="H2131" s="3"/>
    </row>
    <row r="2132" spans="5:8">
      <c r="E2132" s="3"/>
      <c r="F2132" s="3"/>
      <c r="G2132" s="3"/>
      <c r="H2132" s="3"/>
    </row>
    <row r="2133" spans="5:8">
      <c r="E2133" s="3"/>
      <c r="F2133" s="3"/>
      <c r="G2133" s="3"/>
      <c r="H2133" s="3"/>
    </row>
    <row r="2134" spans="5:8">
      <c r="E2134" s="3"/>
      <c r="F2134" s="3"/>
      <c r="G2134" s="3"/>
      <c r="H2134" s="3"/>
    </row>
    <row r="2135" spans="5:8">
      <c r="E2135" s="3"/>
      <c r="F2135" s="3"/>
      <c r="G2135" s="3"/>
      <c r="H2135" s="3"/>
    </row>
    <row r="2136" spans="5:8">
      <c r="E2136" s="3"/>
      <c r="F2136" s="3"/>
      <c r="G2136" s="3"/>
      <c r="H2136" s="3"/>
    </row>
    <row r="2137" spans="5:8">
      <c r="E2137" s="3"/>
      <c r="F2137" s="3"/>
      <c r="G2137" s="3"/>
      <c r="H2137" s="3"/>
    </row>
    <row r="2138" spans="5:8">
      <c r="E2138" s="3"/>
      <c r="F2138" s="3"/>
      <c r="G2138" s="3"/>
      <c r="H2138" s="3"/>
    </row>
    <row r="2139" spans="5:8">
      <c r="E2139" s="3"/>
      <c r="F2139" s="3"/>
      <c r="G2139" s="3"/>
      <c r="H2139" s="3"/>
    </row>
    <row r="2140" spans="5:8">
      <c r="E2140" s="3"/>
      <c r="F2140" s="3"/>
      <c r="G2140" s="3"/>
      <c r="H2140" s="3"/>
    </row>
    <row r="2141" spans="5:8">
      <c r="E2141" s="3"/>
      <c r="F2141" s="3"/>
      <c r="G2141" s="3"/>
      <c r="H2141" s="3"/>
    </row>
    <row r="2142" spans="5:8">
      <c r="E2142" s="3"/>
      <c r="F2142" s="3"/>
      <c r="G2142" s="3"/>
      <c r="H2142" s="3"/>
    </row>
    <row r="2143" spans="5:8">
      <c r="E2143" s="3"/>
      <c r="F2143" s="3"/>
      <c r="G2143" s="3"/>
      <c r="H2143" s="3"/>
    </row>
    <row r="2144" spans="5:8">
      <c r="E2144" s="3"/>
      <c r="F2144" s="3"/>
      <c r="G2144" s="3"/>
      <c r="H2144" s="3"/>
    </row>
    <row r="2145" spans="5:8">
      <c r="E2145" s="3"/>
      <c r="F2145" s="3"/>
      <c r="G2145" s="3"/>
      <c r="H2145" s="3"/>
    </row>
    <row r="2146" spans="5:8">
      <c r="E2146" s="3"/>
      <c r="F2146" s="3"/>
      <c r="G2146" s="3"/>
      <c r="H2146" s="3"/>
    </row>
    <row r="2147" spans="5:8">
      <c r="E2147" s="3"/>
      <c r="F2147" s="3"/>
      <c r="G2147" s="3"/>
      <c r="H2147" s="3"/>
    </row>
    <row r="2148" spans="5:8">
      <c r="E2148" s="3"/>
      <c r="F2148" s="3"/>
      <c r="G2148" s="3"/>
      <c r="H2148" s="3"/>
    </row>
    <row r="2149" spans="5:8">
      <c r="E2149" s="3"/>
      <c r="F2149" s="3"/>
      <c r="G2149" s="3"/>
      <c r="H2149" s="3"/>
    </row>
    <row r="2150" spans="5:8">
      <c r="E2150" s="3"/>
      <c r="F2150" s="3"/>
      <c r="G2150" s="3"/>
      <c r="H2150" s="3"/>
    </row>
    <row r="2151" spans="5:8">
      <c r="E2151" s="3"/>
      <c r="F2151" s="3"/>
      <c r="G2151" s="3"/>
      <c r="H2151" s="3"/>
    </row>
    <row r="2152" spans="5:8">
      <c r="E2152" s="3"/>
      <c r="F2152" s="3"/>
      <c r="G2152" s="3"/>
      <c r="H2152" s="3"/>
    </row>
    <row r="2153" spans="5:8">
      <c r="E2153" s="3"/>
      <c r="F2153" s="3"/>
      <c r="G2153" s="3"/>
      <c r="H2153" s="3"/>
    </row>
    <row r="2154" spans="5:8">
      <c r="E2154" s="3"/>
      <c r="F2154" s="3"/>
      <c r="G2154" s="3"/>
      <c r="H2154" s="3"/>
    </row>
    <row r="2155" spans="5:8">
      <c r="E2155" s="3"/>
      <c r="F2155" s="3"/>
      <c r="G2155" s="3"/>
      <c r="H2155" s="3"/>
    </row>
    <row r="2156" spans="5:8">
      <c r="E2156" s="3"/>
      <c r="F2156" s="3"/>
      <c r="G2156" s="3"/>
      <c r="H2156" s="3"/>
    </row>
    <row r="2157" spans="5:8">
      <c r="E2157" s="3"/>
      <c r="F2157" s="3"/>
      <c r="G2157" s="3"/>
      <c r="H2157" s="3"/>
    </row>
    <row r="2158" spans="5:8">
      <c r="E2158" s="3"/>
      <c r="F2158" s="3"/>
      <c r="G2158" s="3"/>
      <c r="H2158" s="3"/>
    </row>
    <row r="2159" spans="5:8">
      <c r="E2159" s="3"/>
      <c r="F2159" s="3"/>
      <c r="G2159" s="3"/>
      <c r="H2159" s="3"/>
    </row>
    <row r="2160" spans="5:8">
      <c r="E2160" s="3"/>
      <c r="F2160" s="3"/>
      <c r="G2160" s="3"/>
      <c r="H2160" s="3"/>
    </row>
    <row r="2161" spans="5:8">
      <c r="E2161" s="3"/>
      <c r="F2161" s="3"/>
      <c r="G2161" s="3"/>
      <c r="H2161" s="3"/>
    </row>
    <row r="2162" spans="5:8">
      <c r="E2162" s="3"/>
      <c r="F2162" s="3"/>
      <c r="G2162" s="3"/>
      <c r="H2162" s="3"/>
    </row>
    <row r="2163" spans="5:8">
      <c r="E2163" s="3"/>
      <c r="F2163" s="3"/>
      <c r="G2163" s="3"/>
      <c r="H2163" s="3"/>
    </row>
    <row r="2164" spans="5:8">
      <c r="E2164" s="3"/>
      <c r="F2164" s="3"/>
      <c r="G2164" s="3"/>
      <c r="H2164" s="3"/>
    </row>
    <row r="2165" spans="5:8">
      <c r="E2165" s="3"/>
      <c r="F2165" s="3"/>
      <c r="G2165" s="3"/>
      <c r="H2165" s="3"/>
    </row>
    <row r="2166" spans="5:8">
      <c r="E2166" s="3"/>
      <c r="F2166" s="3"/>
      <c r="G2166" s="3"/>
      <c r="H2166" s="3"/>
    </row>
    <row r="2167" spans="5:8">
      <c r="E2167" s="3"/>
      <c r="F2167" s="3"/>
      <c r="G2167" s="3"/>
      <c r="H2167" s="3"/>
    </row>
    <row r="2168" spans="5:8">
      <c r="E2168" s="3"/>
      <c r="F2168" s="3"/>
      <c r="G2168" s="3"/>
      <c r="H2168" s="3"/>
    </row>
    <row r="2169" spans="5:8">
      <c r="E2169" s="3"/>
      <c r="F2169" s="3"/>
      <c r="G2169" s="3"/>
      <c r="H2169" s="3"/>
    </row>
    <row r="2170" spans="5:8">
      <c r="E2170" s="3"/>
      <c r="F2170" s="3"/>
      <c r="G2170" s="3"/>
      <c r="H2170" s="3"/>
    </row>
    <row r="2171" spans="5:8">
      <c r="E2171" s="3"/>
      <c r="F2171" s="3"/>
      <c r="G2171" s="3"/>
      <c r="H2171" s="3"/>
    </row>
    <row r="2172" spans="5:8">
      <c r="E2172" s="3"/>
      <c r="F2172" s="3"/>
      <c r="G2172" s="3"/>
      <c r="H2172" s="3"/>
    </row>
    <row r="2173" spans="5:8">
      <c r="E2173" s="3"/>
      <c r="F2173" s="3"/>
      <c r="G2173" s="3"/>
      <c r="H2173" s="3"/>
    </row>
    <row r="2174" spans="5:8">
      <c r="E2174" s="3"/>
      <c r="F2174" s="3"/>
      <c r="G2174" s="3"/>
      <c r="H2174" s="3"/>
    </row>
    <row r="2175" spans="5:8">
      <c r="E2175" s="3"/>
      <c r="F2175" s="3"/>
      <c r="G2175" s="3"/>
      <c r="H2175" s="3"/>
    </row>
    <row r="2176" spans="5:8">
      <c r="E2176" s="3"/>
      <c r="F2176" s="3"/>
      <c r="G2176" s="3"/>
      <c r="H2176" s="3"/>
    </row>
    <row r="2177" spans="5:8">
      <c r="E2177" s="3"/>
      <c r="F2177" s="3"/>
      <c r="G2177" s="3"/>
      <c r="H2177" s="3"/>
    </row>
    <row r="2178" spans="5:8">
      <c r="E2178" s="3"/>
      <c r="F2178" s="3"/>
      <c r="G2178" s="3"/>
      <c r="H2178" s="3"/>
    </row>
    <row r="2179" spans="5:8">
      <c r="E2179" s="3"/>
      <c r="F2179" s="3"/>
      <c r="G2179" s="3"/>
      <c r="H2179" s="3"/>
    </row>
    <row r="2180" spans="5:8">
      <c r="E2180" s="3"/>
      <c r="F2180" s="3"/>
      <c r="G2180" s="3"/>
      <c r="H2180" s="3"/>
    </row>
    <row r="2181" spans="5:8">
      <c r="E2181" s="3"/>
      <c r="F2181" s="3"/>
      <c r="G2181" s="3"/>
      <c r="H2181" s="3"/>
    </row>
    <row r="2182" spans="5:8">
      <c r="E2182" s="3"/>
      <c r="F2182" s="3"/>
      <c r="G2182" s="3"/>
      <c r="H2182" s="3"/>
    </row>
    <row r="2183" spans="5:8">
      <c r="E2183" s="3"/>
      <c r="F2183" s="3"/>
      <c r="G2183" s="3"/>
      <c r="H2183" s="3"/>
    </row>
    <row r="2184" spans="5:8">
      <c r="E2184" s="3"/>
      <c r="F2184" s="3"/>
      <c r="G2184" s="3"/>
      <c r="H2184" s="3"/>
    </row>
    <row r="2185" spans="5:8">
      <c r="E2185" s="3"/>
      <c r="F2185" s="3"/>
      <c r="G2185" s="3"/>
      <c r="H2185" s="3"/>
    </row>
    <row r="2186" spans="5:8">
      <c r="E2186" s="3"/>
      <c r="F2186" s="3"/>
      <c r="G2186" s="3"/>
      <c r="H2186" s="3"/>
    </row>
    <row r="2187" spans="5:8">
      <c r="E2187" s="3"/>
      <c r="F2187" s="3"/>
      <c r="G2187" s="3"/>
      <c r="H2187" s="3"/>
    </row>
    <row r="2188" spans="5:8">
      <c r="E2188" s="3"/>
      <c r="F2188" s="3"/>
      <c r="G2188" s="3"/>
      <c r="H2188" s="3"/>
    </row>
    <row r="2189" spans="5:8">
      <c r="E2189" s="3"/>
      <c r="F2189" s="3"/>
      <c r="G2189" s="3"/>
      <c r="H2189" s="3"/>
    </row>
    <row r="2190" spans="5:8">
      <c r="E2190" s="3"/>
      <c r="F2190" s="3"/>
      <c r="G2190" s="3"/>
      <c r="H2190" s="3"/>
    </row>
    <row r="2191" spans="5:8">
      <c r="E2191" s="3"/>
      <c r="F2191" s="3"/>
      <c r="G2191" s="3"/>
      <c r="H2191" s="3"/>
    </row>
    <row r="2192" spans="5:8">
      <c r="E2192" s="3"/>
      <c r="F2192" s="3"/>
      <c r="G2192" s="3"/>
      <c r="H2192" s="3"/>
    </row>
    <row r="2193" spans="5:8">
      <c r="E2193" s="3"/>
      <c r="F2193" s="3"/>
      <c r="G2193" s="3"/>
      <c r="H2193" s="3"/>
    </row>
    <row r="2194" spans="5:8">
      <c r="E2194" s="3"/>
      <c r="F2194" s="3"/>
      <c r="G2194" s="3"/>
      <c r="H2194" s="3"/>
    </row>
    <row r="2195" spans="5:8">
      <c r="E2195" s="3"/>
      <c r="F2195" s="3"/>
      <c r="G2195" s="3"/>
      <c r="H2195" s="3"/>
    </row>
    <row r="2196" spans="5:8">
      <c r="E2196" s="3"/>
      <c r="F2196" s="3"/>
      <c r="G2196" s="3"/>
      <c r="H2196" s="3"/>
    </row>
    <row r="2197" spans="5:8">
      <c r="E2197" s="3"/>
      <c r="F2197" s="3"/>
      <c r="G2197" s="3"/>
      <c r="H2197" s="3"/>
    </row>
    <row r="2198" spans="5:8">
      <c r="E2198" s="3"/>
      <c r="F2198" s="3"/>
      <c r="G2198" s="3"/>
      <c r="H2198" s="3"/>
    </row>
    <row r="2199" spans="5:8">
      <c r="E2199" s="3"/>
      <c r="F2199" s="3"/>
      <c r="G2199" s="3"/>
      <c r="H2199" s="3"/>
    </row>
    <row r="2200" spans="5:8">
      <c r="E2200" s="3"/>
      <c r="F2200" s="3"/>
      <c r="G2200" s="3"/>
      <c r="H2200" s="3"/>
    </row>
    <row r="2201" spans="5:8">
      <c r="E2201" s="3"/>
      <c r="F2201" s="3"/>
      <c r="G2201" s="3"/>
      <c r="H2201" s="3"/>
    </row>
    <row r="2202" spans="5:8">
      <c r="E2202" s="3"/>
      <c r="F2202" s="3"/>
      <c r="G2202" s="3"/>
      <c r="H2202" s="3"/>
    </row>
    <row r="2203" spans="5:8">
      <c r="E2203" s="3"/>
      <c r="F2203" s="3"/>
      <c r="G2203" s="3"/>
      <c r="H2203" s="3"/>
    </row>
    <row r="2204" spans="5:8">
      <c r="E2204" s="3"/>
      <c r="F2204" s="3"/>
      <c r="G2204" s="3"/>
      <c r="H2204" s="3"/>
    </row>
    <row r="2205" spans="5:8">
      <c r="E2205" s="3"/>
      <c r="F2205" s="3"/>
      <c r="G2205" s="3"/>
      <c r="H2205" s="3"/>
    </row>
    <row r="2206" spans="5:8">
      <c r="E2206" s="3"/>
      <c r="F2206" s="3"/>
      <c r="G2206" s="3"/>
      <c r="H2206" s="3"/>
    </row>
    <row r="2207" spans="5:8">
      <c r="E2207" s="3"/>
      <c r="F2207" s="3"/>
      <c r="G2207" s="3"/>
      <c r="H2207" s="3"/>
    </row>
    <row r="2208" spans="5:8">
      <c r="E2208" s="3"/>
      <c r="F2208" s="3"/>
      <c r="G2208" s="3"/>
      <c r="H2208" s="3"/>
    </row>
    <row r="2209" spans="5:8">
      <c r="E2209" s="3"/>
      <c r="F2209" s="3"/>
      <c r="G2209" s="3"/>
      <c r="H2209" s="3"/>
    </row>
    <row r="2210" spans="5:8">
      <c r="E2210" s="3"/>
      <c r="F2210" s="3"/>
      <c r="G2210" s="3"/>
      <c r="H2210" s="3"/>
    </row>
    <row r="2211" spans="5:8">
      <c r="E2211" s="3"/>
      <c r="F2211" s="3"/>
      <c r="G2211" s="3"/>
      <c r="H2211" s="3"/>
    </row>
    <row r="2212" spans="5:8">
      <c r="E2212" s="3"/>
      <c r="F2212" s="3"/>
      <c r="G2212" s="3"/>
      <c r="H2212" s="3"/>
    </row>
    <row r="2213" spans="5:8">
      <c r="E2213" s="3"/>
      <c r="F2213" s="3"/>
      <c r="G2213" s="3"/>
      <c r="H2213" s="3"/>
    </row>
    <row r="2214" spans="5:8">
      <c r="E2214" s="3"/>
      <c r="F2214" s="3"/>
      <c r="G2214" s="3"/>
      <c r="H2214" s="3"/>
    </row>
    <row r="2215" spans="5:8">
      <c r="E2215" s="3"/>
      <c r="F2215" s="3"/>
      <c r="G2215" s="3"/>
      <c r="H2215" s="3"/>
    </row>
    <row r="2216" spans="5:8">
      <c r="E2216" s="3"/>
      <c r="F2216" s="3"/>
      <c r="G2216" s="3"/>
      <c r="H2216" s="3"/>
    </row>
    <row r="2217" spans="5:8">
      <c r="E2217" s="3"/>
      <c r="F2217" s="3"/>
      <c r="G2217" s="3"/>
      <c r="H2217" s="3"/>
    </row>
    <row r="2218" spans="5:8">
      <c r="E2218" s="3"/>
      <c r="F2218" s="3"/>
      <c r="G2218" s="3"/>
      <c r="H2218" s="3"/>
    </row>
    <row r="2219" spans="5:8">
      <c r="E2219" s="3"/>
      <c r="F2219" s="3"/>
      <c r="G2219" s="3"/>
      <c r="H2219" s="3"/>
    </row>
    <row r="2220" spans="5:8">
      <c r="E2220" s="3"/>
      <c r="F2220" s="3"/>
      <c r="G2220" s="3"/>
      <c r="H2220" s="3"/>
    </row>
    <row r="2221" spans="5:8">
      <c r="E2221" s="3"/>
      <c r="F2221" s="3"/>
      <c r="G2221" s="3"/>
      <c r="H2221" s="3"/>
    </row>
    <row r="2222" spans="5:8">
      <c r="E2222" s="3"/>
      <c r="F2222" s="3"/>
      <c r="G2222" s="3"/>
      <c r="H2222" s="3"/>
    </row>
    <row r="2223" spans="5:8">
      <c r="E2223" s="3"/>
      <c r="F2223" s="3"/>
      <c r="G2223" s="3"/>
      <c r="H2223" s="3"/>
    </row>
    <row r="2224" spans="5:8">
      <c r="E2224" s="3"/>
      <c r="F2224" s="3"/>
      <c r="G2224" s="3"/>
      <c r="H2224" s="3"/>
    </row>
    <row r="2225" spans="5:8">
      <c r="E2225" s="3"/>
      <c r="F2225" s="3"/>
      <c r="G2225" s="3"/>
      <c r="H2225" s="3"/>
    </row>
    <row r="2226" spans="5:8">
      <c r="E2226" s="3"/>
      <c r="F2226" s="3"/>
      <c r="G2226" s="3"/>
      <c r="H2226" s="3"/>
    </row>
    <row r="2227" spans="5:8">
      <c r="E2227" s="3"/>
      <c r="F2227" s="3"/>
      <c r="G2227" s="3"/>
      <c r="H2227" s="3"/>
    </row>
    <row r="2228" spans="5:8">
      <c r="E2228" s="3"/>
      <c r="F2228" s="3"/>
      <c r="G2228" s="3"/>
      <c r="H2228" s="3"/>
    </row>
    <row r="2229" spans="5:8">
      <c r="E2229" s="3"/>
      <c r="F2229" s="3"/>
      <c r="G2229" s="3"/>
      <c r="H2229" s="3"/>
    </row>
    <row r="2230" spans="5:8">
      <c r="E2230" s="3"/>
      <c r="F2230" s="3"/>
      <c r="G2230" s="3"/>
      <c r="H2230" s="3"/>
    </row>
    <row r="2231" spans="5:8">
      <c r="E2231" s="3"/>
      <c r="F2231" s="3"/>
      <c r="G2231" s="3"/>
      <c r="H2231" s="3"/>
    </row>
    <row r="2232" spans="5:8">
      <c r="E2232" s="3"/>
      <c r="F2232" s="3"/>
      <c r="G2232" s="3"/>
      <c r="H2232" s="3"/>
    </row>
    <row r="2233" spans="5:8">
      <c r="E2233" s="3"/>
      <c r="F2233" s="3"/>
      <c r="G2233" s="3"/>
      <c r="H2233" s="3"/>
    </row>
    <row r="2234" spans="5:8">
      <c r="E2234" s="3"/>
      <c r="F2234" s="3"/>
      <c r="G2234" s="3"/>
      <c r="H2234" s="3"/>
    </row>
    <row r="2235" spans="5:8">
      <c r="E2235" s="3"/>
      <c r="F2235" s="3"/>
      <c r="G2235" s="3"/>
      <c r="H2235" s="3"/>
    </row>
    <row r="2236" spans="5:8">
      <c r="E2236" s="3"/>
      <c r="F2236" s="3"/>
      <c r="G2236" s="3"/>
      <c r="H2236" s="3"/>
    </row>
    <row r="2237" spans="5:8">
      <c r="E2237" s="3"/>
      <c r="F2237" s="3"/>
      <c r="G2237" s="3"/>
      <c r="H2237" s="3"/>
    </row>
    <row r="2238" spans="5:8">
      <c r="E2238" s="3"/>
      <c r="F2238" s="3"/>
      <c r="G2238" s="3"/>
      <c r="H2238" s="3"/>
    </row>
    <row r="2239" spans="5:8">
      <c r="E2239" s="3"/>
      <c r="F2239" s="3"/>
      <c r="G2239" s="3"/>
      <c r="H2239" s="3"/>
    </row>
    <row r="2240" spans="5:8">
      <c r="E2240" s="3"/>
      <c r="F2240" s="3"/>
      <c r="G2240" s="3"/>
      <c r="H2240" s="3"/>
    </row>
    <row r="2241" spans="5:8">
      <c r="E2241" s="3"/>
      <c r="F2241" s="3"/>
      <c r="G2241" s="3"/>
      <c r="H2241" s="3"/>
    </row>
    <row r="2242" spans="5:8">
      <c r="E2242" s="3"/>
      <c r="F2242" s="3"/>
      <c r="G2242" s="3"/>
      <c r="H2242" s="3"/>
    </row>
    <row r="2243" spans="5:8">
      <c r="E2243" s="3"/>
      <c r="F2243" s="3"/>
      <c r="G2243" s="3"/>
      <c r="H2243" s="3"/>
    </row>
    <row r="2244" spans="5:8">
      <c r="E2244" s="3"/>
      <c r="F2244" s="3"/>
      <c r="G2244" s="3"/>
      <c r="H2244" s="3"/>
    </row>
    <row r="2245" spans="5:8">
      <c r="E2245" s="3"/>
      <c r="F2245" s="3"/>
      <c r="G2245" s="3"/>
      <c r="H2245" s="3"/>
    </row>
    <row r="2246" spans="5:8">
      <c r="E2246" s="3"/>
      <c r="F2246" s="3"/>
      <c r="G2246" s="3"/>
      <c r="H2246" s="3"/>
    </row>
    <row r="2247" spans="5:8">
      <c r="E2247" s="3"/>
      <c r="F2247" s="3"/>
      <c r="G2247" s="3"/>
      <c r="H2247" s="3"/>
    </row>
    <row r="2248" spans="5:8">
      <c r="E2248" s="3"/>
      <c r="F2248" s="3"/>
      <c r="G2248" s="3"/>
      <c r="H2248" s="3"/>
    </row>
    <row r="2249" spans="5:8">
      <c r="E2249" s="3"/>
      <c r="F2249" s="3"/>
      <c r="G2249" s="3"/>
      <c r="H2249" s="3"/>
    </row>
    <row r="2250" spans="5:8">
      <c r="E2250" s="3"/>
      <c r="F2250" s="3"/>
      <c r="G2250" s="3"/>
      <c r="H2250" s="3"/>
    </row>
    <row r="2251" spans="5:8">
      <c r="E2251" s="3"/>
      <c r="F2251" s="3"/>
      <c r="G2251" s="3"/>
      <c r="H2251" s="3"/>
    </row>
    <row r="2252" spans="5:8">
      <c r="E2252" s="3"/>
      <c r="F2252" s="3"/>
      <c r="G2252" s="3"/>
      <c r="H2252" s="3"/>
    </row>
    <row r="2253" spans="5:8">
      <c r="E2253" s="3"/>
      <c r="F2253" s="3"/>
      <c r="G2253" s="3"/>
      <c r="H2253" s="3"/>
    </row>
    <row r="2254" spans="5:8">
      <c r="E2254" s="3"/>
      <c r="F2254" s="3"/>
      <c r="G2254" s="3"/>
      <c r="H2254" s="3"/>
    </row>
    <row r="2255" spans="5:8">
      <c r="E2255" s="3"/>
      <c r="F2255" s="3"/>
      <c r="G2255" s="3"/>
      <c r="H2255" s="3"/>
    </row>
    <row r="2256" spans="5:8">
      <c r="E2256" s="3"/>
      <c r="F2256" s="3"/>
      <c r="G2256" s="3"/>
      <c r="H2256" s="3"/>
    </row>
    <row r="2257" spans="5:8">
      <c r="E2257" s="3"/>
      <c r="F2257" s="3"/>
      <c r="G2257" s="3"/>
      <c r="H2257" s="3"/>
    </row>
    <row r="2258" spans="5:8">
      <c r="E2258" s="3"/>
      <c r="F2258" s="3"/>
      <c r="G2258" s="3"/>
      <c r="H2258" s="3"/>
    </row>
    <row r="2259" spans="5:8">
      <c r="E2259" s="3"/>
      <c r="F2259" s="3"/>
      <c r="G2259" s="3"/>
      <c r="H2259" s="3"/>
    </row>
    <row r="2260" spans="5:8">
      <c r="E2260" s="3"/>
      <c r="F2260" s="3"/>
      <c r="G2260" s="3"/>
      <c r="H2260" s="3"/>
    </row>
    <row r="2261" spans="5:8">
      <c r="E2261" s="3"/>
      <c r="F2261" s="3"/>
      <c r="G2261" s="3"/>
      <c r="H2261" s="3"/>
    </row>
    <row r="2262" spans="5:8">
      <c r="E2262" s="3"/>
      <c r="F2262" s="3"/>
      <c r="G2262" s="3"/>
      <c r="H2262" s="3"/>
    </row>
    <row r="2263" spans="5:8">
      <c r="E2263" s="3"/>
      <c r="F2263" s="3"/>
      <c r="G2263" s="3"/>
      <c r="H2263" s="3"/>
    </row>
    <row r="2264" spans="5:8">
      <c r="E2264" s="3"/>
      <c r="F2264" s="3"/>
      <c r="G2264" s="3"/>
      <c r="H2264" s="3"/>
    </row>
    <row r="2265" spans="5:8">
      <c r="E2265" s="3"/>
      <c r="F2265" s="3"/>
      <c r="G2265" s="3"/>
      <c r="H2265" s="3"/>
    </row>
    <row r="2266" spans="5:8">
      <c r="E2266" s="3"/>
      <c r="F2266" s="3"/>
      <c r="G2266" s="3"/>
      <c r="H2266" s="3"/>
    </row>
    <row r="2267" spans="5:8">
      <c r="E2267" s="3"/>
      <c r="F2267" s="3"/>
      <c r="G2267" s="3"/>
      <c r="H2267" s="3"/>
    </row>
    <row r="2268" spans="5:8">
      <c r="E2268" s="3"/>
      <c r="F2268" s="3"/>
      <c r="G2268" s="3"/>
      <c r="H2268" s="3"/>
    </row>
    <row r="2269" spans="5:8">
      <c r="E2269" s="3"/>
      <c r="F2269" s="3"/>
      <c r="G2269" s="3"/>
      <c r="H2269" s="3"/>
    </row>
    <row r="2270" spans="5:8">
      <c r="E2270" s="3"/>
      <c r="F2270" s="3"/>
      <c r="G2270" s="3"/>
      <c r="H2270" s="3"/>
    </row>
    <row r="2271" spans="5:8">
      <c r="E2271" s="3"/>
      <c r="F2271" s="3"/>
      <c r="G2271" s="3"/>
      <c r="H2271" s="3"/>
    </row>
    <row r="2272" spans="5:8">
      <c r="E2272" s="3"/>
      <c r="F2272" s="3"/>
      <c r="G2272" s="3"/>
      <c r="H2272" s="3"/>
    </row>
    <row r="2273" spans="5:8">
      <c r="E2273" s="3"/>
      <c r="F2273" s="3"/>
      <c r="G2273" s="3"/>
      <c r="H2273" s="3"/>
    </row>
    <row r="2274" spans="5:8">
      <c r="E2274" s="3"/>
      <c r="F2274" s="3"/>
      <c r="G2274" s="3"/>
      <c r="H2274" s="3"/>
    </row>
    <row r="2275" spans="5:8">
      <c r="E2275" s="3"/>
      <c r="F2275" s="3"/>
      <c r="G2275" s="3"/>
      <c r="H2275" s="3"/>
    </row>
    <row r="2276" spans="5:8">
      <c r="E2276" s="3"/>
      <c r="F2276" s="3"/>
      <c r="G2276" s="3"/>
      <c r="H2276" s="3"/>
    </row>
    <row r="2277" spans="5:8">
      <c r="E2277" s="3"/>
      <c r="F2277" s="3"/>
      <c r="G2277" s="3"/>
      <c r="H2277" s="3"/>
    </row>
    <row r="2278" spans="5:8">
      <c r="E2278" s="3"/>
      <c r="F2278" s="3"/>
      <c r="G2278" s="3"/>
      <c r="H2278" s="3"/>
    </row>
    <row r="2279" spans="5:8">
      <c r="E2279" s="3"/>
      <c r="F2279" s="3"/>
      <c r="G2279" s="3"/>
      <c r="H2279" s="3"/>
    </row>
    <row r="2280" spans="5:8">
      <c r="E2280" s="3"/>
      <c r="F2280" s="3"/>
      <c r="G2280" s="3"/>
      <c r="H2280" s="3"/>
    </row>
    <row r="2281" spans="5:8">
      <c r="E2281" s="3"/>
      <c r="F2281" s="3"/>
      <c r="G2281" s="3"/>
      <c r="H2281" s="3"/>
    </row>
    <row r="2282" spans="5:8">
      <c r="E2282" s="3"/>
      <c r="F2282" s="3"/>
      <c r="G2282" s="3"/>
      <c r="H2282" s="3"/>
    </row>
    <row r="2283" spans="5:8">
      <c r="E2283" s="3"/>
      <c r="F2283" s="3"/>
      <c r="G2283" s="3"/>
      <c r="H2283" s="3"/>
    </row>
    <row r="2284" spans="5:8">
      <c r="E2284" s="3"/>
      <c r="F2284" s="3"/>
      <c r="G2284" s="3"/>
      <c r="H2284" s="3"/>
    </row>
    <row r="2285" spans="5:8">
      <c r="E2285" s="3"/>
      <c r="F2285" s="3"/>
      <c r="G2285" s="3"/>
      <c r="H2285" s="3"/>
    </row>
    <row r="2286" spans="5:8">
      <c r="E2286" s="3"/>
      <c r="F2286" s="3"/>
      <c r="G2286" s="3"/>
      <c r="H2286" s="3"/>
    </row>
    <row r="2287" spans="5:8">
      <c r="E2287" s="3"/>
      <c r="F2287" s="3"/>
      <c r="G2287" s="3"/>
      <c r="H2287" s="3"/>
    </row>
    <row r="2288" spans="5:8">
      <c r="E2288" s="3"/>
      <c r="F2288" s="3"/>
      <c r="G2288" s="3"/>
      <c r="H2288" s="3"/>
    </row>
    <row r="2289" spans="5:8">
      <c r="E2289" s="3"/>
      <c r="F2289" s="3"/>
      <c r="G2289" s="3"/>
      <c r="H2289" s="3"/>
    </row>
    <row r="2290" spans="5:8">
      <c r="E2290" s="3"/>
      <c r="F2290" s="3"/>
      <c r="G2290" s="3"/>
      <c r="H2290" s="3"/>
    </row>
    <row r="2291" spans="5:8">
      <c r="E2291" s="3"/>
      <c r="F2291" s="3"/>
      <c r="G2291" s="3"/>
      <c r="H2291" s="3"/>
    </row>
    <row r="2292" spans="5:8">
      <c r="E2292" s="3"/>
      <c r="F2292" s="3"/>
      <c r="G2292" s="3"/>
      <c r="H2292" s="3"/>
    </row>
    <row r="2293" spans="5:8">
      <c r="E2293" s="3"/>
      <c r="F2293" s="3"/>
      <c r="G2293" s="3"/>
      <c r="H2293" s="3"/>
    </row>
    <row r="2294" spans="5:8">
      <c r="E2294" s="3"/>
      <c r="F2294" s="3"/>
      <c r="G2294" s="3"/>
      <c r="H2294" s="3"/>
    </row>
    <row r="2295" spans="5:8">
      <c r="E2295" s="3"/>
      <c r="F2295" s="3"/>
      <c r="G2295" s="3"/>
      <c r="H2295" s="3"/>
    </row>
    <row r="2296" spans="5:8">
      <c r="E2296" s="3"/>
      <c r="F2296" s="3"/>
      <c r="G2296" s="3"/>
      <c r="H2296" s="3"/>
    </row>
    <row r="2297" spans="5:8">
      <c r="E2297" s="3"/>
      <c r="F2297" s="3"/>
      <c r="G2297" s="3"/>
      <c r="H2297" s="3"/>
    </row>
    <row r="2298" spans="5:8">
      <c r="E2298" s="3"/>
      <c r="F2298" s="3"/>
      <c r="G2298" s="3"/>
      <c r="H2298" s="3"/>
    </row>
    <row r="2299" spans="5:8">
      <c r="E2299" s="3"/>
      <c r="F2299" s="3"/>
      <c r="G2299" s="3"/>
      <c r="H2299" s="3"/>
    </row>
    <row r="2300" spans="5:8">
      <c r="E2300" s="3"/>
      <c r="F2300" s="3"/>
      <c r="G2300" s="3"/>
      <c r="H2300" s="3"/>
    </row>
    <row r="2301" spans="5:8">
      <c r="E2301" s="3"/>
      <c r="F2301" s="3"/>
      <c r="G2301" s="3"/>
      <c r="H2301" s="3"/>
    </row>
    <row r="2302" spans="5:8">
      <c r="E2302" s="3"/>
      <c r="F2302" s="3"/>
      <c r="G2302" s="3"/>
      <c r="H2302" s="3"/>
    </row>
    <row r="2303" spans="5:8">
      <c r="E2303" s="3"/>
      <c r="F2303" s="3"/>
      <c r="G2303" s="3"/>
      <c r="H2303" s="3"/>
    </row>
    <row r="2304" spans="5:8">
      <c r="E2304" s="3"/>
      <c r="F2304" s="3"/>
      <c r="G2304" s="3"/>
      <c r="H2304" s="3"/>
    </row>
    <row r="2305" spans="5:8">
      <c r="E2305" s="3"/>
      <c r="F2305" s="3"/>
      <c r="G2305" s="3"/>
      <c r="H2305" s="3"/>
    </row>
    <row r="2306" spans="5:8">
      <c r="E2306" s="3"/>
      <c r="F2306" s="3"/>
      <c r="G2306" s="3"/>
      <c r="H2306" s="3"/>
    </row>
    <row r="2307" spans="5:8">
      <c r="E2307" s="3"/>
      <c r="F2307" s="3"/>
      <c r="G2307" s="3"/>
      <c r="H2307" s="3"/>
    </row>
    <row r="2308" spans="5:8">
      <c r="E2308" s="3"/>
      <c r="F2308" s="3"/>
      <c r="G2308" s="3"/>
      <c r="H2308" s="3"/>
    </row>
    <row r="2309" spans="5:8">
      <c r="E2309" s="3"/>
      <c r="F2309" s="3"/>
      <c r="G2309" s="3"/>
      <c r="H2309" s="3"/>
    </row>
    <row r="2310" spans="5:8">
      <c r="E2310" s="3"/>
      <c r="F2310" s="3"/>
      <c r="G2310" s="3"/>
      <c r="H2310" s="3"/>
    </row>
    <row r="2311" spans="5:8">
      <c r="E2311" s="3"/>
      <c r="F2311" s="3"/>
      <c r="G2311" s="3"/>
      <c r="H2311" s="3"/>
    </row>
    <row r="2312" spans="5:8">
      <c r="E2312" s="3"/>
      <c r="F2312" s="3"/>
      <c r="G2312" s="3"/>
      <c r="H2312" s="3"/>
    </row>
    <row r="2313" spans="5:8">
      <c r="E2313" s="3"/>
      <c r="F2313" s="3"/>
      <c r="G2313" s="3"/>
      <c r="H2313" s="3"/>
    </row>
    <row r="2314" spans="5:8">
      <c r="E2314" s="3"/>
      <c r="F2314" s="3"/>
      <c r="G2314" s="3"/>
      <c r="H2314" s="3"/>
    </row>
    <row r="2315" spans="5:8">
      <c r="E2315" s="3"/>
      <c r="F2315" s="3"/>
      <c r="G2315" s="3"/>
      <c r="H2315" s="3"/>
    </row>
    <row r="2316" spans="5:8">
      <c r="E2316" s="3"/>
      <c r="F2316" s="3"/>
      <c r="G2316" s="3"/>
      <c r="H2316" s="3"/>
    </row>
    <row r="2317" spans="5:8">
      <c r="E2317" s="3"/>
      <c r="F2317" s="3"/>
      <c r="G2317" s="3"/>
      <c r="H2317" s="3"/>
    </row>
    <row r="2318" spans="5:8">
      <c r="E2318" s="3"/>
      <c r="F2318" s="3"/>
      <c r="G2318" s="3"/>
      <c r="H2318" s="3"/>
    </row>
    <row r="2319" spans="5:8">
      <c r="E2319" s="3"/>
      <c r="F2319" s="3"/>
      <c r="G2319" s="3"/>
      <c r="H2319" s="3"/>
    </row>
    <row r="2320" spans="5:8">
      <c r="E2320" s="3"/>
      <c r="F2320" s="3"/>
      <c r="G2320" s="3"/>
      <c r="H2320" s="3"/>
    </row>
    <row r="2321" spans="5:8">
      <c r="E2321" s="3"/>
      <c r="F2321" s="3"/>
      <c r="G2321" s="3"/>
      <c r="H2321" s="3"/>
    </row>
    <row r="2322" spans="5:8">
      <c r="E2322" s="3"/>
      <c r="F2322" s="3"/>
      <c r="G2322" s="3"/>
      <c r="H2322" s="3"/>
    </row>
    <row r="2323" spans="5:8">
      <c r="E2323" s="3"/>
      <c r="F2323" s="3"/>
      <c r="G2323" s="3"/>
      <c r="H2323" s="3"/>
    </row>
    <row r="2324" spans="5:8">
      <c r="E2324" s="3"/>
      <c r="F2324" s="3"/>
      <c r="G2324" s="3"/>
      <c r="H2324" s="3"/>
    </row>
    <row r="2325" spans="5:8">
      <c r="E2325" s="3"/>
      <c r="F2325" s="3"/>
      <c r="G2325" s="3"/>
      <c r="H2325" s="3"/>
    </row>
    <row r="2326" spans="5:8">
      <c r="E2326" s="3"/>
      <c r="F2326" s="3"/>
      <c r="G2326" s="3"/>
      <c r="H2326" s="3"/>
    </row>
    <row r="2327" spans="5:8">
      <c r="E2327" s="3"/>
      <c r="F2327" s="3"/>
      <c r="G2327" s="3"/>
      <c r="H2327" s="3"/>
    </row>
    <row r="2328" spans="5:8">
      <c r="E2328" s="3"/>
      <c r="F2328" s="3"/>
      <c r="G2328" s="3"/>
      <c r="H2328" s="3"/>
    </row>
    <row r="2329" spans="5:8">
      <c r="E2329" s="3"/>
      <c r="F2329" s="3"/>
      <c r="G2329" s="3"/>
      <c r="H2329" s="3"/>
    </row>
    <row r="2330" spans="5:8">
      <c r="E2330" s="3"/>
      <c r="F2330" s="3"/>
      <c r="G2330" s="3"/>
      <c r="H2330" s="3"/>
    </row>
    <row r="2331" spans="5:8">
      <c r="E2331" s="3"/>
      <c r="F2331" s="3"/>
      <c r="G2331" s="3"/>
      <c r="H2331" s="3"/>
    </row>
    <row r="2332" spans="5:8">
      <c r="E2332" s="3"/>
      <c r="F2332" s="3"/>
      <c r="G2332" s="3"/>
      <c r="H2332" s="3"/>
    </row>
    <row r="2333" spans="5:8">
      <c r="E2333" s="3"/>
      <c r="F2333" s="3"/>
      <c r="G2333" s="3"/>
      <c r="H2333" s="3"/>
    </row>
    <row r="2334" spans="5:8">
      <c r="E2334" s="3"/>
      <c r="F2334" s="3"/>
      <c r="G2334" s="3"/>
      <c r="H2334" s="3"/>
    </row>
    <row r="2335" spans="5:8">
      <c r="E2335" s="3"/>
      <c r="F2335" s="3"/>
      <c r="G2335" s="3"/>
      <c r="H2335" s="3"/>
    </row>
    <row r="2336" spans="5:8">
      <c r="E2336" s="3"/>
      <c r="F2336" s="3"/>
      <c r="G2336" s="3"/>
      <c r="H2336" s="3"/>
    </row>
    <row r="2337" spans="5:8">
      <c r="E2337" s="3"/>
      <c r="F2337" s="3"/>
      <c r="G2337" s="3"/>
      <c r="H2337" s="3"/>
    </row>
    <row r="2338" spans="5:8">
      <c r="E2338" s="3"/>
      <c r="F2338" s="3"/>
      <c r="G2338" s="3"/>
      <c r="H2338" s="3"/>
    </row>
    <row r="2339" spans="5:8">
      <c r="E2339" s="3"/>
      <c r="F2339" s="3"/>
      <c r="G2339" s="3"/>
      <c r="H2339" s="3"/>
    </row>
    <row r="2340" spans="5:8">
      <c r="E2340" s="3"/>
      <c r="F2340" s="3"/>
      <c r="G2340" s="3"/>
      <c r="H2340" s="3"/>
    </row>
    <row r="2341" spans="5:8">
      <c r="E2341" s="3"/>
      <c r="F2341" s="3"/>
      <c r="G2341" s="3"/>
      <c r="H2341" s="3"/>
    </row>
    <row r="2342" spans="5:8">
      <c r="E2342" s="3"/>
      <c r="F2342" s="3"/>
      <c r="G2342" s="3"/>
      <c r="H2342" s="3"/>
    </row>
    <row r="2343" spans="5:8">
      <c r="E2343" s="3"/>
      <c r="F2343" s="3"/>
      <c r="G2343" s="3"/>
      <c r="H2343" s="3"/>
    </row>
    <row r="2344" spans="5:8">
      <c r="E2344" s="3"/>
      <c r="F2344" s="3"/>
      <c r="G2344" s="3"/>
      <c r="H2344" s="3"/>
    </row>
    <row r="2345" spans="5:8">
      <c r="E2345" s="3"/>
      <c r="F2345" s="3"/>
      <c r="G2345" s="3"/>
      <c r="H2345" s="3"/>
    </row>
    <row r="2346" spans="5:8">
      <c r="E2346" s="3"/>
      <c r="F2346" s="3"/>
      <c r="G2346" s="3"/>
      <c r="H2346" s="3"/>
    </row>
    <row r="2347" spans="5:8">
      <c r="E2347" s="3"/>
      <c r="F2347" s="3"/>
      <c r="G2347" s="3"/>
      <c r="H2347" s="3"/>
    </row>
    <row r="2348" spans="5:8">
      <c r="E2348" s="3"/>
      <c r="F2348" s="3"/>
      <c r="G2348" s="3"/>
      <c r="H2348" s="3"/>
    </row>
    <row r="2349" spans="5:8">
      <c r="E2349" s="3"/>
      <c r="F2349" s="3"/>
      <c r="G2349" s="3"/>
      <c r="H2349" s="3"/>
    </row>
    <row r="2350" spans="5:8">
      <c r="E2350" s="3"/>
      <c r="F2350" s="3"/>
      <c r="G2350" s="3"/>
      <c r="H2350" s="3"/>
    </row>
    <row r="2351" spans="5:8">
      <c r="E2351" s="3"/>
      <c r="F2351" s="3"/>
      <c r="G2351" s="3"/>
      <c r="H2351" s="3"/>
    </row>
    <row r="2352" spans="5:8">
      <c r="E2352" s="3"/>
      <c r="F2352" s="3"/>
      <c r="G2352" s="3"/>
      <c r="H2352" s="3"/>
    </row>
    <row r="2353" spans="5:8">
      <c r="E2353" s="3"/>
      <c r="F2353" s="3"/>
      <c r="G2353" s="3"/>
      <c r="H2353" s="3"/>
    </row>
    <row r="2354" spans="5:8">
      <c r="E2354" s="3"/>
      <c r="F2354" s="3"/>
      <c r="G2354" s="3"/>
      <c r="H2354" s="3"/>
    </row>
    <row r="2355" spans="5:8">
      <c r="E2355" s="3"/>
      <c r="F2355" s="3"/>
      <c r="G2355" s="3"/>
      <c r="H2355" s="3"/>
    </row>
    <row r="2356" spans="5:8">
      <c r="E2356" s="3"/>
      <c r="F2356" s="3"/>
      <c r="G2356" s="3"/>
      <c r="H2356" s="3"/>
    </row>
    <row r="2357" spans="5:8">
      <c r="E2357" s="3"/>
      <c r="F2357" s="3"/>
      <c r="G2357" s="3"/>
      <c r="H2357" s="3"/>
    </row>
    <row r="2358" spans="5:8">
      <c r="E2358" s="3"/>
      <c r="F2358" s="3"/>
      <c r="G2358" s="3"/>
      <c r="H2358" s="3"/>
    </row>
    <row r="2359" spans="5:8">
      <c r="E2359" s="3"/>
      <c r="F2359" s="3"/>
      <c r="G2359" s="3"/>
      <c r="H2359" s="3"/>
    </row>
    <row r="2360" spans="5:8">
      <c r="E2360" s="3"/>
      <c r="F2360" s="3"/>
      <c r="G2360" s="3"/>
      <c r="H2360" s="3"/>
    </row>
    <row r="2361" spans="5:8">
      <c r="E2361" s="3"/>
      <c r="F2361" s="3"/>
      <c r="G2361" s="3"/>
      <c r="H2361" s="3"/>
    </row>
    <row r="2362" spans="5:8">
      <c r="E2362" s="3"/>
      <c r="F2362" s="3"/>
      <c r="G2362" s="3"/>
      <c r="H2362" s="3"/>
    </row>
    <row r="2363" spans="5:8">
      <c r="E2363" s="3"/>
      <c r="F2363" s="3"/>
      <c r="G2363" s="3"/>
      <c r="H2363" s="3"/>
    </row>
    <row r="2364" spans="5:8">
      <c r="E2364" s="3"/>
      <c r="F2364" s="3"/>
      <c r="G2364" s="3"/>
      <c r="H2364" s="3"/>
    </row>
    <row r="2365" spans="5:8">
      <c r="E2365" s="3"/>
      <c r="F2365" s="3"/>
      <c r="G2365" s="3"/>
      <c r="H2365" s="3"/>
    </row>
    <row r="2366" spans="5:8">
      <c r="E2366" s="3"/>
      <c r="F2366" s="3"/>
      <c r="G2366" s="3"/>
      <c r="H2366" s="3"/>
    </row>
    <row r="2367" spans="5:8">
      <c r="E2367" s="3"/>
      <c r="F2367" s="3"/>
      <c r="G2367" s="3"/>
      <c r="H2367" s="3"/>
    </row>
    <row r="2368" spans="5:8">
      <c r="E2368" s="3"/>
      <c r="F2368" s="3"/>
      <c r="G2368" s="3"/>
      <c r="H2368" s="3"/>
    </row>
    <row r="2369" spans="5:8">
      <c r="E2369" s="3"/>
      <c r="F2369" s="3"/>
      <c r="G2369" s="3"/>
      <c r="H2369" s="3"/>
    </row>
    <row r="2370" spans="5:8">
      <c r="E2370" s="3"/>
      <c r="F2370" s="3"/>
      <c r="G2370" s="3"/>
      <c r="H2370" s="3"/>
    </row>
    <row r="2371" spans="5:8">
      <c r="E2371" s="3"/>
      <c r="F2371" s="3"/>
      <c r="G2371" s="3"/>
      <c r="H2371" s="3"/>
    </row>
    <row r="2372" spans="5:8">
      <c r="E2372" s="3"/>
      <c r="F2372" s="3"/>
      <c r="G2372" s="3"/>
      <c r="H2372" s="3"/>
    </row>
    <row r="2373" spans="5:8">
      <c r="E2373" s="3"/>
      <c r="F2373" s="3"/>
      <c r="G2373" s="3"/>
      <c r="H2373" s="3"/>
    </row>
    <row r="2374" spans="5:8">
      <c r="E2374" s="3"/>
      <c r="F2374" s="3"/>
      <c r="G2374" s="3"/>
      <c r="H2374" s="3"/>
    </row>
    <row r="2375" spans="5:8">
      <c r="E2375" s="3"/>
      <c r="F2375" s="3"/>
      <c r="G2375" s="3"/>
      <c r="H2375" s="3"/>
    </row>
    <row r="2376" spans="5:8">
      <c r="E2376" s="3"/>
      <c r="F2376" s="3"/>
      <c r="G2376" s="3"/>
      <c r="H2376" s="3"/>
    </row>
    <row r="2377" spans="5:8">
      <c r="E2377" s="3"/>
      <c r="F2377" s="3"/>
      <c r="G2377" s="3"/>
      <c r="H2377" s="3"/>
    </row>
    <row r="2378" spans="5:8">
      <c r="E2378" s="3"/>
      <c r="F2378" s="3"/>
      <c r="G2378" s="3"/>
      <c r="H2378" s="3"/>
    </row>
    <row r="2379" spans="5:8">
      <c r="E2379" s="3"/>
      <c r="F2379" s="3"/>
      <c r="G2379" s="3"/>
      <c r="H2379" s="3"/>
    </row>
    <row r="2380" spans="5:8">
      <c r="E2380" s="3"/>
      <c r="F2380" s="3"/>
      <c r="G2380" s="3"/>
      <c r="H2380" s="3"/>
    </row>
    <row r="2381" spans="5:8">
      <c r="E2381" s="3"/>
      <c r="F2381" s="3"/>
      <c r="G2381" s="3"/>
      <c r="H2381" s="3"/>
    </row>
    <row r="2382" spans="5:8">
      <c r="E2382" s="3"/>
      <c r="F2382" s="3"/>
      <c r="G2382" s="3"/>
      <c r="H2382" s="3"/>
    </row>
    <row r="2383" spans="5:8">
      <c r="E2383" s="3"/>
      <c r="F2383" s="3"/>
      <c r="G2383" s="3"/>
      <c r="H2383" s="3"/>
    </row>
    <row r="2384" spans="5:8">
      <c r="E2384" s="3"/>
      <c r="F2384" s="3"/>
      <c r="G2384" s="3"/>
      <c r="H2384" s="3"/>
    </row>
    <row r="2385" spans="5:8">
      <c r="E2385" s="3"/>
      <c r="F2385" s="3"/>
      <c r="G2385" s="3"/>
      <c r="H2385" s="3"/>
    </row>
    <row r="2386" spans="5:8">
      <c r="E2386" s="3"/>
      <c r="F2386" s="3"/>
      <c r="G2386" s="3"/>
      <c r="H2386" s="3"/>
    </row>
    <row r="2387" spans="5:8">
      <c r="E2387" s="3"/>
      <c r="F2387" s="3"/>
      <c r="G2387" s="3"/>
      <c r="H2387" s="3"/>
    </row>
    <row r="2388" spans="5:8">
      <c r="E2388" s="3"/>
      <c r="F2388" s="3"/>
      <c r="G2388" s="3"/>
      <c r="H2388" s="3"/>
    </row>
    <row r="2389" spans="5:8">
      <c r="E2389" s="3"/>
      <c r="F2389" s="3"/>
      <c r="G2389" s="3"/>
      <c r="H2389" s="3"/>
    </row>
    <row r="2390" spans="5:8">
      <c r="E2390" s="3"/>
      <c r="F2390" s="3"/>
      <c r="G2390" s="3"/>
      <c r="H2390" s="3"/>
    </row>
    <row r="2391" spans="5:8">
      <c r="E2391" s="3"/>
      <c r="F2391" s="3"/>
      <c r="G2391" s="3"/>
      <c r="H2391" s="3"/>
    </row>
    <row r="2392" spans="5:8">
      <c r="E2392" s="3"/>
      <c r="F2392" s="3"/>
      <c r="G2392" s="3"/>
      <c r="H2392" s="3"/>
    </row>
    <row r="2393" spans="5:8">
      <c r="E2393" s="3"/>
      <c r="F2393" s="3"/>
      <c r="G2393" s="3"/>
      <c r="H2393" s="3"/>
    </row>
    <row r="2394" spans="5:8">
      <c r="E2394" s="3"/>
      <c r="F2394" s="3"/>
      <c r="G2394" s="3"/>
      <c r="H2394" s="3"/>
    </row>
    <row r="2395" spans="5:8">
      <c r="E2395" s="3"/>
      <c r="F2395" s="3"/>
      <c r="G2395" s="3"/>
      <c r="H2395" s="3"/>
    </row>
    <row r="2396" spans="5:8">
      <c r="E2396" s="3"/>
      <c r="F2396" s="3"/>
      <c r="G2396" s="3"/>
      <c r="H2396" s="3"/>
    </row>
    <row r="2397" spans="5:8">
      <c r="E2397" s="3"/>
      <c r="F2397" s="3"/>
      <c r="G2397" s="3"/>
      <c r="H2397" s="3"/>
    </row>
    <row r="2398" spans="5:8">
      <c r="E2398" s="3"/>
      <c r="F2398" s="3"/>
      <c r="G2398" s="3"/>
      <c r="H2398" s="3"/>
    </row>
    <row r="2399" spans="5:8">
      <c r="E2399" s="3"/>
      <c r="F2399" s="3"/>
      <c r="G2399" s="3"/>
      <c r="H2399" s="3"/>
    </row>
    <row r="2400" spans="5:8">
      <c r="E2400" s="3"/>
      <c r="F2400" s="3"/>
      <c r="G2400" s="3"/>
      <c r="H2400" s="3"/>
    </row>
    <row r="2401" spans="5:8">
      <c r="E2401" s="3"/>
      <c r="F2401" s="3"/>
      <c r="G2401" s="3"/>
      <c r="H2401" s="3"/>
    </row>
    <row r="2402" spans="5:8">
      <c r="E2402" s="3"/>
      <c r="F2402" s="3"/>
      <c r="G2402" s="3"/>
      <c r="H2402" s="3"/>
    </row>
    <row r="2403" spans="5:8">
      <c r="E2403" s="3"/>
      <c r="F2403" s="3"/>
      <c r="G2403" s="3"/>
      <c r="H2403" s="3"/>
    </row>
    <row r="2404" spans="5:8">
      <c r="E2404" s="3"/>
      <c r="F2404" s="3"/>
      <c r="G2404" s="3"/>
      <c r="H2404" s="3"/>
    </row>
    <row r="2405" spans="5:8">
      <c r="E2405" s="3"/>
      <c r="F2405" s="3"/>
      <c r="G2405" s="3"/>
      <c r="H2405" s="3"/>
    </row>
    <row r="2406" spans="5:8">
      <c r="E2406" s="3"/>
      <c r="F2406" s="3"/>
      <c r="G2406" s="3"/>
      <c r="H2406" s="3"/>
    </row>
    <row r="2407" spans="5:8">
      <c r="E2407" s="3"/>
      <c r="F2407" s="3"/>
      <c r="G2407" s="3"/>
      <c r="H2407" s="3"/>
    </row>
    <row r="2408" spans="5:8">
      <c r="E2408" s="3"/>
      <c r="F2408" s="3"/>
      <c r="G2408" s="3"/>
      <c r="H2408" s="3"/>
    </row>
    <row r="2409" spans="5:8">
      <c r="E2409" s="3"/>
      <c r="F2409" s="3"/>
      <c r="G2409" s="3"/>
      <c r="H2409" s="3"/>
    </row>
    <row r="2410" spans="5:8">
      <c r="E2410" s="3"/>
      <c r="F2410" s="3"/>
      <c r="G2410" s="3"/>
      <c r="H2410" s="3"/>
    </row>
    <row r="2411" spans="5:8">
      <c r="E2411" s="3"/>
      <c r="F2411" s="3"/>
      <c r="G2411" s="3"/>
      <c r="H2411" s="3"/>
    </row>
    <row r="2412" spans="5:8">
      <c r="E2412" s="3"/>
      <c r="F2412" s="3"/>
      <c r="G2412" s="3"/>
      <c r="H2412" s="3"/>
    </row>
    <row r="2413" spans="5:8">
      <c r="E2413" s="3"/>
      <c r="F2413" s="3"/>
      <c r="G2413" s="3"/>
      <c r="H2413" s="3"/>
    </row>
    <row r="2414" spans="5:8">
      <c r="E2414" s="3"/>
      <c r="F2414" s="3"/>
      <c r="G2414" s="3"/>
      <c r="H2414" s="3"/>
    </row>
    <row r="2415" spans="5:8">
      <c r="E2415" s="3"/>
      <c r="F2415" s="3"/>
      <c r="G2415" s="3"/>
      <c r="H2415" s="3"/>
    </row>
    <row r="2416" spans="5:8">
      <c r="E2416" s="3"/>
      <c r="F2416" s="3"/>
      <c r="G2416" s="3"/>
      <c r="H2416" s="3"/>
    </row>
    <row r="2417" spans="5:8">
      <c r="E2417" s="3"/>
      <c r="F2417" s="3"/>
      <c r="G2417" s="3"/>
      <c r="H2417" s="3"/>
    </row>
    <row r="2418" spans="5:8">
      <c r="E2418" s="3"/>
      <c r="F2418" s="3"/>
      <c r="G2418" s="3"/>
      <c r="H2418" s="3"/>
    </row>
    <row r="2419" spans="5:8">
      <c r="E2419" s="3"/>
      <c r="F2419" s="3"/>
      <c r="G2419" s="3"/>
      <c r="H2419" s="3"/>
    </row>
    <row r="2420" spans="5:8">
      <c r="E2420" s="3"/>
      <c r="F2420" s="3"/>
      <c r="G2420" s="3"/>
      <c r="H2420" s="3"/>
    </row>
    <row r="2421" spans="5:8">
      <c r="E2421" s="3"/>
      <c r="F2421" s="3"/>
      <c r="G2421" s="3"/>
      <c r="H2421" s="3"/>
    </row>
    <row r="2422" spans="5:8">
      <c r="E2422" s="3"/>
      <c r="F2422" s="3"/>
      <c r="G2422" s="3"/>
      <c r="H2422" s="3"/>
    </row>
    <row r="2423" spans="5:8">
      <c r="E2423" s="3"/>
      <c r="F2423" s="3"/>
      <c r="G2423" s="3"/>
      <c r="H2423" s="3"/>
    </row>
    <row r="2424" spans="5:8">
      <c r="E2424" s="3"/>
      <c r="F2424" s="3"/>
      <c r="G2424" s="3"/>
      <c r="H2424" s="3"/>
    </row>
    <row r="2425" spans="5:8">
      <c r="E2425" s="3"/>
      <c r="F2425" s="3"/>
      <c r="G2425" s="3"/>
      <c r="H2425" s="3"/>
    </row>
    <row r="2426" spans="5:8">
      <c r="E2426" s="3"/>
      <c r="F2426" s="3"/>
      <c r="G2426" s="3"/>
      <c r="H2426" s="3"/>
    </row>
    <row r="2427" spans="5:8">
      <c r="E2427" s="3"/>
      <c r="F2427" s="3"/>
      <c r="G2427" s="3"/>
      <c r="H2427" s="3"/>
    </row>
    <row r="2428" spans="5:8">
      <c r="E2428" s="3"/>
      <c r="F2428" s="3"/>
      <c r="G2428" s="3"/>
      <c r="H2428" s="3"/>
    </row>
    <row r="2429" spans="5:8">
      <c r="E2429" s="3"/>
      <c r="F2429" s="3"/>
      <c r="G2429" s="3"/>
      <c r="H2429" s="3"/>
    </row>
    <row r="2430" spans="5:8">
      <c r="E2430" s="3"/>
      <c r="F2430" s="3"/>
      <c r="G2430" s="3"/>
      <c r="H2430" s="3"/>
    </row>
    <row r="2431" spans="5:8">
      <c r="E2431" s="3"/>
      <c r="F2431" s="3"/>
      <c r="G2431" s="3"/>
      <c r="H2431" s="3"/>
    </row>
    <row r="2432" spans="5:8">
      <c r="E2432" s="3"/>
      <c r="F2432" s="3"/>
      <c r="G2432" s="3"/>
      <c r="H2432" s="3"/>
    </row>
    <row r="2433" spans="5:8">
      <c r="E2433" s="3"/>
      <c r="F2433" s="3"/>
      <c r="G2433" s="3"/>
      <c r="H2433" s="3"/>
    </row>
    <row r="2434" spans="5:8">
      <c r="E2434" s="3"/>
      <c r="F2434" s="3"/>
      <c r="G2434" s="3"/>
      <c r="H2434" s="3"/>
    </row>
    <row r="2435" spans="5:8">
      <c r="E2435" s="3"/>
      <c r="F2435" s="3"/>
      <c r="G2435" s="3"/>
      <c r="H2435" s="3"/>
    </row>
    <row r="2436" spans="5:8">
      <c r="E2436" s="3"/>
      <c r="F2436" s="3"/>
      <c r="G2436" s="3"/>
      <c r="H2436" s="3"/>
    </row>
    <row r="2437" spans="5:8">
      <c r="E2437" s="3"/>
      <c r="F2437" s="3"/>
      <c r="G2437" s="3"/>
      <c r="H2437" s="3"/>
    </row>
    <row r="2438" spans="5:8">
      <c r="E2438" s="3"/>
      <c r="F2438" s="3"/>
      <c r="G2438" s="3"/>
      <c r="H2438" s="3"/>
    </row>
    <row r="2439" spans="5:8">
      <c r="E2439" s="3"/>
      <c r="F2439" s="3"/>
      <c r="G2439" s="3"/>
      <c r="H2439" s="3"/>
    </row>
    <row r="2440" spans="5:8">
      <c r="E2440" s="3"/>
      <c r="F2440" s="3"/>
      <c r="G2440" s="3"/>
      <c r="H2440" s="3"/>
    </row>
    <row r="2441" spans="5:8">
      <c r="E2441" s="3"/>
      <c r="F2441" s="3"/>
      <c r="G2441" s="3"/>
      <c r="H2441" s="3"/>
    </row>
    <row r="2442" spans="5:8">
      <c r="E2442" s="3"/>
      <c r="F2442" s="3"/>
      <c r="G2442" s="3"/>
      <c r="H2442" s="3"/>
    </row>
    <row r="2443" spans="5:8">
      <c r="E2443" s="3"/>
      <c r="F2443" s="3"/>
      <c r="G2443" s="3"/>
      <c r="H2443" s="3"/>
    </row>
    <row r="2444" spans="5:8">
      <c r="E2444" s="3"/>
      <c r="F2444" s="3"/>
      <c r="G2444" s="3"/>
      <c r="H2444" s="3"/>
    </row>
    <row r="2445" spans="5:8">
      <c r="E2445" s="3"/>
      <c r="F2445" s="3"/>
      <c r="G2445" s="3"/>
      <c r="H2445" s="3"/>
    </row>
    <row r="2446" spans="5:8">
      <c r="E2446" s="3"/>
      <c r="F2446" s="3"/>
      <c r="G2446" s="3"/>
      <c r="H2446" s="3"/>
    </row>
    <row r="2447" spans="5:8">
      <c r="E2447" s="3"/>
      <c r="F2447" s="3"/>
      <c r="G2447" s="3"/>
      <c r="H2447" s="3"/>
    </row>
    <row r="2448" spans="5:8">
      <c r="E2448" s="3"/>
      <c r="F2448" s="3"/>
      <c r="G2448" s="3"/>
      <c r="H2448" s="3"/>
    </row>
    <row r="2449" spans="5:8">
      <c r="E2449" s="3"/>
      <c r="F2449" s="3"/>
      <c r="G2449" s="3"/>
      <c r="H2449" s="3"/>
    </row>
    <row r="2450" spans="5:8">
      <c r="E2450" s="3"/>
      <c r="F2450" s="3"/>
      <c r="G2450" s="3"/>
      <c r="H2450" s="3"/>
    </row>
    <row r="2451" spans="5:8">
      <c r="E2451" s="3"/>
      <c r="F2451" s="3"/>
      <c r="G2451" s="3"/>
      <c r="H2451" s="3"/>
    </row>
    <row r="2452" spans="5:8">
      <c r="E2452" s="3"/>
      <c r="F2452" s="3"/>
      <c r="G2452" s="3"/>
      <c r="H2452" s="3"/>
    </row>
    <row r="2453" spans="5:8">
      <c r="E2453" s="3"/>
      <c r="F2453" s="3"/>
      <c r="G2453" s="3"/>
      <c r="H2453" s="3"/>
    </row>
    <row r="2454" spans="5:8">
      <c r="E2454" s="3"/>
      <c r="F2454" s="3"/>
      <c r="G2454" s="3"/>
      <c r="H2454" s="3"/>
    </row>
    <row r="2455" spans="5:8">
      <c r="E2455" s="3"/>
      <c r="F2455" s="3"/>
      <c r="G2455" s="3"/>
      <c r="H2455" s="3"/>
    </row>
    <row r="2456" spans="5:8">
      <c r="E2456" s="3"/>
      <c r="F2456" s="3"/>
      <c r="G2456" s="3"/>
      <c r="H2456" s="3"/>
    </row>
    <row r="2457" spans="5:8">
      <c r="E2457" s="3"/>
      <c r="F2457" s="3"/>
      <c r="G2457" s="3"/>
      <c r="H2457" s="3"/>
    </row>
    <row r="2458" spans="5:8">
      <c r="E2458" s="3"/>
      <c r="F2458" s="3"/>
      <c r="G2458" s="3"/>
      <c r="H2458" s="3"/>
    </row>
    <row r="2459" spans="5:8">
      <c r="E2459" s="3"/>
      <c r="F2459" s="3"/>
      <c r="G2459" s="3"/>
      <c r="H2459" s="3"/>
    </row>
    <row r="2460" spans="5:8">
      <c r="E2460" s="3"/>
      <c r="F2460" s="3"/>
      <c r="G2460" s="3"/>
      <c r="H2460" s="3"/>
    </row>
    <row r="2461" spans="5:8">
      <c r="E2461" s="3"/>
      <c r="F2461" s="3"/>
      <c r="G2461" s="3"/>
      <c r="H2461" s="3"/>
    </row>
    <row r="2462" spans="5:8">
      <c r="E2462" s="3"/>
      <c r="F2462" s="3"/>
      <c r="G2462" s="3"/>
      <c r="H2462" s="3"/>
    </row>
    <row r="2463" spans="5:8">
      <c r="E2463" s="3"/>
      <c r="F2463" s="3"/>
      <c r="G2463" s="3"/>
      <c r="H2463" s="3"/>
    </row>
    <row r="2464" spans="5:8">
      <c r="E2464" s="3"/>
      <c r="F2464" s="3"/>
      <c r="G2464" s="3"/>
      <c r="H2464" s="3"/>
    </row>
    <row r="2465" spans="5:8">
      <c r="E2465" s="3"/>
      <c r="F2465" s="3"/>
      <c r="G2465" s="3"/>
      <c r="H2465" s="3"/>
    </row>
    <row r="2466" spans="5:8">
      <c r="E2466" s="3"/>
      <c r="F2466" s="3"/>
      <c r="G2466" s="3"/>
      <c r="H2466" s="3"/>
    </row>
    <row r="2467" spans="5:8">
      <c r="E2467" s="3"/>
      <c r="F2467" s="3"/>
      <c r="G2467" s="3"/>
      <c r="H2467" s="3"/>
    </row>
    <row r="2468" spans="5:8">
      <c r="E2468" s="3"/>
      <c r="F2468" s="3"/>
      <c r="G2468" s="3"/>
      <c r="H2468" s="3"/>
    </row>
    <row r="2469" spans="5:8">
      <c r="E2469" s="3"/>
      <c r="F2469" s="3"/>
      <c r="G2469" s="3"/>
      <c r="H2469" s="3"/>
    </row>
    <row r="2470" spans="5:8">
      <c r="E2470" s="3"/>
      <c r="F2470" s="3"/>
      <c r="G2470" s="3"/>
      <c r="H2470" s="3"/>
    </row>
    <row r="2471" spans="5:8">
      <c r="E2471" s="3"/>
      <c r="F2471" s="3"/>
      <c r="G2471" s="3"/>
      <c r="H2471" s="3"/>
    </row>
    <row r="2472" spans="5:8">
      <c r="E2472" s="3"/>
      <c r="F2472" s="3"/>
      <c r="G2472" s="3"/>
      <c r="H2472" s="3"/>
    </row>
    <row r="2473" spans="5:8">
      <c r="E2473" s="3"/>
      <c r="F2473" s="3"/>
      <c r="G2473" s="3"/>
      <c r="H2473" s="3"/>
    </row>
    <row r="2474" spans="5:8">
      <c r="E2474" s="3"/>
      <c r="F2474" s="3"/>
      <c r="G2474" s="3"/>
      <c r="H2474" s="3"/>
    </row>
    <row r="2475" spans="5:8">
      <c r="E2475" s="3"/>
      <c r="F2475" s="3"/>
      <c r="G2475" s="3"/>
      <c r="H2475" s="3"/>
    </row>
    <row r="2476" spans="5:8">
      <c r="E2476" s="3"/>
      <c r="F2476" s="3"/>
      <c r="G2476" s="3"/>
      <c r="H2476" s="3"/>
    </row>
    <row r="2477" spans="5:8">
      <c r="E2477" s="3"/>
      <c r="F2477" s="3"/>
      <c r="G2477" s="3"/>
      <c r="H2477" s="3"/>
    </row>
    <row r="2478" spans="5:8">
      <c r="E2478" s="3"/>
      <c r="F2478" s="3"/>
      <c r="G2478" s="3"/>
      <c r="H2478" s="3"/>
    </row>
    <row r="2479" spans="5:8">
      <c r="E2479" s="3"/>
      <c r="F2479" s="3"/>
      <c r="G2479" s="3"/>
      <c r="H2479" s="3"/>
    </row>
    <row r="2480" spans="5:8">
      <c r="E2480" s="3"/>
      <c r="F2480" s="3"/>
      <c r="G2480" s="3"/>
      <c r="H2480" s="3"/>
    </row>
    <row r="2481" spans="5:8">
      <c r="E2481" s="3"/>
      <c r="F2481" s="3"/>
      <c r="G2481" s="3"/>
      <c r="H2481" s="3"/>
    </row>
    <row r="2482" spans="5:8">
      <c r="E2482" s="3"/>
      <c r="F2482" s="3"/>
      <c r="G2482" s="3"/>
      <c r="H2482" s="3"/>
    </row>
    <row r="2483" spans="5:8">
      <c r="E2483" s="3"/>
      <c r="F2483" s="3"/>
      <c r="G2483" s="3"/>
      <c r="H2483" s="3"/>
    </row>
    <row r="2484" spans="5:8">
      <c r="E2484" s="3"/>
      <c r="F2484" s="3"/>
      <c r="G2484" s="3"/>
      <c r="H2484" s="3"/>
    </row>
    <row r="2485" spans="5:8">
      <c r="E2485" s="3"/>
      <c r="F2485" s="3"/>
      <c r="G2485" s="3"/>
      <c r="H2485" s="3"/>
    </row>
    <row r="2486" spans="5:8">
      <c r="E2486" s="3"/>
      <c r="F2486" s="3"/>
      <c r="G2486" s="3"/>
      <c r="H2486" s="3"/>
    </row>
    <row r="2487" spans="5:8">
      <c r="E2487" s="3"/>
      <c r="F2487" s="3"/>
      <c r="G2487" s="3"/>
      <c r="H2487" s="3"/>
    </row>
    <row r="2488" spans="5:8">
      <c r="E2488" s="3"/>
      <c r="F2488" s="3"/>
      <c r="G2488" s="3"/>
      <c r="H2488" s="3"/>
    </row>
    <row r="2489" spans="5:8">
      <c r="E2489" s="3"/>
      <c r="F2489" s="3"/>
      <c r="G2489" s="3"/>
      <c r="H2489" s="3"/>
    </row>
    <row r="2490" spans="5:8">
      <c r="E2490" s="3"/>
      <c r="F2490" s="3"/>
      <c r="G2490" s="3"/>
      <c r="H2490" s="3"/>
    </row>
    <row r="2491" spans="5:8">
      <c r="E2491" s="3"/>
      <c r="F2491" s="3"/>
      <c r="G2491" s="3"/>
      <c r="H2491" s="3"/>
    </row>
    <row r="2492" spans="5:8">
      <c r="E2492" s="3"/>
      <c r="F2492" s="3"/>
      <c r="G2492" s="3"/>
      <c r="H2492" s="3"/>
    </row>
    <row r="2493" spans="5:8">
      <c r="E2493" s="3"/>
      <c r="F2493" s="3"/>
      <c r="G2493" s="3"/>
      <c r="H2493" s="3"/>
    </row>
    <row r="2494" spans="5:8">
      <c r="E2494" s="3"/>
      <c r="F2494" s="3"/>
      <c r="G2494" s="3"/>
      <c r="H2494" s="3"/>
    </row>
    <row r="2495" spans="5:8">
      <c r="E2495" s="3"/>
      <c r="F2495" s="3"/>
      <c r="G2495" s="3"/>
      <c r="H2495" s="3"/>
    </row>
    <row r="2496" spans="5:8">
      <c r="E2496" s="3"/>
      <c r="F2496" s="3"/>
      <c r="G2496" s="3"/>
      <c r="H2496" s="3"/>
    </row>
    <row r="2497" spans="5:8">
      <c r="E2497" s="3"/>
      <c r="F2497" s="3"/>
      <c r="G2497" s="3"/>
      <c r="H2497" s="3"/>
    </row>
    <row r="2498" spans="5:8">
      <c r="E2498" s="3"/>
      <c r="F2498" s="3"/>
      <c r="G2498" s="3"/>
      <c r="H2498" s="3"/>
    </row>
    <row r="2499" spans="5:8">
      <c r="E2499" s="3"/>
      <c r="F2499" s="3"/>
      <c r="G2499" s="3"/>
      <c r="H2499" s="3"/>
    </row>
    <row r="2500" spans="5:8">
      <c r="E2500" s="3"/>
      <c r="F2500" s="3"/>
      <c r="G2500" s="3"/>
      <c r="H2500" s="3"/>
    </row>
    <row r="2501" spans="5:8">
      <c r="E2501" s="3"/>
      <c r="F2501" s="3"/>
      <c r="G2501" s="3"/>
      <c r="H2501" s="3"/>
    </row>
    <row r="2502" spans="5:8">
      <c r="E2502" s="3"/>
      <c r="F2502" s="3"/>
      <c r="G2502" s="3"/>
      <c r="H2502" s="3"/>
    </row>
    <row r="2503" spans="5:8">
      <c r="E2503" s="3"/>
      <c r="F2503" s="3"/>
      <c r="G2503" s="3"/>
      <c r="H2503" s="3"/>
    </row>
    <row r="2504" spans="5:8">
      <c r="E2504" s="3"/>
      <c r="F2504" s="3"/>
      <c r="G2504" s="3"/>
      <c r="H2504" s="3"/>
    </row>
    <row r="2505" spans="5:8">
      <c r="E2505" s="3"/>
      <c r="F2505" s="3"/>
      <c r="G2505" s="3"/>
      <c r="H2505" s="3"/>
    </row>
    <row r="2506" spans="5:8">
      <c r="E2506" s="3"/>
      <c r="F2506" s="3"/>
      <c r="G2506" s="3"/>
      <c r="H2506" s="3"/>
    </row>
    <row r="2507" spans="5:8">
      <c r="E2507" s="3"/>
      <c r="F2507" s="3"/>
      <c r="G2507" s="3"/>
      <c r="H2507" s="3"/>
    </row>
    <row r="2508" spans="5:8">
      <c r="E2508" s="3"/>
      <c r="F2508" s="3"/>
      <c r="G2508" s="3"/>
      <c r="H2508" s="3"/>
    </row>
    <row r="2509" spans="5:8">
      <c r="E2509" s="3"/>
      <c r="F2509" s="3"/>
      <c r="G2509" s="3"/>
      <c r="H2509" s="3"/>
    </row>
    <row r="2510" spans="5:8">
      <c r="E2510" s="3"/>
      <c r="F2510" s="3"/>
      <c r="G2510" s="3"/>
      <c r="H2510" s="3"/>
    </row>
    <row r="2511" spans="5:8">
      <c r="E2511" s="3"/>
      <c r="F2511" s="3"/>
      <c r="G2511" s="3"/>
      <c r="H2511" s="3"/>
    </row>
    <row r="2512" spans="5:8">
      <c r="E2512" s="3"/>
      <c r="F2512" s="3"/>
      <c r="G2512" s="3"/>
      <c r="H2512" s="3"/>
    </row>
    <row r="2513" spans="5:8">
      <c r="E2513" s="3"/>
      <c r="F2513" s="3"/>
      <c r="G2513" s="3"/>
      <c r="H2513" s="3"/>
    </row>
    <row r="2514" spans="5:8">
      <c r="E2514" s="3"/>
      <c r="F2514" s="3"/>
      <c r="G2514" s="3"/>
      <c r="H2514" s="3"/>
    </row>
    <row r="2515" spans="5:8">
      <c r="E2515" s="3"/>
      <c r="F2515" s="3"/>
      <c r="G2515" s="3"/>
      <c r="H2515" s="3"/>
    </row>
    <row r="2516" spans="5:8">
      <c r="E2516" s="3"/>
      <c r="F2516" s="3"/>
      <c r="G2516" s="3"/>
      <c r="H2516" s="3"/>
    </row>
    <row r="2517" spans="5:8">
      <c r="E2517" s="3"/>
      <c r="F2517" s="3"/>
      <c r="G2517" s="3"/>
      <c r="H2517" s="3"/>
    </row>
    <row r="2518" spans="5:8">
      <c r="E2518" s="3"/>
      <c r="F2518" s="3"/>
      <c r="G2518" s="3"/>
      <c r="H2518" s="3"/>
    </row>
    <row r="2519" spans="5:8">
      <c r="E2519" s="3"/>
      <c r="F2519" s="3"/>
      <c r="G2519" s="3"/>
      <c r="H2519" s="3"/>
    </row>
    <row r="2520" spans="5:8">
      <c r="E2520" s="3"/>
      <c r="F2520" s="3"/>
      <c r="G2520" s="3"/>
      <c r="H2520" s="3"/>
    </row>
    <row r="2521" spans="5:8">
      <c r="E2521" s="3"/>
      <c r="F2521" s="3"/>
      <c r="G2521" s="3"/>
      <c r="H2521" s="3"/>
    </row>
    <row r="2522" spans="5:8">
      <c r="E2522" s="3"/>
      <c r="F2522" s="3"/>
      <c r="G2522" s="3"/>
      <c r="H2522" s="3"/>
    </row>
    <row r="2523" spans="5:8">
      <c r="E2523" s="3"/>
      <c r="F2523" s="3"/>
      <c r="G2523" s="3"/>
      <c r="H2523" s="3"/>
    </row>
    <row r="2524" spans="5:8">
      <c r="E2524" s="3"/>
      <c r="F2524" s="3"/>
      <c r="G2524" s="3"/>
      <c r="H2524" s="3"/>
    </row>
    <row r="2525" spans="5:8">
      <c r="E2525" s="3"/>
      <c r="F2525" s="3"/>
      <c r="G2525" s="3"/>
      <c r="H2525" s="3"/>
    </row>
    <row r="2526" spans="5:8">
      <c r="E2526" s="3"/>
      <c r="F2526" s="3"/>
      <c r="G2526" s="3"/>
      <c r="H2526" s="3"/>
    </row>
    <row r="2527" spans="5:8">
      <c r="E2527" s="3"/>
      <c r="F2527" s="3"/>
      <c r="G2527" s="3"/>
      <c r="H2527" s="3"/>
    </row>
    <row r="2528" spans="5:8">
      <c r="E2528" s="3"/>
      <c r="F2528" s="3"/>
      <c r="G2528" s="3"/>
      <c r="H2528" s="3"/>
    </row>
    <row r="2529" spans="5:8">
      <c r="E2529" s="3"/>
      <c r="F2529" s="3"/>
      <c r="G2529" s="3"/>
      <c r="H2529" s="3"/>
    </row>
    <row r="2530" spans="5:8">
      <c r="E2530" s="3"/>
      <c r="F2530" s="3"/>
      <c r="G2530" s="3"/>
      <c r="H2530" s="3"/>
    </row>
    <row r="2531" spans="5:8">
      <c r="E2531" s="3"/>
      <c r="F2531" s="3"/>
      <c r="G2531" s="3"/>
      <c r="H2531" s="3"/>
    </row>
    <row r="2532" spans="5:8">
      <c r="E2532" s="3"/>
      <c r="F2532" s="3"/>
      <c r="G2532" s="3"/>
      <c r="H2532" s="3"/>
    </row>
    <row r="2533" spans="5:8">
      <c r="E2533" s="3"/>
      <c r="F2533" s="3"/>
      <c r="G2533" s="3"/>
      <c r="H2533" s="3"/>
    </row>
    <row r="2534" spans="5:8">
      <c r="E2534" s="3"/>
      <c r="F2534" s="3"/>
      <c r="G2534" s="3"/>
      <c r="H2534" s="3"/>
    </row>
    <row r="2535" spans="5:8">
      <c r="E2535" s="3"/>
      <c r="F2535" s="3"/>
      <c r="G2535" s="3"/>
      <c r="H2535" s="3"/>
    </row>
    <row r="2536" spans="5:8">
      <c r="E2536" s="3"/>
      <c r="F2536" s="3"/>
      <c r="G2536" s="3"/>
      <c r="H2536" s="3"/>
    </row>
    <row r="2537" spans="5:8">
      <c r="E2537" s="3"/>
      <c r="F2537" s="3"/>
      <c r="G2537" s="3"/>
      <c r="H2537" s="3"/>
    </row>
    <row r="2538" spans="5:8">
      <c r="E2538" s="3"/>
      <c r="F2538" s="3"/>
      <c r="G2538" s="3"/>
      <c r="H2538" s="3"/>
    </row>
    <row r="2539" spans="5:8">
      <c r="E2539" s="3"/>
      <c r="F2539" s="3"/>
      <c r="G2539" s="3"/>
      <c r="H2539" s="3"/>
    </row>
    <row r="2540" spans="5:8">
      <c r="E2540" s="3"/>
      <c r="F2540" s="3"/>
      <c r="G2540" s="3"/>
      <c r="H2540" s="3"/>
    </row>
    <row r="2541" spans="5:8">
      <c r="E2541" s="3"/>
      <c r="F2541" s="3"/>
      <c r="G2541" s="3"/>
      <c r="H2541" s="3"/>
    </row>
    <row r="2542" spans="5:8">
      <c r="E2542" s="3"/>
      <c r="F2542" s="3"/>
      <c r="G2542" s="3"/>
      <c r="H2542" s="3"/>
    </row>
    <row r="2543" spans="5:8">
      <c r="E2543" s="3"/>
      <c r="F2543" s="3"/>
      <c r="G2543" s="3"/>
      <c r="H2543" s="3"/>
    </row>
    <row r="2544" spans="5:8">
      <c r="E2544" s="3"/>
      <c r="F2544" s="3"/>
      <c r="G2544" s="3"/>
      <c r="H2544" s="3"/>
    </row>
    <row r="2545" spans="5:8">
      <c r="E2545" s="3"/>
      <c r="F2545" s="3"/>
      <c r="G2545" s="3"/>
      <c r="H2545" s="3"/>
    </row>
    <row r="2546" spans="5:8">
      <c r="E2546" s="3"/>
      <c r="F2546" s="3"/>
      <c r="G2546" s="3"/>
      <c r="H2546" s="3"/>
    </row>
    <row r="2547" spans="5:8">
      <c r="E2547" s="3"/>
      <c r="F2547" s="3"/>
      <c r="G2547" s="3"/>
      <c r="H2547" s="3"/>
    </row>
    <row r="2548" spans="5:8">
      <c r="E2548" s="3"/>
      <c r="F2548" s="3"/>
      <c r="G2548" s="3"/>
      <c r="H2548" s="3"/>
    </row>
    <row r="2549" spans="5:8">
      <c r="E2549" s="3"/>
      <c r="F2549" s="3"/>
      <c r="G2549" s="3"/>
      <c r="H2549" s="3"/>
    </row>
    <row r="2550" spans="5:8">
      <c r="E2550" s="3"/>
      <c r="F2550" s="3"/>
      <c r="G2550" s="3"/>
      <c r="H2550" s="3"/>
    </row>
    <row r="2551" spans="5:8">
      <c r="E2551" s="3"/>
      <c r="F2551" s="3"/>
      <c r="G2551" s="3"/>
      <c r="H2551" s="3"/>
    </row>
    <row r="2552" spans="5:8">
      <c r="E2552" s="3"/>
      <c r="F2552" s="3"/>
      <c r="G2552" s="3"/>
      <c r="H2552" s="3"/>
    </row>
    <row r="2553" spans="5:8">
      <c r="E2553" s="3"/>
      <c r="F2553" s="3"/>
      <c r="G2553" s="3"/>
      <c r="H2553" s="3"/>
    </row>
    <row r="2554" spans="5:8">
      <c r="E2554" s="3"/>
      <c r="F2554" s="3"/>
      <c r="G2554" s="3"/>
      <c r="H2554" s="3"/>
    </row>
    <row r="2555" spans="5:8">
      <c r="E2555" s="3"/>
      <c r="F2555" s="3"/>
      <c r="G2555" s="3"/>
      <c r="H2555" s="3"/>
    </row>
    <row r="2556" spans="5:8">
      <c r="E2556" s="3"/>
      <c r="F2556" s="3"/>
      <c r="G2556" s="3"/>
      <c r="H2556" s="3"/>
    </row>
    <row r="2557" spans="5:8">
      <c r="E2557" s="3"/>
      <c r="F2557" s="3"/>
      <c r="G2557" s="3"/>
      <c r="H2557" s="3"/>
    </row>
    <row r="2558" spans="5:8">
      <c r="E2558" s="3"/>
      <c r="F2558" s="3"/>
      <c r="G2558" s="3"/>
      <c r="H2558" s="3"/>
    </row>
    <row r="2559" spans="5:8">
      <c r="E2559" s="3"/>
      <c r="F2559" s="3"/>
      <c r="G2559" s="3"/>
      <c r="H2559" s="3"/>
    </row>
    <row r="2560" spans="5:8">
      <c r="E2560" s="3"/>
      <c r="F2560" s="3"/>
      <c r="G2560" s="3"/>
      <c r="H2560" s="3"/>
    </row>
    <row r="2561" spans="5:8">
      <c r="E2561" s="3"/>
      <c r="F2561" s="3"/>
      <c r="G2561" s="3"/>
      <c r="H2561" s="3"/>
    </row>
    <row r="2562" spans="5:8">
      <c r="E2562" s="3"/>
      <c r="F2562" s="3"/>
      <c r="G2562" s="3"/>
      <c r="H2562" s="3"/>
    </row>
    <row r="2563" spans="5:8">
      <c r="E2563" s="3"/>
      <c r="F2563" s="3"/>
      <c r="G2563" s="3"/>
      <c r="H2563" s="3"/>
    </row>
    <row r="2564" spans="5:8">
      <c r="E2564" s="3"/>
      <c r="F2564" s="3"/>
      <c r="G2564" s="3"/>
      <c r="H2564" s="3"/>
    </row>
    <row r="2565" spans="5:8">
      <c r="E2565" s="3"/>
      <c r="F2565" s="3"/>
      <c r="G2565" s="3"/>
      <c r="H2565" s="3"/>
    </row>
    <row r="2566" spans="5:8">
      <c r="E2566" s="3"/>
      <c r="F2566" s="3"/>
      <c r="G2566" s="3"/>
      <c r="H2566" s="3"/>
    </row>
    <row r="2567" spans="5:8">
      <c r="E2567" s="3"/>
      <c r="F2567" s="3"/>
      <c r="G2567" s="3"/>
      <c r="H2567" s="3"/>
    </row>
    <row r="2568" spans="5:8">
      <c r="E2568" s="3"/>
      <c r="F2568" s="3"/>
      <c r="G2568" s="3"/>
      <c r="H2568" s="3"/>
    </row>
    <row r="2569" spans="5:8">
      <c r="E2569" s="3"/>
      <c r="F2569" s="3"/>
      <c r="G2569" s="3"/>
      <c r="H2569" s="3"/>
    </row>
    <row r="2570" spans="5:8">
      <c r="E2570" s="3"/>
      <c r="F2570" s="3"/>
      <c r="G2570" s="3"/>
      <c r="H2570" s="3"/>
    </row>
    <row r="2571" spans="5:8">
      <c r="E2571" s="3"/>
      <c r="F2571" s="3"/>
      <c r="G2571" s="3"/>
      <c r="H2571" s="3"/>
    </row>
    <row r="2572" spans="5:8">
      <c r="E2572" s="3"/>
      <c r="F2572" s="3"/>
      <c r="G2572" s="3"/>
      <c r="H2572" s="3"/>
    </row>
    <row r="2573" spans="5:8">
      <c r="E2573" s="3"/>
      <c r="F2573" s="3"/>
      <c r="G2573" s="3"/>
      <c r="H2573" s="3"/>
    </row>
    <row r="2574" spans="5:8">
      <c r="E2574" s="3"/>
      <c r="F2574" s="3"/>
      <c r="G2574" s="3"/>
      <c r="H2574" s="3"/>
    </row>
    <row r="2575" spans="5:8">
      <c r="E2575" s="3"/>
      <c r="F2575" s="3"/>
      <c r="G2575" s="3"/>
      <c r="H2575" s="3"/>
    </row>
    <row r="2576" spans="5:8">
      <c r="E2576" s="3"/>
      <c r="F2576" s="3"/>
      <c r="G2576" s="3"/>
      <c r="H2576" s="3"/>
    </row>
    <row r="2577" spans="5:8">
      <c r="E2577" s="3"/>
      <c r="F2577" s="3"/>
      <c r="G2577" s="3"/>
      <c r="H2577" s="3"/>
    </row>
    <row r="2578" spans="5:8">
      <c r="E2578" s="3"/>
      <c r="F2578" s="3"/>
      <c r="G2578" s="3"/>
      <c r="H2578" s="3"/>
    </row>
    <row r="2579" spans="5:8">
      <c r="E2579" s="3"/>
      <c r="F2579" s="3"/>
      <c r="G2579" s="3"/>
      <c r="H2579" s="3"/>
    </row>
    <row r="2580" spans="5:8">
      <c r="E2580" s="3"/>
      <c r="F2580" s="3"/>
      <c r="G2580" s="3"/>
      <c r="H2580" s="3"/>
    </row>
    <row r="2581" spans="5:8">
      <c r="E2581" s="3"/>
      <c r="F2581" s="3"/>
      <c r="G2581" s="3"/>
      <c r="H2581" s="3"/>
    </row>
    <row r="2582" spans="5:8">
      <c r="E2582" s="3"/>
      <c r="F2582" s="3"/>
      <c r="G2582" s="3"/>
      <c r="H2582" s="3"/>
    </row>
    <row r="2583" spans="5:8">
      <c r="E2583" s="3"/>
      <c r="F2583" s="3"/>
      <c r="G2583" s="3"/>
      <c r="H2583" s="3"/>
    </row>
    <row r="2584" spans="5:8">
      <c r="E2584" s="3"/>
      <c r="F2584" s="3"/>
      <c r="G2584" s="3"/>
      <c r="H2584" s="3"/>
    </row>
    <row r="2585" spans="5:8">
      <c r="E2585" s="3"/>
      <c r="F2585" s="3"/>
      <c r="G2585" s="3"/>
      <c r="H2585" s="3"/>
    </row>
    <row r="2586" spans="5:8">
      <c r="E2586" s="3"/>
      <c r="F2586" s="3"/>
      <c r="G2586" s="3"/>
      <c r="H2586" s="3"/>
    </row>
    <row r="2587" spans="5:8">
      <c r="E2587" s="3"/>
      <c r="F2587" s="3"/>
      <c r="G2587" s="3"/>
      <c r="H2587" s="3"/>
    </row>
    <row r="2588" spans="5:8">
      <c r="E2588" s="3"/>
      <c r="F2588" s="3"/>
      <c r="G2588" s="3"/>
      <c r="H2588" s="3"/>
    </row>
    <row r="2589" spans="5:8">
      <c r="E2589" s="3"/>
      <c r="F2589" s="3"/>
      <c r="G2589" s="3"/>
      <c r="H2589" s="3"/>
    </row>
    <row r="2590" spans="5:8">
      <c r="E2590" s="3"/>
      <c r="F2590" s="3"/>
      <c r="G2590" s="3"/>
      <c r="H2590" s="3"/>
    </row>
    <row r="2591" spans="5:8">
      <c r="E2591" s="3"/>
      <c r="F2591" s="3"/>
      <c r="G2591" s="3"/>
      <c r="H2591" s="3"/>
    </row>
    <row r="2592" spans="5:8">
      <c r="E2592" s="3"/>
      <c r="F2592" s="3"/>
      <c r="G2592" s="3"/>
      <c r="H2592" s="3"/>
    </row>
    <row r="2593" spans="5:8">
      <c r="E2593" s="3"/>
      <c r="F2593" s="3"/>
      <c r="G2593" s="3"/>
      <c r="H2593" s="3"/>
    </row>
    <row r="2594" spans="5:8">
      <c r="E2594" s="3"/>
      <c r="F2594" s="3"/>
      <c r="G2594" s="3"/>
      <c r="H2594" s="3"/>
    </row>
    <row r="2595" spans="5:8">
      <c r="E2595" s="3"/>
      <c r="F2595" s="3"/>
      <c r="G2595" s="3"/>
      <c r="H2595" s="3"/>
    </row>
    <row r="2596" spans="5:8">
      <c r="E2596" s="3"/>
      <c r="F2596" s="3"/>
      <c r="G2596" s="3"/>
      <c r="H2596" s="3"/>
    </row>
    <row r="2597" spans="5:8">
      <c r="E2597" s="3"/>
      <c r="F2597" s="3"/>
      <c r="G2597" s="3"/>
      <c r="H2597" s="3"/>
    </row>
    <row r="2598" spans="5:8">
      <c r="E2598" s="3"/>
      <c r="F2598" s="3"/>
      <c r="G2598" s="3"/>
      <c r="H2598" s="3"/>
    </row>
    <row r="2599" spans="5:8">
      <c r="E2599" s="3"/>
      <c r="F2599" s="3"/>
      <c r="G2599" s="3"/>
      <c r="H2599" s="3"/>
    </row>
    <row r="2600" spans="5:8">
      <c r="E2600" s="3"/>
      <c r="F2600" s="3"/>
      <c r="G2600" s="3"/>
      <c r="H2600" s="3"/>
    </row>
    <row r="2601" spans="5:8">
      <c r="E2601" s="3"/>
      <c r="F2601" s="3"/>
      <c r="G2601" s="3"/>
      <c r="H2601" s="3"/>
    </row>
    <row r="2602" spans="5:8">
      <c r="E2602" s="3"/>
      <c r="F2602" s="3"/>
      <c r="G2602" s="3"/>
      <c r="H2602" s="3"/>
    </row>
    <row r="2603" spans="5:8">
      <c r="E2603" s="3"/>
      <c r="F2603" s="3"/>
      <c r="G2603" s="3"/>
      <c r="H2603" s="3"/>
    </row>
    <row r="2604" spans="5:8">
      <c r="E2604" s="3"/>
      <c r="F2604" s="3"/>
      <c r="G2604" s="3"/>
      <c r="H2604" s="3"/>
    </row>
    <row r="2605" spans="5:8">
      <c r="E2605" s="3"/>
      <c r="F2605" s="3"/>
      <c r="G2605" s="3"/>
      <c r="H2605" s="3"/>
    </row>
    <row r="2606" spans="5:8">
      <c r="E2606" s="3"/>
      <c r="F2606" s="3"/>
      <c r="G2606" s="3"/>
      <c r="H2606" s="3"/>
    </row>
    <row r="2607" spans="5:8">
      <c r="E2607" s="3"/>
      <c r="F2607" s="3"/>
      <c r="G2607" s="3"/>
      <c r="H2607" s="3"/>
    </row>
    <row r="2608" spans="5:8">
      <c r="E2608" s="3"/>
      <c r="F2608" s="3"/>
      <c r="G2608" s="3"/>
      <c r="H2608" s="3"/>
    </row>
    <row r="2609" spans="5:8">
      <c r="E2609" s="3"/>
      <c r="F2609" s="3"/>
      <c r="G2609" s="3"/>
      <c r="H2609" s="3"/>
    </row>
    <row r="2610" spans="5:8">
      <c r="E2610" s="3"/>
      <c r="F2610" s="3"/>
      <c r="G2610" s="3"/>
      <c r="H2610" s="3"/>
    </row>
    <row r="2611" spans="5:8">
      <c r="E2611" s="3"/>
      <c r="F2611" s="3"/>
      <c r="G2611" s="3"/>
      <c r="H2611" s="3"/>
    </row>
    <row r="2612" spans="5:8">
      <c r="E2612" s="3"/>
      <c r="F2612" s="3"/>
      <c r="G2612" s="3"/>
      <c r="H2612" s="3"/>
    </row>
    <row r="2613" spans="5:8">
      <c r="E2613" s="3"/>
      <c r="F2613" s="3"/>
      <c r="G2613" s="3"/>
      <c r="H2613" s="3"/>
    </row>
    <row r="2614" spans="5:8">
      <c r="E2614" s="3"/>
      <c r="F2614" s="3"/>
      <c r="G2614" s="3"/>
      <c r="H2614" s="3"/>
    </row>
    <row r="2615" spans="5:8">
      <c r="E2615" s="3"/>
      <c r="F2615" s="3"/>
      <c r="G2615" s="3"/>
      <c r="H2615" s="3"/>
    </row>
    <row r="2616" spans="5:8">
      <c r="E2616" s="3"/>
      <c r="F2616" s="3"/>
      <c r="G2616" s="3"/>
      <c r="H2616" s="3"/>
    </row>
    <row r="2617" spans="5:8">
      <c r="E2617" s="3"/>
      <c r="F2617" s="3"/>
      <c r="G2617" s="3"/>
      <c r="H2617" s="3"/>
    </row>
    <row r="2618" spans="5:8">
      <c r="E2618" s="3"/>
      <c r="F2618" s="3"/>
      <c r="G2618" s="3"/>
      <c r="H2618" s="3"/>
    </row>
    <row r="2619" spans="5:8">
      <c r="E2619" s="3"/>
      <c r="F2619" s="3"/>
      <c r="G2619" s="3"/>
      <c r="H2619" s="3"/>
    </row>
    <row r="2620" spans="5:8">
      <c r="E2620" s="3"/>
      <c r="F2620" s="3"/>
      <c r="G2620" s="3"/>
      <c r="H2620" s="3"/>
    </row>
    <row r="2621" spans="5:8">
      <c r="E2621" s="3"/>
      <c r="F2621" s="3"/>
      <c r="G2621" s="3"/>
      <c r="H2621" s="3"/>
    </row>
    <row r="2622" spans="5:8">
      <c r="E2622" s="3"/>
      <c r="F2622" s="3"/>
      <c r="G2622" s="3"/>
      <c r="H2622" s="3"/>
    </row>
    <row r="2623" spans="5:8">
      <c r="E2623" s="3"/>
      <c r="F2623" s="3"/>
      <c r="G2623" s="3"/>
      <c r="H2623" s="3"/>
    </row>
    <row r="2624" spans="5:8">
      <c r="E2624" s="3"/>
      <c r="F2624" s="3"/>
      <c r="G2624" s="3"/>
      <c r="H2624" s="3"/>
    </row>
    <row r="2625" spans="5:8">
      <c r="E2625" s="3"/>
      <c r="F2625" s="3"/>
      <c r="G2625" s="3"/>
      <c r="H2625" s="3"/>
    </row>
    <row r="2626" spans="5:8">
      <c r="E2626" s="3"/>
      <c r="F2626" s="3"/>
      <c r="G2626" s="3"/>
      <c r="H2626" s="3"/>
    </row>
    <row r="2627" spans="5:8">
      <c r="E2627" s="3"/>
      <c r="F2627" s="3"/>
      <c r="G2627" s="3"/>
      <c r="H2627" s="3"/>
    </row>
    <row r="2628" spans="5:8">
      <c r="E2628" s="3"/>
      <c r="F2628" s="3"/>
      <c r="G2628" s="3"/>
      <c r="H2628" s="3"/>
    </row>
    <row r="2629" spans="5:8">
      <c r="E2629" s="3"/>
      <c r="F2629" s="3"/>
      <c r="G2629" s="3"/>
      <c r="H2629" s="3"/>
    </row>
    <row r="2630" spans="5:8">
      <c r="E2630" s="3"/>
      <c r="F2630" s="3"/>
      <c r="G2630" s="3"/>
      <c r="H2630" s="3"/>
    </row>
    <row r="2631" spans="5:8">
      <c r="E2631" s="3"/>
      <c r="F2631" s="3"/>
      <c r="G2631" s="3"/>
      <c r="H2631" s="3"/>
    </row>
    <row r="2632" spans="5:8">
      <c r="E2632" s="3"/>
      <c r="F2632" s="3"/>
      <c r="G2632" s="3"/>
      <c r="H2632" s="3"/>
    </row>
    <row r="2633" spans="5:8">
      <c r="E2633" s="3"/>
      <c r="F2633" s="3"/>
      <c r="G2633" s="3"/>
      <c r="H2633" s="3"/>
    </row>
    <row r="2634" spans="5:8">
      <c r="E2634" s="3"/>
      <c r="F2634" s="3"/>
      <c r="G2634" s="3"/>
      <c r="H2634" s="3"/>
    </row>
    <row r="2635" spans="5:8">
      <c r="E2635" s="3"/>
      <c r="F2635" s="3"/>
      <c r="G2635" s="3"/>
      <c r="H2635" s="3"/>
    </row>
    <row r="2636" spans="5:8">
      <c r="E2636" s="3"/>
      <c r="F2636" s="3"/>
      <c r="G2636" s="3"/>
      <c r="H2636" s="3"/>
    </row>
    <row r="2637" spans="5:8">
      <c r="E2637" s="3"/>
      <c r="F2637" s="3"/>
      <c r="G2637" s="3"/>
      <c r="H2637" s="3"/>
    </row>
    <row r="2638" spans="5:8">
      <c r="E2638" s="3"/>
      <c r="F2638" s="3"/>
      <c r="G2638" s="3"/>
      <c r="H2638" s="3"/>
    </row>
    <row r="2639" spans="5:8">
      <c r="E2639" s="3"/>
      <c r="F2639" s="3"/>
      <c r="G2639" s="3"/>
      <c r="H2639" s="3"/>
    </row>
    <row r="2640" spans="5:8">
      <c r="E2640" s="3"/>
      <c r="F2640" s="3"/>
      <c r="G2640" s="3"/>
      <c r="H2640" s="3"/>
    </row>
    <row r="2641" spans="5:8">
      <c r="E2641" s="3"/>
      <c r="F2641" s="3"/>
      <c r="G2641" s="3"/>
      <c r="H2641" s="3"/>
    </row>
    <row r="2642" spans="5:8">
      <c r="E2642" s="3"/>
      <c r="F2642" s="3"/>
      <c r="G2642" s="3"/>
      <c r="H2642" s="3"/>
    </row>
    <row r="2643" spans="5:8">
      <c r="E2643" s="3"/>
      <c r="F2643" s="3"/>
      <c r="G2643" s="3"/>
      <c r="H2643" s="3"/>
    </row>
    <row r="2644" spans="5:8">
      <c r="E2644" s="3"/>
      <c r="F2644" s="3"/>
      <c r="G2644" s="3"/>
      <c r="H2644" s="3"/>
    </row>
    <row r="2645" spans="5:8">
      <c r="E2645" s="3"/>
      <c r="F2645" s="3"/>
      <c r="G2645" s="3"/>
      <c r="H2645" s="3"/>
    </row>
    <row r="2646" spans="5:8">
      <c r="E2646" s="3"/>
      <c r="F2646" s="3"/>
      <c r="G2646" s="3"/>
      <c r="H2646" s="3"/>
    </row>
    <row r="2647" spans="5:8">
      <c r="E2647" s="3"/>
      <c r="F2647" s="3"/>
      <c r="G2647" s="3"/>
      <c r="H2647" s="3"/>
    </row>
    <row r="2648" spans="5:8">
      <c r="E2648" s="3"/>
      <c r="F2648" s="3"/>
      <c r="G2648" s="3"/>
      <c r="H2648" s="3"/>
    </row>
    <row r="2649" spans="5:8">
      <c r="E2649" s="3"/>
      <c r="F2649" s="3"/>
      <c r="G2649" s="3"/>
      <c r="H2649" s="3"/>
    </row>
    <row r="2650" spans="5:8">
      <c r="E2650" s="3"/>
      <c r="F2650" s="3"/>
      <c r="G2650" s="3"/>
      <c r="H2650" s="3"/>
    </row>
    <row r="2651" spans="5:8">
      <c r="E2651" s="3"/>
      <c r="F2651" s="3"/>
      <c r="G2651" s="3"/>
      <c r="H2651" s="3"/>
    </row>
    <row r="2652" spans="5:8">
      <c r="E2652" s="3"/>
      <c r="F2652" s="3"/>
      <c r="G2652" s="3"/>
      <c r="H2652" s="3"/>
    </row>
    <row r="2653" spans="5:8">
      <c r="E2653" s="3"/>
      <c r="F2653" s="3"/>
      <c r="G2653" s="3"/>
      <c r="H2653" s="3"/>
    </row>
    <row r="2654" spans="5:8">
      <c r="E2654" s="3"/>
      <c r="F2654" s="3"/>
      <c r="G2654" s="3"/>
      <c r="H2654" s="3"/>
    </row>
    <row r="2655" spans="5:8">
      <c r="E2655" s="3"/>
      <c r="F2655" s="3"/>
      <c r="G2655" s="3"/>
      <c r="H2655" s="3"/>
    </row>
    <row r="2656" spans="5:8">
      <c r="E2656" s="3"/>
      <c r="F2656" s="3"/>
      <c r="G2656" s="3"/>
      <c r="H2656" s="3"/>
    </row>
    <row r="2657" spans="5:8">
      <c r="E2657" s="3"/>
      <c r="F2657" s="3"/>
      <c r="G2657" s="3"/>
      <c r="H2657" s="3"/>
    </row>
    <row r="2658" spans="5:8">
      <c r="E2658" s="3"/>
      <c r="F2658" s="3"/>
      <c r="G2658" s="3"/>
      <c r="H2658" s="3"/>
    </row>
    <row r="2659" spans="5:8">
      <c r="E2659" s="3"/>
      <c r="F2659" s="3"/>
      <c r="G2659" s="3"/>
      <c r="H2659" s="3"/>
    </row>
    <row r="2660" spans="5:8">
      <c r="E2660" s="3"/>
      <c r="F2660" s="3"/>
      <c r="G2660" s="3"/>
      <c r="H2660" s="3"/>
    </row>
    <row r="2661" spans="5:8">
      <c r="E2661" s="3"/>
      <c r="F2661" s="3"/>
      <c r="G2661" s="3"/>
      <c r="H2661" s="3"/>
    </row>
    <row r="2662" spans="5:8">
      <c r="E2662" s="3"/>
      <c r="F2662" s="3"/>
      <c r="G2662" s="3"/>
      <c r="H2662" s="3"/>
    </row>
    <row r="2663" spans="5:8">
      <c r="E2663" s="3"/>
      <c r="F2663" s="3"/>
      <c r="G2663" s="3"/>
      <c r="H2663" s="3"/>
    </row>
    <row r="2664" spans="5:8">
      <c r="E2664" s="3"/>
      <c r="F2664" s="3"/>
      <c r="G2664" s="3"/>
      <c r="H2664" s="3"/>
    </row>
    <row r="2665" spans="5:8">
      <c r="E2665" s="3"/>
      <c r="F2665" s="3"/>
      <c r="G2665" s="3"/>
      <c r="H2665" s="3"/>
    </row>
    <row r="2666" spans="5:8">
      <c r="E2666" s="3"/>
      <c r="F2666" s="3"/>
      <c r="G2666" s="3"/>
      <c r="H2666" s="3"/>
    </row>
    <row r="2667" spans="5:8">
      <c r="E2667" s="3"/>
      <c r="F2667" s="3"/>
      <c r="G2667" s="3"/>
      <c r="H2667" s="3"/>
    </row>
    <row r="2668" spans="5:8">
      <c r="E2668" s="3"/>
      <c r="F2668" s="3"/>
      <c r="G2668" s="3"/>
      <c r="H2668" s="3"/>
    </row>
    <row r="2669" spans="5:8">
      <c r="E2669" s="3"/>
      <c r="F2669" s="3"/>
      <c r="G2669" s="3"/>
      <c r="H2669" s="3"/>
    </row>
    <row r="2670" spans="5:8">
      <c r="E2670" s="3"/>
      <c r="F2670" s="3"/>
      <c r="G2670" s="3"/>
      <c r="H2670" s="3"/>
    </row>
    <row r="2671" spans="5:8">
      <c r="E2671" s="3"/>
      <c r="F2671" s="3"/>
      <c r="G2671" s="3"/>
      <c r="H2671" s="3"/>
    </row>
    <row r="2672" spans="5:8">
      <c r="E2672" s="3"/>
      <c r="F2672" s="3"/>
      <c r="G2672" s="3"/>
      <c r="H2672" s="3"/>
    </row>
    <row r="2673" spans="5:8">
      <c r="E2673" s="3"/>
      <c r="F2673" s="3"/>
      <c r="G2673" s="3"/>
      <c r="H2673" s="3"/>
    </row>
    <row r="2674" spans="5:8">
      <c r="E2674" s="3"/>
      <c r="F2674" s="3"/>
      <c r="G2674" s="3"/>
      <c r="H2674" s="3"/>
    </row>
    <row r="2675" spans="5:8">
      <c r="E2675" s="3"/>
      <c r="F2675" s="3"/>
      <c r="G2675" s="3"/>
      <c r="H2675" s="3"/>
    </row>
    <row r="2676" spans="5:8">
      <c r="E2676" s="3"/>
      <c r="F2676" s="3"/>
      <c r="G2676" s="3"/>
      <c r="H2676" s="3"/>
    </row>
    <row r="2677" spans="5:8">
      <c r="E2677" s="3"/>
      <c r="F2677" s="3"/>
      <c r="G2677" s="3"/>
      <c r="H2677" s="3"/>
    </row>
    <row r="2678" spans="5:8">
      <c r="E2678" s="3"/>
      <c r="F2678" s="3"/>
      <c r="G2678" s="3"/>
      <c r="H2678" s="3"/>
    </row>
    <row r="2679" spans="5:8">
      <c r="E2679" s="3"/>
      <c r="F2679" s="3"/>
      <c r="G2679" s="3"/>
      <c r="H2679" s="3"/>
    </row>
    <row r="2680" spans="5:8">
      <c r="E2680" s="3"/>
      <c r="F2680" s="3"/>
      <c r="G2680" s="3"/>
      <c r="H2680" s="3"/>
    </row>
    <row r="2681" spans="5:8">
      <c r="E2681" s="3"/>
      <c r="F2681" s="3"/>
      <c r="G2681" s="3"/>
      <c r="H2681" s="3"/>
    </row>
    <row r="2682" spans="5:8">
      <c r="E2682" s="3"/>
      <c r="F2682" s="3"/>
      <c r="G2682" s="3"/>
      <c r="H2682" s="3"/>
    </row>
    <row r="2683" spans="5:8">
      <c r="E2683" s="3"/>
      <c r="F2683" s="3"/>
      <c r="G2683" s="3"/>
      <c r="H2683" s="3"/>
    </row>
    <row r="2684" spans="5:8">
      <c r="E2684" s="3"/>
      <c r="F2684" s="3"/>
      <c r="G2684" s="3"/>
      <c r="H2684" s="3"/>
    </row>
    <row r="2685" spans="5:8">
      <c r="E2685" s="3"/>
      <c r="F2685" s="3"/>
      <c r="G2685" s="3"/>
      <c r="H2685" s="3"/>
    </row>
    <row r="2686" spans="5:8">
      <c r="E2686" s="3"/>
      <c r="F2686" s="3"/>
      <c r="G2686" s="3"/>
      <c r="H2686" s="3"/>
    </row>
    <row r="2687" spans="5:8">
      <c r="E2687" s="3"/>
      <c r="F2687" s="3"/>
      <c r="G2687" s="3"/>
      <c r="H2687" s="3"/>
    </row>
    <row r="2688" spans="5:8">
      <c r="E2688" s="3"/>
      <c r="F2688" s="3"/>
      <c r="G2688" s="3"/>
      <c r="H2688" s="3"/>
    </row>
    <row r="2689" spans="5:8">
      <c r="E2689" s="3"/>
      <c r="F2689" s="3"/>
      <c r="G2689" s="3"/>
      <c r="H2689" s="3"/>
    </row>
    <row r="2690" spans="5:8">
      <c r="E2690" s="3"/>
      <c r="F2690" s="3"/>
      <c r="G2690" s="3"/>
      <c r="H2690" s="3"/>
    </row>
    <row r="2691" spans="5:8">
      <c r="E2691" s="3"/>
      <c r="F2691" s="3"/>
      <c r="G2691" s="3"/>
      <c r="H2691" s="3"/>
    </row>
    <row r="2692" spans="5:8">
      <c r="E2692" s="3"/>
      <c r="F2692" s="3"/>
      <c r="G2692" s="3"/>
      <c r="H2692" s="3"/>
    </row>
    <row r="2693" spans="5:8">
      <c r="E2693" s="3"/>
      <c r="F2693" s="3"/>
      <c r="G2693" s="3"/>
      <c r="H2693" s="3"/>
    </row>
    <row r="2694" spans="5:8">
      <c r="E2694" s="3"/>
      <c r="F2694" s="3"/>
      <c r="G2694" s="3"/>
      <c r="H2694" s="3"/>
    </row>
    <row r="2695" spans="5:8">
      <c r="E2695" s="3"/>
      <c r="F2695" s="3"/>
      <c r="G2695" s="3"/>
      <c r="H2695" s="3"/>
    </row>
    <row r="2696" spans="5:8">
      <c r="E2696" s="3"/>
      <c r="F2696" s="3"/>
      <c r="G2696" s="3"/>
      <c r="H2696" s="3"/>
    </row>
    <row r="2697" spans="5:8">
      <c r="E2697" s="3"/>
      <c r="F2697" s="3"/>
      <c r="G2697" s="3"/>
      <c r="H2697" s="3"/>
    </row>
    <row r="2698" spans="5:8">
      <c r="E2698" s="3"/>
      <c r="F2698" s="3"/>
      <c r="G2698" s="3"/>
      <c r="H2698" s="3"/>
    </row>
    <row r="2699" spans="5:8">
      <c r="E2699" s="3"/>
      <c r="F2699" s="3"/>
      <c r="G2699" s="3"/>
      <c r="H2699" s="3"/>
    </row>
    <row r="2700" spans="5:8">
      <c r="E2700" s="3"/>
      <c r="F2700" s="3"/>
      <c r="G2700" s="3"/>
      <c r="H2700" s="3"/>
    </row>
    <row r="2701" spans="5:8">
      <c r="E2701" s="3"/>
      <c r="F2701" s="3"/>
      <c r="G2701" s="3"/>
      <c r="H2701" s="3"/>
    </row>
    <row r="2702" spans="5:8">
      <c r="E2702" s="3"/>
      <c r="F2702" s="3"/>
      <c r="G2702" s="3"/>
      <c r="H2702" s="3"/>
    </row>
    <row r="2703" spans="5:8">
      <c r="E2703" s="3"/>
      <c r="F2703" s="3"/>
      <c r="G2703" s="3"/>
      <c r="H2703" s="3"/>
    </row>
    <row r="2704" spans="5:8">
      <c r="E2704" s="3"/>
      <c r="F2704" s="3"/>
      <c r="G2704" s="3"/>
      <c r="H2704" s="3"/>
    </row>
    <row r="2705" spans="5:8">
      <c r="E2705" s="3"/>
      <c r="F2705" s="3"/>
      <c r="G2705" s="3"/>
      <c r="H2705" s="3"/>
    </row>
    <row r="2706" spans="5:8">
      <c r="E2706" s="3"/>
      <c r="F2706" s="3"/>
      <c r="G2706" s="3"/>
      <c r="H2706" s="3"/>
    </row>
    <row r="2707" spans="5:8">
      <c r="E2707" s="3"/>
      <c r="F2707" s="3"/>
      <c r="G2707" s="3"/>
      <c r="H2707" s="3"/>
    </row>
    <row r="2708" spans="5:8">
      <c r="E2708" s="3"/>
      <c r="F2708" s="3"/>
      <c r="G2708" s="3"/>
      <c r="H2708" s="3"/>
    </row>
    <row r="2709" spans="5:8">
      <c r="E2709" s="3"/>
      <c r="F2709" s="3"/>
      <c r="G2709" s="3"/>
      <c r="H2709" s="3"/>
    </row>
    <row r="2710" spans="5:8">
      <c r="E2710" s="3"/>
      <c r="F2710" s="3"/>
      <c r="G2710" s="3"/>
      <c r="H2710" s="3"/>
    </row>
    <row r="2711" spans="5:8">
      <c r="E2711" s="3"/>
      <c r="F2711" s="3"/>
      <c r="G2711" s="3"/>
      <c r="H2711" s="3"/>
    </row>
    <row r="2712" spans="5:8">
      <c r="E2712" s="3"/>
      <c r="F2712" s="3"/>
      <c r="G2712" s="3"/>
      <c r="H2712" s="3"/>
    </row>
    <row r="2713" spans="5:8">
      <c r="E2713" s="3"/>
      <c r="F2713" s="3"/>
      <c r="G2713" s="3"/>
      <c r="H2713" s="3"/>
    </row>
    <row r="2714" spans="5:8">
      <c r="E2714" s="3"/>
      <c r="F2714" s="3"/>
      <c r="G2714" s="3"/>
      <c r="H2714" s="3"/>
    </row>
    <row r="2715" spans="5:8">
      <c r="E2715" s="3"/>
      <c r="F2715" s="3"/>
      <c r="G2715" s="3"/>
      <c r="H2715" s="3"/>
    </row>
    <row r="2716" spans="5:8">
      <c r="E2716" s="3"/>
      <c r="F2716" s="3"/>
      <c r="G2716" s="3"/>
      <c r="H2716" s="3"/>
    </row>
    <row r="2717" spans="5:8">
      <c r="E2717" s="3"/>
      <c r="F2717" s="3"/>
      <c r="G2717" s="3"/>
      <c r="H2717" s="3"/>
    </row>
    <row r="2718" spans="5:8">
      <c r="E2718" s="3"/>
      <c r="F2718" s="3"/>
      <c r="G2718" s="3"/>
      <c r="H2718" s="3"/>
    </row>
    <row r="2719" spans="5:8">
      <c r="E2719" s="3"/>
      <c r="F2719" s="3"/>
      <c r="G2719" s="3"/>
      <c r="H2719" s="3"/>
    </row>
    <row r="2720" spans="5:8">
      <c r="E2720" s="3"/>
      <c r="F2720" s="3"/>
      <c r="G2720" s="3"/>
      <c r="H2720" s="3"/>
    </row>
    <row r="2721" spans="5:8">
      <c r="E2721" s="3"/>
      <c r="F2721" s="3"/>
      <c r="G2721" s="3"/>
      <c r="H2721" s="3"/>
    </row>
    <row r="2722" spans="5:8">
      <c r="E2722" s="3"/>
      <c r="F2722" s="3"/>
      <c r="G2722" s="3"/>
      <c r="H2722" s="3"/>
    </row>
    <row r="2723" spans="5:8">
      <c r="E2723" s="3"/>
      <c r="F2723" s="3"/>
      <c r="G2723" s="3"/>
      <c r="H2723" s="3"/>
    </row>
    <row r="2724" spans="5:8">
      <c r="E2724" s="3"/>
      <c r="F2724" s="3"/>
      <c r="G2724" s="3"/>
      <c r="H2724" s="3"/>
    </row>
    <row r="2725" spans="5:8">
      <c r="E2725" s="3"/>
      <c r="F2725" s="3"/>
      <c r="G2725" s="3"/>
      <c r="H2725" s="3"/>
    </row>
    <row r="2726" spans="5:8">
      <c r="E2726" s="3"/>
      <c r="F2726" s="3"/>
      <c r="G2726" s="3"/>
      <c r="H2726" s="3"/>
    </row>
    <row r="2727" spans="5:8">
      <c r="E2727" s="3"/>
      <c r="F2727" s="3"/>
      <c r="G2727" s="3"/>
      <c r="H2727" s="3"/>
    </row>
    <row r="2728" spans="5:8">
      <c r="E2728" s="3"/>
      <c r="F2728" s="3"/>
      <c r="G2728" s="3"/>
      <c r="H2728" s="3"/>
    </row>
    <row r="2729" spans="5:8">
      <c r="E2729" s="3"/>
      <c r="F2729" s="3"/>
      <c r="G2729" s="3"/>
      <c r="H2729" s="3"/>
    </row>
    <row r="2730" spans="5:8">
      <c r="E2730" s="3"/>
      <c r="F2730" s="3"/>
      <c r="G2730" s="3"/>
      <c r="H2730" s="3"/>
    </row>
    <row r="2731" spans="5:8">
      <c r="E2731" s="3"/>
      <c r="F2731" s="3"/>
      <c r="G2731" s="3"/>
      <c r="H2731" s="3"/>
    </row>
    <row r="2732" spans="5:8">
      <c r="E2732" s="3"/>
      <c r="F2732" s="3"/>
      <c r="G2732" s="3"/>
      <c r="H2732" s="3"/>
    </row>
    <row r="2733" spans="5:8">
      <c r="E2733" s="3"/>
      <c r="F2733" s="3"/>
      <c r="G2733" s="3"/>
      <c r="H2733" s="3"/>
    </row>
    <row r="2734" spans="5:8">
      <c r="E2734" s="3"/>
      <c r="F2734" s="3"/>
      <c r="G2734" s="3"/>
      <c r="H2734" s="3"/>
    </row>
    <row r="2735" spans="5:8">
      <c r="E2735" s="3"/>
      <c r="F2735" s="3"/>
      <c r="G2735" s="3"/>
      <c r="H2735" s="3"/>
    </row>
    <row r="2736" spans="5:8">
      <c r="E2736" s="3"/>
      <c r="F2736" s="3"/>
      <c r="G2736" s="3"/>
      <c r="H2736" s="3"/>
    </row>
    <row r="2737" spans="5:8">
      <c r="E2737" s="3"/>
      <c r="F2737" s="3"/>
      <c r="G2737" s="3"/>
      <c r="H2737" s="3"/>
    </row>
    <row r="2738" spans="5:8">
      <c r="E2738" s="3"/>
      <c r="F2738" s="3"/>
      <c r="G2738" s="3"/>
      <c r="H2738" s="3"/>
    </row>
    <row r="2739" spans="5:8">
      <c r="E2739" s="3"/>
      <c r="F2739" s="3"/>
      <c r="G2739" s="3"/>
      <c r="H2739" s="3"/>
    </row>
    <row r="2740" spans="5:8">
      <c r="E2740" s="3"/>
      <c r="F2740" s="3"/>
      <c r="G2740" s="3"/>
      <c r="H2740" s="3"/>
    </row>
    <row r="2741" spans="5:8">
      <c r="E2741" s="3"/>
      <c r="F2741" s="3"/>
      <c r="G2741" s="3"/>
      <c r="H2741" s="3"/>
    </row>
    <row r="2742" spans="5:8">
      <c r="E2742" s="3"/>
      <c r="F2742" s="3"/>
      <c r="G2742" s="3"/>
      <c r="H2742" s="3"/>
    </row>
    <row r="2743" spans="5:8">
      <c r="E2743" s="3"/>
      <c r="F2743" s="3"/>
      <c r="G2743" s="3"/>
      <c r="H2743" s="3"/>
    </row>
    <row r="2744" spans="5:8">
      <c r="E2744" s="3"/>
      <c r="F2744" s="3"/>
      <c r="G2744" s="3"/>
      <c r="H2744" s="3"/>
    </row>
    <row r="2745" spans="5:8">
      <c r="E2745" s="3"/>
      <c r="F2745" s="3"/>
      <c r="G2745" s="3"/>
      <c r="H2745" s="3"/>
    </row>
    <row r="2746" spans="5:8">
      <c r="E2746" s="3"/>
      <c r="F2746" s="3"/>
      <c r="G2746" s="3"/>
      <c r="H2746" s="3"/>
    </row>
    <row r="2747" spans="5:8">
      <c r="E2747" s="3"/>
      <c r="F2747" s="3"/>
      <c r="G2747" s="3"/>
      <c r="H2747" s="3"/>
    </row>
    <row r="2748" spans="5:8">
      <c r="E2748" s="3"/>
      <c r="F2748" s="3"/>
      <c r="G2748" s="3"/>
      <c r="H2748" s="3"/>
    </row>
    <row r="2749" spans="5:8">
      <c r="E2749" s="3"/>
      <c r="F2749" s="3"/>
      <c r="G2749" s="3"/>
      <c r="H2749" s="3"/>
    </row>
    <row r="2750" spans="5:8">
      <c r="E2750" s="3"/>
      <c r="F2750" s="3"/>
      <c r="G2750" s="3"/>
      <c r="H2750" s="3"/>
    </row>
    <row r="2751" spans="5:8">
      <c r="E2751" s="3"/>
      <c r="F2751" s="3"/>
      <c r="G2751" s="3"/>
      <c r="H2751" s="3"/>
    </row>
    <row r="2752" spans="5:8">
      <c r="E2752" s="3"/>
      <c r="F2752" s="3"/>
      <c r="G2752" s="3"/>
      <c r="H2752" s="3"/>
    </row>
    <row r="2753" spans="5:8">
      <c r="E2753" s="3"/>
      <c r="F2753" s="3"/>
      <c r="G2753" s="3"/>
      <c r="H2753" s="3"/>
    </row>
    <row r="2754" spans="5:8">
      <c r="E2754" s="3"/>
      <c r="F2754" s="3"/>
      <c r="G2754" s="3"/>
      <c r="H2754" s="3"/>
    </row>
    <row r="2755" spans="5:8">
      <c r="E2755" s="3"/>
      <c r="F2755" s="3"/>
      <c r="G2755" s="3"/>
      <c r="H2755" s="3"/>
    </row>
    <row r="2756" spans="5:8">
      <c r="E2756" s="3"/>
      <c r="F2756" s="3"/>
      <c r="G2756" s="3"/>
      <c r="H2756" s="3"/>
    </row>
    <row r="2757" spans="5:8">
      <c r="E2757" s="3"/>
      <c r="F2757" s="3"/>
      <c r="G2757" s="3"/>
      <c r="H2757" s="3"/>
    </row>
    <row r="2758" spans="5:8">
      <c r="E2758" s="3"/>
      <c r="F2758" s="3"/>
      <c r="G2758" s="3"/>
      <c r="H2758" s="3"/>
    </row>
    <row r="2759" spans="5:8">
      <c r="E2759" s="3"/>
      <c r="F2759" s="3"/>
      <c r="G2759" s="3"/>
      <c r="H2759" s="3"/>
    </row>
    <row r="2760" spans="5:8">
      <c r="E2760" s="3"/>
      <c r="F2760" s="3"/>
      <c r="G2760" s="3"/>
      <c r="H2760" s="3"/>
    </row>
    <row r="2761" spans="5:8">
      <c r="E2761" s="3"/>
      <c r="F2761" s="3"/>
      <c r="G2761" s="3"/>
      <c r="H2761" s="3"/>
    </row>
    <row r="2762" spans="5:8">
      <c r="E2762" s="3"/>
      <c r="F2762" s="3"/>
      <c r="G2762" s="3"/>
      <c r="H2762" s="3"/>
    </row>
    <row r="2763" spans="5:8">
      <c r="E2763" s="3"/>
      <c r="F2763" s="3"/>
      <c r="G2763" s="3"/>
      <c r="H2763" s="3"/>
    </row>
    <row r="2764" spans="5:8">
      <c r="E2764" s="3"/>
      <c r="F2764" s="3"/>
      <c r="G2764" s="3"/>
      <c r="H2764" s="3"/>
    </row>
    <row r="2765" spans="5:8">
      <c r="E2765" s="3"/>
      <c r="F2765" s="3"/>
      <c r="G2765" s="3"/>
      <c r="H2765" s="3"/>
    </row>
    <row r="2766" spans="5:8">
      <c r="E2766" s="3"/>
      <c r="F2766" s="3"/>
      <c r="G2766" s="3"/>
      <c r="H2766" s="3"/>
    </row>
    <row r="2767" spans="5:8">
      <c r="E2767" s="3"/>
      <c r="F2767" s="3"/>
      <c r="G2767" s="3"/>
      <c r="H2767" s="3"/>
    </row>
    <row r="2768" spans="5:8">
      <c r="E2768" s="3"/>
      <c r="F2768" s="3"/>
      <c r="G2768" s="3"/>
      <c r="H2768" s="3"/>
    </row>
    <row r="2769" spans="5:8">
      <c r="E2769" s="3"/>
      <c r="F2769" s="3"/>
      <c r="G2769" s="3"/>
      <c r="H2769" s="3"/>
    </row>
    <row r="2770" spans="5:8">
      <c r="E2770" s="3"/>
      <c r="F2770" s="3"/>
      <c r="G2770" s="3"/>
      <c r="H2770" s="3"/>
    </row>
    <row r="2771" spans="5:8">
      <c r="E2771" s="3"/>
      <c r="F2771" s="3"/>
      <c r="G2771" s="3"/>
      <c r="H2771" s="3"/>
    </row>
    <row r="2772" spans="5:8">
      <c r="E2772" s="3"/>
      <c r="F2772" s="3"/>
      <c r="G2772" s="3"/>
      <c r="H2772" s="3"/>
    </row>
    <row r="2773" spans="5:8">
      <c r="E2773" s="3"/>
      <c r="F2773" s="3"/>
      <c r="G2773" s="3"/>
      <c r="H2773" s="3"/>
    </row>
    <row r="2774" spans="5:8">
      <c r="E2774" s="3"/>
      <c r="F2774" s="3"/>
      <c r="G2774" s="3"/>
      <c r="H2774" s="3"/>
    </row>
    <row r="2775" spans="5:8">
      <c r="E2775" s="3"/>
      <c r="F2775" s="3"/>
      <c r="G2775" s="3"/>
      <c r="H2775" s="3"/>
    </row>
    <row r="2776" spans="5:8">
      <c r="E2776" s="3"/>
      <c r="F2776" s="3"/>
      <c r="G2776" s="3"/>
      <c r="H2776" s="3"/>
    </row>
    <row r="2777" spans="5:8">
      <c r="E2777" s="3"/>
      <c r="F2777" s="3"/>
      <c r="G2777" s="3"/>
      <c r="H2777" s="3"/>
    </row>
    <row r="2778" spans="5:8">
      <c r="E2778" s="3"/>
      <c r="F2778" s="3"/>
      <c r="G2778" s="3"/>
      <c r="H2778" s="3"/>
    </row>
    <row r="2779" spans="5:8">
      <c r="E2779" s="3"/>
      <c r="F2779" s="3"/>
      <c r="G2779" s="3"/>
      <c r="H2779" s="3"/>
    </row>
    <row r="2780" spans="5:8">
      <c r="E2780" s="3"/>
      <c r="F2780" s="3"/>
      <c r="G2780" s="3"/>
      <c r="H2780" s="3"/>
    </row>
    <row r="2781" spans="5:8">
      <c r="E2781" s="3"/>
      <c r="F2781" s="3"/>
      <c r="G2781" s="3"/>
      <c r="H2781" s="3"/>
    </row>
    <row r="2782" spans="5:8">
      <c r="E2782" s="3"/>
      <c r="F2782" s="3"/>
      <c r="G2782" s="3"/>
      <c r="H2782" s="3"/>
    </row>
    <row r="2783" spans="5:8">
      <c r="E2783" s="3"/>
      <c r="F2783" s="3"/>
      <c r="G2783" s="3"/>
      <c r="H2783" s="3"/>
    </row>
    <row r="2784" spans="5:8">
      <c r="E2784" s="3"/>
      <c r="F2784" s="3"/>
      <c r="G2784" s="3"/>
      <c r="H2784" s="3"/>
    </row>
    <row r="2785" spans="5:8">
      <c r="E2785" s="3"/>
      <c r="F2785" s="3"/>
      <c r="G2785" s="3"/>
      <c r="H2785" s="3"/>
    </row>
    <row r="2786" spans="5:8">
      <c r="E2786" s="3"/>
      <c r="F2786" s="3"/>
      <c r="G2786" s="3"/>
      <c r="H2786" s="3"/>
    </row>
    <row r="2787" spans="5:8">
      <c r="E2787" s="3"/>
      <c r="F2787" s="3"/>
      <c r="G2787" s="3"/>
      <c r="H2787" s="3"/>
    </row>
    <row r="2788" spans="5:8">
      <c r="E2788" s="3"/>
      <c r="F2788" s="3"/>
      <c r="G2788" s="3"/>
      <c r="H2788" s="3"/>
    </row>
    <row r="2789" spans="5:8">
      <c r="E2789" s="3"/>
      <c r="F2789" s="3"/>
      <c r="G2789" s="3"/>
      <c r="H2789" s="3"/>
    </row>
    <row r="2790" spans="5:8">
      <c r="E2790" s="3"/>
      <c r="F2790" s="3"/>
      <c r="G2790" s="3"/>
      <c r="H2790" s="3"/>
    </row>
    <row r="2791" spans="5:8">
      <c r="E2791" s="3"/>
      <c r="F2791" s="3"/>
      <c r="G2791" s="3"/>
      <c r="H2791" s="3"/>
    </row>
    <row r="2792" spans="5:8">
      <c r="E2792" s="3"/>
      <c r="F2792" s="3"/>
      <c r="G2792" s="3"/>
      <c r="H2792" s="3"/>
    </row>
    <row r="2793" spans="5:8">
      <c r="E2793" s="3"/>
      <c r="F2793" s="3"/>
      <c r="G2793" s="3"/>
      <c r="H2793" s="3"/>
    </row>
    <row r="2794" spans="5:8">
      <c r="E2794" s="3"/>
      <c r="F2794" s="3"/>
      <c r="G2794" s="3"/>
      <c r="H2794" s="3"/>
    </row>
    <row r="2795" spans="5:8">
      <c r="E2795" s="3"/>
      <c r="F2795" s="3"/>
      <c r="G2795" s="3"/>
      <c r="H2795" s="3"/>
    </row>
    <row r="2796" spans="5:8">
      <c r="E2796" s="3"/>
      <c r="F2796" s="3"/>
      <c r="G2796" s="3"/>
      <c r="H2796" s="3"/>
    </row>
    <row r="2797" spans="5:8">
      <c r="E2797" s="3"/>
      <c r="F2797" s="3"/>
      <c r="G2797" s="3"/>
      <c r="H2797" s="3"/>
    </row>
    <row r="2798" spans="5:8">
      <c r="E2798" s="3"/>
      <c r="F2798" s="3"/>
      <c r="G2798" s="3"/>
      <c r="H2798" s="3"/>
    </row>
    <row r="2799" spans="5:8">
      <c r="E2799" s="3"/>
      <c r="F2799" s="3"/>
      <c r="G2799" s="3"/>
      <c r="H2799" s="3"/>
    </row>
    <row r="2800" spans="5:8">
      <c r="E2800" s="3"/>
      <c r="F2800" s="3"/>
      <c r="G2800" s="3"/>
      <c r="H2800" s="3"/>
    </row>
    <row r="2801" spans="5:8">
      <c r="E2801" s="3"/>
      <c r="F2801" s="3"/>
      <c r="G2801" s="3"/>
      <c r="H2801" s="3"/>
    </row>
    <row r="2802" spans="5:8">
      <c r="E2802" s="3"/>
      <c r="F2802" s="3"/>
      <c r="G2802" s="3"/>
      <c r="H2802" s="3"/>
    </row>
    <row r="2803" spans="5:8">
      <c r="E2803" s="3"/>
      <c r="F2803" s="3"/>
      <c r="G2803" s="3"/>
      <c r="H2803" s="3"/>
    </row>
    <row r="2804" spans="5:8">
      <c r="E2804" s="3"/>
      <c r="F2804" s="3"/>
      <c r="G2804" s="3"/>
      <c r="H2804" s="3"/>
    </row>
    <row r="2805" spans="5:8">
      <c r="E2805" s="3"/>
      <c r="F2805" s="3"/>
      <c r="G2805" s="3"/>
      <c r="H2805" s="3"/>
    </row>
    <row r="2806" spans="5:8">
      <c r="E2806" s="3"/>
      <c r="F2806" s="3"/>
      <c r="G2806" s="3"/>
      <c r="H2806" s="3"/>
    </row>
    <row r="2807" spans="5:8">
      <c r="E2807" s="3"/>
      <c r="F2807" s="3"/>
      <c r="G2807" s="3"/>
      <c r="H2807" s="3"/>
    </row>
    <row r="2808" spans="5:8">
      <c r="E2808" s="3"/>
      <c r="F2808" s="3"/>
      <c r="G2808" s="3"/>
      <c r="H2808" s="3"/>
    </row>
    <row r="2809" spans="5:8">
      <c r="E2809" s="3"/>
      <c r="F2809" s="3"/>
      <c r="G2809" s="3"/>
      <c r="H2809" s="3"/>
    </row>
    <row r="2810" spans="5:8">
      <c r="E2810" s="3"/>
      <c r="F2810" s="3"/>
      <c r="G2810" s="3"/>
      <c r="H2810" s="3"/>
    </row>
    <row r="2811" spans="5:8">
      <c r="E2811" s="3"/>
      <c r="F2811" s="3"/>
      <c r="G2811" s="3"/>
      <c r="H2811" s="3"/>
    </row>
    <row r="2812" spans="5:8">
      <c r="E2812" s="3"/>
      <c r="F2812" s="3"/>
      <c r="G2812" s="3"/>
      <c r="H2812" s="3"/>
    </row>
    <row r="2813" spans="5:8">
      <c r="E2813" s="3"/>
      <c r="F2813" s="3"/>
      <c r="G2813" s="3"/>
      <c r="H2813" s="3"/>
    </row>
    <row r="2814" spans="5:8">
      <c r="E2814" s="3"/>
      <c r="F2814" s="3"/>
      <c r="G2814" s="3"/>
      <c r="H2814" s="3"/>
    </row>
    <row r="2815" spans="5:8">
      <c r="E2815" s="3"/>
      <c r="F2815" s="3"/>
      <c r="G2815" s="3"/>
      <c r="H2815" s="3"/>
    </row>
    <row r="2816" spans="5:8">
      <c r="E2816" s="3"/>
      <c r="F2816" s="3"/>
      <c r="G2816" s="3"/>
      <c r="H2816" s="3"/>
    </row>
    <row r="2817" spans="5:8">
      <c r="E2817" s="3"/>
      <c r="F2817" s="3"/>
      <c r="G2817" s="3"/>
      <c r="H2817" s="3"/>
    </row>
    <row r="2818" spans="5:8">
      <c r="E2818" s="3"/>
      <c r="F2818" s="3"/>
      <c r="G2818" s="3"/>
      <c r="H2818" s="3"/>
    </row>
    <row r="2819" spans="5:8">
      <c r="E2819" s="3"/>
      <c r="F2819" s="3"/>
      <c r="G2819" s="3"/>
      <c r="H2819" s="3"/>
    </row>
    <row r="2820" spans="5:8">
      <c r="E2820" s="3"/>
      <c r="F2820" s="3"/>
      <c r="G2820" s="3"/>
      <c r="H2820" s="3"/>
    </row>
    <row r="2821" spans="5:8">
      <c r="E2821" s="3"/>
      <c r="F2821" s="3"/>
      <c r="G2821" s="3"/>
      <c r="H2821" s="3"/>
    </row>
    <row r="2822" spans="5:8">
      <c r="E2822" s="3"/>
      <c r="F2822" s="3"/>
      <c r="G2822" s="3"/>
      <c r="H2822" s="3"/>
    </row>
    <row r="2823" spans="5:8">
      <c r="E2823" s="3"/>
      <c r="F2823" s="3"/>
      <c r="G2823" s="3"/>
      <c r="H2823" s="3"/>
    </row>
    <row r="2824" spans="5:8">
      <c r="E2824" s="3"/>
      <c r="F2824" s="3"/>
      <c r="G2824" s="3"/>
      <c r="H2824" s="3"/>
    </row>
    <row r="2825" spans="5:8">
      <c r="E2825" s="3"/>
      <c r="F2825" s="3"/>
      <c r="G2825" s="3"/>
      <c r="H2825" s="3"/>
    </row>
    <row r="2826" spans="5:8">
      <c r="E2826" s="3"/>
      <c r="F2826" s="3"/>
      <c r="G2826" s="3"/>
      <c r="H2826" s="3"/>
    </row>
    <row r="2827" spans="5:8">
      <c r="E2827" s="3"/>
      <c r="F2827" s="3"/>
      <c r="G2827" s="3"/>
      <c r="H2827" s="3"/>
    </row>
    <row r="2828" spans="5:8">
      <c r="E2828" s="3"/>
      <c r="F2828" s="3"/>
      <c r="G2828" s="3"/>
      <c r="H2828" s="3"/>
    </row>
    <row r="2829" spans="5:8">
      <c r="E2829" s="3"/>
      <c r="F2829" s="3"/>
      <c r="G2829" s="3"/>
      <c r="H2829" s="3"/>
    </row>
    <row r="2830" spans="5:8">
      <c r="E2830" s="3"/>
      <c r="F2830" s="3"/>
      <c r="G2830" s="3"/>
      <c r="H2830" s="3"/>
    </row>
    <row r="2831" spans="5:8">
      <c r="E2831" s="3"/>
      <c r="F2831" s="3"/>
      <c r="G2831" s="3"/>
      <c r="H2831" s="3"/>
    </row>
    <row r="2832" spans="5:8">
      <c r="E2832" s="3"/>
      <c r="F2832" s="3"/>
      <c r="G2832" s="3"/>
      <c r="H2832" s="3"/>
    </row>
    <row r="2833" spans="5:8">
      <c r="E2833" s="3"/>
      <c r="F2833" s="3"/>
      <c r="G2833" s="3"/>
      <c r="H2833" s="3"/>
    </row>
    <row r="2834" spans="5:8">
      <c r="E2834" s="3"/>
      <c r="F2834" s="3"/>
      <c r="G2834" s="3"/>
      <c r="H2834" s="3"/>
    </row>
    <row r="2835" spans="5:8">
      <c r="E2835" s="3"/>
      <c r="F2835" s="3"/>
      <c r="G2835" s="3"/>
      <c r="H2835" s="3"/>
    </row>
    <row r="2836" spans="5:8">
      <c r="E2836" s="3"/>
      <c r="F2836" s="3"/>
      <c r="G2836" s="3"/>
      <c r="H2836" s="3"/>
    </row>
    <row r="2837" spans="5:8">
      <c r="E2837" s="3"/>
      <c r="F2837" s="3"/>
      <c r="G2837" s="3"/>
      <c r="H2837" s="3"/>
    </row>
    <row r="2838" spans="5:8">
      <c r="E2838" s="3"/>
      <c r="F2838" s="3"/>
      <c r="G2838" s="3"/>
      <c r="H2838" s="3"/>
    </row>
    <row r="2839" spans="5:8">
      <c r="E2839" s="3"/>
      <c r="F2839" s="3"/>
      <c r="G2839" s="3"/>
      <c r="H2839" s="3"/>
    </row>
    <row r="2840" spans="5:8">
      <c r="E2840" s="3"/>
      <c r="F2840" s="3"/>
      <c r="G2840" s="3"/>
      <c r="H2840" s="3"/>
    </row>
    <row r="2841" spans="5:8">
      <c r="E2841" s="3"/>
      <c r="F2841" s="3"/>
      <c r="G2841" s="3"/>
      <c r="H2841" s="3"/>
    </row>
    <row r="2842" spans="5:8">
      <c r="E2842" s="3"/>
      <c r="F2842" s="3"/>
      <c r="G2842" s="3"/>
      <c r="H2842" s="3"/>
    </row>
    <row r="2843" spans="5:8">
      <c r="E2843" s="3"/>
      <c r="F2843" s="3"/>
      <c r="G2843" s="3"/>
      <c r="H2843" s="3"/>
    </row>
    <row r="2844" spans="5:8">
      <c r="E2844" s="3"/>
      <c r="F2844" s="3"/>
      <c r="G2844" s="3"/>
      <c r="H2844" s="3"/>
    </row>
    <row r="2845" spans="5:8">
      <c r="E2845" s="3"/>
      <c r="F2845" s="3"/>
      <c r="G2845" s="3"/>
      <c r="H2845" s="3"/>
    </row>
    <row r="2846" spans="5:8">
      <c r="E2846" s="3"/>
      <c r="F2846" s="3"/>
      <c r="G2846" s="3"/>
      <c r="H2846" s="3"/>
    </row>
    <row r="2847" spans="5:8">
      <c r="E2847" s="3"/>
      <c r="F2847" s="3"/>
      <c r="G2847" s="3"/>
      <c r="H2847" s="3"/>
    </row>
    <row r="2848" spans="5:8">
      <c r="E2848" s="3"/>
      <c r="F2848" s="3"/>
      <c r="G2848" s="3"/>
      <c r="H2848" s="3"/>
    </row>
    <row r="2849" spans="5:8">
      <c r="E2849" s="3"/>
      <c r="F2849" s="3"/>
      <c r="G2849" s="3"/>
      <c r="H2849" s="3"/>
    </row>
    <row r="2850" spans="5:8">
      <c r="E2850" s="3"/>
      <c r="F2850" s="3"/>
      <c r="G2850" s="3"/>
      <c r="H2850" s="3"/>
    </row>
    <row r="2851" spans="5:8">
      <c r="E2851" s="3"/>
      <c r="F2851" s="3"/>
      <c r="G2851" s="3"/>
      <c r="H2851" s="3"/>
    </row>
    <row r="2852" spans="5:8">
      <c r="E2852" s="3"/>
      <c r="F2852" s="3"/>
      <c r="G2852" s="3"/>
      <c r="H2852" s="3"/>
    </row>
    <row r="2853" spans="5:8">
      <c r="E2853" s="3"/>
      <c r="F2853" s="3"/>
      <c r="G2853" s="3"/>
      <c r="H2853" s="3"/>
    </row>
    <row r="2854" spans="5:8">
      <c r="E2854" s="3"/>
      <c r="F2854" s="3"/>
      <c r="G2854" s="3"/>
      <c r="H2854" s="3"/>
    </row>
    <row r="2855" spans="5:8">
      <c r="E2855" s="3"/>
      <c r="F2855" s="3"/>
      <c r="G2855" s="3"/>
      <c r="H2855" s="3"/>
    </row>
    <row r="2856" spans="5:8">
      <c r="E2856" s="3"/>
      <c r="F2856" s="3"/>
      <c r="G2856" s="3"/>
      <c r="H2856" s="3"/>
    </row>
    <row r="2857" spans="5:8">
      <c r="E2857" s="3"/>
      <c r="F2857" s="3"/>
      <c r="G2857" s="3"/>
      <c r="H2857" s="3"/>
    </row>
    <row r="2858" spans="5:8">
      <c r="E2858" s="3"/>
      <c r="F2858" s="3"/>
      <c r="G2858" s="3"/>
      <c r="H2858" s="3"/>
    </row>
    <row r="2859" spans="5:8">
      <c r="E2859" s="3"/>
      <c r="F2859" s="3"/>
      <c r="G2859" s="3"/>
      <c r="H2859" s="3"/>
    </row>
    <row r="2860" spans="5:8">
      <c r="E2860" s="3"/>
      <c r="F2860" s="3"/>
      <c r="G2860" s="3"/>
      <c r="H2860" s="3"/>
    </row>
    <row r="2861" spans="5:8">
      <c r="E2861" s="3"/>
      <c r="F2861" s="3"/>
      <c r="G2861" s="3"/>
      <c r="H2861" s="3"/>
    </row>
    <row r="2862" spans="5:8">
      <c r="E2862" s="3"/>
      <c r="F2862" s="3"/>
      <c r="G2862" s="3"/>
      <c r="H2862" s="3"/>
    </row>
    <row r="2863" spans="5:8">
      <c r="E2863" s="3"/>
      <c r="F2863" s="3"/>
      <c r="G2863" s="3"/>
      <c r="H2863" s="3"/>
    </row>
    <row r="2864" spans="5:8">
      <c r="E2864" s="3"/>
      <c r="F2864" s="3"/>
      <c r="G2864" s="3"/>
      <c r="H2864" s="3"/>
    </row>
    <row r="2865" spans="5:8">
      <c r="E2865" s="3"/>
      <c r="F2865" s="3"/>
      <c r="G2865" s="3"/>
      <c r="H2865" s="3"/>
    </row>
    <row r="2866" spans="5:8">
      <c r="E2866" s="3"/>
      <c r="F2866" s="3"/>
      <c r="G2866" s="3"/>
      <c r="H2866" s="3"/>
    </row>
    <row r="2867" spans="5:8">
      <c r="E2867" s="3"/>
      <c r="F2867" s="3"/>
      <c r="G2867" s="3"/>
      <c r="H2867" s="3"/>
    </row>
    <row r="2868" spans="5:8">
      <c r="E2868" s="3"/>
      <c r="F2868" s="3"/>
      <c r="G2868" s="3"/>
      <c r="H2868" s="3"/>
    </row>
    <row r="2869" spans="5:8">
      <c r="E2869" s="3"/>
      <c r="F2869" s="3"/>
      <c r="G2869" s="3"/>
      <c r="H2869" s="3"/>
    </row>
    <row r="2870" spans="5:8">
      <c r="E2870" s="3"/>
      <c r="F2870" s="3"/>
      <c r="G2870" s="3"/>
      <c r="H2870" s="3"/>
    </row>
    <row r="2871" spans="5:8">
      <c r="E2871" s="3"/>
      <c r="F2871" s="3"/>
      <c r="G2871" s="3"/>
      <c r="H2871" s="3"/>
    </row>
    <row r="2872" spans="5:8">
      <c r="E2872" s="3"/>
      <c r="F2872" s="3"/>
      <c r="G2872" s="3"/>
      <c r="H2872" s="3"/>
    </row>
    <row r="2873" spans="5:8">
      <c r="E2873" s="3"/>
      <c r="F2873" s="3"/>
      <c r="G2873" s="3"/>
      <c r="H2873" s="3"/>
    </row>
    <row r="2874" spans="5:8">
      <c r="E2874" s="3"/>
      <c r="F2874" s="3"/>
      <c r="G2874" s="3"/>
      <c r="H2874" s="3"/>
    </row>
    <row r="2875" spans="5:8">
      <c r="E2875" s="3"/>
      <c r="F2875" s="3"/>
      <c r="G2875" s="3"/>
      <c r="H2875" s="3"/>
    </row>
    <row r="2876" spans="5:8">
      <c r="E2876" s="3"/>
      <c r="F2876" s="3"/>
      <c r="G2876" s="3"/>
      <c r="H2876" s="3"/>
    </row>
    <row r="2877" spans="5:8">
      <c r="E2877" s="3"/>
      <c r="F2877" s="3"/>
      <c r="G2877" s="3"/>
      <c r="H2877" s="3"/>
    </row>
    <row r="2878" spans="5:8">
      <c r="E2878" s="3"/>
      <c r="F2878" s="3"/>
      <c r="G2878" s="3"/>
      <c r="H2878" s="3"/>
    </row>
    <row r="2879" spans="5:8">
      <c r="E2879" s="3"/>
      <c r="F2879" s="3"/>
      <c r="G2879" s="3"/>
      <c r="H2879" s="3"/>
    </row>
    <row r="2880" spans="5:8">
      <c r="E2880" s="3"/>
      <c r="F2880" s="3"/>
      <c r="G2880" s="3"/>
      <c r="H2880" s="3"/>
    </row>
    <row r="2881" spans="5:8">
      <c r="E2881" s="3"/>
      <c r="F2881" s="3"/>
      <c r="G2881" s="3"/>
      <c r="H2881" s="3"/>
    </row>
    <row r="2882" spans="5:8">
      <c r="E2882" s="3"/>
      <c r="F2882" s="3"/>
      <c r="G2882" s="3"/>
      <c r="H2882" s="3"/>
    </row>
    <row r="2883" spans="5:8">
      <c r="E2883" s="3"/>
      <c r="F2883" s="3"/>
      <c r="G2883" s="3"/>
      <c r="H2883" s="3"/>
    </row>
    <row r="2884" spans="5:8">
      <c r="E2884" s="3"/>
      <c r="F2884" s="3"/>
      <c r="G2884" s="3"/>
      <c r="H2884" s="3"/>
    </row>
    <row r="2885" spans="5:8">
      <c r="E2885" s="3"/>
      <c r="F2885" s="3"/>
      <c r="G2885" s="3"/>
      <c r="H2885" s="3"/>
    </row>
    <row r="2886" spans="5:8">
      <c r="E2886" s="3"/>
      <c r="F2886" s="3"/>
      <c r="G2886" s="3"/>
      <c r="H2886" s="3"/>
    </row>
    <row r="2887" spans="5:8">
      <c r="E2887" s="3"/>
      <c r="F2887" s="3"/>
      <c r="G2887" s="3"/>
      <c r="H2887" s="3"/>
    </row>
    <row r="2888" spans="5:8">
      <c r="E2888" s="3"/>
      <c r="F2888" s="3"/>
      <c r="G2888" s="3"/>
      <c r="H2888" s="3"/>
    </row>
    <row r="2889" spans="5:8">
      <c r="E2889" s="3"/>
      <c r="F2889" s="3"/>
      <c r="G2889" s="3"/>
      <c r="H2889" s="3"/>
    </row>
    <row r="2890" spans="5:8">
      <c r="E2890" s="3"/>
      <c r="F2890" s="3"/>
      <c r="G2890" s="3"/>
      <c r="H2890" s="3"/>
    </row>
    <row r="2891" spans="5:8">
      <c r="E2891" s="3"/>
      <c r="F2891" s="3"/>
      <c r="G2891" s="3"/>
      <c r="H2891" s="3"/>
    </row>
    <row r="2892" spans="5:8">
      <c r="E2892" s="3"/>
      <c r="F2892" s="3"/>
      <c r="G2892" s="3"/>
      <c r="H2892" s="3"/>
    </row>
    <row r="2893" spans="5:8">
      <c r="E2893" s="3"/>
      <c r="F2893" s="3"/>
      <c r="G2893" s="3"/>
      <c r="H2893" s="3"/>
    </row>
    <row r="2894" spans="5:8">
      <c r="E2894" s="3"/>
      <c r="F2894" s="3"/>
      <c r="G2894" s="3"/>
      <c r="H2894" s="3"/>
    </row>
    <row r="2895" spans="5:8">
      <c r="E2895" s="3"/>
      <c r="F2895" s="3"/>
      <c r="G2895" s="3"/>
      <c r="H2895" s="3"/>
    </row>
    <row r="2896" spans="5:8">
      <c r="E2896" s="3"/>
      <c r="F2896" s="3"/>
      <c r="G2896" s="3"/>
      <c r="H2896" s="3"/>
    </row>
    <row r="2897" spans="5:8">
      <c r="E2897" s="3"/>
      <c r="F2897" s="3"/>
      <c r="G2897" s="3"/>
      <c r="H2897" s="3"/>
    </row>
    <row r="2898" spans="5:8">
      <c r="E2898" s="3"/>
      <c r="F2898" s="3"/>
      <c r="G2898" s="3"/>
      <c r="H2898" s="3"/>
    </row>
    <row r="2899" spans="5:8">
      <c r="E2899" s="3"/>
      <c r="F2899" s="3"/>
      <c r="G2899" s="3"/>
      <c r="H2899" s="3"/>
    </row>
    <row r="2900" spans="5:8">
      <c r="E2900" s="3"/>
      <c r="F2900" s="3"/>
      <c r="G2900" s="3"/>
      <c r="H2900" s="3"/>
    </row>
    <row r="2901" spans="5:8">
      <c r="E2901" s="3"/>
      <c r="F2901" s="3"/>
      <c r="G2901" s="3"/>
      <c r="H2901" s="3"/>
    </row>
    <row r="2902" spans="5:8">
      <c r="E2902" s="3"/>
      <c r="F2902" s="3"/>
      <c r="G2902" s="3"/>
      <c r="H2902" s="3"/>
    </row>
    <row r="2903" spans="5:8">
      <c r="E2903" s="3"/>
      <c r="F2903" s="3"/>
      <c r="G2903" s="3"/>
      <c r="H2903" s="3"/>
    </row>
    <row r="2904" spans="5:8">
      <c r="E2904" s="3"/>
      <c r="F2904" s="3"/>
      <c r="G2904" s="3"/>
      <c r="H2904" s="3"/>
    </row>
    <row r="2905" spans="5:8">
      <c r="E2905" s="3"/>
      <c r="F2905" s="3"/>
      <c r="G2905" s="3"/>
      <c r="H2905" s="3"/>
    </row>
    <row r="2906" spans="5:8">
      <c r="E2906" s="3"/>
      <c r="F2906" s="3"/>
      <c r="G2906" s="3"/>
      <c r="H2906" s="3"/>
    </row>
    <row r="2907" spans="5:8">
      <c r="E2907" s="3"/>
      <c r="F2907" s="3"/>
      <c r="G2907" s="3"/>
      <c r="H2907" s="3"/>
    </row>
    <row r="2908" spans="5:8">
      <c r="E2908" s="3"/>
      <c r="F2908" s="3"/>
      <c r="G2908" s="3"/>
      <c r="H2908" s="3"/>
    </row>
    <row r="2909" spans="5:8">
      <c r="E2909" s="3"/>
      <c r="F2909" s="3"/>
      <c r="G2909" s="3"/>
      <c r="H2909" s="3"/>
    </row>
    <row r="2910" spans="5:8">
      <c r="E2910" s="3"/>
      <c r="F2910" s="3"/>
      <c r="G2910" s="3"/>
      <c r="H2910" s="3"/>
    </row>
    <row r="2911" spans="5:8">
      <c r="E2911" s="3"/>
      <c r="F2911" s="3"/>
      <c r="G2911" s="3"/>
      <c r="H2911" s="3"/>
    </row>
    <row r="2912" spans="5:8">
      <c r="E2912" s="3"/>
      <c r="F2912" s="3"/>
      <c r="G2912" s="3"/>
      <c r="H2912" s="3"/>
    </row>
    <row r="2913" spans="5:8">
      <c r="E2913" s="3"/>
      <c r="F2913" s="3"/>
      <c r="G2913" s="3"/>
      <c r="H2913" s="3"/>
    </row>
    <row r="2914" spans="5:8">
      <c r="E2914" s="3"/>
      <c r="F2914" s="3"/>
      <c r="G2914" s="3"/>
      <c r="H2914" s="3"/>
    </row>
    <row r="2915" spans="5:8">
      <c r="E2915" s="3"/>
      <c r="F2915" s="3"/>
      <c r="G2915" s="3"/>
      <c r="H2915" s="3"/>
    </row>
    <row r="2916" spans="5:8">
      <c r="E2916" s="3"/>
      <c r="F2916" s="3"/>
      <c r="G2916" s="3"/>
      <c r="H2916" s="3"/>
    </row>
    <row r="2917" spans="5:8">
      <c r="E2917" s="3"/>
      <c r="F2917" s="3"/>
      <c r="G2917" s="3"/>
      <c r="H2917" s="3"/>
    </row>
    <row r="2918" spans="5:8">
      <c r="E2918" s="3"/>
      <c r="F2918" s="3"/>
      <c r="G2918" s="3"/>
      <c r="H2918" s="3"/>
    </row>
    <row r="2919" spans="5:8">
      <c r="E2919" s="3"/>
      <c r="F2919" s="3"/>
      <c r="G2919" s="3"/>
      <c r="H2919" s="3"/>
    </row>
    <row r="2920" spans="5:8">
      <c r="E2920" s="3"/>
      <c r="F2920" s="3"/>
      <c r="G2920" s="3"/>
      <c r="H2920" s="3"/>
    </row>
    <row r="2921" spans="5:8">
      <c r="E2921" s="3"/>
      <c r="F2921" s="3"/>
      <c r="G2921" s="3"/>
      <c r="H2921" s="3"/>
    </row>
    <row r="2922" spans="5:8">
      <c r="E2922" s="3"/>
      <c r="F2922" s="3"/>
      <c r="G2922" s="3"/>
      <c r="H2922" s="3"/>
    </row>
    <row r="2923" spans="5:8">
      <c r="E2923" s="3"/>
      <c r="F2923" s="3"/>
      <c r="G2923" s="3"/>
      <c r="H2923" s="3"/>
    </row>
    <row r="2924" spans="5:8">
      <c r="E2924" s="3"/>
      <c r="F2924" s="3"/>
      <c r="G2924" s="3"/>
      <c r="H2924" s="3"/>
    </row>
    <row r="2925" spans="5:8">
      <c r="E2925" s="3"/>
      <c r="F2925" s="3"/>
      <c r="G2925" s="3"/>
      <c r="H2925" s="3"/>
    </row>
    <row r="2926" spans="5:8">
      <c r="E2926" s="3"/>
      <c r="F2926" s="3"/>
      <c r="G2926" s="3"/>
      <c r="H2926" s="3"/>
    </row>
    <row r="2927" spans="5:8">
      <c r="E2927" s="3"/>
      <c r="F2927" s="3"/>
      <c r="G2927" s="3"/>
      <c r="H2927" s="3"/>
    </row>
    <row r="2928" spans="5:8">
      <c r="E2928" s="3"/>
      <c r="F2928" s="3"/>
      <c r="G2928" s="3"/>
      <c r="H2928" s="3"/>
    </row>
    <row r="2929" spans="5:8">
      <c r="E2929" s="3"/>
      <c r="F2929" s="3"/>
      <c r="G2929" s="3"/>
      <c r="H2929" s="3"/>
    </row>
    <row r="2930" spans="5:8">
      <c r="E2930" s="3"/>
      <c r="F2930" s="3"/>
      <c r="G2930" s="3"/>
      <c r="H2930" s="3"/>
    </row>
    <row r="2931" spans="5:8">
      <c r="E2931" s="3"/>
      <c r="F2931" s="3"/>
      <c r="G2931" s="3"/>
      <c r="H2931" s="3"/>
    </row>
    <row r="2932" spans="5:8">
      <c r="E2932" s="3"/>
      <c r="F2932" s="3"/>
      <c r="G2932" s="3"/>
      <c r="H2932" s="3"/>
    </row>
    <row r="2933" spans="5:8">
      <c r="E2933" s="3"/>
      <c r="F2933" s="3"/>
      <c r="G2933" s="3"/>
      <c r="H2933" s="3"/>
    </row>
    <row r="2934" spans="5:8">
      <c r="E2934" s="3"/>
      <c r="F2934" s="3"/>
      <c r="G2934" s="3"/>
      <c r="H2934" s="3"/>
    </row>
    <row r="2935" spans="5:8">
      <c r="E2935" s="3"/>
      <c r="F2935" s="3"/>
      <c r="G2935" s="3"/>
      <c r="H2935" s="3"/>
    </row>
    <row r="2936" spans="5:8">
      <c r="E2936" s="3"/>
      <c r="F2936" s="3"/>
      <c r="G2936" s="3"/>
      <c r="H2936" s="3"/>
    </row>
    <row r="2937" spans="5:8">
      <c r="E2937" s="3"/>
      <c r="F2937" s="3"/>
      <c r="G2937" s="3"/>
      <c r="H2937" s="3"/>
    </row>
    <row r="2938" spans="5:8">
      <c r="E2938" s="3"/>
      <c r="F2938" s="3"/>
      <c r="G2938" s="3"/>
      <c r="H2938" s="3"/>
    </row>
    <row r="2939" spans="5:8">
      <c r="E2939" s="3"/>
      <c r="F2939" s="3"/>
      <c r="G2939" s="3"/>
      <c r="H2939" s="3"/>
    </row>
    <row r="2940" spans="5:8">
      <c r="E2940" s="3"/>
      <c r="F2940" s="3"/>
      <c r="G2940" s="3"/>
      <c r="H2940" s="3"/>
    </row>
    <row r="2941" spans="5:8">
      <c r="E2941" s="3"/>
      <c r="F2941" s="3"/>
      <c r="G2941" s="3"/>
      <c r="H2941" s="3"/>
    </row>
    <row r="2942" spans="5:8">
      <c r="E2942" s="3"/>
      <c r="F2942" s="3"/>
      <c r="G2942" s="3"/>
      <c r="H2942" s="3"/>
    </row>
    <row r="2943" spans="5:8">
      <c r="E2943" s="3"/>
      <c r="F2943" s="3"/>
      <c r="G2943" s="3"/>
      <c r="H2943" s="3"/>
    </row>
    <row r="2944" spans="5:8">
      <c r="E2944" s="3"/>
      <c r="F2944" s="3"/>
      <c r="G2944" s="3"/>
      <c r="H2944" s="3"/>
    </row>
    <row r="2945" spans="5:8">
      <c r="E2945" s="3"/>
      <c r="F2945" s="3"/>
      <c r="G2945" s="3"/>
      <c r="H2945" s="3"/>
    </row>
    <row r="2946" spans="5:8">
      <c r="E2946" s="3"/>
      <c r="F2946" s="3"/>
      <c r="G2946" s="3"/>
      <c r="H2946" s="3"/>
    </row>
    <row r="2947" spans="5:8">
      <c r="E2947" s="3"/>
      <c r="F2947" s="3"/>
      <c r="G2947" s="3"/>
      <c r="H2947" s="3"/>
    </row>
    <row r="2948" spans="5:8">
      <c r="E2948" s="3"/>
      <c r="F2948" s="3"/>
      <c r="G2948" s="3"/>
      <c r="H2948" s="3"/>
    </row>
    <row r="2949" spans="5:8">
      <c r="E2949" s="3"/>
      <c r="F2949" s="3"/>
      <c r="G2949" s="3"/>
      <c r="H2949" s="3"/>
    </row>
    <row r="2950" spans="5:8">
      <c r="E2950" s="3"/>
      <c r="F2950" s="3"/>
      <c r="G2950" s="3"/>
      <c r="H2950" s="3"/>
    </row>
    <row r="2951" spans="5:8">
      <c r="E2951" s="3"/>
      <c r="F2951" s="3"/>
      <c r="G2951" s="3"/>
      <c r="H2951" s="3"/>
    </row>
    <row r="2952" spans="5:8">
      <c r="E2952" s="3"/>
      <c r="F2952" s="3"/>
      <c r="G2952" s="3"/>
      <c r="H2952" s="3"/>
    </row>
    <row r="2953" spans="5:8">
      <c r="E2953" s="3"/>
      <c r="F2953" s="3"/>
      <c r="G2953" s="3"/>
      <c r="H2953" s="3"/>
    </row>
    <row r="2954" spans="5:8">
      <c r="E2954" s="3"/>
      <c r="F2954" s="3"/>
      <c r="G2954" s="3"/>
      <c r="H2954" s="3"/>
    </row>
    <row r="2955" spans="5:8">
      <c r="E2955" s="3"/>
      <c r="F2955" s="3"/>
      <c r="G2955" s="3"/>
      <c r="H2955" s="3"/>
    </row>
    <row r="2956" spans="5:8">
      <c r="E2956" s="3"/>
      <c r="F2956" s="3"/>
      <c r="G2956" s="3"/>
      <c r="H2956" s="3"/>
    </row>
    <row r="2957" spans="5:8">
      <c r="E2957" s="3"/>
      <c r="F2957" s="3"/>
      <c r="G2957" s="3"/>
      <c r="H2957" s="3"/>
    </row>
    <row r="2958" spans="5:8">
      <c r="E2958" s="3"/>
      <c r="F2958" s="3"/>
      <c r="G2958" s="3"/>
      <c r="H2958" s="3"/>
    </row>
    <row r="2959" spans="5:8">
      <c r="E2959" s="3"/>
      <c r="F2959" s="3"/>
      <c r="G2959" s="3"/>
      <c r="H2959" s="3"/>
    </row>
    <row r="2960" spans="5:8">
      <c r="E2960" s="3"/>
      <c r="F2960" s="3"/>
      <c r="G2960" s="3"/>
      <c r="H2960" s="3"/>
    </row>
    <row r="2961" spans="5:8">
      <c r="E2961" s="3"/>
      <c r="F2961" s="3"/>
      <c r="G2961" s="3"/>
      <c r="H2961" s="3"/>
    </row>
    <row r="2962" spans="5:8">
      <c r="E2962" s="3"/>
      <c r="F2962" s="3"/>
      <c r="G2962" s="3"/>
      <c r="H2962" s="3"/>
    </row>
    <row r="2963" spans="5:8">
      <c r="E2963" s="3"/>
      <c r="F2963" s="3"/>
      <c r="G2963" s="3"/>
      <c r="H2963" s="3"/>
    </row>
    <row r="2964" spans="5:8">
      <c r="E2964" s="3"/>
      <c r="F2964" s="3"/>
      <c r="G2964" s="3"/>
      <c r="H2964" s="3"/>
    </row>
    <row r="2965" spans="5:8">
      <c r="E2965" s="3"/>
      <c r="F2965" s="3"/>
      <c r="G2965" s="3"/>
      <c r="H2965" s="3"/>
    </row>
    <row r="2966" spans="5:8">
      <c r="E2966" s="3"/>
      <c r="F2966" s="3"/>
      <c r="G2966" s="3"/>
      <c r="H2966" s="3"/>
    </row>
    <row r="2967" spans="5:8">
      <c r="E2967" s="3"/>
      <c r="F2967" s="3"/>
      <c r="G2967" s="3"/>
      <c r="H2967" s="3"/>
    </row>
    <row r="2968" spans="5:8">
      <c r="E2968" s="3"/>
      <c r="F2968" s="3"/>
      <c r="G2968" s="3"/>
      <c r="H2968" s="3"/>
    </row>
    <row r="2969" spans="5:8">
      <c r="E2969" s="3"/>
      <c r="F2969" s="3"/>
      <c r="G2969" s="3"/>
      <c r="H2969" s="3"/>
    </row>
    <row r="2970" spans="5:8">
      <c r="E2970" s="3"/>
      <c r="F2970" s="3"/>
      <c r="G2970" s="3"/>
      <c r="H2970" s="3"/>
    </row>
    <row r="2971" spans="5:8">
      <c r="E2971" s="3"/>
      <c r="F2971" s="3"/>
      <c r="G2971" s="3"/>
      <c r="H2971" s="3"/>
    </row>
    <row r="2972" spans="5:8">
      <c r="E2972" s="3"/>
      <c r="F2972" s="3"/>
      <c r="G2972" s="3"/>
      <c r="H2972" s="3"/>
    </row>
    <row r="2973" spans="5:8">
      <c r="E2973" s="3"/>
      <c r="F2973" s="3"/>
      <c r="G2973" s="3"/>
      <c r="H2973" s="3"/>
    </row>
    <row r="2974" spans="5:8">
      <c r="E2974" s="3"/>
      <c r="F2974" s="3"/>
      <c r="G2974" s="3"/>
      <c r="H2974" s="3"/>
    </row>
    <row r="2975" spans="5:8">
      <c r="E2975" s="3"/>
      <c r="F2975" s="3"/>
      <c r="G2975" s="3"/>
      <c r="H2975" s="3"/>
    </row>
    <row r="2976" spans="5:8">
      <c r="E2976" s="3"/>
      <c r="F2976" s="3"/>
      <c r="G2976" s="3"/>
      <c r="H2976" s="3"/>
    </row>
    <row r="2977" spans="5:8">
      <c r="E2977" s="3"/>
      <c r="F2977" s="3"/>
      <c r="G2977" s="3"/>
      <c r="H2977" s="3"/>
    </row>
    <row r="2978" spans="5:8">
      <c r="E2978" s="3"/>
      <c r="F2978" s="3"/>
      <c r="G2978" s="3"/>
      <c r="H2978" s="3"/>
    </row>
    <row r="2979" spans="5:8">
      <c r="E2979" s="3"/>
      <c r="F2979" s="3"/>
      <c r="G2979" s="3"/>
      <c r="H2979" s="3"/>
    </row>
    <row r="2980" spans="5:8">
      <c r="E2980" s="3"/>
      <c r="F2980" s="3"/>
      <c r="G2980" s="3"/>
      <c r="H2980" s="3"/>
    </row>
    <row r="2981" spans="5:8">
      <c r="E2981" s="3"/>
      <c r="F2981" s="3"/>
      <c r="G2981" s="3"/>
      <c r="H2981" s="3"/>
    </row>
    <row r="2982" spans="5:8">
      <c r="E2982" s="3"/>
      <c r="F2982" s="3"/>
      <c r="G2982" s="3"/>
      <c r="H2982" s="3"/>
    </row>
    <row r="2983" spans="5:8">
      <c r="E2983" s="3"/>
      <c r="F2983" s="3"/>
      <c r="G2983" s="3"/>
      <c r="H2983" s="3"/>
    </row>
    <row r="2984" spans="5:8">
      <c r="E2984" s="3"/>
      <c r="F2984" s="3"/>
      <c r="G2984" s="3"/>
      <c r="H2984" s="3"/>
    </row>
    <row r="2985" spans="5:8">
      <c r="E2985" s="3"/>
      <c r="F2985" s="3"/>
      <c r="G2985" s="3"/>
      <c r="H2985" s="3"/>
    </row>
    <row r="2986" spans="5:8">
      <c r="E2986" s="3"/>
      <c r="F2986" s="3"/>
      <c r="G2986" s="3"/>
      <c r="H2986" s="3"/>
    </row>
    <row r="2987" spans="5:8">
      <c r="E2987" s="3"/>
      <c r="F2987" s="3"/>
      <c r="G2987" s="3"/>
      <c r="H2987" s="3"/>
    </row>
    <row r="2988" spans="5:8">
      <c r="E2988" s="3"/>
      <c r="F2988" s="3"/>
      <c r="G2988" s="3"/>
      <c r="H2988" s="3"/>
    </row>
    <row r="2989" spans="5:8">
      <c r="E2989" s="3"/>
      <c r="F2989" s="3"/>
      <c r="G2989" s="3"/>
      <c r="H2989" s="3"/>
    </row>
    <row r="2990" spans="5:8">
      <c r="E2990" s="3"/>
      <c r="F2990" s="3"/>
      <c r="G2990" s="3"/>
      <c r="H2990" s="3"/>
    </row>
    <row r="2991" spans="5:8">
      <c r="E2991" s="3"/>
      <c r="F2991" s="3"/>
      <c r="G2991" s="3"/>
      <c r="H2991" s="3"/>
    </row>
    <row r="2992" spans="5:8">
      <c r="E2992" s="3"/>
      <c r="F2992" s="3"/>
      <c r="G2992" s="3"/>
      <c r="H2992" s="3"/>
    </row>
    <row r="2993" spans="5:8">
      <c r="E2993" s="3"/>
      <c r="F2993" s="3"/>
      <c r="G2993" s="3"/>
      <c r="H2993" s="3"/>
    </row>
    <row r="2994" spans="5:8">
      <c r="E2994" s="3"/>
      <c r="F2994" s="3"/>
      <c r="G2994" s="3"/>
      <c r="H2994" s="3"/>
    </row>
    <row r="2995" spans="5:8">
      <c r="E2995" s="3"/>
      <c r="F2995" s="3"/>
      <c r="G2995" s="3"/>
      <c r="H2995" s="3"/>
    </row>
    <row r="2996" spans="5:8">
      <c r="E2996" s="3"/>
      <c r="F2996" s="3"/>
      <c r="G2996" s="3"/>
      <c r="H2996" s="3"/>
    </row>
    <row r="2997" spans="5:8">
      <c r="E2997" s="3"/>
      <c r="F2997" s="3"/>
      <c r="G2997" s="3"/>
      <c r="H2997" s="3"/>
    </row>
    <row r="2998" spans="5:8">
      <c r="E2998" s="3"/>
      <c r="F2998" s="3"/>
      <c r="G2998" s="3"/>
      <c r="H2998" s="3"/>
    </row>
    <row r="2999" spans="5:8">
      <c r="E2999" s="3"/>
      <c r="F2999" s="3"/>
      <c r="G2999" s="3"/>
      <c r="H2999" s="3"/>
    </row>
    <row r="3000" spans="5:8">
      <c r="E3000" s="3"/>
      <c r="F3000" s="3"/>
      <c r="G3000" s="3"/>
      <c r="H3000" s="3"/>
    </row>
    <row r="3001" spans="5:8">
      <c r="E3001" s="3"/>
      <c r="F3001" s="3"/>
      <c r="G3001" s="3"/>
      <c r="H3001" s="3"/>
    </row>
    <row r="3002" spans="5:8">
      <c r="E3002" s="3"/>
      <c r="F3002" s="3"/>
      <c r="G3002" s="3"/>
      <c r="H3002" s="3"/>
    </row>
    <row r="3003" spans="5:8">
      <c r="E3003" s="3"/>
      <c r="F3003" s="3"/>
      <c r="G3003" s="3"/>
      <c r="H3003" s="3"/>
    </row>
    <row r="3004" spans="5:8">
      <c r="E3004" s="3"/>
      <c r="F3004" s="3"/>
      <c r="G3004" s="3"/>
      <c r="H3004" s="3"/>
    </row>
    <row r="3005" spans="5:8">
      <c r="E3005" s="3"/>
      <c r="F3005" s="3"/>
      <c r="G3005" s="3"/>
      <c r="H3005" s="3"/>
    </row>
    <row r="3006" spans="5:8">
      <c r="E3006" s="3"/>
      <c r="F3006" s="3"/>
      <c r="G3006" s="3"/>
      <c r="H3006" s="3"/>
    </row>
    <row r="3007" spans="5:8">
      <c r="E3007" s="3"/>
      <c r="F3007" s="3"/>
      <c r="G3007" s="3"/>
      <c r="H3007" s="3"/>
    </row>
    <row r="3008" spans="5:8">
      <c r="E3008" s="3"/>
      <c r="F3008" s="3"/>
      <c r="G3008" s="3"/>
      <c r="H3008" s="3"/>
    </row>
    <row r="3009" spans="5:8">
      <c r="E3009" s="3"/>
      <c r="F3009" s="3"/>
      <c r="G3009" s="3"/>
      <c r="H3009" s="3"/>
    </row>
    <row r="3010" spans="5:8">
      <c r="E3010" s="3"/>
      <c r="F3010" s="3"/>
      <c r="G3010" s="3"/>
      <c r="H3010" s="3"/>
    </row>
    <row r="3011" spans="5:8">
      <c r="E3011" s="3"/>
      <c r="F3011" s="3"/>
      <c r="G3011" s="3"/>
      <c r="H3011" s="3"/>
    </row>
    <row r="3012" spans="5:8">
      <c r="E3012" s="3"/>
      <c r="F3012" s="3"/>
      <c r="G3012" s="3"/>
      <c r="H3012" s="3"/>
    </row>
    <row r="3013" spans="5:8">
      <c r="E3013" s="3"/>
      <c r="F3013" s="3"/>
      <c r="G3013" s="3"/>
      <c r="H3013" s="3"/>
    </row>
    <row r="3014" spans="5:8">
      <c r="E3014" s="3"/>
      <c r="F3014" s="3"/>
      <c r="G3014" s="3"/>
      <c r="H3014" s="3"/>
    </row>
    <row r="3015" spans="5:8">
      <c r="E3015" s="3"/>
      <c r="F3015" s="3"/>
      <c r="G3015" s="3"/>
      <c r="H3015" s="3"/>
    </row>
    <row r="3016" spans="5:8">
      <c r="E3016" s="3"/>
      <c r="F3016" s="3"/>
      <c r="G3016" s="3"/>
      <c r="H3016" s="3"/>
    </row>
    <row r="3017" spans="5:8">
      <c r="E3017" s="3"/>
      <c r="F3017" s="3"/>
      <c r="G3017" s="3"/>
      <c r="H3017" s="3"/>
    </row>
    <row r="3018" spans="5:8">
      <c r="E3018" s="3"/>
      <c r="F3018" s="3"/>
      <c r="G3018" s="3"/>
      <c r="H3018" s="3"/>
    </row>
    <row r="3019" spans="5:8">
      <c r="E3019" s="3"/>
      <c r="F3019" s="3"/>
      <c r="G3019" s="3"/>
      <c r="H3019" s="3"/>
    </row>
    <row r="3020" spans="5:8">
      <c r="E3020" s="3"/>
      <c r="F3020" s="3"/>
      <c r="G3020" s="3"/>
      <c r="H3020" s="3"/>
    </row>
    <row r="3021" spans="5:8">
      <c r="E3021" s="3"/>
      <c r="F3021" s="3"/>
      <c r="G3021" s="3"/>
      <c r="H3021" s="3"/>
    </row>
    <row r="3022" spans="5:8">
      <c r="E3022" s="3"/>
      <c r="F3022" s="3"/>
      <c r="G3022" s="3"/>
      <c r="H3022" s="3"/>
    </row>
    <row r="3023" spans="5:8">
      <c r="E3023" s="3"/>
      <c r="F3023" s="3"/>
      <c r="G3023" s="3"/>
      <c r="H3023" s="3"/>
    </row>
    <row r="3024" spans="5:8">
      <c r="E3024" s="3"/>
      <c r="F3024" s="3"/>
      <c r="G3024" s="3"/>
      <c r="H3024" s="3"/>
    </row>
    <row r="3025" spans="5:8">
      <c r="E3025" s="3"/>
      <c r="F3025" s="3"/>
      <c r="G3025" s="3"/>
      <c r="H3025" s="3"/>
    </row>
    <row r="3026" spans="5:8">
      <c r="E3026" s="3"/>
      <c r="F3026" s="3"/>
      <c r="G3026" s="3"/>
      <c r="H3026" s="3"/>
    </row>
    <row r="3027" spans="5:8">
      <c r="E3027" s="3"/>
      <c r="F3027" s="3"/>
      <c r="G3027" s="3"/>
      <c r="H3027" s="3"/>
    </row>
    <row r="3028" spans="5:8">
      <c r="E3028" s="3"/>
      <c r="F3028" s="3"/>
      <c r="G3028" s="3"/>
      <c r="H3028" s="3"/>
    </row>
    <row r="3029" spans="5:8">
      <c r="E3029" s="3"/>
      <c r="F3029" s="3"/>
      <c r="G3029" s="3"/>
      <c r="H3029" s="3"/>
    </row>
    <row r="3030" spans="5:8">
      <c r="E3030" s="3"/>
      <c r="F3030" s="3"/>
      <c r="G3030" s="3"/>
      <c r="H3030" s="3"/>
    </row>
    <row r="3031" spans="5:8">
      <c r="E3031" s="3"/>
      <c r="F3031" s="3"/>
      <c r="G3031" s="3"/>
      <c r="H3031" s="3"/>
    </row>
    <row r="3032" spans="5:8">
      <c r="E3032" s="3"/>
      <c r="F3032" s="3"/>
      <c r="G3032" s="3"/>
      <c r="H3032" s="3"/>
    </row>
    <row r="3033" spans="5:8">
      <c r="E3033" s="3"/>
      <c r="F3033" s="3"/>
      <c r="G3033" s="3"/>
      <c r="H3033" s="3"/>
    </row>
    <row r="3034" spans="5:8">
      <c r="E3034" s="3"/>
      <c r="F3034" s="3"/>
      <c r="G3034" s="3"/>
      <c r="H3034" s="3"/>
    </row>
    <row r="3035" spans="5:8">
      <c r="E3035" s="3"/>
      <c r="F3035" s="3"/>
      <c r="G3035" s="3"/>
      <c r="H3035" s="3"/>
    </row>
    <row r="3036" spans="5:8">
      <c r="E3036" s="3"/>
      <c r="F3036" s="3"/>
      <c r="G3036" s="3"/>
      <c r="H3036" s="3"/>
    </row>
    <row r="3037" spans="5:8">
      <c r="E3037" s="3"/>
      <c r="F3037" s="3"/>
      <c r="G3037" s="3"/>
      <c r="H3037" s="3"/>
    </row>
    <row r="3038" spans="5:8">
      <c r="E3038" s="3"/>
      <c r="F3038" s="3"/>
      <c r="G3038" s="3"/>
      <c r="H3038" s="3"/>
    </row>
    <row r="3039" spans="5:8">
      <c r="E3039" s="3"/>
      <c r="F3039" s="3"/>
      <c r="G3039" s="3"/>
      <c r="H3039" s="3"/>
    </row>
    <row r="3040" spans="5:8">
      <c r="E3040" s="3"/>
      <c r="F3040" s="3"/>
      <c r="G3040" s="3"/>
      <c r="H3040" s="3"/>
    </row>
    <row r="3041" spans="5:8">
      <c r="E3041" s="3"/>
      <c r="F3041" s="3"/>
      <c r="G3041" s="3"/>
      <c r="H3041" s="3"/>
    </row>
    <row r="3042" spans="5:8">
      <c r="E3042" s="3"/>
      <c r="F3042" s="3"/>
      <c r="G3042" s="3"/>
      <c r="H3042" s="3"/>
    </row>
    <row r="3043" spans="5:8">
      <c r="E3043" s="3"/>
      <c r="F3043" s="3"/>
      <c r="G3043" s="3"/>
      <c r="H3043" s="3"/>
    </row>
    <row r="3044" spans="5:8">
      <c r="E3044" s="3"/>
      <c r="F3044" s="3"/>
      <c r="G3044" s="3"/>
      <c r="H3044" s="3"/>
    </row>
    <row r="3045" spans="5:8">
      <c r="E3045" s="3"/>
      <c r="F3045" s="3"/>
      <c r="G3045" s="3"/>
      <c r="H3045" s="3"/>
    </row>
    <row r="3046" spans="5:8">
      <c r="E3046" s="3"/>
      <c r="F3046" s="3"/>
      <c r="G3046" s="3"/>
      <c r="H3046" s="3"/>
    </row>
    <row r="3047" spans="5:8">
      <c r="E3047" s="3"/>
      <c r="F3047" s="3"/>
      <c r="G3047" s="3"/>
      <c r="H3047" s="3"/>
    </row>
    <row r="3048" spans="5:8">
      <c r="E3048" s="3"/>
      <c r="F3048" s="3"/>
      <c r="G3048" s="3"/>
      <c r="H3048" s="3"/>
    </row>
    <row r="3049" spans="5:8">
      <c r="E3049" s="3"/>
      <c r="F3049" s="3"/>
      <c r="G3049" s="3"/>
      <c r="H3049" s="3"/>
    </row>
    <row r="3050" spans="5:8">
      <c r="E3050" s="3"/>
      <c r="F3050" s="3"/>
      <c r="G3050" s="3"/>
      <c r="H3050" s="3"/>
    </row>
    <row r="3051" spans="5:8">
      <c r="E3051" s="3"/>
      <c r="F3051" s="3"/>
      <c r="G3051" s="3"/>
      <c r="H3051" s="3"/>
    </row>
    <row r="3052" spans="5:8">
      <c r="E3052" s="3"/>
      <c r="F3052" s="3"/>
      <c r="G3052" s="3"/>
      <c r="H3052" s="3"/>
    </row>
    <row r="3053" spans="5:8">
      <c r="E3053" s="3"/>
      <c r="F3053" s="3"/>
      <c r="G3053" s="3"/>
      <c r="H3053" s="3"/>
    </row>
    <row r="3054" spans="5:8">
      <c r="E3054" s="3"/>
      <c r="F3054" s="3"/>
      <c r="G3054" s="3"/>
      <c r="H3054" s="3"/>
    </row>
    <row r="3055" spans="5:8">
      <c r="E3055" s="3"/>
      <c r="F3055" s="3"/>
      <c r="G3055" s="3"/>
      <c r="H3055" s="3"/>
    </row>
    <row r="3056" spans="5:8">
      <c r="E3056" s="3"/>
      <c r="F3056" s="3"/>
      <c r="G3056" s="3"/>
      <c r="H3056" s="3"/>
    </row>
    <row r="3057" spans="5:8">
      <c r="E3057" s="3"/>
      <c r="F3057" s="3"/>
      <c r="G3057" s="3"/>
      <c r="H3057" s="3"/>
    </row>
    <row r="3058" spans="5:8">
      <c r="E3058" s="3"/>
      <c r="F3058" s="3"/>
      <c r="G3058" s="3"/>
      <c r="H3058" s="3"/>
    </row>
    <row r="3059" spans="5:8">
      <c r="E3059" s="3"/>
      <c r="F3059" s="3"/>
      <c r="G3059" s="3"/>
      <c r="H3059" s="3"/>
    </row>
    <row r="3060" spans="5:8">
      <c r="E3060" s="3"/>
      <c r="F3060" s="3"/>
      <c r="G3060" s="3"/>
      <c r="H3060" s="3"/>
    </row>
    <row r="3061" spans="5:8">
      <c r="E3061" s="3"/>
      <c r="F3061" s="3"/>
      <c r="G3061" s="3"/>
      <c r="H3061" s="3"/>
    </row>
    <row r="3062" spans="5:8">
      <c r="E3062" s="3"/>
      <c r="F3062" s="3"/>
      <c r="G3062" s="3"/>
      <c r="H3062" s="3"/>
    </row>
    <row r="3063" spans="5:8">
      <c r="E3063" s="3"/>
      <c r="F3063" s="3"/>
      <c r="G3063" s="3"/>
      <c r="H3063" s="3"/>
    </row>
    <row r="3064" spans="5:8">
      <c r="E3064" s="3"/>
      <c r="F3064" s="3"/>
      <c r="G3064" s="3"/>
      <c r="H3064" s="3"/>
    </row>
    <row r="3065" spans="5:8">
      <c r="E3065" s="3"/>
      <c r="F3065" s="3"/>
      <c r="G3065" s="3"/>
      <c r="H3065" s="3"/>
    </row>
    <row r="3066" spans="5:8">
      <c r="E3066" s="3"/>
      <c r="F3066" s="3"/>
      <c r="G3066" s="3"/>
      <c r="H3066" s="3"/>
    </row>
    <row r="3067" spans="5:8">
      <c r="E3067" s="3"/>
      <c r="F3067" s="3"/>
      <c r="G3067" s="3"/>
      <c r="H3067" s="3"/>
    </row>
    <row r="3068" spans="5:8">
      <c r="E3068" s="3"/>
      <c r="F3068" s="3"/>
      <c r="G3068" s="3"/>
      <c r="H3068" s="3"/>
    </row>
    <row r="3069" spans="5:8">
      <c r="E3069" s="3"/>
      <c r="F3069" s="3"/>
      <c r="G3069" s="3"/>
      <c r="H3069" s="3"/>
    </row>
    <row r="3070" spans="5:8">
      <c r="E3070" s="3"/>
      <c r="F3070" s="3"/>
      <c r="G3070" s="3"/>
      <c r="H3070" s="3"/>
    </row>
    <row r="3071" spans="5:8">
      <c r="E3071" s="3"/>
      <c r="F3071" s="3"/>
      <c r="G3071" s="3"/>
      <c r="H3071" s="3"/>
    </row>
    <row r="3072" spans="5:8">
      <c r="E3072" s="3"/>
      <c r="F3072" s="3"/>
      <c r="G3072" s="3"/>
      <c r="H3072" s="3"/>
    </row>
    <row r="3073" spans="5:8">
      <c r="E3073" s="3"/>
      <c r="F3073" s="3"/>
      <c r="G3073" s="3"/>
      <c r="H3073" s="3"/>
    </row>
    <row r="3074" spans="5:8">
      <c r="E3074" s="3"/>
      <c r="F3074" s="3"/>
      <c r="G3074" s="3"/>
      <c r="H3074" s="3"/>
    </row>
    <row r="3075" spans="5:8">
      <c r="E3075" s="3"/>
      <c r="F3075" s="3"/>
      <c r="G3075" s="3"/>
      <c r="H3075" s="3"/>
    </row>
    <row r="3076" spans="5:8">
      <c r="E3076" s="3"/>
      <c r="F3076" s="3"/>
      <c r="G3076" s="3"/>
      <c r="H3076" s="3"/>
    </row>
    <row r="3077" spans="5:8">
      <c r="E3077" s="3"/>
      <c r="F3077" s="3"/>
      <c r="G3077" s="3"/>
      <c r="H3077" s="3"/>
    </row>
    <row r="3078" spans="5:8">
      <c r="E3078" s="3"/>
      <c r="F3078" s="3"/>
      <c r="G3078" s="3"/>
      <c r="H3078" s="3"/>
    </row>
    <row r="3079" spans="5:8">
      <c r="E3079" s="3"/>
      <c r="F3079" s="3"/>
      <c r="G3079" s="3"/>
      <c r="H3079" s="3"/>
    </row>
    <row r="3080" spans="5:8">
      <c r="E3080" s="3"/>
      <c r="F3080" s="3"/>
      <c r="G3080" s="3"/>
      <c r="H3080" s="3"/>
    </row>
    <row r="3081" spans="5:8">
      <c r="E3081" s="3"/>
      <c r="F3081" s="3"/>
      <c r="G3081" s="3"/>
      <c r="H3081" s="3"/>
    </row>
    <row r="3082" spans="5:8">
      <c r="E3082" s="3"/>
      <c r="F3082" s="3"/>
      <c r="G3082" s="3"/>
      <c r="H3082" s="3"/>
    </row>
    <row r="3083" spans="5:8">
      <c r="E3083" s="3"/>
      <c r="F3083" s="3"/>
      <c r="G3083" s="3"/>
      <c r="H3083" s="3"/>
    </row>
    <row r="3084" spans="5:8">
      <c r="E3084" s="3"/>
      <c r="F3084" s="3"/>
      <c r="G3084" s="3"/>
      <c r="H3084" s="3"/>
    </row>
    <row r="3085" spans="5:8">
      <c r="E3085" s="3"/>
      <c r="F3085" s="3"/>
      <c r="G3085" s="3"/>
      <c r="H3085" s="3"/>
    </row>
    <row r="3086" spans="5:8">
      <c r="E3086" s="3"/>
      <c r="F3086" s="3"/>
      <c r="G3086" s="3"/>
      <c r="H3086" s="3"/>
    </row>
    <row r="3087" spans="5:8">
      <c r="E3087" s="3"/>
      <c r="F3087" s="3"/>
      <c r="G3087" s="3"/>
      <c r="H3087" s="3"/>
    </row>
    <row r="3088" spans="5:8">
      <c r="E3088" s="3"/>
      <c r="F3088" s="3"/>
      <c r="G3088" s="3"/>
      <c r="H3088" s="3"/>
    </row>
    <row r="3089" spans="5:8">
      <c r="E3089" s="3"/>
      <c r="F3089" s="3"/>
      <c r="G3089" s="3"/>
      <c r="H3089" s="3"/>
    </row>
    <row r="3090" spans="5:8">
      <c r="E3090" s="3"/>
      <c r="F3090" s="3"/>
      <c r="G3090" s="3"/>
      <c r="H3090" s="3"/>
    </row>
    <row r="3091" spans="5:8">
      <c r="E3091" s="3"/>
      <c r="F3091" s="3"/>
      <c r="G3091" s="3"/>
      <c r="H3091" s="3"/>
    </row>
    <row r="3092" spans="5:8">
      <c r="E3092" s="3"/>
      <c r="F3092" s="3"/>
      <c r="G3092" s="3"/>
      <c r="H3092" s="3"/>
    </row>
    <row r="3093" spans="5:8">
      <c r="E3093" s="3"/>
      <c r="F3093" s="3"/>
      <c r="G3093" s="3"/>
      <c r="H3093" s="3"/>
    </row>
    <row r="3094" spans="5:8">
      <c r="E3094" s="3"/>
      <c r="F3094" s="3"/>
      <c r="G3094" s="3"/>
      <c r="H3094" s="3"/>
    </row>
    <row r="3095" spans="5:8">
      <c r="E3095" s="3"/>
      <c r="F3095" s="3"/>
      <c r="G3095" s="3"/>
      <c r="H3095" s="3"/>
    </row>
    <row r="3096" spans="5:8">
      <c r="E3096" s="3"/>
      <c r="F3096" s="3"/>
      <c r="G3096" s="3"/>
      <c r="H3096" s="3"/>
    </row>
    <row r="3097" spans="5:8">
      <c r="E3097" s="3"/>
      <c r="F3097" s="3"/>
      <c r="G3097" s="3"/>
      <c r="H3097" s="3"/>
    </row>
    <row r="3098" spans="5:8">
      <c r="E3098" s="3"/>
      <c r="F3098" s="3"/>
      <c r="G3098" s="3"/>
      <c r="H3098" s="3"/>
    </row>
    <row r="3099" spans="5:8">
      <c r="E3099" s="3"/>
      <c r="F3099" s="3"/>
      <c r="G3099" s="3"/>
      <c r="H3099" s="3"/>
    </row>
    <row r="3100" spans="5:8">
      <c r="E3100" s="3"/>
      <c r="F3100" s="3"/>
      <c r="G3100" s="3"/>
      <c r="H3100" s="3"/>
    </row>
    <row r="3101" spans="5:8">
      <c r="E3101" s="3"/>
      <c r="F3101" s="3"/>
      <c r="G3101" s="3"/>
      <c r="H3101" s="3"/>
    </row>
    <row r="3102" spans="5:8">
      <c r="E3102" s="3"/>
      <c r="F3102" s="3"/>
      <c r="G3102" s="3"/>
      <c r="H3102" s="3"/>
    </row>
    <row r="3103" spans="5:8">
      <c r="E3103" s="3"/>
      <c r="F3103" s="3"/>
      <c r="G3103" s="3"/>
      <c r="H3103" s="3"/>
    </row>
    <row r="3104" spans="5:8">
      <c r="E3104" s="3"/>
      <c r="F3104" s="3"/>
      <c r="G3104" s="3"/>
      <c r="H3104" s="3"/>
    </row>
    <row r="3105" spans="5:8">
      <c r="E3105" s="3"/>
      <c r="F3105" s="3"/>
      <c r="G3105" s="3"/>
      <c r="H3105" s="3"/>
    </row>
    <row r="3106" spans="5:8">
      <c r="E3106" s="3"/>
      <c r="F3106" s="3"/>
      <c r="G3106" s="3"/>
      <c r="H3106" s="3"/>
    </row>
    <row r="3107" spans="5:8">
      <c r="E3107" s="3"/>
      <c r="F3107" s="3"/>
      <c r="G3107" s="3"/>
      <c r="H3107" s="3"/>
    </row>
    <row r="3108" spans="5:8">
      <c r="E3108" s="3"/>
      <c r="F3108" s="3"/>
      <c r="G3108" s="3"/>
      <c r="H3108" s="3"/>
    </row>
    <row r="3109" spans="5:8">
      <c r="E3109" s="3"/>
      <c r="F3109" s="3"/>
      <c r="G3109" s="3"/>
      <c r="H3109" s="3"/>
    </row>
    <row r="3110" spans="5:8">
      <c r="E3110" s="3"/>
      <c r="F3110" s="3"/>
      <c r="G3110" s="3"/>
      <c r="H3110" s="3"/>
    </row>
    <row r="3111" spans="5:8">
      <c r="E3111" s="3"/>
      <c r="F3111" s="3"/>
      <c r="G3111" s="3"/>
      <c r="H3111" s="3"/>
    </row>
    <row r="3112" spans="5:8">
      <c r="E3112" s="3"/>
      <c r="F3112" s="3"/>
      <c r="G3112" s="3"/>
      <c r="H3112" s="3"/>
    </row>
    <row r="3113" spans="5:8">
      <c r="E3113" s="3"/>
      <c r="F3113" s="3"/>
      <c r="G3113" s="3"/>
      <c r="H3113" s="3"/>
    </row>
    <row r="3114" spans="5:8">
      <c r="E3114" s="3"/>
      <c r="F3114" s="3"/>
      <c r="G3114" s="3"/>
      <c r="H3114" s="3"/>
    </row>
    <row r="3115" spans="5:8">
      <c r="E3115" s="3"/>
      <c r="F3115" s="3"/>
      <c r="G3115" s="3"/>
      <c r="H3115" s="3"/>
    </row>
    <row r="3116" spans="5:8">
      <c r="E3116" s="3"/>
      <c r="F3116" s="3"/>
      <c r="G3116" s="3"/>
      <c r="H3116" s="3"/>
    </row>
    <row r="3117" spans="5:8">
      <c r="E3117" s="3"/>
      <c r="F3117" s="3"/>
      <c r="G3117" s="3"/>
      <c r="H3117" s="3"/>
    </row>
    <row r="3118" spans="5:8">
      <c r="E3118" s="3"/>
      <c r="F3118" s="3"/>
      <c r="G3118" s="3"/>
      <c r="H3118" s="3"/>
    </row>
    <row r="3119" spans="5:8">
      <c r="E3119" s="3"/>
      <c r="F3119" s="3"/>
      <c r="G3119" s="3"/>
      <c r="H3119" s="3"/>
    </row>
    <row r="3120" spans="5:8">
      <c r="E3120" s="3"/>
      <c r="F3120" s="3"/>
      <c r="G3120" s="3"/>
      <c r="H3120" s="3"/>
    </row>
    <row r="3121" spans="5:8">
      <c r="E3121" s="3"/>
      <c r="F3121" s="3"/>
      <c r="G3121" s="3"/>
      <c r="H3121" s="3"/>
    </row>
    <row r="3122" spans="5:8">
      <c r="E3122" s="3"/>
      <c r="F3122" s="3"/>
      <c r="G3122" s="3"/>
      <c r="H3122" s="3"/>
    </row>
    <row r="3123" spans="5:8">
      <c r="E3123" s="3"/>
      <c r="F3123" s="3"/>
      <c r="G3123" s="3"/>
      <c r="H3123" s="3"/>
    </row>
    <row r="3124" spans="5:8">
      <c r="E3124" s="3"/>
      <c r="F3124" s="3"/>
      <c r="G3124" s="3"/>
      <c r="H3124" s="3"/>
    </row>
    <row r="3125" spans="5:8">
      <c r="E3125" s="3"/>
      <c r="F3125" s="3"/>
      <c r="G3125" s="3"/>
      <c r="H3125" s="3"/>
    </row>
    <row r="3126" spans="5:8">
      <c r="E3126" s="3"/>
      <c r="F3126" s="3"/>
      <c r="G3126" s="3"/>
      <c r="H3126" s="3"/>
    </row>
    <row r="3127" spans="5:8">
      <c r="E3127" s="3"/>
      <c r="F3127" s="3"/>
      <c r="G3127" s="3"/>
      <c r="H3127" s="3"/>
    </row>
    <row r="3128" spans="5:8">
      <c r="E3128" s="3"/>
      <c r="F3128" s="3"/>
      <c r="G3128" s="3"/>
      <c r="H3128" s="3"/>
    </row>
    <row r="3129" spans="5:8">
      <c r="E3129" s="3"/>
      <c r="F3129" s="3"/>
      <c r="G3129" s="3"/>
      <c r="H3129" s="3"/>
    </row>
    <row r="3130" spans="5:8">
      <c r="E3130" s="3"/>
      <c r="F3130" s="3"/>
      <c r="G3130" s="3"/>
      <c r="H3130" s="3"/>
    </row>
    <row r="3131" spans="5:8">
      <c r="E3131" s="3"/>
      <c r="F3131" s="3"/>
      <c r="G3131" s="3"/>
      <c r="H3131" s="3"/>
    </row>
    <row r="3132" spans="5:8">
      <c r="E3132" s="3"/>
      <c r="F3132" s="3"/>
      <c r="G3132" s="3"/>
      <c r="H3132" s="3"/>
    </row>
    <row r="3133" spans="5:8">
      <c r="E3133" s="3"/>
      <c r="F3133" s="3"/>
      <c r="G3133" s="3"/>
      <c r="H3133" s="3"/>
    </row>
    <row r="3134" spans="5:8">
      <c r="E3134" s="3"/>
      <c r="F3134" s="3"/>
      <c r="G3134" s="3"/>
      <c r="H3134" s="3"/>
    </row>
    <row r="3135" spans="5:8">
      <c r="E3135" s="3"/>
      <c r="F3135" s="3"/>
      <c r="G3135" s="3"/>
      <c r="H3135" s="3"/>
    </row>
    <row r="3136" spans="5:8">
      <c r="E3136" s="3"/>
      <c r="F3136" s="3"/>
      <c r="G3136" s="3"/>
      <c r="H3136" s="3"/>
    </row>
    <row r="3137" spans="5:8">
      <c r="E3137" s="3"/>
      <c r="F3137" s="3"/>
      <c r="G3137" s="3"/>
      <c r="H3137" s="3"/>
    </row>
    <row r="3138" spans="5:8">
      <c r="E3138" s="3"/>
      <c r="F3138" s="3"/>
      <c r="G3138" s="3"/>
      <c r="H3138" s="3"/>
    </row>
    <row r="3139" spans="5:8">
      <c r="E3139" s="3"/>
      <c r="F3139" s="3"/>
      <c r="G3139" s="3"/>
      <c r="H3139" s="3"/>
    </row>
    <row r="3140" spans="5:8">
      <c r="E3140" s="3"/>
      <c r="F3140" s="3"/>
      <c r="G3140" s="3"/>
      <c r="H3140" s="3"/>
    </row>
    <row r="3141" spans="5:8">
      <c r="E3141" s="3"/>
      <c r="F3141" s="3"/>
      <c r="G3141" s="3"/>
      <c r="H3141" s="3"/>
    </row>
    <row r="3142" spans="5:8">
      <c r="E3142" s="3"/>
      <c r="F3142" s="3"/>
      <c r="G3142" s="3"/>
      <c r="H3142" s="3"/>
    </row>
    <row r="3143" spans="5:8">
      <c r="E3143" s="3"/>
      <c r="F3143" s="3"/>
      <c r="G3143" s="3"/>
      <c r="H3143" s="3"/>
    </row>
    <row r="3144" spans="5:8">
      <c r="E3144" s="3"/>
      <c r="F3144" s="3"/>
      <c r="G3144" s="3"/>
      <c r="H3144" s="3"/>
    </row>
    <row r="3145" spans="5:8">
      <c r="E3145" s="3"/>
      <c r="F3145" s="3"/>
      <c r="G3145" s="3"/>
      <c r="H3145" s="3"/>
    </row>
    <row r="3146" spans="5:8">
      <c r="E3146" s="3"/>
      <c r="F3146" s="3"/>
      <c r="G3146" s="3"/>
      <c r="H3146" s="3"/>
    </row>
    <row r="3147" spans="5:8">
      <c r="E3147" s="3"/>
      <c r="F3147" s="3"/>
      <c r="G3147" s="3"/>
      <c r="H3147" s="3"/>
    </row>
    <row r="3148" spans="5:8">
      <c r="E3148" s="3"/>
      <c r="F3148" s="3"/>
      <c r="G3148" s="3"/>
      <c r="H3148" s="3"/>
    </row>
    <row r="3149" spans="5:8">
      <c r="E3149" s="3"/>
      <c r="F3149" s="3"/>
      <c r="G3149" s="3"/>
      <c r="H3149" s="3"/>
    </row>
    <row r="3150" spans="5:8">
      <c r="E3150" s="3"/>
      <c r="F3150" s="3"/>
      <c r="G3150" s="3"/>
      <c r="H3150" s="3"/>
    </row>
    <row r="3151" spans="5:8">
      <c r="E3151" s="3"/>
      <c r="F3151" s="3"/>
      <c r="G3151" s="3"/>
      <c r="H3151" s="3"/>
    </row>
    <row r="3152" spans="5:8">
      <c r="E3152" s="3"/>
      <c r="F3152" s="3"/>
      <c r="G3152" s="3"/>
      <c r="H3152" s="3"/>
    </row>
    <row r="3153" spans="5:8">
      <c r="E3153" s="3"/>
      <c r="F3153" s="3"/>
      <c r="G3153" s="3"/>
      <c r="H3153" s="3"/>
    </row>
    <row r="3154" spans="5:8">
      <c r="E3154" s="3"/>
      <c r="F3154" s="3"/>
      <c r="G3154" s="3"/>
      <c r="H3154" s="3"/>
    </row>
    <row r="3155" spans="5:8">
      <c r="E3155" s="3"/>
      <c r="F3155" s="3"/>
      <c r="G3155" s="3"/>
      <c r="H3155" s="3"/>
    </row>
    <row r="3156" spans="5:8">
      <c r="E3156" s="3"/>
      <c r="F3156" s="3"/>
      <c r="G3156" s="3"/>
      <c r="H3156" s="3"/>
    </row>
    <row r="3157" spans="5:8">
      <c r="E3157" s="3"/>
      <c r="F3157" s="3"/>
      <c r="G3157" s="3"/>
      <c r="H3157" s="3"/>
    </row>
    <row r="3158" spans="5:8">
      <c r="E3158" s="3"/>
      <c r="F3158" s="3"/>
      <c r="G3158" s="3"/>
      <c r="H3158" s="3"/>
    </row>
    <row r="3159" spans="5:8">
      <c r="E3159" s="3"/>
      <c r="F3159" s="3"/>
      <c r="G3159" s="3"/>
      <c r="H3159" s="3"/>
    </row>
    <row r="3160" spans="5:8">
      <c r="E3160" s="3"/>
      <c r="F3160" s="3"/>
      <c r="G3160" s="3"/>
      <c r="H3160" s="3"/>
    </row>
    <row r="3161" spans="5:8">
      <c r="E3161" s="3"/>
      <c r="F3161" s="3"/>
      <c r="G3161" s="3"/>
      <c r="H3161" s="3"/>
    </row>
    <row r="3162" spans="5:8">
      <c r="E3162" s="3"/>
      <c r="F3162" s="3"/>
      <c r="G3162" s="3"/>
      <c r="H3162" s="3"/>
    </row>
    <row r="3163" spans="5:8">
      <c r="E3163" s="3"/>
      <c r="F3163" s="3"/>
      <c r="G3163" s="3"/>
      <c r="H3163" s="3"/>
    </row>
    <row r="3164" spans="5:8">
      <c r="E3164" s="3"/>
      <c r="F3164" s="3"/>
      <c r="G3164" s="3"/>
      <c r="H3164" s="3"/>
    </row>
    <row r="3165" spans="5:8">
      <c r="E3165" s="3"/>
      <c r="F3165" s="3"/>
      <c r="G3165" s="3"/>
      <c r="H3165" s="3"/>
    </row>
    <row r="3166" spans="5:8">
      <c r="E3166" s="3"/>
      <c r="F3166" s="3"/>
      <c r="G3166" s="3"/>
      <c r="H3166" s="3"/>
    </row>
    <row r="3167" spans="5:8">
      <c r="E3167" s="3"/>
      <c r="F3167" s="3"/>
      <c r="G3167" s="3"/>
      <c r="H3167" s="3"/>
    </row>
    <row r="3168" spans="5:8">
      <c r="E3168" s="3"/>
      <c r="F3168" s="3"/>
      <c r="G3168" s="3"/>
      <c r="H3168" s="3"/>
    </row>
    <row r="3169" spans="5:8">
      <c r="E3169" s="3"/>
      <c r="F3169" s="3"/>
      <c r="G3169" s="3"/>
      <c r="H3169" s="3"/>
    </row>
    <row r="3170" spans="5:8">
      <c r="E3170" s="3"/>
      <c r="F3170" s="3"/>
      <c r="G3170" s="3"/>
      <c r="H3170" s="3"/>
    </row>
    <row r="3171" spans="5:8">
      <c r="E3171" s="3"/>
      <c r="F3171" s="3"/>
      <c r="G3171" s="3"/>
      <c r="H3171" s="3"/>
    </row>
    <row r="3172" spans="5:8">
      <c r="E3172" s="3"/>
      <c r="F3172" s="3"/>
      <c r="G3172" s="3"/>
      <c r="H3172" s="3"/>
    </row>
    <row r="3173" spans="5:8">
      <c r="E3173" s="3"/>
      <c r="F3173" s="3"/>
      <c r="G3173" s="3"/>
      <c r="H3173" s="3"/>
    </row>
    <row r="3174" spans="5:8">
      <c r="E3174" s="3"/>
      <c r="F3174" s="3"/>
      <c r="G3174" s="3"/>
      <c r="H3174" s="3"/>
    </row>
    <row r="3175" spans="5:8">
      <c r="E3175" s="3"/>
      <c r="F3175" s="3"/>
      <c r="G3175" s="3"/>
      <c r="H3175" s="3"/>
    </row>
    <row r="3176" spans="5:8">
      <c r="E3176" s="3"/>
      <c r="F3176" s="3"/>
      <c r="G3176" s="3"/>
      <c r="H3176" s="3"/>
    </row>
    <row r="3177" spans="5:8">
      <c r="E3177" s="3"/>
      <c r="F3177" s="3"/>
      <c r="G3177" s="3"/>
      <c r="H3177" s="3"/>
    </row>
    <row r="3178" spans="5:8">
      <c r="E3178" s="3"/>
      <c r="F3178" s="3"/>
      <c r="G3178" s="3"/>
      <c r="H3178" s="3"/>
    </row>
    <row r="3179" spans="5:8">
      <c r="E3179" s="3"/>
      <c r="F3179" s="3"/>
      <c r="G3179" s="3"/>
      <c r="H3179" s="3"/>
    </row>
    <row r="3180" spans="5:8">
      <c r="E3180" s="3"/>
      <c r="F3180" s="3"/>
      <c r="G3180" s="3"/>
      <c r="H3180" s="3"/>
    </row>
    <row r="3181" spans="5:8">
      <c r="E3181" s="3"/>
      <c r="F3181" s="3"/>
      <c r="G3181" s="3"/>
      <c r="H3181" s="3"/>
    </row>
    <row r="3182" spans="5:8">
      <c r="E3182" s="3"/>
      <c r="F3182" s="3"/>
      <c r="G3182" s="3"/>
      <c r="H3182" s="3"/>
    </row>
    <row r="3183" spans="5:8">
      <c r="E3183" s="3"/>
      <c r="F3183" s="3"/>
      <c r="G3183" s="3"/>
      <c r="H3183" s="3"/>
    </row>
    <row r="3184" spans="5:8">
      <c r="E3184" s="3"/>
      <c r="F3184" s="3"/>
      <c r="G3184" s="3"/>
      <c r="H3184" s="3"/>
    </row>
    <row r="3185" spans="5:8">
      <c r="E3185" s="3"/>
      <c r="F3185" s="3"/>
      <c r="G3185" s="3"/>
      <c r="H3185" s="3"/>
    </row>
    <row r="3186" spans="5:8">
      <c r="E3186" s="3"/>
      <c r="F3186" s="3"/>
      <c r="G3186" s="3"/>
      <c r="H3186" s="3"/>
    </row>
    <row r="3187" spans="5:8">
      <c r="E3187" s="3"/>
      <c r="F3187" s="3"/>
      <c r="G3187" s="3"/>
      <c r="H3187" s="3"/>
    </row>
    <row r="3188" spans="5:8">
      <c r="E3188" s="3"/>
      <c r="F3188" s="3"/>
      <c r="G3188" s="3"/>
      <c r="H3188" s="3"/>
    </row>
    <row r="3189" spans="5:8">
      <c r="E3189" s="3"/>
      <c r="F3189" s="3"/>
      <c r="G3189" s="3"/>
      <c r="H3189" s="3"/>
    </row>
    <row r="3190" spans="5:8">
      <c r="E3190" s="3"/>
      <c r="F3190" s="3"/>
      <c r="G3190" s="3"/>
      <c r="H3190" s="3"/>
    </row>
    <row r="3191" spans="5:8">
      <c r="E3191" s="3"/>
      <c r="F3191" s="3"/>
      <c r="G3191" s="3"/>
      <c r="H3191" s="3"/>
    </row>
    <row r="3192" spans="5:8">
      <c r="E3192" s="3"/>
      <c r="F3192" s="3"/>
      <c r="G3192" s="3"/>
      <c r="H3192" s="3"/>
    </row>
    <row r="3193" spans="5:8">
      <c r="E3193" s="3"/>
      <c r="F3193" s="3"/>
      <c r="G3193" s="3"/>
      <c r="H3193" s="3"/>
    </row>
    <row r="3194" spans="5:8">
      <c r="E3194" s="3"/>
      <c r="F3194" s="3"/>
      <c r="G3194" s="3"/>
      <c r="H3194" s="3"/>
    </row>
    <row r="3195" spans="5:8">
      <c r="E3195" s="3"/>
      <c r="F3195" s="3"/>
      <c r="G3195" s="3"/>
      <c r="H3195" s="3"/>
    </row>
    <row r="3196" spans="5:8">
      <c r="E3196" s="3"/>
      <c r="F3196" s="3"/>
      <c r="G3196" s="3"/>
      <c r="H3196" s="3"/>
    </row>
    <row r="3197" spans="5:8">
      <c r="E3197" s="3"/>
      <c r="F3197" s="3"/>
      <c r="G3197" s="3"/>
      <c r="H3197" s="3"/>
    </row>
    <row r="3198" spans="5:8">
      <c r="E3198" s="3"/>
      <c r="F3198" s="3"/>
      <c r="G3198" s="3"/>
      <c r="H3198" s="3"/>
    </row>
    <row r="3199" spans="5:8">
      <c r="E3199" s="3"/>
      <c r="F3199" s="3"/>
      <c r="G3199" s="3"/>
      <c r="H3199" s="3"/>
    </row>
    <row r="3200" spans="5:8">
      <c r="E3200" s="3"/>
      <c r="F3200" s="3"/>
      <c r="G3200" s="3"/>
      <c r="H3200" s="3"/>
    </row>
    <row r="3201" spans="5:8">
      <c r="E3201" s="3"/>
      <c r="F3201" s="3"/>
      <c r="G3201" s="3"/>
      <c r="H3201" s="3"/>
    </row>
    <row r="3202" spans="5:8">
      <c r="E3202" s="3"/>
      <c r="F3202" s="3"/>
      <c r="G3202" s="3"/>
      <c r="H3202" s="3"/>
    </row>
    <row r="3203" spans="5:8">
      <c r="E3203" s="3"/>
      <c r="F3203" s="3"/>
      <c r="G3203" s="3"/>
      <c r="H3203" s="3"/>
    </row>
    <row r="3204" spans="5:8">
      <c r="E3204" s="3"/>
      <c r="F3204" s="3"/>
      <c r="G3204" s="3"/>
      <c r="H3204" s="3"/>
    </row>
    <row r="3205" spans="5:8">
      <c r="E3205" s="3"/>
      <c r="F3205" s="3"/>
      <c r="G3205" s="3"/>
      <c r="H3205" s="3"/>
    </row>
    <row r="3206" spans="5:8">
      <c r="E3206" s="3"/>
      <c r="F3206" s="3"/>
      <c r="G3206" s="3"/>
      <c r="H3206" s="3"/>
    </row>
    <row r="3207" spans="5:8">
      <c r="E3207" s="3"/>
      <c r="F3207" s="3"/>
      <c r="G3207" s="3"/>
      <c r="H3207" s="3"/>
    </row>
    <row r="3208" spans="5:8">
      <c r="E3208" s="3"/>
      <c r="F3208" s="3"/>
      <c r="G3208" s="3"/>
      <c r="H3208" s="3"/>
    </row>
    <row r="3209" spans="5:8">
      <c r="E3209" s="3"/>
      <c r="F3209" s="3"/>
      <c r="G3209" s="3"/>
      <c r="H3209" s="3"/>
    </row>
    <row r="3210" spans="5:8">
      <c r="E3210" s="3"/>
      <c r="F3210" s="3"/>
      <c r="G3210" s="3"/>
      <c r="H3210" s="3"/>
    </row>
    <row r="3211" spans="5:8">
      <c r="E3211" s="3"/>
      <c r="F3211" s="3"/>
      <c r="G3211" s="3"/>
      <c r="H3211" s="3"/>
    </row>
    <row r="3212" spans="5:8">
      <c r="E3212" s="3"/>
      <c r="F3212" s="3"/>
      <c r="G3212" s="3"/>
      <c r="H3212" s="3"/>
    </row>
    <row r="3213" spans="5:8">
      <c r="E3213" s="3"/>
      <c r="F3213" s="3"/>
      <c r="G3213" s="3"/>
      <c r="H3213" s="3"/>
    </row>
    <row r="3214" spans="5:8">
      <c r="E3214" s="3"/>
      <c r="F3214" s="3"/>
      <c r="G3214" s="3"/>
      <c r="H3214" s="3"/>
    </row>
    <row r="3215" spans="5:8">
      <c r="E3215" s="3"/>
      <c r="F3215" s="3"/>
      <c r="G3215" s="3"/>
      <c r="H3215" s="3"/>
    </row>
    <row r="3216" spans="5:8">
      <c r="E3216" s="3"/>
      <c r="F3216" s="3"/>
      <c r="G3216" s="3"/>
      <c r="H3216" s="3"/>
    </row>
    <row r="3217" spans="5:8">
      <c r="E3217" s="3"/>
      <c r="F3217" s="3"/>
      <c r="G3217" s="3"/>
      <c r="H3217" s="3"/>
    </row>
    <row r="3218" spans="5:8">
      <c r="E3218" s="3"/>
      <c r="F3218" s="3"/>
      <c r="G3218" s="3"/>
      <c r="H3218" s="3"/>
    </row>
    <row r="3219" spans="5:8">
      <c r="E3219" s="3"/>
      <c r="F3219" s="3"/>
      <c r="G3219" s="3"/>
      <c r="H3219" s="3"/>
    </row>
    <row r="3220" spans="5:8">
      <c r="E3220" s="3"/>
      <c r="F3220" s="3"/>
      <c r="G3220" s="3"/>
      <c r="H3220" s="3"/>
    </row>
    <row r="3221" spans="5:8">
      <c r="E3221" s="3"/>
      <c r="F3221" s="3"/>
      <c r="G3221" s="3"/>
      <c r="H3221" s="3"/>
    </row>
    <row r="3222" spans="5:8">
      <c r="E3222" s="3"/>
      <c r="F3222" s="3"/>
      <c r="G3222" s="3"/>
      <c r="H3222" s="3"/>
    </row>
    <row r="3223" spans="5:8">
      <c r="E3223" s="3"/>
      <c r="F3223" s="3"/>
      <c r="G3223" s="3"/>
      <c r="H3223" s="3"/>
    </row>
    <row r="3224" spans="5:8">
      <c r="E3224" s="3"/>
      <c r="F3224" s="3"/>
      <c r="G3224" s="3"/>
      <c r="H3224" s="3"/>
    </row>
    <row r="3225" spans="5:8">
      <c r="E3225" s="3"/>
      <c r="F3225" s="3"/>
      <c r="G3225" s="3"/>
      <c r="H3225" s="3"/>
    </row>
    <row r="3226" spans="5:8">
      <c r="E3226" s="3"/>
      <c r="F3226" s="3"/>
      <c r="G3226" s="3"/>
      <c r="H3226" s="3"/>
    </row>
    <row r="3227" spans="5:8">
      <c r="E3227" s="3"/>
      <c r="F3227" s="3"/>
      <c r="G3227" s="3"/>
      <c r="H3227" s="3"/>
    </row>
    <row r="3228" spans="5:8">
      <c r="E3228" s="3"/>
      <c r="F3228" s="3"/>
      <c r="G3228" s="3"/>
      <c r="H3228" s="3"/>
    </row>
    <row r="3229" spans="5:8">
      <c r="E3229" s="3"/>
      <c r="F3229" s="3"/>
      <c r="G3229" s="3"/>
      <c r="H3229" s="3"/>
    </row>
    <row r="3230" spans="5:8">
      <c r="E3230" s="3"/>
      <c r="F3230" s="3"/>
      <c r="G3230" s="3"/>
      <c r="H3230" s="3"/>
    </row>
    <row r="3231" spans="5:8">
      <c r="E3231" s="3"/>
      <c r="F3231" s="3"/>
      <c r="G3231" s="3"/>
      <c r="H3231" s="3"/>
    </row>
    <row r="3232" spans="5:8">
      <c r="E3232" s="3"/>
      <c r="F3232" s="3"/>
      <c r="G3232" s="3"/>
      <c r="H3232" s="3"/>
    </row>
    <row r="3233" spans="5:8">
      <c r="E3233" s="3"/>
      <c r="F3233" s="3"/>
      <c r="G3233" s="3"/>
      <c r="H3233" s="3"/>
    </row>
    <row r="3234" spans="5:8">
      <c r="E3234" s="3"/>
      <c r="F3234" s="3"/>
      <c r="G3234" s="3"/>
      <c r="H3234" s="3"/>
    </row>
    <row r="3235" spans="5:8">
      <c r="E3235" s="3"/>
      <c r="F3235" s="3"/>
      <c r="G3235" s="3"/>
      <c r="H3235" s="3"/>
    </row>
    <row r="3236" spans="5:8">
      <c r="E3236" s="3"/>
      <c r="F3236" s="3"/>
      <c r="G3236" s="3"/>
      <c r="H3236" s="3"/>
    </row>
    <row r="3237" spans="5:8">
      <c r="E3237" s="3"/>
      <c r="F3237" s="3"/>
      <c r="G3237" s="3"/>
      <c r="H3237" s="3"/>
    </row>
    <row r="3238" spans="5:8">
      <c r="E3238" s="3"/>
      <c r="F3238" s="3"/>
      <c r="G3238" s="3"/>
      <c r="H3238" s="3"/>
    </row>
    <row r="3239" spans="5:8">
      <c r="E3239" s="3"/>
      <c r="F3239" s="3"/>
      <c r="G3239" s="3"/>
      <c r="H3239" s="3"/>
    </row>
    <row r="3240" spans="5:8">
      <c r="E3240" s="3"/>
      <c r="F3240" s="3"/>
      <c r="G3240" s="3"/>
      <c r="H3240" s="3"/>
    </row>
    <row r="3241" spans="5:8">
      <c r="E3241" s="3"/>
      <c r="F3241" s="3"/>
      <c r="G3241" s="3"/>
      <c r="H3241" s="3"/>
    </row>
    <row r="3242" spans="5:8">
      <c r="E3242" s="3"/>
      <c r="F3242" s="3"/>
      <c r="G3242" s="3"/>
      <c r="H3242" s="3"/>
    </row>
    <row r="3243" spans="5:8">
      <c r="E3243" s="3"/>
      <c r="F3243" s="3"/>
      <c r="G3243" s="3"/>
      <c r="H3243" s="3"/>
    </row>
    <row r="3244" spans="5:8">
      <c r="E3244" s="3"/>
      <c r="F3244" s="3"/>
      <c r="G3244" s="3"/>
      <c r="H3244" s="3"/>
    </row>
    <row r="3245" spans="5:8">
      <c r="E3245" s="3"/>
      <c r="F3245" s="3"/>
      <c r="G3245" s="3"/>
      <c r="H3245" s="3"/>
    </row>
    <row r="3246" spans="5:8">
      <c r="E3246" s="3"/>
      <c r="F3246" s="3"/>
      <c r="G3246" s="3"/>
      <c r="H3246" s="3"/>
    </row>
    <row r="3247" spans="5:8">
      <c r="E3247" s="3"/>
      <c r="F3247" s="3"/>
      <c r="G3247" s="3"/>
      <c r="H3247" s="3"/>
    </row>
    <row r="3248" spans="5:8">
      <c r="E3248" s="3"/>
      <c r="F3248" s="3"/>
      <c r="G3248" s="3"/>
      <c r="H3248" s="3"/>
    </row>
    <row r="3249" spans="5:8">
      <c r="E3249" s="3"/>
      <c r="F3249" s="3"/>
      <c r="G3249" s="3"/>
      <c r="H3249" s="3"/>
    </row>
    <row r="3250" spans="5:8">
      <c r="E3250" s="3"/>
      <c r="F3250" s="3"/>
      <c r="G3250" s="3"/>
      <c r="H3250" s="3"/>
    </row>
    <row r="3251" spans="5:8">
      <c r="E3251" s="3"/>
      <c r="F3251" s="3"/>
      <c r="G3251" s="3"/>
      <c r="H3251" s="3"/>
    </row>
    <row r="3252" spans="5:8">
      <c r="E3252" s="3"/>
      <c r="F3252" s="3"/>
      <c r="G3252" s="3"/>
      <c r="H3252" s="3"/>
    </row>
    <row r="3253" spans="5:8">
      <c r="E3253" s="3"/>
      <c r="F3253" s="3"/>
      <c r="G3253" s="3"/>
      <c r="H3253" s="3"/>
    </row>
    <row r="3254" spans="5:8">
      <c r="E3254" s="3"/>
      <c r="F3254" s="3"/>
      <c r="G3254" s="3"/>
      <c r="H3254" s="3"/>
    </row>
    <row r="3255" spans="5:8">
      <c r="E3255" s="3"/>
      <c r="F3255" s="3"/>
      <c r="G3255" s="3"/>
      <c r="H3255" s="3"/>
    </row>
    <row r="3256" spans="5:8">
      <c r="E3256" s="3"/>
      <c r="F3256" s="3"/>
      <c r="G3256" s="3"/>
      <c r="H3256" s="3"/>
    </row>
    <row r="3257" spans="5:8">
      <c r="E3257" s="3"/>
      <c r="F3257" s="3"/>
      <c r="G3257" s="3"/>
      <c r="H3257" s="3"/>
    </row>
    <row r="3258" spans="5:8">
      <c r="E3258" s="3"/>
      <c r="F3258" s="3"/>
      <c r="G3258" s="3"/>
      <c r="H3258" s="3"/>
    </row>
    <row r="3259" spans="5:8">
      <c r="E3259" s="3"/>
      <c r="F3259" s="3"/>
      <c r="G3259" s="3"/>
      <c r="H3259" s="3"/>
    </row>
    <row r="3260" spans="5:8">
      <c r="E3260" s="3"/>
      <c r="F3260" s="3"/>
      <c r="G3260" s="3"/>
      <c r="H3260" s="3"/>
    </row>
    <row r="3261" spans="5:8">
      <c r="E3261" s="3"/>
      <c r="F3261" s="3"/>
      <c r="G3261" s="3"/>
      <c r="H3261" s="3"/>
    </row>
    <row r="3262" spans="5:8">
      <c r="E3262" s="3"/>
      <c r="F3262" s="3"/>
      <c r="G3262" s="3"/>
      <c r="H3262" s="3"/>
    </row>
    <row r="3263" spans="5:8">
      <c r="E3263" s="3"/>
      <c r="F3263" s="3"/>
      <c r="G3263" s="3"/>
      <c r="H3263" s="3"/>
    </row>
    <row r="3264" spans="5:8">
      <c r="E3264" s="3"/>
      <c r="F3264" s="3"/>
      <c r="G3264" s="3"/>
      <c r="H3264" s="3"/>
    </row>
    <row r="3265" spans="5:8">
      <c r="E3265" s="3"/>
      <c r="F3265" s="3"/>
      <c r="G3265" s="3"/>
      <c r="H3265" s="3"/>
    </row>
    <row r="3266" spans="5:8">
      <c r="E3266" s="3"/>
      <c r="F3266" s="3"/>
      <c r="G3266" s="3"/>
      <c r="H3266" s="3"/>
    </row>
    <row r="3267" spans="5:8">
      <c r="E3267" s="3"/>
      <c r="F3267" s="3"/>
      <c r="G3267" s="3"/>
      <c r="H3267" s="3"/>
    </row>
    <row r="3268" spans="5:8">
      <c r="E3268" s="3"/>
      <c r="F3268" s="3"/>
      <c r="G3268" s="3"/>
      <c r="H3268" s="3"/>
    </row>
    <row r="3269" spans="5:8">
      <c r="E3269" s="3"/>
      <c r="F3269" s="3"/>
      <c r="G3269" s="3"/>
      <c r="H3269" s="3"/>
    </row>
    <row r="3270" spans="5:8">
      <c r="E3270" s="3"/>
      <c r="F3270" s="3"/>
      <c r="G3270" s="3"/>
      <c r="H3270" s="3"/>
    </row>
    <row r="3271" spans="5:8">
      <c r="E3271" s="3"/>
      <c r="F3271" s="3"/>
      <c r="G3271" s="3"/>
      <c r="H3271" s="3"/>
    </row>
    <row r="3272" spans="5:8">
      <c r="E3272" s="3"/>
      <c r="F3272" s="3"/>
      <c r="G3272" s="3"/>
      <c r="H3272" s="3"/>
    </row>
    <row r="3273" spans="5:8">
      <c r="E3273" s="3"/>
      <c r="F3273" s="3"/>
      <c r="G3273" s="3"/>
      <c r="H3273" s="3"/>
    </row>
    <row r="3274" spans="5:8">
      <c r="E3274" s="3"/>
      <c r="F3274" s="3"/>
      <c r="G3274" s="3"/>
      <c r="H3274" s="3"/>
    </row>
    <row r="3275" spans="5:8">
      <c r="E3275" s="3"/>
      <c r="F3275" s="3"/>
      <c r="G3275" s="3"/>
      <c r="H3275" s="3"/>
    </row>
    <row r="3276" spans="5:8">
      <c r="E3276" s="3"/>
      <c r="F3276" s="3"/>
      <c r="G3276" s="3"/>
      <c r="H3276" s="3"/>
    </row>
    <row r="3277" spans="5:8">
      <c r="E3277" s="3"/>
      <c r="F3277" s="3"/>
      <c r="G3277" s="3"/>
      <c r="H3277" s="3"/>
    </row>
    <row r="3278" spans="5:8">
      <c r="E3278" s="3"/>
      <c r="F3278" s="3"/>
      <c r="G3278" s="3"/>
      <c r="H3278" s="3"/>
    </row>
    <row r="3279" spans="5:8">
      <c r="E3279" s="3"/>
      <c r="F3279" s="3"/>
      <c r="G3279" s="3"/>
      <c r="H3279" s="3"/>
    </row>
    <row r="3280" spans="5:8">
      <c r="E3280" s="3"/>
      <c r="F3280" s="3"/>
      <c r="G3280" s="3"/>
      <c r="H3280" s="3"/>
    </row>
    <row r="3281" spans="5:8">
      <c r="E3281" s="3"/>
      <c r="F3281" s="3"/>
      <c r="G3281" s="3"/>
      <c r="H3281" s="3"/>
    </row>
    <row r="3282" spans="5:8">
      <c r="E3282" s="3"/>
      <c r="F3282" s="3"/>
      <c r="G3282" s="3"/>
      <c r="H3282" s="3"/>
    </row>
    <row r="3283" spans="5:8">
      <c r="E3283" s="3"/>
      <c r="F3283" s="3"/>
      <c r="G3283" s="3"/>
      <c r="H3283" s="3"/>
    </row>
    <row r="3284" spans="5:8">
      <c r="E3284" s="3"/>
      <c r="F3284" s="3"/>
      <c r="G3284" s="3"/>
      <c r="H3284" s="3"/>
    </row>
    <row r="3285" spans="5:8">
      <c r="E3285" s="3"/>
      <c r="F3285" s="3"/>
      <c r="G3285" s="3"/>
      <c r="H3285" s="3"/>
    </row>
    <row r="3286" spans="5:8">
      <c r="E3286" s="3"/>
      <c r="F3286" s="3"/>
      <c r="G3286" s="3"/>
      <c r="H3286" s="3"/>
    </row>
    <row r="3287" spans="5:8">
      <c r="E3287" s="3"/>
      <c r="F3287" s="3"/>
      <c r="G3287" s="3"/>
      <c r="H3287" s="3"/>
    </row>
    <row r="3288" spans="5:8">
      <c r="E3288" s="3"/>
      <c r="F3288" s="3"/>
      <c r="G3288" s="3"/>
      <c r="H3288" s="3"/>
    </row>
    <row r="3289" spans="5:8">
      <c r="E3289" s="3"/>
      <c r="F3289" s="3"/>
      <c r="G3289" s="3"/>
      <c r="H3289" s="3"/>
    </row>
    <row r="3290" spans="5:8">
      <c r="E3290" s="3"/>
      <c r="F3290" s="3"/>
      <c r="G3290" s="3"/>
      <c r="H3290" s="3"/>
    </row>
    <row r="3291" spans="5:8">
      <c r="E3291" s="3"/>
      <c r="F3291" s="3"/>
      <c r="G3291" s="3"/>
      <c r="H3291" s="3"/>
    </row>
    <row r="3292" spans="5:8">
      <c r="E3292" s="3"/>
      <c r="F3292" s="3"/>
      <c r="G3292" s="3"/>
      <c r="H3292" s="3"/>
    </row>
    <row r="3293" spans="5:8">
      <c r="E3293" s="3"/>
      <c r="F3293" s="3"/>
      <c r="G3293" s="3"/>
      <c r="H3293" s="3"/>
    </row>
    <row r="3294" spans="5:8">
      <c r="E3294" s="3"/>
      <c r="F3294" s="3"/>
      <c r="G3294" s="3"/>
      <c r="H3294" s="3"/>
    </row>
    <row r="3295" spans="5:8">
      <c r="E3295" s="3"/>
      <c r="F3295" s="3"/>
      <c r="G3295" s="3"/>
      <c r="H3295" s="3"/>
    </row>
    <row r="3296" spans="5:8">
      <c r="E3296" s="3"/>
      <c r="F3296" s="3"/>
      <c r="G3296" s="3"/>
      <c r="H3296" s="3"/>
    </row>
    <row r="3297" spans="5:8">
      <c r="E3297" s="3"/>
      <c r="F3297" s="3"/>
      <c r="G3297" s="3"/>
      <c r="H3297" s="3"/>
    </row>
    <row r="3298" spans="5:8">
      <c r="E3298" s="3"/>
      <c r="F3298" s="3"/>
      <c r="G3298" s="3"/>
      <c r="H3298" s="3"/>
    </row>
    <row r="3299" spans="5:8">
      <c r="E3299" s="3"/>
      <c r="F3299" s="3"/>
      <c r="G3299" s="3"/>
      <c r="H3299" s="3"/>
    </row>
    <row r="3300" spans="5:8">
      <c r="E3300" s="3"/>
      <c r="F3300" s="3"/>
      <c r="G3300" s="3"/>
      <c r="H3300" s="3"/>
    </row>
    <row r="3301" spans="5:8">
      <c r="E3301" s="3"/>
      <c r="F3301" s="3"/>
      <c r="G3301" s="3"/>
      <c r="H3301" s="3"/>
    </row>
    <row r="3302" spans="5:8">
      <c r="E3302" s="3"/>
      <c r="F3302" s="3"/>
      <c r="G3302" s="3"/>
      <c r="H3302" s="3"/>
    </row>
    <row r="3303" spans="5:8">
      <c r="E3303" s="3"/>
      <c r="F3303" s="3"/>
      <c r="G3303" s="3"/>
      <c r="H3303" s="3"/>
    </row>
    <row r="3304" spans="5:8">
      <c r="E3304" s="3"/>
      <c r="F3304" s="3"/>
      <c r="G3304" s="3"/>
      <c r="H3304" s="3"/>
    </row>
    <row r="3305" spans="5:8">
      <c r="E3305" s="3"/>
      <c r="F3305" s="3"/>
      <c r="G3305" s="3"/>
      <c r="H3305" s="3"/>
    </row>
    <row r="3306" spans="5:8">
      <c r="E3306" s="3"/>
      <c r="F3306" s="3"/>
      <c r="G3306" s="3"/>
      <c r="H3306" s="3"/>
    </row>
    <row r="3307" spans="5:8">
      <c r="E3307" s="3"/>
      <c r="F3307" s="3"/>
      <c r="G3307" s="3"/>
      <c r="H3307" s="3"/>
    </row>
    <row r="3308" spans="5:8">
      <c r="E3308" s="3"/>
      <c r="F3308" s="3"/>
      <c r="G3308" s="3"/>
      <c r="H3308" s="3"/>
    </row>
    <row r="3309" spans="5:8">
      <c r="E3309" s="3"/>
      <c r="F3309" s="3"/>
      <c r="G3309" s="3"/>
      <c r="H3309" s="3"/>
    </row>
    <row r="3310" spans="5:8">
      <c r="E3310" s="3"/>
      <c r="F3310" s="3"/>
      <c r="G3310" s="3"/>
      <c r="H3310" s="3"/>
    </row>
    <row r="3311" spans="5:8">
      <c r="E3311" s="3"/>
      <c r="F3311" s="3"/>
      <c r="G3311" s="3"/>
      <c r="H3311" s="3"/>
    </row>
    <row r="3312" spans="5:8">
      <c r="E3312" s="3"/>
      <c r="F3312" s="3"/>
      <c r="G3312" s="3"/>
      <c r="H3312" s="3"/>
    </row>
    <row r="3313" spans="5:8">
      <c r="E3313" s="3"/>
      <c r="F3313" s="3"/>
      <c r="G3313" s="3"/>
      <c r="H3313" s="3"/>
    </row>
    <row r="3314" spans="5:8">
      <c r="E3314" s="3"/>
      <c r="F3314" s="3"/>
      <c r="G3314" s="3"/>
      <c r="H3314" s="3"/>
    </row>
    <row r="3315" spans="5:8">
      <c r="E3315" s="3"/>
      <c r="F3315" s="3"/>
      <c r="G3315" s="3"/>
      <c r="H3315" s="3"/>
    </row>
    <row r="3316" spans="5:8">
      <c r="E3316" s="3"/>
      <c r="F3316" s="3"/>
      <c r="G3316" s="3"/>
      <c r="H3316" s="3"/>
    </row>
    <row r="3317" spans="5:8">
      <c r="E3317" s="3"/>
      <c r="F3317" s="3"/>
      <c r="G3317" s="3"/>
      <c r="H3317" s="3"/>
    </row>
    <row r="3318" spans="5:8">
      <c r="E3318" s="3"/>
      <c r="F3318" s="3"/>
      <c r="G3318" s="3"/>
      <c r="H3318" s="3"/>
    </row>
    <row r="3319" spans="5:8">
      <c r="E3319" s="3"/>
      <c r="F3319" s="3"/>
      <c r="G3319" s="3"/>
      <c r="H3319" s="3"/>
    </row>
    <row r="3320" spans="5:8">
      <c r="E3320" s="3"/>
      <c r="F3320" s="3"/>
      <c r="G3320" s="3"/>
      <c r="H3320" s="3"/>
    </row>
    <row r="3321" spans="5:8">
      <c r="E3321" s="3"/>
      <c r="F3321" s="3"/>
      <c r="G3321" s="3"/>
      <c r="H3321" s="3"/>
    </row>
    <row r="3322" spans="5:8">
      <c r="E3322" s="3"/>
      <c r="F3322" s="3"/>
      <c r="G3322" s="3"/>
      <c r="H3322" s="3"/>
    </row>
    <row r="3323" spans="5:8">
      <c r="E3323" s="3"/>
      <c r="F3323" s="3"/>
      <c r="G3323" s="3"/>
      <c r="H3323" s="3"/>
    </row>
    <row r="3324" spans="5:8">
      <c r="E3324" s="3"/>
      <c r="F3324" s="3"/>
      <c r="G3324" s="3"/>
      <c r="H3324" s="3"/>
    </row>
    <row r="3325" spans="5:8">
      <c r="E3325" s="3"/>
      <c r="F3325" s="3"/>
      <c r="G3325" s="3"/>
      <c r="H3325" s="3"/>
    </row>
    <row r="3326" spans="5:8">
      <c r="E3326" s="3"/>
      <c r="F3326" s="3"/>
      <c r="G3326" s="3"/>
      <c r="H3326" s="3"/>
    </row>
    <row r="3327" spans="5:8">
      <c r="E3327" s="3"/>
      <c r="F3327" s="3"/>
      <c r="G3327" s="3"/>
      <c r="H3327" s="3"/>
    </row>
    <row r="3328" spans="5:8">
      <c r="E3328" s="3"/>
      <c r="F3328" s="3"/>
      <c r="G3328" s="3"/>
      <c r="H3328" s="3"/>
    </row>
    <row r="3329" spans="5:8">
      <c r="E3329" s="3"/>
      <c r="F3329" s="3"/>
      <c r="G3329" s="3"/>
      <c r="H3329" s="3"/>
    </row>
    <row r="3330" spans="5:8">
      <c r="E3330" s="3"/>
      <c r="F3330" s="3"/>
      <c r="G3330" s="3"/>
      <c r="H3330" s="3"/>
    </row>
    <row r="3331" spans="5:8">
      <c r="E3331" s="3"/>
      <c r="F3331" s="3"/>
      <c r="G3331" s="3"/>
      <c r="H3331" s="3"/>
    </row>
    <row r="3332" spans="5:8">
      <c r="E3332" s="3"/>
      <c r="F3332" s="3"/>
      <c r="G3332" s="3"/>
      <c r="H3332" s="3"/>
    </row>
    <row r="3333" spans="5:8">
      <c r="E3333" s="3"/>
      <c r="F3333" s="3"/>
      <c r="G3333" s="3"/>
      <c r="H3333" s="3"/>
    </row>
    <row r="3334" spans="5:8">
      <c r="E3334" s="3"/>
      <c r="F3334" s="3"/>
      <c r="G3334" s="3"/>
      <c r="H3334" s="3"/>
    </row>
    <row r="3335" spans="5:8">
      <c r="E3335" s="3"/>
      <c r="F3335" s="3"/>
      <c r="G3335" s="3"/>
      <c r="H3335" s="3"/>
    </row>
    <row r="3336" spans="5:8">
      <c r="E3336" s="3"/>
      <c r="F3336" s="3"/>
      <c r="G3336" s="3"/>
      <c r="H3336" s="3"/>
    </row>
    <row r="3337" spans="5:8">
      <c r="E3337" s="3"/>
      <c r="F3337" s="3"/>
      <c r="G3337" s="3"/>
      <c r="H3337" s="3"/>
    </row>
    <row r="3338" spans="5:8">
      <c r="E3338" s="3"/>
      <c r="F3338" s="3"/>
      <c r="G3338" s="3"/>
      <c r="H3338" s="3"/>
    </row>
    <row r="3339" spans="5:8">
      <c r="E3339" s="3"/>
      <c r="F3339" s="3"/>
      <c r="G3339" s="3"/>
      <c r="H3339" s="3"/>
    </row>
    <row r="3340" spans="5:8">
      <c r="E3340" s="3"/>
      <c r="F3340" s="3"/>
      <c r="G3340" s="3"/>
      <c r="H3340" s="3"/>
    </row>
    <row r="3341" spans="5:8">
      <c r="E3341" s="3"/>
      <c r="F3341" s="3"/>
      <c r="G3341" s="3"/>
      <c r="H3341" s="3"/>
    </row>
    <row r="3342" spans="5:8">
      <c r="E3342" s="3"/>
      <c r="F3342" s="3"/>
      <c r="G3342" s="3"/>
      <c r="H3342" s="3"/>
    </row>
    <row r="3343" spans="5:8">
      <c r="E3343" s="3"/>
      <c r="F3343" s="3"/>
      <c r="G3343" s="3"/>
      <c r="H3343" s="3"/>
    </row>
    <row r="3344" spans="5:8">
      <c r="E3344" s="3"/>
      <c r="F3344" s="3"/>
      <c r="G3344" s="3"/>
      <c r="H3344" s="3"/>
    </row>
    <row r="3345" spans="5:8">
      <c r="E3345" s="3"/>
      <c r="F3345" s="3"/>
      <c r="G3345" s="3"/>
      <c r="H3345" s="3"/>
    </row>
    <row r="3346" spans="5:8">
      <c r="E3346" s="3"/>
      <c r="F3346" s="3"/>
      <c r="G3346" s="3"/>
      <c r="H3346" s="3"/>
    </row>
    <row r="3347" spans="5:8">
      <c r="E3347" s="3"/>
      <c r="F3347" s="3"/>
      <c r="G3347" s="3"/>
      <c r="H3347" s="3"/>
    </row>
    <row r="3348" spans="5:8">
      <c r="E3348" s="3"/>
      <c r="F3348" s="3"/>
      <c r="G3348" s="3"/>
      <c r="H3348" s="3"/>
    </row>
    <row r="3349" spans="5:8">
      <c r="E3349" s="3"/>
      <c r="F3349" s="3"/>
      <c r="G3349" s="3"/>
      <c r="H3349" s="3"/>
    </row>
    <row r="3350" spans="5:8">
      <c r="E3350" s="3"/>
      <c r="F3350" s="3"/>
      <c r="G3350" s="3"/>
      <c r="H3350" s="3"/>
    </row>
    <row r="3351" spans="5:8">
      <c r="E3351" s="3"/>
      <c r="F3351" s="3"/>
      <c r="G3351" s="3"/>
      <c r="H3351" s="3"/>
    </row>
    <row r="3352" spans="5:8">
      <c r="E3352" s="3"/>
      <c r="F3352" s="3"/>
      <c r="G3352" s="3"/>
      <c r="H3352" s="3"/>
    </row>
    <row r="3353" spans="5:8">
      <c r="E3353" s="3"/>
      <c r="F3353" s="3"/>
      <c r="G3353" s="3"/>
      <c r="H3353" s="3"/>
    </row>
    <row r="3354" spans="5:8">
      <c r="E3354" s="3"/>
      <c r="F3354" s="3"/>
      <c r="G3354" s="3"/>
      <c r="H3354" s="3"/>
    </row>
    <row r="3355" spans="5:8">
      <c r="E3355" s="3"/>
      <c r="F3355" s="3"/>
      <c r="G3355" s="3"/>
      <c r="H3355" s="3"/>
    </row>
    <row r="3356" spans="5:8">
      <c r="E3356" s="3"/>
      <c r="F3356" s="3"/>
      <c r="G3356" s="3"/>
      <c r="H3356" s="3"/>
    </row>
    <row r="3357" spans="5:8">
      <c r="E3357" s="3"/>
      <c r="F3357" s="3"/>
      <c r="G3357" s="3"/>
      <c r="H3357" s="3"/>
    </row>
    <row r="3358" spans="5:8">
      <c r="E3358" s="3"/>
      <c r="F3358" s="3"/>
      <c r="G3358" s="3"/>
      <c r="H3358" s="3"/>
    </row>
    <row r="3359" spans="5:8">
      <c r="E3359" s="3"/>
      <c r="F3359" s="3"/>
      <c r="G3359" s="3"/>
      <c r="H3359" s="3"/>
    </row>
    <row r="3360" spans="5:8">
      <c r="E3360" s="3"/>
      <c r="F3360" s="3"/>
      <c r="G3360" s="3"/>
      <c r="H3360" s="3"/>
    </row>
    <row r="3361" spans="5:8">
      <c r="E3361" s="3"/>
      <c r="F3361" s="3"/>
      <c r="G3361" s="3"/>
      <c r="H3361" s="3"/>
    </row>
    <row r="3362" spans="5:8">
      <c r="E3362" s="3"/>
      <c r="F3362" s="3"/>
      <c r="G3362" s="3"/>
      <c r="H3362" s="3"/>
    </row>
    <row r="3363" spans="5:8">
      <c r="E3363" s="3"/>
      <c r="F3363" s="3"/>
      <c r="G3363" s="3"/>
      <c r="H3363" s="3"/>
    </row>
    <row r="3364" spans="5:8">
      <c r="E3364" s="3"/>
      <c r="F3364" s="3"/>
      <c r="G3364" s="3"/>
      <c r="H3364" s="3"/>
    </row>
    <row r="3365" spans="5:8">
      <c r="E3365" s="3"/>
      <c r="F3365" s="3"/>
      <c r="G3365" s="3"/>
      <c r="H3365" s="3"/>
    </row>
    <row r="3366" spans="5:8">
      <c r="E3366" s="3"/>
      <c r="F3366" s="3"/>
      <c r="G3366" s="3"/>
      <c r="H3366" s="3"/>
    </row>
    <row r="3367" spans="5:8">
      <c r="E3367" s="3"/>
      <c r="F3367" s="3"/>
      <c r="G3367" s="3"/>
      <c r="H3367" s="3"/>
    </row>
    <row r="3368" spans="5:8">
      <c r="E3368" s="3"/>
      <c r="F3368" s="3"/>
      <c r="G3368" s="3"/>
      <c r="H3368" s="3"/>
    </row>
    <row r="3369" spans="5:8">
      <c r="E3369" s="3"/>
      <c r="F3369" s="3"/>
      <c r="G3369" s="3"/>
      <c r="H3369" s="3"/>
    </row>
    <row r="3370" spans="5:8">
      <c r="E3370" s="3"/>
      <c r="F3370" s="3"/>
      <c r="G3370" s="3"/>
      <c r="H3370" s="3"/>
    </row>
    <row r="3371" spans="5:8">
      <c r="E3371" s="3"/>
      <c r="F3371" s="3"/>
      <c r="G3371" s="3"/>
      <c r="H3371" s="3"/>
    </row>
    <row r="3372" spans="5:8">
      <c r="E3372" s="3"/>
      <c r="F3372" s="3"/>
      <c r="G3372" s="3"/>
      <c r="H3372" s="3"/>
    </row>
    <row r="3373" spans="5:8">
      <c r="E3373" s="3"/>
      <c r="F3373" s="3"/>
      <c r="G3373" s="3"/>
      <c r="H3373" s="3"/>
    </row>
    <row r="3374" spans="5:8">
      <c r="E3374" s="3"/>
      <c r="F3374" s="3"/>
      <c r="G3374" s="3"/>
      <c r="H3374" s="3"/>
    </row>
    <row r="3375" spans="5:8">
      <c r="E3375" s="3"/>
      <c r="F3375" s="3"/>
      <c r="G3375" s="3"/>
      <c r="H3375" s="3"/>
    </row>
    <row r="3376" spans="5:8">
      <c r="E3376" s="3"/>
      <c r="F3376" s="3"/>
      <c r="G3376" s="3"/>
      <c r="H3376" s="3"/>
    </row>
    <row r="3377" spans="5:8">
      <c r="E3377" s="3"/>
      <c r="F3377" s="3"/>
      <c r="G3377" s="3"/>
      <c r="H3377" s="3"/>
    </row>
    <row r="3378" spans="5:8">
      <c r="E3378" s="3"/>
      <c r="F3378" s="3"/>
      <c r="G3378" s="3"/>
      <c r="H3378" s="3"/>
    </row>
    <row r="3379" spans="5:8">
      <c r="E3379" s="3"/>
      <c r="F3379" s="3"/>
      <c r="G3379" s="3"/>
      <c r="H3379" s="3"/>
    </row>
    <row r="3380" spans="5:8">
      <c r="E3380" s="3"/>
      <c r="F3380" s="3"/>
      <c r="G3380" s="3"/>
      <c r="H3380" s="3"/>
    </row>
    <row r="3381" spans="5:8">
      <c r="E3381" s="3"/>
      <c r="F3381" s="3"/>
      <c r="G3381" s="3"/>
      <c r="H3381" s="3"/>
    </row>
    <row r="3382" spans="5:8">
      <c r="E3382" s="3"/>
      <c r="F3382" s="3"/>
      <c r="G3382" s="3"/>
      <c r="H3382" s="3"/>
    </row>
    <row r="3383" spans="5:8">
      <c r="E3383" s="3"/>
      <c r="F3383" s="3"/>
      <c r="G3383" s="3"/>
      <c r="H3383" s="3"/>
    </row>
    <row r="3384" spans="5:8">
      <c r="E3384" s="3"/>
      <c r="F3384" s="3"/>
      <c r="G3384" s="3"/>
      <c r="H3384" s="3"/>
    </row>
    <row r="3385" spans="5:8">
      <c r="E3385" s="3"/>
      <c r="F3385" s="3"/>
      <c r="G3385" s="3"/>
      <c r="H3385" s="3"/>
    </row>
    <row r="3386" spans="5:8">
      <c r="E3386" s="3"/>
      <c r="F3386" s="3"/>
      <c r="G3386" s="3"/>
      <c r="H3386" s="3"/>
    </row>
    <row r="3387" spans="5:8">
      <c r="E3387" s="3"/>
      <c r="F3387" s="3"/>
      <c r="G3387" s="3"/>
      <c r="H3387" s="3"/>
    </row>
    <row r="3388" spans="5:8">
      <c r="E3388" s="3"/>
      <c r="F3388" s="3"/>
      <c r="G3388" s="3"/>
      <c r="H3388" s="3"/>
    </row>
    <row r="3389" spans="5:8">
      <c r="E3389" s="3"/>
      <c r="F3389" s="3"/>
      <c r="G3389" s="3"/>
      <c r="H3389" s="3"/>
    </row>
    <row r="3390" spans="5:8">
      <c r="E3390" s="3"/>
      <c r="F3390" s="3"/>
      <c r="G3390" s="3"/>
      <c r="H3390" s="3"/>
    </row>
    <row r="3391" spans="5:8">
      <c r="E3391" s="3"/>
      <c r="F3391" s="3"/>
      <c r="G3391" s="3"/>
      <c r="H3391" s="3"/>
    </row>
    <row r="3392" spans="5:8">
      <c r="E3392" s="3"/>
      <c r="F3392" s="3"/>
      <c r="G3392" s="3"/>
      <c r="H3392" s="3"/>
    </row>
    <row r="3393" spans="5:8">
      <c r="E3393" s="3"/>
      <c r="F3393" s="3"/>
      <c r="G3393" s="3"/>
      <c r="H3393" s="3"/>
    </row>
    <row r="3394" spans="5:8">
      <c r="E3394" s="3"/>
      <c r="F3394" s="3"/>
      <c r="G3394" s="3"/>
      <c r="H3394" s="3"/>
    </row>
    <row r="3395" spans="5:8">
      <c r="E3395" s="3"/>
      <c r="F3395" s="3"/>
      <c r="G3395" s="3"/>
      <c r="H3395" s="3"/>
    </row>
    <row r="3396" spans="5:8">
      <c r="E3396" s="3"/>
      <c r="F3396" s="3"/>
      <c r="G3396" s="3"/>
      <c r="H3396" s="3"/>
    </row>
    <row r="3397" spans="5:8">
      <c r="E3397" s="3"/>
      <c r="F3397" s="3"/>
      <c r="G3397" s="3"/>
      <c r="H3397" s="3"/>
    </row>
    <row r="3398" spans="5:8">
      <c r="E3398" s="3"/>
      <c r="F3398" s="3"/>
      <c r="G3398" s="3"/>
      <c r="H3398" s="3"/>
    </row>
    <row r="3399" spans="5:8">
      <c r="E3399" s="3"/>
      <c r="F3399" s="3"/>
      <c r="G3399" s="3"/>
      <c r="H3399" s="3"/>
    </row>
    <row r="3400" spans="5:8">
      <c r="E3400" s="3"/>
      <c r="F3400" s="3"/>
      <c r="G3400" s="3"/>
      <c r="H3400" s="3"/>
    </row>
    <row r="3401" spans="5:8">
      <c r="E3401" s="3"/>
      <c r="F3401" s="3"/>
      <c r="G3401" s="3"/>
      <c r="H3401" s="3"/>
    </row>
    <row r="3402" spans="5:8">
      <c r="E3402" s="3"/>
      <c r="F3402" s="3"/>
      <c r="G3402" s="3"/>
      <c r="H3402" s="3"/>
    </row>
    <row r="3403" spans="5:8">
      <c r="E3403" s="3"/>
      <c r="F3403" s="3"/>
      <c r="G3403" s="3"/>
      <c r="H3403" s="3"/>
    </row>
    <row r="3404" spans="5:8">
      <c r="E3404" s="3"/>
      <c r="F3404" s="3"/>
      <c r="G3404" s="3"/>
      <c r="H3404" s="3"/>
    </row>
    <row r="3405" spans="5:8">
      <c r="E3405" s="3"/>
      <c r="F3405" s="3"/>
      <c r="G3405" s="3"/>
      <c r="H3405" s="3"/>
    </row>
    <row r="3406" spans="5:8">
      <c r="E3406" s="3"/>
      <c r="F3406" s="3"/>
      <c r="G3406" s="3"/>
      <c r="H3406" s="3"/>
    </row>
    <row r="3407" spans="5:8">
      <c r="E3407" s="3"/>
      <c r="F3407" s="3"/>
      <c r="G3407" s="3"/>
      <c r="H3407" s="3"/>
    </row>
    <row r="3408" spans="5:8">
      <c r="E3408" s="3"/>
      <c r="F3408" s="3"/>
      <c r="G3408" s="3"/>
      <c r="H3408" s="3"/>
    </row>
    <row r="3409" spans="5:8">
      <c r="E3409" s="3"/>
      <c r="F3409" s="3"/>
      <c r="G3409" s="3"/>
      <c r="H3409" s="3"/>
    </row>
    <row r="3410" spans="5:8">
      <c r="E3410" s="3"/>
      <c r="F3410" s="3"/>
      <c r="G3410" s="3"/>
      <c r="H3410" s="3"/>
    </row>
    <row r="3411" spans="5:8">
      <c r="E3411" s="3"/>
      <c r="F3411" s="3"/>
      <c r="G3411" s="3"/>
      <c r="H3411" s="3"/>
    </row>
    <row r="3412" spans="5:8">
      <c r="E3412" s="3"/>
      <c r="F3412" s="3"/>
      <c r="G3412" s="3"/>
      <c r="H3412" s="3"/>
    </row>
    <row r="3413" spans="5:8">
      <c r="E3413" s="3"/>
      <c r="F3413" s="3"/>
      <c r="G3413" s="3"/>
      <c r="H3413" s="3"/>
    </row>
    <row r="3414" spans="5:8">
      <c r="E3414" s="3"/>
      <c r="F3414" s="3"/>
      <c r="G3414" s="3"/>
      <c r="H3414" s="3"/>
    </row>
    <row r="3415" spans="5:8">
      <c r="E3415" s="3"/>
      <c r="F3415" s="3"/>
      <c r="G3415" s="3"/>
      <c r="H3415" s="3"/>
    </row>
    <row r="3416" spans="5:8">
      <c r="E3416" s="3"/>
      <c r="F3416" s="3"/>
      <c r="G3416" s="3"/>
      <c r="H3416" s="3"/>
    </row>
    <row r="3417" spans="5:8">
      <c r="E3417" s="3"/>
      <c r="F3417" s="3"/>
      <c r="G3417" s="3"/>
      <c r="H3417" s="3"/>
    </row>
    <row r="3418" spans="5:8">
      <c r="E3418" s="3"/>
      <c r="F3418" s="3"/>
      <c r="G3418" s="3"/>
      <c r="H3418" s="3"/>
    </row>
    <row r="3419" spans="5:8">
      <c r="E3419" s="3"/>
      <c r="F3419" s="3"/>
      <c r="G3419" s="3"/>
      <c r="H3419" s="3"/>
    </row>
    <row r="3420" spans="5:8">
      <c r="E3420" s="3"/>
      <c r="F3420" s="3"/>
      <c r="G3420" s="3"/>
      <c r="H3420" s="3"/>
    </row>
    <row r="3421" spans="5:8">
      <c r="E3421" s="3"/>
      <c r="F3421" s="3"/>
      <c r="G3421" s="3"/>
      <c r="H3421" s="3"/>
    </row>
    <row r="3422" spans="5:8">
      <c r="E3422" s="3"/>
      <c r="F3422" s="3"/>
      <c r="G3422" s="3"/>
      <c r="H3422" s="3"/>
    </row>
    <row r="3423" spans="5:8">
      <c r="E3423" s="3"/>
      <c r="F3423" s="3"/>
      <c r="G3423" s="3"/>
      <c r="H3423" s="3"/>
    </row>
    <row r="3424" spans="5:8">
      <c r="E3424" s="3"/>
      <c r="F3424" s="3"/>
      <c r="G3424" s="3"/>
      <c r="H3424" s="3"/>
    </row>
    <row r="3425" spans="5:8">
      <c r="E3425" s="3"/>
      <c r="F3425" s="3"/>
      <c r="G3425" s="3"/>
      <c r="H3425" s="3"/>
    </row>
    <row r="3426" spans="5:8">
      <c r="E3426" s="3"/>
      <c r="F3426" s="3"/>
      <c r="G3426" s="3"/>
      <c r="H3426" s="3"/>
    </row>
    <row r="3427" spans="5:8">
      <c r="E3427" s="3"/>
      <c r="F3427" s="3"/>
      <c r="G3427" s="3"/>
      <c r="H3427" s="3"/>
    </row>
    <row r="3428" spans="5:8">
      <c r="E3428" s="3"/>
      <c r="F3428" s="3"/>
      <c r="G3428" s="3"/>
      <c r="H3428" s="3"/>
    </row>
    <row r="3429" spans="5:8">
      <c r="E3429" s="3"/>
      <c r="F3429" s="3"/>
      <c r="G3429" s="3"/>
      <c r="H3429" s="3"/>
    </row>
    <row r="3430" spans="5:8">
      <c r="E3430" s="3"/>
      <c r="F3430" s="3"/>
      <c r="G3430" s="3"/>
      <c r="H3430" s="3"/>
    </row>
    <row r="3431" spans="5:8">
      <c r="E3431" s="3"/>
      <c r="F3431" s="3"/>
      <c r="G3431" s="3"/>
      <c r="H3431" s="3"/>
    </row>
    <row r="3432" spans="5:8">
      <c r="E3432" s="3"/>
      <c r="F3432" s="3"/>
      <c r="G3432" s="3"/>
      <c r="H3432" s="3"/>
    </row>
    <row r="3433" spans="5:8">
      <c r="E3433" s="3"/>
      <c r="F3433" s="3"/>
      <c r="G3433" s="3"/>
      <c r="H3433" s="3"/>
    </row>
    <row r="3434" spans="5:8">
      <c r="E3434" s="3"/>
      <c r="F3434" s="3"/>
      <c r="G3434" s="3"/>
      <c r="H3434" s="3"/>
    </row>
    <row r="3435" spans="5:8">
      <c r="E3435" s="3"/>
      <c r="F3435" s="3"/>
      <c r="G3435" s="3"/>
      <c r="H3435" s="3"/>
    </row>
    <row r="3436" spans="5:8">
      <c r="E3436" s="3"/>
      <c r="F3436" s="3"/>
      <c r="G3436" s="3"/>
      <c r="H3436" s="3"/>
    </row>
    <row r="3437" spans="5:8">
      <c r="E3437" s="3"/>
      <c r="F3437" s="3"/>
      <c r="G3437" s="3"/>
      <c r="H3437" s="3"/>
    </row>
    <row r="3438" spans="5:8">
      <c r="E3438" s="3"/>
      <c r="F3438" s="3"/>
      <c r="G3438" s="3"/>
      <c r="H3438" s="3"/>
    </row>
    <row r="3439" spans="5:8">
      <c r="E3439" s="3"/>
      <c r="F3439" s="3"/>
      <c r="G3439" s="3"/>
      <c r="H3439" s="3"/>
    </row>
    <row r="3440" spans="5:8">
      <c r="E3440" s="3"/>
      <c r="F3440" s="3"/>
      <c r="G3440" s="3"/>
      <c r="H3440" s="3"/>
    </row>
    <row r="3441" spans="5:8">
      <c r="E3441" s="3"/>
      <c r="F3441" s="3"/>
      <c r="G3441" s="3"/>
      <c r="H3441" s="3"/>
    </row>
    <row r="3442" spans="5:8">
      <c r="E3442" s="3"/>
      <c r="F3442" s="3"/>
      <c r="G3442" s="3"/>
      <c r="H3442" s="3"/>
    </row>
    <row r="3443" spans="5:8">
      <c r="E3443" s="3"/>
      <c r="F3443" s="3"/>
      <c r="G3443" s="3"/>
      <c r="H3443" s="3"/>
    </row>
    <row r="3444" spans="5:8">
      <c r="E3444" s="3"/>
      <c r="F3444" s="3"/>
      <c r="G3444" s="3"/>
      <c r="H3444" s="3"/>
    </row>
    <row r="3445" spans="5:8">
      <c r="E3445" s="3"/>
      <c r="F3445" s="3"/>
      <c r="G3445" s="3"/>
      <c r="H3445" s="3"/>
    </row>
    <row r="3446" spans="5:8">
      <c r="E3446" s="3"/>
      <c r="F3446" s="3"/>
      <c r="G3446" s="3"/>
      <c r="H3446" s="3"/>
    </row>
    <row r="3447" spans="5:8">
      <c r="E3447" s="3"/>
      <c r="F3447" s="3"/>
      <c r="G3447" s="3"/>
      <c r="H3447" s="3"/>
    </row>
    <row r="3448" spans="5:8">
      <c r="E3448" s="3"/>
      <c r="F3448" s="3"/>
      <c r="G3448" s="3"/>
      <c r="H3448" s="3"/>
    </row>
    <row r="3449" spans="5:8">
      <c r="E3449" s="3"/>
      <c r="F3449" s="3"/>
      <c r="G3449" s="3"/>
      <c r="H3449" s="3"/>
    </row>
    <row r="3450" spans="5:8">
      <c r="E3450" s="3"/>
      <c r="F3450" s="3"/>
      <c r="G3450" s="3"/>
      <c r="H3450" s="3"/>
    </row>
    <row r="3451" spans="5:8">
      <c r="E3451" s="3"/>
      <c r="F3451" s="3"/>
      <c r="G3451" s="3"/>
      <c r="H3451" s="3"/>
    </row>
    <row r="3452" spans="5:8">
      <c r="E3452" s="3"/>
      <c r="F3452" s="3"/>
      <c r="G3452" s="3"/>
      <c r="H3452" s="3"/>
    </row>
    <row r="3453" spans="5:8">
      <c r="E3453" s="3"/>
      <c r="F3453" s="3"/>
      <c r="G3453" s="3"/>
      <c r="H3453" s="3"/>
    </row>
    <row r="3454" spans="5:8">
      <c r="E3454" s="3"/>
      <c r="F3454" s="3"/>
      <c r="G3454" s="3"/>
      <c r="H3454" s="3"/>
    </row>
    <row r="3455" spans="5:8">
      <c r="E3455" s="3"/>
      <c r="F3455" s="3"/>
      <c r="G3455" s="3"/>
      <c r="H3455" s="3"/>
    </row>
    <row r="3456" spans="5:8">
      <c r="E3456" s="3"/>
      <c r="F3456" s="3"/>
      <c r="G3456" s="3"/>
      <c r="H3456" s="3"/>
    </row>
    <row r="3457" spans="5:8">
      <c r="E3457" s="3"/>
      <c r="F3457" s="3"/>
      <c r="G3457" s="3"/>
      <c r="H3457" s="3"/>
    </row>
    <row r="3458" spans="5:8">
      <c r="E3458" s="3"/>
      <c r="F3458" s="3"/>
      <c r="G3458" s="3"/>
      <c r="H3458" s="3"/>
    </row>
    <row r="3459" spans="5:8">
      <c r="E3459" s="3"/>
      <c r="F3459" s="3"/>
      <c r="G3459" s="3"/>
      <c r="H3459" s="3"/>
    </row>
    <row r="3460" spans="5:8">
      <c r="E3460" s="3"/>
      <c r="F3460" s="3"/>
      <c r="G3460" s="3"/>
      <c r="H3460" s="3"/>
    </row>
    <row r="3461" spans="5:8">
      <c r="E3461" s="3"/>
      <c r="F3461" s="3"/>
      <c r="G3461" s="3"/>
      <c r="H3461" s="3"/>
    </row>
    <row r="3462" spans="5:8">
      <c r="E3462" s="3"/>
      <c r="F3462" s="3"/>
      <c r="G3462" s="3"/>
      <c r="H3462" s="3"/>
    </row>
    <row r="3463" spans="5:8">
      <c r="E3463" s="3"/>
      <c r="F3463" s="3"/>
      <c r="G3463" s="3"/>
      <c r="H3463" s="3"/>
    </row>
    <row r="3464" spans="5:8">
      <c r="E3464" s="3"/>
      <c r="F3464" s="3"/>
      <c r="G3464" s="3"/>
      <c r="H3464" s="3"/>
    </row>
    <row r="3465" spans="5:8">
      <c r="E3465" s="3"/>
      <c r="F3465" s="3"/>
      <c r="G3465" s="3"/>
      <c r="H3465" s="3"/>
    </row>
    <row r="3466" spans="5:8">
      <c r="E3466" s="3"/>
      <c r="F3466" s="3"/>
      <c r="G3466" s="3"/>
      <c r="H3466" s="3"/>
    </row>
    <row r="3467" spans="5:8">
      <c r="E3467" s="3"/>
      <c r="F3467" s="3"/>
      <c r="G3467" s="3"/>
      <c r="H3467" s="3"/>
    </row>
    <row r="3468" spans="5:8">
      <c r="E3468" s="3"/>
      <c r="F3468" s="3"/>
      <c r="G3468" s="3"/>
      <c r="H3468" s="3"/>
    </row>
    <row r="3469" spans="5:8">
      <c r="E3469" s="3"/>
      <c r="F3469" s="3"/>
      <c r="G3469" s="3"/>
      <c r="H3469" s="3"/>
    </row>
    <row r="3470" spans="5:8">
      <c r="E3470" s="3"/>
      <c r="F3470" s="3"/>
      <c r="G3470" s="3"/>
      <c r="H3470" s="3"/>
    </row>
    <row r="3471" spans="5:8">
      <c r="E3471" s="3"/>
      <c r="F3471" s="3"/>
      <c r="G3471" s="3"/>
      <c r="H3471" s="3"/>
    </row>
    <row r="3472" spans="5:8">
      <c r="E3472" s="3"/>
      <c r="F3472" s="3"/>
      <c r="G3472" s="3"/>
      <c r="H3472" s="3"/>
    </row>
    <row r="3473" spans="5:8">
      <c r="E3473" s="3"/>
      <c r="F3473" s="3"/>
      <c r="G3473" s="3"/>
      <c r="H3473" s="3"/>
    </row>
    <row r="3474" spans="5:8">
      <c r="E3474" s="3"/>
      <c r="F3474" s="3"/>
      <c r="G3474" s="3"/>
      <c r="H3474" s="3"/>
    </row>
    <row r="3475" spans="5:8">
      <c r="E3475" s="3"/>
      <c r="F3475" s="3"/>
      <c r="G3475" s="3"/>
      <c r="H3475" s="3"/>
    </row>
    <row r="3476" spans="5:8">
      <c r="E3476" s="3"/>
      <c r="F3476" s="3"/>
      <c r="G3476" s="3"/>
      <c r="H3476" s="3"/>
    </row>
    <row r="3477" spans="5:8">
      <c r="E3477" s="3"/>
      <c r="F3477" s="3"/>
      <c r="G3477" s="3"/>
      <c r="H3477" s="3"/>
    </row>
    <row r="3478" spans="5:8">
      <c r="E3478" s="3"/>
      <c r="F3478" s="3"/>
      <c r="G3478" s="3"/>
      <c r="H3478" s="3"/>
    </row>
    <row r="3479" spans="5:8">
      <c r="E3479" s="3"/>
      <c r="F3479" s="3"/>
      <c r="G3479" s="3"/>
      <c r="H3479" s="3"/>
    </row>
    <row r="3480" spans="5:8">
      <c r="E3480" s="3"/>
      <c r="F3480" s="3"/>
      <c r="G3480" s="3"/>
      <c r="H3480" s="3"/>
    </row>
    <row r="3481" spans="5:8">
      <c r="E3481" s="3"/>
      <c r="F3481" s="3"/>
      <c r="G3481" s="3"/>
      <c r="H3481" s="3"/>
    </row>
    <row r="3482" spans="5:8">
      <c r="E3482" s="3"/>
      <c r="F3482" s="3"/>
      <c r="G3482" s="3"/>
      <c r="H3482" s="3"/>
    </row>
    <row r="3483" spans="5:8">
      <c r="E3483" s="3"/>
      <c r="F3483" s="3"/>
      <c r="G3483" s="3"/>
      <c r="H3483" s="3"/>
    </row>
    <row r="3484" spans="5:8">
      <c r="E3484" s="3"/>
      <c r="F3484" s="3"/>
      <c r="G3484" s="3"/>
      <c r="H3484" s="3"/>
    </row>
    <row r="3485" spans="5:8">
      <c r="E3485" s="3"/>
      <c r="F3485" s="3"/>
      <c r="G3485" s="3"/>
      <c r="H3485" s="3"/>
    </row>
    <row r="3486" spans="5:8">
      <c r="E3486" s="3"/>
      <c r="F3486" s="3"/>
      <c r="G3486" s="3"/>
      <c r="H3486" s="3"/>
    </row>
    <row r="3487" spans="5:8">
      <c r="E3487" s="3"/>
      <c r="F3487" s="3"/>
      <c r="G3487" s="3"/>
      <c r="H3487" s="3"/>
    </row>
    <row r="3488" spans="5:8">
      <c r="E3488" s="3"/>
      <c r="F3488" s="3"/>
      <c r="G3488" s="3"/>
      <c r="H3488" s="3"/>
    </row>
    <row r="3489" spans="5:8">
      <c r="E3489" s="3"/>
      <c r="F3489" s="3"/>
      <c r="G3489" s="3"/>
      <c r="H3489" s="3"/>
    </row>
    <row r="3490" spans="5:8">
      <c r="E3490" s="3"/>
      <c r="F3490" s="3"/>
      <c r="G3490" s="3"/>
      <c r="H3490" s="3"/>
    </row>
    <row r="3491" spans="5:8">
      <c r="E3491" s="3"/>
      <c r="F3491" s="3"/>
      <c r="G3491" s="3"/>
      <c r="H3491" s="3"/>
    </row>
    <row r="3492" spans="5:8">
      <c r="E3492" s="3"/>
      <c r="F3492" s="3"/>
      <c r="G3492" s="3"/>
      <c r="H3492" s="3"/>
    </row>
    <row r="3493" spans="5:8">
      <c r="E3493" s="3"/>
      <c r="F3493" s="3"/>
      <c r="G3493" s="3"/>
      <c r="H3493" s="3"/>
    </row>
    <row r="3494" spans="5:8">
      <c r="E3494" s="3"/>
      <c r="F3494" s="3"/>
      <c r="G3494" s="3"/>
      <c r="H3494" s="3"/>
    </row>
    <row r="3495" spans="5:8">
      <c r="E3495" s="3"/>
      <c r="F3495" s="3"/>
      <c r="G3495" s="3"/>
      <c r="H3495" s="3"/>
    </row>
    <row r="3496" spans="5:8">
      <c r="E3496" s="3"/>
      <c r="F3496" s="3"/>
      <c r="G3496" s="3"/>
      <c r="H3496" s="3"/>
    </row>
    <row r="3497" spans="5:8">
      <c r="E3497" s="3"/>
      <c r="F3497" s="3"/>
      <c r="G3497" s="3"/>
      <c r="H3497" s="3"/>
    </row>
    <row r="3498" spans="5:8">
      <c r="E3498" s="3"/>
      <c r="F3498" s="3"/>
      <c r="G3498" s="3"/>
      <c r="H3498" s="3"/>
    </row>
    <row r="3499" spans="5:8">
      <c r="E3499" s="3"/>
      <c r="F3499" s="3"/>
      <c r="G3499" s="3"/>
      <c r="H3499" s="3"/>
    </row>
    <row r="3500" spans="5:8">
      <c r="E3500" s="3"/>
      <c r="F3500" s="3"/>
      <c r="G3500" s="3"/>
      <c r="H3500" s="3"/>
    </row>
    <row r="3501" spans="5:8">
      <c r="E3501" s="3"/>
      <c r="F3501" s="3"/>
      <c r="G3501" s="3"/>
      <c r="H3501" s="3"/>
    </row>
    <row r="3502" spans="5:8">
      <c r="E3502" s="3"/>
      <c r="F3502" s="3"/>
      <c r="G3502" s="3"/>
      <c r="H3502" s="3"/>
    </row>
    <row r="3503" spans="5:8">
      <c r="E3503" s="3"/>
      <c r="F3503" s="3"/>
      <c r="G3503" s="3"/>
      <c r="H3503" s="3"/>
    </row>
    <row r="3504" spans="5:8">
      <c r="E3504" s="3"/>
      <c r="F3504" s="3"/>
      <c r="G3504" s="3"/>
      <c r="H3504" s="3"/>
    </row>
    <row r="3505" spans="5:8">
      <c r="E3505" s="3"/>
      <c r="F3505" s="3"/>
      <c r="G3505" s="3"/>
      <c r="H3505" s="3"/>
    </row>
    <row r="3506" spans="5:8">
      <c r="E3506" s="3"/>
      <c r="F3506" s="3"/>
      <c r="G3506" s="3"/>
      <c r="H3506" s="3"/>
    </row>
    <row r="3507" spans="5:8">
      <c r="E3507" s="3"/>
      <c r="F3507" s="3"/>
      <c r="G3507" s="3"/>
      <c r="H3507" s="3"/>
    </row>
    <row r="3508" spans="5:8">
      <c r="E3508" s="3"/>
      <c r="F3508" s="3"/>
      <c r="G3508" s="3"/>
      <c r="H3508" s="3"/>
    </row>
    <row r="3509" spans="5:8">
      <c r="E3509" s="3"/>
      <c r="F3509" s="3"/>
      <c r="G3509" s="3"/>
      <c r="H3509" s="3"/>
    </row>
    <row r="3510" spans="5:8">
      <c r="E3510" s="3"/>
      <c r="F3510" s="3"/>
      <c r="G3510" s="3"/>
      <c r="H3510" s="3"/>
    </row>
    <row r="3511" spans="5:8">
      <c r="E3511" s="3"/>
      <c r="F3511" s="3"/>
      <c r="G3511" s="3"/>
      <c r="H3511" s="3"/>
    </row>
    <row r="3512" spans="5:8">
      <c r="E3512" s="3"/>
      <c r="F3512" s="3"/>
      <c r="G3512" s="3"/>
      <c r="H3512" s="3"/>
    </row>
    <row r="3513" spans="5:8">
      <c r="E3513" s="3"/>
      <c r="F3513" s="3"/>
      <c r="G3513" s="3"/>
      <c r="H3513" s="3"/>
    </row>
    <row r="3514" spans="5:8">
      <c r="E3514" s="3"/>
      <c r="F3514" s="3"/>
      <c r="G3514" s="3"/>
      <c r="H3514" s="3"/>
    </row>
    <row r="3515" spans="5:8">
      <c r="E3515" s="3"/>
      <c r="F3515" s="3"/>
      <c r="G3515" s="3"/>
      <c r="H3515" s="3"/>
    </row>
    <row r="3516" spans="5:8">
      <c r="E3516" s="3"/>
      <c r="F3516" s="3"/>
      <c r="G3516" s="3"/>
      <c r="H3516" s="3"/>
    </row>
    <row r="3517" spans="5:8">
      <c r="E3517" s="3"/>
      <c r="F3517" s="3"/>
      <c r="G3517" s="3"/>
      <c r="H3517" s="3"/>
    </row>
    <row r="3518" spans="5:8">
      <c r="E3518" s="3"/>
      <c r="F3518" s="3"/>
      <c r="G3518" s="3"/>
      <c r="H3518" s="3"/>
    </row>
    <row r="3519" spans="5:8">
      <c r="E3519" s="3"/>
      <c r="F3519" s="3"/>
      <c r="G3519" s="3"/>
      <c r="H3519" s="3"/>
    </row>
    <row r="3520" spans="5:8">
      <c r="E3520" s="3"/>
      <c r="F3520" s="3"/>
      <c r="G3520" s="3"/>
      <c r="H3520" s="3"/>
    </row>
    <row r="3521" spans="5:8">
      <c r="E3521" s="3"/>
      <c r="F3521" s="3"/>
      <c r="G3521" s="3"/>
      <c r="H3521" s="3"/>
    </row>
    <row r="3522" spans="5:8">
      <c r="E3522" s="3"/>
      <c r="F3522" s="3"/>
      <c r="G3522" s="3"/>
      <c r="H3522" s="3"/>
    </row>
    <row r="3523" spans="5:8">
      <c r="E3523" s="3"/>
      <c r="F3523" s="3"/>
      <c r="G3523" s="3"/>
      <c r="H3523" s="3"/>
    </row>
    <row r="3524" spans="5:8">
      <c r="E3524" s="3"/>
      <c r="F3524" s="3"/>
      <c r="G3524" s="3"/>
      <c r="H3524" s="3"/>
    </row>
    <row r="3525" spans="5:8">
      <c r="E3525" s="3"/>
      <c r="F3525" s="3"/>
      <c r="G3525" s="3"/>
      <c r="H3525" s="3"/>
    </row>
    <row r="3526" spans="5:8">
      <c r="E3526" s="3"/>
      <c r="F3526" s="3"/>
      <c r="G3526" s="3"/>
      <c r="H3526" s="3"/>
    </row>
    <row r="3527" spans="5:8">
      <c r="E3527" s="3"/>
      <c r="F3527" s="3"/>
      <c r="G3527" s="3"/>
      <c r="H3527" s="3"/>
    </row>
    <row r="3528" spans="5:8">
      <c r="E3528" s="3"/>
      <c r="F3528" s="3"/>
      <c r="G3528" s="3"/>
      <c r="H3528" s="3"/>
    </row>
    <row r="3529" spans="5:8">
      <c r="E3529" s="3"/>
      <c r="F3529" s="3"/>
      <c r="G3529" s="3"/>
      <c r="H3529" s="3"/>
    </row>
    <row r="3530" spans="5:8">
      <c r="E3530" s="3"/>
      <c r="F3530" s="3"/>
      <c r="G3530" s="3"/>
      <c r="H3530" s="3"/>
    </row>
    <row r="3531" spans="5:8">
      <c r="E3531" s="3"/>
      <c r="F3531" s="3"/>
      <c r="G3531" s="3"/>
      <c r="H3531" s="3"/>
    </row>
    <row r="3532" spans="5:8">
      <c r="E3532" s="3"/>
      <c r="F3532" s="3"/>
      <c r="G3532" s="3"/>
      <c r="H3532" s="3"/>
    </row>
    <row r="3533" spans="5:8">
      <c r="E3533" s="3"/>
      <c r="F3533" s="3"/>
      <c r="G3533" s="3"/>
      <c r="H3533" s="3"/>
    </row>
    <row r="3534" spans="5:8">
      <c r="E3534" s="3"/>
      <c r="F3534" s="3"/>
      <c r="G3534" s="3"/>
      <c r="H3534" s="3"/>
    </row>
    <row r="3535" spans="5:8">
      <c r="E3535" s="3"/>
      <c r="F3535" s="3"/>
      <c r="G3535" s="3"/>
      <c r="H3535" s="3"/>
    </row>
    <row r="3536" spans="5:8">
      <c r="E3536" s="3"/>
      <c r="F3536" s="3"/>
      <c r="G3536" s="3"/>
      <c r="H3536" s="3"/>
    </row>
    <row r="3537" spans="5:8">
      <c r="E3537" s="3"/>
      <c r="F3537" s="3"/>
      <c r="G3537" s="3"/>
      <c r="H3537" s="3"/>
    </row>
    <row r="3538" spans="5:8">
      <c r="E3538" s="3"/>
      <c r="F3538" s="3"/>
      <c r="G3538" s="3"/>
      <c r="H3538" s="3"/>
    </row>
    <row r="3539" spans="5:8">
      <c r="E3539" s="3"/>
      <c r="F3539" s="3"/>
      <c r="G3539" s="3"/>
      <c r="H3539" s="3"/>
    </row>
    <row r="3540" spans="5:8">
      <c r="E3540" s="3"/>
      <c r="F3540" s="3"/>
      <c r="G3540" s="3"/>
      <c r="H3540" s="3"/>
    </row>
    <row r="3541" spans="5:8">
      <c r="E3541" s="3"/>
      <c r="F3541" s="3"/>
      <c r="G3541" s="3"/>
      <c r="H3541" s="3"/>
    </row>
    <row r="3542" spans="5:8">
      <c r="E3542" s="3"/>
      <c r="F3542" s="3"/>
      <c r="G3542" s="3"/>
      <c r="H3542" s="3"/>
    </row>
    <row r="3543" spans="5:8">
      <c r="E3543" s="3"/>
      <c r="F3543" s="3"/>
      <c r="G3543" s="3"/>
      <c r="H3543" s="3"/>
    </row>
    <row r="3544" spans="5:8">
      <c r="E3544" s="3"/>
      <c r="F3544" s="3"/>
      <c r="G3544" s="3"/>
      <c r="H3544" s="3"/>
    </row>
    <row r="3545" spans="5:8">
      <c r="E3545" s="3"/>
      <c r="F3545" s="3"/>
      <c r="G3545" s="3"/>
      <c r="H3545" s="3"/>
    </row>
    <row r="3546" spans="5:8">
      <c r="E3546" s="3"/>
      <c r="F3546" s="3"/>
      <c r="G3546" s="3"/>
      <c r="H3546" s="3"/>
    </row>
    <row r="3547" spans="5:8">
      <c r="E3547" s="3"/>
      <c r="F3547" s="3"/>
      <c r="G3547" s="3"/>
      <c r="H3547" s="3"/>
    </row>
    <row r="3548" spans="5:8">
      <c r="E3548" s="3"/>
      <c r="F3548" s="3"/>
      <c r="G3548" s="3"/>
      <c r="H3548" s="3"/>
    </row>
    <row r="3549" spans="5:8">
      <c r="E3549" s="3"/>
      <c r="F3549" s="3"/>
      <c r="G3549" s="3"/>
      <c r="H3549" s="3"/>
    </row>
    <row r="3550" spans="5:8">
      <c r="E3550" s="3"/>
      <c r="F3550" s="3"/>
      <c r="G3550" s="3"/>
      <c r="H3550" s="3"/>
    </row>
    <row r="3551" spans="5:8">
      <c r="E3551" s="3"/>
      <c r="F3551" s="3"/>
      <c r="G3551" s="3"/>
      <c r="H3551" s="3"/>
    </row>
    <row r="3552" spans="5:8">
      <c r="E3552" s="3"/>
      <c r="F3552" s="3"/>
      <c r="G3552" s="3"/>
      <c r="H3552" s="3"/>
    </row>
    <row r="3553" spans="5:8">
      <c r="E3553" s="3"/>
      <c r="F3553" s="3"/>
      <c r="G3553" s="3"/>
      <c r="H3553" s="3"/>
    </row>
    <row r="3554" spans="5:8">
      <c r="E3554" s="3"/>
      <c r="F3554" s="3"/>
      <c r="G3554" s="3"/>
      <c r="H3554" s="3"/>
    </row>
    <row r="3555" spans="5:8">
      <c r="E3555" s="3"/>
      <c r="F3555" s="3"/>
      <c r="G3555" s="3"/>
      <c r="H3555" s="3"/>
    </row>
    <row r="3556" spans="5:8">
      <c r="E3556" s="3"/>
      <c r="F3556" s="3"/>
      <c r="G3556" s="3"/>
      <c r="H3556" s="3"/>
    </row>
    <row r="3557" spans="5:8">
      <c r="E3557" s="3"/>
      <c r="F3557" s="3"/>
      <c r="G3557" s="3"/>
      <c r="H3557" s="3"/>
    </row>
    <row r="3558" spans="5:8">
      <c r="E3558" s="3"/>
      <c r="F3558" s="3"/>
      <c r="G3558" s="3"/>
      <c r="H3558" s="3"/>
    </row>
    <row r="3559" spans="5:8">
      <c r="E3559" s="3"/>
      <c r="F3559" s="3"/>
      <c r="G3559" s="3"/>
      <c r="H3559" s="3"/>
    </row>
    <row r="3560" spans="5:8">
      <c r="E3560" s="3"/>
      <c r="F3560" s="3"/>
      <c r="G3560" s="3"/>
      <c r="H3560" s="3"/>
    </row>
    <row r="3561" spans="5:8">
      <c r="E3561" s="3"/>
      <c r="F3561" s="3"/>
      <c r="G3561" s="3"/>
      <c r="H3561" s="3"/>
    </row>
    <row r="3562" spans="5:8">
      <c r="E3562" s="3"/>
      <c r="F3562" s="3"/>
      <c r="G3562" s="3"/>
      <c r="H3562" s="3"/>
    </row>
    <row r="3563" spans="5:8">
      <c r="E3563" s="3"/>
      <c r="F3563" s="3"/>
      <c r="G3563" s="3"/>
      <c r="H3563" s="3"/>
    </row>
    <row r="3564" spans="5:8">
      <c r="E3564" s="3"/>
      <c r="F3564" s="3"/>
      <c r="G3564" s="3"/>
      <c r="H3564" s="3"/>
    </row>
    <row r="3565" spans="5:8">
      <c r="E3565" s="3"/>
      <c r="F3565" s="3"/>
      <c r="G3565" s="3"/>
      <c r="H3565" s="3"/>
    </row>
    <row r="3566" spans="5:8">
      <c r="E3566" s="3"/>
      <c r="F3566" s="3"/>
      <c r="G3566" s="3"/>
      <c r="H3566" s="3"/>
    </row>
    <row r="3567" spans="5:8">
      <c r="E3567" s="3"/>
      <c r="F3567" s="3"/>
      <c r="G3567" s="3"/>
      <c r="H3567" s="3"/>
    </row>
    <row r="3568" spans="5:8">
      <c r="E3568" s="3"/>
      <c r="F3568" s="3"/>
      <c r="G3568" s="3"/>
      <c r="H3568" s="3"/>
    </row>
    <row r="3569" spans="5:8">
      <c r="E3569" s="3"/>
      <c r="F3569" s="3"/>
      <c r="G3569" s="3"/>
      <c r="H3569" s="3"/>
    </row>
    <row r="3570" spans="5:8">
      <c r="E3570" s="3"/>
      <c r="F3570" s="3"/>
      <c r="G3570" s="3"/>
      <c r="H3570" s="3"/>
    </row>
    <row r="3571" spans="5:8">
      <c r="E3571" s="3"/>
      <c r="F3571" s="3"/>
      <c r="G3571" s="3"/>
      <c r="H3571" s="3"/>
    </row>
    <row r="3572" spans="5:8">
      <c r="E3572" s="3"/>
      <c r="F3572" s="3"/>
      <c r="G3572" s="3"/>
      <c r="H3572" s="3"/>
    </row>
    <row r="3573" spans="5:8">
      <c r="E3573" s="3"/>
      <c r="F3573" s="3"/>
      <c r="G3573" s="3"/>
      <c r="H3573" s="3"/>
    </row>
    <row r="3574" spans="5:8">
      <c r="E3574" s="3"/>
      <c r="F3574" s="3"/>
      <c r="G3574" s="3"/>
      <c r="H3574" s="3"/>
    </row>
    <row r="3575" spans="5:8">
      <c r="E3575" s="3"/>
      <c r="F3575" s="3"/>
      <c r="G3575" s="3"/>
      <c r="H3575" s="3"/>
    </row>
    <row r="3576" spans="5:8">
      <c r="E3576" s="3"/>
      <c r="F3576" s="3"/>
      <c r="G3576" s="3"/>
      <c r="H3576" s="3"/>
    </row>
    <row r="3577" spans="5:8">
      <c r="E3577" s="3"/>
      <c r="F3577" s="3"/>
      <c r="G3577" s="3"/>
      <c r="H3577" s="3"/>
    </row>
    <row r="3578" spans="5:8">
      <c r="E3578" s="3"/>
      <c r="F3578" s="3"/>
      <c r="G3578" s="3"/>
      <c r="H3578" s="3"/>
    </row>
    <row r="3579" spans="5:8">
      <c r="E3579" s="3"/>
      <c r="F3579" s="3"/>
      <c r="G3579" s="3"/>
      <c r="H3579" s="3"/>
    </row>
    <row r="3580" spans="5:8">
      <c r="E3580" s="3"/>
      <c r="F3580" s="3"/>
      <c r="G3580" s="3"/>
      <c r="H3580" s="3"/>
    </row>
    <row r="3581" spans="5:8">
      <c r="E3581" s="3"/>
      <c r="F3581" s="3"/>
      <c r="G3581" s="3"/>
      <c r="H3581" s="3"/>
    </row>
    <row r="3582" spans="5:8">
      <c r="E3582" s="3"/>
      <c r="F3582" s="3"/>
      <c r="G3582" s="3"/>
      <c r="H3582" s="3"/>
    </row>
    <row r="3583" spans="5:8">
      <c r="E3583" s="3"/>
      <c r="F3583" s="3"/>
      <c r="G3583" s="3"/>
      <c r="H3583" s="3"/>
    </row>
    <row r="3584" spans="5:8">
      <c r="E3584" s="3"/>
      <c r="F3584" s="3"/>
      <c r="G3584" s="3"/>
      <c r="H3584" s="3"/>
    </row>
    <row r="3585" spans="5:8">
      <c r="E3585" s="3"/>
      <c r="F3585" s="3"/>
      <c r="G3585" s="3"/>
      <c r="H3585" s="3"/>
    </row>
    <row r="3586" spans="5:8">
      <c r="E3586" s="3"/>
      <c r="F3586" s="3"/>
      <c r="G3586" s="3"/>
      <c r="H3586" s="3"/>
    </row>
    <row r="3587" spans="5:8">
      <c r="E3587" s="3"/>
      <c r="F3587" s="3"/>
      <c r="G3587" s="3"/>
      <c r="H3587" s="3"/>
    </row>
    <row r="3588" spans="5:8">
      <c r="E3588" s="3"/>
      <c r="F3588" s="3"/>
      <c r="G3588" s="3"/>
      <c r="H3588" s="3"/>
    </row>
    <row r="3589" spans="5:8">
      <c r="E3589" s="3"/>
      <c r="F3589" s="3"/>
      <c r="G3589" s="3"/>
      <c r="H3589" s="3"/>
    </row>
    <row r="3590" spans="5:8">
      <c r="E3590" s="3"/>
      <c r="F3590" s="3"/>
      <c r="G3590" s="3"/>
      <c r="H3590" s="3"/>
    </row>
    <row r="3591" spans="5:8">
      <c r="E3591" s="3"/>
      <c r="F3591" s="3"/>
      <c r="G3591" s="3"/>
      <c r="H3591" s="3"/>
    </row>
    <row r="3592" spans="5:8">
      <c r="E3592" s="3"/>
      <c r="F3592" s="3"/>
      <c r="G3592" s="3"/>
      <c r="H3592" s="3"/>
    </row>
    <row r="3593" spans="5:8">
      <c r="E3593" s="3"/>
      <c r="F3593" s="3"/>
      <c r="G3593" s="3"/>
      <c r="H3593" s="3"/>
    </row>
    <row r="3594" spans="5:8">
      <c r="E3594" s="3"/>
      <c r="F3594" s="3"/>
      <c r="G3594" s="3"/>
      <c r="H3594" s="3"/>
    </row>
    <row r="3595" spans="5:8">
      <c r="E3595" s="3"/>
      <c r="F3595" s="3"/>
      <c r="G3595" s="3"/>
      <c r="H3595" s="3"/>
    </row>
    <row r="3596" spans="5:8">
      <c r="E3596" s="3"/>
      <c r="F3596" s="3"/>
      <c r="G3596" s="3"/>
      <c r="H3596" s="3"/>
    </row>
    <row r="3597" spans="5:8">
      <c r="E3597" s="3"/>
      <c r="F3597" s="3"/>
      <c r="G3597" s="3"/>
      <c r="H3597" s="3"/>
    </row>
    <row r="3598" spans="5:8">
      <c r="E3598" s="3"/>
      <c r="F3598" s="3"/>
      <c r="G3598" s="3"/>
      <c r="H3598" s="3"/>
    </row>
    <row r="3599" spans="5:8">
      <c r="E3599" s="3"/>
      <c r="F3599" s="3"/>
      <c r="G3599" s="3"/>
      <c r="H3599" s="3"/>
    </row>
    <row r="3600" spans="5:8">
      <c r="E3600" s="3"/>
      <c r="F3600" s="3"/>
      <c r="G3600" s="3"/>
      <c r="H3600" s="3"/>
    </row>
    <row r="3601" spans="5:8">
      <c r="E3601" s="3"/>
      <c r="F3601" s="3"/>
      <c r="G3601" s="3"/>
      <c r="H3601" s="3"/>
    </row>
    <row r="3602" spans="5:8">
      <c r="E3602" s="3"/>
      <c r="F3602" s="3"/>
      <c r="G3602" s="3"/>
      <c r="H3602" s="3"/>
    </row>
    <row r="3603" spans="5:8">
      <c r="E3603" s="3"/>
      <c r="F3603" s="3"/>
      <c r="G3603" s="3"/>
      <c r="H3603" s="3"/>
    </row>
    <row r="3604" spans="5:8">
      <c r="E3604" s="3"/>
      <c r="F3604" s="3"/>
      <c r="G3604" s="3"/>
      <c r="H3604" s="3"/>
    </row>
    <row r="3605" spans="5:8">
      <c r="E3605" s="3"/>
      <c r="F3605" s="3"/>
      <c r="G3605" s="3"/>
      <c r="H3605" s="3"/>
    </row>
    <row r="3606" spans="5:8">
      <c r="E3606" s="3"/>
      <c r="F3606" s="3"/>
      <c r="G3606" s="3"/>
      <c r="H3606" s="3"/>
    </row>
    <row r="3607" spans="5:8">
      <c r="E3607" s="3"/>
      <c r="F3607" s="3"/>
      <c r="G3607" s="3"/>
      <c r="H3607" s="3"/>
    </row>
    <row r="3608" spans="5:8">
      <c r="E3608" s="3"/>
      <c r="F3608" s="3"/>
      <c r="G3608" s="3"/>
      <c r="H3608" s="3"/>
    </row>
    <row r="3609" spans="5:8">
      <c r="E3609" s="3"/>
      <c r="F3609" s="3"/>
      <c r="G3609" s="3"/>
      <c r="H3609" s="3"/>
    </row>
    <row r="3610" spans="5:8">
      <c r="E3610" s="3"/>
      <c r="F3610" s="3"/>
      <c r="G3610" s="3"/>
      <c r="H3610" s="3"/>
    </row>
    <row r="3611" spans="5:8">
      <c r="E3611" s="3"/>
      <c r="F3611" s="3"/>
      <c r="G3611" s="3"/>
      <c r="H3611" s="3"/>
    </row>
    <row r="3612" spans="5:8">
      <c r="E3612" s="3"/>
      <c r="F3612" s="3"/>
      <c r="G3612" s="3"/>
      <c r="H3612" s="3"/>
    </row>
    <row r="3613" spans="5:8">
      <c r="E3613" s="3"/>
      <c r="F3613" s="3"/>
      <c r="G3613" s="3"/>
      <c r="H3613" s="3"/>
    </row>
    <row r="3614" spans="5:8">
      <c r="E3614" s="3"/>
      <c r="F3614" s="3"/>
      <c r="G3614" s="3"/>
      <c r="H3614" s="3"/>
    </row>
    <row r="3615" spans="5:8">
      <c r="E3615" s="3"/>
      <c r="F3615" s="3"/>
      <c r="G3615" s="3"/>
      <c r="H3615" s="3"/>
    </row>
    <row r="3616" spans="5:8">
      <c r="E3616" s="3"/>
      <c r="F3616" s="3"/>
      <c r="G3616" s="3"/>
      <c r="H3616" s="3"/>
    </row>
    <row r="3617" spans="5:8">
      <c r="E3617" s="3"/>
      <c r="F3617" s="3"/>
      <c r="G3617" s="3"/>
      <c r="H3617" s="3"/>
    </row>
    <row r="3618" spans="5:8">
      <c r="E3618" s="3"/>
      <c r="F3618" s="3"/>
      <c r="G3618" s="3"/>
      <c r="H3618" s="3"/>
    </row>
    <row r="3619" spans="5:8">
      <c r="E3619" s="3"/>
      <c r="F3619" s="3"/>
      <c r="G3619" s="3"/>
      <c r="H3619" s="3"/>
    </row>
    <row r="3620" spans="5:8">
      <c r="E3620" s="3"/>
      <c r="F3620" s="3"/>
      <c r="G3620" s="3"/>
      <c r="H3620" s="3"/>
    </row>
    <row r="3621" spans="5:8">
      <c r="E3621" s="3"/>
      <c r="F3621" s="3"/>
      <c r="G3621" s="3"/>
      <c r="H3621" s="3"/>
    </row>
    <row r="3622" spans="5:8">
      <c r="E3622" s="3"/>
      <c r="F3622" s="3"/>
      <c r="G3622" s="3"/>
      <c r="H3622" s="3"/>
    </row>
    <row r="3623" spans="5:8">
      <c r="E3623" s="3"/>
      <c r="F3623" s="3"/>
      <c r="G3623" s="3"/>
      <c r="H3623" s="3"/>
    </row>
    <row r="3624" spans="5:8">
      <c r="E3624" s="3"/>
      <c r="F3624" s="3"/>
      <c r="G3624" s="3"/>
      <c r="H3624" s="3"/>
    </row>
    <row r="3625" spans="5:8">
      <c r="E3625" s="3"/>
      <c r="F3625" s="3"/>
      <c r="G3625" s="3"/>
      <c r="H3625" s="3"/>
    </row>
    <row r="3626" spans="5:8">
      <c r="E3626" s="3"/>
      <c r="F3626" s="3"/>
      <c r="G3626" s="3"/>
      <c r="H3626" s="3"/>
    </row>
    <row r="3627" spans="5:8">
      <c r="E3627" s="3"/>
      <c r="F3627" s="3"/>
      <c r="G3627" s="3"/>
      <c r="H3627" s="3"/>
    </row>
    <row r="3628" spans="5:8">
      <c r="E3628" s="3"/>
      <c r="F3628" s="3"/>
      <c r="G3628" s="3"/>
      <c r="H3628" s="3"/>
    </row>
    <row r="3629" spans="5:8">
      <c r="E3629" s="3"/>
      <c r="F3629" s="3"/>
      <c r="G3629" s="3"/>
      <c r="H3629" s="3"/>
    </row>
    <row r="3630" spans="5:8">
      <c r="E3630" s="3"/>
      <c r="F3630" s="3"/>
      <c r="G3630" s="3"/>
      <c r="H3630" s="3"/>
    </row>
    <row r="3631" spans="5:8">
      <c r="E3631" s="3"/>
      <c r="F3631" s="3"/>
      <c r="G3631" s="3"/>
      <c r="H3631" s="3"/>
    </row>
    <row r="3632" spans="5:8">
      <c r="E3632" s="3"/>
      <c r="F3632" s="3"/>
      <c r="G3632" s="3"/>
      <c r="H3632" s="3"/>
    </row>
    <row r="3633" spans="5:8">
      <c r="E3633" s="3"/>
      <c r="F3633" s="3"/>
      <c r="G3633" s="3"/>
      <c r="H3633" s="3"/>
    </row>
    <row r="3634" spans="5:8">
      <c r="E3634" s="3"/>
      <c r="F3634" s="3"/>
      <c r="G3634" s="3"/>
      <c r="H3634" s="3"/>
    </row>
    <row r="3635" spans="5:8">
      <c r="E3635" s="3"/>
      <c r="F3635" s="3"/>
      <c r="G3635" s="3"/>
      <c r="H3635" s="3"/>
    </row>
    <row r="3636" spans="5:8">
      <c r="E3636" s="3"/>
      <c r="F3636" s="3"/>
      <c r="G3636" s="3"/>
      <c r="H3636" s="3"/>
    </row>
    <row r="3637" spans="5:8">
      <c r="E3637" s="3"/>
      <c r="F3637" s="3"/>
      <c r="G3637" s="3"/>
      <c r="H3637" s="3"/>
    </row>
    <row r="3638" spans="5:8">
      <c r="E3638" s="3"/>
      <c r="F3638" s="3"/>
      <c r="G3638" s="3"/>
      <c r="H3638" s="3"/>
    </row>
    <row r="3639" spans="5:8">
      <c r="E3639" s="3"/>
      <c r="F3639" s="3"/>
      <c r="G3639" s="3"/>
      <c r="H3639" s="3"/>
    </row>
    <row r="3640" spans="5:8">
      <c r="E3640" s="3"/>
      <c r="F3640" s="3"/>
      <c r="G3640" s="3"/>
      <c r="H3640" s="3"/>
    </row>
    <row r="3641" spans="5:8">
      <c r="E3641" s="3"/>
      <c r="F3641" s="3"/>
      <c r="G3641" s="3"/>
      <c r="H3641" s="3"/>
    </row>
    <row r="3642" spans="5:8">
      <c r="E3642" s="3"/>
      <c r="F3642" s="3"/>
      <c r="G3642" s="3"/>
      <c r="H3642" s="3"/>
    </row>
    <row r="3643" spans="5:8">
      <c r="E3643" s="3"/>
      <c r="F3643" s="3"/>
      <c r="G3643" s="3"/>
      <c r="H3643" s="3"/>
    </row>
    <row r="3644" spans="5:8">
      <c r="E3644" s="3"/>
      <c r="F3644" s="3"/>
      <c r="G3644" s="3"/>
      <c r="H3644" s="3"/>
    </row>
    <row r="3645" spans="5:8">
      <c r="E3645" s="3"/>
      <c r="F3645" s="3"/>
      <c r="G3645" s="3"/>
      <c r="H3645" s="3"/>
    </row>
    <row r="3646" spans="5:8">
      <c r="E3646" s="3"/>
      <c r="F3646" s="3"/>
      <c r="G3646" s="3"/>
      <c r="H3646" s="3"/>
    </row>
    <row r="3647" spans="5:8">
      <c r="E3647" s="3"/>
      <c r="F3647" s="3"/>
      <c r="G3647" s="3"/>
      <c r="H3647" s="3"/>
    </row>
    <row r="3648" spans="5:8">
      <c r="E3648" s="3"/>
      <c r="F3648" s="3"/>
      <c r="G3648" s="3"/>
      <c r="H3648" s="3"/>
    </row>
    <row r="3649" spans="5:8">
      <c r="E3649" s="3"/>
      <c r="F3649" s="3"/>
      <c r="G3649" s="3"/>
      <c r="H3649" s="3"/>
    </row>
    <row r="3650" spans="5:8">
      <c r="E3650" s="3"/>
      <c r="F3650" s="3"/>
      <c r="G3650" s="3"/>
      <c r="H3650" s="3"/>
    </row>
    <row r="3651" spans="5:8">
      <c r="E3651" s="3"/>
      <c r="F3651" s="3"/>
      <c r="G3651" s="3"/>
      <c r="H3651" s="3"/>
    </row>
    <row r="3652" spans="5:8">
      <c r="E3652" s="3"/>
      <c r="F3652" s="3"/>
      <c r="G3652" s="3"/>
      <c r="H3652" s="3"/>
    </row>
    <row r="3653" spans="5:8">
      <c r="E3653" s="3"/>
      <c r="F3653" s="3"/>
      <c r="G3653" s="3"/>
      <c r="H3653" s="3"/>
    </row>
    <row r="3654" spans="5:8">
      <c r="E3654" s="3"/>
      <c r="F3654" s="3"/>
      <c r="G3654" s="3"/>
      <c r="H3654" s="3"/>
    </row>
    <row r="3655" spans="5:8">
      <c r="E3655" s="3"/>
      <c r="F3655" s="3"/>
      <c r="G3655" s="3"/>
      <c r="H3655" s="3"/>
    </row>
    <row r="3656" spans="5:8">
      <c r="E3656" s="3"/>
      <c r="F3656" s="3"/>
      <c r="G3656" s="3"/>
      <c r="H3656" s="3"/>
    </row>
    <row r="3657" spans="5:8">
      <c r="E3657" s="3"/>
      <c r="F3657" s="3"/>
      <c r="G3657" s="3"/>
      <c r="H3657" s="3"/>
    </row>
    <row r="3658" spans="5:8">
      <c r="E3658" s="3"/>
      <c r="F3658" s="3"/>
      <c r="G3658" s="3"/>
      <c r="H3658" s="3"/>
    </row>
    <row r="3659" spans="5:8">
      <c r="E3659" s="3"/>
      <c r="F3659" s="3"/>
      <c r="G3659" s="3"/>
      <c r="H3659" s="3"/>
    </row>
    <row r="3660" spans="5:8">
      <c r="E3660" s="3"/>
      <c r="F3660" s="3"/>
      <c r="G3660" s="3"/>
      <c r="H3660" s="3"/>
    </row>
    <row r="3661" spans="5:8">
      <c r="E3661" s="3"/>
      <c r="F3661" s="3"/>
      <c r="G3661" s="3"/>
      <c r="H3661" s="3"/>
    </row>
    <row r="3662" spans="5:8">
      <c r="E3662" s="3"/>
      <c r="F3662" s="3"/>
      <c r="G3662" s="3"/>
      <c r="H3662" s="3"/>
    </row>
    <row r="3663" spans="5:8">
      <c r="E3663" s="3"/>
      <c r="F3663" s="3"/>
      <c r="G3663" s="3"/>
      <c r="H3663" s="3"/>
    </row>
    <row r="3664" spans="5:8">
      <c r="E3664" s="3"/>
      <c r="F3664" s="3"/>
      <c r="G3664" s="3"/>
      <c r="H3664" s="3"/>
    </row>
    <row r="3665" spans="5:8">
      <c r="E3665" s="3"/>
      <c r="F3665" s="3"/>
      <c r="G3665" s="3"/>
      <c r="H3665" s="3"/>
    </row>
    <row r="3666" spans="5:8">
      <c r="E3666" s="3"/>
      <c r="F3666" s="3"/>
      <c r="G3666" s="3"/>
      <c r="H3666" s="3"/>
    </row>
    <row r="3667" spans="5:8">
      <c r="E3667" s="3"/>
      <c r="F3667" s="3"/>
      <c r="G3667" s="3"/>
      <c r="H3667" s="3"/>
    </row>
    <row r="3668" spans="5:8">
      <c r="E3668" s="3"/>
      <c r="F3668" s="3"/>
      <c r="G3668" s="3"/>
      <c r="H3668" s="3"/>
    </row>
    <row r="3669" spans="5:8">
      <c r="E3669" s="3"/>
      <c r="F3669" s="3"/>
      <c r="G3669" s="3"/>
      <c r="H3669" s="3"/>
    </row>
    <row r="3670" spans="5:8">
      <c r="E3670" s="3"/>
      <c r="F3670" s="3"/>
      <c r="G3670" s="3"/>
      <c r="H3670" s="3"/>
    </row>
    <row r="3671" spans="5:8">
      <c r="E3671" s="3"/>
      <c r="F3671" s="3"/>
      <c r="G3671" s="3"/>
      <c r="H3671" s="3"/>
    </row>
    <row r="3672" spans="5:8">
      <c r="E3672" s="3"/>
      <c r="F3672" s="3"/>
      <c r="G3672" s="3"/>
      <c r="H3672" s="3"/>
    </row>
    <row r="3673" spans="5:8">
      <c r="E3673" s="3"/>
      <c r="F3673" s="3"/>
      <c r="G3673" s="3"/>
      <c r="H3673" s="3"/>
    </row>
    <row r="3674" spans="5:8">
      <c r="E3674" s="3"/>
      <c r="F3674" s="3"/>
      <c r="G3674" s="3"/>
      <c r="H3674" s="3"/>
    </row>
    <row r="3675" spans="5:8">
      <c r="E3675" s="3"/>
      <c r="F3675" s="3"/>
      <c r="G3675" s="3"/>
      <c r="H3675" s="3"/>
    </row>
    <row r="3676" spans="5:8">
      <c r="E3676" s="3"/>
      <c r="F3676" s="3"/>
      <c r="G3676" s="3"/>
      <c r="H3676" s="3"/>
    </row>
    <row r="3677" spans="5:8">
      <c r="E3677" s="3"/>
      <c r="F3677" s="3"/>
      <c r="G3677" s="3"/>
      <c r="H3677" s="3"/>
    </row>
    <row r="3678" spans="5:8">
      <c r="E3678" s="3"/>
      <c r="F3678" s="3"/>
      <c r="G3678" s="3"/>
      <c r="H3678" s="3"/>
    </row>
    <row r="3679" spans="5:8">
      <c r="E3679" s="3"/>
      <c r="F3679" s="3"/>
      <c r="G3679" s="3"/>
      <c r="H3679" s="3"/>
    </row>
    <row r="3680" spans="5:8">
      <c r="E3680" s="3"/>
      <c r="F3680" s="3"/>
      <c r="G3680" s="3"/>
      <c r="H3680" s="3"/>
    </row>
    <row r="3681" spans="5:8">
      <c r="E3681" s="3"/>
      <c r="F3681" s="3"/>
      <c r="G3681" s="3"/>
      <c r="H3681" s="3"/>
    </row>
    <row r="3682" spans="5:8">
      <c r="E3682" s="3"/>
      <c r="F3682" s="3"/>
      <c r="G3682" s="3"/>
      <c r="H3682" s="3"/>
    </row>
    <row r="3683" spans="5:8">
      <c r="E3683" s="3"/>
      <c r="F3683" s="3"/>
      <c r="G3683" s="3"/>
      <c r="H3683" s="3"/>
    </row>
    <row r="3684" spans="5:8">
      <c r="E3684" s="3"/>
      <c r="F3684" s="3"/>
      <c r="G3684" s="3"/>
      <c r="H3684" s="3"/>
    </row>
    <row r="3685" spans="5:8">
      <c r="E3685" s="3"/>
      <c r="F3685" s="3"/>
      <c r="G3685" s="3"/>
      <c r="H3685" s="3"/>
    </row>
    <row r="3686" spans="5:8">
      <c r="E3686" s="3"/>
      <c r="F3686" s="3"/>
      <c r="G3686" s="3"/>
      <c r="H3686" s="3"/>
    </row>
    <row r="3687" spans="5:8">
      <c r="E3687" s="3"/>
      <c r="F3687" s="3"/>
      <c r="G3687" s="3"/>
      <c r="H3687" s="3"/>
    </row>
    <row r="3688" spans="5:8">
      <c r="E3688" s="3"/>
      <c r="F3688" s="3"/>
      <c r="G3688" s="3"/>
      <c r="H3688" s="3"/>
    </row>
    <row r="3689" spans="5:8">
      <c r="E3689" s="3"/>
      <c r="F3689" s="3"/>
      <c r="G3689" s="3"/>
      <c r="H3689" s="3"/>
    </row>
    <row r="3690" spans="5:8">
      <c r="E3690" s="3"/>
      <c r="F3690" s="3"/>
      <c r="G3690" s="3"/>
      <c r="H3690" s="3"/>
    </row>
    <row r="3691" spans="5:8">
      <c r="E3691" s="3"/>
      <c r="F3691" s="3"/>
      <c r="G3691" s="3"/>
      <c r="H3691" s="3"/>
    </row>
    <row r="3692" spans="5:8">
      <c r="E3692" s="3"/>
      <c r="F3692" s="3"/>
      <c r="G3692" s="3"/>
      <c r="H3692" s="3"/>
    </row>
    <row r="3693" spans="5:8">
      <c r="E3693" s="3"/>
      <c r="F3693" s="3"/>
      <c r="G3693" s="3"/>
      <c r="H3693" s="3"/>
    </row>
    <row r="3694" spans="5:8">
      <c r="E3694" s="3"/>
      <c r="F3694" s="3"/>
      <c r="G3694" s="3"/>
      <c r="H3694" s="3"/>
    </row>
    <row r="3695" spans="5:8">
      <c r="E3695" s="3"/>
      <c r="F3695" s="3"/>
      <c r="G3695" s="3"/>
      <c r="H3695" s="3"/>
    </row>
    <row r="3696" spans="5:8">
      <c r="E3696" s="3"/>
      <c r="F3696" s="3"/>
      <c r="G3696" s="3"/>
      <c r="H3696" s="3"/>
    </row>
    <row r="3697" spans="5:8">
      <c r="E3697" s="3"/>
      <c r="F3697" s="3"/>
      <c r="G3697" s="3"/>
      <c r="H3697" s="3"/>
    </row>
    <row r="3698" spans="5:8">
      <c r="E3698" s="3"/>
      <c r="F3698" s="3"/>
      <c r="G3698" s="3"/>
      <c r="H3698" s="3"/>
    </row>
    <row r="3699" spans="5:8">
      <c r="E3699" s="3"/>
      <c r="F3699" s="3"/>
      <c r="G3699" s="3"/>
      <c r="H3699" s="3"/>
    </row>
    <row r="3700" spans="5:8">
      <c r="E3700" s="3"/>
      <c r="F3700" s="3"/>
      <c r="G3700" s="3"/>
      <c r="H3700" s="3"/>
    </row>
    <row r="3701" spans="5:8">
      <c r="E3701" s="3"/>
      <c r="F3701" s="3"/>
      <c r="G3701" s="3"/>
      <c r="H3701" s="3"/>
    </row>
    <row r="3702" spans="5:8">
      <c r="E3702" s="3"/>
      <c r="F3702" s="3"/>
      <c r="G3702" s="3"/>
      <c r="H3702" s="3"/>
    </row>
    <row r="3703" spans="5:8">
      <c r="E3703" s="3"/>
      <c r="F3703" s="3"/>
      <c r="G3703" s="3"/>
      <c r="H3703" s="3"/>
    </row>
    <row r="3704" spans="5:8">
      <c r="E3704" s="3"/>
      <c r="F3704" s="3"/>
      <c r="G3704" s="3"/>
      <c r="H3704" s="3"/>
    </row>
    <row r="3705" spans="5:8">
      <c r="E3705" s="3"/>
      <c r="F3705" s="3"/>
      <c r="G3705" s="3"/>
      <c r="H3705" s="3"/>
    </row>
    <row r="3706" spans="5:8">
      <c r="E3706" s="3"/>
      <c r="F3706" s="3"/>
      <c r="G3706" s="3"/>
      <c r="H3706" s="3"/>
    </row>
    <row r="3707" spans="5:8">
      <c r="E3707" s="3"/>
      <c r="F3707" s="3"/>
      <c r="G3707" s="3"/>
      <c r="H3707" s="3"/>
    </row>
    <row r="3708" spans="5:8">
      <c r="E3708" s="3"/>
      <c r="F3708" s="3"/>
      <c r="G3708" s="3"/>
      <c r="H3708" s="3"/>
    </row>
    <row r="3709" spans="5:8">
      <c r="E3709" s="3"/>
      <c r="F3709" s="3"/>
      <c r="G3709" s="3"/>
      <c r="H3709" s="3"/>
    </row>
    <row r="3710" spans="5:8">
      <c r="E3710" s="3"/>
      <c r="F3710" s="3"/>
      <c r="G3710" s="3"/>
      <c r="H3710" s="3"/>
    </row>
    <row r="3711" spans="5:8">
      <c r="E3711" s="3"/>
      <c r="F3711" s="3"/>
      <c r="G3711" s="3"/>
      <c r="H3711" s="3"/>
    </row>
    <row r="3712" spans="5:8">
      <c r="E3712" s="3"/>
      <c r="F3712" s="3"/>
      <c r="G3712" s="3"/>
      <c r="H3712" s="3"/>
    </row>
    <row r="3713" spans="5:8">
      <c r="E3713" s="3"/>
      <c r="F3713" s="3"/>
      <c r="G3713" s="3"/>
      <c r="H3713" s="3"/>
    </row>
    <row r="3714" spans="5:8">
      <c r="E3714" s="3"/>
      <c r="F3714" s="3"/>
      <c r="G3714" s="3"/>
      <c r="H3714" s="3"/>
    </row>
    <row r="3715" spans="5:8">
      <c r="E3715" s="3"/>
      <c r="F3715" s="3"/>
      <c r="G3715" s="3"/>
      <c r="H3715" s="3"/>
    </row>
    <row r="3716" spans="5:8">
      <c r="E3716" s="3"/>
      <c r="F3716" s="3"/>
      <c r="G3716" s="3"/>
      <c r="H3716" s="3"/>
    </row>
    <row r="3717" spans="5:8">
      <c r="E3717" s="3"/>
      <c r="F3717" s="3"/>
      <c r="G3717" s="3"/>
      <c r="H3717" s="3"/>
    </row>
    <row r="3718" spans="5:8">
      <c r="E3718" s="3"/>
      <c r="F3718" s="3"/>
      <c r="G3718" s="3"/>
      <c r="H3718" s="3"/>
    </row>
    <row r="3719" spans="5:8">
      <c r="E3719" s="3"/>
      <c r="F3719" s="3"/>
      <c r="G3719" s="3"/>
      <c r="H3719" s="3"/>
    </row>
    <row r="3720" spans="5:8">
      <c r="E3720" s="3"/>
      <c r="F3720" s="3"/>
      <c r="G3720" s="3"/>
      <c r="H3720" s="3"/>
    </row>
    <row r="3721" spans="5:8">
      <c r="E3721" s="3"/>
      <c r="F3721" s="3"/>
      <c r="G3721" s="3"/>
      <c r="H3721" s="3"/>
    </row>
    <row r="3722" spans="5:8">
      <c r="E3722" s="3"/>
      <c r="F3722" s="3"/>
      <c r="G3722" s="3"/>
      <c r="H3722" s="3"/>
    </row>
    <row r="3723" spans="5:8">
      <c r="E3723" s="3"/>
      <c r="F3723" s="3"/>
      <c r="G3723" s="3"/>
      <c r="H3723" s="3"/>
    </row>
    <row r="3724" spans="5:8">
      <c r="E3724" s="3"/>
      <c r="F3724" s="3"/>
      <c r="G3724" s="3"/>
      <c r="H3724" s="3"/>
    </row>
    <row r="3725" spans="5:8">
      <c r="E3725" s="3"/>
      <c r="F3725" s="3"/>
      <c r="G3725" s="3"/>
      <c r="H3725" s="3"/>
    </row>
    <row r="3726" spans="5:8">
      <c r="E3726" s="3"/>
      <c r="F3726" s="3"/>
      <c r="G3726" s="3"/>
      <c r="H3726" s="3"/>
    </row>
    <row r="3727" spans="5:8">
      <c r="E3727" s="3"/>
      <c r="F3727" s="3"/>
      <c r="G3727" s="3"/>
      <c r="H3727" s="3"/>
    </row>
    <row r="3728" spans="5:8">
      <c r="E3728" s="3"/>
      <c r="F3728" s="3"/>
      <c r="G3728" s="3"/>
      <c r="H3728" s="3"/>
    </row>
    <row r="3729" spans="5:8">
      <c r="E3729" s="3"/>
      <c r="F3729" s="3"/>
      <c r="G3729" s="3"/>
      <c r="H3729" s="3"/>
    </row>
    <row r="3730" spans="5:8">
      <c r="E3730" s="3"/>
      <c r="F3730" s="3"/>
      <c r="G3730" s="3"/>
      <c r="H3730" s="3"/>
    </row>
    <row r="3731" spans="5:8">
      <c r="E3731" s="3"/>
      <c r="F3731" s="3"/>
      <c r="G3731" s="3"/>
      <c r="H3731" s="3"/>
    </row>
    <row r="3732" spans="5:8">
      <c r="E3732" s="3"/>
      <c r="F3732" s="3"/>
      <c r="G3732" s="3"/>
      <c r="H3732" s="3"/>
    </row>
    <row r="3733" spans="5:8">
      <c r="E3733" s="3"/>
      <c r="F3733" s="3"/>
      <c r="G3733" s="3"/>
      <c r="H3733" s="3"/>
    </row>
    <row r="3734" spans="5:8">
      <c r="E3734" s="3"/>
      <c r="F3734" s="3"/>
      <c r="G3734" s="3"/>
      <c r="H3734" s="3"/>
    </row>
    <row r="3735" spans="5:8">
      <c r="E3735" s="3"/>
      <c r="F3735" s="3"/>
      <c r="G3735" s="3"/>
      <c r="H3735" s="3"/>
    </row>
    <row r="3736" spans="5:8">
      <c r="E3736" s="3"/>
      <c r="F3736" s="3"/>
      <c r="G3736" s="3"/>
      <c r="H3736" s="3"/>
    </row>
    <row r="3737" spans="5:8">
      <c r="E3737" s="3"/>
      <c r="F3737" s="3"/>
      <c r="G3737" s="3"/>
      <c r="H3737" s="3"/>
    </row>
    <row r="3738" spans="5:8">
      <c r="E3738" s="3"/>
      <c r="F3738" s="3"/>
      <c r="G3738" s="3"/>
      <c r="H3738" s="3"/>
    </row>
    <row r="3739" spans="5:8">
      <c r="E3739" s="3"/>
      <c r="F3739" s="3"/>
      <c r="G3739" s="3"/>
      <c r="H3739" s="3"/>
    </row>
    <row r="3740" spans="5:8">
      <c r="E3740" s="3"/>
      <c r="F3740" s="3"/>
      <c r="G3740" s="3"/>
      <c r="H3740" s="3"/>
    </row>
    <row r="3741" spans="5:8">
      <c r="E3741" s="3"/>
      <c r="F3741" s="3"/>
      <c r="G3741" s="3"/>
      <c r="H3741" s="3"/>
    </row>
    <row r="3742" spans="5:8">
      <c r="E3742" s="3"/>
      <c r="F3742" s="3"/>
      <c r="G3742" s="3"/>
      <c r="H3742" s="3"/>
    </row>
    <row r="3743" spans="5:8">
      <c r="E3743" s="3"/>
      <c r="F3743" s="3"/>
      <c r="G3743" s="3"/>
      <c r="H3743" s="3"/>
    </row>
    <row r="3744" spans="5:8">
      <c r="E3744" s="3"/>
      <c r="F3744" s="3"/>
      <c r="G3744" s="3"/>
      <c r="H3744" s="3"/>
    </row>
    <row r="3745" spans="5:8">
      <c r="E3745" s="3"/>
      <c r="F3745" s="3"/>
      <c r="G3745" s="3"/>
      <c r="H3745" s="3"/>
    </row>
    <row r="3746" spans="5:8">
      <c r="E3746" s="3"/>
      <c r="F3746" s="3"/>
      <c r="G3746" s="3"/>
      <c r="H3746" s="3"/>
    </row>
    <row r="3747" spans="5:8">
      <c r="E3747" s="3"/>
      <c r="F3747" s="3"/>
      <c r="G3747" s="3"/>
      <c r="H3747" s="3"/>
    </row>
    <row r="3748" spans="5:8">
      <c r="E3748" s="3"/>
      <c r="F3748" s="3"/>
      <c r="G3748" s="3"/>
      <c r="H3748" s="3"/>
    </row>
    <row r="3749" spans="5:8">
      <c r="E3749" s="3"/>
      <c r="F3749" s="3"/>
      <c r="G3749" s="3"/>
      <c r="H3749" s="3"/>
    </row>
    <row r="3750" spans="5:8">
      <c r="E3750" s="3"/>
      <c r="F3750" s="3"/>
      <c r="G3750" s="3"/>
      <c r="H3750" s="3"/>
    </row>
    <row r="3751" spans="5:8">
      <c r="E3751" s="3"/>
      <c r="F3751" s="3"/>
      <c r="G3751" s="3"/>
      <c r="H3751" s="3"/>
    </row>
    <row r="3752" spans="5:8">
      <c r="E3752" s="3"/>
      <c r="F3752" s="3"/>
      <c r="G3752" s="3"/>
      <c r="H3752" s="3"/>
    </row>
    <row r="3753" spans="5:8">
      <c r="E3753" s="3"/>
      <c r="F3753" s="3"/>
      <c r="G3753" s="3"/>
      <c r="H3753" s="3"/>
    </row>
    <row r="3754" spans="5:8">
      <c r="E3754" s="3"/>
      <c r="F3754" s="3"/>
      <c r="G3754" s="3"/>
      <c r="H3754" s="3"/>
    </row>
    <row r="3755" spans="5:8">
      <c r="E3755" s="3"/>
      <c r="F3755" s="3"/>
      <c r="G3755" s="3"/>
      <c r="H3755" s="3"/>
    </row>
    <row r="3756" spans="5:8">
      <c r="E3756" s="3"/>
      <c r="F3756" s="3"/>
      <c r="G3756" s="3"/>
      <c r="H3756" s="3"/>
    </row>
    <row r="3757" spans="5:8">
      <c r="E3757" s="3"/>
      <c r="F3757" s="3"/>
      <c r="G3757" s="3"/>
      <c r="H3757" s="3"/>
    </row>
    <row r="3758" spans="5:8">
      <c r="E3758" s="3"/>
      <c r="F3758" s="3"/>
      <c r="G3758" s="3"/>
      <c r="H3758" s="3"/>
    </row>
    <row r="3759" spans="5:8">
      <c r="E3759" s="3"/>
      <c r="F3759" s="3"/>
      <c r="G3759" s="3"/>
      <c r="H3759" s="3"/>
    </row>
    <row r="3760" spans="5:8">
      <c r="E3760" s="3"/>
      <c r="F3760" s="3"/>
      <c r="G3760" s="3"/>
      <c r="H3760" s="3"/>
    </row>
    <row r="3761" spans="5:8">
      <c r="E3761" s="3"/>
      <c r="F3761" s="3"/>
      <c r="G3761" s="3"/>
      <c r="H3761" s="3"/>
    </row>
    <row r="3762" spans="5:8">
      <c r="E3762" s="3"/>
      <c r="F3762" s="3"/>
      <c r="G3762" s="3"/>
      <c r="H3762" s="3"/>
    </row>
    <row r="3763" spans="5:8">
      <c r="E3763" s="3"/>
      <c r="F3763" s="3"/>
      <c r="G3763" s="3"/>
      <c r="H3763" s="3"/>
    </row>
    <row r="3764" spans="5:8">
      <c r="E3764" s="3"/>
      <c r="F3764" s="3"/>
      <c r="G3764" s="3"/>
      <c r="H3764" s="3"/>
    </row>
    <row r="3765" spans="5:8">
      <c r="E3765" s="3"/>
      <c r="F3765" s="3"/>
      <c r="G3765" s="3"/>
      <c r="H3765" s="3"/>
    </row>
    <row r="3766" spans="5:8">
      <c r="E3766" s="3"/>
      <c r="F3766" s="3"/>
      <c r="G3766" s="3"/>
      <c r="H3766" s="3"/>
    </row>
    <row r="3767" spans="5:8">
      <c r="E3767" s="3"/>
      <c r="F3767" s="3"/>
      <c r="G3767" s="3"/>
      <c r="H3767" s="3"/>
    </row>
    <row r="3768" spans="5:8">
      <c r="E3768" s="3"/>
      <c r="F3768" s="3"/>
      <c r="G3768" s="3"/>
      <c r="H3768" s="3"/>
    </row>
    <row r="3769" spans="5:8">
      <c r="E3769" s="3"/>
      <c r="F3769" s="3"/>
      <c r="G3769" s="3"/>
      <c r="H3769" s="3"/>
    </row>
    <row r="3770" spans="5:8">
      <c r="E3770" s="3"/>
      <c r="F3770" s="3"/>
      <c r="G3770" s="3"/>
      <c r="H3770" s="3"/>
    </row>
    <row r="3771" spans="5:8">
      <c r="E3771" s="3"/>
      <c r="F3771" s="3"/>
      <c r="G3771" s="3"/>
      <c r="H3771" s="3"/>
    </row>
    <row r="3772" spans="5:8">
      <c r="E3772" s="3"/>
      <c r="F3772" s="3"/>
      <c r="G3772" s="3"/>
      <c r="H3772" s="3"/>
    </row>
    <row r="3773" spans="5:8">
      <c r="E3773" s="3"/>
      <c r="F3773" s="3"/>
      <c r="G3773" s="3"/>
      <c r="H3773" s="3"/>
    </row>
    <row r="3774" spans="5:8">
      <c r="E3774" s="3"/>
      <c r="F3774" s="3"/>
      <c r="G3774" s="3"/>
      <c r="H3774" s="3"/>
    </row>
    <row r="3775" spans="5:8">
      <c r="E3775" s="3"/>
      <c r="F3775" s="3"/>
      <c r="G3775" s="3"/>
      <c r="H3775" s="3"/>
    </row>
    <row r="3776" spans="5:8">
      <c r="E3776" s="3"/>
      <c r="F3776" s="3"/>
      <c r="G3776" s="3"/>
      <c r="H3776" s="3"/>
    </row>
    <row r="3777" spans="5:8">
      <c r="E3777" s="3"/>
      <c r="F3777" s="3"/>
      <c r="G3777" s="3"/>
      <c r="H3777" s="3"/>
    </row>
    <row r="3778" spans="5:8">
      <c r="E3778" s="3"/>
      <c r="F3778" s="3"/>
      <c r="G3778" s="3"/>
      <c r="H3778" s="3"/>
    </row>
    <row r="3779" spans="5:8">
      <c r="E3779" s="3"/>
      <c r="F3779" s="3"/>
      <c r="G3779" s="3"/>
      <c r="H3779" s="3"/>
    </row>
    <row r="3780" spans="5:8">
      <c r="E3780" s="3"/>
      <c r="F3780" s="3"/>
      <c r="G3780" s="3"/>
      <c r="H3780" s="3"/>
    </row>
    <row r="3781" spans="5:8">
      <c r="E3781" s="3"/>
      <c r="F3781" s="3"/>
      <c r="G3781" s="3"/>
      <c r="H3781" s="3"/>
    </row>
    <row r="3782" spans="5:8">
      <c r="E3782" s="3"/>
      <c r="F3782" s="3"/>
      <c r="G3782" s="3"/>
      <c r="H3782" s="3"/>
    </row>
    <row r="3783" spans="5:8">
      <c r="E3783" s="3"/>
      <c r="F3783" s="3"/>
      <c r="G3783" s="3"/>
      <c r="H3783" s="3"/>
    </row>
    <row r="3784" spans="5:8">
      <c r="E3784" s="3"/>
      <c r="F3784" s="3"/>
      <c r="G3784" s="3"/>
      <c r="H3784" s="3"/>
    </row>
    <row r="3785" spans="5:8">
      <c r="E3785" s="3"/>
      <c r="F3785" s="3"/>
      <c r="G3785" s="3"/>
      <c r="H3785" s="3"/>
    </row>
    <row r="3786" spans="5:8">
      <c r="E3786" s="3"/>
      <c r="F3786" s="3"/>
      <c r="G3786" s="3"/>
      <c r="H3786" s="3"/>
    </row>
    <row r="3787" spans="5:8">
      <c r="E3787" s="3"/>
      <c r="F3787" s="3"/>
      <c r="G3787" s="3"/>
      <c r="H3787" s="3"/>
    </row>
    <row r="3788" spans="5:8">
      <c r="E3788" s="3"/>
      <c r="F3788" s="3"/>
      <c r="G3788" s="3"/>
      <c r="H3788" s="3"/>
    </row>
    <row r="3789" spans="5:8">
      <c r="E3789" s="3"/>
      <c r="F3789" s="3"/>
      <c r="G3789" s="3"/>
      <c r="H3789" s="3"/>
    </row>
    <row r="3790" spans="5:8">
      <c r="E3790" s="3"/>
      <c r="F3790" s="3"/>
      <c r="G3790" s="3"/>
      <c r="H3790" s="3"/>
    </row>
    <row r="3791" spans="5:8">
      <c r="E3791" s="3"/>
      <c r="F3791" s="3"/>
      <c r="G3791" s="3"/>
      <c r="H3791" s="3"/>
    </row>
    <row r="3792" spans="5:8">
      <c r="E3792" s="3"/>
      <c r="F3792" s="3"/>
      <c r="G3792" s="3"/>
      <c r="H3792" s="3"/>
    </row>
    <row r="3793" spans="5:8">
      <c r="E3793" s="3"/>
      <c r="F3793" s="3"/>
      <c r="G3793" s="3"/>
      <c r="H3793" s="3"/>
    </row>
    <row r="3794" spans="5:8">
      <c r="E3794" s="3"/>
      <c r="F3794" s="3"/>
      <c r="G3794" s="3"/>
      <c r="H3794" s="3"/>
    </row>
    <row r="3795" spans="5:8">
      <c r="E3795" s="3"/>
      <c r="F3795" s="3"/>
      <c r="G3795" s="3"/>
      <c r="H3795" s="3"/>
    </row>
    <row r="3796" spans="5:8">
      <c r="E3796" s="3"/>
      <c r="F3796" s="3"/>
      <c r="G3796" s="3"/>
      <c r="H3796" s="3"/>
    </row>
    <row r="3797" spans="5:8">
      <c r="E3797" s="3"/>
      <c r="F3797" s="3"/>
      <c r="G3797" s="3"/>
      <c r="H3797" s="3"/>
    </row>
    <row r="3798" spans="5:8">
      <c r="E3798" s="3"/>
      <c r="F3798" s="3"/>
      <c r="G3798" s="3"/>
      <c r="H3798" s="3"/>
    </row>
    <row r="3799" spans="5:8">
      <c r="E3799" s="3"/>
      <c r="F3799" s="3"/>
      <c r="G3799" s="3"/>
      <c r="H3799" s="3"/>
    </row>
    <row r="3800" spans="5:8">
      <c r="E3800" s="3"/>
      <c r="F3800" s="3"/>
      <c r="G3800" s="3"/>
      <c r="H3800" s="3"/>
    </row>
    <row r="3801" spans="5:8">
      <c r="E3801" s="3"/>
      <c r="F3801" s="3"/>
      <c r="G3801" s="3"/>
      <c r="H3801" s="3"/>
    </row>
    <row r="3802" spans="5:8">
      <c r="E3802" s="3"/>
      <c r="F3802" s="3"/>
      <c r="G3802" s="3"/>
      <c r="H3802" s="3"/>
    </row>
    <row r="3803" spans="5:8">
      <c r="E3803" s="3"/>
      <c r="F3803" s="3"/>
      <c r="G3803" s="3"/>
      <c r="H3803" s="3"/>
    </row>
    <row r="3804" spans="5:8">
      <c r="E3804" s="3"/>
      <c r="F3804" s="3"/>
      <c r="G3804" s="3"/>
      <c r="H3804" s="3"/>
    </row>
    <row r="3805" spans="5:8">
      <c r="E3805" s="3"/>
      <c r="F3805" s="3"/>
      <c r="G3805" s="3"/>
      <c r="H3805" s="3"/>
    </row>
    <row r="3806" spans="5:8">
      <c r="E3806" s="3"/>
      <c r="F3806" s="3"/>
      <c r="G3806" s="3"/>
      <c r="H3806" s="3"/>
    </row>
    <row r="3807" spans="5:8">
      <c r="E3807" s="3"/>
      <c r="F3807" s="3"/>
      <c r="G3807" s="3"/>
      <c r="H3807" s="3"/>
    </row>
    <row r="3808" spans="5:8">
      <c r="E3808" s="3"/>
      <c r="F3808" s="3"/>
      <c r="G3808" s="3"/>
      <c r="H3808" s="3"/>
    </row>
    <row r="3809" spans="5:8">
      <c r="E3809" s="3"/>
      <c r="F3809" s="3"/>
      <c r="G3809" s="3"/>
      <c r="H3809" s="3"/>
    </row>
    <row r="3810" spans="5:8">
      <c r="E3810" s="3"/>
      <c r="F3810" s="3"/>
      <c r="G3810" s="3"/>
      <c r="H3810" s="3"/>
    </row>
    <row r="3811" spans="5:8">
      <c r="E3811" s="3"/>
      <c r="F3811" s="3"/>
      <c r="G3811" s="3"/>
      <c r="H3811" s="3"/>
    </row>
    <row r="3812" spans="5:8">
      <c r="E3812" s="3"/>
      <c r="F3812" s="3"/>
      <c r="G3812" s="3"/>
      <c r="H3812" s="3"/>
    </row>
    <row r="3813" spans="5:8">
      <c r="E3813" s="3"/>
      <c r="F3813" s="3"/>
      <c r="G3813" s="3"/>
      <c r="H3813" s="3"/>
    </row>
    <row r="3814" spans="5:8">
      <c r="E3814" s="3"/>
      <c r="F3814" s="3"/>
      <c r="G3814" s="3"/>
      <c r="H3814" s="3"/>
    </row>
    <row r="3815" spans="5:8">
      <c r="E3815" s="3"/>
      <c r="F3815" s="3"/>
      <c r="G3815" s="3"/>
      <c r="H3815" s="3"/>
    </row>
    <row r="3816" spans="5:8">
      <c r="E3816" s="3"/>
      <c r="F3816" s="3"/>
      <c r="G3816" s="3"/>
      <c r="H3816" s="3"/>
    </row>
    <row r="3817" spans="5:8">
      <c r="E3817" s="3"/>
      <c r="F3817" s="3"/>
      <c r="G3817" s="3"/>
      <c r="H3817" s="3"/>
    </row>
    <row r="3818" spans="5:8">
      <c r="E3818" s="3"/>
      <c r="F3818" s="3"/>
      <c r="G3818" s="3"/>
      <c r="H3818" s="3"/>
    </row>
    <row r="3819" spans="5:8">
      <c r="E3819" s="3"/>
      <c r="F3819" s="3"/>
      <c r="G3819" s="3"/>
      <c r="H3819" s="3"/>
    </row>
    <row r="3820" spans="5:8">
      <c r="E3820" s="3"/>
      <c r="F3820" s="3"/>
      <c r="G3820" s="3"/>
      <c r="H3820" s="3"/>
    </row>
    <row r="3821" spans="5:8">
      <c r="E3821" s="3"/>
      <c r="F3821" s="3"/>
      <c r="G3821" s="3"/>
      <c r="H3821" s="3"/>
    </row>
    <row r="3822" spans="5:8">
      <c r="E3822" s="3"/>
      <c r="F3822" s="3"/>
      <c r="G3822" s="3"/>
      <c r="H3822" s="3"/>
    </row>
    <row r="3823" spans="5:8">
      <c r="E3823" s="3"/>
      <c r="F3823" s="3"/>
      <c r="G3823" s="3"/>
      <c r="H3823" s="3"/>
    </row>
    <row r="3824" spans="5:8">
      <c r="E3824" s="3"/>
      <c r="F3824" s="3"/>
      <c r="G3824" s="3"/>
      <c r="H3824" s="3"/>
    </row>
    <row r="3825" spans="5:8">
      <c r="E3825" s="3"/>
      <c r="F3825" s="3"/>
      <c r="G3825" s="3"/>
      <c r="H3825" s="3"/>
    </row>
    <row r="3826" spans="5:8">
      <c r="E3826" s="3"/>
      <c r="F3826" s="3"/>
      <c r="G3826" s="3"/>
      <c r="H3826" s="3"/>
    </row>
    <row r="3827" spans="5:8">
      <c r="E3827" s="3"/>
      <c r="F3827" s="3"/>
      <c r="G3827" s="3"/>
      <c r="H3827" s="3"/>
    </row>
    <row r="3828" spans="5:8">
      <c r="E3828" s="3"/>
      <c r="F3828" s="3"/>
      <c r="G3828" s="3"/>
      <c r="H3828" s="3"/>
    </row>
    <row r="3829" spans="5:8">
      <c r="E3829" s="3"/>
      <c r="F3829" s="3"/>
      <c r="G3829" s="3"/>
      <c r="H3829" s="3"/>
    </row>
    <row r="3830" spans="5:8">
      <c r="E3830" s="3"/>
      <c r="F3830" s="3"/>
      <c r="G3830" s="3"/>
      <c r="H3830" s="3"/>
    </row>
    <row r="3831" spans="5:8">
      <c r="E3831" s="3"/>
      <c r="F3831" s="3"/>
      <c r="G3831" s="3"/>
      <c r="H3831" s="3"/>
    </row>
    <row r="3832" spans="5:8">
      <c r="E3832" s="3"/>
      <c r="F3832" s="3"/>
      <c r="G3832" s="3"/>
      <c r="H3832" s="3"/>
    </row>
    <row r="3833" spans="5:8">
      <c r="E3833" s="3"/>
      <c r="F3833" s="3"/>
      <c r="G3833" s="3"/>
      <c r="H3833" s="3"/>
    </row>
    <row r="3834" spans="5:8">
      <c r="E3834" s="3"/>
      <c r="F3834" s="3"/>
      <c r="G3834" s="3"/>
      <c r="H3834" s="3"/>
    </row>
    <row r="3835" spans="5:8">
      <c r="E3835" s="3"/>
      <c r="F3835" s="3"/>
      <c r="G3835" s="3"/>
      <c r="H3835" s="3"/>
    </row>
    <row r="3836" spans="5:8">
      <c r="E3836" s="3"/>
      <c r="F3836" s="3"/>
      <c r="G3836" s="3"/>
      <c r="H3836" s="3"/>
    </row>
    <row r="3837" spans="5:8">
      <c r="E3837" s="3"/>
      <c r="F3837" s="3"/>
      <c r="G3837" s="3"/>
      <c r="H3837" s="3"/>
    </row>
    <row r="3838" spans="5:8">
      <c r="E3838" s="3"/>
      <c r="F3838" s="3"/>
      <c r="G3838" s="3"/>
      <c r="H3838" s="3"/>
    </row>
    <row r="3839" spans="5:8">
      <c r="E3839" s="3"/>
      <c r="F3839" s="3"/>
      <c r="G3839" s="3"/>
      <c r="H3839" s="3"/>
    </row>
    <row r="3840" spans="5:8">
      <c r="E3840" s="3"/>
      <c r="F3840" s="3"/>
      <c r="G3840" s="3"/>
      <c r="H3840" s="3"/>
    </row>
    <row r="3841" spans="5:8">
      <c r="E3841" s="3"/>
      <c r="F3841" s="3"/>
      <c r="G3841" s="3"/>
      <c r="H3841" s="3"/>
    </row>
    <row r="3842" spans="5:8">
      <c r="E3842" s="3"/>
      <c r="F3842" s="3"/>
      <c r="G3842" s="3"/>
      <c r="H3842" s="3"/>
    </row>
    <row r="3843" spans="5:8">
      <c r="E3843" s="3"/>
      <c r="F3843" s="3"/>
      <c r="G3843" s="3"/>
      <c r="H3843" s="3"/>
    </row>
    <row r="3844" spans="5:8">
      <c r="E3844" s="3"/>
      <c r="F3844" s="3"/>
      <c r="G3844" s="3"/>
      <c r="H3844" s="3"/>
    </row>
    <row r="3845" spans="5:8">
      <c r="E3845" s="3"/>
      <c r="F3845" s="3"/>
      <c r="G3845" s="3"/>
      <c r="H3845" s="3"/>
    </row>
    <row r="3846" spans="5:8">
      <c r="E3846" s="3"/>
      <c r="F3846" s="3"/>
      <c r="G3846" s="3"/>
      <c r="H3846" s="3"/>
    </row>
    <row r="3847" spans="5:8">
      <c r="E3847" s="3"/>
      <c r="F3847" s="3"/>
      <c r="G3847" s="3"/>
      <c r="H3847" s="3"/>
    </row>
    <row r="3848" spans="5:8">
      <c r="E3848" s="3"/>
      <c r="F3848" s="3"/>
      <c r="G3848" s="3"/>
      <c r="H3848" s="3"/>
    </row>
    <row r="3849" spans="5:8">
      <c r="E3849" s="3"/>
      <c r="F3849" s="3"/>
      <c r="G3849" s="3"/>
      <c r="H3849" s="3"/>
    </row>
    <row r="3850" spans="5:8">
      <c r="E3850" s="3"/>
      <c r="F3850" s="3"/>
      <c r="G3850" s="3"/>
      <c r="H3850" s="3"/>
    </row>
    <row r="3851" spans="5:8">
      <c r="E3851" s="3"/>
      <c r="F3851" s="3"/>
      <c r="G3851" s="3"/>
      <c r="H3851" s="3"/>
    </row>
    <row r="3852" spans="5:8">
      <c r="E3852" s="3"/>
      <c r="F3852" s="3"/>
      <c r="G3852" s="3"/>
      <c r="H3852" s="3"/>
    </row>
    <row r="3853" spans="5:8">
      <c r="E3853" s="3"/>
      <c r="F3853" s="3"/>
      <c r="G3853" s="3"/>
      <c r="H3853" s="3"/>
    </row>
    <row r="3854" spans="5:8">
      <c r="E3854" s="3"/>
      <c r="F3854" s="3"/>
      <c r="G3854" s="3"/>
      <c r="H3854" s="3"/>
    </row>
    <row r="3855" spans="5:8">
      <c r="E3855" s="3"/>
      <c r="F3855" s="3"/>
      <c r="G3855" s="3"/>
      <c r="H3855" s="3"/>
    </row>
    <row r="3856" spans="5:8">
      <c r="E3856" s="3"/>
      <c r="F3856" s="3"/>
      <c r="G3856" s="3"/>
      <c r="H3856" s="3"/>
    </row>
    <row r="3857" spans="5:8">
      <c r="E3857" s="3"/>
      <c r="F3857" s="3"/>
      <c r="G3857" s="3"/>
      <c r="H3857" s="3"/>
    </row>
    <row r="3858" spans="5:8">
      <c r="E3858" s="3"/>
      <c r="F3858" s="3"/>
      <c r="G3858" s="3"/>
      <c r="H3858" s="3"/>
    </row>
    <row r="3859" spans="5:8">
      <c r="E3859" s="3"/>
      <c r="F3859" s="3"/>
      <c r="G3859" s="3"/>
      <c r="H3859" s="3"/>
    </row>
    <row r="3860" spans="5:8">
      <c r="E3860" s="3"/>
      <c r="F3860" s="3"/>
      <c r="G3860" s="3"/>
      <c r="H3860" s="3"/>
    </row>
    <row r="3861" spans="5:8">
      <c r="E3861" s="3"/>
      <c r="F3861" s="3"/>
      <c r="G3861" s="3"/>
      <c r="H3861" s="3"/>
    </row>
    <row r="3862" spans="5:8">
      <c r="E3862" s="3"/>
      <c r="F3862" s="3"/>
      <c r="G3862" s="3"/>
      <c r="H3862" s="3"/>
    </row>
    <row r="3863" spans="5:8">
      <c r="E3863" s="3"/>
      <c r="F3863" s="3"/>
      <c r="G3863" s="3"/>
      <c r="H3863" s="3"/>
    </row>
    <row r="3864" spans="5:8">
      <c r="E3864" s="3"/>
      <c r="F3864" s="3"/>
      <c r="G3864" s="3"/>
      <c r="H3864" s="3"/>
    </row>
    <row r="3865" spans="5:8">
      <c r="E3865" s="3"/>
      <c r="F3865" s="3"/>
      <c r="G3865" s="3"/>
      <c r="H3865" s="3"/>
    </row>
    <row r="3866" spans="5:8">
      <c r="E3866" s="3"/>
      <c r="F3866" s="3"/>
      <c r="G3866" s="3"/>
      <c r="H3866" s="3"/>
    </row>
    <row r="3867" spans="5:8">
      <c r="E3867" s="3"/>
      <c r="F3867" s="3"/>
      <c r="G3867" s="3"/>
      <c r="H3867" s="3"/>
    </row>
    <row r="3868" spans="5:8">
      <c r="E3868" s="3"/>
      <c r="F3868" s="3"/>
      <c r="G3868" s="3"/>
      <c r="H3868" s="3"/>
    </row>
    <row r="3869" spans="5:8">
      <c r="E3869" s="3"/>
      <c r="F3869" s="3"/>
      <c r="G3869" s="3"/>
      <c r="H3869" s="3"/>
    </row>
    <row r="3870" spans="5:8">
      <c r="E3870" s="3"/>
      <c r="F3870" s="3"/>
      <c r="G3870" s="3"/>
      <c r="H3870" s="3"/>
    </row>
    <row r="3871" spans="5:8">
      <c r="E3871" s="3"/>
      <c r="F3871" s="3"/>
      <c r="G3871" s="3"/>
      <c r="H3871" s="3"/>
    </row>
    <row r="3872" spans="5:8">
      <c r="E3872" s="3"/>
      <c r="F3872" s="3"/>
      <c r="G3872" s="3"/>
      <c r="H3872" s="3"/>
    </row>
    <row r="3873" spans="5:8">
      <c r="E3873" s="3"/>
      <c r="F3873" s="3"/>
      <c r="G3873" s="3"/>
      <c r="H3873" s="3"/>
    </row>
    <row r="3874" spans="5:8">
      <c r="E3874" s="3"/>
      <c r="F3874" s="3"/>
      <c r="G3874" s="3"/>
      <c r="H3874" s="3"/>
    </row>
    <row r="3875" spans="5:8">
      <c r="E3875" s="3"/>
      <c r="F3875" s="3"/>
      <c r="G3875" s="3"/>
      <c r="H3875" s="3"/>
    </row>
    <row r="3876" spans="5:8">
      <c r="E3876" s="3"/>
      <c r="F3876" s="3"/>
      <c r="G3876" s="3"/>
      <c r="H3876" s="3"/>
    </row>
    <row r="3877" spans="5:8">
      <c r="E3877" s="3"/>
      <c r="F3877" s="3"/>
      <c r="G3877" s="3"/>
      <c r="H3877" s="3"/>
    </row>
    <row r="3878" spans="5:8">
      <c r="E3878" s="3"/>
      <c r="F3878" s="3"/>
      <c r="G3878" s="3"/>
      <c r="H3878" s="3"/>
    </row>
    <row r="3879" spans="5:8">
      <c r="E3879" s="3"/>
      <c r="F3879" s="3"/>
      <c r="G3879" s="3"/>
      <c r="H3879" s="3"/>
    </row>
    <row r="3880" spans="5:8">
      <c r="E3880" s="3"/>
      <c r="F3880" s="3"/>
      <c r="G3880" s="3"/>
      <c r="H3880" s="3"/>
    </row>
    <row r="3881" spans="5:8">
      <c r="E3881" s="3"/>
      <c r="F3881" s="3"/>
      <c r="G3881" s="3"/>
      <c r="H3881" s="3"/>
    </row>
    <row r="3882" spans="5:8">
      <c r="E3882" s="3"/>
      <c r="F3882" s="3"/>
      <c r="G3882" s="3"/>
      <c r="H3882" s="3"/>
    </row>
    <row r="3883" spans="5:8">
      <c r="E3883" s="3"/>
      <c r="F3883" s="3"/>
      <c r="G3883" s="3"/>
      <c r="H3883" s="3"/>
    </row>
    <row r="3884" spans="5:8">
      <c r="E3884" s="3"/>
      <c r="F3884" s="3"/>
      <c r="G3884" s="3"/>
      <c r="H3884" s="3"/>
    </row>
    <row r="3885" spans="5:8">
      <c r="E3885" s="3"/>
      <c r="F3885" s="3"/>
      <c r="G3885" s="3"/>
      <c r="H3885" s="3"/>
    </row>
    <row r="3886" spans="5:8">
      <c r="E3886" s="3"/>
      <c r="F3886" s="3"/>
      <c r="G3886" s="3"/>
      <c r="H3886" s="3"/>
    </row>
    <row r="3887" spans="5:8">
      <c r="E3887" s="3"/>
      <c r="F3887" s="3"/>
      <c r="G3887" s="3"/>
      <c r="H3887" s="3"/>
    </row>
    <row r="3888" spans="5:8">
      <c r="E3888" s="3"/>
      <c r="F3888" s="3"/>
      <c r="G3888" s="3"/>
      <c r="H3888" s="3"/>
    </row>
    <row r="3889" spans="5:8">
      <c r="E3889" s="3"/>
      <c r="F3889" s="3"/>
      <c r="G3889" s="3"/>
      <c r="H3889" s="3"/>
    </row>
    <row r="3890" spans="5:8">
      <c r="E3890" s="3"/>
      <c r="F3890" s="3"/>
      <c r="G3890" s="3"/>
      <c r="H3890" s="3"/>
    </row>
    <row r="3891" spans="5:8">
      <c r="E3891" s="3"/>
      <c r="F3891" s="3"/>
      <c r="G3891" s="3"/>
      <c r="H3891" s="3"/>
    </row>
    <row r="3892" spans="5:8">
      <c r="E3892" s="3"/>
      <c r="F3892" s="3"/>
      <c r="G3892" s="3"/>
      <c r="H3892" s="3"/>
    </row>
    <row r="3893" spans="5:8">
      <c r="E3893" s="3"/>
      <c r="F3893" s="3"/>
      <c r="G3893" s="3"/>
      <c r="H3893" s="3"/>
    </row>
    <row r="3894" spans="5:8">
      <c r="E3894" s="3"/>
      <c r="F3894" s="3"/>
      <c r="G3894" s="3"/>
      <c r="H3894" s="3"/>
    </row>
    <row r="3895" spans="5:8">
      <c r="E3895" s="3"/>
      <c r="F3895" s="3"/>
      <c r="G3895" s="3"/>
      <c r="H3895" s="3"/>
    </row>
    <row r="3896" spans="5:8">
      <c r="E3896" s="3"/>
      <c r="F3896" s="3"/>
      <c r="G3896" s="3"/>
      <c r="H3896" s="3"/>
    </row>
    <row r="3897" spans="5:8">
      <c r="E3897" s="3"/>
      <c r="F3897" s="3"/>
      <c r="G3897" s="3"/>
      <c r="H3897" s="3"/>
    </row>
    <row r="3898" spans="5:8">
      <c r="E3898" s="3"/>
      <c r="F3898" s="3"/>
      <c r="G3898" s="3"/>
      <c r="H3898" s="3"/>
    </row>
    <row r="3899" spans="5:8">
      <c r="E3899" s="3"/>
      <c r="F3899" s="3"/>
      <c r="G3899" s="3"/>
      <c r="H3899" s="3"/>
    </row>
    <row r="3900" spans="5:8">
      <c r="E3900" s="3"/>
      <c r="F3900" s="3"/>
      <c r="G3900" s="3"/>
      <c r="H3900" s="3"/>
    </row>
    <row r="3901" spans="5:8">
      <c r="E3901" s="3"/>
      <c r="F3901" s="3"/>
      <c r="G3901" s="3"/>
      <c r="H3901" s="3"/>
    </row>
    <row r="3902" spans="5:8">
      <c r="E3902" s="3"/>
      <c r="F3902" s="3"/>
      <c r="G3902" s="3"/>
      <c r="H3902" s="3"/>
    </row>
    <row r="3903" spans="5:8">
      <c r="E3903" s="3"/>
      <c r="F3903" s="3"/>
      <c r="G3903" s="3"/>
      <c r="H3903" s="3"/>
    </row>
    <row r="3904" spans="5:8">
      <c r="E3904" s="3"/>
      <c r="F3904" s="3"/>
      <c r="G3904" s="3"/>
      <c r="H3904" s="3"/>
    </row>
    <row r="3905" spans="5:8">
      <c r="E3905" s="3"/>
      <c r="F3905" s="3"/>
      <c r="G3905" s="3"/>
      <c r="H3905" s="3"/>
    </row>
    <row r="3906" spans="5:8">
      <c r="E3906" s="3"/>
      <c r="F3906" s="3"/>
      <c r="G3906" s="3"/>
      <c r="H3906" s="3"/>
    </row>
    <row r="3907" spans="5:8">
      <c r="E3907" s="3"/>
      <c r="F3907" s="3"/>
      <c r="G3907" s="3"/>
      <c r="H3907" s="3"/>
    </row>
    <row r="3908" spans="5:8">
      <c r="E3908" s="3"/>
      <c r="F3908" s="3"/>
      <c r="G3908" s="3"/>
      <c r="H3908" s="3"/>
    </row>
    <row r="3909" spans="5:8">
      <c r="E3909" s="3"/>
      <c r="F3909" s="3"/>
      <c r="G3909" s="3"/>
      <c r="H3909" s="3"/>
    </row>
    <row r="3910" spans="5:8">
      <c r="E3910" s="3"/>
      <c r="F3910" s="3"/>
      <c r="G3910" s="3"/>
      <c r="H3910" s="3"/>
    </row>
    <row r="3911" spans="5:8">
      <c r="E3911" s="3"/>
      <c r="F3911" s="3"/>
      <c r="G3911" s="3"/>
      <c r="H3911" s="3"/>
    </row>
    <row r="3912" spans="5:8">
      <c r="E3912" s="3"/>
      <c r="F3912" s="3"/>
      <c r="G3912" s="3"/>
      <c r="H3912" s="3"/>
    </row>
    <row r="3913" spans="5:8">
      <c r="E3913" s="3"/>
      <c r="F3913" s="3"/>
      <c r="G3913" s="3"/>
      <c r="H3913" s="3"/>
    </row>
    <row r="3914" spans="5:8">
      <c r="E3914" s="3"/>
      <c r="F3914" s="3"/>
      <c r="G3914" s="3"/>
      <c r="H3914" s="3"/>
    </row>
    <row r="3915" spans="5:8">
      <c r="E3915" s="3"/>
      <c r="F3915" s="3"/>
      <c r="G3915" s="3"/>
      <c r="H3915" s="3"/>
    </row>
    <row r="3916" spans="5:8">
      <c r="E3916" s="3"/>
      <c r="F3916" s="3"/>
      <c r="G3916" s="3"/>
      <c r="H3916" s="3"/>
    </row>
    <row r="3917" spans="5:8">
      <c r="E3917" s="3"/>
      <c r="F3917" s="3"/>
      <c r="G3917" s="3"/>
      <c r="H3917" s="3"/>
    </row>
    <row r="3918" spans="5:8">
      <c r="E3918" s="3"/>
      <c r="F3918" s="3"/>
      <c r="G3918" s="3"/>
      <c r="H3918" s="3"/>
    </row>
    <row r="3919" spans="5:8">
      <c r="E3919" s="3"/>
      <c r="F3919" s="3"/>
      <c r="G3919" s="3"/>
      <c r="H3919" s="3"/>
    </row>
    <row r="3920" spans="5:8">
      <c r="E3920" s="3"/>
      <c r="F3920" s="3"/>
      <c r="G3920" s="3"/>
      <c r="H3920" s="3"/>
    </row>
    <row r="3921" spans="5:8">
      <c r="E3921" s="3"/>
      <c r="F3921" s="3"/>
      <c r="G3921" s="3"/>
      <c r="H3921" s="3"/>
    </row>
    <row r="3922" spans="5:8">
      <c r="E3922" s="3"/>
      <c r="F3922" s="3"/>
      <c r="G3922" s="3"/>
      <c r="H3922" s="3"/>
    </row>
    <row r="3923" spans="5:8">
      <c r="E3923" s="3"/>
      <c r="F3923" s="3"/>
      <c r="G3923" s="3"/>
      <c r="H3923" s="3"/>
    </row>
    <row r="3924" spans="5:8">
      <c r="E3924" s="3"/>
      <c r="F3924" s="3"/>
      <c r="G3924" s="3"/>
      <c r="H3924" s="3"/>
    </row>
    <row r="3925" spans="5:8">
      <c r="E3925" s="3"/>
      <c r="F3925" s="3"/>
      <c r="G3925" s="3"/>
      <c r="H3925" s="3"/>
    </row>
    <row r="3926" spans="5:8">
      <c r="E3926" s="3"/>
      <c r="F3926" s="3"/>
      <c r="G3926" s="3"/>
      <c r="H3926" s="3"/>
    </row>
    <row r="3927" spans="5:8">
      <c r="E3927" s="3"/>
      <c r="F3927" s="3"/>
      <c r="G3927" s="3"/>
      <c r="H3927" s="3"/>
    </row>
    <row r="3928" spans="5:8">
      <c r="E3928" s="3"/>
      <c r="F3928" s="3"/>
      <c r="G3928" s="3"/>
      <c r="H3928" s="3"/>
    </row>
    <row r="3929" spans="5:8">
      <c r="E3929" s="3"/>
      <c r="F3929" s="3"/>
      <c r="G3929" s="3"/>
      <c r="H3929" s="3"/>
    </row>
    <row r="3930" spans="5:8">
      <c r="E3930" s="3"/>
      <c r="F3930" s="3"/>
      <c r="G3930" s="3"/>
      <c r="H3930" s="3"/>
    </row>
    <row r="3931" spans="5:8">
      <c r="E3931" s="3"/>
      <c r="F3931" s="3"/>
      <c r="G3931" s="3"/>
      <c r="H3931" s="3"/>
    </row>
    <row r="3932" spans="5:8">
      <c r="E3932" s="3"/>
      <c r="F3932" s="3"/>
      <c r="G3932" s="3"/>
      <c r="H3932" s="3"/>
    </row>
    <row r="3933" spans="5:8">
      <c r="E3933" s="3"/>
      <c r="F3933" s="3"/>
      <c r="G3933" s="3"/>
      <c r="H3933" s="3"/>
    </row>
    <row r="3934" spans="5:8">
      <c r="E3934" s="3"/>
      <c r="F3934" s="3"/>
      <c r="G3934" s="3"/>
      <c r="H3934" s="3"/>
    </row>
    <row r="3935" spans="5:8">
      <c r="E3935" s="3"/>
      <c r="F3935" s="3"/>
      <c r="G3935" s="3"/>
      <c r="H3935" s="3"/>
    </row>
    <row r="3936" spans="5:8">
      <c r="E3936" s="3"/>
      <c r="F3936" s="3"/>
      <c r="G3936" s="3"/>
      <c r="H3936" s="3"/>
    </row>
    <row r="3937" spans="5:8">
      <c r="E3937" s="3"/>
      <c r="F3937" s="3"/>
      <c r="G3937" s="3"/>
      <c r="H3937" s="3"/>
    </row>
    <row r="3938" spans="5:8">
      <c r="E3938" s="3"/>
      <c r="F3938" s="3"/>
      <c r="G3938" s="3"/>
      <c r="H3938" s="3"/>
    </row>
    <row r="3939" spans="5:8">
      <c r="E3939" s="3"/>
      <c r="F3939" s="3"/>
      <c r="G3939" s="3"/>
      <c r="H3939" s="3"/>
    </row>
    <row r="3940" spans="5:8">
      <c r="E3940" s="3"/>
      <c r="F3940" s="3"/>
      <c r="G3940" s="3"/>
      <c r="H3940" s="3"/>
    </row>
    <row r="3941" spans="5:8">
      <c r="E3941" s="3"/>
      <c r="F3941" s="3"/>
      <c r="G3941" s="3"/>
      <c r="H3941" s="3"/>
    </row>
    <row r="3942" spans="5:8">
      <c r="E3942" s="3"/>
      <c r="F3942" s="3"/>
      <c r="G3942" s="3"/>
      <c r="H3942" s="3"/>
    </row>
    <row r="3943" spans="5:8">
      <c r="E3943" s="3"/>
      <c r="F3943" s="3"/>
      <c r="G3943" s="3"/>
      <c r="H3943" s="3"/>
    </row>
    <row r="3944" spans="5:8">
      <c r="E3944" s="3"/>
      <c r="F3944" s="3"/>
      <c r="G3944" s="3"/>
      <c r="H3944" s="3"/>
    </row>
    <row r="3945" spans="5:8">
      <c r="E3945" s="3"/>
      <c r="F3945" s="3"/>
      <c r="G3945" s="3"/>
      <c r="H3945" s="3"/>
    </row>
    <row r="3946" spans="5:8">
      <c r="E3946" s="3"/>
      <c r="F3946" s="3"/>
      <c r="G3946" s="3"/>
      <c r="H3946" s="3"/>
    </row>
    <row r="3947" spans="5:8">
      <c r="E3947" s="3"/>
      <c r="F3947" s="3"/>
      <c r="G3947" s="3"/>
      <c r="H3947" s="3"/>
    </row>
    <row r="3948" spans="5:8">
      <c r="E3948" s="3"/>
      <c r="F3948" s="3"/>
      <c r="G3948" s="3"/>
      <c r="H3948" s="3"/>
    </row>
    <row r="3949" spans="5:8">
      <c r="E3949" s="3"/>
      <c r="F3949" s="3"/>
      <c r="G3949" s="3"/>
      <c r="H3949" s="3"/>
    </row>
    <row r="3950" spans="5:8">
      <c r="E3950" s="3"/>
      <c r="F3950" s="3"/>
      <c r="G3950" s="3"/>
      <c r="H3950" s="3"/>
    </row>
    <row r="3951" spans="5:8">
      <c r="E3951" s="3"/>
      <c r="F3951" s="3"/>
      <c r="G3951" s="3"/>
      <c r="H3951" s="3"/>
    </row>
    <row r="3952" spans="5:8">
      <c r="E3952" s="3"/>
      <c r="F3952" s="3"/>
      <c r="G3952" s="3"/>
      <c r="H3952" s="3"/>
    </row>
    <row r="3953" spans="5:8">
      <c r="E3953" s="3"/>
      <c r="F3953" s="3"/>
      <c r="G3953" s="3"/>
      <c r="H3953" s="3"/>
    </row>
    <row r="3954" spans="5:8">
      <c r="E3954" s="3"/>
      <c r="F3954" s="3"/>
      <c r="G3954" s="3"/>
      <c r="H3954" s="3"/>
    </row>
    <row r="3955" spans="5:8">
      <c r="E3955" s="3"/>
      <c r="F3955" s="3"/>
      <c r="G3955" s="3"/>
      <c r="H3955" s="3"/>
    </row>
    <row r="3956" spans="5:8">
      <c r="E3956" s="3"/>
      <c r="F3956" s="3"/>
      <c r="G3956" s="3"/>
      <c r="H3956" s="3"/>
    </row>
    <row r="3957" spans="5:8">
      <c r="E3957" s="3"/>
      <c r="F3957" s="3"/>
      <c r="G3957" s="3"/>
      <c r="H3957" s="3"/>
    </row>
    <row r="3958" spans="5:8">
      <c r="E3958" s="3"/>
      <c r="F3958" s="3"/>
      <c r="G3958" s="3"/>
      <c r="H3958" s="3"/>
    </row>
    <row r="3959" spans="5:8">
      <c r="E3959" s="3"/>
      <c r="F3959" s="3"/>
      <c r="G3959" s="3"/>
      <c r="H3959" s="3"/>
    </row>
    <row r="3960" spans="5:8">
      <c r="E3960" s="3"/>
      <c r="F3960" s="3"/>
      <c r="G3960" s="3"/>
      <c r="H3960" s="3"/>
    </row>
    <row r="3961" spans="5:8">
      <c r="E3961" s="3"/>
      <c r="F3961" s="3"/>
      <c r="G3961" s="3"/>
      <c r="H3961" s="3"/>
    </row>
    <row r="3962" spans="5:8">
      <c r="E3962" s="3"/>
      <c r="F3962" s="3"/>
      <c r="G3962" s="3"/>
      <c r="H3962" s="3"/>
    </row>
    <row r="3963" spans="5:8">
      <c r="E3963" s="3"/>
      <c r="F3963" s="3"/>
      <c r="G3963" s="3"/>
      <c r="H3963" s="3"/>
    </row>
    <row r="3964" spans="5:8">
      <c r="E3964" s="3"/>
      <c r="F3964" s="3"/>
      <c r="G3964" s="3"/>
      <c r="H3964" s="3"/>
    </row>
    <row r="3965" spans="5:8">
      <c r="E3965" s="3"/>
      <c r="F3965" s="3"/>
      <c r="G3965" s="3"/>
      <c r="H3965" s="3"/>
    </row>
    <row r="3966" spans="5:8">
      <c r="E3966" s="3"/>
      <c r="F3966" s="3"/>
      <c r="G3966" s="3"/>
      <c r="H3966" s="3"/>
    </row>
    <row r="3967" spans="5:8">
      <c r="E3967" s="3"/>
      <c r="F3967" s="3"/>
      <c r="G3967" s="3"/>
      <c r="H3967" s="3"/>
    </row>
    <row r="3968" spans="5:8">
      <c r="E3968" s="3"/>
      <c r="F3968" s="3"/>
      <c r="G3968" s="3"/>
      <c r="H3968" s="3"/>
    </row>
    <row r="3969" spans="5:8">
      <c r="E3969" s="3"/>
      <c r="F3969" s="3"/>
      <c r="G3969" s="3"/>
      <c r="H3969" s="3"/>
    </row>
    <row r="3970" spans="5:8">
      <c r="E3970" s="3"/>
      <c r="F3970" s="3"/>
      <c r="G3970" s="3"/>
      <c r="H3970" s="3"/>
    </row>
    <row r="3971" spans="5:8">
      <c r="E3971" s="3"/>
      <c r="F3971" s="3"/>
      <c r="G3971" s="3"/>
      <c r="H3971" s="3"/>
    </row>
    <row r="3972" spans="5:8">
      <c r="E3972" s="3"/>
      <c r="F3972" s="3"/>
      <c r="G3972" s="3"/>
      <c r="H3972" s="3"/>
    </row>
    <row r="3973" spans="5:8">
      <c r="E3973" s="3"/>
      <c r="F3973" s="3"/>
      <c r="G3973" s="3"/>
      <c r="H3973" s="3"/>
    </row>
    <row r="3974" spans="5:8">
      <c r="E3974" s="3"/>
      <c r="F3974" s="3"/>
      <c r="G3974" s="3"/>
      <c r="H3974" s="3"/>
    </row>
    <row r="3975" spans="5:8">
      <c r="E3975" s="3"/>
      <c r="F3975" s="3"/>
      <c r="G3975" s="3"/>
      <c r="H3975" s="3"/>
    </row>
    <row r="3976" spans="5:8">
      <c r="E3976" s="3"/>
      <c r="F3976" s="3"/>
      <c r="G3976" s="3"/>
      <c r="H3976" s="3"/>
    </row>
    <row r="3977" spans="5:8">
      <c r="E3977" s="3"/>
      <c r="F3977" s="3"/>
      <c r="G3977" s="3"/>
      <c r="H3977" s="3"/>
    </row>
    <row r="3978" spans="5:8">
      <c r="E3978" s="3"/>
      <c r="F3978" s="3"/>
      <c r="G3978" s="3"/>
      <c r="H3978" s="3"/>
    </row>
    <row r="3979" spans="5:8">
      <c r="E3979" s="3"/>
      <c r="F3979" s="3"/>
      <c r="G3979" s="3"/>
      <c r="H3979" s="3"/>
    </row>
    <row r="3980" spans="5:8">
      <c r="E3980" s="3"/>
      <c r="F3980" s="3"/>
      <c r="G3980" s="3"/>
      <c r="H3980" s="3"/>
    </row>
    <row r="3981" spans="5:8">
      <c r="E3981" s="3"/>
      <c r="F3981" s="3"/>
      <c r="G3981" s="3"/>
      <c r="H3981" s="3"/>
    </row>
    <row r="3982" spans="5:8">
      <c r="E3982" s="3"/>
      <c r="F3982" s="3"/>
      <c r="G3982" s="3"/>
      <c r="H3982" s="3"/>
    </row>
    <row r="3983" spans="5:8">
      <c r="E3983" s="3"/>
      <c r="F3983" s="3"/>
      <c r="G3983" s="3"/>
      <c r="H3983" s="3"/>
    </row>
    <row r="3984" spans="5:8">
      <c r="E3984" s="3"/>
      <c r="F3984" s="3"/>
      <c r="G3984" s="3"/>
      <c r="H3984" s="3"/>
    </row>
    <row r="3985" spans="5:8">
      <c r="E3985" s="3"/>
      <c r="F3985" s="3"/>
      <c r="G3985" s="3"/>
      <c r="H3985" s="3"/>
    </row>
    <row r="3986" spans="5:8">
      <c r="E3986" s="3"/>
      <c r="F3986" s="3"/>
      <c r="G3986" s="3"/>
      <c r="H3986" s="3"/>
    </row>
    <row r="3987" spans="5:8">
      <c r="E3987" s="3"/>
      <c r="F3987" s="3"/>
      <c r="G3987" s="3"/>
      <c r="H3987" s="3"/>
    </row>
    <row r="3988" spans="5:8">
      <c r="E3988" s="3"/>
      <c r="F3988" s="3"/>
      <c r="G3988" s="3"/>
      <c r="H3988" s="3"/>
    </row>
    <row r="3989" spans="5:8">
      <c r="E3989" s="3"/>
      <c r="F3989" s="3"/>
      <c r="G3989" s="3"/>
      <c r="H3989" s="3"/>
    </row>
    <row r="3990" spans="5:8">
      <c r="E3990" s="3"/>
      <c r="F3990" s="3"/>
      <c r="G3990" s="3"/>
      <c r="H3990" s="3"/>
    </row>
    <row r="3991" spans="5:8">
      <c r="E3991" s="3"/>
      <c r="F3991" s="3"/>
      <c r="G3991" s="3"/>
      <c r="H3991" s="3"/>
    </row>
    <row r="3992" spans="5:8">
      <c r="E3992" s="3"/>
      <c r="F3992" s="3"/>
      <c r="G3992" s="3"/>
      <c r="H3992" s="3"/>
    </row>
    <row r="3993" spans="5:8">
      <c r="E3993" s="3"/>
      <c r="F3993" s="3"/>
      <c r="G3993" s="3"/>
      <c r="H3993" s="3"/>
    </row>
    <row r="3994" spans="5:8">
      <c r="E3994" s="3"/>
      <c r="F3994" s="3"/>
      <c r="G3994" s="3"/>
      <c r="H3994" s="3"/>
    </row>
    <row r="3995" spans="5:8">
      <c r="E3995" s="3"/>
      <c r="F3995" s="3"/>
      <c r="G3995" s="3"/>
      <c r="H3995" s="3"/>
    </row>
    <row r="3996" spans="5:8">
      <c r="E3996" s="3"/>
      <c r="F3996" s="3"/>
      <c r="G3996" s="3"/>
      <c r="H3996" s="3"/>
    </row>
    <row r="3997" spans="5:8">
      <c r="E3997" s="3"/>
      <c r="F3997" s="3"/>
      <c r="G3997" s="3"/>
      <c r="H3997" s="3"/>
    </row>
    <row r="3998" spans="5:8">
      <c r="E3998" s="3"/>
      <c r="F3998" s="3"/>
      <c r="G3998" s="3"/>
      <c r="H3998" s="3"/>
    </row>
    <row r="3999" spans="5:8">
      <c r="E3999" s="3"/>
      <c r="F3999" s="3"/>
      <c r="G3999" s="3"/>
      <c r="H3999" s="3"/>
    </row>
    <row r="4000" spans="5:8">
      <c r="E4000" s="3"/>
      <c r="F4000" s="3"/>
      <c r="G4000" s="3"/>
      <c r="H4000" s="3"/>
    </row>
    <row r="4001" spans="5:8">
      <c r="E4001" s="3"/>
      <c r="F4001" s="3"/>
      <c r="G4001" s="3"/>
      <c r="H4001" s="3"/>
    </row>
    <row r="4002" spans="5:8">
      <c r="E4002" s="3"/>
      <c r="F4002" s="3"/>
      <c r="G4002" s="3"/>
      <c r="H4002" s="3"/>
    </row>
    <row r="4003" spans="5:8">
      <c r="E4003" s="3"/>
      <c r="F4003" s="3"/>
      <c r="G4003" s="3"/>
      <c r="H4003" s="3"/>
    </row>
    <row r="4004" spans="5:8">
      <c r="E4004" s="3"/>
      <c r="F4004" s="3"/>
      <c r="G4004" s="3"/>
      <c r="H4004" s="3"/>
    </row>
    <row r="4005" spans="5:8">
      <c r="E4005" s="3"/>
      <c r="F4005" s="3"/>
      <c r="G4005" s="3"/>
      <c r="H4005" s="3"/>
    </row>
    <row r="4006" spans="5:8">
      <c r="E4006" s="3"/>
      <c r="F4006" s="3"/>
      <c r="G4006" s="3"/>
      <c r="H4006" s="3"/>
    </row>
    <row r="4007" spans="5:8">
      <c r="E4007" s="3"/>
      <c r="F4007" s="3"/>
      <c r="G4007" s="3"/>
      <c r="H4007" s="3"/>
    </row>
    <row r="4008" spans="5:8">
      <c r="E4008" s="3"/>
      <c r="F4008" s="3"/>
      <c r="G4008" s="3"/>
      <c r="H4008" s="3"/>
    </row>
    <row r="4009" spans="5:8">
      <c r="E4009" s="3"/>
      <c r="F4009" s="3"/>
      <c r="G4009" s="3"/>
      <c r="H4009" s="3"/>
    </row>
    <row r="4010" spans="5:8">
      <c r="E4010" s="3"/>
      <c r="F4010" s="3"/>
      <c r="G4010" s="3"/>
      <c r="H4010" s="3"/>
    </row>
    <row r="4011" spans="5:8">
      <c r="E4011" s="3"/>
      <c r="F4011" s="3"/>
      <c r="G4011" s="3"/>
      <c r="H4011" s="3"/>
    </row>
    <row r="4012" spans="5:8">
      <c r="E4012" s="3"/>
      <c r="F4012" s="3"/>
      <c r="G4012" s="3"/>
      <c r="H4012" s="3"/>
    </row>
    <row r="4013" spans="5:8">
      <c r="E4013" s="3"/>
      <c r="F4013" s="3"/>
      <c r="G4013" s="3"/>
      <c r="H4013" s="3"/>
    </row>
    <row r="4014" spans="5:8">
      <c r="E4014" s="3"/>
      <c r="F4014" s="3"/>
      <c r="G4014" s="3"/>
      <c r="H4014" s="3"/>
    </row>
    <row r="4015" spans="5:8">
      <c r="E4015" s="3"/>
      <c r="F4015" s="3"/>
      <c r="G4015" s="3"/>
      <c r="H4015" s="3"/>
    </row>
    <row r="4016" spans="5:8">
      <c r="E4016" s="3"/>
      <c r="F4016" s="3"/>
      <c r="G4016" s="3"/>
      <c r="H4016" s="3"/>
    </row>
    <row r="4017" spans="5:8">
      <c r="E4017" s="3"/>
      <c r="F4017" s="3"/>
      <c r="G4017" s="3"/>
      <c r="H4017" s="3"/>
    </row>
    <row r="4018" spans="5:8">
      <c r="E4018" s="3"/>
      <c r="F4018" s="3"/>
      <c r="G4018" s="3"/>
      <c r="H4018" s="3"/>
    </row>
    <row r="4019" spans="5:8">
      <c r="E4019" s="3"/>
      <c r="F4019" s="3"/>
      <c r="G4019" s="3"/>
      <c r="H4019" s="3"/>
    </row>
    <row r="4020" spans="5:8">
      <c r="E4020" s="3"/>
      <c r="F4020" s="3"/>
      <c r="G4020" s="3"/>
      <c r="H4020" s="3"/>
    </row>
    <row r="4021" spans="5:8">
      <c r="E4021" s="3"/>
      <c r="F4021" s="3"/>
      <c r="G4021" s="3"/>
      <c r="H4021" s="3"/>
    </row>
    <row r="4022" spans="5:8">
      <c r="E4022" s="3"/>
      <c r="F4022" s="3"/>
      <c r="G4022" s="3"/>
      <c r="H4022" s="3"/>
    </row>
    <row r="4023" spans="5:8">
      <c r="E4023" s="3"/>
      <c r="F4023" s="3"/>
      <c r="G4023" s="3"/>
      <c r="H4023" s="3"/>
    </row>
    <row r="4024" spans="5:8">
      <c r="E4024" s="3"/>
      <c r="F4024" s="3"/>
      <c r="G4024" s="3"/>
      <c r="H4024" s="3"/>
    </row>
    <row r="4025" spans="5:8">
      <c r="E4025" s="3"/>
      <c r="F4025" s="3"/>
      <c r="G4025" s="3"/>
      <c r="H4025" s="3"/>
    </row>
    <row r="4026" spans="5:8">
      <c r="E4026" s="3"/>
      <c r="F4026" s="3"/>
      <c r="G4026" s="3"/>
      <c r="H4026" s="3"/>
    </row>
    <row r="4027" spans="5:8">
      <c r="E4027" s="3"/>
      <c r="F4027" s="3"/>
      <c r="G4027" s="3"/>
      <c r="H4027" s="3"/>
    </row>
    <row r="4028" spans="5:8">
      <c r="E4028" s="3"/>
      <c r="F4028" s="3"/>
      <c r="G4028" s="3"/>
      <c r="H4028" s="3"/>
    </row>
    <row r="4029" spans="5:8">
      <c r="E4029" s="3"/>
      <c r="F4029" s="3"/>
      <c r="G4029" s="3"/>
      <c r="H4029" s="3"/>
    </row>
    <row r="4030" spans="5:8">
      <c r="E4030" s="3"/>
      <c r="F4030" s="3"/>
      <c r="G4030" s="3"/>
      <c r="H4030" s="3"/>
    </row>
    <row r="4031" spans="5:8">
      <c r="E4031" s="3"/>
      <c r="F4031" s="3"/>
      <c r="G4031" s="3"/>
      <c r="H4031" s="3"/>
    </row>
    <row r="4032" spans="5:8">
      <c r="E4032" s="3"/>
      <c r="F4032" s="3"/>
      <c r="G4032" s="3"/>
      <c r="H4032" s="3"/>
    </row>
    <row r="4033" spans="5:8">
      <c r="E4033" s="3"/>
      <c r="F4033" s="3"/>
      <c r="G4033" s="3"/>
      <c r="H4033" s="3"/>
    </row>
    <row r="4034" spans="5:8">
      <c r="E4034" s="3"/>
      <c r="F4034" s="3"/>
      <c r="G4034" s="3"/>
      <c r="H4034" s="3"/>
    </row>
    <row r="4035" spans="5:8">
      <c r="E4035" s="3"/>
      <c r="F4035" s="3"/>
      <c r="G4035" s="3"/>
      <c r="H4035" s="3"/>
    </row>
    <row r="4036" spans="5:8">
      <c r="E4036" s="3"/>
      <c r="F4036" s="3"/>
      <c r="G4036" s="3"/>
      <c r="H4036" s="3"/>
    </row>
    <row r="4037" spans="5:8">
      <c r="E4037" s="3"/>
      <c r="F4037" s="3"/>
      <c r="G4037" s="3"/>
      <c r="H4037" s="3"/>
    </row>
    <row r="4038" spans="5:8">
      <c r="E4038" s="3"/>
      <c r="F4038" s="3"/>
      <c r="G4038" s="3"/>
      <c r="H4038" s="3"/>
    </row>
    <row r="4039" spans="5:8">
      <c r="E4039" s="3"/>
      <c r="F4039" s="3"/>
      <c r="G4039" s="3"/>
      <c r="H4039" s="3"/>
    </row>
    <row r="4040" spans="5:8">
      <c r="E4040" s="3"/>
      <c r="F4040" s="3"/>
      <c r="G4040" s="3"/>
      <c r="H4040" s="3"/>
    </row>
    <row r="4041" spans="5:8">
      <c r="E4041" s="3"/>
      <c r="F4041" s="3"/>
      <c r="G4041" s="3"/>
      <c r="H4041" s="3"/>
    </row>
    <row r="4042" spans="5:8">
      <c r="E4042" s="3"/>
      <c r="F4042" s="3"/>
      <c r="G4042" s="3"/>
      <c r="H4042" s="3"/>
    </row>
    <row r="4043" spans="5:8">
      <c r="E4043" s="3"/>
      <c r="F4043" s="3"/>
      <c r="G4043" s="3"/>
      <c r="H4043" s="3"/>
    </row>
    <row r="4044" spans="5:8">
      <c r="E4044" s="3"/>
      <c r="F4044" s="3"/>
      <c r="G4044" s="3"/>
      <c r="H4044" s="3"/>
    </row>
    <row r="4045" spans="5:8">
      <c r="E4045" s="3"/>
      <c r="F4045" s="3"/>
      <c r="G4045" s="3"/>
      <c r="H4045" s="3"/>
    </row>
    <row r="4046" spans="5:8">
      <c r="E4046" s="3"/>
      <c r="F4046" s="3"/>
      <c r="G4046" s="3"/>
      <c r="H4046" s="3"/>
    </row>
    <row r="4047" spans="5:8">
      <c r="E4047" s="3"/>
      <c r="F4047" s="3"/>
      <c r="G4047" s="3"/>
      <c r="H4047" s="3"/>
    </row>
    <row r="4048" spans="5:8">
      <c r="E4048" s="3"/>
      <c r="F4048" s="3"/>
      <c r="G4048" s="3"/>
      <c r="H4048" s="3"/>
    </row>
    <row r="4049" spans="5:8">
      <c r="E4049" s="3"/>
      <c r="F4049" s="3"/>
      <c r="G4049" s="3"/>
      <c r="H4049" s="3"/>
    </row>
    <row r="4050" spans="5:8">
      <c r="E4050" s="3"/>
      <c r="F4050" s="3"/>
      <c r="G4050" s="3"/>
      <c r="H4050" s="3"/>
    </row>
    <row r="4051" spans="5:8">
      <c r="E4051" s="3"/>
      <c r="F4051" s="3"/>
      <c r="G4051" s="3"/>
      <c r="H4051" s="3"/>
    </row>
    <row r="4052" spans="5:8">
      <c r="E4052" s="3"/>
      <c r="F4052" s="3"/>
      <c r="G4052" s="3"/>
      <c r="H4052" s="3"/>
    </row>
    <row r="4053" spans="5:8">
      <c r="E4053" s="3"/>
      <c r="F4053" s="3"/>
      <c r="G4053" s="3"/>
      <c r="H4053" s="3"/>
    </row>
    <row r="4054" spans="5:8">
      <c r="E4054" s="3"/>
      <c r="F4054" s="3"/>
      <c r="G4054" s="3"/>
      <c r="H4054" s="3"/>
    </row>
    <row r="4055" spans="5:8">
      <c r="E4055" s="3"/>
      <c r="F4055" s="3"/>
      <c r="G4055" s="3"/>
      <c r="H4055" s="3"/>
    </row>
    <row r="4056" spans="5:8">
      <c r="E4056" s="3"/>
      <c r="F4056" s="3"/>
      <c r="G4056" s="3"/>
      <c r="H4056" s="3"/>
    </row>
    <row r="4057" spans="5:8">
      <c r="E4057" s="3"/>
      <c r="F4057" s="3"/>
      <c r="G4057" s="3"/>
      <c r="H4057" s="3"/>
    </row>
    <row r="4058" spans="5:8">
      <c r="E4058" s="3"/>
      <c r="F4058" s="3"/>
      <c r="G4058" s="3"/>
      <c r="H4058" s="3"/>
    </row>
    <row r="4059" spans="5:8">
      <c r="E4059" s="3"/>
      <c r="F4059" s="3"/>
      <c r="G4059" s="3"/>
      <c r="H4059" s="3"/>
    </row>
    <row r="4060" spans="5:8">
      <c r="E4060" s="3"/>
      <c r="F4060" s="3"/>
      <c r="G4060" s="3"/>
      <c r="H4060" s="3"/>
    </row>
    <row r="4061" spans="5:8">
      <c r="E4061" s="3"/>
      <c r="F4061" s="3"/>
      <c r="G4061" s="3"/>
      <c r="H4061" s="3"/>
    </row>
    <row r="4062" spans="5:8">
      <c r="E4062" s="3"/>
      <c r="F4062" s="3"/>
      <c r="G4062" s="3"/>
      <c r="H4062" s="3"/>
    </row>
    <row r="4063" spans="5:8">
      <c r="E4063" s="3"/>
      <c r="F4063" s="3"/>
      <c r="G4063" s="3"/>
      <c r="H4063" s="3"/>
    </row>
    <row r="4064" spans="5:8">
      <c r="E4064" s="3"/>
      <c r="F4064" s="3"/>
      <c r="G4064" s="3"/>
      <c r="H4064" s="3"/>
    </row>
    <row r="4065" spans="5:8">
      <c r="E4065" s="3"/>
      <c r="F4065" s="3"/>
      <c r="G4065" s="3"/>
      <c r="H4065" s="3"/>
    </row>
    <row r="4066" spans="5:8">
      <c r="E4066" s="3"/>
      <c r="F4066" s="3"/>
      <c r="G4066" s="3"/>
      <c r="H4066" s="3"/>
    </row>
    <row r="4067" spans="5:8">
      <c r="E4067" s="3"/>
      <c r="F4067" s="3"/>
      <c r="G4067" s="3"/>
      <c r="H4067" s="3"/>
    </row>
    <row r="4068" spans="5:8">
      <c r="E4068" s="3"/>
      <c r="F4068" s="3"/>
      <c r="G4068" s="3"/>
      <c r="H4068" s="3"/>
    </row>
    <row r="4069" spans="5:8">
      <c r="E4069" s="3"/>
      <c r="F4069" s="3"/>
      <c r="G4069" s="3"/>
      <c r="H4069" s="3"/>
    </row>
    <row r="4070" spans="5:8">
      <c r="E4070" s="3"/>
      <c r="F4070" s="3"/>
      <c r="G4070" s="3"/>
      <c r="H4070" s="3"/>
    </row>
    <row r="4071" spans="5:8">
      <c r="E4071" s="3"/>
      <c r="F4071" s="3"/>
      <c r="G4071" s="3"/>
      <c r="H4071" s="3"/>
    </row>
    <row r="4072" spans="5:8">
      <c r="E4072" s="3"/>
      <c r="F4072" s="3"/>
      <c r="G4072" s="3"/>
      <c r="H4072" s="3"/>
    </row>
    <row r="4073" spans="5:8">
      <c r="E4073" s="3"/>
      <c r="F4073" s="3"/>
      <c r="G4073" s="3"/>
      <c r="H4073" s="3"/>
    </row>
    <row r="4074" spans="5:8">
      <c r="E4074" s="3"/>
      <c r="F4074" s="3"/>
      <c r="G4074" s="3"/>
      <c r="H4074" s="3"/>
    </row>
    <row r="4075" spans="5:8">
      <c r="E4075" s="3"/>
      <c r="F4075" s="3"/>
      <c r="G4075" s="3"/>
      <c r="H4075" s="3"/>
    </row>
    <row r="4076" spans="5:8">
      <c r="E4076" s="3"/>
      <c r="F4076" s="3"/>
      <c r="G4076" s="3"/>
      <c r="H4076" s="3"/>
    </row>
    <row r="4077" spans="5:8">
      <c r="E4077" s="3"/>
      <c r="F4077" s="3"/>
      <c r="G4077" s="3"/>
      <c r="H4077" s="3"/>
    </row>
    <row r="4078" spans="5:8">
      <c r="E4078" s="3"/>
      <c r="F4078" s="3"/>
      <c r="G4078" s="3"/>
      <c r="H4078" s="3"/>
    </row>
    <row r="4079" spans="5:8">
      <c r="E4079" s="3"/>
      <c r="F4079" s="3"/>
      <c r="G4079" s="3"/>
      <c r="H4079" s="3"/>
    </row>
    <row r="4080" spans="5:8">
      <c r="E4080" s="3"/>
      <c r="F4080" s="3"/>
      <c r="G4080" s="3"/>
      <c r="H4080" s="3"/>
    </row>
    <row r="4081" spans="5:8">
      <c r="E4081" s="3"/>
      <c r="F4081" s="3"/>
      <c r="G4081" s="3"/>
      <c r="H4081" s="3"/>
    </row>
    <row r="4082" spans="5:8">
      <c r="E4082" s="3"/>
      <c r="F4082" s="3"/>
      <c r="G4082" s="3"/>
      <c r="H4082" s="3"/>
    </row>
    <row r="4083" spans="5:8">
      <c r="E4083" s="3"/>
      <c r="F4083" s="3"/>
      <c r="G4083" s="3"/>
      <c r="H4083" s="3"/>
    </row>
    <row r="4084" spans="5:8">
      <c r="E4084" s="3"/>
      <c r="F4084" s="3"/>
      <c r="G4084" s="3"/>
      <c r="H4084" s="3"/>
    </row>
    <row r="4085" spans="5:8">
      <c r="E4085" s="3"/>
      <c r="F4085" s="3"/>
      <c r="G4085" s="3"/>
      <c r="H4085" s="3"/>
    </row>
    <row r="4086" spans="5:8">
      <c r="E4086" s="3"/>
      <c r="F4086" s="3"/>
      <c r="G4086" s="3"/>
      <c r="H4086" s="3"/>
    </row>
    <row r="4087" spans="5:8">
      <c r="E4087" s="3"/>
      <c r="F4087" s="3"/>
      <c r="G4087" s="3"/>
      <c r="H4087" s="3"/>
    </row>
    <row r="4088" spans="5:8">
      <c r="E4088" s="3"/>
      <c r="F4088" s="3"/>
      <c r="G4088" s="3"/>
      <c r="H4088" s="3"/>
    </row>
    <row r="4089" spans="5:8">
      <c r="E4089" s="3"/>
      <c r="F4089" s="3"/>
      <c r="G4089" s="3"/>
      <c r="H4089" s="3"/>
    </row>
    <row r="4090" spans="5:8">
      <c r="E4090" s="3"/>
      <c r="F4090" s="3"/>
      <c r="G4090" s="3"/>
      <c r="H4090" s="3"/>
    </row>
    <row r="4091" spans="5:8">
      <c r="E4091" s="3"/>
      <c r="F4091" s="3"/>
      <c r="G4091" s="3"/>
      <c r="H4091" s="3"/>
    </row>
    <row r="4092" spans="5:8">
      <c r="E4092" s="3"/>
      <c r="F4092" s="3"/>
      <c r="G4092" s="3"/>
      <c r="H4092" s="3"/>
    </row>
    <row r="4093" spans="5:8">
      <c r="E4093" s="3"/>
      <c r="F4093" s="3"/>
      <c r="G4093" s="3"/>
      <c r="H4093" s="3"/>
    </row>
    <row r="4094" spans="5:8">
      <c r="E4094" s="3"/>
      <c r="F4094" s="3"/>
      <c r="G4094" s="3"/>
      <c r="H4094" s="3"/>
    </row>
    <row r="4095" spans="5:8">
      <c r="E4095" s="3"/>
      <c r="F4095" s="3"/>
      <c r="G4095" s="3"/>
      <c r="H4095" s="3"/>
    </row>
    <row r="4096" spans="5:8">
      <c r="E4096" s="3"/>
      <c r="F4096" s="3"/>
      <c r="G4096" s="3"/>
      <c r="H4096" s="3"/>
    </row>
    <row r="4097" spans="5:8">
      <c r="E4097" s="3"/>
      <c r="F4097" s="3"/>
      <c r="G4097" s="3"/>
      <c r="H4097" s="3"/>
    </row>
    <row r="4098" spans="5:8">
      <c r="E4098" s="3"/>
      <c r="F4098" s="3"/>
      <c r="G4098" s="3"/>
      <c r="H4098" s="3"/>
    </row>
    <row r="4099" spans="5:8">
      <c r="E4099" s="3"/>
      <c r="F4099" s="3"/>
      <c r="G4099" s="3"/>
      <c r="H4099" s="3"/>
    </row>
    <row r="4100" spans="5:8">
      <c r="E4100" s="3"/>
      <c r="F4100" s="3"/>
      <c r="G4100" s="3"/>
      <c r="H4100" s="3"/>
    </row>
    <row r="4101" spans="5:8">
      <c r="E4101" s="3"/>
      <c r="F4101" s="3"/>
      <c r="G4101" s="3"/>
      <c r="H4101" s="3"/>
    </row>
    <row r="4102" spans="5:8">
      <c r="E4102" s="3"/>
      <c r="F4102" s="3"/>
      <c r="G4102" s="3"/>
      <c r="H4102" s="3"/>
    </row>
    <row r="4103" spans="5:8">
      <c r="E4103" s="3"/>
      <c r="F4103" s="3"/>
      <c r="G4103" s="3"/>
      <c r="H4103" s="3"/>
    </row>
    <row r="4104" spans="5:8">
      <c r="E4104" s="3"/>
      <c r="F4104" s="3"/>
      <c r="G4104" s="3"/>
      <c r="H4104" s="3"/>
    </row>
    <row r="4105" spans="5:8">
      <c r="E4105" s="3"/>
      <c r="F4105" s="3"/>
      <c r="G4105" s="3"/>
      <c r="H4105" s="3"/>
    </row>
    <row r="4106" spans="5:8">
      <c r="E4106" s="3"/>
      <c r="F4106" s="3"/>
      <c r="G4106" s="3"/>
      <c r="H4106" s="3"/>
    </row>
    <row r="4107" spans="5:8">
      <c r="E4107" s="3"/>
      <c r="F4107" s="3"/>
      <c r="G4107" s="3"/>
      <c r="H4107" s="3"/>
    </row>
    <row r="4108" spans="5:8">
      <c r="E4108" s="3"/>
      <c r="F4108" s="3"/>
      <c r="G4108" s="3"/>
      <c r="H4108" s="3"/>
    </row>
    <row r="4109" spans="5:8">
      <c r="E4109" s="3"/>
      <c r="F4109" s="3"/>
      <c r="G4109" s="3"/>
      <c r="H4109" s="3"/>
    </row>
    <row r="4110" spans="5:8">
      <c r="E4110" s="3"/>
      <c r="F4110" s="3"/>
      <c r="G4110" s="3"/>
      <c r="H4110" s="3"/>
    </row>
    <row r="4111" spans="5:8">
      <c r="E4111" s="3"/>
      <c r="F4111" s="3"/>
      <c r="G4111" s="3"/>
      <c r="H4111" s="3"/>
    </row>
    <row r="4112" spans="5:8">
      <c r="E4112" s="3"/>
      <c r="F4112" s="3"/>
      <c r="G4112" s="3"/>
      <c r="H4112" s="3"/>
    </row>
    <row r="4113" spans="5:8">
      <c r="E4113" s="3"/>
      <c r="F4113" s="3"/>
      <c r="G4113" s="3"/>
      <c r="H4113" s="3"/>
    </row>
    <row r="4114" spans="5:8">
      <c r="E4114" s="3"/>
      <c r="F4114" s="3"/>
      <c r="G4114" s="3"/>
      <c r="H4114" s="3"/>
    </row>
    <row r="4115" spans="5:8">
      <c r="E4115" s="3"/>
      <c r="F4115" s="3"/>
      <c r="G4115" s="3"/>
      <c r="H4115" s="3"/>
    </row>
    <row r="4116" spans="5:8">
      <c r="E4116" s="3"/>
      <c r="F4116" s="3"/>
      <c r="G4116" s="3"/>
      <c r="H4116" s="3"/>
    </row>
    <row r="4117" spans="5:8">
      <c r="E4117" s="3"/>
      <c r="F4117" s="3"/>
      <c r="G4117" s="3"/>
      <c r="H4117" s="3"/>
    </row>
    <row r="4118" spans="5:8">
      <c r="E4118" s="3"/>
      <c r="F4118" s="3"/>
      <c r="G4118" s="3"/>
      <c r="H4118" s="3"/>
    </row>
    <row r="4119" spans="5:8">
      <c r="E4119" s="3"/>
      <c r="F4119" s="3"/>
      <c r="G4119" s="3"/>
      <c r="H4119" s="3"/>
    </row>
    <row r="4120" spans="5:8">
      <c r="E4120" s="3"/>
      <c r="F4120" s="3"/>
      <c r="G4120" s="3"/>
      <c r="H4120" s="3"/>
    </row>
    <row r="4121" spans="5:8">
      <c r="E4121" s="3"/>
      <c r="F4121" s="3"/>
      <c r="G4121" s="3"/>
      <c r="H4121" s="3"/>
    </row>
    <row r="4122" spans="5:8">
      <c r="E4122" s="3"/>
      <c r="F4122" s="3"/>
      <c r="G4122" s="3"/>
      <c r="H4122" s="3"/>
    </row>
    <row r="4123" spans="5:8">
      <c r="E4123" s="3"/>
      <c r="F4123" s="3"/>
      <c r="G4123" s="3"/>
      <c r="H4123" s="3"/>
    </row>
    <row r="4124" spans="5:8">
      <c r="E4124" s="3"/>
      <c r="F4124" s="3"/>
      <c r="G4124" s="3"/>
      <c r="H4124" s="3"/>
    </row>
    <row r="4125" spans="5:8">
      <c r="E4125" s="3"/>
      <c r="F4125" s="3"/>
      <c r="G4125" s="3"/>
      <c r="H4125" s="3"/>
    </row>
    <row r="4126" spans="5:8">
      <c r="E4126" s="3"/>
      <c r="F4126" s="3"/>
      <c r="G4126" s="3"/>
      <c r="H4126" s="3"/>
    </row>
    <row r="4127" spans="5:8">
      <c r="E4127" s="3"/>
      <c r="F4127" s="3"/>
      <c r="G4127" s="3"/>
      <c r="H4127" s="3"/>
    </row>
    <row r="4128" spans="5:8">
      <c r="E4128" s="3"/>
      <c r="F4128" s="3"/>
      <c r="G4128" s="3"/>
      <c r="H4128" s="3"/>
    </row>
    <row r="4129" spans="5:8">
      <c r="E4129" s="3"/>
      <c r="F4129" s="3"/>
      <c r="G4129" s="3"/>
      <c r="H4129" s="3"/>
    </row>
    <row r="4130" spans="5:8">
      <c r="E4130" s="3"/>
      <c r="F4130" s="3"/>
      <c r="G4130" s="3"/>
      <c r="H4130" s="3"/>
    </row>
    <row r="4131" spans="5:8">
      <c r="E4131" s="3"/>
      <c r="F4131" s="3"/>
      <c r="G4131" s="3"/>
      <c r="H4131" s="3"/>
    </row>
    <row r="4132" spans="5:8">
      <c r="E4132" s="3"/>
      <c r="F4132" s="3"/>
      <c r="G4132" s="3"/>
      <c r="H4132" s="3"/>
    </row>
    <row r="4133" spans="5:8">
      <c r="E4133" s="3"/>
      <c r="F4133" s="3"/>
      <c r="G4133" s="3"/>
      <c r="H4133" s="3"/>
    </row>
    <row r="4134" spans="5:8">
      <c r="E4134" s="3"/>
      <c r="F4134" s="3"/>
      <c r="G4134" s="3"/>
      <c r="H4134" s="3"/>
    </row>
    <row r="4135" spans="5:8">
      <c r="E4135" s="3"/>
      <c r="F4135" s="3"/>
      <c r="G4135" s="3"/>
      <c r="H4135" s="3"/>
    </row>
    <row r="4136" spans="5:8">
      <c r="E4136" s="3"/>
      <c r="F4136" s="3"/>
      <c r="G4136" s="3"/>
      <c r="H4136" s="3"/>
    </row>
    <row r="4137" spans="5:8">
      <c r="E4137" s="3"/>
      <c r="F4137" s="3"/>
      <c r="G4137" s="3"/>
      <c r="H4137" s="3"/>
    </row>
    <row r="4138" spans="5:8">
      <c r="E4138" s="3"/>
      <c r="F4138" s="3"/>
      <c r="G4138" s="3"/>
      <c r="H4138" s="3"/>
    </row>
    <row r="4139" spans="5:8">
      <c r="E4139" s="3"/>
      <c r="F4139" s="3"/>
      <c r="G4139" s="3"/>
      <c r="H4139" s="3"/>
    </row>
    <row r="4140" spans="5:8">
      <c r="E4140" s="3"/>
      <c r="F4140" s="3"/>
      <c r="G4140" s="3"/>
      <c r="H4140" s="3"/>
    </row>
    <row r="4141" spans="5:8">
      <c r="E4141" s="3"/>
      <c r="F4141" s="3"/>
      <c r="G4141" s="3"/>
      <c r="H4141" s="3"/>
    </row>
    <row r="4142" spans="5:8">
      <c r="E4142" s="3"/>
      <c r="F4142" s="3"/>
      <c r="G4142" s="3"/>
      <c r="H4142" s="3"/>
    </row>
    <row r="4143" spans="5:8">
      <c r="E4143" s="3"/>
      <c r="F4143" s="3"/>
      <c r="G4143" s="3"/>
      <c r="H4143" s="3"/>
    </row>
    <row r="4144" spans="5:8">
      <c r="E4144" s="3"/>
      <c r="F4144" s="3"/>
      <c r="G4144" s="3"/>
      <c r="H4144" s="3"/>
    </row>
    <row r="4145" spans="5:8">
      <c r="E4145" s="3"/>
      <c r="F4145" s="3"/>
      <c r="G4145" s="3"/>
      <c r="H4145" s="3"/>
    </row>
    <row r="4146" spans="5:8">
      <c r="E4146" s="3"/>
      <c r="F4146" s="3"/>
      <c r="G4146" s="3"/>
      <c r="H4146" s="3"/>
    </row>
    <row r="4147" spans="5:8">
      <c r="E4147" s="3"/>
      <c r="F4147" s="3"/>
      <c r="G4147" s="3"/>
      <c r="H4147" s="3"/>
    </row>
    <row r="4148" spans="5:8">
      <c r="E4148" s="3"/>
      <c r="F4148" s="3"/>
      <c r="G4148" s="3"/>
      <c r="H4148" s="3"/>
    </row>
    <row r="4149" spans="5:8">
      <c r="E4149" s="3"/>
      <c r="F4149" s="3"/>
      <c r="G4149" s="3"/>
      <c r="H4149" s="3"/>
    </row>
    <row r="4150" spans="5:8">
      <c r="E4150" s="3"/>
      <c r="F4150" s="3"/>
      <c r="G4150" s="3"/>
      <c r="H4150" s="3"/>
    </row>
    <row r="4151" spans="5:8">
      <c r="E4151" s="3"/>
      <c r="F4151" s="3"/>
      <c r="G4151" s="3"/>
      <c r="H4151" s="3"/>
    </row>
    <row r="4152" spans="5:8">
      <c r="E4152" s="3"/>
      <c r="F4152" s="3"/>
      <c r="G4152" s="3"/>
      <c r="H4152" s="3"/>
    </row>
    <row r="4153" spans="5:8">
      <c r="E4153" s="3"/>
      <c r="F4153" s="3"/>
      <c r="G4153" s="3"/>
      <c r="H4153" s="3"/>
    </row>
    <row r="4154" spans="5:8">
      <c r="E4154" s="3"/>
      <c r="F4154" s="3"/>
      <c r="G4154" s="3"/>
      <c r="H4154" s="3"/>
    </row>
    <row r="4155" spans="5:8">
      <c r="E4155" s="3"/>
      <c r="F4155" s="3"/>
      <c r="G4155" s="3"/>
      <c r="H4155" s="3"/>
    </row>
    <row r="4156" spans="5:8">
      <c r="E4156" s="3"/>
      <c r="F4156" s="3"/>
      <c r="G4156" s="3"/>
      <c r="H4156" s="3"/>
    </row>
    <row r="4157" spans="5:8">
      <c r="E4157" s="3"/>
      <c r="F4157" s="3"/>
      <c r="G4157" s="3"/>
      <c r="H4157" s="3"/>
    </row>
    <row r="4158" spans="5:8">
      <c r="E4158" s="3"/>
      <c r="F4158" s="3"/>
      <c r="G4158" s="3"/>
      <c r="H4158" s="3"/>
    </row>
    <row r="4159" spans="5:8">
      <c r="E4159" s="3"/>
      <c r="F4159" s="3"/>
      <c r="G4159" s="3"/>
      <c r="H4159" s="3"/>
    </row>
    <row r="4160" spans="5:8">
      <c r="E4160" s="3"/>
      <c r="F4160" s="3"/>
      <c r="G4160" s="3"/>
      <c r="H4160" s="3"/>
    </row>
    <row r="4161" spans="5:8">
      <c r="E4161" s="3"/>
      <c r="F4161" s="3"/>
      <c r="G4161" s="3"/>
      <c r="H4161" s="3"/>
    </row>
    <row r="4162" spans="5:8">
      <c r="E4162" s="3"/>
      <c r="F4162" s="3"/>
      <c r="G4162" s="3"/>
      <c r="H4162" s="3"/>
    </row>
    <row r="4163" spans="5:8">
      <c r="E4163" s="3"/>
      <c r="F4163" s="3"/>
      <c r="G4163" s="3"/>
      <c r="H4163" s="3"/>
    </row>
    <row r="4164" spans="5:8">
      <c r="E4164" s="3"/>
      <c r="F4164" s="3"/>
      <c r="G4164" s="3"/>
      <c r="H4164" s="3"/>
    </row>
    <row r="4165" spans="5:8">
      <c r="E4165" s="3"/>
      <c r="F4165" s="3"/>
      <c r="G4165" s="3"/>
      <c r="H4165" s="3"/>
    </row>
    <row r="4166" spans="5:8">
      <c r="E4166" s="3"/>
      <c r="F4166" s="3"/>
      <c r="G4166" s="3"/>
      <c r="H4166" s="3"/>
    </row>
    <row r="4167" spans="5:8">
      <c r="E4167" s="3"/>
      <c r="F4167" s="3"/>
      <c r="G4167" s="3"/>
      <c r="H4167" s="3"/>
    </row>
    <row r="4168" spans="5:8">
      <c r="E4168" s="3"/>
      <c r="F4168" s="3"/>
      <c r="G4168" s="3"/>
      <c r="H4168" s="3"/>
    </row>
    <row r="4169" spans="5:8">
      <c r="E4169" s="3"/>
      <c r="F4169" s="3"/>
      <c r="G4169" s="3"/>
      <c r="H4169" s="3"/>
    </row>
    <row r="4170" spans="5:8">
      <c r="E4170" s="3"/>
      <c r="F4170" s="3"/>
      <c r="G4170" s="3"/>
      <c r="H4170" s="3"/>
    </row>
    <row r="4171" spans="5:8">
      <c r="E4171" s="3"/>
      <c r="F4171" s="3"/>
      <c r="G4171" s="3"/>
      <c r="H4171" s="3"/>
    </row>
    <row r="4172" spans="5:8">
      <c r="E4172" s="3"/>
      <c r="F4172" s="3"/>
      <c r="G4172" s="3"/>
      <c r="H4172" s="3"/>
    </row>
    <row r="4173" spans="5:8">
      <c r="E4173" s="3"/>
      <c r="F4173" s="3"/>
      <c r="G4173" s="3"/>
      <c r="H4173" s="3"/>
    </row>
    <row r="4174" spans="5:8">
      <c r="E4174" s="3"/>
      <c r="F4174" s="3"/>
      <c r="G4174" s="3"/>
      <c r="H4174" s="3"/>
    </row>
    <row r="4175" spans="5:8">
      <c r="E4175" s="3"/>
      <c r="F4175" s="3"/>
      <c r="G4175" s="3"/>
      <c r="H4175" s="3"/>
    </row>
    <row r="4176" spans="5:8">
      <c r="E4176" s="3"/>
      <c r="F4176" s="3"/>
      <c r="G4176" s="3"/>
      <c r="H4176" s="3"/>
    </row>
    <row r="4177" spans="5:8">
      <c r="E4177" s="3"/>
      <c r="F4177" s="3"/>
      <c r="G4177" s="3"/>
      <c r="H4177" s="3"/>
    </row>
    <row r="4178" spans="5:8">
      <c r="E4178" s="3"/>
      <c r="F4178" s="3"/>
      <c r="G4178" s="3"/>
      <c r="H4178" s="3"/>
    </row>
    <row r="4179" spans="5:8">
      <c r="E4179" s="3"/>
      <c r="F4179" s="3"/>
      <c r="G4179" s="3"/>
      <c r="H4179" s="3"/>
    </row>
    <row r="4180" spans="5:8">
      <c r="E4180" s="3"/>
      <c r="F4180" s="3"/>
      <c r="G4180" s="3"/>
      <c r="H4180" s="3"/>
    </row>
    <row r="4181" spans="5:8">
      <c r="E4181" s="3"/>
      <c r="F4181" s="3"/>
      <c r="G4181" s="3"/>
      <c r="H4181" s="3"/>
    </row>
    <row r="4182" spans="5:8">
      <c r="E4182" s="3"/>
      <c r="F4182" s="3"/>
      <c r="G4182" s="3"/>
      <c r="H4182" s="3"/>
    </row>
    <row r="4183" spans="5:8">
      <c r="E4183" s="3"/>
      <c r="F4183" s="3"/>
      <c r="G4183" s="3"/>
      <c r="H4183" s="3"/>
    </row>
    <row r="4184" spans="5:8">
      <c r="E4184" s="3"/>
      <c r="F4184" s="3"/>
      <c r="G4184" s="3"/>
      <c r="H4184" s="3"/>
    </row>
    <row r="4185" spans="5:8">
      <c r="E4185" s="3"/>
      <c r="F4185" s="3"/>
      <c r="G4185" s="3"/>
      <c r="H4185" s="3"/>
    </row>
    <row r="4186" spans="5:8">
      <c r="E4186" s="3"/>
      <c r="F4186" s="3"/>
      <c r="G4186" s="3"/>
      <c r="H4186" s="3"/>
    </row>
    <row r="4187" spans="5:8">
      <c r="E4187" s="3"/>
      <c r="F4187" s="3"/>
      <c r="G4187" s="3"/>
      <c r="H4187" s="3"/>
    </row>
    <row r="4188" spans="5:8">
      <c r="E4188" s="3"/>
      <c r="F4188" s="3"/>
      <c r="G4188" s="3"/>
      <c r="H4188" s="3"/>
    </row>
    <row r="4189" spans="5:8">
      <c r="E4189" s="3"/>
      <c r="F4189" s="3"/>
      <c r="G4189" s="3"/>
      <c r="H4189" s="3"/>
    </row>
    <row r="4190" spans="5:8">
      <c r="E4190" s="3"/>
      <c r="F4190" s="3"/>
      <c r="G4190" s="3"/>
      <c r="H4190" s="3"/>
    </row>
    <row r="4191" spans="5:8">
      <c r="E4191" s="3"/>
      <c r="F4191" s="3"/>
      <c r="G4191" s="3"/>
      <c r="H4191" s="3"/>
    </row>
    <row r="4192" spans="5:8">
      <c r="E4192" s="3"/>
      <c r="F4192" s="3"/>
      <c r="G4192" s="3"/>
      <c r="H4192" s="3"/>
    </row>
    <row r="4193" spans="5:8">
      <c r="E4193" s="3"/>
      <c r="F4193" s="3"/>
      <c r="G4193" s="3"/>
      <c r="H4193" s="3"/>
    </row>
    <row r="4194" spans="5:8">
      <c r="E4194" s="3"/>
      <c r="F4194" s="3"/>
      <c r="G4194" s="3"/>
      <c r="H4194" s="3"/>
    </row>
    <row r="4195" spans="5:8">
      <c r="E4195" s="3"/>
      <c r="F4195" s="3"/>
      <c r="G4195" s="3"/>
      <c r="H4195" s="3"/>
    </row>
    <row r="4196" spans="5:8">
      <c r="E4196" s="3"/>
      <c r="F4196" s="3"/>
      <c r="G4196" s="3"/>
      <c r="H4196" s="3"/>
    </row>
    <row r="4197" spans="5:8">
      <c r="E4197" s="3"/>
      <c r="F4197" s="3"/>
      <c r="G4197" s="3"/>
      <c r="H4197" s="3"/>
    </row>
    <row r="4198" spans="5:8">
      <c r="E4198" s="3"/>
      <c r="F4198" s="3"/>
      <c r="G4198" s="3"/>
      <c r="H4198" s="3"/>
    </row>
    <row r="4199" spans="5:8">
      <c r="E4199" s="3"/>
      <c r="F4199" s="3"/>
      <c r="G4199" s="3"/>
      <c r="H4199" s="3"/>
    </row>
    <row r="4200" spans="5:8">
      <c r="E4200" s="3"/>
      <c r="F4200" s="3"/>
      <c r="G4200" s="3"/>
      <c r="H4200" s="3"/>
    </row>
    <row r="4201" spans="5:8">
      <c r="E4201" s="3"/>
      <c r="F4201" s="3"/>
      <c r="G4201" s="3"/>
      <c r="H4201" s="3"/>
    </row>
    <row r="4202" spans="5:8">
      <c r="E4202" s="3"/>
      <c r="F4202" s="3"/>
      <c r="G4202" s="3"/>
      <c r="H4202" s="3"/>
    </row>
    <row r="4203" spans="5:8">
      <c r="E4203" s="3"/>
      <c r="F4203" s="3"/>
      <c r="G4203" s="3"/>
      <c r="H4203" s="3"/>
    </row>
    <row r="4204" spans="5:8">
      <c r="E4204" s="3"/>
      <c r="F4204" s="3"/>
      <c r="G4204" s="3"/>
      <c r="H4204" s="3"/>
    </row>
    <row r="4205" spans="5:8">
      <c r="E4205" s="3"/>
      <c r="F4205" s="3"/>
      <c r="G4205" s="3"/>
      <c r="H4205" s="3"/>
    </row>
    <row r="4206" spans="5:8">
      <c r="E4206" s="3"/>
      <c r="F4206" s="3"/>
      <c r="G4206" s="3"/>
      <c r="H4206" s="3"/>
    </row>
    <row r="4207" spans="5:8">
      <c r="E4207" s="3"/>
      <c r="F4207" s="3"/>
      <c r="G4207" s="3"/>
      <c r="H4207" s="3"/>
    </row>
    <row r="4208" spans="5:8">
      <c r="E4208" s="3"/>
      <c r="F4208" s="3"/>
      <c r="G4208" s="3"/>
      <c r="H4208" s="3"/>
    </row>
    <row r="4209" spans="5:8">
      <c r="E4209" s="3"/>
      <c r="F4209" s="3"/>
      <c r="G4209" s="3"/>
      <c r="H4209" s="3"/>
    </row>
    <row r="4210" spans="5:8">
      <c r="E4210" s="3"/>
      <c r="F4210" s="3"/>
      <c r="G4210" s="3"/>
      <c r="H4210" s="3"/>
    </row>
    <row r="4211" spans="5:8">
      <c r="E4211" s="3"/>
      <c r="F4211" s="3"/>
      <c r="G4211" s="3"/>
      <c r="H4211" s="3"/>
    </row>
    <row r="4212" spans="5:8">
      <c r="E4212" s="3"/>
      <c r="F4212" s="3"/>
      <c r="G4212" s="3"/>
      <c r="H4212" s="3"/>
    </row>
    <row r="4213" spans="5:8">
      <c r="E4213" s="3"/>
      <c r="F4213" s="3"/>
      <c r="G4213" s="3"/>
      <c r="H4213" s="3"/>
    </row>
    <row r="4214" spans="5:8">
      <c r="E4214" s="3"/>
      <c r="F4214" s="3"/>
      <c r="G4214" s="3"/>
      <c r="H4214" s="3"/>
    </row>
    <row r="4215" spans="5:8">
      <c r="E4215" s="3"/>
      <c r="F4215" s="3"/>
      <c r="G4215" s="3"/>
      <c r="H4215" s="3"/>
    </row>
    <row r="4216" spans="5:8">
      <c r="E4216" s="3"/>
      <c r="F4216" s="3"/>
      <c r="G4216" s="3"/>
      <c r="H4216" s="3"/>
    </row>
    <row r="4217" spans="5:8">
      <c r="E4217" s="3"/>
      <c r="F4217" s="3"/>
      <c r="G4217" s="3"/>
      <c r="H4217" s="3"/>
    </row>
    <row r="4218" spans="5:8">
      <c r="E4218" s="3"/>
      <c r="F4218" s="3"/>
      <c r="G4218" s="3"/>
      <c r="H4218" s="3"/>
    </row>
    <row r="4219" spans="5:8">
      <c r="E4219" s="3"/>
      <c r="F4219" s="3"/>
      <c r="G4219" s="3"/>
      <c r="H4219" s="3"/>
    </row>
    <row r="4220" spans="5:8">
      <c r="E4220" s="3"/>
      <c r="F4220" s="3"/>
      <c r="G4220" s="3"/>
      <c r="H4220" s="3"/>
    </row>
    <row r="4221" spans="5:8">
      <c r="E4221" s="3"/>
      <c r="F4221" s="3"/>
      <c r="G4221" s="3"/>
      <c r="H4221" s="3"/>
    </row>
    <row r="4222" spans="5:8">
      <c r="E4222" s="3"/>
      <c r="F4222" s="3"/>
      <c r="G4222" s="3"/>
      <c r="H4222" s="3"/>
    </row>
    <row r="4223" spans="5:8">
      <c r="E4223" s="3"/>
      <c r="F4223" s="3"/>
      <c r="G4223" s="3"/>
      <c r="H4223" s="3"/>
    </row>
    <row r="4224" spans="5:8">
      <c r="E4224" s="3"/>
      <c r="F4224" s="3"/>
      <c r="G4224" s="3"/>
      <c r="H4224" s="3"/>
    </row>
    <row r="4225" spans="5:8">
      <c r="E4225" s="3"/>
      <c r="F4225" s="3"/>
      <c r="G4225" s="3"/>
      <c r="H4225" s="3"/>
    </row>
    <row r="4226" spans="5:8">
      <c r="E4226" s="3"/>
      <c r="F4226" s="3"/>
      <c r="G4226" s="3"/>
      <c r="H4226" s="3"/>
    </row>
    <row r="4227" spans="5:8">
      <c r="E4227" s="3"/>
      <c r="F4227" s="3"/>
      <c r="G4227" s="3"/>
      <c r="H4227" s="3"/>
    </row>
    <row r="4228" spans="5:8">
      <c r="E4228" s="3"/>
      <c r="F4228" s="3"/>
      <c r="G4228" s="3"/>
      <c r="H4228" s="3"/>
    </row>
    <row r="4229" spans="5:8">
      <c r="E4229" s="3"/>
      <c r="F4229" s="3"/>
      <c r="G4229" s="3"/>
      <c r="H4229" s="3"/>
    </row>
    <row r="4230" spans="5:8">
      <c r="E4230" s="3"/>
      <c r="F4230" s="3"/>
      <c r="G4230" s="3"/>
      <c r="H4230" s="3"/>
    </row>
    <row r="4231" spans="5:8">
      <c r="E4231" s="3"/>
      <c r="F4231" s="3"/>
      <c r="G4231" s="3"/>
      <c r="H4231" s="3"/>
    </row>
    <row r="4232" spans="5:8">
      <c r="E4232" s="3"/>
      <c r="F4232" s="3"/>
      <c r="G4232" s="3"/>
      <c r="H4232" s="3"/>
    </row>
    <row r="4233" spans="5:8">
      <c r="E4233" s="3"/>
      <c r="F4233" s="3"/>
      <c r="G4233" s="3"/>
      <c r="H4233" s="3"/>
    </row>
    <row r="4234" spans="5:8">
      <c r="E4234" s="3"/>
      <c r="F4234" s="3"/>
      <c r="G4234" s="3"/>
      <c r="H4234" s="3"/>
    </row>
    <row r="4235" spans="5:8">
      <c r="E4235" s="3"/>
      <c r="F4235" s="3"/>
      <c r="G4235" s="3"/>
      <c r="H4235" s="3"/>
    </row>
    <row r="4236" spans="5:8">
      <c r="E4236" s="3"/>
      <c r="F4236" s="3"/>
      <c r="G4236" s="3"/>
      <c r="H4236" s="3"/>
    </row>
    <row r="4237" spans="5:8">
      <c r="E4237" s="3"/>
      <c r="F4237" s="3"/>
      <c r="G4237" s="3"/>
      <c r="H4237" s="3"/>
    </row>
    <row r="4238" spans="5:8">
      <c r="E4238" s="3"/>
      <c r="F4238" s="3"/>
      <c r="G4238" s="3"/>
      <c r="H4238" s="3"/>
    </row>
    <row r="4239" spans="5:8">
      <c r="E4239" s="3"/>
      <c r="F4239" s="3"/>
      <c r="G4239" s="3"/>
      <c r="H4239" s="3"/>
    </row>
    <row r="4240" spans="5:8">
      <c r="E4240" s="3"/>
      <c r="F4240" s="3"/>
      <c r="G4240" s="3"/>
      <c r="H4240" s="3"/>
    </row>
    <row r="4241" spans="5:8">
      <c r="E4241" s="3"/>
      <c r="F4241" s="3"/>
      <c r="G4241" s="3"/>
      <c r="H4241" s="3"/>
    </row>
    <row r="4242" spans="5:8">
      <c r="E4242" s="3"/>
      <c r="F4242" s="3"/>
      <c r="G4242" s="3"/>
      <c r="H4242" s="3"/>
    </row>
    <row r="4243" spans="5:8">
      <c r="E4243" s="3"/>
      <c r="F4243" s="3"/>
      <c r="G4243" s="3"/>
      <c r="H4243" s="3"/>
    </row>
    <row r="4244" spans="5:8">
      <c r="E4244" s="3"/>
      <c r="F4244" s="3"/>
      <c r="G4244" s="3"/>
      <c r="H4244" s="3"/>
    </row>
    <row r="4245" spans="5:8">
      <c r="E4245" s="3"/>
      <c r="F4245" s="3"/>
      <c r="G4245" s="3"/>
      <c r="H4245" s="3"/>
    </row>
    <row r="4246" spans="5:8">
      <c r="E4246" s="3"/>
      <c r="F4246" s="3"/>
      <c r="G4246" s="3"/>
      <c r="H4246" s="3"/>
    </row>
    <row r="4247" spans="5:8">
      <c r="E4247" s="3"/>
      <c r="F4247" s="3"/>
      <c r="G4247" s="3"/>
      <c r="H4247" s="3"/>
    </row>
    <row r="4248" spans="5:8">
      <c r="E4248" s="3"/>
      <c r="F4248" s="3"/>
      <c r="G4248" s="3"/>
      <c r="H4248" s="3"/>
    </row>
    <row r="4249" spans="5:8">
      <c r="E4249" s="3"/>
      <c r="F4249" s="3"/>
      <c r="G4249" s="3"/>
      <c r="H4249" s="3"/>
    </row>
    <row r="4250" spans="5:8">
      <c r="E4250" s="3"/>
      <c r="F4250" s="3"/>
      <c r="G4250" s="3"/>
      <c r="H4250" s="3"/>
    </row>
    <row r="4251" spans="5:8">
      <c r="E4251" s="3"/>
      <c r="F4251" s="3"/>
      <c r="G4251" s="3"/>
      <c r="H4251" s="3"/>
    </row>
    <row r="4252" spans="5:8">
      <c r="E4252" s="3"/>
      <c r="F4252" s="3"/>
      <c r="G4252" s="3"/>
      <c r="H4252" s="3"/>
    </row>
    <row r="4253" spans="5:8">
      <c r="E4253" s="3"/>
      <c r="F4253" s="3"/>
      <c r="G4253" s="3"/>
      <c r="H4253" s="3"/>
    </row>
    <row r="4254" spans="5:8">
      <c r="E4254" s="3"/>
      <c r="F4254" s="3"/>
      <c r="G4254" s="3"/>
      <c r="H4254" s="3"/>
    </row>
    <row r="4255" spans="5:8">
      <c r="E4255" s="3"/>
      <c r="F4255" s="3"/>
      <c r="G4255" s="3"/>
      <c r="H4255" s="3"/>
    </row>
    <row r="4256" spans="5:8">
      <c r="E4256" s="3"/>
      <c r="F4256" s="3"/>
      <c r="G4256" s="3"/>
      <c r="H4256" s="3"/>
    </row>
    <row r="4257" spans="5:8">
      <c r="E4257" s="3"/>
      <c r="F4257" s="3"/>
      <c r="G4257" s="3"/>
      <c r="H4257" s="3"/>
    </row>
    <row r="4258" spans="5:8">
      <c r="E4258" s="3"/>
      <c r="F4258" s="3"/>
      <c r="G4258" s="3"/>
      <c r="H4258" s="3"/>
    </row>
    <row r="4259" spans="5:8">
      <c r="E4259" s="3"/>
      <c r="F4259" s="3"/>
      <c r="G4259" s="3"/>
      <c r="H4259" s="3"/>
    </row>
    <row r="4260" spans="5:8">
      <c r="E4260" s="3"/>
      <c r="F4260" s="3"/>
      <c r="G4260" s="3"/>
      <c r="H4260" s="3"/>
    </row>
    <row r="4261" spans="5:8">
      <c r="E4261" s="3"/>
      <c r="F4261" s="3"/>
      <c r="G4261" s="3"/>
      <c r="H4261" s="3"/>
    </row>
    <row r="4262" spans="5:8">
      <c r="E4262" s="3"/>
      <c r="F4262" s="3"/>
      <c r="G4262" s="3"/>
      <c r="H4262" s="3"/>
    </row>
    <row r="4263" spans="5:8">
      <c r="E4263" s="3"/>
      <c r="F4263" s="3"/>
      <c r="G4263" s="3"/>
      <c r="H4263" s="3"/>
    </row>
    <row r="4264" spans="5:8">
      <c r="E4264" s="3"/>
      <c r="F4264" s="3"/>
      <c r="G4264" s="3"/>
      <c r="H4264" s="3"/>
    </row>
    <row r="4265" spans="5:8">
      <c r="E4265" s="3"/>
      <c r="F4265" s="3"/>
      <c r="G4265" s="3"/>
      <c r="H4265" s="3"/>
    </row>
    <row r="4266" spans="5:8">
      <c r="E4266" s="3"/>
      <c r="F4266" s="3"/>
      <c r="G4266" s="3"/>
      <c r="H4266" s="3"/>
    </row>
    <row r="4267" spans="5:8">
      <c r="E4267" s="3"/>
      <c r="F4267" s="3"/>
      <c r="G4267" s="3"/>
      <c r="H4267" s="3"/>
    </row>
    <row r="4268" spans="5:8">
      <c r="E4268" s="3"/>
      <c r="F4268" s="3"/>
      <c r="G4268" s="3"/>
      <c r="H4268" s="3"/>
    </row>
    <row r="4269" spans="5:8">
      <c r="E4269" s="3"/>
      <c r="F4269" s="3"/>
      <c r="G4269" s="3"/>
      <c r="H4269" s="3"/>
    </row>
    <row r="4270" spans="5:8">
      <c r="E4270" s="3"/>
      <c r="F4270" s="3"/>
      <c r="G4270" s="3"/>
      <c r="H4270" s="3"/>
    </row>
    <row r="4271" spans="5:8">
      <c r="E4271" s="3"/>
      <c r="F4271" s="3"/>
      <c r="G4271" s="3"/>
      <c r="H4271" s="3"/>
    </row>
    <row r="4272" spans="5:8">
      <c r="E4272" s="3"/>
      <c r="F4272" s="3"/>
      <c r="G4272" s="3"/>
      <c r="H4272" s="3"/>
    </row>
    <row r="4273" spans="5:8">
      <c r="E4273" s="3"/>
      <c r="F4273" s="3"/>
      <c r="G4273" s="3"/>
      <c r="H4273" s="3"/>
    </row>
    <row r="4274" spans="5:8">
      <c r="E4274" s="3"/>
      <c r="F4274" s="3"/>
      <c r="G4274" s="3"/>
      <c r="H4274" s="3"/>
    </row>
    <row r="4275" spans="5:8">
      <c r="E4275" s="3"/>
      <c r="F4275" s="3"/>
      <c r="G4275" s="3"/>
      <c r="H4275" s="3"/>
    </row>
    <row r="4276" spans="5:8">
      <c r="E4276" s="3"/>
      <c r="F4276" s="3"/>
      <c r="G4276" s="3"/>
      <c r="H4276" s="3"/>
    </row>
    <row r="4277" spans="5:8">
      <c r="E4277" s="3"/>
      <c r="F4277" s="3"/>
      <c r="G4277" s="3"/>
      <c r="H4277" s="3"/>
    </row>
    <row r="4278" spans="5:8">
      <c r="E4278" s="3"/>
      <c r="F4278" s="3"/>
      <c r="G4278" s="3"/>
      <c r="H4278" s="3"/>
    </row>
    <row r="4279" spans="5:8">
      <c r="E4279" s="3"/>
      <c r="F4279" s="3"/>
      <c r="G4279" s="3"/>
      <c r="H4279" s="3"/>
    </row>
    <row r="4280" spans="5:8">
      <c r="E4280" s="3"/>
      <c r="F4280" s="3"/>
      <c r="G4280" s="3"/>
      <c r="H4280" s="3"/>
    </row>
    <row r="4281" spans="5:8">
      <c r="E4281" s="3"/>
      <c r="F4281" s="3"/>
      <c r="G4281" s="3"/>
      <c r="H4281" s="3"/>
    </row>
    <row r="4282" spans="5:8">
      <c r="E4282" s="3"/>
      <c r="F4282" s="3"/>
      <c r="G4282" s="3"/>
      <c r="H4282" s="3"/>
    </row>
    <row r="4283" spans="5:8">
      <c r="E4283" s="3"/>
      <c r="F4283" s="3"/>
      <c r="G4283" s="3"/>
      <c r="H4283" s="3"/>
    </row>
    <row r="4284" spans="5:8">
      <c r="E4284" s="3"/>
      <c r="F4284" s="3"/>
      <c r="G4284" s="3"/>
      <c r="H4284" s="3"/>
    </row>
    <row r="4285" spans="5:8">
      <c r="E4285" s="3"/>
      <c r="F4285" s="3"/>
      <c r="G4285" s="3"/>
      <c r="H4285" s="3"/>
    </row>
    <row r="4286" spans="5:8">
      <c r="E4286" s="3"/>
      <c r="F4286" s="3"/>
      <c r="G4286" s="3"/>
      <c r="H4286" s="3"/>
    </row>
    <row r="4287" spans="5:8">
      <c r="E4287" s="3"/>
      <c r="F4287" s="3"/>
      <c r="G4287" s="3"/>
      <c r="H4287" s="3"/>
    </row>
    <row r="4288" spans="5:8">
      <c r="E4288" s="3"/>
      <c r="F4288" s="3"/>
      <c r="G4288" s="3"/>
      <c r="H4288" s="3"/>
    </row>
    <row r="4289" spans="5:8">
      <c r="E4289" s="3"/>
      <c r="F4289" s="3"/>
      <c r="G4289" s="3"/>
      <c r="H4289" s="3"/>
    </row>
    <row r="4290" spans="5:8">
      <c r="E4290" s="3"/>
      <c r="F4290" s="3"/>
      <c r="G4290" s="3"/>
      <c r="H4290" s="3"/>
    </row>
    <row r="4291" spans="5:8">
      <c r="E4291" s="3"/>
      <c r="F4291" s="3"/>
      <c r="G4291" s="3"/>
      <c r="H4291" s="3"/>
    </row>
    <row r="4292" spans="5:8">
      <c r="E4292" s="3"/>
      <c r="F4292" s="3"/>
      <c r="G4292" s="3"/>
      <c r="H4292" s="3"/>
    </row>
    <row r="4293" spans="5:8">
      <c r="E4293" s="3"/>
      <c r="F4293" s="3"/>
      <c r="G4293" s="3"/>
      <c r="H4293" s="3"/>
    </row>
    <row r="4294" spans="5:8">
      <c r="E4294" s="3"/>
      <c r="F4294" s="3"/>
      <c r="G4294" s="3"/>
      <c r="H4294" s="3"/>
    </row>
    <row r="4295" spans="5:8">
      <c r="E4295" s="3"/>
      <c r="F4295" s="3"/>
      <c r="G4295" s="3"/>
      <c r="H4295" s="3"/>
    </row>
    <row r="4296" spans="5:8">
      <c r="E4296" s="3"/>
      <c r="F4296" s="3"/>
      <c r="G4296" s="3"/>
      <c r="H4296" s="3"/>
    </row>
    <row r="4297" spans="5:8">
      <c r="E4297" s="3"/>
      <c r="F4297" s="3"/>
      <c r="G4297" s="3"/>
      <c r="H4297" s="3"/>
    </row>
    <row r="4298" spans="5:8">
      <c r="E4298" s="3"/>
      <c r="F4298" s="3"/>
      <c r="G4298" s="3"/>
      <c r="H4298" s="3"/>
    </row>
    <row r="4299" spans="5:8">
      <c r="E4299" s="3"/>
      <c r="F4299" s="3"/>
      <c r="G4299" s="3"/>
      <c r="H4299" s="3"/>
    </row>
    <row r="4300" spans="5:8">
      <c r="E4300" s="3"/>
      <c r="F4300" s="3"/>
      <c r="G4300" s="3"/>
      <c r="H4300" s="3"/>
    </row>
    <row r="4301" spans="5:8">
      <c r="E4301" s="3"/>
      <c r="F4301" s="3"/>
      <c r="G4301" s="3"/>
      <c r="H4301" s="3"/>
    </row>
    <row r="4302" spans="5:8">
      <c r="E4302" s="3"/>
      <c r="F4302" s="3"/>
      <c r="G4302" s="3"/>
      <c r="H4302" s="3"/>
    </row>
    <row r="4303" spans="5:8">
      <c r="E4303" s="3"/>
      <c r="F4303" s="3"/>
      <c r="G4303" s="3"/>
      <c r="H4303" s="3"/>
    </row>
    <row r="4304" spans="5:8">
      <c r="E4304" s="3"/>
      <c r="F4304" s="3"/>
      <c r="G4304" s="3"/>
      <c r="H4304" s="3"/>
    </row>
    <row r="4305" spans="5:8">
      <c r="E4305" s="3"/>
      <c r="F4305" s="3"/>
      <c r="G4305" s="3"/>
      <c r="H4305" s="3"/>
    </row>
    <row r="4306" spans="5:8">
      <c r="E4306" s="3"/>
      <c r="F4306" s="3"/>
      <c r="G4306" s="3"/>
      <c r="H4306" s="3"/>
    </row>
    <row r="4307" spans="5:8">
      <c r="E4307" s="3"/>
      <c r="F4307" s="3"/>
      <c r="G4307" s="3"/>
      <c r="H4307" s="3"/>
    </row>
    <row r="4308" spans="5:8">
      <c r="E4308" s="3"/>
      <c r="F4308" s="3"/>
      <c r="G4308" s="3"/>
      <c r="H4308" s="3"/>
    </row>
    <row r="4309" spans="5:8">
      <c r="E4309" s="3"/>
      <c r="F4309" s="3"/>
      <c r="G4309" s="3"/>
      <c r="H4309" s="3"/>
    </row>
    <row r="4310" spans="5:8">
      <c r="E4310" s="3"/>
      <c r="F4310" s="3"/>
      <c r="G4310" s="3"/>
      <c r="H4310" s="3"/>
    </row>
    <row r="4311" spans="5:8">
      <c r="E4311" s="3"/>
      <c r="F4311" s="3"/>
      <c r="G4311" s="3"/>
      <c r="H4311" s="3"/>
    </row>
    <row r="4312" spans="5:8">
      <c r="E4312" s="3"/>
      <c r="F4312" s="3"/>
      <c r="G4312" s="3"/>
      <c r="H4312" s="3"/>
    </row>
    <row r="4313" spans="5:8">
      <c r="E4313" s="3"/>
      <c r="F4313" s="3"/>
      <c r="G4313" s="3"/>
      <c r="H4313" s="3"/>
    </row>
    <row r="4314" spans="5:8">
      <c r="E4314" s="3"/>
      <c r="F4314" s="3"/>
      <c r="G4314" s="3"/>
      <c r="H4314" s="3"/>
    </row>
    <row r="4315" spans="5:8">
      <c r="E4315" s="3"/>
      <c r="F4315" s="3"/>
      <c r="G4315" s="3"/>
      <c r="H4315" s="3"/>
    </row>
    <row r="4316" spans="5:8">
      <c r="E4316" s="3"/>
      <c r="F4316" s="3"/>
      <c r="G4316" s="3"/>
      <c r="H4316" s="3"/>
    </row>
    <row r="4317" spans="5:8">
      <c r="E4317" s="3"/>
      <c r="F4317" s="3"/>
      <c r="G4317" s="3"/>
      <c r="H4317" s="3"/>
    </row>
    <row r="4318" spans="5:8">
      <c r="E4318" s="3"/>
      <c r="F4318" s="3"/>
      <c r="G4318" s="3"/>
      <c r="H4318" s="3"/>
    </row>
    <row r="4319" spans="5:8">
      <c r="E4319" s="3"/>
      <c r="F4319" s="3"/>
      <c r="G4319" s="3"/>
      <c r="H4319" s="3"/>
    </row>
    <row r="4320" spans="5:8">
      <c r="E4320" s="3"/>
      <c r="F4320" s="3"/>
      <c r="G4320" s="3"/>
      <c r="H4320" s="3"/>
    </row>
    <row r="4321" spans="5:8">
      <c r="E4321" s="3"/>
      <c r="F4321" s="3"/>
      <c r="G4321" s="3"/>
      <c r="H4321" s="3"/>
    </row>
    <row r="4322" spans="5:8">
      <c r="E4322" s="3"/>
      <c r="F4322" s="3"/>
      <c r="G4322" s="3"/>
      <c r="H4322" s="3"/>
    </row>
    <row r="4323" spans="5:8">
      <c r="E4323" s="3"/>
      <c r="F4323" s="3"/>
      <c r="G4323" s="3"/>
      <c r="H4323" s="3"/>
    </row>
    <row r="4324" spans="5:8">
      <c r="E4324" s="3"/>
      <c r="F4324" s="3"/>
      <c r="G4324" s="3"/>
      <c r="H4324" s="3"/>
    </row>
    <row r="4325" spans="5:8">
      <c r="E4325" s="3"/>
      <c r="F4325" s="3"/>
      <c r="G4325" s="3"/>
      <c r="H4325" s="3"/>
    </row>
    <row r="4326" spans="5:8">
      <c r="E4326" s="3"/>
      <c r="F4326" s="3"/>
      <c r="G4326" s="3"/>
      <c r="H4326" s="3"/>
    </row>
    <row r="4327" spans="5:8">
      <c r="E4327" s="3"/>
      <c r="F4327" s="3"/>
      <c r="G4327" s="3"/>
      <c r="H4327" s="3"/>
    </row>
    <row r="4328" spans="5:8">
      <c r="E4328" s="3"/>
      <c r="F4328" s="3"/>
      <c r="G4328" s="3"/>
      <c r="H4328" s="3"/>
    </row>
    <row r="4329" spans="5:8">
      <c r="E4329" s="3"/>
      <c r="F4329" s="3"/>
      <c r="G4329" s="3"/>
      <c r="H4329" s="3"/>
    </row>
    <row r="4330" spans="5:8">
      <c r="E4330" s="3"/>
      <c r="F4330" s="3"/>
      <c r="G4330" s="3"/>
      <c r="H4330" s="3"/>
    </row>
    <row r="4331" spans="5:8">
      <c r="E4331" s="3"/>
      <c r="F4331" s="3"/>
      <c r="G4331" s="3"/>
      <c r="H4331" s="3"/>
    </row>
    <row r="4332" spans="5:8">
      <c r="E4332" s="3"/>
      <c r="F4332" s="3"/>
      <c r="G4332" s="3"/>
      <c r="H4332" s="3"/>
    </row>
    <row r="4333" spans="5:8">
      <c r="E4333" s="3"/>
      <c r="F4333" s="3"/>
      <c r="G4333" s="3"/>
      <c r="H4333" s="3"/>
    </row>
    <row r="4334" spans="5:8">
      <c r="E4334" s="3"/>
      <c r="F4334" s="3"/>
      <c r="G4334" s="3"/>
      <c r="H4334" s="3"/>
    </row>
    <row r="4335" spans="5:8">
      <c r="E4335" s="3"/>
      <c r="F4335" s="3"/>
      <c r="G4335" s="3"/>
      <c r="H4335" s="3"/>
    </row>
    <row r="4336" spans="5:8">
      <c r="E4336" s="3"/>
      <c r="F4336" s="3"/>
      <c r="G4336" s="3"/>
      <c r="H4336" s="3"/>
    </row>
    <row r="4337" spans="5:8">
      <c r="E4337" s="3"/>
      <c r="F4337" s="3"/>
      <c r="G4337" s="3"/>
      <c r="H4337" s="3"/>
    </row>
    <row r="4338" spans="5:8">
      <c r="E4338" s="3"/>
      <c r="F4338" s="3"/>
      <c r="G4338" s="3"/>
      <c r="H4338" s="3"/>
    </row>
    <row r="4339" spans="5:8">
      <c r="E4339" s="3"/>
      <c r="F4339" s="3"/>
      <c r="G4339" s="3"/>
      <c r="H4339" s="3"/>
    </row>
    <row r="4340" spans="5:8">
      <c r="E4340" s="3"/>
      <c r="F4340" s="3"/>
      <c r="G4340" s="3"/>
      <c r="H4340" s="3"/>
    </row>
    <row r="4341" spans="5:8">
      <c r="E4341" s="3"/>
      <c r="F4341" s="3"/>
      <c r="G4341" s="3"/>
      <c r="H4341" s="3"/>
    </row>
    <row r="4342" spans="5:8">
      <c r="E4342" s="3"/>
      <c r="F4342" s="3"/>
      <c r="G4342" s="3"/>
      <c r="H4342" s="3"/>
    </row>
    <row r="4343" spans="5:8">
      <c r="E4343" s="3"/>
      <c r="F4343" s="3"/>
      <c r="G4343" s="3"/>
      <c r="H4343" s="3"/>
    </row>
    <row r="4344" spans="5:8">
      <c r="E4344" s="3"/>
      <c r="F4344" s="3"/>
      <c r="G4344" s="3"/>
      <c r="H4344" s="3"/>
    </row>
    <row r="4345" spans="5:8">
      <c r="E4345" s="3"/>
      <c r="F4345" s="3"/>
      <c r="G4345" s="3"/>
      <c r="H4345" s="3"/>
    </row>
    <row r="4346" spans="5:8">
      <c r="E4346" s="3"/>
      <c r="F4346" s="3"/>
      <c r="G4346" s="3"/>
      <c r="H4346" s="3"/>
    </row>
    <row r="4347" spans="5:8">
      <c r="E4347" s="3"/>
      <c r="F4347" s="3"/>
      <c r="G4347" s="3"/>
      <c r="H4347" s="3"/>
    </row>
    <row r="4348" spans="5:8">
      <c r="E4348" s="3"/>
      <c r="F4348" s="3"/>
      <c r="G4348" s="3"/>
      <c r="H4348" s="3"/>
    </row>
    <row r="4349" spans="5:8">
      <c r="E4349" s="3"/>
      <c r="F4349" s="3"/>
      <c r="G4349" s="3"/>
      <c r="H4349" s="3"/>
    </row>
    <row r="4350" spans="5:8">
      <c r="E4350" s="3"/>
      <c r="F4350" s="3"/>
      <c r="G4350" s="3"/>
      <c r="H4350" s="3"/>
    </row>
    <row r="4351" spans="5:8">
      <c r="E4351" s="3"/>
      <c r="F4351" s="3"/>
      <c r="G4351" s="3"/>
      <c r="H4351" s="3"/>
    </row>
    <row r="4352" spans="5:8">
      <c r="E4352" s="3"/>
      <c r="F4352" s="3"/>
      <c r="G4352" s="3"/>
      <c r="H4352" s="3"/>
    </row>
    <row r="4353" spans="5:8">
      <c r="E4353" s="3"/>
      <c r="F4353" s="3"/>
      <c r="G4353" s="3"/>
      <c r="H4353" s="3"/>
    </row>
    <row r="4354" spans="5:8">
      <c r="E4354" s="3"/>
      <c r="F4354" s="3"/>
      <c r="G4354" s="3"/>
      <c r="H4354" s="3"/>
    </row>
    <row r="4355" spans="5:8">
      <c r="E4355" s="3"/>
      <c r="F4355" s="3"/>
      <c r="G4355" s="3"/>
      <c r="H4355" s="3"/>
    </row>
    <row r="4356" spans="5:8">
      <c r="E4356" s="3"/>
      <c r="F4356" s="3"/>
      <c r="G4356" s="3"/>
      <c r="H4356" s="3"/>
    </row>
    <row r="4357" spans="5:8">
      <c r="E4357" s="3"/>
      <c r="F4357" s="3"/>
      <c r="G4357" s="3"/>
      <c r="H4357" s="3"/>
    </row>
    <row r="4358" spans="5:8">
      <c r="E4358" s="3"/>
      <c r="F4358" s="3"/>
      <c r="G4358" s="3"/>
      <c r="H4358" s="3"/>
    </row>
    <row r="4359" spans="5:8">
      <c r="E4359" s="3"/>
      <c r="F4359" s="3"/>
      <c r="G4359" s="3"/>
      <c r="H4359" s="3"/>
    </row>
    <row r="4360" spans="5:8">
      <c r="E4360" s="3"/>
      <c r="F4360" s="3"/>
      <c r="G4360" s="3"/>
      <c r="H4360" s="3"/>
    </row>
    <row r="4361" spans="5:8">
      <c r="E4361" s="3"/>
      <c r="F4361" s="3"/>
      <c r="G4361" s="3"/>
      <c r="H4361" s="3"/>
    </row>
    <row r="4362" spans="5:8">
      <c r="E4362" s="3"/>
      <c r="F4362" s="3"/>
      <c r="G4362" s="3"/>
      <c r="H4362" s="3"/>
    </row>
    <row r="4363" spans="5:8">
      <c r="E4363" s="3"/>
      <c r="F4363" s="3"/>
      <c r="G4363" s="3"/>
      <c r="H4363" s="3"/>
    </row>
    <row r="4364" spans="5:8">
      <c r="E4364" s="3"/>
      <c r="F4364" s="3"/>
      <c r="G4364" s="3"/>
      <c r="H4364" s="3"/>
    </row>
    <row r="4365" spans="5:8">
      <c r="E4365" s="3"/>
      <c r="F4365" s="3"/>
      <c r="G4365" s="3"/>
      <c r="H4365" s="3"/>
    </row>
    <row r="4366" spans="5:8">
      <c r="E4366" s="3"/>
      <c r="F4366" s="3"/>
      <c r="G4366" s="3"/>
      <c r="H4366" s="3"/>
    </row>
    <row r="4367" spans="5:8">
      <c r="E4367" s="3"/>
      <c r="F4367" s="3"/>
      <c r="G4367" s="3"/>
      <c r="H4367" s="3"/>
    </row>
    <row r="4368" spans="5:8">
      <c r="E4368" s="3"/>
      <c r="F4368" s="3"/>
      <c r="G4368" s="3"/>
      <c r="H4368" s="3"/>
    </row>
    <row r="4369" spans="5:8">
      <c r="E4369" s="3"/>
      <c r="F4369" s="3"/>
      <c r="G4369" s="3"/>
      <c r="H4369" s="3"/>
    </row>
    <row r="4370" spans="5:8">
      <c r="E4370" s="3"/>
      <c r="F4370" s="3"/>
      <c r="G4370" s="3"/>
      <c r="H4370" s="3"/>
    </row>
    <row r="4371" spans="5:8">
      <c r="E4371" s="3"/>
      <c r="F4371" s="3"/>
      <c r="G4371" s="3"/>
      <c r="H4371" s="3"/>
    </row>
    <row r="4372" spans="5:8">
      <c r="E4372" s="3"/>
      <c r="F4372" s="3"/>
      <c r="G4372" s="3"/>
      <c r="H4372" s="3"/>
    </row>
    <row r="4373" spans="5:8">
      <c r="E4373" s="3"/>
      <c r="F4373" s="3"/>
      <c r="G4373" s="3"/>
      <c r="H4373" s="3"/>
    </row>
    <row r="4374" spans="5:8">
      <c r="E4374" s="3"/>
      <c r="F4374" s="3"/>
      <c r="G4374" s="3"/>
      <c r="H4374" s="3"/>
    </row>
    <row r="4375" spans="5:8">
      <c r="E4375" s="3"/>
      <c r="F4375" s="3"/>
      <c r="G4375" s="3"/>
      <c r="H4375" s="3"/>
    </row>
    <row r="4376" spans="5:8">
      <c r="E4376" s="3"/>
      <c r="F4376" s="3"/>
      <c r="G4376" s="3"/>
      <c r="H4376" s="3"/>
    </row>
    <row r="4377" spans="5:8">
      <c r="E4377" s="3"/>
      <c r="F4377" s="3"/>
      <c r="G4377" s="3"/>
      <c r="H4377" s="3"/>
    </row>
    <row r="4378" spans="5:8">
      <c r="E4378" s="3"/>
      <c r="F4378" s="3"/>
      <c r="G4378" s="3"/>
      <c r="H4378" s="3"/>
    </row>
    <row r="4379" spans="5:8">
      <c r="E4379" s="3"/>
      <c r="F4379" s="3"/>
      <c r="G4379" s="3"/>
      <c r="H4379" s="3"/>
    </row>
    <row r="4380" spans="5:8">
      <c r="E4380" s="3"/>
      <c r="F4380" s="3"/>
      <c r="G4380" s="3"/>
      <c r="H4380" s="3"/>
    </row>
    <row r="4381" spans="5:8">
      <c r="E4381" s="3"/>
      <c r="F4381" s="3"/>
      <c r="G4381" s="3"/>
      <c r="H4381" s="3"/>
    </row>
    <row r="4382" spans="5:8">
      <c r="E4382" s="3"/>
      <c r="F4382" s="3"/>
      <c r="G4382" s="3"/>
      <c r="H4382" s="3"/>
    </row>
    <row r="4383" spans="5:8">
      <c r="E4383" s="3"/>
      <c r="F4383" s="3"/>
      <c r="G4383" s="3"/>
      <c r="H4383" s="3"/>
    </row>
    <row r="4384" spans="5:8">
      <c r="E4384" s="3"/>
      <c r="F4384" s="3"/>
      <c r="G4384" s="3"/>
      <c r="H4384" s="3"/>
    </row>
    <row r="4385" spans="5:8">
      <c r="E4385" s="3"/>
      <c r="F4385" s="3"/>
      <c r="G4385" s="3"/>
      <c r="H4385" s="3"/>
    </row>
    <row r="4386" spans="5:8">
      <c r="E4386" s="3"/>
      <c r="F4386" s="3"/>
      <c r="G4386" s="3"/>
      <c r="H4386" s="3"/>
    </row>
    <row r="4387" spans="5:8">
      <c r="E4387" s="3"/>
      <c r="F4387" s="3"/>
      <c r="G4387" s="3"/>
      <c r="H4387" s="3"/>
    </row>
    <row r="4388" spans="5:8">
      <c r="E4388" s="3"/>
      <c r="F4388" s="3"/>
      <c r="G4388" s="3"/>
      <c r="H4388" s="3"/>
    </row>
    <row r="4389" spans="5:8">
      <c r="E4389" s="3"/>
      <c r="F4389" s="3"/>
      <c r="G4389" s="3"/>
      <c r="H4389" s="3"/>
    </row>
    <row r="4390" spans="5:8">
      <c r="E4390" s="3"/>
      <c r="F4390" s="3"/>
      <c r="G4390" s="3"/>
      <c r="H4390" s="3"/>
    </row>
    <row r="4391" spans="5:8">
      <c r="E4391" s="3"/>
      <c r="F4391" s="3"/>
      <c r="G4391" s="3"/>
      <c r="H4391" s="3"/>
    </row>
    <row r="4392" spans="5:8">
      <c r="E4392" s="3"/>
      <c r="F4392" s="3"/>
      <c r="G4392" s="3"/>
      <c r="H4392" s="3"/>
    </row>
    <row r="4393" spans="5:8">
      <c r="E4393" s="3"/>
      <c r="F4393" s="3"/>
      <c r="G4393" s="3"/>
      <c r="H4393" s="3"/>
    </row>
    <row r="4394" spans="5:8">
      <c r="E4394" s="3"/>
      <c r="F4394" s="3"/>
      <c r="G4394" s="3"/>
      <c r="H4394" s="3"/>
    </row>
    <row r="4395" spans="5:8">
      <c r="E4395" s="3"/>
      <c r="F4395" s="3"/>
      <c r="G4395" s="3"/>
      <c r="H4395" s="3"/>
    </row>
    <row r="4396" spans="5:8">
      <c r="E4396" s="3"/>
      <c r="F4396" s="3"/>
      <c r="G4396" s="3"/>
      <c r="H4396" s="3"/>
    </row>
    <row r="4397" spans="5:8">
      <c r="E4397" s="3"/>
      <c r="F4397" s="3"/>
      <c r="G4397" s="3"/>
      <c r="H4397" s="3"/>
    </row>
    <row r="4398" spans="5:8">
      <c r="E4398" s="3"/>
      <c r="F4398" s="3"/>
      <c r="G4398" s="3"/>
      <c r="H4398" s="3"/>
    </row>
    <row r="4399" spans="5:8">
      <c r="E4399" s="3"/>
      <c r="F4399" s="3"/>
      <c r="G4399" s="3"/>
      <c r="H4399" s="3"/>
    </row>
    <row r="4400" spans="5:8">
      <c r="E4400" s="3"/>
      <c r="F4400" s="3"/>
      <c r="G4400" s="3"/>
      <c r="H4400" s="3"/>
    </row>
    <row r="4401" spans="5:8">
      <c r="E4401" s="3"/>
      <c r="F4401" s="3"/>
      <c r="G4401" s="3"/>
      <c r="H4401" s="3"/>
    </row>
    <row r="4402" spans="5:8">
      <c r="E4402" s="3"/>
      <c r="F4402" s="3"/>
      <c r="G4402" s="3"/>
      <c r="H4402" s="3"/>
    </row>
    <row r="4403" spans="5:8">
      <c r="E4403" s="3"/>
      <c r="F4403" s="3"/>
      <c r="G4403" s="3"/>
      <c r="H4403" s="3"/>
    </row>
    <row r="4404" spans="5:8">
      <c r="E4404" s="3"/>
      <c r="F4404" s="3"/>
      <c r="G4404" s="3"/>
      <c r="H4404" s="3"/>
    </row>
    <row r="4405" spans="5:8">
      <c r="E4405" s="3"/>
      <c r="F4405" s="3"/>
      <c r="G4405" s="3"/>
      <c r="H4405" s="3"/>
    </row>
    <row r="4406" spans="5:8">
      <c r="E4406" s="3"/>
      <c r="F4406" s="3"/>
      <c r="G4406" s="3"/>
      <c r="H4406" s="3"/>
    </row>
    <row r="4407" spans="5:8">
      <c r="E4407" s="3"/>
      <c r="F4407" s="3"/>
      <c r="G4407" s="3"/>
      <c r="H4407" s="3"/>
    </row>
    <row r="4408" spans="5:8">
      <c r="E4408" s="3"/>
      <c r="F4408" s="3"/>
      <c r="G4408" s="3"/>
      <c r="H4408" s="3"/>
    </row>
    <row r="4409" spans="5:8">
      <c r="E4409" s="3"/>
      <c r="F4409" s="3"/>
      <c r="G4409" s="3"/>
      <c r="H4409" s="3"/>
    </row>
    <row r="4410" spans="5:8">
      <c r="E4410" s="3"/>
      <c r="F4410" s="3"/>
      <c r="G4410" s="3"/>
      <c r="H4410" s="3"/>
    </row>
    <row r="4411" spans="5:8">
      <c r="E4411" s="3"/>
      <c r="F4411" s="3"/>
      <c r="G4411" s="3"/>
      <c r="H4411" s="3"/>
    </row>
    <row r="4412" spans="5:8">
      <c r="E4412" s="3"/>
      <c r="F4412" s="3"/>
      <c r="G4412" s="3"/>
      <c r="H4412" s="3"/>
    </row>
    <row r="4413" spans="5:8">
      <c r="E4413" s="3"/>
      <c r="F4413" s="3"/>
      <c r="G4413" s="3"/>
      <c r="H4413" s="3"/>
    </row>
    <row r="4414" spans="5:8">
      <c r="E4414" s="3"/>
      <c r="F4414" s="3"/>
      <c r="G4414" s="3"/>
      <c r="H4414" s="3"/>
    </row>
    <row r="4415" spans="5:8">
      <c r="E4415" s="3"/>
      <c r="F4415" s="3"/>
      <c r="G4415" s="3"/>
      <c r="H4415" s="3"/>
    </row>
    <row r="4416" spans="5:8">
      <c r="E4416" s="3"/>
      <c r="F4416" s="3"/>
      <c r="G4416" s="3"/>
      <c r="H4416" s="3"/>
    </row>
    <row r="4417" spans="5:8">
      <c r="E4417" s="3"/>
      <c r="F4417" s="3"/>
      <c r="G4417" s="3"/>
      <c r="H4417" s="3"/>
    </row>
    <row r="4418" spans="5:8">
      <c r="E4418" s="3"/>
      <c r="F4418" s="3"/>
      <c r="G4418" s="3"/>
      <c r="H4418" s="3"/>
    </row>
    <row r="4419" spans="5:8">
      <c r="E4419" s="3"/>
      <c r="F4419" s="3"/>
      <c r="G4419" s="3"/>
      <c r="H4419" s="3"/>
    </row>
    <row r="4420" spans="5:8">
      <c r="E4420" s="3"/>
      <c r="F4420" s="3"/>
      <c r="G4420" s="3"/>
      <c r="H4420" s="3"/>
    </row>
    <row r="4421" spans="5:8">
      <c r="E4421" s="3"/>
      <c r="F4421" s="3"/>
      <c r="G4421" s="3"/>
      <c r="H4421" s="3"/>
    </row>
    <row r="4422" spans="5:8">
      <c r="E4422" s="3"/>
      <c r="F4422" s="3"/>
      <c r="G4422" s="3"/>
      <c r="H4422" s="3"/>
    </row>
    <row r="4423" spans="5:8">
      <c r="E4423" s="3"/>
      <c r="F4423" s="3"/>
      <c r="G4423" s="3"/>
      <c r="H4423" s="3"/>
    </row>
    <row r="4424" spans="5:8">
      <c r="E4424" s="3"/>
      <c r="F4424" s="3"/>
      <c r="G4424" s="3"/>
      <c r="H4424" s="3"/>
    </row>
    <row r="4425" spans="5:8">
      <c r="E4425" s="3"/>
      <c r="F4425" s="3"/>
      <c r="G4425" s="3"/>
      <c r="H4425" s="3"/>
    </row>
    <row r="4426" spans="5:8">
      <c r="E4426" s="3"/>
      <c r="F4426" s="3"/>
      <c r="G4426" s="3"/>
      <c r="H4426" s="3"/>
    </row>
    <row r="4427" spans="5:8">
      <c r="E4427" s="3"/>
      <c r="F4427" s="3"/>
      <c r="G4427" s="3"/>
      <c r="H4427" s="3"/>
    </row>
    <row r="4428" spans="5:8">
      <c r="E4428" s="3"/>
      <c r="F4428" s="3"/>
      <c r="G4428" s="3"/>
      <c r="H4428" s="3"/>
    </row>
    <row r="4429" spans="5:8">
      <c r="E4429" s="3"/>
      <c r="F4429" s="3"/>
      <c r="G4429" s="3"/>
      <c r="H4429" s="3"/>
    </row>
    <row r="4430" spans="5:8">
      <c r="E4430" s="3"/>
      <c r="F4430" s="3"/>
      <c r="G4430" s="3"/>
      <c r="H4430" s="3"/>
    </row>
    <row r="4431" spans="5:8">
      <c r="E4431" s="3"/>
      <c r="F4431" s="3"/>
      <c r="G4431" s="3"/>
      <c r="H4431" s="3"/>
    </row>
    <row r="4432" spans="5:8">
      <c r="E4432" s="3"/>
      <c r="F4432" s="3"/>
      <c r="G4432" s="3"/>
      <c r="H4432" s="3"/>
    </row>
    <row r="4433" spans="5:8">
      <c r="E4433" s="3"/>
      <c r="F4433" s="3"/>
      <c r="G4433" s="3"/>
      <c r="H4433" s="3"/>
    </row>
    <row r="4434" spans="5:8">
      <c r="E4434" s="3"/>
      <c r="F4434" s="3"/>
      <c r="G4434" s="3"/>
      <c r="H4434" s="3"/>
    </row>
    <row r="4435" spans="5:8">
      <c r="E4435" s="3"/>
      <c r="F4435" s="3"/>
      <c r="G4435" s="3"/>
      <c r="H4435" s="3"/>
    </row>
    <row r="4436" spans="5:8">
      <c r="E4436" s="3"/>
      <c r="F4436" s="3"/>
      <c r="G4436" s="3"/>
      <c r="H4436" s="3"/>
    </row>
    <row r="4437" spans="5:8">
      <c r="E4437" s="3"/>
      <c r="F4437" s="3"/>
      <c r="G4437" s="3"/>
      <c r="H4437" s="3"/>
    </row>
    <row r="4438" spans="5:8">
      <c r="E4438" s="3"/>
      <c r="F4438" s="3"/>
      <c r="G4438" s="3"/>
      <c r="H4438" s="3"/>
    </row>
    <row r="4439" spans="5:8">
      <c r="E4439" s="3"/>
      <c r="F4439" s="3"/>
      <c r="G4439" s="3"/>
      <c r="H4439" s="3"/>
    </row>
    <row r="4440" spans="5:8">
      <c r="E4440" s="3"/>
      <c r="F4440" s="3"/>
      <c r="G4440" s="3"/>
      <c r="H4440" s="3"/>
    </row>
    <row r="4441" spans="5:8">
      <c r="E4441" s="3"/>
      <c r="F4441" s="3"/>
      <c r="G4441" s="3"/>
      <c r="H4441" s="3"/>
    </row>
    <row r="4442" spans="5:8">
      <c r="E4442" s="3"/>
      <c r="F4442" s="3"/>
      <c r="G4442" s="3"/>
      <c r="H4442" s="3"/>
    </row>
    <row r="4443" spans="5:8">
      <c r="E4443" s="3"/>
      <c r="F4443" s="3"/>
      <c r="G4443" s="3"/>
      <c r="H4443" s="3"/>
    </row>
    <row r="4444" spans="5:8">
      <c r="E4444" s="3"/>
      <c r="F4444" s="3"/>
      <c r="G4444" s="3"/>
      <c r="H4444" s="3"/>
    </row>
    <row r="4445" spans="5:8">
      <c r="E4445" s="3"/>
      <c r="F4445" s="3"/>
      <c r="G4445" s="3"/>
      <c r="H4445" s="3"/>
    </row>
    <row r="4446" spans="5:8">
      <c r="E4446" s="3"/>
      <c r="F4446" s="3"/>
      <c r="G4446" s="3"/>
      <c r="H4446" s="3"/>
    </row>
    <row r="4447" spans="5:8">
      <c r="E4447" s="3"/>
      <c r="F4447" s="3"/>
      <c r="G4447" s="3"/>
      <c r="H4447" s="3"/>
    </row>
    <row r="4448" spans="5:8">
      <c r="E4448" s="3"/>
      <c r="F4448" s="3"/>
      <c r="G4448" s="3"/>
      <c r="H4448" s="3"/>
    </row>
    <row r="4449" spans="5:8">
      <c r="E4449" s="3"/>
      <c r="F4449" s="3"/>
      <c r="G4449" s="3"/>
      <c r="H4449" s="3"/>
    </row>
    <row r="4450" spans="5:8">
      <c r="E4450" s="3"/>
      <c r="F4450" s="3"/>
      <c r="G4450" s="3"/>
      <c r="H4450" s="3"/>
    </row>
    <row r="4451" spans="5:8">
      <c r="E4451" s="3"/>
      <c r="F4451" s="3"/>
      <c r="G4451" s="3"/>
      <c r="H4451" s="3"/>
    </row>
    <row r="4452" spans="5:8">
      <c r="E4452" s="3"/>
      <c r="F4452" s="3"/>
      <c r="G4452" s="3"/>
      <c r="H4452" s="3"/>
    </row>
    <row r="4453" spans="5:8">
      <c r="E4453" s="3"/>
      <c r="F4453" s="3"/>
      <c r="G4453" s="3"/>
      <c r="H4453" s="3"/>
    </row>
    <row r="4454" spans="5:8">
      <c r="E4454" s="3"/>
      <c r="F4454" s="3"/>
      <c r="G4454" s="3"/>
      <c r="H4454" s="3"/>
    </row>
    <row r="4455" spans="5:8">
      <c r="E4455" s="3"/>
      <c r="F4455" s="3"/>
      <c r="G4455" s="3"/>
      <c r="H4455" s="3"/>
    </row>
    <row r="4456" spans="5:8">
      <c r="E4456" s="3"/>
      <c r="F4456" s="3"/>
      <c r="G4456" s="3"/>
      <c r="H4456" s="3"/>
    </row>
    <row r="4457" spans="5:8">
      <c r="E4457" s="3"/>
      <c r="F4457" s="3"/>
      <c r="G4457" s="3"/>
      <c r="H4457" s="3"/>
    </row>
    <row r="4458" spans="5:8">
      <c r="E4458" s="3"/>
      <c r="F4458" s="3"/>
      <c r="G4458" s="3"/>
      <c r="H4458" s="3"/>
    </row>
    <row r="4459" spans="5:8">
      <c r="E4459" s="3"/>
      <c r="F4459" s="3"/>
      <c r="G4459" s="3"/>
      <c r="H4459" s="3"/>
    </row>
    <row r="4460" spans="5:8">
      <c r="E4460" s="3"/>
      <c r="F4460" s="3"/>
      <c r="G4460" s="3"/>
      <c r="H4460" s="3"/>
    </row>
    <row r="4461" spans="5:8">
      <c r="E4461" s="3"/>
      <c r="F4461" s="3"/>
      <c r="G4461" s="3"/>
      <c r="H4461" s="3"/>
    </row>
    <row r="4462" spans="5:8">
      <c r="E4462" s="3"/>
      <c r="F4462" s="3"/>
      <c r="G4462" s="3"/>
      <c r="H4462" s="3"/>
    </row>
    <row r="4463" spans="5:8">
      <c r="E4463" s="3"/>
      <c r="F4463" s="3"/>
      <c r="G4463" s="3"/>
      <c r="H4463" s="3"/>
    </row>
    <row r="4464" spans="5:8">
      <c r="E4464" s="3"/>
      <c r="F4464" s="3"/>
      <c r="G4464" s="3"/>
      <c r="H4464" s="3"/>
    </row>
    <row r="4465" spans="5:8">
      <c r="E4465" s="3"/>
      <c r="F4465" s="3"/>
      <c r="G4465" s="3"/>
      <c r="H4465" s="3"/>
    </row>
    <row r="4466" spans="5:8">
      <c r="E4466" s="3"/>
      <c r="F4466" s="3"/>
      <c r="G4466" s="3"/>
      <c r="H4466" s="3"/>
    </row>
    <row r="4467" spans="5:8">
      <c r="E4467" s="3"/>
      <c r="F4467" s="3"/>
      <c r="G4467" s="3"/>
      <c r="H4467" s="3"/>
    </row>
    <row r="4468" spans="5:8">
      <c r="E4468" s="3"/>
      <c r="F4468" s="3"/>
      <c r="G4468" s="3"/>
      <c r="H4468" s="3"/>
    </row>
    <row r="4469" spans="5:8">
      <c r="E4469" s="3"/>
      <c r="F4469" s="3"/>
      <c r="G4469" s="3"/>
      <c r="H4469" s="3"/>
    </row>
    <row r="4470" spans="5:8">
      <c r="E4470" s="3"/>
      <c r="F4470" s="3"/>
      <c r="G4470" s="3"/>
      <c r="H4470" s="3"/>
    </row>
    <row r="4471" spans="5:8">
      <c r="E4471" s="3"/>
      <c r="F4471" s="3"/>
      <c r="G4471" s="3"/>
      <c r="H4471" s="3"/>
    </row>
    <row r="4472" spans="5:8">
      <c r="E4472" s="3"/>
      <c r="F4472" s="3"/>
      <c r="G4472" s="3"/>
      <c r="H4472" s="3"/>
    </row>
    <row r="4473" spans="5:8">
      <c r="E4473" s="3"/>
      <c r="F4473" s="3"/>
      <c r="G4473" s="3"/>
      <c r="H4473" s="3"/>
    </row>
    <row r="4474" spans="5:8">
      <c r="E4474" s="3"/>
      <c r="F4474" s="3"/>
      <c r="G4474" s="3"/>
      <c r="H4474" s="3"/>
    </row>
    <row r="4475" spans="5:8">
      <c r="E4475" s="3"/>
      <c r="F4475" s="3"/>
      <c r="G4475" s="3"/>
      <c r="H4475" s="3"/>
    </row>
    <row r="4476" spans="5:8">
      <c r="E4476" s="3"/>
      <c r="F4476" s="3"/>
      <c r="G4476" s="3"/>
      <c r="H4476" s="3"/>
    </row>
    <row r="4477" spans="5:8">
      <c r="E4477" s="3"/>
      <c r="F4477" s="3"/>
      <c r="G4477" s="3"/>
      <c r="H4477" s="3"/>
    </row>
    <row r="4478" spans="5:8">
      <c r="E4478" s="3"/>
      <c r="F4478" s="3"/>
      <c r="G4478" s="3"/>
      <c r="H4478" s="3"/>
    </row>
    <row r="4479" spans="5:8">
      <c r="E4479" s="3"/>
      <c r="F4479" s="3"/>
      <c r="G4479" s="3"/>
      <c r="H4479" s="3"/>
    </row>
    <row r="4480" spans="5:8">
      <c r="E4480" s="3"/>
      <c r="F4480" s="3"/>
      <c r="G4480" s="3"/>
      <c r="H4480" s="3"/>
    </row>
    <row r="4481" spans="5:8">
      <c r="E4481" s="3"/>
      <c r="F4481" s="3"/>
      <c r="G4481" s="3"/>
      <c r="H4481" s="3"/>
    </row>
    <row r="4482" spans="5:8">
      <c r="E4482" s="3"/>
      <c r="F4482" s="3"/>
      <c r="G4482" s="3"/>
      <c r="H4482" s="3"/>
    </row>
    <row r="4483" spans="5:8">
      <c r="E4483" s="3"/>
      <c r="F4483" s="3"/>
      <c r="G4483" s="3"/>
      <c r="H4483" s="3"/>
    </row>
    <row r="4484" spans="5:8">
      <c r="E4484" s="3"/>
      <c r="F4484" s="3"/>
      <c r="G4484" s="3"/>
      <c r="H4484" s="3"/>
    </row>
    <row r="4485" spans="5:8">
      <c r="E4485" s="3"/>
      <c r="F4485" s="3"/>
      <c r="G4485" s="3"/>
      <c r="H4485" s="3"/>
    </row>
    <row r="4486" spans="5:8">
      <c r="E4486" s="3"/>
      <c r="F4486" s="3"/>
      <c r="G4486" s="3"/>
      <c r="H4486" s="3"/>
    </row>
    <row r="4487" spans="5:8">
      <c r="E4487" s="3"/>
      <c r="F4487" s="3"/>
      <c r="G4487" s="3"/>
      <c r="H4487" s="3"/>
    </row>
    <row r="4488" spans="5:8">
      <c r="E4488" s="3"/>
      <c r="F4488" s="3"/>
      <c r="G4488" s="3"/>
      <c r="H4488" s="3"/>
    </row>
    <row r="4489" spans="5:8">
      <c r="E4489" s="3"/>
      <c r="F4489" s="3"/>
      <c r="G4489" s="3"/>
      <c r="H4489" s="3"/>
    </row>
    <row r="4490" spans="5:8">
      <c r="E4490" s="3"/>
      <c r="F4490" s="3"/>
      <c r="G4490" s="3"/>
      <c r="H4490" s="3"/>
    </row>
    <row r="4491" spans="5:8">
      <c r="E4491" s="3"/>
      <c r="F4491" s="3"/>
      <c r="G4491" s="3"/>
      <c r="H4491" s="3"/>
    </row>
    <row r="4492" spans="5:8">
      <c r="E4492" s="3"/>
      <c r="F4492" s="3"/>
      <c r="G4492" s="3"/>
      <c r="H4492" s="3"/>
    </row>
    <row r="4493" spans="5:8">
      <c r="E4493" s="3"/>
      <c r="F4493" s="3"/>
      <c r="G4493" s="3"/>
      <c r="H4493" s="3"/>
    </row>
    <row r="4494" spans="5:8">
      <c r="E4494" s="3"/>
      <c r="F4494" s="3"/>
      <c r="G4494" s="3"/>
      <c r="H4494" s="3"/>
    </row>
    <row r="4495" spans="5:8">
      <c r="E4495" s="3"/>
      <c r="F4495" s="3"/>
      <c r="G4495" s="3"/>
      <c r="H4495" s="3"/>
    </row>
    <row r="4496" spans="5:8">
      <c r="E4496" s="3"/>
      <c r="F4496" s="3"/>
      <c r="G4496" s="3"/>
      <c r="H4496" s="3"/>
    </row>
    <row r="4497" spans="5:8">
      <c r="E4497" s="3"/>
      <c r="F4497" s="3"/>
      <c r="G4497" s="3"/>
      <c r="H4497" s="3"/>
    </row>
    <row r="4498" spans="5:8">
      <c r="E4498" s="3"/>
      <c r="F4498" s="3"/>
      <c r="G4498" s="3"/>
      <c r="H4498" s="3"/>
    </row>
    <row r="4499" spans="5:8">
      <c r="E4499" s="3"/>
      <c r="F4499" s="3"/>
      <c r="G4499" s="3"/>
      <c r="H4499" s="3"/>
    </row>
    <row r="4500" spans="5:8">
      <c r="E4500" s="3"/>
      <c r="F4500" s="3"/>
      <c r="G4500" s="3"/>
      <c r="H4500" s="3"/>
    </row>
    <row r="4501" spans="5:8">
      <c r="E4501" s="3"/>
      <c r="F4501" s="3"/>
      <c r="G4501" s="3"/>
      <c r="H4501" s="3"/>
    </row>
    <row r="4502" spans="5:8">
      <c r="E4502" s="3"/>
      <c r="F4502" s="3"/>
      <c r="G4502" s="3"/>
      <c r="H4502" s="3"/>
    </row>
    <row r="4503" spans="5:8">
      <c r="E4503" s="3"/>
      <c r="F4503" s="3"/>
      <c r="G4503" s="3"/>
      <c r="H4503" s="3"/>
    </row>
    <row r="4504" spans="5:8">
      <c r="E4504" s="3"/>
      <c r="F4504" s="3"/>
      <c r="G4504" s="3"/>
      <c r="H4504" s="3"/>
    </row>
    <row r="4505" spans="5:8">
      <c r="E4505" s="3"/>
      <c r="F4505" s="3"/>
      <c r="G4505" s="3"/>
      <c r="H4505" s="3"/>
    </row>
    <row r="4506" spans="5:8">
      <c r="E4506" s="3"/>
      <c r="F4506" s="3"/>
      <c r="G4506" s="3"/>
      <c r="H4506" s="3"/>
    </row>
    <row r="4507" spans="5:8">
      <c r="E4507" s="3"/>
      <c r="F4507" s="3"/>
      <c r="G4507" s="3"/>
      <c r="H4507" s="3"/>
    </row>
    <row r="4508" spans="5:8">
      <c r="E4508" s="3"/>
      <c r="F4508" s="3"/>
      <c r="G4508" s="3"/>
      <c r="H4508" s="3"/>
    </row>
    <row r="4509" spans="5:8">
      <c r="E4509" s="3"/>
      <c r="F4509" s="3"/>
      <c r="G4509" s="3"/>
      <c r="H4509" s="3"/>
    </row>
    <row r="4510" spans="5:8">
      <c r="E4510" s="3"/>
      <c r="F4510" s="3"/>
      <c r="G4510" s="3"/>
      <c r="H4510" s="3"/>
    </row>
    <row r="4511" spans="5:8">
      <c r="E4511" s="3"/>
      <c r="F4511" s="3"/>
      <c r="G4511" s="3"/>
      <c r="H4511" s="3"/>
    </row>
    <row r="4512" spans="5:8">
      <c r="E4512" s="3"/>
      <c r="F4512" s="3"/>
      <c r="G4512" s="3"/>
      <c r="H4512" s="3"/>
    </row>
    <row r="4513" spans="5:8">
      <c r="E4513" s="3"/>
      <c r="F4513" s="3"/>
      <c r="G4513" s="3"/>
      <c r="H4513" s="3"/>
    </row>
    <row r="4514" spans="5:8">
      <c r="E4514" s="3"/>
      <c r="F4514" s="3"/>
      <c r="G4514" s="3"/>
      <c r="H4514" s="3"/>
    </row>
    <row r="4515" spans="5:8">
      <c r="E4515" s="3"/>
      <c r="F4515" s="3"/>
      <c r="G4515" s="3"/>
      <c r="H4515" s="3"/>
    </row>
    <row r="4516" spans="5:8">
      <c r="E4516" s="3"/>
      <c r="F4516" s="3"/>
      <c r="G4516" s="3"/>
      <c r="H4516" s="3"/>
    </row>
    <row r="4517" spans="5:8">
      <c r="E4517" s="3"/>
      <c r="F4517" s="3"/>
      <c r="G4517" s="3"/>
      <c r="H4517" s="3"/>
    </row>
    <row r="4518" spans="5:8">
      <c r="E4518" s="3"/>
      <c r="F4518" s="3"/>
      <c r="G4518" s="3"/>
      <c r="H4518" s="3"/>
    </row>
    <row r="4519" spans="5:8">
      <c r="E4519" s="3"/>
      <c r="F4519" s="3"/>
      <c r="G4519" s="3"/>
      <c r="H4519" s="3"/>
    </row>
    <row r="4520" spans="5:8">
      <c r="E4520" s="3"/>
      <c r="F4520" s="3"/>
      <c r="G4520" s="3"/>
      <c r="H4520" s="3"/>
    </row>
    <row r="4521" spans="5:8">
      <c r="E4521" s="3"/>
      <c r="F4521" s="3"/>
      <c r="G4521" s="3"/>
      <c r="H4521" s="3"/>
    </row>
    <row r="4522" spans="5:8">
      <c r="E4522" s="3"/>
      <c r="F4522" s="3"/>
      <c r="G4522" s="3"/>
      <c r="H4522" s="3"/>
    </row>
    <row r="4523" spans="5:8">
      <c r="E4523" s="3"/>
      <c r="F4523" s="3"/>
      <c r="G4523" s="3"/>
      <c r="H4523" s="3"/>
    </row>
    <row r="4524" spans="5:8">
      <c r="E4524" s="3"/>
      <c r="F4524" s="3"/>
      <c r="G4524" s="3"/>
      <c r="H4524" s="3"/>
    </row>
    <row r="4525" spans="5:8">
      <c r="E4525" s="3"/>
      <c r="F4525" s="3"/>
      <c r="G4525" s="3"/>
      <c r="H4525" s="3"/>
    </row>
    <row r="4526" spans="5:8">
      <c r="E4526" s="3"/>
      <c r="F4526" s="3"/>
      <c r="G4526" s="3"/>
      <c r="H4526" s="3"/>
    </row>
    <row r="4527" spans="5:8">
      <c r="E4527" s="3"/>
      <c r="F4527" s="3"/>
      <c r="G4527" s="3"/>
      <c r="H4527" s="3"/>
    </row>
    <row r="4528" spans="5:8">
      <c r="E4528" s="3"/>
      <c r="F4528" s="3"/>
      <c r="G4528" s="3"/>
      <c r="H4528" s="3"/>
    </row>
    <row r="4529" spans="5:8">
      <c r="E4529" s="3"/>
      <c r="F4529" s="3"/>
      <c r="G4529" s="3"/>
      <c r="H4529" s="3"/>
    </row>
    <row r="4530" spans="5:8">
      <c r="E4530" s="3"/>
      <c r="F4530" s="3"/>
      <c r="G4530" s="3"/>
      <c r="H4530" s="3"/>
    </row>
    <row r="4531" spans="5:8">
      <c r="E4531" s="3"/>
      <c r="F4531" s="3"/>
      <c r="G4531" s="3"/>
      <c r="H4531" s="3"/>
    </row>
    <row r="4532" spans="5:8">
      <c r="E4532" s="3"/>
      <c r="F4532" s="3"/>
      <c r="G4532" s="3"/>
      <c r="H4532" s="3"/>
    </row>
    <row r="4533" spans="5:8">
      <c r="E4533" s="3"/>
      <c r="F4533" s="3"/>
      <c r="G4533" s="3"/>
      <c r="H4533" s="3"/>
    </row>
    <row r="4534" spans="5:8">
      <c r="E4534" s="3"/>
      <c r="F4534" s="3"/>
      <c r="G4534" s="3"/>
      <c r="H4534" s="3"/>
    </row>
    <row r="4535" spans="5:8">
      <c r="E4535" s="3"/>
      <c r="F4535" s="3"/>
      <c r="G4535" s="3"/>
      <c r="H4535" s="3"/>
    </row>
    <row r="4536" spans="5:8">
      <c r="E4536" s="3"/>
      <c r="F4536" s="3"/>
      <c r="G4536" s="3"/>
      <c r="H4536" s="3"/>
    </row>
    <row r="4537" spans="5:8">
      <c r="E4537" s="3"/>
      <c r="F4537" s="3"/>
      <c r="G4537" s="3"/>
      <c r="H4537" s="3"/>
    </row>
    <row r="4538" spans="5:8">
      <c r="E4538" s="3"/>
      <c r="F4538" s="3"/>
      <c r="G4538" s="3"/>
      <c r="H4538" s="3"/>
    </row>
    <row r="4539" spans="5:8">
      <c r="E4539" s="3"/>
      <c r="F4539" s="3"/>
      <c r="G4539" s="3"/>
      <c r="H4539" s="3"/>
    </row>
    <row r="4540" spans="5:8">
      <c r="E4540" s="3"/>
      <c r="F4540" s="3"/>
      <c r="G4540" s="3"/>
      <c r="H4540" s="3"/>
    </row>
    <row r="4541" spans="5:8">
      <c r="E4541" s="3"/>
      <c r="F4541" s="3"/>
      <c r="G4541" s="3"/>
      <c r="H4541" s="3"/>
    </row>
    <row r="4542" spans="5:8">
      <c r="E4542" s="3"/>
      <c r="F4542" s="3"/>
      <c r="G4542" s="3"/>
      <c r="H4542" s="3"/>
    </row>
    <row r="4543" spans="5:8">
      <c r="E4543" s="3"/>
      <c r="F4543" s="3"/>
      <c r="G4543" s="3"/>
      <c r="H4543" s="3"/>
    </row>
    <row r="4544" spans="5:8">
      <c r="E4544" s="3"/>
      <c r="F4544" s="3"/>
      <c r="G4544" s="3"/>
      <c r="H4544" s="3"/>
    </row>
    <row r="4545" spans="5:8">
      <c r="E4545" s="3"/>
      <c r="F4545" s="3"/>
      <c r="G4545" s="3"/>
      <c r="H4545" s="3"/>
    </row>
    <row r="4546" spans="5:8">
      <c r="E4546" s="3"/>
      <c r="F4546" s="3"/>
      <c r="G4546" s="3"/>
      <c r="H4546" s="3"/>
    </row>
    <row r="4547" spans="5:8">
      <c r="E4547" s="3"/>
      <c r="F4547" s="3"/>
      <c r="G4547" s="3"/>
      <c r="H4547" s="3"/>
    </row>
    <row r="4548" spans="5:8">
      <c r="E4548" s="3"/>
      <c r="F4548" s="3"/>
      <c r="G4548" s="3"/>
      <c r="H4548" s="3"/>
    </row>
    <row r="4549" spans="5:8">
      <c r="E4549" s="3"/>
      <c r="F4549" s="3"/>
      <c r="G4549" s="3"/>
      <c r="H4549" s="3"/>
    </row>
    <row r="4550" spans="5:8">
      <c r="E4550" s="3"/>
      <c r="F4550" s="3"/>
      <c r="G4550" s="3"/>
      <c r="H4550" s="3"/>
    </row>
    <row r="4551" spans="5:8">
      <c r="E4551" s="3"/>
      <c r="F4551" s="3"/>
      <c r="G4551" s="3"/>
      <c r="H4551" s="3"/>
    </row>
    <row r="4552" spans="5:8">
      <c r="E4552" s="3"/>
      <c r="F4552" s="3"/>
      <c r="G4552" s="3"/>
      <c r="H4552" s="3"/>
    </row>
    <row r="4553" spans="5:8">
      <c r="E4553" s="3"/>
      <c r="F4553" s="3"/>
      <c r="G4553" s="3"/>
      <c r="H4553" s="3"/>
    </row>
    <row r="4554" spans="5:8">
      <c r="E4554" s="3"/>
      <c r="F4554" s="3"/>
      <c r="G4554" s="3"/>
      <c r="H4554" s="3"/>
    </row>
    <row r="4555" spans="5:8">
      <c r="E4555" s="3"/>
      <c r="F4555" s="3"/>
      <c r="G4555" s="3"/>
      <c r="H4555" s="3"/>
    </row>
    <row r="4556" spans="5:8">
      <c r="E4556" s="3"/>
      <c r="F4556" s="3"/>
      <c r="G4556" s="3"/>
      <c r="H4556" s="3"/>
    </row>
    <row r="4557" spans="5:8">
      <c r="E4557" s="3"/>
      <c r="F4557" s="3"/>
      <c r="G4557" s="3"/>
      <c r="H4557" s="3"/>
    </row>
    <row r="4558" spans="5:8">
      <c r="E4558" s="3"/>
      <c r="F4558" s="3"/>
      <c r="G4558" s="3"/>
      <c r="H4558" s="3"/>
    </row>
    <row r="4559" spans="5:8">
      <c r="E4559" s="3"/>
      <c r="F4559" s="3"/>
      <c r="G4559" s="3"/>
      <c r="H4559" s="3"/>
    </row>
    <row r="4560" spans="5:8">
      <c r="E4560" s="3"/>
      <c r="F4560" s="3"/>
      <c r="G4560" s="3"/>
      <c r="H4560" s="3"/>
    </row>
    <row r="4561" spans="5:8">
      <c r="E4561" s="3"/>
      <c r="F4561" s="3"/>
      <c r="G4561" s="3"/>
      <c r="H4561" s="3"/>
    </row>
    <row r="4562" spans="5:8">
      <c r="E4562" s="3"/>
      <c r="F4562" s="3"/>
      <c r="G4562" s="3"/>
      <c r="H4562" s="3"/>
    </row>
    <row r="4563" spans="5:8">
      <c r="E4563" s="3"/>
      <c r="F4563" s="3"/>
      <c r="G4563" s="3"/>
      <c r="H4563" s="3"/>
    </row>
    <row r="4564" spans="5:8">
      <c r="E4564" s="3"/>
      <c r="F4564" s="3"/>
      <c r="G4564" s="3"/>
      <c r="H4564" s="3"/>
    </row>
    <row r="4565" spans="5:8">
      <c r="E4565" s="3"/>
      <c r="F4565" s="3"/>
      <c r="G4565" s="3"/>
      <c r="H4565" s="3"/>
    </row>
    <row r="4566" spans="5:8">
      <c r="E4566" s="3"/>
      <c r="F4566" s="3"/>
      <c r="G4566" s="3"/>
      <c r="H4566" s="3"/>
    </row>
    <row r="4567" spans="5:8">
      <c r="E4567" s="3"/>
      <c r="F4567" s="3"/>
      <c r="G4567" s="3"/>
      <c r="H4567" s="3"/>
    </row>
    <row r="4568" spans="5:8">
      <c r="E4568" s="3"/>
      <c r="F4568" s="3"/>
      <c r="G4568" s="3"/>
      <c r="H4568" s="3"/>
    </row>
    <row r="4569" spans="5:8">
      <c r="E4569" s="3"/>
      <c r="F4569" s="3"/>
      <c r="G4569" s="3"/>
      <c r="H4569" s="3"/>
    </row>
    <row r="4570" spans="5:8">
      <c r="E4570" s="3"/>
      <c r="F4570" s="3"/>
      <c r="G4570" s="3"/>
      <c r="H4570" s="3"/>
    </row>
    <row r="4571" spans="5:8">
      <c r="E4571" s="3"/>
      <c r="F4571" s="3"/>
      <c r="G4571" s="3"/>
      <c r="H4571" s="3"/>
    </row>
    <row r="4572" spans="5:8">
      <c r="E4572" s="3"/>
      <c r="F4572" s="3"/>
      <c r="G4572" s="3"/>
      <c r="H4572" s="3"/>
    </row>
    <row r="4573" spans="5:8">
      <c r="E4573" s="3"/>
      <c r="F4573" s="3"/>
      <c r="G4573" s="3"/>
      <c r="H4573" s="3"/>
    </row>
    <row r="4574" spans="5:8">
      <c r="E4574" s="3"/>
      <c r="F4574" s="3"/>
      <c r="G4574" s="3"/>
      <c r="H4574" s="3"/>
    </row>
    <row r="4575" spans="5:8">
      <c r="E4575" s="3"/>
      <c r="F4575" s="3"/>
      <c r="G4575" s="3"/>
      <c r="H4575" s="3"/>
    </row>
    <row r="4576" spans="5:8">
      <c r="E4576" s="3"/>
      <c r="F4576" s="3"/>
      <c r="G4576" s="3"/>
      <c r="H4576" s="3"/>
    </row>
    <row r="4577" spans="5:8">
      <c r="E4577" s="3"/>
      <c r="F4577" s="3"/>
      <c r="G4577" s="3"/>
      <c r="H4577" s="3"/>
    </row>
    <row r="4578" spans="5:8">
      <c r="E4578" s="3"/>
      <c r="F4578" s="3"/>
      <c r="G4578" s="3"/>
      <c r="H4578" s="3"/>
    </row>
    <row r="4579" spans="5:8">
      <c r="E4579" s="3"/>
      <c r="F4579" s="3"/>
      <c r="G4579" s="3"/>
      <c r="H4579" s="3"/>
    </row>
    <row r="4580" spans="5:8">
      <c r="E4580" s="3"/>
      <c r="F4580" s="3"/>
      <c r="G4580" s="3"/>
      <c r="H4580" s="3"/>
    </row>
    <row r="4581" spans="5:8">
      <c r="E4581" s="3"/>
      <c r="F4581" s="3"/>
      <c r="G4581" s="3"/>
      <c r="H4581" s="3"/>
    </row>
    <row r="4582" spans="5:8">
      <c r="E4582" s="3"/>
      <c r="F4582" s="3"/>
      <c r="G4582" s="3"/>
      <c r="H4582" s="3"/>
    </row>
    <row r="4583" spans="5:8">
      <c r="E4583" s="3"/>
      <c r="F4583" s="3"/>
      <c r="G4583" s="3"/>
      <c r="H4583" s="3"/>
    </row>
    <row r="4584" spans="5:8">
      <c r="E4584" s="3"/>
      <c r="F4584" s="3"/>
      <c r="G4584" s="3"/>
      <c r="H4584" s="3"/>
    </row>
    <row r="4585" spans="5:8">
      <c r="E4585" s="3"/>
      <c r="F4585" s="3"/>
      <c r="G4585" s="3"/>
      <c r="H4585" s="3"/>
    </row>
    <row r="4586" spans="5:8">
      <c r="E4586" s="3"/>
      <c r="F4586" s="3"/>
      <c r="G4586" s="3"/>
      <c r="H4586" s="3"/>
    </row>
    <row r="4587" spans="5:8">
      <c r="E4587" s="3"/>
      <c r="F4587" s="3"/>
      <c r="G4587" s="3"/>
      <c r="H4587" s="3"/>
    </row>
    <row r="4588" spans="5:8">
      <c r="E4588" s="3"/>
      <c r="F4588" s="3"/>
      <c r="G4588" s="3"/>
      <c r="H4588" s="3"/>
    </row>
    <row r="4589" spans="5:8">
      <c r="E4589" s="3"/>
      <c r="F4589" s="3"/>
      <c r="G4589" s="3"/>
      <c r="H4589" s="3"/>
    </row>
    <row r="4590" spans="5:8">
      <c r="E4590" s="3"/>
      <c r="F4590" s="3"/>
      <c r="G4590" s="3"/>
      <c r="H4590" s="3"/>
    </row>
    <row r="4591" spans="5:8">
      <c r="E4591" s="3"/>
      <c r="F4591" s="3"/>
      <c r="G4591" s="3"/>
      <c r="H4591" s="3"/>
    </row>
    <row r="4592" spans="5:8">
      <c r="E4592" s="3"/>
      <c r="F4592" s="3"/>
      <c r="G4592" s="3"/>
      <c r="H4592" s="3"/>
    </row>
    <row r="4593" spans="5:8">
      <c r="E4593" s="3"/>
      <c r="F4593" s="3"/>
      <c r="G4593" s="3"/>
      <c r="H4593" s="3"/>
    </row>
    <row r="4594" spans="5:8">
      <c r="E4594" s="3"/>
      <c r="F4594" s="3"/>
      <c r="G4594" s="3"/>
      <c r="H4594" s="3"/>
    </row>
    <row r="4595" spans="5:8">
      <c r="E4595" s="3"/>
      <c r="F4595" s="3"/>
      <c r="G4595" s="3"/>
      <c r="H4595" s="3"/>
    </row>
    <row r="4596" spans="5:8">
      <c r="E4596" s="3"/>
      <c r="F4596" s="3"/>
      <c r="G4596" s="3"/>
      <c r="H4596" s="3"/>
    </row>
    <row r="4597" spans="5:8">
      <c r="E4597" s="3"/>
      <c r="F4597" s="3"/>
      <c r="G4597" s="3"/>
      <c r="H4597" s="3"/>
    </row>
    <row r="4598" spans="5:8">
      <c r="E4598" s="3"/>
      <c r="F4598" s="3"/>
      <c r="G4598" s="3"/>
      <c r="H4598" s="3"/>
    </row>
    <row r="4599" spans="5:8">
      <c r="E4599" s="3"/>
      <c r="F4599" s="3"/>
      <c r="G4599" s="3"/>
      <c r="H4599" s="3"/>
    </row>
    <row r="4600" spans="5:8">
      <c r="E4600" s="3"/>
      <c r="F4600" s="3"/>
      <c r="G4600" s="3"/>
      <c r="H4600" s="3"/>
    </row>
    <row r="4601" spans="5:8">
      <c r="E4601" s="3"/>
      <c r="F4601" s="3"/>
      <c r="G4601" s="3"/>
      <c r="H4601" s="3"/>
    </row>
    <row r="4602" spans="5:8">
      <c r="E4602" s="3"/>
      <c r="F4602" s="3"/>
      <c r="G4602" s="3"/>
      <c r="H4602" s="3"/>
    </row>
    <row r="4603" spans="5:8">
      <c r="E4603" s="3"/>
      <c r="F4603" s="3"/>
      <c r="G4603" s="3"/>
      <c r="H4603" s="3"/>
    </row>
    <row r="4604" spans="5:8">
      <c r="E4604" s="3"/>
      <c r="F4604" s="3"/>
      <c r="G4604" s="3"/>
      <c r="H4604" s="3"/>
    </row>
    <row r="4605" spans="5:8">
      <c r="E4605" s="3"/>
      <c r="F4605" s="3"/>
      <c r="G4605" s="3"/>
      <c r="H4605" s="3"/>
    </row>
    <row r="4606" spans="5:8">
      <c r="E4606" s="3"/>
      <c r="F4606" s="3"/>
      <c r="G4606" s="3"/>
      <c r="H4606" s="3"/>
    </row>
    <row r="4607" spans="5:8">
      <c r="E4607" s="3"/>
      <c r="F4607" s="3"/>
      <c r="G4607" s="3"/>
      <c r="H4607" s="3"/>
    </row>
    <row r="4608" spans="5:8">
      <c r="E4608" s="3"/>
      <c r="F4608" s="3"/>
      <c r="G4608" s="3"/>
      <c r="H4608" s="3"/>
    </row>
    <row r="4609" spans="5:8">
      <c r="E4609" s="3"/>
      <c r="F4609" s="3"/>
      <c r="G4609" s="3"/>
      <c r="H4609" s="3"/>
    </row>
    <row r="4610" spans="5:8">
      <c r="E4610" s="3"/>
      <c r="F4610" s="3"/>
      <c r="G4610" s="3"/>
      <c r="H4610" s="3"/>
    </row>
    <row r="4611" spans="5:8">
      <c r="E4611" s="3"/>
      <c r="F4611" s="3"/>
      <c r="G4611" s="3"/>
      <c r="H4611" s="3"/>
    </row>
    <row r="4612" spans="5:8">
      <c r="E4612" s="3"/>
      <c r="F4612" s="3"/>
      <c r="G4612" s="3"/>
      <c r="H4612" s="3"/>
    </row>
    <row r="4613" spans="5:8">
      <c r="E4613" s="3"/>
      <c r="F4613" s="3"/>
      <c r="G4613" s="3"/>
      <c r="H4613" s="3"/>
    </row>
    <row r="4614" spans="5:8">
      <c r="E4614" s="3"/>
      <c r="F4614" s="3"/>
      <c r="G4614" s="3"/>
      <c r="H4614" s="3"/>
    </row>
    <row r="4615" spans="5:8">
      <c r="E4615" s="3"/>
      <c r="F4615" s="3"/>
      <c r="G4615" s="3"/>
      <c r="H4615" s="3"/>
    </row>
    <row r="4616" spans="5:8">
      <c r="E4616" s="3"/>
      <c r="F4616" s="3"/>
      <c r="G4616" s="3"/>
      <c r="H4616" s="3"/>
    </row>
    <row r="4617" spans="5:8">
      <c r="E4617" s="3"/>
      <c r="F4617" s="3"/>
      <c r="G4617" s="3"/>
      <c r="H4617" s="3"/>
    </row>
    <row r="4618" spans="5:8">
      <c r="E4618" s="3"/>
      <c r="F4618" s="3"/>
      <c r="G4618" s="3"/>
      <c r="H4618" s="3"/>
    </row>
    <row r="4619" spans="5:8">
      <c r="E4619" s="3"/>
      <c r="F4619" s="3"/>
      <c r="G4619" s="3"/>
      <c r="H4619" s="3"/>
    </row>
    <row r="4620" spans="5:8">
      <c r="E4620" s="3"/>
      <c r="F4620" s="3"/>
      <c r="G4620" s="3"/>
      <c r="H4620" s="3"/>
    </row>
    <row r="4621" spans="5:8">
      <c r="E4621" s="3"/>
      <c r="F4621" s="3"/>
      <c r="G4621" s="3"/>
      <c r="H4621" s="3"/>
    </row>
    <row r="4622" spans="5:8">
      <c r="E4622" s="3"/>
      <c r="F4622" s="3"/>
      <c r="G4622" s="3"/>
      <c r="H4622" s="3"/>
    </row>
    <row r="4623" spans="5:8">
      <c r="E4623" s="3"/>
      <c r="F4623" s="3"/>
      <c r="G4623" s="3"/>
      <c r="H4623" s="3"/>
    </row>
    <row r="4624" spans="5:8">
      <c r="E4624" s="3"/>
      <c r="F4624" s="3"/>
      <c r="G4624" s="3"/>
      <c r="H4624" s="3"/>
    </row>
    <row r="4625" spans="5:8">
      <c r="E4625" s="3"/>
      <c r="F4625" s="3"/>
      <c r="G4625" s="3"/>
      <c r="H4625" s="3"/>
    </row>
    <row r="4626" spans="5:8">
      <c r="E4626" s="3"/>
      <c r="F4626" s="3"/>
      <c r="G4626" s="3"/>
      <c r="H4626" s="3"/>
    </row>
    <row r="4627" spans="5:8">
      <c r="E4627" s="3"/>
      <c r="F4627" s="3"/>
      <c r="G4627" s="3"/>
      <c r="H4627" s="3"/>
    </row>
    <row r="4628" spans="5:8">
      <c r="E4628" s="3"/>
      <c r="F4628" s="3"/>
      <c r="G4628" s="3"/>
      <c r="H4628" s="3"/>
    </row>
    <row r="4629" spans="5:8">
      <c r="E4629" s="3"/>
      <c r="F4629" s="3"/>
      <c r="G4629" s="3"/>
      <c r="H4629" s="3"/>
    </row>
    <row r="4630" spans="5:8">
      <c r="E4630" s="3"/>
      <c r="F4630" s="3"/>
      <c r="G4630" s="3"/>
      <c r="H4630" s="3"/>
    </row>
    <row r="4631" spans="5:8">
      <c r="E4631" s="3"/>
      <c r="F4631" s="3"/>
      <c r="G4631" s="3"/>
      <c r="H4631" s="3"/>
    </row>
    <row r="4632" spans="5:8">
      <c r="E4632" s="3"/>
      <c r="F4632" s="3"/>
      <c r="G4632" s="3"/>
      <c r="H4632" s="3"/>
    </row>
    <row r="4633" spans="5:8">
      <c r="E4633" s="3"/>
      <c r="F4633" s="3"/>
      <c r="G4633" s="3"/>
      <c r="H4633" s="3"/>
    </row>
    <row r="4634" spans="5:8">
      <c r="E4634" s="3"/>
      <c r="F4634" s="3"/>
      <c r="G4634" s="3"/>
      <c r="H4634" s="3"/>
    </row>
    <row r="4635" spans="5:8">
      <c r="E4635" s="3"/>
      <c r="F4635" s="3"/>
      <c r="G4635" s="3"/>
      <c r="H4635" s="3"/>
    </row>
    <row r="4636" spans="5:8">
      <c r="E4636" s="3"/>
      <c r="F4636" s="3"/>
      <c r="G4636" s="3"/>
      <c r="H4636" s="3"/>
    </row>
    <row r="4637" spans="5:8">
      <c r="E4637" s="3"/>
      <c r="F4637" s="3"/>
      <c r="G4637" s="3"/>
      <c r="H4637" s="3"/>
    </row>
    <row r="4638" spans="5:8">
      <c r="E4638" s="3"/>
      <c r="F4638" s="3"/>
      <c r="G4638" s="3"/>
      <c r="H4638" s="3"/>
    </row>
    <row r="4639" spans="5:8">
      <c r="E4639" s="3"/>
      <c r="F4639" s="3"/>
      <c r="G4639" s="3"/>
      <c r="H4639" s="3"/>
    </row>
    <row r="4640" spans="5:8">
      <c r="E4640" s="3"/>
      <c r="F4640" s="3"/>
      <c r="G4640" s="3"/>
      <c r="H4640" s="3"/>
    </row>
    <row r="4641" spans="5:8">
      <c r="E4641" s="3"/>
      <c r="F4641" s="3"/>
      <c r="G4641" s="3"/>
      <c r="H4641" s="3"/>
    </row>
    <row r="4642" spans="5:8">
      <c r="E4642" s="3"/>
      <c r="F4642" s="3"/>
      <c r="G4642" s="3"/>
      <c r="H4642" s="3"/>
    </row>
    <row r="4643" spans="5:8">
      <c r="E4643" s="3"/>
      <c r="F4643" s="3"/>
      <c r="G4643" s="3"/>
      <c r="H4643" s="3"/>
    </row>
    <row r="4644" spans="5:8">
      <c r="E4644" s="3"/>
      <c r="F4644" s="3"/>
      <c r="G4644" s="3"/>
      <c r="H4644" s="3"/>
    </row>
    <row r="4645" spans="5:8">
      <c r="E4645" s="3"/>
      <c r="F4645" s="3"/>
      <c r="G4645" s="3"/>
      <c r="H4645" s="3"/>
    </row>
    <row r="4646" spans="5:8">
      <c r="E4646" s="3"/>
      <c r="F4646" s="3"/>
      <c r="G4646" s="3"/>
      <c r="H4646" s="3"/>
    </row>
    <row r="4647" spans="5:8">
      <c r="E4647" s="3"/>
      <c r="F4647" s="3"/>
      <c r="G4647" s="3"/>
      <c r="H4647" s="3"/>
    </row>
    <row r="4648" spans="5:8">
      <c r="E4648" s="3"/>
      <c r="F4648" s="3"/>
      <c r="G4648" s="3"/>
      <c r="H4648" s="3"/>
    </row>
    <row r="4649" spans="5:8">
      <c r="E4649" s="3"/>
      <c r="F4649" s="3"/>
      <c r="G4649" s="3"/>
      <c r="H4649" s="3"/>
    </row>
    <row r="4650" spans="5:8">
      <c r="E4650" s="3"/>
      <c r="F4650" s="3"/>
      <c r="G4650" s="3"/>
      <c r="H4650" s="3"/>
    </row>
    <row r="4651" spans="5:8">
      <c r="E4651" s="3"/>
      <c r="F4651" s="3"/>
      <c r="G4651" s="3"/>
      <c r="H4651" s="3"/>
    </row>
    <row r="4652" spans="5:8">
      <c r="E4652" s="3"/>
      <c r="F4652" s="3"/>
      <c r="G4652" s="3"/>
      <c r="H4652" s="3"/>
    </row>
    <row r="4653" spans="5:8">
      <c r="E4653" s="3"/>
      <c r="F4653" s="3"/>
      <c r="G4653" s="3"/>
      <c r="H4653" s="3"/>
    </row>
    <row r="4654" spans="5:8">
      <c r="E4654" s="3"/>
      <c r="F4654" s="3"/>
      <c r="G4654" s="3"/>
      <c r="H4654" s="3"/>
    </row>
    <row r="4655" spans="5:8">
      <c r="E4655" s="3"/>
      <c r="F4655" s="3"/>
      <c r="G4655" s="3"/>
      <c r="H4655" s="3"/>
    </row>
    <row r="4656" spans="5:8">
      <c r="E4656" s="3"/>
      <c r="F4656" s="3"/>
      <c r="G4656" s="3"/>
      <c r="H4656" s="3"/>
    </row>
    <row r="4657" spans="5:8">
      <c r="E4657" s="3"/>
      <c r="F4657" s="3"/>
      <c r="G4657" s="3"/>
      <c r="H4657" s="3"/>
    </row>
    <row r="4658" spans="5:8">
      <c r="E4658" s="3"/>
      <c r="F4658" s="3"/>
      <c r="G4658" s="3"/>
      <c r="H4658" s="3"/>
    </row>
    <row r="4659" spans="5:8">
      <c r="E4659" s="3"/>
      <c r="F4659" s="3"/>
      <c r="G4659" s="3"/>
      <c r="H4659" s="3"/>
    </row>
    <row r="4660" spans="5:8">
      <c r="E4660" s="3"/>
      <c r="F4660" s="3"/>
      <c r="G4660" s="3"/>
      <c r="H4660" s="3"/>
    </row>
    <row r="4661" spans="5:8">
      <c r="E4661" s="3"/>
      <c r="F4661" s="3"/>
      <c r="G4661" s="3"/>
      <c r="H4661" s="3"/>
    </row>
    <row r="4662" spans="5:8">
      <c r="E4662" s="3"/>
      <c r="F4662" s="3"/>
      <c r="G4662" s="3"/>
      <c r="H4662" s="3"/>
    </row>
    <row r="4663" spans="5:8">
      <c r="E4663" s="3"/>
      <c r="F4663" s="3"/>
      <c r="G4663" s="3"/>
      <c r="H4663" s="3"/>
    </row>
    <row r="4664" spans="5:8">
      <c r="E4664" s="3"/>
      <c r="F4664" s="3"/>
      <c r="G4664" s="3"/>
      <c r="H4664" s="3"/>
    </row>
    <row r="4665" spans="5:8">
      <c r="E4665" s="3"/>
      <c r="F4665" s="3"/>
      <c r="G4665" s="3"/>
      <c r="H4665" s="3"/>
    </row>
    <row r="4666" spans="5:8">
      <c r="E4666" s="3"/>
      <c r="F4666" s="3"/>
      <c r="G4666" s="3"/>
      <c r="H4666" s="3"/>
    </row>
    <row r="4667" spans="5:8">
      <c r="E4667" s="3"/>
      <c r="F4667" s="3"/>
      <c r="G4667" s="3"/>
      <c r="H4667" s="3"/>
    </row>
    <row r="4668" spans="5:8">
      <c r="E4668" s="3"/>
      <c r="F4668" s="3"/>
      <c r="G4668" s="3"/>
      <c r="H4668" s="3"/>
    </row>
    <row r="4669" spans="5:8">
      <c r="E4669" s="3"/>
      <c r="F4669" s="3"/>
      <c r="G4669" s="3"/>
      <c r="H4669" s="3"/>
    </row>
    <row r="4670" spans="5:8">
      <c r="E4670" s="3"/>
      <c r="F4670" s="3"/>
      <c r="G4670" s="3"/>
      <c r="H4670" s="3"/>
    </row>
    <row r="4671" spans="5:8">
      <c r="E4671" s="3"/>
      <c r="F4671" s="3"/>
      <c r="G4671" s="3"/>
      <c r="H4671" s="3"/>
    </row>
    <row r="4672" spans="5:8">
      <c r="E4672" s="3"/>
      <c r="F4672" s="3"/>
      <c r="G4672" s="3"/>
      <c r="H4672" s="3"/>
    </row>
    <row r="4673" spans="5:8">
      <c r="E4673" s="3"/>
      <c r="F4673" s="3"/>
      <c r="G4673" s="3"/>
      <c r="H4673" s="3"/>
    </row>
    <row r="4674" spans="5:8">
      <c r="E4674" s="3"/>
      <c r="F4674" s="3"/>
      <c r="G4674" s="3"/>
      <c r="H4674" s="3"/>
    </row>
    <row r="4675" spans="5:8">
      <c r="E4675" s="3"/>
      <c r="F4675" s="3"/>
      <c r="G4675" s="3"/>
      <c r="H4675" s="3"/>
    </row>
    <row r="4676" spans="5:8">
      <c r="E4676" s="3"/>
      <c r="F4676" s="3"/>
      <c r="G4676" s="3"/>
      <c r="H4676" s="3"/>
    </row>
    <row r="4677" spans="5:8">
      <c r="E4677" s="3"/>
      <c r="F4677" s="3"/>
      <c r="G4677" s="3"/>
      <c r="H4677" s="3"/>
    </row>
    <row r="4678" spans="5:8">
      <c r="E4678" s="3"/>
      <c r="F4678" s="3"/>
      <c r="G4678" s="3"/>
      <c r="H4678" s="3"/>
    </row>
    <row r="4679" spans="5:8">
      <c r="E4679" s="3"/>
      <c r="F4679" s="3"/>
      <c r="G4679" s="3"/>
      <c r="H4679" s="3"/>
    </row>
    <row r="4680" spans="5:8">
      <c r="E4680" s="3"/>
      <c r="F4680" s="3"/>
      <c r="G4680" s="3"/>
      <c r="H4680" s="3"/>
    </row>
    <row r="4681" spans="5:8">
      <c r="E4681" s="3"/>
      <c r="F4681" s="3"/>
      <c r="G4681" s="3"/>
      <c r="H4681" s="3"/>
    </row>
    <row r="4682" spans="5:8">
      <c r="E4682" s="3"/>
      <c r="F4682" s="3"/>
      <c r="G4682" s="3"/>
      <c r="H4682" s="3"/>
    </row>
    <row r="4683" spans="5:8">
      <c r="E4683" s="3"/>
      <c r="F4683" s="3"/>
      <c r="G4683" s="3"/>
      <c r="H4683" s="3"/>
    </row>
    <row r="4684" spans="5:8">
      <c r="E4684" s="3"/>
      <c r="F4684" s="3"/>
      <c r="G4684" s="3"/>
      <c r="H4684" s="3"/>
    </row>
    <row r="4685" spans="5:8">
      <c r="E4685" s="3"/>
      <c r="F4685" s="3"/>
      <c r="G4685" s="3"/>
      <c r="H4685" s="3"/>
    </row>
    <row r="4686" spans="5:8">
      <c r="E4686" s="3"/>
      <c r="F4686" s="3"/>
      <c r="G4686" s="3"/>
      <c r="H4686" s="3"/>
    </row>
    <row r="4687" spans="5:8">
      <c r="E4687" s="3"/>
      <c r="F4687" s="3"/>
      <c r="G4687" s="3"/>
      <c r="H4687" s="3"/>
    </row>
    <row r="4688" spans="5:8">
      <c r="E4688" s="3"/>
      <c r="F4688" s="3"/>
      <c r="G4688" s="3"/>
      <c r="H4688" s="3"/>
    </row>
    <row r="4689" spans="5:8">
      <c r="E4689" s="3"/>
      <c r="F4689" s="3"/>
      <c r="G4689" s="3"/>
      <c r="H4689" s="3"/>
    </row>
    <row r="4690" spans="5:8">
      <c r="E4690" s="3"/>
      <c r="F4690" s="3"/>
      <c r="G4690" s="3"/>
      <c r="H4690" s="3"/>
    </row>
    <row r="4691" spans="5:8">
      <c r="E4691" s="3"/>
      <c r="F4691" s="3"/>
      <c r="G4691" s="3"/>
      <c r="H4691" s="3"/>
    </row>
    <row r="4692" spans="5:8">
      <c r="E4692" s="3"/>
      <c r="F4692" s="3"/>
      <c r="G4692" s="3"/>
      <c r="H4692" s="3"/>
    </row>
    <row r="4693" spans="5:8">
      <c r="E4693" s="3"/>
      <c r="F4693" s="3"/>
      <c r="G4693" s="3"/>
      <c r="H4693" s="3"/>
    </row>
    <row r="4694" spans="5:8">
      <c r="E4694" s="3"/>
      <c r="F4694" s="3"/>
      <c r="G4694" s="3"/>
      <c r="H4694" s="3"/>
    </row>
    <row r="4695" spans="5:8">
      <c r="E4695" s="3"/>
      <c r="F4695" s="3"/>
      <c r="G4695" s="3"/>
      <c r="H4695" s="3"/>
    </row>
    <row r="4696" spans="5:8">
      <c r="E4696" s="3"/>
      <c r="F4696" s="3"/>
      <c r="G4696" s="3"/>
      <c r="H4696" s="3"/>
    </row>
    <row r="4697" spans="5:8">
      <c r="E4697" s="3"/>
      <c r="F4697" s="3"/>
      <c r="G4697" s="3"/>
      <c r="H4697" s="3"/>
    </row>
    <row r="4698" spans="5:8">
      <c r="E4698" s="3"/>
      <c r="F4698" s="3"/>
      <c r="G4698" s="3"/>
      <c r="H4698" s="3"/>
    </row>
    <row r="4699" spans="5:8">
      <c r="E4699" s="3"/>
      <c r="F4699" s="3"/>
      <c r="G4699" s="3"/>
      <c r="H4699" s="3"/>
    </row>
    <row r="4700" spans="5:8">
      <c r="E4700" s="3"/>
      <c r="F4700" s="3"/>
      <c r="G4700" s="3"/>
      <c r="H4700" s="3"/>
    </row>
    <row r="4701" spans="5:8">
      <c r="E4701" s="3"/>
      <c r="F4701" s="3"/>
      <c r="G4701" s="3"/>
      <c r="H4701" s="3"/>
    </row>
    <row r="4702" spans="5:8">
      <c r="E4702" s="3"/>
      <c r="F4702" s="3"/>
      <c r="G4702" s="3"/>
      <c r="H4702" s="3"/>
    </row>
    <row r="4703" spans="5:8">
      <c r="E4703" s="3"/>
      <c r="F4703" s="3"/>
      <c r="G4703" s="3"/>
      <c r="H4703" s="3"/>
    </row>
    <row r="4704" spans="5:8">
      <c r="E4704" s="3"/>
      <c r="F4704" s="3"/>
      <c r="G4704" s="3"/>
      <c r="H4704" s="3"/>
    </row>
    <row r="4705" spans="5:8">
      <c r="E4705" s="3"/>
      <c r="F4705" s="3"/>
      <c r="G4705" s="3"/>
      <c r="H4705" s="3"/>
    </row>
    <row r="4706" spans="5:8">
      <c r="E4706" s="3"/>
      <c r="F4706" s="3"/>
      <c r="G4706" s="3"/>
      <c r="H4706" s="3"/>
    </row>
    <row r="4707" spans="5:8">
      <c r="E4707" s="3"/>
      <c r="F4707" s="3"/>
      <c r="G4707" s="3"/>
      <c r="H4707" s="3"/>
    </row>
    <row r="4708" spans="5:8">
      <c r="E4708" s="3"/>
      <c r="F4708" s="3"/>
      <c r="G4708" s="3"/>
      <c r="H4708" s="3"/>
    </row>
    <row r="4709" spans="5:8">
      <c r="E4709" s="3"/>
      <c r="F4709" s="3"/>
      <c r="G4709" s="3"/>
      <c r="H4709" s="3"/>
    </row>
    <row r="4710" spans="5:8">
      <c r="E4710" s="3"/>
      <c r="F4710" s="3"/>
      <c r="G4710" s="3"/>
      <c r="H4710" s="3"/>
    </row>
    <row r="4711" spans="5:8">
      <c r="E4711" s="3"/>
      <c r="F4711" s="3"/>
      <c r="G4711" s="3"/>
      <c r="H4711" s="3"/>
    </row>
    <row r="4712" spans="5:8">
      <c r="E4712" s="3"/>
      <c r="F4712" s="3"/>
      <c r="G4712" s="3"/>
      <c r="H4712" s="3"/>
    </row>
    <row r="4713" spans="5:8">
      <c r="E4713" s="3"/>
      <c r="F4713" s="3"/>
      <c r="G4713" s="3"/>
      <c r="H4713" s="3"/>
    </row>
    <row r="4714" spans="5:8">
      <c r="E4714" s="3"/>
      <c r="F4714" s="3"/>
      <c r="G4714" s="3"/>
      <c r="H4714" s="3"/>
    </row>
    <row r="4715" spans="5:8">
      <c r="E4715" s="3"/>
      <c r="F4715" s="3"/>
      <c r="G4715" s="3"/>
      <c r="H4715" s="3"/>
    </row>
    <row r="4716" spans="5:8">
      <c r="E4716" s="3"/>
      <c r="F4716" s="3"/>
      <c r="G4716" s="3"/>
      <c r="H4716" s="3"/>
    </row>
    <row r="4717" spans="5:8">
      <c r="E4717" s="3"/>
      <c r="F4717" s="3"/>
      <c r="G4717" s="3"/>
      <c r="H4717" s="3"/>
    </row>
    <row r="4718" spans="5:8">
      <c r="E4718" s="3"/>
      <c r="F4718" s="3"/>
      <c r="G4718" s="3"/>
      <c r="H4718" s="3"/>
    </row>
    <row r="4719" spans="5:8">
      <c r="E4719" s="3"/>
      <c r="F4719" s="3"/>
      <c r="G4719" s="3"/>
      <c r="H4719" s="3"/>
    </row>
    <row r="4720" spans="5:8">
      <c r="E4720" s="3"/>
      <c r="F4720" s="3"/>
      <c r="G4720" s="3"/>
      <c r="H4720" s="3"/>
    </row>
    <row r="4721" spans="5:8">
      <c r="E4721" s="3"/>
      <c r="F4721" s="3"/>
      <c r="G4721" s="3"/>
      <c r="H4721" s="3"/>
    </row>
    <row r="4722" spans="5:8">
      <c r="E4722" s="3"/>
      <c r="F4722" s="3"/>
      <c r="G4722" s="3"/>
      <c r="H4722" s="3"/>
    </row>
    <row r="4723" spans="5:8">
      <c r="E4723" s="3"/>
      <c r="F4723" s="3"/>
      <c r="G4723" s="3"/>
      <c r="H4723" s="3"/>
    </row>
    <row r="4724" spans="5:8">
      <c r="E4724" s="3"/>
      <c r="F4724" s="3"/>
      <c r="G4724" s="3"/>
      <c r="H4724" s="3"/>
    </row>
    <row r="4725" spans="5:8">
      <c r="E4725" s="3"/>
      <c r="F4725" s="3"/>
      <c r="G4725" s="3"/>
      <c r="H4725" s="3"/>
    </row>
    <row r="4726" spans="5:8">
      <c r="E4726" s="3"/>
      <c r="F4726" s="3"/>
      <c r="G4726" s="3"/>
      <c r="H4726" s="3"/>
    </row>
    <row r="4727" spans="5:8">
      <c r="E4727" s="3"/>
      <c r="F4727" s="3"/>
      <c r="G4727" s="3"/>
      <c r="H4727" s="3"/>
    </row>
    <row r="4728" spans="5:8">
      <c r="E4728" s="3"/>
      <c r="F4728" s="3"/>
      <c r="G4728" s="3"/>
      <c r="H4728" s="3"/>
    </row>
    <row r="4729" spans="5:8">
      <c r="E4729" s="3"/>
      <c r="F4729" s="3"/>
      <c r="G4729" s="3"/>
      <c r="H4729" s="3"/>
    </row>
    <row r="4730" spans="5:8">
      <c r="E4730" s="3"/>
      <c r="F4730" s="3"/>
      <c r="G4730" s="3"/>
      <c r="H4730" s="3"/>
    </row>
    <row r="4731" spans="5:8">
      <c r="E4731" s="3"/>
      <c r="F4731" s="3"/>
      <c r="G4731" s="3"/>
      <c r="H4731" s="3"/>
    </row>
    <row r="4732" spans="5:8">
      <c r="E4732" s="3"/>
      <c r="F4732" s="3"/>
      <c r="G4732" s="3"/>
      <c r="H4732" s="3"/>
    </row>
    <row r="4733" spans="5:8">
      <c r="E4733" s="3"/>
      <c r="F4733" s="3"/>
      <c r="G4733" s="3"/>
      <c r="H4733" s="3"/>
    </row>
    <row r="4734" spans="5:8">
      <c r="E4734" s="3"/>
      <c r="F4734" s="3"/>
      <c r="G4734" s="3"/>
      <c r="H4734" s="3"/>
    </row>
    <row r="4735" spans="5:8">
      <c r="E4735" s="3"/>
      <c r="F4735" s="3"/>
      <c r="G4735" s="3"/>
      <c r="H4735" s="3"/>
    </row>
    <row r="4736" spans="5:8">
      <c r="E4736" s="3"/>
      <c r="F4736" s="3"/>
      <c r="G4736" s="3"/>
      <c r="H4736" s="3"/>
    </row>
    <row r="4737" spans="5:8">
      <c r="E4737" s="3"/>
      <c r="F4737" s="3"/>
      <c r="G4737" s="3"/>
      <c r="H4737" s="3"/>
    </row>
    <row r="4738" spans="5:8">
      <c r="E4738" s="3"/>
      <c r="F4738" s="3"/>
      <c r="G4738" s="3"/>
      <c r="H4738" s="3"/>
    </row>
    <row r="4739" spans="5:8">
      <c r="E4739" s="3"/>
      <c r="F4739" s="3"/>
      <c r="G4739" s="3"/>
      <c r="H4739" s="3"/>
    </row>
    <row r="4740" spans="5:8">
      <c r="E4740" s="3"/>
      <c r="F4740" s="3"/>
      <c r="G4740" s="3"/>
      <c r="H4740" s="3"/>
    </row>
    <row r="4741" spans="5:8">
      <c r="E4741" s="3"/>
      <c r="F4741" s="3"/>
      <c r="G4741" s="3"/>
      <c r="H4741" s="3"/>
    </row>
    <row r="4742" spans="5:8">
      <c r="E4742" s="3"/>
      <c r="F4742" s="3"/>
      <c r="G4742" s="3"/>
      <c r="H4742" s="3"/>
    </row>
    <row r="4743" spans="5:8">
      <c r="E4743" s="3"/>
      <c r="F4743" s="3"/>
      <c r="G4743" s="3"/>
      <c r="H4743" s="3"/>
    </row>
    <row r="4744" spans="5:8">
      <c r="E4744" s="3"/>
      <c r="F4744" s="3"/>
      <c r="G4744" s="3"/>
      <c r="H4744" s="3"/>
    </row>
    <row r="4745" spans="5:8">
      <c r="E4745" s="3"/>
      <c r="F4745" s="3"/>
      <c r="G4745" s="3"/>
      <c r="H4745" s="3"/>
    </row>
    <row r="4746" spans="5:8">
      <c r="E4746" s="3"/>
      <c r="F4746" s="3"/>
      <c r="G4746" s="3"/>
      <c r="H4746" s="3"/>
    </row>
    <row r="4747" spans="5:8">
      <c r="E4747" s="3"/>
      <c r="F4747" s="3"/>
      <c r="G4747" s="3"/>
      <c r="H4747" s="3"/>
    </row>
    <row r="4748" spans="5:8">
      <c r="E4748" s="3"/>
      <c r="F4748" s="3"/>
      <c r="G4748" s="3"/>
      <c r="H4748" s="3"/>
    </row>
    <row r="4749" spans="5:8">
      <c r="E4749" s="3"/>
      <c r="F4749" s="3"/>
      <c r="G4749" s="3"/>
      <c r="H4749" s="3"/>
    </row>
    <row r="4750" spans="5:8">
      <c r="E4750" s="3"/>
      <c r="F4750" s="3"/>
      <c r="G4750" s="3"/>
      <c r="H4750" s="3"/>
    </row>
    <row r="4751" spans="5:8">
      <c r="E4751" s="3"/>
      <c r="F4751" s="3"/>
      <c r="G4751" s="3"/>
      <c r="H4751" s="3"/>
    </row>
    <row r="4752" spans="5:8">
      <c r="E4752" s="3"/>
      <c r="F4752" s="3"/>
      <c r="G4752" s="3"/>
      <c r="H4752" s="3"/>
    </row>
    <row r="4753" spans="5:8">
      <c r="E4753" s="3"/>
      <c r="F4753" s="3"/>
      <c r="G4753" s="3"/>
      <c r="H4753" s="3"/>
    </row>
    <row r="4754" spans="5:8">
      <c r="E4754" s="3"/>
      <c r="F4754" s="3"/>
      <c r="G4754" s="3"/>
      <c r="H4754" s="3"/>
    </row>
    <row r="4755" spans="5:8">
      <c r="E4755" s="3"/>
      <c r="F4755" s="3"/>
      <c r="G4755" s="3"/>
      <c r="H4755" s="3"/>
    </row>
    <row r="4756" spans="5:8">
      <c r="E4756" s="3"/>
      <c r="F4756" s="3"/>
      <c r="G4756" s="3"/>
      <c r="H4756" s="3"/>
    </row>
    <row r="4757" spans="5:8">
      <c r="E4757" s="3"/>
      <c r="F4757" s="3"/>
      <c r="G4757" s="3"/>
      <c r="H4757" s="3"/>
    </row>
    <row r="4758" spans="5:8">
      <c r="E4758" s="3"/>
      <c r="F4758" s="3"/>
      <c r="G4758" s="3"/>
      <c r="H4758" s="3"/>
    </row>
    <row r="4759" spans="5:8">
      <c r="E4759" s="3"/>
      <c r="F4759" s="3"/>
      <c r="G4759" s="3"/>
      <c r="H4759" s="3"/>
    </row>
    <row r="4760" spans="5:8">
      <c r="E4760" s="3"/>
      <c r="F4760" s="3"/>
      <c r="G4760" s="3"/>
      <c r="H4760" s="3"/>
    </row>
    <row r="4761" spans="5:8">
      <c r="E4761" s="3"/>
      <c r="F4761" s="3"/>
      <c r="G4761" s="3"/>
      <c r="H4761" s="3"/>
    </row>
    <row r="4762" spans="5:8">
      <c r="E4762" s="3"/>
      <c r="F4762" s="3"/>
      <c r="G4762" s="3"/>
      <c r="H4762" s="3"/>
    </row>
    <row r="4763" spans="5:8">
      <c r="E4763" s="3"/>
      <c r="F4763" s="3"/>
      <c r="G4763" s="3"/>
      <c r="H4763" s="3"/>
    </row>
    <row r="4764" spans="5:8">
      <c r="E4764" s="3"/>
      <c r="F4764" s="3"/>
      <c r="G4764" s="3"/>
      <c r="H4764" s="3"/>
    </row>
    <row r="4765" spans="5:8">
      <c r="E4765" s="3"/>
      <c r="F4765" s="3"/>
      <c r="G4765" s="3"/>
      <c r="H4765" s="3"/>
    </row>
    <row r="4766" spans="5:8">
      <c r="E4766" s="3"/>
      <c r="F4766" s="3"/>
      <c r="G4766" s="3"/>
      <c r="H4766" s="3"/>
    </row>
    <row r="4767" spans="5:8">
      <c r="E4767" s="3"/>
      <c r="F4767" s="3"/>
      <c r="G4767" s="3"/>
      <c r="H4767" s="3"/>
    </row>
    <row r="4768" spans="5:8">
      <c r="E4768" s="3"/>
      <c r="F4768" s="3"/>
      <c r="G4768" s="3"/>
      <c r="H4768" s="3"/>
    </row>
    <row r="4769" spans="5:8">
      <c r="E4769" s="3"/>
      <c r="F4769" s="3"/>
      <c r="G4769" s="3"/>
      <c r="H4769" s="3"/>
    </row>
    <row r="4770" spans="5:8">
      <c r="E4770" s="3"/>
      <c r="F4770" s="3"/>
      <c r="G4770" s="3"/>
      <c r="H4770" s="3"/>
    </row>
    <row r="4771" spans="5:8">
      <c r="E4771" s="3"/>
      <c r="F4771" s="3"/>
      <c r="G4771" s="3"/>
      <c r="H4771" s="3"/>
    </row>
    <row r="4772" spans="5:8">
      <c r="E4772" s="3"/>
      <c r="F4772" s="3"/>
      <c r="G4772" s="3"/>
      <c r="H4772" s="3"/>
    </row>
    <row r="4773" spans="5:8">
      <c r="E4773" s="3"/>
      <c r="F4773" s="3"/>
      <c r="G4773" s="3"/>
      <c r="H4773" s="3"/>
    </row>
    <row r="4774" spans="5:8">
      <c r="E4774" s="3"/>
      <c r="F4774" s="3"/>
      <c r="G4774" s="3"/>
      <c r="H4774" s="3"/>
    </row>
    <row r="4775" spans="5:8">
      <c r="E4775" s="3"/>
      <c r="F4775" s="3"/>
      <c r="G4775" s="3"/>
      <c r="H4775" s="3"/>
    </row>
    <row r="4776" spans="5:8">
      <c r="E4776" s="3"/>
      <c r="F4776" s="3"/>
      <c r="G4776" s="3"/>
      <c r="H4776" s="3"/>
    </row>
    <row r="4777" spans="5:8">
      <c r="E4777" s="3"/>
      <c r="F4777" s="3"/>
      <c r="G4777" s="3"/>
      <c r="H4777" s="3"/>
    </row>
    <row r="4778" spans="5:8">
      <c r="E4778" s="3"/>
      <c r="F4778" s="3"/>
      <c r="G4778" s="3"/>
      <c r="H4778" s="3"/>
    </row>
    <row r="4779" spans="5:8">
      <c r="E4779" s="3"/>
      <c r="F4779" s="3"/>
      <c r="G4779" s="3"/>
      <c r="H4779" s="3"/>
    </row>
    <row r="4780" spans="5:8">
      <c r="E4780" s="3"/>
      <c r="F4780" s="3"/>
      <c r="G4780" s="3"/>
      <c r="H4780" s="3"/>
    </row>
    <row r="4781" spans="5:8">
      <c r="E4781" s="3"/>
      <c r="F4781" s="3"/>
      <c r="G4781" s="3"/>
      <c r="H4781" s="3"/>
    </row>
    <row r="4782" spans="5:8">
      <c r="E4782" s="3"/>
      <c r="F4782" s="3"/>
      <c r="G4782" s="3"/>
      <c r="H4782" s="3"/>
    </row>
    <row r="4783" spans="5:8">
      <c r="E4783" s="3"/>
      <c r="F4783" s="3"/>
      <c r="G4783" s="3"/>
      <c r="H4783" s="3"/>
    </row>
    <row r="4784" spans="5:8">
      <c r="E4784" s="3"/>
      <c r="F4784" s="3"/>
      <c r="G4784" s="3"/>
      <c r="H4784" s="3"/>
    </row>
    <row r="4785" spans="5:8">
      <c r="E4785" s="3"/>
      <c r="F4785" s="3"/>
      <c r="G4785" s="3"/>
      <c r="H4785" s="3"/>
    </row>
    <row r="4786" spans="5:8">
      <c r="E4786" s="3"/>
      <c r="F4786" s="3"/>
      <c r="G4786" s="3"/>
      <c r="H4786" s="3"/>
    </row>
    <row r="4787" spans="5:8">
      <c r="E4787" s="3"/>
      <c r="F4787" s="3"/>
      <c r="G4787" s="3"/>
      <c r="H4787" s="3"/>
    </row>
    <row r="4788" spans="5:8">
      <c r="E4788" s="3"/>
      <c r="F4788" s="3"/>
      <c r="G4788" s="3"/>
      <c r="H4788" s="3"/>
    </row>
    <row r="4789" spans="5:8">
      <c r="E4789" s="3"/>
      <c r="F4789" s="3"/>
      <c r="G4789" s="3"/>
      <c r="H4789" s="3"/>
    </row>
    <row r="4790" spans="5:8">
      <c r="E4790" s="3"/>
      <c r="F4790" s="3"/>
      <c r="G4790" s="3"/>
      <c r="H4790" s="3"/>
    </row>
    <row r="4791" spans="5:8">
      <c r="E4791" s="3"/>
      <c r="F4791" s="3"/>
      <c r="G4791" s="3"/>
      <c r="H4791" s="3"/>
    </row>
    <row r="4792" spans="5:8">
      <c r="E4792" s="3"/>
      <c r="F4792" s="3"/>
      <c r="G4792" s="3"/>
      <c r="H4792" s="3"/>
    </row>
    <row r="4793" spans="5:8">
      <c r="E4793" s="3"/>
      <c r="F4793" s="3"/>
      <c r="G4793" s="3"/>
      <c r="H4793" s="3"/>
    </row>
    <row r="4794" spans="5:8">
      <c r="E4794" s="3"/>
      <c r="F4794" s="3"/>
      <c r="G4794" s="3"/>
      <c r="H4794" s="3"/>
    </row>
    <row r="4795" spans="5:8">
      <c r="E4795" s="3"/>
      <c r="F4795" s="3"/>
      <c r="G4795" s="3"/>
      <c r="H4795" s="3"/>
    </row>
    <row r="4796" spans="5:8">
      <c r="E4796" s="3"/>
      <c r="F4796" s="3"/>
      <c r="G4796" s="3"/>
      <c r="H4796" s="3"/>
    </row>
    <row r="4797" spans="5:8">
      <c r="E4797" s="3"/>
      <c r="F4797" s="3"/>
      <c r="G4797" s="3"/>
      <c r="H4797" s="3"/>
    </row>
    <row r="4798" spans="5:8">
      <c r="E4798" s="3"/>
      <c r="F4798" s="3"/>
      <c r="G4798" s="3"/>
      <c r="H4798" s="3"/>
    </row>
    <row r="4799" spans="5:8">
      <c r="E4799" s="3"/>
      <c r="F4799" s="3"/>
      <c r="G4799" s="3"/>
      <c r="H4799" s="3"/>
    </row>
    <row r="4800" spans="5:8">
      <c r="E4800" s="3"/>
      <c r="F4800" s="3"/>
      <c r="G4800" s="3"/>
      <c r="H4800" s="3"/>
    </row>
    <row r="4801" spans="5:8">
      <c r="E4801" s="3"/>
      <c r="F4801" s="3"/>
      <c r="G4801" s="3"/>
      <c r="H4801" s="3"/>
    </row>
    <row r="4802" spans="5:8">
      <c r="E4802" s="3"/>
      <c r="F4802" s="3"/>
      <c r="G4802" s="3"/>
      <c r="H4802" s="3"/>
    </row>
    <row r="4803" spans="5:8">
      <c r="E4803" s="3"/>
      <c r="F4803" s="3"/>
      <c r="G4803" s="3"/>
      <c r="H4803" s="3"/>
    </row>
    <row r="4804" spans="5:8">
      <c r="E4804" s="3"/>
      <c r="F4804" s="3"/>
      <c r="G4804" s="3"/>
      <c r="H4804" s="3"/>
    </row>
    <row r="4805" spans="5:8">
      <c r="E4805" s="3"/>
      <c r="F4805" s="3"/>
      <c r="G4805" s="3"/>
      <c r="H4805" s="3"/>
    </row>
    <row r="4806" spans="5:8">
      <c r="E4806" s="3"/>
      <c r="F4806" s="3"/>
      <c r="G4806" s="3"/>
      <c r="H4806" s="3"/>
    </row>
    <row r="4807" spans="5:8">
      <c r="E4807" s="3"/>
      <c r="F4807" s="3"/>
      <c r="G4807" s="3"/>
      <c r="H4807" s="3"/>
    </row>
    <row r="4808" spans="5:8">
      <c r="E4808" s="3"/>
      <c r="F4808" s="3"/>
      <c r="G4808" s="3"/>
      <c r="H4808" s="3"/>
    </row>
    <row r="4809" spans="5:8">
      <c r="E4809" s="3"/>
      <c r="F4809" s="3"/>
      <c r="G4809" s="3"/>
      <c r="H4809" s="3"/>
    </row>
    <row r="4810" spans="5:8">
      <c r="E4810" s="3"/>
      <c r="F4810" s="3"/>
      <c r="G4810" s="3"/>
      <c r="H4810" s="3"/>
    </row>
    <row r="4811" spans="5:8">
      <c r="E4811" s="3"/>
      <c r="F4811" s="3"/>
      <c r="G4811" s="3"/>
      <c r="H4811" s="3"/>
    </row>
    <row r="4812" spans="5:8">
      <c r="E4812" s="3"/>
      <c r="F4812" s="3"/>
      <c r="G4812" s="3"/>
      <c r="H4812" s="3"/>
    </row>
    <row r="4813" spans="5:8">
      <c r="E4813" s="3"/>
      <c r="F4813" s="3"/>
      <c r="G4813" s="3"/>
      <c r="H4813" s="3"/>
    </row>
    <row r="4814" spans="5:8">
      <c r="E4814" s="3"/>
      <c r="F4814" s="3"/>
      <c r="G4814" s="3"/>
      <c r="H4814" s="3"/>
    </row>
    <row r="4815" spans="5:8">
      <c r="E4815" s="3"/>
      <c r="F4815" s="3"/>
      <c r="G4815" s="3"/>
      <c r="H4815" s="3"/>
    </row>
    <row r="4816" spans="5:8">
      <c r="E4816" s="3"/>
      <c r="F4816" s="3"/>
      <c r="G4816" s="3"/>
      <c r="H4816" s="3"/>
    </row>
    <row r="4817" spans="5:8">
      <c r="E4817" s="3"/>
      <c r="F4817" s="3"/>
      <c r="G4817" s="3"/>
      <c r="H4817" s="3"/>
    </row>
    <row r="4818" spans="5:8">
      <c r="E4818" s="3"/>
      <c r="F4818" s="3"/>
      <c r="G4818" s="3"/>
      <c r="H4818" s="3"/>
    </row>
    <row r="4819" spans="5:8">
      <c r="E4819" s="3"/>
      <c r="F4819" s="3"/>
      <c r="G4819" s="3"/>
      <c r="H4819" s="3"/>
    </row>
    <row r="4820" spans="5:8">
      <c r="E4820" s="3"/>
      <c r="F4820" s="3"/>
      <c r="G4820" s="3"/>
      <c r="H4820" s="3"/>
    </row>
    <row r="4821" spans="5:8">
      <c r="E4821" s="3"/>
      <c r="F4821" s="3"/>
      <c r="G4821" s="3"/>
      <c r="H4821" s="3"/>
    </row>
    <row r="4822" spans="5:8">
      <c r="E4822" s="3"/>
      <c r="F4822" s="3"/>
      <c r="G4822" s="3"/>
      <c r="H4822" s="3"/>
    </row>
    <row r="4823" spans="5:8">
      <c r="E4823" s="3"/>
      <c r="F4823" s="3"/>
      <c r="G4823" s="3"/>
      <c r="H4823" s="3"/>
    </row>
    <row r="4824" spans="5:8">
      <c r="E4824" s="3"/>
      <c r="F4824" s="3"/>
      <c r="G4824" s="3"/>
      <c r="H4824" s="3"/>
    </row>
    <row r="4825" spans="5:8">
      <c r="E4825" s="3"/>
      <c r="F4825" s="3"/>
      <c r="G4825" s="3"/>
      <c r="H4825" s="3"/>
    </row>
    <row r="4826" spans="5:8">
      <c r="E4826" s="3"/>
      <c r="F4826" s="3"/>
      <c r="G4826" s="3"/>
      <c r="H4826" s="3"/>
    </row>
    <row r="4827" spans="5:8">
      <c r="E4827" s="3"/>
      <c r="F4827" s="3"/>
      <c r="G4827" s="3"/>
      <c r="H4827" s="3"/>
    </row>
    <row r="4828" spans="5:8">
      <c r="E4828" s="3"/>
      <c r="F4828" s="3"/>
      <c r="G4828" s="3"/>
      <c r="H4828" s="3"/>
    </row>
    <row r="4829" spans="5:8">
      <c r="E4829" s="3"/>
      <c r="F4829" s="3"/>
      <c r="G4829" s="3"/>
      <c r="H4829" s="3"/>
    </row>
    <row r="4830" spans="5:8">
      <c r="E4830" s="3"/>
      <c r="F4830" s="3"/>
      <c r="G4830" s="3"/>
      <c r="H4830" s="3"/>
    </row>
    <row r="4831" spans="5:8">
      <c r="E4831" s="3"/>
      <c r="F4831" s="3"/>
      <c r="G4831" s="3"/>
      <c r="H4831" s="3"/>
    </row>
    <row r="4832" spans="5:8">
      <c r="E4832" s="3"/>
      <c r="F4832" s="3"/>
      <c r="G4832" s="3"/>
      <c r="H4832" s="3"/>
    </row>
    <row r="4833" spans="5:8">
      <c r="E4833" s="3"/>
      <c r="F4833" s="3"/>
      <c r="G4833" s="3"/>
      <c r="H4833" s="3"/>
    </row>
    <row r="4834" spans="5:8">
      <c r="E4834" s="3"/>
      <c r="F4834" s="3"/>
      <c r="G4834" s="3"/>
      <c r="H4834" s="3"/>
    </row>
    <row r="4835" spans="5:8">
      <c r="E4835" s="3"/>
      <c r="F4835" s="3"/>
      <c r="G4835" s="3"/>
      <c r="H4835" s="3"/>
    </row>
    <row r="4836" spans="5:8">
      <c r="E4836" s="3"/>
      <c r="F4836" s="3"/>
      <c r="G4836" s="3"/>
      <c r="H4836" s="3"/>
    </row>
    <row r="4837" spans="5:8">
      <c r="E4837" s="3"/>
      <c r="F4837" s="3"/>
      <c r="G4837" s="3"/>
      <c r="H4837" s="3"/>
    </row>
    <row r="4838" spans="5:8">
      <c r="E4838" s="3"/>
      <c r="F4838" s="3"/>
      <c r="G4838" s="3"/>
      <c r="H4838" s="3"/>
    </row>
    <row r="4839" spans="5:8">
      <c r="E4839" s="3"/>
      <c r="F4839" s="3"/>
      <c r="G4839" s="3"/>
      <c r="H4839" s="3"/>
    </row>
    <row r="4840" spans="5:8">
      <c r="E4840" s="3"/>
      <c r="F4840" s="3"/>
      <c r="G4840" s="3"/>
      <c r="H4840" s="3"/>
    </row>
    <row r="4841" spans="5:8">
      <c r="E4841" s="3"/>
      <c r="F4841" s="3"/>
      <c r="G4841" s="3"/>
      <c r="H4841" s="3"/>
    </row>
    <row r="4842" spans="5:8">
      <c r="E4842" s="3"/>
      <c r="F4842" s="3"/>
      <c r="G4842" s="3"/>
      <c r="H4842" s="3"/>
    </row>
    <row r="4843" spans="5:8">
      <c r="E4843" s="3"/>
      <c r="F4843" s="3"/>
      <c r="G4843" s="3"/>
      <c r="H4843" s="3"/>
    </row>
    <row r="4844" spans="5:8">
      <c r="E4844" s="3"/>
      <c r="F4844" s="3"/>
      <c r="G4844" s="3"/>
      <c r="H4844" s="3"/>
    </row>
    <row r="4845" spans="5:8">
      <c r="E4845" s="3"/>
      <c r="F4845" s="3"/>
      <c r="G4845" s="3"/>
      <c r="H4845" s="3"/>
    </row>
    <row r="4846" spans="5:8">
      <c r="E4846" s="3"/>
      <c r="F4846" s="3"/>
      <c r="G4846" s="3"/>
      <c r="H4846" s="3"/>
    </row>
    <row r="4847" spans="5:8">
      <c r="E4847" s="3"/>
      <c r="F4847" s="3"/>
      <c r="G4847" s="3"/>
      <c r="H4847" s="3"/>
    </row>
    <row r="4848" spans="5:8">
      <c r="E4848" s="3"/>
      <c r="F4848" s="3"/>
      <c r="G4848" s="3"/>
      <c r="H4848" s="3"/>
    </row>
    <row r="4849" spans="5:8">
      <c r="E4849" s="3"/>
      <c r="F4849" s="3"/>
      <c r="G4849" s="3"/>
      <c r="H4849" s="3"/>
    </row>
    <row r="4850" spans="5:8">
      <c r="E4850" s="3"/>
      <c r="F4850" s="3"/>
      <c r="G4850" s="3"/>
      <c r="H4850" s="3"/>
    </row>
    <row r="4851" spans="5:8">
      <c r="E4851" s="3"/>
      <c r="F4851" s="3"/>
      <c r="G4851" s="3"/>
      <c r="H4851" s="3"/>
    </row>
    <row r="4852" spans="5:8">
      <c r="E4852" s="3"/>
      <c r="F4852" s="3"/>
      <c r="G4852" s="3"/>
      <c r="H4852" s="3"/>
    </row>
    <row r="4853" spans="5:8">
      <c r="E4853" s="3"/>
      <c r="F4853" s="3"/>
      <c r="G4853" s="3"/>
      <c r="H4853" s="3"/>
    </row>
    <row r="4854" spans="5:8">
      <c r="E4854" s="3"/>
      <c r="F4854" s="3"/>
      <c r="G4854" s="3"/>
      <c r="H4854" s="3"/>
    </row>
    <row r="4855" spans="5:8">
      <c r="E4855" s="3"/>
      <c r="F4855" s="3"/>
      <c r="G4855" s="3"/>
      <c r="H4855" s="3"/>
    </row>
    <row r="4856" spans="5:8">
      <c r="E4856" s="3"/>
      <c r="F4856" s="3"/>
      <c r="G4856" s="3"/>
      <c r="H4856" s="3"/>
    </row>
    <row r="4857" spans="5:8">
      <c r="E4857" s="3"/>
      <c r="F4857" s="3"/>
      <c r="G4857" s="3"/>
      <c r="H4857" s="3"/>
    </row>
    <row r="4858" spans="5:8">
      <c r="E4858" s="3"/>
      <c r="F4858" s="3"/>
      <c r="G4858" s="3"/>
      <c r="H4858" s="3"/>
    </row>
    <row r="4859" spans="5:8">
      <c r="E4859" s="3"/>
      <c r="F4859" s="3"/>
      <c r="G4859" s="3"/>
      <c r="H4859" s="3"/>
    </row>
    <row r="4860" spans="5:8">
      <c r="E4860" s="3"/>
      <c r="F4860" s="3"/>
      <c r="G4860" s="3"/>
      <c r="H4860" s="3"/>
    </row>
    <row r="4861" spans="5:8">
      <c r="E4861" s="3"/>
      <c r="F4861" s="3"/>
      <c r="G4861" s="3"/>
      <c r="H4861" s="3"/>
    </row>
    <row r="4862" spans="5:8">
      <c r="E4862" s="3"/>
      <c r="F4862" s="3"/>
      <c r="G4862" s="3"/>
      <c r="H4862" s="3"/>
    </row>
    <row r="4863" spans="5:8">
      <c r="E4863" s="3"/>
      <c r="F4863" s="3"/>
      <c r="G4863" s="3"/>
      <c r="H4863" s="3"/>
    </row>
    <row r="4864" spans="5:8">
      <c r="E4864" s="3"/>
      <c r="F4864" s="3"/>
      <c r="G4864" s="3"/>
      <c r="H4864" s="3"/>
    </row>
    <row r="4865" spans="5:8">
      <c r="E4865" s="3"/>
      <c r="F4865" s="3"/>
      <c r="G4865" s="3"/>
      <c r="H4865" s="3"/>
    </row>
    <row r="4866" spans="5:8">
      <c r="E4866" s="3"/>
      <c r="F4866" s="3"/>
      <c r="G4866" s="3"/>
      <c r="H4866" s="3"/>
    </row>
    <row r="4867" spans="5:8">
      <c r="E4867" s="3"/>
      <c r="F4867" s="3"/>
      <c r="G4867" s="3"/>
      <c r="H4867" s="3"/>
    </row>
    <row r="4868" spans="5:8">
      <c r="E4868" s="3"/>
      <c r="F4868" s="3"/>
      <c r="G4868" s="3"/>
      <c r="H4868" s="3"/>
    </row>
    <row r="4869" spans="5:8">
      <c r="E4869" s="3"/>
      <c r="F4869" s="3"/>
      <c r="G4869" s="3"/>
      <c r="H4869" s="3"/>
    </row>
    <row r="4870" spans="5:8">
      <c r="E4870" s="3"/>
      <c r="F4870" s="3"/>
      <c r="G4870" s="3"/>
      <c r="H4870" s="3"/>
    </row>
    <row r="4871" spans="5:8">
      <c r="E4871" s="3"/>
      <c r="F4871" s="3"/>
      <c r="G4871" s="3"/>
      <c r="H4871" s="3"/>
    </row>
    <row r="4872" spans="5:8">
      <c r="E4872" s="3"/>
      <c r="F4872" s="3"/>
      <c r="G4872" s="3"/>
      <c r="H4872" s="3"/>
    </row>
    <row r="4873" spans="5:8">
      <c r="E4873" s="3"/>
      <c r="F4873" s="3"/>
      <c r="G4873" s="3"/>
      <c r="H4873" s="3"/>
    </row>
    <row r="4874" spans="5:8">
      <c r="E4874" s="3"/>
      <c r="F4874" s="3"/>
      <c r="G4874" s="3"/>
      <c r="H4874" s="3"/>
    </row>
    <row r="4875" spans="5:8">
      <c r="E4875" s="3"/>
      <c r="F4875" s="3"/>
      <c r="G4875" s="3"/>
      <c r="H4875" s="3"/>
    </row>
    <row r="4876" spans="5:8">
      <c r="E4876" s="3"/>
      <c r="F4876" s="3"/>
      <c r="G4876" s="3"/>
      <c r="H4876" s="3"/>
    </row>
    <row r="4877" spans="5:8">
      <c r="E4877" s="3"/>
      <c r="F4877" s="3"/>
      <c r="G4877" s="3"/>
      <c r="H4877" s="3"/>
    </row>
    <row r="4878" spans="5:8">
      <c r="E4878" s="3"/>
      <c r="F4878" s="3"/>
      <c r="G4878" s="3"/>
      <c r="H4878" s="3"/>
    </row>
    <row r="4879" spans="5:8">
      <c r="E4879" s="3"/>
      <c r="F4879" s="3"/>
      <c r="G4879" s="3"/>
      <c r="H4879" s="3"/>
    </row>
    <row r="4880" spans="5:8">
      <c r="E4880" s="3"/>
      <c r="F4880" s="3"/>
      <c r="G4880" s="3"/>
      <c r="H4880" s="3"/>
    </row>
    <row r="4881" spans="5:8">
      <c r="E4881" s="3"/>
      <c r="F4881" s="3"/>
      <c r="G4881" s="3"/>
      <c r="H4881" s="3"/>
    </row>
    <row r="4882" spans="5:8">
      <c r="E4882" s="3"/>
      <c r="F4882" s="3"/>
      <c r="G4882" s="3"/>
      <c r="H4882" s="3"/>
    </row>
    <row r="4883" spans="5:8">
      <c r="E4883" s="3"/>
      <c r="F4883" s="3"/>
      <c r="G4883" s="3"/>
      <c r="H4883" s="3"/>
    </row>
  </sheetData>
  <sheetProtection sheet="1" formatCells="0" formatColumns="0" formatRows="0" autoFilter="0"/>
  <autoFilter ref="A1:L1499" xr:uid="{00000000-0001-0000-0200-000000000000}"/>
  <conditionalFormatting sqref="G45:G46 J49:J50 I128 G187 G188:J189 G158:J168 G183:J183 J182 J169:J180 J184:J187 J194:J220 J190:J192 G221:J224 J225:J232 G233:J243 J244:J247 J268:J271 J282 J305 J334 E47:J48 E45:E46 E49:E50 G49:H50 E53 G128 E129:J129 E142:J156 E186:H186 E187 E194:H197 F198:F199 E200:H205 F216 E131:J131 E182:H184 E158:H180 H184:H187 E217:H225 H194:H220 E188:H192 E227:H248 H225:H232 E268:H268 H268:H271 E249:J261 G290:J295 H282 E283:J288 E207:H215 E272:J280 E291:H294 G306:J332 E300:H304 G299:J304 E323:H325 E333:J333 F351:J351 E264:J266 E316:H321 E352:J356 F262:J263 E358:J358 F357:J357 E306:H307 H305 E335:J350 H334 E314:H314 E328:H331 E270:H270 E310:H311 E297:J298 F296:J296 E360:J4883 F359:J359 C2:D1499 E28:J30 E27:G27 I27 E9:I26 E2:J8 E32:J44 G53:H53 E51:J52 E132:G140 I132:J140 E54:J127">
    <cfRule type="cellIs" dxfId="174" priority="159" operator="equal">
      <formula>"no"</formula>
    </cfRule>
  </conditionalFormatting>
  <conditionalFormatting sqref="F45:J45 J46">
    <cfRule type="cellIs" dxfId="173" priority="157" operator="equal">
      <formula>"no"</formula>
    </cfRule>
  </conditionalFormatting>
  <conditionalFormatting sqref="F46:H46">
    <cfRule type="cellIs" dxfId="172" priority="156" operator="equal">
      <formula>"no"</formula>
    </cfRule>
  </conditionalFormatting>
  <conditionalFormatting sqref="H49:I49">
    <cfRule type="cellIs" dxfId="171" priority="155" operator="equal">
      <formula>"no"</formula>
    </cfRule>
  </conditionalFormatting>
  <conditionalFormatting sqref="H50:I50">
    <cfRule type="cellIs" dxfId="170" priority="154" operator="equal">
      <formula>"no"</formula>
    </cfRule>
  </conditionalFormatting>
  <conditionalFormatting sqref="H53:J53">
    <cfRule type="cellIs" dxfId="169" priority="153" operator="equal">
      <formula>"no"</formula>
    </cfRule>
  </conditionalFormatting>
  <conditionalFormatting sqref="G128">
    <cfRule type="cellIs" dxfId="168" priority="151" operator="equal">
      <formula>"no"</formula>
    </cfRule>
  </conditionalFormatting>
  <conditionalFormatting sqref="H128">
    <cfRule type="cellIs" dxfId="167" priority="150" operator="equal">
      <formula>"no"</formula>
    </cfRule>
  </conditionalFormatting>
  <conditionalFormatting sqref="J128">
    <cfRule type="cellIs" dxfId="166" priority="149" operator="equal">
      <formula>"no"</formula>
    </cfRule>
  </conditionalFormatting>
  <conditionalFormatting sqref="E157:J157">
    <cfRule type="cellIs" dxfId="165" priority="147" operator="equal">
      <formula>"no"</formula>
    </cfRule>
  </conditionalFormatting>
  <conditionalFormatting sqref="E141:J141">
    <cfRule type="cellIs" dxfId="164" priority="146" operator="equal">
      <formula>"no"</formula>
    </cfRule>
  </conditionalFormatting>
  <conditionalFormatting sqref="G185:H185">
    <cfRule type="cellIs" dxfId="163" priority="145" operator="equal">
      <formula>"no"</formula>
    </cfRule>
  </conditionalFormatting>
  <conditionalFormatting sqref="H187">
    <cfRule type="cellIs" dxfId="162" priority="144" operator="equal">
      <formula>"no"</formula>
    </cfRule>
  </conditionalFormatting>
  <conditionalFormatting sqref="J193 E193:H193">
    <cfRule type="cellIs" dxfId="161" priority="138" operator="equal">
      <formula>"no"</formula>
    </cfRule>
  </conditionalFormatting>
  <conditionalFormatting sqref="G226:H226">
    <cfRule type="cellIs" dxfId="160" priority="104" operator="equal">
      <formula>"no"</formula>
    </cfRule>
  </conditionalFormatting>
  <conditionalFormatting sqref="J31">
    <cfRule type="cellIs" dxfId="159" priority="99" operator="equal">
      <formula>"no"</formula>
    </cfRule>
  </conditionalFormatting>
  <conditionalFormatting sqref="I267:I271 I244:I248 I225:I232 I190:I220 I184:I187 I169:I182">
    <cfRule type="cellIs" dxfId="158" priority="98" operator="equal">
      <formula>"no"</formula>
    </cfRule>
  </conditionalFormatting>
  <conditionalFormatting sqref="G290:H290">
    <cfRule type="cellIs" dxfId="157" priority="93" operator="equal">
      <formula>"no"</formula>
    </cfRule>
  </conditionalFormatting>
  <conditionalFormatting sqref="E289:J289">
    <cfRule type="cellIs" dxfId="156" priority="90" operator="equal">
      <formula>"no"</formula>
    </cfRule>
  </conditionalFormatting>
  <conditionalFormatting sqref="E281:J281">
    <cfRule type="cellIs" dxfId="155" priority="88" operator="equal">
      <formula>"no"</formula>
    </cfRule>
  </conditionalFormatting>
  <conditionalFormatting sqref="E282:I282">
    <cfRule type="cellIs" dxfId="154" priority="87" operator="equal">
      <formula>"no"</formula>
    </cfRule>
  </conditionalFormatting>
  <conditionalFormatting sqref="I31">
    <cfRule type="cellIs" dxfId="153" priority="84" operator="equal">
      <formula>"no"</formula>
    </cfRule>
  </conditionalFormatting>
  <conditionalFormatting sqref="G198">
    <cfRule type="cellIs" dxfId="152" priority="112" operator="equal">
      <formula>"no"</formula>
    </cfRule>
  </conditionalFormatting>
  <conditionalFormatting sqref="G199">
    <cfRule type="cellIs" dxfId="151" priority="110" operator="equal">
      <formula>"no"</formula>
    </cfRule>
  </conditionalFormatting>
  <conditionalFormatting sqref="G299:H299">
    <cfRule type="cellIs" dxfId="150" priority="76" operator="equal">
      <formula>"no"</formula>
    </cfRule>
  </conditionalFormatting>
  <conditionalFormatting sqref="E130:J130">
    <cfRule type="cellIs" dxfId="149" priority="108" operator="equal">
      <formula>"no"</formula>
    </cfRule>
  </conditionalFormatting>
  <conditionalFormatting sqref="J267 E267:H267">
    <cfRule type="cellIs" dxfId="148" priority="107" operator="equal">
      <formula>"no"</formula>
    </cfRule>
  </conditionalFormatting>
  <conditionalFormatting sqref="G263">
    <cfRule type="cellIs" dxfId="147" priority="69" operator="equal">
      <formula>"no"</formula>
    </cfRule>
  </conditionalFormatting>
  <conditionalFormatting sqref="J181 E181:H181">
    <cfRule type="cellIs" dxfId="146" priority="101" operator="equal">
      <formula>"no"</formula>
    </cfRule>
  </conditionalFormatting>
  <conditionalFormatting sqref="G315:H315">
    <cfRule type="cellIs" dxfId="145" priority="67" operator="equal">
      <formula>"no"</formula>
    </cfRule>
  </conditionalFormatting>
  <conditionalFormatting sqref="G262">
    <cfRule type="cellIs" dxfId="144" priority="64" operator="equal">
      <formula>"no"</formula>
    </cfRule>
  </conditionalFormatting>
  <conditionalFormatting sqref="G357">
    <cfRule type="cellIs" dxfId="143" priority="62" operator="equal">
      <formula>"no"</formula>
    </cfRule>
  </conditionalFormatting>
  <conditionalFormatting sqref="E305:I305">
    <cfRule type="cellIs" dxfId="142" priority="59" operator="equal">
      <formula>"no"</formula>
    </cfRule>
  </conditionalFormatting>
  <conditionalFormatting sqref="E334:I334">
    <cfRule type="cellIs" dxfId="141" priority="58" operator="equal">
      <formula>"no"</formula>
    </cfRule>
  </conditionalFormatting>
  <conditionalFormatting sqref="G269:H269">
    <cfRule type="cellIs" dxfId="140" priority="53" operator="equal">
      <formula>"no"</formula>
    </cfRule>
  </conditionalFormatting>
  <conditionalFormatting sqref="G296">
    <cfRule type="cellIs" dxfId="139" priority="49" operator="equal">
      <formula>"no"</formula>
    </cfRule>
  </conditionalFormatting>
  <conditionalFormatting sqref="G359">
    <cfRule type="cellIs" dxfId="138" priority="47" operator="equal">
      <formula>"no"</formula>
    </cfRule>
  </conditionalFormatting>
  <conditionalFormatting sqref="G206:H206">
    <cfRule type="cellIs" dxfId="137" priority="79" operator="equal">
      <formula>"no"</formula>
    </cfRule>
  </conditionalFormatting>
  <conditionalFormatting sqref="G309:H309">
    <cfRule type="cellIs" dxfId="136" priority="45" operator="equal">
      <formula>"no"</formula>
    </cfRule>
  </conditionalFormatting>
  <conditionalFormatting sqref="G332:H332">
    <cfRule type="cellIs" dxfId="135" priority="77" operator="equal">
      <formula>"no"</formula>
    </cfRule>
  </conditionalFormatting>
  <conditionalFormatting sqref="G295:H295">
    <cfRule type="cellIs" dxfId="134" priority="42" operator="equal">
      <formula>"no"</formula>
    </cfRule>
  </conditionalFormatting>
  <conditionalFormatting sqref="G322:H322">
    <cfRule type="cellIs" dxfId="133" priority="74" operator="equal">
      <formula>"no"</formula>
    </cfRule>
  </conditionalFormatting>
  <conditionalFormatting sqref="F50:G50">
    <cfRule type="cellIs" dxfId="132" priority="40" operator="equal">
      <formula>"no"</formula>
    </cfRule>
  </conditionalFormatting>
  <conditionalFormatting sqref="F53:G53">
    <cfRule type="cellIs" dxfId="131" priority="39" operator="equal">
      <formula>"no"</formula>
    </cfRule>
  </conditionalFormatting>
  <conditionalFormatting sqref="G351">
    <cfRule type="cellIs" dxfId="130" priority="71" operator="equal">
      <formula>"no"</formula>
    </cfRule>
  </conditionalFormatting>
  <conditionalFormatting sqref="F128">
    <cfRule type="cellIs" dxfId="129" priority="37" operator="equal">
      <formula>"no"</formula>
    </cfRule>
  </conditionalFormatting>
  <conditionalFormatting sqref="E185:F185">
    <cfRule type="cellIs" dxfId="128" priority="35" operator="equal">
      <formula>"no"</formula>
    </cfRule>
  </conditionalFormatting>
  <conditionalFormatting sqref="E198">
    <cfRule type="cellIs" dxfId="127" priority="33" operator="equal">
      <formula>"no"</formula>
    </cfRule>
  </conditionalFormatting>
  <conditionalFormatting sqref="E199">
    <cfRule type="cellIs" dxfId="126" priority="32" operator="equal">
      <formula>"no"</formula>
    </cfRule>
  </conditionalFormatting>
  <conditionalFormatting sqref="H31">
    <cfRule type="cellIs" dxfId="125" priority="30" operator="equal">
      <formula>"no"</formula>
    </cfRule>
  </conditionalFormatting>
  <conditionalFormatting sqref="E290:F290">
    <cfRule type="cellIs" dxfId="124" priority="28" operator="equal">
      <formula>"no"</formula>
    </cfRule>
  </conditionalFormatting>
  <conditionalFormatting sqref="G31">
    <cfRule type="cellIs" dxfId="123" priority="27" operator="equal">
      <formula>"no"</formula>
    </cfRule>
  </conditionalFormatting>
  <conditionalFormatting sqref="G312:H312">
    <cfRule type="cellIs" dxfId="122" priority="57" operator="equal">
      <formula>"no"</formula>
    </cfRule>
  </conditionalFormatting>
  <conditionalFormatting sqref="E322:F322">
    <cfRule type="cellIs" dxfId="121" priority="23" operator="equal">
      <formula>"no"</formula>
    </cfRule>
  </conditionalFormatting>
  <conditionalFormatting sqref="G326:H327">
    <cfRule type="cellIs" dxfId="120" priority="55" operator="equal">
      <formula>"no"</formula>
    </cfRule>
  </conditionalFormatting>
  <conditionalFormatting sqref="E263">
    <cfRule type="cellIs" dxfId="119" priority="21" operator="equal">
      <formula>"no"</formula>
    </cfRule>
  </conditionalFormatting>
  <conditionalFormatting sqref="E262">
    <cfRule type="cellIs" dxfId="118" priority="19" operator="equal">
      <formula>"no"</formula>
    </cfRule>
  </conditionalFormatting>
  <conditionalFormatting sqref="G308:H308">
    <cfRule type="cellIs" dxfId="117" priority="51" operator="equal">
      <formula>"no"</formula>
    </cfRule>
  </conditionalFormatting>
  <conditionalFormatting sqref="E312:F312">
    <cfRule type="cellIs" dxfId="116" priority="17" operator="equal">
      <formula>"no"</formula>
    </cfRule>
  </conditionalFormatting>
  <conditionalFormatting sqref="E269:F269">
    <cfRule type="cellIs" dxfId="115" priority="15" operator="equal">
      <formula>"no"</formula>
    </cfRule>
  </conditionalFormatting>
  <conditionalFormatting sqref="E296">
    <cfRule type="cellIs" dxfId="114" priority="13" operator="equal">
      <formula>"no"</formula>
    </cfRule>
  </conditionalFormatting>
  <conditionalFormatting sqref="E309:F309">
    <cfRule type="cellIs" dxfId="113" priority="11" operator="equal">
      <formula>"no"</formula>
    </cfRule>
  </conditionalFormatting>
  <conditionalFormatting sqref="G313:H313">
    <cfRule type="cellIs" dxfId="112" priority="43" operator="equal">
      <formula>"no"</formula>
    </cfRule>
  </conditionalFormatting>
  <conditionalFormatting sqref="F49:G49">
    <cfRule type="cellIs" dxfId="111" priority="41" operator="equal">
      <formula>"no"</formula>
    </cfRule>
  </conditionalFormatting>
  <conditionalFormatting sqref="E128">
    <cfRule type="cellIs" dxfId="110" priority="38" operator="equal">
      <formula>"no"</formula>
    </cfRule>
  </conditionalFormatting>
  <conditionalFormatting sqref="H128">
    <cfRule type="cellIs" dxfId="109" priority="36" operator="equal">
      <formula>"no"</formula>
    </cfRule>
  </conditionalFormatting>
  <conditionalFormatting sqref="F187">
    <cfRule type="cellIs" dxfId="108" priority="34" operator="equal">
      <formula>"no"</formula>
    </cfRule>
  </conditionalFormatting>
  <conditionalFormatting sqref="E226:F226">
    <cfRule type="cellIs" dxfId="107" priority="31" operator="equal">
      <formula>"no"</formula>
    </cfRule>
  </conditionalFormatting>
  <conditionalFormatting sqref="G267:G271 G244:G248 G225:G232 G190:G220 G184:G187 G169:G182">
    <cfRule type="cellIs" dxfId="106" priority="29" operator="equal">
      <formula>"no"</formula>
    </cfRule>
  </conditionalFormatting>
  <conditionalFormatting sqref="E206:F206">
    <cfRule type="cellIs" dxfId="105" priority="26" operator="equal">
      <formula>"no"</formula>
    </cfRule>
  </conditionalFormatting>
  <conditionalFormatting sqref="E332:F332">
    <cfRule type="cellIs" dxfId="104" priority="25" operator="equal">
      <formula>"no"</formula>
    </cfRule>
  </conditionalFormatting>
  <conditionalFormatting sqref="E299:F299">
    <cfRule type="cellIs" dxfId="103" priority="24" operator="equal">
      <formula>"no"</formula>
    </cfRule>
  </conditionalFormatting>
  <conditionalFormatting sqref="E351">
    <cfRule type="cellIs" dxfId="102" priority="22" operator="equal">
      <formula>"no"</formula>
    </cfRule>
  </conditionalFormatting>
  <conditionalFormatting sqref="E315:F315">
    <cfRule type="cellIs" dxfId="101" priority="20" operator="equal">
      <formula>"no"</formula>
    </cfRule>
  </conditionalFormatting>
  <conditionalFormatting sqref="E357">
    <cfRule type="cellIs" dxfId="100" priority="18" operator="equal">
      <formula>"no"</formula>
    </cfRule>
  </conditionalFormatting>
  <conditionalFormatting sqref="E326:F327">
    <cfRule type="cellIs" dxfId="99" priority="16" operator="equal">
      <formula>"no"</formula>
    </cfRule>
  </conditionalFormatting>
  <conditionalFormatting sqref="E308:F308">
    <cfRule type="cellIs" dxfId="98" priority="14" operator="equal">
      <formula>"no"</formula>
    </cfRule>
  </conditionalFormatting>
  <conditionalFormatting sqref="E359">
    <cfRule type="cellIs" dxfId="97" priority="12" operator="equal">
      <formula>"no"</formula>
    </cfRule>
  </conditionalFormatting>
  <conditionalFormatting sqref="E313:F313">
    <cfRule type="cellIs" dxfId="96" priority="10" operator="equal">
      <formula>"no"</formula>
    </cfRule>
  </conditionalFormatting>
  <conditionalFormatting sqref="E295:F295">
    <cfRule type="cellIs" dxfId="95" priority="9" operator="equal">
      <formula>"no"</formula>
    </cfRule>
  </conditionalFormatting>
  <conditionalFormatting sqref="J9:J27">
    <cfRule type="cellIs" dxfId="94" priority="8" operator="equal">
      <formula>"no"</formula>
    </cfRule>
  </conditionalFormatting>
  <conditionalFormatting sqref="I46">
    <cfRule type="cellIs" dxfId="93" priority="7" operator="equal">
      <formula>"no"</formula>
    </cfRule>
  </conditionalFormatting>
  <conditionalFormatting sqref="H140">
    <cfRule type="cellIs" dxfId="92" priority="5" operator="equal">
      <formula>"no"</formula>
    </cfRule>
  </conditionalFormatting>
  <conditionalFormatting sqref="H139">
    <cfRule type="cellIs" dxfId="91" priority="4" operator="equal">
      <formula>"no"</formula>
    </cfRule>
  </conditionalFormatting>
  <conditionalFormatting sqref="H138">
    <cfRule type="cellIs" dxfId="90" priority="3" operator="equal">
      <formula>"no"</formula>
    </cfRule>
  </conditionalFormatting>
  <conditionalFormatting sqref="H137">
    <cfRule type="cellIs" dxfId="89" priority="2" operator="equal">
      <formula>"no"</formula>
    </cfRule>
  </conditionalFormatting>
  <conditionalFormatting sqref="H132:H136">
    <cfRule type="cellIs" dxfId="88" priority="1" operator="equal">
      <formula>"no"</formula>
    </cfRule>
  </conditionalFormatting>
  <dataValidations count="2">
    <dataValidation allowBlank="1" sqref="E1:G1 I1" xr:uid="{C5C78612-E9AF-4C05-87A2-A84008B92706}"/>
    <dataValidation type="list" allowBlank="1" sqref="E2:G1048576" xr:uid="{087C9964-B317-49FC-9103-674541E4818B}">
      <formula1>"yes,no"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4" name="Button 2">
              <controlPr defaultSize="0" print="0" autoFill="0" autoPict="0" macro="[0]!DocSync">
                <anchor moveWithCells="1" sizeWithCells="1">
                  <from>
                    <xdr:col>13</xdr:col>
                    <xdr:colOff>790575</xdr:colOff>
                    <xdr:row>0</xdr:row>
                    <xdr:rowOff>28575</xdr:rowOff>
                  </from>
                  <to>
                    <xdr:col>15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69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ColWidth="9.140625" defaultRowHeight="15"/>
  <cols>
    <col min="1" max="1" width="8.85546875" style="2" customWidth="1"/>
    <col min="2" max="2" width="11.85546875" style="2" bestFit="1" customWidth="1"/>
    <col min="3" max="3" width="19" style="2" customWidth="1"/>
    <col min="4" max="4" width="12.85546875" style="40" customWidth="1"/>
    <col min="5" max="5" width="7.5703125" style="2" customWidth="1"/>
    <col min="6" max="6" width="16" style="145" customWidth="1"/>
    <col min="7" max="7" width="37.85546875" style="2" bestFit="1" customWidth="1"/>
    <col min="8" max="8" width="22.5703125" style="2" bestFit="1" customWidth="1"/>
    <col min="9" max="9" width="20.85546875" style="72" customWidth="1"/>
    <col min="10" max="10" width="10.85546875" style="72" bestFit="1" customWidth="1"/>
    <col min="11" max="11" width="39.85546875" style="2" bestFit="1" customWidth="1"/>
    <col min="12" max="12" width="10.140625" style="2" customWidth="1"/>
    <col min="13" max="13" width="13.140625" style="15" bestFit="1" customWidth="1"/>
    <col min="14" max="14" width="7.5703125" style="15" customWidth="1"/>
    <col min="15" max="15" width="9.85546875" style="2" customWidth="1"/>
    <col min="16" max="16" width="9.140625" style="2" customWidth="1"/>
    <col min="17" max="17" width="7" style="2" customWidth="1"/>
    <col min="18" max="18" width="25.85546875" style="2" customWidth="1"/>
    <col min="20" max="21" width="11.85546875" customWidth="1"/>
    <col min="22" max="22" width="20.5703125" customWidth="1"/>
    <col min="23" max="23" width="16.42578125" style="2" customWidth="1"/>
    <col min="24" max="24" width="15.5703125" style="2" bestFit="1" customWidth="1"/>
    <col min="25" max="16384" width="9.140625" style="2"/>
  </cols>
  <sheetData>
    <row r="1" spans="1:31" ht="39.75" customHeight="1">
      <c r="A1" s="20" t="s">
        <v>28</v>
      </c>
      <c r="B1" s="20"/>
      <c r="C1" s="21"/>
      <c r="D1" s="39" t="s">
        <v>29</v>
      </c>
      <c r="E1" s="20" t="s">
        <v>29</v>
      </c>
      <c r="F1" s="146"/>
      <c r="G1" s="20" t="s">
        <v>30</v>
      </c>
      <c r="H1" s="79">
        <v>45404.506863425922</v>
      </c>
      <c r="I1" s="71" t="s">
        <v>29</v>
      </c>
      <c r="J1" s="71" t="s">
        <v>29</v>
      </c>
      <c r="K1" s="20" t="s">
        <v>29</v>
      </c>
      <c r="L1" s="71">
        <f ca="1">TODAY()</f>
        <v>45405</v>
      </c>
      <c r="M1" s="78" t="s">
        <v>29</v>
      </c>
      <c r="N1" s="78"/>
      <c r="O1" s="20"/>
      <c r="P1" s="20"/>
      <c r="Q1" s="20"/>
      <c r="R1" s="20"/>
      <c r="S1" s="20"/>
      <c r="T1" s="20"/>
      <c r="U1" s="20"/>
      <c r="V1" s="20"/>
      <c r="W1" s="20"/>
      <c r="X1" s="20"/>
      <c r="Y1" s="1"/>
      <c r="Z1" s="1"/>
      <c r="AA1" s="1"/>
      <c r="AB1" s="1"/>
      <c r="AC1" s="1"/>
      <c r="AE1" s="2">
        <v>6</v>
      </c>
    </row>
    <row r="2" spans="1:31">
      <c r="A2" s="20" t="s">
        <v>31</v>
      </c>
      <c r="B2" s="20" t="s">
        <v>32</v>
      </c>
      <c r="C2" s="43" t="s">
        <v>33</v>
      </c>
      <c r="D2" s="39" t="s">
        <v>34</v>
      </c>
      <c r="E2" s="20" t="s">
        <v>35</v>
      </c>
      <c r="F2" s="149" t="s">
        <v>36</v>
      </c>
      <c r="G2" s="20" t="s">
        <v>472</v>
      </c>
      <c r="H2" s="20" t="s">
        <v>473</v>
      </c>
      <c r="I2" s="71" t="s">
        <v>7</v>
      </c>
      <c r="J2" s="71" t="s">
        <v>37</v>
      </c>
      <c r="K2" s="20" t="s">
        <v>38</v>
      </c>
      <c r="L2" s="20" t="s">
        <v>39</v>
      </c>
      <c r="M2" s="78" t="s">
        <v>474</v>
      </c>
      <c r="N2" s="20" t="s">
        <v>40</v>
      </c>
      <c r="O2" s="20" t="s">
        <v>475</v>
      </c>
      <c r="P2" s="20" t="s">
        <v>476</v>
      </c>
      <c r="Q2" s="20"/>
      <c r="R2" s="20"/>
      <c r="S2" s="20" t="s">
        <v>41</v>
      </c>
      <c r="T2" s="20" t="s">
        <v>477</v>
      </c>
      <c r="U2" s="20"/>
      <c r="V2" s="20" t="s">
        <v>297</v>
      </c>
      <c r="W2" s="20"/>
      <c r="X2" s="20"/>
      <c r="Y2" s="1"/>
      <c r="Z2" s="1"/>
      <c r="AA2" s="1"/>
      <c r="AB2" s="1"/>
      <c r="AC2" s="1"/>
    </row>
    <row r="3" spans="1:31">
      <c r="A3" s="2" t="s">
        <v>478</v>
      </c>
      <c r="B3" s="2" t="s">
        <v>43</v>
      </c>
      <c r="C3" s="2" t="s">
        <v>1309</v>
      </c>
      <c r="D3" s="40">
        <v>47000</v>
      </c>
      <c r="E3" s="2" t="s">
        <v>295</v>
      </c>
      <c r="F3" s="145">
        <v>1150</v>
      </c>
      <c r="H3" s="2" t="s">
        <v>1310</v>
      </c>
      <c r="I3" s="72">
        <v>43311</v>
      </c>
      <c r="K3" s="2" t="s">
        <v>1311</v>
      </c>
    </row>
    <row r="4" spans="1:31">
      <c r="A4" s="2" t="s">
        <v>479</v>
      </c>
      <c r="B4" s="2" t="s">
        <v>43</v>
      </c>
      <c r="C4" s="2" t="s">
        <v>1309</v>
      </c>
      <c r="D4" s="40">
        <v>44000</v>
      </c>
      <c r="E4" s="2" t="s">
        <v>295</v>
      </c>
      <c r="F4" s="145">
        <v>1153</v>
      </c>
      <c r="H4" s="2" t="s">
        <v>1310</v>
      </c>
      <c r="I4" s="72">
        <v>43314</v>
      </c>
      <c r="K4" s="2" t="s">
        <v>1311</v>
      </c>
    </row>
    <row r="5" spans="1:31">
      <c r="A5" s="2" t="s">
        <v>480</v>
      </c>
      <c r="B5" s="2" t="s">
        <v>43</v>
      </c>
      <c r="C5" s="2" t="s">
        <v>1309</v>
      </c>
      <c r="D5" s="40">
        <v>47000</v>
      </c>
      <c r="E5" s="2" t="s">
        <v>295</v>
      </c>
      <c r="F5" s="145">
        <v>1156</v>
      </c>
      <c r="H5" s="2" t="s">
        <v>1310</v>
      </c>
      <c r="I5" s="72">
        <v>43317</v>
      </c>
      <c r="K5" s="2" t="s">
        <v>1311</v>
      </c>
    </row>
    <row r="6" spans="1:31">
      <c r="A6" s="2" t="s">
        <v>481</v>
      </c>
      <c r="B6" s="2" t="s">
        <v>43</v>
      </c>
      <c r="C6" s="2" t="s">
        <v>1309</v>
      </c>
      <c r="D6" s="40">
        <v>50000</v>
      </c>
      <c r="E6" s="2" t="s">
        <v>295</v>
      </c>
      <c r="F6" s="145">
        <v>1159</v>
      </c>
      <c r="H6" s="2" t="s">
        <v>1310</v>
      </c>
      <c r="I6" s="72">
        <v>43320</v>
      </c>
      <c r="K6" s="2" t="s">
        <v>1311</v>
      </c>
    </row>
    <row r="7" spans="1:31">
      <c r="A7" s="2" t="s">
        <v>482</v>
      </c>
      <c r="B7" s="2" t="s">
        <v>43</v>
      </c>
      <c r="C7" s="2" t="s">
        <v>1309</v>
      </c>
      <c r="D7" s="40">
        <v>53000</v>
      </c>
      <c r="E7" s="2" t="s">
        <v>295</v>
      </c>
      <c r="F7" s="145">
        <v>1162</v>
      </c>
      <c r="H7" s="2" t="s">
        <v>1310</v>
      </c>
      <c r="I7" s="72">
        <v>43323</v>
      </c>
      <c r="K7" s="2" t="s">
        <v>1311</v>
      </c>
    </row>
    <row r="8" spans="1:31">
      <c r="A8" s="2" t="s">
        <v>483</v>
      </c>
      <c r="B8" s="2" t="s">
        <v>43</v>
      </c>
      <c r="C8" s="2" t="s">
        <v>1309</v>
      </c>
      <c r="D8" s="40">
        <v>56000</v>
      </c>
      <c r="E8" s="2" t="s">
        <v>295</v>
      </c>
      <c r="F8" s="145">
        <v>1165</v>
      </c>
      <c r="H8" s="2" t="s">
        <v>1310</v>
      </c>
      <c r="I8" s="72">
        <v>43326</v>
      </c>
      <c r="K8" s="2" t="s">
        <v>1311</v>
      </c>
    </row>
    <row r="9" spans="1:31">
      <c r="A9" s="2" t="s">
        <v>484</v>
      </c>
      <c r="B9" s="2" t="s">
        <v>43</v>
      </c>
      <c r="C9" s="2" t="s">
        <v>1309</v>
      </c>
      <c r="D9" s="40">
        <v>59000</v>
      </c>
      <c r="E9" s="2" t="s">
        <v>295</v>
      </c>
      <c r="F9" s="145">
        <v>1168</v>
      </c>
      <c r="H9" s="2" t="s">
        <v>1310</v>
      </c>
      <c r="I9" s="72">
        <v>43329</v>
      </c>
      <c r="K9" s="2" t="s">
        <v>1311</v>
      </c>
    </row>
    <row r="10" spans="1:31">
      <c r="A10" s="2" t="s">
        <v>485</v>
      </c>
      <c r="B10" s="2" t="s">
        <v>43</v>
      </c>
      <c r="C10" s="2" t="s">
        <v>1309</v>
      </c>
      <c r="D10" s="40">
        <v>62000</v>
      </c>
      <c r="E10" s="2" t="s">
        <v>295</v>
      </c>
      <c r="F10" s="145">
        <v>1171</v>
      </c>
      <c r="H10" s="2" t="s">
        <v>1310</v>
      </c>
      <c r="I10" s="72">
        <v>43332</v>
      </c>
      <c r="K10" s="2" t="s">
        <v>1311</v>
      </c>
    </row>
    <row r="11" spans="1:31">
      <c r="A11" s="2" t="s">
        <v>486</v>
      </c>
      <c r="B11" s="2" t="s">
        <v>43</v>
      </c>
      <c r="C11" s="2" t="s">
        <v>1309</v>
      </c>
      <c r="D11" s="40">
        <v>65000</v>
      </c>
      <c r="E11" s="2" t="s">
        <v>295</v>
      </c>
      <c r="F11" s="145">
        <v>1174</v>
      </c>
      <c r="H11" s="2" t="s">
        <v>1310</v>
      </c>
      <c r="I11" s="72">
        <v>43335</v>
      </c>
      <c r="K11" s="2" t="s">
        <v>1311</v>
      </c>
    </row>
    <row r="12" spans="1:31">
      <c r="A12" s="2" t="s">
        <v>487</v>
      </c>
      <c r="B12" s="2" t="s">
        <v>43</v>
      </c>
      <c r="C12" s="2" t="s">
        <v>1309</v>
      </c>
      <c r="D12" s="40">
        <v>68000</v>
      </c>
      <c r="E12" s="2" t="s">
        <v>295</v>
      </c>
      <c r="F12" s="145">
        <v>1177</v>
      </c>
      <c r="H12" s="2" t="s">
        <v>1310</v>
      </c>
      <c r="I12" s="72">
        <v>43338</v>
      </c>
      <c r="K12" s="2" t="s">
        <v>1311</v>
      </c>
    </row>
    <row r="13" spans="1:31">
      <c r="A13" s="2" t="s">
        <v>488</v>
      </c>
      <c r="B13" s="2" t="s">
        <v>43</v>
      </c>
      <c r="C13" s="2" t="s">
        <v>1309</v>
      </c>
      <c r="D13" s="40">
        <v>71000</v>
      </c>
      <c r="E13" s="2" t="s">
        <v>295</v>
      </c>
      <c r="F13" s="145">
        <v>1180</v>
      </c>
      <c r="H13" s="2" t="s">
        <v>1310</v>
      </c>
      <c r="I13" s="72">
        <v>43341</v>
      </c>
      <c r="K13" s="2" t="s">
        <v>1311</v>
      </c>
    </row>
    <row r="14" spans="1:31">
      <c r="A14" s="2" t="s">
        <v>489</v>
      </c>
      <c r="B14" s="2" t="s">
        <v>43</v>
      </c>
      <c r="C14" s="2" t="s">
        <v>1309</v>
      </c>
      <c r="D14" s="40">
        <v>74000</v>
      </c>
      <c r="E14" s="2" t="s">
        <v>295</v>
      </c>
      <c r="F14" s="145">
        <v>1183</v>
      </c>
      <c r="H14" s="2" t="s">
        <v>1310</v>
      </c>
      <c r="I14" s="72">
        <v>43344</v>
      </c>
      <c r="K14" s="2" t="s">
        <v>1311</v>
      </c>
    </row>
    <row r="15" spans="1:31">
      <c r="A15" s="2" t="s">
        <v>490</v>
      </c>
      <c r="B15" s="2" t="s">
        <v>43</v>
      </c>
      <c r="C15" s="2" t="s">
        <v>1309</v>
      </c>
      <c r="D15" s="40">
        <v>77000</v>
      </c>
      <c r="E15" s="2" t="s">
        <v>295</v>
      </c>
      <c r="F15" s="145">
        <v>1186</v>
      </c>
      <c r="H15" s="2" t="s">
        <v>1310</v>
      </c>
      <c r="I15" s="72">
        <v>43347</v>
      </c>
      <c r="K15" s="2" t="s">
        <v>1311</v>
      </c>
    </row>
    <row r="16" spans="1:31">
      <c r="A16" s="2" t="s">
        <v>491</v>
      </c>
      <c r="B16" s="2" t="s">
        <v>43</v>
      </c>
      <c r="C16" s="2" t="s">
        <v>1309</v>
      </c>
      <c r="D16" s="40">
        <v>80000</v>
      </c>
      <c r="E16" s="2" t="s">
        <v>295</v>
      </c>
      <c r="F16" s="145">
        <v>1189</v>
      </c>
      <c r="H16" s="2" t="s">
        <v>1310</v>
      </c>
      <c r="I16" s="72">
        <v>43350</v>
      </c>
      <c r="K16" s="2" t="s">
        <v>1311</v>
      </c>
    </row>
    <row r="17" spans="1:11">
      <c r="A17" s="2" t="s">
        <v>492</v>
      </c>
      <c r="B17" s="2" t="s">
        <v>43</v>
      </c>
      <c r="C17" s="2" t="s">
        <v>1309</v>
      </c>
      <c r="D17" s="40">
        <v>83000</v>
      </c>
      <c r="E17" s="2" t="s">
        <v>295</v>
      </c>
      <c r="F17" s="145">
        <v>1192</v>
      </c>
      <c r="H17" s="2" t="s">
        <v>1310</v>
      </c>
      <c r="I17" s="72">
        <v>43353</v>
      </c>
      <c r="K17" s="2" t="s">
        <v>1311</v>
      </c>
    </row>
    <row r="18" spans="1:11">
      <c r="A18" s="2" t="s">
        <v>493</v>
      </c>
      <c r="B18" s="2" t="s">
        <v>43</v>
      </c>
      <c r="C18" s="2" t="s">
        <v>1309</v>
      </c>
      <c r="D18" s="40">
        <v>86000</v>
      </c>
      <c r="E18" s="2" t="s">
        <v>295</v>
      </c>
      <c r="F18" s="145">
        <v>1195</v>
      </c>
      <c r="H18" s="2" t="s">
        <v>1310</v>
      </c>
      <c r="I18" s="72">
        <v>43356</v>
      </c>
      <c r="K18" s="2" t="s">
        <v>1311</v>
      </c>
    </row>
    <row r="19" spans="1:11">
      <c r="A19" s="2" t="s">
        <v>494</v>
      </c>
      <c r="B19" s="2" t="s">
        <v>43</v>
      </c>
      <c r="C19" s="2" t="s">
        <v>1309</v>
      </c>
      <c r="D19" s="40">
        <v>89000</v>
      </c>
      <c r="E19" s="2" t="s">
        <v>295</v>
      </c>
      <c r="F19" s="145">
        <v>1198</v>
      </c>
      <c r="H19" s="2" t="s">
        <v>1310</v>
      </c>
      <c r="I19" s="72">
        <v>43359</v>
      </c>
      <c r="K19" s="2" t="s">
        <v>1311</v>
      </c>
    </row>
    <row r="20" spans="1:11">
      <c r="A20" s="2" t="s">
        <v>495</v>
      </c>
      <c r="B20" s="2" t="s">
        <v>43</v>
      </c>
      <c r="C20" s="2" t="s">
        <v>1309</v>
      </c>
      <c r="D20" s="40">
        <v>92000</v>
      </c>
      <c r="E20" s="2" t="s">
        <v>295</v>
      </c>
      <c r="F20" s="145">
        <v>1201</v>
      </c>
      <c r="H20" s="2" t="s">
        <v>1310</v>
      </c>
      <c r="I20" s="72">
        <v>43362</v>
      </c>
      <c r="K20" s="2" t="s">
        <v>1311</v>
      </c>
    </row>
    <row r="21" spans="1:11">
      <c r="A21" s="2" t="s">
        <v>496</v>
      </c>
      <c r="B21" s="2" t="s">
        <v>43</v>
      </c>
      <c r="C21" s="2" t="s">
        <v>1309</v>
      </c>
      <c r="D21" s="40">
        <v>95000</v>
      </c>
      <c r="E21" s="2" t="s">
        <v>295</v>
      </c>
      <c r="F21" s="145">
        <v>1204</v>
      </c>
      <c r="H21" s="2" t="s">
        <v>1310</v>
      </c>
      <c r="I21" s="72">
        <v>43365</v>
      </c>
      <c r="K21" s="2" t="s">
        <v>1311</v>
      </c>
    </row>
    <row r="22" spans="1:11">
      <c r="A22" s="2" t="s">
        <v>497</v>
      </c>
      <c r="B22" s="2" t="s">
        <v>43</v>
      </c>
      <c r="C22" s="2" t="s">
        <v>1309</v>
      </c>
      <c r="D22" s="40">
        <v>98000</v>
      </c>
      <c r="E22" s="2" t="s">
        <v>295</v>
      </c>
      <c r="F22" s="145">
        <v>1207</v>
      </c>
      <c r="H22" s="2" t="s">
        <v>1310</v>
      </c>
      <c r="I22" s="72">
        <v>43368</v>
      </c>
      <c r="K22" s="2" t="s">
        <v>1311</v>
      </c>
    </row>
    <row r="23" spans="1:11">
      <c r="A23" s="2" t="s">
        <v>498</v>
      </c>
      <c r="B23" s="2" t="s">
        <v>43</v>
      </c>
      <c r="C23" s="2" t="s">
        <v>1309</v>
      </c>
      <c r="D23" s="40">
        <v>101000</v>
      </c>
      <c r="E23" s="2" t="s">
        <v>295</v>
      </c>
      <c r="F23" s="145">
        <v>1210</v>
      </c>
      <c r="H23" s="2" t="s">
        <v>1310</v>
      </c>
      <c r="I23" s="72">
        <v>43371</v>
      </c>
      <c r="K23" s="2" t="s">
        <v>1311</v>
      </c>
    </row>
    <row r="24" spans="1:11">
      <c r="A24" s="2" t="s">
        <v>499</v>
      </c>
      <c r="B24" s="2" t="s">
        <v>43</v>
      </c>
      <c r="C24" s="2" t="s">
        <v>1309</v>
      </c>
      <c r="D24" s="40">
        <v>104000</v>
      </c>
      <c r="E24" s="2" t="s">
        <v>295</v>
      </c>
      <c r="F24" s="145">
        <v>1213</v>
      </c>
      <c r="H24" s="2" t="s">
        <v>1310</v>
      </c>
      <c r="I24" s="72">
        <v>43374</v>
      </c>
      <c r="K24" s="2" t="s">
        <v>1311</v>
      </c>
    </row>
    <row r="25" spans="1:11">
      <c r="A25" s="2" t="s">
        <v>500</v>
      </c>
      <c r="B25" s="2" t="s">
        <v>43</v>
      </c>
      <c r="C25" s="2" t="s">
        <v>1309</v>
      </c>
      <c r="D25" s="40">
        <v>107000</v>
      </c>
      <c r="E25" s="2" t="s">
        <v>295</v>
      </c>
      <c r="F25" s="145">
        <v>1216</v>
      </c>
      <c r="H25" s="2" t="s">
        <v>1310</v>
      </c>
      <c r="I25" s="72">
        <v>43377</v>
      </c>
      <c r="K25" s="2" t="s">
        <v>1311</v>
      </c>
    </row>
    <row r="26" spans="1:11">
      <c r="A26" s="2" t="s">
        <v>501</v>
      </c>
      <c r="B26" s="2" t="s">
        <v>43</v>
      </c>
      <c r="C26" s="2" t="s">
        <v>1309</v>
      </c>
      <c r="D26" s="40">
        <v>110000</v>
      </c>
      <c r="E26" s="2" t="s">
        <v>295</v>
      </c>
      <c r="F26" s="145">
        <v>1219</v>
      </c>
      <c r="H26" s="2" t="s">
        <v>1310</v>
      </c>
      <c r="I26" s="72">
        <v>43380</v>
      </c>
      <c r="K26" s="2" t="s">
        <v>1311</v>
      </c>
    </row>
    <row r="27" spans="1:11">
      <c r="A27" s="2" t="s">
        <v>502</v>
      </c>
      <c r="B27" s="2" t="s">
        <v>43</v>
      </c>
      <c r="C27" s="2" t="s">
        <v>1309</v>
      </c>
      <c r="D27" s="40">
        <v>113000</v>
      </c>
      <c r="E27" s="2" t="s">
        <v>295</v>
      </c>
      <c r="F27" s="145">
        <v>1222</v>
      </c>
      <c r="H27" s="2" t="s">
        <v>1310</v>
      </c>
      <c r="I27" s="72">
        <v>43383</v>
      </c>
      <c r="K27" s="2" t="s">
        <v>1311</v>
      </c>
    </row>
    <row r="28" spans="1:11">
      <c r="A28" s="2" t="s">
        <v>503</v>
      </c>
      <c r="B28" s="2" t="s">
        <v>43</v>
      </c>
      <c r="C28" s="2" t="s">
        <v>1309</v>
      </c>
      <c r="D28" s="40">
        <v>116000</v>
      </c>
      <c r="E28" s="2" t="s">
        <v>295</v>
      </c>
      <c r="F28" s="145">
        <v>1225</v>
      </c>
      <c r="H28" s="2" t="s">
        <v>1310</v>
      </c>
      <c r="I28" s="72">
        <v>43386</v>
      </c>
      <c r="K28" s="2" t="s">
        <v>1311</v>
      </c>
    </row>
    <row r="29" spans="1:11">
      <c r="A29" s="2" t="s">
        <v>504</v>
      </c>
      <c r="B29" s="2" t="s">
        <v>43</v>
      </c>
      <c r="C29" s="2" t="s">
        <v>1309</v>
      </c>
      <c r="D29" s="40">
        <v>119000</v>
      </c>
      <c r="E29" s="2" t="s">
        <v>295</v>
      </c>
      <c r="F29" s="145">
        <v>1228</v>
      </c>
      <c r="H29" s="2" t="s">
        <v>1310</v>
      </c>
      <c r="I29" s="72">
        <v>43389</v>
      </c>
      <c r="K29" s="2" t="s">
        <v>1311</v>
      </c>
    </row>
    <row r="30" spans="1:11">
      <c r="A30" s="2" t="s">
        <v>505</v>
      </c>
      <c r="B30" s="2" t="s">
        <v>43</v>
      </c>
      <c r="C30" s="2" t="s">
        <v>1309</v>
      </c>
      <c r="D30" s="40">
        <v>122000</v>
      </c>
      <c r="E30" s="2" t="s">
        <v>295</v>
      </c>
      <c r="F30" s="145">
        <v>1231</v>
      </c>
      <c r="H30" s="2" t="s">
        <v>1310</v>
      </c>
      <c r="I30" s="72">
        <v>43392</v>
      </c>
      <c r="K30" s="2" t="s">
        <v>1311</v>
      </c>
    </row>
    <row r="31" spans="1:11">
      <c r="A31" s="2" t="s">
        <v>506</v>
      </c>
      <c r="B31" s="2" t="s">
        <v>43</v>
      </c>
      <c r="C31" s="2" t="s">
        <v>1309</v>
      </c>
      <c r="D31" s="40">
        <v>125000</v>
      </c>
      <c r="E31" s="2" t="s">
        <v>295</v>
      </c>
      <c r="F31" s="145">
        <v>1234</v>
      </c>
      <c r="H31" s="2" t="s">
        <v>1310</v>
      </c>
      <c r="I31" s="72">
        <v>43395</v>
      </c>
      <c r="K31" s="2" t="s">
        <v>1311</v>
      </c>
    </row>
    <row r="32" spans="1:11">
      <c r="A32" s="2" t="s">
        <v>507</v>
      </c>
      <c r="B32" s="2" t="s">
        <v>43</v>
      </c>
      <c r="C32" s="2" t="s">
        <v>1309</v>
      </c>
      <c r="D32" s="40">
        <v>128000</v>
      </c>
      <c r="E32" s="2" t="s">
        <v>295</v>
      </c>
      <c r="F32" s="145">
        <v>1237</v>
      </c>
      <c r="H32" s="2" t="s">
        <v>1310</v>
      </c>
      <c r="I32" s="72">
        <v>43398</v>
      </c>
      <c r="K32" s="2" t="s">
        <v>1311</v>
      </c>
    </row>
    <row r="33" spans="1:11">
      <c r="A33" s="2" t="s">
        <v>508</v>
      </c>
      <c r="B33" s="2" t="s">
        <v>43</v>
      </c>
      <c r="C33" s="2" t="s">
        <v>1309</v>
      </c>
      <c r="D33" s="40">
        <v>131000</v>
      </c>
      <c r="E33" s="2" t="s">
        <v>295</v>
      </c>
      <c r="F33" s="145">
        <v>1240</v>
      </c>
      <c r="H33" s="2" t="s">
        <v>1310</v>
      </c>
      <c r="I33" s="72">
        <v>43401</v>
      </c>
      <c r="K33" s="2" t="s">
        <v>1311</v>
      </c>
    </row>
    <row r="34" spans="1:11">
      <c r="A34" s="2" t="s">
        <v>509</v>
      </c>
      <c r="B34" s="2" t="s">
        <v>43</v>
      </c>
      <c r="C34" s="2" t="s">
        <v>1309</v>
      </c>
      <c r="D34" s="40">
        <v>134000</v>
      </c>
      <c r="E34" s="2" t="s">
        <v>295</v>
      </c>
      <c r="F34" s="145">
        <v>1243</v>
      </c>
      <c r="H34" s="2" t="s">
        <v>1310</v>
      </c>
      <c r="I34" s="72">
        <v>43404</v>
      </c>
      <c r="K34" s="2" t="s">
        <v>1311</v>
      </c>
    </row>
    <row r="35" spans="1:11">
      <c r="A35" s="2" t="s">
        <v>510</v>
      </c>
      <c r="B35" s="2" t="s">
        <v>43</v>
      </c>
      <c r="C35" s="2" t="s">
        <v>1309</v>
      </c>
      <c r="D35" s="40">
        <v>137000</v>
      </c>
      <c r="E35" s="2" t="s">
        <v>295</v>
      </c>
      <c r="F35" s="145">
        <v>1246</v>
      </c>
      <c r="H35" s="2" t="s">
        <v>1310</v>
      </c>
      <c r="I35" s="72">
        <v>43407</v>
      </c>
      <c r="K35" s="2" t="s">
        <v>1311</v>
      </c>
    </row>
    <row r="36" spans="1:11">
      <c r="A36" s="2" t="s">
        <v>511</v>
      </c>
      <c r="B36" s="2" t="s">
        <v>43</v>
      </c>
      <c r="C36" s="2" t="s">
        <v>1309</v>
      </c>
      <c r="D36" s="40">
        <v>140000</v>
      </c>
      <c r="E36" s="2" t="s">
        <v>295</v>
      </c>
      <c r="F36" s="145">
        <v>1249</v>
      </c>
      <c r="H36" s="2" t="s">
        <v>1310</v>
      </c>
      <c r="I36" s="72">
        <v>43410</v>
      </c>
      <c r="K36" s="2" t="s">
        <v>1311</v>
      </c>
    </row>
    <row r="37" spans="1:11">
      <c r="A37" s="2" t="s">
        <v>512</v>
      </c>
      <c r="B37" s="2" t="s">
        <v>43</v>
      </c>
      <c r="C37" s="2" t="s">
        <v>1309</v>
      </c>
      <c r="D37" s="40">
        <v>143000</v>
      </c>
      <c r="E37" s="2" t="s">
        <v>295</v>
      </c>
      <c r="F37" s="145">
        <v>1252</v>
      </c>
      <c r="H37" s="2" t="s">
        <v>1310</v>
      </c>
      <c r="I37" s="72">
        <v>43413</v>
      </c>
      <c r="K37" s="2" t="s">
        <v>1311</v>
      </c>
    </row>
    <row r="38" spans="1:11">
      <c r="A38" s="2" t="s">
        <v>513</v>
      </c>
      <c r="B38" s="2" t="s">
        <v>43</v>
      </c>
      <c r="C38" s="2" t="s">
        <v>1309</v>
      </c>
      <c r="D38" s="40">
        <v>146000</v>
      </c>
      <c r="E38" s="2" t="s">
        <v>295</v>
      </c>
      <c r="F38" s="145">
        <v>1255</v>
      </c>
      <c r="H38" s="2" t="s">
        <v>1310</v>
      </c>
      <c r="I38" s="72">
        <v>43416</v>
      </c>
      <c r="K38" s="2" t="s">
        <v>1311</v>
      </c>
    </row>
    <row r="39" spans="1:11">
      <c r="A39" s="2" t="s">
        <v>514</v>
      </c>
      <c r="B39" s="2" t="s">
        <v>43</v>
      </c>
      <c r="C39" s="2" t="s">
        <v>1309</v>
      </c>
      <c r="D39" s="40">
        <v>149000</v>
      </c>
      <c r="E39" s="2" t="s">
        <v>295</v>
      </c>
      <c r="F39" s="145">
        <v>1258</v>
      </c>
      <c r="H39" s="2" t="s">
        <v>1310</v>
      </c>
      <c r="I39" s="72">
        <v>43419</v>
      </c>
      <c r="K39" s="2" t="s">
        <v>1311</v>
      </c>
    </row>
    <row r="40" spans="1:11">
      <c r="A40" s="2" t="s">
        <v>515</v>
      </c>
      <c r="B40" s="2" t="s">
        <v>43</v>
      </c>
      <c r="C40" s="2" t="s">
        <v>1309</v>
      </c>
      <c r="D40" s="40">
        <v>152000</v>
      </c>
      <c r="E40" s="2" t="s">
        <v>295</v>
      </c>
      <c r="F40" s="145">
        <v>1261</v>
      </c>
      <c r="H40" s="2" t="s">
        <v>1310</v>
      </c>
      <c r="I40" s="72">
        <v>43422</v>
      </c>
      <c r="K40" s="2" t="s">
        <v>1311</v>
      </c>
    </row>
    <row r="41" spans="1:11">
      <c r="A41" s="2" t="s">
        <v>516</v>
      </c>
      <c r="B41" s="2" t="s">
        <v>43</v>
      </c>
      <c r="C41" s="2" t="s">
        <v>1309</v>
      </c>
      <c r="D41" s="40">
        <v>155000</v>
      </c>
      <c r="E41" s="2" t="s">
        <v>295</v>
      </c>
      <c r="F41" s="145">
        <v>1264</v>
      </c>
      <c r="H41" s="2" t="s">
        <v>1310</v>
      </c>
      <c r="I41" s="72">
        <v>43425</v>
      </c>
      <c r="K41" s="2" t="s">
        <v>1311</v>
      </c>
    </row>
    <row r="42" spans="1:11">
      <c r="A42" s="2" t="s">
        <v>517</v>
      </c>
      <c r="B42" s="2" t="s">
        <v>43</v>
      </c>
      <c r="C42" s="2" t="s">
        <v>1309</v>
      </c>
      <c r="D42" s="40">
        <v>158000</v>
      </c>
      <c r="E42" s="2" t="s">
        <v>295</v>
      </c>
      <c r="F42" s="145">
        <v>1267</v>
      </c>
      <c r="H42" s="2" t="s">
        <v>1310</v>
      </c>
      <c r="I42" s="72">
        <v>43428</v>
      </c>
      <c r="K42" s="2" t="s">
        <v>1311</v>
      </c>
    </row>
    <row r="43" spans="1:11">
      <c r="A43" s="2" t="s">
        <v>518</v>
      </c>
      <c r="B43" s="2" t="s">
        <v>43</v>
      </c>
      <c r="C43" s="2" t="s">
        <v>1309</v>
      </c>
      <c r="D43" s="40">
        <v>161000</v>
      </c>
      <c r="E43" s="2" t="s">
        <v>295</v>
      </c>
      <c r="F43" s="145">
        <v>1270</v>
      </c>
      <c r="H43" s="2" t="s">
        <v>1310</v>
      </c>
      <c r="I43" s="72">
        <v>43431</v>
      </c>
      <c r="K43" s="2" t="s">
        <v>1311</v>
      </c>
    </row>
    <row r="44" spans="1:11">
      <c r="A44" s="2" t="s">
        <v>519</v>
      </c>
      <c r="B44" s="2" t="s">
        <v>43</v>
      </c>
      <c r="C44" s="2" t="s">
        <v>1309</v>
      </c>
      <c r="D44" s="40">
        <v>164000</v>
      </c>
      <c r="E44" s="2" t="s">
        <v>295</v>
      </c>
      <c r="F44" s="145">
        <v>1273</v>
      </c>
      <c r="H44" s="2" t="s">
        <v>1310</v>
      </c>
      <c r="I44" s="72">
        <v>43434</v>
      </c>
      <c r="K44" s="2" t="s">
        <v>1311</v>
      </c>
    </row>
    <row r="45" spans="1:11">
      <c r="A45" s="2" t="s">
        <v>520</v>
      </c>
      <c r="B45" s="2" t="s">
        <v>43</v>
      </c>
      <c r="C45" s="2" t="s">
        <v>1309</v>
      </c>
      <c r="D45" s="40">
        <v>167000</v>
      </c>
      <c r="E45" s="2" t="s">
        <v>295</v>
      </c>
      <c r="F45" s="145">
        <v>1276</v>
      </c>
      <c r="H45" s="2" t="s">
        <v>1310</v>
      </c>
      <c r="I45" s="72">
        <v>43437</v>
      </c>
      <c r="K45" s="2" t="s">
        <v>1311</v>
      </c>
    </row>
    <row r="46" spans="1:11">
      <c r="A46" s="2" t="s">
        <v>521</v>
      </c>
      <c r="B46" s="2" t="s">
        <v>43</v>
      </c>
      <c r="C46" s="2" t="s">
        <v>1309</v>
      </c>
      <c r="D46" s="40">
        <v>170000</v>
      </c>
      <c r="E46" s="2" t="s">
        <v>295</v>
      </c>
      <c r="F46" s="145">
        <v>1279</v>
      </c>
      <c r="H46" s="2" t="s">
        <v>1310</v>
      </c>
      <c r="I46" s="72">
        <v>43440</v>
      </c>
      <c r="K46" s="2" t="s">
        <v>1311</v>
      </c>
    </row>
    <row r="47" spans="1:11">
      <c r="A47" s="2" t="s">
        <v>522</v>
      </c>
      <c r="B47" s="2" t="s">
        <v>43</v>
      </c>
      <c r="C47" s="2" t="s">
        <v>1309</v>
      </c>
      <c r="D47" s="40">
        <v>173000</v>
      </c>
      <c r="E47" s="2" t="s">
        <v>295</v>
      </c>
      <c r="F47" s="145">
        <v>1282</v>
      </c>
      <c r="H47" s="2" t="s">
        <v>1310</v>
      </c>
      <c r="I47" s="72">
        <v>43443</v>
      </c>
      <c r="K47" s="2" t="s">
        <v>1311</v>
      </c>
    </row>
    <row r="48" spans="1:11">
      <c r="A48" s="2" t="s">
        <v>523</v>
      </c>
      <c r="B48" s="2" t="s">
        <v>43</v>
      </c>
      <c r="C48" s="2" t="s">
        <v>1309</v>
      </c>
      <c r="D48" s="40">
        <v>176000</v>
      </c>
      <c r="E48" s="2" t="s">
        <v>295</v>
      </c>
      <c r="F48" s="145">
        <v>1285</v>
      </c>
      <c r="H48" s="2" t="s">
        <v>1310</v>
      </c>
      <c r="I48" s="72">
        <v>43446</v>
      </c>
      <c r="K48" s="2" t="s">
        <v>1311</v>
      </c>
    </row>
    <row r="49" spans="1:11">
      <c r="A49" s="2" t="s">
        <v>524</v>
      </c>
      <c r="B49" s="2" t="s">
        <v>43</v>
      </c>
      <c r="C49" s="2" t="s">
        <v>1309</v>
      </c>
      <c r="D49" s="40">
        <v>179000</v>
      </c>
      <c r="E49" s="2" t="s">
        <v>295</v>
      </c>
      <c r="F49" s="145">
        <v>1288</v>
      </c>
      <c r="H49" s="2" t="s">
        <v>1310</v>
      </c>
      <c r="I49" s="72">
        <v>43449</v>
      </c>
      <c r="K49" s="2" t="s">
        <v>1311</v>
      </c>
    </row>
    <row r="50" spans="1:11">
      <c r="A50" s="2" t="s">
        <v>525</v>
      </c>
      <c r="B50" s="2" t="s">
        <v>43</v>
      </c>
      <c r="C50" s="2" t="s">
        <v>1309</v>
      </c>
      <c r="D50" s="40">
        <v>182000</v>
      </c>
      <c r="E50" s="2" t="s">
        <v>295</v>
      </c>
      <c r="F50" s="145">
        <v>1291</v>
      </c>
      <c r="H50" s="2" t="s">
        <v>1310</v>
      </c>
      <c r="I50" s="72">
        <v>43452</v>
      </c>
      <c r="K50" s="2" t="s">
        <v>1311</v>
      </c>
    </row>
    <row r="51" spans="1:11">
      <c r="A51" s="2" t="s">
        <v>526</v>
      </c>
      <c r="B51" s="2" t="s">
        <v>43</v>
      </c>
      <c r="C51" s="2" t="s">
        <v>1309</v>
      </c>
      <c r="D51" s="40">
        <v>185000</v>
      </c>
      <c r="E51" s="2" t="s">
        <v>295</v>
      </c>
      <c r="F51" s="145">
        <v>1294</v>
      </c>
      <c r="H51" s="2" t="s">
        <v>1310</v>
      </c>
      <c r="I51" s="72">
        <v>43455</v>
      </c>
      <c r="K51" s="2" t="s">
        <v>1311</v>
      </c>
    </row>
    <row r="52" spans="1:11">
      <c r="A52" s="2" t="s">
        <v>527</v>
      </c>
      <c r="B52" s="2" t="s">
        <v>43</v>
      </c>
      <c r="C52" s="2" t="s">
        <v>1309</v>
      </c>
      <c r="D52" s="40">
        <v>188000</v>
      </c>
      <c r="E52" s="2" t="s">
        <v>295</v>
      </c>
      <c r="F52" s="145">
        <v>1297</v>
      </c>
      <c r="H52" s="2" t="s">
        <v>1310</v>
      </c>
      <c r="I52" s="72">
        <v>43458</v>
      </c>
      <c r="K52" s="2" t="s">
        <v>1311</v>
      </c>
    </row>
    <row r="53" spans="1:11">
      <c r="A53" s="2" t="s">
        <v>528</v>
      </c>
      <c r="B53" s="2" t="s">
        <v>43</v>
      </c>
      <c r="C53" s="2" t="s">
        <v>1309</v>
      </c>
      <c r="D53" s="40">
        <v>191000</v>
      </c>
      <c r="E53" s="2" t="s">
        <v>295</v>
      </c>
      <c r="F53" s="145">
        <v>1300</v>
      </c>
      <c r="H53" s="2" t="s">
        <v>1310</v>
      </c>
      <c r="I53" s="72">
        <v>43461</v>
      </c>
      <c r="K53" s="2" t="s">
        <v>1311</v>
      </c>
    </row>
    <row r="54" spans="1:11">
      <c r="A54" s="2" t="s">
        <v>529</v>
      </c>
      <c r="B54" s="2" t="s">
        <v>43</v>
      </c>
      <c r="C54" s="2" t="s">
        <v>1309</v>
      </c>
      <c r="D54" s="40">
        <v>194000</v>
      </c>
      <c r="E54" s="2" t="s">
        <v>295</v>
      </c>
      <c r="F54" s="145">
        <v>1303</v>
      </c>
      <c r="H54" s="2" t="s">
        <v>1310</v>
      </c>
      <c r="I54" s="72">
        <v>43464</v>
      </c>
      <c r="K54" s="2" t="s">
        <v>1311</v>
      </c>
    </row>
    <row r="55" spans="1:11">
      <c r="A55" s="2" t="s">
        <v>530</v>
      </c>
      <c r="B55" s="2" t="s">
        <v>43</v>
      </c>
      <c r="C55" s="2" t="s">
        <v>1309</v>
      </c>
      <c r="D55" s="40">
        <v>197000</v>
      </c>
      <c r="E55" s="2" t="s">
        <v>295</v>
      </c>
      <c r="F55" s="145">
        <v>1306</v>
      </c>
      <c r="H55" s="2" t="s">
        <v>1310</v>
      </c>
      <c r="I55" s="72">
        <v>43467</v>
      </c>
      <c r="K55" s="2" t="s">
        <v>1311</v>
      </c>
    </row>
    <row r="56" spans="1:11">
      <c r="A56" s="2" t="s">
        <v>531</v>
      </c>
      <c r="B56" s="2" t="s">
        <v>43</v>
      </c>
      <c r="C56" s="2" t="s">
        <v>1309</v>
      </c>
      <c r="D56" s="40">
        <v>200000</v>
      </c>
      <c r="E56" s="2" t="s">
        <v>295</v>
      </c>
      <c r="F56" s="145">
        <v>1309</v>
      </c>
      <c r="H56" s="2" t="s">
        <v>1310</v>
      </c>
      <c r="I56" s="72">
        <v>43470</v>
      </c>
      <c r="K56" s="2" t="s">
        <v>1311</v>
      </c>
    </row>
    <row r="57" spans="1:11">
      <c r="A57" s="2" t="s">
        <v>532</v>
      </c>
      <c r="B57" s="2" t="s">
        <v>43</v>
      </c>
      <c r="C57" s="2" t="s">
        <v>1309</v>
      </c>
      <c r="D57" s="40">
        <v>203000</v>
      </c>
      <c r="E57" s="2" t="s">
        <v>295</v>
      </c>
      <c r="F57" s="145">
        <v>1312</v>
      </c>
      <c r="H57" s="2" t="s">
        <v>1310</v>
      </c>
      <c r="I57" s="72">
        <v>43473</v>
      </c>
      <c r="K57" s="2" t="s">
        <v>1311</v>
      </c>
    </row>
    <row r="58" spans="1:11">
      <c r="A58" s="2" t="s">
        <v>533</v>
      </c>
      <c r="B58" s="2" t="s">
        <v>43</v>
      </c>
      <c r="C58" s="2" t="s">
        <v>1309</v>
      </c>
      <c r="D58" s="40">
        <v>206000</v>
      </c>
      <c r="E58" s="2" t="s">
        <v>295</v>
      </c>
      <c r="F58" s="145">
        <v>1315</v>
      </c>
      <c r="H58" s="2" t="s">
        <v>1310</v>
      </c>
      <c r="I58" s="72">
        <v>43476</v>
      </c>
      <c r="K58" s="2" t="s">
        <v>1311</v>
      </c>
    </row>
    <row r="59" spans="1:11">
      <c r="A59" s="2" t="s">
        <v>534</v>
      </c>
      <c r="B59" s="2" t="s">
        <v>43</v>
      </c>
      <c r="C59" s="2" t="s">
        <v>1309</v>
      </c>
      <c r="D59" s="40">
        <v>209000</v>
      </c>
      <c r="E59" s="2" t="s">
        <v>295</v>
      </c>
      <c r="F59" s="145">
        <v>1318</v>
      </c>
      <c r="H59" s="2" t="s">
        <v>1310</v>
      </c>
      <c r="I59" s="72">
        <v>43479</v>
      </c>
      <c r="K59" s="2" t="s">
        <v>1311</v>
      </c>
    </row>
    <row r="60" spans="1:11">
      <c r="A60" s="2" t="s">
        <v>535</v>
      </c>
      <c r="B60" s="2" t="s">
        <v>43</v>
      </c>
      <c r="C60" s="2" t="s">
        <v>1309</v>
      </c>
      <c r="D60" s="40">
        <v>212000</v>
      </c>
      <c r="E60" s="2" t="s">
        <v>295</v>
      </c>
      <c r="F60" s="145">
        <v>1321</v>
      </c>
      <c r="H60" s="2" t="s">
        <v>1310</v>
      </c>
      <c r="I60" s="72">
        <v>43482</v>
      </c>
      <c r="K60" s="2" t="s">
        <v>1311</v>
      </c>
    </row>
    <row r="61" spans="1:11">
      <c r="A61" s="2" t="s">
        <v>536</v>
      </c>
      <c r="B61" s="2" t="s">
        <v>43</v>
      </c>
      <c r="C61" s="2" t="s">
        <v>1309</v>
      </c>
      <c r="D61" s="40">
        <v>215000</v>
      </c>
      <c r="E61" s="2" t="s">
        <v>295</v>
      </c>
      <c r="F61" s="145">
        <v>1324</v>
      </c>
      <c r="H61" s="2" t="s">
        <v>1310</v>
      </c>
      <c r="I61" s="72">
        <v>43485</v>
      </c>
      <c r="K61" s="2" t="s">
        <v>1311</v>
      </c>
    </row>
    <row r="62" spans="1:11">
      <c r="A62" s="2" t="s">
        <v>537</v>
      </c>
      <c r="B62" s="2" t="s">
        <v>43</v>
      </c>
      <c r="C62" s="2" t="s">
        <v>1309</v>
      </c>
      <c r="D62" s="40">
        <v>218000</v>
      </c>
      <c r="E62" s="2" t="s">
        <v>295</v>
      </c>
      <c r="F62" s="145">
        <v>1327</v>
      </c>
      <c r="H62" s="2" t="s">
        <v>1310</v>
      </c>
      <c r="I62" s="72">
        <v>43488</v>
      </c>
      <c r="K62" s="2" t="s">
        <v>1311</v>
      </c>
    </row>
    <row r="63" spans="1:11">
      <c r="A63" s="2" t="s">
        <v>538</v>
      </c>
      <c r="B63" s="2" t="s">
        <v>43</v>
      </c>
      <c r="C63" s="2" t="s">
        <v>1309</v>
      </c>
      <c r="D63" s="40">
        <v>221000</v>
      </c>
      <c r="E63" s="2" t="s">
        <v>295</v>
      </c>
      <c r="F63" s="145">
        <v>1330</v>
      </c>
      <c r="H63" s="2" t="s">
        <v>1310</v>
      </c>
      <c r="I63" s="72">
        <v>43491</v>
      </c>
      <c r="K63" s="2" t="s">
        <v>1311</v>
      </c>
    </row>
    <row r="64" spans="1:11">
      <c r="A64" s="2" t="s">
        <v>539</v>
      </c>
      <c r="B64" s="2" t="s">
        <v>43</v>
      </c>
      <c r="C64" s="2" t="s">
        <v>1309</v>
      </c>
      <c r="D64" s="40">
        <v>224000</v>
      </c>
      <c r="E64" s="2" t="s">
        <v>295</v>
      </c>
      <c r="F64" s="145">
        <v>1333</v>
      </c>
      <c r="H64" s="2" t="s">
        <v>1310</v>
      </c>
      <c r="I64" s="72">
        <v>43494</v>
      </c>
      <c r="K64" s="2" t="s">
        <v>1311</v>
      </c>
    </row>
    <row r="65" spans="1:11">
      <c r="A65" s="2" t="s">
        <v>540</v>
      </c>
      <c r="B65" s="2" t="s">
        <v>43</v>
      </c>
      <c r="C65" s="2" t="s">
        <v>1309</v>
      </c>
      <c r="D65" s="40">
        <v>227000</v>
      </c>
      <c r="E65" s="2" t="s">
        <v>295</v>
      </c>
      <c r="F65" s="145">
        <v>1336</v>
      </c>
      <c r="H65" s="2" t="s">
        <v>1310</v>
      </c>
      <c r="I65" s="72">
        <v>43497</v>
      </c>
      <c r="K65" s="2" t="s">
        <v>1311</v>
      </c>
    </row>
    <row r="66" spans="1:11">
      <c r="A66" s="2" t="s">
        <v>541</v>
      </c>
      <c r="B66" s="2" t="s">
        <v>43</v>
      </c>
      <c r="C66" s="2" t="s">
        <v>1309</v>
      </c>
      <c r="D66" s="40">
        <v>230000</v>
      </c>
      <c r="E66" s="2" t="s">
        <v>295</v>
      </c>
      <c r="F66" s="145">
        <v>1339</v>
      </c>
      <c r="H66" s="2" t="s">
        <v>1310</v>
      </c>
      <c r="I66" s="72">
        <v>43500</v>
      </c>
      <c r="K66" s="2" t="s">
        <v>1311</v>
      </c>
    </row>
    <row r="67" spans="1:11">
      <c r="A67" s="2" t="s">
        <v>542</v>
      </c>
      <c r="B67" s="2" t="s">
        <v>43</v>
      </c>
      <c r="C67" s="2" t="s">
        <v>1309</v>
      </c>
      <c r="D67" s="40">
        <v>233000</v>
      </c>
      <c r="E67" s="2" t="s">
        <v>295</v>
      </c>
      <c r="F67" s="145">
        <v>1342</v>
      </c>
      <c r="H67" s="2" t="s">
        <v>1310</v>
      </c>
      <c r="I67" s="72">
        <v>43503</v>
      </c>
      <c r="K67" s="2" t="s">
        <v>1311</v>
      </c>
    </row>
    <row r="68" spans="1:11">
      <c r="A68" s="2" t="s">
        <v>543</v>
      </c>
      <c r="B68" s="2" t="s">
        <v>43</v>
      </c>
      <c r="C68" s="2" t="s">
        <v>1309</v>
      </c>
      <c r="D68" s="40">
        <v>236000</v>
      </c>
      <c r="E68" s="2" t="s">
        <v>295</v>
      </c>
      <c r="F68" s="145">
        <v>1345</v>
      </c>
      <c r="H68" s="2" t="s">
        <v>1310</v>
      </c>
      <c r="I68" s="72">
        <v>43506</v>
      </c>
      <c r="K68" s="2" t="s">
        <v>1311</v>
      </c>
    </row>
    <row r="69" spans="1:11">
      <c r="A69" s="2" t="s">
        <v>544</v>
      </c>
      <c r="B69" s="2" t="s">
        <v>43</v>
      </c>
      <c r="C69" s="2" t="s">
        <v>1309</v>
      </c>
      <c r="D69" s="40">
        <v>239000</v>
      </c>
      <c r="E69" s="2" t="s">
        <v>295</v>
      </c>
      <c r="F69" s="145">
        <v>1348</v>
      </c>
      <c r="H69" s="2" t="s">
        <v>1310</v>
      </c>
      <c r="I69" s="72">
        <v>43509</v>
      </c>
      <c r="K69" s="2" t="s">
        <v>1311</v>
      </c>
    </row>
    <row r="70" spans="1:11">
      <c r="A70" s="2" t="s">
        <v>545</v>
      </c>
      <c r="B70" s="2" t="s">
        <v>43</v>
      </c>
      <c r="C70" s="2" t="s">
        <v>1309</v>
      </c>
      <c r="D70" s="40">
        <v>242000</v>
      </c>
      <c r="E70" s="2" t="s">
        <v>295</v>
      </c>
      <c r="F70" s="145">
        <v>1351</v>
      </c>
      <c r="H70" s="2" t="s">
        <v>1310</v>
      </c>
      <c r="I70" s="72">
        <v>43512</v>
      </c>
      <c r="K70" s="2" t="s">
        <v>1311</v>
      </c>
    </row>
    <row r="71" spans="1:11">
      <c r="A71" s="2" t="s">
        <v>546</v>
      </c>
      <c r="B71" s="2" t="s">
        <v>43</v>
      </c>
      <c r="C71" s="2" t="s">
        <v>1309</v>
      </c>
      <c r="D71" s="40">
        <v>245000</v>
      </c>
      <c r="E71" s="2" t="s">
        <v>295</v>
      </c>
      <c r="F71" s="145">
        <v>1354</v>
      </c>
      <c r="H71" s="2" t="s">
        <v>1310</v>
      </c>
      <c r="I71" s="72">
        <v>43515</v>
      </c>
      <c r="K71" s="2" t="s">
        <v>1311</v>
      </c>
    </row>
    <row r="72" spans="1:11">
      <c r="A72" s="2" t="s">
        <v>547</v>
      </c>
      <c r="B72" s="2" t="s">
        <v>43</v>
      </c>
      <c r="C72" s="2" t="s">
        <v>1309</v>
      </c>
      <c r="D72" s="40">
        <v>248000</v>
      </c>
      <c r="E72" s="2" t="s">
        <v>295</v>
      </c>
      <c r="F72" s="145">
        <v>1357</v>
      </c>
      <c r="H72" s="2" t="s">
        <v>1310</v>
      </c>
      <c r="I72" s="72">
        <v>43518</v>
      </c>
      <c r="K72" s="2" t="s">
        <v>1311</v>
      </c>
    </row>
    <row r="73" spans="1:11">
      <c r="A73" s="2" t="s">
        <v>548</v>
      </c>
      <c r="B73" s="2" t="s">
        <v>43</v>
      </c>
      <c r="C73" s="2" t="s">
        <v>1309</v>
      </c>
      <c r="D73" s="40">
        <v>251000</v>
      </c>
      <c r="E73" s="2" t="s">
        <v>295</v>
      </c>
      <c r="F73" s="145">
        <v>1360</v>
      </c>
      <c r="H73" s="2" t="s">
        <v>1310</v>
      </c>
      <c r="I73" s="72">
        <v>43521</v>
      </c>
      <c r="K73" s="2" t="s">
        <v>1311</v>
      </c>
    </row>
    <row r="74" spans="1:11">
      <c r="A74" s="2" t="s">
        <v>549</v>
      </c>
      <c r="B74" s="2" t="s">
        <v>43</v>
      </c>
      <c r="C74" s="2" t="s">
        <v>1309</v>
      </c>
      <c r="D74" s="40">
        <v>254000</v>
      </c>
      <c r="E74" s="2" t="s">
        <v>295</v>
      </c>
      <c r="F74" s="145">
        <v>1363</v>
      </c>
      <c r="H74" s="2" t="s">
        <v>1310</v>
      </c>
      <c r="I74" s="72">
        <v>43524</v>
      </c>
      <c r="K74" s="2" t="s">
        <v>1311</v>
      </c>
    </row>
    <row r="75" spans="1:11">
      <c r="A75" s="2" t="s">
        <v>550</v>
      </c>
      <c r="B75" s="2" t="s">
        <v>43</v>
      </c>
      <c r="C75" s="2" t="s">
        <v>1309</v>
      </c>
      <c r="D75" s="40">
        <v>257000</v>
      </c>
      <c r="E75" s="2" t="s">
        <v>295</v>
      </c>
      <c r="F75" s="145">
        <v>1366</v>
      </c>
      <c r="H75" s="2" t="s">
        <v>1310</v>
      </c>
      <c r="I75" s="72">
        <v>43527</v>
      </c>
      <c r="K75" s="2" t="s">
        <v>1311</v>
      </c>
    </row>
    <row r="76" spans="1:11">
      <c r="A76" s="2" t="s">
        <v>551</v>
      </c>
      <c r="B76" s="2" t="s">
        <v>43</v>
      </c>
      <c r="C76" s="2" t="s">
        <v>1309</v>
      </c>
      <c r="D76" s="40">
        <v>260000</v>
      </c>
      <c r="E76" s="2" t="s">
        <v>295</v>
      </c>
      <c r="F76" s="145">
        <v>1369</v>
      </c>
      <c r="H76" s="2" t="s">
        <v>1310</v>
      </c>
      <c r="I76" s="72">
        <v>43530</v>
      </c>
      <c r="K76" s="2" t="s">
        <v>1311</v>
      </c>
    </row>
    <row r="77" spans="1:11">
      <c r="A77" s="2" t="s">
        <v>552</v>
      </c>
      <c r="B77" s="2" t="s">
        <v>43</v>
      </c>
      <c r="C77" s="2" t="s">
        <v>1309</v>
      </c>
      <c r="D77" s="40">
        <v>263000</v>
      </c>
      <c r="E77" s="2" t="s">
        <v>295</v>
      </c>
      <c r="F77" s="145">
        <v>1372</v>
      </c>
      <c r="H77" s="2" t="s">
        <v>1310</v>
      </c>
      <c r="I77" s="72">
        <v>43533</v>
      </c>
      <c r="K77" s="2" t="s">
        <v>1311</v>
      </c>
    </row>
    <row r="78" spans="1:11">
      <c r="A78" s="2" t="s">
        <v>553</v>
      </c>
      <c r="B78" s="2" t="s">
        <v>43</v>
      </c>
      <c r="C78" s="2" t="s">
        <v>1309</v>
      </c>
      <c r="D78" s="40">
        <v>266000</v>
      </c>
      <c r="E78" s="2" t="s">
        <v>295</v>
      </c>
      <c r="F78" s="145">
        <v>1375</v>
      </c>
      <c r="H78" s="2" t="s">
        <v>1310</v>
      </c>
      <c r="I78" s="72">
        <v>43536</v>
      </c>
      <c r="K78" s="2" t="s">
        <v>1311</v>
      </c>
    </row>
    <row r="79" spans="1:11">
      <c r="A79" s="2" t="s">
        <v>554</v>
      </c>
      <c r="B79" s="2" t="s">
        <v>43</v>
      </c>
      <c r="C79" s="2" t="s">
        <v>1309</v>
      </c>
      <c r="D79" s="40">
        <v>269000</v>
      </c>
      <c r="E79" s="2" t="s">
        <v>295</v>
      </c>
      <c r="F79" s="145">
        <v>1378</v>
      </c>
      <c r="H79" s="2" t="s">
        <v>1310</v>
      </c>
      <c r="I79" s="72">
        <v>43539</v>
      </c>
      <c r="K79" s="2" t="s">
        <v>1311</v>
      </c>
    </row>
    <row r="80" spans="1:11">
      <c r="A80" s="2" t="s">
        <v>555</v>
      </c>
      <c r="B80" s="2" t="s">
        <v>43</v>
      </c>
      <c r="C80" s="2" t="s">
        <v>1309</v>
      </c>
      <c r="D80" s="40">
        <v>272000</v>
      </c>
      <c r="E80" s="2" t="s">
        <v>295</v>
      </c>
      <c r="F80" s="145">
        <v>1381</v>
      </c>
      <c r="H80" s="2" t="s">
        <v>1310</v>
      </c>
      <c r="I80" s="72">
        <v>43542</v>
      </c>
      <c r="K80" s="2" t="s">
        <v>1311</v>
      </c>
    </row>
    <row r="81" spans="1:11">
      <c r="A81" s="2" t="s">
        <v>556</v>
      </c>
      <c r="B81" s="2" t="s">
        <v>43</v>
      </c>
      <c r="C81" s="2" t="s">
        <v>1309</v>
      </c>
      <c r="D81" s="40">
        <v>275000</v>
      </c>
      <c r="E81" s="2" t="s">
        <v>295</v>
      </c>
      <c r="F81" s="145">
        <v>1384</v>
      </c>
      <c r="H81" s="2" t="s">
        <v>1310</v>
      </c>
      <c r="I81" s="72">
        <v>43545</v>
      </c>
      <c r="K81" s="2" t="s">
        <v>1311</v>
      </c>
    </row>
    <row r="82" spans="1:11">
      <c r="A82" s="2" t="s">
        <v>557</v>
      </c>
      <c r="B82" s="2" t="s">
        <v>43</v>
      </c>
      <c r="C82" s="2" t="s">
        <v>1309</v>
      </c>
      <c r="D82" s="40">
        <v>278000</v>
      </c>
      <c r="E82" s="2" t="s">
        <v>295</v>
      </c>
      <c r="F82" s="145">
        <v>1387</v>
      </c>
      <c r="H82" s="2" t="s">
        <v>1310</v>
      </c>
      <c r="I82" s="72">
        <v>43548</v>
      </c>
      <c r="K82" s="2" t="s">
        <v>1311</v>
      </c>
    </row>
    <row r="83" spans="1:11">
      <c r="A83" s="2" t="s">
        <v>558</v>
      </c>
      <c r="B83" s="2" t="s">
        <v>43</v>
      </c>
      <c r="C83" s="2" t="s">
        <v>1309</v>
      </c>
      <c r="D83" s="40">
        <v>281000</v>
      </c>
      <c r="E83" s="2" t="s">
        <v>295</v>
      </c>
      <c r="F83" s="145">
        <v>1390</v>
      </c>
      <c r="H83" s="2" t="s">
        <v>1310</v>
      </c>
      <c r="I83" s="72">
        <v>43551</v>
      </c>
      <c r="K83" s="2" t="s">
        <v>1311</v>
      </c>
    </row>
    <row r="84" spans="1:11">
      <c r="A84" s="2" t="s">
        <v>559</v>
      </c>
      <c r="B84" s="2" t="s">
        <v>43</v>
      </c>
      <c r="C84" s="2" t="s">
        <v>1309</v>
      </c>
      <c r="D84" s="40">
        <v>284000</v>
      </c>
      <c r="E84" s="2" t="s">
        <v>295</v>
      </c>
      <c r="F84" s="145">
        <v>1393</v>
      </c>
      <c r="H84" s="2" t="s">
        <v>1310</v>
      </c>
      <c r="I84" s="72">
        <v>43554</v>
      </c>
      <c r="K84" s="2" t="s">
        <v>1311</v>
      </c>
    </row>
    <row r="85" spans="1:11">
      <c r="A85" s="2" t="s">
        <v>560</v>
      </c>
      <c r="B85" s="2" t="s">
        <v>43</v>
      </c>
      <c r="C85" s="2" t="s">
        <v>1309</v>
      </c>
      <c r="D85" s="40">
        <v>287000</v>
      </c>
      <c r="E85" s="2" t="s">
        <v>295</v>
      </c>
      <c r="F85" s="145">
        <v>1396</v>
      </c>
      <c r="H85" s="2" t="s">
        <v>1310</v>
      </c>
      <c r="I85" s="72">
        <v>43557</v>
      </c>
      <c r="K85" s="2" t="s">
        <v>1311</v>
      </c>
    </row>
    <row r="86" spans="1:11">
      <c r="A86" s="2" t="s">
        <v>561</v>
      </c>
      <c r="B86" s="2" t="s">
        <v>43</v>
      </c>
      <c r="C86" s="2" t="s">
        <v>1309</v>
      </c>
      <c r="D86" s="40">
        <v>290000</v>
      </c>
      <c r="E86" s="2" t="s">
        <v>295</v>
      </c>
      <c r="F86" s="145">
        <v>1399</v>
      </c>
      <c r="H86" s="2" t="s">
        <v>1310</v>
      </c>
      <c r="I86" s="72">
        <v>43560</v>
      </c>
      <c r="K86" s="2" t="s">
        <v>1311</v>
      </c>
    </row>
    <row r="87" spans="1:11">
      <c r="A87" s="2" t="s">
        <v>562</v>
      </c>
      <c r="B87" s="2" t="s">
        <v>43</v>
      </c>
      <c r="C87" s="2" t="s">
        <v>1309</v>
      </c>
      <c r="D87" s="40">
        <v>293000</v>
      </c>
      <c r="E87" s="2" t="s">
        <v>295</v>
      </c>
      <c r="F87" s="145">
        <v>1402</v>
      </c>
      <c r="H87" s="2" t="s">
        <v>1310</v>
      </c>
      <c r="I87" s="72">
        <v>43563</v>
      </c>
      <c r="K87" s="2" t="s">
        <v>1311</v>
      </c>
    </row>
    <row r="88" spans="1:11">
      <c r="A88" s="2" t="s">
        <v>563</v>
      </c>
      <c r="B88" s="2" t="s">
        <v>43</v>
      </c>
      <c r="C88" s="2" t="s">
        <v>1309</v>
      </c>
      <c r="D88" s="40">
        <v>296000</v>
      </c>
      <c r="E88" s="2" t="s">
        <v>295</v>
      </c>
      <c r="F88" s="145">
        <v>1405</v>
      </c>
      <c r="H88" s="2" t="s">
        <v>1310</v>
      </c>
      <c r="I88" s="72">
        <v>43566</v>
      </c>
      <c r="K88" s="2" t="s">
        <v>1311</v>
      </c>
    </row>
    <row r="89" spans="1:11">
      <c r="A89" s="2" t="s">
        <v>564</v>
      </c>
      <c r="B89" s="2" t="s">
        <v>43</v>
      </c>
      <c r="C89" s="2" t="s">
        <v>1309</v>
      </c>
      <c r="D89" s="40">
        <v>299000</v>
      </c>
      <c r="E89" s="2" t="s">
        <v>295</v>
      </c>
      <c r="F89" s="145">
        <v>1408</v>
      </c>
      <c r="H89" s="2" t="s">
        <v>1310</v>
      </c>
      <c r="I89" s="72">
        <v>43569</v>
      </c>
      <c r="K89" s="2" t="s">
        <v>1311</v>
      </c>
    </row>
    <row r="90" spans="1:11">
      <c r="A90" s="2" t="s">
        <v>565</v>
      </c>
      <c r="B90" s="2" t="s">
        <v>43</v>
      </c>
      <c r="C90" s="2" t="s">
        <v>1309</v>
      </c>
      <c r="D90" s="40">
        <v>302000</v>
      </c>
      <c r="E90" s="2" t="s">
        <v>295</v>
      </c>
      <c r="F90" s="145">
        <v>1411</v>
      </c>
      <c r="H90" s="2" t="s">
        <v>1310</v>
      </c>
      <c r="I90" s="72">
        <v>43572</v>
      </c>
      <c r="K90" s="2" t="s">
        <v>1311</v>
      </c>
    </row>
    <row r="91" spans="1:11">
      <c r="A91" s="2" t="s">
        <v>566</v>
      </c>
      <c r="B91" s="2" t="s">
        <v>43</v>
      </c>
      <c r="C91" s="2" t="s">
        <v>1309</v>
      </c>
      <c r="D91" s="40">
        <v>305000</v>
      </c>
      <c r="E91" s="2" t="s">
        <v>295</v>
      </c>
      <c r="F91" s="145">
        <v>1414</v>
      </c>
      <c r="H91" s="2" t="s">
        <v>1310</v>
      </c>
      <c r="I91" s="72">
        <v>43575</v>
      </c>
      <c r="K91" s="2" t="s">
        <v>1311</v>
      </c>
    </row>
    <row r="92" spans="1:11">
      <c r="A92" s="2" t="s">
        <v>567</v>
      </c>
      <c r="B92" s="2" t="s">
        <v>43</v>
      </c>
      <c r="C92" s="2" t="s">
        <v>1309</v>
      </c>
      <c r="D92" s="40">
        <v>308000</v>
      </c>
      <c r="E92" s="2" t="s">
        <v>295</v>
      </c>
      <c r="F92" s="145">
        <v>1417</v>
      </c>
      <c r="H92" s="2" t="s">
        <v>1310</v>
      </c>
      <c r="I92" s="72">
        <v>43578</v>
      </c>
      <c r="K92" s="2" t="s">
        <v>1311</v>
      </c>
    </row>
    <row r="93" spans="1:11">
      <c r="A93" s="2" t="s">
        <v>568</v>
      </c>
      <c r="B93" s="2" t="s">
        <v>43</v>
      </c>
      <c r="C93" s="2" t="s">
        <v>1309</v>
      </c>
      <c r="D93" s="40">
        <v>311000</v>
      </c>
      <c r="E93" s="2" t="s">
        <v>295</v>
      </c>
      <c r="F93" s="145">
        <v>1420</v>
      </c>
      <c r="H93" s="2" t="s">
        <v>1310</v>
      </c>
      <c r="I93" s="72">
        <v>43581</v>
      </c>
      <c r="K93" s="2" t="s">
        <v>1311</v>
      </c>
    </row>
    <row r="94" spans="1:11">
      <c r="A94" s="2" t="s">
        <v>569</v>
      </c>
      <c r="B94" s="2" t="s">
        <v>43</v>
      </c>
      <c r="C94" s="2" t="s">
        <v>1309</v>
      </c>
      <c r="D94" s="40">
        <v>314000</v>
      </c>
      <c r="E94" s="2" t="s">
        <v>295</v>
      </c>
      <c r="F94" s="145">
        <v>1423</v>
      </c>
      <c r="H94" s="2" t="s">
        <v>1310</v>
      </c>
      <c r="I94" s="72">
        <v>43584</v>
      </c>
      <c r="K94" s="2" t="s">
        <v>1311</v>
      </c>
    </row>
    <row r="95" spans="1:11">
      <c r="A95" s="2" t="s">
        <v>570</v>
      </c>
      <c r="B95" s="2" t="s">
        <v>43</v>
      </c>
      <c r="C95" s="2" t="s">
        <v>1309</v>
      </c>
      <c r="D95" s="40">
        <v>317000</v>
      </c>
      <c r="E95" s="2" t="s">
        <v>295</v>
      </c>
      <c r="F95" s="145">
        <v>1426</v>
      </c>
      <c r="H95" s="2" t="s">
        <v>1310</v>
      </c>
      <c r="I95" s="72">
        <v>43587</v>
      </c>
      <c r="K95" s="2" t="s">
        <v>1311</v>
      </c>
    </row>
    <row r="96" spans="1:11">
      <c r="A96" s="2" t="s">
        <v>571</v>
      </c>
      <c r="B96" s="2" t="s">
        <v>43</v>
      </c>
      <c r="C96" s="2" t="s">
        <v>1309</v>
      </c>
      <c r="D96" s="40">
        <v>320000</v>
      </c>
      <c r="E96" s="2" t="s">
        <v>295</v>
      </c>
      <c r="F96" s="145">
        <v>1429</v>
      </c>
      <c r="H96" s="2" t="s">
        <v>1310</v>
      </c>
      <c r="I96" s="72">
        <v>43590</v>
      </c>
      <c r="K96" s="2" t="s">
        <v>1311</v>
      </c>
    </row>
    <row r="97" spans="1:11">
      <c r="A97" s="2" t="s">
        <v>572</v>
      </c>
      <c r="B97" s="2" t="s">
        <v>43</v>
      </c>
      <c r="C97" s="2" t="s">
        <v>1309</v>
      </c>
      <c r="D97" s="40">
        <v>323000</v>
      </c>
      <c r="E97" s="2" t="s">
        <v>295</v>
      </c>
      <c r="F97" s="145">
        <v>1432</v>
      </c>
      <c r="H97" s="2" t="s">
        <v>1310</v>
      </c>
      <c r="I97" s="72">
        <v>43593</v>
      </c>
      <c r="K97" s="2" t="s">
        <v>1311</v>
      </c>
    </row>
    <row r="98" spans="1:11">
      <c r="A98" s="2" t="s">
        <v>573</v>
      </c>
      <c r="B98" s="2" t="s">
        <v>43</v>
      </c>
      <c r="C98" s="2" t="s">
        <v>1309</v>
      </c>
      <c r="D98" s="40">
        <v>326000</v>
      </c>
      <c r="E98" s="2" t="s">
        <v>295</v>
      </c>
      <c r="F98" s="145">
        <v>1435</v>
      </c>
      <c r="H98" s="2" t="s">
        <v>1310</v>
      </c>
      <c r="I98" s="72">
        <v>43596</v>
      </c>
      <c r="K98" s="2" t="s">
        <v>1311</v>
      </c>
    </row>
    <row r="99" spans="1:11">
      <c r="A99" s="2" t="s">
        <v>574</v>
      </c>
      <c r="B99" s="2" t="s">
        <v>43</v>
      </c>
      <c r="C99" s="2" t="s">
        <v>1309</v>
      </c>
      <c r="D99" s="40">
        <v>329000</v>
      </c>
      <c r="E99" s="2" t="s">
        <v>295</v>
      </c>
      <c r="F99" s="145">
        <v>1438</v>
      </c>
      <c r="H99" s="2" t="s">
        <v>1310</v>
      </c>
      <c r="I99" s="72">
        <v>43599</v>
      </c>
      <c r="K99" s="2" t="s">
        <v>1311</v>
      </c>
    </row>
    <row r="100" spans="1:11">
      <c r="A100" s="2" t="s">
        <v>575</v>
      </c>
      <c r="B100" s="2" t="s">
        <v>43</v>
      </c>
      <c r="C100" s="2" t="s">
        <v>1309</v>
      </c>
      <c r="D100" s="40">
        <v>332000</v>
      </c>
      <c r="E100" s="2" t="s">
        <v>295</v>
      </c>
      <c r="F100" s="145">
        <v>1441</v>
      </c>
      <c r="H100" s="2" t="s">
        <v>1310</v>
      </c>
      <c r="I100" s="72">
        <v>43602</v>
      </c>
      <c r="K100" s="2" t="s">
        <v>1311</v>
      </c>
    </row>
    <row r="101" spans="1:11">
      <c r="A101" s="2" t="s">
        <v>576</v>
      </c>
      <c r="B101" s="2" t="s">
        <v>43</v>
      </c>
      <c r="C101" s="2" t="s">
        <v>1309</v>
      </c>
      <c r="D101" s="40">
        <v>335000</v>
      </c>
      <c r="E101" s="2" t="s">
        <v>295</v>
      </c>
      <c r="F101" s="145">
        <v>1444</v>
      </c>
      <c r="H101" s="2" t="s">
        <v>1310</v>
      </c>
      <c r="I101" s="72">
        <v>43605</v>
      </c>
      <c r="K101" s="2" t="s">
        <v>1311</v>
      </c>
    </row>
    <row r="102" spans="1:11">
      <c r="A102" s="2" t="s">
        <v>577</v>
      </c>
      <c r="B102" s="2" t="s">
        <v>43</v>
      </c>
      <c r="C102" s="2" t="s">
        <v>1309</v>
      </c>
      <c r="D102" s="40">
        <v>338000</v>
      </c>
      <c r="E102" s="2" t="s">
        <v>295</v>
      </c>
      <c r="F102" s="145">
        <v>1447</v>
      </c>
      <c r="H102" s="2" t="s">
        <v>1310</v>
      </c>
      <c r="I102" s="72">
        <v>43608</v>
      </c>
      <c r="K102" s="2" t="s">
        <v>1311</v>
      </c>
    </row>
    <row r="103" spans="1:11">
      <c r="A103" s="2" t="s">
        <v>578</v>
      </c>
      <c r="B103" s="2" t="s">
        <v>43</v>
      </c>
      <c r="C103" s="2" t="s">
        <v>1309</v>
      </c>
      <c r="D103" s="40">
        <v>341000</v>
      </c>
      <c r="E103" s="2" t="s">
        <v>295</v>
      </c>
      <c r="F103" s="145">
        <v>1450</v>
      </c>
      <c r="H103" s="2" t="s">
        <v>1310</v>
      </c>
      <c r="I103" s="72">
        <v>43611</v>
      </c>
      <c r="K103" s="2" t="s">
        <v>1311</v>
      </c>
    </row>
    <row r="104" spans="1:11">
      <c r="A104" s="2" t="s">
        <v>579</v>
      </c>
      <c r="B104" s="2" t="s">
        <v>43</v>
      </c>
      <c r="C104" s="2" t="s">
        <v>1309</v>
      </c>
      <c r="D104" s="40">
        <v>344000</v>
      </c>
      <c r="E104" s="2" t="s">
        <v>295</v>
      </c>
      <c r="F104" s="145">
        <v>1453</v>
      </c>
      <c r="H104" s="2" t="s">
        <v>1310</v>
      </c>
      <c r="I104" s="72">
        <v>43614</v>
      </c>
      <c r="K104" s="2" t="s">
        <v>1311</v>
      </c>
    </row>
    <row r="105" spans="1:11">
      <c r="A105" s="2" t="s">
        <v>580</v>
      </c>
      <c r="B105" s="2" t="s">
        <v>43</v>
      </c>
      <c r="C105" s="2" t="s">
        <v>1309</v>
      </c>
      <c r="D105" s="40">
        <v>347000</v>
      </c>
      <c r="E105" s="2" t="s">
        <v>295</v>
      </c>
      <c r="F105" s="145">
        <v>1456</v>
      </c>
      <c r="H105" s="2" t="s">
        <v>1310</v>
      </c>
      <c r="I105" s="72">
        <v>43617</v>
      </c>
      <c r="K105" s="2" t="s">
        <v>1311</v>
      </c>
    </row>
    <row r="106" spans="1:11">
      <c r="A106" s="2" t="s">
        <v>581</v>
      </c>
      <c r="B106" s="2" t="s">
        <v>43</v>
      </c>
      <c r="C106" s="2" t="s">
        <v>1309</v>
      </c>
      <c r="D106" s="40">
        <v>350000</v>
      </c>
      <c r="E106" s="2" t="s">
        <v>295</v>
      </c>
      <c r="F106" s="145">
        <v>1459</v>
      </c>
      <c r="H106" s="2" t="s">
        <v>1310</v>
      </c>
      <c r="I106" s="72">
        <v>43620</v>
      </c>
      <c r="K106" s="2" t="s">
        <v>1311</v>
      </c>
    </row>
    <row r="107" spans="1:11">
      <c r="A107" s="2" t="s">
        <v>582</v>
      </c>
      <c r="B107" s="2" t="s">
        <v>43</v>
      </c>
      <c r="C107" s="2" t="s">
        <v>1309</v>
      </c>
      <c r="D107" s="40">
        <v>353000</v>
      </c>
      <c r="E107" s="2" t="s">
        <v>295</v>
      </c>
      <c r="F107" s="145">
        <v>1462</v>
      </c>
      <c r="H107" s="2" t="s">
        <v>1310</v>
      </c>
      <c r="I107" s="72">
        <v>43623</v>
      </c>
      <c r="K107" s="2" t="s">
        <v>1311</v>
      </c>
    </row>
    <row r="108" spans="1:11">
      <c r="A108" s="2" t="s">
        <v>583</v>
      </c>
      <c r="B108" s="2" t="s">
        <v>43</v>
      </c>
      <c r="C108" s="2" t="s">
        <v>1309</v>
      </c>
      <c r="D108" s="40">
        <v>356000</v>
      </c>
      <c r="E108" s="2" t="s">
        <v>295</v>
      </c>
      <c r="F108" s="145">
        <v>1465</v>
      </c>
      <c r="H108" s="2" t="s">
        <v>1310</v>
      </c>
      <c r="I108" s="72">
        <v>43626</v>
      </c>
      <c r="K108" s="2" t="s">
        <v>1311</v>
      </c>
    </row>
    <row r="109" spans="1:11">
      <c r="A109" s="2" t="s">
        <v>584</v>
      </c>
      <c r="B109" s="2" t="s">
        <v>43</v>
      </c>
      <c r="C109" s="2" t="s">
        <v>1309</v>
      </c>
      <c r="D109" s="40">
        <v>359000</v>
      </c>
      <c r="E109" s="2" t="s">
        <v>295</v>
      </c>
      <c r="F109" s="145">
        <v>1468</v>
      </c>
      <c r="H109" s="2" t="s">
        <v>1310</v>
      </c>
      <c r="I109" s="72">
        <v>43629</v>
      </c>
      <c r="K109" s="2" t="s">
        <v>1311</v>
      </c>
    </row>
    <row r="110" spans="1:11">
      <c r="A110" s="2" t="s">
        <v>585</v>
      </c>
      <c r="B110" s="2" t="s">
        <v>43</v>
      </c>
      <c r="C110" s="2" t="s">
        <v>1309</v>
      </c>
      <c r="D110" s="40">
        <v>362000</v>
      </c>
      <c r="E110" s="2" t="s">
        <v>295</v>
      </c>
      <c r="F110" s="145">
        <v>1471</v>
      </c>
      <c r="H110" s="2" t="s">
        <v>1310</v>
      </c>
      <c r="I110" s="72">
        <v>43632</v>
      </c>
      <c r="K110" s="2" t="s">
        <v>1311</v>
      </c>
    </row>
    <row r="111" spans="1:11">
      <c r="A111" s="2" t="s">
        <v>586</v>
      </c>
      <c r="B111" s="2" t="s">
        <v>43</v>
      </c>
      <c r="C111" s="2" t="s">
        <v>1309</v>
      </c>
      <c r="D111" s="40">
        <v>365000</v>
      </c>
      <c r="E111" s="2" t="s">
        <v>295</v>
      </c>
      <c r="F111" s="145">
        <v>1474</v>
      </c>
      <c r="H111" s="2" t="s">
        <v>1310</v>
      </c>
      <c r="I111" s="72">
        <v>43635</v>
      </c>
      <c r="K111" s="2" t="s">
        <v>1311</v>
      </c>
    </row>
    <row r="112" spans="1:11">
      <c r="A112" s="2" t="s">
        <v>587</v>
      </c>
      <c r="B112" s="2" t="s">
        <v>43</v>
      </c>
      <c r="C112" s="2" t="s">
        <v>1309</v>
      </c>
      <c r="D112" s="40">
        <v>368000</v>
      </c>
      <c r="E112" s="2" t="s">
        <v>295</v>
      </c>
      <c r="F112" s="145">
        <v>1477</v>
      </c>
      <c r="H112" s="2" t="s">
        <v>1310</v>
      </c>
      <c r="I112" s="72">
        <v>43638</v>
      </c>
      <c r="K112" s="2" t="s">
        <v>1311</v>
      </c>
    </row>
    <row r="113" spans="1:11">
      <c r="A113" s="2" t="s">
        <v>588</v>
      </c>
      <c r="B113" s="2" t="s">
        <v>43</v>
      </c>
      <c r="C113" s="2" t="s">
        <v>1309</v>
      </c>
      <c r="D113" s="40">
        <v>371000</v>
      </c>
      <c r="E113" s="2" t="s">
        <v>295</v>
      </c>
      <c r="F113" s="145">
        <v>1480</v>
      </c>
      <c r="H113" s="2" t="s">
        <v>1310</v>
      </c>
      <c r="I113" s="72">
        <v>43641</v>
      </c>
      <c r="K113" s="2" t="s">
        <v>1311</v>
      </c>
    </row>
    <row r="114" spans="1:11">
      <c r="A114" s="2" t="s">
        <v>589</v>
      </c>
      <c r="B114" s="2" t="s">
        <v>43</v>
      </c>
      <c r="C114" s="2" t="s">
        <v>1309</v>
      </c>
      <c r="D114" s="40">
        <v>374000</v>
      </c>
      <c r="E114" s="2" t="s">
        <v>295</v>
      </c>
      <c r="F114" s="145">
        <v>1483</v>
      </c>
      <c r="H114" s="2" t="s">
        <v>1310</v>
      </c>
      <c r="I114" s="72">
        <v>43644</v>
      </c>
      <c r="K114" s="2" t="s">
        <v>1311</v>
      </c>
    </row>
    <row r="115" spans="1:11">
      <c r="A115" s="2" t="s">
        <v>590</v>
      </c>
      <c r="B115" s="2" t="s">
        <v>43</v>
      </c>
      <c r="C115" s="2" t="s">
        <v>1309</v>
      </c>
      <c r="D115" s="40">
        <v>377000</v>
      </c>
      <c r="E115" s="2" t="s">
        <v>295</v>
      </c>
      <c r="F115" s="145">
        <v>1486</v>
      </c>
      <c r="H115" s="2" t="s">
        <v>1310</v>
      </c>
      <c r="I115" s="72">
        <v>43647</v>
      </c>
      <c r="K115" s="2" t="s">
        <v>1311</v>
      </c>
    </row>
    <row r="116" spans="1:11">
      <c r="A116" s="2" t="s">
        <v>591</v>
      </c>
      <c r="B116" s="2" t="s">
        <v>43</v>
      </c>
      <c r="C116" s="2" t="s">
        <v>1309</v>
      </c>
      <c r="D116" s="40">
        <v>380000</v>
      </c>
      <c r="E116" s="2" t="s">
        <v>295</v>
      </c>
      <c r="F116" s="145">
        <v>1489</v>
      </c>
      <c r="H116" s="2" t="s">
        <v>1310</v>
      </c>
      <c r="I116" s="72">
        <v>43650</v>
      </c>
      <c r="K116" s="2" t="s">
        <v>1311</v>
      </c>
    </row>
    <row r="117" spans="1:11">
      <c r="A117" s="2" t="s">
        <v>592</v>
      </c>
      <c r="B117" s="2" t="s">
        <v>43</v>
      </c>
      <c r="C117" s="2" t="s">
        <v>1309</v>
      </c>
      <c r="D117" s="40">
        <v>383000</v>
      </c>
      <c r="E117" s="2" t="s">
        <v>295</v>
      </c>
      <c r="F117" s="145">
        <v>1492</v>
      </c>
      <c r="H117" s="2" t="s">
        <v>1310</v>
      </c>
      <c r="I117" s="72">
        <v>43653</v>
      </c>
      <c r="K117" s="2" t="s">
        <v>1311</v>
      </c>
    </row>
    <row r="118" spans="1:11">
      <c r="A118" s="2" t="s">
        <v>593</v>
      </c>
      <c r="B118" s="2" t="s">
        <v>43</v>
      </c>
      <c r="C118" s="2" t="s">
        <v>1309</v>
      </c>
      <c r="D118" s="40">
        <v>386000</v>
      </c>
      <c r="E118" s="2" t="s">
        <v>295</v>
      </c>
      <c r="F118" s="145">
        <v>1495</v>
      </c>
      <c r="H118" s="2" t="s">
        <v>1310</v>
      </c>
      <c r="I118" s="72">
        <v>43656</v>
      </c>
      <c r="K118" s="2" t="s">
        <v>1311</v>
      </c>
    </row>
    <row r="119" spans="1:11">
      <c r="A119" s="2" t="s">
        <v>594</v>
      </c>
      <c r="B119" s="2" t="s">
        <v>43</v>
      </c>
      <c r="C119" s="2" t="s">
        <v>1309</v>
      </c>
      <c r="D119" s="40">
        <v>389000</v>
      </c>
      <c r="E119" s="2" t="s">
        <v>295</v>
      </c>
      <c r="F119" s="145">
        <v>1498</v>
      </c>
      <c r="H119" s="2" t="s">
        <v>1310</v>
      </c>
      <c r="I119" s="72">
        <v>43659</v>
      </c>
      <c r="K119" s="2" t="s">
        <v>1311</v>
      </c>
    </row>
    <row r="120" spans="1:11">
      <c r="A120" s="2" t="s">
        <v>595</v>
      </c>
      <c r="B120" s="2" t="s">
        <v>43</v>
      </c>
      <c r="C120" s="2" t="s">
        <v>1309</v>
      </c>
      <c r="D120" s="40">
        <v>392000</v>
      </c>
      <c r="E120" s="2" t="s">
        <v>295</v>
      </c>
      <c r="F120" s="145">
        <v>1501</v>
      </c>
      <c r="H120" s="2" t="s">
        <v>1310</v>
      </c>
      <c r="I120" s="72">
        <v>43662</v>
      </c>
      <c r="K120" s="2" t="s">
        <v>1311</v>
      </c>
    </row>
    <row r="121" spans="1:11">
      <c r="A121" s="2" t="s">
        <v>596</v>
      </c>
      <c r="B121" s="2" t="s">
        <v>43</v>
      </c>
      <c r="C121" s="2" t="s">
        <v>1309</v>
      </c>
      <c r="D121" s="40">
        <v>395000</v>
      </c>
      <c r="E121" s="2" t="s">
        <v>295</v>
      </c>
      <c r="F121" s="145">
        <v>1504</v>
      </c>
      <c r="H121" s="2" t="s">
        <v>1310</v>
      </c>
      <c r="I121" s="72">
        <v>43665</v>
      </c>
      <c r="K121" s="2" t="s">
        <v>1311</v>
      </c>
    </row>
    <row r="122" spans="1:11">
      <c r="A122" s="2" t="s">
        <v>597</v>
      </c>
      <c r="B122" s="2" t="s">
        <v>43</v>
      </c>
      <c r="C122" s="2" t="s">
        <v>1309</v>
      </c>
      <c r="D122" s="40">
        <v>398000</v>
      </c>
      <c r="E122" s="2" t="s">
        <v>295</v>
      </c>
      <c r="F122" s="145">
        <v>1507</v>
      </c>
      <c r="H122" s="2" t="s">
        <v>1310</v>
      </c>
      <c r="I122" s="72">
        <v>43668</v>
      </c>
      <c r="K122" s="2" t="s">
        <v>1311</v>
      </c>
    </row>
    <row r="123" spans="1:11">
      <c r="A123" s="2" t="s">
        <v>598</v>
      </c>
      <c r="B123" s="2" t="s">
        <v>43</v>
      </c>
      <c r="C123" s="2" t="s">
        <v>1309</v>
      </c>
      <c r="D123" s="40">
        <v>401000</v>
      </c>
      <c r="E123" s="2" t="s">
        <v>295</v>
      </c>
      <c r="F123" s="145">
        <v>1510</v>
      </c>
      <c r="H123" s="2" t="s">
        <v>1310</v>
      </c>
      <c r="I123" s="72">
        <v>43671</v>
      </c>
      <c r="K123" s="2" t="s">
        <v>1311</v>
      </c>
    </row>
    <row r="124" spans="1:11">
      <c r="A124" s="2" t="s">
        <v>599</v>
      </c>
      <c r="B124" s="2" t="s">
        <v>43</v>
      </c>
      <c r="C124" s="2" t="s">
        <v>1309</v>
      </c>
      <c r="D124" s="40">
        <v>404000</v>
      </c>
      <c r="E124" s="2" t="s">
        <v>295</v>
      </c>
      <c r="F124" s="145">
        <v>1513</v>
      </c>
      <c r="H124" s="2" t="s">
        <v>1310</v>
      </c>
      <c r="I124" s="72">
        <v>43674</v>
      </c>
      <c r="K124" s="2" t="s">
        <v>1311</v>
      </c>
    </row>
    <row r="125" spans="1:11">
      <c r="A125" s="2" t="s">
        <v>600</v>
      </c>
      <c r="B125" s="2" t="s">
        <v>43</v>
      </c>
      <c r="C125" s="2" t="s">
        <v>1309</v>
      </c>
      <c r="D125" s="40">
        <v>407000</v>
      </c>
      <c r="E125" s="2" t="s">
        <v>295</v>
      </c>
      <c r="F125" s="145">
        <v>1516</v>
      </c>
      <c r="H125" s="2" t="s">
        <v>1310</v>
      </c>
      <c r="I125" s="72">
        <v>43677</v>
      </c>
      <c r="K125" s="2" t="s">
        <v>1311</v>
      </c>
    </row>
    <row r="126" spans="1:11">
      <c r="A126" s="2" t="s">
        <v>601</v>
      </c>
      <c r="B126" s="2" t="s">
        <v>43</v>
      </c>
      <c r="C126" s="2" t="s">
        <v>1309</v>
      </c>
      <c r="D126" s="40">
        <v>410000</v>
      </c>
      <c r="E126" s="2" t="s">
        <v>295</v>
      </c>
      <c r="F126" s="145">
        <v>1519</v>
      </c>
      <c r="H126" s="2" t="s">
        <v>1310</v>
      </c>
      <c r="I126" s="72">
        <v>43680</v>
      </c>
      <c r="K126" s="2" t="s">
        <v>1311</v>
      </c>
    </row>
    <row r="127" spans="1:11">
      <c r="A127" s="2" t="s">
        <v>602</v>
      </c>
      <c r="B127" s="2" t="s">
        <v>43</v>
      </c>
      <c r="C127" s="2" t="s">
        <v>1309</v>
      </c>
      <c r="D127" s="40">
        <v>413000</v>
      </c>
      <c r="E127" s="2" t="s">
        <v>295</v>
      </c>
      <c r="F127" s="145">
        <v>1522</v>
      </c>
      <c r="H127" s="2" t="s">
        <v>1310</v>
      </c>
      <c r="I127" s="72">
        <v>43683</v>
      </c>
      <c r="K127" s="2" t="s">
        <v>1311</v>
      </c>
    </row>
    <row r="128" spans="1:11">
      <c r="A128" s="2" t="s">
        <v>603</v>
      </c>
      <c r="B128" s="2" t="s">
        <v>43</v>
      </c>
      <c r="C128" s="2" t="s">
        <v>1309</v>
      </c>
      <c r="D128" s="40">
        <v>416000</v>
      </c>
      <c r="E128" s="2" t="s">
        <v>295</v>
      </c>
      <c r="F128" s="145">
        <v>1525</v>
      </c>
      <c r="H128" s="2" t="s">
        <v>1310</v>
      </c>
      <c r="I128" s="72">
        <v>43686</v>
      </c>
      <c r="K128" s="2" t="s">
        <v>1311</v>
      </c>
    </row>
    <row r="129" spans="1:11">
      <c r="A129" s="2" t="s">
        <v>604</v>
      </c>
      <c r="B129" s="2" t="s">
        <v>43</v>
      </c>
      <c r="C129" s="2" t="s">
        <v>1309</v>
      </c>
      <c r="D129" s="40">
        <v>419000</v>
      </c>
      <c r="E129" s="2" t="s">
        <v>295</v>
      </c>
      <c r="F129" s="145">
        <v>1528</v>
      </c>
      <c r="H129" s="2" t="s">
        <v>1310</v>
      </c>
      <c r="I129" s="72">
        <v>43689</v>
      </c>
      <c r="K129" s="2" t="s">
        <v>1311</v>
      </c>
    </row>
    <row r="130" spans="1:11">
      <c r="A130" s="2" t="s">
        <v>605</v>
      </c>
      <c r="B130" s="2" t="s">
        <v>43</v>
      </c>
      <c r="C130" s="2" t="s">
        <v>1309</v>
      </c>
      <c r="D130" s="40">
        <v>422000</v>
      </c>
      <c r="E130" s="2" t="s">
        <v>295</v>
      </c>
      <c r="F130" s="145">
        <v>1531</v>
      </c>
      <c r="H130" s="2" t="s">
        <v>1310</v>
      </c>
      <c r="I130" s="72">
        <v>43692</v>
      </c>
      <c r="K130" s="2" t="s">
        <v>1311</v>
      </c>
    </row>
    <row r="131" spans="1:11">
      <c r="A131" s="2" t="s">
        <v>606</v>
      </c>
      <c r="B131" s="2" t="s">
        <v>43</v>
      </c>
      <c r="C131" s="2" t="s">
        <v>1309</v>
      </c>
      <c r="D131" s="40">
        <v>425000</v>
      </c>
      <c r="E131" s="2" t="s">
        <v>295</v>
      </c>
      <c r="F131" s="145">
        <v>1534</v>
      </c>
      <c r="H131" s="2" t="s">
        <v>1310</v>
      </c>
      <c r="I131" s="72">
        <v>43695</v>
      </c>
      <c r="K131" s="2" t="s">
        <v>1311</v>
      </c>
    </row>
    <row r="132" spans="1:11">
      <c r="A132" s="2" t="s">
        <v>607</v>
      </c>
      <c r="B132" s="2" t="s">
        <v>43</v>
      </c>
      <c r="C132" s="2" t="s">
        <v>1309</v>
      </c>
      <c r="D132" s="40">
        <v>428000</v>
      </c>
      <c r="E132" s="2" t="s">
        <v>295</v>
      </c>
      <c r="F132" s="145">
        <v>1537</v>
      </c>
      <c r="H132" s="2" t="s">
        <v>1310</v>
      </c>
      <c r="I132" s="72">
        <v>43698</v>
      </c>
      <c r="K132" s="2" t="s">
        <v>1311</v>
      </c>
    </row>
    <row r="133" spans="1:11">
      <c r="A133" s="2" t="s">
        <v>608</v>
      </c>
      <c r="B133" s="2" t="s">
        <v>43</v>
      </c>
      <c r="C133" s="2" t="s">
        <v>1309</v>
      </c>
      <c r="D133" s="40">
        <v>431000</v>
      </c>
      <c r="E133" s="2" t="s">
        <v>295</v>
      </c>
      <c r="F133" s="145">
        <v>1540</v>
      </c>
      <c r="H133" s="2" t="s">
        <v>1310</v>
      </c>
      <c r="I133" s="72">
        <v>43701</v>
      </c>
      <c r="K133" s="2" t="s">
        <v>1311</v>
      </c>
    </row>
    <row r="134" spans="1:11">
      <c r="A134" s="2" t="s">
        <v>609</v>
      </c>
      <c r="B134" s="2" t="s">
        <v>43</v>
      </c>
      <c r="C134" s="2" t="s">
        <v>1309</v>
      </c>
      <c r="D134" s="40">
        <v>434000</v>
      </c>
      <c r="E134" s="2" t="s">
        <v>295</v>
      </c>
      <c r="F134" s="145">
        <v>1543</v>
      </c>
      <c r="H134" s="2" t="s">
        <v>1310</v>
      </c>
      <c r="I134" s="72">
        <v>43704</v>
      </c>
      <c r="K134" s="2" t="s">
        <v>1311</v>
      </c>
    </row>
    <row r="135" spans="1:11">
      <c r="A135" s="2" t="s">
        <v>610</v>
      </c>
      <c r="B135" s="2" t="s">
        <v>43</v>
      </c>
      <c r="C135" s="2" t="s">
        <v>1309</v>
      </c>
      <c r="D135" s="40">
        <v>437000</v>
      </c>
      <c r="E135" s="2" t="s">
        <v>295</v>
      </c>
      <c r="F135" s="145">
        <v>1546</v>
      </c>
      <c r="H135" s="2" t="s">
        <v>1310</v>
      </c>
      <c r="I135" s="72">
        <v>43707</v>
      </c>
      <c r="K135" s="2" t="s">
        <v>1311</v>
      </c>
    </row>
    <row r="136" spans="1:11">
      <c r="A136" s="2" t="s">
        <v>611</v>
      </c>
      <c r="B136" s="2" t="s">
        <v>43</v>
      </c>
      <c r="C136" s="2" t="s">
        <v>1309</v>
      </c>
      <c r="D136" s="40">
        <v>440000</v>
      </c>
      <c r="E136" s="2" t="s">
        <v>295</v>
      </c>
      <c r="F136" s="145">
        <v>1549</v>
      </c>
      <c r="H136" s="2" t="s">
        <v>1310</v>
      </c>
      <c r="I136" s="72">
        <v>43710</v>
      </c>
      <c r="K136" s="2" t="s">
        <v>1311</v>
      </c>
    </row>
    <row r="137" spans="1:11">
      <c r="A137" s="2" t="s">
        <v>612</v>
      </c>
      <c r="B137" s="2" t="s">
        <v>43</v>
      </c>
      <c r="C137" s="2" t="s">
        <v>1309</v>
      </c>
      <c r="D137" s="40">
        <v>443000</v>
      </c>
      <c r="E137" s="2" t="s">
        <v>295</v>
      </c>
      <c r="F137" s="145">
        <v>1552</v>
      </c>
      <c r="H137" s="2" t="s">
        <v>1310</v>
      </c>
      <c r="I137" s="72">
        <v>43713</v>
      </c>
      <c r="K137" s="2" t="s">
        <v>1311</v>
      </c>
    </row>
    <row r="138" spans="1:11">
      <c r="A138" s="2" t="s">
        <v>613</v>
      </c>
      <c r="B138" s="2" t="s">
        <v>43</v>
      </c>
      <c r="C138" s="2" t="s">
        <v>1309</v>
      </c>
      <c r="D138" s="40">
        <v>446000</v>
      </c>
      <c r="E138" s="2" t="s">
        <v>295</v>
      </c>
      <c r="F138" s="145">
        <v>1555</v>
      </c>
      <c r="H138" s="2" t="s">
        <v>1310</v>
      </c>
      <c r="I138" s="72">
        <v>43716</v>
      </c>
      <c r="K138" s="2" t="s">
        <v>1311</v>
      </c>
    </row>
    <row r="139" spans="1:11">
      <c r="A139" s="2" t="s">
        <v>614</v>
      </c>
      <c r="B139" s="2" t="s">
        <v>43</v>
      </c>
      <c r="C139" s="2" t="s">
        <v>1309</v>
      </c>
      <c r="D139" s="40">
        <v>449000</v>
      </c>
      <c r="E139" s="2" t="s">
        <v>295</v>
      </c>
      <c r="F139" s="145">
        <v>1558</v>
      </c>
      <c r="H139" s="2" t="s">
        <v>1310</v>
      </c>
      <c r="I139" s="72">
        <v>43719</v>
      </c>
      <c r="K139" s="2" t="s">
        <v>1311</v>
      </c>
    </row>
    <row r="140" spans="1:11">
      <c r="A140" s="2" t="s">
        <v>615</v>
      </c>
      <c r="B140" s="2" t="s">
        <v>43</v>
      </c>
      <c r="C140" s="2" t="s">
        <v>1309</v>
      </c>
      <c r="D140" s="40">
        <v>452000</v>
      </c>
      <c r="E140" s="2" t="s">
        <v>295</v>
      </c>
      <c r="F140" s="145">
        <v>1561</v>
      </c>
      <c r="H140" s="2" t="s">
        <v>1310</v>
      </c>
      <c r="I140" s="72">
        <v>43722</v>
      </c>
      <c r="K140" s="2" t="s">
        <v>1311</v>
      </c>
    </row>
    <row r="141" spans="1:11">
      <c r="A141" s="2" t="s">
        <v>616</v>
      </c>
      <c r="B141" s="2" t="s">
        <v>43</v>
      </c>
      <c r="C141" s="2" t="s">
        <v>1309</v>
      </c>
      <c r="D141" s="40">
        <v>455000</v>
      </c>
      <c r="E141" s="2" t="s">
        <v>295</v>
      </c>
      <c r="F141" s="145">
        <v>1564</v>
      </c>
      <c r="H141" s="2" t="s">
        <v>1310</v>
      </c>
      <c r="I141" s="72">
        <v>43725</v>
      </c>
      <c r="K141" s="2" t="s">
        <v>1311</v>
      </c>
    </row>
    <row r="142" spans="1:11">
      <c r="A142" s="2" t="s">
        <v>617</v>
      </c>
      <c r="B142" s="2" t="s">
        <v>43</v>
      </c>
      <c r="C142" s="2" t="s">
        <v>1309</v>
      </c>
      <c r="D142" s="40">
        <v>458000</v>
      </c>
      <c r="E142" s="2" t="s">
        <v>295</v>
      </c>
      <c r="F142" s="145">
        <v>1567</v>
      </c>
      <c r="H142" s="2" t="s">
        <v>1310</v>
      </c>
      <c r="I142" s="72">
        <v>43728</v>
      </c>
      <c r="K142" s="2" t="s">
        <v>1311</v>
      </c>
    </row>
    <row r="143" spans="1:11">
      <c r="A143" s="2" t="s">
        <v>618</v>
      </c>
      <c r="B143" s="2" t="s">
        <v>43</v>
      </c>
      <c r="C143" s="2" t="s">
        <v>1309</v>
      </c>
      <c r="D143" s="40">
        <v>461000</v>
      </c>
      <c r="E143" s="2" t="s">
        <v>295</v>
      </c>
      <c r="F143" s="145">
        <v>1570</v>
      </c>
      <c r="H143" s="2" t="s">
        <v>1310</v>
      </c>
      <c r="I143" s="72">
        <v>43731</v>
      </c>
      <c r="K143" s="2" t="s">
        <v>1311</v>
      </c>
    </row>
    <row r="144" spans="1:11">
      <c r="A144" s="2" t="s">
        <v>619</v>
      </c>
      <c r="B144" s="2" t="s">
        <v>43</v>
      </c>
      <c r="C144" s="2" t="s">
        <v>1309</v>
      </c>
      <c r="D144" s="40">
        <v>464000</v>
      </c>
      <c r="E144" s="2" t="s">
        <v>295</v>
      </c>
      <c r="F144" s="145">
        <v>1573</v>
      </c>
      <c r="H144" s="2" t="s">
        <v>1310</v>
      </c>
      <c r="I144" s="72">
        <v>43734</v>
      </c>
      <c r="K144" s="2" t="s">
        <v>1311</v>
      </c>
    </row>
    <row r="145" spans="1:11">
      <c r="A145" s="2" t="s">
        <v>620</v>
      </c>
      <c r="B145" s="2" t="s">
        <v>43</v>
      </c>
      <c r="C145" s="2" t="s">
        <v>1309</v>
      </c>
      <c r="D145" s="40">
        <v>467000</v>
      </c>
      <c r="E145" s="2" t="s">
        <v>295</v>
      </c>
      <c r="F145" s="145">
        <v>1576</v>
      </c>
      <c r="H145" s="2" t="s">
        <v>1310</v>
      </c>
      <c r="I145" s="72">
        <v>43737</v>
      </c>
      <c r="K145" s="2" t="s">
        <v>1311</v>
      </c>
    </row>
    <row r="146" spans="1:11">
      <c r="A146" s="2" t="s">
        <v>621</v>
      </c>
      <c r="B146" s="2" t="s">
        <v>43</v>
      </c>
      <c r="C146" s="2" t="s">
        <v>1309</v>
      </c>
      <c r="D146" s="40">
        <v>470000</v>
      </c>
      <c r="E146" s="2" t="s">
        <v>295</v>
      </c>
      <c r="F146" s="145">
        <v>1579</v>
      </c>
      <c r="H146" s="2" t="s">
        <v>1310</v>
      </c>
      <c r="I146" s="72">
        <v>43740</v>
      </c>
      <c r="K146" s="2" t="s">
        <v>1311</v>
      </c>
    </row>
    <row r="147" spans="1:11">
      <c r="A147" s="2" t="s">
        <v>622</v>
      </c>
      <c r="B147" s="2" t="s">
        <v>43</v>
      </c>
      <c r="C147" s="2" t="s">
        <v>1309</v>
      </c>
      <c r="D147" s="40">
        <v>473000</v>
      </c>
      <c r="E147" s="2" t="s">
        <v>295</v>
      </c>
      <c r="F147" s="145">
        <v>1582</v>
      </c>
      <c r="H147" s="2" t="s">
        <v>1310</v>
      </c>
      <c r="I147" s="72">
        <v>43743</v>
      </c>
      <c r="K147" s="2" t="s">
        <v>1311</v>
      </c>
    </row>
    <row r="148" spans="1:11">
      <c r="A148" s="2" t="s">
        <v>623</v>
      </c>
      <c r="B148" s="2" t="s">
        <v>43</v>
      </c>
      <c r="C148" s="2" t="s">
        <v>1309</v>
      </c>
      <c r="D148" s="40">
        <v>476000</v>
      </c>
      <c r="E148" s="2" t="s">
        <v>295</v>
      </c>
      <c r="F148" s="145">
        <v>1585</v>
      </c>
      <c r="H148" s="2" t="s">
        <v>1310</v>
      </c>
      <c r="I148" s="72">
        <v>43746</v>
      </c>
      <c r="K148" s="2" t="s">
        <v>1311</v>
      </c>
    </row>
    <row r="149" spans="1:11">
      <c r="A149" s="2" t="s">
        <v>624</v>
      </c>
      <c r="B149" s="2" t="s">
        <v>43</v>
      </c>
      <c r="C149" s="2" t="s">
        <v>1309</v>
      </c>
      <c r="D149" s="40">
        <v>479000</v>
      </c>
      <c r="E149" s="2" t="s">
        <v>295</v>
      </c>
      <c r="F149" s="145">
        <v>1588</v>
      </c>
      <c r="H149" s="2" t="s">
        <v>1310</v>
      </c>
      <c r="I149" s="72">
        <v>43749</v>
      </c>
      <c r="K149" s="2" t="s">
        <v>1311</v>
      </c>
    </row>
    <row r="150" spans="1:11">
      <c r="A150" s="2" t="s">
        <v>625</v>
      </c>
      <c r="B150" s="2" t="s">
        <v>43</v>
      </c>
      <c r="C150" s="2" t="s">
        <v>1309</v>
      </c>
      <c r="D150" s="40">
        <v>482000</v>
      </c>
      <c r="E150" s="2" t="s">
        <v>295</v>
      </c>
      <c r="F150" s="145">
        <v>1591</v>
      </c>
      <c r="H150" s="2" t="s">
        <v>1310</v>
      </c>
      <c r="I150" s="72">
        <v>43752</v>
      </c>
      <c r="K150" s="2" t="s">
        <v>1311</v>
      </c>
    </row>
    <row r="151" spans="1:11">
      <c r="A151" s="2" t="s">
        <v>626</v>
      </c>
      <c r="B151" s="2" t="s">
        <v>43</v>
      </c>
      <c r="C151" s="2" t="s">
        <v>1309</v>
      </c>
      <c r="D151" s="40">
        <v>485000</v>
      </c>
      <c r="E151" s="2" t="s">
        <v>295</v>
      </c>
      <c r="F151" s="145">
        <v>1594</v>
      </c>
      <c r="H151" s="2" t="s">
        <v>1310</v>
      </c>
      <c r="I151" s="72">
        <v>43755</v>
      </c>
      <c r="K151" s="2" t="s">
        <v>1311</v>
      </c>
    </row>
    <row r="152" spans="1:11">
      <c r="A152" s="2" t="s">
        <v>627</v>
      </c>
      <c r="B152" s="2" t="s">
        <v>43</v>
      </c>
      <c r="C152" s="2" t="s">
        <v>1309</v>
      </c>
      <c r="D152" s="40">
        <v>488000</v>
      </c>
      <c r="E152" s="2" t="s">
        <v>295</v>
      </c>
      <c r="F152" s="145">
        <v>1597</v>
      </c>
      <c r="H152" s="2" t="s">
        <v>1310</v>
      </c>
      <c r="I152" s="72">
        <v>43758</v>
      </c>
      <c r="K152" s="2" t="s">
        <v>1311</v>
      </c>
    </row>
    <row r="153" spans="1:11">
      <c r="A153" s="2" t="s">
        <v>628</v>
      </c>
      <c r="B153" s="2" t="s">
        <v>43</v>
      </c>
      <c r="C153" s="2" t="s">
        <v>1309</v>
      </c>
      <c r="D153" s="40">
        <v>491000</v>
      </c>
      <c r="E153" s="2" t="s">
        <v>295</v>
      </c>
      <c r="F153" s="145">
        <v>1600</v>
      </c>
      <c r="H153" s="2" t="s">
        <v>1310</v>
      </c>
      <c r="I153" s="72">
        <v>43761</v>
      </c>
      <c r="K153" s="2" t="s">
        <v>1311</v>
      </c>
    </row>
    <row r="154" spans="1:11">
      <c r="A154" s="2" t="s">
        <v>629</v>
      </c>
      <c r="B154" s="2" t="s">
        <v>43</v>
      </c>
      <c r="C154" s="2" t="s">
        <v>1309</v>
      </c>
      <c r="D154" s="40">
        <v>494000</v>
      </c>
      <c r="E154" s="2" t="s">
        <v>295</v>
      </c>
      <c r="F154" s="145">
        <v>1603</v>
      </c>
      <c r="H154" s="2" t="s">
        <v>1310</v>
      </c>
      <c r="I154" s="72">
        <v>43764</v>
      </c>
      <c r="K154" s="2" t="s">
        <v>1311</v>
      </c>
    </row>
    <row r="155" spans="1:11">
      <c r="A155" s="2" t="s">
        <v>630</v>
      </c>
      <c r="B155" s="2" t="s">
        <v>43</v>
      </c>
      <c r="C155" s="2" t="s">
        <v>1309</v>
      </c>
      <c r="D155" s="40">
        <v>497000</v>
      </c>
      <c r="E155" s="2" t="s">
        <v>295</v>
      </c>
      <c r="F155" s="145">
        <v>1606</v>
      </c>
      <c r="H155" s="2" t="s">
        <v>1310</v>
      </c>
      <c r="I155" s="72">
        <v>43767</v>
      </c>
      <c r="K155" s="2" t="s">
        <v>1311</v>
      </c>
    </row>
    <row r="156" spans="1:11">
      <c r="A156" s="2" t="s">
        <v>631</v>
      </c>
      <c r="B156" s="2" t="s">
        <v>43</v>
      </c>
      <c r="C156" s="2" t="s">
        <v>1309</v>
      </c>
      <c r="D156" s="40">
        <v>500000</v>
      </c>
      <c r="E156" s="2" t="s">
        <v>295</v>
      </c>
      <c r="F156" s="145">
        <v>1609</v>
      </c>
      <c r="H156" s="2" t="s">
        <v>1310</v>
      </c>
      <c r="I156" s="72">
        <v>43770</v>
      </c>
      <c r="K156" s="2" t="s">
        <v>1311</v>
      </c>
    </row>
    <row r="157" spans="1:11">
      <c r="A157" s="2" t="s">
        <v>632</v>
      </c>
      <c r="B157" s="2" t="s">
        <v>43</v>
      </c>
      <c r="C157" s="2" t="s">
        <v>1309</v>
      </c>
      <c r="D157" s="40">
        <v>503000</v>
      </c>
      <c r="E157" s="2" t="s">
        <v>295</v>
      </c>
      <c r="F157" s="145">
        <v>1612</v>
      </c>
      <c r="H157" s="2" t="s">
        <v>1310</v>
      </c>
      <c r="I157" s="72">
        <v>43773</v>
      </c>
      <c r="K157" s="2" t="s">
        <v>1311</v>
      </c>
    </row>
    <row r="158" spans="1:11">
      <c r="A158" s="2" t="s">
        <v>633</v>
      </c>
      <c r="B158" s="2" t="s">
        <v>43</v>
      </c>
      <c r="C158" s="2" t="s">
        <v>1309</v>
      </c>
      <c r="D158" s="40">
        <v>506000</v>
      </c>
      <c r="E158" s="2" t="s">
        <v>295</v>
      </c>
      <c r="F158" s="145">
        <v>1615</v>
      </c>
      <c r="H158" s="2" t="s">
        <v>1310</v>
      </c>
      <c r="I158" s="72">
        <v>43776</v>
      </c>
      <c r="K158" s="2" t="s">
        <v>1311</v>
      </c>
    </row>
    <row r="159" spans="1:11">
      <c r="A159" s="2" t="s">
        <v>634</v>
      </c>
      <c r="B159" s="2" t="s">
        <v>43</v>
      </c>
      <c r="C159" s="2" t="s">
        <v>1309</v>
      </c>
      <c r="D159" s="40">
        <v>509000</v>
      </c>
      <c r="E159" s="2" t="s">
        <v>295</v>
      </c>
      <c r="F159" s="145">
        <v>1618</v>
      </c>
      <c r="H159" s="2" t="s">
        <v>1310</v>
      </c>
      <c r="I159" s="72">
        <v>43779</v>
      </c>
      <c r="K159" s="2" t="s">
        <v>1311</v>
      </c>
    </row>
    <row r="160" spans="1:11">
      <c r="A160" s="2" t="s">
        <v>635</v>
      </c>
      <c r="B160" s="2" t="s">
        <v>43</v>
      </c>
      <c r="C160" s="2" t="s">
        <v>1309</v>
      </c>
      <c r="D160" s="40">
        <v>512000</v>
      </c>
      <c r="E160" s="2" t="s">
        <v>295</v>
      </c>
      <c r="F160" s="145">
        <v>1621</v>
      </c>
      <c r="H160" s="2" t="s">
        <v>1310</v>
      </c>
      <c r="I160" s="72">
        <v>43782</v>
      </c>
      <c r="K160" s="2" t="s">
        <v>1311</v>
      </c>
    </row>
    <row r="161" spans="1:11">
      <c r="A161" s="2" t="s">
        <v>636</v>
      </c>
      <c r="B161" s="2" t="s">
        <v>43</v>
      </c>
      <c r="C161" s="2" t="s">
        <v>1309</v>
      </c>
      <c r="D161" s="40">
        <v>515000</v>
      </c>
      <c r="E161" s="2" t="s">
        <v>295</v>
      </c>
      <c r="F161" s="145">
        <v>1624</v>
      </c>
      <c r="H161" s="2" t="s">
        <v>1310</v>
      </c>
      <c r="I161" s="72">
        <v>43785</v>
      </c>
      <c r="K161" s="2" t="s">
        <v>1311</v>
      </c>
    </row>
    <row r="162" spans="1:11">
      <c r="A162" s="2" t="s">
        <v>637</v>
      </c>
      <c r="B162" s="2" t="s">
        <v>43</v>
      </c>
      <c r="C162" s="2" t="s">
        <v>1309</v>
      </c>
      <c r="D162" s="40">
        <v>518000</v>
      </c>
      <c r="E162" s="2" t="s">
        <v>295</v>
      </c>
      <c r="F162" s="145">
        <v>1627</v>
      </c>
      <c r="H162" s="2" t="s">
        <v>1310</v>
      </c>
      <c r="I162" s="72">
        <v>43788</v>
      </c>
      <c r="K162" s="2" t="s">
        <v>1311</v>
      </c>
    </row>
    <row r="163" spans="1:11">
      <c r="A163" s="2" t="s">
        <v>638</v>
      </c>
      <c r="B163" s="2" t="s">
        <v>43</v>
      </c>
      <c r="C163" s="2" t="s">
        <v>1309</v>
      </c>
      <c r="D163" s="40">
        <v>521000</v>
      </c>
      <c r="E163" s="2" t="s">
        <v>295</v>
      </c>
      <c r="F163" s="145">
        <v>1630</v>
      </c>
      <c r="H163" s="2" t="s">
        <v>1310</v>
      </c>
      <c r="I163" s="72">
        <v>43791</v>
      </c>
      <c r="K163" s="2" t="s">
        <v>1311</v>
      </c>
    </row>
    <row r="164" spans="1:11">
      <c r="A164" s="2" t="s">
        <v>639</v>
      </c>
      <c r="B164" s="2" t="s">
        <v>43</v>
      </c>
      <c r="C164" s="2" t="s">
        <v>1309</v>
      </c>
      <c r="D164" s="40">
        <v>524000</v>
      </c>
      <c r="E164" s="2" t="s">
        <v>295</v>
      </c>
      <c r="F164" s="145">
        <v>1633</v>
      </c>
      <c r="H164" s="2" t="s">
        <v>1310</v>
      </c>
      <c r="I164" s="72">
        <v>43794</v>
      </c>
      <c r="K164" s="2" t="s">
        <v>1311</v>
      </c>
    </row>
    <row r="165" spans="1:11">
      <c r="A165" s="2" t="s">
        <v>640</v>
      </c>
      <c r="B165" s="2" t="s">
        <v>43</v>
      </c>
      <c r="C165" s="2" t="s">
        <v>1309</v>
      </c>
      <c r="D165" s="40">
        <v>527000</v>
      </c>
      <c r="E165" s="2" t="s">
        <v>295</v>
      </c>
      <c r="F165" s="145">
        <v>1636</v>
      </c>
      <c r="H165" s="2" t="s">
        <v>1310</v>
      </c>
      <c r="I165" s="72">
        <v>43797</v>
      </c>
      <c r="K165" s="2" t="s">
        <v>1311</v>
      </c>
    </row>
    <row r="166" spans="1:11">
      <c r="A166" s="2" t="s">
        <v>641</v>
      </c>
      <c r="B166" s="2" t="s">
        <v>43</v>
      </c>
      <c r="C166" s="2" t="s">
        <v>1309</v>
      </c>
      <c r="D166" s="40">
        <v>530000</v>
      </c>
      <c r="E166" s="2" t="s">
        <v>295</v>
      </c>
      <c r="F166" s="145">
        <v>1639</v>
      </c>
      <c r="H166" s="2" t="s">
        <v>1310</v>
      </c>
      <c r="I166" s="72">
        <v>43800</v>
      </c>
      <c r="K166" s="2" t="s">
        <v>1311</v>
      </c>
    </row>
    <row r="167" spans="1:11">
      <c r="A167" s="2" t="s">
        <v>642</v>
      </c>
      <c r="B167" s="2" t="s">
        <v>43</v>
      </c>
      <c r="C167" s="2" t="s">
        <v>1309</v>
      </c>
      <c r="D167" s="40">
        <v>533000</v>
      </c>
      <c r="E167" s="2" t="s">
        <v>295</v>
      </c>
      <c r="F167" s="145">
        <v>1642</v>
      </c>
      <c r="H167" s="2" t="s">
        <v>1310</v>
      </c>
      <c r="I167" s="72">
        <v>43803</v>
      </c>
      <c r="K167" s="2" t="s">
        <v>1311</v>
      </c>
    </row>
    <row r="168" spans="1:11">
      <c r="A168" s="2" t="s">
        <v>643</v>
      </c>
      <c r="B168" s="2" t="s">
        <v>43</v>
      </c>
      <c r="C168" s="2" t="s">
        <v>1309</v>
      </c>
      <c r="D168" s="40">
        <v>536000</v>
      </c>
      <c r="E168" s="2" t="s">
        <v>295</v>
      </c>
      <c r="F168" s="145">
        <v>1645</v>
      </c>
      <c r="H168" s="2" t="s">
        <v>1310</v>
      </c>
      <c r="I168" s="72">
        <v>43806</v>
      </c>
      <c r="K168" s="2" t="s">
        <v>1311</v>
      </c>
    </row>
    <row r="169" spans="1:11">
      <c r="A169" s="2" t="s">
        <v>644</v>
      </c>
      <c r="B169" s="2" t="s">
        <v>43</v>
      </c>
      <c r="C169" s="2" t="s">
        <v>1309</v>
      </c>
      <c r="D169" s="40">
        <v>539000</v>
      </c>
      <c r="E169" s="2" t="s">
        <v>295</v>
      </c>
      <c r="F169" s="145">
        <v>1648</v>
      </c>
      <c r="H169" s="2" t="s">
        <v>1310</v>
      </c>
      <c r="I169" s="72">
        <v>43809</v>
      </c>
      <c r="K169" s="2" t="s">
        <v>1311</v>
      </c>
    </row>
    <row r="170" spans="1:11">
      <c r="A170" s="2" t="s">
        <v>645</v>
      </c>
      <c r="B170" s="2" t="s">
        <v>43</v>
      </c>
      <c r="C170" s="2" t="s">
        <v>1309</v>
      </c>
      <c r="D170" s="40">
        <v>542000</v>
      </c>
      <c r="E170" s="2" t="s">
        <v>295</v>
      </c>
      <c r="F170" s="145">
        <v>1651</v>
      </c>
      <c r="H170" s="2" t="s">
        <v>1310</v>
      </c>
      <c r="I170" s="72">
        <v>43812</v>
      </c>
      <c r="K170" s="2" t="s">
        <v>1311</v>
      </c>
    </row>
    <row r="171" spans="1:11">
      <c r="A171" s="2" t="s">
        <v>646</v>
      </c>
      <c r="B171" s="2" t="s">
        <v>43</v>
      </c>
      <c r="C171" s="2" t="s">
        <v>1309</v>
      </c>
      <c r="D171" s="40">
        <v>545000</v>
      </c>
      <c r="E171" s="2" t="s">
        <v>295</v>
      </c>
      <c r="F171" s="145">
        <v>1654</v>
      </c>
      <c r="H171" s="2" t="s">
        <v>1310</v>
      </c>
      <c r="I171" s="72">
        <v>43815</v>
      </c>
      <c r="K171" s="2" t="s">
        <v>1311</v>
      </c>
    </row>
    <row r="172" spans="1:11">
      <c r="A172" s="2" t="s">
        <v>647</v>
      </c>
      <c r="B172" s="2" t="s">
        <v>43</v>
      </c>
      <c r="C172" s="2" t="s">
        <v>1309</v>
      </c>
      <c r="D172" s="40">
        <v>548000</v>
      </c>
      <c r="E172" s="2" t="s">
        <v>295</v>
      </c>
      <c r="F172" s="145">
        <v>1657</v>
      </c>
      <c r="H172" s="2" t="s">
        <v>1310</v>
      </c>
      <c r="I172" s="72">
        <v>43818</v>
      </c>
      <c r="K172" s="2" t="s">
        <v>1311</v>
      </c>
    </row>
    <row r="173" spans="1:11">
      <c r="A173" s="2" t="s">
        <v>648</v>
      </c>
      <c r="B173" s="2" t="s">
        <v>43</v>
      </c>
      <c r="C173" s="2" t="s">
        <v>1309</v>
      </c>
      <c r="D173" s="40">
        <v>551000</v>
      </c>
      <c r="E173" s="2" t="s">
        <v>295</v>
      </c>
      <c r="F173" s="145">
        <v>1660</v>
      </c>
      <c r="H173" s="2" t="s">
        <v>1310</v>
      </c>
      <c r="I173" s="72">
        <v>43821</v>
      </c>
      <c r="K173" s="2" t="s">
        <v>1311</v>
      </c>
    </row>
    <row r="174" spans="1:11">
      <c r="A174" s="2" t="s">
        <v>649</v>
      </c>
      <c r="B174" s="2" t="s">
        <v>43</v>
      </c>
      <c r="C174" s="2" t="s">
        <v>1309</v>
      </c>
      <c r="D174" s="40">
        <v>554000</v>
      </c>
      <c r="E174" s="2" t="s">
        <v>295</v>
      </c>
      <c r="F174" s="145">
        <v>1663</v>
      </c>
      <c r="H174" s="2" t="s">
        <v>1310</v>
      </c>
      <c r="I174" s="72">
        <v>43824</v>
      </c>
      <c r="K174" s="2" t="s">
        <v>1311</v>
      </c>
    </row>
    <row r="175" spans="1:11">
      <c r="A175" s="2" t="s">
        <v>650</v>
      </c>
      <c r="B175" s="2" t="s">
        <v>43</v>
      </c>
      <c r="C175" s="2" t="s">
        <v>1309</v>
      </c>
      <c r="D175" s="40">
        <v>557000</v>
      </c>
      <c r="E175" s="2" t="s">
        <v>295</v>
      </c>
      <c r="F175" s="145">
        <v>1666</v>
      </c>
      <c r="H175" s="2" t="s">
        <v>1310</v>
      </c>
      <c r="I175" s="72">
        <v>43827</v>
      </c>
      <c r="K175" s="2" t="s">
        <v>1311</v>
      </c>
    </row>
    <row r="176" spans="1:11">
      <c r="A176" s="2" t="s">
        <v>651</v>
      </c>
      <c r="B176" s="2" t="s">
        <v>43</v>
      </c>
      <c r="C176" s="2" t="s">
        <v>1309</v>
      </c>
      <c r="D176" s="40">
        <v>560000</v>
      </c>
      <c r="E176" s="2" t="s">
        <v>295</v>
      </c>
      <c r="F176" s="145">
        <v>1669</v>
      </c>
      <c r="H176" s="2" t="s">
        <v>1310</v>
      </c>
      <c r="I176" s="72">
        <v>43830</v>
      </c>
      <c r="K176" s="2" t="s">
        <v>1311</v>
      </c>
    </row>
    <row r="177" spans="1:11">
      <c r="A177" s="2" t="s">
        <v>50</v>
      </c>
      <c r="B177" s="2" t="s">
        <v>43</v>
      </c>
      <c r="C177" s="2" t="s">
        <v>1309</v>
      </c>
      <c r="D177" s="40">
        <v>563000</v>
      </c>
      <c r="E177" s="2" t="s">
        <v>295</v>
      </c>
      <c r="F177" s="145">
        <v>1672</v>
      </c>
      <c r="H177" s="2" t="s">
        <v>1310</v>
      </c>
      <c r="I177" s="72">
        <v>43833</v>
      </c>
      <c r="K177" s="2" t="s">
        <v>1311</v>
      </c>
    </row>
    <row r="178" spans="1:11">
      <c r="A178" s="2" t="s">
        <v>652</v>
      </c>
      <c r="B178" s="2" t="s">
        <v>43</v>
      </c>
      <c r="C178" s="2" t="s">
        <v>1309</v>
      </c>
      <c r="D178" s="40">
        <v>566000</v>
      </c>
      <c r="E178" s="2" t="s">
        <v>295</v>
      </c>
      <c r="F178" s="145">
        <v>1675</v>
      </c>
      <c r="H178" s="2" t="s">
        <v>1310</v>
      </c>
      <c r="I178" s="72">
        <v>43836</v>
      </c>
      <c r="K178" s="2" t="s">
        <v>1311</v>
      </c>
    </row>
    <row r="179" spans="1:11">
      <c r="A179" s="2" t="s">
        <v>653</v>
      </c>
      <c r="B179" s="2" t="s">
        <v>43</v>
      </c>
      <c r="C179" s="2" t="s">
        <v>1309</v>
      </c>
      <c r="D179" s="40">
        <v>569000</v>
      </c>
      <c r="E179" s="2" t="s">
        <v>295</v>
      </c>
      <c r="F179" s="145">
        <v>1678</v>
      </c>
      <c r="H179" s="2" t="s">
        <v>1310</v>
      </c>
      <c r="I179" s="72">
        <v>43839</v>
      </c>
      <c r="K179" s="2" t="s">
        <v>1311</v>
      </c>
    </row>
    <row r="180" spans="1:11">
      <c r="A180" s="2" t="s">
        <v>654</v>
      </c>
      <c r="B180" s="2" t="s">
        <v>43</v>
      </c>
      <c r="C180" s="2" t="s">
        <v>1309</v>
      </c>
      <c r="D180" s="40">
        <v>572000</v>
      </c>
      <c r="E180" s="2" t="s">
        <v>295</v>
      </c>
      <c r="F180" s="145">
        <v>1681</v>
      </c>
      <c r="H180" s="2" t="s">
        <v>1310</v>
      </c>
      <c r="I180" s="72">
        <v>43842</v>
      </c>
      <c r="K180" s="2" t="s">
        <v>1311</v>
      </c>
    </row>
    <row r="181" spans="1:11">
      <c r="A181" s="2" t="s">
        <v>655</v>
      </c>
      <c r="B181" s="2" t="s">
        <v>43</v>
      </c>
      <c r="C181" s="2" t="s">
        <v>1309</v>
      </c>
      <c r="D181" s="40">
        <v>575000</v>
      </c>
      <c r="E181" s="2" t="s">
        <v>295</v>
      </c>
      <c r="F181" s="145">
        <v>1684</v>
      </c>
      <c r="H181" s="2" t="s">
        <v>1310</v>
      </c>
      <c r="I181" s="72">
        <v>43845</v>
      </c>
      <c r="K181" s="2" t="s">
        <v>1311</v>
      </c>
    </row>
    <row r="182" spans="1:11">
      <c r="A182" s="2" t="s">
        <v>656</v>
      </c>
      <c r="B182" s="2" t="s">
        <v>43</v>
      </c>
      <c r="C182" s="2" t="s">
        <v>1309</v>
      </c>
      <c r="D182" s="40">
        <v>578000</v>
      </c>
      <c r="E182" s="2" t="s">
        <v>295</v>
      </c>
      <c r="F182" s="145">
        <v>1687</v>
      </c>
      <c r="H182" s="2" t="s">
        <v>1310</v>
      </c>
      <c r="I182" s="72">
        <v>43848</v>
      </c>
      <c r="K182" s="2" t="s">
        <v>1311</v>
      </c>
    </row>
    <row r="183" spans="1:11">
      <c r="A183" s="2" t="s">
        <v>657</v>
      </c>
      <c r="B183" s="2" t="s">
        <v>43</v>
      </c>
      <c r="C183" s="2" t="s">
        <v>1309</v>
      </c>
      <c r="D183" s="40">
        <v>581000</v>
      </c>
      <c r="E183" s="2" t="s">
        <v>295</v>
      </c>
      <c r="F183" s="145">
        <v>1690</v>
      </c>
      <c r="H183" s="2" t="s">
        <v>1310</v>
      </c>
      <c r="I183" s="72">
        <v>43851</v>
      </c>
      <c r="K183" s="2" t="s">
        <v>1311</v>
      </c>
    </row>
    <row r="184" spans="1:11">
      <c r="A184" s="2" t="s">
        <v>658</v>
      </c>
      <c r="B184" s="2" t="s">
        <v>43</v>
      </c>
      <c r="C184" s="2" t="s">
        <v>1309</v>
      </c>
      <c r="D184" s="40">
        <v>584000</v>
      </c>
      <c r="E184" s="2" t="s">
        <v>295</v>
      </c>
      <c r="F184" s="145">
        <v>1693</v>
      </c>
      <c r="H184" s="2" t="s">
        <v>1310</v>
      </c>
      <c r="I184" s="72">
        <v>43854</v>
      </c>
      <c r="K184" s="2" t="s">
        <v>1311</v>
      </c>
    </row>
    <row r="185" spans="1:11">
      <c r="A185" s="2" t="s">
        <v>659</v>
      </c>
      <c r="B185" s="2" t="s">
        <v>43</v>
      </c>
      <c r="C185" s="2" t="s">
        <v>1309</v>
      </c>
      <c r="D185" s="40">
        <v>587000</v>
      </c>
      <c r="E185" s="2" t="s">
        <v>295</v>
      </c>
      <c r="F185" s="145">
        <v>1696</v>
      </c>
      <c r="H185" s="2" t="s">
        <v>1310</v>
      </c>
      <c r="I185" s="72">
        <v>43857</v>
      </c>
      <c r="K185" s="2" t="s">
        <v>1311</v>
      </c>
    </row>
    <row r="186" spans="1:11">
      <c r="A186" s="2" t="s">
        <v>660</v>
      </c>
      <c r="B186" s="2" t="s">
        <v>43</v>
      </c>
      <c r="C186" s="2" t="s">
        <v>1309</v>
      </c>
      <c r="D186" s="40">
        <v>590000</v>
      </c>
      <c r="E186" s="2" t="s">
        <v>295</v>
      </c>
      <c r="F186" s="145">
        <v>1699</v>
      </c>
      <c r="H186" s="2" t="s">
        <v>1310</v>
      </c>
      <c r="I186" s="72">
        <v>43860</v>
      </c>
      <c r="K186" s="2" t="s">
        <v>1311</v>
      </c>
    </row>
    <row r="187" spans="1:11">
      <c r="A187" s="2" t="s">
        <v>661</v>
      </c>
      <c r="B187" s="2" t="s">
        <v>43</v>
      </c>
      <c r="C187" s="2" t="s">
        <v>1309</v>
      </c>
      <c r="D187" s="40">
        <v>593000</v>
      </c>
      <c r="E187" s="2" t="s">
        <v>295</v>
      </c>
      <c r="F187" s="145">
        <v>1702</v>
      </c>
      <c r="H187" s="2" t="s">
        <v>1310</v>
      </c>
      <c r="I187" s="72">
        <v>43863</v>
      </c>
      <c r="K187" s="2" t="s">
        <v>1311</v>
      </c>
    </row>
    <row r="188" spans="1:11">
      <c r="A188" s="2" t="s">
        <v>662</v>
      </c>
      <c r="B188" s="2" t="s">
        <v>43</v>
      </c>
      <c r="C188" s="2" t="s">
        <v>1309</v>
      </c>
      <c r="D188" s="40">
        <v>596000</v>
      </c>
      <c r="E188" s="2" t="s">
        <v>295</v>
      </c>
      <c r="F188" s="145">
        <v>1705</v>
      </c>
      <c r="H188" s="2" t="s">
        <v>1310</v>
      </c>
      <c r="I188" s="72">
        <v>43866</v>
      </c>
      <c r="K188" s="2" t="s">
        <v>1311</v>
      </c>
    </row>
    <row r="189" spans="1:11">
      <c r="A189" s="2" t="s">
        <v>663</v>
      </c>
      <c r="B189" s="2" t="s">
        <v>43</v>
      </c>
      <c r="C189" s="2" t="s">
        <v>1309</v>
      </c>
      <c r="D189" s="40">
        <v>599000</v>
      </c>
      <c r="E189" s="2" t="s">
        <v>295</v>
      </c>
      <c r="F189" s="145">
        <v>1708</v>
      </c>
      <c r="H189" s="2" t="s">
        <v>1310</v>
      </c>
      <c r="I189" s="72">
        <v>43869</v>
      </c>
      <c r="K189" s="2" t="s">
        <v>1311</v>
      </c>
    </row>
    <row r="190" spans="1:11">
      <c r="A190" s="2" t="s">
        <v>664</v>
      </c>
      <c r="B190" s="2" t="s">
        <v>43</v>
      </c>
      <c r="C190" s="2" t="s">
        <v>1309</v>
      </c>
      <c r="D190" s="40">
        <v>602000</v>
      </c>
      <c r="E190" s="2" t="s">
        <v>295</v>
      </c>
      <c r="F190" s="145">
        <v>1711</v>
      </c>
      <c r="H190" s="2" t="s">
        <v>1310</v>
      </c>
      <c r="I190" s="72">
        <v>43872</v>
      </c>
      <c r="K190" s="2" t="s">
        <v>1311</v>
      </c>
    </row>
    <row r="191" spans="1:11">
      <c r="A191" s="2" t="s">
        <v>665</v>
      </c>
      <c r="B191" s="2" t="s">
        <v>43</v>
      </c>
      <c r="C191" s="2" t="s">
        <v>1309</v>
      </c>
      <c r="D191" s="40">
        <v>605000</v>
      </c>
      <c r="E191" s="2" t="s">
        <v>295</v>
      </c>
      <c r="F191" s="145">
        <v>1714</v>
      </c>
      <c r="H191" s="2" t="s">
        <v>1310</v>
      </c>
      <c r="I191" s="72">
        <v>43875</v>
      </c>
      <c r="K191" s="2" t="s">
        <v>1311</v>
      </c>
    </row>
    <row r="192" spans="1:11">
      <c r="A192" s="2" t="s">
        <v>666</v>
      </c>
      <c r="B192" s="2" t="s">
        <v>43</v>
      </c>
      <c r="C192" s="2" t="s">
        <v>1309</v>
      </c>
      <c r="D192" s="40">
        <v>608000</v>
      </c>
      <c r="E192" s="2" t="s">
        <v>295</v>
      </c>
      <c r="F192" s="145">
        <v>1717</v>
      </c>
      <c r="H192" s="2" t="s">
        <v>1310</v>
      </c>
      <c r="I192" s="72">
        <v>43878</v>
      </c>
      <c r="K192" s="2" t="s">
        <v>1311</v>
      </c>
    </row>
    <row r="193" spans="1:11">
      <c r="A193" s="2" t="s">
        <v>667</v>
      </c>
      <c r="B193" s="2" t="s">
        <v>43</v>
      </c>
      <c r="C193" s="2" t="s">
        <v>1309</v>
      </c>
      <c r="D193" s="40">
        <v>611000</v>
      </c>
      <c r="E193" s="2" t="s">
        <v>295</v>
      </c>
      <c r="F193" s="145">
        <v>1720</v>
      </c>
      <c r="H193" s="2" t="s">
        <v>1310</v>
      </c>
      <c r="I193" s="72">
        <v>43881</v>
      </c>
      <c r="K193" s="2" t="s">
        <v>1311</v>
      </c>
    </row>
    <row r="194" spans="1:11">
      <c r="A194" s="2" t="s">
        <v>668</v>
      </c>
      <c r="B194" s="2" t="s">
        <v>43</v>
      </c>
      <c r="C194" s="2" t="s">
        <v>1309</v>
      </c>
      <c r="D194" s="40">
        <v>614000</v>
      </c>
      <c r="E194" s="2" t="s">
        <v>295</v>
      </c>
      <c r="F194" s="145">
        <v>1723</v>
      </c>
      <c r="H194" s="2" t="s">
        <v>1310</v>
      </c>
      <c r="I194" s="72">
        <v>43884</v>
      </c>
      <c r="K194" s="2" t="s">
        <v>1311</v>
      </c>
    </row>
    <row r="195" spans="1:11">
      <c r="A195" s="2" t="s">
        <v>669</v>
      </c>
      <c r="B195" s="2" t="s">
        <v>43</v>
      </c>
      <c r="C195" s="2" t="s">
        <v>1309</v>
      </c>
      <c r="D195" s="40">
        <v>617000</v>
      </c>
      <c r="E195" s="2" t="s">
        <v>295</v>
      </c>
      <c r="F195" s="145">
        <v>1726</v>
      </c>
      <c r="H195" s="2" t="s">
        <v>1310</v>
      </c>
      <c r="I195" s="72">
        <v>43887</v>
      </c>
      <c r="K195" s="2" t="s">
        <v>1311</v>
      </c>
    </row>
    <row r="196" spans="1:11">
      <c r="A196" s="2" t="s">
        <v>670</v>
      </c>
      <c r="B196" s="2" t="s">
        <v>43</v>
      </c>
      <c r="C196" s="2" t="s">
        <v>1309</v>
      </c>
      <c r="D196" s="40">
        <v>620000</v>
      </c>
      <c r="E196" s="2" t="s">
        <v>295</v>
      </c>
      <c r="F196" s="145">
        <v>1729</v>
      </c>
      <c r="H196" s="2" t="s">
        <v>1310</v>
      </c>
      <c r="I196" s="72">
        <v>43890</v>
      </c>
      <c r="K196" s="2" t="s">
        <v>1311</v>
      </c>
    </row>
    <row r="197" spans="1:11">
      <c r="A197" s="2" t="s">
        <v>671</v>
      </c>
      <c r="B197" s="2" t="s">
        <v>43</v>
      </c>
      <c r="C197" s="2" t="s">
        <v>1309</v>
      </c>
      <c r="D197" s="40">
        <v>623000</v>
      </c>
      <c r="E197" s="2" t="s">
        <v>295</v>
      </c>
      <c r="F197" s="145">
        <v>1732</v>
      </c>
      <c r="H197" s="2" t="s">
        <v>1310</v>
      </c>
      <c r="I197" s="72">
        <v>43893</v>
      </c>
      <c r="K197" s="2" t="s">
        <v>1311</v>
      </c>
    </row>
    <row r="198" spans="1:11">
      <c r="A198" s="2" t="s">
        <v>672</v>
      </c>
      <c r="B198" s="2" t="s">
        <v>43</v>
      </c>
      <c r="C198" s="2" t="s">
        <v>1309</v>
      </c>
      <c r="D198" s="40">
        <v>626000</v>
      </c>
      <c r="E198" s="2" t="s">
        <v>295</v>
      </c>
      <c r="F198" s="145">
        <v>1735</v>
      </c>
      <c r="H198" s="2" t="s">
        <v>1310</v>
      </c>
      <c r="I198" s="72">
        <v>43896</v>
      </c>
      <c r="K198" s="2" t="s">
        <v>1311</v>
      </c>
    </row>
    <row r="199" spans="1:11">
      <c r="A199" s="2" t="s">
        <v>673</v>
      </c>
      <c r="B199" s="2" t="s">
        <v>43</v>
      </c>
      <c r="C199" s="2" t="s">
        <v>1309</v>
      </c>
      <c r="D199" s="40">
        <v>629000</v>
      </c>
      <c r="E199" s="2" t="s">
        <v>295</v>
      </c>
      <c r="F199" s="145">
        <v>1738</v>
      </c>
      <c r="H199" s="2" t="s">
        <v>1310</v>
      </c>
      <c r="I199" s="72">
        <v>43899</v>
      </c>
      <c r="K199" s="2" t="s">
        <v>1311</v>
      </c>
    </row>
    <row r="200" spans="1:11">
      <c r="A200" s="2" t="s">
        <v>674</v>
      </c>
      <c r="B200" s="2" t="s">
        <v>43</v>
      </c>
      <c r="C200" s="2" t="s">
        <v>1309</v>
      </c>
      <c r="D200" s="40">
        <v>632000</v>
      </c>
      <c r="E200" s="2" t="s">
        <v>295</v>
      </c>
      <c r="F200" s="145">
        <v>1741</v>
      </c>
      <c r="H200" s="2" t="s">
        <v>1310</v>
      </c>
      <c r="I200" s="72">
        <v>43902</v>
      </c>
      <c r="K200" s="2" t="s">
        <v>1311</v>
      </c>
    </row>
    <row r="201" spans="1:11">
      <c r="A201" s="2" t="s">
        <v>675</v>
      </c>
      <c r="B201" s="2" t="s">
        <v>43</v>
      </c>
      <c r="C201" s="2" t="s">
        <v>1309</v>
      </c>
      <c r="D201" s="40">
        <v>635000</v>
      </c>
      <c r="E201" s="2" t="s">
        <v>295</v>
      </c>
      <c r="F201" s="145">
        <v>1744</v>
      </c>
      <c r="H201" s="2" t="s">
        <v>1310</v>
      </c>
      <c r="I201" s="72">
        <v>43905</v>
      </c>
      <c r="K201" s="2" t="s">
        <v>1311</v>
      </c>
    </row>
    <row r="202" spans="1:11">
      <c r="A202" s="2" t="s">
        <v>676</v>
      </c>
      <c r="B202" s="2" t="s">
        <v>43</v>
      </c>
      <c r="C202" s="2" t="s">
        <v>1309</v>
      </c>
      <c r="D202" s="40">
        <v>638000</v>
      </c>
      <c r="E202" s="2" t="s">
        <v>295</v>
      </c>
      <c r="F202" s="145">
        <v>1747</v>
      </c>
      <c r="H202" s="2" t="s">
        <v>1310</v>
      </c>
      <c r="I202" s="72">
        <v>43908</v>
      </c>
      <c r="K202" s="2" t="s">
        <v>1311</v>
      </c>
    </row>
    <row r="203" spans="1:11">
      <c r="A203" s="2" t="s">
        <v>677</v>
      </c>
      <c r="B203" s="2" t="s">
        <v>43</v>
      </c>
      <c r="C203" s="2" t="s">
        <v>1309</v>
      </c>
      <c r="D203" s="40">
        <v>641000</v>
      </c>
      <c r="E203" s="2" t="s">
        <v>295</v>
      </c>
      <c r="F203" s="145">
        <v>1750</v>
      </c>
      <c r="H203" s="2" t="s">
        <v>1310</v>
      </c>
      <c r="I203" s="72">
        <v>43911</v>
      </c>
      <c r="K203" s="2" t="s">
        <v>1311</v>
      </c>
    </row>
    <row r="204" spans="1:11">
      <c r="A204" s="2" t="s">
        <v>678</v>
      </c>
      <c r="B204" s="2" t="s">
        <v>43</v>
      </c>
      <c r="C204" s="2" t="s">
        <v>1309</v>
      </c>
      <c r="D204" s="40">
        <v>644000</v>
      </c>
      <c r="E204" s="2" t="s">
        <v>295</v>
      </c>
      <c r="F204" s="145">
        <v>1753</v>
      </c>
      <c r="H204" s="2" t="s">
        <v>1310</v>
      </c>
      <c r="I204" s="72">
        <v>43914</v>
      </c>
      <c r="K204" s="2" t="s">
        <v>1311</v>
      </c>
    </row>
    <row r="205" spans="1:11">
      <c r="A205" s="2" t="s">
        <v>679</v>
      </c>
      <c r="B205" s="2" t="s">
        <v>43</v>
      </c>
      <c r="C205" s="2" t="s">
        <v>1309</v>
      </c>
      <c r="D205" s="40">
        <v>647000</v>
      </c>
      <c r="E205" s="2" t="s">
        <v>295</v>
      </c>
      <c r="F205" s="145">
        <v>1756</v>
      </c>
      <c r="H205" s="2" t="s">
        <v>1310</v>
      </c>
      <c r="I205" s="72">
        <v>43917</v>
      </c>
      <c r="K205" s="2" t="s">
        <v>1311</v>
      </c>
    </row>
    <row r="206" spans="1:11">
      <c r="A206" s="2" t="s">
        <v>680</v>
      </c>
      <c r="B206" s="2" t="s">
        <v>43</v>
      </c>
      <c r="C206" s="2" t="s">
        <v>1309</v>
      </c>
      <c r="D206" s="40">
        <v>650000</v>
      </c>
      <c r="E206" s="2" t="s">
        <v>295</v>
      </c>
      <c r="F206" s="145">
        <v>1759</v>
      </c>
      <c r="H206" s="2" t="s">
        <v>1310</v>
      </c>
      <c r="I206" s="72">
        <v>43920</v>
      </c>
      <c r="K206" s="2" t="s">
        <v>1311</v>
      </c>
    </row>
    <row r="207" spans="1:11">
      <c r="A207" s="2" t="s">
        <v>681</v>
      </c>
      <c r="B207" s="2" t="s">
        <v>43</v>
      </c>
      <c r="C207" s="2" t="s">
        <v>1309</v>
      </c>
      <c r="D207" s="40">
        <v>653000</v>
      </c>
      <c r="E207" s="2" t="s">
        <v>295</v>
      </c>
      <c r="F207" s="145">
        <v>1762</v>
      </c>
      <c r="H207" s="2" t="s">
        <v>1310</v>
      </c>
      <c r="I207" s="72">
        <v>43923</v>
      </c>
      <c r="K207" s="2" t="s">
        <v>1311</v>
      </c>
    </row>
    <row r="208" spans="1:11">
      <c r="A208" s="2" t="s">
        <v>682</v>
      </c>
      <c r="B208" s="2" t="s">
        <v>43</v>
      </c>
      <c r="C208" s="2" t="s">
        <v>1309</v>
      </c>
      <c r="D208" s="40">
        <v>656000</v>
      </c>
      <c r="E208" s="2" t="s">
        <v>295</v>
      </c>
      <c r="F208" s="145">
        <v>1765</v>
      </c>
      <c r="H208" s="2" t="s">
        <v>1310</v>
      </c>
      <c r="I208" s="72">
        <v>43926</v>
      </c>
      <c r="K208" s="2" t="s">
        <v>1311</v>
      </c>
    </row>
    <row r="209" spans="1:11">
      <c r="A209" s="2" t="s">
        <v>683</v>
      </c>
      <c r="B209" s="2" t="s">
        <v>43</v>
      </c>
      <c r="C209" s="2" t="s">
        <v>1309</v>
      </c>
      <c r="D209" s="40">
        <v>659000</v>
      </c>
      <c r="E209" s="2" t="s">
        <v>295</v>
      </c>
      <c r="F209" s="145">
        <v>1768</v>
      </c>
      <c r="H209" s="2" t="s">
        <v>1310</v>
      </c>
      <c r="I209" s="72">
        <v>43929</v>
      </c>
      <c r="K209" s="2" t="s">
        <v>1311</v>
      </c>
    </row>
    <row r="210" spans="1:11">
      <c r="A210" s="2" t="s">
        <v>684</v>
      </c>
      <c r="B210" s="2" t="s">
        <v>43</v>
      </c>
      <c r="C210" s="2" t="s">
        <v>1309</v>
      </c>
      <c r="D210" s="40">
        <v>662000</v>
      </c>
      <c r="E210" s="2" t="s">
        <v>295</v>
      </c>
      <c r="F210" s="145">
        <v>1771</v>
      </c>
      <c r="H210" s="2" t="s">
        <v>1310</v>
      </c>
      <c r="I210" s="72">
        <v>43932</v>
      </c>
      <c r="K210" s="2" t="s">
        <v>1311</v>
      </c>
    </row>
    <row r="211" spans="1:11">
      <c r="A211" s="2" t="s">
        <v>685</v>
      </c>
      <c r="B211" s="2" t="s">
        <v>43</v>
      </c>
      <c r="C211" s="2" t="s">
        <v>1309</v>
      </c>
      <c r="D211" s="40">
        <v>665000</v>
      </c>
      <c r="E211" s="2" t="s">
        <v>295</v>
      </c>
      <c r="F211" s="145">
        <v>1774</v>
      </c>
      <c r="H211" s="2" t="s">
        <v>1310</v>
      </c>
      <c r="I211" s="72">
        <v>43935</v>
      </c>
      <c r="K211" s="2" t="s">
        <v>1311</v>
      </c>
    </row>
    <row r="212" spans="1:11">
      <c r="A212" s="2" t="s">
        <v>686</v>
      </c>
      <c r="B212" s="2" t="s">
        <v>43</v>
      </c>
      <c r="C212" s="2" t="s">
        <v>1309</v>
      </c>
      <c r="D212" s="40">
        <v>668000</v>
      </c>
      <c r="E212" s="2" t="s">
        <v>295</v>
      </c>
      <c r="F212" s="145">
        <v>1777</v>
      </c>
      <c r="H212" s="2" t="s">
        <v>1310</v>
      </c>
      <c r="I212" s="72">
        <v>43938</v>
      </c>
      <c r="K212" s="2" t="s">
        <v>1311</v>
      </c>
    </row>
    <row r="213" spans="1:11">
      <c r="A213" s="2" t="s">
        <v>687</v>
      </c>
      <c r="B213" s="2" t="s">
        <v>43</v>
      </c>
      <c r="C213" s="2" t="s">
        <v>1309</v>
      </c>
      <c r="D213" s="40">
        <v>671000</v>
      </c>
      <c r="E213" s="2" t="s">
        <v>295</v>
      </c>
      <c r="F213" s="145">
        <v>1780</v>
      </c>
      <c r="H213" s="2" t="s">
        <v>1310</v>
      </c>
      <c r="I213" s="72">
        <v>43941</v>
      </c>
      <c r="K213" s="2" t="s">
        <v>1311</v>
      </c>
    </row>
    <row r="214" spans="1:11">
      <c r="A214" s="2" t="s">
        <v>688</v>
      </c>
      <c r="B214" s="2" t="s">
        <v>43</v>
      </c>
      <c r="C214" s="2" t="s">
        <v>1309</v>
      </c>
      <c r="D214" s="40">
        <v>674000</v>
      </c>
      <c r="E214" s="2" t="s">
        <v>295</v>
      </c>
      <c r="F214" s="145">
        <v>1783</v>
      </c>
      <c r="H214" s="2" t="s">
        <v>1310</v>
      </c>
      <c r="I214" s="72">
        <v>43944</v>
      </c>
      <c r="K214" s="2" t="s">
        <v>1311</v>
      </c>
    </row>
    <row r="215" spans="1:11">
      <c r="A215" s="2" t="s">
        <v>689</v>
      </c>
      <c r="B215" s="2" t="s">
        <v>43</v>
      </c>
      <c r="C215" s="2" t="s">
        <v>1309</v>
      </c>
      <c r="D215" s="40">
        <v>677000</v>
      </c>
      <c r="E215" s="2" t="s">
        <v>295</v>
      </c>
      <c r="F215" s="145">
        <v>1786</v>
      </c>
      <c r="H215" s="2" t="s">
        <v>1310</v>
      </c>
      <c r="I215" s="72">
        <v>43947</v>
      </c>
      <c r="K215" s="2" t="s">
        <v>1311</v>
      </c>
    </row>
    <row r="216" spans="1:11">
      <c r="A216" s="2" t="s">
        <v>690</v>
      </c>
      <c r="B216" s="2" t="s">
        <v>43</v>
      </c>
      <c r="C216" s="2" t="s">
        <v>1309</v>
      </c>
      <c r="D216" s="40">
        <v>680000</v>
      </c>
      <c r="E216" s="2" t="s">
        <v>295</v>
      </c>
      <c r="F216" s="145">
        <v>1789</v>
      </c>
      <c r="H216" s="2" t="s">
        <v>1310</v>
      </c>
      <c r="I216" s="72">
        <v>43950</v>
      </c>
      <c r="K216" s="2" t="s">
        <v>1311</v>
      </c>
    </row>
    <row r="217" spans="1:11">
      <c r="A217" s="2" t="s">
        <v>691</v>
      </c>
      <c r="B217" s="2" t="s">
        <v>43</v>
      </c>
      <c r="C217" s="2" t="s">
        <v>1309</v>
      </c>
      <c r="D217" s="40">
        <v>683000</v>
      </c>
      <c r="E217" s="2" t="s">
        <v>295</v>
      </c>
      <c r="F217" s="145">
        <v>1792</v>
      </c>
      <c r="H217" s="2" t="s">
        <v>1310</v>
      </c>
      <c r="I217" s="72">
        <v>43953</v>
      </c>
      <c r="K217" s="2" t="s">
        <v>1311</v>
      </c>
    </row>
    <row r="218" spans="1:11">
      <c r="A218" s="2" t="s">
        <v>692</v>
      </c>
      <c r="B218" s="2" t="s">
        <v>43</v>
      </c>
      <c r="C218" s="2" t="s">
        <v>1309</v>
      </c>
      <c r="D218" s="40">
        <v>686000</v>
      </c>
      <c r="E218" s="2" t="s">
        <v>295</v>
      </c>
      <c r="F218" s="145">
        <v>1795</v>
      </c>
      <c r="H218" s="2" t="s">
        <v>1310</v>
      </c>
      <c r="I218" s="72">
        <v>43956</v>
      </c>
      <c r="K218" s="2" t="s">
        <v>1311</v>
      </c>
    </row>
    <row r="219" spans="1:11">
      <c r="A219" s="2" t="s">
        <v>693</v>
      </c>
      <c r="B219" s="2" t="s">
        <v>43</v>
      </c>
      <c r="C219" s="2" t="s">
        <v>1309</v>
      </c>
      <c r="D219" s="40">
        <v>689000</v>
      </c>
      <c r="E219" s="2" t="s">
        <v>295</v>
      </c>
      <c r="F219" s="145">
        <v>1798</v>
      </c>
      <c r="H219" s="2" t="s">
        <v>1310</v>
      </c>
      <c r="I219" s="72">
        <v>43959</v>
      </c>
      <c r="K219" s="2" t="s">
        <v>1311</v>
      </c>
    </row>
    <row r="220" spans="1:11">
      <c r="A220" s="2" t="s">
        <v>694</v>
      </c>
      <c r="B220" s="2" t="s">
        <v>43</v>
      </c>
      <c r="C220" s="2" t="s">
        <v>1309</v>
      </c>
      <c r="D220" s="40">
        <v>692000</v>
      </c>
      <c r="E220" s="2" t="s">
        <v>295</v>
      </c>
      <c r="F220" s="145">
        <v>1801</v>
      </c>
      <c r="H220" s="2" t="s">
        <v>1310</v>
      </c>
      <c r="I220" s="72">
        <v>43962</v>
      </c>
      <c r="K220" s="2" t="s">
        <v>1311</v>
      </c>
    </row>
    <row r="221" spans="1:11">
      <c r="A221" s="2" t="s">
        <v>695</v>
      </c>
      <c r="B221" s="2" t="s">
        <v>43</v>
      </c>
      <c r="C221" s="2" t="s">
        <v>1309</v>
      </c>
      <c r="D221" s="40">
        <v>695000</v>
      </c>
      <c r="E221" s="2" t="s">
        <v>295</v>
      </c>
      <c r="F221" s="145">
        <v>1804</v>
      </c>
      <c r="H221" s="2" t="s">
        <v>1310</v>
      </c>
      <c r="I221" s="72">
        <v>43965</v>
      </c>
      <c r="K221" s="2" t="s">
        <v>1311</v>
      </c>
    </row>
    <row r="222" spans="1:11">
      <c r="A222" s="2" t="s">
        <v>696</v>
      </c>
      <c r="B222" s="2" t="s">
        <v>43</v>
      </c>
      <c r="C222" s="2" t="s">
        <v>1309</v>
      </c>
      <c r="D222" s="40">
        <v>698000</v>
      </c>
      <c r="E222" s="2" t="s">
        <v>295</v>
      </c>
      <c r="F222" s="145">
        <v>1807</v>
      </c>
      <c r="H222" s="2" t="s">
        <v>1310</v>
      </c>
      <c r="I222" s="72">
        <v>43968</v>
      </c>
      <c r="K222" s="2" t="s">
        <v>1311</v>
      </c>
    </row>
    <row r="223" spans="1:11">
      <c r="A223" s="2" t="s">
        <v>697</v>
      </c>
      <c r="B223" s="2" t="s">
        <v>43</v>
      </c>
      <c r="C223" s="2" t="s">
        <v>1309</v>
      </c>
      <c r="D223" s="40">
        <v>701000</v>
      </c>
      <c r="E223" s="2" t="s">
        <v>295</v>
      </c>
      <c r="F223" s="145">
        <v>1810</v>
      </c>
      <c r="H223" s="2" t="s">
        <v>1310</v>
      </c>
      <c r="I223" s="72">
        <v>43971</v>
      </c>
      <c r="K223" s="2" t="s">
        <v>1311</v>
      </c>
    </row>
    <row r="224" spans="1:11">
      <c r="A224" s="2" t="s">
        <v>698</v>
      </c>
      <c r="B224" s="2" t="s">
        <v>43</v>
      </c>
      <c r="C224" s="2" t="s">
        <v>1309</v>
      </c>
      <c r="D224" s="40">
        <v>704000</v>
      </c>
      <c r="E224" s="2" t="s">
        <v>295</v>
      </c>
      <c r="F224" s="145">
        <v>1813</v>
      </c>
      <c r="H224" s="2" t="s">
        <v>1310</v>
      </c>
      <c r="I224" s="72">
        <v>43974</v>
      </c>
      <c r="K224" s="2" t="s">
        <v>1311</v>
      </c>
    </row>
    <row r="225" spans="1:11">
      <c r="A225" s="2" t="s">
        <v>699</v>
      </c>
      <c r="B225" s="2" t="s">
        <v>43</v>
      </c>
      <c r="C225" s="2" t="s">
        <v>1309</v>
      </c>
      <c r="D225" s="40">
        <v>707000</v>
      </c>
      <c r="E225" s="2" t="s">
        <v>295</v>
      </c>
      <c r="F225" s="145">
        <v>1816</v>
      </c>
      <c r="H225" s="2" t="s">
        <v>1310</v>
      </c>
      <c r="I225" s="72">
        <v>43977</v>
      </c>
      <c r="K225" s="2" t="s">
        <v>1311</v>
      </c>
    </row>
    <row r="226" spans="1:11">
      <c r="A226" s="2" t="s">
        <v>700</v>
      </c>
      <c r="B226" s="2" t="s">
        <v>43</v>
      </c>
      <c r="C226" s="2" t="s">
        <v>1309</v>
      </c>
      <c r="D226" s="40">
        <v>710000</v>
      </c>
      <c r="E226" s="2" t="s">
        <v>295</v>
      </c>
      <c r="F226" s="145">
        <v>1819</v>
      </c>
      <c r="H226" s="2" t="s">
        <v>1310</v>
      </c>
      <c r="I226" s="72">
        <v>43980</v>
      </c>
      <c r="K226" s="2" t="s">
        <v>1311</v>
      </c>
    </row>
    <row r="227" spans="1:11">
      <c r="A227" s="2" t="s">
        <v>701</v>
      </c>
      <c r="B227" s="2" t="s">
        <v>43</v>
      </c>
      <c r="C227" s="2" t="s">
        <v>1309</v>
      </c>
      <c r="D227" s="40">
        <v>713000</v>
      </c>
      <c r="E227" s="2" t="s">
        <v>295</v>
      </c>
      <c r="F227" s="145">
        <v>1822</v>
      </c>
      <c r="H227" s="2" t="s">
        <v>1310</v>
      </c>
      <c r="I227" s="72">
        <v>43983</v>
      </c>
      <c r="K227" s="2" t="s">
        <v>1311</v>
      </c>
    </row>
    <row r="228" spans="1:11">
      <c r="A228" s="2" t="s">
        <v>702</v>
      </c>
      <c r="B228" s="2" t="s">
        <v>43</v>
      </c>
      <c r="C228" s="2" t="s">
        <v>1309</v>
      </c>
      <c r="D228" s="40">
        <v>716000</v>
      </c>
      <c r="E228" s="2" t="s">
        <v>295</v>
      </c>
      <c r="F228" s="145">
        <v>1825</v>
      </c>
      <c r="H228" s="2" t="s">
        <v>1310</v>
      </c>
      <c r="I228" s="72">
        <v>43986</v>
      </c>
      <c r="K228" s="2" t="s">
        <v>1311</v>
      </c>
    </row>
    <row r="229" spans="1:11">
      <c r="A229" s="2" t="s">
        <v>703</v>
      </c>
      <c r="B229" s="2" t="s">
        <v>43</v>
      </c>
      <c r="C229" s="2" t="s">
        <v>1309</v>
      </c>
      <c r="D229" s="40">
        <v>719000</v>
      </c>
      <c r="E229" s="2" t="s">
        <v>295</v>
      </c>
      <c r="F229" s="145">
        <v>1828</v>
      </c>
      <c r="H229" s="2" t="s">
        <v>1310</v>
      </c>
      <c r="I229" s="72">
        <v>43989</v>
      </c>
      <c r="K229" s="2" t="s">
        <v>1311</v>
      </c>
    </row>
    <row r="230" spans="1:11">
      <c r="A230" s="2" t="s">
        <v>704</v>
      </c>
      <c r="B230" s="2" t="s">
        <v>43</v>
      </c>
      <c r="C230" s="2" t="s">
        <v>1309</v>
      </c>
      <c r="D230" s="40">
        <v>722000</v>
      </c>
      <c r="E230" s="2" t="s">
        <v>295</v>
      </c>
      <c r="F230" s="145">
        <v>1831</v>
      </c>
      <c r="H230" s="2" t="s">
        <v>1310</v>
      </c>
      <c r="I230" s="72">
        <v>43992</v>
      </c>
      <c r="K230" s="2" t="s">
        <v>1311</v>
      </c>
    </row>
    <row r="231" spans="1:11">
      <c r="A231" s="2" t="s">
        <v>705</v>
      </c>
      <c r="B231" s="2" t="s">
        <v>43</v>
      </c>
      <c r="C231" s="2" t="s">
        <v>1309</v>
      </c>
      <c r="D231" s="40">
        <v>725000</v>
      </c>
      <c r="E231" s="2" t="s">
        <v>295</v>
      </c>
      <c r="F231" s="145">
        <v>1834</v>
      </c>
      <c r="H231" s="2" t="s">
        <v>1310</v>
      </c>
      <c r="I231" s="72">
        <v>43995</v>
      </c>
      <c r="K231" s="2" t="s">
        <v>1311</v>
      </c>
    </row>
    <row r="232" spans="1:11">
      <c r="A232" s="2" t="s">
        <v>706</v>
      </c>
      <c r="B232" s="2" t="s">
        <v>43</v>
      </c>
      <c r="C232" s="2" t="s">
        <v>1309</v>
      </c>
      <c r="D232" s="40">
        <v>728000</v>
      </c>
      <c r="E232" s="2" t="s">
        <v>295</v>
      </c>
      <c r="F232" s="145">
        <v>1837</v>
      </c>
      <c r="H232" s="2" t="s">
        <v>1310</v>
      </c>
      <c r="I232" s="72">
        <v>43998</v>
      </c>
      <c r="K232" s="2" t="s">
        <v>1311</v>
      </c>
    </row>
    <row r="233" spans="1:11">
      <c r="A233" s="2" t="s">
        <v>707</v>
      </c>
      <c r="B233" s="2" t="s">
        <v>43</v>
      </c>
      <c r="C233" s="2" t="s">
        <v>1309</v>
      </c>
      <c r="D233" s="40">
        <v>731000</v>
      </c>
      <c r="E233" s="2" t="s">
        <v>295</v>
      </c>
      <c r="F233" s="145">
        <v>1840</v>
      </c>
      <c r="H233" s="2" t="s">
        <v>1310</v>
      </c>
      <c r="I233" s="72">
        <v>44001</v>
      </c>
      <c r="K233" s="2" t="s">
        <v>1311</v>
      </c>
    </row>
    <row r="234" spans="1:11">
      <c r="A234" s="2" t="s">
        <v>708</v>
      </c>
      <c r="B234" s="2" t="s">
        <v>43</v>
      </c>
      <c r="C234" s="2" t="s">
        <v>1309</v>
      </c>
      <c r="D234" s="40">
        <v>734000</v>
      </c>
      <c r="E234" s="2" t="s">
        <v>295</v>
      </c>
      <c r="F234" s="145">
        <v>1843</v>
      </c>
      <c r="H234" s="2" t="s">
        <v>1310</v>
      </c>
      <c r="I234" s="72">
        <v>44004</v>
      </c>
      <c r="K234" s="2" t="s">
        <v>1311</v>
      </c>
    </row>
    <row r="235" spans="1:11">
      <c r="A235" s="2" t="s">
        <v>709</v>
      </c>
      <c r="B235" s="2" t="s">
        <v>43</v>
      </c>
      <c r="C235" s="2" t="s">
        <v>1309</v>
      </c>
      <c r="D235" s="40">
        <v>737000</v>
      </c>
      <c r="E235" s="2" t="s">
        <v>295</v>
      </c>
      <c r="F235" s="145">
        <v>1846</v>
      </c>
      <c r="H235" s="2" t="s">
        <v>1310</v>
      </c>
      <c r="I235" s="72">
        <v>44007</v>
      </c>
      <c r="K235" s="2" t="s">
        <v>1311</v>
      </c>
    </row>
    <row r="236" spans="1:11">
      <c r="A236" s="2" t="s">
        <v>710</v>
      </c>
      <c r="B236" s="2" t="s">
        <v>43</v>
      </c>
      <c r="C236" s="2" t="s">
        <v>1309</v>
      </c>
      <c r="D236" s="40">
        <v>740000</v>
      </c>
      <c r="E236" s="2" t="s">
        <v>295</v>
      </c>
      <c r="F236" s="145">
        <v>1849</v>
      </c>
      <c r="H236" s="2" t="s">
        <v>1310</v>
      </c>
      <c r="I236" s="72">
        <v>44010</v>
      </c>
      <c r="K236" s="2" t="s">
        <v>1311</v>
      </c>
    </row>
    <row r="237" spans="1:11">
      <c r="A237" s="2" t="s">
        <v>711</v>
      </c>
      <c r="B237" s="2" t="s">
        <v>43</v>
      </c>
      <c r="C237" s="2" t="s">
        <v>1309</v>
      </c>
      <c r="D237" s="40">
        <v>743000</v>
      </c>
      <c r="E237" s="2" t="s">
        <v>295</v>
      </c>
      <c r="F237" s="145">
        <v>1852</v>
      </c>
      <c r="H237" s="2" t="s">
        <v>1310</v>
      </c>
      <c r="I237" s="72">
        <v>44013</v>
      </c>
      <c r="K237" s="2" t="s">
        <v>1311</v>
      </c>
    </row>
    <row r="238" spans="1:11">
      <c r="A238" s="2" t="s">
        <v>712</v>
      </c>
      <c r="B238" s="2" t="s">
        <v>43</v>
      </c>
      <c r="C238" s="2" t="s">
        <v>1309</v>
      </c>
      <c r="D238" s="40">
        <v>746000</v>
      </c>
      <c r="E238" s="2" t="s">
        <v>295</v>
      </c>
      <c r="F238" s="145">
        <v>1855</v>
      </c>
      <c r="H238" s="2" t="s">
        <v>1310</v>
      </c>
      <c r="I238" s="72">
        <v>44016</v>
      </c>
      <c r="K238" s="2" t="s">
        <v>1311</v>
      </c>
    </row>
    <row r="239" spans="1:11">
      <c r="A239" s="2" t="s">
        <v>713</v>
      </c>
      <c r="B239" s="2" t="s">
        <v>43</v>
      </c>
      <c r="C239" s="2" t="s">
        <v>1309</v>
      </c>
      <c r="D239" s="40">
        <v>749000</v>
      </c>
      <c r="E239" s="2" t="s">
        <v>295</v>
      </c>
      <c r="F239" s="145">
        <v>1858</v>
      </c>
      <c r="H239" s="2" t="s">
        <v>1310</v>
      </c>
      <c r="I239" s="72">
        <v>44019</v>
      </c>
      <c r="K239" s="2" t="s">
        <v>1311</v>
      </c>
    </row>
    <row r="240" spans="1:11">
      <c r="A240" s="2" t="s">
        <v>714</v>
      </c>
      <c r="B240" s="2" t="s">
        <v>43</v>
      </c>
      <c r="C240" s="2" t="s">
        <v>1309</v>
      </c>
      <c r="D240" s="40">
        <v>752000</v>
      </c>
      <c r="E240" s="2" t="s">
        <v>295</v>
      </c>
      <c r="F240" s="145">
        <v>1861</v>
      </c>
      <c r="H240" s="2" t="s">
        <v>1310</v>
      </c>
      <c r="I240" s="72">
        <v>44022</v>
      </c>
      <c r="K240" s="2" t="s">
        <v>1311</v>
      </c>
    </row>
    <row r="241" spans="1:11">
      <c r="A241" s="2" t="s">
        <v>715</v>
      </c>
      <c r="B241" s="2" t="s">
        <v>43</v>
      </c>
      <c r="C241" s="2" t="s">
        <v>1309</v>
      </c>
      <c r="D241" s="40">
        <v>755000</v>
      </c>
      <c r="E241" s="2" t="s">
        <v>295</v>
      </c>
      <c r="F241" s="145">
        <v>1864</v>
      </c>
      <c r="H241" s="2" t="s">
        <v>1310</v>
      </c>
      <c r="I241" s="72">
        <v>44025</v>
      </c>
      <c r="K241" s="2" t="s">
        <v>1311</v>
      </c>
    </row>
    <row r="242" spans="1:11">
      <c r="A242" s="2" t="s">
        <v>716</v>
      </c>
      <c r="B242" s="2" t="s">
        <v>43</v>
      </c>
      <c r="C242" s="2" t="s">
        <v>1309</v>
      </c>
      <c r="D242" s="40">
        <v>758000</v>
      </c>
      <c r="E242" s="2" t="s">
        <v>295</v>
      </c>
      <c r="F242" s="145">
        <v>1867</v>
      </c>
      <c r="H242" s="2" t="s">
        <v>1310</v>
      </c>
      <c r="I242" s="72">
        <v>44028</v>
      </c>
      <c r="K242" s="2" t="s">
        <v>1311</v>
      </c>
    </row>
    <row r="243" spans="1:11">
      <c r="A243" s="2" t="s">
        <v>717</v>
      </c>
      <c r="B243" s="2" t="s">
        <v>43</v>
      </c>
      <c r="C243" s="2" t="s">
        <v>1309</v>
      </c>
      <c r="D243" s="40">
        <v>761000</v>
      </c>
      <c r="E243" s="2" t="s">
        <v>295</v>
      </c>
      <c r="F243" s="145">
        <v>1870</v>
      </c>
      <c r="H243" s="2" t="s">
        <v>1310</v>
      </c>
      <c r="I243" s="72">
        <v>44031</v>
      </c>
      <c r="K243" s="2" t="s">
        <v>1311</v>
      </c>
    </row>
    <row r="244" spans="1:11">
      <c r="A244" s="2" t="s">
        <v>718</v>
      </c>
      <c r="B244" s="2" t="s">
        <v>43</v>
      </c>
      <c r="C244" s="2" t="s">
        <v>1309</v>
      </c>
      <c r="D244" s="40">
        <v>764000</v>
      </c>
      <c r="E244" s="2" t="s">
        <v>295</v>
      </c>
      <c r="F244" s="145">
        <v>1873</v>
      </c>
      <c r="H244" s="2" t="s">
        <v>1310</v>
      </c>
      <c r="I244" s="72">
        <v>44034</v>
      </c>
      <c r="K244" s="2" t="s">
        <v>1311</v>
      </c>
    </row>
    <row r="245" spans="1:11">
      <c r="A245" s="2" t="s">
        <v>719</v>
      </c>
      <c r="B245" s="2" t="s">
        <v>43</v>
      </c>
      <c r="C245" s="2" t="s">
        <v>1309</v>
      </c>
      <c r="D245" s="40">
        <v>767000</v>
      </c>
      <c r="E245" s="2" t="s">
        <v>295</v>
      </c>
      <c r="F245" s="145">
        <v>1876</v>
      </c>
      <c r="H245" s="2" t="s">
        <v>1310</v>
      </c>
      <c r="I245" s="72">
        <v>44037</v>
      </c>
      <c r="K245" s="2" t="s">
        <v>1311</v>
      </c>
    </row>
    <row r="246" spans="1:11">
      <c r="A246" s="2" t="s">
        <v>720</v>
      </c>
      <c r="B246" s="2" t="s">
        <v>43</v>
      </c>
      <c r="C246" s="2" t="s">
        <v>1309</v>
      </c>
      <c r="D246" s="40">
        <v>770000</v>
      </c>
      <c r="E246" s="2" t="s">
        <v>295</v>
      </c>
      <c r="F246" s="145">
        <v>1879</v>
      </c>
      <c r="H246" s="2" t="s">
        <v>1310</v>
      </c>
      <c r="I246" s="72">
        <v>44040</v>
      </c>
      <c r="K246" s="2" t="s">
        <v>1311</v>
      </c>
    </row>
    <row r="247" spans="1:11">
      <c r="A247" s="2" t="s">
        <v>721</v>
      </c>
      <c r="B247" s="2" t="s">
        <v>43</v>
      </c>
      <c r="C247" s="2" t="s">
        <v>1309</v>
      </c>
      <c r="D247" s="40">
        <v>773000</v>
      </c>
      <c r="E247" s="2" t="s">
        <v>295</v>
      </c>
      <c r="F247" s="145">
        <v>1882</v>
      </c>
      <c r="H247" s="2" t="s">
        <v>1310</v>
      </c>
      <c r="I247" s="72">
        <v>44043</v>
      </c>
      <c r="K247" s="2" t="s">
        <v>1311</v>
      </c>
    </row>
    <row r="248" spans="1:11">
      <c r="A248" s="2" t="s">
        <v>722</v>
      </c>
      <c r="B248" s="2" t="s">
        <v>43</v>
      </c>
      <c r="C248" s="2" t="s">
        <v>1309</v>
      </c>
      <c r="D248" s="40">
        <v>776000</v>
      </c>
      <c r="E248" s="2" t="s">
        <v>295</v>
      </c>
      <c r="F248" s="145">
        <v>1885</v>
      </c>
      <c r="H248" s="2" t="s">
        <v>1310</v>
      </c>
      <c r="I248" s="72">
        <v>44046</v>
      </c>
      <c r="K248" s="2" t="s">
        <v>1311</v>
      </c>
    </row>
    <row r="249" spans="1:11">
      <c r="A249" s="2" t="s">
        <v>723</v>
      </c>
      <c r="B249" s="2" t="s">
        <v>43</v>
      </c>
      <c r="C249" s="2" t="s">
        <v>1309</v>
      </c>
      <c r="D249" s="40">
        <v>779000</v>
      </c>
      <c r="E249" s="2" t="s">
        <v>295</v>
      </c>
      <c r="F249" s="145">
        <v>1888</v>
      </c>
      <c r="H249" s="2" t="s">
        <v>1310</v>
      </c>
      <c r="I249" s="72">
        <v>44049</v>
      </c>
      <c r="K249" s="2" t="s">
        <v>1311</v>
      </c>
    </row>
    <row r="250" spans="1:11">
      <c r="A250" s="2" t="s">
        <v>724</v>
      </c>
      <c r="B250" s="2" t="s">
        <v>43</v>
      </c>
      <c r="C250" s="2" t="s">
        <v>1309</v>
      </c>
      <c r="D250" s="40">
        <v>782000</v>
      </c>
      <c r="E250" s="2" t="s">
        <v>295</v>
      </c>
      <c r="F250" s="145">
        <v>1891</v>
      </c>
      <c r="H250" s="2" t="s">
        <v>1310</v>
      </c>
      <c r="I250" s="72">
        <v>44052</v>
      </c>
      <c r="K250" s="2" t="s">
        <v>1311</v>
      </c>
    </row>
    <row r="251" spans="1:11">
      <c r="A251" s="2" t="s">
        <v>725</v>
      </c>
      <c r="B251" s="2" t="s">
        <v>43</v>
      </c>
      <c r="C251" s="2" t="s">
        <v>1309</v>
      </c>
      <c r="D251" s="40">
        <v>785000</v>
      </c>
      <c r="E251" s="2" t="s">
        <v>295</v>
      </c>
      <c r="F251" s="145">
        <v>1894</v>
      </c>
      <c r="H251" s="2" t="s">
        <v>1310</v>
      </c>
      <c r="I251" s="72">
        <v>44055</v>
      </c>
      <c r="K251" s="2" t="s">
        <v>1311</v>
      </c>
    </row>
    <row r="252" spans="1:11">
      <c r="A252" s="2" t="s">
        <v>726</v>
      </c>
      <c r="B252" s="2" t="s">
        <v>43</v>
      </c>
      <c r="C252" s="2" t="s">
        <v>1309</v>
      </c>
      <c r="D252" s="40">
        <v>788000</v>
      </c>
      <c r="E252" s="2" t="s">
        <v>295</v>
      </c>
      <c r="F252" s="145">
        <v>1897</v>
      </c>
      <c r="H252" s="2" t="s">
        <v>1310</v>
      </c>
      <c r="I252" s="72">
        <v>44058</v>
      </c>
      <c r="K252" s="2" t="s">
        <v>1311</v>
      </c>
    </row>
    <row r="253" spans="1:11">
      <c r="A253" s="2" t="s">
        <v>727</v>
      </c>
      <c r="B253" s="2" t="s">
        <v>43</v>
      </c>
      <c r="C253" s="2" t="s">
        <v>1309</v>
      </c>
      <c r="D253" s="40">
        <v>791000</v>
      </c>
      <c r="E253" s="2" t="s">
        <v>295</v>
      </c>
      <c r="F253" s="145">
        <v>1900</v>
      </c>
      <c r="H253" s="2" t="s">
        <v>1310</v>
      </c>
      <c r="I253" s="72">
        <v>44061</v>
      </c>
      <c r="K253" s="2" t="s">
        <v>1311</v>
      </c>
    </row>
    <row r="254" spans="1:11">
      <c r="A254" s="2" t="s">
        <v>728</v>
      </c>
      <c r="B254" s="2" t="s">
        <v>43</v>
      </c>
      <c r="C254" s="2" t="s">
        <v>1309</v>
      </c>
      <c r="D254" s="40">
        <v>794000</v>
      </c>
      <c r="E254" s="2" t="s">
        <v>295</v>
      </c>
      <c r="F254" s="145">
        <v>1903</v>
      </c>
      <c r="H254" s="2" t="s">
        <v>1310</v>
      </c>
      <c r="I254" s="72">
        <v>44064</v>
      </c>
      <c r="K254" s="2" t="s">
        <v>1311</v>
      </c>
    </row>
    <row r="255" spans="1:11">
      <c r="A255" s="2" t="s">
        <v>729</v>
      </c>
      <c r="B255" s="2" t="s">
        <v>43</v>
      </c>
      <c r="C255" s="2" t="s">
        <v>1309</v>
      </c>
      <c r="D255" s="40">
        <v>797000</v>
      </c>
      <c r="E255" s="2" t="s">
        <v>295</v>
      </c>
      <c r="F255" s="145">
        <v>1906</v>
      </c>
      <c r="H255" s="2" t="s">
        <v>1310</v>
      </c>
      <c r="I255" s="72">
        <v>44067</v>
      </c>
      <c r="K255" s="2" t="s">
        <v>1311</v>
      </c>
    </row>
    <row r="256" spans="1:11">
      <c r="A256" s="2" t="s">
        <v>730</v>
      </c>
      <c r="B256" s="2" t="s">
        <v>43</v>
      </c>
      <c r="C256" s="2" t="s">
        <v>1309</v>
      </c>
      <c r="D256" s="40">
        <v>800000</v>
      </c>
      <c r="E256" s="2" t="s">
        <v>295</v>
      </c>
      <c r="F256" s="145">
        <v>1909</v>
      </c>
      <c r="H256" s="2" t="s">
        <v>1310</v>
      </c>
      <c r="I256" s="72">
        <v>44070</v>
      </c>
      <c r="K256" s="2" t="s">
        <v>1311</v>
      </c>
    </row>
    <row r="257" spans="1:11">
      <c r="A257" s="2" t="s">
        <v>731</v>
      </c>
      <c r="B257" s="2" t="s">
        <v>43</v>
      </c>
      <c r="C257" s="2" t="s">
        <v>1309</v>
      </c>
      <c r="D257" s="40">
        <v>803000</v>
      </c>
      <c r="E257" s="2" t="s">
        <v>295</v>
      </c>
      <c r="F257" s="145">
        <v>1912</v>
      </c>
      <c r="H257" s="2" t="s">
        <v>1310</v>
      </c>
      <c r="I257" s="72">
        <v>44073</v>
      </c>
      <c r="K257" s="2" t="s">
        <v>1311</v>
      </c>
    </row>
    <row r="258" spans="1:11">
      <c r="A258" s="2" t="s">
        <v>732</v>
      </c>
      <c r="B258" s="2" t="s">
        <v>43</v>
      </c>
      <c r="C258" s="2" t="s">
        <v>1309</v>
      </c>
      <c r="D258" s="40">
        <v>806000</v>
      </c>
      <c r="E258" s="2" t="s">
        <v>295</v>
      </c>
      <c r="F258" s="145">
        <v>1915</v>
      </c>
      <c r="H258" s="2" t="s">
        <v>1310</v>
      </c>
      <c r="I258" s="72">
        <v>44076</v>
      </c>
      <c r="K258" s="2" t="s">
        <v>1311</v>
      </c>
    </row>
    <row r="259" spans="1:11">
      <c r="A259" s="2" t="s">
        <v>733</v>
      </c>
      <c r="B259" s="2" t="s">
        <v>43</v>
      </c>
      <c r="C259" s="2" t="s">
        <v>1309</v>
      </c>
      <c r="D259" s="40">
        <v>809000</v>
      </c>
      <c r="E259" s="2" t="s">
        <v>295</v>
      </c>
      <c r="F259" s="145">
        <v>1918</v>
      </c>
      <c r="H259" s="2" t="s">
        <v>1310</v>
      </c>
      <c r="I259" s="72">
        <v>44079</v>
      </c>
      <c r="K259" s="2" t="s">
        <v>1311</v>
      </c>
    </row>
    <row r="260" spans="1:11">
      <c r="A260" s="2" t="s">
        <v>734</v>
      </c>
      <c r="B260" s="2" t="s">
        <v>43</v>
      </c>
      <c r="C260" s="2" t="s">
        <v>1309</v>
      </c>
      <c r="D260" s="40">
        <v>812000</v>
      </c>
      <c r="E260" s="2" t="s">
        <v>295</v>
      </c>
      <c r="F260" s="145">
        <v>1921</v>
      </c>
      <c r="H260" s="2" t="s">
        <v>1310</v>
      </c>
      <c r="I260" s="72">
        <v>44082</v>
      </c>
      <c r="K260" s="2" t="s">
        <v>1311</v>
      </c>
    </row>
    <row r="261" spans="1:11">
      <c r="A261" s="2" t="s">
        <v>735</v>
      </c>
      <c r="B261" s="2" t="s">
        <v>43</v>
      </c>
      <c r="C261" s="2" t="s">
        <v>1309</v>
      </c>
      <c r="D261" s="40">
        <v>815000</v>
      </c>
      <c r="E261" s="2" t="s">
        <v>295</v>
      </c>
      <c r="F261" s="145">
        <v>1924</v>
      </c>
      <c r="H261" s="2" t="s">
        <v>1310</v>
      </c>
      <c r="I261" s="72">
        <v>44085</v>
      </c>
      <c r="K261" s="2" t="s">
        <v>1311</v>
      </c>
    </row>
    <row r="262" spans="1:11">
      <c r="A262" s="2" t="s">
        <v>736</v>
      </c>
      <c r="B262" s="2" t="s">
        <v>43</v>
      </c>
      <c r="C262" s="2" t="s">
        <v>1309</v>
      </c>
      <c r="D262" s="40">
        <v>818000</v>
      </c>
      <c r="E262" s="2" t="s">
        <v>295</v>
      </c>
      <c r="F262" s="145">
        <v>1927</v>
      </c>
      <c r="H262" s="2" t="s">
        <v>1310</v>
      </c>
      <c r="I262" s="72">
        <v>44088</v>
      </c>
      <c r="K262" s="2" t="s">
        <v>1311</v>
      </c>
    </row>
    <row r="263" spans="1:11">
      <c r="A263" s="2" t="s">
        <v>737</v>
      </c>
      <c r="B263" s="2" t="s">
        <v>43</v>
      </c>
      <c r="C263" s="2" t="s">
        <v>1309</v>
      </c>
      <c r="D263" s="40">
        <v>821000</v>
      </c>
      <c r="E263" s="2" t="s">
        <v>295</v>
      </c>
      <c r="F263" s="145">
        <v>1930</v>
      </c>
      <c r="H263" s="2" t="s">
        <v>1310</v>
      </c>
      <c r="I263" s="72">
        <v>44091</v>
      </c>
      <c r="K263" s="2" t="s">
        <v>1311</v>
      </c>
    </row>
    <row r="264" spans="1:11">
      <c r="A264" s="2" t="s">
        <v>738</v>
      </c>
      <c r="B264" s="2" t="s">
        <v>43</v>
      </c>
      <c r="C264" s="2" t="s">
        <v>1309</v>
      </c>
      <c r="D264" s="40">
        <v>824000</v>
      </c>
      <c r="E264" s="2" t="s">
        <v>295</v>
      </c>
      <c r="F264" s="145">
        <v>1933</v>
      </c>
      <c r="H264" s="2" t="s">
        <v>1310</v>
      </c>
      <c r="I264" s="72">
        <v>44094</v>
      </c>
      <c r="K264" s="2" t="s">
        <v>1311</v>
      </c>
    </row>
    <row r="265" spans="1:11">
      <c r="A265" s="2" t="s">
        <v>739</v>
      </c>
      <c r="B265" s="2" t="s">
        <v>43</v>
      </c>
      <c r="C265" s="2" t="s">
        <v>1309</v>
      </c>
      <c r="D265" s="40">
        <v>827000</v>
      </c>
      <c r="E265" s="2" t="s">
        <v>295</v>
      </c>
      <c r="F265" s="145">
        <v>1936</v>
      </c>
      <c r="H265" s="2" t="s">
        <v>1310</v>
      </c>
      <c r="I265" s="72">
        <v>44097</v>
      </c>
      <c r="K265" s="2" t="s">
        <v>1311</v>
      </c>
    </row>
    <row r="266" spans="1:11">
      <c r="A266" s="2" t="s">
        <v>740</v>
      </c>
      <c r="B266" s="2" t="s">
        <v>43</v>
      </c>
      <c r="C266" s="2" t="s">
        <v>1309</v>
      </c>
      <c r="D266" s="40">
        <v>830000</v>
      </c>
      <c r="E266" s="2" t="s">
        <v>295</v>
      </c>
      <c r="F266" s="145">
        <v>1939</v>
      </c>
      <c r="H266" s="2" t="s">
        <v>1310</v>
      </c>
      <c r="I266" s="72">
        <v>44100</v>
      </c>
      <c r="K266" s="2" t="s">
        <v>1311</v>
      </c>
    </row>
    <row r="267" spans="1:11">
      <c r="A267" s="2" t="s">
        <v>741</v>
      </c>
      <c r="B267" s="2" t="s">
        <v>43</v>
      </c>
      <c r="C267" s="2" t="s">
        <v>1309</v>
      </c>
      <c r="D267" s="40">
        <v>833000</v>
      </c>
      <c r="E267" s="2" t="s">
        <v>295</v>
      </c>
      <c r="F267" s="145">
        <v>1942</v>
      </c>
      <c r="H267" s="2" t="s">
        <v>1310</v>
      </c>
      <c r="I267" s="72">
        <v>44103</v>
      </c>
      <c r="K267" s="2" t="s">
        <v>1311</v>
      </c>
    </row>
    <row r="268" spans="1:11">
      <c r="A268" s="2" t="s">
        <v>742</v>
      </c>
      <c r="B268" s="2" t="s">
        <v>43</v>
      </c>
      <c r="C268" s="2" t="s">
        <v>1309</v>
      </c>
      <c r="D268" s="40">
        <v>836000</v>
      </c>
      <c r="E268" s="2" t="s">
        <v>295</v>
      </c>
      <c r="F268" s="145">
        <v>1945</v>
      </c>
      <c r="H268" s="2" t="s">
        <v>1310</v>
      </c>
      <c r="I268" s="72">
        <v>44106</v>
      </c>
      <c r="K268" s="2" t="s">
        <v>1311</v>
      </c>
    </row>
    <row r="269" spans="1:11">
      <c r="A269" s="2" t="s">
        <v>743</v>
      </c>
      <c r="B269" s="2" t="s">
        <v>43</v>
      </c>
      <c r="C269" s="2" t="s">
        <v>1309</v>
      </c>
      <c r="D269" s="40">
        <v>839000</v>
      </c>
      <c r="E269" s="2" t="s">
        <v>295</v>
      </c>
      <c r="F269" s="145">
        <v>1948</v>
      </c>
      <c r="H269" s="2" t="s">
        <v>1310</v>
      </c>
      <c r="I269" s="72">
        <v>44109</v>
      </c>
      <c r="K269" s="2" t="s">
        <v>1311</v>
      </c>
    </row>
    <row r="270" spans="1:11">
      <c r="A270" s="2" t="s">
        <v>744</v>
      </c>
      <c r="B270" s="2" t="s">
        <v>43</v>
      </c>
      <c r="C270" s="2" t="s">
        <v>1309</v>
      </c>
      <c r="D270" s="40">
        <v>842000</v>
      </c>
      <c r="E270" s="2" t="s">
        <v>295</v>
      </c>
      <c r="F270" s="145">
        <v>1951</v>
      </c>
      <c r="H270" s="2" t="s">
        <v>1310</v>
      </c>
      <c r="I270" s="72">
        <v>44112</v>
      </c>
      <c r="K270" s="2" t="s">
        <v>1311</v>
      </c>
    </row>
    <row r="271" spans="1:11">
      <c r="A271" s="2" t="s">
        <v>745</v>
      </c>
      <c r="B271" s="2" t="s">
        <v>43</v>
      </c>
      <c r="C271" s="2" t="s">
        <v>1309</v>
      </c>
      <c r="D271" s="40">
        <v>845000</v>
      </c>
      <c r="E271" s="2" t="s">
        <v>295</v>
      </c>
      <c r="F271" s="145">
        <v>1954</v>
      </c>
      <c r="H271" s="2" t="s">
        <v>1310</v>
      </c>
      <c r="I271" s="72">
        <v>44115</v>
      </c>
      <c r="K271" s="2" t="s">
        <v>1311</v>
      </c>
    </row>
    <row r="272" spans="1:11">
      <c r="A272" s="2" t="s">
        <v>746</v>
      </c>
      <c r="B272" s="2" t="s">
        <v>43</v>
      </c>
      <c r="C272" s="2" t="s">
        <v>1309</v>
      </c>
      <c r="D272" s="40">
        <v>848000</v>
      </c>
      <c r="E272" s="2" t="s">
        <v>295</v>
      </c>
      <c r="F272" s="145">
        <v>1957</v>
      </c>
      <c r="H272" s="2" t="s">
        <v>1310</v>
      </c>
      <c r="I272" s="72">
        <v>44118</v>
      </c>
      <c r="K272" s="2" t="s">
        <v>1311</v>
      </c>
    </row>
    <row r="273" spans="1:11">
      <c r="A273" s="2" t="s">
        <v>747</v>
      </c>
      <c r="B273" s="2" t="s">
        <v>43</v>
      </c>
      <c r="C273" s="2" t="s">
        <v>1309</v>
      </c>
      <c r="D273" s="40">
        <v>851000</v>
      </c>
      <c r="E273" s="2" t="s">
        <v>295</v>
      </c>
      <c r="F273" s="145">
        <v>1960</v>
      </c>
      <c r="H273" s="2" t="s">
        <v>1310</v>
      </c>
      <c r="I273" s="72">
        <v>44121</v>
      </c>
      <c r="K273" s="2" t="s">
        <v>1311</v>
      </c>
    </row>
    <row r="274" spans="1:11">
      <c r="A274" s="2" t="s">
        <v>748</v>
      </c>
      <c r="B274" s="2" t="s">
        <v>43</v>
      </c>
      <c r="C274" s="2" t="s">
        <v>1309</v>
      </c>
      <c r="D274" s="40">
        <v>854000</v>
      </c>
      <c r="E274" s="2" t="s">
        <v>295</v>
      </c>
      <c r="F274" s="145">
        <v>1963</v>
      </c>
      <c r="H274" s="2" t="s">
        <v>1310</v>
      </c>
      <c r="I274" s="72">
        <v>44124</v>
      </c>
      <c r="K274" s="2" t="s">
        <v>1311</v>
      </c>
    </row>
    <row r="275" spans="1:11">
      <c r="A275" s="2" t="s">
        <v>749</v>
      </c>
      <c r="B275" s="2" t="s">
        <v>43</v>
      </c>
      <c r="C275" s="2" t="s">
        <v>1309</v>
      </c>
      <c r="D275" s="40">
        <v>857000</v>
      </c>
      <c r="E275" s="2" t="s">
        <v>295</v>
      </c>
      <c r="F275" s="145">
        <v>1966</v>
      </c>
      <c r="H275" s="2" t="s">
        <v>1310</v>
      </c>
      <c r="I275" s="72">
        <v>44127</v>
      </c>
      <c r="K275" s="2" t="s">
        <v>1311</v>
      </c>
    </row>
    <row r="276" spans="1:11">
      <c r="A276" s="2" t="s">
        <v>750</v>
      </c>
      <c r="B276" s="2" t="s">
        <v>43</v>
      </c>
      <c r="C276" s="2" t="s">
        <v>1309</v>
      </c>
      <c r="D276" s="40">
        <v>860000</v>
      </c>
      <c r="E276" s="2" t="s">
        <v>295</v>
      </c>
      <c r="F276" s="145">
        <v>1969</v>
      </c>
      <c r="H276" s="2" t="s">
        <v>1310</v>
      </c>
      <c r="I276" s="72">
        <v>44130</v>
      </c>
      <c r="K276" s="2" t="s">
        <v>1311</v>
      </c>
    </row>
    <row r="277" spans="1:11">
      <c r="A277" s="2" t="s">
        <v>751</v>
      </c>
      <c r="B277" s="2" t="s">
        <v>43</v>
      </c>
      <c r="C277" s="2" t="s">
        <v>1309</v>
      </c>
      <c r="D277" s="40">
        <v>863000</v>
      </c>
      <c r="E277" s="2" t="s">
        <v>295</v>
      </c>
      <c r="F277" s="145">
        <v>1972</v>
      </c>
      <c r="H277" s="2" t="s">
        <v>1310</v>
      </c>
      <c r="I277" s="72">
        <v>44133</v>
      </c>
      <c r="K277" s="2" t="s">
        <v>1311</v>
      </c>
    </row>
    <row r="278" spans="1:11">
      <c r="A278" s="2" t="s">
        <v>752</v>
      </c>
      <c r="B278" s="2" t="s">
        <v>43</v>
      </c>
      <c r="C278" s="2" t="s">
        <v>1309</v>
      </c>
      <c r="D278" s="40">
        <v>866000</v>
      </c>
      <c r="E278" s="2" t="s">
        <v>295</v>
      </c>
      <c r="F278" s="145">
        <v>1975</v>
      </c>
      <c r="H278" s="2" t="s">
        <v>1310</v>
      </c>
      <c r="I278" s="72">
        <v>44136</v>
      </c>
      <c r="K278" s="2" t="s">
        <v>1311</v>
      </c>
    </row>
    <row r="279" spans="1:11">
      <c r="A279" s="2" t="s">
        <v>753</v>
      </c>
      <c r="B279" s="2" t="s">
        <v>43</v>
      </c>
      <c r="C279" s="2" t="s">
        <v>1309</v>
      </c>
      <c r="D279" s="40">
        <v>869000</v>
      </c>
      <c r="E279" s="2" t="s">
        <v>295</v>
      </c>
      <c r="F279" s="145">
        <v>1978</v>
      </c>
      <c r="H279" s="2" t="s">
        <v>1310</v>
      </c>
      <c r="I279" s="72">
        <v>44139</v>
      </c>
      <c r="K279" s="2" t="s">
        <v>1311</v>
      </c>
    </row>
    <row r="280" spans="1:11">
      <c r="A280" s="2" t="s">
        <v>754</v>
      </c>
      <c r="B280" s="2" t="s">
        <v>43</v>
      </c>
      <c r="C280" s="2" t="s">
        <v>1309</v>
      </c>
      <c r="D280" s="40">
        <v>872000</v>
      </c>
      <c r="E280" s="2" t="s">
        <v>295</v>
      </c>
      <c r="F280" s="145">
        <v>1981</v>
      </c>
      <c r="H280" s="2" t="s">
        <v>1310</v>
      </c>
      <c r="I280" s="72">
        <v>44142</v>
      </c>
      <c r="K280" s="2" t="s">
        <v>1311</v>
      </c>
    </row>
    <row r="281" spans="1:11">
      <c r="A281" s="2" t="s">
        <v>755</v>
      </c>
      <c r="B281" s="2" t="s">
        <v>43</v>
      </c>
      <c r="C281" s="2" t="s">
        <v>1309</v>
      </c>
      <c r="D281" s="40">
        <v>875000</v>
      </c>
      <c r="E281" s="2" t="s">
        <v>295</v>
      </c>
      <c r="F281" s="145">
        <v>1984</v>
      </c>
      <c r="H281" s="2" t="s">
        <v>1310</v>
      </c>
      <c r="I281" s="72">
        <v>44145</v>
      </c>
      <c r="K281" s="2" t="s">
        <v>1311</v>
      </c>
    </row>
    <row r="282" spans="1:11">
      <c r="A282" s="2" t="s">
        <v>756</v>
      </c>
      <c r="B282" s="2" t="s">
        <v>43</v>
      </c>
      <c r="C282" s="2" t="s">
        <v>1309</v>
      </c>
      <c r="D282" s="40">
        <v>878000</v>
      </c>
      <c r="E282" s="2" t="s">
        <v>295</v>
      </c>
      <c r="F282" s="145">
        <v>1987</v>
      </c>
      <c r="H282" s="2" t="s">
        <v>1310</v>
      </c>
      <c r="I282" s="72">
        <v>44148</v>
      </c>
      <c r="K282" s="2" t="s">
        <v>1311</v>
      </c>
    </row>
    <row r="283" spans="1:11">
      <c r="A283" s="2" t="s">
        <v>757</v>
      </c>
      <c r="B283" s="2" t="s">
        <v>43</v>
      </c>
      <c r="C283" s="2" t="s">
        <v>1309</v>
      </c>
      <c r="D283" s="40">
        <v>881000</v>
      </c>
      <c r="E283" s="2" t="s">
        <v>295</v>
      </c>
      <c r="F283" s="145">
        <v>1990</v>
      </c>
      <c r="H283" s="2" t="s">
        <v>1310</v>
      </c>
      <c r="I283" s="72">
        <v>44151</v>
      </c>
      <c r="K283" s="2" t="s">
        <v>1311</v>
      </c>
    </row>
    <row r="284" spans="1:11">
      <c r="A284" s="2" t="s">
        <v>758</v>
      </c>
      <c r="B284" s="2" t="s">
        <v>43</v>
      </c>
      <c r="C284" s="2" t="s">
        <v>1309</v>
      </c>
      <c r="D284" s="40">
        <v>884000</v>
      </c>
      <c r="E284" s="2" t="s">
        <v>295</v>
      </c>
      <c r="F284" s="145">
        <v>1993</v>
      </c>
      <c r="H284" s="2" t="s">
        <v>1310</v>
      </c>
      <c r="I284" s="72">
        <v>44154</v>
      </c>
      <c r="K284" s="2" t="s">
        <v>1311</v>
      </c>
    </row>
    <row r="285" spans="1:11">
      <c r="A285" s="2" t="s">
        <v>759</v>
      </c>
      <c r="B285" s="2" t="s">
        <v>43</v>
      </c>
      <c r="C285" s="2" t="s">
        <v>1309</v>
      </c>
      <c r="D285" s="40">
        <v>887000</v>
      </c>
      <c r="E285" s="2" t="s">
        <v>295</v>
      </c>
      <c r="F285" s="145">
        <v>1996</v>
      </c>
      <c r="H285" s="2" t="s">
        <v>1310</v>
      </c>
      <c r="I285" s="72">
        <v>44157</v>
      </c>
      <c r="K285" s="2" t="s">
        <v>1311</v>
      </c>
    </row>
    <row r="286" spans="1:11">
      <c r="A286" s="2" t="s">
        <v>760</v>
      </c>
      <c r="B286" s="2" t="s">
        <v>43</v>
      </c>
      <c r="C286" s="2" t="s">
        <v>1309</v>
      </c>
      <c r="D286" s="40">
        <v>890000</v>
      </c>
      <c r="E286" s="2" t="s">
        <v>295</v>
      </c>
      <c r="F286" s="145">
        <v>1999</v>
      </c>
      <c r="H286" s="2" t="s">
        <v>1310</v>
      </c>
      <c r="I286" s="72">
        <v>44160</v>
      </c>
      <c r="K286" s="2" t="s">
        <v>1311</v>
      </c>
    </row>
    <row r="287" spans="1:11">
      <c r="A287" s="2" t="s">
        <v>761</v>
      </c>
      <c r="B287" s="2" t="s">
        <v>43</v>
      </c>
      <c r="C287" s="2" t="s">
        <v>1309</v>
      </c>
      <c r="D287" s="40">
        <v>893000</v>
      </c>
      <c r="E287" s="2" t="s">
        <v>295</v>
      </c>
      <c r="F287" s="145">
        <v>2002</v>
      </c>
      <c r="H287" s="2" t="s">
        <v>1310</v>
      </c>
      <c r="I287" s="72">
        <v>44163</v>
      </c>
      <c r="K287" s="2" t="s">
        <v>1311</v>
      </c>
    </row>
    <row r="288" spans="1:11">
      <c r="A288" s="2" t="s">
        <v>762</v>
      </c>
      <c r="B288" s="2" t="s">
        <v>43</v>
      </c>
      <c r="C288" s="2" t="s">
        <v>1309</v>
      </c>
      <c r="D288" s="40">
        <v>896000</v>
      </c>
      <c r="E288" s="2" t="s">
        <v>295</v>
      </c>
      <c r="F288" s="145">
        <v>2005</v>
      </c>
      <c r="H288" s="2" t="s">
        <v>1310</v>
      </c>
      <c r="I288" s="72">
        <v>44166</v>
      </c>
      <c r="K288" s="2" t="s">
        <v>1311</v>
      </c>
    </row>
    <row r="289" spans="1:11">
      <c r="A289" s="2" t="s">
        <v>763</v>
      </c>
      <c r="B289" s="2" t="s">
        <v>43</v>
      </c>
      <c r="C289" s="2" t="s">
        <v>1309</v>
      </c>
      <c r="D289" s="40">
        <v>899000</v>
      </c>
      <c r="E289" s="2" t="s">
        <v>295</v>
      </c>
      <c r="F289" s="145">
        <v>2008</v>
      </c>
      <c r="H289" s="2" t="s">
        <v>1310</v>
      </c>
      <c r="I289" s="72">
        <v>44169</v>
      </c>
      <c r="K289" s="2" t="s">
        <v>1311</v>
      </c>
    </row>
    <row r="290" spans="1:11">
      <c r="A290" s="2" t="s">
        <v>764</v>
      </c>
      <c r="B290" s="2" t="s">
        <v>43</v>
      </c>
      <c r="C290" s="2" t="s">
        <v>1309</v>
      </c>
      <c r="D290" s="40">
        <v>902000</v>
      </c>
      <c r="E290" s="2" t="s">
        <v>295</v>
      </c>
      <c r="F290" s="145">
        <v>2011</v>
      </c>
      <c r="H290" s="2" t="s">
        <v>1310</v>
      </c>
      <c r="I290" s="72">
        <v>44172</v>
      </c>
      <c r="K290" s="2" t="s">
        <v>1311</v>
      </c>
    </row>
    <row r="291" spans="1:11">
      <c r="A291" s="2" t="s">
        <v>765</v>
      </c>
      <c r="B291" s="2" t="s">
        <v>43</v>
      </c>
      <c r="C291" s="2" t="s">
        <v>1309</v>
      </c>
      <c r="D291" s="40">
        <v>905000</v>
      </c>
      <c r="E291" s="2" t="s">
        <v>295</v>
      </c>
      <c r="F291" s="145">
        <v>2014</v>
      </c>
      <c r="H291" s="2" t="s">
        <v>1310</v>
      </c>
      <c r="I291" s="72">
        <v>44175</v>
      </c>
      <c r="K291" s="2" t="s">
        <v>1311</v>
      </c>
    </row>
    <row r="292" spans="1:11">
      <c r="A292" s="2" t="s">
        <v>766</v>
      </c>
      <c r="B292" s="2" t="s">
        <v>43</v>
      </c>
      <c r="C292" s="2" t="s">
        <v>1309</v>
      </c>
      <c r="D292" s="40">
        <v>908000</v>
      </c>
      <c r="E292" s="2" t="s">
        <v>295</v>
      </c>
      <c r="F292" s="145">
        <v>2017</v>
      </c>
      <c r="H292" s="2" t="s">
        <v>1310</v>
      </c>
      <c r="I292" s="72">
        <v>44178</v>
      </c>
      <c r="K292" s="2" t="s">
        <v>1311</v>
      </c>
    </row>
    <row r="293" spans="1:11">
      <c r="A293" s="2" t="s">
        <v>767</v>
      </c>
      <c r="B293" s="2" t="s">
        <v>43</v>
      </c>
      <c r="C293" s="2" t="s">
        <v>1309</v>
      </c>
      <c r="D293" s="40">
        <v>911000</v>
      </c>
      <c r="E293" s="2" t="s">
        <v>295</v>
      </c>
      <c r="F293" s="145">
        <v>2020</v>
      </c>
      <c r="H293" s="2" t="s">
        <v>1310</v>
      </c>
      <c r="I293" s="72">
        <v>44181</v>
      </c>
      <c r="K293" s="2" t="s">
        <v>1311</v>
      </c>
    </row>
    <row r="294" spans="1:11">
      <c r="A294" s="2" t="s">
        <v>768</v>
      </c>
      <c r="B294" s="2" t="s">
        <v>43</v>
      </c>
      <c r="C294" s="2" t="s">
        <v>1309</v>
      </c>
      <c r="D294" s="40">
        <v>914000</v>
      </c>
      <c r="E294" s="2" t="s">
        <v>295</v>
      </c>
      <c r="F294" s="145">
        <v>2023</v>
      </c>
      <c r="H294" s="2" t="s">
        <v>1310</v>
      </c>
      <c r="I294" s="72">
        <v>44184</v>
      </c>
      <c r="K294" s="2" t="s">
        <v>1311</v>
      </c>
    </row>
    <row r="295" spans="1:11">
      <c r="A295" s="2" t="s">
        <v>769</v>
      </c>
      <c r="B295" s="2" t="s">
        <v>43</v>
      </c>
      <c r="C295" s="2" t="s">
        <v>1309</v>
      </c>
      <c r="D295" s="40">
        <v>917000</v>
      </c>
      <c r="E295" s="2" t="s">
        <v>295</v>
      </c>
      <c r="F295" s="145">
        <v>2026</v>
      </c>
      <c r="H295" s="2" t="s">
        <v>1310</v>
      </c>
      <c r="I295" s="72">
        <v>44187</v>
      </c>
      <c r="K295" s="2" t="s">
        <v>1311</v>
      </c>
    </row>
    <row r="296" spans="1:11">
      <c r="A296" s="2" t="s">
        <v>770</v>
      </c>
      <c r="B296" s="2" t="s">
        <v>43</v>
      </c>
      <c r="C296" s="2" t="s">
        <v>1309</v>
      </c>
      <c r="D296" s="40">
        <v>920000</v>
      </c>
      <c r="E296" s="2" t="s">
        <v>295</v>
      </c>
      <c r="F296" s="145">
        <v>2029</v>
      </c>
      <c r="H296" s="2" t="s">
        <v>1310</v>
      </c>
      <c r="I296" s="72">
        <v>44190</v>
      </c>
      <c r="K296" s="2" t="s">
        <v>1311</v>
      </c>
    </row>
    <row r="297" spans="1:11">
      <c r="A297" s="2" t="s">
        <v>58</v>
      </c>
      <c r="B297" s="2" t="s">
        <v>43</v>
      </c>
      <c r="C297" s="2" t="s">
        <v>1309</v>
      </c>
      <c r="D297" s="40">
        <v>923000</v>
      </c>
      <c r="E297" s="2" t="s">
        <v>295</v>
      </c>
      <c r="F297" s="145">
        <v>2032</v>
      </c>
      <c r="H297" s="2" t="s">
        <v>1310</v>
      </c>
      <c r="I297" s="72">
        <v>44193</v>
      </c>
      <c r="K297" s="2" t="s">
        <v>1311</v>
      </c>
    </row>
    <row r="298" spans="1:11">
      <c r="A298" s="2" t="s">
        <v>771</v>
      </c>
      <c r="B298" s="2" t="s">
        <v>43</v>
      </c>
      <c r="C298" s="2" t="s">
        <v>1309</v>
      </c>
      <c r="D298" s="40">
        <v>926000</v>
      </c>
      <c r="E298" s="2" t="s">
        <v>295</v>
      </c>
      <c r="F298" s="145">
        <v>2035</v>
      </c>
      <c r="H298" s="2" t="s">
        <v>1310</v>
      </c>
      <c r="I298" s="72">
        <v>44196</v>
      </c>
      <c r="K298" s="2" t="s">
        <v>1311</v>
      </c>
    </row>
    <row r="299" spans="1:11">
      <c r="A299" s="2" t="s">
        <v>772</v>
      </c>
      <c r="B299" s="2" t="s">
        <v>43</v>
      </c>
      <c r="C299" s="2" t="s">
        <v>1309</v>
      </c>
      <c r="D299" s="40">
        <v>929000</v>
      </c>
      <c r="E299" s="2" t="s">
        <v>295</v>
      </c>
      <c r="F299" s="145">
        <v>2038</v>
      </c>
      <c r="H299" s="2" t="s">
        <v>1310</v>
      </c>
      <c r="I299" s="72">
        <v>44199</v>
      </c>
      <c r="K299" s="2" t="s">
        <v>1311</v>
      </c>
    </row>
    <row r="300" spans="1:11">
      <c r="A300" s="2" t="s">
        <v>773</v>
      </c>
      <c r="B300" s="2" t="s">
        <v>43</v>
      </c>
      <c r="C300" s="2" t="s">
        <v>1309</v>
      </c>
      <c r="D300" s="40">
        <v>932000</v>
      </c>
      <c r="E300" s="2" t="s">
        <v>295</v>
      </c>
      <c r="F300" s="145">
        <v>2041</v>
      </c>
      <c r="H300" s="2" t="s">
        <v>1310</v>
      </c>
      <c r="I300" s="72">
        <v>44202</v>
      </c>
      <c r="K300" s="2" t="s">
        <v>1311</v>
      </c>
    </row>
    <row r="301" spans="1:11">
      <c r="A301" s="2" t="s">
        <v>774</v>
      </c>
      <c r="B301" s="2" t="s">
        <v>43</v>
      </c>
      <c r="C301" s="2" t="s">
        <v>1309</v>
      </c>
      <c r="D301" s="40">
        <v>935000</v>
      </c>
      <c r="E301" s="2" t="s">
        <v>295</v>
      </c>
      <c r="F301" s="145">
        <v>2044</v>
      </c>
      <c r="H301" s="2" t="s">
        <v>1310</v>
      </c>
      <c r="I301" s="72">
        <v>44205</v>
      </c>
      <c r="K301" s="2" t="s">
        <v>1311</v>
      </c>
    </row>
    <row r="302" spans="1:11">
      <c r="A302" s="2" t="s">
        <v>775</v>
      </c>
      <c r="B302" s="2" t="s">
        <v>43</v>
      </c>
      <c r="C302" s="2" t="s">
        <v>1309</v>
      </c>
      <c r="D302" s="40">
        <v>938000</v>
      </c>
      <c r="E302" s="2" t="s">
        <v>295</v>
      </c>
      <c r="F302" s="145">
        <v>2047</v>
      </c>
      <c r="H302" s="2" t="s">
        <v>1310</v>
      </c>
      <c r="I302" s="72">
        <v>44208</v>
      </c>
      <c r="K302" s="2" t="s">
        <v>1311</v>
      </c>
    </row>
    <row r="303" spans="1:11">
      <c r="A303" s="2" t="s">
        <v>776</v>
      </c>
      <c r="B303" s="2" t="s">
        <v>43</v>
      </c>
      <c r="C303" s="2" t="s">
        <v>1309</v>
      </c>
      <c r="D303" s="40">
        <v>941000</v>
      </c>
      <c r="E303" s="2" t="s">
        <v>295</v>
      </c>
      <c r="F303" s="145">
        <v>2050</v>
      </c>
      <c r="H303" s="2" t="s">
        <v>1310</v>
      </c>
      <c r="I303" s="72">
        <v>44211</v>
      </c>
      <c r="K303" s="2" t="s">
        <v>1311</v>
      </c>
    </row>
    <row r="304" spans="1:11">
      <c r="A304" s="2" t="s">
        <v>777</v>
      </c>
      <c r="B304" s="2" t="s">
        <v>43</v>
      </c>
      <c r="C304" s="2" t="s">
        <v>1309</v>
      </c>
      <c r="D304" s="40">
        <v>944000</v>
      </c>
      <c r="E304" s="2" t="s">
        <v>295</v>
      </c>
      <c r="F304" s="145">
        <v>2053</v>
      </c>
      <c r="H304" s="2" t="s">
        <v>1310</v>
      </c>
      <c r="I304" s="72">
        <v>44214</v>
      </c>
      <c r="K304" s="2" t="s">
        <v>1311</v>
      </c>
    </row>
    <row r="305" spans="1:11">
      <c r="A305" s="2" t="s">
        <v>778</v>
      </c>
      <c r="B305" s="2" t="s">
        <v>43</v>
      </c>
      <c r="C305" s="2" t="s">
        <v>1309</v>
      </c>
      <c r="D305" s="40">
        <v>947000</v>
      </c>
      <c r="E305" s="2" t="s">
        <v>295</v>
      </c>
      <c r="F305" s="145">
        <v>2056</v>
      </c>
      <c r="H305" s="2" t="s">
        <v>1310</v>
      </c>
      <c r="I305" s="72">
        <v>44217</v>
      </c>
      <c r="K305" s="2" t="s">
        <v>1311</v>
      </c>
    </row>
    <row r="306" spans="1:11">
      <c r="A306" s="2" t="s">
        <v>779</v>
      </c>
      <c r="B306" s="2" t="s">
        <v>43</v>
      </c>
      <c r="C306" s="2" t="s">
        <v>1309</v>
      </c>
      <c r="D306" s="40">
        <v>950000</v>
      </c>
      <c r="E306" s="2" t="s">
        <v>295</v>
      </c>
      <c r="F306" s="145">
        <v>2059</v>
      </c>
      <c r="H306" s="2" t="s">
        <v>1310</v>
      </c>
      <c r="I306" s="72">
        <v>44220</v>
      </c>
      <c r="K306" s="2" t="s">
        <v>1311</v>
      </c>
    </row>
    <row r="307" spans="1:11">
      <c r="A307" s="2" t="s">
        <v>780</v>
      </c>
      <c r="B307" s="2" t="s">
        <v>43</v>
      </c>
      <c r="C307" s="2" t="s">
        <v>1309</v>
      </c>
      <c r="D307" s="40">
        <v>953000</v>
      </c>
      <c r="E307" s="2" t="s">
        <v>295</v>
      </c>
      <c r="F307" s="145">
        <v>2062</v>
      </c>
      <c r="H307" s="2" t="s">
        <v>1310</v>
      </c>
      <c r="I307" s="72">
        <v>44223</v>
      </c>
      <c r="K307" s="2" t="s">
        <v>1311</v>
      </c>
    </row>
    <row r="308" spans="1:11">
      <c r="A308" s="2" t="s">
        <v>781</v>
      </c>
      <c r="B308" s="2" t="s">
        <v>43</v>
      </c>
      <c r="C308" s="2" t="s">
        <v>1309</v>
      </c>
      <c r="D308" s="40">
        <v>956000</v>
      </c>
      <c r="E308" s="2" t="s">
        <v>295</v>
      </c>
      <c r="F308" s="145">
        <v>2065</v>
      </c>
      <c r="H308" s="2" t="s">
        <v>1310</v>
      </c>
      <c r="I308" s="72">
        <v>44226</v>
      </c>
      <c r="K308" s="2" t="s">
        <v>1311</v>
      </c>
    </row>
    <row r="309" spans="1:11">
      <c r="A309" s="2" t="s">
        <v>782</v>
      </c>
      <c r="B309" s="2" t="s">
        <v>43</v>
      </c>
      <c r="C309" s="2" t="s">
        <v>1309</v>
      </c>
      <c r="D309" s="40">
        <v>959000</v>
      </c>
      <c r="E309" s="2" t="s">
        <v>295</v>
      </c>
      <c r="F309" s="145">
        <v>2068</v>
      </c>
      <c r="H309" s="2" t="s">
        <v>1310</v>
      </c>
      <c r="I309" s="72">
        <v>44229</v>
      </c>
      <c r="K309" s="2" t="s">
        <v>1311</v>
      </c>
    </row>
    <row r="310" spans="1:11">
      <c r="A310" s="2" t="s">
        <v>783</v>
      </c>
      <c r="B310" s="2" t="s">
        <v>43</v>
      </c>
      <c r="C310" s="2" t="s">
        <v>1309</v>
      </c>
      <c r="D310" s="40">
        <v>962000</v>
      </c>
      <c r="E310" s="2" t="s">
        <v>295</v>
      </c>
      <c r="F310" s="145">
        <v>2071</v>
      </c>
      <c r="H310" s="2" t="s">
        <v>1310</v>
      </c>
      <c r="I310" s="72">
        <v>44232</v>
      </c>
      <c r="K310" s="2" t="s">
        <v>1311</v>
      </c>
    </row>
    <row r="311" spans="1:11">
      <c r="A311" s="2" t="s">
        <v>784</v>
      </c>
      <c r="B311" s="2" t="s">
        <v>43</v>
      </c>
      <c r="C311" s="2" t="s">
        <v>1309</v>
      </c>
      <c r="D311" s="40">
        <v>965000</v>
      </c>
      <c r="E311" s="2" t="s">
        <v>295</v>
      </c>
      <c r="F311" s="145">
        <v>2074</v>
      </c>
      <c r="H311" s="2" t="s">
        <v>1310</v>
      </c>
      <c r="I311" s="72">
        <v>44235</v>
      </c>
      <c r="K311" s="2" t="s">
        <v>1311</v>
      </c>
    </row>
    <row r="312" spans="1:11">
      <c r="A312" s="2" t="s">
        <v>785</v>
      </c>
      <c r="B312" s="2" t="s">
        <v>43</v>
      </c>
      <c r="C312" s="2" t="s">
        <v>1309</v>
      </c>
      <c r="D312" s="40">
        <v>968000</v>
      </c>
      <c r="E312" s="2" t="s">
        <v>295</v>
      </c>
      <c r="F312" s="145">
        <v>2077</v>
      </c>
      <c r="H312" s="2" t="s">
        <v>1310</v>
      </c>
      <c r="I312" s="72">
        <v>44238</v>
      </c>
      <c r="K312" s="2" t="s">
        <v>1311</v>
      </c>
    </row>
    <row r="313" spans="1:11">
      <c r="A313" s="2" t="s">
        <v>786</v>
      </c>
      <c r="B313" s="2" t="s">
        <v>43</v>
      </c>
      <c r="C313" s="2" t="s">
        <v>1309</v>
      </c>
      <c r="D313" s="40">
        <v>971000</v>
      </c>
      <c r="E313" s="2" t="s">
        <v>295</v>
      </c>
      <c r="F313" s="145">
        <v>2080</v>
      </c>
      <c r="H313" s="2" t="s">
        <v>1310</v>
      </c>
      <c r="I313" s="72">
        <v>44241</v>
      </c>
      <c r="K313" s="2" t="s">
        <v>1311</v>
      </c>
    </row>
    <row r="314" spans="1:11">
      <c r="A314" s="2" t="s">
        <v>787</v>
      </c>
      <c r="B314" s="2" t="s">
        <v>43</v>
      </c>
      <c r="C314" s="2" t="s">
        <v>1309</v>
      </c>
      <c r="D314" s="40">
        <v>974000</v>
      </c>
      <c r="E314" s="2" t="s">
        <v>295</v>
      </c>
      <c r="F314" s="145">
        <v>2083</v>
      </c>
      <c r="H314" s="2" t="s">
        <v>1310</v>
      </c>
      <c r="I314" s="72">
        <v>44244</v>
      </c>
      <c r="K314" s="2" t="s">
        <v>1311</v>
      </c>
    </row>
    <row r="315" spans="1:11">
      <c r="A315" s="2" t="s">
        <v>788</v>
      </c>
      <c r="B315" s="2" t="s">
        <v>43</v>
      </c>
      <c r="C315" s="2" t="s">
        <v>1309</v>
      </c>
      <c r="D315" s="40">
        <v>977000</v>
      </c>
      <c r="E315" s="2" t="s">
        <v>295</v>
      </c>
      <c r="F315" s="145">
        <v>2086</v>
      </c>
      <c r="H315" s="2" t="s">
        <v>1310</v>
      </c>
      <c r="I315" s="72">
        <v>44247</v>
      </c>
      <c r="K315" s="2" t="s">
        <v>1311</v>
      </c>
    </row>
    <row r="316" spans="1:11">
      <c r="A316" s="2" t="s">
        <v>789</v>
      </c>
      <c r="B316" s="2" t="s">
        <v>43</v>
      </c>
      <c r="C316" s="2" t="s">
        <v>1309</v>
      </c>
      <c r="D316" s="40">
        <v>980000</v>
      </c>
      <c r="E316" s="2" t="s">
        <v>295</v>
      </c>
      <c r="F316" s="145">
        <v>2089</v>
      </c>
      <c r="H316" s="2" t="s">
        <v>1310</v>
      </c>
      <c r="I316" s="72">
        <v>44250</v>
      </c>
      <c r="K316" s="2" t="s">
        <v>1311</v>
      </c>
    </row>
    <row r="317" spans="1:11">
      <c r="A317" s="2" t="s">
        <v>790</v>
      </c>
      <c r="B317" s="2" t="s">
        <v>43</v>
      </c>
      <c r="C317" s="2" t="s">
        <v>1309</v>
      </c>
      <c r="D317" s="40">
        <v>983000</v>
      </c>
      <c r="E317" s="2" t="s">
        <v>295</v>
      </c>
      <c r="F317" s="145">
        <v>2092</v>
      </c>
      <c r="H317" s="2" t="s">
        <v>1310</v>
      </c>
      <c r="I317" s="72">
        <v>44253</v>
      </c>
      <c r="K317" s="2" t="s">
        <v>1311</v>
      </c>
    </row>
    <row r="318" spans="1:11">
      <c r="A318" s="2" t="s">
        <v>791</v>
      </c>
      <c r="B318" s="2" t="s">
        <v>43</v>
      </c>
      <c r="C318" s="2" t="s">
        <v>1309</v>
      </c>
      <c r="D318" s="40">
        <v>986000</v>
      </c>
      <c r="E318" s="2" t="s">
        <v>295</v>
      </c>
      <c r="F318" s="145">
        <v>2095</v>
      </c>
      <c r="H318" s="2" t="s">
        <v>1310</v>
      </c>
      <c r="I318" s="72">
        <v>44256</v>
      </c>
      <c r="K318" s="2" t="s">
        <v>1311</v>
      </c>
    </row>
    <row r="319" spans="1:11">
      <c r="A319" s="2" t="s">
        <v>792</v>
      </c>
      <c r="B319" s="2" t="s">
        <v>43</v>
      </c>
      <c r="C319" s="2" t="s">
        <v>1309</v>
      </c>
      <c r="D319" s="40">
        <v>989000</v>
      </c>
      <c r="E319" s="2" t="s">
        <v>295</v>
      </c>
      <c r="F319" s="145">
        <v>2098</v>
      </c>
      <c r="H319" s="2" t="s">
        <v>1310</v>
      </c>
      <c r="I319" s="72">
        <v>44259</v>
      </c>
      <c r="K319" s="2" t="s">
        <v>1311</v>
      </c>
    </row>
    <row r="320" spans="1:11">
      <c r="A320" s="2" t="s">
        <v>793</v>
      </c>
      <c r="B320" s="2" t="s">
        <v>43</v>
      </c>
      <c r="C320" s="2" t="s">
        <v>1309</v>
      </c>
      <c r="D320" s="40">
        <v>992000</v>
      </c>
      <c r="E320" s="2" t="s">
        <v>295</v>
      </c>
      <c r="F320" s="145">
        <v>2101</v>
      </c>
      <c r="H320" s="2" t="s">
        <v>1310</v>
      </c>
      <c r="I320" s="72">
        <v>44262</v>
      </c>
      <c r="K320" s="2" t="s">
        <v>1311</v>
      </c>
    </row>
    <row r="321" spans="1:11">
      <c r="A321" s="2" t="s">
        <v>794</v>
      </c>
      <c r="B321" s="2" t="s">
        <v>43</v>
      </c>
      <c r="C321" s="2" t="s">
        <v>1309</v>
      </c>
      <c r="D321" s="40">
        <v>995000</v>
      </c>
      <c r="E321" s="2" t="s">
        <v>295</v>
      </c>
      <c r="F321" s="145">
        <v>2104</v>
      </c>
      <c r="H321" s="2" t="s">
        <v>1310</v>
      </c>
      <c r="I321" s="72">
        <v>44265</v>
      </c>
      <c r="K321" s="2" t="s">
        <v>1311</v>
      </c>
    </row>
    <row r="322" spans="1:11">
      <c r="A322" s="2" t="s">
        <v>795</v>
      </c>
      <c r="B322" s="2" t="s">
        <v>43</v>
      </c>
      <c r="C322" s="2" t="s">
        <v>1309</v>
      </c>
      <c r="D322" s="40">
        <v>998000</v>
      </c>
      <c r="E322" s="2" t="s">
        <v>295</v>
      </c>
      <c r="F322" s="145">
        <v>2107</v>
      </c>
      <c r="H322" s="2" t="s">
        <v>1310</v>
      </c>
      <c r="I322" s="72">
        <v>44268</v>
      </c>
      <c r="K322" s="2" t="s">
        <v>1311</v>
      </c>
    </row>
    <row r="323" spans="1:11">
      <c r="A323" s="2" t="s">
        <v>796</v>
      </c>
      <c r="B323" s="2" t="s">
        <v>43</v>
      </c>
      <c r="C323" s="2" t="s">
        <v>1309</v>
      </c>
      <c r="D323" s="40">
        <v>1001000</v>
      </c>
      <c r="E323" s="2" t="s">
        <v>295</v>
      </c>
      <c r="F323" s="145">
        <v>2110</v>
      </c>
      <c r="H323" s="2" t="s">
        <v>1310</v>
      </c>
      <c r="I323" s="72">
        <v>44271</v>
      </c>
      <c r="K323" s="2" t="s">
        <v>1311</v>
      </c>
    </row>
    <row r="324" spans="1:11">
      <c r="A324" s="2" t="s">
        <v>797</v>
      </c>
      <c r="B324" s="2" t="s">
        <v>43</v>
      </c>
      <c r="C324" s="2" t="s">
        <v>1309</v>
      </c>
      <c r="D324" s="40">
        <v>1004000</v>
      </c>
      <c r="E324" s="2" t="s">
        <v>295</v>
      </c>
      <c r="F324" s="145">
        <v>2113</v>
      </c>
      <c r="H324" s="2" t="s">
        <v>1310</v>
      </c>
      <c r="I324" s="72">
        <v>44274</v>
      </c>
      <c r="K324" s="2" t="s">
        <v>1311</v>
      </c>
    </row>
    <row r="325" spans="1:11">
      <c r="A325" s="2" t="s">
        <v>798</v>
      </c>
      <c r="B325" s="2" t="s">
        <v>43</v>
      </c>
      <c r="C325" s="2" t="s">
        <v>1309</v>
      </c>
      <c r="D325" s="40">
        <v>1007000</v>
      </c>
      <c r="E325" s="2" t="s">
        <v>295</v>
      </c>
      <c r="F325" s="145">
        <v>2116</v>
      </c>
      <c r="H325" s="2" t="s">
        <v>1310</v>
      </c>
      <c r="I325" s="72">
        <v>44277</v>
      </c>
      <c r="K325" s="2" t="s">
        <v>1311</v>
      </c>
    </row>
    <row r="326" spans="1:11">
      <c r="A326" s="2" t="s">
        <v>799</v>
      </c>
      <c r="B326" s="2" t="s">
        <v>43</v>
      </c>
      <c r="C326" s="2" t="s">
        <v>1309</v>
      </c>
      <c r="D326" s="40">
        <v>1010000</v>
      </c>
      <c r="E326" s="2" t="s">
        <v>295</v>
      </c>
      <c r="F326" s="145">
        <v>2119</v>
      </c>
      <c r="H326" s="2" t="s">
        <v>1310</v>
      </c>
      <c r="I326" s="72">
        <v>44280</v>
      </c>
      <c r="K326" s="2" t="s">
        <v>1311</v>
      </c>
    </row>
    <row r="327" spans="1:11">
      <c r="A327" s="2" t="s">
        <v>800</v>
      </c>
      <c r="B327" s="2" t="s">
        <v>43</v>
      </c>
      <c r="C327" s="2" t="s">
        <v>1309</v>
      </c>
      <c r="D327" s="40">
        <v>1013000</v>
      </c>
      <c r="E327" s="2" t="s">
        <v>295</v>
      </c>
      <c r="F327" s="145">
        <v>2122</v>
      </c>
      <c r="H327" s="2" t="s">
        <v>1310</v>
      </c>
      <c r="I327" s="72">
        <v>44283</v>
      </c>
      <c r="K327" s="2" t="s">
        <v>1311</v>
      </c>
    </row>
    <row r="328" spans="1:11">
      <c r="A328" s="2" t="s">
        <v>801</v>
      </c>
      <c r="B328" s="2" t="s">
        <v>43</v>
      </c>
      <c r="C328" s="2" t="s">
        <v>1309</v>
      </c>
      <c r="D328" s="40">
        <v>1016000</v>
      </c>
      <c r="E328" s="2" t="s">
        <v>295</v>
      </c>
      <c r="F328" s="145">
        <v>2125</v>
      </c>
      <c r="H328" s="2" t="s">
        <v>1310</v>
      </c>
      <c r="I328" s="72">
        <v>44286</v>
      </c>
      <c r="K328" s="2" t="s">
        <v>1311</v>
      </c>
    </row>
    <row r="329" spans="1:11">
      <c r="A329" s="2" t="s">
        <v>802</v>
      </c>
      <c r="B329" s="2" t="s">
        <v>43</v>
      </c>
      <c r="C329" s="2" t="s">
        <v>1309</v>
      </c>
      <c r="D329" s="40">
        <v>1019000</v>
      </c>
      <c r="E329" s="2" t="s">
        <v>295</v>
      </c>
      <c r="F329" s="145">
        <v>2128</v>
      </c>
      <c r="H329" s="2" t="s">
        <v>1310</v>
      </c>
      <c r="I329" s="72">
        <v>44289</v>
      </c>
      <c r="K329" s="2" t="s">
        <v>1311</v>
      </c>
    </row>
    <row r="330" spans="1:11">
      <c r="A330" s="2" t="s">
        <v>803</v>
      </c>
      <c r="B330" s="2" t="s">
        <v>43</v>
      </c>
      <c r="C330" s="2" t="s">
        <v>1309</v>
      </c>
      <c r="D330" s="40">
        <v>1022000</v>
      </c>
      <c r="E330" s="2" t="s">
        <v>295</v>
      </c>
      <c r="F330" s="145">
        <v>2131</v>
      </c>
      <c r="H330" s="2" t="s">
        <v>1310</v>
      </c>
      <c r="I330" s="72">
        <v>44292</v>
      </c>
      <c r="K330" s="2" t="s">
        <v>1311</v>
      </c>
    </row>
    <row r="331" spans="1:11">
      <c r="A331" s="2" t="s">
        <v>804</v>
      </c>
      <c r="B331" s="2" t="s">
        <v>43</v>
      </c>
      <c r="C331" s="2" t="s">
        <v>1309</v>
      </c>
      <c r="D331" s="40">
        <v>1025000</v>
      </c>
      <c r="E331" s="2" t="s">
        <v>295</v>
      </c>
      <c r="F331" s="145">
        <v>2134</v>
      </c>
      <c r="H331" s="2" t="s">
        <v>1310</v>
      </c>
      <c r="I331" s="72">
        <v>44295</v>
      </c>
      <c r="K331" s="2" t="s">
        <v>1311</v>
      </c>
    </row>
    <row r="332" spans="1:11">
      <c r="A332" s="2" t="s">
        <v>805</v>
      </c>
      <c r="B332" s="2" t="s">
        <v>43</v>
      </c>
      <c r="C332" s="2" t="s">
        <v>1309</v>
      </c>
      <c r="D332" s="40">
        <v>1028000</v>
      </c>
      <c r="E332" s="2" t="s">
        <v>295</v>
      </c>
      <c r="F332" s="145">
        <v>2137</v>
      </c>
      <c r="H332" s="2" t="s">
        <v>1310</v>
      </c>
      <c r="I332" s="72">
        <v>44298</v>
      </c>
      <c r="K332" s="2" t="s">
        <v>1311</v>
      </c>
    </row>
    <row r="333" spans="1:11">
      <c r="A333" s="2" t="s">
        <v>806</v>
      </c>
      <c r="B333" s="2" t="s">
        <v>43</v>
      </c>
      <c r="C333" s="2" t="s">
        <v>1309</v>
      </c>
      <c r="D333" s="40">
        <v>1031000</v>
      </c>
      <c r="E333" s="2" t="s">
        <v>295</v>
      </c>
      <c r="F333" s="145">
        <v>2140</v>
      </c>
      <c r="H333" s="2" t="s">
        <v>1310</v>
      </c>
      <c r="I333" s="72">
        <v>44301</v>
      </c>
      <c r="K333" s="2" t="s">
        <v>1311</v>
      </c>
    </row>
    <row r="334" spans="1:11">
      <c r="A334" s="2" t="s">
        <v>807</v>
      </c>
      <c r="B334" s="2" t="s">
        <v>43</v>
      </c>
      <c r="C334" s="2" t="s">
        <v>1309</v>
      </c>
      <c r="D334" s="40">
        <v>1034000</v>
      </c>
      <c r="E334" s="2" t="s">
        <v>295</v>
      </c>
      <c r="F334" s="145">
        <v>2143</v>
      </c>
      <c r="H334" s="2" t="s">
        <v>1310</v>
      </c>
      <c r="I334" s="72">
        <v>44304</v>
      </c>
      <c r="K334" s="2" t="s">
        <v>1311</v>
      </c>
    </row>
    <row r="335" spans="1:11">
      <c r="A335" s="2" t="s">
        <v>808</v>
      </c>
      <c r="B335" s="2" t="s">
        <v>43</v>
      </c>
      <c r="C335" s="2" t="s">
        <v>1309</v>
      </c>
      <c r="D335" s="40">
        <v>1037000</v>
      </c>
      <c r="E335" s="2" t="s">
        <v>295</v>
      </c>
      <c r="F335" s="145">
        <v>2146</v>
      </c>
      <c r="H335" s="2" t="s">
        <v>1310</v>
      </c>
      <c r="I335" s="72">
        <v>44307</v>
      </c>
      <c r="K335" s="2" t="s">
        <v>1311</v>
      </c>
    </row>
    <row r="336" spans="1:11">
      <c r="A336" s="2" t="s">
        <v>809</v>
      </c>
      <c r="B336" s="2" t="s">
        <v>43</v>
      </c>
      <c r="C336" s="2" t="s">
        <v>1309</v>
      </c>
      <c r="D336" s="40">
        <v>1040000</v>
      </c>
      <c r="E336" s="2" t="s">
        <v>295</v>
      </c>
      <c r="F336" s="145">
        <v>2149</v>
      </c>
      <c r="H336" s="2" t="s">
        <v>1310</v>
      </c>
      <c r="I336" s="72">
        <v>44310</v>
      </c>
      <c r="K336" s="2" t="s">
        <v>1311</v>
      </c>
    </row>
    <row r="337" spans="1:11">
      <c r="A337" s="2" t="s">
        <v>810</v>
      </c>
      <c r="B337" s="2" t="s">
        <v>43</v>
      </c>
      <c r="C337" s="2" t="s">
        <v>1309</v>
      </c>
      <c r="D337" s="40">
        <v>1043000</v>
      </c>
      <c r="E337" s="2" t="s">
        <v>295</v>
      </c>
      <c r="F337" s="145">
        <v>2152</v>
      </c>
      <c r="H337" s="2" t="s">
        <v>1310</v>
      </c>
      <c r="I337" s="72">
        <v>44313</v>
      </c>
      <c r="K337" s="2" t="s">
        <v>1311</v>
      </c>
    </row>
    <row r="338" spans="1:11">
      <c r="A338" s="2" t="s">
        <v>811</v>
      </c>
      <c r="B338" s="2" t="s">
        <v>43</v>
      </c>
      <c r="C338" s="2" t="s">
        <v>1309</v>
      </c>
      <c r="D338" s="40">
        <v>1046000</v>
      </c>
      <c r="E338" s="2" t="s">
        <v>295</v>
      </c>
      <c r="F338" s="145">
        <v>2155</v>
      </c>
      <c r="H338" s="2" t="s">
        <v>1310</v>
      </c>
      <c r="I338" s="72">
        <v>44316</v>
      </c>
      <c r="K338" s="2" t="s">
        <v>1311</v>
      </c>
    </row>
    <row r="339" spans="1:11">
      <c r="A339" s="2" t="s">
        <v>61</v>
      </c>
      <c r="B339" s="2" t="s">
        <v>43</v>
      </c>
      <c r="C339" s="2" t="s">
        <v>1309</v>
      </c>
      <c r="D339" s="40">
        <v>1049000</v>
      </c>
      <c r="E339" s="2" t="s">
        <v>295</v>
      </c>
      <c r="F339" s="145">
        <v>2158</v>
      </c>
      <c r="H339" s="2" t="s">
        <v>1310</v>
      </c>
      <c r="I339" s="72">
        <v>44319</v>
      </c>
      <c r="K339" s="2" t="s">
        <v>1311</v>
      </c>
    </row>
    <row r="340" spans="1:11">
      <c r="A340" s="2" t="s">
        <v>812</v>
      </c>
      <c r="B340" s="2" t="s">
        <v>43</v>
      </c>
      <c r="C340" s="2" t="s">
        <v>1309</v>
      </c>
      <c r="D340" s="40">
        <v>1052000</v>
      </c>
      <c r="E340" s="2" t="s">
        <v>295</v>
      </c>
      <c r="F340" s="145">
        <v>2161</v>
      </c>
      <c r="H340" s="2" t="s">
        <v>1310</v>
      </c>
      <c r="I340" s="72">
        <v>44322</v>
      </c>
      <c r="K340" s="2" t="s">
        <v>1311</v>
      </c>
    </row>
    <row r="341" spans="1:11">
      <c r="A341" s="2" t="s">
        <v>813</v>
      </c>
      <c r="B341" s="2" t="s">
        <v>43</v>
      </c>
      <c r="C341" s="2" t="s">
        <v>1309</v>
      </c>
      <c r="D341" s="40">
        <v>1055000</v>
      </c>
      <c r="E341" s="2" t="s">
        <v>295</v>
      </c>
      <c r="F341" s="145">
        <v>2164</v>
      </c>
      <c r="H341" s="2" t="s">
        <v>1310</v>
      </c>
      <c r="I341" s="72">
        <v>44325</v>
      </c>
      <c r="K341" s="2" t="s">
        <v>1311</v>
      </c>
    </row>
    <row r="342" spans="1:11">
      <c r="A342" s="2" t="s">
        <v>814</v>
      </c>
      <c r="B342" s="2" t="s">
        <v>43</v>
      </c>
      <c r="C342" s="2" t="s">
        <v>1309</v>
      </c>
      <c r="D342" s="40">
        <v>1058000</v>
      </c>
      <c r="E342" s="2" t="s">
        <v>295</v>
      </c>
      <c r="F342" s="145">
        <v>2167</v>
      </c>
      <c r="H342" s="2" t="s">
        <v>1310</v>
      </c>
      <c r="I342" s="72">
        <v>44328</v>
      </c>
      <c r="K342" s="2" t="s">
        <v>1311</v>
      </c>
    </row>
    <row r="343" spans="1:11">
      <c r="A343" s="2" t="s">
        <v>815</v>
      </c>
      <c r="B343" s="2" t="s">
        <v>43</v>
      </c>
      <c r="C343" s="2" t="s">
        <v>1309</v>
      </c>
      <c r="D343" s="40">
        <v>1061000</v>
      </c>
      <c r="E343" s="2" t="s">
        <v>295</v>
      </c>
      <c r="F343" s="145">
        <v>2170</v>
      </c>
      <c r="H343" s="2" t="s">
        <v>1310</v>
      </c>
      <c r="I343" s="72">
        <v>44331</v>
      </c>
      <c r="K343" s="2" t="s">
        <v>1311</v>
      </c>
    </row>
    <row r="344" spans="1:11">
      <c r="A344" s="2" t="s">
        <v>816</v>
      </c>
      <c r="B344" s="2" t="s">
        <v>43</v>
      </c>
      <c r="C344" s="2" t="s">
        <v>1309</v>
      </c>
      <c r="D344" s="40">
        <v>1064000</v>
      </c>
      <c r="E344" s="2" t="s">
        <v>295</v>
      </c>
      <c r="F344" s="145">
        <v>2173</v>
      </c>
      <c r="H344" s="2" t="s">
        <v>1310</v>
      </c>
      <c r="I344" s="72">
        <v>44334</v>
      </c>
      <c r="K344" s="2" t="s">
        <v>1311</v>
      </c>
    </row>
    <row r="345" spans="1:11">
      <c r="A345" s="2" t="s">
        <v>817</v>
      </c>
      <c r="B345" s="2" t="s">
        <v>43</v>
      </c>
      <c r="C345" s="2" t="s">
        <v>1309</v>
      </c>
      <c r="D345" s="40">
        <v>1067000</v>
      </c>
      <c r="E345" s="2" t="s">
        <v>295</v>
      </c>
      <c r="F345" s="145">
        <v>2176</v>
      </c>
      <c r="H345" s="2" t="s">
        <v>1310</v>
      </c>
      <c r="I345" s="72">
        <v>44337</v>
      </c>
      <c r="K345" s="2" t="s">
        <v>1311</v>
      </c>
    </row>
    <row r="346" spans="1:11">
      <c r="A346" s="2" t="s">
        <v>818</v>
      </c>
      <c r="B346" s="2" t="s">
        <v>43</v>
      </c>
      <c r="C346" s="2" t="s">
        <v>1309</v>
      </c>
      <c r="D346" s="40">
        <v>1070000</v>
      </c>
      <c r="E346" s="2" t="s">
        <v>295</v>
      </c>
      <c r="F346" s="145">
        <v>2179</v>
      </c>
      <c r="H346" s="2" t="s">
        <v>1310</v>
      </c>
      <c r="I346" s="72">
        <v>44340</v>
      </c>
      <c r="K346" s="2" t="s">
        <v>1311</v>
      </c>
    </row>
    <row r="347" spans="1:11">
      <c r="A347" s="2" t="s">
        <v>819</v>
      </c>
      <c r="B347" s="2" t="s">
        <v>43</v>
      </c>
      <c r="C347" s="2" t="s">
        <v>1309</v>
      </c>
      <c r="D347" s="40">
        <v>1073000</v>
      </c>
      <c r="E347" s="2" t="s">
        <v>295</v>
      </c>
      <c r="F347" s="145">
        <v>2182</v>
      </c>
      <c r="H347" s="2" t="s">
        <v>1310</v>
      </c>
      <c r="I347" s="72">
        <v>44343</v>
      </c>
      <c r="K347" s="2" t="s">
        <v>1311</v>
      </c>
    </row>
    <row r="348" spans="1:11">
      <c r="A348" s="2" t="s">
        <v>820</v>
      </c>
      <c r="B348" s="2" t="s">
        <v>43</v>
      </c>
      <c r="C348" s="2" t="s">
        <v>1309</v>
      </c>
      <c r="D348" s="40">
        <v>1076000</v>
      </c>
      <c r="E348" s="2" t="s">
        <v>295</v>
      </c>
      <c r="F348" s="145">
        <v>2185</v>
      </c>
      <c r="H348" s="2" t="s">
        <v>1310</v>
      </c>
      <c r="I348" s="72">
        <v>44346</v>
      </c>
      <c r="K348" s="2" t="s">
        <v>1311</v>
      </c>
    </row>
    <row r="349" spans="1:11">
      <c r="A349" s="2" t="s">
        <v>821</v>
      </c>
      <c r="B349" s="2" t="s">
        <v>43</v>
      </c>
      <c r="C349" s="2" t="s">
        <v>1309</v>
      </c>
      <c r="D349" s="40">
        <v>1079000</v>
      </c>
      <c r="E349" s="2" t="s">
        <v>295</v>
      </c>
      <c r="F349" s="145">
        <v>2188</v>
      </c>
      <c r="H349" s="2" t="s">
        <v>1310</v>
      </c>
      <c r="I349" s="72">
        <v>44349</v>
      </c>
      <c r="K349" s="2" t="s">
        <v>1311</v>
      </c>
    </row>
    <row r="350" spans="1:11">
      <c r="A350" s="2" t="s">
        <v>822</v>
      </c>
      <c r="B350" s="2" t="s">
        <v>43</v>
      </c>
      <c r="C350" s="2" t="s">
        <v>1309</v>
      </c>
      <c r="D350" s="40">
        <v>1082000</v>
      </c>
      <c r="E350" s="2" t="s">
        <v>295</v>
      </c>
      <c r="F350" s="145">
        <v>2191</v>
      </c>
      <c r="H350" s="2" t="s">
        <v>1310</v>
      </c>
      <c r="I350" s="72">
        <v>44352</v>
      </c>
      <c r="K350" s="2" t="s">
        <v>1311</v>
      </c>
    </row>
    <row r="351" spans="1:11">
      <c r="A351" s="2" t="s">
        <v>823</v>
      </c>
      <c r="B351" s="2" t="s">
        <v>43</v>
      </c>
      <c r="C351" s="2" t="s">
        <v>1309</v>
      </c>
      <c r="D351" s="40">
        <v>1085000</v>
      </c>
      <c r="E351" s="2" t="s">
        <v>295</v>
      </c>
      <c r="F351" s="145">
        <v>2194</v>
      </c>
      <c r="H351" s="2" t="s">
        <v>1310</v>
      </c>
      <c r="I351" s="72">
        <v>44355</v>
      </c>
      <c r="K351" s="2" t="s">
        <v>1311</v>
      </c>
    </row>
    <row r="352" spans="1:11">
      <c r="A352" s="2" t="s">
        <v>824</v>
      </c>
      <c r="B352" s="2" t="s">
        <v>43</v>
      </c>
      <c r="C352" s="2" t="s">
        <v>1309</v>
      </c>
      <c r="D352" s="40">
        <v>1088000</v>
      </c>
      <c r="E352" s="2" t="s">
        <v>295</v>
      </c>
      <c r="F352" s="145">
        <v>2197</v>
      </c>
      <c r="H352" s="2" t="s">
        <v>1310</v>
      </c>
      <c r="I352" s="72">
        <v>44358</v>
      </c>
      <c r="K352" s="2" t="s">
        <v>1311</v>
      </c>
    </row>
    <row r="353" spans="1:11">
      <c r="A353" s="2" t="s">
        <v>825</v>
      </c>
      <c r="B353" s="2" t="s">
        <v>43</v>
      </c>
      <c r="C353" s="2" t="s">
        <v>1309</v>
      </c>
      <c r="D353" s="40">
        <v>1091000</v>
      </c>
      <c r="E353" s="2" t="s">
        <v>295</v>
      </c>
      <c r="F353" s="145">
        <v>2200</v>
      </c>
      <c r="H353" s="2" t="s">
        <v>1310</v>
      </c>
      <c r="I353" s="72">
        <v>44361</v>
      </c>
      <c r="K353" s="2" t="s">
        <v>1311</v>
      </c>
    </row>
    <row r="354" spans="1:11">
      <c r="A354" s="2" t="s">
        <v>826</v>
      </c>
      <c r="B354" s="2" t="s">
        <v>43</v>
      </c>
      <c r="C354" s="2" t="s">
        <v>1309</v>
      </c>
      <c r="D354" s="40">
        <v>1094000</v>
      </c>
      <c r="E354" s="2" t="s">
        <v>295</v>
      </c>
      <c r="F354" s="145">
        <v>2203</v>
      </c>
      <c r="H354" s="2" t="s">
        <v>1310</v>
      </c>
      <c r="I354" s="72">
        <v>44364</v>
      </c>
      <c r="K354" s="2" t="s">
        <v>1311</v>
      </c>
    </row>
    <row r="355" spans="1:11">
      <c r="A355" s="2" t="s">
        <v>827</v>
      </c>
      <c r="B355" s="2" t="s">
        <v>43</v>
      </c>
      <c r="C355" s="2" t="s">
        <v>1309</v>
      </c>
      <c r="D355" s="40">
        <v>1097000</v>
      </c>
      <c r="E355" s="2" t="s">
        <v>295</v>
      </c>
      <c r="F355" s="145">
        <v>2206</v>
      </c>
      <c r="H355" s="2" t="s">
        <v>1310</v>
      </c>
      <c r="I355" s="72">
        <v>44367</v>
      </c>
      <c r="K355" s="2" t="s">
        <v>1311</v>
      </c>
    </row>
    <row r="356" spans="1:11">
      <c r="A356" s="2" t="s">
        <v>828</v>
      </c>
      <c r="B356" s="2" t="s">
        <v>43</v>
      </c>
      <c r="C356" s="2" t="s">
        <v>1309</v>
      </c>
      <c r="D356" s="40">
        <v>1100000</v>
      </c>
      <c r="E356" s="2" t="s">
        <v>295</v>
      </c>
      <c r="F356" s="145">
        <v>2209</v>
      </c>
      <c r="H356" s="2" t="s">
        <v>1310</v>
      </c>
      <c r="I356" s="72">
        <v>44370</v>
      </c>
      <c r="K356" s="2" t="s">
        <v>1311</v>
      </c>
    </row>
    <row r="357" spans="1:11">
      <c r="A357" s="2" t="s">
        <v>829</v>
      </c>
      <c r="B357" s="2" t="s">
        <v>43</v>
      </c>
      <c r="C357" s="2" t="s">
        <v>1309</v>
      </c>
      <c r="D357" s="40">
        <v>1103000</v>
      </c>
      <c r="E357" s="2" t="s">
        <v>295</v>
      </c>
      <c r="F357" s="145">
        <v>2212</v>
      </c>
      <c r="H357" s="2" t="s">
        <v>1310</v>
      </c>
      <c r="I357" s="72">
        <v>44373</v>
      </c>
      <c r="K357" s="2" t="s">
        <v>1311</v>
      </c>
    </row>
    <row r="358" spans="1:11">
      <c r="A358" s="2" t="s">
        <v>830</v>
      </c>
      <c r="B358" s="2" t="s">
        <v>43</v>
      </c>
      <c r="C358" s="2" t="s">
        <v>1309</v>
      </c>
      <c r="D358" s="40">
        <v>1106000</v>
      </c>
      <c r="E358" s="2" t="s">
        <v>295</v>
      </c>
      <c r="F358" s="145">
        <v>2215</v>
      </c>
      <c r="H358" s="2" t="s">
        <v>1310</v>
      </c>
      <c r="I358" s="72">
        <v>44376</v>
      </c>
      <c r="K358" s="2" t="s">
        <v>1311</v>
      </c>
    </row>
    <row r="359" spans="1:11">
      <c r="A359" s="2" t="s">
        <v>831</v>
      </c>
      <c r="B359" s="2" t="s">
        <v>43</v>
      </c>
      <c r="C359" s="2" t="s">
        <v>1309</v>
      </c>
      <c r="D359" s="40">
        <v>1109000</v>
      </c>
      <c r="E359" s="2" t="s">
        <v>295</v>
      </c>
      <c r="F359" s="145">
        <v>2218</v>
      </c>
      <c r="H359" s="2" t="s">
        <v>1310</v>
      </c>
      <c r="I359" s="72">
        <v>44379</v>
      </c>
      <c r="K359" s="2" t="s">
        <v>1311</v>
      </c>
    </row>
    <row r="360" spans="1:11">
      <c r="A360" s="2" t="s">
        <v>832</v>
      </c>
      <c r="B360" s="2" t="s">
        <v>43</v>
      </c>
      <c r="C360" s="2" t="s">
        <v>1309</v>
      </c>
      <c r="D360" s="40">
        <v>1112000</v>
      </c>
      <c r="E360" s="2" t="s">
        <v>295</v>
      </c>
      <c r="F360" s="145">
        <v>2221</v>
      </c>
      <c r="H360" s="2" t="s">
        <v>1310</v>
      </c>
      <c r="I360" s="72">
        <v>44382</v>
      </c>
      <c r="K360" s="2" t="s">
        <v>1311</v>
      </c>
    </row>
    <row r="361" spans="1:11">
      <c r="A361" s="2" t="s">
        <v>833</v>
      </c>
      <c r="B361" s="2" t="s">
        <v>43</v>
      </c>
      <c r="C361" s="2" t="s">
        <v>1309</v>
      </c>
      <c r="D361" s="40">
        <v>1115000</v>
      </c>
      <c r="E361" s="2" t="s">
        <v>295</v>
      </c>
      <c r="F361" s="145">
        <v>2224</v>
      </c>
      <c r="H361" s="2" t="s">
        <v>1310</v>
      </c>
      <c r="I361" s="72">
        <v>44385</v>
      </c>
      <c r="K361" s="2" t="s">
        <v>1311</v>
      </c>
    </row>
    <row r="362" spans="1:11">
      <c r="A362" s="2" t="s">
        <v>834</v>
      </c>
      <c r="B362" s="2" t="s">
        <v>43</v>
      </c>
      <c r="C362" s="2" t="s">
        <v>1309</v>
      </c>
      <c r="D362" s="40">
        <v>1118000</v>
      </c>
      <c r="E362" s="2" t="s">
        <v>295</v>
      </c>
      <c r="F362" s="145">
        <v>2227</v>
      </c>
      <c r="H362" s="2" t="s">
        <v>1310</v>
      </c>
      <c r="I362" s="72">
        <v>44388</v>
      </c>
      <c r="K362" s="2" t="s">
        <v>1311</v>
      </c>
    </row>
    <row r="363" spans="1:11">
      <c r="A363" s="2" t="s">
        <v>47</v>
      </c>
      <c r="B363" s="2" t="s">
        <v>43</v>
      </c>
      <c r="C363" s="2" t="s">
        <v>1309</v>
      </c>
      <c r="D363" s="40">
        <v>1121000</v>
      </c>
      <c r="E363" s="2" t="s">
        <v>295</v>
      </c>
      <c r="F363" s="145">
        <v>2230</v>
      </c>
      <c r="H363" s="2" t="s">
        <v>1310</v>
      </c>
      <c r="I363" s="72">
        <v>44391</v>
      </c>
      <c r="K363" s="2" t="s">
        <v>1311</v>
      </c>
    </row>
    <row r="364" spans="1:11">
      <c r="A364" s="2" t="s">
        <v>835</v>
      </c>
      <c r="B364" s="2" t="s">
        <v>43</v>
      </c>
      <c r="C364" s="2" t="s">
        <v>1309</v>
      </c>
      <c r="D364" s="40">
        <v>1124000</v>
      </c>
      <c r="E364" s="2" t="s">
        <v>295</v>
      </c>
      <c r="F364" s="145">
        <v>2233</v>
      </c>
      <c r="H364" s="2" t="s">
        <v>1310</v>
      </c>
      <c r="I364" s="72">
        <v>44394</v>
      </c>
      <c r="K364" s="2" t="s">
        <v>1311</v>
      </c>
    </row>
    <row r="365" spans="1:11">
      <c r="A365" s="2" t="s">
        <v>836</v>
      </c>
      <c r="B365" s="2" t="s">
        <v>43</v>
      </c>
      <c r="C365" s="2" t="s">
        <v>1309</v>
      </c>
      <c r="D365" s="40">
        <v>1127000</v>
      </c>
      <c r="E365" s="2" t="s">
        <v>295</v>
      </c>
      <c r="F365" s="145">
        <v>2236</v>
      </c>
      <c r="H365" s="2" t="s">
        <v>1310</v>
      </c>
      <c r="I365" s="72">
        <v>44397</v>
      </c>
      <c r="K365" s="2" t="s">
        <v>1311</v>
      </c>
    </row>
    <row r="366" spans="1:11">
      <c r="A366" s="2" t="s">
        <v>837</v>
      </c>
      <c r="B366" s="2" t="s">
        <v>43</v>
      </c>
      <c r="C366" s="2" t="s">
        <v>1309</v>
      </c>
      <c r="D366" s="40">
        <v>1130000</v>
      </c>
      <c r="E366" s="2" t="s">
        <v>295</v>
      </c>
      <c r="F366" s="145">
        <v>2239</v>
      </c>
      <c r="H366" s="2" t="s">
        <v>1310</v>
      </c>
      <c r="I366" s="72">
        <v>44400</v>
      </c>
      <c r="K366" s="2" t="s">
        <v>1311</v>
      </c>
    </row>
    <row r="367" spans="1:11">
      <c r="A367" s="2" t="s">
        <v>838</v>
      </c>
      <c r="B367" s="2" t="s">
        <v>43</v>
      </c>
      <c r="C367" s="2" t="s">
        <v>1309</v>
      </c>
      <c r="D367" s="40">
        <v>1133000</v>
      </c>
      <c r="E367" s="2" t="s">
        <v>295</v>
      </c>
      <c r="F367" s="145">
        <v>2242</v>
      </c>
      <c r="H367" s="2" t="s">
        <v>1310</v>
      </c>
      <c r="I367" s="72">
        <v>44403</v>
      </c>
      <c r="K367" s="2" t="s">
        <v>1311</v>
      </c>
    </row>
    <row r="368" spans="1:11">
      <c r="A368" s="2" t="s">
        <v>839</v>
      </c>
      <c r="B368" s="2" t="s">
        <v>43</v>
      </c>
      <c r="C368" s="2" t="s">
        <v>1309</v>
      </c>
      <c r="D368" s="40">
        <v>1136000</v>
      </c>
      <c r="E368" s="2" t="s">
        <v>295</v>
      </c>
      <c r="F368" s="145">
        <v>2245</v>
      </c>
      <c r="H368" s="2" t="s">
        <v>1310</v>
      </c>
      <c r="I368" s="72">
        <v>44406</v>
      </c>
      <c r="K368" s="2" t="s">
        <v>1311</v>
      </c>
    </row>
    <row r="369" spans="1:11">
      <c r="A369" s="2" t="s">
        <v>840</v>
      </c>
      <c r="B369" s="2" t="s">
        <v>43</v>
      </c>
      <c r="C369" s="2" t="s">
        <v>1309</v>
      </c>
      <c r="D369" s="40">
        <v>1139000</v>
      </c>
      <c r="E369" s="2" t="s">
        <v>295</v>
      </c>
      <c r="F369" s="145">
        <v>2248</v>
      </c>
      <c r="H369" s="2" t="s">
        <v>1310</v>
      </c>
      <c r="I369" s="72">
        <v>44409</v>
      </c>
      <c r="K369" s="2" t="s">
        <v>1311</v>
      </c>
    </row>
    <row r="370" spans="1:11">
      <c r="A370" s="2" t="s">
        <v>841</v>
      </c>
      <c r="B370" s="2" t="s">
        <v>43</v>
      </c>
      <c r="C370" s="2" t="s">
        <v>1309</v>
      </c>
      <c r="D370" s="40">
        <v>1142000</v>
      </c>
      <c r="E370" s="2" t="s">
        <v>295</v>
      </c>
      <c r="F370" s="145">
        <v>2251</v>
      </c>
      <c r="H370" s="2" t="s">
        <v>1310</v>
      </c>
      <c r="I370" s="72">
        <v>44412</v>
      </c>
      <c r="K370" s="2" t="s">
        <v>1311</v>
      </c>
    </row>
    <row r="371" spans="1:11">
      <c r="A371" s="2" t="s">
        <v>842</v>
      </c>
      <c r="B371" s="2" t="s">
        <v>43</v>
      </c>
      <c r="C371" s="2" t="s">
        <v>1309</v>
      </c>
      <c r="D371" s="40">
        <v>1145000</v>
      </c>
      <c r="E371" s="2" t="s">
        <v>295</v>
      </c>
      <c r="F371" s="145">
        <v>2254</v>
      </c>
      <c r="H371" s="2" t="s">
        <v>1310</v>
      </c>
      <c r="I371" s="72">
        <v>44415</v>
      </c>
      <c r="K371" s="2" t="s">
        <v>1311</v>
      </c>
    </row>
    <row r="372" spans="1:11">
      <c r="A372" s="2" t="s">
        <v>843</v>
      </c>
      <c r="B372" s="2" t="s">
        <v>43</v>
      </c>
      <c r="C372" s="2" t="s">
        <v>1309</v>
      </c>
      <c r="D372" s="40">
        <v>1148000</v>
      </c>
      <c r="E372" s="2" t="s">
        <v>295</v>
      </c>
      <c r="F372" s="145">
        <v>2257</v>
      </c>
      <c r="H372" s="2" t="s">
        <v>1310</v>
      </c>
      <c r="I372" s="72">
        <v>44418</v>
      </c>
      <c r="K372" s="2" t="s">
        <v>1311</v>
      </c>
    </row>
    <row r="373" spans="1:11">
      <c r="A373" s="2" t="s">
        <v>844</v>
      </c>
      <c r="B373" s="2" t="s">
        <v>43</v>
      </c>
      <c r="C373" s="2" t="s">
        <v>1309</v>
      </c>
      <c r="D373" s="40">
        <v>1151000</v>
      </c>
      <c r="E373" s="2" t="s">
        <v>295</v>
      </c>
      <c r="F373" s="145">
        <v>2260</v>
      </c>
      <c r="H373" s="2" t="s">
        <v>1310</v>
      </c>
      <c r="I373" s="72">
        <v>44421</v>
      </c>
      <c r="K373" s="2" t="s">
        <v>1311</v>
      </c>
    </row>
    <row r="374" spans="1:11">
      <c r="A374" s="2" t="s">
        <v>845</v>
      </c>
      <c r="B374" s="2" t="s">
        <v>43</v>
      </c>
      <c r="C374" s="2" t="s">
        <v>1309</v>
      </c>
      <c r="D374" s="40">
        <v>1154000</v>
      </c>
      <c r="E374" s="2" t="s">
        <v>295</v>
      </c>
      <c r="F374" s="145">
        <v>2263</v>
      </c>
      <c r="H374" s="2" t="s">
        <v>1310</v>
      </c>
      <c r="I374" s="72">
        <v>44424</v>
      </c>
      <c r="K374" s="2" t="s">
        <v>1311</v>
      </c>
    </row>
    <row r="375" spans="1:11">
      <c r="A375" s="2" t="s">
        <v>846</v>
      </c>
      <c r="B375" s="2" t="s">
        <v>43</v>
      </c>
      <c r="C375" s="2" t="s">
        <v>1309</v>
      </c>
      <c r="D375" s="40">
        <v>1157000</v>
      </c>
      <c r="E375" s="2" t="s">
        <v>295</v>
      </c>
      <c r="F375" s="145">
        <v>2266</v>
      </c>
      <c r="H375" s="2" t="s">
        <v>1310</v>
      </c>
      <c r="I375" s="72">
        <v>44427</v>
      </c>
      <c r="K375" s="2" t="s">
        <v>1311</v>
      </c>
    </row>
    <row r="376" spans="1:11">
      <c r="A376" s="2" t="s">
        <v>847</v>
      </c>
      <c r="B376" s="2" t="s">
        <v>43</v>
      </c>
      <c r="C376" s="2" t="s">
        <v>1309</v>
      </c>
      <c r="D376" s="40">
        <v>1160000</v>
      </c>
      <c r="E376" s="2" t="s">
        <v>295</v>
      </c>
      <c r="F376" s="145">
        <v>2269</v>
      </c>
      <c r="H376" s="2" t="s">
        <v>1310</v>
      </c>
      <c r="I376" s="72">
        <v>44430</v>
      </c>
      <c r="K376" s="2" t="s">
        <v>1311</v>
      </c>
    </row>
    <row r="377" spans="1:11">
      <c r="A377" s="2" t="s">
        <v>848</v>
      </c>
      <c r="B377" s="2" t="s">
        <v>43</v>
      </c>
      <c r="C377" s="2" t="s">
        <v>1309</v>
      </c>
      <c r="D377" s="40">
        <v>1163000</v>
      </c>
      <c r="E377" s="2" t="s">
        <v>295</v>
      </c>
      <c r="F377" s="145">
        <v>2272</v>
      </c>
      <c r="H377" s="2" t="s">
        <v>1310</v>
      </c>
      <c r="I377" s="72">
        <v>44433</v>
      </c>
      <c r="K377" s="2" t="s">
        <v>1311</v>
      </c>
    </row>
    <row r="378" spans="1:11">
      <c r="A378" s="2" t="s">
        <v>849</v>
      </c>
      <c r="B378" s="2" t="s">
        <v>43</v>
      </c>
      <c r="C378" s="2" t="s">
        <v>1309</v>
      </c>
      <c r="D378" s="40">
        <v>1166000</v>
      </c>
      <c r="E378" s="2" t="s">
        <v>295</v>
      </c>
      <c r="F378" s="145">
        <v>2275</v>
      </c>
      <c r="H378" s="2" t="s">
        <v>1310</v>
      </c>
      <c r="I378" s="72">
        <v>44436</v>
      </c>
      <c r="K378" s="2" t="s">
        <v>1311</v>
      </c>
    </row>
    <row r="379" spans="1:11">
      <c r="A379" s="2" t="s">
        <v>850</v>
      </c>
      <c r="B379" s="2" t="s">
        <v>43</v>
      </c>
      <c r="C379" s="2" t="s">
        <v>1309</v>
      </c>
      <c r="D379" s="40">
        <v>1169000</v>
      </c>
      <c r="E379" s="2" t="s">
        <v>295</v>
      </c>
      <c r="F379" s="145">
        <v>2278</v>
      </c>
      <c r="H379" s="2" t="s">
        <v>1310</v>
      </c>
      <c r="I379" s="72">
        <v>44439</v>
      </c>
      <c r="K379" s="2" t="s">
        <v>1311</v>
      </c>
    </row>
    <row r="380" spans="1:11">
      <c r="A380" s="2" t="s">
        <v>851</v>
      </c>
      <c r="B380" s="2" t="s">
        <v>43</v>
      </c>
      <c r="C380" s="2" t="s">
        <v>1309</v>
      </c>
      <c r="D380" s="40">
        <v>1172000</v>
      </c>
      <c r="E380" s="2" t="s">
        <v>295</v>
      </c>
      <c r="F380" s="145">
        <v>2281</v>
      </c>
      <c r="H380" s="2" t="s">
        <v>1310</v>
      </c>
      <c r="I380" s="72">
        <v>44442</v>
      </c>
      <c r="K380" s="2" t="s">
        <v>1311</v>
      </c>
    </row>
    <row r="381" spans="1:11">
      <c r="A381" s="2" t="s">
        <v>852</v>
      </c>
      <c r="B381" s="2" t="s">
        <v>43</v>
      </c>
      <c r="C381" s="2" t="s">
        <v>1309</v>
      </c>
      <c r="D381" s="40">
        <v>1175000</v>
      </c>
      <c r="E381" s="2" t="s">
        <v>295</v>
      </c>
      <c r="F381" s="145">
        <v>2284</v>
      </c>
      <c r="H381" s="2" t="s">
        <v>1310</v>
      </c>
      <c r="I381" s="72">
        <v>44445</v>
      </c>
      <c r="K381" s="2" t="s">
        <v>1311</v>
      </c>
    </row>
    <row r="382" spans="1:11">
      <c r="A382" s="2" t="s">
        <v>853</v>
      </c>
      <c r="B382" s="2" t="s">
        <v>43</v>
      </c>
      <c r="C382" s="2" t="s">
        <v>1309</v>
      </c>
      <c r="D382" s="40">
        <v>1178000</v>
      </c>
      <c r="E382" s="2" t="s">
        <v>295</v>
      </c>
      <c r="F382" s="145">
        <v>2287</v>
      </c>
      <c r="H382" s="2" t="s">
        <v>1310</v>
      </c>
      <c r="I382" s="72">
        <v>44448</v>
      </c>
      <c r="K382" s="2" t="s">
        <v>1311</v>
      </c>
    </row>
    <row r="383" spans="1:11">
      <c r="A383" s="2" t="s">
        <v>854</v>
      </c>
      <c r="B383" s="2" t="s">
        <v>43</v>
      </c>
      <c r="C383" s="2" t="s">
        <v>1309</v>
      </c>
      <c r="D383" s="40">
        <v>1181000</v>
      </c>
      <c r="E383" s="2" t="s">
        <v>295</v>
      </c>
      <c r="F383" s="145">
        <v>2290</v>
      </c>
      <c r="H383" s="2" t="s">
        <v>1310</v>
      </c>
      <c r="I383" s="72">
        <v>44451</v>
      </c>
      <c r="K383" s="2" t="s">
        <v>1311</v>
      </c>
    </row>
    <row r="384" spans="1:11">
      <c r="A384" s="2" t="s">
        <v>855</v>
      </c>
      <c r="B384" s="2" t="s">
        <v>43</v>
      </c>
      <c r="C384" s="2" t="s">
        <v>1309</v>
      </c>
      <c r="D384" s="40">
        <v>1184000</v>
      </c>
      <c r="E384" s="2" t="s">
        <v>295</v>
      </c>
      <c r="F384" s="145">
        <v>2293</v>
      </c>
      <c r="H384" s="2" t="s">
        <v>1310</v>
      </c>
      <c r="I384" s="72">
        <v>44454</v>
      </c>
      <c r="K384" s="2" t="s">
        <v>1311</v>
      </c>
    </row>
    <row r="385" spans="1:11">
      <c r="A385" s="2" t="s">
        <v>856</v>
      </c>
      <c r="B385" s="2" t="s">
        <v>43</v>
      </c>
      <c r="C385" s="2" t="s">
        <v>1309</v>
      </c>
      <c r="D385" s="40">
        <v>1187000</v>
      </c>
      <c r="E385" s="2" t="s">
        <v>295</v>
      </c>
      <c r="F385" s="145">
        <v>2296</v>
      </c>
      <c r="H385" s="2" t="s">
        <v>1310</v>
      </c>
      <c r="I385" s="72">
        <v>44457</v>
      </c>
      <c r="K385" s="2" t="s">
        <v>1311</v>
      </c>
    </row>
    <row r="386" spans="1:11">
      <c r="A386" s="2" t="s">
        <v>857</v>
      </c>
      <c r="B386" s="2" t="s">
        <v>43</v>
      </c>
      <c r="C386" s="2" t="s">
        <v>1309</v>
      </c>
      <c r="D386" s="40">
        <v>1190000</v>
      </c>
      <c r="E386" s="2" t="s">
        <v>295</v>
      </c>
      <c r="F386" s="145">
        <v>2299</v>
      </c>
      <c r="H386" s="2" t="s">
        <v>1310</v>
      </c>
      <c r="I386" s="72">
        <v>44460</v>
      </c>
      <c r="K386" s="2" t="s">
        <v>1311</v>
      </c>
    </row>
    <row r="387" spans="1:11">
      <c r="A387" s="2" t="s">
        <v>858</v>
      </c>
      <c r="B387" s="2" t="s">
        <v>43</v>
      </c>
      <c r="C387" s="2" t="s">
        <v>1309</v>
      </c>
      <c r="D387" s="40">
        <v>1193000</v>
      </c>
      <c r="E387" s="2" t="s">
        <v>295</v>
      </c>
      <c r="F387" s="145">
        <v>2302</v>
      </c>
      <c r="H387" s="2" t="s">
        <v>1310</v>
      </c>
      <c r="I387" s="72">
        <v>44463</v>
      </c>
      <c r="K387" s="2" t="s">
        <v>1311</v>
      </c>
    </row>
    <row r="388" spans="1:11">
      <c r="A388" s="2" t="s">
        <v>859</v>
      </c>
      <c r="B388" s="2" t="s">
        <v>43</v>
      </c>
      <c r="C388" s="2" t="s">
        <v>1309</v>
      </c>
      <c r="D388" s="40">
        <v>1196000</v>
      </c>
      <c r="E388" s="2" t="s">
        <v>295</v>
      </c>
      <c r="F388" s="145">
        <v>2305</v>
      </c>
      <c r="H388" s="2" t="s">
        <v>1310</v>
      </c>
      <c r="I388" s="72">
        <v>44466</v>
      </c>
      <c r="K388" s="2" t="s">
        <v>1311</v>
      </c>
    </row>
    <row r="389" spans="1:11">
      <c r="A389" s="2" t="s">
        <v>860</v>
      </c>
      <c r="B389" s="2" t="s">
        <v>43</v>
      </c>
      <c r="C389" s="2" t="s">
        <v>1309</v>
      </c>
      <c r="D389" s="40">
        <v>1199000</v>
      </c>
      <c r="E389" s="2" t="s">
        <v>295</v>
      </c>
      <c r="F389" s="145">
        <v>2308</v>
      </c>
      <c r="H389" s="2" t="s">
        <v>1310</v>
      </c>
      <c r="I389" s="72">
        <v>44469</v>
      </c>
      <c r="K389" s="2" t="s">
        <v>1311</v>
      </c>
    </row>
    <row r="390" spans="1:11">
      <c r="A390" s="2" t="s">
        <v>861</v>
      </c>
      <c r="B390" s="2" t="s">
        <v>43</v>
      </c>
      <c r="C390" s="2" t="s">
        <v>1309</v>
      </c>
      <c r="D390" s="40">
        <v>1202000</v>
      </c>
      <c r="E390" s="2" t="s">
        <v>295</v>
      </c>
      <c r="F390" s="145">
        <v>2311</v>
      </c>
      <c r="H390" s="2" t="s">
        <v>1310</v>
      </c>
      <c r="I390" s="72">
        <v>44472</v>
      </c>
      <c r="K390" s="2" t="s">
        <v>1311</v>
      </c>
    </row>
    <row r="391" spans="1:11">
      <c r="A391" s="2" t="s">
        <v>862</v>
      </c>
      <c r="B391" s="2" t="s">
        <v>43</v>
      </c>
      <c r="C391" s="2" t="s">
        <v>1309</v>
      </c>
      <c r="D391" s="40">
        <v>1205000</v>
      </c>
      <c r="E391" s="2" t="s">
        <v>295</v>
      </c>
      <c r="F391" s="145">
        <v>2314</v>
      </c>
      <c r="H391" s="2" t="s">
        <v>1310</v>
      </c>
      <c r="I391" s="72">
        <v>44475</v>
      </c>
      <c r="K391" s="2" t="s">
        <v>1311</v>
      </c>
    </row>
    <row r="392" spans="1:11">
      <c r="A392" s="2" t="s">
        <v>863</v>
      </c>
      <c r="B392" s="2" t="s">
        <v>43</v>
      </c>
      <c r="C392" s="2" t="s">
        <v>1309</v>
      </c>
      <c r="D392" s="40">
        <v>1208000</v>
      </c>
      <c r="E392" s="2" t="s">
        <v>295</v>
      </c>
      <c r="F392" s="145">
        <v>2317</v>
      </c>
      <c r="H392" s="2" t="s">
        <v>1310</v>
      </c>
      <c r="I392" s="72">
        <v>44478</v>
      </c>
      <c r="K392" s="2" t="s">
        <v>1311</v>
      </c>
    </row>
    <row r="393" spans="1:11">
      <c r="A393" s="2" t="s">
        <v>864</v>
      </c>
      <c r="B393" s="2" t="s">
        <v>43</v>
      </c>
      <c r="C393" s="2" t="s">
        <v>1309</v>
      </c>
      <c r="D393" s="40">
        <v>1211000</v>
      </c>
      <c r="E393" s="2" t="s">
        <v>295</v>
      </c>
      <c r="F393" s="145">
        <v>2320</v>
      </c>
      <c r="H393" s="2" t="s">
        <v>1310</v>
      </c>
      <c r="I393" s="72">
        <v>44481</v>
      </c>
      <c r="K393" s="2" t="s">
        <v>1311</v>
      </c>
    </row>
    <row r="394" spans="1:11">
      <c r="A394" s="2" t="s">
        <v>865</v>
      </c>
      <c r="B394" s="2" t="s">
        <v>43</v>
      </c>
      <c r="C394" s="2" t="s">
        <v>1309</v>
      </c>
      <c r="D394" s="40">
        <v>1214000</v>
      </c>
      <c r="E394" s="2" t="s">
        <v>295</v>
      </c>
      <c r="F394" s="145">
        <v>2323</v>
      </c>
      <c r="H394" s="2" t="s">
        <v>1310</v>
      </c>
      <c r="I394" s="72">
        <v>44484</v>
      </c>
      <c r="K394" s="2" t="s">
        <v>1311</v>
      </c>
    </row>
    <row r="395" spans="1:11">
      <c r="A395" s="2" t="s">
        <v>866</v>
      </c>
      <c r="B395" s="2" t="s">
        <v>43</v>
      </c>
      <c r="C395" s="2" t="s">
        <v>1309</v>
      </c>
      <c r="D395" s="40">
        <v>1217000</v>
      </c>
      <c r="E395" s="2" t="s">
        <v>295</v>
      </c>
      <c r="F395" s="145">
        <v>2326</v>
      </c>
      <c r="H395" s="2" t="s">
        <v>1310</v>
      </c>
      <c r="I395" s="72">
        <v>44487</v>
      </c>
      <c r="K395" s="2" t="s">
        <v>1311</v>
      </c>
    </row>
    <row r="396" spans="1:11">
      <c r="A396" s="2" t="s">
        <v>867</v>
      </c>
      <c r="B396" s="2" t="s">
        <v>43</v>
      </c>
      <c r="C396" s="2" t="s">
        <v>1309</v>
      </c>
      <c r="D396" s="40">
        <v>1220000</v>
      </c>
      <c r="E396" s="2" t="s">
        <v>295</v>
      </c>
      <c r="F396" s="145">
        <v>2329</v>
      </c>
      <c r="H396" s="2" t="s">
        <v>1310</v>
      </c>
      <c r="I396" s="72">
        <v>44490</v>
      </c>
      <c r="K396" s="2" t="s">
        <v>1311</v>
      </c>
    </row>
    <row r="397" spans="1:11">
      <c r="A397" s="2" t="s">
        <v>868</v>
      </c>
      <c r="B397" s="2" t="s">
        <v>43</v>
      </c>
      <c r="C397" s="2" t="s">
        <v>1309</v>
      </c>
      <c r="D397" s="40">
        <v>1223000</v>
      </c>
      <c r="E397" s="2" t="s">
        <v>295</v>
      </c>
      <c r="F397" s="145">
        <v>2332</v>
      </c>
      <c r="H397" s="2" t="s">
        <v>1310</v>
      </c>
      <c r="I397" s="72">
        <v>44493</v>
      </c>
      <c r="K397" s="2" t="s">
        <v>1311</v>
      </c>
    </row>
    <row r="398" spans="1:11">
      <c r="A398" s="2" t="s">
        <v>869</v>
      </c>
      <c r="B398" s="2" t="s">
        <v>43</v>
      </c>
      <c r="C398" s="2" t="s">
        <v>1309</v>
      </c>
      <c r="D398" s="40">
        <v>1226000</v>
      </c>
      <c r="E398" s="2" t="s">
        <v>295</v>
      </c>
      <c r="F398" s="145">
        <v>2335</v>
      </c>
      <c r="H398" s="2" t="s">
        <v>1310</v>
      </c>
      <c r="I398" s="72">
        <v>44496</v>
      </c>
      <c r="K398" s="2" t="s">
        <v>1311</v>
      </c>
    </row>
    <row r="399" spans="1:11">
      <c r="A399" s="2" t="s">
        <v>870</v>
      </c>
      <c r="B399" s="2" t="s">
        <v>43</v>
      </c>
      <c r="C399" s="2" t="s">
        <v>1309</v>
      </c>
      <c r="D399" s="40">
        <v>1229000</v>
      </c>
      <c r="E399" s="2" t="s">
        <v>295</v>
      </c>
      <c r="F399" s="145">
        <v>2338</v>
      </c>
      <c r="H399" s="2" t="s">
        <v>1310</v>
      </c>
      <c r="I399" s="72">
        <v>44499</v>
      </c>
      <c r="K399" s="2" t="s">
        <v>1311</v>
      </c>
    </row>
    <row r="400" spans="1:11">
      <c r="A400" s="2" t="s">
        <v>871</v>
      </c>
      <c r="B400" s="2" t="s">
        <v>43</v>
      </c>
      <c r="C400" s="2" t="s">
        <v>1309</v>
      </c>
      <c r="D400" s="40">
        <v>1232000</v>
      </c>
      <c r="E400" s="2" t="s">
        <v>295</v>
      </c>
      <c r="F400" s="145">
        <v>2341</v>
      </c>
      <c r="H400" s="2" t="s">
        <v>1310</v>
      </c>
      <c r="I400" s="72">
        <v>44502</v>
      </c>
      <c r="K400" s="2" t="s">
        <v>1311</v>
      </c>
    </row>
    <row r="401" spans="1:11">
      <c r="A401" s="2" t="s">
        <v>872</v>
      </c>
      <c r="B401" s="2" t="s">
        <v>43</v>
      </c>
      <c r="C401" s="2" t="s">
        <v>1309</v>
      </c>
      <c r="D401" s="40">
        <v>1235000</v>
      </c>
      <c r="E401" s="2" t="s">
        <v>295</v>
      </c>
      <c r="F401" s="145">
        <v>2344</v>
      </c>
      <c r="H401" s="2" t="s">
        <v>1310</v>
      </c>
      <c r="I401" s="72">
        <v>44505</v>
      </c>
      <c r="K401" s="2" t="s">
        <v>1311</v>
      </c>
    </row>
    <row r="402" spans="1:11">
      <c r="A402" s="2" t="s">
        <v>873</v>
      </c>
      <c r="B402" s="2" t="s">
        <v>43</v>
      </c>
      <c r="C402" s="2" t="s">
        <v>1309</v>
      </c>
      <c r="D402" s="40">
        <v>1238000</v>
      </c>
      <c r="E402" s="2" t="s">
        <v>295</v>
      </c>
      <c r="F402" s="145">
        <v>2347</v>
      </c>
      <c r="H402" s="2" t="s">
        <v>1310</v>
      </c>
      <c r="I402" s="72">
        <v>44508</v>
      </c>
      <c r="K402" s="2" t="s">
        <v>1311</v>
      </c>
    </row>
    <row r="403" spans="1:11">
      <c r="A403" s="2" t="s">
        <v>874</v>
      </c>
      <c r="B403" s="2" t="s">
        <v>43</v>
      </c>
      <c r="C403" s="2" t="s">
        <v>1309</v>
      </c>
      <c r="D403" s="40">
        <v>1241000</v>
      </c>
      <c r="E403" s="2" t="s">
        <v>295</v>
      </c>
      <c r="F403" s="145">
        <v>2350</v>
      </c>
      <c r="H403" s="2" t="s">
        <v>1310</v>
      </c>
      <c r="I403" s="72">
        <v>44511</v>
      </c>
      <c r="K403" s="2" t="s">
        <v>1311</v>
      </c>
    </row>
    <row r="404" spans="1:11">
      <c r="A404" s="2" t="s">
        <v>875</v>
      </c>
      <c r="B404" s="2" t="s">
        <v>43</v>
      </c>
      <c r="C404" s="2" t="s">
        <v>1309</v>
      </c>
      <c r="D404" s="40">
        <v>1244000</v>
      </c>
      <c r="E404" s="2" t="s">
        <v>295</v>
      </c>
      <c r="F404" s="145">
        <v>2353</v>
      </c>
      <c r="H404" s="2" t="s">
        <v>1310</v>
      </c>
      <c r="I404" s="72">
        <v>44514</v>
      </c>
      <c r="K404" s="2" t="s">
        <v>1311</v>
      </c>
    </row>
    <row r="405" spans="1:11">
      <c r="A405" s="2" t="s">
        <v>876</v>
      </c>
      <c r="B405" s="2" t="s">
        <v>43</v>
      </c>
      <c r="C405" s="2" t="s">
        <v>1309</v>
      </c>
      <c r="D405" s="40">
        <v>1247000</v>
      </c>
      <c r="E405" s="2" t="s">
        <v>295</v>
      </c>
      <c r="F405" s="145">
        <v>2356</v>
      </c>
      <c r="H405" s="2" t="s">
        <v>1310</v>
      </c>
      <c r="I405" s="72">
        <v>44517</v>
      </c>
      <c r="K405" s="2" t="s">
        <v>1311</v>
      </c>
    </row>
    <row r="406" spans="1:11">
      <c r="A406" s="2" t="s">
        <v>877</v>
      </c>
      <c r="B406" s="2" t="s">
        <v>43</v>
      </c>
      <c r="C406" s="2" t="s">
        <v>1309</v>
      </c>
      <c r="D406" s="40">
        <v>1250000</v>
      </c>
      <c r="E406" s="2" t="s">
        <v>295</v>
      </c>
      <c r="F406" s="145">
        <v>2359</v>
      </c>
      <c r="H406" s="2" t="s">
        <v>1310</v>
      </c>
      <c r="I406" s="72">
        <v>44520</v>
      </c>
      <c r="K406" s="2" t="s">
        <v>1311</v>
      </c>
    </row>
    <row r="407" spans="1:11">
      <c r="A407" s="2" t="s">
        <v>878</v>
      </c>
      <c r="B407" s="2" t="s">
        <v>43</v>
      </c>
      <c r="C407" s="2" t="s">
        <v>1309</v>
      </c>
      <c r="D407" s="40">
        <v>1253000</v>
      </c>
      <c r="E407" s="2" t="s">
        <v>295</v>
      </c>
      <c r="F407" s="145">
        <v>2362</v>
      </c>
      <c r="H407" s="2" t="s">
        <v>1310</v>
      </c>
      <c r="I407" s="72">
        <v>44523</v>
      </c>
      <c r="K407" s="2" t="s">
        <v>1311</v>
      </c>
    </row>
    <row r="408" spans="1:11">
      <c r="A408" s="2" t="s">
        <v>879</v>
      </c>
      <c r="B408" s="2" t="s">
        <v>43</v>
      </c>
      <c r="C408" s="2" t="s">
        <v>1309</v>
      </c>
      <c r="D408" s="40">
        <v>1256000</v>
      </c>
      <c r="E408" s="2" t="s">
        <v>295</v>
      </c>
      <c r="F408" s="145">
        <v>2365</v>
      </c>
      <c r="H408" s="2" t="s">
        <v>1310</v>
      </c>
      <c r="I408" s="72">
        <v>44526</v>
      </c>
      <c r="K408" s="2" t="s">
        <v>1311</v>
      </c>
    </row>
    <row r="409" spans="1:11">
      <c r="A409" s="2" t="s">
        <v>880</v>
      </c>
      <c r="B409" s="2" t="s">
        <v>43</v>
      </c>
      <c r="C409" s="2" t="s">
        <v>1309</v>
      </c>
      <c r="D409" s="40">
        <v>1259000</v>
      </c>
      <c r="E409" s="2" t="s">
        <v>295</v>
      </c>
      <c r="F409" s="145">
        <v>2368</v>
      </c>
      <c r="H409" s="2" t="s">
        <v>1310</v>
      </c>
      <c r="I409" s="72">
        <v>44529</v>
      </c>
      <c r="K409" s="2" t="s">
        <v>1311</v>
      </c>
    </row>
    <row r="410" spans="1:11">
      <c r="A410" s="2" t="s">
        <v>881</v>
      </c>
      <c r="B410" s="2" t="s">
        <v>43</v>
      </c>
      <c r="C410" s="2" t="s">
        <v>1309</v>
      </c>
      <c r="D410" s="40">
        <v>1262000</v>
      </c>
      <c r="E410" s="2" t="s">
        <v>295</v>
      </c>
      <c r="F410" s="145">
        <v>2371</v>
      </c>
      <c r="H410" s="2" t="s">
        <v>1310</v>
      </c>
      <c r="I410" s="72">
        <v>44532</v>
      </c>
      <c r="K410" s="2" t="s">
        <v>1311</v>
      </c>
    </row>
    <row r="411" spans="1:11">
      <c r="A411" s="2" t="s">
        <v>882</v>
      </c>
      <c r="B411" s="2" t="s">
        <v>43</v>
      </c>
      <c r="C411" s="2" t="s">
        <v>1309</v>
      </c>
      <c r="D411" s="40">
        <v>1265000</v>
      </c>
      <c r="E411" s="2" t="s">
        <v>295</v>
      </c>
      <c r="F411" s="145">
        <v>2374</v>
      </c>
      <c r="H411" s="2" t="s">
        <v>1310</v>
      </c>
      <c r="I411" s="72">
        <v>44535</v>
      </c>
      <c r="K411" s="2" t="s">
        <v>1311</v>
      </c>
    </row>
    <row r="412" spans="1:11">
      <c r="A412" s="2" t="s">
        <v>883</v>
      </c>
      <c r="B412" s="2" t="s">
        <v>43</v>
      </c>
      <c r="C412" s="2" t="s">
        <v>1309</v>
      </c>
      <c r="D412" s="40">
        <v>1268000</v>
      </c>
      <c r="E412" s="2" t="s">
        <v>295</v>
      </c>
      <c r="F412" s="145">
        <v>2377</v>
      </c>
      <c r="H412" s="2" t="s">
        <v>1310</v>
      </c>
      <c r="I412" s="72">
        <v>44538</v>
      </c>
      <c r="K412" s="2" t="s">
        <v>1311</v>
      </c>
    </row>
    <row r="413" spans="1:11">
      <c r="A413" s="2" t="s">
        <v>884</v>
      </c>
      <c r="B413" s="2" t="s">
        <v>43</v>
      </c>
      <c r="C413" s="2" t="s">
        <v>1309</v>
      </c>
      <c r="D413" s="40">
        <v>1271000</v>
      </c>
      <c r="E413" s="2" t="s">
        <v>295</v>
      </c>
      <c r="F413" s="145">
        <v>2380</v>
      </c>
      <c r="H413" s="2" t="s">
        <v>1310</v>
      </c>
      <c r="I413" s="72">
        <v>44541</v>
      </c>
      <c r="K413" s="2" t="s">
        <v>1311</v>
      </c>
    </row>
    <row r="414" spans="1:11">
      <c r="A414" s="2" t="s">
        <v>885</v>
      </c>
      <c r="B414" s="2" t="s">
        <v>43</v>
      </c>
      <c r="C414" s="2" t="s">
        <v>1309</v>
      </c>
      <c r="D414" s="40">
        <v>1274000</v>
      </c>
      <c r="E414" s="2" t="s">
        <v>295</v>
      </c>
      <c r="F414" s="145">
        <v>2383</v>
      </c>
      <c r="H414" s="2" t="s">
        <v>1310</v>
      </c>
      <c r="I414" s="72">
        <v>44544</v>
      </c>
      <c r="K414" s="2" t="s">
        <v>1311</v>
      </c>
    </row>
    <row r="415" spans="1:11">
      <c r="A415" s="2" t="s">
        <v>886</v>
      </c>
      <c r="B415" s="2" t="s">
        <v>43</v>
      </c>
      <c r="C415" s="2" t="s">
        <v>1309</v>
      </c>
      <c r="D415" s="40">
        <v>1277000</v>
      </c>
      <c r="E415" s="2" t="s">
        <v>295</v>
      </c>
      <c r="F415" s="145">
        <v>2386</v>
      </c>
      <c r="H415" s="2" t="s">
        <v>1310</v>
      </c>
      <c r="I415" s="72">
        <v>44547</v>
      </c>
      <c r="K415" s="2" t="s">
        <v>1311</v>
      </c>
    </row>
    <row r="416" spans="1:11">
      <c r="A416" s="2" t="s">
        <v>887</v>
      </c>
      <c r="B416" s="2" t="s">
        <v>43</v>
      </c>
      <c r="C416" s="2" t="s">
        <v>1309</v>
      </c>
      <c r="D416" s="40">
        <v>1280000</v>
      </c>
      <c r="E416" s="2" t="s">
        <v>295</v>
      </c>
      <c r="F416" s="145">
        <v>2389</v>
      </c>
      <c r="H416" s="2" t="s">
        <v>1310</v>
      </c>
      <c r="I416" s="72">
        <v>44550</v>
      </c>
      <c r="K416" s="2" t="s">
        <v>1311</v>
      </c>
    </row>
    <row r="417" spans="1:11">
      <c r="A417" s="2" t="s">
        <v>888</v>
      </c>
      <c r="B417" s="2" t="s">
        <v>43</v>
      </c>
      <c r="C417" s="2" t="s">
        <v>1309</v>
      </c>
      <c r="D417" s="40">
        <v>1283000</v>
      </c>
      <c r="E417" s="2" t="s">
        <v>295</v>
      </c>
      <c r="F417" s="145">
        <v>2392</v>
      </c>
      <c r="H417" s="2" t="s">
        <v>1310</v>
      </c>
      <c r="I417" s="72">
        <v>44553</v>
      </c>
      <c r="K417" s="2" t="s">
        <v>1311</v>
      </c>
    </row>
    <row r="418" spans="1:11">
      <c r="A418" s="2" t="s">
        <v>889</v>
      </c>
      <c r="B418" s="2" t="s">
        <v>43</v>
      </c>
      <c r="C418" s="2" t="s">
        <v>1309</v>
      </c>
      <c r="D418" s="40">
        <v>1286000</v>
      </c>
      <c r="E418" s="2" t="s">
        <v>295</v>
      </c>
      <c r="F418" s="145">
        <v>2395</v>
      </c>
      <c r="H418" s="2" t="s">
        <v>1310</v>
      </c>
      <c r="I418" s="72">
        <v>44556</v>
      </c>
      <c r="K418" s="2" t="s">
        <v>1311</v>
      </c>
    </row>
    <row r="419" spans="1:11">
      <c r="A419" s="2" t="s">
        <v>890</v>
      </c>
      <c r="B419" s="2" t="s">
        <v>43</v>
      </c>
      <c r="C419" s="2" t="s">
        <v>1309</v>
      </c>
      <c r="D419" s="40">
        <v>1289000</v>
      </c>
      <c r="E419" s="2" t="s">
        <v>295</v>
      </c>
      <c r="F419" s="145">
        <v>2398</v>
      </c>
      <c r="H419" s="2" t="s">
        <v>1310</v>
      </c>
      <c r="I419" s="72">
        <v>44559</v>
      </c>
      <c r="K419" s="2" t="s">
        <v>1311</v>
      </c>
    </row>
    <row r="420" spans="1:11">
      <c r="A420" s="2" t="s">
        <v>891</v>
      </c>
      <c r="B420" s="2" t="s">
        <v>43</v>
      </c>
      <c r="C420" s="2" t="s">
        <v>1309</v>
      </c>
      <c r="D420" s="40">
        <v>1292000</v>
      </c>
      <c r="E420" s="2" t="s">
        <v>295</v>
      </c>
      <c r="F420" s="145">
        <v>2401</v>
      </c>
      <c r="H420" s="2" t="s">
        <v>1310</v>
      </c>
      <c r="I420" s="72">
        <v>44562</v>
      </c>
      <c r="K420" s="2" t="s">
        <v>1311</v>
      </c>
    </row>
    <row r="421" spans="1:11">
      <c r="A421" s="2" t="s">
        <v>892</v>
      </c>
      <c r="B421" s="2" t="s">
        <v>43</v>
      </c>
      <c r="C421" s="2" t="s">
        <v>1309</v>
      </c>
      <c r="D421" s="40">
        <v>1295000</v>
      </c>
      <c r="E421" s="2" t="s">
        <v>295</v>
      </c>
      <c r="F421" s="145">
        <v>2404</v>
      </c>
      <c r="H421" s="2" t="s">
        <v>1310</v>
      </c>
      <c r="I421" s="72">
        <v>44565</v>
      </c>
      <c r="K421" s="2" t="s">
        <v>1311</v>
      </c>
    </row>
    <row r="422" spans="1:11">
      <c r="A422" s="2" t="s">
        <v>893</v>
      </c>
      <c r="B422" s="2" t="s">
        <v>43</v>
      </c>
      <c r="C422" s="2" t="s">
        <v>1309</v>
      </c>
      <c r="D422" s="40">
        <v>1298000</v>
      </c>
      <c r="E422" s="2" t="s">
        <v>295</v>
      </c>
      <c r="F422" s="145">
        <v>2407</v>
      </c>
      <c r="H422" s="2" t="s">
        <v>1310</v>
      </c>
      <c r="I422" s="72">
        <v>44568</v>
      </c>
      <c r="K422" s="2" t="s">
        <v>1311</v>
      </c>
    </row>
    <row r="423" spans="1:11">
      <c r="A423" s="2" t="s">
        <v>894</v>
      </c>
      <c r="B423" s="2" t="s">
        <v>43</v>
      </c>
      <c r="C423" s="2" t="s">
        <v>1309</v>
      </c>
      <c r="D423" s="40">
        <v>1301000</v>
      </c>
      <c r="E423" s="2" t="s">
        <v>295</v>
      </c>
      <c r="F423" s="145">
        <v>2410</v>
      </c>
      <c r="H423" s="2" t="s">
        <v>1310</v>
      </c>
      <c r="I423" s="72">
        <v>44571</v>
      </c>
      <c r="K423" s="2" t="s">
        <v>1311</v>
      </c>
    </row>
    <row r="424" spans="1:11">
      <c r="A424" s="2" t="s">
        <v>895</v>
      </c>
      <c r="B424" s="2" t="s">
        <v>43</v>
      </c>
      <c r="C424" s="2" t="s">
        <v>1309</v>
      </c>
      <c r="D424" s="40">
        <v>1304000</v>
      </c>
      <c r="E424" s="2" t="s">
        <v>295</v>
      </c>
      <c r="F424" s="145">
        <v>2413</v>
      </c>
      <c r="H424" s="2" t="s">
        <v>1310</v>
      </c>
      <c r="I424" s="72">
        <v>44574</v>
      </c>
      <c r="K424" s="2" t="s">
        <v>1311</v>
      </c>
    </row>
    <row r="425" spans="1:11">
      <c r="A425" s="2" t="s">
        <v>896</v>
      </c>
      <c r="B425" s="2" t="s">
        <v>43</v>
      </c>
      <c r="C425" s="2" t="s">
        <v>1309</v>
      </c>
      <c r="D425" s="40">
        <v>1307000</v>
      </c>
      <c r="E425" s="2" t="s">
        <v>295</v>
      </c>
      <c r="F425" s="145">
        <v>2416</v>
      </c>
      <c r="H425" s="2" t="s">
        <v>1310</v>
      </c>
      <c r="I425" s="72">
        <v>44577</v>
      </c>
      <c r="K425" s="2" t="s">
        <v>1311</v>
      </c>
    </row>
    <row r="426" spans="1:11">
      <c r="A426" s="2" t="s">
        <v>897</v>
      </c>
      <c r="B426" s="2" t="s">
        <v>43</v>
      </c>
      <c r="C426" s="2" t="s">
        <v>1309</v>
      </c>
      <c r="D426" s="40">
        <v>1310000</v>
      </c>
      <c r="E426" s="2" t="s">
        <v>295</v>
      </c>
      <c r="F426" s="145">
        <v>2419</v>
      </c>
      <c r="H426" s="2" t="s">
        <v>1310</v>
      </c>
      <c r="I426" s="72">
        <v>44580</v>
      </c>
      <c r="K426" s="2" t="s">
        <v>1311</v>
      </c>
    </row>
    <row r="427" spans="1:11">
      <c r="A427" s="2" t="s">
        <v>898</v>
      </c>
      <c r="B427" s="2" t="s">
        <v>43</v>
      </c>
      <c r="C427" s="2" t="s">
        <v>1309</v>
      </c>
      <c r="D427" s="40">
        <v>1313000</v>
      </c>
      <c r="E427" s="2" t="s">
        <v>295</v>
      </c>
      <c r="F427" s="145">
        <v>2422</v>
      </c>
      <c r="H427" s="2" t="s">
        <v>1310</v>
      </c>
      <c r="I427" s="72">
        <v>44583</v>
      </c>
      <c r="K427" s="2" t="s">
        <v>1311</v>
      </c>
    </row>
    <row r="428" spans="1:11">
      <c r="A428" s="2" t="s">
        <v>899</v>
      </c>
      <c r="B428" s="2" t="s">
        <v>43</v>
      </c>
      <c r="C428" s="2" t="s">
        <v>1309</v>
      </c>
      <c r="D428" s="40">
        <v>1316000</v>
      </c>
      <c r="E428" s="2" t="s">
        <v>295</v>
      </c>
      <c r="F428" s="145">
        <v>2425</v>
      </c>
      <c r="H428" s="2" t="s">
        <v>1310</v>
      </c>
      <c r="I428" s="72">
        <v>44586</v>
      </c>
      <c r="K428" s="2" t="s">
        <v>1311</v>
      </c>
    </row>
    <row r="429" spans="1:11">
      <c r="A429" s="2" t="s">
        <v>900</v>
      </c>
      <c r="B429" s="2" t="s">
        <v>43</v>
      </c>
      <c r="C429" s="2" t="s">
        <v>1309</v>
      </c>
      <c r="D429" s="40">
        <v>1319000</v>
      </c>
      <c r="E429" s="2" t="s">
        <v>295</v>
      </c>
      <c r="F429" s="145">
        <v>2428</v>
      </c>
      <c r="H429" s="2" t="s">
        <v>1310</v>
      </c>
      <c r="I429" s="72">
        <v>44589</v>
      </c>
      <c r="K429" s="2" t="s">
        <v>1311</v>
      </c>
    </row>
    <row r="430" spans="1:11">
      <c r="A430" s="2" t="s">
        <v>901</v>
      </c>
      <c r="B430" s="2" t="s">
        <v>43</v>
      </c>
      <c r="C430" s="2" t="s">
        <v>1309</v>
      </c>
      <c r="D430" s="40">
        <v>1322000</v>
      </c>
      <c r="E430" s="2" t="s">
        <v>295</v>
      </c>
      <c r="F430" s="145">
        <v>2431</v>
      </c>
      <c r="H430" s="2" t="s">
        <v>1310</v>
      </c>
      <c r="I430" s="72">
        <v>44592</v>
      </c>
      <c r="K430" s="2" t="s">
        <v>1311</v>
      </c>
    </row>
    <row r="431" spans="1:11">
      <c r="A431" s="2" t="s">
        <v>902</v>
      </c>
      <c r="B431" s="2" t="s">
        <v>43</v>
      </c>
      <c r="C431" s="2" t="s">
        <v>1309</v>
      </c>
      <c r="D431" s="40">
        <v>1325000</v>
      </c>
      <c r="E431" s="2" t="s">
        <v>295</v>
      </c>
      <c r="F431" s="145">
        <v>2434</v>
      </c>
      <c r="H431" s="2" t="s">
        <v>1310</v>
      </c>
      <c r="I431" s="72">
        <v>44595</v>
      </c>
      <c r="K431" s="2" t="s">
        <v>1311</v>
      </c>
    </row>
    <row r="432" spans="1:11">
      <c r="A432" s="2" t="s">
        <v>903</v>
      </c>
      <c r="B432" s="2" t="s">
        <v>43</v>
      </c>
      <c r="C432" s="2" t="s">
        <v>1309</v>
      </c>
      <c r="D432" s="40">
        <v>1328000</v>
      </c>
      <c r="E432" s="2" t="s">
        <v>295</v>
      </c>
      <c r="F432" s="145">
        <v>2437</v>
      </c>
      <c r="H432" s="2" t="s">
        <v>1310</v>
      </c>
      <c r="I432" s="72">
        <v>44598</v>
      </c>
      <c r="K432" s="2" t="s">
        <v>1311</v>
      </c>
    </row>
    <row r="433" spans="1:11">
      <c r="A433" s="2" t="s">
        <v>904</v>
      </c>
      <c r="B433" s="2" t="s">
        <v>43</v>
      </c>
      <c r="C433" s="2" t="s">
        <v>1309</v>
      </c>
      <c r="D433" s="40">
        <v>1331000</v>
      </c>
      <c r="E433" s="2" t="s">
        <v>295</v>
      </c>
      <c r="F433" s="145">
        <v>2440</v>
      </c>
      <c r="H433" s="2" t="s">
        <v>1310</v>
      </c>
      <c r="I433" s="72">
        <v>44601</v>
      </c>
      <c r="K433" s="2" t="s">
        <v>1311</v>
      </c>
    </row>
    <row r="434" spans="1:11">
      <c r="A434" s="2" t="s">
        <v>905</v>
      </c>
      <c r="B434" s="2" t="s">
        <v>43</v>
      </c>
      <c r="C434" s="2" t="s">
        <v>1309</v>
      </c>
      <c r="D434" s="40">
        <v>1334000</v>
      </c>
      <c r="E434" s="2" t="s">
        <v>295</v>
      </c>
      <c r="F434" s="145">
        <v>2443</v>
      </c>
      <c r="H434" s="2" t="s">
        <v>1310</v>
      </c>
      <c r="I434" s="72">
        <v>44604</v>
      </c>
      <c r="K434" s="2" t="s">
        <v>1311</v>
      </c>
    </row>
    <row r="435" spans="1:11">
      <c r="A435" s="2" t="s">
        <v>906</v>
      </c>
      <c r="B435" s="2" t="s">
        <v>43</v>
      </c>
      <c r="C435" s="2" t="s">
        <v>1309</v>
      </c>
      <c r="D435" s="40">
        <v>1337000</v>
      </c>
      <c r="E435" s="2" t="s">
        <v>295</v>
      </c>
      <c r="F435" s="145">
        <v>2446</v>
      </c>
      <c r="H435" s="2" t="s">
        <v>1310</v>
      </c>
      <c r="I435" s="72">
        <v>44607</v>
      </c>
      <c r="K435" s="2" t="s">
        <v>1311</v>
      </c>
    </row>
    <row r="436" spans="1:11">
      <c r="A436" s="2" t="s">
        <v>907</v>
      </c>
      <c r="B436" s="2" t="s">
        <v>43</v>
      </c>
      <c r="C436" s="2" t="s">
        <v>1309</v>
      </c>
      <c r="D436" s="40">
        <v>1340000</v>
      </c>
      <c r="E436" s="2" t="s">
        <v>295</v>
      </c>
      <c r="F436" s="145">
        <v>2449</v>
      </c>
      <c r="H436" s="2" t="s">
        <v>1310</v>
      </c>
      <c r="I436" s="72">
        <v>44610</v>
      </c>
      <c r="K436" s="2" t="s">
        <v>1311</v>
      </c>
    </row>
    <row r="437" spans="1:11">
      <c r="A437" s="2" t="s">
        <v>908</v>
      </c>
      <c r="B437" s="2" t="s">
        <v>43</v>
      </c>
      <c r="C437" s="2" t="s">
        <v>1309</v>
      </c>
      <c r="D437" s="40">
        <v>1343000</v>
      </c>
      <c r="E437" s="2" t="s">
        <v>295</v>
      </c>
      <c r="F437" s="145">
        <v>2452</v>
      </c>
      <c r="H437" s="2" t="s">
        <v>1310</v>
      </c>
      <c r="I437" s="72">
        <v>44613</v>
      </c>
      <c r="K437" s="2" t="s">
        <v>1311</v>
      </c>
    </row>
    <row r="438" spans="1:11">
      <c r="A438" s="2" t="s">
        <v>909</v>
      </c>
      <c r="B438" s="2" t="s">
        <v>43</v>
      </c>
      <c r="C438" s="2" t="s">
        <v>1309</v>
      </c>
      <c r="D438" s="40">
        <v>1346000</v>
      </c>
      <c r="E438" s="2" t="s">
        <v>295</v>
      </c>
      <c r="F438" s="145">
        <v>2455</v>
      </c>
      <c r="H438" s="2" t="s">
        <v>1310</v>
      </c>
      <c r="I438" s="72">
        <v>44616</v>
      </c>
      <c r="K438" s="2" t="s">
        <v>1311</v>
      </c>
    </row>
    <row r="439" spans="1:11">
      <c r="A439" s="2" t="s">
        <v>910</v>
      </c>
      <c r="B439" s="2" t="s">
        <v>43</v>
      </c>
      <c r="C439" s="2" t="s">
        <v>1309</v>
      </c>
      <c r="D439" s="40">
        <v>1349000</v>
      </c>
      <c r="E439" s="2" t="s">
        <v>295</v>
      </c>
      <c r="F439" s="145">
        <v>2458</v>
      </c>
      <c r="H439" s="2" t="s">
        <v>1310</v>
      </c>
      <c r="I439" s="72">
        <v>44619</v>
      </c>
      <c r="K439" s="2" t="s">
        <v>1311</v>
      </c>
    </row>
    <row r="440" spans="1:11">
      <c r="A440" s="2" t="s">
        <v>911</v>
      </c>
      <c r="B440" s="2" t="s">
        <v>43</v>
      </c>
      <c r="C440" s="2" t="s">
        <v>1309</v>
      </c>
      <c r="D440" s="40">
        <v>1352000</v>
      </c>
      <c r="E440" s="2" t="s">
        <v>295</v>
      </c>
      <c r="F440" s="145">
        <v>2461</v>
      </c>
      <c r="H440" s="2" t="s">
        <v>1310</v>
      </c>
      <c r="I440" s="72">
        <v>44622</v>
      </c>
      <c r="K440" s="2" t="s">
        <v>1311</v>
      </c>
    </row>
    <row r="441" spans="1:11">
      <c r="A441" s="2" t="s">
        <v>912</v>
      </c>
      <c r="B441" s="2" t="s">
        <v>43</v>
      </c>
      <c r="C441" s="2" t="s">
        <v>1309</v>
      </c>
      <c r="D441" s="40">
        <v>1355000</v>
      </c>
      <c r="E441" s="2" t="s">
        <v>295</v>
      </c>
      <c r="F441" s="145">
        <v>2464</v>
      </c>
      <c r="H441" s="2" t="s">
        <v>1310</v>
      </c>
      <c r="I441" s="72">
        <v>44625</v>
      </c>
      <c r="K441" s="2" t="s">
        <v>1311</v>
      </c>
    </row>
    <row r="442" spans="1:11">
      <c r="A442" s="2" t="s">
        <v>913</v>
      </c>
      <c r="B442" s="2" t="s">
        <v>43</v>
      </c>
      <c r="C442" s="2" t="s">
        <v>1309</v>
      </c>
      <c r="D442" s="40">
        <v>1358000</v>
      </c>
      <c r="E442" s="2" t="s">
        <v>295</v>
      </c>
      <c r="F442" s="145">
        <v>2467</v>
      </c>
      <c r="H442" s="2" t="s">
        <v>1310</v>
      </c>
      <c r="I442" s="72">
        <v>44628</v>
      </c>
      <c r="K442" s="2" t="s">
        <v>1311</v>
      </c>
    </row>
    <row r="443" spans="1:11">
      <c r="A443" s="2" t="s">
        <v>914</v>
      </c>
      <c r="B443" s="2" t="s">
        <v>43</v>
      </c>
      <c r="C443" s="2" t="s">
        <v>1309</v>
      </c>
      <c r="D443" s="40">
        <v>1361000</v>
      </c>
      <c r="E443" s="2" t="s">
        <v>295</v>
      </c>
      <c r="F443" s="145">
        <v>2470</v>
      </c>
      <c r="H443" s="2" t="s">
        <v>1310</v>
      </c>
      <c r="I443" s="72">
        <v>44631</v>
      </c>
      <c r="K443" s="2" t="s">
        <v>1311</v>
      </c>
    </row>
    <row r="444" spans="1:11">
      <c r="A444" s="2" t="s">
        <v>915</v>
      </c>
      <c r="B444" s="2" t="s">
        <v>43</v>
      </c>
      <c r="C444" s="2" t="s">
        <v>1309</v>
      </c>
      <c r="D444" s="40">
        <v>1364000</v>
      </c>
      <c r="E444" s="2" t="s">
        <v>295</v>
      </c>
      <c r="F444" s="145">
        <v>2473</v>
      </c>
      <c r="H444" s="2" t="s">
        <v>1310</v>
      </c>
      <c r="I444" s="72">
        <v>44634</v>
      </c>
      <c r="K444" s="2" t="s">
        <v>1311</v>
      </c>
    </row>
    <row r="445" spans="1:11">
      <c r="A445" s="2" t="s">
        <v>916</v>
      </c>
      <c r="B445" s="2" t="s">
        <v>43</v>
      </c>
      <c r="C445" s="2" t="s">
        <v>1309</v>
      </c>
      <c r="D445" s="40">
        <v>1367000</v>
      </c>
      <c r="E445" s="2" t="s">
        <v>295</v>
      </c>
      <c r="F445" s="145">
        <v>2476</v>
      </c>
      <c r="H445" s="2" t="s">
        <v>1310</v>
      </c>
      <c r="I445" s="72">
        <v>44637</v>
      </c>
      <c r="K445" s="2" t="s">
        <v>1311</v>
      </c>
    </row>
    <row r="446" spans="1:11">
      <c r="A446" s="2" t="s">
        <v>917</v>
      </c>
      <c r="B446" s="2" t="s">
        <v>43</v>
      </c>
      <c r="C446" s="2" t="s">
        <v>1309</v>
      </c>
      <c r="D446" s="40">
        <v>1370000</v>
      </c>
      <c r="E446" s="2" t="s">
        <v>295</v>
      </c>
      <c r="F446" s="145">
        <v>2479</v>
      </c>
      <c r="H446" s="2" t="s">
        <v>1310</v>
      </c>
      <c r="I446" s="72">
        <v>44640</v>
      </c>
      <c r="K446" s="2" t="s">
        <v>1311</v>
      </c>
    </row>
    <row r="447" spans="1:11">
      <c r="A447" s="2" t="s">
        <v>918</v>
      </c>
      <c r="B447" s="2" t="s">
        <v>43</v>
      </c>
      <c r="C447" s="2" t="s">
        <v>1309</v>
      </c>
      <c r="D447" s="40">
        <v>1373000</v>
      </c>
      <c r="E447" s="2" t="s">
        <v>295</v>
      </c>
      <c r="F447" s="145">
        <v>2482</v>
      </c>
      <c r="H447" s="2" t="s">
        <v>1310</v>
      </c>
      <c r="I447" s="72">
        <v>44643</v>
      </c>
      <c r="K447" s="2" t="s">
        <v>1311</v>
      </c>
    </row>
    <row r="448" spans="1:11">
      <c r="A448" s="2" t="s">
        <v>919</v>
      </c>
      <c r="B448" s="2" t="s">
        <v>43</v>
      </c>
      <c r="C448" s="2" t="s">
        <v>1309</v>
      </c>
      <c r="D448" s="40">
        <v>1376000</v>
      </c>
      <c r="E448" s="2" t="s">
        <v>295</v>
      </c>
      <c r="F448" s="145">
        <v>2485</v>
      </c>
      <c r="H448" s="2" t="s">
        <v>1310</v>
      </c>
      <c r="I448" s="72">
        <v>44646</v>
      </c>
      <c r="K448" s="2" t="s">
        <v>1311</v>
      </c>
    </row>
    <row r="449" spans="1:11">
      <c r="A449" s="2" t="s">
        <v>920</v>
      </c>
      <c r="B449" s="2" t="s">
        <v>43</v>
      </c>
      <c r="C449" s="2" t="s">
        <v>1309</v>
      </c>
      <c r="D449" s="40">
        <v>1379000</v>
      </c>
      <c r="E449" s="2" t="s">
        <v>295</v>
      </c>
      <c r="F449" s="145">
        <v>2488</v>
      </c>
      <c r="H449" s="2" t="s">
        <v>1310</v>
      </c>
      <c r="I449" s="72">
        <v>44649</v>
      </c>
      <c r="K449" s="2" t="s">
        <v>1311</v>
      </c>
    </row>
    <row r="450" spans="1:11">
      <c r="A450" s="2" t="s">
        <v>921</v>
      </c>
      <c r="B450" s="2" t="s">
        <v>43</v>
      </c>
      <c r="C450" s="2" t="s">
        <v>1309</v>
      </c>
      <c r="D450" s="40">
        <v>1382000</v>
      </c>
      <c r="E450" s="2" t="s">
        <v>295</v>
      </c>
      <c r="F450" s="145">
        <v>2491</v>
      </c>
      <c r="H450" s="2" t="s">
        <v>1310</v>
      </c>
      <c r="I450" s="72">
        <v>44652</v>
      </c>
      <c r="K450" s="2" t="s">
        <v>1311</v>
      </c>
    </row>
    <row r="451" spans="1:11">
      <c r="A451" s="2" t="s">
        <v>922</v>
      </c>
      <c r="B451" s="2" t="s">
        <v>43</v>
      </c>
      <c r="C451" s="2" t="s">
        <v>1309</v>
      </c>
      <c r="D451" s="40">
        <v>1385000</v>
      </c>
      <c r="E451" s="2" t="s">
        <v>295</v>
      </c>
      <c r="F451" s="145">
        <v>2494</v>
      </c>
      <c r="H451" s="2" t="s">
        <v>1310</v>
      </c>
      <c r="I451" s="72">
        <v>44655</v>
      </c>
      <c r="K451" s="2" t="s">
        <v>1311</v>
      </c>
    </row>
    <row r="452" spans="1:11">
      <c r="A452" s="2" t="s">
        <v>923</v>
      </c>
      <c r="B452" s="2" t="s">
        <v>43</v>
      </c>
      <c r="C452" s="2" t="s">
        <v>1309</v>
      </c>
      <c r="D452" s="40">
        <v>1388000</v>
      </c>
      <c r="E452" s="2" t="s">
        <v>295</v>
      </c>
      <c r="F452" s="145">
        <v>2497</v>
      </c>
      <c r="H452" s="2" t="s">
        <v>1310</v>
      </c>
      <c r="I452" s="72">
        <v>44658</v>
      </c>
      <c r="K452" s="2" t="s">
        <v>1311</v>
      </c>
    </row>
    <row r="453" spans="1:11">
      <c r="A453" s="2" t="s">
        <v>924</v>
      </c>
      <c r="B453" s="2" t="s">
        <v>43</v>
      </c>
      <c r="C453" s="2" t="s">
        <v>1309</v>
      </c>
      <c r="D453" s="40">
        <v>1391000</v>
      </c>
      <c r="E453" s="2" t="s">
        <v>295</v>
      </c>
      <c r="F453" s="145">
        <v>2500</v>
      </c>
      <c r="H453" s="2" t="s">
        <v>1310</v>
      </c>
      <c r="I453" s="72">
        <v>44661</v>
      </c>
      <c r="K453" s="2" t="s">
        <v>1311</v>
      </c>
    </row>
    <row r="454" spans="1:11">
      <c r="A454" s="2" t="s">
        <v>925</v>
      </c>
      <c r="B454" s="2" t="s">
        <v>43</v>
      </c>
      <c r="C454" s="2" t="s">
        <v>1309</v>
      </c>
      <c r="D454" s="40">
        <v>1394000</v>
      </c>
      <c r="E454" s="2" t="s">
        <v>295</v>
      </c>
      <c r="F454" s="145">
        <v>2503</v>
      </c>
      <c r="H454" s="2" t="s">
        <v>1310</v>
      </c>
      <c r="I454" s="72">
        <v>44664</v>
      </c>
      <c r="K454" s="2" t="s">
        <v>1311</v>
      </c>
    </row>
    <row r="455" spans="1:11">
      <c r="A455" s="2" t="s">
        <v>926</v>
      </c>
      <c r="B455" s="2" t="s">
        <v>43</v>
      </c>
      <c r="C455" s="2" t="s">
        <v>1309</v>
      </c>
      <c r="D455" s="40">
        <v>1397000</v>
      </c>
      <c r="E455" s="2" t="s">
        <v>295</v>
      </c>
      <c r="F455" s="145">
        <v>2506</v>
      </c>
      <c r="H455" s="2" t="s">
        <v>1310</v>
      </c>
      <c r="I455" s="72">
        <v>44667</v>
      </c>
      <c r="K455" s="2" t="s">
        <v>1311</v>
      </c>
    </row>
    <row r="456" spans="1:11">
      <c r="A456" s="2" t="s">
        <v>927</v>
      </c>
      <c r="B456" s="2" t="s">
        <v>43</v>
      </c>
      <c r="C456" s="2" t="s">
        <v>1309</v>
      </c>
      <c r="D456" s="40">
        <v>1400000</v>
      </c>
      <c r="E456" s="2" t="s">
        <v>295</v>
      </c>
      <c r="F456" s="145">
        <v>2509</v>
      </c>
      <c r="H456" s="2" t="s">
        <v>1310</v>
      </c>
      <c r="I456" s="72">
        <v>44670</v>
      </c>
      <c r="K456" s="2" t="s">
        <v>1311</v>
      </c>
    </row>
    <row r="457" spans="1:11">
      <c r="A457" s="2" t="s">
        <v>928</v>
      </c>
      <c r="B457" s="2" t="s">
        <v>43</v>
      </c>
      <c r="C457" s="2" t="s">
        <v>1309</v>
      </c>
      <c r="D457" s="40">
        <v>1403000</v>
      </c>
      <c r="E457" s="2" t="s">
        <v>295</v>
      </c>
      <c r="F457" s="145">
        <v>2512</v>
      </c>
      <c r="H457" s="2" t="s">
        <v>1310</v>
      </c>
      <c r="I457" s="72">
        <v>44673</v>
      </c>
      <c r="K457" s="2" t="s">
        <v>1311</v>
      </c>
    </row>
    <row r="458" spans="1:11">
      <c r="A458" s="2" t="s">
        <v>929</v>
      </c>
      <c r="B458" s="2" t="s">
        <v>43</v>
      </c>
      <c r="C458" s="2" t="s">
        <v>1309</v>
      </c>
      <c r="D458" s="40">
        <v>1406000</v>
      </c>
      <c r="E458" s="2" t="s">
        <v>295</v>
      </c>
      <c r="F458" s="145">
        <v>2515</v>
      </c>
      <c r="H458" s="2" t="s">
        <v>1310</v>
      </c>
      <c r="I458" s="72">
        <v>44676</v>
      </c>
      <c r="K458" s="2" t="s">
        <v>1311</v>
      </c>
    </row>
    <row r="459" spans="1:11">
      <c r="A459" s="2" t="s">
        <v>930</v>
      </c>
      <c r="B459" s="2" t="s">
        <v>43</v>
      </c>
      <c r="C459" s="2" t="s">
        <v>1309</v>
      </c>
      <c r="D459" s="40">
        <v>1409000</v>
      </c>
      <c r="E459" s="2" t="s">
        <v>295</v>
      </c>
      <c r="F459" s="145">
        <v>2518</v>
      </c>
      <c r="H459" s="2" t="s">
        <v>1310</v>
      </c>
      <c r="I459" s="72">
        <v>44679</v>
      </c>
      <c r="K459" s="2" t="s">
        <v>1311</v>
      </c>
    </row>
    <row r="460" spans="1:11">
      <c r="A460" s="2" t="s">
        <v>931</v>
      </c>
      <c r="B460" s="2" t="s">
        <v>43</v>
      </c>
      <c r="C460" s="2" t="s">
        <v>1309</v>
      </c>
      <c r="D460" s="40">
        <v>1412000</v>
      </c>
      <c r="E460" s="2" t="s">
        <v>295</v>
      </c>
      <c r="F460" s="145">
        <v>2521</v>
      </c>
      <c r="H460" s="2" t="s">
        <v>1310</v>
      </c>
      <c r="I460" s="72">
        <v>44682</v>
      </c>
      <c r="K460" s="2" t="s">
        <v>1311</v>
      </c>
    </row>
    <row r="461" spans="1:11">
      <c r="A461" s="2" t="s">
        <v>932</v>
      </c>
      <c r="B461" s="2" t="s">
        <v>43</v>
      </c>
      <c r="C461" s="2" t="s">
        <v>1309</v>
      </c>
      <c r="D461" s="40">
        <v>1415000</v>
      </c>
      <c r="E461" s="2" t="s">
        <v>295</v>
      </c>
      <c r="F461" s="145">
        <v>2524</v>
      </c>
      <c r="H461" s="2" t="s">
        <v>1310</v>
      </c>
      <c r="I461" s="72">
        <v>44685</v>
      </c>
      <c r="K461" s="2" t="s">
        <v>1311</v>
      </c>
    </row>
    <row r="462" spans="1:11">
      <c r="A462" s="2" t="s">
        <v>933</v>
      </c>
      <c r="B462" s="2" t="s">
        <v>43</v>
      </c>
      <c r="C462" s="2" t="s">
        <v>1309</v>
      </c>
      <c r="D462" s="40">
        <v>1418000</v>
      </c>
      <c r="E462" s="2" t="s">
        <v>295</v>
      </c>
      <c r="F462" s="145">
        <v>2527</v>
      </c>
      <c r="H462" s="2" t="s">
        <v>1310</v>
      </c>
      <c r="I462" s="72">
        <v>44688</v>
      </c>
      <c r="K462" s="2" t="s">
        <v>1311</v>
      </c>
    </row>
    <row r="463" spans="1:11">
      <c r="A463" s="2" t="s">
        <v>934</v>
      </c>
      <c r="B463" s="2" t="s">
        <v>43</v>
      </c>
      <c r="C463" s="2" t="s">
        <v>1309</v>
      </c>
      <c r="D463" s="40">
        <v>1421000</v>
      </c>
      <c r="E463" s="2" t="s">
        <v>295</v>
      </c>
      <c r="F463" s="145">
        <v>2530</v>
      </c>
      <c r="H463" s="2" t="s">
        <v>1310</v>
      </c>
      <c r="I463" s="72">
        <v>44691</v>
      </c>
      <c r="K463" s="2" t="s">
        <v>1311</v>
      </c>
    </row>
    <row r="464" spans="1:11">
      <c r="A464" s="2" t="s">
        <v>935</v>
      </c>
      <c r="B464" s="2" t="s">
        <v>43</v>
      </c>
      <c r="C464" s="2" t="s">
        <v>1309</v>
      </c>
      <c r="D464" s="40">
        <v>1424000</v>
      </c>
      <c r="E464" s="2" t="s">
        <v>295</v>
      </c>
      <c r="F464" s="145">
        <v>2533</v>
      </c>
      <c r="H464" s="2" t="s">
        <v>1310</v>
      </c>
      <c r="I464" s="72">
        <v>44694</v>
      </c>
      <c r="K464" s="2" t="s">
        <v>1311</v>
      </c>
    </row>
    <row r="465" spans="1:11">
      <c r="A465" s="2" t="s">
        <v>936</v>
      </c>
      <c r="B465" s="2" t="s">
        <v>43</v>
      </c>
      <c r="C465" s="2" t="s">
        <v>1309</v>
      </c>
      <c r="D465" s="40">
        <v>1427000</v>
      </c>
      <c r="E465" s="2" t="s">
        <v>295</v>
      </c>
      <c r="F465" s="145">
        <v>2536</v>
      </c>
      <c r="H465" s="2" t="s">
        <v>1310</v>
      </c>
      <c r="I465" s="72">
        <v>44697</v>
      </c>
      <c r="K465" s="2" t="s">
        <v>1311</v>
      </c>
    </row>
    <row r="466" spans="1:11">
      <c r="A466" s="2" t="s">
        <v>937</v>
      </c>
      <c r="B466" s="2" t="s">
        <v>43</v>
      </c>
      <c r="C466" s="2" t="s">
        <v>1309</v>
      </c>
      <c r="D466" s="40">
        <v>1430000</v>
      </c>
      <c r="E466" s="2" t="s">
        <v>295</v>
      </c>
      <c r="F466" s="145">
        <v>2539</v>
      </c>
      <c r="H466" s="2" t="s">
        <v>1310</v>
      </c>
      <c r="I466" s="72">
        <v>44700</v>
      </c>
      <c r="K466" s="2" t="s">
        <v>1311</v>
      </c>
    </row>
    <row r="467" spans="1:11">
      <c r="A467" s="2" t="s">
        <v>938</v>
      </c>
      <c r="B467" s="2" t="s">
        <v>43</v>
      </c>
      <c r="C467" s="2" t="s">
        <v>1309</v>
      </c>
      <c r="D467" s="40">
        <v>1433000</v>
      </c>
      <c r="E467" s="2" t="s">
        <v>295</v>
      </c>
      <c r="F467" s="145">
        <v>2542</v>
      </c>
      <c r="H467" s="2" t="s">
        <v>1310</v>
      </c>
      <c r="I467" s="72">
        <v>44703</v>
      </c>
      <c r="K467" s="2" t="s">
        <v>1311</v>
      </c>
    </row>
    <row r="468" spans="1:11">
      <c r="A468" s="2" t="s">
        <v>939</v>
      </c>
      <c r="B468" s="2" t="s">
        <v>43</v>
      </c>
      <c r="C468" s="2" t="s">
        <v>1309</v>
      </c>
      <c r="D468" s="40">
        <v>1436000</v>
      </c>
      <c r="E468" s="2" t="s">
        <v>295</v>
      </c>
      <c r="F468" s="145">
        <v>2545</v>
      </c>
      <c r="H468" s="2" t="s">
        <v>1310</v>
      </c>
      <c r="I468" s="72">
        <v>44706</v>
      </c>
      <c r="K468" s="2" t="s">
        <v>1311</v>
      </c>
    </row>
    <row r="469" spans="1:11">
      <c r="A469" s="2" t="s">
        <v>940</v>
      </c>
      <c r="B469" s="2" t="s">
        <v>43</v>
      </c>
      <c r="C469" s="2" t="s">
        <v>1309</v>
      </c>
      <c r="D469" s="40">
        <v>1439000</v>
      </c>
      <c r="E469" s="2" t="s">
        <v>295</v>
      </c>
      <c r="F469" s="145">
        <v>2548</v>
      </c>
      <c r="H469" s="2" t="s">
        <v>1310</v>
      </c>
      <c r="I469" s="72">
        <v>44709</v>
      </c>
      <c r="K469" s="2" t="s">
        <v>1311</v>
      </c>
    </row>
    <row r="470" spans="1:11">
      <c r="A470" s="2" t="s">
        <v>941</v>
      </c>
      <c r="B470" s="2" t="s">
        <v>43</v>
      </c>
      <c r="C470" s="2" t="s">
        <v>1309</v>
      </c>
      <c r="D470" s="40">
        <v>1442000</v>
      </c>
      <c r="E470" s="2" t="s">
        <v>295</v>
      </c>
      <c r="F470" s="145">
        <v>2551</v>
      </c>
      <c r="H470" s="2" t="s">
        <v>1310</v>
      </c>
      <c r="I470" s="72">
        <v>44712</v>
      </c>
      <c r="K470" s="2" t="s">
        <v>1311</v>
      </c>
    </row>
    <row r="471" spans="1:11">
      <c r="A471" s="2" t="s">
        <v>942</v>
      </c>
      <c r="B471" s="2" t="s">
        <v>43</v>
      </c>
      <c r="C471" s="2" t="s">
        <v>1309</v>
      </c>
      <c r="D471" s="40">
        <v>1445000</v>
      </c>
      <c r="E471" s="2" t="s">
        <v>295</v>
      </c>
      <c r="F471" s="145">
        <v>2554</v>
      </c>
      <c r="H471" s="2" t="s">
        <v>1310</v>
      </c>
      <c r="I471" s="72">
        <v>44715</v>
      </c>
      <c r="K471" s="2" t="s">
        <v>1311</v>
      </c>
    </row>
    <row r="472" spans="1:11">
      <c r="A472" s="2" t="s">
        <v>943</v>
      </c>
      <c r="B472" s="2" t="s">
        <v>43</v>
      </c>
      <c r="C472" s="2" t="s">
        <v>1309</v>
      </c>
      <c r="D472" s="40">
        <v>1448000</v>
      </c>
      <c r="E472" s="2" t="s">
        <v>295</v>
      </c>
      <c r="F472" s="145">
        <v>2557</v>
      </c>
      <c r="H472" s="2" t="s">
        <v>1310</v>
      </c>
      <c r="I472" s="72">
        <v>44718</v>
      </c>
      <c r="K472" s="2" t="s">
        <v>1311</v>
      </c>
    </row>
    <row r="473" spans="1:11">
      <c r="A473" s="2" t="s">
        <v>944</v>
      </c>
      <c r="B473" s="2" t="s">
        <v>43</v>
      </c>
      <c r="C473" s="2" t="s">
        <v>1309</v>
      </c>
      <c r="D473" s="40">
        <v>1451000</v>
      </c>
      <c r="E473" s="2" t="s">
        <v>295</v>
      </c>
      <c r="F473" s="145">
        <v>2560</v>
      </c>
      <c r="H473" s="2" t="s">
        <v>1310</v>
      </c>
      <c r="I473" s="72">
        <v>44721</v>
      </c>
      <c r="K473" s="2" t="s">
        <v>1311</v>
      </c>
    </row>
    <row r="474" spans="1:11">
      <c r="A474" s="2" t="s">
        <v>945</v>
      </c>
      <c r="B474" s="2" t="s">
        <v>43</v>
      </c>
      <c r="C474" s="2" t="s">
        <v>1309</v>
      </c>
      <c r="D474" s="40">
        <v>1454000</v>
      </c>
      <c r="E474" s="2" t="s">
        <v>295</v>
      </c>
      <c r="F474" s="145">
        <v>2563</v>
      </c>
      <c r="H474" s="2" t="s">
        <v>1310</v>
      </c>
      <c r="I474" s="72">
        <v>44724</v>
      </c>
      <c r="K474" s="2" t="s">
        <v>1311</v>
      </c>
    </row>
    <row r="475" spans="1:11">
      <c r="A475" s="2" t="s">
        <v>946</v>
      </c>
      <c r="B475" s="2" t="s">
        <v>43</v>
      </c>
      <c r="C475" s="2" t="s">
        <v>1309</v>
      </c>
      <c r="D475" s="40">
        <v>1457000</v>
      </c>
      <c r="E475" s="2" t="s">
        <v>295</v>
      </c>
      <c r="F475" s="145">
        <v>2566</v>
      </c>
      <c r="H475" s="2" t="s">
        <v>1310</v>
      </c>
      <c r="I475" s="72">
        <v>44727</v>
      </c>
      <c r="K475" s="2" t="s">
        <v>1311</v>
      </c>
    </row>
    <row r="476" spans="1:11">
      <c r="A476" s="2" t="s">
        <v>947</v>
      </c>
      <c r="B476" s="2" t="s">
        <v>43</v>
      </c>
      <c r="C476" s="2" t="s">
        <v>1309</v>
      </c>
      <c r="D476" s="40">
        <v>1460000</v>
      </c>
      <c r="E476" s="2" t="s">
        <v>295</v>
      </c>
      <c r="F476" s="145">
        <v>2569</v>
      </c>
      <c r="H476" s="2" t="s">
        <v>1310</v>
      </c>
      <c r="I476" s="72">
        <v>44730</v>
      </c>
      <c r="K476" s="2" t="s">
        <v>1311</v>
      </c>
    </row>
    <row r="477" spans="1:11">
      <c r="A477" s="2" t="s">
        <v>948</v>
      </c>
      <c r="B477" s="2" t="s">
        <v>43</v>
      </c>
      <c r="C477" s="2" t="s">
        <v>1309</v>
      </c>
      <c r="D477" s="40">
        <v>1463000</v>
      </c>
      <c r="E477" s="2" t="s">
        <v>295</v>
      </c>
      <c r="F477" s="145">
        <v>2572</v>
      </c>
      <c r="H477" s="2" t="s">
        <v>1310</v>
      </c>
      <c r="I477" s="72">
        <v>44733</v>
      </c>
      <c r="K477" s="2" t="s">
        <v>1311</v>
      </c>
    </row>
    <row r="478" spans="1:11">
      <c r="A478" s="2" t="s">
        <v>949</v>
      </c>
      <c r="B478" s="2" t="s">
        <v>43</v>
      </c>
      <c r="C478" s="2" t="s">
        <v>1309</v>
      </c>
      <c r="D478" s="40">
        <v>1466000</v>
      </c>
      <c r="E478" s="2" t="s">
        <v>295</v>
      </c>
      <c r="F478" s="145">
        <v>2575</v>
      </c>
      <c r="H478" s="2" t="s">
        <v>1310</v>
      </c>
      <c r="I478" s="72">
        <v>44736</v>
      </c>
      <c r="K478" s="2" t="s">
        <v>1311</v>
      </c>
    </row>
    <row r="479" spans="1:11">
      <c r="A479" s="2" t="s">
        <v>950</v>
      </c>
      <c r="B479" s="2" t="s">
        <v>43</v>
      </c>
      <c r="C479" s="2" t="s">
        <v>1309</v>
      </c>
      <c r="D479" s="40">
        <v>1469000</v>
      </c>
      <c r="E479" s="2" t="s">
        <v>295</v>
      </c>
      <c r="F479" s="145">
        <v>2578</v>
      </c>
      <c r="H479" s="2" t="s">
        <v>1310</v>
      </c>
      <c r="I479" s="72">
        <v>44739</v>
      </c>
      <c r="K479" s="2" t="s">
        <v>1311</v>
      </c>
    </row>
    <row r="480" spans="1:11">
      <c r="A480" s="2" t="s">
        <v>951</v>
      </c>
      <c r="B480" s="2" t="s">
        <v>43</v>
      </c>
      <c r="C480" s="2" t="s">
        <v>1309</v>
      </c>
      <c r="D480" s="40">
        <v>1472000</v>
      </c>
      <c r="E480" s="2" t="s">
        <v>295</v>
      </c>
      <c r="F480" s="145">
        <v>2581</v>
      </c>
      <c r="H480" s="2" t="s">
        <v>1310</v>
      </c>
      <c r="I480" s="72">
        <v>44742</v>
      </c>
      <c r="K480" s="2" t="s">
        <v>1311</v>
      </c>
    </row>
    <row r="481" spans="1:11">
      <c r="A481" s="2" t="s">
        <v>952</v>
      </c>
      <c r="B481" s="2" t="s">
        <v>43</v>
      </c>
      <c r="C481" s="2" t="s">
        <v>1309</v>
      </c>
      <c r="D481" s="40">
        <v>1475000</v>
      </c>
      <c r="E481" s="2" t="s">
        <v>295</v>
      </c>
      <c r="F481" s="145">
        <v>2584</v>
      </c>
      <c r="H481" s="2" t="s">
        <v>1310</v>
      </c>
      <c r="I481" s="72">
        <v>44745</v>
      </c>
      <c r="K481" s="2" t="s">
        <v>1311</v>
      </c>
    </row>
    <row r="482" spans="1:11">
      <c r="A482" s="2" t="s">
        <v>953</v>
      </c>
      <c r="B482" s="2" t="s">
        <v>43</v>
      </c>
      <c r="C482" s="2" t="s">
        <v>1309</v>
      </c>
      <c r="D482" s="40">
        <v>1478000</v>
      </c>
      <c r="E482" s="2" t="s">
        <v>295</v>
      </c>
      <c r="F482" s="145">
        <v>2587</v>
      </c>
      <c r="H482" s="2" t="s">
        <v>1310</v>
      </c>
      <c r="I482" s="72">
        <v>44748</v>
      </c>
      <c r="K482" s="2" t="s">
        <v>1311</v>
      </c>
    </row>
    <row r="483" spans="1:11">
      <c r="A483" s="2" t="s">
        <v>954</v>
      </c>
      <c r="B483" s="2" t="s">
        <v>43</v>
      </c>
      <c r="C483" s="2" t="s">
        <v>1309</v>
      </c>
      <c r="D483" s="40">
        <v>1481000</v>
      </c>
      <c r="E483" s="2" t="s">
        <v>295</v>
      </c>
      <c r="F483" s="145">
        <v>2590</v>
      </c>
      <c r="H483" s="2" t="s">
        <v>1310</v>
      </c>
      <c r="I483" s="72">
        <v>44751</v>
      </c>
      <c r="K483" s="2" t="s">
        <v>1311</v>
      </c>
    </row>
    <row r="484" spans="1:11">
      <c r="A484" s="2" t="s">
        <v>955</v>
      </c>
      <c r="B484" s="2" t="s">
        <v>43</v>
      </c>
      <c r="C484" s="2" t="s">
        <v>1309</v>
      </c>
      <c r="D484" s="40">
        <v>1484000</v>
      </c>
      <c r="E484" s="2" t="s">
        <v>295</v>
      </c>
      <c r="F484" s="145">
        <v>2593</v>
      </c>
      <c r="H484" s="2" t="s">
        <v>1310</v>
      </c>
      <c r="I484" s="72">
        <v>44754</v>
      </c>
      <c r="K484" s="2" t="s">
        <v>1311</v>
      </c>
    </row>
    <row r="485" spans="1:11">
      <c r="A485" s="2" t="s">
        <v>956</v>
      </c>
      <c r="B485" s="2" t="s">
        <v>43</v>
      </c>
      <c r="C485" s="2" t="s">
        <v>1309</v>
      </c>
      <c r="D485" s="40">
        <v>1487000</v>
      </c>
      <c r="E485" s="2" t="s">
        <v>295</v>
      </c>
      <c r="F485" s="145">
        <v>2596</v>
      </c>
      <c r="H485" s="2" t="s">
        <v>1310</v>
      </c>
      <c r="I485" s="72">
        <v>44757</v>
      </c>
      <c r="K485" s="2" t="s">
        <v>1311</v>
      </c>
    </row>
    <row r="486" spans="1:11">
      <c r="A486" s="2" t="s">
        <v>957</v>
      </c>
      <c r="B486" s="2" t="s">
        <v>43</v>
      </c>
      <c r="C486" s="2" t="s">
        <v>1309</v>
      </c>
      <c r="D486" s="40">
        <v>1490000</v>
      </c>
      <c r="E486" s="2" t="s">
        <v>295</v>
      </c>
      <c r="F486" s="145">
        <v>2599</v>
      </c>
      <c r="H486" s="2" t="s">
        <v>1310</v>
      </c>
      <c r="I486" s="72">
        <v>44760</v>
      </c>
      <c r="K486" s="2" t="s">
        <v>1311</v>
      </c>
    </row>
    <row r="487" spans="1:11">
      <c r="A487" s="2" t="s">
        <v>958</v>
      </c>
      <c r="B487" s="2" t="s">
        <v>43</v>
      </c>
      <c r="C487" s="2" t="s">
        <v>1309</v>
      </c>
      <c r="D487" s="40">
        <v>1493000</v>
      </c>
      <c r="E487" s="2" t="s">
        <v>295</v>
      </c>
      <c r="F487" s="145">
        <v>2602</v>
      </c>
      <c r="H487" s="2" t="s">
        <v>1310</v>
      </c>
      <c r="I487" s="72">
        <v>44763</v>
      </c>
      <c r="K487" s="2" t="s">
        <v>1311</v>
      </c>
    </row>
    <row r="488" spans="1:11">
      <c r="A488" s="2" t="s">
        <v>959</v>
      </c>
      <c r="B488" s="2" t="s">
        <v>43</v>
      </c>
      <c r="C488" s="2" t="s">
        <v>1309</v>
      </c>
      <c r="D488" s="40">
        <v>1496000</v>
      </c>
      <c r="E488" s="2" t="s">
        <v>295</v>
      </c>
      <c r="F488" s="145">
        <v>2605</v>
      </c>
      <c r="H488" s="2" t="s">
        <v>1310</v>
      </c>
      <c r="I488" s="72">
        <v>44766</v>
      </c>
      <c r="K488" s="2" t="s">
        <v>1311</v>
      </c>
    </row>
    <row r="489" spans="1:11">
      <c r="A489" s="2" t="s">
        <v>960</v>
      </c>
      <c r="B489" s="2" t="s">
        <v>43</v>
      </c>
      <c r="C489" s="2" t="s">
        <v>1309</v>
      </c>
      <c r="D489" s="40">
        <v>1499000</v>
      </c>
      <c r="E489" s="2" t="s">
        <v>295</v>
      </c>
      <c r="F489" s="145">
        <v>2608</v>
      </c>
      <c r="H489" s="2" t="s">
        <v>1310</v>
      </c>
      <c r="I489" s="72">
        <v>44769</v>
      </c>
      <c r="K489" s="2" t="s">
        <v>1311</v>
      </c>
    </row>
    <row r="490" spans="1:11">
      <c r="A490" s="2" t="s">
        <v>961</v>
      </c>
      <c r="B490" s="2" t="s">
        <v>43</v>
      </c>
      <c r="C490" s="2" t="s">
        <v>1309</v>
      </c>
      <c r="D490" s="40">
        <v>1502000</v>
      </c>
      <c r="E490" s="2" t="s">
        <v>295</v>
      </c>
      <c r="F490" s="145">
        <v>2611</v>
      </c>
      <c r="H490" s="2" t="s">
        <v>1310</v>
      </c>
      <c r="I490" s="72">
        <v>44772</v>
      </c>
      <c r="K490" s="2" t="s">
        <v>1311</v>
      </c>
    </row>
    <row r="491" spans="1:11">
      <c r="A491" s="2" t="s">
        <v>962</v>
      </c>
      <c r="B491" s="2" t="s">
        <v>43</v>
      </c>
      <c r="C491" s="2" t="s">
        <v>1309</v>
      </c>
      <c r="D491" s="40">
        <v>1505000</v>
      </c>
      <c r="E491" s="2" t="s">
        <v>295</v>
      </c>
      <c r="F491" s="145">
        <v>2614</v>
      </c>
      <c r="H491" s="2" t="s">
        <v>1310</v>
      </c>
      <c r="I491" s="72">
        <v>44775</v>
      </c>
      <c r="K491" s="2" t="s">
        <v>1311</v>
      </c>
    </row>
    <row r="492" spans="1:11">
      <c r="A492" s="2" t="s">
        <v>963</v>
      </c>
      <c r="B492" s="2" t="s">
        <v>43</v>
      </c>
      <c r="C492" s="2" t="s">
        <v>1309</v>
      </c>
      <c r="D492" s="40">
        <v>1508000</v>
      </c>
      <c r="E492" s="2" t="s">
        <v>295</v>
      </c>
      <c r="F492" s="145">
        <v>2617</v>
      </c>
      <c r="H492" s="2" t="s">
        <v>1310</v>
      </c>
      <c r="I492" s="72">
        <v>44778</v>
      </c>
      <c r="K492" s="2" t="s">
        <v>1311</v>
      </c>
    </row>
    <row r="493" spans="1:11">
      <c r="A493" s="2" t="s">
        <v>964</v>
      </c>
      <c r="B493" s="2" t="s">
        <v>43</v>
      </c>
      <c r="C493" s="2" t="s">
        <v>1309</v>
      </c>
      <c r="D493" s="40">
        <v>1511000</v>
      </c>
      <c r="E493" s="2" t="s">
        <v>295</v>
      </c>
      <c r="F493" s="145">
        <v>2620</v>
      </c>
      <c r="H493" s="2" t="s">
        <v>1310</v>
      </c>
      <c r="I493" s="72">
        <v>44781</v>
      </c>
      <c r="K493" s="2" t="s">
        <v>1311</v>
      </c>
    </row>
    <row r="494" spans="1:11">
      <c r="A494" s="2" t="s">
        <v>965</v>
      </c>
      <c r="B494" s="2" t="s">
        <v>43</v>
      </c>
      <c r="C494" s="2" t="s">
        <v>1309</v>
      </c>
      <c r="D494" s="40">
        <v>1514000</v>
      </c>
      <c r="E494" s="2" t="s">
        <v>295</v>
      </c>
      <c r="F494" s="145">
        <v>2623</v>
      </c>
      <c r="H494" s="2" t="s">
        <v>1310</v>
      </c>
      <c r="I494" s="72">
        <v>44784</v>
      </c>
      <c r="K494" s="2" t="s">
        <v>1311</v>
      </c>
    </row>
    <row r="495" spans="1:11">
      <c r="A495" s="2" t="s">
        <v>966</v>
      </c>
      <c r="B495" s="2" t="s">
        <v>43</v>
      </c>
      <c r="C495" s="2" t="s">
        <v>1309</v>
      </c>
      <c r="D495" s="40">
        <v>1517000</v>
      </c>
      <c r="E495" s="2" t="s">
        <v>295</v>
      </c>
      <c r="F495" s="145">
        <v>2626</v>
      </c>
      <c r="H495" s="2" t="s">
        <v>1310</v>
      </c>
      <c r="I495" s="72">
        <v>44787</v>
      </c>
      <c r="K495" s="2" t="s">
        <v>1311</v>
      </c>
    </row>
    <row r="496" spans="1:11">
      <c r="A496" s="2" t="s">
        <v>967</v>
      </c>
      <c r="B496" s="2" t="s">
        <v>43</v>
      </c>
      <c r="C496" s="2" t="s">
        <v>1309</v>
      </c>
      <c r="D496" s="40">
        <v>1520000</v>
      </c>
      <c r="E496" s="2" t="s">
        <v>295</v>
      </c>
      <c r="F496" s="145">
        <v>2629</v>
      </c>
      <c r="H496" s="2" t="s">
        <v>1310</v>
      </c>
      <c r="I496" s="72">
        <v>44790</v>
      </c>
      <c r="K496" s="2" t="s">
        <v>1311</v>
      </c>
    </row>
    <row r="497" spans="1:11">
      <c r="A497" s="2" t="s">
        <v>968</v>
      </c>
      <c r="B497" s="2" t="s">
        <v>43</v>
      </c>
      <c r="C497" s="2" t="s">
        <v>1309</v>
      </c>
      <c r="D497" s="40">
        <v>1523000</v>
      </c>
      <c r="E497" s="2" t="s">
        <v>295</v>
      </c>
      <c r="F497" s="145">
        <v>2632</v>
      </c>
      <c r="H497" s="2" t="s">
        <v>1310</v>
      </c>
      <c r="I497" s="72">
        <v>44793</v>
      </c>
      <c r="K497" s="2" t="s">
        <v>1311</v>
      </c>
    </row>
    <row r="498" spans="1:11">
      <c r="A498" s="2" t="s">
        <v>969</v>
      </c>
      <c r="B498" s="2" t="s">
        <v>43</v>
      </c>
      <c r="C498" s="2" t="s">
        <v>1309</v>
      </c>
      <c r="D498" s="40">
        <v>1526000</v>
      </c>
      <c r="E498" s="2" t="s">
        <v>295</v>
      </c>
      <c r="F498" s="145">
        <v>2635</v>
      </c>
      <c r="H498" s="2" t="s">
        <v>1310</v>
      </c>
      <c r="I498" s="72">
        <v>44796</v>
      </c>
      <c r="K498" s="2" t="s">
        <v>1311</v>
      </c>
    </row>
    <row r="499" spans="1:11">
      <c r="A499" s="2" t="s">
        <v>970</v>
      </c>
      <c r="B499" s="2" t="s">
        <v>43</v>
      </c>
      <c r="C499" s="2" t="s">
        <v>1309</v>
      </c>
      <c r="D499" s="40">
        <v>1529000</v>
      </c>
      <c r="E499" s="2" t="s">
        <v>295</v>
      </c>
      <c r="F499" s="145">
        <v>2638</v>
      </c>
      <c r="H499" s="2" t="s">
        <v>1310</v>
      </c>
      <c r="I499" s="72">
        <v>44799</v>
      </c>
      <c r="K499" s="2" t="s">
        <v>1311</v>
      </c>
    </row>
    <row r="500" spans="1:11">
      <c r="A500" s="2" t="s">
        <v>971</v>
      </c>
      <c r="B500" s="2" t="s">
        <v>43</v>
      </c>
      <c r="C500" s="2" t="s">
        <v>1309</v>
      </c>
      <c r="D500" s="40">
        <v>1532000</v>
      </c>
      <c r="E500" s="2" t="s">
        <v>295</v>
      </c>
      <c r="F500" s="145">
        <v>2641</v>
      </c>
      <c r="H500" s="2" t="s">
        <v>1310</v>
      </c>
      <c r="I500" s="72">
        <v>44802</v>
      </c>
      <c r="K500" s="2" t="s">
        <v>1311</v>
      </c>
    </row>
    <row r="501" spans="1:11">
      <c r="A501" s="2" t="s">
        <v>972</v>
      </c>
      <c r="B501" s="2" t="s">
        <v>43</v>
      </c>
      <c r="C501" s="2" t="s">
        <v>1309</v>
      </c>
      <c r="D501" s="40">
        <v>1535000</v>
      </c>
      <c r="E501" s="2" t="s">
        <v>295</v>
      </c>
      <c r="F501" s="145">
        <v>2644</v>
      </c>
      <c r="H501" s="2" t="s">
        <v>1310</v>
      </c>
      <c r="I501" s="72">
        <v>44805</v>
      </c>
      <c r="K501" s="2" t="s">
        <v>1311</v>
      </c>
    </row>
    <row r="502" spans="1:11">
      <c r="A502" s="2" t="s">
        <v>973</v>
      </c>
      <c r="B502" s="2" t="s">
        <v>43</v>
      </c>
      <c r="C502" s="2" t="s">
        <v>1309</v>
      </c>
      <c r="D502" s="40">
        <v>1538000</v>
      </c>
      <c r="E502" s="2" t="s">
        <v>295</v>
      </c>
      <c r="F502" s="145">
        <v>2647</v>
      </c>
      <c r="H502" s="2" t="s">
        <v>1310</v>
      </c>
      <c r="I502" s="72">
        <v>44808</v>
      </c>
      <c r="K502" s="2" t="s">
        <v>1311</v>
      </c>
    </row>
    <row r="503" spans="1:11">
      <c r="A503" s="2" t="s">
        <v>974</v>
      </c>
      <c r="B503" s="2" t="s">
        <v>43</v>
      </c>
      <c r="C503" s="2" t="s">
        <v>1309</v>
      </c>
      <c r="D503" s="40">
        <v>1541000</v>
      </c>
      <c r="E503" s="2" t="s">
        <v>295</v>
      </c>
      <c r="F503" s="145">
        <v>2650</v>
      </c>
      <c r="H503" s="2" t="s">
        <v>1310</v>
      </c>
      <c r="I503" s="72">
        <v>44811</v>
      </c>
      <c r="K503" s="2" t="s">
        <v>1311</v>
      </c>
    </row>
    <row r="504" spans="1:11">
      <c r="A504" s="2" t="s">
        <v>975</v>
      </c>
      <c r="B504" s="2" t="s">
        <v>43</v>
      </c>
      <c r="C504" s="2" t="s">
        <v>1309</v>
      </c>
      <c r="D504" s="40">
        <v>1544000</v>
      </c>
      <c r="E504" s="2" t="s">
        <v>295</v>
      </c>
      <c r="F504" s="145">
        <v>2653</v>
      </c>
      <c r="H504" s="2" t="s">
        <v>1310</v>
      </c>
      <c r="I504" s="72">
        <v>44814</v>
      </c>
      <c r="K504" s="2" t="s">
        <v>1311</v>
      </c>
    </row>
    <row r="505" spans="1:11">
      <c r="A505" s="2" t="s">
        <v>976</v>
      </c>
      <c r="B505" s="2" t="s">
        <v>43</v>
      </c>
      <c r="C505" s="2" t="s">
        <v>1309</v>
      </c>
      <c r="D505" s="40">
        <v>1547000</v>
      </c>
      <c r="E505" s="2" t="s">
        <v>295</v>
      </c>
      <c r="F505" s="145">
        <v>2656</v>
      </c>
      <c r="H505" s="2" t="s">
        <v>1310</v>
      </c>
      <c r="I505" s="72">
        <v>44817</v>
      </c>
      <c r="K505" s="2" t="s">
        <v>1311</v>
      </c>
    </row>
    <row r="506" spans="1:11">
      <c r="A506" s="2" t="s">
        <v>977</v>
      </c>
      <c r="B506" s="2" t="s">
        <v>43</v>
      </c>
      <c r="C506" s="2" t="s">
        <v>1309</v>
      </c>
      <c r="D506" s="40">
        <v>1550000</v>
      </c>
      <c r="E506" s="2" t="s">
        <v>295</v>
      </c>
      <c r="F506" s="145">
        <v>2659</v>
      </c>
      <c r="H506" s="2" t="s">
        <v>1310</v>
      </c>
      <c r="I506" s="72">
        <v>44820</v>
      </c>
      <c r="K506" s="2" t="s">
        <v>1311</v>
      </c>
    </row>
    <row r="507" spans="1:11">
      <c r="A507" s="2" t="s">
        <v>978</v>
      </c>
      <c r="B507" s="2" t="s">
        <v>43</v>
      </c>
      <c r="C507" s="2" t="s">
        <v>1309</v>
      </c>
      <c r="D507" s="40">
        <v>1553000</v>
      </c>
      <c r="E507" s="2" t="s">
        <v>295</v>
      </c>
      <c r="F507" s="145">
        <v>2662</v>
      </c>
      <c r="H507" s="2" t="s">
        <v>1310</v>
      </c>
      <c r="I507" s="72">
        <v>44823</v>
      </c>
      <c r="K507" s="2" t="s">
        <v>1311</v>
      </c>
    </row>
    <row r="508" spans="1:11">
      <c r="A508" s="2" t="s">
        <v>979</v>
      </c>
      <c r="B508" s="2" t="s">
        <v>43</v>
      </c>
      <c r="C508" s="2" t="s">
        <v>1309</v>
      </c>
      <c r="D508" s="40">
        <v>1556000</v>
      </c>
      <c r="E508" s="2" t="s">
        <v>295</v>
      </c>
      <c r="F508" s="145">
        <v>2665</v>
      </c>
      <c r="H508" s="2" t="s">
        <v>1310</v>
      </c>
      <c r="I508" s="72">
        <v>44826</v>
      </c>
      <c r="K508" s="2" t="s">
        <v>1311</v>
      </c>
    </row>
    <row r="509" spans="1:11">
      <c r="A509" s="2" t="s">
        <v>980</v>
      </c>
      <c r="B509" s="2" t="s">
        <v>43</v>
      </c>
      <c r="C509" s="2" t="s">
        <v>1309</v>
      </c>
      <c r="D509" s="40">
        <v>1559000</v>
      </c>
      <c r="E509" s="2" t="s">
        <v>295</v>
      </c>
      <c r="F509" s="145">
        <v>2668</v>
      </c>
      <c r="H509" s="2" t="s">
        <v>1310</v>
      </c>
      <c r="I509" s="72">
        <v>44829</v>
      </c>
      <c r="K509" s="2" t="s">
        <v>1311</v>
      </c>
    </row>
    <row r="510" spans="1:11">
      <c r="A510" s="2" t="s">
        <v>981</v>
      </c>
      <c r="B510" s="2" t="s">
        <v>43</v>
      </c>
      <c r="C510" s="2" t="s">
        <v>1309</v>
      </c>
      <c r="D510" s="40">
        <v>1562000</v>
      </c>
      <c r="E510" s="2" t="s">
        <v>295</v>
      </c>
      <c r="F510" s="145">
        <v>2671</v>
      </c>
      <c r="H510" s="2" t="s">
        <v>1310</v>
      </c>
      <c r="I510" s="72">
        <v>44832</v>
      </c>
      <c r="K510" s="2" t="s">
        <v>1311</v>
      </c>
    </row>
    <row r="511" spans="1:11">
      <c r="A511" s="2" t="s">
        <v>982</v>
      </c>
      <c r="B511" s="2" t="s">
        <v>43</v>
      </c>
      <c r="C511" s="2" t="s">
        <v>1309</v>
      </c>
      <c r="D511" s="40">
        <v>1565000</v>
      </c>
      <c r="E511" s="2" t="s">
        <v>295</v>
      </c>
      <c r="F511" s="145">
        <v>2674</v>
      </c>
      <c r="H511" s="2" t="s">
        <v>1310</v>
      </c>
      <c r="I511" s="72">
        <v>44835</v>
      </c>
      <c r="K511" s="2" t="s">
        <v>1311</v>
      </c>
    </row>
    <row r="512" spans="1:11">
      <c r="A512" s="2" t="s">
        <v>983</v>
      </c>
      <c r="B512" s="2" t="s">
        <v>43</v>
      </c>
      <c r="C512" s="2" t="s">
        <v>1309</v>
      </c>
      <c r="D512" s="40">
        <v>1568000</v>
      </c>
      <c r="E512" s="2" t="s">
        <v>295</v>
      </c>
      <c r="F512" s="145">
        <v>2677</v>
      </c>
      <c r="H512" s="2" t="s">
        <v>1310</v>
      </c>
      <c r="I512" s="72">
        <v>44838</v>
      </c>
      <c r="K512" s="2" t="s">
        <v>1311</v>
      </c>
    </row>
    <row r="513" spans="1:11">
      <c r="A513" s="2" t="s">
        <v>984</v>
      </c>
      <c r="B513" s="2" t="s">
        <v>43</v>
      </c>
      <c r="C513" s="2" t="s">
        <v>1309</v>
      </c>
      <c r="D513" s="40">
        <v>1571000</v>
      </c>
      <c r="E513" s="2" t="s">
        <v>295</v>
      </c>
      <c r="F513" s="145">
        <v>2680</v>
      </c>
      <c r="H513" s="2" t="s">
        <v>1310</v>
      </c>
      <c r="I513" s="72">
        <v>44841</v>
      </c>
      <c r="K513" s="2" t="s">
        <v>1311</v>
      </c>
    </row>
    <row r="514" spans="1:11">
      <c r="A514" s="2" t="s">
        <v>985</v>
      </c>
      <c r="B514" s="2" t="s">
        <v>43</v>
      </c>
      <c r="C514" s="2" t="s">
        <v>1309</v>
      </c>
      <c r="D514" s="40">
        <v>1574000</v>
      </c>
      <c r="E514" s="2" t="s">
        <v>295</v>
      </c>
      <c r="F514" s="145">
        <v>2683</v>
      </c>
      <c r="H514" s="2" t="s">
        <v>1310</v>
      </c>
      <c r="I514" s="72">
        <v>44844</v>
      </c>
      <c r="K514" s="2" t="s">
        <v>1311</v>
      </c>
    </row>
    <row r="515" spans="1:11">
      <c r="A515" s="2" t="s">
        <v>986</v>
      </c>
      <c r="B515" s="2" t="s">
        <v>43</v>
      </c>
      <c r="C515" s="2" t="s">
        <v>1309</v>
      </c>
      <c r="D515" s="40">
        <v>1577000</v>
      </c>
      <c r="E515" s="2" t="s">
        <v>295</v>
      </c>
      <c r="F515" s="145">
        <v>2686</v>
      </c>
      <c r="H515" s="2" t="s">
        <v>1310</v>
      </c>
      <c r="I515" s="72">
        <v>44847</v>
      </c>
      <c r="K515" s="2" t="s">
        <v>1311</v>
      </c>
    </row>
    <row r="516" spans="1:11">
      <c r="A516" s="2" t="s">
        <v>987</v>
      </c>
      <c r="B516" s="2" t="s">
        <v>43</v>
      </c>
      <c r="C516" s="2" t="s">
        <v>1309</v>
      </c>
      <c r="D516" s="40">
        <v>1580000</v>
      </c>
      <c r="E516" s="2" t="s">
        <v>295</v>
      </c>
      <c r="F516" s="145">
        <v>2689</v>
      </c>
      <c r="H516" s="2" t="s">
        <v>1310</v>
      </c>
      <c r="I516" s="72">
        <v>44850</v>
      </c>
      <c r="K516" s="2" t="s">
        <v>1311</v>
      </c>
    </row>
    <row r="517" spans="1:11">
      <c r="A517" s="2" t="s">
        <v>988</v>
      </c>
      <c r="B517" s="2" t="s">
        <v>43</v>
      </c>
      <c r="C517" s="2" t="s">
        <v>1309</v>
      </c>
      <c r="D517" s="40">
        <v>1583000</v>
      </c>
      <c r="E517" s="2" t="s">
        <v>295</v>
      </c>
      <c r="F517" s="145">
        <v>2692</v>
      </c>
      <c r="H517" s="2" t="s">
        <v>1310</v>
      </c>
      <c r="I517" s="72">
        <v>44853</v>
      </c>
      <c r="K517" s="2" t="s">
        <v>1311</v>
      </c>
    </row>
    <row r="518" spans="1:11">
      <c r="A518" s="2" t="s">
        <v>989</v>
      </c>
      <c r="B518" s="2" t="s">
        <v>43</v>
      </c>
      <c r="C518" s="2" t="s">
        <v>1309</v>
      </c>
      <c r="D518" s="40">
        <v>1586000</v>
      </c>
      <c r="E518" s="2" t="s">
        <v>295</v>
      </c>
      <c r="F518" s="145">
        <v>2695</v>
      </c>
      <c r="H518" s="2" t="s">
        <v>1310</v>
      </c>
      <c r="I518" s="72">
        <v>44856</v>
      </c>
      <c r="K518" s="2" t="s">
        <v>1311</v>
      </c>
    </row>
    <row r="519" spans="1:11">
      <c r="A519" s="2" t="s">
        <v>990</v>
      </c>
      <c r="B519" s="2" t="s">
        <v>43</v>
      </c>
      <c r="C519" s="2" t="s">
        <v>1309</v>
      </c>
      <c r="D519" s="40">
        <v>1589000</v>
      </c>
      <c r="E519" s="2" t="s">
        <v>295</v>
      </c>
      <c r="F519" s="145">
        <v>2698</v>
      </c>
      <c r="H519" s="2" t="s">
        <v>1310</v>
      </c>
      <c r="I519" s="72">
        <v>44859</v>
      </c>
      <c r="K519" s="2" t="s">
        <v>1311</v>
      </c>
    </row>
    <row r="520" spans="1:11">
      <c r="A520" s="2" t="s">
        <v>991</v>
      </c>
      <c r="B520" s="2" t="s">
        <v>43</v>
      </c>
      <c r="C520" s="2" t="s">
        <v>1309</v>
      </c>
      <c r="D520" s="40">
        <v>1592000</v>
      </c>
      <c r="E520" s="2" t="s">
        <v>295</v>
      </c>
      <c r="F520" s="145">
        <v>2701</v>
      </c>
      <c r="H520" s="2" t="s">
        <v>1310</v>
      </c>
      <c r="I520" s="72">
        <v>44862</v>
      </c>
      <c r="K520" s="2" t="s">
        <v>1311</v>
      </c>
    </row>
    <row r="521" spans="1:11">
      <c r="A521" s="2" t="s">
        <v>992</v>
      </c>
      <c r="B521" s="2" t="s">
        <v>43</v>
      </c>
      <c r="C521" s="2" t="s">
        <v>1309</v>
      </c>
      <c r="D521" s="40">
        <v>1595000</v>
      </c>
      <c r="E521" s="2" t="s">
        <v>295</v>
      </c>
      <c r="F521" s="145">
        <v>2704</v>
      </c>
      <c r="H521" s="2" t="s">
        <v>1310</v>
      </c>
      <c r="I521" s="72">
        <v>44865</v>
      </c>
      <c r="K521" s="2" t="s">
        <v>1311</v>
      </c>
    </row>
    <row r="522" spans="1:11">
      <c r="A522" s="2" t="s">
        <v>993</v>
      </c>
      <c r="B522" s="2" t="s">
        <v>43</v>
      </c>
      <c r="C522" s="2" t="s">
        <v>1309</v>
      </c>
      <c r="D522" s="40">
        <v>1598000</v>
      </c>
      <c r="E522" s="2" t="s">
        <v>295</v>
      </c>
      <c r="F522" s="145">
        <v>2707</v>
      </c>
      <c r="H522" s="2" t="s">
        <v>1310</v>
      </c>
      <c r="I522" s="72">
        <v>44868</v>
      </c>
      <c r="K522" s="2" t="s">
        <v>1311</v>
      </c>
    </row>
    <row r="523" spans="1:11">
      <c r="A523" s="2" t="s">
        <v>994</v>
      </c>
      <c r="B523" s="2" t="s">
        <v>43</v>
      </c>
      <c r="C523" s="2" t="s">
        <v>1309</v>
      </c>
      <c r="D523" s="40">
        <v>1601000</v>
      </c>
      <c r="E523" s="2" t="s">
        <v>295</v>
      </c>
      <c r="F523" s="145">
        <v>2710</v>
      </c>
      <c r="H523" s="2" t="s">
        <v>1310</v>
      </c>
      <c r="I523" s="72">
        <v>44871</v>
      </c>
      <c r="K523" s="2" t="s">
        <v>1311</v>
      </c>
    </row>
    <row r="524" spans="1:11">
      <c r="A524" s="2" t="s">
        <v>995</v>
      </c>
      <c r="B524" s="2" t="s">
        <v>43</v>
      </c>
      <c r="C524" s="2" t="s">
        <v>1309</v>
      </c>
      <c r="D524" s="40">
        <v>1604000</v>
      </c>
      <c r="E524" s="2" t="s">
        <v>295</v>
      </c>
      <c r="F524" s="145">
        <v>2713</v>
      </c>
      <c r="H524" s="2" t="s">
        <v>1310</v>
      </c>
      <c r="I524" s="72">
        <v>44874</v>
      </c>
      <c r="K524" s="2" t="s">
        <v>1311</v>
      </c>
    </row>
    <row r="525" spans="1:11">
      <c r="A525" s="2" t="s">
        <v>996</v>
      </c>
      <c r="B525" s="2" t="s">
        <v>43</v>
      </c>
      <c r="C525" s="2" t="s">
        <v>1309</v>
      </c>
      <c r="D525" s="40">
        <v>1607000</v>
      </c>
      <c r="E525" s="2" t="s">
        <v>295</v>
      </c>
      <c r="F525" s="145">
        <v>2716</v>
      </c>
      <c r="H525" s="2" t="s">
        <v>1310</v>
      </c>
      <c r="I525" s="72">
        <v>44877</v>
      </c>
      <c r="K525" s="2" t="s">
        <v>1311</v>
      </c>
    </row>
    <row r="526" spans="1:11">
      <c r="A526" s="2" t="s">
        <v>997</v>
      </c>
      <c r="B526" s="2" t="s">
        <v>43</v>
      </c>
      <c r="C526" s="2" t="s">
        <v>1309</v>
      </c>
      <c r="D526" s="40">
        <v>1610000</v>
      </c>
      <c r="E526" s="2" t="s">
        <v>295</v>
      </c>
      <c r="F526" s="145">
        <v>2719</v>
      </c>
      <c r="H526" s="2" t="s">
        <v>1310</v>
      </c>
      <c r="I526" s="72">
        <v>44880</v>
      </c>
      <c r="K526" s="2" t="s">
        <v>1311</v>
      </c>
    </row>
    <row r="527" spans="1:11">
      <c r="A527" s="2" t="s">
        <v>998</v>
      </c>
      <c r="B527" s="2" t="s">
        <v>43</v>
      </c>
      <c r="C527" s="2" t="s">
        <v>1309</v>
      </c>
      <c r="D527" s="40">
        <v>1613000</v>
      </c>
      <c r="E527" s="2" t="s">
        <v>295</v>
      </c>
      <c r="F527" s="145">
        <v>2722</v>
      </c>
      <c r="H527" s="2" t="s">
        <v>1310</v>
      </c>
      <c r="I527" s="72">
        <v>44883</v>
      </c>
      <c r="K527" s="2" t="s">
        <v>1311</v>
      </c>
    </row>
    <row r="528" spans="1:11">
      <c r="A528" s="2" t="s">
        <v>999</v>
      </c>
      <c r="B528" s="2" t="s">
        <v>43</v>
      </c>
      <c r="C528" s="2" t="s">
        <v>1309</v>
      </c>
      <c r="D528" s="40">
        <v>1616000</v>
      </c>
      <c r="E528" s="2" t="s">
        <v>295</v>
      </c>
      <c r="F528" s="145">
        <v>2725</v>
      </c>
      <c r="H528" s="2" t="s">
        <v>1310</v>
      </c>
      <c r="I528" s="72">
        <v>44886</v>
      </c>
      <c r="K528" s="2" t="s">
        <v>1311</v>
      </c>
    </row>
    <row r="529" spans="1:11">
      <c r="A529" s="2" t="s">
        <v>1000</v>
      </c>
      <c r="B529" s="2" t="s">
        <v>43</v>
      </c>
      <c r="C529" s="2" t="s">
        <v>1309</v>
      </c>
      <c r="D529" s="40">
        <v>1619000</v>
      </c>
      <c r="E529" s="2" t="s">
        <v>295</v>
      </c>
      <c r="F529" s="145">
        <v>2728</v>
      </c>
      <c r="H529" s="2" t="s">
        <v>1310</v>
      </c>
      <c r="I529" s="72">
        <v>44889</v>
      </c>
      <c r="K529" s="2" t="s">
        <v>1311</v>
      </c>
    </row>
    <row r="530" spans="1:11">
      <c r="A530" s="2" t="s">
        <v>1001</v>
      </c>
      <c r="B530" s="2" t="s">
        <v>43</v>
      </c>
      <c r="C530" s="2" t="s">
        <v>1309</v>
      </c>
      <c r="D530" s="40">
        <v>1622000</v>
      </c>
      <c r="E530" s="2" t="s">
        <v>295</v>
      </c>
      <c r="F530" s="145">
        <v>2731</v>
      </c>
      <c r="H530" s="2" t="s">
        <v>1310</v>
      </c>
      <c r="I530" s="72">
        <v>44892</v>
      </c>
      <c r="K530" s="2" t="s">
        <v>1311</v>
      </c>
    </row>
    <row r="531" spans="1:11">
      <c r="A531" s="2" t="s">
        <v>1002</v>
      </c>
      <c r="B531" s="2" t="s">
        <v>43</v>
      </c>
      <c r="C531" s="2" t="s">
        <v>1309</v>
      </c>
      <c r="D531" s="40">
        <v>1625000</v>
      </c>
      <c r="E531" s="2" t="s">
        <v>295</v>
      </c>
      <c r="F531" s="145">
        <v>2734</v>
      </c>
      <c r="H531" s="2" t="s">
        <v>1310</v>
      </c>
      <c r="I531" s="72">
        <v>44895</v>
      </c>
      <c r="K531" s="2" t="s">
        <v>1311</v>
      </c>
    </row>
    <row r="532" spans="1:11">
      <c r="A532" s="2" t="s">
        <v>1003</v>
      </c>
      <c r="B532" s="2" t="s">
        <v>43</v>
      </c>
      <c r="C532" s="2" t="s">
        <v>1309</v>
      </c>
      <c r="D532" s="40">
        <v>1628000</v>
      </c>
      <c r="E532" s="2" t="s">
        <v>295</v>
      </c>
      <c r="F532" s="145">
        <v>2737</v>
      </c>
      <c r="H532" s="2" t="s">
        <v>1310</v>
      </c>
      <c r="I532" s="72">
        <v>44898</v>
      </c>
      <c r="K532" s="2" t="s">
        <v>1311</v>
      </c>
    </row>
    <row r="533" spans="1:11">
      <c r="A533" s="2" t="s">
        <v>1004</v>
      </c>
      <c r="B533" s="2" t="s">
        <v>43</v>
      </c>
      <c r="C533" s="2" t="s">
        <v>1309</v>
      </c>
      <c r="D533" s="40">
        <v>1631000</v>
      </c>
      <c r="E533" s="2" t="s">
        <v>295</v>
      </c>
      <c r="F533" s="145">
        <v>2740</v>
      </c>
      <c r="H533" s="2" t="s">
        <v>1310</v>
      </c>
      <c r="I533" s="72">
        <v>44901</v>
      </c>
      <c r="K533" s="2" t="s">
        <v>1311</v>
      </c>
    </row>
    <row r="534" spans="1:11">
      <c r="A534" s="2" t="s">
        <v>1005</v>
      </c>
      <c r="B534" s="2" t="s">
        <v>43</v>
      </c>
      <c r="C534" s="2" t="s">
        <v>1309</v>
      </c>
      <c r="D534" s="40">
        <v>1634000</v>
      </c>
      <c r="E534" s="2" t="s">
        <v>295</v>
      </c>
      <c r="F534" s="145">
        <v>2743</v>
      </c>
      <c r="H534" s="2" t="s">
        <v>1310</v>
      </c>
      <c r="I534" s="72">
        <v>44904</v>
      </c>
      <c r="K534" s="2" t="s">
        <v>1311</v>
      </c>
    </row>
    <row r="535" spans="1:11">
      <c r="A535" s="2" t="s">
        <v>1006</v>
      </c>
      <c r="B535" s="2" t="s">
        <v>43</v>
      </c>
      <c r="C535" s="2" t="s">
        <v>1309</v>
      </c>
      <c r="D535" s="40">
        <v>1637000</v>
      </c>
      <c r="E535" s="2" t="s">
        <v>295</v>
      </c>
      <c r="F535" s="145">
        <v>2746</v>
      </c>
      <c r="H535" s="2" t="s">
        <v>1310</v>
      </c>
      <c r="I535" s="72">
        <v>44907</v>
      </c>
      <c r="K535" s="2" t="s">
        <v>1311</v>
      </c>
    </row>
    <row r="536" spans="1:11">
      <c r="A536" s="2" t="s">
        <v>1007</v>
      </c>
      <c r="B536" s="2" t="s">
        <v>43</v>
      </c>
      <c r="C536" s="2" t="s">
        <v>1309</v>
      </c>
      <c r="D536" s="40">
        <v>1640000</v>
      </c>
      <c r="E536" s="2" t="s">
        <v>295</v>
      </c>
      <c r="F536" s="145">
        <v>2749</v>
      </c>
      <c r="H536" s="2" t="s">
        <v>1310</v>
      </c>
      <c r="I536" s="72">
        <v>44910</v>
      </c>
      <c r="K536" s="2" t="s">
        <v>1311</v>
      </c>
    </row>
    <row r="537" spans="1:11">
      <c r="A537" s="2" t="s">
        <v>1008</v>
      </c>
      <c r="B537" s="2" t="s">
        <v>43</v>
      </c>
      <c r="C537" s="2" t="s">
        <v>1309</v>
      </c>
      <c r="D537" s="40">
        <v>1643000</v>
      </c>
      <c r="E537" s="2" t="s">
        <v>295</v>
      </c>
      <c r="F537" s="145">
        <v>2752</v>
      </c>
      <c r="H537" s="2" t="s">
        <v>1310</v>
      </c>
      <c r="I537" s="72">
        <v>44913</v>
      </c>
      <c r="K537" s="2" t="s">
        <v>1311</v>
      </c>
    </row>
    <row r="538" spans="1:11">
      <c r="A538" s="2" t="s">
        <v>1009</v>
      </c>
      <c r="B538" s="2" t="s">
        <v>43</v>
      </c>
      <c r="C538" s="2" t="s">
        <v>1309</v>
      </c>
      <c r="D538" s="40">
        <v>1646000</v>
      </c>
      <c r="E538" s="2" t="s">
        <v>295</v>
      </c>
      <c r="F538" s="145">
        <v>2755</v>
      </c>
      <c r="H538" s="2" t="s">
        <v>1310</v>
      </c>
      <c r="I538" s="72">
        <v>44916</v>
      </c>
      <c r="K538" s="2" t="s">
        <v>1311</v>
      </c>
    </row>
    <row r="539" spans="1:11">
      <c r="A539" s="2" t="s">
        <v>1010</v>
      </c>
      <c r="B539" s="2" t="s">
        <v>43</v>
      </c>
      <c r="C539" s="2" t="s">
        <v>1309</v>
      </c>
      <c r="D539" s="40">
        <v>1649000</v>
      </c>
      <c r="E539" s="2" t="s">
        <v>295</v>
      </c>
      <c r="F539" s="145">
        <v>2758</v>
      </c>
      <c r="H539" s="2" t="s">
        <v>1310</v>
      </c>
      <c r="I539" s="72">
        <v>44919</v>
      </c>
      <c r="K539" s="2" t="s">
        <v>1311</v>
      </c>
    </row>
    <row r="540" spans="1:11">
      <c r="A540" s="2" t="s">
        <v>1011</v>
      </c>
      <c r="B540" s="2" t="s">
        <v>43</v>
      </c>
      <c r="C540" s="2" t="s">
        <v>1309</v>
      </c>
      <c r="D540" s="40">
        <v>1652000</v>
      </c>
      <c r="E540" s="2" t="s">
        <v>295</v>
      </c>
      <c r="F540" s="145">
        <v>2761</v>
      </c>
      <c r="H540" s="2" t="s">
        <v>1310</v>
      </c>
      <c r="I540" s="72">
        <v>44922</v>
      </c>
      <c r="K540" s="2" t="s">
        <v>1311</v>
      </c>
    </row>
    <row r="541" spans="1:11">
      <c r="A541" s="2" t="s">
        <v>1012</v>
      </c>
      <c r="B541" s="2" t="s">
        <v>43</v>
      </c>
      <c r="C541" s="2" t="s">
        <v>1309</v>
      </c>
      <c r="D541" s="40">
        <v>1655000</v>
      </c>
      <c r="E541" s="2" t="s">
        <v>295</v>
      </c>
      <c r="F541" s="145">
        <v>2764</v>
      </c>
      <c r="H541" s="2" t="s">
        <v>1310</v>
      </c>
      <c r="I541" s="72">
        <v>44925</v>
      </c>
      <c r="K541" s="2" t="s">
        <v>1311</v>
      </c>
    </row>
    <row r="542" spans="1:11">
      <c r="A542" s="2" t="s">
        <v>1013</v>
      </c>
      <c r="B542" s="2" t="s">
        <v>43</v>
      </c>
      <c r="C542" s="2" t="s">
        <v>1309</v>
      </c>
      <c r="D542" s="40">
        <v>1658000</v>
      </c>
      <c r="E542" s="2" t="s">
        <v>295</v>
      </c>
      <c r="F542" s="145">
        <v>2767</v>
      </c>
      <c r="H542" s="2" t="s">
        <v>1310</v>
      </c>
      <c r="I542" s="72">
        <v>44928</v>
      </c>
      <c r="K542" s="2" t="s">
        <v>1311</v>
      </c>
    </row>
    <row r="543" spans="1:11">
      <c r="A543" s="2" t="s">
        <v>1014</v>
      </c>
      <c r="B543" s="2" t="s">
        <v>43</v>
      </c>
      <c r="C543" s="2" t="s">
        <v>1309</v>
      </c>
      <c r="D543" s="40">
        <v>1661000</v>
      </c>
      <c r="E543" s="2" t="s">
        <v>295</v>
      </c>
      <c r="F543" s="145">
        <v>2770</v>
      </c>
      <c r="H543" s="2" t="s">
        <v>1310</v>
      </c>
      <c r="I543" s="72">
        <v>44931</v>
      </c>
      <c r="K543" s="2" t="s">
        <v>1311</v>
      </c>
    </row>
    <row r="544" spans="1:11">
      <c r="A544" s="2" t="s">
        <v>1015</v>
      </c>
      <c r="B544" s="2" t="s">
        <v>43</v>
      </c>
      <c r="C544" s="2" t="s">
        <v>1309</v>
      </c>
      <c r="D544" s="40">
        <v>1664000</v>
      </c>
      <c r="E544" s="2" t="s">
        <v>295</v>
      </c>
      <c r="F544" s="145">
        <v>2773</v>
      </c>
      <c r="H544" s="2" t="s">
        <v>1310</v>
      </c>
      <c r="I544" s="72">
        <v>44934</v>
      </c>
      <c r="K544" s="2" t="s">
        <v>1311</v>
      </c>
    </row>
    <row r="545" spans="1:11">
      <c r="A545" s="2" t="s">
        <v>1016</v>
      </c>
      <c r="B545" s="2" t="s">
        <v>43</v>
      </c>
      <c r="C545" s="2" t="s">
        <v>1309</v>
      </c>
      <c r="D545" s="40">
        <v>1667000</v>
      </c>
      <c r="E545" s="2" t="s">
        <v>295</v>
      </c>
      <c r="F545" s="145">
        <v>2776</v>
      </c>
      <c r="H545" s="2" t="s">
        <v>1310</v>
      </c>
      <c r="I545" s="72">
        <v>44937</v>
      </c>
      <c r="K545" s="2" t="s">
        <v>1311</v>
      </c>
    </row>
    <row r="546" spans="1:11">
      <c r="A546" s="2" t="s">
        <v>1017</v>
      </c>
      <c r="B546" s="2" t="s">
        <v>43</v>
      </c>
      <c r="C546" s="2" t="s">
        <v>1309</v>
      </c>
      <c r="D546" s="40">
        <v>1670000</v>
      </c>
      <c r="E546" s="2" t="s">
        <v>295</v>
      </c>
      <c r="F546" s="145">
        <v>2779</v>
      </c>
      <c r="H546" s="2" t="s">
        <v>1310</v>
      </c>
      <c r="I546" s="72">
        <v>44940</v>
      </c>
      <c r="K546" s="2" t="s">
        <v>1311</v>
      </c>
    </row>
    <row r="547" spans="1:11">
      <c r="A547" s="2" t="s">
        <v>1018</v>
      </c>
      <c r="B547" s="2" t="s">
        <v>43</v>
      </c>
      <c r="C547" s="2" t="s">
        <v>1309</v>
      </c>
      <c r="D547" s="40">
        <v>1673000</v>
      </c>
      <c r="E547" s="2" t="s">
        <v>295</v>
      </c>
      <c r="F547" s="145">
        <v>2782</v>
      </c>
      <c r="H547" s="2" t="s">
        <v>1310</v>
      </c>
      <c r="I547" s="72">
        <v>44943</v>
      </c>
      <c r="K547" s="2" t="s">
        <v>1311</v>
      </c>
    </row>
    <row r="548" spans="1:11">
      <c r="A548" s="2" t="s">
        <v>1019</v>
      </c>
      <c r="B548" s="2" t="s">
        <v>43</v>
      </c>
      <c r="C548" s="2" t="s">
        <v>1309</v>
      </c>
      <c r="D548" s="40">
        <v>1676000</v>
      </c>
      <c r="E548" s="2" t="s">
        <v>295</v>
      </c>
      <c r="F548" s="145">
        <v>2785</v>
      </c>
      <c r="H548" s="2" t="s">
        <v>1310</v>
      </c>
      <c r="I548" s="72">
        <v>44946</v>
      </c>
      <c r="K548" s="2" t="s">
        <v>1311</v>
      </c>
    </row>
    <row r="549" spans="1:11">
      <c r="A549" s="2" t="s">
        <v>1020</v>
      </c>
      <c r="B549" s="2" t="s">
        <v>43</v>
      </c>
      <c r="C549" s="2" t="s">
        <v>1309</v>
      </c>
      <c r="D549" s="40">
        <v>1679000</v>
      </c>
      <c r="E549" s="2" t="s">
        <v>295</v>
      </c>
      <c r="F549" s="145">
        <v>2788</v>
      </c>
      <c r="H549" s="2" t="s">
        <v>1310</v>
      </c>
      <c r="I549" s="72">
        <v>44949</v>
      </c>
      <c r="K549" s="2" t="s">
        <v>1311</v>
      </c>
    </row>
    <row r="550" spans="1:11">
      <c r="A550" s="2" t="s">
        <v>1021</v>
      </c>
      <c r="B550" s="2" t="s">
        <v>43</v>
      </c>
      <c r="C550" s="2" t="s">
        <v>1309</v>
      </c>
      <c r="D550" s="40">
        <v>1682000</v>
      </c>
      <c r="E550" s="2" t="s">
        <v>295</v>
      </c>
      <c r="F550" s="145">
        <v>2791</v>
      </c>
      <c r="H550" s="2" t="s">
        <v>1310</v>
      </c>
      <c r="I550" s="72">
        <v>44952</v>
      </c>
      <c r="K550" s="2" t="s">
        <v>1311</v>
      </c>
    </row>
    <row r="551" spans="1:11">
      <c r="A551" s="2" t="s">
        <v>1022</v>
      </c>
      <c r="B551" s="2" t="s">
        <v>43</v>
      </c>
      <c r="C551" s="2" t="s">
        <v>1309</v>
      </c>
      <c r="D551" s="40">
        <v>1685000</v>
      </c>
      <c r="E551" s="2" t="s">
        <v>295</v>
      </c>
      <c r="F551" s="145">
        <v>2794</v>
      </c>
      <c r="H551" s="2" t="s">
        <v>1310</v>
      </c>
      <c r="I551" s="72">
        <v>44955</v>
      </c>
      <c r="K551" s="2" t="s">
        <v>1311</v>
      </c>
    </row>
    <row r="552" spans="1:11">
      <c r="A552" s="2" t="s">
        <v>1023</v>
      </c>
      <c r="B552" s="2" t="s">
        <v>43</v>
      </c>
      <c r="C552" s="2" t="s">
        <v>1309</v>
      </c>
      <c r="D552" s="40">
        <v>1688000</v>
      </c>
      <c r="E552" s="2" t="s">
        <v>295</v>
      </c>
      <c r="F552" s="145">
        <v>2797</v>
      </c>
      <c r="H552" s="2" t="s">
        <v>1310</v>
      </c>
      <c r="I552" s="72">
        <v>44958</v>
      </c>
      <c r="K552" s="2" t="s">
        <v>1311</v>
      </c>
    </row>
    <row r="553" spans="1:11">
      <c r="A553" s="2" t="s">
        <v>1024</v>
      </c>
      <c r="B553" s="2" t="s">
        <v>43</v>
      </c>
      <c r="C553" s="2" t="s">
        <v>1309</v>
      </c>
      <c r="D553" s="40">
        <v>1691000</v>
      </c>
      <c r="E553" s="2" t="s">
        <v>295</v>
      </c>
      <c r="F553" s="145">
        <v>2800</v>
      </c>
      <c r="H553" s="2" t="s">
        <v>1310</v>
      </c>
      <c r="I553" s="72">
        <v>44961</v>
      </c>
      <c r="K553" s="2" t="s">
        <v>1311</v>
      </c>
    </row>
    <row r="554" spans="1:11">
      <c r="A554" s="2" t="s">
        <v>1025</v>
      </c>
      <c r="B554" s="2" t="s">
        <v>43</v>
      </c>
      <c r="C554" s="2" t="s">
        <v>1309</v>
      </c>
      <c r="D554" s="40">
        <v>1694000</v>
      </c>
      <c r="E554" s="2" t="s">
        <v>295</v>
      </c>
      <c r="F554" s="145">
        <v>2803</v>
      </c>
      <c r="H554" s="2" t="s">
        <v>1310</v>
      </c>
      <c r="I554" s="72">
        <v>44964</v>
      </c>
      <c r="K554" s="2" t="s">
        <v>1311</v>
      </c>
    </row>
    <row r="555" spans="1:11">
      <c r="A555" s="2" t="s">
        <v>1026</v>
      </c>
      <c r="B555" s="2" t="s">
        <v>43</v>
      </c>
      <c r="C555" s="2" t="s">
        <v>1309</v>
      </c>
      <c r="D555" s="40">
        <v>1697000</v>
      </c>
      <c r="E555" s="2" t="s">
        <v>295</v>
      </c>
      <c r="F555" s="145">
        <v>2806</v>
      </c>
      <c r="H555" s="2" t="s">
        <v>1310</v>
      </c>
      <c r="I555" s="72">
        <v>44967</v>
      </c>
      <c r="K555" s="2" t="s">
        <v>1311</v>
      </c>
    </row>
    <row r="556" spans="1:11">
      <c r="A556" s="2" t="s">
        <v>1027</v>
      </c>
      <c r="B556" s="2" t="s">
        <v>43</v>
      </c>
      <c r="C556" s="2" t="s">
        <v>1309</v>
      </c>
      <c r="D556" s="40">
        <v>1700000</v>
      </c>
      <c r="E556" s="2" t="s">
        <v>295</v>
      </c>
      <c r="F556" s="145">
        <v>2809</v>
      </c>
      <c r="H556" s="2" t="s">
        <v>1310</v>
      </c>
      <c r="I556" s="72">
        <v>44970</v>
      </c>
      <c r="K556" s="2" t="s">
        <v>1311</v>
      </c>
    </row>
    <row r="557" spans="1:11">
      <c r="A557" s="2" t="s">
        <v>1028</v>
      </c>
      <c r="B557" s="2" t="s">
        <v>43</v>
      </c>
      <c r="C557" s="2" t="s">
        <v>1309</v>
      </c>
      <c r="D557" s="40">
        <v>1703000</v>
      </c>
      <c r="E557" s="2" t="s">
        <v>295</v>
      </c>
      <c r="F557" s="145">
        <v>2812</v>
      </c>
      <c r="H557" s="2" t="s">
        <v>1310</v>
      </c>
      <c r="I557" s="72">
        <v>44973</v>
      </c>
      <c r="K557" s="2" t="s">
        <v>1311</v>
      </c>
    </row>
    <row r="558" spans="1:11">
      <c r="A558" s="2" t="s">
        <v>1029</v>
      </c>
      <c r="B558" s="2" t="s">
        <v>43</v>
      </c>
      <c r="C558" s="2" t="s">
        <v>1309</v>
      </c>
      <c r="D558" s="40">
        <v>1706000</v>
      </c>
      <c r="E558" s="2" t="s">
        <v>295</v>
      </c>
      <c r="F558" s="145">
        <v>2815</v>
      </c>
      <c r="H558" s="2" t="s">
        <v>1310</v>
      </c>
      <c r="I558" s="72">
        <v>44976</v>
      </c>
      <c r="K558" s="2" t="s">
        <v>1311</v>
      </c>
    </row>
    <row r="559" spans="1:11">
      <c r="A559" s="2" t="s">
        <v>1030</v>
      </c>
      <c r="B559" s="2" t="s">
        <v>43</v>
      </c>
      <c r="C559" s="2" t="s">
        <v>1309</v>
      </c>
      <c r="D559" s="40">
        <v>1709000</v>
      </c>
      <c r="E559" s="2" t="s">
        <v>295</v>
      </c>
      <c r="F559" s="145">
        <v>2818</v>
      </c>
      <c r="H559" s="2" t="s">
        <v>1310</v>
      </c>
      <c r="I559" s="72">
        <v>44979</v>
      </c>
      <c r="K559" s="2" t="s">
        <v>1311</v>
      </c>
    </row>
    <row r="560" spans="1:11">
      <c r="A560" s="2" t="s">
        <v>1031</v>
      </c>
      <c r="B560" s="2" t="s">
        <v>43</v>
      </c>
      <c r="C560" s="2" t="s">
        <v>1309</v>
      </c>
      <c r="D560" s="40">
        <v>1712000</v>
      </c>
      <c r="E560" s="2" t="s">
        <v>295</v>
      </c>
      <c r="F560" s="145">
        <v>2821</v>
      </c>
      <c r="H560" s="2" t="s">
        <v>1310</v>
      </c>
      <c r="I560" s="72">
        <v>44982</v>
      </c>
      <c r="K560" s="2" t="s">
        <v>1311</v>
      </c>
    </row>
    <row r="561" spans="1:11">
      <c r="A561" s="2" t="s">
        <v>1032</v>
      </c>
      <c r="B561" s="2" t="s">
        <v>43</v>
      </c>
      <c r="C561" s="2" t="s">
        <v>1309</v>
      </c>
      <c r="D561" s="40">
        <v>1715000</v>
      </c>
      <c r="E561" s="2" t="s">
        <v>295</v>
      </c>
      <c r="F561" s="145">
        <v>2824</v>
      </c>
      <c r="H561" s="2" t="s">
        <v>1310</v>
      </c>
      <c r="I561" s="72">
        <v>44985</v>
      </c>
      <c r="K561" s="2" t="s">
        <v>1311</v>
      </c>
    </row>
    <row r="562" spans="1:11">
      <c r="A562" s="2" t="s">
        <v>1033</v>
      </c>
      <c r="B562" s="2" t="s">
        <v>43</v>
      </c>
      <c r="C562" s="2" t="s">
        <v>1309</v>
      </c>
      <c r="D562" s="40">
        <v>1718000</v>
      </c>
      <c r="E562" s="2" t="s">
        <v>295</v>
      </c>
      <c r="F562" s="145">
        <v>2827</v>
      </c>
      <c r="H562" s="2" t="s">
        <v>1310</v>
      </c>
      <c r="I562" s="72">
        <v>44988</v>
      </c>
      <c r="K562" s="2" t="s">
        <v>1311</v>
      </c>
    </row>
    <row r="563" spans="1:11">
      <c r="A563" s="2" t="s">
        <v>1034</v>
      </c>
      <c r="B563" s="2" t="s">
        <v>43</v>
      </c>
      <c r="C563" s="2" t="s">
        <v>1309</v>
      </c>
      <c r="D563" s="40">
        <v>1721000</v>
      </c>
      <c r="E563" s="2" t="s">
        <v>295</v>
      </c>
      <c r="F563" s="145">
        <v>2830</v>
      </c>
      <c r="H563" s="2" t="s">
        <v>1310</v>
      </c>
      <c r="I563" s="72">
        <v>44991</v>
      </c>
      <c r="K563" s="2" t="s">
        <v>1311</v>
      </c>
    </row>
    <row r="564" spans="1:11">
      <c r="A564" s="2" t="s">
        <v>1035</v>
      </c>
      <c r="B564" s="2" t="s">
        <v>43</v>
      </c>
      <c r="C564" s="2" t="s">
        <v>1309</v>
      </c>
      <c r="D564" s="40">
        <v>1724000</v>
      </c>
      <c r="E564" s="2" t="s">
        <v>295</v>
      </c>
      <c r="F564" s="145">
        <v>2833</v>
      </c>
      <c r="H564" s="2" t="s">
        <v>1310</v>
      </c>
      <c r="I564" s="72">
        <v>44994</v>
      </c>
      <c r="K564" s="2" t="s">
        <v>1311</v>
      </c>
    </row>
    <row r="565" spans="1:11">
      <c r="A565" s="2" t="s">
        <v>1036</v>
      </c>
      <c r="B565" s="2" t="s">
        <v>43</v>
      </c>
      <c r="C565" s="2" t="s">
        <v>1309</v>
      </c>
      <c r="D565" s="40">
        <v>1727000</v>
      </c>
      <c r="E565" s="2" t="s">
        <v>295</v>
      </c>
      <c r="F565" s="145">
        <v>2836</v>
      </c>
      <c r="H565" s="2" t="s">
        <v>1310</v>
      </c>
      <c r="I565" s="72">
        <v>44997</v>
      </c>
      <c r="K565" s="2" t="s">
        <v>1311</v>
      </c>
    </row>
    <row r="566" spans="1:11">
      <c r="A566" s="2" t="s">
        <v>1037</v>
      </c>
      <c r="B566" s="2" t="s">
        <v>43</v>
      </c>
      <c r="C566" s="2" t="s">
        <v>1309</v>
      </c>
      <c r="D566" s="40">
        <v>1730000</v>
      </c>
      <c r="E566" s="2" t="s">
        <v>295</v>
      </c>
      <c r="F566" s="145">
        <v>2839</v>
      </c>
      <c r="H566" s="2" t="s">
        <v>1310</v>
      </c>
      <c r="I566" s="72">
        <v>45000</v>
      </c>
      <c r="K566" s="2" t="s">
        <v>1311</v>
      </c>
    </row>
    <row r="567" spans="1:11">
      <c r="A567" s="2" t="s">
        <v>1038</v>
      </c>
      <c r="B567" s="2" t="s">
        <v>43</v>
      </c>
      <c r="C567" s="2" t="s">
        <v>1309</v>
      </c>
      <c r="D567" s="40">
        <v>1733000</v>
      </c>
      <c r="E567" s="2" t="s">
        <v>295</v>
      </c>
      <c r="F567" s="145">
        <v>2842</v>
      </c>
      <c r="H567" s="2" t="s">
        <v>1310</v>
      </c>
      <c r="I567" s="72">
        <v>45003</v>
      </c>
      <c r="K567" s="2" t="s">
        <v>1311</v>
      </c>
    </row>
    <row r="568" spans="1:11">
      <c r="A568" s="2" t="s">
        <v>1039</v>
      </c>
      <c r="B568" s="2" t="s">
        <v>43</v>
      </c>
      <c r="C568" s="2" t="s">
        <v>1309</v>
      </c>
      <c r="D568" s="40">
        <v>1736000</v>
      </c>
      <c r="E568" s="2" t="s">
        <v>295</v>
      </c>
      <c r="F568" s="145">
        <v>2845</v>
      </c>
      <c r="H568" s="2" t="s">
        <v>1310</v>
      </c>
      <c r="I568" s="72">
        <v>45006</v>
      </c>
      <c r="K568" s="2" t="s">
        <v>1311</v>
      </c>
    </row>
    <row r="569" spans="1:11">
      <c r="A569" s="2" t="s">
        <v>1040</v>
      </c>
      <c r="B569" s="2" t="s">
        <v>43</v>
      </c>
      <c r="C569" s="2" t="s">
        <v>1309</v>
      </c>
      <c r="D569" s="40">
        <v>1739000</v>
      </c>
      <c r="E569" s="2" t="s">
        <v>295</v>
      </c>
      <c r="F569" s="145">
        <v>2848</v>
      </c>
      <c r="H569" s="2" t="s">
        <v>1310</v>
      </c>
      <c r="I569" s="72">
        <v>45009</v>
      </c>
      <c r="K569" s="2" t="s">
        <v>1311</v>
      </c>
    </row>
    <row r="570" spans="1:11">
      <c r="A570" s="2" t="s">
        <v>1041</v>
      </c>
      <c r="B570" s="2" t="s">
        <v>43</v>
      </c>
      <c r="C570" s="2" t="s">
        <v>1309</v>
      </c>
      <c r="D570" s="40">
        <v>1742000</v>
      </c>
      <c r="E570" s="2" t="s">
        <v>295</v>
      </c>
      <c r="F570" s="145">
        <v>2851</v>
      </c>
      <c r="H570" s="2" t="s">
        <v>1310</v>
      </c>
      <c r="I570" s="72">
        <v>45012</v>
      </c>
      <c r="K570" s="2" t="s">
        <v>1311</v>
      </c>
    </row>
    <row r="571" spans="1:11">
      <c r="A571" s="2" t="s">
        <v>1042</v>
      </c>
      <c r="B571" s="2" t="s">
        <v>43</v>
      </c>
      <c r="C571" s="2" t="s">
        <v>1309</v>
      </c>
      <c r="D571" s="40">
        <v>1745000</v>
      </c>
      <c r="E571" s="2" t="s">
        <v>295</v>
      </c>
      <c r="F571" s="145">
        <v>2854</v>
      </c>
      <c r="H571" s="2" t="s">
        <v>1310</v>
      </c>
      <c r="I571" s="72">
        <v>45015</v>
      </c>
      <c r="K571" s="2" t="s">
        <v>1311</v>
      </c>
    </row>
    <row r="572" spans="1:11">
      <c r="A572" s="2" t="s">
        <v>1043</v>
      </c>
      <c r="B572" s="2" t="s">
        <v>43</v>
      </c>
      <c r="C572" s="2" t="s">
        <v>1309</v>
      </c>
      <c r="D572" s="40">
        <v>1748000</v>
      </c>
      <c r="E572" s="2" t="s">
        <v>295</v>
      </c>
      <c r="F572" s="145">
        <v>2857</v>
      </c>
      <c r="H572" s="2" t="s">
        <v>1310</v>
      </c>
      <c r="I572" s="72">
        <v>45018</v>
      </c>
      <c r="K572" s="2" t="s">
        <v>1311</v>
      </c>
    </row>
    <row r="573" spans="1:11">
      <c r="A573" s="2" t="s">
        <v>1044</v>
      </c>
      <c r="B573" s="2" t="s">
        <v>43</v>
      </c>
      <c r="C573" s="2" t="s">
        <v>1309</v>
      </c>
      <c r="D573" s="40">
        <v>1751000</v>
      </c>
      <c r="E573" s="2" t="s">
        <v>295</v>
      </c>
      <c r="F573" s="145">
        <v>2860</v>
      </c>
      <c r="H573" s="2" t="s">
        <v>1310</v>
      </c>
      <c r="I573" s="72">
        <v>45021</v>
      </c>
      <c r="K573" s="2" t="s">
        <v>1311</v>
      </c>
    </row>
    <row r="574" spans="1:11">
      <c r="A574" s="2" t="s">
        <v>1045</v>
      </c>
      <c r="B574" s="2" t="s">
        <v>43</v>
      </c>
      <c r="C574" s="2" t="s">
        <v>1309</v>
      </c>
      <c r="D574" s="40">
        <v>1754000</v>
      </c>
      <c r="E574" s="2" t="s">
        <v>295</v>
      </c>
      <c r="F574" s="145">
        <v>2863</v>
      </c>
      <c r="H574" s="2" t="s">
        <v>1310</v>
      </c>
      <c r="I574" s="72">
        <v>45024</v>
      </c>
      <c r="K574" s="2" t="s">
        <v>1311</v>
      </c>
    </row>
    <row r="575" spans="1:11">
      <c r="A575" s="2" t="s">
        <v>1046</v>
      </c>
      <c r="B575" s="2" t="s">
        <v>43</v>
      </c>
      <c r="C575" s="2" t="s">
        <v>1309</v>
      </c>
      <c r="D575" s="40">
        <v>1757000</v>
      </c>
      <c r="E575" s="2" t="s">
        <v>295</v>
      </c>
      <c r="F575" s="145">
        <v>2866</v>
      </c>
      <c r="H575" s="2" t="s">
        <v>1310</v>
      </c>
      <c r="I575" s="72">
        <v>45027</v>
      </c>
      <c r="K575" s="2" t="s">
        <v>1311</v>
      </c>
    </row>
    <row r="576" spans="1:11">
      <c r="A576" s="2" t="s">
        <v>1047</v>
      </c>
      <c r="B576" s="2" t="s">
        <v>43</v>
      </c>
      <c r="C576" s="2" t="s">
        <v>1309</v>
      </c>
      <c r="D576" s="40">
        <v>1760000</v>
      </c>
      <c r="E576" s="2" t="s">
        <v>295</v>
      </c>
      <c r="F576" s="145">
        <v>2869</v>
      </c>
      <c r="H576" s="2" t="s">
        <v>1310</v>
      </c>
      <c r="I576" s="72">
        <v>45030</v>
      </c>
      <c r="K576" s="2" t="s">
        <v>1311</v>
      </c>
    </row>
    <row r="577" spans="1:11">
      <c r="A577" s="2" t="s">
        <v>1048</v>
      </c>
      <c r="B577" s="2" t="s">
        <v>43</v>
      </c>
      <c r="C577" s="2" t="s">
        <v>1309</v>
      </c>
      <c r="D577" s="40">
        <v>1763000</v>
      </c>
      <c r="E577" s="2" t="s">
        <v>295</v>
      </c>
      <c r="F577" s="145">
        <v>2872</v>
      </c>
      <c r="H577" s="2" t="s">
        <v>1310</v>
      </c>
      <c r="I577" s="72">
        <v>45033</v>
      </c>
      <c r="K577" s="2" t="s">
        <v>1311</v>
      </c>
    </row>
    <row r="578" spans="1:11">
      <c r="A578" s="2" t="s">
        <v>1049</v>
      </c>
      <c r="B578" s="2" t="s">
        <v>43</v>
      </c>
      <c r="C578" s="2" t="s">
        <v>1309</v>
      </c>
      <c r="D578" s="40">
        <v>1766000</v>
      </c>
      <c r="E578" s="2" t="s">
        <v>295</v>
      </c>
      <c r="F578" s="145">
        <v>2875</v>
      </c>
      <c r="H578" s="2" t="s">
        <v>1310</v>
      </c>
      <c r="I578" s="72">
        <v>45036</v>
      </c>
      <c r="K578" s="2" t="s">
        <v>1311</v>
      </c>
    </row>
    <row r="579" spans="1:11">
      <c r="A579" s="2" t="s">
        <v>1050</v>
      </c>
      <c r="B579" s="2" t="s">
        <v>43</v>
      </c>
      <c r="C579" s="2" t="s">
        <v>1309</v>
      </c>
      <c r="D579" s="40">
        <v>1769000</v>
      </c>
      <c r="E579" s="2" t="s">
        <v>295</v>
      </c>
      <c r="F579" s="145">
        <v>2878</v>
      </c>
      <c r="H579" s="2" t="s">
        <v>1310</v>
      </c>
      <c r="I579" s="72">
        <v>45039</v>
      </c>
      <c r="K579" s="2" t="s">
        <v>1311</v>
      </c>
    </row>
    <row r="580" spans="1:11">
      <c r="A580" s="2" t="s">
        <v>1051</v>
      </c>
      <c r="B580" s="2" t="s">
        <v>43</v>
      </c>
      <c r="C580" s="2" t="s">
        <v>1309</v>
      </c>
      <c r="D580" s="40">
        <v>1772000</v>
      </c>
      <c r="E580" s="2" t="s">
        <v>295</v>
      </c>
      <c r="F580" s="145">
        <v>2881</v>
      </c>
      <c r="H580" s="2" t="s">
        <v>1310</v>
      </c>
      <c r="I580" s="72">
        <v>45042</v>
      </c>
      <c r="K580" s="2" t="s">
        <v>1311</v>
      </c>
    </row>
    <row r="581" spans="1:11">
      <c r="A581" s="2" t="s">
        <v>1052</v>
      </c>
      <c r="B581" s="2" t="s">
        <v>43</v>
      </c>
      <c r="C581" s="2" t="s">
        <v>1309</v>
      </c>
      <c r="D581" s="40">
        <v>1775000</v>
      </c>
      <c r="E581" s="2" t="s">
        <v>295</v>
      </c>
      <c r="F581" s="145">
        <v>2884</v>
      </c>
      <c r="H581" s="2" t="s">
        <v>1310</v>
      </c>
      <c r="I581" s="72">
        <v>45045</v>
      </c>
      <c r="K581" s="2" t="s">
        <v>1311</v>
      </c>
    </row>
    <row r="582" spans="1:11">
      <c r="A582" s="2" t="s">
        <v>1053</v>
      </c>
      <c r="B582" s="2" t="s">
        <v>43</v>
      </c>
      <c r="C582" s="2" t="s">
        <v>1309</v>
      </c>
      <c r="D582" s="40">
        <v>1778000</v>
      </c>
      <c r="E582" s="2" t="s">
        <v>295</v>
      </c>
      <c r="F582" s="145">
        <v>2887</v>
      </c>
      <c r="H582" s="2" t="s">
        <v>1310</v>
      </c>
      <c r="I582" s="72">
        <v>45048</v>
      </c>
      <c r="K582" s="2" t="s">
        <v>1311</v>
      </c>
    </row>
    <row r="583" spans="1:11">
      <c r="A583" s="2" t="s">
        <v>1054</v>
      </c>
      <c r="B583" s="2" t="s">
        <v>43</v>
      </c>
      <c r="C583" s="2" t="s">
        <v>1309</v>
      </c>
      <c r="D583" s="40">
        <v>1781000</v>
      </c>
      <c r="E583" s="2" t="s">
        <v>295</v>
      </c>
      <c r="F583" s="145">
        <v>2890</v>
      </c>
      <c r="H583" s="2" t="s">
        <v>1310</v>
      </c>
      <c r="I583" s="72">
        <v>45051</v>
      </c>
      <c r="K583" s="2" t="s">
        <v>1311</v>
      </c>
    </row>
    <row r="584" spans="1:11">
      <c r="A584" s="2" t="s">
        <v>1055</v>
      </c>
      <c r="B584" s="2" t="s">
        <v>43</v>
      </c>
      <c r="C584" s="2" t="s">
        <v>1309</v>
      </c>
      <c r="D584" s="40">
        <v>1784000</v>
      </c>
      <c r="E584" s="2" t="s">
        <v>295</v>
      </c>
      <c r="F584" s="145">
        <v>2893</v>
      </c>
      <c r="H584" s="2" t="s">
        <v>1310</v>
      </c>
      <c r="I584" s="72">
        <v>45054</v>
      </c>
      <c r="K584" s="2" t="s">
        <v>1311</v>
      </c>
    </row>
    <row r="585" spans="1:11">
      <c r="A585" s="2" t="s">
        <v>1056</v>
      </c>
      <c r="B585" s="2" t="s">
        <v>43</v>
      </c>
      <c r="C585" s="2" t="s">
        <v>1309</v>
      </c>
      <c r="D585" s="40">
        <v>1787000</v>
      </c>
      <c r="E585" s="2" t="s">
        <v>295</v>
      </c>
      <c r="F585" s="145">
        <v>2896</v>
      </c>
      <c r="H585" s="2" t="s">
        <v>1310</v>
      </c>
      <c r="I585" s="72">
        <v>45057</v>
      </c>
      <c r="K585" s="2" t="s">
        <v>1311</v>
      </c>
    </row>
    <row r="586" spans="1:11">
      <c r="A586" s="2" t="s">
        <v>1057</v>
      </c>
      <c r="B586" s="2" t="s">
        <v>43</v>
      </c>
      <c r="C586" s="2" t="s">
        <v>1309</v>
      </c>
      <c r="D586" s="40">
        <v>1790000</v>
      </c>
      <c r="E586" s="2" t="s">
        <v>295</v>
      </c>
      <c r="F586" s="145">
        <v>2899</v>
      </c>
      <c r="H586" s="2" t="s">
        <v>1310</v>
      </c>
      <c r="I586" s="72">
        <v>45060</v>
      </c>
      <c r="K586" s="2" t="s">
        <v>1311</v>
      </c>
    </row>
    <row r="587" spans="1:11">
      <c r="A587" s="2" t="s">
        <v>1058</v>
      </c>
      <c r="B587" s="2" t="s">
        <v>43</v>
      </c>
      <c r="C587" s="2" t="s">
        <v>1309</v>
      </c>
      <c r="D587" s="40">
        <v>1793000</v>
      </c>
      <c r="E587" s="2" t="s">
        <v>295</v>
      </c>
      <c r="F587" s="145">
        <v>2902</v>
      </c>
      <c r="H587" s="2" t="s">
        <v>1310</v>
      </c>
      <c r="I587" s="72">
        <v>45063</v>
      </c>
      <c r="K587" s="2" t="s">
        <v>1311</v>
      </c>
    </row>
    <row r="588" spans="1:11">
      <c r="A588" s="2" t="s">
        <v>1059</v>
      </c>
      <c r="B588" s="2" t="s">
        <v>43</v>
      </c>
      <c r="C588" s="2" t="s">
        <v>1309</v>
      </c>
      <c r="D588" s="40">
        <v>1796000</v>
      </c>
      <c r="E588" s="2" t="s">
        <v>295</v>
      </c>
      <c r="F588" s="145">
        <v>2905</v>
      </c>
      <c r="H588" s="2" t="s">
        <v>1310</v>
      </c>
      <c r="I588" s="72">
        <v>45066</v>
      </c>
      <c r="K588" s="2" t="s">
        <v>1311</v>
      </c>
    </row>
    <row r="589" spans="1:11">
      <c r="A589" s="2" t="s">
        <v>1060</v>
      </c>
      <c r="B589" s="2" t="s">
        <v>43</v>
      </c>
      <c r="C589" s="2" t="s">
        <v>1309</v>
      </c>
      <c r="D589" s="40">
        <v>1799000</v>
      </c>
      <c r="E589" s="2" t="s">
        <v>295</v>
      </c>
      <c r="F589" s="145">
        <v>2908</v>
      </c>
      <c r="H589" s="2" t="s">
        <v>1310</v>
      </c>
      <c r="I589" s="72">
        <v>45069</v>
      </c>
      <c r="K589" s="2" t="s">
        <v>1311</v>
      </c>
    </row>
    <row r="590" spans="1:11">
      <c r="A590" s="2" t="s">
        <v>1061</v>
      </c>
      <c r="B590" s="2" t="s">
        <v>43</v>
      </c>
      <c r="C590" s="2" t="s">
        <v>1309</v>
      </c>
      <c r="D590" s="40">
        <v>1802000</v>
      </c>
      <c r="E590" s="2" t="s">
        <v>295</v>
      </c>
      <c r="F590" s="145">
        <v>2911</v>
      </c>
      <c r="H590" s="2" t="s">
        <v>1310</v>
      </c>
      <c r="I590" s="72">
        <v>45072</v>
      </c>
      <c r="K590" s="2" t="s">
        <v>1311</v>
      </c>
    </row>
    <row r="591" spans="1:11">
      <c r="A591" s="2" t="s">
        <v>1062</v>
      </c>
      <c r="B591" s="2" t="s">
        <v>43</v>
      </c>
      <c r="C591" s="2" t="s">
        <v>1309</v>
      </c>
      <c r="D591" s="40">
        <v>1805000</v>
      </c>
      <c r="E591" s="2" t="s">
        <v>295</v>
      </c>
      <c r="F591" s="145">
        <v>2914</v>
      </c>
      <c r="H591" s="2" t="s">
        <v>1310</v>
      </c>
      <c r="I591" s="72">
        <v>45075</v>
      </c>
      <c r="K591" s="2" t="s">
        <v>1311</v>
      </c>
    </row>
    <row r="592" spans="1:11">
      <c r="A592" s="2" t="s">
        <v>1063</v>
      </c>
      <c r="B592" s="2" t="s">
        <v>43</v>
      </c>
      <c r="C592" s="2" t="s">
        <v>1309</v>
      </c>
      <c r="D592" s="40">
        <v>1808000</v>
      </c>
      <c r="E592" s="2" t="s">
        <v>295</v>
      </c>
      <c r="F592" s="145">
        <v>2917</v>
      </c>
      <c r="H592" s="2" t="s">
        <v>1310</v>
      </c>
      <c r="I592" s="72">
        <v>45078</v>
      </c>
      <c r="K592" s="2" t="s">
        <v>1311</v>
      </c>
    </row>
    <row r="593" spans="1:11">
      <c r="A593" s="2" t="s">
        <v>1064</v>
      </c>
      <c r="B593" s="2" t="s">
        <v>43</v>
      </c>
      <c r="C593" s="2" t="s">
        <v>1309</v>
      </c>
      <c r="D593" s="40">
        <v>1811000</v>
      </c>
      <c r="E593" s="2" t="s">
        <v>295</v>
      </c>
      <c r="F593" s="145">
        <v>2920</v>
      </c>
      <c r="H593" s="2" t="s">
        <v>1310</v>
      </c>
      <c r="I593" s="72">
        <v>45081</v>
      </c>
      <c r="K593" s="2" t="s">
        <v>1311</v>
      </c>
    </row>
    <row r="594" spans="1:11">
      <c r="A594" s="2" t="s">
        <v>1065</v>
      </c>
      <c r="B594" s="2" t="s">
        <v>43</v>
      </c>
      <c r="C594" s="2" t="s">
        <v>1309</v>
      </c>
      <c r="D594" s="40">
        <v>1814000</v>
      </c>
      <c r="E594" s="2" t="s">
        <v>295</v>
      </c>
      <c r="F594" s="145">
        <v>2923</v>
      </c>
      <c r="H594" s="2" t="s">
        <v>1310</v>
      </c>
      <c r="I594" s="72">
        <v>45084</v>
      </c>
      <c r="K594" s="2" t="s">
        <v>1311</v>
      </c>
    </row>
    <row r="595" spans="1:11">
      <c r="A595" s="2" t="s">
        <v>1066</v>
      </c>
      <c r="B595" s="2" t="s">
        <v>43</v>
      </c>
      <c r="C595" s="2" t="s">
        <v>1309</v>
      </c>
      <c r="D595" s="40">
        <v>1817000</v>
      </c>
      <c r="E595" s="2" t="s">
        <v>295</v>
      </c>
      <c r="F595" s="145">
        <v>2926</v>
      </c>
      <c r="H595" s="2" t="s">
        <v>1310</v>
      </c>
      <c r="I595" s="72">
        <v>45087</v>
      </c>
      <c r="K595" s="2" t="s">
        <v>1311</v>
      </c>
    </row>
    <row r="596" spans="1:11">
      <c r="A596" s="2" t="s">
        <v>1067</v>
      </c>
      <c r="B596" s="2" t="s">
        <v>43</v>
      </c>
      <c r="C596" s="2" t="s">
        <v>1309</v>
      </c>
      <c r="D596" s="40">
        <v>1820000</v>
      </c>
      <c r="E596" s="2" t="s">
        <v>295</v>
      </c>
      <c r="F596" s="145">
        <v>2929</v>
      </c>
      <c r="H596" s="2" t="s">
        <v>1310</v>
      </c>
      <c r="I596" s="72">
        <v>45090</v>
      </c>
      <c r="K596" s="2" t="s">
        <v>1311</v>
      </c>
    </row>
    <row r="597" spans="1:11">
      <c r="A597" s="2" t="s">
        <v>1068</v>
      </c>
      <c r="B597" s="2" t="s">
        <v>43</v>
      </c>
      <c r="C597" s="2" t="s">
        <v>1309</v>
      </c>
      <c r="D597" s="40">
        <v>1823000</v>
      </c>
      <c r="E597" s="2" t="s">
        <v>295</v>
      </c>
      <c r="F597" s="145">
        <v>2932</v>
      </c>
      <c r="H597" s="2" t="s">
        <v>1310</v>
      </c>
      <c r="I597" s="72">
        <v>45093</v>
      </c>
      <c r="K597" s="2" t="s">
        <v>1311</v>
      </c>
    </row>
    <row r="598" spans="1:11">
      <c r="A598" s="2" t="s">
        <v>1069</v>
      </c>
      <c r="B598" s="2" t="s">
        <v>43</v>
      </c>
      <c r="C598" s="2" t="s">
        <v>1309</v>
      </c>
      <c r="D598" s="40">
        <v>1826000</v>
      </c>
      <c r="E598" s="2" t="s">
        <v>295</v>
      </c>
      <c r="F598" s="145">
        <v>2935</v>
      </c>
      <c r="H598" s="2" t="s">
        <v>1310</v>
      </c>
      <c r="I598" s="72">
        <v>45096</v>
      </c>
      <c r="K598" s="2" t="s">
        <v>1311</v>
      </c>
    </row>
    <row r="599" spans="1:11">
      <c r="A599" s="2" t="s">
        <v>1070</v>
      </c>
      <c r="B599" s="2" t="s">
        <v>43</v>
      </c>
      <c r="C599" s="2" t="s">
        <v>1309</v>
      </c>
      <c r="D599" s="40">
        <v>1829000</v>
      </c>
      <c r="E599" s="2" t="s">
        <v>295</v>
      </c>
      <c r="F599" s="145">
        <v>2938</v>
      </c>
      <c r="H599" s="2" t="s">
        <v>1310</v>
      </c>
      <c r="I599" s="72">
        <v>45099</v>
      </c>
      <c r="K599" s="2" t="s">
        <v>1311</v>
      </c>
    </row>
    <row r="600" spans="1:11">
      <c r="A600" s="2" t="s">
        <v>1071</v>
      </c>
      <c r="B600" s="2" t="s">
        <v>43</v>
      </c>
      <c r="C600" s="2" t="s">
        <v>1309</v>
      </c>
      <c r="D600" s="40">
        <v>1832000</v>
      </c>
      <c r="E600" s="2" t="s">
        <v>295</v>
      </c>
      <c r="F600" s="145">
        <v>2941</v>
      </c>
      <c r="H600" s="2" t="s">
        <v>1310</v>
      </c>
      <c r="I600" s="72">
        <v>45102</v>
      </c>
      <c r="K600" s="2" t="s">
        <v>1311</v>
      </c>
    </row>
    <row r="601" spans="1:11">
      <c r="A601" s="2" t="s">
        <v>1072</v>
      </c>
      <c r="B601" s="2" t="s">
        <v>43</v>
      </c>
      <c r="C601" s="2" t="s">
        <v>1309</v>
      </c>
      <c r="D601" s="40">
        <v>1835000</v>
      </c>
      <c r="E601" s="2" t="s">
        <v>295</v>
      </c>
      <c r="F601" s="145">
        <v>2944</v>
      </c>
      <c r="H601" s="2" t="s">
        <v>1310</v>
      </c>
      <c r="I601" s="72">
        <v>45105</v>
      </c>
      <c r="K601" s="2" t="s">
        <v>1311</v>
      </c>
    </row>
    <row r="602" spans="1:11">
      <c r="A602" s="2" t="s">
        <v>1073</v>
      </c>
      <c r="B602" s="2" t="s">
        <v>43</v>
      </c>
      <c r="C602" s="2" t="s">
        <v>1309</v>
      </c>
      <c r="D602" s="40">
        <v>1838000</v>
      </c>
      <c r="E602" s="2" t="s">
        <v>295</v>
      </c>
      <c r="F602" s="145">
        <v>2947</v>
      </c>
      <c r="H602" s="2" t="s">
        <v>1310</v>
      </c>
      <c r="I602" s="72">
        <v>45108</v>
      </c>
      <c r="K602" s="2" t="s">
        <v>1311</v>
      </c>
    </row>
    <row r="603" spans="1:11">
      <c r="A603" s="2" t="s">
        <v>1074</v>
      </c>
      <c r="B603" s="2" t="s">
        <v>43</v>
      </c>
      <c r="C603" s="2" t="s">
        <v>1309</v>
      </c>
      <c r="D603" s="40">
        <v>1841000</v>
      </c>
      <c r="E603" s="2" t="s">
        <v>295</v>
      </c>
      <c r="F603" s="145">
        <v>2950</v>
      </c>
      <c r="H603" s="2" t="s">
        <v>1310</v>
      </c>
      <c r="I603" s="72">
        <v>45111</v>
      </c>
      <c r="K603" s="2" t="s">
        <v>1311</v>
      </c>
    </row>
    <row r="604" spans="1:11">
      <c r="A604" s="2" t="s">
        <v>1075</v>
      </c>
      <c r="B604" s="2" t="s">
        <v>43</v>
      </c>
      <c r="C604" s="2" t="s">
        <v>1309</v>
      </c>
      <c r="D604" s="40">
        <v>1844000</v>
      </c>
      <c r="E604" s="2" t="s">
        <v>295</v>
      </c>
      <c r="F604" s="145">
        <v>2953</v>
      </c>
      <c r="H604" s="2" t="s">
        <v>1310</v>
      </c>
      <c r="I604" s="72">
        <v>45114</v>
      </c>
      <c r="K604" s="2" t="s">
        <v>1311</v>
      </c>
    </row>
    <row r="605" spans="1:11">
      <c r="A605" s="2" t="s">
        <v>1076</v>
      </c>
      <c r="B605" s="2" t="s">
        <v>43</v>
      </c>
      <c r="C605" s="2" t="s">
        <v>1309</v>
      </c>
      <c r="D605" s="40">
        <v>1847000</v>
      </c>
      <c r="E605" s="2" t="s">
        <v>295</v>
      </c>
      <c r="F605" s="145">
        <v>2956</v>
      </c>
      <c r="H605" s="2" t="s">
        <v>1310</v>
      </c>
      <c r="I605" s="72">
        <v>45117</v>
      </c>
      <c r="K605" s="2" t="s">
        <v>1311</v>
      </c>
    </row>
    <row r="606" spans="1:11">
      <c r="A606" s="2" t="s">
        <v>1077</v>
      </c>
      <c r="B606" s="2" t="s">
        <v>43</v>
      </c>
      <c r="C606" s="2" t="s">
        <v>1309</v>
      </c>
      <c r="D606" s="40">
        <v>1850000</v>
      </c>
      <c r="E606" s="2" t="s">
        <v>295</v>
      </c>
      <c r="F606" s="145">
        <v>2959</v>
      </c>
      <c r="H606" s="2" t="s">
        <v>1310</v>
      </c>
      <c r="I606" s="72">
        <v>45120</v>
      </c>
      <c r="K606" s="2" t="s">
        <v>1311</v>
      </c>
    </row>
    <row r="607" spans="1:11">
      <c r="A607" s="2" t="s">
        <v>1078</v>
      </c>
      <c r="B607" s="2" t="s">
        <v>43</v>
      </c>
      <c r="C607" s="2" t="s">
        <v>1309</v>
      </c>
      <c r="D607" s="40">
        <v>1853000</v>
      </c>
      <c r="E607" s="2" t="s">
        <v>295</v>
      </c>
      <c r="F607" s="145">
        <v>2962</v>
      </c>
      <c r="H607" s="2" t="s">
        <v>1310</v>
      </c>
      <c r="I607" s="72">
        <v>45123</v>
      </c>
      <c r="K607" s="2" t="s">
        <v>1311</v>
      </c>
    </row>
    <row r="608" spans="1:11">
      <c r="A608" s="2" t="s">
        <v>1079</v>
      </c>
      <c r="B608" s="2" t="s">
        <v>43</v>
      </c>
      <c r="C608" s="2" t="s">
        <v>1309</v>
      </c>
      <c r="D608" s="40">
        <v>1856000</v>
      </c>
      <c r="E608" s="2" t="s">
        <v>295</v>
      </c>
      <c r="F608" s="145">
        <v>2965</v>
      </c>
      <c r="H608" s="2" t="s">
        <v>1310</v>
      </c>
      <c r="I608" s="72">
        <v>45126</v>
      </c>
      <c r="K608" s="2" t="s">
        <v>1311</v>
      </c>
    </row>
    <row r="609" spans="1:11">
      <c r="A609" s="2" t="s">
        <v>1080</v>
      </c>
      <c r="B609" s="2" t="s">
        <v>43</v>
      </c>
      <c r="C609" s="2" t="s">
        <v>1309</v>
      </c>
      <c r="D609" s="40">
        <v>1859000</v>
      </c>
      <c r="E609" s="2" t="s">
        <v>295</v>
      </c>
      <c r="F609" s="145">
        <v>2968</v>
      </c>
      <c r="H609" s="2" t="s">
        <v>1310</v>
      </c>
      <c r="I609" s="72">
        <v>45129</v>
      </c>
      <c r="K609" s="2" t="s">
        <v>1311</v>
      </c>
    </row>
    <row r="610" spans="1:11">
      <c r="A610" s="2" t="s">
        <v>1081</v>
      </c>
      <c r="B610" s="2" t="s">
        <v>43</v>
      </c>
      <c r="C610" s="2" t="s">
        <v>1309</v>
      </c>
      <c r="D610" s="40">
        <v>1862000</v>
      </c>
      <c r="E610" s="2" t="s">
        <v>295</v>
      </c>
      <c r="F610" s="145">
        <v>2971</v>
      </c>
      <c r="H610" s="2" t="s">
        <v>1310</v>
      </c>
      <c r="I610" s="72">
        <v>45132</v>
      </c>
      <c r="K610" s="2" t="s">
        <v>1311</v>
      </c>
    </row>
    <row r="611" spans="1:11">
      <c r="A611" s="2" t="s">
        <v>1082</v>
      </c>
      <c r="B611" s="2" t="s">
        <v>43</v>
      </c>
      <c r="C611" s="2" t="s">
        <v>1309</v>
      </c>
      <c r="D611" s="40">
        <v>1865000</v>
      </c>
      <c r="E611" s="2" t="s">
        <v>295</v>
      </c>
      <c r="F611" s="145">
        <v>2974</v>
      </c>
      <c r="H611" s="2" t="s">
        <v>1310</v>
      </c>
      <c r="I611" s="72">
        <v>45135</v>
      </c>
      <c r="K611" s="2" t="s">
        <v>1311</v>
      </c>
    </row>
    <row r="612" spans="1:11">
      <c r="A612" s="2" t="s">
        <v>1083</v>
      </c>
      <c r="B612" s="2" t="s">
        <v>43</v>
      </c>
      <c r="C612" s="2" t="s">
        <v>1309</v>
      </c>
      <c r="D612" s="40">
        <v>1868000</v>
      </c>
      <c r="E612" s="2" t="s">
        <v>295</v>
      </c>
      <c r="F612" s="145">
        <v>2977</v>
      </c>
      <c r="H612" s="2" t="s">
        <v>1310</v>
      </c>
      <c r="I612" s="72">
        <v>45138</v>
      </c>
      <c r="K612" s="2" t="s">
        <v>1311</v>
      </c>
    </row>
    <row r="613" spans="1:11">
      <c r="A613" s="2" t="s">
        <v>1084</v>
      </c>
      <c r="B613" s="2" t="s">
        <v>43</v>
      </c>
      <c r="C613" s="2" t="s">
        <v>1309</v>
      </c>
      <c r="D613" s="40">
        <v>1871000</v>
      </c>
      <c r="E613" s="2" t="s">
        <v>295</v>
      </c>
      <c r="F613" s="145">
        <v>2980</v>
      </c>
      <c r="H613" s="2" t="s">
        <v>1310</v>
      </c>
      <c r="I613" s="72">
        <v>45141</v>
      </c>
      <c r="K613" s="2" t="s">
        <v>1311</v>
      </c>
    </row>
    <row r="614" spans="1:11">
      <c r="A614" s="2" t="s">
        <v>1085</v>
      </c>
      <c r="B614" s="2" t="s">
        <v>43</v>
      </c>
      <c r="C614" s="2" t="s">
        <v>1309</v>
      </c>
      <c r="D614" s="40">
        <v>1874000</v>
      </c>
      <c r="E614" s="2" t="s">
        <v>295</v>
      </c>
      <c r="F614" s="145">
        <v>2983</v>
      </c>
      <c r="H614" s="2" t="s">
        <v>1310</v>
      </c>
      <c r="I614" s="72">
        <v>45144</v>
      </c>
      <c r="K614" s="2" t="s">
        <v>1311</v>
      </c>
    </row>
    <row r="615" spans="1:11">
      <c r="A615" s="2" t="s">
        <v>1086</v>
      </c>
      <c r="B615" s="2" t="s">
        <v>43</v>
      </c>
      <c r="C615" s="2" t="s">
        <v>1309</v>
      </c>
      <c r="D615" s="40">
        <v>1877000</v>
      </c>
      <c r="E615" s="2" t="s">
        <v>295</v>
      </c>
      <c r="F615" s="145">
        <v>2986</v>
      </c>
      <c r="H615" s="2" t="s">
        <v>1310</v>
      </c>
      <c r="I615" s="72">
        <v>45147</v>
      </c>
      <c r="K615" s="2" t="s">
        <v>1311</v>
      </c>
    </row>
    <row r="616" spans="1:11">
      <c r="A616" s="2" t="s">
        <v>1087</v>
      </c>
      <c r="B616" s="2" t="s">
        <v>43</v>
      </c>
      <c r="C616" s="2" t="s">
        <v>1309</v>
      </c>
      <c r="D616" s="40">
        <v>1880000</v>
      </c>
      <c r="E616" s="2" t="s">
        <v>295</v>
      </c>
      <c r="F616" s="145">
        <v>2989</v>
      </c>
      <c r="H616" s="2" t="s">
        <v>1310</v>
      </c>
      <c r="I616" s="72">
        <v>45150</v>
      </c>
      <c r="K616" s="2" t="s">
        <v>1311</v>
      </c>
    </row>
    <row r="617" spans="1:11">
      <c r="A617" s="2" t="s">
        <v>1088</v>
      </c>
      <c r="B617" s="2" t="s">
        <v>43</v>
      </c>
      <c r="C617" s="2" t="s">
        <v>1309</v>
      </c>
      <c r="D617" s="40">
        <v>1883000</v>
      </c>
      <c r="E617" s="2" t="s">
        <v>295</v>
      </c>
      <c r="F617" s="145">
        <v>2992</v>
      </c>
      <c r="H617" s="2" t="s">
        <v>1310</v>
      </c>
      <c r="I617" s="72">
        <v>45153</v>
      </c>
      <c r="K617" s="2" t="s">
        <v>1311</v>
      </c>
    </row>
    <row r="618" spans="1:11">
      <c r="A618" s="2" t="s">
        <v>1089</v>
      </c>
      <c r="B618" s="2" t="s">
        <v>43</v>
      </c>
      <c r="C618" s="2" t="s">
        <v>1309</v>
      </c>
      <c r="D618" s="40">
        <v>1886000</v>
      </c>
      <c r="E618" s="2" t="s">
        <v>295</v>
      </c>
      <c r="F618" s="145">
        <v>2995</v>
      </c>
      <c r="H618" s="2" t="s">
        <v>1310</v>
      </c>
      <c r="I618" s="72">
        <v>45156</v>
      </c>
      <c r="K618" s="2" t="s">
        <v>1311</v>
      </c>
    </row>
    <row r="619" spans="1:11">
      <c r="A619" s="2" t="s">
        <v>1090</v>
      </c>
      <c r="B619" s="2" t="s">
        <v>43</v>
      </c>
      <c r="C619" s="2" t="s">
        <v>1309</v>
      </c>
      <c r="D619" s="40">
        <v>1889000</v>
      </c>
      <c r="E619" s="2" t="s">
        <v>295</v>
      </c>
      <c r="F619" s="145">
        <v>2998</v>
      </c>
      <c r="H619" s="2" t="s">
        <v>1310</v>
      </c>
      <c r="I619" s="72">
        <v>45159</v>
      </c>
      <c r="K619" s="2" t="s">
        <v>1311</v>
      </c>
    </row>
    <row r="620" spans="1:11">
      <c r="A620" s="2" t="s">
        <v>1091</v>
      </c>
      <c r="B620" s="2" t="s">
        <v>43</v>
      </c>
      <c r="C620" s="2" t="s">
        <v>1309</v>
      </c>
      <c r="D620" s="40">
        <v>1892000</v>
      </c>
      <c r="E620" s="2" t="s">
        <v>295</v>
      </c>
      <c r="F620" s="145">
        <v>3001</v>
      </c>
      <c r="H620" s="2" t="s">
        <v>1310</v>
      </c>
      <c r="I620" s="72">
        <v>45162</v>
      </c>
      <c r="K620" s="2" t="s">
        <v>1311</v>
      </c>
    </row>
    <row r="621" spans="1:11">
      <c r="A621" s="2" t="s">
        <v>1092</v>
      </c>
      <c r="B621" s="2" t="s">
        <v>43</v>
      </c>
      <c r="C621" s="2" t="s">
        <v>1309</v>
      </c>
      <c r="D621" s="40">
        <v>1895000</v>
      </c>
      <c r="E621" s="2" t="s">
        <v>295</v>
      </c>
      <c r="F621" s="145">
        <v>3004</v>
      </c>
      <c r="H621" s="2" t="s">
        <v>1310</v>
      </c>
      <c r="I621" s="72">
        <v>45165</v>
      </c>
      <c r="K621" s="2" t="s">
        <v>1311</v>
      </c>
    </row>
    <row r="622" spans="1:11">
      <c r="A622" s="2" t="s">
        <v>1093</v>
      </c>
      <c r="B622" s="2" t="s">
        <v>43</v>
      </c>
      <c r="C622" s="2" t="s">
        <v>1309</v>
      </c>
      <c r="D622" s="40">
        <v>1898000</v>
      </c>
      <c r="E622" s="2" t="s">
        <v>295</v>
      </c>
      <c r="F622" s="145">
        <v>3007</v>
      </c>
      <c r="H622" s="2" t="s">
        <v>1310</v>
      </c>
      <c r="I622" s="72">
        <v>45168</v>
      </c>
      <c r="K622" s="2" t="s">
        <v>1311</v>
      </c>
    </row>
    <row r="623" spans="1:11">
      <c r="A623" s="2" t="s">
        <v>1094</v>
      </c>
      <c r="B623" s="2" t="s">
        <v>43</v>
      </c>
      <c r="C623" s="2" t="s">
        <v>1309</v>
      </c>
      <c r="D623" s="40">
        <v>1901000</v>
      </c>
      <c r="E623" s="2" t="s">
        <v>295</v>
      </c>
      <c r="F623" s="145">
        <v>3010</v>
      </c>
      <c r="H623" s="2" t="s">
        <v>1310</v>
      </c>
      <c r="I623" s="72">
        <v>45171</v>
      </c>
      <c r="K623" s="2" t="s">
        <v>1311</v>
      </c>
    </row>
    <row r="624" spans="1:11">
      <c r="A624" s="2" t="s">
        <v>1095</v>
      </c>
      <c r="B624" s="2" t="s">
        <v>43</v>
      </c>
      <c r="C624" s="2" t="s">
        <v>1309</v>
      </c>
      <c r="D624" s="40">
        <v>1904000</v>
      </c>
      <c r="E624" s="2" t="s">
        <v>295</v>
      </c>
      <c r="F624" s="145">
        <v>3013</v>
      </c>
      <c r="H624" s="2" t="s">
        <v>1310</v>
      </c>
      <c r="I624" s="72">
        <v>45174</v>
      </c>
      <c r="K624" s="2" t="s">
        <v>1311</v>
      </c>
    </row>
    <row r="625" spans="1:11">
      <c r="A625" s="2" t="s">
        <v>1096</v>
      </c>
      <c r="B625" s="2" t="s">
        <v>43</v>
      </c>
      <c r="C625" s="2" t="s">
        <v>1309</v>
      </c>
      <c r="D625" s="40">
        <v>1907000</v>
      </c>
      <c r="E625" s="2" t="s">
        <v>295</v>
      </c>
      <c r="F625" s="145">
        <v>3016</v>
      </c>
      <c r="H625" s="2" t="s">
        <v>1310</v>
      </c>
      <c r="I625" s="72">
        <v>45177</v>
      </c>
      <c r="K625" s="2" t="s">
        <v>1311</v>
      </c>
    </row>
    <row r="626" spans="1:11">
      <c r="A626" s="2" t="s">
        <v>1097</v>
      </c>
      <c r="B626" s="2" t="s">
        <v>43</v>
      </c>
      <c r="C626" s="2" t="s">
        <v>1309</v>
      </c>
      <c r="D626" s="40">
        <v>1910000</v>
      </c>
      <c r="E626" s="2" t="s">
        <v>295</v>
      </c>
      <c r="F626" s="145">
        <v>3019</v>
      </c>
      <c r="H626" s="2" t="s">
        <v>1310</v>
      </c>
      <c r="I626" s="72">
        <v>45180</v>
      </c>
      <c r="K626" s="2" t="s">
        <v>1311</v>
      </c>
    </row>
    <row r="627" spans="1:11">
      <c r="A627" s="2" t="s">
        <v>1098</v>
      </c>
      <c r="B627" s="2" t="s">
        <v>43</v>
      </c>
      <c r="C627" s="2" t="s">
        <v>1309</v>
      </c>
      <c r="D627" s="40">
        <v>1913000</v>
      </c>
      <c r="E627" s="2" t="s">
        <v>295</v>
      </c>
      <c r="F627" s="145">
        <v>3022</v>
      </c>
      <c r="H627" s="2" t="s">
        <v>1310</v>
      </c>
      <c r="I627" s="72">
        <v>45183</v>
      </c>
      <c r="K627" s="2" t="s">
        <v>1311</v>
      </c>
    </row>
    <row r="628" spans="1:11">
      <c r="A628" s="2" t="s">
        <v>1099</v>
      </c>
      <c r="B628" s="2" t="s">
        <v>43</v>
      </c>
      <c r="C628" s="2" t="s">
        <v>1309</v>
      </c>
      <c r="D628" s="40">
        <v>1916000</v>
      </c>
      <c r="E628" s="2" t="s">
        <v>295</v>
      </c>
      <c r="F628" s="145">
        <v>3025</v>
      </c>
      <c r="H628" s="2" t="s">
        <v>1310</v>
      </c>
      <c r="I628" s="72">
        <v>45186</v>
      </c>
      <c r="K628" s="2" t="s">
        <v>1311</v>
      </c>
    </row>
    <row r="629" spans="1:11">
      <c r="A629" s="2" t="s">
        <v>1100</v>
      </c>
      <c r="B629" s="2" t="s">
        <v>43</v>
      </c>
      <c r="C629" s="2" t="s">
        <v>1309</v>
      </c>
      <c r="D629" s="40">
        <v>1919000</v>
      </c>
      <c r="E629" s="2" t="s">
        <v>295</v>
      </c>
      <c r="F629" s="145">
        <v>3028</v>
      </c>
      <c r="H629" s="2" t="s">
        <v>1310</v>
      </c>
      <c r="I629" s="72">
        <v>45189</v>
      </c>
      <c r="K629" s="2" t="s">
        <v>1311</v>
      </c>
    </row>
    <row r="630" spans="1:11">
      <c r="A630" s="2" t="s">
        <v>1101</v>
      </c>
      <c r="B630" s="2" t="s">
        <v>43</v>
      </c>
      <c r="C630" s="2" t="s">
        <v>1309</v>
      </c>
      <c r="D630" s="40">
        <v>1922000</v>
      </c>
      <c r="E630" s="2" t="s">
        <v>295</v>
      </c>
      <c r="F630" s="145">
        <v>3031</v>
      </c>
      <c r="H630" s="2" t="s">
        <v>1310</v>
      </c>
      <c r="I630" s="72">
        <v>45192</v>
      </c>
      <c r="K630" s="2" t="s">
        <v>1311</v>
      </c>
    </row>
    <row r="631" spans="1:11">
      <c r="A631" s="2" t="s">
        <v>1102</v>
      </c>
      <c r="B631" s="2" t="s">
        <v>43</v>
      </c>
      <c r="C631" s="2" t="s">
        <v>1309</v>
      </c>
      <c r="D631" s="40">
        <v>1925000</v>
      </c>
      <c r="E631" s="2" t="s">
        <v>295</v>
      </c>
      <c r="F631" s="145">
        <v>3034</v>
      </c>
      <c r="H631" s="2" t="s">
        <v>1310</v>
      </c>
      <c r="I631" s="72">
        <v>45195</v>
      </c>
      <c r="K631" s="2" t="s">
        <v>1311</v>
      </c>
    </row>
    <row r="632" spans="1:11">
      <c r="A632" s="2" t="s">
        <v>1103</v>
      </c>
      <c r="B632" s="2" t="s">
        <v>43</v>
      </c>
      <c r="C632" s="2" t="s">
        <v>1309</v>
      </c>
      <c r="D632" s="40">
        <v>1928000</v>
      </c>
      <c r="E632" s="2" t="s">
        <v>295</v>
      </c>
      <c r="F632" s="145">
        <v>3037</v>
      </c>
      <c r="H632" s="2" t="s">
        <v>1310</v>
      </c>
      <c r="I632" s="72">
        <v>45198</v>
      </c>
      <c r="K632" s="2" t="s">
        <v>1311</v>
      </c>
    </row>
    <row r="633" spans="1:11">
      <c r="A633" s="2" t="s">
        <v>1104</v>
      </c>
      <c r="B633" s="2" t="s">
        <v>43</v>
      </c>
      <c r="C633" s="2" t="s">
        <v>1309</v>
      </c>
      <c r="D633" s="40">
        <v>1931000</v>
      </c>
      <c r="E633" s="2" t="s">
        <v>295</v>
      </c>
      <c r="F633" s="145">
        <v>3040</v>
      </c>
      <c r="H633" s="2" t="s">
        <v>1310</v>
      </c>
      <c r="I633" s="72">
        <v>45201</v>
      </c>
      <c r="K633" s="2" t="s">
        <v>1311</v>
      </c>
    </row>
    <row r="634" spans="1:11">
      <c r="A634" s="2" t="s">
        <v>1105</v>
      </c>
      <c r="B634" s="2" t="s">
        <v>43</v>
      </c>
      <c r="C634" s="2" t="s">
        <v>1309</v>
      </c>
      <c r="D634" s="40">
        <v>1934000</v>
      </c>
      <c r="E634" s="2" t="s">
        <v>295</v>
      </c>
      <c r="F634" s="145">
        <v>3043</v>
      </c>
      <c r="H634" s="2" t="s">
        <v>1310</v>
      </c>
      <c r="I634" s="72">
        <v>45204</v>
      </c>
      <c r="K634" s="2" t="s">
        <v>1311</v>
      </c>
    </row>
    <row r="635" spans="1:11">
      <c r="A635" s="2" t="s">
        <v>1106</v>
      </c>
      <c r="B635" s="2" t="s">
        <v>43</v>
      </c>
      <c r="C635" s="2" t="s">
        <v>1309</v>
      </c>
      <c r="D635" s="40">
        <v>1937000</v>
      </c>
      <c r="E635" s="2" t="s">
        <v>295</v>
      </c>
      <c r="F635" s="145">
        <v>3046</v>
      </c>
      <c r="H635" s="2" t="s">
        <v>1310</v>
      </c>
      <c r="I635" s="72">
        <v>45207</v>
      </c>
      <c r="K635" s="2" t="s">
        <v>1311</v>
      </c>
    </row>
    <row r="636" spans="1:11">
      <c r="A636" s="2" t="s">
        <v>1107</v>
      </c>
      <c r="B636" s="2" t="s">
        <v>43</v>
      </c>
      <c r="C636" s="2" t="s">
        <v>1309</v>
      </c>
      <c r="D636" s="40">
        <v>1940000</v>
      </c>
      <c r="E636" s="2" t="s">
        <v>295</v>
      </c>
      <c r="F636" s="145">
        <v>3049</v>
      </c>
      <c r="H636" s="2" t="s">
        <v>1310</v>
      </c>
      <c r="I636" s="72">
        <v>45210</v>
      </c>
      <c r="K636" s="2" t="s">
        <v>1311</v>
      </c>
    </row>
    <row r="637" spans="1:11">
      <c r="A637" s="2" t="s">
        <v>1108</v>
      </c>
      <c r="B637" s="2" t="s">
        <v>43</v>
      </c>
      <c r="C637" s="2" t="s">
        <v>1309</v>
      </c>
      <c r="D637" s="40">
        <v>1943000</v>
      </c>
      <c r="E637" s="2" t="s">
        <v>295</v>
      </c>
      <c r="F637" s="145">
        <v>3052</v>
      </c>
      <c r="H637" s="2" t="s">
        <v>1310</v>
      </c>
      <c r="I637" s="72">
        <v>45213</v>
      </c>
      <c r="K637" s="2" t="s">
        <v>1311</v>
      </c>
    </row>
    <row r="638" spans="1:11">
      <c r="A638" s="2" t="s">
        <v>1109</v>
      </c>
      <c r="B638" s="2" t="s">
        <v>43</v>
      </c>
      <c r="C638" s="2" t="s">
        <v>1309</v>
      </c>
      <c r="D638" s="40">
        <v>1946000</v>
      </c>
      <c r="E638" s="2" t="s">
        <v>295</v>
      </c>
      <c r="F638" s="145">
        <v>3055</v>
      </c>
      <c r="H638" s="2" t="s">
        <v>1310</v>
      </c>
      <c r="I638" s="72">
        <v>45216</v>
      </c>
      <c r="K638" s="2" t="s">
        <v>1311</v>
      </c>
    </row>
    <row r="639" spans="1:11">
      <c r="A639" s="2" t="s">
        <v>1110</v>
      </c>
      <c r="B639" s="2" t="s">
        <v>43</v>
      </c>
      <c r="C639" s="2" t="s">
        <v>1309</v>
      </c>
      <c r="D639" s="40">
        <v>1949000</v>
      </c>
      <c r="E639" s="2" t="s">
        <v>295</v>
      </c>
      <c r="F639" s="145">
        <v>3058</v>
      </c>
      <c r="H639" s="2" t="s">
        <v>1310</v>
      </c>
      <c r="I639" s="72">
        <v>45219</v>
      </c>
      <c r="K639" s="2" t="s">
        <v>1311</v>
      </c>
    </row>
    <row r="640" spans="1:11">
      <c r="A640" s="2" t="s">
        <v>1111</v>
      </c>
      <c r="B640" s="2" t="s">
        <v>43</v>
      </c>
      <c r="C640" s="2" t="s">
        <v>1309</v>
      </c>
      <c r="D640" s="40">
        <v>1952000</v>
      </c>
      <c r="E640" s="2" t="s">
        <v>295</v>
      </c>
      <c r="F640" s="145">
        <v>3061</v>
      </c>
      <c r="H640" s="2" t="s">
        <v>1310</v>
      </c>
      <c r="I640" s="72">
        <v>45222</v>
      </c>
      <c r="K640" s="2" t="s">
        <v>1311</v>
      </c>
    </row>
    <row r="641" spans="1:11">
      <c r="A641" s="2" t="s">
        <v>1112</v>
      </c>
      <c r="B641" s="2" t="s">
        <v>43</v>
      </c>
      <c r="C641" s="2" t="s">
        <v>1309</v>
      </c>
      <c r="D641" s="40">
        <v>1955000</v>
      </c>
      <c r="E641" s="2" t="s">
        <v>295</v>
      </c>
      <c r="F641" s="145">
        <v>3064</v>
      </c>
      <c r="H641" s="2" t="s">
        <v>1310</v>
      </c>
      <c r="I641" s="72">
        <v>45225</v>
      </c>
      <c r="K641" s="2" t="s">
        <v>1311</v>
      </c>
    </row>
    <row r="642" spans="1:11">
      <c r="A642" s="2" t="s">
        <v>1113</v>
      </c>
      <c r="B642" s="2" t="s">
        <v>43</v>
      </c>
      <c r="C642" s="2" t="s">
        <v>1309</v>
      </c>
      <c r="D642" s="40">
        <v>1958000</v>
      </c>
      <c r="E642" s="2" t="s">
        <v>295</v>
      </c>
      <c r="F642" s="145">
        <v>3067</v>
      </c>
      <c r="H642" s="2" t="s">
        <v>1310</v>
      </c>
      <c r="I642" s="72">
        <v>45228</v>
      </c>
      <c r="K642" s="2" t="s">
        <v>1311</v>
      </c>
    </row>
    <row r="643" spans="1:11">
      <c r="A643" s="2" t="s">
        <v>1114</v>
      </c>
      <c r="B643" s="2" t="s">
        <v>43</v>
      </c>
      <c r="C643" s="2" t="s">
        <v>1309</v>
      </c>
      <c r="D643" s="40">
        <v>1961000</v>
      </c>
      <c r="E643" s="2" t="s">
        <v>295</v>
      </c>
      <c r="F643" s="145">
        <v>3070</v>
      </c>
      <c r="H643" s="2" t="s">
        <v>1310</v>
      </c>
      <c r="I643" s="72">
        <v>45231</v>
      </c>
      <c r="K643" s="2" t="s">
        <v>1311</v>
      </c>
    </row>
    <row r="644" spans="1:11">
      <c r="A644" s="2" t="s">
        <v>1115</v>
      </c>
      <c r="B644" s="2" t="s">
        <v>43</v>
      </c>
      <c r="C644" s="2" t="s">
        <v>1309</v>
      </c>
      <c r="D644" s="40">
        <v>1964000</v>
      </c>
      <c r="E644" s="2" t="s">
        <v>295</v>
      </c>
      <c r="F644" s="145">
        <v>3073</v>
      </c>
      <c r="H644" s="2" t="s">
        <v>1310</v>
      </c>
      <c r="I644" s="72">
        <v>45234</v>
      </c>
      <c r="K644" s="2" t="s">
        <v>1311</v>
      </c>
    </row>
    <row r="645" spans="1:11">
      <c r="A645" s="2" t="s">
        <v>1116</v>
      </c>
      <c r="B645" s="2" t="s">
        <v>43</v>
      </c>
      <c r="C645" s="2" t="s">
        <v>1309</v>
      </c>
      <c r="D645" s="40">
        <v>1967000</v>
      </c>
      <c r="E645" s="2" t="s">
        <v>295</v>
      </c>
      <c r="F645" s="145">
        <v>3076</v>
      </c>
      <c r="H645" s="2" t="s">
        <v>1310</v>
      </c>
      <c r="I645" s="72">
        <v>45237</v>
      </c>
      <c r="K645" s="2" t="s">
        <v>1311</v>
      </c>
    </row>
    <row r="646" spans="1:11">
      <c r="A646" s="2" t="s">
        <v>1117</v>
      </c>
      <c r="B646" s="2" t="s">
        <v>43</v>
      </c>
      <c r="C646" s="2" t="s">
        <v>1309</v>
      </c>
      <c r="D646" s="40">
        <v>1970000</v>
      </c>
      <c r="E646" s="2" t="s">
        <v>295</v>
      </c>
      <c r="F646" s="145">
        <v>3079</v>
      </c>
      <c r="H646" s="2" t="s">
        <v>1310</v>
      </c>
      <c r="I646" s="72">
        <v>45240</v>
      </c>
      <c r="K646" s="2" t="s">
        <v>1311</v>
      </c>
    </row>
    <row r="647" spans="1:11">
      <c r="A647" s="2" t="s">
        <v>1118</v>
      </c>
      <c r="B647" s="2" t="s">
        <v>43</v>
      </c>
      <c r="C647" s="2" t="s">
        <v>1309</v>
      </c>
      <c r="D647" s="40">
        <v>1973000</v>
      </c>
      <c r="E647" s="2" t="s">
        <v>295</v>
      </c>
      <c r="F647" s="145">
        <v>3082</v>
      </c>
      <c r="H647" s="2" t="s">
        <v>1310</v>
      </c>
      <c r="I647" s="72">
        <v>45243</v>
      </c>
      <c r="K647" s="2" t="s">
        <v>1311</v>
      </c>
    </row>
    <row r="648" spans="1:11">
      <c r="A648" s="2" t="s">
        <v>1119</v>
      </c>
      <c r="B648" s="2" t="s">
        <v>43</v>
      </c>
      <c r="C648" s="2" t="s">
        <v>1309</v>
      </c>
      <c r="D648" s="40">
        <v>1976000</v>
      </c>
      <c r="E648" s="2" t="s">
        <v>295</v>
      </c>
      <c r="F648" s="145">
        <v>3085</v>
      </c>
      <c r="H648" s="2" t="s">
        <v>1310</v>
      </c>
      <c r="I648" s="72">
        <v>45246</v>
      </c>
      <c r="K648" s="2" t="s">
        <v>1311</v>
      </c>
    </row>
    <row r="649" spans="1:11">
      <c r="A649" s="2" t="s">
        <v>1120</v>
      </c>
      <c r="B649" s="2" t="s">
        <v>43</v>
      </c>
      <c r="C649" s="2" t="s">
        <v>1309</v>
      </c>
      <c r="D649" s="40">
        <v>1979000</v>
      </c>
      <c r="E649" s="2" t="s">
        <v>295</v>
      </c>
      <c r="F649" s="145">
        <v>3088</v>
      </c>
      <c r="H649" s="2" t="s">
        <v>1310</v>
      </c>
      <c r="I649" s="72">
        <v>45249</v>
      </c>
      <c r="K649" s="2" t="s">
        <v>1311</v>
      </c>
    </row>
    <row r="650" spans="1:11">
      <c r="A650" s="2" t="s">
        <v>1121</v>
      </c>
      <c r="B650" s="2" t="s">
        <v>43</v>
      </c>
      <c r="C650" s="2" t="s">
        <v>1309</v>
      </c>
      <c r="D650" s="40">
        <v>1982000</v>
      </c>
      <c r="E650" s="2" t="s">
        <v>295</v>
      </c>
      <c r="F650" s="145">
        <v>3091</v>
      </c>
      <c r="H650" s="2" t="s">
        <v>1310</v>
      </c>
      <c r="I650" s="72">
        <v>45252</v>
      </c>
      <c r="K650" s="2" t="s">
        <v>1311</v>
      </c>
    </row>
    <row r="651" spans="1:11">
      <c r="A651" s="2" t="s">
        <v>1122</v>
      </c>
      <c r="B651" s="2" t="s">
        <v>43</v>
      </c>
      <c r="C651" s="2" t="s">
        <v>1309</v>
      </c>
      <c r="D651" s="40">
        <v>1985000</v>
      </c>
      <c r="E651" s="2" t="s">
        <v>295</v>
      </c>
      <c r="F651" s="145">
        <v>3094</v>
      </c>
      <c r="H651" s="2" t="s">
        <v>1310</v>
      </c>
      <c r="I651" s="72">
        <v>45255</v>
      </c>
      <c r="K651" s="2" t="s">
        <v>1311</v>
      </c>
    </row>
    <row r="652" spans="1:11">
      <c r="A652" s="2" t="s">
        <v>1123</v>
      </c>
      <c r="B652" s="2" t="s">
        <v>43</v>
      </c>
      <c r="C652" s="2" t="s">
        <v>1309</v>
      </c>
      <c r="D652" s="40">
        <v>1988000</v>
      </c>
      <c r="E652" s="2" t="s">
        <v>295</v>
      </c>
      <c r="F652" s="145">
        <v>3097</v>
      </c>
      <c r="H652" s="2" t="s">
        <v>1310</v>
      </c>
      <c r="I652" s="72">
        <v>45258</v>
      </c>
      <c r="K652" s="2" t="s">
        <v>1311</v>
      </c>
    </row>
    <row r="653" spans="1:11">
      <c r="A653" s="2" t="s">
        <v>1124</v>
      </c>
      <c r="B653" s="2" t="s">
        <v>43</v>
      </c>
      <c r="C653" s="2" t="s">
        <v>1309</v>
      </c>
      <c r="D653" s="40">
        <v>1991000</v>
      </c>
      <c r="E653" s="2" t="s">
        <v>295</v>
      </c>
      <c r="F653" s="145">
        <v>3100</v>
      </c>
      <c r="H653" s="2" t="s">
        <v>1310</v>
      </c>
      <c r="I653" s="72">
        <v>45261</v>
      </c>
      <c r="K653" s="2" t="s">
        <v>1311</v>
      </c>
    </row>
    <row r="654" spans="1:11">
      <c r="A654" s="2" t="s">
        <v>1125</v>
      </c>
      <c r="B654" s="2" t="s">
        <v>43</v>
      </c>
      <c r="C654" s="2" t="s">
        <v>1309</v>
      </c>
      <c r="D654" s="40">
        <v>1994000</v>
      </c>
      <c r="E654" s="2" t="s">
        <v>295</v>
      </c>
      <c r="F654" s="145">
        <v>3103</v>
      </c>
      <c r="H654" s="2" t="s">
        <v>1310</v>
      </c>
      <c r="I654" s="72">
        <v>45264</v>
      </c>
      <c r="K654" s="2" t="s">
        <v>1311</v>
      </c>
    </row>
    <row r="655" spans="1:11">
      <c r="A655" s="2" t="s">
        <v>1126</v>
      </c>
      <c r="B655" s="2" t="s">
        <v>43</v>
      </c>
      <c r="C655" s="2" t="s">
        <v>1309</v>
      </c>
      <c r="D655" s="40">
        <v>1997000</v>
      </c>
      <c r="E655" s="2" t="s">
        <v>295</v>
      </c>
      <c r="F655" s="145">
        <v>3106</v>
      </c>
      <c r="H655" s="2" t="s">
        <v>1310</v>
      </c>
      <c r="I655" s="72">
        <v>45267</v>
      </c>
      <c r="K655" s="2" t="s">
        <v>1311</v>
      </c>
    </row>
    <row r="656" spans="1:11">
      <c r="A656" s="2" t="s">
        <v>1127</v>
      </c>
      <c r="B656" s="2" t="s">
        <v>43</v>
      </c>
      <c r="C656" s="2" t="s">
        <v>1309</v>
      </c>
      <c r="D656" s="40">
        <v>2000000</v>
      </c>
      <c r="E656" s="2" t="s">
        <v>295</v>
      </c>
      <c r="F656" s="145">
        <v>3109</v>
      </c>
      <c r="H656" s="2" t="s">
        <v>1310</v>
      </c>
      <c r="I656" s="72">
        <v>45270</v>
      </c>
      <c r="K656" s="2" t="s">
        <v>1311</v>
      </c>
    </row>
    <row r="657" spans="1:11">
      <c r="A657" s="2" t="s">
        <v>1128</v>
      </c>
      <c r="B657" s="2" t="s">
        <v>43</v>
      </c>
      <c r="C657" s="2" t="s">
        <v>1309</v>
      </c>
      <c r="D657" s="40">
        <v>2003000</v>
      </c>
      <c r="E657" s="2" t="s">
        <v>295</v>
      </c>
      <c r="F657" s="145">
        <v>3112</v>
      </c>
      <c r="H657" s="2" t="s">
        <v>1310</v>
      </c>
      <c r="I657" s="72">
        <v>45273</v>
      </c>
      <c r="K657" s="2" t="s">
        <v>1311</v>
      </c>
    </row>
    <row r="658" spans="1:11">
      <c r="A658" s="2" t="s">
        <v>1129</v>
      </c>
      <c r="B658" s="2" t="s">
        <v>43</v>
      </c>
      <c r="C658" s="2" t="s">
        <v>1309</v>
      </c>
      <c r="D658" s="40">
        <v>2006000</v>
      </c>
      <c r="E658" s="2" t="s">
        <v>295</v>
      </c>
      <c r="F658" s="145">
        <v>3115</v>
      </c>
      <c r="H658" s="2" t="s">
        <v>1310</v>
      </c>
      <c r="I658" s="72">
        <v>45276</v>
      </c>
      <c r="K658" s="2" t="s">
        <v>1311</v>
      </c>
    </row>
    <row r="659" spans="1:11">
      <c r="A659" s="2" t="s">
        <v>1130</v>
      </c>
      <c r="B659" s="2" t="s">
        <v>43</v>
      </c>
      <c r="C659" s="2" t="s">
        <v>1309</v>
      </c>
      <c r="D659" s="40">
        <v>2009000</v>
      </c>
      <c r="E659" s="2" t="s">
        <v>295</v>
      </c>
      <c r="F659" s="145">
        <v>3118</v>
      </c>
      <c r="H659" s="2" t="s">
        <v>1310</v>
      </c>
      <c r="I659" s="72">
        <v>45279</v>
      </c>
      <c r="K659" s="2" t="s">
        <v>1311</v>
      </c>
    </row>
    <row r="660" spans="1:11">
      <c r="A660" s="2" t="s">
        <v>1131</v>
      </c>
      <c r="B660" s="2" t="s">
        <v>43</v>
      </c>
      <c r="C660" s="2" t="s">
        <v>1309</v>
      </c>
      <c r="D660" s="40">
        <v>2012000</v>
      </c>
      <c r="E660" s="2" t="s">
        <v>295</v>
      </c>
      <c r="F660" s="145">
        <v>3121</v>
      </c>
      <c r="H660" s="2" t="s">
        <v>1310</v>
      </c>
      <c r="I660" s="72">
        <v>45282</v>
      </c>
      <c r="K660" s="2" t="s">
        <v>1311</v>
      </c>
    </row>
    <row r="661" spans="1:11">
      <c r="A661" s="2" t="s">
        <v>1132</v>
      </c>
      <c r="B661" s="2" t="s">
        <v>43</v>
      </c>
      <c r="C661" s="2" t="s">
        <v>1309</v>
      </c>
      <c r="D661" s="40">
        <v>2015000</v>
      </c>
      <c r="E661" s="2" t="s">
        <v>295</v>
      </c>
      <c r="F661" s="145">
        <v>3124</v>
      </c>
      <c r="H661" s="2" t="s">
        <v>1310</v>
      </c>
      <c r="I661" s="72">
        <v>45285</v>
      </c>
      <c r="K661" s="2" t="s">
        <v>1311</v>
      </c>
    </row>
    <row r="662" spans="1:11">
      <c r="A662" s="2" t="s">
        <v>1133</v>
      </c>
      <c r="B662" s="2" t="s">
        <v>43</v>
      </c>
      <c r="C662" s="2" t="s">
        <v>1309</v>
      </c>
      <c r="D662" s="40">
        <v>2018000</v>
      </c>
      <c r="E662" s="2" t="s">
        <v>295</v>
      </c>
      <c r="F662" s="145">
        <v>3127</v>
      </c>
      <c r="H662" s="2" t="s">
        <v>1310</v>
      </c>
      <c r="I662" s="72">
        <v>45288</v>
      </c>
      <c r="K662" s="2" t="s">
        <v>1311</v>
      </c>
    </row>
    <row r="663" spans="1:11">
      <c r="A663" s="2" t="s">
        <v>1134</v>
      </c>
      <c r="B663" s="2" t="s">
        <v>43</v>
      </c>
      <c r="C663" s="2" t="s">
        <v>1309</v>
      </c>
      <c r="D663" s="40">
        <v>2021000</v>
      </c>
      <c r="E663" s="2" t="s">
        <v>295</v>
      </c>
      <c r="F663" s="145">
        <v>3130</v>
      </c>
      <c r="H663" s="2" t="s">
        <v>1310</v>
      </c>
      <c r="I663" s="72">
        <v>45291</v>
      </c>
      <c r="K663" s="2" t="s">
        <v>1311</v>
      </c>
    </row>
    <row r="664" spans="1:11">
      <c r="A664" s="2" t="s">
        <v>1135</v>
      </c>
      <c r="B664" s="2" t="s">
        <v>43</v>
      </c>
      <c r="C664" s="2" t="s">
        <v>1309</v>
      </c>
      <c r="D664" s="40">
        <v>2024000</v>
      </c>
      <c r="E664" s="2" t="s">
        <v>295</v>
      </c>
      <c r="F664" s="145">
        <v>3133</v>
      </c>
      <c r="H664" s="2" t="s">
        <v>1310</v>
      </c>
      <c r="I664" s="72">
        <v>45294</v>
      </c>
      <c r="K664" s="2" t="s">
        <v>1311</v>
      </c>
    </row>
    <row r="665" spans="1:11">
      <c r="A665" s="2" t="s">
        <v>1136</v>
      </c>
      <c r="B665" s="2" t="s">
        <v>43</v>
      </c>
      <c r="C665" s="2" t="s">
        <v>1309</v>
      </c>
      <c r="D665" s="40">
        <v>2027000</v>
      </c>
      <c r="E665" s="2" t="s">
        <v>295</v>
      </c>
      <c r="F665" s="145">
        <v>3136</v>
      </c>
      <c r="H665" s="2" t="s">
        <v>1310</v>
      </c>
      <c r="I665" s="72">
        <v>45297</v>
      </c>
      <c r="K665" s="2" t="s">
        <v>1311</v>
      </c>
    </row>
    <row r="666" spans="1:11">
      <c r="A666" s="2" t="s">
        <v>1137</v>
      </c>
      <c r="B666" s="2" t="s">
        <v>43</v>
      </c>
      <c r="C666" s="2" t="s">
        <v>1309</v>
      </c>
      <c r="D666" s="40">
        <v>2030000</v>
      </c>
      <c r="E666" s="2" t="s">
        <v>295</v>
      </c>
      <c r="F666" s="145">
        <v>3139</v>
      </c>
      <c r="H666" s="2" t="s">
        <v>1310</v>
      </c>
      <c r="I666" s="72">
        <v>45300</v>
      </c>
      <c r="K666" s="2" t="s">
        <v>1311</v>
      </c>
    </row>
    <row r="667" spans="1:11">
      <c r="A667" s="2" t="s">
        <v>1138</v>
      </c>
      <c r="B667" s="2" t="s">
        <v>43</v>
      </c>
      <c r="C667" s="2" t="s">
        <v>1309</v>
      </c>
      <c r="D667" s="40">
        <v>2033000</v>
      </c>
      <c r="E667" s="2" t="s">
        <v>295</v>
      </c>
      <c r="F667" s="145">
        <v>3142</v>
      </c>
      <c r="H667" s="2" t="s">
        <v>1310</v>
      </c>
      <c r="I667" s="72">
        <v>45303</v>
      </c>
      <c r="K667" s="2" t="s">
        <v>1311</v>
      </c>
    </row>
    <row r="668" spans="1:11">
      <c r="A668" s="2" t="s">
        <v>1139</v>
      </c>
      <c r="B668" s="2" t="s">
        <v>43</v>
      </c>
      <c r="C668" s="2" t="s">
        <v>1309</v>
      </c>
      <c r="D668" s="40">
        <v>2036000</v>
      </c>
      <c r="E668" s="2" t="s">
        <v>295</v>
      </c>
      <c r="F668" s="145">
        <v>3145</v>
      </c>
      <c r="H668" s="2" t="s">
        <v>1310</v>
      </c>
      <c r="I668" s="72">
        <v>45306</v>
      </c>
      <c r="K668" s="2" t="s">
        <v>1311</v>
      </c>
    </row>
    <row r="669" spans="1:11">
      <c r="A669" s="2" t="s">
        <v>1140</v>
      </c>
      <c r="B669" s="2" t="s">
        <v>43</v>
      </c>
      <c r="C669" s="2" t="s">
        <v>1309</v>
      </c>
      <c r="D669" s="40">
        <v>2039000</v>
      </c>
      <c r="E669" s="2" t="s">
        <v>295</v>
      </c>
      <c r="F669" s="145">
        <v>3148</v>
      </c>
      <c r="H669" s="2" t="s">
        <v>1310</v>
      </c>
      <c r="I669" s="72">
        <v>45309</v>
      </c>
      <c r="K669" s="2" t="s">
        <v>1311</v>
      </c>
    </row>
    <row r="670" spans="1:11">
      <c r="A670" s="2" t="s">
        <v>1141</v>
      </c>
      <c r="B670" s="2" t="s">
        <v>43</v>
      </c>
      <c r="C670" s="2" t="s">
        <v>1309</v>
      </c>
      <c r="D670" s="40">
        <v>2042000</v>
      </c>
      <c r="E670" s="2" t="s">
        <v>295</v>
      </c>
      <c r="F670" s="145">
        <v>3151</v>
      </c>
      <c r="H670" s="2" t="s">
        <v>1310</v>
      </c>
      <c r="I670" s="72">
        <v>45312</v>
      </c>
      <c r="K670" s="2" t="s">
        <v>1311</v>
      </c>
    </row>
    <row r="671" spans="1:11">
      <c r="A671" s="2" t="s">
        <v>1142</v>
      </c>
      <c r="B671" s="2" t="s">
        <v>43</v>
      </c>
      <c r="C671" s="2" t="s">
        <v>1309</v>
      </c>
      <c r="D671" s="40">
        <v>2045000</v>
      </c>
      <c r="E671" s="2" t="s">
        <v>295</v>
      </c>
      <c r="F671" s="145">
        <v>3154</v>
      </c>
      <c r="H671" s="2" t="s">
        <v>1310</v>
      </c>
      <c r="I671" s="72">
        <v>45315</v>
      </c>
      <c r="K671" s="2" t="s">
        <v>1311</v>
      </c>
    </row>
    <row r="672" spans="1:11">
      <c r="A672" s="2" t="s">
        <v>1143</v>
      </c>
      <c r="B672" s="2" t="s">
        <v>43</v>
      </c>
      <c r="C672" s="2" t="s">
        <v>1309</v>
      </c>
      <c r="D672" s="40">
        <v>2048000</v>
      </c>
      <c r="E672" s="2" t="s">
        <v>295</v>
      </c>
      <c r="F672" s="145">
        <v>3157</v>
      </c>
      <c r="H672" s="2" t="s">
        <v>1310</v>
      </c>
      <c r="I672" s="72">
        <v>45318</v>
      </c>
      <c r="K672" s="2" t="s">
        <v>1311</v>
      </c>
    </row>
    <row r="673" spans="1:11">
      <c r="A673" s="2" t="s">
        <v>1144</v>
      </c>
      <c r="B673" s="2" t="s">
        <v>43</v>
      </c>
      <c r="C673" s="2" t="s">
        <v>1309</v>
      </c>
      <c r="D673" s="40">
        <v>2051000</v>
      </c>
      <c r="E673" s="2" t="s">
        <v>295</v>
      </c>
      <c r="F673" s="145">
        <v>3160</v>
      </c>
      <c r="H673" s="2" t="s">
        <v>1310</v>
      </c>
      <c r="I673" s="72">
        <v>45321</v>
      </c>
      <c r="K673" s="2" t="s">
        <v>1311</v>
      </c>
    </row>
    <row r="674" spans="1:11">
      <c r="A674" s="2" t="s">
        <v>1145</v>
      </c>
      <c r="B674" s="2" t="s">
        <v>43</v>
      </c>
      <c r="C674" s="2" t="s">
        <v>1309</v>
      </c>
      <c r="D674" s="40">
        <v>2054000</v>
      </c>
      <c r="E674" s="2" t="s">
        <v>295</v>
      </c>
      <c r="F674" s="145">
        <v>3163</v>
      </c>
      <c r="H674" s="2" t="s">
        <v>1310</v>
      </c>
      <c r="I674" s="72">
        <v>45324</v>
      </c>
      <c r="K674" s="2" t="s">
        <v>1311</v>
      </c>
    </row>
    <row r="675" spans="1:11">
      <c r="A675" s="2" t="s">
        <v>1146</v>
      </c>
      <c r="B675" s="2" t="s">
        <v>43</v>
      </c>
      <c r="C675" s="2" t="s">
        <v>1309</v>
      </c>
      <c r="D675" s="40">
        <v>2057000</v>
      </c>
      <c r="E675" s="2" t="s">
        <v>295</v>
      </c>
      <c r="F675" s="145">
        <v>3166</v>
      </c>
      <c r="H675" s="2" t="s">
        <v>1310</v>
      </c>
      <c r="I675" s="72">
        <v>45327</v>
      </c>
      <c r="K675" s="2" t="s">
        <v>1311</v>
      </c>
    </row>
    <row r="676" spans="1:11">
      <c r="A676" s="2" t="s">
        <v>1147</v>
      </c>
      <c r="B676" s="2" t="s">
        <v>43</v>
      </c>
      <c r="C676" s="2" t="s">
        <v>1309</v>
      </c>
      <c r="D676" s="40">
        <v>2060000</v>
      </c>
      <c r="E676" s="2" t="s">
        <v>295</v>
      </c>
      <c r="F676" s="145">
        <v>3169</v>
      </c>
      <c r="H676" s="2" t="s">
        <v>1310</v>
      </c>
      <c r="I676" s="72">
        <v>45330</v>
      </c>
      <c r="K676" s="2" t="s">
        <v>1311</v>
      </c>
    </row>
    <row r="677" spans="1:11">
      <c r="A677" s="2" t="s">
        <v>1148</v>
      </c>
      <c r="B677" s="2" t="s">
        <v>43</v>
      </c>
      <c r="C677" s="2" t="s">
        <v>1309</v>
      </c>
      <c r="D677" s="40">
        <v>2063000</v>
      </c>
      <c r="E677" s="2" t="s">
        <v>295</v>
      </c>
      <c r="F677" s="145">
        <v>3172</v>
      </c>
      <c r="H677" s="2" t="s">
        <v>1310</v>
      </c>
      <c r="I677" s="72">
        <v>45333</v>
      </c>
      <c r="K677" s="2" t="s">
        <v>1311</v>
      </c>
    </row>
    <row r="678" spans="1:11">
      <c r="A678" s="2" t="s">
        <v>1149</v>
      </c>
      <c r="B678" s="2" t="s">
        <v>43</v>
      </c>
      <c r="C678" s="2" t="s">
        <v>1309</v>
      </c>
      <c r="D678" s="40">
        <v>2066000</v>
      </c>
      <c r="E678" s="2" t="s">
        <v>295</v>
      </c>
      <c r="F678" s="145">
        <v>3175</v>
      </c>
      <c r="H678" s="2" t="s">
        <v>1310</v>
      </c>
      <c r="I678" s="72">
        <v>45336</v>
      </c>
      <c r="K678" s="2" t="s">
        <v>1311</v>
      </c>
    </row>
    <row r="679" spans="1:11">
      <c r="A679" s="2" t="s">
        <v>1150</v>
      </c>
      <c r="B679" s="2" t="s">
        <v>43</v>
      </c>
      <c r="C679" s="2" t="s">
        <v>1309</v>
      </c>
      <c r="D679" s="40">
        <v>2069000</v>
      </c>
      <c r="E679" s="2" t="s">
        <v>295</v>
      </c>
      <c r="F679" s="145">
        <v>3178</v>
      </c>
      <c r="H679" s="2" t="s">
        <v>1310</v>
      </c>
      <c r="I679" s="72">
        <v>45339</v>
      </c>
      <c r="K679" s="2" t="s">
        <v>1311</v>
      </c>
    </row>
    <row r="680" spans="1:11">
      <c r="A680" s="2" t="s">
        <v>1151</v>
      </c>
      <c r="B680" s="2" t="s">
        <v>43</v>
      </c>
      <c r="C680" s="2" t="s">
        <v>1309</v>
      </c>
      <c r="D680" s="40">
        <v>2072000</v>
      </c>
      <c r="E680" s="2" t="s">
        <v>295</v>
      </c>
      <c r="F680" s="145">
        <v>3181</v>
      </c>
      <c r="H680" s="2" t="s">
        <v>1310</v>
      </c>
      <c r="I680" s="72">
        <v>45342</v>
      </c>
      <c r="K680" s="2" t="s">
        <v>1311</v>
      </c>
    </row>
    <row r="681" spans="1:11">
      <c r="A681" s="2" t="s">
        <v>1152</v>
      </c>
      <c r="B681" s="2" t="s">
        <v>43</v>
      </c>
      <c r="C681" s="2" t="s">
        <v>1309</v>
      </c>
      <c r="D681" s="40">
        <v>2075000</v>
      </c>
      <c r="E681" s="2" t="s">
        <v>295</v>
      </c>
      <c r="F681" s="145">
        <v>3184</v>
      </c>
      <c r="H681" s="2" t="s">
        <v>1310</v>
      </c>
      <c r="I681" s="72">
        <v>45345</v>
      </c>
      <c r="K681" s="2" t="s">
        <v>1311</v>
      </c>
    </row>
    <row r="682" spans="1:11">
      <c r="A682" s="2" t="s">
        <v>1153</v>
      </c>
      <c r="B682" s="2" t="s">
        <v>43</v>
      </c>
      <c r="C682" s="2" t="s">
        <v>1309</v>
      </c>
      <c r="D682" s="40">
        <v>2078000</v>
      </c>
      <c r="E682" s="2" t="s">
        <v>295</v>
      </c>
      <c r="F682" s="145">
        <v>3187</v>
      </c>
      <c r="H682" s="2" t="s">
        <v>1310</v>
      </c>
      <c r="I682" s="72">
        <v>45348</v>
      </c>
      <c r="K682" s="2" t="s">
        <v>1311</v>
      </c>
    </row>
    <row r="683" spans="1:11">
      <c r="A683" s="2" t="s">
        <v>1154</v>
      </c>
      <c r="B683" s="2" t="s">
        <v>43</v>
      </c>
      <c r="C683" s="2" t="s">
        <v>1309</v>
      </c>
      <c r="D683" s="40">
        <v>2081000</v>
      </c>
      <c r="E683" s="2" t="s">
        <v>295</v>
      </c>
      <c r="F683" s="145">
        <v>3190</v>
      </c>
      <c r="H683" s="2" t="s">
        <v>1310</v>
      </c>
      <c r="I683" s="72">
        <v>45351</v>
      </c>
      <c r="K683" s="2" t="s">
        <v>1311</v>
      </c>
    </row>
    <row r="684" spans="1:11">
      <c r="A684" s="2" t="s">
        <v>1155</v>
      </c>
      <c r="B684" s="2" t="s">
        <v>43</v>
      </c>
      <c r="C684" s="2" t="s">
        <v>1309</v>
      </c>
      <c r="D684" s="40">
        <v>2084000</v>
      </c>
      <c r="E684" s="2" t="s">
        <v>295</v>
      </c>
      <c r="F684" s="145">
        <v>3193</v>
      </c>
      <c r="H684" s="2" t="s">
        <v>1310</v>
      </c>
      <c r="I684" s="72">
        <v>45354</v>
      </c>
      <c r="K684" s="2" t="s">
        <v>1311</v>
      </c>
    </row>
    <row r="685" spans="1:11">
      <c r="A685" s="2" t="s">
        <v>1156</v>
      </c>
      <c r="B685" s="2" t="s">
        <v>43</v>
      </c>
      <c r="C685" s="2" t="s">
        <v>1309</v>
      </c>
      <c r="D685" s="40">
        <v>2087000</v>
      </c>
      <c r="E685" s="2" t="s">
        <v>295</v>
      </c>
      <c r="F685" s="145">
        <v>3196</v>
      </c>
      <c r="H685" s="2" t="s">
        <v>1310</v>
      </c>
      <c r="I685" s="72">
        <v>45357</v>
      </c>
      <c r="K685" s="2" t="s">
        <v>1311</v>
      </c>
    </row>
    <row r="686" spans="1:11">
      <c r="A686" s="2" t="s">
        <v>1157</v>
      </c>
      <c r="B686" s="2" t="s">
        <v>43</v>
      </c>
      <c r="C686" s="2" t="s">
        <v>1309</v>
      </c>
      <c r="D686" s="40">
        <v>2090000</v>
      </c>
      <c r="E686" s="2" t="s">
        <v>295</v>
      </c>
      <c r="F686" s="145">
        <v>3199</v>
      </c>
      <c r="H686" s="2" t="s">
        <v>1310</v>
      </c>
      <c r="I686" s="72">
        <v>45360</v>
      </c>
      <c r="K686" s="2" t="s">
        <v>1311</v>
      </c>
    </row>
    <row r="687" spans="1:11">
      <c r="A687" s="2" t="s">
        <v>1158</v>
      </c>
      <c r="B687" s="2" t="s">
        <v>43</v>
      </c>
      <c r="C687" s="2" t="s">
        <v>1309</v>
      </c>
      <c r="D687" s="40">
        <v>2093000</v>
      </c>
      <c r="E687" s="2" t="s">
        <v>295</v>
      </c>
      <c r="F687" s="145">
        <v>3202</v>
      </c>
      <c r="H687" s="2" t="s">
        <v>1310</v>
      </c>
      <c r="I687" s="72">
        <v>45363</v>
      </c>
      <c r="K687" s="2" t="s">
        <v>1311</v>
      </c>
    </row>
    <row r="688" spans="1:11">
      <c r="A688" s="2" t="s">
        <v>1159</v>
      </c>
      <c r="B688" s="2" t="s">
        <v>43</v>
      </c>
      <c r="C688" s="2" t="s">
        <v>1309</v>
      </c>
      <c r="D688" s="40">
        <v>2096000</v>
      </c>
      <c r="E688" s="2" t="s">
        <v>295</v>
      </c>
      <c r="F688" s="145">
        <v>3205</v>
      </c>
      <c r="H688" s="2" t="s">
        <v>1310</v>
      </c>
      <c r="I688" s="72">
        <v>45366</v>
      </c>
      <c r="K688" s="2" t="s">
        <v>1311</v>
      </c>
    </row>
    <row r="689" spans="1:11">
      <c r="A689" s="2" t="s">
        <v>1160</v>
      </c>
      <c r="B689" s="2" t="s">
        <v>43</v>
      </c>
      <c r="C689" s="2" t="s">
        <v>1309</v>
      </c>
      <c r="D689" s="40">
        <v>2099000</v>
      </c>
      <c r="E689" s="2" t="s">
        <v>295</v>
      </c>
      <c r="F689" s="145">
        <v>3208</v>
      </c>
      <c r="H689" s="2" t="s">
        <v>1310</v>
      </c>
      <c r="I689" s="72">
        <v>45369</v>
      </c>
      <c r="K689" s="2" t="s">
        <v>1311</v>
      </c>
    </row>
    <row r="690" spans="1:11">
      <c r="A690" s="2" t="s">
        <v>1161</v>
      </c>
      <c r="B690" s="2" t="s">
        <v>43</v>
      </c>
      <c r="C690" s="2" t="s">
        <v>1309</v>
      </c>
      <c r="D690" s="40">
        <v>2102000</v>
      </c>
      <c r="E690" s="2" t="s">
        <v>295</v>
      </c>
      <c r="F690" s="145">
        <v>3211</v>
      </c>
      <c r="H690" s="2" t="s">
        <v>1310</v>
      </c>
      <c r="I690" s="72">
        <v>45372</v>
      </c>
      <c r="K690" s="2" t="s">
        <v>1311</v>
      </c>
    </row>
    <row r="691" spans="1:11">
      <c r="A691" s="2" t="s">
        <v>1162</v>
      </c>
      <c r="B691" s="2" t="s">
        <v>43</v>
      </c>
      <c r="C691" s="2" t="s">
        <v>1309</v>
      </c>
      <c r="D691" s="40">
        <v>2105000</v>
      </c>
      <c r="E691" s="2" t="s">
        <v>295</v>
      </c>
      <c r="F691" s="145">
        <v>3214</v>
      </c>
      <c r="H691" s="2" t="s">
        <v>1310</v>
      </c>
      <c r="I691" s="72">
        <v>45375</v>
      </c>
      <c r="K691" s="2" t="s">
        <v>1311</v>
      </c>
    </row>
    <row r="692" spans="1:11">
      <c r="A692" s="2" t="s">
        <v>1163</v>
      </c>
      <c r="B692" s="2" t="s">
        <v>43</v>
      </c>
      <c r="C692" s="2" t="s">
        <v>1309</v>
      </c>
      <c r="D692" s="40">
        <v>2108000</v>
      </c>
      <c r="E692" s="2" t="s">
        <v>295</v>
      </c>
      <c r="F692" s="145">
        <v>3217</v>
      </c>
      <c r="H692" s="2" t="s">
        <v>1310</v>
      </c>
      <c r="I692" s="72">
        <v>45378</v>
      </c>
      <c r="K692" s="2" t="s">
        <v>1311</v>
      </c>
    </row>
    <row r="693" spans="1:11">
      <c r="A693" s="2" t="s">
        <v>1164</v>
      </c>
      <c r="B693" s="2" t="s">
        <v>43</v>
      </c>
      <c r="C693" s="2" t="s">
        <v>1309</v>
      </c>
      <c r="D693" s="40">
        <v>2111000</v>
      </c>
      <c r="E693" s="2" t="s">
        <v>295</v>
      </c>
      <c r="F693" s="145">
        <v>3220</v>
      </c>
      <c r="H693" s="2" t="s">
        <v>1310</v>
      </c>
      <c r="I693" s="72">
        <v>45381</v>
      </c>
      <c r="K693" s="2" t="s">
        <v>1311</v>
      </c>
    </row>
    <row r="694" spans="1:11">
      <c r="A694" s="2" t="s">
        <v>1165</v>
      </c>
      <c r="B694" s="2" t="s">
        <v>43</v>
      </c>
      <c r="C694" s="2" t="s">
        <v>1309</v>
      </c>
      <c r="D694" s="40">
        <v>2114000</v>
      </c>
      <c r="E694" s="2" t="s">
        <v>295</v>
      </c>
      <c r="F694" s="145">
        <v>3223</v>
      </c>
      <c r="H694" s="2" t="s">
        <v>1310</v>
      </c>
      <c r="I694" s="72">
        <v>45384</v>
      </c>
      <c r="K694" s="2" t="s">
        <v>1311</v>
      </c>
    </row>
    <row r="695" spans="1:11">
      <c r="A695" s="2" t="s">
        <v>1166</v>
      </c>
      <c r="B695" s="2" t="s">
        <v>43</v>
      </c>
      <c r="C695" s="2" t="s">
        <v>1309</v>
      </c>
      <c r="D695" s="40">
        <v>2117000</v>
      </c>
      <c r="E695" s="2" t="s">
        <v>295</v>
      </c>
      <c r="F695" s="145">
        <v>3226</v>
      </c>
      <c r="H695" s="2" t="s">
        <v>1310</v>
      </c>
      <c r="I695" s="72">
        <v>45387</v>
      </c>
      <c r="K695" s="2" t="s">
        <v>1311</v>
      </c>
    </row>
    <row r="696" spans="1:11">
      <c r="A696" s="2" t="s">
        <v>1167</v>
      </c>
      <c r="B696" s="2" t="s">
        <v>43</v>
      </c>
      <c r="C696" s="2" t="s">
        <v>1309</v>
      </c>
      <c r="D696" s="40">
        <v>2120000</v>
      </c>
      <c r="E696" s="2" t="s">
        <v>295</v>
      </c>
      <c r="F696" s="145">
        <v>3229</v>
      </c>
      <c r="H696" s="2" t="s">
        <v>1310</v>
      </c>
      <c r="I696" s="72">
        <v>45390</v>
      </c>
      <c r="K696" s="2" t="s">
        <v>1311</v>
      </c>
    </row>
    <row r="697" spans="1:11">
      <c r="A697" s="2" t="s">
        <v>1168</v>
      </c>
      <c r="B697" s="2" t="s">
        <v>43</v>
      </c>
      <c r="C697" s="2" t="s">
        <v>1309</v>
      </c>
      <c r="D697" s="40">
        <v>2123000</v>
      </c>
      <c r="E697" s="2" t="s">
        <v>295</v>
      </c>
      <c r="F697" s="145">
        <v>3232</v>
      </c>
      <c r="H697" s="2" t="s">
        <v>1310</v>
      </c>
      <c r="I697" s="72">
        <v>45393</v>
      </c>
      <c r="K697" s="2" t="s">
        <v>1311</v>
      </c>
    </row>
    <row r="698" spans="1:11">
      <c r="A698" s="2" t="s">
        <v>1169</v>
      </c>
      <c r="B698" s="2" t="s">
        <v>43</v>
      </c>
      <c r="C698" s="2" t="s">
        <v>1309</v>
      </c>
      <c r="D698" s="40">
        <v>2126000</v>
      </c>
      <c r="E698" s="2" t="s">
        <v>295</v>
      </c>
      <c r="F698" s="145">
        <v>3235</v>
      </c>
      <c r="H698" s="2" t="s">
        <v>1310</v>
      </c>
      <c r="I698" s="72">
        <v>45396</v>
      </c>
      <c r="K698" s="2" t="s">
        <v>1311</v>
      </c>
    </row>
    <row r="699" spans="1:11">
      <c r="A699" s="2" t="s">
        <v>1170</v>
      </c>
      <c r="B699" s="2" t="s">
        <v>43</v>
      </c>
      <c r="C699" s="2" t="s">
        <v>1309</v>
      </c>
      <c r="D699" s="40">
        <v>2129000</v>
      </c>
      <c r="E699" s="2" t="s">
        <v>295</v>
      </c>
      <c r="F699" s="145">
        <v>3238</v>
      </c>
      <c r="H699" s="2" t="s">
        <v>1310</v>
      </c>
      <c r="I699" s="72">
        <v>45399</v>
      </c>
      <c r="K699" s="2" t="s">
        <v>1311</v>
      </c>
    </row>
    <row r="700" spans="1:11">
      <c r="A700" s="2" t="s">
        <v>1171</v>
      </c>
      <c r="B700" s="2" t="s">
        <v>43</v>
      </c>
      <c r="C700" s="2" t="s">
        <v>1309</v>
      </c>
      <c r="D700" s="40">
        <v>2132000</v>
      </c>
      <c r="E700" s="2" t="s">
        <v>295</v>
      </c>
      <c r="F700" s="145">
        <v>3241</v>
      </c>
      <c r="H700" s="2" t="s">
        <v>1310</v>
      </c>
      <c r="I700" s="72">
        <v>45402</v>
      </c>
      <c r="K700" s="2" t="s">
        <v>1311</v>
      </c>
    </row>
    <row r="701" spans="1:11">
      <c r="A701" s="2" t="s">
        <v>1172</v>
      </c>
      <c r="B701" s="2" t="s">
        <v>43</v>
      </c>
      <c r="C701" s="2" t="s">
        <v>1309</v>
      </c>
      <c r="D701" s="40">
        <v>2135000</v>
      </c>
      <c r="E701" s="2" t="s">
        <v>295</v>
      </c>
      <c r="F701" s="145">
        <v>3244</v>
      </c>
      <c r="H701" s="2" t="s">
        <v>1310</v>
      </c>
      <c r="I701" s="72">
        <v>45405</v>
      </c>
      <c r="K701" s="2" t="s">
        <v>1311</v>
      </c>
    </row>
    <row r="702" spans="1:11">
      <c r="A702" s="2" t="s">
        <v>1173</v>
      </c>
      <c r="B702" s="2" t="s">
        <v>43</v>
      </c>
      <c r="C702" s="2" t="s">
        <v>1309</v>
      </c>
      <c r="D702" s="40">
        <v>2138000</v>
      </c>
      <c r="E702" s="2" t="s">
        <v>295</v>
      </c>
      <c r="F702" s="145">
        <v>3247</v>
      </c>
      <c r="H702" s="2" t="s">
        <v>1310</v>
      </c>
      <c r="I702" s="72">
        <v>45408</v>
      </c>
      <c r="K702" s="2" t="s">
        <v>1311</v>
      </c>
    </row>
    <row r="703" spans="1:11">
      <c r="A703" s="2" t="s">
        <v>1174</v>
      </c>
      <c r="B703" s="2" t="s">
        <v>43</v>
      </c>
      <c r="C703" s="2" t="s">
        <v>1309</v>
      </c>
      <c r="D703" s="40">
        <v>2141000</v>
      </c>
      <c r="E703" s="2" t="s">
        <v>295</v>
      </c>
      <c r="F703" s="145">
        <v>3250</v>
      </c>
      <c r="H703" s="2" t="s">
        <v>1310</v>
      </c>
      <c r="I703" s="72">
        <v>45411</v>
      </c>
      <c r="K703" s="2" t="s">
        <v>1311</v>
      </c>
    </row>
    <row r="704" spans="1:11">
      <c r="A704" s="2" t="s">
        <v>1175</v>
      </c>
      <c r="B704" s="2" t="s">
        <v>43</v>
      </c>
      <c r="C704" s="2" t="s">
        <v>1309</v>
      </c>
      <c r="D704" s="40">
        <v>2144000</v>
      </c>
      <c r="E704" s="2" t="s">
        <v>295</v>
      </c>
      <c r="F704" s="145">
        <v>3253</v>
      </c>
      <c r="H704" s="2" t="s">
        <v>1310</v>
      </c>
      <c r="I704" s="72">
        <v>45414</v>
      </c>
      <c r="K704" s="2" t="s">
        <v>1311</v>
      </c>
    </row>
    <row r="705" spans="1:11">
      <c r="A705" s="2" t="s">
        <v>1176</v>
      </c>
      <c r="B705" s="2" t="s">
        <v>43</v>
      </c>
      <c r="C705" s="2" t="s">
        <v>1309</v>
      </c>
      <c r="D705" s="40">
        <v>2147000</v>
      </c>
      <c r="E705" s="2" t="s">
        <v>295</v>
      </c>
      <c r="F705" s="145">
        <v>3256</v>
      </c>
      <c r="H705" s="2" t="s">
        <v>1310</v>
      </c>
      <c r="I705" s="72">
        <v>45417</v>
      </c>
      <c r="K705" s="2" t="s">
        <v>1311</v>
      </c>
    </row>
    <row r="706" spans="1:11">
      <c r="A706" s="2" t="s">
        <v>1177</v>
      </c>
      <c r="B706" s="2" t="s">
        <v>43</v>
      </c>
      <c r="C706" s="2" t="s">
        <v>1309</v>
      </c>
      <c r="D706" s="40">
        <v>2150000</v>
      </c>
      <c r="E706" s="2" t="s">
        <v>295</v>
      </c>
      <c r="F706" s="145">
        <v>3259</v>
      </c>
      <c r="H706" s="2" t="s">
        <v>1310</v>
      </c>
      <c r="I706" s="72">
        <v>45420</v>
      </c>
      <c r="K706" s="2" t="s">
        <v>1311</v>
      </c>
    </row>
    <row r="707" spans="1:11">
      <c r="A707" s="2" t="s">
        <v>66</v>
      </c>
      <c r="B707" s="2" t="s">
        <v>43</v>
      </c>
      <c r="C707" s="2" t="s">
        <v>1309</v>
      </c>
      <c r="D707" s="40">
        <v>2153000</v>
      </c>
      <c r="E707" s="2" t="s">
        <v>295</v>
      </c>
      <c r="F707" s="145">
        <v>3262</v>
      </c>
      <c r="H707" s="2" t="s">
        <v>1310</v>
      </c>
      <c r="I707" s="72">
        <v>45423</v>
      </c>
      <c r="K707" s="2" t="s">
        <v>1311</v>
      </c>
    </row>
    <row r="708" spans="1:11">
      <c r="A708" s="2" t="s">
        <v>1178</v>
      </c>
      <c r="B708" s="2" t="s">
        <v>43</v>
      </c>
      <c r="C708" s="2" t="s">
        <v>1309</v>
      </c>
      <c r="D708" s="40">
        <v>2156000</v>
      </c>
      <c r="E708" s="2" t="s">
        <v>295</v>
      </c>
      <c r="F708" s="145">
        <v>3265</v>
      </c>
      <c r="H708" s="2" t="s">
        <v>1310</v>
      </c>
      <c r="I708" s="72">
        <v>45426</v>
      </c>
      <c r="K708" s="2" t="s">
        <v>1311</v>
      </c>
    </row>
    <row r="709" spans="1:11">
      <c r="A709" s="2" t="s">
        <v>1179</v>
      </c>
      <c r="B709" s="2" t="s">
        <v>43</v>
      </c>
      <c r="C709" s="2" t="s">
        <v>1309</v>
      </c>
      <c r="D709" s="40">
        <v>2159000</v>
      </c>
      <c r="E709" s="2" t="s">
        <v>295</v>
      </c>
      <c r="F709" s="145">
        <v>3268</v>
      </c>
      <c r="H709" s="2" t="s">
        <v>1310</v>
      </c>
      <c r="I709" s="72">
        <v>45429</v>
      </c>
      <c r="K709" s="2" t="s">
        <v>1311</v>
      </c>
    </row>
    <row r="710" spans="1:11">
      <c r="A710" s="2" t="s">
        <v>1180</v>
      </c>
      <c r="B710" s="2" t="s">
        <v>43</v>
      </c>
      <c r="C710" s="2" t="s">
        <v>1309</v>
      </c>
      <c r="D710" s="40">
        <v>2162000</v>
      </c>
      <c r="E710" s="2" t="s">
        <v>295</v>
      </c>
      <c r="F710" s="145">
        <v>3271</v>
      </c>
      <c r="H710" s="2" t="s">
        <v>1310</v>
      </c>
      <c r="I710" s="72">
        <v>45432</v>
      </c>
      <c r="K710" s="2" t="s">
        <v>1311</v>
      </c>
    </row>
    <row r="711" spans="1:11">
      <c r="A711" s="2" t="s">
        <v>1181</v>
      </c>
      <c r="B711" s="2" t="s">
        <v>43</v>
      </c>
      <c r="C711" s="2" t="s">
        <v>1309</v>
      </c>
      <c r="D711" s="40">
        <v>2165000</v>
      </c>
      <c r="E711" s="2" t="s">
        <v>295</v>
      </c>
      <c r="F711" s="145">
        <v>3274</v>
      </c>
      <c r="H711" s="2" t="s">
        <v>1310</v>
      </c>
      <c r="I711" s="72">
        <v>45435</v>
      </c>
      <c r="K711" s="2" t="s">
        <v>1311</v>
      </c>
    </row>
    <row r="712" spans="1:11">
      <c r="A712" s="2" t="s">
        <v>1182</v>
      </c>
      <c r="B712" s="2" t="s">
        <v>43</v>
      </c>
      <c r="C712" s="2" t="s">
        <v>1309</v>
      </c>
      <c r="D712" s="40">
        <v>2168000</v>
      </c>
      <c r="E712" s="2" t="s">
        <v>295</v>
      </c>
      <c r="F712" s="145">
        <v>3277</v>
      </c>
      <c r="H712" s="2" t="s">
        <v>1310</v>
      </c>
      <c r="I712" s="72">
        <v>45438</v>
      </c>
      <c r="K712" s="2" t="s">
        <v>1311</v>
      </c>
    </row>
    <row r="713" spans="1:11">
      <c r="A713" s="2" t="s">
        <v>1183</v>
      </c>
      <c r="B713" s="2" t="s">
        <v>43</v>
      </c>
      <c r="C713" s="2" t="s">
        <v>1309</v>
      </c>
      <c r="D713" s="40">
        <v>2171000</v>
      </c>
      <c r="E713" s="2" t="s">
        <v>295</v>
      </c>
      <c r="F713" s="145">
        <v>3280</v>
      </c>
      <c r="H713" s="2" t="s">
        <v>1310</v>
      </c>
      <c r="I713" s="72">
        <v>45441</v>
      </c>
      <c r="K713" s="2" t="s">
        <v>1311</v>
      </c>
    </row>
    <row r="714" spans="1:11">
      <c r="A714" s="2" t="s">
        <v>1184</v>
      </c>
      <c r="B714" s="2" t="s">
        <v>43</v>
      </c>
      <c r="C714" s="2" t="s">
        <v>1309</v>
      </c>
      <c r="D714" s="40">
        <v>2174000</v>
      </c>
      <c r="E714" s="2" t="s">
        <v>295</v>
      </c>
      <c r="F714" s="145">
        <v>3283</v>
      </c>
      <c r="H714" s="2" t="s">
        <v>1310</v>
      </c>
      <c r="I714" s="72">
        <v>45444</v>
      </c>
      <c r="K714" s="2" t="s">
        <v>1311</v>
      </c>
    </row>
    <row r="715" spans="1:11">
      <c r="A715" s="2" t="s">
        <v>1185</v>
      </c>
      <c r="B715" s="2" t="s">
        <v>43</v>
      </c>
      <c r="C715" s="2" t="s">
        <v>1309</v>
      </c>
      <c r="D715" s="40">
        <v>2177000</v>
      </c>
      <c r="E715" s="2" t="s">
        <v>295</v>
      </c>
      <c r="F715" s="145">
        <v>3286</v>
      </c>
      <c r="H715" s="2" t="s">
        <v>1310</v>
      </c>
      <c r="I715" s="72">
        <v>45447</v>
      </c>
      <c r="K715" s="2" t="s">
        <v>1311</v>
      </c>
    </row>
    <row r="716" spans="1:11">
      <c r="A716" s="2" t="s">
        <v>1186</v>
      </c>
      <c r="B716" s="2" t="s">
        <v>43</v>
      </c>
      <c r="C716" s="2" t="s">
        <v>1309</v>
      </c>
      <c r="D716" s="40">
        <v>2180000</v>
      </c>
      <c r="E716" s="2" t="s">
        <v>295</v>
      </c>
      <c r="F716" s="145">
        <v>3289</v>
      </c>
      <c r="H716" s="2" t="s">
        <v>1310</v>
      </c>
      <c r="I716" s="72">
        <v>45450</v>
      </c>
      <c r="K716" s="2" t="s">
        <v>1311</v>
      </c>
    </row>
    <row r="717" spans="1:11">
      <c r="A717" s="2" t="s">
        <v>1187</v>
      </c>
      <c r="B717" s="2" t="s">
        <v>43</v>
      </c>
      <c r="C717" s="2" t="s">
        <v>1309</v>
      </c>
      <c r="D717" s="40">
        <v>2183000</v>
      </c>
      <c r="E717" s="2" t="s">
        <v>295</v>
      </c>
      <c r="F717" s="145">
        <v>3292</v>
      </c>
      <c r="H717" s="2" t="s">
        <v>1310</v>
      </c>
      <c r="I717" s="72">
        <v>45453</v>
      </c>
      <c r="K717" s="2" t="s">
        <v>1311</v>
      </c>
    </row>
    <row r="718" spans="1:11">
      <c r="A718" s="2" t="s">
        <v>1188</v>
      </c>
      <c r="B718" s="2" t="s">
        <v>43</v>
      </c>
      <c r="C718" s="2" t="s">
        <v>1309</v>
      </c>
      <c r="D718" s="40">
        <v>2186000</v>
      </c>
      <c r="E718" s="2" t="s">
        <v>295</v>
      </c>
      <c r="F718" s="145">
        <v>3295</v>
      </c>
      <c r="H718" s="2" t="s">
        <v>1310</v>
      </c>
      <c r="I718" s="72">
        <v>45456</v>
      </c>
      <c r="K718" s="2" t="s">
        <v>1311</v>
      </c>
    </row>
    <row r="719" spans="1:11">
      <c r="A719" s="2" t="s">
        <v>1189</v>
      </c>
      <c r="B719" s="2" t="s">
        <v>43</v>
      </c>
      <c r="C719" s="2" t="s">
        <v>1309</v>
      </c>
      <c r="D719" s="40">
        <v>2189000</v>
      </c>
      <c r="E719" s="2" t="s">
        <v>295</v>
      </c>
      <c r="F719" s="145">
        <v>3298</v>
      </c>
      <c r="H719" s="2" t="s">
        <v>1310</v>
      </c>
      <c r="I719" s="72">
        <v>45459</v>
      </c>
      <c r="K719" s="2" t="s">
        <v>1311</v>
      </c>
    </row>
    <row r="720" spans="1:11">
      <c r="A720" s="2" t="s">
        <v>1190</v>
      </c>
      <c r="B720" s="2" t="s">
        <v>43</v>
      </c>
      <c r="C720" s="2" t="s">
        <v>1309</v>
      </c>
      <c r="D720" s="40">
        <v>2192000</v>
      </c>
      <c r="E720" s="2" t="s">
        <v>295</v>
      </c>
      <c r="F720" s="145">
        <v>3301</v>
      </c>
      <c r="H720" s="2" t="s">
        <v>1310</v>
      </c>
      <c r="I720" s="72">
        <v>45462</v>
      </c>
      <c r="K720" s="2" t="s">
        <v>1311</v>
      </c>
    </row>
    <row r="721" spans="1:11">
      <c r="A721" s="2" t="s">
        <v>1191</v>
      </c>
      <c r="B721" s="2" t="s">
        <v>43</v>
      </c>
      <c r="C721" s="2" t="s">
        <v>1309</v>
      </c>
      <c r="D721" s="40">
        <v>2195000</v>
      </c>
      <c r="E721" s="2" t="s">
        <v>295</v>
      </c>
      <c r="F721" s="145">
        <v>3304</v>
      </c>
      <c r="H721" s="2" t="s">
        <v>1310</v>
      </c>
      <c r="I721" s="72">
        <v>45465</v>
      </c>
      <c r="K721" s="2" t="s">
        <v>1311</v>
      </c>
    </row>
    <row r="722" spans="1:11">
      <c r="A722" s="2" t="s">
        <v>1192</v>
      </c>
      <c r="B722" s="2" t="s">
        <v>43</v>
      </c>
      <c r="C722" s="2" t="s">
        <v>1309</v>
      </c>
      <c r="D722" s="40">
        <v>2198000</v>
      </c>
      <c r="E722" s="2" t="s">
        <v>295</v>
      </c>
      <c r="F722" s="145">
        <v>3307</v>
      </c>
      <c r="H722" s="2" t="s">
        <v>1310</v>
      </c>
      <c r="I722" s="72">
        <v>45468</v>
      </c>
      <c r="K722" s="2" t="s">
        <v>1311</v>
      </c>
    </row>
    <row r="723" spans="1:11">
      <c r="A723" s="2" t="s">
        <v>1193</v>
      </c>
      <c r="B723" s="2" t="s">
        <v>43</v>
      </c>
      <c r="C723" s="2" t="s">
        <v>1309</v>
      </c>
      <c r="D723" s="40">
        <v>2201000</v>
      </c>
      <c r="E723" s="2" t="s">
        <v>295</v>
      </c>
      <c r="F723" s="145">
        <v>3310</v>
      </c>
      <c r="H723" s="2" t="s">
        <v>1310</v>
      </c>
      <c r="I723" s="72">
        <v>45471</v>
      </c>
      <c r="K723" s="2" t="s">
        <v>1311</v>
      </c>
    </row>
    <row r="724" spans="1:11">
      <c r="A724" s="2" t="s">
        <v>1194</v>
      </c>
      <c r="B724" s="2" t="s">
        <v>43</v>
      </c>
      <c r="C724" s="2" t="s">
        <v>1309</v>
      </c>
      <c r="D724" s="40">
        <v>2204000</v>
      </c>
      <c r="E724" s="2" t="s">
        <v>295</v>
      </c>
      <c r="F724" s="145">
        <v>3313</v>
      </c>
      <c r="H724" s="2" t="s">
        <v>1310</v>
      </c>
      <c r="I724" s="72">
        <v>45474</v>
      </c>
      <c r="K724" s="2" t="s">
        <v>1311</v>
      </c>
    </row>
    <row r="725" spans="1:11">
      <c r="A725" s="2" t="s">
        <v>1195</v>
      </c>
      <c r="B725" s="2" t="s">
        <v>43</v>
      </c>
      <c r="C725" s="2" t="s">
        <v>1309</v>
      </c>
      <c r="D725" s="40">
        <v>2207000</v>
      </c>
      <c r="E725" s="2" t="s">
        <v>295</v>
      </c>
      <c r="F725" s="145">
        <v>3316</v>
      </c>
      <c r="H725" s="2" t="s">
        <v>1310</v>
      </c>
      <c r="I725" s="72">
        <v>45477</v>
      </c>
      <c r="K725" s="2" t="s">
        <v>1311</v>
      </c>
    </row>
    <row r="726" spans="1:11">
      <c r="A726" s="2" t="s">
        <v>1196</v>
      </c>
      <c r="B726" s="2" t="s">
        <v>43</v>
      </c>
      <c r="C726" s="2" t="s">
        <v>1309</v>
      </c>
      <c r="D726" s="40">
        <v>2210000</v>
      </c>
      <c r="E726" s="2" t="s">
        <v>295</v>
      </c>
      <c r="F726" s="145">
        <v>3319</v>
      </c>
      <c r="H726" s="2" t="s">
        <v>1310</v>
      </c>
      <c r="I726" s="72">
        <v>45480</v>
      </c>
      <c r="K726" s="2" t="s">
        <v>1311</v>
      </c>
    </row>
    <row r="727" spans="1:11">
      <c r="A727" s="2" t="s">
        <v>1197</v>
      </c>
      <c r="B727" s="2" t="s">
        <v>43</v>
      </c>
      <c r="C727" s="2" t="s">
        <v>1309</v>
      </c>
      <c r="D727" s="40">
        <v>2213000</v>
      </c>
      <c r="E727" s="2" t="s">
        <v>295</v>
      </c>
      <c r="F727" s="145">
        <v>3322</v>
      </c>
      <c r="H727" s="2" t="s">
        <v>1310</v>
      </c>
      <c r="I727" s="72">
        <v>45483</v>
      </c>
      <c r="K727" s="2" t="s">
        <v>1311</v>
      </c>
    </row>
    <row r="728" spans="1:11">
      <c r="A728" s="2" t="s">
        <v>1198</v>
      </c>
      <c r="B728" s="2" t="s">
        <v>43</v>
      </c>
      <c r="C728" s="2" t="s">
        <v>1309</v>
      </c>
      <c r="D728" s="40">
        <v>2216000</v>
      </c>
      <c r="E728" s="2" t="s">
        <v>295</v>
      </c>
      <c r="F728" s="145">
        <v>3325</v>
      </c>
      <c r="H728" s="2" t="s">
        <v>1310</v>
      </c>
      <c r="I728" s="72">
        <v>45486</v>
      </c>
      <c r="K728" s="2" t="s">
        <v>1311</v>
      </c>
    </row>
    <row r="729" spans="1:11">
      <c r="A729" s="2" t="s">
        <v>1199</v>
      </c>
      <c r="B729" s="2" t="s">
        <v>43</v>
      </c>
      <c r="C729" s="2" t="s">
        <v>1309</v>
      </c>
      <c r="D729" s="40">
        <v>2219000</v>
      </c>
      <c r="E729" s="2" t="s">
        <v>295</v>
      </c>
      <c r="F729" s="145">
        <v>3328</v>
      </c>
      <c r="H729" s="2" t="s">
        <v>1310</v>
      </c>
      <c r="I729" s="72">
        <v>45489</v>
      </c>
      <c r="K729" s="2" t="s">
        <v>1311</v>
      </c>
    </row>
    <row r="730" spans="1:11">
      <c r="A730" s="2" t="s">
        <v>1200</v>
      </c>
      <c r="B730" s="2" t="s">
        <v>43</v>
      </c>
      <c r="C730" s="2" t="s">
        <v>1309</v>
      </c>
      <c r="D730" s="40">
        <v>2222000</v>
      </c>
      <c r="E730" s="2" t="s">
        <v>295</v>
      </c>
      <c r="F730" s="145">
        <v>3331</v>
      </c>
      <c r="H730" s="2" t="s">
        <v>1310</v>
      </c>
      <c r="I730" s="72">
        <v>45492</v>
      </c>
      <c r="K730" s="2" t="s">
        <v>1311</v>
      </c>
    </row>
    <row r="731" spans="1:11">
      <c r="A731" s="2" t="s">
        <v>1201</v>
      </c>
      <c r="B731" s="2" t="s">
        <v>43</v>
      </c>
      <c r="C731" s="2" t="s">
        <v>1309</v>
      </c>
      <c r="D731" s="40">
        <v>2225000</v>
      </c>
      <c r="E731" s="2" t="s">
        <v>295</v>
      </c>
      <c r="F731" s="145">
        <v>3334</v>
      </c>
      <c r="H731" s="2" t="s">
        <v>1310</v>
      </c>
      <c r="I731" s="72">
        <v>45495</v>
      </c>
      <c r="K731" s="2" t="s">
        <v>1311</v>
      </c>
    </row>
    <row r="732" spans="1:11">
      <c r="A732" s="2" t="s">
        <v>69</v>
      </c>
      <c r="B732" s="2" t="s">
        <v>43</v>
      </c>
      <c r="C732" s="2" t="s">
        <v>1309</v>
      </c>
      <c r="D732" s="40">
        <v>2228000</v>
      </c>
      <c r="E732" s="2" t="s">
        <v>295</v>
      </c>
      <c r="F732" s="145">
        <v>3337</v>
      </c>
      <c r="H732" s="2" t="s">
        <v>1310</v>
      </c>
      <c r="I732" s="72">
        <v>45498</v>
      </c>
      <c r="K732" s="2" t="s">
        <v>1311</v>
      </c>
    </row>
    <row r="733" spans="1:11">
      <c r="A733" s="2" t="s">
        <v>1202</v>
      </c>
      <c r="B733" s="2" t="s">
        <v>43</v>
      </c>
      <c r="C733" s="2" t="s">
        <v>1309</v>
      </c>
      <c r="D733" s="40">
        <v>2231000</v>
      </c>
      <c r="E733" s="2" t="s">
        <v>295</v>
      </c>
      <c r="F733" s="145">
        <v>3340</v>
      </c>
      <c r="H733" s="2" t="s">
        <v>1310</v>
      </c>
      <c r="I733" s="72">
        <v>45501</v>
      </c>
      <c r="K733" s="2" t="s">
        <v>1311</v>
      </c>
    </row>
    <row r="734" spans="1:11">
      <c r="A734" s="2" t="s">
        <v>1203</v>
      </c>
      <c r="B734" s="2" t="s">
        <v>43</v>
      </c>
      <c r="C734" s="2" t="s">
        <v>1309</v>
      </c>
      <c r="D734" s="40">
        <v>2234000</v>
      </c>
      <c r="E734" s="2" t="s">
        <v>295</v>
      </c>
      <c r="F734" s="145">
        <v>3343</v>
      </c>
      <c r="H734" s="2" t="s">
        <v>1310</v>
      </c>
      <c r="I734" s="72">
        <v>45504</v>
      </c>
      <c r="K734" s="2" t="s">
        <v>1311</v>
      </c>
    </row>
    <row r="735" spans="1:11">
      <c r="A735" s="2" t="s">
        <v>1204</v>
      </c>
      <c r="B735" s="2" t="s">
        <v>43</v>
      </c>
      <c r="C735" s="2" t="s">
        <v>1309</v>
      </c>
      <c r="D735" s="40">
        <v>2237000</v>
      </c>
      <c r="E735" s="2" t="s">
        <v>295</v>
      </c>
      <c r="F735" s="145">
        <v>3346</v>
      </c>
      <c r="H735" s="2" t="s">
        <v>1310</v>
      </c>
      <c r="I735" s="72">
        <v>45507</v>
      </c>
      <c r="K735" s="2" t="s">
        <v>1311</v>
      </c>
    </row>
    <row r="736" spans="1:11">
      <c r="A736" s="2" t="s">
        <v>1205</v>
      </c>
      <c r="B736" s="2" t="s">
        <v>43</v>
      </c>
      <c r="C736" s="2" t="s">
        <v>1309</v>
      </c>
      <c r="D736" s="40">
        <v>2240000</v>
      </c>
      <c r="E736" s="2" t="s">
        <v>295</v>
      </c>
      <c r="F736" s="145">
        <v>3349</v>
      </c>
      <c r="H736" s="2" t="s">
        <v>1310</v>
      </c>
      <c r="I736" s="72">
        <v>45510</v>
      </c>
      <c r="K736" s="2" t="s">
        <v>1311</v>
      </c>
    </row>
    <row r="737" spans="1:11">
      <c r="A737" s="2" t="s">
        <v>1206</v>
      </c>
      <c r="B737" s="2" t="s">
        <v>43</v>
      </c>
      <c r="C737" s="2" t="s">
        <v>1309</v>
      </c>
      <c r="D737" s="40">
        <v>2243000</v>
      </c>
      <c r="E737" s="2" t="s">
        <v>295</v>
      </c>
      <c r="F737" s="145">
        <v>3352</v>
      </c>
      <c r="H737" s="2" t="s">
        <v>1310</v>
      </c>
      <c r="I737" s="72">
        <v>45513</v>
      </c>
      <c r="K737" s="2" t="s">
        <v>1311</v>
      </c>
    </row>
    <row r="738" spans="1:11">
      <c r="A738" s="2" t="s">
        <v>1207</v>
      </c>
      <c r="B738" s="2" t="s">
        <v>43</v>
      </c>
      <c r="C738" s="2" t="s">
        <v>1309</v>
      </c>
      <c r="D738" s="40">
        <v>2246000</v>
      </c>
      <c r="E738" s="2" t="s">
        <v>295</v>
      </c>
      <c r="F738" s="145">
        <v>3355</v>
      </c>
      <c r="H738" s="2" t="s">
        <v>1310</v>
      </c>
      <c r="I738" s="72">
        <v>45516</v>
      </c>
      <c r="K738" s="2" t="s">
        <v>1311</v>
      </c>
    </row>
    <row r="739" spans="1:11">
      <c r="A739" s="2" t="s">
        <v>1208</v>
      </c>
      <c r="B739" s="2" t="s">
        <v>43</v>
      </c>
      <c r="C739" s="2" t="s">
        <v>1309</v>
      </c>
      <c r="D739" s="40">
        <v>2249000</v>
      </c>
      <c r="E739" s="2" t="s">
        <v>295</v>
      </c>
      <c r="F739" s="145">
        <v>3358</v>
      </c>
      <c r="H739" s="2" t="s">
        <v>1310</v>
      </c>
      <c r="I739" s="72">
        <v>45519</v>
      </c>
      <c r="K739" s="2" t="s">
        <v>1311</v>
      </c>
    </row>
    <row r="740" spans="1:11">
      <c r="A740" s="2" t="s">
        <v>1209</v>
      </c>
      <c r="B740" s="2" t="s">
        <v>43</v>
      </c>
      <c r="C740" s="2" t="s">
        <v>1309</v>
      </c>
      <c r="D740" s="40">
        <v>2252000</v>
      </c>
      <c r="E740" s="2" t="s">
        <v>295</v>
      </c>
      <c r="F740" s="145">
        <v>3361</v>
      </c>
      <c r="H740" s="2" t="s">
        <v>1310</v>
      </c>
      <c r="I740" s="72">
        <v>45522</v>
      </c>
      <c r="K740" s="2" t="s">
        <v>1311</v>
      </c>
    </row>
    <row r="741" spans="1:11">
      <c r="A741" s="2" t="s">
        <v>1210</v>
      </c>
      <c r="B741" s="2" t="s">
        <v>43</v>
      </c>
      <c r="C741" s="2" t="s">
        <v>1309</v>
      </c>
      <c r="D741" s="40">
        <v>2255000</v>
      </c>
      <c r="E741" s="2" t="s">
        <v>295</v>
      </c>
      <c r="F741" s="145">
        <v>3364</v>
      </c>
      <c r="H741" s="2" t="s">
        <v>1310</v>
      </c>
      <c r="I741" s="72">
        <v>45525</v>
      </c>
      <c r="K741" s="2" t="s">
        <v>1311</v>
      </c>
    </row>
    <row r="742" spans="1:11">
      <c r="A742" s="2" t="s">
        <v>1211</v>
      </c>
      <c r="B742" s="2" t="s">
        <v>43</v>
      </c>
      <c r="C742" s="2" t="s">
        <v>1309</v>
      </c>
      <c r="D742" s="40">
        <v>2258000</v>
      </c>
      <c r="E742" s="2" t="s">
        <v>295</v>
      </c>
      <c r="F742" s="145">
        <v>3367</v>
      </c>
      <c r="H742" s="2" t="s">
        <v>1310</v>
      </c>
      <c r="I742" s="72">
        <v>45528</v>
      </c>
      <c r="K742" s="2" t="s">
        <v>1311</v>
      </c>
    </row>
    <row r="743" spans="1:11">
      <c r="A743" s="2" t="s">
        <v>1212</v>
      </c>
      <c r="B743" s="2" t="s">
        <v>43</v>
      </c>
      <c r="C743" s="2" t="s">
        <v>1309</v>
      </c>
      <c r="D743" s="40">
        <v>2261000</v>
      </c>
      <c r="E743" s="2" t="s">
        <v>295</v>
      </c>
      <c r="F743" s="145">
        <v>3370</v>
      </c>
      <c r="H743" s="2" t="s">
        <v>1310</v>
      </c>
      <c r="I743" s="72">
        <v>45531</v>
      </c>
      <c r="K743" s="2" t="s">
        <v>1311</v>
      </c>
    </row>
    <row r="744" spans="1:11">
      <c r="A744" s="2" t="s">
        <v>1213</v>
      </c>
      <c r="B744" s="2" t="s">
        <v>43</v>
      </c>
      <c r="C744" s="2" t="s">
        <v>1309</v>
      </c>
      <c r="D744" s="40">
        <v>2264000</v>
      </c>
      <c r="E744" s="2" t="s">
        <v>295</v>
      </c>
      <c r="F744" s="145">
        <v>3373</v>
      </c>
      <c r="H744" s="2" t="s">
        <v>1310</v>
      </c>
      <c r="I744" s="72">
        <v>45534</v>
      </c>
      <c r="K744" s="2" t="s">
        <v>1311</v>
      </c>
    </row>
    <row r="745" spans="1:11">
      <c r="A745" s="2" t="s">
        <v>1214</v>
      </c>
      <c r="B745" s="2" t="s">
        <v>43</v>
      </c>
      <c r="C745" s="2" t="s">
        <v>1309</v>
      </c>
      <c r="D745" s="40">
        <v>2267000</v>
      </c>
      <c r="E745" s="2" t="s">
        <v>295</v>
      </c>
      <c r="F745" s="145">
        <v>3376</v>
      </c>
      <c r="H745" s="2" t="s">
        <v>1310</v>
      </c>
      <c r="I745" s="72">
        <v>45537</v>
      </c>
      <c r="K745" s="2" t="s">
        <v>1311</v>
      </c>
    </row>
    <row r="746" spans="1:11">
      <c r="A746" s="2" t="s">
        <v>1215</v>
      </c>
      <c r="B746" s="2" t="s">
        <v>43</v>
      </c>
      <c r="C746" s="2" t="s">
        <v>1309</v>
      </c>
      <c r="D746" s="40">
        <v>2270000</v>
      </c>
      <c r="E746" s="2" t="s">
        <v>295</v>
      </c>
      <c r="F746" s="145">
        <v>3379</v>
      </c>
      <c r="H746" s="2" t="s">
        <v>1310</v>
      </c>
      <c r="I746" s="72">
        <v>45540</v>
      </c>
      <c r="K746" s="2" t="s">
        <v>1311</v>
      </c>
    </row>
    <row r="747" spans="1:11">
      <c r="A747" s="2" t="s">
        <v>1216</v>
      </c>
      <c r="B747" s="2" t="s">
        <v>43</v>
      </c>
      <c r="C747" s="2" t="s">
        <v>1309</v>
      </c>
      <c r="D747" s="40">
        <v>2273000</v>
      </c>
      <c r="E747" s="2" t="s">
        <v>295</v>
      </c>
      <c r="F747" s="145">
        <v>3382</v>
      </c>
      <c r="H747" s="2" t="s">
        <v>1310</v>
      </c>
      <c r="I747" s="72">
        <v>45543</v>
      </c>
      <c r="K747" s="2" t="s">
        <v>1311</v>
      </c>
    </row>
    <row r="748" spans="1:11">
      <c r="A748" s="2" t="s">
        <v>1217</v>
      </c>
      <c r="B748" s="2" t="s">
        <v>43</v>
      </c>
      <c r="C748" s="2" t="s">
        <v>1309</v>
      </c>
      <c r="D748" s="40">
        <v>2276000</v>
      </c>
      <c r="E748" s="2" t="s">
        <v>295</v>
      </c>
      <c r="F748" s="145">
        <v>3385</v>
      </c>
      <c r="H748" s="2" t="s">
        <v>1310</v>
      </c>
      <c r="I748" s="72">
        <v>45546</v>
      </c>
      <c r="K748" s="2" t="s">
        <v>1311</v>
      </c>
    </row>
    <row r="749" spans="1:11">
      <c r="A749" s="2" t="s">
        <v>1218</v>
      </c>
      <c r="B749" s="2" t="s">
        <v>43</v>
      </c>
      <c r="C749" s="2" t="s">
        <v>1309</v>
      </c>
      <c r="D749" s="40">
        <v>2279000</v>
      </c>
      <c r="E749" s="2" t="s">
        <v>295</v>
      </c>
      <c r="F749" s="145">
        <v>3388</v>
      </c>
      <c r="H749" s="2" t="s">
        <v>1310</v>
      </c>
      <c r="I749" s="72">
        <v>45549</v>
      </c>
      <c r="K749" s="2" t="s">
        <v>1311</v>
      </c>
    </row>
    <row r="750" spans="1:11">
      <c r="A750" s="2" t="s">
        <v>1219</v>
      </c>
      <c r="B750" s="2" t="s">
        <v>43</v>
      </c>
      <c r="C750" s="2" t="s">
        <v>1309</v>
      </c>
      <c r="D750" s="40">
        <v>2282000</v>
      </c>
      <c r="E750" s="2" t="s">
        <v>295</v>
      </c>
      <c r="F750" s="145">
        <v>3391</v>
      </c>
      <c r="H750" s="2" t="s">
        <v>1310</v>
      </c>
      <c r="I750" s="72">
        <v>45552</v>
      </c>
      <c r="K750" s="2" t="s">
        <v>1311</v>
      </c>
    </row>
    <row r="751" spans="1:11">
      <c r="A751" s="2" t="s">
        <v>1220</v>
      </c>
      <c r="B751" s="2" t="s">
        <v>43</v>
      </c>
      <c r="C751" s="2" t="s">
        <v>1309</v>
      </c>
      <c r="D751" s="40">
        <v>2285000</v>
      </c>
      <c r="E751" s="2" t="s">
        <v>295</v>
      </c>
      <c r="F751" s="145">
        <v>3394</v>
      </c>
      <c r="H751" s="2" t="s">
        <v>1310</v>
      </c>
      <c r="I751" s="72">
        <v>45555</v>
      </c>
      <c r="K751" s="2" t="s">
        <v>1311</v>
      </c>
    </row>
    <row r="752" spans="1:11">
      <c r="A752" s="2" t="s">
        <v>1221</v>
      </c>
      <c r="B752" s="2" t="s">
        <v>43</v>
      </c>
      <c r="C752" s="2" t="s">
        <v>1309</v>
      </c>
      <c r="D752" s="40">
        <v>2288000</v>
      </c>
      <c r="E752" s="2" t="s">
        <v>295</v>
      </c>
      <c r="F752" s="145">
        <v>3397</v>
      </c>
      <c r="H752" s="2" t="s">
        <v>1310</v>
      </c>
      <c r="I752" s="72">
        <v>45558</v>
      </c>
      <c r="K752" s="2" t="s">
        <v>1311</v>
      </c>
    </row>
    <row r="753" spans="1:11">
      <c r="A753" s="2" t="s">
        <v>1222</v>
      </c>
      <c r="B753" s="2" t="s">
        <v>43</v>
      </c>
      <c r="C753" s="2" t="s">
        <v>1309</v>
      </c>
      <c r="D753" s="40">
        <v>2291000</v>
      </c>
      <c r="E753" s="2" t="s">
        <v>295</v>
      </c>
      <c r="F753" s="145">
        <v>3400</v>
      </c>
      <c r="H753" s="2" t="s">
        <v>1310</v>
      </c>
      <c r="I753" s="72">
        <v>45561</v>
      </c>
      <c r="K753" s="2" t="s">
        <v>1311</v>
      </c>
    </row>
    <row r="754" spans="1:11">
      <c r="A754" s="2" t="s">
        <v>1223</v>
      </c>
      <c r="B754" s="2" t="s">
        <v>43</v>
      </c>
      <c r="C754" s="2" t="s">
        <v>1309</v>
      </c>
      <c r="D754" s="40">
        <v>2294000</v>
      </c>
      <c r="E754" s="2" t="s">
        <v>295</v>
      </c>
      <c r="F754" s="145">
        <v>3403</v>
      </c>
      <c r="H754" s="2" t="s">
        <v>1310</v>
      </c>
      <c r="I754" s="72">
        <v>45564</v>
      </c>
      <c r="K754" s="2" t="s">
        <v>1311</v>
      </c>
    </row>
    <row r="755" spans="1:11">
      <c r="A755" s="2" t="s">
        <v>1224</v>
      </c>
      <c r="B755" s="2" t="s">
        <v>43</v>
      </c>
      <c r="C755" s="2" t="s">
        <v>1309</v>
      </c>
      <c r="D755" s="40">
        <v>2297000</v>
      </c>
      <c r="E755" s="2" t="s">
        <v>295</v>
      </c>
      <c r="F755" s="145">
        <v>3406</v>
      </c>
      <c r="H755" s="2" t="s">
        <v>1310</v>
      </c>
      <c r="I755" s="72">
        <v>45567</v>
      </c>
      <c r="K755" s="2" t="s">
        <v>1311</v>
      </c>
    </row>
    <row r="756" spans="1:11">
      <c r="A756" s="2" t="s">
        <v>1225</v>
      </c>
      <c r="B756" s="2" t="s">
        <v>43</v>
      </c>
      <c r="C756" s="2" t="s">
        <v>1309</v>
      </c>
      <c r="D756" s="40">
        <v>2300000</v>
      </c>
      <c r="E756" s="2" t="s">
        <v>295</v>
      </c>
      <c r="F756" s="145">
        <v>3409</v>
      </c>
      <c r="H756" s="2" t="s">
        <v>1310</v>
      </c>
      <c r="I756" s="72">
        <v>45570</v>
      </c>
      <c r="K756" s="2" t="s">
        <v>1311</v>
      </c>
    </row>
    <row r="757" spans="1:11">
      <c r="A757" s="2" t="s">
        <v>1226</v>
      </c>
      <c r="B757" s="2" t="s">
        <v>43</v>
      </c>
      <c r="C757" s="2" t="s">
        <v>1309</v>
      </c>
      <c r="D757" s="40">
        <v>2303000</v>
      </c>
      <c r="E757" s="2" t="s">
        <v>295</v>
      </c>
      <c r="F757" s="145">
        <v>3412</v>
      </c>
      <c r="H757" s="2" t="s">
        <v>1310</v>
      </c>
      <c r="I757" s="72">
        <v>45573</v>
      </c>
      <c r="K757" s="2" t="s">
        <v>1311</v>
      </c>
    </row>
    <row r="758" spans="1:11">
      <c r="A758" s="2" t="s">
        <v>1227</v>
      </c>
      <c r="B758" s="2" t="s">
        <v>43</v>
      </c>
      <c r="C758" s="2" t="s">
        <v>1309</v>
      </c>
      <c r="D758" s="40">
        <v>2306000</v>
      </c>
      <c r="E758" s="2" t="s">
        <v>295</v>
      </c>
      <c r="F758" s="145">
        <v>3415</v>
      </c>
      <c r="H758" s="2" t="s">
        <v>1310</v>
      </c>
      <c r="I758" s="72">
        <v>45576</v>
      </c>
      <c r="K758" s="2" t="s">
        <v>1311</v>
      </c>
    </row>
    <row r="759" spans="1:11">
      <c r="A759" s="2" t="s">
        <v>1228</v>
      </c>
      <c r="B759" s="2" t="s">
        <v>43</v>
      </c>
      <c r="C759" s="2" t="s">
        <v>1309</v>
      </c>
      <c r="D759" s="40">
        <v>2309000</v>
      </c>
      <c r="E759" s="2" t="s">
        <v>295</v>
      </c>
      <c r="F759" s="145">
        <v>3418</v>
      </c>
      <c r="H759" s="2" t="s">
        <v>1310</v>
      </c>
      <c r="I759" s="72">
        <v>45579</v>
      </c>
      <c r="K759" s="2" t="s">
        <v>1311</v>
      </c>
    </row>
    <row r="760" spans="1:11">
      <c r="A760" s="2" t="s">
        <v>1229</v>
      </c>
      <c r="B760" s="2" t="s">
        <v>43</v>
      </c>
      <c r="C760" s="2" t="s">
        <v>1309</v>
      </c>
      <c r="D760" s="40">
        <v>2312000</v>
      </c>
      <c r="E760" s="2" t="s">
        <v>295</v>
      </c>
      <c r="F760" s="145">
        <v>3421</v>
      </c>
      <c r="H760" s="2" t="s">
        <v>1310</v>
      </c>
      <c r="I760" s="72">
        <v>45582</v>
      </c>
      <c r="K760" s="2" t="s">
        <v>1311</v>
      </c>
    </row>
    <row r="761" spans="1:11">
      <c r="A761" s="2" t="s">
        <v>1230</v>
      </c>
      <c r="B761" s="2" t="s">
        <v>43</v>
      </c>
      <c r="C761" s="2" t="s">
        <v>1309</v>
      </c>
      <c r="D761" s="40">
        <v>2315000</v>
      </c>
      <c r="E761" s="2" t="s">
        <v>295</v>
      </c>
      <c r="F761" s="145">
        <v>3424</v>
      </c>
      <c r="H761" s="2" t="s">
        <v>1310</v>
      </c>
      <c r="I761" s="72">
        <v>45585</v>
      </c>
      <c r="K761" s="2" t="s">
        <v>1311</v>
      </c>
    </row>
    <row r="762" spans="1:11">
      <c r="A762" s="2" t="s">
        <v>1231</v>
      </c>
      <c r="B762" s="2" t="s">
        <v>43</v>
      </c>
      <c r="C762" s="2" t="s">
        <v>1309</v>
      </c>
      <c r="D762" s="40">
        <v>2318000</v>
      </c>
      <c r="E762" s="2" t="s">
        <v>295</v>
      </c>
      <c r="F762" s="145">
        <v>3427</v>
      </c>
      <c r="H762" s="2" t="s">
        <v>1310</v>
      </c>
      <c r="I762" s="72">
        <v>45588</v>
      </c>
      <c r="K762" s="2" t="s">
        <v>1311</v>
      </c>
    </row>
    <row r="763" spans="1:11">
      <c r="A763" s="2" t="s">
        <v>1232</v>
      </c>
      <c r="B763" s="2" t="s">
        <v>43</v>
      </c>
      <c r="C763" s="2" t="s">
        <v>1309</v>
      </c>
      <c r="D763" s="40">
        <v>2321000</v>
      </c>
      <c r="E763" s="2" t="s">
        <v>295</v>
      </c>
      <c r="F763" s="145">
        <v>3430</v>
      </c>
      <c r="H763" s="2" t="s">
        <v>1310</v>
      </c>
      <c r="I763" s="72">
        <v>45591</v>
      </c>
      <c r="K763" s="2" t="s">
        <v>1311</v>
      </c>
    </row>
    <row r="764" spans="1:11">
      <c r="A764" s="2" t="s">
        <v>1233</v>
      </c>
      <c r="B764" s="2" t="s">
        <v>43</v>
      </c>
      <c r="C764" s="2" t="s">
        <v>1309</v>
      </c>
      <c r="D764" s="40">
        <v>2324000</v>
      </c>
      <c r="E764" s="2" t="s">
        <v>295</v>
      </c>
      <c r="F764" s="145">
        <v>3433</v>
      </c>
      <c r="H764" s="2" t="s">
        <v>1310</v>
      </c>
      <c r="I764" s="72">
        <v>45594</v>
      </c>
      <c r="K764" s="2" t="s">
        <v>1311</v>
      </c>
    </row>
    <row r="765" spans="1:11">
      <c r="A765" s="2" t="s">
        <v>1234</v>
      </c>
      <c r="B765" s="2" t="s">
        <v>43</v>
      </c>
      <c r="C765" s="2" t="s">
        <v>1309</v>
      </c>
      <c r="D765" s="40">
        <v>2327000</v>
      </c>
      <c r="E765" s="2" t="s">
        <v>295</v>
      </c>
      <c r="F765" s="145">
        <v>3436</v>
      </c>
      <c r="H765" s="2" t="s">
        <v>1310</v>
      </c>
      <c r="I765" s="72">
        <v>45597</v>
      </c>
      <c r="K765" s="2" t="s">
        <v>1311</v>
      </c>
    </row>
    <row r="766" spans="1:11">
      <c r="A766" s="2" t="s">
        <v>1235</v>
      </c>
      <c r="B766" s="2" t="s">
        <v>43</v>
      </c>
      <c r="C766" s="2" t="s">
        <v>1309</v>
      </c>
      <c r="D766" s="40">
        <v>2330000</v>
      </c>
      <c r="E766" s="2" t="s">
        <v>295</v>
      </c>
      <c r="F766" s="145">
        <v>3439</v>
      </c>
      <c r="H766" s="2" t="s">
        <v>1310</v>
      </c>
      <c r="I766" s="72">
        <v>45600</v>
      </c>
      <c r="K766" s="2" t="s">
        <v>1311</v>
      </c>
    </row>
    <row r="767" spans="1:11">
      <c r="A767" s="2" t="s">
        <v>1236</v>
      </c>
      <c r="B767" s="2" t="s">
        <v>43</v>
      </c>
      <c r="C767" s="2" t="s">
        <v>1309</v>
      </c>
      <c r="D767" s="40">
        <v>2333000</v>
      </c>
      <c r="E767" s="2" t="s">
        <v>295</v>
      </c>
      <c r="F767" s="145">
        <v>3442</v>
      </c>
      <c r="H767" s="2" t="s">
        <v>1310</v>
      </c>
      <c r="I767" s="72">
        <v>45603</v>
      </c>
      <c r="K767" s="2" t="s">
        <v>1311</v>
      </c>
    </row>
    <row r="768" spans="1:11">
      <c r="A768" s="2" t="s">
        <v>1237</v>
      </c>
      <c r="B768" s="2" t="s">
        <v>43</v>
      </c>
      <c r="C768" s="2" t="s">
        <v>1309</v>
      </c>
      <c r="D768" s="40">
        <v>2336000</v>
      </c>
      <c r="E768" s="2" t="s">
        <v>295</v>
      </c>
      <c r="F768" s="145">
        <v>3445</v>
      </c>
      <c r="H768" s="2" t="s">
        <v>1310</v>
      </c>
      <c r="I768" s="72">
        <v>45606</v>
      </c>
      <c r="K768" s="2" t="s">
        <v>1311</v>
      </c>
    </row>
    <row r="769" spans="1:11">
      <c r="A769" s="2" t="s">
        <v>1238</v>
      </c>
      <c r="B769" s="2" t="s">
        <v>43</v>
      </c>
      <c r="C769" s="2" t="s">
        <v>1309</v>
      </c>
      <c r="D769" s="40">
        <v>2339000</v>
      </c>
      <c r="E769" s="2" t="s">
        <v>295</v>
      </c>
      <c r="F769" s="145">
        <v>3448</v>
      </c>
      <c r="H769" s="2" t="s">
        <v>1310</v>
      </c>
      <c r="I769" s="72">
        <v>45609</v>
      </c>
      <c r="K769" s="2" t="s">
        <v>1311</v>
      </c>
    </row>
    <row r="770" spans="1:11">
      <c r="A770" s="2" t="s">
        <v>1239</v>
      </c>
      <c r="B770" s="2" t="s">
        <v>43</v>
      </c>
      <c r="C770" s="2" t="s">
        <v>1309</v>
      </c>
      <c r="D770" s="40">
        <v>2342000</v>
      </c>
      <c r="E770" s="2" t="s">
        <v>295</v>
      </c>
      <c r="F770" s="145">
        <v>3451</v>
      </c>
      <c r="H770" s="2" t="s">
        <v>1310</v>
      </c>
      <c r="I770" s="72">
        <v>45612</v>
      </c>
      <c r="K770" s="2" t="s">
        <v>1311</v>
      </c>
    </row>
    <row r="771" spans="1:11">
      <c r="A771" s="2" t="s">
        <v>1240</v>
      </c>
      <c r="B771" s="2" t="s">
        <v>43</v>
      </c>
      <c r="C771" s="2" t="s">
        <v>1309</v>
      </c>
      <c r="D771" s="40">
        <v>2345000</v>
      </c>
      <c r="E771" s="2" t="s">
        <v>295</v>
      </c>
      <c r="F771" s="145">
        <v>3454</v>
      </c>
      <c r="H771" s="2" t="s">
        <v>1310</v>
      </c>
      <c r="I771" s="72">
        <v>45615</v>
      </c>
      <c r="K771" s="2" t="s">
        <v>1311</v>
      </c>
    </row>
    <row r="772" spans="1:11">
      <c r="A772" s="2" t="s">
        <v>1241</v>
      </c>
      <c r="B772" s="2" t="s">
        <v>43</v>
      </c>
      <c r="C772" s="2" t="s">
        <v>1309</v>
      </c>
      <c r="D772" s="40">
        <v>2348000</v>
      </c>
      <c r="E772" s="2" t="s">
        <v>295</v>
      </c>
      <c r="F772" s="145">
        <v>3457</v>
      </c>
      <c r="H772" s="2" t="s">
        <v>1310</v>
      </c>
      <c r="I772" s="72">
        <v>45618</v>
      </c>
      <c r="K772" s="2" t="s">
        <v>1311</v>
      </c>
    </row>
    <row r="773" spans="1:11">
      <c r="A773" s="2" t="s">
        <v>1242</v>
      </c>
      <c r="B773" s="2" t="s">
        <v>43</v>
      </c>
      <c r="C773" s="2" t="s">
        <v>1309</v>
      </c>
      <c r="D773" s="40">
        <v>2351000</v>
      </c>
      <c r="E773" s="2" t="s">
        <v>295</v>
      </c>
      <c r="F773" s="145">
        <v>3460</v>
      </c>
      <c r="H773" s="2" t="s">
        <v>1310</v>
      </c>
      <c r="I773" s="72">
        <v>45621</v>
      </c>
      <c r="K773" s="2" t="s">
        <v>1311</v>
      </c>
    </row>
    <row r="774" spans="1:11">
      <c r="A774" s="2" t="s">
        <v>1243</v>
      </c>
      <c r="B774" s="2" t="s">
        <v>43</v>
      </c>
      <c r="C774" s="2" t="s">
        <v>1309</v>
      </c>
      <c r="D774" s="40">
        <v>2354000</v>
      </c>
      <c r="E774" s="2" t="s">
        <v>295</v>
      </c>
      <c r="F774" s="145">
        <v>3463</v>
      </c>
      <c r="H774" s="2" t="s">
        <v>1310</v>
      </c>
      <c r="I774" s="72">
        <v>45624</v>
      </c>
      <c r="K774" s="2" t="s">
        <v>1311</v>
      </c>
    </row>
    <row r="775" spans="1:11">
      <c r="A775" s="2" t="s">
        <v>1244</v>
      </c>
      <c r="B775" s="2" t="s">
        <v>43</v>
      </c>
      <c r="C775" s="2" t="s">
        <v>1309</v>
      </c>
      <c r="D775" s="40">
        <v>2357000</v>
      </c>
      <c r="E775" s="2" t="s">
        <v>295</v>
      </c>
      <c r="F775" s="145">
        <v>3466</v>
      </c>
      <c r="H775" s="2" t="s">
        <v>1310</v>
      </c>
      <c r="I775" s="72">
        <v>45627</v>
      </c>
      <c r="K775" s="2" t="s">
        <v>1311</v>
      </c>
    </row>
    <row r="776" spans="1:11">
      <c r="A776" s="2" t="s">
        <v>374</v>
      </c>
      <c r="B776" s="2" t="s">
        <v>43</v>
      </c>
      <c r="C776" s="2" t="s">
        <v>1309</v>
      </c>
      <c r="D776" s="40">
        <v>2360000</v>
      </c>
      <c r="E776" s="2" t="s">
        <v>295</v>
      </c>
      <c r="F776" s="145">
        <v>3469</v>
      </c>
      <c r="H776" s="2" t="s">
        <v>1310</v>
      </c>
      <c r="I776" s="72">
        <v>45630</v>
      </c>
      <c r="K776" s="2" t="s">
        <v>1311</v>
      </c>
    </row>
    <row r="777" spans="1:11">
      <c r="A777" s="2" t="s">
        <v>1245</v>
      </c>
      <c r="B777" s="2" t="s">
        <v>43</v>
      </c>
      <c r="C777" s="2" t="s">
        <v>1309</v>
      </c>
      <c r="D777" s="40">
        <v>2363000</v>
      </c>
      <c r="E777" s="2" t="s">
        <v>295</v>
      </c>
      <c r="F777" s="145">
        <v>3472</v>
      </c>
      <c r="H777" s="2" t="s">
        <v>1310</v>
      </c>
      <c r="I777" s="72">
        <v>45633</v>
      </c>
      <c r="K777" s="2" t="s">
        <v>1311</v>
      </c>
    </row>
    <row r="778" spans="1:11">
      <c r="A778" s="2" t="s">
        <v>1246</v>
      </c>
      <c r="B778" s="2" t="s">
        <v>43</v>
      </c>
      <c r="C778" s="2" t="s">
        <v>1309</v>
      </c>
      <c r="D778" s="40">
        <v>2366000</v>
      </c>
      <c r="E778" s="2" t="s">
        <v>295</v>
      </c>
      <c r="F778" s="145">
        <v>3475</v>
      </c>
      <c r="H778" s="2" t="s">
        <v>1310</v>
      </c>
      <c r="I778" s="72">
        <v>45636</v>
      </c>
      <c r="K778" s="2" t="s">
        <v>1311</v>
      </c>
    </row>
    <row r="779" spans="1:11">
      <c r="A779" s="2" t="s">
        <v>379</v>
      </c>
      <c r="B779" s="2" t="s">
        <v>43</v>
      </c>
      <c r="C779" s="2" t="s">
        <v>1309</v>
      </c>
      <c r="D779" s="40">
        <v>2369000</v>
      </c>
      <c r="E779" s="2" t="s">
        <v>295</v>
      </c>
      <c r="F779" s="145">
        <v>3478</v>
      </c>
      <c r="H779" s="2" t="s">
        <v>1310</v>
      </c>
      <c r="I779" s="72">
        <v>45639</v>
      </c>
      <c r="K779" s="2" t="s">
        <v>1311</v>
      </c>
    </row>
    <row r="780" spans="1:11">
      <c r="A780" s="2" t="s">
        <v>1247</v>
      </c>
      <c r="B780" s="2" t="s">
        <v>43</v>
      </c>
      <c r="C780" s="2" t="s">
        <v>1309</v>
      </c>
      <c r="D780" s="40">
        <v>2372000</v>
      </c>
      <c r="E780" s="2" t="s">
        <v>295</v>
      </c>
      <c r="F780" s="145">
        <v>3481</v>
      </c>
      <c r="H780" s="2" t="s">
        <v>1310</v>
      </c>
      <c r="I780" s="72">
        <v>45642</v>
      </c>
      <c r="K780" s="2" t="s">
        <v>1311</v>
      </c>
    </row>
    <row r="781" spans="1:11">
      <c r="A781" s="2" t="s">
        <v>1248</v>
      </c>
      <c r="B781" s="2" t="s">
        <v>43</v>
      </c>
      <c r="C781" s="2" t="s">
        <v>1309</v>
      </c>
      <c r="D781" s="40">
        <v>2375000</v>
      </c>
      <c r="E781" s="2" t="s">
        <v>295</v>
      </c>
      <c r="F781" s="145">
        <v>3484</v>
      </c>
      <c r="H781" s="2" t="s">
        <v>1310</v>
      </c>
      <c r="I781" s="72">
        <v>45645</v>
      </c>
      <c r="K781" s="2" t="s">
        <v>1311</v>
      </c>
    </row>
    <row r="782" spans="1:11">
      <c r="A782" s="2" t="s">
        <v>1249</v>
      </c>
      <c r="B782" s="2" t="s">
        <v>43</v>
      </c>
      <c r="C782" s="2" t="s">
        <v>1309</v>
      </c>
      <c r="D782" s="40">
        <v>2378000</v>
      </c>
      <c r="E782" s="2" t="s">
        <v>295</v>
      </c>
      <c r="F782" s="145">
        <v>3487</v>
      </c>
      <c r="H782" s="2" t="s">
        <v>1310</v>
      </c>
      <c r="I782" s="72">
        <v>45648</v>
      </c>
      <c r="K782" s="2" t="s">
        <v>1311</v>
      </c>
    </row>
    <row r="783" spans="1:11">
      <c r="A783" s="2" t="s">
        <v>1250</v>
      </c>
      <c r="B783" s="2" t="s">
        <v>43</v>
      </c>
      <c r="C783" s="2" t="s">
        <v>1309</v>
      </c>
      <c r="D783" s="40">
        <v>2381000</v>
      </c>
      <c r="E783" s="2" t="s">
        <v>295</v>
      </c>
      <c r="F783" s="145">
        <v>3490</v>
      </c>
      <c r="H783" s="2" t="s">
        <v>1310</v>
      </c>
      <c r="I783" s="72">
        <v>45651</v>
      </c>
      <c r="K783" s="2" t="s">
        <v>1311</v>
      </c>
    </row>
    <row r="784" spans="1:11">
      <c r="A784" s="2" t="s">
        <v>1251</v>
      </c>
      <c r="B784" s="2" t="s">
        <v>43</v>
      </c>
      <c r="C784" s="2" t="s">
        <v>1309</v>
      </c>
      <c r="D784" s="40">
        <v>2384000</v>
      </c>
      <c r="E784" s="2" t="s">
        <v>295</v>
      </c>
      <c r="F784" s="145">
        <v>3493</v>
      </c>
      <c r="H784" s="2" t="s">
        <v>1310</v>
      </c>
      <c r="I784" s="72">
        <v>45654</v>
      </c>
      <c r="K784" s="2" t="s">
        <v>1311</v>
      </c>
    </row>
    <row r="785" spans="1:11">
      <c r="A785" s="2" t="s">
        <v>1252</v>
      </c>
      <c r="B785" s="2" t="s">
        <v>43</v>
      </c>
      <c r="C785" s="2" t="s">
        <v>1309</v>
      </c>
      <c r="D785" s="40">
        <v>2387000</v>
      </c>
      <c r="E785" s="2" t="s">
        <v>295</v>
      </c>
      <c r="F785" s="145">
        <v>3496</v>
      </c>
      <c r="H785" s="2" t="s">
        <v>1310</v>
      </c>
      <c r="I785" s="72">
        <v>45657</v>
      </c>
      <c r="K785" s="2" t="s">
        <v>1311</v>
      </c>
    </row>
    <row r="786" spans="1:11">
      <c r="A786" s="2" t="s">
        <v>1253</v>
      </c>
      <c r="B786" s="2" t="s">
        <v>43</v>
      </c>
      <c r="C786" s="2" t="s">
        <v>1309</v>
      </c>
      <c r="D786" s="40">
        <v>2390000</v>
      </c>
      <c r="E786" s="2" t="s">
        <v>295</v>
      </c>
      <c r="F786" s="145">
        <v>3499</v>
      </c>
      <c r="H786" s="2" t="s">
        <v>1310</v>
      </c>
      <c r="I786" s="72">
        <v>45660</v>
      </c>
      <c r="K786" s="2" t="s">
        <v>1311</v>
      </c>
    </row>
    <row r="787" spans="1:11">
      <c r="A787" s="2" t="s">
        <v>1254</v>
      </c>
      <c r="B787" s="2" t="s">
        <v>43</v>
      </c>
      <c r="C787" s="2" t="s">
        <v>1309</v>
      </c>
      <c r="D787" s="40">
        <v>2393000</v>
      </c>
      <c r="E787" s="2" t="s">
        <v>295</v>
      </c>
      <c r="F787" s="145">
        <v>3502</v>
      </c>
      <c r="H787" s="2" t="s">
        <v>1310</v>
      </c>
      <c r="I787" s="72">
        <v>45663</v>
      </c>
      <c r="K787" s="2" t="s">
        <v>1311</v>
      </c>
    </row>
    <row r="788" spans="1:11">
      <c r="A788" s="2" t="s">
        <v>1255</v>
      </c>
      <c r="B788" s="2" t="s">
        <v>43</v>
      </c>
      <c r="C788" s="2" t="s">
        <v>1309</v>
      </c>
      <c r="D788" s="40">
        <v>2396000</v>
      </c>
      <c r="E788" s="2" t="s">
        <v>295</v>
      </c>
      <c r="F788" s="145">
        <v>3505</v>
      </c>
      <c r="H788" s="2" t="s">
        <v>1310</v>
      </c>
      <c r="I788" s="72">
        <v>45666</v>
      </c>
      <c r="K788" s="2" t="s">
        <v>1311</v>
      </c>
    </row>
    <row r="789" spans="1:11">
      <c r="A789" s="2" t="s">
        <v>1256</v>
      </c>
      <c r="B789" s="2" t="s">
        <v>43</v>
      </c>
      <c r="C789" s="2" t="s">
        <v>1309</v>
      </c>
      <c r="D789" s="40">
        <v>2399000</v>
      </c>
      <c r="E789" s="2" t="s">
        <v>295</v>
      </c>
      <c r="F789" s="145">
        <v>3508</v>
      </c>
      <c r="H789" s="2" t="s">
        <v>1310</v>
      </c>
      <c r="I789" s="72">
        <v>45669</v>
      </c>
      <c r="K789" s="2" t="s">
        <v>1311</v>
      </c>
    </row>
    <row r="790" spans="1:11">
      <c r="A790" s="2" t="s">
        <v>1257</v>
      </c>
      <c r="B790" s="2" t="s">
        <v>43</v>
      </c>
      <c r="C790" s="2" t="s">
        <v>1309</v>
      </c>
      <c r="D790" s="40">
        <v>2402000</v>
      </c>
      <c r="E790" s="2" t="s">
        <v>295</v>
      </c>
      <c r="F790" s="145">
        <v>3511</v>
      </c>
      <c r="H790" s="2" t="s">
        <v>1310</v>
      </c>
      <c r="I790" s="72">
        <v>45672</v>
      </c>
      <c r="K790" s="2" t="s">
        <v>1311</v>
      </c>
    </row>
    <row r="791" spans="1:11">
      <c r="A791" s="2" t="s">
        <v>1258</v>
      </c>
      <c r="B791" s="2" t="s">
        <v>43</v>
      </c>
      <c r="C791" s="2" t="s">
        <v>1309</v>
      </c>
      <c r="D791" s="40">
        <v>2405000</v>
      </c>
      <c r="E791" s="2" t="s">
        <v>295</v>
      </c>
      <c r="F791" s="145">
        <v>3514</v>
      </c>
      <c r="H791" s="2" t="s">
        <v>1310</v>
      </c>
      <c r="I791" s="72">
        <v>45675</v>
      </c>
      <c r="K791" s="2" t="s">
        <v>1311</v>
      </c>
    </row>
    <row r="792" spans="1:11">
      <c r="A792" s="2" t="s">
        <v>1259</v>
      </c>
      <c r="B792" s="2" t="s">
        <v>43</v>
      </c>
      <c r="C792" s="2" t="s">
        <v>1309</v>
      </c>
      <c r="D792" s="40">
        <v>2408000</v>
      </c>
      <c r="E792" s="2" t="s">
        <v>295</v>
      </c>
      <c r="F792" s="145">
        <v>3517</v>
      </c>
      <c r="H792" s="2" t="s">
        <v>1310</v>
      </c>
      <c r="I792" s="72">
        <v>45678</v>
      </c>
      <c r="K792" s="2" t="s">
        <v>1311</v>
      </c>
    </row>
    <row r="793" spans="1:11">
      <c r="A793" s="2" t="s">
        <v>1260</v>
      </c>
      <c r="B793" s="2" t="s">
        <v>43</v>
      </c>
      <c r="C793" s="2" t="s">
        <v>1309</v>
      </c>
      <c r="D793" s="40">
        <v>2411000</v>
      </c>
      <c r="E793" s="2" t="s">
        <v>295</v>
      </c>
      <c r="F793" s="145">
        <v>3520</v>
      </c>
      <c r="H793" s="2" t="s">
        <v>1310</v>
      </c>
      <c r="I793" s="72">
        <v>45681</v>
      </c>
      <c r="K793" s="2" t="s">
        <v>1311</v>
      </c>
    </row>
    <row r="794" spans="1:11">
      <c r="A794" s="2" t="s">
        <v>1261</v>
      </c>
      <c r="B794" s="2" t="s">
        <v>43</v>
      </c>
      <c r="C794" s="2" t="s">
        <v>1309</v>
      </c>
      <c r="D794" s="40">
        <v>2414000</v>
      </c>
      <c r="E794" s="2" t="s">
        <v>295</v>
      </c>
      <c r="F794" s="145">
        <v>3523</v>
      </c>
      <c r="H794" s="2" t="s">
        <v>1310</v>
      </c>
      <c r="I794" s="72">
        <v>45684</v>
      </c>
      <c r="K794" s="2" t="s">
        <v>1311</v>
      </c>
    </row>
    <row r="795" spans="1:11">
      <c r="A795" s="2" t="s">
        <v>1262</v>
      </c>
      <c r="B795" s="2" t="s">
        <v>43</v>
      </c>
      <c r="C795" s="2" t="s">
        <v>1309</v>
      </c>
      <c r="D795" s="40">
        <v>2417000</v>
      </c>
      <c r="E795" s="2" t="s">
        <v>295</v>
      </c>
      <c r="F795" s="145">
        <v>3526</v>
      </c>
      <c r="H795" s="2" t="s">
        <v>1310</v>
      </c>
      <c r="I795" s="72">
        <v>45687</v>
      </c>
      <c r="K795" s="2" t="s">
        <v>1311</v>
      </c>
    </row>
    <row r="796" spans="1:11">
      <c r="A796" s="2" t="s">
        <v>1263</v>
      </c>
      <c r="B796" s="2" t="s">
        <v>43</v>
      </c>
      <c r="C796" s="2" t="s">
        <v>1309</v>
      </c>
      <c r="D796" s="40">
        <v>2420000</v>
      </c>
      <c r="E796" s="2" t="s">
        <v>295</v>
      </c>
      <c r="F796" s="145">
        <v>3529</v>
      </c>
      <c r="H796" s="2" t="s">
        <v>1310</v>
      </c>
      <c r="I796" s="72">
        <v>45690</v>
      </c>
      <c r="K796" s="2" t="s">
        <v>1311</v>
      </c>
    </row>
    <row r="797" spans="1:11">
      <c r="A797" s="2" t="s">
        <v>1264</v>
      </c>
      <c r="B797" s="2" t="s">
        <v>43</v>
      </c>
      <c r="C797" s="2" t="s">
        <v>1309</v>
      </c>
      <c r="D797" s="40">
        <v>2423000</v>
      </c>
      <c r="E797" s="2" t="s">
        <v>295</v>
      </c>
      <c r="F797" s="145">
        <v>3532</v>
      </c>
      <c r="H797" s="2" t="s">
        <v>1310</v>
      </c>
      <c r="I797" s="72">
        <v>45693</v>
      </c>
      <c r="K797" s="2" t="s">
        <v>1311</v>
      </c>
    </row>
    <row r="798" spans="1:11">
      <c r="A798" s="2" t="s">
        <v>381</v>
      </c>
      <c r="B798" s="2" t="s">
        <v>43</v>
      </c>
      <c r="C798" s="2" t="s">
        <v>1309</v>
      </c>
      <c r="D798" s="40">
        <v>2426000</v>
      </c>
      <c r="E798" s="2" t="s">
        <v>295</v>
      </c>
      <c r="F798" s="145">
        <v>3535</v>
      </c>
      <c r="H798" s="2" t="s">
        <v>1310</v>
      </c>
      <c r="I798" s="72">
        <v>45696</v>
      </c>
      <c r="K798" s="2" t="s">
        <v>1311</v>
      </c>
    </row>
    <row r="799" spans="1:11">
      <c r="A799" s="2" t="s">
        <v>1265</v>
      </c>
      <c r="B799" s="2" t="s">
        <v>43</v>
      </c>
      <c r="C799" s="2" t="s">
        <v>1309</v>
      </c>
      <c r="D799" s="40">
        <v>2429000</v>
      </c>
      <c r="E799" s="2" t="s">
        <v>295</v>
      </c>
      <c r="F799" s="145">
        <v>3538</v>
      </c>
      <c r="H799" s="2" t="s">
        <v>1310</v>
      </c>
      <c r="I799" s="72">
        <v>45699</v>
      </c>
      <c r="K799" s="2" t="s">
        <v>1311</v>
      </c>
    </row>
    <row r="800" spans="1:11">
      <c r="A800" s="2" t="s">
        <v>1266</v>
      </c>
      <c r="B800" s="2" t="s">
        <v>43</v>
      </c>
      <c r="C800" s="2" t="s">
        <v>1309</v>
      </c>
      <c r="D800" s="40">
        <v>2432000</v>
      </c>
      <c r="E800" s="2" t="s">
        <v>295</v>
      </c>
      <c r="F800" s="145">
        <v>3541</v>
      </c>
      <c r="H800" s="2" t="s">
        <v>1310</v>
      </c>
      <c r="I800" s="72">
        <v>45702</v>
      </c>
      <c r="K800" s="2" t="s">
        <v>1311</v>
      </c>
    </row>
    <row r="801" spans="1:11">
      <c r="A801" s="2" t="s">
        <v>1267</v>
      </c>
      <c r="B801" s="2" t="s">
        <v>43</v>
      </c>
      <c r="C801" s="2" t="s">
        <v>1309</v>
      </c>
      <c r="D801" s="40">
        <v>2435000</v>
      </c>
      <c r="E801" s="2" t="s">
        <v>295</v>
      </c>
      <c r="F801" s="145">
        <v>3544</v>
      </c>
      <c r="H801" s="2" t="s">
        <v>1310</v>
      </c>
      <c r="I801" s="72">
        <v>45705</v>
      </c>
      <c r="K801" s="2" t="s">
        <v>1311</v>
      </c>
    </row>
    <row r="802" spans="1:11">
      <c r="A802" s="2" t="s">
        <v>1268</v>
      </c>
      <c r="B802" s="2" t="s">
        <v>43</v>
      </c>
      <c r="C802" s="2" t="s">
        <v>1309</v>
      </c>
      <c r="D802" s="40">
        <v>2438000</v>
      </c>
      <c r="E802" s="2" t="s">
        <v>295</v>
      </c>
      <c r="F802" s="145">
        <v>3547</v>
      </c>
      <c r="H802" s="2" t="s">
        <v>1310</v>
      </c>
      <c r="I802" s="72">
        <v>45708</v>
      </c>
      <c r="K802" s="2" t="s">
        <v>1311</v>
      </c>
    </row>
    <row r="803" spans="1:11">
      <c r="A803" s="2" t="s">
        <v>1269</v>
      </c>
      <c r="B803" s="2" t="s">
        <v>43</v>
      </c>
      <c r="C803" s="2" t="s">
        <v>1309</v>
      </c>
      <c r="D803" s="40">
        <v>2441000</v>
      </c>
      <c r="E803" s="2" t="s">
        <v>295</v>
      </c>
      <c r="F803" s="145">
        <v>3550</v>
      </c>
      <c r="H803" s="2" t="s">
        <v>1310</v>
      </c>
      <c r="I803" s="72">
        <v>45711</v>
      </c>
      <c r="K803" s="2" t="s">
        <v>1311</v>
      </c>
    </row>
    <row r="804" spans="1:11">
      <c r="A804" s="2" t="s">
        <v>389</v>
      </c>
      <c r="B804" s="2" t="s">
        <v>43</v>
      </c>
      <c r="C804" s="2" t="s">
        <v>1309</v>
      </c>
      <c r="D804" s="40">
        <v>2444000</v>
      </c>
      <c r="E804" s="2" t="s">
        <v>295</v>
      </c>
      <c r="F804" s="145">
        <v>3553</v>
      </c>
      <c r="H804" s="2" t="s">
        <v>1310</v>
      </c>
      <c r="I804" s="72">
        <v>45714</v>
      </c>
      <c r="K804" s="2" t="s">
        <v>1311</v>
      </c>
    </row>
    <row r="805" spans="1:11">
      <c r="A805" s="2" t="s">
        <v>385</v>
      </c>
      <c r="B805" s="2" t="s">
        <v>43</v>
      </c>
      <c r="C805" s="2" t="s">
        <v>1309</v>
      </c>
      <c r="D805" s="40">
        <v>2447000</v>
      </c>
      <c r="E805" s="2" t="s">
        <v>295</v>
      </c>
      <c r="F805" s="145">
        <v>3556</v>
      </c>
      <c r="H805" s="2" t="s">
        <v>1310</v>
      </c>
      <c r="I805" s="72">
        <v>45717</v>
      </c>
      <c r="K805" s="2" t="s">
        <v>1311</v>
      </c>
    </row>
    <row r="806" spans="1:11">
      <c r="A806" s="2" t="s">
        <v>1270</v>
      </c>
      <c r="B806" s="2" t="s">
        <v>43</v>
      </c>
      <c r="C806" s="2" t="s">
        <v>1309</v>
      </c>
      <c r="D806" s="40">
        <v>2450000</v>
      </c>
      <c r="E806" s="2" t="s">
        <v>295</v>
      </c>
      <c r="F806" s="145">
        <v>3559</v>
      </c>
      <c r="H806" s="2" t="s">
        <v>1310</v>
      </c>
      <c r="I806" s="72">
        <v>45720</v>
      </c>
      <c r="K806" s="2" t="s">
        <v>1311</v>
      </c>
    </row>
    <row r="807" spans="1:11">
      <c r="A807" s="2" t="s">
        <v>1271</v>
      </c>
      <c r="B807" s="2" t="s">
        <v>43</v>
      </c>
      <c r="C807" s="2" t="s">
        <v>1309</v>
      </c>
      <c r="D807" s="40">
        <v>2453000</v>
      </c>
      <c r="E807" s="2" t="s">
        <v>295</v>
      </c>
      <c r="F807" s="145">
        <v>3562</v>
      </c>
      <c r="H807" s="2" t="s">
        <v>1310</v>
      </c>
      <c r="I807" s="72">
        <v>45723</v>
      </c>
      <c r="K807" s="2" t="s">
        <v>1311</v>
      </c>
    </row>
    <row r="808" spans="1:11">
      <c r="A808" s="2" t="s">
        <v>382</v>
      </c>
      <c r="B808" s="2" t="s">
        <v>43</v>
      </c>
      <c r="C808" s="2" t="s">
        <v>1309</v>
      </c>
      <c r="D808" s="40">
        <v>2456000</v>
      </c>
      <c r="E808" s="2" t="s">
        <v>295</v>
      </c>
      <c r="F808" s="145">
        <v>3565</v>
      </c>
      <c r="H808" s="2" t="s">
        <v>1310</v>
      </c>
      <c r="I808" s="72">
        <v>45726</v>
      </c>
      <c r="K808" s="2" t="s">
        <v>1311</v>
      </c>
    </row>
    <row r="809" spans="1:11">
      <c r="A809" s="2" t="s">
        <v>1272</v>
      </c>
      <c r="B809" s="2" t="s">
        <v>43</v>
      </c>
      <c r="C809" s="2" t="s">
        <v>1309</v>
      </c>
      <c r="D809" s="40">
        <v>2459000</v>
      </c>
      <c r="E809" s="2" t="s">
        <v>295</v>
      </c>
      <c r="F809" s="145">
        <v>3568</v>
      </c>
      <c r="H809" s="2" t="s">
        <v>1310</v>
      </c>
      <c r="I809" s="72">
        <v>45729</v>
      </c>
      <c r="K809" s="2" t="s">
        <v>1311</v>
      </c>
    </row>
    <row r="810" spans="1:11">
      <c r="A810" s="2" t="s">
        <v>1273</v>
      </c>
      <c r="B810" s="2" t="s">
        <v>43</v>
      </c>
      <c r="C810" s="2" t="s">
        <v>1309</v>
      </c>
      <c r="D810" s="40">
        <v>2462000</v>
      </c>
      <c r="E810" s="2" t="s">
        <v>295</v>
      </c>
      <c r="F810" s="145">
        <v>3571</v>
      </c>
      <c r="H810" s="2" t="s">
        <v>1310</v>
      </c>
      <c r="I810" s="72">
        <v>45732</v>
      </c>
      <c r="K810" s="2" t="s">
        <v>1311</v>
      </c>
    </row>
    <row r="811" spans="1:11">
      <c r="A811" s="2" t="s">
        <v>1274</v>
      </c>
      <c r="B811" s="2" t="s">
        <v>43</v>
      </c>
      <c r="C811" s="2" t="s">
        <v>1309</v>
      </c>
      <c r="D811" s="40">
        <v>2465000</v>
      </c>
      <c r="E811" s="2" t="s">
        <v>295</v>
      </c>
      <c r="F811" s="145">
        <v>3574</v>
      </c>
      <c r="H811" s="2" t="s">
        <v>1310</v>
      </c>
      <c r="I811" s="72">
        <v>45735</v>
      </c>
      <c r="K811" s="2" t="s">
        <v>1311</v>
      </c>
    </row>
    <row r="812" spans="1:11">
      <c r="A812" s="2" t="s">
        <v>1275</v>
      </c>
      <c r="B812" s="2" t="s">
        <v>43</v>
      </c>
      <c r="C812" s="2" t="s">
        <v>1309</v>
      </c>
      <c r="D812" s="40">
        <v>2468000</v>
      </c>
      <c r="E812" s="2" t="s">
        <v>295</v>
      </c>
      <c r="F812" s="145">
        <v>3577</v>
      </c>
      <c r="H812" s="2" t="s">
        <v>1310</v>
      </c>
      <c r="I812" s="72">
        <v>45738</v>
      </c>
      <c r="K812" s="2" t="s">
        <v>1311</v>
      </c>
    </row>
    <row r="813" spans="1:11">
      <c r="A813" s="2" t="s">
        <v>1276</v>
      </c>
      <c r="B813" s="2" t="s">
        <v>43</v>
      </c>
      <c r="C813" s="2" t="s">
        <v>1309</v>
      </c>
      <c r="D813" s="40">
        <v>2471000</v>
      </c>
      <c r="E813" s="2" t="s">
        <v>295</v>
      </c>
      <c r="F813" s="145">
        <v>3580</v>
      </c>
      <c r="H813" s="2" t="s">
        <v>1310</v>
      </c>
      <c r="I813" s="72">
        <v>45741</v>
      </c>
      <c r="K813" s="2" t="s">
        <v>1311</v>
      </c>
    </row>
    <row r="814" spans="1:11">
      <c r="A814" s="2" t="s">
        <v>1277</v>
      </c>
      <c r="B814" s="2" t="s">
        <v>43</v>
      </c>
      <c r="C814" s="2" t="s">
        <v>1309</v>
      </c>
      <c r="D814" s="40">
        <v>2474000</v>
      </c>
      <c r="E814" s="2" t="s">
        <v>295</v>
      </c>
      <c r="F814" s="145">
        <v>3583</v>
      </c>
      <c r="H814" s="2" t="s">
        <v>1310</v>
      </c>
      <c r="I814" s="72">
        <v>45744</v>
      </c>
      <c r="K814" s="2" t="s">
        <v>1311</v>
      </c>
    </row>
    <row r="815" spans="1:11">
      <c r="A815" s="2" t="s">
        <v>397</v>
      </c>
      <c r="B815" s="2" t="s">
        <v>43</v>
      </c>
      <c r="C815" s="2" t="s">
        <v>1309</v>
      </c>
      <c r="D815" s="40">
        <v>2477000</v>
      </c>
      <c r="E815" s="2" t="s">
        <v>295</v>
      </c>
      <c r="F815" s="145">
        <v>3586</v>
      </c>
      <c r="H815" s="2" t="s">
        <v>1310</v>
      </c>
      <c r="I815" s="72">
        <v>45747</v>
      </c>
      <c r="K815" s="2" t="s">
        <v>1311</v>
      </c>
    </row>
    <row r="816" spans="1:11">
      <c r="A816" s="2" t="s">
        <v>390</v>
      </c>
      <c r="B816" s="2" t="s">
        <v>43</v>
      </c>
      <c r="C816" s="2" t="s">
        <v>1309</v>
      </c>
      <c r="D816" s="40">
        <v>2480000</v>
      </c>
      <c r="E816" s="2" t="s">
        <v>295</v>
      </c>
      <c r="F816" s="145">
        <v>3589</v>
      </c>
      <c r="H816" s="2" t="s">
        <v>1310</v>
      </c>
      <c r="I816" s="72">
        <v>45750</v>
      </c>
      <c r="K816" s="2" t="s">
        <v>1311</v>
      </c>
    </row>
    <row r="817" spans="1:11">
      <c r="A817" s="2" t="s">
        <v>1278</v>
      </c>
      <c r="B817" s="2" t="s">
        <v>43</v>
      </c>
      <c r="C817" s="2" t="s">
        <v>1309</v>
      </c>
      <c r="D817" s="40">
        <v>2483000</v>
      </c>
      <c r="E817" s="2" t="s">
        <v>295</v>
      </c>
      <c r="F817" s="145">
        <v>3592</v>
      </c>
      <c r="H817" s="2" t="s">
        <v>1310</v>
      </c>
      <c r="I817" s="72">
        <v>45753</v>
      </c>
      <c r="K817" s="2" t="s">
        <v>1311</v>
      </c>
    </row>
    <row r="818" spans="1:11">
      <c r="A818" s="2" t="s">
        <v>1279</v>
      </c>
      <c r="B818" s="2" t="s">
        <v>43</v>
      </c>
      <c r="C818" s="2" t="s">
        <v>1309</v>
      </c>
      <c r="D818" s="40">
        <v>2486000</v>
      </c>
      <c r="E818" s="2" t="s">
        <v>295</v>
      </c>
      <c r="F818" s="145">
        <v>3595</v>
      </c>
      <c r="H818" s="2" t="s">
        <v>1310</v>
      </c>
      <c r="I818" s="72">
        <v>45756</v>
      </c>
      <c r="K818" s="2" t="s">
        <v>1311</v>
      </c>
    </row>
    <row r="819" spans="1:11">
      <c r="A819" s="2" t="s">
        <v>1280</v>
      </c>
      <c r="B819" s="2" t="s">
        <v>43</v>
      </c>
      <c r="C819" s="2" t="s">
        <v>1309</v>
      </c>
      <c r="D819" s="40">
        <v>2489000</v>
      </c>
      <c r="E819" s="2" t="s">
        <v>295</v>
      </c>
      <c r="F819" s="145">
        <v>3598</v>
      </c>
      <c r="H819" s="2" t="s">
        <v>1310</v>
      </c>
      <c r="I819" s="72">
        <v>45759</v>
      </c>
      <c r="K819" s="2" t="s">
        <v>1311</v>
      </c>
    </row>
    <row r="820" spans="1:11">
      <c r="A820" s="2" t="s">
        <v>1281</v>
      </c>
      <c r="B820" s="2" t="s">
        <v>43</v>
      </c>
      <c r="C820" s="2" t="s">
        <v>1309</v>
      </c>
      <c r="D820" s="40">
        <v>2492000</v>
      </c>
      <c r="E820" s="2" t="s">
        <v>295</v>
      </c>
      <c r="F820" s="145">
        <v>3601</v>
      </c>
      <c r="H820" s="2" t="s">
        <v>1310</v>
      </c>
      <c r="I820" s="72">
        <v>45762</v>
      </c>
      <c r="K820" s="2" t="s">
        <v>1311</v>
      </c>
    </row>
    <row r="821" spans="1:11">
      <c r="A821" s="2" t="s">
        <v>1282</v>
      </c>
      <c r="B821" s="2" t="s">
        <v>43</v>
      </c>
      <c r="C821" s="2" t="s">
        <v>1309</v>
      </c>
      <c r="D821" s="40">
        <v>2495000</v>
      </c>
      <c r="E821" s="2" t="s">
        <v>295</v>
      </c>
      <c r="F821" s="145">
        <v>3604</v>
      </c>
      <c r="H821" s="2" t="s">
        <v>1310</v>
      </c>
      <c r="I821" s="72">
        <v>45765</v>
      </c>
      <c r="K821" s="2" t="s">
        <v>1311</v>
      </c>
    </row>
    <row r="822" spans="1:11">
      <c r="A822" s="2" t="s">
        <v>1283</v>
      </c>
      <c r="B822" s="2" t="s">
        <v>43</v>
      </c>
      <c r="C822" s="2" t="s">
        <v>1309</v>
      </c>
      <c r="D822" s="40">
        <v>2498000</v>
      </c>
      <c r="E822" s="2" t="s">
        <v>295</v>
      </c>
      <c r="F822" s="145">
        <v>3607</v>
      </c>
      <c r="H822" s="2" t="s">
        <v>1310</v>
      </c>
      <c r="I822" s="72">
        <v>45768</v>
      </c>
      <c r="K822" s="2" t="s">
        <v>1311</v>
      </c>
    </row>
    <row r="823" spans="1:11">
      <c r="A823" s="2" t="s">
        <v>1284</v>
      </c>
      <c r="B823" s="2" t="s">
        <v>43</v>
      </c>
      <c r="C823" s="2" t="s">
        <v>1309</v>
      </c>
      <c r="D823" s="40">
        <v>2501000</v>
      </c>
      <c r="E823" s="2" t="s">
        <v>295</v>
      </c>
      <c r="F823" s="145">
        <v>3610</v>
      </c>
      <c r="H823" s="2" t="s">
        <v>1310</v>
      </c>
      <c r="I823" s="72">
        <v>45771</v>
      </c>
      <c r="K823" s="2" t="s">
        <v>1311</v>
      </c>
    </row>
    <row r="824" spans="1:11">
      <c r="A824" s="2" t="s">
        <v>1285</v>
      </c>
      <c r="B824" s="2" t="s">
        <v>43</v>
      </c>
      <c r="C824" s="2" t="s">
        <v>1309</v>
      </c>
      <c r="D824" s="40">
        <v>2504000</v>
      </c>
      <c r="E824" s="2" t="s">
        <v>295</v>
      </c>
      <c r="F824" s="145">
        <v>3613</v>
      </c>
      <c r="H824" s="2" t="s">
        <v>1310</v>
      </c>
      <c r="I824" s="72">
        <v>45774</v>
      </c>
      <c r="K824" s="2" t="s">
        <v>1311</v>
      </c>
    </row>
    <row r="825" spans="1:11">
      <c r="A825" s="2" t="s">
        <v>1286</v>
      </c>
      <c r="B825" s="2" t="s">
        <v>43</v>
      </c>
      <c r="C825" s="2" t="s">
        <v>1309</v>
      </c>
      <c r="D825" s="40">
        <v>2507000</v>
      </c>
      <c r="E825" s="2" t="s">
        <v>295</v>
      </c>
      <c r="F825" s="145">
        <v>3616</v>
      </c>
      <c r="H825" s="2" t="s">
        <v>1310</v>
      </c>
      <c r="I825" s="72">
        <v>45777</v>
      </c>
      <c r="K825" s="2" t="s">
        <v>1311</v>
      </c>
    </row>
    <row r="826" spans="1:11">
      <c r="A826" s="2" t="s">
        <v>1287</v>
      </c>
      <c r="B826" s="2" t="s">
        <v>43</v>
      </c>
      <c r="C826" s="2" t="s">
        <v>1309</v>
      </c>
      <c r="D826" s="40">
        <v>2510000</v>
      </c>
      <c r="E826" s="2" t="s">
        <v>295</v>
      </c>
      <c r="F826" s="145">
        <v>3619</v>
      </c>
      <c r="H826" s="2" t="s">
        <v>1310</v>
      </c>
      <c r="I826" s="72">
        <v>45780</v>
      </c>
      <c r="K826" s="2" t="s">
        <v>1311</v>
      </c>
    </row>
    <row r="827" spans="1:11">
      <c r="A827" s="2" t="s">
        <v>1288</v>
      </c>
      <c r="B827" s="2" t="s">
        <v>43</v>
      </c>
      <c r="C827" s="2" t="s">
        <v>1309</v>
      </c>
      <c r="D827" s="40">
        <v>2513000</v>
      </c>
      <c r="E827" s="2" t="s">
        <v>295</v>
      </c>
      <c r="F827" s="145">
        <v>3622</v>
      </c>
      <c r="H827" s="2" t="s">
        <v>1310</v>
      </c>
      <c r="I827" s="72">
        <v>45783</v>
      </c>
      <c r="K827" s="2" t="s">
        <v>1311</v>
      </c>
    </row>
    <row r="828" spans="1:11">
      <c r="A828" s="2" t="s">
        <v>1289</v>
      </c>
      <c r="B828" s="2" t="s">
        <v>43</v>
      </c>
      <c r="C828" s="2" t="s">
        <v>1309</v>
      </c>
      <c r="D828" s="40">
        <v>2516000</v>
      </c>
      <c r="E828" s="2" t="s">
        <v>295</v>
      </c>
      <c r="F828" s="145">
        <v>3625</v>
      </c>
      <c r="H828" s="2" t="s">
        <v>1310</v>
      </c>
      <c r="I828" s="72">
        <v>45786</v>
      </c>
      <c r="K828" s="2" t="s">
        <v>1311</v>
      </c>
    </row>
    <row r="829" spans="1:11">
      <c r="A829" s="2" t="s">
        <v>1290</v>
      </c>
      <c r="B829" s="2" t="s">
        <v>43</v>
      </c>
      <c r="C829" s="2" t="s">
        <v>1309</v>
      </c>
      <c r="D829" s="40">
        <v>2519000</v>
      </c>
      <c r="E829" s="2" t="s">
        <v>295</v>
      </c>
      <c r="F829" s="145">
        <v>3628</v>
      </c>
      <c r="H829" s="2" t="s">
        <v>1310</v>
      </c>
      <c r="I829" s="72">
        <v>45789</v>
      </c>
      <c r="K829" s="2" t="s">
        <v>1311</v>
      </c>
    </row>
    <row r="830" spans="1:11">
      <c r="A830" s="2" t="s">
        <v>1291</v>
      </c>
      <c r="B830" s="2" t="s">
        <v>43</v>
      </c>
      <c r="C830" s="2" t="s">
        <v>1309</v>
      </c>
      <c r="D830" s="40">
        <v>2522000</v>
      </c>
      <c r="E830" s="2" t="s">
        <v>295</v>
      </c>
      <c r="F830" s="145">
        <v>3631</v>
      </c>
      <c r="H830" s="2" t="s">
        <v>1310</v>
      </c>
      <c r="I830" s="72">
        <v>45792</v>
      </c>
      <c r="K830" s="2" t="s">
        <v>1311</v>
      </c>
    </row>
    <row r="831" spans="1:11">
      <c r="A831" s="2" t="s">
        <v>1292</v>
      </c>
      <c r="B831" s="2" t="s">
        <v>43</v>
      </c>
      <c r="C831" s="2" t="s">
        <v>1309</v>
      </c>
      <c r="D831" s="40">
        <v>2525000</v>
      </c>
      <c r="E831" s="2" t="s">
        <v>295</v>
      </c>
      <c r="F831" s="145">
        <v>3634</v>
      </c>
      <c r="H831" s="2" t="s">
        <v>1310</v>
      </c>
      <c r="I831" s="72">
        <v>45795</v>
      </c>
      <c r="K831" s="2" t="s">
        <v>1311</v>
      </c>
    </row>
    <row r="832" spans="1:11">
      <c r="A832" s="2" t="s">
        <v>1293</v>
      </c>
      <c r="B832" s="2" t="s">
        <v>43</v>
      </c>
      <c r="C832" s="2" t="s">
        <v>1309</v>
      </c>
      <c r="D832" s="40">
        <v>2528000</v>
      </c>
      <c r="E832" s="2" t="s">
        <v>295</v>
      </c>
      <c r="F832" s="145">
        <v>3637</v>
      </c>
      <c r="H832" s="2" t="s">
        <v>1310</v>
      </c>
      <c r="I832" s="72">
        <v>45798</v>
      </c>
      <c r="K832" s="2" t="s">
        <v>1311</v>
      </c>
    </row>
    <row r="833" spans="1:11">
      <c r="A833" s="2" t="s">
        <v>1294</v>
      </c>
      <c r="B833" s="2" t="s">
        <v>43</v>
      </c>
      <c r="C833" s="2" t="s">
        <v>1309</v>
      </c>
      <c r="D833" s="40">
        <v>2531000</v>
      </c>
      <c r="E833" s="2" t="s">
        <v>295</v>
      </c>
      <c r="F833" s="145">
        <v>3640</v>
      </c>
      <c r="H833" s="2" t="s">
        <v>1310</v>
      </c>
      <c r="I833" s="72">
        <v>45801</v>
      </c>
      <c r="K833" s="2" t="s">
        <v>1311</v>
      </c>
    </row>
    <row r="834" spans="1:11">
      <c r="A834" s="2" t="s">
        <v>1295</v>
      </c>
      <c r="B834" s="2" t="s">
        <v>43</v>
      </c>
      <c r="C834" s="2" t="s">
        <v>1309</v>
      </c>
      <c r="D834" s="40">
        <v>2534000</v>
      </c>
      <c r="E834" s="2" t="s">
        <v>295</v>
      </c>
      <c r="F834" s="145">
        <v>3643</v>
      </c>
      <c r="H834" s="2" t="s">
        <v>1310</v>
      </c>
      <c r="I834" s="72">
        <v>45804</v>
      </c>
      <c r="K834" s="2" t="s">
        <v>1311</v>
      </c>
    </row>
    <row r="835" spans="1:11">
      <c r="A835" s="2" t="s">
        <v>1296</v>
      </c>
      <c r="B835" s="2" t="s">
        <v>43</v>
      </c>
      <c r="C835" s="2" t="s">
        <v>1309</v>
      </c>
      <c r="D835" s="40">
        <v>2537000</v>
      </c>
      <c r="E835" s="2" t="s">
        <v>295</v>
      </c>
      <c r="F835" s="145">
        <v>3646</v>
      </c>
      <c r="H835" s="2" t="s">
        <v>1310</v>
      </c>
      <c r="I835" s="72">
        <v>45807</v>
      </c>
      <c r="K835" s="2" t="s">
        <v>1311</v>
      </c>
    </row>
    <row r="836" spans="1:11">
      <c r="A836" s="2" t="s">
        <v>1297</v>
      </c>
      <c r="B836" s="2" t="s">
        <v>43</v>
      </c>
      <c r="C836" s="2" t="s">
        <v>1309</v>
      </c>
      <c r="D836" s="40">
        <v>2540000</v>
      </c>
      <c r="E836" s="2" t="s">
        <v>295</v>
      </c>
      <c r="F836" s="145">
        <v>3649</v>
      </c>
      <c r="H836" s="2" t="s">
        <v>1310</v>
      </c>
      <c r="I836" s="72">
        <v>45810</v>
      </c>
      <c r="K836" s="2" t="s">
        <v>1311</v>
      </c>
    </row>
    <row r="837" spans="1:11">
      <c r="A837" s="2" t="s">
        <v>399</v>
      </c>
      <c r="B837" s="2" t="s">
        <v>43</v>
      </c>
      <c r="C837" s="2" t="s">
        <v>1309</v>
      </c>
      <c r="D837" s="40">
        <v>2543000</v>
      </c>
      <c r="E837" s="2" t="s">
        <v>295</v>
      </c>
      <c r="F837" s="145">
        <v>3652</v>
      </c>
      <c r="H837" s="2" t="s">
        <v>1310</v>
      </c>
      <c r="I837" s="72">
        <v>45813</v>
      </c>
      <c r="K837" s="2" t="s">
        <v>1311</v>
      </c>
    </row>
    <row r="838" spans="1:11">
      <c r="A838" s="2" t="s">
        <v>1298</v>
      </c>
      <c r="B838" s="2" t="s">
        <v>43</v>
      </c>
      <c r="C838" s="2" t="s">
        <v>1309</v>
      </c>
      <c r="D838" s="40">
        <v>2546000</v>
      </c>
      <c r="E838" s="2" t="s">
        <v>295</v>
      </c>
      <c r="F838" s="145">
        <v>3655</v>
      </c>
      <c r="H838" s="2" t="s">
        <v>1310</v>
      </c>
      <c r="I838" s="72">
        <v>45816</v>
      </c>
      <c r="K838" s="2" t="s">
        <v>1311</v>
      </c>
    </row>
    <row r="839" spans="1:11">
      <c r="A839" s="2" t="s">
        <v>1299</v>
      </c>
      <c r="B839" s="2" t="s">
        <v>43</v>
      </c>
      <c r="C839" s="2" t="s">
        <v>1309</v>
      </c>
      <c r="D839" s="40">
        <v>2549000</v>
      </c>
      <c r="E839" s="2" t="s">
        <v>295</v>
      </c>
      <c r="F839" s="145">
        <v>3658</v>
      </c>
      <c r="H839" s="2" t="s">
        <v>1310</v>
      </c>
      <c r="I839" s="72">
        <v>45819</v>
      </c>
      <c r="K839" s="2" t="s">
        <v>1311</v>
      </c>
    </row>
    <row r="840" spans="1:11">
      <c r="A840" s="2" t="s">
        <v>1300</v>
      </c>
      <c r="B840" s="2" t="s">
        <v>43</v>
      </c>
      <c r="C840" s="2" t="s">
        <v>1309</v>
      </c>
      <c r="D840" s="40">
        <v>2552000</v>
      </c>
      <c r="E840" s="2" t="s">
        <v>295</v>
      </c>
      <c r="F840" s="145">
        <v>3661</v>
      </c>
      <c r="H840" s="2" t="s">
        <v>1310</v>
      </c>
      <c r="I840" s="72">
        <v>45822</v>
      </c>
      <c r="K840" s="2" t="s">
        <v>1311</v>
      </c>
    </row>
    <row r="841" spans="1:11">
      <c r="A841" s="2" t="s">
        <v>1301</v>
      </c>
      <c r="B841" s="2" t="s">
        <v>43</v>
      </c>
      <c r="C841" s="2" t="s">
        <v>1309</v>
      </c>
      <c r="D841" s="40">
        <v>2555000</v>
      </c>
      <c r="E841" s="2" t="s">
        <v>295</v>
      </c>
      <c r="F841" s="145">
        <v>3664</v>
      </c>
      <c r="H841" s="2" t="s">
        <v>1310</v>
      </c>
      <c r="I841" s="72">
        <v>45825</v>
      </c>
      <c r="K841" s="2" t="s">
        <v>1311</v>
      </c>
    </row>
    <row r="842" spans="1:11">
      <c r="A842" s="2" t="s">
        <v>1302</v>
      </c>
      <c r="B842" s="2" t="s">
        <v>43</v>
      </c>
      <c r="C842" s="2" t="s">
        <v>1309</v>
      </c>
      <c r="D842" s="40">
        <v>2558000</v>
      </c>
      <c r="E842" s="2" t="s">
        <v>295</v>
      </c>
      <c r="F842" s="145">
        <v>3667</v>
      </c>
      <c r="H842" s="2" t="s">
        <v>1310</v>
      </c>
      <c r="I842" s="72">
        <v>45828</v>
      </c>
      <c r="K842" s="2" t="s">
        <v>1311</v>
      </c>
    </row>
    <row r="843" spans="1:11">
      <c r="A843" s="2" t="s">
        <v>1303</v>
      </c>
      <c r="B843" s="2" t="s">
        <v>43</v>
      </c>
      <c r="C843" s="2" t="s">
        <v>1309</v>
      </c>
      <c r="D843" s="40">
        <v>2561000</v>
      </c>
      <c r="E843" s="2" t="s">
        <v>295</v>
      </c>
      <c r="F843" s="145">
        <v>3670</v>
      </c>
      <c r="H843" s="2" t="s">
        <v>1310</v>
      </c>
      <c r="I843" s="72">
        <v>45831</v>
      </c>
      <c r="K843" s="2" t="s">
        <v>1311</v>
      </c>
    </row>
    <row r="844" spans="1:11">
      <c r="A844" s="2" t="s">
        <v>1304</v>
      </c>
      <c r="B844" s="2" t="s">
        <v>43</v>
      </c>
      <c r="C844" s="2" t="s">
        <v>1309</v>
      </c>
      <c r="D844" s="40">
        <v>2564000</v>
      </c>
      <c r="E844" s="2" t="s">
        <v>295</v>
      </c>
      <c r="F844" s="145">
        <v>3673</v>
      </c>
      <c r="H844" s="2" t="s">
        <v>1310</v>
      </c>
      <c r="I844" s="72">
        <v>45834</v>
      </c>
      <c r="K844" s="2" t="s">
        <v>1311</v>
      </c>
    </row>
    <row r="845" spans="1:11">
      <c r="A845" s="2" t="s">
        <v>1305</v>
      </c>
      <c r="B845" s="2" t="s">
        <v>43</v>
      </c>
      <c r="C845" s="2" t="s">
        <v>1309</v>
      </c>
      <c r="D845" s="40">
        <v>2567000</v>
      </c>
      <c r="E845" s="2" t="s">
        <v>295</v>
      </c>
      <c r="F845" s="145">
        <v>3676</v>
      </c>
      <c r="H845" s="2" t="s">
        <v>1310</v>
      </c>
      <c r="I845" s="72">
        <v>45837</v>
      </c>
      <c r="K845" s="2" t="s">
        <v>1311</v>
      </c>
    </row>
    <row r="846" spans="1:11">
      <c r="A846" s="2" t="s">
        <v>1306</v>
      </c>
      <c r="B846" s="2" t="s">
        <v>43</v>
      </c>
      <c r="C846" s="2" t="s">
        <v>1309</v>
      </c>
      <c r="D846" s="40">
        <v>2570000</v>
      </c>
      <c r="E846" s="2" t="s">
        <v>295</v>
      </c>
      <c r="F846" s="145">
        <v>3679</v>
      </c>
      <c r="H846" s="2" t="s">
        <v>1310</v>
      </c>
      <c r="I846" s="72">
        <v>45840</v>
      </c>
      <c r="K846" s="2" t="s">
        <v>1311</v>
      </c>
    </row>
    <row r="847" spans="1:11">
      <c r="A847" s="2" t="s">
        <v>1307</v>
      </c>
      <c r="B847" s="2" t="s">
        <v>43</v>
      </c>
      <c r="C847" s="2" t="s">
        <v>1309</v>
      </c>
      <c r="D847" s="40">
        <v>2573000</v>
      </c>
      <c r="E847" s="2" t="s">
        <v>295</v>
      </c>
      <c r="F847" s="145">
        <v>3682</v>
      </c>
      <c r="H847" s="2" t="s">
        <v>1310</v>
      </c>
      <c r="I847" s="72">
        <v>45843</v>
      </c>
      <c r="K847" s="2" t="s">
        <v>1311</v>
      </c>
    </row>
    <row r="848" spans="1:11">
      <c r="A848" s="2" t="s">
        <v>1308</v>
      </c>
      <c r="B848" s="2" t="s">
        <v>43</v>
      </c>
      <c r="C848" s="2" t="s">
        <v>1309</v>
      </c>
      <c r="D848" s="40">
        <v>2576000</v>
      </c>
      <c r="E848" s="2" t="s">
        <v>295</v>
      </c>
      <c r="F848" s="145">
        <v>3685</v>
      </c>
      <c r="H848" s="2" t="s">
        <v>1310</v>
      </c>
      <c r="I848" s="72">
        <v>45846</v>
      </c>
      <c r="K848" s="2" t="s">
        <v>1311</v>
      </c>
    </row>
    <row r="849" spans="1:11">
      <c r="A849" s="2" t="s">
        <v>479</v>
      </c>
      <c r="B849" s="2" t="s">
        <v>43</v>
      </c>
      <c r="C849" s="2" t="s">
        <v>1309</v>
      </c>
      <c r="D849" s="40">
        <v>44000</v>
      </c>
      <c r="E849" s="2" t="s">
        <v>295</v>
      </c>
      <c r="F849" s="145">
        <v>1153</v>
      </c>
      <c r="H849" s="2" t="s">
        <v>1310</v>
      </c>
      <c r="I849" s="72">
        <v>43314</v>
      </c>
      <c r="K849" s="2" t="s">
        <v>1311</v>
      </c>
    </row>
    <row r="850" spans="1:11">
      <c r="A850" s="2" t="s">
        <v>480</v>
      </c>
      <c r="B850" s="2" t="s">
        <v>43</v>
      </c>
      <c r="C850" s="2" t="s">
        <v>1309</v>
      </c>
      <c r="D850" s="40">
        <v>47000</v>
      </c>
      <c r="E850" s="2" t="s">
        <v>295</v>
      </c>
      <c r="F850" s="145">
        <v>1156</v>
      </c>
      <c r="H850" s="2" t="s">
        <v>1310</v>
      </c>
      <c r="I850" s="72">
        <v>43317</v>
      </c>
      <c r="K850" s="2" t="s">
        <v>1311</v>
      </c>
    </row>
    <row r="851" spans="1:11">
      <c r="A851" s="2" t="s">
        <v>481</v>
      </c>
      <c r="B851" s="2" t="s">
        <v>43</v>
      </c>
      <c r="C851" s="2" t="s">
        <v>1309</v>
      </c>
      <c r="D851" s="40">
        <v>50000</v>
      </c>
      <c r="E851" s="2" t="s">
        <v>295</v>
      </c>
      <c r="F851" s="145">
        <v>1159</v>
      </c>
      <c r="H851" s="2" t="s">
        <v>1310</v>
      </c>
      <c r="I851" s="72">
        <v>43320</v>
      </c>
      <c r="K851" s="2" t="s">
        <v>1311</v>
      </c>
    </row>
    <row r="852" spans="1:11">
      <c r="A852" s="2" t="s">
        <v>482</v>
      </c>
      <c r="B852" s="2" t="s">
        <v>43</v>
      </c>
      <c r="C852" s="2" t="s">
        <v>1309</v>
      </c>
      <c r="D852" s="40">
        <v>53000</v>
      </c>
      <c r="E852" s="2" t="s">
        <v>295</v>
      </c>
      <c r="F852" s="145">
        <v>1162</v>
      </c>
      <c r="H852" s="2" t="s">
        <v>1310</v>
      </c>
      <c r="I852" s="72">
        <v>43323</v>
      </c>
      <c r="K852" s="2" t="s">
        <v>1311</v>
      </c>
    </row>
    <row r="853" spans="1:11">
      <c r="A853" s="2" t="s">
        <v>483</v>
      </c>
      <c r="B853" s="2" t="s">
        <v>43</v>
      </c>
      <c r="C853" s="2" t="s">
        <v>1309</v>
      </c>
      <c r="D853" s="40">
        <v>56000</v>
      </c>
      <c r="E853" s="2" t="s">
        <v>295</v>
      </c>
      <c r="F853" s="145">
        <v>1165</v>
      </c>
      <c r="H853" s="2" t="s">
        <v>1310</v>
      </c>
      <c r="I853" s="72">
        <v>43326</v>
      </c>
      <c r="K853" s="2" t="s">
        <v>1311</v>
      </c>
    </row>
    <row r="854" spans="1:11">
      <c r="A854" s="2" t="s">
        <v>484</v>
      </c>
      <c r="B854" s="2" t="s">
        <v>43</v>
      </c>
      <c r="C854" s="2" t="s">
        <v>1309</v>
      </c>
      <c r="D854" s="40">
        <v>59000</v>
      </c>
      <c r="E854" s="2" t="s">
        <v>295</v>
      </c>
      <c r="F854" s="145">
        <v>1168</v>
      </c>
      <c r="H854" s="2" t="s">
        <v>1310</v>
      </c>
      <c r="I854" s="72">
        <v>43329</v>
      </c>
      <c r="K854" s="2" t="s">
        <v>1311</v>
      </c>
    </row>
    <row r="855" spans="1:11">
      <c r="A855" s="2" t="s">
        <v>485</v>
      </c>
      <c r="B855" s="2" t="s">
        <v>43</v>
      </c>
      <c r="C855" s="2" t="s">
        <v>1309</v>
      </c>
      <c r="D855" s="40">
        <v>62000</v>
      </c>
      <c r="E855" s="2" t="s">
        <v>295</v>
      </c>
      <c r="F855" s="145">
        <v>1171</v>
      </c>
      <c r="H855" s="2" t="s">
        <v>1310</v>
      </c>
      <c r="I855" s="72">
        <v>43332</v>
      </c>
      <c r="K855" s="2" t="s">
        <v>1311</v>
      </c>
    </row>
    <row r="856" spans="1:11">
      <c r="A856" s="2" t="s">
        <v>486</v>
      </c>
      <c r="B856" s="2" t="s">
        <v>43</v>
      </c>
      <c r="C856" s="2" t="s">
        <v>1309</v>
      </c>
      <c r="D856" s="40">
        <v>65000</v>
      </c>
      <c r="E856" s="2" t="s">
        <v>295</v>
      </c>
      <c r="F856" s="145">
        <v>1174</v>
      </c>
      <c r="H856" s="2" t="s">
        <v>1310</v>
      </c>
      <c r="I856" s="72">
        <v>43335</v>
      </c>
      <c r="K856" s="2" t="s">
        <v>1311</v>
      </c>
    </row>
    <row r="857" spans="1:11">
      <c r="A857" s="2" t="s">
        <v>487</v>
      </c>
      <c r="B857" s="2" t="s">
        <v>43</v>
      </c>
      <c r="C857" s="2" t="s">
        <v>1309</v>
      </c>
      <c r="D857" s="40">
        <v>68000</v>
      </c>
      <c r="E857" s="2" t="s">
        <v>295</v>
      </c>
      <c r="F857" s="145">
        <v>1177</v>
      </c>
      <c r="H857" s="2" t="s">
        <v>1310</v>
      </c>
      <c r="I857" s="72">
        <v>43338</v>
      </c>
      <c r="K857" s="2" t="s">
        <v>1311</v>
      </c>
    </row>
    <row r="858" spans="1:11">
      <c r="A858" s="2" t="s">
        <v>488</v>
      </c>
      <c r="B858" s="2" t="s">
        <v>43</v>
      </c>
      <c r="C858" s="2" t="s">
        <v>1309</v>
      </c>
      <c r="D858" s="40">
        <v>71000</v>
      </c>
      <c r="E858" s="2" t="s">
        <v>295</v>
      </c>
      <c r="F858" s="145">
        <v>1180</v>
      </c>
      <c r="H858" s="2" t="s">
        <v>1310</v>
      </c>
      <c r="I858" s="72">
        <v>43341</v>
      </c>
      <c r="K858" s="2" t="s">
        <v>1311</v>
      </c>
    </row>
    <row r="859" spans="1:11">
      <c r="A859" s="2" t="s">
        <v>489</v>
      </c>
      <c r="B859" s="2" t="s">
        <v>43</v>
      </c>
      <c r="C859" s="2" t="s">
        <v>1309</v>
      </c>
      <c r="D859" s="40">
        <v>74000</v>
      </c>
      <c r="E859" s="2" t="s">
        <v>295</v>
      </c>
      <c r="F859" s="145">
        <v>1183</v>
      </c>
      <c r="H859" s="2" t="s">
        <v>1310</v>
      </c>
      <c r="I859" s="72">
        <v>43344</v>
      </c>
      <c r="K859" s="2" t="s">
        <v>1311</v>
      </c>
    </row>
    <row r="860" spans="1:11">
      <c r="A860" s="2" t="s">
        <v>490</v>
      </c>
      <c r="B860" s="2" t="s">
        <v>43</v>
      </c>
      <c r="C860" s="2" t="s">
        <v>1309</v>
      </c>
      <c r="D860" s="40">
        <v>77000</v>
      </c>
      <c r="E860" s="2" t="s">
        <v>295</v>
      </c>
      <c r="F860" s="145">
        <v>1186</v>
      </c>
      <c r="H860" s="2" t="s">
        <v>1310</v>
      </c>
      <c r="I860" s="72">
        <v>43347</v>
      </c>
      <c r="K860" s="2" t="s">
        <v>1311</v>
      </c>
    </row>
    <row r="861" spans="1:11">
      <c r="A861" s="2" t="s">
        <v>491</v>
      </c>
      <c r="B861" s="2" t="s">
        <v>43</v>
      </c>
      <c r="C861" s="2" t="s">
        <v>1309</v>
      </c>
      <c r="D861" s="40">
        <v>80000</v>
      </c>
      <c r="E861" s="2" t="s">
        <v>295</v>
      </c>
      <c r="F861" s="145">
        <v>1189</v>
      </c>
      <c r="H861" s="2" t="s">
        <v>1310</v>
      </c>
      <c r="I861" s="72">
        <v>43350</v>
      </c>
      <c r="K861" s="2" t="s">
        <v>1311</v>
      </c>
    </row>
    <row r="862" spans="1:11">
      <c r="A862" s="2" t="s">
        <v>492</v>
      </c>
      <c r="B862" s="2" t="s">
        <v>43</v>
      </c>
      <c r="C862" s="2" t="s">
        <v>1309</v>
      </c>
      <c r="D862" s="40">
        <v>83000</v>
      </c>
      <c r="E862" s="2" t="s">
        <v>295</v>
      </c>
      <c r="F862" s="145">
        <v>1192</v>
      </c>
      <c r="H862" s="2" t="s">
        <v>1310</v>
      </c>
      <c r="I862" s="72">
        <v>43353</v>
      </c>
      <c r="K862" s="2" t="s">
        <v>1311</v>
      </c>
    </row>
    <row r="863" spans="1:11">
      <c r="A863" s="2" t="s">
        <v>493</v>
      </c>
      <c r="B863" s="2" t="s">
        <v>43</v>
      </c>
      <c r="C863" s="2" t="s">
        <v>1309</v>
      </c>
      <c r="D863" s="40">
        <v>86000</v>
      </c>
      <c r="E863" s="2" t="s">
        <v>295</v>
      </c>
      <c r="F863" s="145">
        <v>1195</v>
      </c>
      <c r="H863" s="2" t="s">
        <v>1310</v>
      </c>
      <c r="I863" s="72">
        <v>43356</v>
      </c>
      <c r="K863" s="2" t="s">
        <v>1311</v>
      </c>
    </row>
    <row r="864" spans="1:11">
      <c r="A864" s="2" t="s">
        <v>494</v>
      </c>
      <c r="B864" s="2" t="s">
        <v>43</v>
      </c>
      <c r="C864" s="2" t="s">
        <v>1309</v>
      </c>
      <c r="D864" s="40">
        <v>89000</v>
      </c>
      <c r="E864" s="2" t="s">
        <v>295</v>
      </c>
      <c r="F864" s="145">
        <v>1198</v>
      </c>
      <c r="H864" s="2" t="s">
        <v>1310</v>
      </c>
      <c r="I864" s="72">
        <v>43359</v>
      </c>
      <c r="K864" s="2" t="s">
        <v>1311</v>
      </c>
    </row>
    <row r="865" spans="1:11">
      <c r="A865" s="2" t="s">
        <v>495</v>
      </c>
      <c r="B865" s="2" t="s">
        <v>43</v>
      </c>
      <c r="C865" s="2" t="s">
        <v>1309</v>
      </c>
      <c r="D865" s="40">
        <v>92000</v>
      </c>
      <c r="E865" s="2" t="s">
        <v>295</v>
      </c>
      <c r="F865" s="145">
        <v>1201</v>
      </c>
      <c r="H865" s="2" t="s">
        <v>1310</v>
      </c>
      <c r="I865" s="72">
        <v>43362</v>
      </c>
      <c r="K865" s="2" t="s">
        <v>1311</v>
      </c>
    </row>
    <row r="866" spans="1:11">
      <c r="A866" s="2" t="s">
        <v>496</v>
      </c>
      <c r="B866" s="2" t="s">
        <v>43</v>
      </c>
      <c r="C866" s="2" t="s">
        <v>1309</v>
      </c>
      <c r="D866" s="40">
        <v>95000</v>
      </c>
      <c r="E866" s="2" t="s">
        <v>295</v>
      </c>
      <c r="F866" s="145">
        <v>1204</v>
      </c>
      <c r="H866" s="2" t="s">
        <v>1310</v>
      </c>
      <c r="I866" s="72">
        <v>43365</v>
      </c>
      <c r="K866" s="2" t="s">
        <v>1311</v>
      </c>
    </row>
    <row r="867" spans="1:11">
      <c r="A867" s="2" t="s">
        <v>497</v>
      </c>
      <c r="B867" s="2" t="s">
        <v>43</v>
      </c>
      <c r="C867" s="2" t="s">
        <v>1309</v>
      </c>
      <c r="D867" s="40">
        <v>98000</v>
      </c>
      <c r="E867" s="2" t="s">
        <v>295</v>
      </c>
      <c r="F867" s="145">
        <v>1207</v>
      </c>
      <c r="H867" s="2" t="s">
        <v>1310</v>
      </c>
      <c r="I867" s="72">
        <v>43368</v>
      </c>
      <c r="K867" s="2" t="s">
        <v>1311</v>
      </c>
    </row>
    <row r="868" spans="1:11">
      <c r="A868" s="2" t="s">
        <v>498</v>
      </c>
      <c r="B868" s="2" t="s">
        <v>43</v>
      </c>
      <c r="C868" s="2" t="s">
        <v>1309</v>
      </c>
      <c r="D868" s="40">
        <v>101000</v>
      </c>
      <c r="E868" s="2" t="s">
        <v>295</v>
      </c>
      <c r="F868" s="145">
        <v>1210</v>
      </c>
      <c r="H868" s="2" t="s">
        <v>1310</v>
      </c>
      <c r="I868" s="72">
        <v>43371</v>
      </c>
      <c r="K868" s="2" t="s">
        <v>1311</v>
      </c>
    </row>
    <row r="869" spans="1:11">
      <c r="A869" s="2" t="s">
        <v>499</v>
      </c>
      <c r="B869" s="2" t="s">
        <v>43</v>
      </c>
      <c r="C869" s="2" t="s">
        <v>1309</v>
      </c>
      <c r="D869" s="40">
        <v>104000</v>
      </c>
      <c r="E869" s="2" t="s">
        <v>295</v>
      </c>
      <c r="F869" s="145">
        <v>1213</v>
      </c>
      <c r="H869" s="2" t="s">
        <v>1310</v>
      </c>
      <c r="I869" s="72">
        <v>43374</v>
      </c>
      <c r="K869" s="2" t="s">
        <v>1311</v>
      </c>
    </row>
    <row r="870" spans="1:11">
      <c r="A870" s="2" t="s">
        <v>500</v>
      </c>
      <c r="B870" s="2" t="s">
        <v>43</v>
      </c>
      <c r="C870" s="2" t="s">
        <v>1309</v>
      </c>
      <c r="D870" s="40">
        <v>107000</v>
      </c>
      <c r="E870" s="2" t="s">
        <v>295</v>
      </c>
      <c r="F870" s="145">
        <v>1216</v>
      </c>
      <c r="H870" s="2" t="s">
        <v>1310</v>
      </c>
      <c r="I870" s="72">
        <v>43377</v>
      </c>
      <c r="K870" s="2" t="s">
        <v>1311</v>
      </c>
    </row>
    <row r="871" spans="1:11">
      <c r="A871" s="2" t="s">
        <v>501</v>
      </c>
      <c r="B871" s="2" t="s">
        <v>43</v>
      </c>
      <c r="C871" s="2" t="s">
        <v>1309</v>
      </c>
      <c r="D871" s="40">
        <v>110000</v>
      </c>
      <c r="E871" s="2" t="s">
        <v>295</v>
      </c>
      <c r="F871" s="145">
        <v>1219</v>
      </c>
      <c r="H871" s="2" t="s">
        <v>1310</v>
      </c>
      <c r="I871" s="72">
        <v>43380</v>
      </c>
      <c r="K871" s="2" t="s">
        <v>1311</v>
      </c>
    </row>
    <row r="872" spans="1:11">
      <c r="A872" s="2" t="s">
        <v>502</v>
      </c>
      <c r="B872" s="2" t="s">
        <v>43</v>
      </c>
      <c r="C872" s="2" t="s">
        <v>1309</v>
      </c>
      <c r="D872" s="40">
        <v>113000</v>
      </c>
      <c r="E872" s="2" t="s">
        <v>295</v>
      </c>
      <c r="F872" s="145">
        <v>1222</v>
      </c>
      <c r="H872" s="2" t="s">
        <v>1310</v>
      </c>
      <c r="I872" s="72">
        <v>43383</v>
      </c>
      <c r="K872" s="2" t="s">
        <v>1311</v>
      </c>
    </row>
    <row r="873" spans="1:11">
      <c r="A873" s="2" t="s">
        <v>503</v>
      </c>
      <c r="B873" s="2" t="s">
        <v>43</v>
      </c>
      <c r="C873" s="2" t="s">
        <v>1309</v>
      </c>
      <c r="D873" s="40">
        <v>116000</v>
      </c>
      <c r="E873" s="2" t="s">
        <v>295</v>
      </c>
      <c r="F873" s="145">
        <v>1225</v>
      </c>
      <c r="H873" s="2" t="s">
        <v>1310</v>
      </c>
      <c r="I873" s="72">
        <v>43386</v>
      </c>
      <c r="K873" s="2" t="s">
        <v>1311</v>
      </c>
    </row>
    <row r="874" spans="1:11">
      <c r="A874" s="2" t="s">
        <v>504</v>
      </c>
      <c r="B874" s="2" t="s">
        <v>43</v>
      </c>
      <c r="C874" s="2" t="s">
        <v>1309</v>
      </c>
      <c r="D874" s="40">
        <v>119000</v>
      </c>
      <c r="E874" s="2" t="s">
        <v>295</v>
      </c>
      <c r="F874" s="145">
        <v>1228</v>
      </c>
      <c r="H874" s="2" t="s">
        <v>1310</v>
      </c>
      <c r="I874" s="72">
        <v>43389</v>
      </c>
      <c r="K874" s="2" t="s">
        <v>1311</v>
      </c>
    </row>
    <row r="875" spans="1:11">
      <c r="A875" s="2" t="s">
        <v>505</v>
      </c>
      <c r="B875" s="2" t="s">
        <v>43</v>
      </c>
      <c r="C875" s="2" t="s">
        <v>1309</v>
      </c>
      <c r="D875" s="40">
        <v>122000</v>
      </c>
      <c r="E875" s="2" t="s">
        <v>295</v>
      </c>
      <c r="F875" s="145">
        <v>1231</v>
      </c>
      <c r="H875" s="2" t="s">
        <v>1310</v>
      </c>
      <c r="I875" s="72">
        <v>43392</v>
      </c>
      <c r="K875" s="2" t="s">
        <v>1311</v>
      </c>
    </row>
    <row r="876" spans="1:11">
      <c r="A876" s="2" t="s">
        <v>506</v>
      </c>
      <c r="B876" s="2" t="s">
        <v>43</v>
      </c>
      <c r="C876" s="2" t="s">
        <v>1309</v>
      </c>
      <c r="D876" s="40">
        <v>125000</v>
      </c>
      <c r="E876" s="2" t="s">
        <v>295</v>
      </c>
      <c r="F876" s="145">
        <v>1234</v>
      </c>
      <c r="H876" s="2" t="s">
        <v>1310</v>
      </c>
      <c r="I876" s="72">
        <v>43395</v>
      </c>
      <c r="K876" s="2" t="s">
        <v>1311</v>
      </c>
    </row>
    <row r="877" spans="1:11">
      <c r="A877" s="2" t="s">
        <v>507</v>
      </c>
      <c r="B877" s="2" t="s">
        <v>43</v>
      </c>
      <c r="C877" s="2" t="s">
        <v>1309</v>
      </c>
      <c r="D877" s="40">
        <v>128000</v>
      </c>
      <c r="E877" s="2" t="s">
        <v>295</v>
      </c>
      <c r="F877" s="145">
        <v>1237</v>
      </c>
      <c r="H877" s="2" t="s">
        <v>1310</v>
      </c>
      <c r="I877" s="72">
        <v>43398</v>
      </c>
      <c r="K877" s="2" t="s">
        <v>1311</v>
      </c>
    </row>
    <row r="878" spans="1:11">
      <c r="A878" s="2" t="s">
        <v>508</v>
      </c>
      <c r="B878" s="2" t="s">
        <v>43</v>
      </c>
      <c r="C878" s="2" t="s">
        <v>1309</v>
      </c>
      <c r="D878" s="40">
        <v>131000</v>
      </c>
      <c r="E878" s="2" t="s">
        <v>295</v>
      </c>
      <c r="F878" s="145">
        <v>1240</v>
      </c>
      <c r="H878" s="2" t="s">
        <v>1310</v>
      </c>
      <c r="I878" s="72">
        <v>43401</v>
      </c>
      <c r="K878" s="2" t="s">
        <v>1311</v>
      </c>
    </row>
    <row r="879" spans="1:11">
      <c r="A879" s="2" t="s">
        <v>509</v>
      </c>
      <c r="B879" s="2" t="s">
        <v>43</v>
      </c>
      <c r="C879" s="2" t="s">
        <v>1309</v>
      </c>
      <c r="D879" s="40">
        <v>134000</v>
      </c>
      <c r="E879" s="2" t="s">
        <v>295</v>
      </c>
      <c r="F879" s="145">
        <v>1243</v>
      </c>
      <c r="H879" s="2" t="s">
        <v>1310</v>
      </c>
      <c r="I879" s="72">
        <v>43404</v>
      </c>
      <c r="K879" s="2" t="s">
        <v>1311</v>
      </c>
    </row>
    <row r="880" spans="1:11">
      <c r="A880" s="2" t="s">
        <v>510</v>
      </c>
      <c r="B880" s="2" t="s">
        <v>43</v>
      </c>
      <c r="C880" s="2" t="s">
        <v>1309</v>
      </c>
      <c r="D880" s="40">
        <v>137000</v>
      </c>
      <c r="E880" s="2" t="s">
        <v>295</v>
      </c>
      <c r="F880" s="145">
        <v>1246</v>
      </c>
      <c r="H880" s="2" t="s">
        <v>1310</v>
      </c>
      <c r="I880" s="72">
        <v>43407</v>
      </c>
      <c r="K880" s="2" t="s">
        <v>1311</v>
      </c>
    </row>
    <row r="881" spans="1:11">
      <c r="A881" s="2" t="s">
        <v>511</v>
      </c>
      <c r="B881" s="2" t="s">
        <v>43</v>
      </c>
      <c r="C881" s="2" t="s">
        <v>1309</v>
      </c>
      <c r="D881" s="40">
        <v>140000</v>
      </c>
      <c r="E881" s="2" t="s">
        <v>295</v>
      </c>
      <c r="F881" s="145">
        <v>1249</v>
      </c>
      <c r="H881" s="2" t="s">
        <v>1310</v>
      </c>
      <c r="I881" s="72">
        <v>43410</v>
      </c>
      <c r="K881" s="2" t="s">
        <v>1311</v>
      </c>
    </row>
    <row r="882" spans="1:11">
      <c r="A882" s="2" t="s">
        <v>512</v>
      </c>
      <c r="B882" s="2" t="s">
        <v>43</v>
      </c>
      <c r="C882" s="2" t="s">
        <v>1309</v>
      </c>
      <c r="D882" s="40">
        <v>143000</v>
      </c>
      <c r="E882" s="2" t="s">
        <v>295</v>
      </c>
      <c r="F882" s="145">
        <v>1252</v>
      </c>
      <c r="H882" s="2" t="s">
        <v>1310</v>
      </c>
      <c r="I882" s="72">
        <v>43413</v>
      </c>
      <c r="K882" s="2" t="s">
        <v>1311</v>
      </c>
    </row>
    <row r="883" spans="1:11">
      <c r="A883" s="2" t="s">
        <v>513</v>
      </c>
      <c r="B883" s="2" t="s">
        <v>43</v>
      </c>
      <c r="C883" s="2" t="s">
        <v>1309</v>
      </c>
      <c r="D883" s="40">
        <v>146000</v>
      </c>
      <c r="E883" s="2" t="s">
        <v>295</v>
      </c>
      <c r="F883" s="145">
        <v>1255</v>
      </c>
      <c r="H883" s="2" t="s">
        <v>1310</v>
      </c>
      <c r="I883" s="72">
        <v>43416</v>
      </c>
      <c r="K883" s="2" t="s">
        <v>1311</v>
      </c>
    </row>
    <row r="884" spans="1:11">
      <c r="A884" s="2" t="s">
        <v>514</v>
      </c>
      <c r="B884" s="2" t="s">
        <v>43</v>
      </c>
      <c r="C884" s="2" t="s">
        <v>1309</v>
      </c>
      <c r="D884" s="40">
        <v>149000</v>
      </c>
      <c r="E884" s="2" t="s">
        <v>295</v>
      </c>
      <c r="F884" s="145">
        <v>1258</v>
      </c>
      <c r="H884" s="2" t="s">
        <v>1310</v>
      </c>
      <c r="I884" s="72">
        <v>43419</v>
      </c>
      <c r="K884" s="2" t="s">
        <v>1311</v>
      </c>
    </row>
    <row r="885" spans="1:11">
      <c r="A885" s="2" t="s">
        <v>515</v>
      </c>
      <c r="B885" s="2" t="s">
        <v>43</v>
      </c>
      <c r="C885" s="2" t="s">
        <v>1309</v>
      </c>
      <c r="D885" s="40">
        <v>152000</v>
      </c>
      <c r="E885" s="2" t="s">
        <v>295</v>
      </c>
      <c r="F885" s="145">
        <v>1261</v>
      </c>
      <c r="H885" s="2" t="s">
        <v>1310</v>
      </c>
      <c r="I885" s="72">
        <v>43422</v>
      </c>
      <c r="K885" s="2" t="s">
        <v>1311</v>
      </c>
    </row>
    <row r="886" spans="1:11">
      <c r="A886" s="2" t="s">
        <v>516</v>
      </c>
      <c r="B886" s="2" t="s">
        <v>43</v>
      </c>
      <c r="C886" s="2" t="s">
        <v>1309</v>
      </c>
      <c r="D886" s="40">
        <v>155000</v>
      </c>
      <c r="E886" s="2" t="s">
        <v>295</v>
      </c>
      <c r="F886" s="145">
        <v>1264</v>
      </c>
      <c r="H886" s="2" t="s">
        <v>1310</v>
      </c>
      <c r="I886" s="72">
        <v>43425</v>
      </c>
      <c r="K886" s="2" t="s">
        <v>1311</v>
      </c>
    </row>
    <row r="887" spans="1:11">
      <c r="A887" s="2" t="s">
        <v>517</v>
      </c>
      <c r="B887" s="2" t="s">
        <v>43</v>
      </c>
      <c r="C887" s="2" t="s">
        <v>1309</v>
      </c>
      <c r="D887" s="40">
        <v>158000</v>
      </c>
      <c r="E887" s="2" t="s">
        <v>295</v>
      </c>
      <c r="F887" s="145">
        <v>1267</v>
      </c>
      <c r="H887" s="2" t="s">
        <v>1310</v>
      </c>
      <c r="I887" s="72">
        <v>43428</v>
      </c>
      <c r="K887" s="2" t="s">
        <v>1311</v>
      </c>
    </row>
    <row r="888" spans="1:11">
      <c r="A888" s="2" t="s">
        <v>518</v>
      </c>
      <c r="B888" s="2" t="s">
        <v>43</v>
      </c>
      <c r="C888" s="2" t="s">
        <v>1309</v>
      </c>
      <c r="D888" s="40">
        <v>161000</v>
      </c>
      <c r="E888" s="2" t="s">
        <v>295</v>
      </c>
      <c r="F888" s="145">
        <v>1270</v>
      </c>
      <c r="H888" s="2" t="s">
        <v>1310</v>
      </c>
      <c r="I888" s="72">
        <v>43431</v>
      </c>
      <c r="K888" s="2" t="s">
        <v>1311</v>
      </c>
    </row>
    <row r="889" spans="1:11">
      <c r="A889" s="2" t="s">
        <v>519</v>
      </c>
      <c r="B889" s="2" t="s">
        <v>43</v>
      </c>
      <c r="C889" s="2" t="s">
        <v>1309</v>
      </c>
      <c r="D889" s="40">
        <v>164000</v>
      </c>
      <c r="E889" s="2" t="s">
        <v>295</v>
      </c>
      <c r="F889" s="145">
        <v>1273</v>
      </c>
      <c r="H889" s="2" t="s">
        <v>1310</v>
      </c>
      <c r="I889" s="72">
        <v>43434</v>
      </c>
      <c r="K889" s="2" t="s">
        <v>1311</v>
      </c>
    </row>
    <row r="890" spans="1:11">
      <c r="A890" s="2" t="s">
        <v>520</v>
      </c>
      <c r="B890" s="2" t="s">
        <v>43</v>
      </c>
      <c r="C890" s="2" t="s">
        <v>1309</v>
      </c>
      <c r="D890" s="40">
        <v>167000</v>
      </c>
      <c r="E890" s="2" t="s">
        <v>295</v>
      </c>
      <c r="F890" s="145">
        <v>1276</v>
      </c>
      <c r="H890" s="2" t="s">
        <v>1310</v>
      </c>
      <c r="I890" s="72">
        <v>43437</v>
      </c>
      <c r="K890" s="2" t="s">
        <v>1311</v>
      </c>
    </row>
    <row r="891" spans="1:11">
      <c r="A891" s="2" t="s">
        <v>521</v>
      </c>
      <c r="B891" s="2" t="s">
        <v>43</v>
      </c>
      <c r="C891" s="2" t="s">
        <v>1309</v>
      </c>
      <c r="D891" s="40">
        <v>170000</v>
      </c>
      <c r="E891" s="2" t="s">
        <v>295</v>
      </c>
      <c r="F891" s="145">
        <v>1279</v>
      </c>
      <c r="H891" s="2" t="s">
        <v>1310</v>
      </c>
      <c r="I891" s="72">
        <v>43440</v>
      </c>
      <c r="K891" s="2" t="s">
        <v>1311</v>
      </c>
    </row>
    <row r="892" spans="1:11">
      <c r="A892" s="2" t="s">
        <v>522</v>
      </c>
      <c r="B892" s="2" t="s">
        <v>43</v>
      </c>
      <c r="C892" s="2" t="s">
        <v>1309</v>
      </c>
      <c r="D892" s="40">
        <v>173000</v>
      </c>
      <c r="E892" s="2" t="s">
        <v>295</v>
      </c>
      <c r="F892" s="145">
        <v>1282</v>
      </c>
      <c r="H892" s="2" t="s">
        <v>1310</v>
      </c>
      <c r="I892" s="72">
        <v>43443</v>
      </c>
      <c r="K892" s="2" t="s">
        <v>1311</v>
      </c>
    </row>
    <row r="893" spans="1:11">
      <c r="A893" s="2" t="s">
        <v>523</v>
      </c>
      <c r="B893" s="2" t="s">
        <v>43</v>
      </c>
      <c r="C893" s="2" t="s">
        <v>1309</v>
      </c>
      <c r="D893" s="40">
        <v>176000</v>
      </c>
      <c r="E893" s="2" t="s">
        <v>295</v>
      </c>
      <c r="F893" s="145">
        <v>1285</v>
      </c>
      <c r="H893" s="2" t="s">
        <v>1310</v>
      </c>
      <c r="I893" s="72">
        <v>43446</v>
      </c>
      <c r="K893" s="2" t="s">
        <v>1311</v>
      </c>
    </row>
    <row r="894" spans="1:11">
      <c r="A894" s="2" t="s">
        <v>524</v>
      </c>
      <c r="B894" s="2" t="s">
        <v>43</v>
      </c>
      <c r="C894" s="2" t="s">
        <v>1309</v>
      </c>
      <c r="D894" s="40">
        <v>179000</v>
      </c>
      <c r="E894" s="2" t="s">
        <v>295</v>
      </c>
      <c r="F894" s="145">
        <v>1288</v>
      </c>
      <c r="H894" s="2" t="s">
        <v>1310</v>
      </c>
      <c r="I894" s="72">
        <v>43449</v>
      </c>
      <c r="K894" s="2" t="s">
        <v>1311</v>
      </c>
    </row>
    <row r="895" spans="1:11">
      <c r="A895" s="2" t="s">
        <v>525</v>
      </c>
      <c r="B895" s="2" t="s">
        <v>43</v>
      </c>
      <c r="C895" s="2" t="s">
        <v>1309</v>
      </c>
      <c r="D895" s="40">
        <v>182000</v>
      </c>
      <c r="E895" s="2" t="s">
        <v>295</v>
      </c>
      <c r="F895" s="145">
        <v>1291</v>
      </c>
      <c r="H895" s="2" t="s">
        <v>1310</v>
      </c>
      <c r="I895" s="72">
        <v>43452</v>
      </c>
      <c r="K895" s="2" t="s">
        <v>1311</v>
      </c>
    </row>
    <row r="896" spans="1:11">
      <c r="A896" s="2" t="s">
        <v>526</v>
      </c>
      <c r="B896" s="2" t="s">
        <v>43</v>
      </c>
      <c r="C896" s="2" t="s">
        <v>1309</v>
      </c>
      <c r="D896" s="40">
        <v>185000</v>
      </c>
      <c r="E896" s="2" t="s">
        <v>295</v>
      </c>
      <c r="F896" s="145">
        <v>1294</v>
      </c>
      <c r="H896" s="2" t="s">
        <v>1310</v>
      </c>
      <c r="I896" s="72">
        <v>43455</v>
      </c>
      <c r="K896" s="2" t="s">
        <v>1311</v>
      </c>
    </row>
    <row r="897" spans="1:11">
      <c r="A897" s="2" t="s">
        <v>527</v>
      </c>
      <c r="B897" s="2" t="s">
        <v>43</v>
      </c>
      <c r="C897" s="2" t="s">
        <v>1309</v>
      </c>
      <c r="D897" s="40">
        <v>188000</v>
      </c>
      <c r="E897" s="2" t="s">
        <v>295</v>
      </c>
      <c r="F897" s="145">
        <v>1297</v>
      </c>
      <c r="H897" s="2" t="s">
        <v>1310</v>
      </c>
      <c r="I897" s="72">
        <v>43458</v>
      </c>
      <c r="K897" s="2" t="s">
        <v>1311</v>
      </c>
    </row>
    <row r="898" spans="1:11">
      <c r="A898" s="2" t="s">
        <v>528</v>
      </c>
      <c r="B898" s="2" t="s">
        <v>43</v>
      </c>
      <c r="C898" s="2" t="s">
        <v>1309</v>
      </c>
      <c r="D898" s="40">
        <v>191000</v>
      </c>
      <c r="E898" s="2" t="s">
        <v>295</v>
      </c>
      <c r="F898" s="145">
        <v>1300</v>
      </c>
      <c r="H898" s="2" t="s">
        <v>1310</v>
      </c>
      <c r="I898" s="72">
        <v>43461</v>
      </c>
      <c r="K898" s="2" t="s">
        <v>1311</v>
      </c>
    </row>
    <row r="899" spans="1:11">
      <c r="A899" s="2" t="s">
        <v>529</v>
      </c>
      <c r="B899" s="2" t="s">
        <v>43</v>
      </c>
      <c r="C899" s="2" t="s">
        <v>1309</v>
      </c>
      <c r="D899" s="40">
        <v>194000</v>
      </c>
      <c r="E899" s="2" t="s">
        <v>295</v>
      </c>
      <c r="F899" s="145">
        <v>1303</v>
      </c>
      <c r="H899" s="2" t="s">
        <v>1310</v>
      </c>
      <c r="I899" s="72">
        <v>43464</v>
      </c>
      <c r="K899" s="2" t="s">
        <v>1311</v>
      </c>
    </row>
    <row r="900" spans="1:11">
      <c r="A900" s="2" t="s">
        <v>530</v>
      </c>
      <c r="B900" s="2" t="s">
        <v>43</v>
      </c>
      <c r="C900" s="2" t="s">
        <v>1309</v>
      </c>
      <c r="D900" s="40">
        <v>197000</v>
      </c>
      <c r="E900" s="2" t="s">
        <v>295</v>
      </c>
      <c r="F900" s="145">
        <v>1306</v>
      </c>
      <c r="H900" s="2" t="s">
        <v>1310</v>
      </c>
      <c r="I900" s="72">
        <v>43467</v>
      </c>
      <c r="K900" s="2" t="s">
        <v>1311</v>
      </c>
    </row>
    <row r="901" spans="1:11">
      <c r="A901" s="2" t="s">
        <v>531</v>
      </c>
      <c r="B901" s="2" t="s">
        <v>43</v>
      </c>
      <c r="C901" s="2" t="s">
        <v>1309</v>
      </c>
      <c r="D901" s="40">
        <v>200000</v>
      </c>
      <c r="E901" s="2" t="s">
        <v>295</v>
      </c>
      <c r="F901" s="145">
        <v>1309</v>
      </c>
      <c r="H901" s="2" t="s">
        <v>1310</v>
      </c>
      <c r="I901" s="72">
        <v>43470</v>
      </c>
      <c r="K901" s="2" t="s">
        <v>1311</v>
      </c>
    </row>
    <row r="902" spans="1:11">
      <c r="A902" s="2" t="s">
        <v>532</v>
      </c>
      <c r="B902" s="2" t="s">
        <v>43</v>
      </c>
      <c r="C902" s="2" t="s">
        <v>1309</v>
      </c>
      <c r="D902" s="40">
        <v>203000</v>
      </c>
      <c r="E902" s="2" t="s">
        <v>295</v>
      </c>
      <c r="F902" s="145">
        <v>1312</v>
      </c>
      <c r="H902" s="2" t="s">
        <v>1310</v>
      </c>
      <c r="I902" s="72">
        <v>43473</v>
      </c>
      <c r="K902" s="2" t="s">
        <v>1311</v>
      </c>
    </row>
    <row r="903" spans="1:11">
      <c r="A903" s="2" t="s">
        <v>533</v>
      </c>
      <c r="B903" s="2" t="s">
        <v>43</v>
      </c>
      <c r="C903" s="2" t="s">
        <v>1309</v>
      </c>
      <c r="D903" s="40">
        <v>206000</v>
      </c>
      <c r="E903" s="2" t="s">
        <v>295</v>
      </c>
      <c r="F903" s="145">
        <v>1315</v>
      </c>
      <c r="H903" s="2" t="s">
        <v>1310</v>
      </c>
      <c r="I903" s="72">
        <v>43476</v>
      </c>
      <c r="K903" s="2" t="s">
        <v>1311</v>
      </c>
    </row>
    <row r="904" spans="1:11">
      <c r="A904" s="2" t="s">
        <v>534</v>
      </c>
      <c r="B904" s="2" t="s">
        <v>43</v>
      </c>
      <c r="C904" s="2" t="s">
        <v>1309</v>
      </c>
      <c r="D904" s="40">
        <v>209000</v>
      </c>
      <c r="E904" s="2" t="s">
        <v>295</v>
      </c>
      <c r="F904" s="145">
        <v>1318</v>
      </c>
      <c r="H904" s="2" t="s">
        <v>1310</v>
      </c>
      <c r="I904" s="72">
        <v>43479</v>
      </c>
      <c r="K904" s="2" t="s">
        <v>1311</v>
      </c>
    </row>
    <row r="905" spans="1:11">
      <c r="A905" s="2" t="s">
        <v>535</v>
      </c>
      <c r="B905" s="2" t="s">
        <v>43</v>
      </c>
      <c r="C905" s="2" t="s">
        <v>1309</v>
      </c>
      <c r="D905" s="40">
        <v>212000</v>
      </c>
      <c r="E905" s="2" t="s">
        <v>295</v>
      </c>
      <c r="F905" s="145">
        <v>1321</v>
      </c>
      <c r="H905" s="2" t="s">
        <v>1310</v>
      </c>
      <c r="I905" s="72">
        <v>43482</v>
      </c>
      <c r="K905" s="2" t="s">
        <v>1311</v>
      </c>
    </row>
    <row r="906" spans="1:11">
      <c r="A906" s="2" t="s">
        <v>536</v>
      </c>
      <c r="B906" s="2" t="s">
        <v>43</v>
      </c>
      <c r="C906" s="2" t="s">
        <v>1309</v>
      </c>
      <c r="D906" s="40">
        <v>215000</v>
      </c>
      <c r="E906" s="2" t="s">
        <v>295</v>
      </c>
      <c r="F906" s="145">
        <v>1324</v>
      </c>
      <c r="H906" s="2" t="s">
        <v>1310</v>
      </c>
      <c r="I906" s="72">
        <v>43485</v>
      </c>
      <c r="K906" s="2" t="s">
        <v>1311</v>
      </c>
    </row>
    <row r="907" spans="1:11">
      <c r="A907" s="2" t="s">
        <v>537</v>
      </c>
      <c r="B907" s="2" t="s">
        <v>43</v>
      </c>
      <c r="C907" s="2" t="s">
        <v>1309</v>
      </c>
      <c r="D907" s="40">
        <v>218000</v>
      </c>
      <c r="E907" s="2" t="s">
        <v>295</v>
      </c>
      <c r="F907" s="145">
        <v>1327</v>
      </c>
      <c r="H907" s="2" t="s">
        <v>1310</v>
      </c>
      <c r="I907" s="72">
        <v>43488</v>
      </c>
      <c r="K907" s="2" t="s">
        <v>1311</v>
      </c>
    </row>
    <row r="908" spans="1:11">
      <c r="A908" s="2" t="s">
        <v>538</v>
      </c>
      <c r="B908" s="2" t="s">
        <v>43</v>
      </c>
      <c r="C908" s="2" t="s">
        <v>1309</v>
      </c>
      <c r="D908" s="40">
        <v>221000</v>
      </c>
      <c r="E908" s="2" t="s">
        <v>295</v>
      </c>
      <c r="F908" s="145">
        <v>1330</v>
      </c>
      <c r="H908" s="2" t="s">
        <v>1310</v>
      </c>
      <c r="I908" s="72">
        <v>43491</v>
      </c>
      <c r="K908" s="2" t="s">
        <v>1311</v>
      </c>
    </row>
    <row r="909" spans="1:11">
      <c r="A909" s="2" t="s">
        <v>539</v>
      </c>
      <c r="B909" s="2" t="s">
        <v>43</v>
      </c>
      <c r="C909" s="2" t="s">
        <v>1309</v>
      </c>
      <c r="D909" s="40">
        <v>224000</v>
      </c>
      <c r="E909" s="2" t="s">
        <v>295</v>
      </c>
      <c r="F909" s="145">
        <v>1333</v>
      </c>
      <c r="H909" s="2" t="s">
        <v>1310</v>
      </c>
      <c r="I909" s="72">
        <v>43494</v>
      </c>
      <c r="K909" s="2" t="s">
        <v>1311</v>
      </c>
    </row>
    <row r="910" spans="1:11">
      <c r="A910" s="2" t="s">
        <v>540</v>
      </c>
      <c r="B910" s="2" t="s">
        <v>43</v>
      </c>
      <c r="C910" s="2" t="s">
        <v>1309</v>
      </c>
      <c r="D910" s="40">
        <v>227000</v>
      </c>
      <c r="E910" s="2" t="s">
        <v>295</v>
      </c>
      <c r="F910" s="145">
        <v>1336</v>
      </c>
      <c r="H910" s="2" t="s">
        <v>1310</v>
      </c>
      <c r="I910" s="72">
        <v>43497</v>
      </c>
      <c r="K910" s="2" t="s">
        <v>1311</v>
      </c>
    </row>
    <row r="911" spans="1:11">
      <c r="A911" s="2" t="s">
        <v>541</v>
      </c>
      <c r="B911" s="2" t="s">
        <v>43</v>
      </c>
      <c r="C911" s="2" t="s">
        <v>1309</v>
      </c>
      <c r="D911" s="40">
        <v>230000</v>
      </c>
      <c r="E911" s="2" t="s">
        <v>295</v>
      </c>
      <c r="F911" s="145">
        <v>1339</v>
      </c>
      <c r="H911" s="2" t="s">
        <v>1310</v>
      </c>
      <c r="I911" s="72">
        <v>43500</v>
      </c>
      <c r="K911" s="2" t="s">
        <v>1311</v>
      </c>
    </row>
    <row r="912" spans="1:11">
      <c r="A912" s="2" t="s">
        <v>542</v>
      </c>
      <c r="B912" s="2" t="s">
        <v>43</v>
      </c>
      <c r="C912" s="2" t="s">
        <v>1309</v>
      </c>
      <c r="D912" s="40">
        <v>233000</v>
      </c>
      <c r="E912" s="2" t="s">
        <v>295</v>
      </c>
      <c r="F912" s="145">
        <v>1342</v>
      </c>
      <c r="H912" s="2" t="s">
        <v>1310</v>
      </c>
      <c r="I912" s="72">
        <v>43503</v>
      </c>
      <c r="K912" s="2" t="s">
        <v>1311</v>
      </c>
    </row>
    <row r="913" spans="1:11">
      <c r="A913" s="2" t="s">
        <v>543</v>
      </c>
      <c r="B913" s="2" t="s">
        <v>43</v>
      </c>
      <c r="C913" s="2" t="s">
        <v>1309</v>
      </c>
      <c r="D913" s="40">
        <v>236000</v>
      </c>
      <c r="E913" s="2" t="s">
        <v>295</v>
      </c>
      <c r="F913" s="145">
        <v>1345</v>
      </c>
      <c r="H913" s="2" t="s">
        <v>1310</v>
      </c>
      <c r="I913" s="72">
        <v>43506</v>
      </c>
      <c r="K913" s="2" t="s">
        <v>1311</v>
      </c>
    </row>
    <row r="914" spans="1:11">
      <c r="A914" s="2" t="s">
        <v>544</v>
      </c>
      <c r="B914" s="2" t="s">
        <v>43</v>
      </c>
      <c r="C914" s="2" t="s">
        <v>1309</v>
      </c>
      <c r="D914" s="40">
        <v>239000</v>
      </c>
      <c r="E914" s="2" t="s">
        <v>295</v>
      </c>
      <c r="F914" s="145">
        <v>1348</v>
      </c>
      <c r="H914" s="2" t="s">
        <v>1310</v>
      </c>
      <c r="I914" s="72">
        <v>43509</v>
      </c>
      <c r="K914" s="2" t="s">
        <v>1311</v>
      </c>
    </row>
    <row r="915" spans="1:11">
      <c r="A915" s="2" t="s">
        <v>545</v>
      </c>
      <c r="B915" s="2" t="s">
        <v>43</v>
      </c>
      <c r="C915" s="2" t="s">
        <v>1309</v>
      </c>
      <c r="D915" s="40">
        <v>242000</v>
      </c>
      <c r="E915" s="2" t="s">
        <v>295</v>
      </c>
      <c r="F915" s="145">
        <v>1351</v>
      </c>
      <c r="H915" s="2" t="s">
        <v>1310</v>
      </c>
      <c r="I915" s="72">
        <v>43512</v>
      </c>
      <c r="K915" s="2" t="s">
        <v>1311</v>
      </c>
    </row>
    <row r="916" spans="1:11">
      <c r="A916" s="2" t="s">
        <v>546</v>
      </c>
      <c r="B916" s="2" t="s">
        <v>43</v>
      </c>
      <c r="C916" s="2" t="s">
        <v>1309</v>
      </c>
      <c r="D916" s="40">
        <v>245000</v>
      </c>
      <c r="E916" s="2" t="s">
        <v>295</v>
      </c>
      <c r="F916" s="145">
        <v>1354</v>
      </c>
      <c r="H916" s="2" t="s">
        <v>1310</v>
      </c>
      <c r="I916" s="72">
        <v>43515</v>
      </c>
      <c r="K916" s="2" t="s">
        <v>1311</v>
      </c>
    </row>
    <row r="917" spans="1:11">
      <c r="A917" s="2" t="s">
        <v>547</v>
      </c>
      <c r="B917" s="2" t="s">
        <v>43</v>
      </c>
      <c r="C917" s="2" t="s">
        <v>1309</v>
      </c>
      <c r="D917" s="40">
        <v>248000</v>
      </c>
      <c r="E917" s="2" t="s">
        <v>295</v>
      </c>
      <c r="F917" s="145">
        <v>1357</v>
      </c>
      <c r="H917" s="2" t="s">
        <v>1310</v>
      </c>
      <c r="I917" s="72">
        <v>43518</v>
      </c>
      <c r="K917" s="2" t="s">
        <v>1311</v>
      </c>
    </row>
    <row r="918" spans="1:11">
      <c r="A918" s="2" t="s">
        <v>548</v>
      </c>
      <c r="B918" s="2" t="s">
        <v>43</v>
      </c>
      <c r="C918" s="2" t="s">
        <v>1309</v>
      </c>
      <c r="D918" s="40">
        <v>251000</v>
      </c>
      <c r="E918" s="2" t="s">
        <v>295</v>
      </c>
      <c r="F918" s="145">
        <v>1360</v>
      </c>
      <c r="H918" s="2" t="s">
        <v>1310</v>
      </c>
      <c r="I918" s="72">
        <v>43521</v>
      </c>
      <c r="K918" s="2" t="s">
        <v>1311</v>
      </c>
    </row>
    <row r="919" spans="1:11">
      <c r="A919" s="2" t="s">
        <v>549</v>
      </c>
      <c r="B919" s="2" t="s">
        <v>43</v>
      </c>
      <c r="C919" s="2" t="s">
        <v>1309</v>
      </c>
      <c r="D919" s="40">
        <v>254000</v>
      </c>
      <c r="E919" s="2" t="s">
        <v>295</v>
      </c>
      <c r="F919" s="145">
        <v>1363</v>
      </c>
      <c r="H919" s="2" t="s">
        <v>1310</v>
      </c>
      <c r="I919" s="72">
        <v>43524</v>
      </c>
      <c r="K919" s="2" t="s">
        <v>1311</v>
      </c>
    </row>
    <row r="920" spans="1:11">
      <c r="A920" s="2" t="s">
        <v>550</v>
      </c>
      <c r="B920" s="2" t="s">
        <v>43</v>
      </c>
      <c r="C920" s="2" t="s">
        <v>1309</v>
      </c>
      <c r="D920" s="40">
        <v>257000</v>
      </c>
      <c r="E920" s="2" t="s">
        <v>295</v>
      </c>
      <c r="F920" s="145">
        <v>1366</v>
      </c>
      <c r="H920" s="2" t="s">
        <v>1310</v>
      </c>
      <c r="I920" s="72">
        <v>43527</v>
      </c>
      <c r="K920" s="2" t="s">
        <v>1311</v>
      </c>
    </row>
    <row r="921" spans="1:11">
      <c r="A921" s="2" t="s">
        <v>551</v>
      </c>
      <c r="B921" s="2" t="s">
        <v>43</v>
      </c>
      <c r="C921" s="2" t="s">
        <v>1309</v>
      </c>
      <c r="D921" s="40">
        <v>260000</v>
      </c>
      <c r="E921" s="2" t="s">
        <v>295</v>
      </c>
      <c r="F921" s="145">
        <v>1369</v>
      </c>
      <c r="H921" s="2" t="s">
        <v>1310</v>
      </c>
      <c r="I921" s="72">
        <v>43530</v>
      </c>
      <c r="K921" s="2" t="s">
        <v>1311</v>
      </c>
    </row>
    <row r="922" spans="1:11">
      <c r="A922" s="2" t="s">
        <v>552</v>
      </c>
      <c r="B922" s="2" t="s">
        <v>43</v>
      </c>
      <c r="C922" s="2" t="s">
        <v>1309</v>
      </c>
      <c r="D922" s="40">
        <v>263000</v>
      </c>
      <c r="E922" s="2" t="s">
        <v>295</v>
      </c>
      <c r="F922" s="145">
        <v>1372</v>
      </c>
      <c r="H922" s="2" t="s">
        <v>1310</v>
      </c>
      <c r="I922" s="72">
        <v>43533</v>
      </c>
      <c r="K922" s="2" t="s">
        <v>1311</v>
      </c>
    </row>
    <row r="923" spans="1:11">
      <c r="A923" s="2" t="s">
        <v>553</v>
      </c>
      <c r="B923" s="2" t="s">
        <v>43</v>
      </c>
      <c r="C923" s="2" t="s">
        <v>1309</v>
      </c>
      <c r="D923" s="40">
        <v>266000</v>
      </c>
      <c r="E923" s="2" t="s">
        <v>295</v>
      </c>
      <c r="F923" s="145">
        <v>1375</v>
      </c>
      <c r="H923" s="2" t="s">
        <v>1310</v>
      </c>
      <c r="I923" s="72">
        <v>43536</v>
      </c>
      <c r="K923" s="2" t="s">
        <v>1311</v>
      </c>
    </row>
    <row r="924" spans="1:11">
      <c r="A924" s="2" t="s">
        <v>554</v>
      </c>
      <c r="B924" s="2" t="s">
        <v>43</v>
      </c>
      <c r="C924" s="2" t="s">
        <v>1309</v>
      </c>
      <c r="D924" s="40">
        <v>269000</v>
      </c>
      <c r="E924" s="2" t="s">
        <v>295</v>
      </c>
      <c r="F924" s="145">
        <v>1378</v>
      </c>
      <c r="H924" s="2" t="s">
        <v>1310</v>
      </c>
      <c r="I924" s="72">
        <v>43539</v>
      </c>
      <c r="K924" s="2" t="s">
        <v>1311</v>
      </c>
    </row>
    <row r="925" spans="1:11">
      <c r="A925" s="2" t="s">
        <v>555</v>
      </c>
      <c r="B925" s="2" t="s">
        <v>43</v>
      </c>
      <c r="C925" s="2" t="s">
        <v>1309</v>
      </c>
      <c r="D925" s="40">
        <v>272000</v>
      </c>
      <c r="E925" s="2" t="s">
        <v>295</v>
      </c>
      <c r="F925" s="145">
        <v>1381</v>
      </c>
      <c r="H925" s="2" t="s">
        <v>1310</v>
      </c>
      <c r="I925" s="72">
        <v>43542</v>
      </c>
      <c r="K925" s="2" t="s">
        <v>1311</v>
      </c>
    </row>
    <row r="926" spans="1:11">
      <c r="A926" s="2" t="s">
        <v>556</v>
      </c>
      <c r="B926" s="2" t="s">
        <v>43</v>
      </c>
      <c r="C926" s="2" t="s">
        <v>1309</v>
      </c>
      <c r="D926" s="40">
        <v>275000</v>
      </c>
      <c r="E926" s="2" t="s">
        <v>295</v>
      </c>
      <c r="F926" s="145">
        <v>1384</v>
      </c>
      <c r="H926" s="2" t="s">
        <v>1310</v>
      </c>
      <c r="I926" s="72">
        <v>43545</v>
      </c>
      <c r="K926" s="2" t="s">
        <v>1311</v>
      </c>
    </row>
    <row r="927" spans="1:11">
      <c r="A927" s="2" t="s">
        <v>557</v>
      </c>
      <c r="B927" s="2" t="s">
        <v>43</v>
      </c>
      <c r="C927" s="2" t="s">
        <v>1309</v>
      </c>
      <c r="D927" s="40">
        <v>278000</v>
      </c>
      <c r="E927" s="2" t="s">
        <v>295</v>
      </c>
      <c r="F927" s="145">
        <v>1387</v>
      </c>
      <c r="H927" s="2" t="s">
        <v>1310</v>
      </c>
      <c r="I927" s="72">
        <v>43548</v>
      </c>
      <c r="K927" s="2" t="s">
        <v>1311</v>
      </c>
    </row>
    <row r="928" spans="1:11">
      <c r="A928" s="2" t="s">
        <v>558</v>
      </c>
      <c r="B928" s="2" t="s">
        <v>43</v>
      </c>
      <c r="C928" s="2" t="s">
        <v>1309</v>
      </c>
      <c r="D928" s="40">
        <v>281000</v>
      </c>
      <c r="E928" s="2" t="s">
        <v>295</v>
      </c>
      <c r="F928" s="145">
        <v>1390</v>
      </c>
      <c r="H928" s="2" t="s">
        <v>1310</v>
      </c>
      <c r="I928" s="72">
        <v>43551</v>
      </c>
      <c r="K928" s="2" t="s">
        <v>1311</v>
      </c>
    </row>
    <row r="929" spans="1:11">
      <c r="A929" s="2" t="s">
        <v>559</v>
      </c>
      <c r="B929" s="2" t="s">
        <v>43</v>
      </c>
      <c r="C929" s="2" t="s">
        <v>1309</v>
      </c>
      <c r="D929" s="40">
        <v>284000</v>
      </c>
      <c r="E929" s="2" t="s">
        <v>295</v>
      </c>
      <c r="F929" s="145">
        <v>1393</v>
      </c>
      <c r="H929" s="2" t="s">
        <v>1310</v>
      </c>
      <c r="I929" s="72">
        <v>43554</v>
      </c>
      <c r="K929" s="2" t="s">
        <v>1311</v>
      </c>
    </row>
    <row r="930" spans="1:11">
      <c r="A930" s="2" t="s">
        <v>560</v>
      </c>
      <c r="B930" s="2" t="s">
        <v>43</v>
      </c>
      <c r="C930" s="2" t="s">
        <v>1309</v>
      </c>
      <c r="D930" s="40">
        <v>287000</v>
      </c>
      <c r="E930" s="2" t="s">
        <v>295</v>
      </c>
      <c r="F930" s="145">
        <v>1396</v>
      </c>
      <c r="H930" s="2" t="s">
        <v>1310</v>
      </c>
      <c r="I930" s="72">
        <v>43557</v>
      </c>
      <c r="K930" s="2" t="s">
        <v>1311</v>
      </c>
    </row>
    <row r="931" spans="1:11">
      <c r="A931" s="2" t="s">
        <v>561</v>
      </c>
      <c r="B931" s="2" t="s">
        <v>43</v>
      </c>
      <c r="C931" s="2" t="s">
        <v>1309</v>
      </c>
      <c r="D931" s="40">
        <v>290000</v>
      </c>
      <c r="E931" s="2" t="s">
        <v>295</v>
      </c>
      <c r="F931" s="145">
        <v>1399</v>
      </c>
      <c r="H931" s="2" t="s">
        <v>1310</v>
      </c>
      <c r="I931" s="72">
        <v>43560</v>
      </c>
      <c r="K931" s="2" t="s">
        <v>1311</v>
      </c>
    </row>
    <row r="932" spans="1:11">
      <c r="A932" s="2" t="s">
        <v>562</v>
      </c>
      <c r="B932" s="2" t="s">
        <v>43</v>
      </c>
      <c r="C932" s="2" t="s">
        <v>1309</v>
      </c>
      <c r="D932" s="40">
        <v>293000</v>
      </c>
      <c r="E932" s="2" t="s">
        <v>295</v>
      </c>
      <c r="F932" s="145">
        <v>1402</v>
      </c>
      <c r="H932" s="2" t="s">
        <v>1310</v>
      </c>
      <c r="I932" s="72">
        <v>43563</v>
      </c>
      <c r="K932" s="2" t="s">
        <v>1311</v>
      </c>
    </row>
    <row r="933" spans="1:11">
      <c r="A933" s="2" t="s">
        <v>563</v>
      </c>
      <c r="B933" s="2" t="s">
        <v>43</v>
      </c>
      <c r="C933" s="2" t="s">
        <v>1309</v>
      </c>
      <c r="D933" s="40">
        <v>296000</v>
      </c>
      <c r="E933" s="2" t="s">
        <v>295</v>
      </c>
      <c r="F933" s="145">
        <v>1405</v>
      </c>
      <c r="H933" s="2" t="s">
        <v>1310</v>
      </c>
      <c r="I933" s="72">
        <v>43566</v>
      </c>
      <c r="K933" s="2" t="s">
        <v>1311</v>
      </c>
    </row>
    <row r="934" spans="1:11">
      <c r="A934" s="2" t="s">
        <v>564</v>
      </c>
      <c r="B934" s="2" t="s">
        <v>43</v>
      </c>
      <c r="C934" s="2" t="s">
        <v>1309</v>
      </c>
      <c r="D934" s="40">
        <v>299000</v>
      </c>
      <c r="E934" s="2" t="s">
        <v>295</v>
      </c>
      <c r="F934" s="145">
        <v>1408</v>
      </c>
      <c r="H934" s="2" t="s">
        <v>1310</v>
      </c>
      <c r="I934" s="72">
        <v>43569</v>
      </c>
      <c r="K934" s="2" t="s">
        <v>1311</v>
      </c>
    </row>
    <row r="935" spans="1:11">
      <c r="A935" s="2" t="s">
        <v>565</v>
      </c>
      <c r="B935" s="2" t="s">
        <v>43</v>
      </c>
      <c r="C935" s="2" t="s">
        <v>1309</v>
      </c>
      <c r="D935" s="40">
        <v>302000</v>
      </c>
      <c r="E935" s="2" t="s">
        <v>295</v>
      </c>
      <c r="F935" s="145">
        <v>1411</v>
      </c>
      <c r="H935" s="2" t="s">
        <v>1310</v>
      </c>
      <c r="I935" s="72">
        <v>43572</v>
      </c>
      <c r="K935" s="2" t="s">
        <v>1311</v>
      </c>
    </row>
    <row r="936" spans="1:11">
      <c r="A936" s="2" t="s">
        <v>566</v>
      </c>
      <c r="B936" s="2" t="s">
        <v>43</v>
      </c>
      <c r="C936" s="2" t="s">
        <v>1309</v>
      </c>
      <c r="D936" s="40">
        <v>305000</v>
      </c>
      <c r="E936" s="2" t="s">
        <v>295</v>
      </c>
      <c r="F936" s="145">
        <v>1414</v>
      </c>
      <c r="H936" s="2" t="s">
        <v>1310</v>
      </c>
      <c r="I936" s="72">
        <v>43575</v>
      </c>
      <c r="K936" s="2" t="s">
        <v>1311</v>
      </c>
    </row>
    <row r="937" spans="1:11">
      <c r="A937" s="2" t="s">
        <v>567</v>
      </c>
      <c r="B937" s="2" t="s">
        <v>43</v>
      </c>
      <c r="C937" s="2" t="s">
        <v>1309</v>
      </c>
      <c r="D937" s="40">
        <v>308000</v>
      </c>
      <c r="E937" s="2" t="s">
        <v>295</v>
      </c>
      <c r="F937" s="145">
        <v>1417</v>
      </c>
      <c r="H937" s="2" t="s">
        <v>1310</v>
      </c>
      <c r="I937" s="72">
        <v>43578</v>
      </c>
      <c r="K937" s="2" t="s">
        <v>1311</v>
      </c>
    </row>
    <row r="938" spans="1:11">
      <c r="A938" s="2" t="s">
        <v>568</v>
      </c>
      <c r="B938" s="2" t="s">
        <v>43</v>
      </c>
      <c r="C938" s="2" t="s">
        <v>1309</v>
      </c>
      <c r="D938" s="40">
        <v>311000</v>
      </c>
      <c r="E938" s="2" t="s">
        <v>295</v>
      </c>
      <c r="F938" s="145">
        <v>1420</v>
      </c>
      <c r="H938" s="2" t="s">
        <v>1310</v>
      </c>
      <c r="I938" s="72">
        <v>43581</v>
      </c>
      <c r="K938" s="2" t="s">
        <v>1311</v>
      </c>
    </row>
    <row r="939" spans="1:11">
      <c r="A939" s="2" t="s">
        <v>569</v>
      </c>
      <c r="B939" s="2" t="s">
        <v>43</v>
      </c>
      <c r="C939" s="2" t="s">
        <v>1309</v>
      </c>
      <c r="D939" s="40">
        <v>314000</v>
      </c>
      <c r="E939" s="2" t="s">
        <v>295</v>
      </c>
      <c r="F939" s="145">
        <v>1423</v>
      </c>
      <c r="H939" s="2" t="s">
        <v>1310</v>
      </c>
      <c r="I939" s="72">
        <v>43584</v>
      </c>
      <c r="K939" s="2" t="s">
        <v>1311</v>
      </c>
    </row>
    <row r="940" spans="1:11">
      <c r="A940" s="2" t="s">
        <v>570</v>
      </c>
      <c r="B940" s="2" t="s">
        <v>43</v>
      </c>
      <c r="C940" s="2" t="s">
        <v>1309</v>
      </c>
      <c r="D940" s="40">
        <v>317000</v>
      </c>
      <c r="E940" s="2" t="s">
        <v>295</v>
      </c>
      <c r="F940" s="145">
        <v>1426</v>
      </c>
      <c r="H940" s="2" t="s">
        <v>1310</v>
      </c>
      <c r="I940" s="72">
        <v>43587</v>
      </c>
      <c r="K940" s="2" t="s">
        <v>1311</v>
      </c>
    </row>
    <row r="941" spans="1:11">
      <c r="A941" s="2" t="s">
        <v>571</v>
      </c>
      <c r="B941" s="2" t="s">
        <v>43</v>
      </c>
      <c r="C941" s="2" t="s">
        <v>1309</v>
      </c>
      <c r="D941" s="40">
        <v>320000</v>
      </c>
      <c r="E941" s="2" t="s">
        <v>295</v>
      </c>
      <c r="F941" s="145">
        <v>1429</v>
      </c>
      <c r="H941" s="2" t="s">
        <v>1310</v>
      </c>
      <c r="I941" s="72">
        <v>43590</v>
      </c>
      <c r="K941" s="2" t="s">
        <v>1311</v>
      </c>
    </row>
    <row r="942" spans="1:11">
      <c r="A942" s="2" t="s">
        <v>572</v>
      </c>
      <c r="B942" s="2" t="s">
        <v>43</v>
      </c>
      <c r="C942" s="2" t="s">
        <v>1309</v>
      </c>
      <c r="D942" s="40">
        <v>323000</v>
      </c>
      <c r="E942" s="2" t="s">
        <v>295</v>
      </c>
      <c r="F942" s="145">
        <v>1432</v>
      </c>
      <c r="H942" s="2" t="s">
        <v>1310</v>
      </c>
      <c r="I942" s="72">
        <v>43593</v>
      </c>
      <c r="K942" s="2" t="s">
        <v>1311</v>
      </c>
    </row>
    <row r="943" spans="1:11">
      <c r="A943" s="2" t="s">
        <v>573</v>
      </c>
      <c r="B943" s="2" t="s">
        <v>43</v>
      </c>
      <c r="C943" s="2" t="s">
        <v>1309</v>
      </c>
      <c r="D943" s="40">
        <v>326000</v>
      </c>
      <c r="E943" s="2" t="s">
        <v>295</v>
      </c>
      <c r="F943" s="145">
        <v>1435</v>
      </c>
      <c r="H943" s="2" t="s">
        <v>1310</v>
      </c>
      <c r="I943" s="72">
        <v>43596</v>
      </c>
      <c r="K943" s="2" t="s">
        <v>1311</v>
      </c>
    </row>
    <row r="944" spans="1:11">
      <c r="A944" s="2" t="s">
        <v>574</v>
      </c>
      <c r="B944" s="2" t="s">
        <v>43</v>
      </c>
      <c r="C944" s="2" t="s">
        <v>1309</v>
      </c>
      <c r="D944" s="40">
        <v>329000</v>
      </c>
      <c r="E944" s="2" t="s">
        <v>295</v>
      </c>
      <c r="F944" s="145">
        <v>1438</v>
      </c>
      <c r="H944" s="2" t="s">
        <v>1310</v>
      </c>
      <c r="I944" s="72">
        <v>43599</v>
      </c>
      <c r="K944" s="2" t="s">
        <v>1311</v>
      </c>
    </row>
    <row r="945" spans="1:11">
      <c r="A945" s="2" t="s">
        <v>575</v>
      </c>
      <c r="B945" s="2" t="s">
        <v>43</v>
      </c>
      <c r="C945" s="2" t="s">
        <v>1309</v>
      </c>
      <c r="D945" s="40">
        <v>332000</v>
      </c>
      <c r="E945" s="2" t="s">
        <v>295</v>
      </c>
      <c r="F945" s="145">
        <v>1441</v>
      </c>
      <c r="H945" s="2" t="s">
        <v>1310</v>
      </c>
      <c r="I945" s="72">
        <v>43602</v>
      </c>
      <c r="K945" s="2" t="s">
        <v>1311</v>
      </c>
    </row>
    <row r="946" spans="1:11">
      <c r="A946" s="2" t="s">
        <v>576</v>
      </c>
      <c r="B946" s="2" t="s">
        <v>43</v>
      </c>
      <c r="C946" s="2" t="s">
        <v>1309</v>
      </c>
      <c r="D946" s="40">
        <v>335000</v>
      </c>
      <c r="E946" s="2" t="s">
        <v>295</v>
      </c>
      <c r="F946" s="145">
        <v>1444</v>
      </c>
      <c r="H946" s="2" t="s">
        <v>1310</v>
      </c>
      <c r="I946" s="72">
        <v>43605</v>
      </c>
      <c r="K946" s="2" t="s">
        <v>1311</v>
      </c>
    </row>
    <row r="947" spans="1:11">
      <c r="A947" s="2" t="s">
        <v>577</v>
      </c>
      <c r="B947" s="2" t="s">
        <v>43</v>
      </c>
      <c r="C947" s="2" t="s">
        <v>1309</v>
      </c>
      <c r="D947" s="40">
        <v>338000</v>
      </c>
      <c r="E947" s="2" t="s">
        <v>295</v>
      </c>
      <c r="F947" s="145">
        <v>1447</v>
      </c>
      <c r="H947" s="2" t="s">
        <v>1310</v>
      </c>
      <c r="I947" s="72">
        <v>43608</v>
      </c>
      <c r="K947" s="2" t="s">
        <v>1311</v>
      </c>
    </row>
    <row r="948" spans="1:11">
      <c r="A948" s="2" t="s">
        <v>578</v>
      </c>
      <c r="B948" s="2" t="s">
        <v>43</v>
      </c>
      <c r="C948" s="2" t="s">
        <v>1309</v>
      </c>
      <c r="D948" s="40">
        <v>341000</v>
      </c>
      <c r="E948" s="2" t="s">
        <v>295</v>
      </c>
      <c r="F948" s="145">
        <v>1450</v>
      </c>
      <c r="H948" s="2" t="s">
        <v>1310</v>
      </c>
      <c r="I948" s="72">
        <v>43611</v>
      </c>
      <c r="K948" s="2" t="s">
        <v>1311</v>
      </c>
    </row>
    <row r="949" spans="1:11">
      <c r="A949" s="2" t="s">
        <v>579</v>
      </c>
      <c r="B949" s="2" t="s">
        <v>43</v>
      </c>
      <c r="C949" s="2" t="s">
        <v>1309</v>
      </c>
      <c r="D949" s="40">
        <v>344000</v>
      </c>
      <c r="E949" s="2" t="s">
        <v>295</v>
      </c>
      <c r="F949" s="145">
        <v>1453</v>
      </c>
      <c r="H949" s="2" t="s">
        <v>1310</v>
      </c>
      <c r="I949" s="72">
        <v>43614</v>
      </c>
      <c r="K949" s="2" t="s">
        <v>1311</v>
      </c>
    </row>
    <row r="950" spans="1:11">
      <c r="A950" s="2" t="s">
        <v>580</v>
      </c>
      <c r="B950" s="2" t="s">
        <v>43</v>
      </c>
      <c r="C950" s="2" t="s">
        <v>1309</v>
      </c>
      <c r="D950" s="40">
        <v>347000</v>
      </c>
      <c r="E950" s="2" t="s">
        <v>295</v>
      </c>
      <c r="F950" s="145">
        <v>1456</v>
      </c>
      <c r="H950" s="2" t="s">
        <v>1310</v>
      </c>
      <c r="I950" s="72">
        <v>43617</v>
      </c>
      <c r="K950" s="2" t="s">
        <v>1311</v>
      </c>
    </row>
    <row r="951" spans="1:11">
      <c r="A951" s="2" t="s">
        <v>581</v>
      </c>
      <c r="B951" s="2" t="s">
        <v>43</v>
      </c>
      <c r="C951" s="2" t="s">
        <v>1309</v>
      </c>
      <c r="D951" s="40">
        <v>350000</v>
      </c>
      <c r="E951" s="2" t="s">
        <v>295</v>
      </c>
      <c r="F951" s="145">
        <v>1459</v>
      </c>
      <c r="H951" s="2" t="s">
        <v>1310</v>
      </c>
      <c r="I951" s="72">
        <v>43620</v>
      </c>
      <c r="K951" s="2" t="s">
        <v>1311</v>
      </c>
    </row>
    <row r="952" spans="1:11">
      <c r="A952" s="2" t="s">
        <v>582</v>
      </c>
      <c r="B952" s="2" t="s">
        <v>43</v>
      </c>
      <c r="C952" s="2" t="s">
        <v>1309</v>
      </c>
      <c r="D952" s="40">
        <v>353000</v>
      </c>
      <c r="E952" s="2" t="s">
        <v>295</v>
      </c>
      <c r="F952" s="145">
        <v>1462</v>
      </c>
      <c r="H952" s="2" t="s">
        <v>1310</v>
      </c>
      <c r="I952" s="72">
        <v>43623</v>
      </c>
      <c r="K952" s="2" t="s">
        <v>1311</v>
      </c>
    </row>
    <row r="953" spans="1:11">
      <c r="A953" s="2" t="s">
        <v>583</v>
      </c>
      <c r="B953" s="2" t="s">
        <v>43</v>
      </c>
      <c r="C953" s="2" t="s">
        <v>1309</v>
      </c>
      <c r="D953" s="40">
        <v>356000</v>
      </c>
      <c r="E953" s="2" t="s">
        <v>295</v>
      </c>
      <c r="F953" s="145">
        <v>1465</v>
      </c>
      <c r="H953" s="2" t="s">
        <v>1310</v>
      </c>
      <c r="I953" s="72">
        <v>43626</v>
      </c>
      <c r="K953" s="2" t="s">
        <v>1311</v>
      </c>
    </row>
    <row r="954" spans="1:11">
      <c r="A954" s="2" t="s">
        <v>584</v>
      </c>
      <c r="B954" s="2" t="s">
        <v>43</v>
      </c>
      <c r="C954" s="2" t="s">
        <v>1309</v>
      </c>
      <c r="D954" s="40">
        <v>359000</v>
      </c>
      <c r="E954" s="2" t="s">
        <v>295</v>
      </c>
      <c r="F954" s="145">
        <v>1468</v>
      </c>
      <c r="H954" s="2" t="s">
        <v>1310</v>
      </c>
      <c r="I954" s="72">
        <v>43629</v>
      </c>
      <c r="K954" s="2" t="s">
        <v>1311</v>
      </c>
    </row>
    <row r="955" spans="1:11">
      <c r="A955" s="2" t="s">
        <v>585</v>
      </c>
      <c r="B955" s="2" t="s">
        <v>43</v>
      </c>
      <c r="C955" s="2" t="s">
        <v>1309</v>
      </c>
      <c r="D955" s="40">
        <v>362000</v>
      </c>
      <c r="E955" s="2" t="s">
        <v>295</v>
      </c>
      <c r="F955" s="145">
        <v>1471</v>
      </c>
      <c r="H955" s="2" t="s">
        <v>1310</v>
      </c>
      <c r="I955" s="72">
        <v>43632</v>
      </c>
      <c r="K955" s="2" t="s">
        <v>1311</v>
      </c>
    </row>
    <row r="956" spans="1:11">
      <c r="A956" s="2" t="s">
        <v>586</v>
      </c>
      <c r="B956" s="2" t="s">
        <v>43</v>
      </c>
      <c r="C956" s="2" t="s">
        <v>1309</v>
      </c>
      <c r="D956" s="40">
        <v>365000</v>
      </c>
      <c r="E956" s="2" t="s">
        <v>295</v>
      </c>
      <c r="F956" s="145">
        <v>1474</v>
      </c>
      <c r="H956" s="2" t="s">
        <v>1310</v>
      </c>
      <c r="I956" s="72">
        <v>43635</v>
      </c>
      <c r="K956" s="2" t="s">
        <v>1311</v>
      </c>
    </row>
    <row r="957" spans="1:11">
      <c r="A957" s="2" t="s">
        <v>587</v>
      </c>
      <c r="B957" s="2" t="s">
        <v>43</v>
      </c>
      <c r="C957" s="2" t="s">
        <v>1309</v>
      </c>
      <c r="D957" s="40">
        <v>368000</v>
      </c>
      <c r="E957" s="2" t="s">
        <v>295</v>
      </c>
      <c r="F957" s="145">
        <v>1477</v>
      </c>
      <c r="H957" s="2" t="s">
        <v>1310</v>
      </c>
      <c r="I957" s="72">
        <v>43638</v>
      </c>
      <c r="K957" s="2" t="s">
        <v>1311</v>
      </c>
    </row>
    <row r="958" spans="1:11">
      <c r="A958" s="2" t="s">
        <v>588</v>
      </c>
      <c r="B958" s="2" t="s">
        <v>43</v>
      </c>
      <c r="C958" s="2" t="s">
        <v>1309</v>
      </c>
      <c r="D958" s="40">
        <v>371000</v>
      </c>
      <c r="E958" s="2" t="s">
        <v>295</v>
      </c>
      <c r="F958" s="145">
        <v>1480</v>
      </c>
      <c r="H958" s="2" t="s">
        <v>1310</v>
      </c>
      <c r="I958" s="72">
        <v>43641</v>
      </c>
      <c r="K958" s="2" t="s">
        <v>1311</v>
      </c>
    </row>
    <row r="959" spans="1:11">
      <c r="A959" s="2" t="s">
        <v>589</v>
      </c>
      <c r="B959" s="2" t="s">
        <v>43</v>
      </c>
      <c r="C959" s="2" t="s">
        <v>1309</v>
      </c>
      <c r="D959" s="40">
        <v>374000</v>
      </c>
      <c r="E959" s="2" t="s">
        <v>295</v>
      </c>
      <c r="F959" s="145">
        <v>1483</v>
      </c>
      <c r="H959" s="2" t="s">
        <v>1310</v>
      </c>
      <c r="I959" s="72">
        <v>43644</v>
      </c>
      <c r="K959" s="2" t="s">
        <v>1311</v>
      </c>
    </row>
    <row r="960" spans="1:11">
      <c r="A960" s="2" t="s">
        <v>590</v>
      </c>
      <c r="B960" s="2" t="s">
        <v>43</v>
      </c>
      <c r="C960" s="2" t="s">
        <v>1309</v>
      </c>
      <c r="D960" s="40">
        <v>377000</v>
      </c>
      <c r="E960" s="2" t="s">
        <v>295</v>
      </c>
      <c r="F960" s="145">
        <v>1486</v>
      </c>
      <c r="H960" s="2" t="s">
        <v>1310</v>
      </c>
      <c r="I960" s="72">
        <v>43647</v>
      </c>
      <c r="K960" s="2" t="s">
        <v>1311</v>
      </c>
    </row>
    <row r="961" spans="1:11">
      <c r="A961" s="2" t="s">
        <v>591</v>
      </c>
      <c r="B961" s="2" t="s">
        <v>43</v>
      </c>
      <c r="C961" s="2" t="s">
        <v>1309</v>
      </c>
      <c r="D961" s="40">
        <v>380000</v>
      </c>
      <c r="E961" s="2" t="s">
        <v>295</v>
      </c>
      <c r="F961" s="145">
        <v>1489</v>
      </c>
      <c r="H961" s="2" t="s">
        <v>1310</v>
      </c>
      <c r="I961" s="72">
        <v>43650</v>
      </c>
      <c r="K961" s="2" t="s">
        <v>1311</v>
      </c>
    </row>
    <row r="962" spans="1:11">
      <c r="A962" s="2" t="s">
        <v>592</v>
      </c>
      <c r="B962" s="2" t="s">
        <v>43</v>
      </c>
      <c r="C962" s="2" t="s">
        <v>1309</v>
      </c>
      <c r="D962" s="40">
        <v>383000</v>
      </c>
      <c r="E962" s="2" t="s">
        <v>295</v>
      </c>
      <c r="F962" s="145">
        <v>1492</v>
      </c>
      <c r="H962" s="2" t="s">
        <v>1310</v>
      </c>
      <c r="I962" s="72">
        <v>43653</v>
      </c>
      <c r="K962" s="2" t="s">
        <v>1311</v>
      </c>
    </row>
    <row r="963" spans="1:11">
      <c r="A963" s="2" t="s">
        <v>593</v>
      </c>
      <c r="B963" s="2" t="s">
        <v>43</v>
      </c>
      <c r="C963" s="2" t="s">
        <v>1309</v>
      </c>
      <c r="D963" s="40">
        <v>386000</v>
      </c>
      <c r="E963" s="2" t="s">
        <v>295</v>
      </c>
      <c r="F963" s="145">
        <v>1495</v>
      </c>
      <c r="H963" s="2" t="s">
        <v>1310</v>
      </c>
      <c r="I963" s="72">
        <v>43656</v>
      </c>
      <c r="K963" s="2" t="s">
        <v>1311</v>
      </c>
    </row>
    <row r="964" spans="1:11">
      <c r="A964" s="2" t="s">
        <v>594</v>
      </c>
      <c r="B964" s="2" t="s">
        <v>43</v>
      </c>
      <c r="C964" s="2" t="s">
        <v>1309</v>
      </c>
      <c r="D964" s="40">
        <v>389000</v>
      </c>
      <c r="E964" s="2" t="s">
        <v>295</v>
      </c>
      <c r="F964" s="145">
        <v>1498</v>
      </c>
      <c r="H964" s="2" t="s">
        <v>1310</v>
      </c>
      <c r="I964" s="72">
        <v>43659</v>
      </c>
      <c r="K964" s="2" t="s">
        <v>1311</v>
      </c>
    </row>
    <row r="965" spans="1:11">
      <c r="A965" s="2" t="s">
        <v>595</v>
      </c>
      <c r="B965" s="2" t="s">
        <v>43</v>
      </c>
      <c r="C965" s="2" t="s">
        <v>1309</v>
      </c>
      <c r="D965" s="40">
        <v>392000</v>
      </c>
      <c r="E965" s="2" t="s">
        <v>295</v>
      </c>
      <c r="F965" s="145">
        <v>1501</v>
      </c>
      <c r="H965" s="2" t="s">
        <v>1310</v>
      </c>
      <c r="I965" s="72">
        <v>43662</v>
      </c>
      <c r="K965" s="2" t="s">
        <v>1311</v>
      </c>
    </row>
    <row r="966" spans="1:11">
      <c r="A966" s="2" t="s">
        <v>596</v>
      </c>
      <c r="B966" s="2" t="s">
        <v>43</v>
      </c>
      <c r="C966" s="2" t="s">
        <v>1309</v>
      </c>
      <c r="D966" s="40">
        <v>395000</v>
      </c>
      <c r="E966" s="2" t="s">
        <v>295</v>
      </c>
      <c r="F966" s="145">
        <v>1504</v>
      </c>
      <c r="H966" s="2" t="s">
        <v>1310</v>
      </c>
      <c r="I966" s="72">
        <v>43665</v>
      </c>
      <c r="K966" s="2" t="s">
        <v>1311</v>
      </c>
    </row>
    <row r="967" spans="1:11">
      <c r="A967" s="2" t="s">
        <v>597</v>
      </c>
      <c r="B967" s="2" t="s">
        <v>43</v>
      </c>
      <c r="C967" s="2" t="s">
        <v>1309</v>
      </c>
      <c r="D967" s="40">
        <v>398000</v>
      </c>
      <c r="E967" s="2" t="s">
        <v>295</v>
      </c>
      <c r="F967" s="145">
        <v>1507</v>
      </c>
      <c r="H967" s="2" t="s">
        <v>1310</v>
      </c>
      <c r="I967" s="72">
        <v>43668</v>
      </c>
      <c r="K967" s="2" t="s">
        <v>1311</v>
      </c>
    </row>
    <row r="968" spans="1:11">
      <c r="A968" s="2" t="s">
        <v>598</v>
      </c>
      <c r="B968" s="2" t="s">
        <v>43</v>
      </c>
      <c r="C968" s="2" t="s">
        <v>1309</v>
      </c>
      <c r="D968" s="40">
        <v>401000</v>
      </c>
      <c r="E968" s="2" t="s">
        <v>295</v>
      </c>
      <c r="F968" s="145">
        <v>1510</v>
      </c>
      <c r="H968" s="2" t="s">
        <v>1310</v>
      </c>
      <c r="I968" s="72">
        <v>43671</v>
      </c>
      <c r="K968" s="2" t="s">
        <v>1311</v>
      </c>
    </row>
    <row r="969" spans="1:11">
      <c r="A969" s="2" t="s">
        <v>599</v>
      </c>
      <c r="B969" s="2" t="s">
        <v>43</v>
      </c>
      <c r="C969" s="2" t="s">
        <v>1309</v>
      </c>
      <c r="D969" s="40">
        <v>404000</v>
      </c>
      <c r="E969" s="2" t="s">
        <v>295</v>
      </c>
      <c r="F969" s="145">
        <v>1513</v>
      </c>
      <c r="H969" s="2" t="s">
        <v>1310</v>
      </c>
      <c r="I969" s="72">
        <v>43674</v>
      </c>
      <c r="K969" s="2" t="s">
        <v>1311</v>
      </c>
    </row>
    <row r="970" spans="1:11">
      <c r="A970" s="2" t="s">
        <v>600</v>
      </c>
      <c r="B970" s="2" t="s">
        <v>43</v>
      </c>
      <c r="C970" s="2" t="s">
        <v>1309</v>
      </c>
      <c r="D970" s="40">
        <v>407000</v>
      </c>
      <c r="E970" s="2" t="s">
        <v>295</v>
      </c>
      <c r="F970" s="145">
        <v>1516</v>
      </c>
      <c r="H970" s="2" t="s">
        <v>1310</v>
      </c>
      <c r="I970" s="72">
        <v>43677</v>
      </c>
      <c r="K970" s="2" t="s">
        <v>1311</v>
      </c>
    </row>
    <row r="971" spans="1:11">
      <c r="A971" s="2" t="s">
        <v>601</v>
      </c>
      <c r="B971" s="2" t="s">
        <v>43</v>
      </c>
      <c r="C971" s="2" t="s">
        <v>1309</v>
      </c>
      <c r="D971" s="40">
        <v>410000</v>
      </c>
      <c r="E971" s="2" t="s">
        <v>295</v>
      </c>
      <c r="F971" s="145">
        <v>1519</v>
      </c>
      <c r="H971" s="2" t="s">
        <v>1310</v>
      </c>
      <c r="I971" s="72">
        <v>43680</v>
      </c>
      <c r="K971" s="2" t="s">
        <v>1311</v>
      </c>
    </row>
    <row r="972" spans="1:11">
      <c r="A972" s="2" t="s">
        <v>602</v>
      </c>
      <c r="B972" s="2" t="s">
        <v>43</v>
      </c>
      <c r="C972" s="2" t="s">
        <v>1309</v>
      </c>
      <c r="D972" s="40">
        <v>413000</v>
      </c>
      <c r="E972" s="2" t="s">
        <v>295</v>
      </c>
      <c r="F972" s="145">
        <v>1522</v>
      </c>
      <c r="H972" s="2" t="s">
        <v>1310</v>
      </c>
      <c r="I972" s="72">
        <v>43683</v>
      </c>
      <c r="K972" s="2" t="s">
        <v>1311</v>
      </c>
    </row>
    <row r="973" spans="1:11">
      <c r="A973" s="2" t="s">
        <v>603</v>
      </c>
      <c r="B973" s="2" t="s">
        <v>43</v>
      </c>
      <c r="C973" s="2" t="s">
        <v>1309</v>
      </c>
      <c r="D973" s="40">
        <v>416000</v>
      </c>
      <c r="E973" s="2" t="s">
        <v>295</v>
      </c>
      <c r="F973" s="145">
        <v>1525</v>
      </c>
      <c r="H973" s="2" t="s">
        <v>1310</v>
      </c>
      <c r="I973" s="72">
        <v>43686</v>
      </c>
      <c r="K973" s="2" t="s">
        <v>1311</v>
      </c>
    </row>
    <row r="974" spans="1:11">
      <c r="A974" s="2" t="s">
        <v>604</v>
      </c>
      <c r="B974" s="2" t="s">
        <v>43</v>
      </c>
      <c r="C974" s="2" t="s">
        <v>1309</v>
      </c>
      <c r="D974" s="40">
        <v>419000</v>
      </c>
      <c r="E974" s="2" t="s">
        <v>295</v>
      </c>
      <c r="F974" s="145">
        <v>1528</v>
      </c>
      <c r="H974" s="2" t="s">
        <v>1310</v>
      </c>
      <c r="I974" s="72">
        <v>43689</v>
      </c>
      <c r="K974" s="2" t="s">
        <v>1311</v>
      </c>
    </row>
    <row r="975" spans="1:11">
      <c r="A975" s="2" t="s">
        <v>605</v>
      </c>
      <c r="B975" s="2" t="s">
        <v>43</v>
      </c>
      <c r="C975" s="2" t="s">
        <v>1309</v>
      </c>
      <c r="D975" s="40">
        <v>422000</v>
      </c>
      <c r="E975" s="2" t="s">
        <v>295</v>
      </c>
      <c r="F975" s="145">
        <v>1531</v>
      </c>
      <c r="H975" s="2" t="s">
        <v>1310</v>
      </c>
      <c r="I975" s="72">
        <v>43692</v>
      </c>
      <c r="K975" s="2" t="s">
        <v>1311</v>
      </c>
    </row>
    <row r="976" spans="1:11">
      <c r="A976" s="2" t="s">
        <v>606</v>
      </c>
      <c r="B976" s="2" t="s">
        <v>43</v>
      </c>
      <c r="C976" s="2" t="s">
        <v>1309</v>
      </c>
      <c r="D976" s="40">
        <v>425000</v>
      </c>
      <c r="E976" s="2" t="s">
        <v>295</v>
      </c>
      <c r="F976" s="145">
        <v>1534</v>
      </c>
      <c r="H976" s="2" t="s">
        <v>1310</v>
      </c>
      <c r="I976" s="72">
        <v>43695</v>
      </c>
      <c r="K976" s="2" t="s">
        <v>1311</v>
      </c>
    </row>
    <row r="977" spans="1:11">
      <c r="A977" s="2" t="s">
        <v>607</v>
      </c>
      <c r="B977" s="2" t="s">
        <v>43</v>
      </c>
      <c r="C977" s="2" t="s">
        <v>1309</v>
      </c>
      <c r="D977" s="40">
        <v>428000</v>
      </c>
      <c r="E977" s="2" t="s">
        <v>295</v>
      </c>
      <c r="F977" s="145">
        <v>1537</v>
      </c>
      <c r="H977" s="2" t="s">
        <v>1310</v>
      </c>
      <c r="I977" s="72">
        <v>43698</v>
      </c>
      <c r="K977" s="2" t="s">
        <v>1311</v>
      </c>
    </row>
    <row r="978" spans="1:11">
      <c r="A978" s="2" t="s">
        <v>608</v>
      </c>
      <c r="B978" s="2" t="s">
        <v>43</v>
      </c>
      <c r="C978" s="2" t="s">
        <v>1309</v>
      </c>
      <c r="D978" s="40">
        <v>431000</v>
      </c>
      <c r="E978" s="2" t="s">
        <v>295</v>
      </c>
      <c r="F978" s="145">
        <v>1540</v>
      </c>
      <c r="H978" s="2" t="s">
        <v>1310</v>
      </c>
      <c r="I978" s="72">
        <v>43701</v>
      </c>
      <c r="K978" s="2" t="s">
        <v>1311</v>
      </c>
    </row>
    <row r="979" spans="1:11">
      <c r="A979" s="2" t="s">
        <v>609</v>
      </c>
      <c r="B979" s="2" t="s">
        <v>43</v>
      </c>
      <c r="C979" s="2" t="s">
        <v>1309</v>
      </c>
      <c r="D979" s="40">
        <v>434000</v>
      </c>
      <c r="E979" s="2" t="s">
        <v>295</v>
      </c>
      <c r="F979" s="145">
        <v>1543</v>
      </c>
      <c r="H979" s="2" t="s">
        <v>1310</v>
      </c>
      <c r="I979" s="72">
        <v>43704</v>
      </c>
      <c r="K979" s="2" t="s">
        <v>1311</v>
      </c>
    </row>
    <row r="980" spans="1:11">
      <c r="A980" s="2" t="s">
        <v>610</v>
      </c>
      <c r="B980" s="2" t="s">
        <v>43</v>
      </c>
      <c r="C980" s="2" t="s">
        <v>1309</v>
      </c>
      <c r="D980" s="40">
        <v>437000</v>
      </c>
      <c r="E980" s="2" t="s">
        <v>295</v>
      </c>
      <c r="F980" s="145">
        <v>1546</v>
      </c>
      <c r="H980" s="2" t="s">
        <v>1310</v>
      </c>
      <c r="I980" s="72">
        <v>43707</v>
      </c>
      <c r="K980" s="2" t="s">
        <v>1311</v>
      </c>
    </row>
    <row r="981" spans="1:11">
      <c r="A981" s="2" t="s">
        <v>611</v>
      </c>
      <c r="B981" s="2" t="s">
        <v>43</v>
      </c>
      <c r="C981" s="2" t="s">
        <v>1309</v>
      </c>
      <c r="D981" s="40">
        <v>440000</v>
      </c>
      <c r="E981" s="2" t="s">
        <v>295</v>
      </c>
      <c r="F981" s="145">
        <v>1549</v>
      </c>
      <c r="H981" s="2" t="s">
        <v>1310</v>
      </c>
      <c r="I981" s="72">
        <v>43710</v>
      </c>
      <c r="K981" s="2" t="s">
        <v>1311</v>
      </c>
    </row>
    <row r="982" spans="1:11">
      <c r="A982" s="2" t="s">
        <v>612</v>
      </c>
      <c r="B982" s="2" t="s">
        <v>43</v>
      </c>
      <c r="C982" s="2" t="s">
        <v>1309</v>
      </c>
      <c r="D982" s="40">
        <v>443000</v>
      </c>
      <c r="E982" s="2" t="s">
        <v>295</v>
      </c>
      <c r="F982" s="145">
        <v>1552</v>
      </c>
      <c r="H982" s="2" t="s">
        <v>1310</v>
      </c>
      <c r="I982" s="72">
        <v>43713</v>
      </c>
      <c r="K982" s="2" t="s">
        <v>1311</v>
      </c>
    </row>
    <row r="983" spans="1:11">
      <c r="A983" s="2" t="s">
        <v>613</v>
      </c>
      <c r="B983" s="2" t="s">
        <v>43</v>
      </c>
      <c r="C983" s="2" t="s">
        <v>1309</v>
      </c>
      <c r="D983" s="40">
        <v>446000</v>
      </c>
      <c r="E983" s="2" t="s">
        <v>295</v>
      </c>
      <c r="F983" s="145">
        <v>1555</v>
      </c>
      <c r="H983" s="2" t="s">
        <v>1310</v>
      </c>
      <c r="I983" s="72">
        <v>43716</v>
      </c>
      <c r="K983" s="2" t="s">
        <v>1311</v>
      </c>
    </row>
    <row r="984" spans="1:11">
      <c r="A984" s="2" t="s">
        <v>614</v>
      </c>
      <c r="B984" s="2" t="s">
        <v>43</v>
      </c>
      <c r="C984" s="2" t="s">
        <v>1309</v>
      </c>
      <c r="D984" s="40">
        <v>449000</v>
      </c>
      <c r="E984" s="2" t="s">
        <v>295</v>
      </c>
      <c r="F984" s="145">
        <v>1558</v>
      </c>
      <c r="H984" s="2" t="s">
        <v>1310</v>
      </c>
      <c r="I984" s="72">
        <v>43719</v>
      </c>
      <c r="K984" s="2" t="s">
        <v>1311</v>
      </c>
    </row>
    <row r="985" spans="1:11">
      <c r="A985" s="2" t="s">
        <v>615</v>
      </c>
      <c r="B985" s="2" t="s">
        <v>43</v>
      </c>
      <c r="C985" s="2" t="s">
        <v>1309</v>
      </c>
      <c r="D985" s="40">
        <v>452000</v>
      </c>
      <c r="E985" s="2" t="s">
        <v>295</v>
      </c>
      <c r="F985" s="145">
        <v>1561</v>
      </c>
      <c r="H985" s="2" t="s">
        <v>1310</v>
      </c>
      <c r="I985" s="72">
        <v>43722</v>
      </c>
      <c r="K985" s="2" t="s">
        <v>1311</v>
      </c>
    </row>
    <row r="986" spans="1:11">
      <c r="A986" s="2" t="s">
        <v>616</v>
      </c>
      <c r="B986" s="2" t="s">
        <v>43</v>
      </c>
      <c r="C986" s="2" t="s">
        <v>1309</v>
      </c>
      <c r="D986" s="40">
        <v>455000</v>
      </c>
      <c r="E986" s="2" t="s">
        <v>295</v>
      </c>
      <c r="F986" s="145">
        <v>1564</v>
      </c>
      <c r="H986" s="2" t="s">
        <v>1310</v>
      </c>
      <c r="I986" s="72">
        <v>43725</v>
      </c>
      <c r="K986" s="2" t="s">
        <v>1311</v>
      </c>
    </row>
    <row r="987" spans="1:11">
      <c r="A987" s="2" t="s">
        <v>617</v>
      </c>
      <c r="B987" s="2" t="s">
        <v>43</v>
      </c>
      <c r="C987" s="2" t="s">
        <v>1309</v>
      </c>
      <c r="D987" s="40">
        <v>458000</v>
      </c>
      <c r="E987" s="2" t="s">
        <v>295</v>
      </c>
      <c r="F987" s="145">
        <v>1567</v>
      </c>
      <c r="H987" s="2" t="s">
        <v>1310</v>
      </c>
      <c r="I987" s="72">
        <v>43728</v>
      </c>
      <c r="K987" s="2" t="s">
        <v>1311</v>
      </c>
    </row>
    <row r="988" spans="1:11">
      <c r="A988" s="2" t="s">
        <v>618</v>
      </c>
      <c r="B988" s="2" t="s">
        <v>43</v>
      </c>
      <c r="C988" s="2" t="s">
        <v>1309</v>
      </c>
      <c r="D988" s="40">
        <v>461000</v>
      </c>
      <c r="E988" s="2" t="s">
        <v>295</v>
      </c>
      <c r="F988" s="145">
        <v>1570</v>
      </c>
      <c r="H988" s="2" t="s">
        <v>1310</v>
      </c>
      <c r="I988" s="72">
        <v>43731</v>
      </c>
      <c r="K988" s="2" t="s">
        <v>1311</v>
      </c>
    </row>
    <row r="989" spans="1:11">
      <c r="A989" s="2" t="s">
        <v>619</v>
      </c>
      <c r="B989" s="2" t="s">
        <v>43</v>
      </c>
      <c r="C989" s="2" t="s">
        <v>1309</v>
      </c>
      <c r="D989" s="40">
        <v>464000</v>
      </c>
      <c r="E989" s="2" t="s">
        <v>295</v>
      </c>
      <c r="F989" s="145">
        <v>1573</v>
      </c>
      <c r="H989" s="2" t="s">
        <v>1310</v>
      </c>
      <c r="I989" s="72">
        <v>43734</v>
      </c>
      <c r="K989" s="2" t="s">
        <v>1311</v>
      </c>
    </row>
    <row r="990" spans="1:11">
      <c r="A990" s="2" t="s">
        <v>620</v>
      </c>
      <c r="B990" s="2" t="s">
        <v>43</v>
      </c>
      <c r="C990" s="2" t="s">
        <v>1309</v>
      </c>
      <c r="D990" s="40">
        <v>467000</v>
      </c>
      <c r="E990" s="2" t="s">
        <v>295</v>
      </c>
      <c r="F990" s="145">
        <v>1576</v>
      </c>
      <c r="H990" s="2" t="s">
        <v>1310</v>
      </c>
      <c r="I990" s="72">
        <v>43737</v>
      </c>
      <c r="K990" s="2" t="s">
        <v>1311</v>
      </c>
    </row>
    <row r="991" spans="1:11">
      <c r="A991" s="2" t="s">
        <v>621</v>
      </c>
      <c r="B991" s="2" t="s">
        <v>43</v>
      </c>
      <c r="C991" s="2" t="s">
        <v>1309</v>
      </c>
      <c r="D991" s="40">
        <v>470000</v>
      </c>
      <c r="E991" s="2" t="s">
        <v>295</v>
      </c>
      <c r="F991" s="145">
        <v>1579</v>
      </c>
      <c r="H991" s="2" t="s">
        <v>1310</v>
      </c>
      <c r="I991" s="72">
        <v>43740</v>
      </c>
      <c r="K991" s="2" t="s">
        <v>1311</v>
      </c>
    </row>
    <row r="992" spans="1:11">
      <c r="A992" s="2" t="s">
        <v>622</v>
      </c>
      <c r="B992" s="2" t="s">
        <v>43</v>
      </c>
      <c r="C992" s="2" t="s">
        <v>1309</v>
      </c>
      <c r="D992" s="40">
        <v>473000</v>
      </c>
      <c r="E992" s="2" t="s">
        <v>295</v>
      </c>
      <c r="F992" s="145">
        <v>1582</v>
      </c>
      <c r="H992" s="2" t="s">
        <v>1310</v>
      </c>
      <c r="I992" s="72">
        <v>43743</v>
      </c>
      <c r="K992" s="2" t="s">
        <v>1311</v>
      </c>
    </row>
    <row r="993" spans="1:11">
      <c r="A993" s="2" t="s">
        <v>623</v>
      </c>
      <c r="B993" s="2" t="s">
        <v>43</v>
      </c>
      <c r="C993" s="2" t="s">
        <v>1309</v>
      </c>
      <c r="D993" s="40">
        <v>476000</v>
      </c>
      <c r="E993" s="2" t="s">
        <v>295</v>
      </c>
      <c r="F993" s="145">
        <v>1585</v>
      </c>
      <c r="H993" s="2" t="s">
        <v>1310</v>
      </c>
      <c r="I993" s="72">
        <v>43746</v>
      </c>
      <c r="K993" s="2" t="s">
        <v>1311</v>
      </c>
    </row>
    <row r="994" spans="1:11">
      <c r="A994" s="2" t="s">
        <v>624</v>
      </c>
      <c r="B994" s="2" t="s">
        <v>43</v>
      </c>
      <c r="C994" s="2" t="s">
        <v>1309</v>
      </c>
      <c r="D994" s="40">
        <v>479000</v>
      </c>
      <c r="E994" s="2" t="s">
        <v>295</v>
      </c>
      <c r="F994" s="145">
        <v>1588</v>
      </c>
      <c r="H994" s="2" t="s">
        <v>1310</v>
      </c>
      <c r="I994" s="72">
        <v>43749</v>
      </c>
      <c r="K994" s="2" t="s">
        <v>1311</v>
      </c>
    </row>
    <row r="995" spans="1:11">
      <c r="A995" s="2" t="s">
        <v>625</v>
      </c>
      <c r="B995" s="2" t="s">
        <v>43</v>
      </c>
      <c r="C995" s="2" t="s">
        <v>1309</v>
      </c>
      <c r="D995" s="40">
        <v>482000</v>
      </c>
      <c r="E995" s="2" t="s">
        <v>295</v>
      </c>
      <c r="F995" s="145">
        <v>1591</v>
      </c>
      <c r="H995" s="2" t="s">
        <v>1310</v>
      </c>
      <c r="I995" s="72">
        <v>43752</v>
      </c>
      <c r="K995" s="2" t="s">
        <v>1311</v>
      </c>
    </row>
    <row r="996" spans="1:11">
      <c r="A996" s="2" t="s">
        <v>626</v>
      </c>
      <c r="B996" s="2" t="s">
        <v>43</v>
      </c>
      <c r="C996" s="2" t="s">
        <v>1309</v>
      </c>
      <c r="D996" s="40">
        <v>485000</v>
      </c>
      <c r="E996" s="2" t="s">
        <v>295</v>
      </c>
      <c r="F996" s="145">
        <v>1594</v>
      </c>
      <c r="H996" s="2" t="s">
        <v>1310</v>
      </c>
      <c r="I996" s="72">
        <v>43755</v>
      </c>
      <c r="K996" s="2" t="s">
        <v>1311</v>
      </c>
    </row>
    <row r="997" spans="1:11">
      <c r="A997" s="2" t="s">
        <v>627</v>
      </c>
      <c r="B997" s="2" t="s">
        <v>43</v>
      </c>
      <c r="C997" s="2" t="s">
        <v>1309</v>
      </c>
      <c r="D997" s="40">
        <v>488000</v>
      </c>
      <c r="E997" s="2" t="s">
        <v>295</v>
      </c>
      <c r="F997" s="145">
        <v>1597</v>
      </c>
      <c r="H997" s="2" t="s">
        <v>1310</v>
      </c>
      <c r="I997" s="72">
        <v>43758</v>
      </c>
      <c r="K997" s="2" t="s">
        <v>1311</v>
      </c>
    </row>
    <row r="998" spans="1:11">
      <c r="A998" s="2" t="s">
        <v>628</v>
      </c>
      <c r="B998" s="2" t="s">
        <v>43</v>
      </c>
      <c r="C998" s="2" t="s">
        <v>1309</v>
      </c>
      <c r="D998" s="40">
        <v>491000</v>
      </c>
      <c r="E998" s="2" t="s">
        <v>295</v>
      </c>
      <c r="F998" s="145">
        <v>1600</v>
      </c>
      <c r="H998" s="2" t="s">
        <v>1310</v>
      </c>
      <c r="I998" s="72">
        <v>43761</v>
      </c>
      <c r="K998" s="2" t="s">
        <v>1311</v>
      </c>
    </row>
    <row r="999" spans="1:11">
      <c r="A999" s="2" t="s">
        <v>629</v>
      </c>
      <c r="B999" s="2" t="s">
        <v>43</v>
      </c>
      <c r="C999" s="2" t="s">
        <v>1309</v>
      </c>
      <c r="D999" s="40">
        <v>494000</v>
      </c>
      <c r="E999" s="2" t="s">
        <v>295</v>
      </c>
      <c r="F999" s="145">
        <v>1603</v>
      </c>
      <c r="H999" s="2" t="s">
        <v>1310</v>
      </c>
      <c r="I999" s="72">
        <v>43764</v>
      </c>
      <c r="K999" s="2" t="s">
        <v>1311</v>
      </c>
    </row>
    <row r="1000" spans="1:11">
      <c r="A1000" s="2" t="s">
        <v>630</v>
      </c>
      <c r="B1000" s="2" t="s">
        <v>43</v>
      </c>
      <c r="C1000" s="2" t="s">
        <v>1309</v>
      </c>
      <c r="D1000" s="40">
        <v>497000</v>
      </c>
      <c r="E1000" s="2" t="s">
        <v>295</v>
      </c>
      <c r="F1000" s="145">
        <v>1606</v>
      </c>
      <c r="H1000" s="2" t="s">
        <v>1310</v>
      </c>
      <c r="I1000" s="72">
        <v>43767</v>
      </c>
      <c r="K1000" s="2" t="s">
        <v>1311</v>
      </c>
    </row>
    <row r="1001" spans="1:11">
      <c r="A1001" s="2" t="s">
        <v>631</v>
      </c>
      <c r="B1001" s="2" t="s">
        <v>43</v>
      </c>
      <c r="C1001" s="2" t="s">
        <v>1309</v>
      </c>
      <c r="D1001" s="40">
        <v>500000</v>
      </c>
      <c r="E1001" s="2" t="s">
        <v>295</v>
      </c>
      <c r="F1001" s="145">
        <v>1609</v>
      </c>
      <c r="H1001" s="2" t="s">
        <v>1310</v>
      </c>
      <c r="I1001" s="72">
        <v>43770</v>
      </c>
      <c r="K1001" s="2" t="s">
        <v>1311</v>
      </c>
    </row>
    <row r="1002" spans="1:11">
      <c r="A1002" s="2" t="s">
        <v>632</v>
      </c>
      <c r="B1002" s="2" t="s">
        <v>43</v>
      </c>
      <c r="C1002" s="2" t="s">
        <v>1309</v>
      </c>
      <c r="D1002" s="40">
        <v>503000</v>
      </c>
      <c r="E1002" s="2" t="s">
        <v>295</v>
      </c>
      <c r="F1002" s="145">
        <v>1612</v>
      </c>
      <c r="H1002" s="2" t="s">
        <v>1310</v>
      </c>
      <c r="I1002" s="72">
        <v>43773</v>
      </c>
      <c r="K1002" s="2" t="s">
        <v>1311</v>
      </c>
    </row>
    <row r="1003" spans="1:11">
      <c r="A1003" s="2" t="s">
        <v>633</v>
      </c>
      <c r="B1003" s="2" t="s">
        <v>43</v>
      </c>
      <c r="C1003" s="2" t="s">
        <v>1309</v>
      </c>
      <c r="D1003" s="40">
        <v>506000</v>
      </c>
      <c r="E1003" s="2" t="s">
        <v>295</v>
      </c>
      <c r="F1003" s="145">
        <v>1615</v>
      </c>
      <c r="H1003" s="2" t="s">
        <v>1310</v>
      </c>
      <c r="I1003" s="72">
        <v>43776</v>
      </c>
      <c r="K1003" s="2" t="s">
        <v>1311</v>
      </c>
    </row>
    <row r="1004" spans="1:11">
      <c r="A1004" s="2" t="s">
        <v>634</v>
      </c>
      <c r="B1004" s="2" t="s">
        <v>43</v>
      </c>
      <c r="C1004" s="2" t="s">
        <v>1309</v>
      </c>
      <c r="D1004" s="40">
        <v>509000</v>
      </c>
      <c r="E1004" s="2" t="s">
        <v>295</v>
      </c>
      <c r="F1004" s="145">
        <v>1618</v>
      </c>
      <c r="H1004" s="2" t="s">
        <v>1310</v>
      </c>
      <c r="I1004" s="72">
        <v>43779</v>
      </c>
      <c r="K1004" s="2" t="s">
        <v>1311</v>
      </c>
    </row>
    <row r="1005" spans="1:11">
      <c r="A1005" s="2" t="s">
        <v>635</v>
      </c>
      <c r="B1005" s="2" t="s">
        <v>43</v>
      </c>
      <c r="C1005" s="2" t="s">
        <v>1309</v>
      </c>
      <c r="D1005" s="40">
        <v>512000</v>
      </c>
      <c r="E1005" s="2" t="s">
        <v>295</v>
      </c>
      <c r="F1005" s="145">
        <v>1621</v>
      </c>
      <c r="H1005" s="2" t="s">
        <v>1310</v>
      </c>
      <c r="I1005" s="72">
        <v>43782</v>
      </c>
      <c r="K1005" s="2" t="s">
        <v>1311</v>
      </c>
    </row>
    <row r="1006" spans="1:11">
      <c r="A1006" s="2" t="s">
        <v>636</v>
      </c>
      <c r="B1006" s="2" t="s">
        <v>43</v>
      </c>
      <c r="C1006" s="2" t="s">
        <v>1309</v>
      </c>
      <c r="D1006" s="40">
        <v>515000</v>
      </c>
      <c r="E1006" s="2" t="s">
        <v>295</v>
      </c>
      <c r="F1006" s="145">
        <v>1624</v>
      </c>
      <c r="H1006" s="2" t="s">
        <v>1310</v>
      </c>
      <c r="I1006" s="72">
        <v>43785</v>
      </c>
      <c r="K1006" s="2" t="s">
        <v>1311</v>
      </c>
    </row>
    <row r="1007" spans="1:11">
      <c r="A1007" s="2" t="s">
        <v>637</v>
      </c>
      <c r="B1007" s="2" t="s">
        <v>43</v>
      </c>
      <c r="C1007" s="2" t="s">
        <v>1309</v>
      </c>
      <c r="D1007" s="40">
        <v>518000</v>
      </c>
      <c r="E1007" s="2" t="s">
        <v>295</v>
      </c>
      <c r="F1007" s="145">
        <v>1627</v>
      </c>
      <c r="H1007" s="2" t="s">
        <v>1310</v>
      </c>
      <c r="I1007" s="72">
        <v>43788</v>
      </c>
      <c r="K1007" s="2" t="s">
        <v>1311</v>
      </c>
    </row>
    <row r="1008" spans="1:11">
      <c r="A1008" s="2" t="s">
        <v>638</v>
      </c>
      <c r="B1008" s="2" t="s">
        <v>43</v>
      </c>
      <c r="C1008" s="2" t="s">
        <v>1309</v>
      </c>
      <c r="D1008" s="40">
        <v>521000</v>
      </c>
      <c r="E1008" s="2" t="s">
        <v>295</v>
      </c>
      <c r="F1008" s="145">
        <v>1630</v>
      </c>
      <c r="H1008" s="2" t="s">
        <v>1310</v>
      </c>
      <c r="I1008" s="72">
        <v>43791</v>
      </c>
      <c r="K1008" s="2" t="s">
        <v>1311</v>
      </c>
    </row>
    <row r="1009" spans="1:11">
      <c r="A1009" s="2" t="s">
        <v>639</v>
      </c>
      <c r="B1009" s="2" t="s">
        <v>43</v>
      </c>
      <c r="C1009" s="2" t="s">
        <v>1309</v>
      </c>
      <c r="D1009" s="40">
        <v>524000</v>
      </c>
      <c r="E1009" s="2" t="s">
        <v>295</v>
      </c>
      <c r="F1009" s="145">
        <v>1633</v>
      </c>
      <c r="H1009" s="2" t="s">
        <v>1310</v>
      </c>
      <c r="I1009" s="72">
        <v>43794</v>
      </c>
      <c r="K1009" s="2" t="s">
        <v>1311</v>
      </c>
    </row>
    <row r="1010" spans="1:11">
      <c r="A1010" s="2" t="s">
        <v>640</v>
      </c>
      <c r="B1010" s="2" t="s">
        <v>43</v>
      </c>
      <c r="C1010" s="2" t="s">
        <v>1309</v>
      </c>
      <c r="D1010" s="40">
        <v>527000</v>
      </c>
      <c r="E1010" s="2" t="s">
        <v>295</v>
      </c>
      <c r="F1010" s="145">
        <v>1636</v>
      </c>
      <c r="H1010" s="2" t="s">
        <v>1310</v>
      </c>
      <c r="I1010" s="72">
        <v>43797</v>
      </c>
      <c r="K1010" s="2" t="s">
        <v>1311</v>
      </c>
    </row>
    <row r="1011" spans="1:11">
      <c r="A1011" s="2" t="s">
        <v>641</v>
      </c>
      <c r="B1011" s="2" t="s">
        <v>43</v>
      </c>
      <c r="C1011" s="2" t="s">
        <v>1309</v>
      </c>
      <c r="D1011" s="40">
        <v>530000</v>
      </c>
      <c r="E1011" s="2" t="s">
        <v>295</v>
      </c>
      <c r="F1011" s="145">
        <v>1639</v>
      </c>
      <c r="H1011" s="2" t="s">
        <v>1310</v>
      </c>
      <c r="I1011" s="72">
        <v>43800</v>
      </c>
      <c r="K1011" s="2" t="s">
        <v>1311</v>
      </c>
    </row>
    <row r="1012" spans="1:11">
      <c r="A1012" s="2" t="s">
        <v>642</v>
      </c>
      <c r="B1012" s="2" t="s">
        <v>43</v>
      </c>
      <c r="C1012" s="2" t="s">
        <v>1309</v>
      </c>
      <c r="D1012" s="40">
        <v>533000</v>
      </c>
      <c r="E1012" s="2" t="s">
        <v>295</v>
      </c>
      <c r="F1012" s="145">
        <v>1642</v>
      </c>
      <c r="H1012" s="2" t="s">
        <v>1310</v>
      </c>
      <c r="I1012" s="72">
        <v>43803</v>
      </c>
      <c r="K1012" s="2" t="s">
        <v>1311</v>
      </c>
    </row>
    <row r="1013" spans="1:11">
      <c r="A1013" s="2" t="s">
        <v>643</v>
      </c>
      <c r="B1013" s="2" t="s">
        <v>43</v>
      </c>
      <c r="C1013" s="2" t="s">
        <v>1309</v>
      </c>
      <c r="D1013" s="40">
        <v>536000</v>
      </c>
      <c r="E1013" s="2" t="s">
        <v>295</v>
      </c>
      <c r="F1013" s="145">
        <v>1645</v>
      </c>
      <c r="H1013" s="2" t="s">
        <v>1310</v>
      </c>
      <c r="I1013" s="72">
        <v>43806</v>
      </c>
      <c r="K1013" s="2" t="s">
        <v>1311</v>
      </c>
    </row>
    <row r="1014" spans="1:11">
      <c r="A1014" s="2" t="s">
        <v>644</v>
      </c>
      <c r="B1014" s="2" t="s">
        <v>43</v>
      </c>
      <c r="C1014" s="2" t="s">
        <v>1309</v>
      </c>
      <c r="D1014" s="40">
        <v>539000</v>
      </c>
      <c r="E1014" s="2" t="s">
        <v>295</v>
      </c>
      <c r="F1014" s="145">
        <v>1648</v>
      </c>
      <c r="H1014" s="2" t="s">
        <v>1310</v>
      </c>
      <c r="I1014" s="72">
        <v>43809</v>
      </c>
      <c r="K1014" s="2" t="s">
        <v>1311</v>
      </c>
    </row>
    <row r="1015" spans="1:11">
      <c r="A1015" s="2" t="s">
        <v>645</v>
      </c>
      <c r="B1015" s="2" t="s">
        <v>43</v>
      </c>
      <c r="C1015" s="2" t="s">
        <v>1309</v>
      </c>
      <c r="D1015" s="40">
        <v>542000</v>
      </c>
      <c r="E1015" s="2" t="s">
        <v>295</v>
      </c>
      <c r="F1015" s="145">
        <v>1651</v>
      </c>
      <c r="H1015" s="2" t="s">
        <v>1310</v>
      </c>
      <c r="I1015" s="72">
        <v>43812</v>
      </c>
      <c r="K1015" s="2" t="s">
        <v>1311</v>
      </c>
    </row>
    <row r="1016" spans="1:11">
      <c r="A1016" s="2" t="s">
        <v>646</v>
      </c>
      <c r="B1016" s="2" t="s">
        <v>43</v>
      </c>
      <c r="C1016" s="2" t="s">
        <v>1309</v>
      </c>
      <c r="D1016" s="40">
        <v>545000</v>
      </c>
      <c r="E1016" s="2" t="s">
        <v>295</v>
      </c>
      <c r="F1016" s="145">
        <v>1654</v>
      </c>
      <c r="H1016" s="2" t="s">
        <v>1310</v>
      </c>
      <c r="I1016" s="72">
        <v>43815</v>
      </c>
      <c r="K1016" s="2" t="s">
        <v>1311</v>
      </c>
    </row>
    <row r="1017" spans="1:11">
      <c r="A1017" s="2" t="s">
        <v>647</v>
      </c>
      <c r="B1017" s="2" t="s">
        <v>43</v>
      </c>
      <c r="C1017" s="2" t="s">
        <v>1309</v>
      </c>
      <c r="D1017" s="40">
        <v>548000</v>
      </c>
      <c r="E1017" s="2" t="s">
        <v>295</v>
      </c>
      <c r="F1017" s="145">
        <v>1657</v>
      </c>
      <c r="H1017" s="2" t="s">
        <v>1310</v>
      </c>
      <c r="I1017" s="72">
        <v>43818</v>
      </c>
      <c r="K1017" s="2" t="s">
        <v>1311</v>
      </c>
    </row>
    <row r="1018" spans="1:11">
      <c r="A1018" s="2" t="s">
        <v>648</v>
      </c>
      <c r="B1018" s="2" t="s">
        <v>43</v>
      </c>
      <c r="C1018" s="2" t="s">
        <v>1309</v>
      </c>
      <c r="D1018" s="40">
        <v>551000</v>
      </c>
      <c r="E1018" s="2" t="s">
        <v>295</v>
      </c>
      <c r="F1018" s="145">
        <v>1660</v>
      </c>
      <c r="H1018" s="2" t="s">
        <v>1310</v>
      </c>
      <c r="I1018" s="72">
        <v>43821</v>
      </c>
      <c r="K1018" s="2" t="s">
        <v>1311</v>
      </c>
    </row>
    <row r="1019" spans="1:11">
      <c r="A1019" s="2" t="s">
        <v>649</v>
      </c>
      <c r="B1019" s="2" t="s">
        <v>43</v>
      </c>
      <c r="C1019" s="2" t="s">
        <v>1309</v>
      </c>
      <c r="D1019" s="40">
        <v>554000</v>
      </c>
      <c r="E1019" s="2" t="s">
        <v>295</v>
      </c>
      <c r="F1019" s="145">
        <v>1663</v>
      </c>
      <c r="H1019" s="2" t="s">
        <v>1310</v>
      </c>
      <c r="I1019" s="72">
        <v>43824</v>
      </c>
      <c r="K1019" s="2" t="s">
        <v>1311</v>
      </c>
    </row>
    <row r="1020" spans="1:11">
      <c r="A1020" s="2" t="s">
        <v>650</v>
      </c>
      <c r="B1020" s="2" t="s">
        <v>43</v>
      </c>
      <c r="C1020" s="2" t="s">
        <v>1309</v>
      </c>
      <c r="D1020" s="40">
        <v>557000</v>
      </c>
      <c r="E1020" s="2" t="s">
        <v>295</v>
      </c>
      <c r="F1020" s="145">
        <v>1666</v>
      </c>
      <c r="H1020" s="2" t="s">
        <v>1310</v>
      </c>
      <c r="I1020" s="72">
        <v>43827</v>
      </c>
      <c r="K1020" s="2" t="s">
        <v>1311</v>
      </c>
    </row>
    <row r="1021" spans="1:11">
      <c r="A1021" s="2" t="s">
        <v>651</v>
      </c>
      <c r="B1021" s="2" t="s">
        <v>43</v>
      </c>
      <c r="C1021" s="2" t="s">
        <v>1309</v>
      </c>
      <c r="D1021" s="40">
        <v>560000</v>
      </c>
      <c r="E1021" s="2" t="s">
        <v>295</v>
      </c>
      <c r="F1021" s="145">
        <v>1669</v>
      </c>
      <c r="H1021" s="2" t="s">
        <v>1310</v>
      </c>
      <c r="I1021" s="72">
        <v>43830</v>
      </c>
      <c r="K1021" s="2" t="s">
        <v>1311</v>
      </c>
    </row>
    <row r="1022" spans="1:11">
      <c r="A1022" s="2" t="s">
        <v>50</v>
      </c>
      <c r="B1022" s="2" t="s">
        <v>43</v>
      </c>
      <c r="C1022" s="2" t="s">
        <v>1309</v>
      </c>
      <c r="D1022" s="40">
        <v>563000</v>
      </c>
      <c r="E1022" s="2" t="s">
        <v>295</v>
      </c>
      <c r="F1022" s="145">
        <v>1672</v>
      </c>
      <c r="H1022" s="2" t="s">
        <v>1310</v>
      </c>
      <c r="I1022" s="72">
        <v>43833</v>
      </c>
      <c r="K1022" s="2" t="s">
        <v>1311</v>
      </c>
    </row>
    <row r="1023" spans="1:11">
      <c r="A1023" s="2" t="s">
        <v>652</v>
      </c>
      <c r="B1023" s="2" t="s">
        <v>43</v>
      </c>
      <c r="C1023" s="2" t="s">
        <v>1309</v>
      </c>
      <c r="D1023" s="40">
        <v>566000</v>
      </c>
      <c r="E1023" s="2" t="s">
        <v>295</v>
      </c>
      <c r="F1023" s="145">
        <v>1675</v>
      </c>
      <c r="H1023" s="2" t="s">
        <v>1310</v>
      </c>
      <c r="I1023" s="72">
        <v>43836</v>
      </c>
      <c r="K1023" s="2" t="s">
        <v>1311</v>
      </c>
    </row>
    <row r="1024" spans="1:11">
      <c r="A1024" s="2" t="s">
        <v>653</v>
      </c>
      <c r="B1024" s="2" t="s">
        <v>43</v>
      </c>
      <c r="C1024" s="2" t="s">
        <v>1309</v>
      </c>
      <c r="D1024" s="40">
        <v>569000</v>
      </c>
      <c r="E1024" s="2" t="s">
        <v>295</v>
      </c>
      <c r="F1024" s="145">
        <v>1678</v>
      </c>
      <c r="H1024" s="2" t="s">
        <v>1310</v>
      </c>
      <c r="I1024" s="72">
        <v>43839</v>
      </c>
      <c r="K1024" s="2" t="s">
        <v>1311</v>
      </c>
    </row>
    <row r="1025" spans="1:11">
      <c r="A1025" s="2" t="s">
        <v>654</v>
      </c>
      <c r="B1025" s="2" t="s">
        <v>43</v>
      </c>
      <c r="C1025" s="2" t="s">
        <v>1309</v>
      </c>
      <c r="D1025" s="40">
        <v>572000</v>
      </c>
      <c r="E1025" s="2" t="s">
        <v>295</v>
      </c>
      <c r="F1025" s="145">
        <v>1681</v>
      </c>
      <c r="H1025" s="2" t="s">
        <v>1310</v>
      </c>
      <c r="I1025" s="72">
        <v>43842</v>
      </c>
      <c r="K1025" s="2" t="s">
        <v>1311</v>
      </c>
    </row>
    <row r="1026" spans="1:11">
      <c r="A1026" s="2" t="s">
        <v>655</v>
      </c>
      <c r="B1026" s="2" t="s">
        <v>43</v>
      </c>
      <c r="C1026" s="2" t="s">
        <v>1309</v>
      </c>
      <c r="D1026" s="40">
        <v>575000</v>
      </c>
      <c r="E1026" s="2" t="s">
        <v>295</v>
      </c>
      <c r="F1026" s="145">
        <v>1684</v>
      </c>
      <c r="H1026" s="2" t="s">
        <v>1310</v>
      </c>
      <c r="I1026" s="72">
        <v>43845</v>
      </c>
      <c r="K1026" s="2" t="s">
        <v>1311</v>
      </c>
    </row>
    <row r="1027" spans="1:11">
      <c r="A1027" s="2" t="s">
        <v>656</v>
      </c>
      <c r="B1027" s="2" t="s">
        <v>43</v>
      </c>
      <c r="C1027" s="2" t="s">
        <v>1309</v>
      </c>
      <c r="D1027" s="40">
        <v>578000</v>
      </c>
      <c r="E1027" s="2" t="s">
        <v>295</v>
      </c>
      <c r="F1027" s="145">
        <v>1687</v>
      </c>
      <c r="H1027" s="2" t="s">
        <v>1310</v>
      </c>
      <c r="I1027" s="72">
        <v>43848</v>
      </c>
      <c r="K1027" s="2" t="s">
        <v>1311</v>
      </c>
    </row>
    <row r="1028" spans="1:11">
      <c r="A1028" s="2" t="s">
        <v>657</v>
      </c>
      <c r="B1028" s="2" t="s">
        <v>43</v>
      </c>
      <c r="C1028" s="2" t="s">
        <v>1309</v>
      </c>
      <c r="D1028" s="40">
        <v>581000</v>
      </c>
      <c r="E1028" s="2" t="s">
        <v>295</v>
      </c>
      <c r="F1028" s="145">
        <v>1690</v>
      </c>
      <c r="H1028" s="2" t="s">
        <v>1310</v>
      </c>
      <c r="I1028" s="72">
        <v>43851</v>
      </c>
      <c r="K1028" s="2" t="s">
        <v>1311</v>
      </c>
    </row>
    <row r="1029" spans="1:11">
      <c r="A1029" s="2" t="s">
        <v>658</v>
      </c>
      <c r="B1029" s="2" t="s">
        <v>43</v>
      </c>
      <c r="C1029" s="2" t="s">
        <v>1309</v>
      </c>
      <c r="D1029" s="40">
        <v>584000</v>
      </c>
      <c r="E1029" s="2" t="s">
        <v>295</v>
      </c>
      <c r="F1029" s="145">
        <v>1693</v>
      </c>
      <c r="H1029" s="2" t="s">
        <v>1310</v>
      </c>
      <c r="I1029" s="72">
        <v>43854</v>
      </c>
      <c r="K1029" s="2" t="s">
        <v>1311</v>
      </c>
    </row>
    <row r="1030" spans="1:11">
      <c r="A1030" s="2" t="s">
        <v>659</v>
      </c>
      <c r="B1030" s="2" t="s">
        <v>43</v>
      </c>
      <c r="C1030" s="2" t="s">
        <v>1309</v>
      </c>
      <c r="D1030" s="40">
        <v>587000</v>
      </c>
      <c r="E1030" s="2" t="s">
        <v>295</v>
      </c>
      <c r="F1030" s="145">
        <v>1696</v>
      </c>
      <c r="H1030" s="2" t="s">
        <v>1310</v>
      </c>
      <c r="I1030" s="72">
        <v>43857</v>
      </c>
      <c r="K1030" s="2" t="s">
        <v>1311</v>
      </c>
    </row>
    <row r="1031" spans="1:11">
      <c r="A1031" s="2" t="s">
        <v>660</v>
      </c>
      <c r="B1031" s="2" t="s">
        <v>43</v>
      </c>
      <c r="C1031" s="2" t="s">
        <v>1309</v>
      </c>
      <c r="D1031" s="40">
        <v>590000</v>
      </c>
      <c r="E1031" s="2" t="s">
        <v>295</v>
      </c>
      <c r="F1031" s="145">
        <v>1699</v>
      </c>
      <c r="H1031" s="2" t="s">
        <v>1310</v>
      </c>
      <c r="I1031" s="72">
        <v>43860</v>
      </c>
      <c r="K1031" s="2" t="s">
        <v>1311</v>
      </c>
    </row>
    <row r="1032" spans="1:11">
      <c r="A1032" s="2" t="s">
        <v>661</v>
      </c>
      <c r="B1032" s="2" t="s">
        <v>43</v>
      </c>
      <c r="C1032" s="2" t="s">
        <v>1309</v>
      </c>
      <c r="D1032" s="40">
        <v>593000</v>
      </c>
      <c r="E1032" s="2" t="s">
        <v>295</v>
      </c>
      <c r="F1032" s="145">
        <v>1702</v>
      </c>
      <c r="H1032" s="2" t="s">
        <v>1310</v>
      </c>
      <c r="I1032" s="72">
        <v>43863</v>
      </c>
      <c r="K1032" s="2" t="s">
        <v>1311</v>
      </c>
    </row>
    <row r="1033" spans="1:11">
      <c r="A1033" s="2" t="s">
        <v>662</v>
      </c>
      <c r="B1033" s="2" t="s">
        <v>43</v>
      </c>
      <c r="C1033" s="2" t="s">
        <v>1309</v>
      </c>
      <c r="D1033" s="40">
        <v>596000</v>
      </c>
      <c r="E1033" s="2" t="s">
        <v>295</v>
      </c>
      <c r="F1033" s="145">
        <v>1705</v>
      </c>
      <c r="H1033" s="2" t="s">
        <v>1310</v>
      </c>
      <c r="I1033" s="72">
        <v>43866</v>
      </c>
      <c r="K1033" s="2" t="s">
        <v>1311</v>
      </c>
    </row>
    <row r="1034" spans="1:11">
      <c r="A1034" s="2" t="s">
        <v>663</v>
      </c>
      <c r="B1034" s="2" t="s">
        <v>43</v>
      </c>
      <c r="C1034" s="2" t="s">
        <v>1309</v>
      </c>
      <c r="D1034" s="40">
        <v>599000</v>
      </c>
      <c r="E1034" s="2" t="s">
        <v>295</v>
      </c>
      <c r="F1034" s="145">
        <v>1708</v>
      </c>
      <c r="H1034" s="2" t="s">
        <v>1310</v>
      </c>
      <c r="I1034" s="72">
        <v>43869</v>
      </c>
      <c r="K1034" s="2" t="s">
        <v>1311</v>
      </c>
    </row>
    <row r="1035" spans="1:11">
      <c r="A1035" s="2" t="s">
        <v>664</v>
      </c>
      <c r="B1035" s="2" t="s">
        <v>43</v>
      </c>
      <c r="C1035" s="2" t="s">
        <v>1309</v>
      </c>
      <c r="D1035" s="40">
        <v>602000</v>
      </c>
      <c r="E1035" s="2" t="s">
        <v>295</v>
      </c>
      <c r="F1035" s="145">
        <v>1711</v>
      </c>
      <c r="H1035" s="2" t="s">
        <v>1310</v>
      </c>
      <c r="I1035" s="72">
        <v>43872</v>
      </c>
      <c r="K1035" s="2" t="s">
        <v>1311</v>
      </c>
    </row>
    <row r="1036" spans="1:11">
      <c r="A1036" s="2" t="s">
        <v>665</v>
      </c>
      <c r="B1036" s="2" t="s">
        <v>43</v>
      </c>
      <c r="C1036" s="2" t="s">
        <v>1309</v>
      </c>
      <c r="D1036" s="40">
        <v>605000</v>
      </c>
      <c r="E1036" s="2" t="s">
        <v>295</v>
      </c>
      <c r="F1036" s="145">
        <v>1714</v>
      </c>
      <c r="H1036" s="2" t="s">
        <v>1310</v>
      </c>
      <c r="I1036" s="72">
        <v>43875</v>
      </c>
      <c r="K1036" s="2" t="s">
        <v>1311</v>
      </c>
    </row>
    <row r="1037" spans="1:11">
      <c r="A1037" s="2" t="s">
        <v>666</v>
      </c>
      <c r="B1037" s="2" t="s">
        <v>43</v>
      </c>
      <c r="C1037" s="2" t="s">
        <v>1309</v>
      </c>
      <c r="D1037" s="40">
        <v>608000</v>
      </c>
      <c r="E1037" s="2" t="s">
        <v>295</v>
      </c>
      <c r="F1037" s="145">
        <v>1717</v>
      </c>
      <c r="H1037" s="2" t="s">
        <v>1310</v>
      </c>
      <c r="I1037" s="72">
        <v>43878</v>
      </c>
      <c r="K1037" s="2" t="s">
        <v>1311</v>
      </c>
    </row>
    <row r="1038" spans="1:11">
      <c r="A1038" s="2" t="s">
        <v>667</v>
      </c>
      <c r="B1038" s="2" t="s">
        <v>43</v>
      </c>
      <c r="C1038" s="2" t="s">
        <v>1309</v>
      </c>
      <c r="D1038" s="40">
        <v>611000</v>
      </c>
      <c r="E1038" s="2" t="s">
        <v>295</v>
      </c>
      <c r="F1038" s="145">
        <v>1720</v>
      </c>
      <c r="H1038" s="2" t="s">
        <v>1310</v>
      </c>
      <c r="I1038" s="72">
        <v>43881</v>
      </c>
      <c r="K1038" s="2" t="s">
        <v>1311</v>
      </c>
    </row>
    <row r="1039" spans="1:11">
      <c r="A1039" s="2" t="s">
        <v>668</v>
      </c>
      <c r="B1039" s="2" t="s">
        <v>43</v>
      </c>
      <c r="C1039" s="2" t="s">
        <v>1309</v>
      </c>
      <c r="D1039" s="40">
        <v>614000</v>
      </c>
      <c r="E1039" s="2" t="s">
        <v>295</v>
      </c>
      <c r="F1039" s="145">
        <v>1723</v>
      </c>
      <c r="H1039" s="2" t="s">
        <v>1310</v>
      </c>
      <c r="I1039" s="72">
        <v>43884</v>
      </c>
      <c r="K1039" s="2" t="s">
        <v>1311</v>
      </c>
    </row>
    <row r="1040" spans="1:11">
      <c r="A1040" s="2" t="s">
        <v>669</v>
      </c>
      <c r="B1040" s="2" t="s">
        <v>43</v>
      </c>
      <c r="C1040" s="2" t="s">
        <v>1309</v>
      </c>
      <c r="D1040" s="40">
        <v>617000</v>
      </c>
      <c r="E1040" s="2" t="s">
        <v>295</v>
      </c>
      <c r="F1040" s="145">
        <v>1726</v>
      </c>
      <c r="H1040" s="2" t="s">
        <v>1310</v>
      </c>
      <c r="I1040" s="72">
        <v>43887</v>
      </c>
      <c r="K1040" s="2" t="s">
        <v>1311</v>
      </c>
    </row>
    <row r="1041" spans="1:11">
      <c r="A1041" s="2" t="s">
        <v>670</v>
      </c>
      <c r="B1041" s="2" t="s">
        <v>43</v>
      </c>
      <c r="C1041" s="2" t="s">
        <v>1309</v>
      </c>
      <c r="D1041" s="40">
        <v>620000</v>
      </c>
      <c r="E1041" s="2" t="s">
        <v>295</v>
      </c>
      <c r="F1041" s="145">
        <v>1729</v>
      </c>
      <c r="H1041" s="2" t="s">
        <v>1310</v>
      </c>
      <c r="I1041" s="72">
        <v>43890</v>
      </c>
      <c r="K1041" s="2" t="s">
        <v>1311</v>
      </c>
    </row>
    <row r="1042" spans="1:11">
      <c r="A1042" s="2" t="s">
        <v>671</v>
      </c>
      <c r="B1042" s="2" t="s">
        <v>43</v>
      </c>
      <c r="C1042" s="2" t="s">
        <v>1309</v>
      </c>
      <c r="D1042" s="40">
        <v>623000</v>
      </c>
      <c r="E1042" s="2" t="s">
        <v>295</v>
      </c>
      <c r="F1042" s="145">
        <v>1732</v>
      </c>
      <c r="H1042" s="2" t="s">
        <v>1310</v>
      </c>
      <c r="I1042" s="72">
        <v>43893</v>
      </c>
      <c r="K1042" s="2" t="s">
        <v>1311</v>
      </c>
    </row>
    <row r="1043" spans="1:11">
      <c r="A1043" s="2" t="s">
        <v>672</v>
      </c>
      <c r="B1043" s="2" t="s">
        <v>43</v>
      </c>
      <c r="C1043" s="2" t="s">
        <v>1309</v>
      </c>
      <c r="D1043" s="40">
        <v>626000</v>
      </c>
      <c r="E1043" s="2" t="s">
        <v>295</v>
      </c>
      <c r="F1043" s="145">
        <v>1735</v>
      </c>
      <c r="H1043" s="2" t="s">
        <v>1310</v>
      </c>
      <c r="I1043" s="72">
        <v>43896</v>
      </c>
      <c r="K1043" s="2" t="s">
        <v>1311</v>
      </c>
    </row>
    <row r="1044" spans="1:11">
      <c r="A1044" s="2" t="s">
        <v>673</v>
      </c>
      <c r="B1044" s="2" t="s">
        <v>43</v>
      </c>
      <c r="C1044" s="2" t="s">
        <v>1309</v>
      </c>
      <c r="D1044" s="40">
        <v>629000</v>
      </c>
      <c r="E1044" s="2" t="s">
        <v>295</v>
      </c>
      <c r="F1044" s="145">
        <v>1738</v>
      </c>
      <c r="H1044" s="2" t="s">
        <v>1310</v>
      </c>
      <c r="I1044" s="72">
        <v>43899</v>
      </c>
      <c r="K1044" s="2" t="s">
        <v>1311</v>
      </c>
    </row>
    <row r="1045" spans="1:11">
      <c r="A1045" s="2" t="s">
        <v>674</v>
      </c>
      <c r="B1045" s="2" t="s">
        <v>43</v>
      </c>
      <c r="C1045" s="2" t="s">
        <v>1309</v>
      </c>
      <c r="D1045" s="40">
        <v>632000</v>
      </c>
      <c r="E1045" s="2" t="s">
        <v>295</v>
      </c>
      <c r="F1045" s="145">
        <v>1741</v>
      </c>
      <c r="H1045" s="2" t="s">
        <v>1310</v>
      </c>
      <c r="I1045" s="72">
        <v>43902</v>
      </c>
      <c r="K1045" s="2" t="s">
        <v>1311</v>
      </c>
    </row>
    <row r="1046" spans="1:11">
      <c r="A1046" s="2" t="s">
        <v>675</v>
      </c>
      <c r="B1046" s="2" t="s">
        <v>43</v>
      </c>
      <c r="C1046" s="2" t="s">
        <v>1309</v>
      </c>
      <c r="D1046" s="40">
        <v>635000</v>
      </c>
      <c r="E1046" s="2" t="s">
        <v>295</v>
      </c>
      <c r="F1046" s="145">
        <v>1744</v>
      </c>
      <c r="H1046" s="2" t="s">
        <v>1310</v>
      </c>
      <c r="I1046" s="72">
        <v>43905</v>
      </c>
      <c r="K1046" s="2" t="s">
        <v>1311</v>
      </c>
    </row>
    <row r="1047" spans="1:11">
      <c r="A1047" s="2" t="s">
        <v>676</v>
      </c>
      <c r="B1047" s="2" t="s">
        <v>43</v>
      </c>
      <c r="C1047" s="2" t="s">
        <v>1309</v>
      </c>
      <c r="D1047" s="40">
        <v>638000</v>
      </c>
      <c r="E1047" s="2" t="s">
        <v>295</v>
      </c>
      <c r="F1047" s="145">
        <v>1747</v>
      </c>
      <c r="H1047" s="2" t="s">
        <v>1310</v>
      </c>
      <c r="I1047" s="72">
        <v>43908</v>
      </c>
      <c r="K1047" s="2" t="s">
        <v>1311</v>
      </c>
    </row>
    <row r="1048" spans="1:11">
      <c r="A1048" s="2" t="s">
        <v>677</v>
      </c>
      <c r="B1048" s="2" t="s">
        <v>43</v>
      </c>
      <c r="C1048" s="2" t="s">
        <v>1309</v>
      </c>
      <c r="D1048" s="40">
        <v>641000</v>
      </c>
      <c r="E1048" s="2" t="s">
        <v>295</v>
      </c>
      <c r="F1048" s="145">
        <v>1750</v>
      </c>
      <c r="H1048" s="2" t="s">
        <v>1310</v>
      </c>
      <c r="I1048" s="72">
        <v>43911</v>
      </c>
      <c r="K1048" s="2" t="s">
        <v>1311</v>
      </c>
    </row>
    <row r="1049" spans="1:11">
      <c r="A1049" s="2" t="s">
        <v>678</v>
      </c>
      <c r="B1049" s="2" t="s">
        <v>43</v>
      </c>
      <c r="C1049" s="2" t="s">
        <v>1309</v>
      </c>
      <c r="D1049" s="40">
        <v>644000</v>
      </c>
      <c r="E1049" s="2" t="s">
        <v>295</v>
      </c>
      <c r="F1049" s="145">
        <v>1753</v>
      </c>
      <c r="H1049" s="2" t="s">
        <v>1310</v>
      </c>
      <c r="I1049" s="72">
        <v>43914</v>
      </c>
      <c r="K1049" s="2" t="s">
        <v>1311</v>
      </c>
    </row>
    <row r="1050" spans="1:11">
      <c r="A1050" s="2" t="s">
        <v>679</v>
      </c>
      <c r="B1050" s="2" t="s">
        <v>43</v>
      </c>
      <c r="C1050" s="2" t="s">
        <v>1309</v>
      </c>
      <c r="D1050" s="40">
        <v>647000</v>
      </c>
      <c r="E1050" s="2" t="s">
        <v>295</v>
      </c>
      <c r="F1050" s="145">
        <v>1756</v>
      </c>
      <c r="H1050" s="2" t="s">
        <v>1310</v>
      </c>
      <c r="I1050" s="72">
        <v>43917</v>
      </c>
      <c r="K1050" s="2" t="s">
        <v>1311</v>
      </c>
    </row>
    <row r="1051" spans="1:11">
      <c r="A1051" s="2" t="s">
        <v>680</v>
      </c>
      <c r="B1051" s="2" t="s">
        <v>43</v>
      </c>
      <c r="C1051" s="2" t="s">
        <v>1309</v>
      </c>
      <c r="D1051" s="40">
        <v>650000</v>
      </c>
      <c r="E1051" s="2" t="s">
        <v>295</v>
      </c>
      <c r="F1051" s="145">
        <v>1759</v>
      </c>
      <c r="H1051" s="2" t="s">
        <v>1310</v>
      </c>
      <c r="I1051" s="72">
        <v>43920</v>
      </c>
      <c r="K1051" s="2" t="s">
        <v>1311</v>
      </c>
    </row>
    <row r="1052" spans="1:11">
      <c r="A1052" s="2" t="s">
        <v>681</v>
      </c>
      <c r="B1052" s="2" t="s">
        <v>43</v>
      </c>
      <c r="C1052" s="2" t="s">
        <v>1309</v>
      </c>
      <c r="D1052" s="40">
        <v>653000</v>
      </c>
      <c r="E1052" s="2" t="s">
        <v>295</v>
      </c>
      <c r="F1052" s="145">
        <v>1762</v>
      </c>
      <c r="H1052" s="2" t="s">
        <v>1310</v>
      </c>
      <c r="I1052" s="72">
        <v>43923</v>
      </c>
      <c r="K1052" s="2" t="s">
        <v>1311</v>
      </c>
    </row>
    <row r="1053" spans="1:11">
      <c r="A1053" s="2" t="s">
        <v>682</v>
      </c>
      <c r="B1053" s="2" t="s">
        <v>43</v>
      </c>
      <c r="C1053" s="2" t="s">
        <v>1309</v>
      </c>
      <c r="D1053" s="40">
        <v>656000</v>
      </c>
      <c r="E1053" s="2" t="s">
        <v>295</v>
      </c>
      <c r="F1053" s="145">
        <v>1765</v>
      </c>
      <c r="H1053" s="2" t="s">
        <v>1310</v>
      </c>
      <c r="I1053" s="72">
        <v>43926</v>
      </c>
      <c r="K1053" s="2" t="s">
        <v>1311</v>
      </c>
    </row>
    <row r="1054" spans="1:11">
      <c r="A1054" s="2" t="s">
        <v>683</v>
      </c>
      <c r="B1054" s="2" t="s">
        <v>43</v>
      </c>
      <c r="C1054" s="2" t="s">
        <v>1309</v>
      </c>
      <c r="D1054" s="40">
        <v>659000</v>
      </c>
      <c r="E1054" s="2" t="s">
        <v>295</v>
      </c>
      <c r="F1054" s="145">
        <v>1768</v>
      </c>
      <c r="H1054" s="2" t="s">
        <v>1310</v>
      </c>
      <c r="I1054" s="72">
        <v>43929</v>
      </c>
      <c r="K1054" s="2" t="s">
        <v>1311</v>
      </c>
    </row>
    <row r="1055" spans="1:11">
      <c r="A1055" s="2" t="s">
        <v>684</v>
      </c>
      <c r="B1055" s="2" t="s">
        <v>43</v>
      </c>
      <c r="C1055" s="2" t="s">
        <v>1309</v>
      </c>
      <c r="D1055" s="40">
        <v>662000</v>
      </c>
      <c r="E1055" s="2" t="s">
        <v>295</v>
      </c>
      <c r="F1055" s="145">
        <v>1771</v>
      </c>
      <c r="H1055" s="2" t="s">
        <v>1310</v>
      </c>
      <c r="I1055" s="72">
        <v>43932</v>
      </c>
      <c r="K1055" s="2" t="s">
        <v>1311</v>
      </c>
    </row>
    <row r="1056" spans="1:11">
      <c r="A1056" s="2" t="s">
        <v>685</v>
      </c>
      <c r="B1056" s="2" t="s">
        <v>43</v>
      </c>
      <c r="C1056" s="2" t="s">
        <v>1309</v>
      </c>
      <c r="D1056" s="40">
        <v>665000</v>
      </c>
      <c r="E1056" s="2" t="s">
        <v>295</v>
      </c>
      <c r="F1056" s="145">
        <v>1774</v>
      </c>
      <c r="H1056" s="2" t="s">
        <v>1310</v>
      </c>
      <c r="I1056" s="72">
        <v>43935</v>
      </c>
      <c r="K1056" s="2" t="s">
        <v>1311</v>
      </c>
    </row>
    <row r="1057" spans="1:11">
      <c r="A1057" s="2" t="s">
        <v>686</v>
      </c>
      <c r="B1057" s="2" t="s">
        <v>43</v>
      </c>
      <c r="C1057" s="2" t="s">
        <v>1309</v>
      </c>
      <c r="D1057" s="40">
        <v>668000</v>
      </c>
      <c r="E1057" s="2" t="s">
        <v>295</v>
      </c>
      <c r="F1057" s="145">
        <v>1777</v>
      </c>
      <c r="H1057" s="2" t="s">
        <v>1310</v>
      </c>
      <c r="I1057" s="72">
        <v>43938</v>
      </c>
      <c r="K1057" s="2" t="s">
        <v>1311</v>
      </c>
    </row>
    <row r="1058" spans="1:11">
      <c r="A1058" s="2" t="s">
        <v>687</v>
      </c>
      <c r="B1058" s="2" t="s">
        <v>43</v>
      </c>
      <c r="C1058" s="2" t="s">
        <v>1309</v>
      </c>
      <c r="D1058" s="40">
        <v>671000</v>
      </c>
      <c r="E1058" s="2" t="s">
        <v>295</v>
      </c>
      <c r="F1058" s="145">
        <v>1780</v>
      </c>
      <c r="H1058" s="2" t="s">
        <v>1310</v>
      </c>
      <c r="I1058" s="72">
        <v>43941</v>
      </c>
      <c r="K1058" s="2" t="s">
        <v>1311</v>
      </c>
    </row>
    <row r="1059" spans="1:11">
      <c r="A1059" s="2" t="s">
        <v>688</v>
      </c>
      <c r="B1059" s="2" t="s">
        <v>43</v>
      </c>
      <c r="C1059" s="2" t="s">
        <v>1309</v>
      </c>
      <c r="D1059" s="40">
        <v>674000</v>
      </c>
      <c r="E1059" s="2" t="s">
        <v>295</v>
      </c>
      <c r="F1059" s="145">
        <v>1783</v>
      </c>
      <c r="H1059" s="2" t="s">
        <v>1310</v>
      </c>
      <c r="I1059" s="72">
        <v>43944</v>
      </c>
      <c r="K1059" s="2" t="s">
        <v>1311</v>
      </c>
    </row>
    <row r="1060" spans="1:11">
      <c r="A1060" s="2" t="s">
        <v>689</v>
      </c>
      <c r="B1060" s="2" t="s">
        <v>43</v>
      </c>
      <c r="C1060" s="2" t="s">
        <v>1309</v>
      </c>
      <c r="D1060" s="40">
        <v>677000</v>
      </c>
      <c r="E1060" s="2" t="s">
        <v>295</v>
      </c>
      <c r="F1060" s="145">
        <v>1786</v>
      </c>
      <c r="H1060" s="2" t="s">
        <v>1310</v>
      </c>
      <c r="I1060" s="72">
        <v>43947</v>
      </c>
      <c r="K1060" s="2" t="s">
        <v>1311</v>
      </c>
    </row>
    <row r="1061" spans="1:11">
      <c r="A1061" s="2" t="s">
        <v>690</v>
      </c>
      <c r="B1061" s="2" t="s">
        <v>43</v>
      </c>
      <c r="C1061" s="2" t="s">
        <v>1309</v>
      </c>
      <c r="D1061" s="40">
        <v>680000</v>
      </c>
      <c r="E1061" s="2" t="s">
        <v>295</v>
      </c>
      <c r="F1061" s="145">
        <v>1789</v>
      </c>
      <c r="H1061" s="2" t="s">
        <v>1310</v>
      </c>
      <c r="I1061" s="72">
        <v>43950</v>
      </c>
      <c r="K1061" s="2" t="s">
        <v>1311</v>
      </c>
    </row>
    <row r="1062" spans="1:11">
      <c r="A1062" s="2" t="s">
        <v>691</v>
      </c>
      <c r="B1062" s="2" t="s">
        <v>43</v>
      </c>
      <c r="C1062" s="2" t="s">
        <v>1309</v>
      </c>
      <c r="D1062" s="40">
        <v>683000</v>
      </c>
      <c r="E1062" s="2" t="s">
        <v>295</v>
      </c>
      <c r="F1062" s="145">
        <v>1792</v>
      </c>
      <c r="H1062" s="2" t="s">
        <v>1310</v>
      </c>
      <c r="I1062" s="72">
        <v>43953</v>
      </c>
      <c r="K1062" s="2" t="s">
        <v>1311</v>
      </c>
    </row>
    <row r="1063" spans="1:11">
      <c r="A1063" s="2" t="s">
        <v>692</v>
      </c>
      <c r="B1063" s="2" t="s">
        <v>43</v>
      </c>
      <c r="C1063" s="2" t="s">
        <v>1309</v>
      </c>
      <c r="D1063" s="40">
        <v>686000</v>
      </c>
      <c r="E1063" s="2" t="s">
        <v>295</v>
      </c>
      <c r="F1063" s="145">
        <v>1795</v>
      </c>
      <c r="H1063" s="2" t="s">
        <v>1310</v>
      </c>
      <c r="I1063" s="72">
        <v>43956</v>
      </c>
      <c r="K1063" s="2" t="s">
        <v>1311</v>
      </c>
    </row>
    <row r="1064" spans="1:11">
      <c r="A1064" s="2" t="s">
        <v>693</v>
      </c>
      <c r="B1064" s="2" t="s">
        <v>43</v>
      </c>
      <c r="C1064" s="2" t="s">
        <v>1309</v>
      </c>
      <c r="D1064" s="40">
        <v>689000</v>
      </c>
      <c r="E1064" s="2" t="s">
        <v>295</v>
      </c>
      <c r="F1064" s="145">
        <v>1798</v>
      </c>
      <c r="H1064" s="2" t="s">
        <v>1310</v>
      </c>
      <c r="I1064" s="72">
        <v>43959</v>
      </c>
      <c r="K1064" s="2" t="s">
        <v>1311</v>
      </c>
    </row>
    <row r="1065" spans="1:11">
      <c r="A1065" s="2" t="s">
        <v>694</v>
      </c>
      <c r="B1065" s="2" t="s">
        <v>43</v>
      </c>
      <c r="C1065" s="2" t="s">
        <v>1309</v>
      </c>
      <c r="D1065" s="40">
        <v>692000</v>
      </c>
      <c r="E1065" s="2" t="s">
        <v>295</v>
      </c>
      <c r="F1065" s="145">
        <v>1801</v>
      </c>
      <c r="H1065" s="2" t="s">
        <v>1310</v>
      </c>
      <c r="I1065" s="72">
        <v>43962</v>
      </c>
      <c r="K1065" s="2" t="s">
        <v>1311</v>
      </c>
    </row>
    <row r="1066" spans="1:11">
      <c r="A1066" s="2" t="s">
        <v>695</v>
      </c>
      <c r="B1066" s="2" t="s">
        <v>43</v>
      </c>
      <c r="C1066" s="2" t="s">
        <v>1309</v>
      </c>
      <c r="D1066" s="40">
        <v>695000</v>
      </c>
      <c r="E1066" s="2" t="s">
        <v>295</v>
      </c>
      <c r="F1066" s="145">
        <v>1804</v>
      </c>
      <c r="H1066" s="2" t="s">
        <v>1310</v>
      </c>
      <c r="I1066" s="72">
        <v>43965</v>
      </c>
      <c r="K1066" s="2" t="s">
        <v>1311</v>
      </c>
    </row>
    <row r="1067" spans="1:11">
      <c r="A1067" s="2" t="s">
        <v>696</v>
      </c>
      <c r="B1067" s="2" t="s">
        <v>43</v>
      </c>
      <c r="C1067" s="2" t="s">
        <v>1309</v>
      </c>
      <c r="D1067" s="40">
        <v>698000</v>
      </c>
      <c r="E1067" s="2" t="s">
        <v>295</v>
      </c>
      <c r="F1067" s="145">
        <v>1807</v>
      </c>
      <c r="H1067" s="2" t="s">
        <v>1310</v>
      </c>
      <c r="I1067" s="72">
        <v>43968</v>
      </c>
      <c r="K1067" s="2" t="s">
        <v>1311</v>
      </c>
    </row>
    <row r="1068" spans="1:11">
      <c r="A1068" s="2" t="s">
        <v>697</v>
      </c>
      <c r="B1068" s="2" t="s">
        <v>43</v>
      </c>
      <c r="C1068" s="2" t="s">
        <v>1309</v>
      </c>
      <c r="D1068" s="40">
        <v>701000</v>
      </c>
      <c r="E1068" s="2" t="s">
        <v>295</v>
      </c>
      <c r="F1068" s="145">
        <v>1810</v>
      </c>
      <c r="H1068" s="2" t="s">
        <v>1310</v>
      </c>
      <c r="I1068" s="72">
        <v>43971</v>
      </c>
      <c r="K1068" s="2" t="s">
        <v>1311</v>
      </c>
    </row>
    <row r="1069" spans="1:11">
      <c r="A1069" s="2" t="s">
        <v>698</v>
      </c>
      <c r="B1069" s="2" t="s">
        <v>43</v>
      </c>
      <c r="C1069" s="2" t="s">
        <v>1309</v>
      </c>
      <c r="D1069" s="40">
        <v>704000</v>
      </c>
      <c r="E1069" s="2" t="s">
        <v>295</v>
      </c>
      <c r="F1069" s="145">
        <v>1813</v>
      </c>
      <c r="H1069" s="2" t="s">
        <v>1310</v>
      </c>
      <c r="I1069" s="72">
        <v>43974</v>
      </c>
      <c r="K1069" s="2" t="s">
        <v>1311</v>
      </c>
    </row>
    <row r="1070" spans="1:11">
      <c r="A1070" s="2" t="s">
        <v>699</v>
      </c>
      <c r="B1070" s="2" t="s">
        <v>43</v>
      </c>
      <c r="C1070" s="2" t="s">
        <v>1309</v>
      </c>
      <c r="D1070" s="40">
        <v>707000</v>
      </c>
      <c r="E1070" s="2" t="s">
        <v>295</v>
      </c>
      <c r="F1070" s="145">
        <v>1816</v>
      </c>
      <c r="H1070" s="2" t="s">
        <v>1310</v>
      </c>
      <c r="I1070" s="72">
        <v>43977</v>
      </c>
      <c r="K1070" s="2" t="s">
        <v>1311</v>
      </c>
    </row>
    <row r="1071" spans="1:11">
      <c r="A1071" s="2" t="s">
        <v>700</v>
      </c>
      <c r="B1071" s="2" t="s">
        <v>43</v>
      </c>
      <c r="C1071" s="2" t="s">
        <v>1309</v>
      </c>
      <c r="D1071" s="40">
        <v>710000</v>
      </c>
      <c r="E1071" s="2" t="s">
        <v>295</v>
      </c>
      <c r="F1071" s="145">
        <v>1819</v>
      </c>
      <c r="H1071" s="2" t="s">
        <v>1310</v>
      </c>
      <c r="I1071" s="72">
        <v>43980</v>
      </c>
      <c r="K1071" s="2" t="s">
        <v>1311</v>
      </c>
    </row>
    <row r="1072" spans="1:11">
      <c r="A1072" s="2" t="s">
        <v>701</v>
      </c>
      <c r="B1072" s="2" t="s">
        <v>43</v>
      </c>
      <c r="C1072" s="2" t="s">
        <v>1309</v>
      </c>
      <c r="D1072" s="40">
        <v>713000</v>
      </c>
      <c r="E1072" s="2" t="s">
        <v>295</v>
      </c>
      <c r="F1072" s="145">
        <v>1822</v>
      </c>
      <c r="H1072" s="2" t="s">
        <v>1310</v>
      </c>
      <c r="I1072" s="72">
        <v>43983</v>
      </c>
      <c r="K1072" s="2" t="s">
        <v>1311</v>
      </c>
    </row>
    <row r="1073" spans="1:11">
      <c r="A1073" s="2" t="s">
        <v>702</v>
      </c>
      <c r="B1073" s="2" t="s">
        <v>43</v>
      </c>
      <c r="C1073" s="2" t="s">
        <v>1309</v>
      </c>
      <c r="D1073" s="40">
        <v>716000</v>
      </c>
      <c r="E1073" s="2" t="s">
        <v>295</v>
      </c>
      <c r="F1073" s="145">
        <v>1825</v>
      </c>
      <c r="H1073" s="2" t="s">
        <v>1310</v>
      </c>
      <c r="I1073" s="72">
        <v>43986</v>
      </c>
      <c r="K1073" s="2" t="s">
        <v>1311</v>
      </c>
    </row>
    <row r="1074" spans="1:11">
      <c r="A1074" s="2" t="s">
        <v>703</v>
      </c>
      <c r="B1074" s="2" t="s">
        <v>43</v>
      </c>
      <c r="C1074" s="2" t="s">
        <v>1309</v>
      </c>
      <c r="D1074" s="40">
        <v>719000</v>
      </c>
      <c r="E1074" s="2" t="s">
        <v>295</v>
      </c>
      <c r="F1074" s="145">
        <v>1828</v>
      </c>
      <c r="H1074" s="2" t="s">
        <v>1310</v>
      </c>
      <c r="I1074" s="72">
        <v>43989</v>
      </c>
      <c r="K1074" s="2" t="s">
        <v>1311</v>
      </c>
    </row>
    <row r="1075" spans="1:11">
      <c r="A1075" s="2" t="s">
        <v>704</v>
      </c>
      <c r="B1075" s="2" t="s">
        <v>43</v>
      </c>
      <c r="C1075" s="2" t="s">
        <v>1309</v>
      </c>
      <c r="D1075" s="40">
        <v>722000</v>
      </c>
      <c r="E1075" s="2" t="s">
        <v>295</v>
      </c>
      <c r="F1075" s="145">
        <v>1831</v>
      </c>
      <c r="H1075" s="2" t="s">
        <v>1310</v>
      </c>
      <c r="I1075" s="72">
        <v>43992</v>
      </c>
      <c r="K1075" s="2" t="s">
        <v>1311</v>
      </c>
    </row>
    <row r="1076" spans="1:11">
      <c r="A1076" s="2" t="s">
        <v>705</v>
      </c>
      <c r="B1076" s="2" t="s">
        <v>43</v>
      </c>
      <c r="C1076" s="2" t="s">
        <v>1309</v>
      </c>
      <c r="D1076" s="40">
        <v>725000</v>
      </c>
      <c r="E1076" s="2" t="s">
        <v>295</v>
      </c>
      <c r="F1076" s="145">
        <v>1834</v>
      </c>
      <c r="H1076" s="2" t="s">
        <v>1310</v>
      </c>
      <c r="I1076" s="72">
        <v>43995</v>
      </c>
      <c r="K1076" s="2" t="s">
        <v>1311</v>
      </c>
    </row>
    <row r="1077" spans="1:11">
      <c r="A1077" s="2" t="s">
        <v>706</v>
      </c>
      <c r="B1077" s="2" t="s">
        <v>43</v>
      </c>
      <c r="C1077" s="2" t="s">
        <v>1309</v>
      </c>
      <c r="D1077" s="40">
        <v>728000</v>
      </c>
      <c r="E1077" s="2" t="s">
        <v>295</v>
      </c>
      <c r="F1077" s="145">
        <v>1837</v>
      </c>
      <c r="H1077" s="2" t="s">
        <v>1310</v>
      </c>
      <c r="I1077" s="72">
        <v>43998</v>
      </c>
      <c r="K1077" s="2" t="s">
        <v>1311</v>
      </c>
    </row>
    <row r="1078" spans="1:11">
      <c r="A1078" s="2" t="s">
        <v>707</v>
      </c>
      <c r="B1078" s="2" t="s">
        <v>43</v>
      </c>
      <c r="C1078" s="2" t="s">
        <v>1309</v>
      </c>
      <c r="D1078" s="40">
        <v>731000</v>
      </c>
      <c r="E1078" s="2" t="s">
        <v>295</v>
      </c>
      <c r="F1078" s="145">
        <v>1840</v>
      </c>
      <c r="H1078" s="2" t="s">
        <v>1310</v>
      </c>
      <c r="I1078" s="72">
        <v>44001</v>
      </c>
      <c r="K1078" s="2" t="s">
        <v>1311</v>
      </c>
    </row>
    <row r="1079" spans="1:11">
      <c r="A1079" s="2" t="s">
        <v>708</v>
      </c>
      <c r="B1079" s="2" t="s">
        <v>43</v>
      </c>
      <c r="C1079" s="2" t="s">
        <v>1309</v>
      </c>
      <c r="D1079" s="40">
        <v>734000</v>
      </c>
      <c r="E1079" s="2" t="s">
        <v>295</v>
      </c>
      <c r="F1079" s="145">
        <v>1843</v>
      </c>
      <c r="H1079" s="2" t="s">
        <v>1310</v>
      </c>
      <c r="I1079" s="72">
        <v>44004</v>
      </c>
      <c r="K1079" s="2" t="s">
        <v>1311</v>
      </c>
    </row>
    <row r="1080" spans="1:11">
      <c r="A1080" s="2" t="s">
        <v>709</v>
      </c>
      <c r="B1080" s="2" t="s">
        <v>43</v>
      </c>
      <c r="C1080" s="2" t="s">
        <v>1309</v>
      </c>
      <c r="D1080" s="40">
        <v>737000</v>
      </c>
      <c r="E1080" s="2" t="s">
        <v>295</v>
      </c>
      <c r="F1080" s="145">
        <v>1846</v>
      </c>
      <c r="H1080" s="2" t="s">
        <v>1310</v>
      </c>
      <c r="I1080" s="72">
        <v>44007</v>
      </c>
      <c r="K1080" s="2" t="s">
        <v>1311</v>
      </c>
    </row>
    <row r="1081" spans="1:11">
      <c r="A1081" s="2" t="s">
        <v>710</v>
      </c>
      <c r="B1081" s="2" t="s">
        <v>43</v>
      </c>
      <c r="C1081" s="2" t="s">
        <v>1309</v>
      </c>
      <c r="D1081" s="40">
        <v>740000</v>
      </c>
      <c r="E1081" s="2" t="s">
        <v>295</v>
      </c>
      <c r="F1081" s="145">
        <v>1849</v>
      </c>
      <c r="H1081" s="2" t="s">
        <v>1310</v>
      </c>
      <c r="I1081" s="72">
        <v>44010</v>
      </c>
      <c r="K1081" s="2" t="s">
        <v>1311</v>
      </c>
    </row>
    <row r="1082" spans="1:11">
      <c r="A1082" s="2" t="s">
        <v>711</v>
      </c>
      <c r="B1082" s="2" t="s">
        <v>43</v>
      </c>
      <c r="C1082" s="2" t="s">
        <v>1309</v>
      </c>
      <c r="D1082" s="40">
        <v>743000</v>
      </c>
      <c r="E1082" s="2" t="s">
        <v>295</v>
      </c>
      <c r="F1082" s="145">
        <v>1852</v>
      </c>
      <c r="H1082" s="2" t="s">
        <v>1310</v>
      </c>
      <c r="I1082" s="72">
        <v>44013</v>
      </c>
      <c r="K1082" s="2" t="s">
        <v>1311</v>
      </c>
    </row>
    <row r="1083" spans="1:11">
      <c r="A1083" s="2" t="s">
        <v>712</v>
      </c>
      <c r="B1083" s="2" t="s">
        <v>43</v>
      </c>
      <c r="C1083" s="2" t="s">
        <v>1309</v>
      </c>
      <c r="D1083" s="40">
        <v>746000</v>
      </c>
      <c r="E1083" s="2" t="s">
        <v>295</v>
      </c>
      <c r="F1083" s="145">
        <v>1855</v>
      </c>
      <c r="H1083" s="2" t="s">
        <v>1310</v>
      </c>
      <c r="I1083" s="72">
        <v>44016</v>
      </c>
      <c r="K1083" s="2" t="s">
        <v>1311</v>
      </c>
    </row>
    <row r="1084" spans="1:11">
      <c r="A1084" s="2" t="s">
        <v>713</v>
      </c>
      <c r="B1084" s="2" t="s">
        <v>43</v>
      </c>
      <c r="C1084" s="2" t="s">
        <v>1309</v>
      </c>
      <c r="D1084" s="40">
        <v>749000</v>
      </c>
      <c r="E1084" s="2" t="s">
        <v>295</v>
      </c>
      <c r="F1084" s="145">
        <v>1858</v>
      </c>
      <c r="H1084" s="2" t="s">
        <v>1310</v>
      </c>
      <c r="I1084" s="72">
        <v>44019</v>
      </c>
      <c r="K1084" s="2" t="s">
        <v>1311</v>
      </c>
    </row>
    <row r="1085" spans="1:11">
      <c r="A1085" s="2" t="s">
        <v>714</v>
      </c>
      <c r="B1085" s="2" t="s">
        <v>43</v>
      </c>
      <c r="C1085" s="2" t="s">
        <v>1309</v>
      </c>
      <c r="D1085" s="40">
        <v>752000</v>
      </c>
      <c r="E1085" s="2" t="s">
        <v>295</v>
      </c>
      <c r="F1085" s="145">
        <v>1861</v>
      </c>
      <c r="H1085" s="2" t="s">
        <v>1310</v>
      </c>
      <c r="I1085" s="72">
        <v>44022</v>
      </c>
      <c r="K1085" s="2" t="s">
        <v>1311</v>
      </c>
    </row>
    <row r="1086" spans="1:11">
      <c r="A1086" s="2" t="s">
        <v>715</v>
      </c>
      <c r="B1086" s="2" t="s">
        <v>43</v>
      </c>
      <c r="C1086" s="2" t="s">
        <v>1309</v>
      </c>
      <c r="D1086" s="40">
        <v>755000</v>
      </c>
      <c r="E1086" s="2" t="s">
        <v>295</v>
      </c>
      <c r="F1086" s="145">
        <v>1864</v>
      </c>
      <c r="H1086" s="2" t="s">
        <v>1310</v>
      </c>
      <c r="I1086" s="72">
        <v>44025</v>
      </c>
      <c r="K1086" s="2" t="s">
        <v>1311</v>
      </c>
    </row>
    <row r="1087" spans="1:11">
      <c r="A1087" s="2" t="s">
        <v>716</v>
      </c>
      <c r="B1087" s="2" t="s">
        <v>43</v>
      </c>
      <c r="C1087" s="2" t="s">
        <v>1309</v>
      </c>
      <c r="D1087" s="40">
        <v>758000</v>
      </c>
      <c r="E1087" s="2" t="s">
        <v>295</v>
      </c>
      <c r="F1087" s="145">
        <v>1867</v>
      </c>
      <c r="H1087" s="2" t="s">
        <v>1310</v>
      </c>
      <c r="I1087" s="72">
        <v>44028</v>
      </c>
      <c r="K1087" s="2" t="s">
        <v>1311</v>
      </c>
    </row>
    <row r="1088" spans="1:11">
      <c r="A1088" s="2" t="s">
        <v>717</v>
      </c>
      <c r="B1088" s="2" t="s">
        <v>43</v>
      </c>
      <c r="C1088" s="2" t="s">
        <v>1309</v>
      </c>
      <c r="D1088" s="40">
        <v>761000</v>
      </c>
      <c r="E1088" s="2" t="s">
        <v>295</v>
      </c>
      <c r="F1088" s="145">
        <v>1870</v>
      </c>
      <c r="H1088" s="2" t="s">
        <v>1310</v>
      </c>
      <c r="I1088" s="72">
        <v>44031</v>
      </c>
      <c r="K1088" s="2" t="s">
        <v>1311</v>
      </c>
    </row>
    <row r="1089" spans="1:11">
      <c r="A1089" s="2" t="s">
        <v>718</v>
      </c>
      <c r="B1089" s="2" t="s">
        <v>43</v>
      </c>
      <c r="C1089" s="2" t="s">
        <v>1309</v>
      </c>
      <c r="D1089" s="40">
        <v>764000</v>
      </c>
      <c r="E1089" s="2" t="s">
        <v>295</v>
      </c>
      <c r="F1089" s="145">
        <v>1873</v>
      </c>
      <c r="H1089" s="2" t="s">
        <v>1310</v>
      </c>
      <c r="I1089" s="72">
        <v>44034</v>
      </c>
      <c r="K1089" s="2" t="s">
        <v>1311</v>
      </c>
    </row>
    <row r="1090" spans="1:11">
      <c r="A1090" s="2" t="s">
        <v>719</v>
      </c>
      <c r="B1090" s="2" t="s">
        <v>43</v>
      </c>
      <c r="C1090" s="2" t="s">
        <v>1309</v>
      </c>
      <c r="D1090" s="40">
        <v>767000</v>
      </c>
      <c r="E1090" s="2" t="s">
        <v>295</v>
      </c>
      <c r="F1090" s="145">
        <v>1876</v>
      </c>
      <c r="H1090" s="2" t="s">
        <v>1310</v>
      </c>
      <c r="I1090" s="72">
        <v>44037</v>
      </c>
      <c r="K1090" s="2" t="s">
        <v>1311</v>
      </c>
    </row>
    <row r="1091" spans="1:11">
      <c r="A1091" s="2" t="s">
        <v>720</v>
      </c>
      <c r="B1091" s="2" t="s">
        <v>43</v>
      </c>
      <c r="C1091" s="2" t="s">
        <v>1309</v>
      </c>
      <c r="D1091" s="40">
        <v>770000</v>
      </c>
      <c r="E1091" s="2" t="s">
        <v>295</v>
      </c>
      <c r="F1091" s="145">
        <v>1879</v>
      </c>
      <c r="H1091" s="2" t="s">
        <v>1310</v>
      </c>
      <c r="I1091" s="72">
        <v>44040</v>
      </c>
      <c r="K1091" s="2" t="s">
        <v>1311</v>
      </c>
    </row>
    <row r="1092" spans="1:11">
      <c r="A1092" s="2" t="s">
        <v>721</v>
      </c>
      <c r="B1092" s="2" t="s">
        <v>43</v>
      </c>
      <c r="C1092" s="2" t="s">
        <v>1309</v>
      </c>
      <c r="D1092" s="40">
        <v>773000</v>
      </c>
      <c r="E1092" s="2" t="s">
        <v>295</v>
      </c>
      <c r="F1092" s="145">
        <v>1882</v>
      </c>
      <c r="H1092" s="2" t="s">
        <v>1310</v>
      </c>
      <c r="I1092" s="72">
        <v>44043</v>
      </c>
      <c r="K1092" s="2" t="s">
        <v>1311</v>
      </c>
    </row>
    <row r="1093" spans="1:11">
      <c r="A1093" s="2" t="s">
        <v>722</v>
      </c>
      <c r="B1093" s="2" t="s">
        <v>43</v>
      </c>
      <c r="C1093" s="2" t="s">
        <v>1309</v>
      </c>
      <c r="D1093" s="40">
        <v>776000</v>
      </c>
      <c r="E1093" s="2" t="s">
        <v>295</v>
      </c>
      <c r="F1093" s="145">
        <v>1885</v>
      </c>
      <c r="H1093" s="2" t="s">
        <v>1310</v>
      </c>
      <c r="I1093" s="72">
        <v>44046</v>
      </c>
      <c r="K1093" s="2" t="s">
        <v>1311</v>
      </c>
    </row>
    <row r="1094" spans="1:11">
      <c r="A1094" s="2" t="s">
        <v>723</v>
      </c>
      <c r="B1094" s="2" t="s">
        <v>43</v>
      </c>
      <c r="C1094" s="2" t="s">
        <v>1309</v>
      </c>
      <c r="D1094" s="40">
        <v>779000</v>
      </c>
      <c r="E1094" s="2" t="s">
        <v>295</v>
      </c>
      <c r="F1094" s="145">
        <v>1888</v>
      </c>
      <c r="H1094" s="2" t="s">
        <v>1310</v>
      </c>
      <c r="I1094" s="72">
        <v>44049</v>
      </c>
      <c r="K1094" s="2" t="s">
        <v>1311</v>
      </c>
    </row>
    <row r="1095" spans="1:11">
      <c r="A1095" s="2" t="s">
        <v>724</v>
      </c>
      <c r="B1095" s="2" t="s">
        <v>43</v>
      </c>
      <c r="C1095" s="2" t="s">
        <v>1309</v>
      </c>
      <c r="D1095" s="40">
        <v>782000</v>
      </c>
      <c r="E1095" s="2" t="s">
        <v>295</v>
      </c>
      <c r="F1095" s="145">
        <v>1891</v>
      </c>
      <c r="H1095" s="2" t="s">
        <v>1310</v>
      </c>
      <c r="I1095" s="72">
        <v>44052</v>
      </c>
      <c r="K1095" s="2" t="s">
        <v>1311</v>
      </c>
    </row>
    <row r="1096" spans="1:11">
      <c r="A1096" s="2" t="s">
        <v>725</v>
      </c>
      <c r="B1096" s="2" t="s">
        <v>43</v>
      </c>
      <c r="C1096" s="2" t="s">
        <v>1309</v>
      </c>
      <c r="D1096" s="40">
        <v>785000</v>
      </c>
      <c r="E1096" s="2" t="s">
        <v>295</v>
      </c>
      <c r="F1096" s="145">
        <v>1894</v>
      </c>
      <c r="H1096" s="2" t="s">
        <v>1310</v>
      </c>
      <c r="I1096" s="72">
        <v>44055</v>
      </c>
      <c r="K1096" s="2" t="s">
        <v>1311</v>
      </c>
    </row>
    <row r="1097" spans="1:11">
      <c r="A1097" s="2" t="s">
        <v>726</v>
      </c>
      <c r="B1097" s="2" t="s">
        <v>43</v>
      </c>
      <c r="C1097" s="2" t="s">
        <v>1309</v>
      </c>
      <c r="D1097" s="40">
        <v>788000</v>
      </c>
      <c r="E1097" s="2" t="s">
        <v>295</v>
      </c>
      <c r="F1097" s="145">
        <v>1897</v>
      </c>
      <c r="H1097" s="2" t="s">
        <v>1310</v>
      </c>
      <c r="I1097" s="72">
        <v>44058</v>
      </c>
      <c r="K1097" s="2" t="s">
        <v>1311</v>
      </c>
    </row>
    <row r="1098" spans="1:11">
      <c r="A1098" s="2" t="s">
        <v>727</v>
      </c>
      <c r="B1098" s="2" t="s">
        <v>43</v>
      </c>
      <c r="C1098" s="2" t="s">
        <v>1309</v>
      </c>
      <c r="D1098" s="40">
        <v>791000</v>
      </c>
      <c r="E1098" s="2" t="s">
        <v>295</v>
      </c>
      <c r="F1098" s="145">
        <v>1900</v>
      </c>
      <c r="H1098" s="2" t="s">
        <v>1310</v>
      </c>
      <c r="I1098" s="72">
        <v>44061</v>
      </c>
      <c r="K1098" s="2" t="s">
        <v>1311</v>
      </c>
    </row>
    <row r="1099" spans="1:11">
      <c r="A1099" s="2" t="s">
        <v>728</v>
      </c>
      <c r="B1099" s="2" t="s">
        <v>43</v>
      </c>
      <c r="C1099" s="2" t="s">
        <v>1309</v>
      </c>
      <c r="D1099" s="40">
        <v>794000</v>
      </c>
      <c r="E1099" s="2" t="s">
        <v>295</v>
      </c>
      <c r="F1099" s="145">
        <v>1903</v>
      </c>
      <c r="H1099" s="2" t="s">
        <v>1310</v>
      </c>
      <c r="I1099" s="72">
        <v>44064</v>
      </c>
      <c r="K1099" s="2" t="s">
        <v>1311</v>
      </c>
    </row>
    <row r="1100" spans="1:11">
      <c r="A1100" s="2" t="s">
        <v>729</v>
      </c>
      <c r="B1100" s="2" t="s">
        <v>43</v>
      </c>
      <c r="C1100" s="2" t="s">
        <v>1309</v>
      </c>
      <c r="D1100" s="40">
        <v>797000</v>
      </c>
      <c r="E1100" s="2" t="s">
        <v>295</v>
      </c>
      <c r="F1100" s="145">
        <v>1906</v>
      </c>
      <c r="H1100" s="2" t="s">
        <v>1310</v>
      </c>
      <c r="I1100" s="72">
        <v>44067</v>
      </c>
      <c r="K1100" s="2" t="s">
        <v>1311</v>
      </c>
    </row>
    <row r="1101" spans="1:11">
      <c r="A1101" s="2" t="s">
        <v>730</v>
      </c>
      <c r="B1101" s="2" t="s">
        <v>43</v>
      </c>
      <c r="C1101" s="2" t="s">
        <v>1309</v>
      </c>
      <c r="D1101" s="40">
        <v>800000</v>
      </c>
      <c r="E1101" s="2" t="s">
        <v>295</v>
      </c>
      <c r="F1101" s="145">
        <v>1909</v>
      </c>
      <c r="H1101" s="2" t="s">
        <v>1310</v>
      </c>
      <c r="I1101" s="72">
        <v>44070</v>
      </c>
      <c r="K1101" s="2" t="s">
        <v>1311</v>
      </c>
    </row>
    <row r="1102" spans="1:11">
      <c r="A1102" s="2" t="s">
        <v>731</v>
      </c>
      <c r="B1102" s="2" t="s">
        <v>43</v>
      </c>
      <c r="C1102" s="2" t="s">
        <v>1309</v>
      </c>
      <c r="D1102" s="40">
        <v>803000</v>
      </c>
      <c r="E1102" s="2" t="s">
        <v>295</v>
      </c>
      <c r="F1102" s="145">
        <v>1912</v>
      </c>
      <c r="H1102" s="2" t="s">
        <v>1310</v>
      </c>
      <c r="I1102" s="72">
        <v>44073</v>
      </c>
      <c r="K1102" s="2" t="s">
        <v>1311</v>
      </c>
    </row>
    <row r="1103" spans="1:11">
      <c r="A1103" s="2" t="s">
        <v>732</v>
      </c>
      <c r="B1103" s="2" t="s">
        <v>43</v>
      </c>
      <c r="C1103" s="2" t="s">
        <v>1309</v>
      </c>
      <c r="D1103" s="40">
        <v>806000</v>
      </c>
      <c r="E1103" s="2" t="s">
        <v>295</v>
      </c>
      <c r="F1103" s="145">
        <v>1915</v>
      </c>
      <c r="H1103" s="2" t="s">
        <v>1310</v>
      </c>
      <c r="I1103" s="72">
        <v>44076</v>
      </c>
      <c r="K1103" s="2" t="s">
        <v>1311</v>
      </c>
    </row>
    <row r="1104" spans="1:11">
      <c r="A1104" s="2" t="s">
        <v>733</v>
      </c>
      <c r="B1104" s="2" t="s">
        <v>43</v>
      </c>
      <c r="C1104" s="2" t="s">
        <v>1309</v>
      </c>
      <c r="D1104" s="40">
        <v>809000</v>
      </c>
      <c r="E1104" s="2" t="s">
        <v>295</v>
      </c>
      <c r="F1104" s="145">
        <v>1918</v>
      </c>
      <c r="H1104" s="2" t="s">
        <v>1310</v>
      </c>
      <c r="I1104" s="72">
        <v>44079</v>
      </c>
      <c r="K1104" s="2" t="s">
        <v>1311</v>
      </c>
    </row>
    <row r="1105" spans="1:11">
      <c r="A1105" s="2" t="s">
        <v>734</v>
      </c>
      <c r="B1105" s="2" t="s">
        <v>43</v>
      </c>
      <c r="C1105" s="2" t="s">
        <v>1309</v>
      </c>
      <c r="D1105" s="40">
        <v>812000</v>
      </c>
      <c r="E1105" s="2" t="s">
        <v>295</v>
      </c>
      <c r="F1105" s="145">
        <v>1921</v>
      </c>
      <c r="H1105" s="2" t="s">
        <v>1310</v>
      </c>
      <c r="I1105" s="72">
        <v>44082</v>
      </c>
      <c r="K1105" s="2" t="s">
        <v>1311</v>
      </c>
    </row>
    <row r="1106" spans="1:11">
      <c r="A1106" s="2" t="s">
        <v>735</v>
      </c>
      <c r="B1106" s="2" t="s">
        <v>43</v>
      </c>
      <c r="C1106" s="2" t="s">
        <v>1309</v>
      </c>
      <c r="D1106" s="40">
        <v>815000</v>
      </c>
      <c r="E1106" s="2" t="s">
        <v>295</v>
      </c>
      <c r="F1106" s="145">
        <v>1924</v>
      </c>
      <c r="H1106" s="2" t="s">
        <v>1310</v>
      </c>
      <c r="I1106" s="72">
        <v>44085</v>
      </c>
      <c r="K1106" s="2" t="s">
        <v>1311</v>
      </c>
    </row>
    <row r="1107" spans="1:11">
      <c r="A1107" s="2" t="s">
        <v>736</v>
      </c>
      <c r="B1107" s="2" t="s">
        <v>43</v>
      </c>
      <c r="C1107" s="2" t="s">
        <v>1309</v>
      </c>
      <c r="D1107" s="40">
        <v>818000</v>
      </c>
      <c r="E1107" s="2" t="s">
        <v>295</v>
      </c>
      <c r="F1107" s="145">
        <v>1927</v>
      </c>
      <c r="H1107" s="2" t="s">
        <v>1310</v>
      </c>
      <c r="I1107" s="72">
        <v>44088</v>
      </c>
      <c r="K1107" s="2" t="s">
        <v>1311</v>
      </c>
    </row>
    <row r="1108" spans="1:11">
      <c r="A1108" s="2" t="s">
        <v>737</v>
      </c>
      <c r="B1108" s="2" t="s">
        <v>43</v>
      </c>
      <c r="C1108" s="2" t="s">
        <v>1309</v>
      </c>
      <c r="D1108" s="40">
        <v>821000</v>
      </c>
      <c r="E1108" s="2" t="s">
        <v>295</v>
      </c>
      <c r="F1108" s="145">
        <v>1930</v>
      </c>
      <c r="H1108" s="2" t="s">
        <v>1310</v>
      </c>
      <c r="I1108" s="72">
        <v>44091</v>
      </c>
      <c r="K1108" s="2" t="s">
        <v>1311</v>
      </c>
    </row>
    <row r="1109" spans="1:11">
      <c r="A1109" s="2" t="s">
        <v>738</v>
      </c>
      <c r="B1109" s="2" t="s">
        <v>43</v>
      </c>
      <c r="C1109" s="2" t="s">
        <v>1309</v>
      </c>
      <c r="D1109" s="40">
        <v>824000</v>
      </c>
      <c r="E1109" s="2" t="s">
        <v>295</v>
      </c>
      <c r="F1109" s="145">
        <v>1933</v>
      </c>
      <c r="H1109" s="2" t="s">
        <v>1310</v>
      </c>
      <c r="I1109" s="72">
        <v>44094</v>
      </c>
      <c r="K1109" s="2" t="s">
        <v>1311</v>
      </c>
    </row>
    <row r="1110" spans="1:11">
      <c r="A1110" s="2" t="s">
        <v>739</v>
      </c>
      <c r="B1110" s="2" t="s">
        <v>43</v>
      </c>
      <c r="C1110" s="2" t="s">
        <v>1309</v>
      </c>
      <c r="D1110" s="40">
        <v>827000</v>
      </c>
      <c r="E1110" s="2" t="s">
        <v>295</v>
      </c>
      <c r="F1110" s="145">
        <v>1936</v>
      </c>
      <c r="H1110" s="2" t="s">
        <v>1310</v>
      </c>
      <c r="I1110" s="72">
        <v>44097</v>
      </c>
      <c r="K1110" s="2" t="s">
        <v>1311</v>
      </c>
    </row>
    <row r="1111" spans="1:11">
      <c r="A1111" s="2" t="s">
        <v>740</v>
      </c>
      <c r="B1111" s="2" t="s">
        <v>43</v>
      </c>
      <c r="C1111" s="2" t="s">
        <v>1309</v>
      </c>
      <c r="D1111" s="40">
        <v>830000</v>
      </c>
      <c r="E1111" s="2" t="s">
        <v>295</v>
      </c>
      <c r="F1111" s="145">
        <v>1939</v>
      </c>
      <c r="H1111" s="2" t="s">
        <v>1310</v>
      </c>
      <c r="I1111" s="72">
        <v>44100</v>
      </c>
      <c r="K1111" s="2" t="s">
        <v>1311</v>
      </c>
    </row>
    <row r="1112" spans="1:11">
      <c r="A1112" s="2" t="s">
        <v>741</v>
      </c>
      <c r="B1112" s="2" t="s">
        <v>43</v>
      </c>
      <c r="C1112" s="2" t="s">
        <v>1309</v>
      </c>
      <c r="D1112" s="40">
        <v>833000</v>
      </c>
      <c r="E1112" s="2" t="s">
        <v>295</v>
      </c>
      <c r="F1112" s="145">
        <v>1942</v>
      </c>
      <c r="H1112" s="2" t="s">
        <v>1310</v>
      </c>
      <c r="I1112" s="72">
        <v>44103</v>
      </c>
      <c r="K1112" s="2" t="s">
        <v>1311</v>
      </c>
    </row>
    <row r="1113" spans="1:11">
      <c r="A1113" s="2" t="s">
        <v>742</v>
      </c>
      <c r="B1113" s="2" t="s">
        <v>43</v>
      </c>
      <c r="C1113" s="2" t="s">
        <v>1309</v>
      </c>
      <c r="D1113" s="40">
        <v>836000</v>
      </c>
      <c r="E1113" s="2" t="s">
        <v>295</v>
      </c>
      <c r="F1113" s="145">
        <v>1945</v>
      </c>
      <c r="H1113" s="2" t="s">
        <v>1310</v>
      </c>
      <c r="I1113" s="72">
        <v>44106</v>
      </c>
      <c r="K1113" s="2" t="s">
        <v>1311</v>
      </c>
    </row>
    <row r="1114" spans="1:11">
      <c r="A1114" s="2" t="s">
        <v>743</v>
      </c>
      <c r="B1114" s="2" t="s">
        <v>43</v>
      </c>
      <c r="C1114" s="2" t="s">
        <v>1309</v>
      </c>
      <c r="D1114" s="40">
        <v>839000</v>
      </c>
      <c r="E1114" s="2" t="s">
        <v>295</v>
      </c>
      <c r="F1114" s="145">
        <v>1948</v>
      </c>
      <c r="H1114" s="2" t="s">
        <v>1310</v>
      </c>
      <c r="I1114" s="72">
        <v>44109</v>
      </c>
      <c r="K1114" s="2" t="s">
        <v>1311</v>
      </c>
    </row>
    <row r="1115" spans="1:11">
      <c r="A1115" s="2" t="s">
        <v>744</v>
      </c>
      <c r="B1115" s="2" t="s">
        <v>43</v>
      </c>
      <c r="C1115" s="2" t="s">
        <v>1309</v>
      </c>
      <c r="D1115" s="40">
        <v>842000</v>
      </c>
      <c r="E1115" s="2" t="s">
        <v>295</v>
      </c>
      <c r="F1115" s="145">
        <v>1951</v>
      </c>
      <c r="H1115" s="2" t="s">
        <v>1310</v>
      </c>
      <c r="I1115" s="72">
        <v>44112</v>
      </c>
      <c r="K1115" s="2" t="s">
        <v>1311</v>
      </c>
    </row>
    <row r="1116" spans="1:11">
      <c r="A1116" s="2" t="s">
        <v>745</v>
      </c>
      <c r="B1116" s="2" t="s">
        <v>43</v>
      </c>
      <c r="C1116" s="2" t="s">
        <v>1309</v>
      </c>
      <c r="D1116" s="40">
        <v>845000</v>
      </c>
      <c r="E1116" s="2" t="s">
        <v>295</v>
      </c>
      <c r="F1116" s="145">
        <v>1954</v>
      </c>
      <c r="H1116" s="2" t="s">
        <v>1310</v>
      </c>
      <c r="I1116" s="72">
        <v>44115</v>
      </c>
      <c r="K1116" s="2" t="s">
        <v>1311</v>
      </c>
    </row>
    <row r="1117" spans="1:11">
      <c r="A1117" s="2" t="s">
        <v>746</v>
      </c>
      <c r="B1117" s="2" t="s">
        <v>43</v>
      </c>
      <c r="C1117" s="2" t="s">
        <v>1309</v>
      </c>
      <c r="D1117" s="40">
        <v>848000</v>
      </c>
      <c r="E1117" s="2" t="s">
        <v>295</v>
      </c>
      <c r="F1117" s="145">
        <v>1957</v>
      </c>
      <c r="H1117" s="2" t="s">
        <v>1310</v>
      </c>
      <c r="I1117" s="72">
        <v>44118</v>
      </c>
      <c r="K1117" s="2" t="s">
        <v>1311</v>
      </c>
    </row>
    <row r="1118" spans="1:11">
      <c r="A1118" s="2" t="s">
        <v>747</v>
      </c>
      <c r="B1118" s="2" t="s">
        <v>43</v>
      </c>
      <c r="C1118" s="2" t="s">
        <v>1309</v>
      </c>
      <c r="D1118" s="40">
        <v>851000</v>
      </c>
      <c r="E1118" s="2" t="s">
        <v>295</v>
      </c>
      <c r="F1118" s="145">
        <v>1960</v>
      </c>
      <c r="H1118" s="2" t="s">
        <v>1310</v>
      </c>
      <c r="I1118" s="72">
        <v>44121</v>
      </c>
      <c r="K1118" s="2" t="s">
        <v>1311</v>
      </c>
    </row>
    <row r="1119" spans="1:11">
      <c r="A1119" s="2" t="s">
        <v>748</v>
      </c>
      <c r="B1119" s="2" t="s">
        <v>43</v>
      </c>
      <c r="C1119" s="2" t="s">
        <v>1309</v>
      </c>
      <c r="D1119" s="40">
        <v>854000</v>
      </c>
      <c r="E1119" s="2" t="s">
        <v>295</v>
      </c>
      <c r="F1119" s="145">
        <v>1963</v>
      </c>
      <c r="H1119" s="2" t="s">
        <v>1310</v>
      </c>
      <c r="I1119" s="72">
        <v>44124</v>
      </c>
      <c r="K1119" s="2" t="s">
        <v>1311</v>
      </c>
    </row>
    <row r="1120" spans="1:11">
      <c r="A1120" s="2" t="s">
        <v>749</v>
      </c>
      <c r="B1120" s="2" t="s">
        <v>43</v>
      </c>
      <c r="C1120" s="2" t="s">
        <v>1309</v>
      </c>
      <c r="D1120" s="40">
        <v>857000</v>
      </c>
      <c r="E1120" s="2" t="s">
        <v>295</v>
      </c>
      <c r="F1120" s="145">
        <v>1966</v>
      </c>
      <c r="H1120" s="2" t="s">
        <v>1310</v>
      </c>
      <c r="I1120" s="72">
        <v>44127</v>
      </c>
      <c r="K1120" s="2" t="s">
        <v>1311</v>
      </c>
    </row>
    <row r="1121" spans="1:11">
      <c r="A1121" s="2" t="s">
        <v>750</v>
      </c>
      <c r="B1121" s="2" t="s">
        <v>43</v>
      </c>
      <c r="C1121" s="2" t="s">
        <v>1309</v>
      </c>
      <c r="D1121" s="40">
        <v>860000</v>
      </c>
      <c r="E1121" s="2" t="s">
        <v>295</v>
      </c>
      <c r="F1121" s="145">
        <v>1969</v>
      </c>
      <c r="H1121" s="2" t="s">
        <v>1310</v>
      </c>
      <c r="I1121" s="72">
        <v>44130</v>
      </c>
      <c r="K1121" s="2" t="s">
        <v>1311</v>
      </c>
    </row>
    <row r="1122" spans="1:11">
      <c r="A1122" s="2" t="s">
        <v>751</v>
      </c>
      <c r="B1122" s="2" t="s">
        <v>43</v>
      </c>
      <c r="C1122" s="2" t="s">
        <v>1309</v>
      </c>
      <c r="D1122" s="40">
        <v>863000</v>
      </c>
      <c r="E1122" s="2" t="s">
        <v>295</v>
      </c>
      <c r="F1122" s="145">
        <v>1972</v>
      </c>
      <c r="H1122" s="2" t="s">
        <v>1310</v>
      </c>
      <c r="I1122" s="72">
        <v>44133</v>
      </c>
      <c r="K1122" s="2" t="s">
        <v>1311</v>
      </c>
    </row>
    <row r="1123" spans="1:11">
      <c r="A1123" s="2" t="s">
        <v>752</v>
      </c>
      <c r="B1123" s="2" t="s">
        <v>43</v>
      </c>
      <c r="C1123" s="2" t="s">
        <v>1309</v>
      </c>
      <c r="D1123" s="40">
        <v>866000</v>
      </c>
      <c r="E1123" s="2" t="s">
        <v>295</v>
      </c>
      <c r="F1123" s="145">
        <v>1975</v>
      </c>
      <c r="H1123" s="2" t="s">
        <v>1310</v>
      </c>
      <c r="I1123" s="72">
        <v>44136</v>
      </c>
      <c r="K1123" s="2" t="s">
        <v>1311</v>
      </c>
    </row>
    <row r="1124" spans="1:11">
      <c r="A1124" s="2" t="s">
        <v>753</v>
      </c>
      <c r="B1124" s="2" t="s">
        <v>43</v>
      </c>
      <c r="C1124" s="2" t="s">
        <v>1309</v>
      </c>
      <c r="D1124" s="40">
        <v>869000</v>
      </c>
      <c r="E1124" s="2" t="s">
        <v>295</v>
      </c>
      <c r="F1124" s="145">
        <v>1978</v>
      </c>
      <c r="H1124" s="2" t="s">
        <v>1310</v>
      </c>
      <c r="I1124" s="72">
        <v>44139</v>
      </c>
      <c r="K1124" s="2" t="s">
        <v>1311</v>
      </c>
    </row>
    <row r="1125" spans="1:11">
      <c r="A1125" s="2" t="s">
        <v>754</v>
      </c>
      <c r="B1125" s="2" t="s">
        <v>43</v>
      </c>
      <c r="C1125" s="2" t="s">
        <v>1309</v>
      </c>
      <c r="D1125" s="40">
        <v>872000</v>
      </c>
      <c r="E1125" s="2" t="s">
        <v>295</v>
      </c>
      <c r="F1125" s="145">
        <v>1981</v>
      </c>
      <c r="H1125" s="2" t="s">
        <v>1310</v>
      </c>
      <c r="I1125" s="72">
        <v>44142</v>
      </c>
      <c r="K1125" s="2" t="s">
        <v>1311</v>
      </c>
    </row>
    <row r="1126" spans="1:11">
      <c r="A1126" s="2" t="s">
        <v>755</v>
      </c>
      <c r="B1126" s="2" t="s">
        <v>43</v>
      </c>
      <c r="C1126" s="2" t="s">
        <v>1309</v>
      </c>
      <c r="D1126" s="40">
        <v>875000</v>
      </c>
      <c r="E1126" s="2" t="s">
        <v>295</v>
      </c>
      <c r="F1126" s="145">
        <v>1984</v>
      </c>
      <c r="H1126" s="2" t="s">
        <v>1310</v>
      </c>
      <c r="I1126" s="72">
        <v>44145</v>
      </c>
      <c r="K1126" s="2" t="s">
        <v>1311</v>
      </c>
    </row>
    <row r="1127" spans="1:11">
      <c r="A1127" s="2" t="s">
        <v>756</v>
      </c>
      <c r="B1127" s="2" t="s">
        <v>43</v>
      </c>
      <c r="C1127" s="2" t="s">
        <v>1309</v>
      </c>
      <c r="D1127" s="40">
        <v>878000</v>
      </c>
      <c r="E1127" s="2" t="s">
        <v>295</v>
      </c>
      <c r="F1127" s="145">
        <v>1987</v>
      </c>
      <c r="H1127" s="2" t="s">
        <v>1310</v>
      </c>
      <c r="I1127" s="72">
        <v>44148</v>
      </c>
      <c r="K1127" s="2" t="s">
        <v>1311</v>
      </c>
    </row>
    <row r="1128" spans="1:11">
      <c r="A1128" s="2" t="s">
        <v>757</v>
      </c>
      <c r="B1128" s="2" t="s">
        <v>43</v>
      </c>
      <c r="C1128" s="2" t="s">
        <v>1309</v>
      </c>
      <c r="D1128" s="40">
        <v>881000</v>
      </c>
      <c r="E1128" s="2" t="s">
        <v>295</v>
      </c>
      <c r="F1128" s="145">
        <v>1990</v>
      </c>
      <c r="H1128" s="2" t="s">
        <v>1310</v>
      </c>
      <c r="I1128" s="72">
        <v>44151</v>
      </c>
      <c r="K1128" s="2" t="s">
        <v>1311</v>
      </c>
    </row>
    <row r="1129" spans="1:11">
      <c r="A1129" s="2" t="s">
        <v>758</v>
      </c>
      <c r="B1129" s="2" t="s">
        <v>43</v>
      </c>
      <c r="C1129" s="2" t="s">
        <v>1309</v>
      </c>
      <c r="D1129" s="40">
        <v>884000</v>
      </c>
      <c r="E1129" s="2" t="s">
        <v>295</v>
      </c>
      <c r="F1129" s="145">
        <v>1993</v>
      </c>
      <c r="H1129" s="2" t="s">
        <v>1310</v>
      </c>
      <c r="I1129" s="72">
        <v>44154</v>
      </c>
      <c r="K1129" s="2" t="s">
        <v>1311</v>
      </c>
    </row>
    <row r="1130" spans="1:11">
      <c r="A1130" s="2" t="s">
        <v>759</v>
      </c>
      <c r="B1130" s="2" t="s">
        <v>43</v>
      </c>
      <c r="C1130" s="2" t="s">
        <v>1309</v>
      </c>
      <c r="D1130" s="40">
        <v>887000</v>
      </c>
      <c r="E1130" s="2" t="s">
        <v>295</v>
      </c>
      <c r="F1130" s="145">
        <v>1996</v>
      </c>
      <c r="H1130" s="2" t="s">
        <v>1310</v>
      </c>
      <c r="I1130" s="72">
        <v>44157</v>
      </c>
      <c r="K1130" s="2" t="s">
        <v>1311</v>
      </c>
    </row>
    <row r="1131" spans="1:11">
      <c r="A1131" s="2" t="s">
        <v>760</v>
      </c>
      <c r="B1131" s="2" t="s">
        <v>43</v>
      </c>
      <c r="C1131" s="2" t="s">
        <v>1309</v>
      </c>
      <c r="D1131" s="40">
        <v>890000</v>
      </c>
      <c r="E1131" s="2" t="s">
        <v>295</v>
      </c>
      <c r="F1131" s="145">
        <v>1999</v>
      </c>
      <c r="H1131" s="2" t="s">
        <v>1310</v>
      </c>
      <c r="I1131" s="72">
        <v>44160</v>
      </c>
      <c r="K1131" s="2" t="s">
        <v>1311</v>
      </c>
    </row>
    <row r="1132" spans="1:11">
      <c r="A1132" s="2" t="s">
        <v>761</v>
      </c>
      <c r="B1132" s="2" t="s">
        <v>43</v>
      </c>
      <c r="C1132" s="2" t="s">
        <v>1309</v>
      </c>
      <c r="D1132" s="40">
        <v>893000</v>
      </c>
      <c r="E1132" s="2" t="s">
        <v>295</v>
      </c>
      <c r="F1132" s="145">
        <v>2002</v>
      </c>
      <c r="H1132" s="2" t="s">
        <v>1310</v>
      </c>
      <c r="I1132" s="72">
        <v>44163</v>
      </c>
      <c r="K1132" s="2" t="s">
        <v>1311</v>
      </c>
    </row>
    <row r="1133" spans="1:11">
      <c r="A1133" s="2" t="s">
        <v>762</v>
      </c>
      <c r="B1133" s="2" t="s">
        <v>43</v>
      </c>
      <c r="C1133" s="2" t="s">
        <v>1309</v>
      </c>
      <c r="D1133" s="40">
        <v>896000</v>
      </c>
      <c r="E1133" s="2" t="s">
        <v>295</v>
      </c>
      <c r="F1133" s="145">
        <v>2005</v>
      </c>
      <c r="H1133" s="2" t="s">
        <v>1310</v>
      </c>
      <c r="I1133" s="72">
        <v>44166</v>
      </c>
      <c r="K1133" s="2" t="s">
        <v>1311</v>
      </c>
    </row>
    <row r="1134" spans="1:11">
      <c r="A1134" s="2" t="s">
        <v>763</v>
      </c>
      <c r="B1134" s="2" t="s">
        <v>43</v>
      </c>
      <c r="C1134" s="2" t="s">
        <v>1309</v>
      </c>
      <c r="D1134" s="40">
        <v>899000</v>
      </c>
      <c r="E1134" s="2" t="s">
        <v>295</v>
      </c>
      <c r="F1134" s="145">
        <v>2008</v>
      </c>
      <c r="H1134" s="2" t="s">
        <v>1310</v>
      </c>
      <c r="I1134" s="72">
        <v>44169</v>
      </c>
      <c r="K1134" s="2" t="s">
        <v>1311</v>
      </c>
    </row>
    <row r="1135" spans="1:11">
      <c r="A1135" s="2" t="s">
        <v>764</v>
      </c>
      <c r="B1135" s="2" t="s">
        <v>43</v>
      </c>
      <c r="C1135" s="2" t="s">
        <v>1309</v>
      </c>
      <c r="D1135" s="40">
        <v>902000</v>
      </c>
      <c r="E1135" s="2" t="s">
        <v>295</v>
      </c>
      <c r="F1135" s="145">
        <v>2011</v>
      </c>
      <c r="H1135" s="2" t="s">
        <v>1310</v>
      </c>
      <c r="I1135" s="72">
        <v>44172</v>
      </c>
      <c r="K1135" s="2" t="s">
        <v>1311</v>
      </c>
    </row>
    <row r="1136" spans="1:11">
      <c r="A1136" s="2" t="s">
        <v>765</v>
      </c>
      <c r="B1136" s="2" t="s">
        <v>43</v>
      </c>
      <c r="C1136" s="2" t="s">
        <v>1309</v>
      </c>
      <c r="D1136" s="40">
        <v>905000</v>
      </c>
      <c r="E1136" s="2" t="s">
        <v>295</v>
      </c>
      <c r="F1136" s="145">
        <v>2014</v>
      </c>
      <c r="H1136" s="2" t="s">
        <v>1310</v>
      </c>
      <c r="I1136" s="72">
        <v>44175</v>
      </c>
      <c r="K1136" s="2" t="s">
        <v>1311</v>
      </c>
    </row>
    <row r="1137" spans="1:11">
      <c r="A1137" s="2" t="s">
        <v>766</v>
      </c>
      <c r="B1137" s="2" t="s">
        <v>43</v>
      </c>
      <c r="C1137" s="2" t="s">
        <v>1309</v>
      </c>
      <c r="D1137" s="40">
        <v>908000</v>
      </c>
      <c r="E1137" s="2" t="s">
        <v>295</v>
      </c>
      <c r="F1137" s="145">
        <v>2017</v>
      </c>
      <c r="H1137" s="2" t="s">
        <v>1310</v>
      </c>
      <c r="I1137" s="72">
        <v>44178</v>
      </c>
      <c r="K1137" s="2" t="s">
        <v>1311</v>
      </c>
    </row>
    <row r="1138" spans="1:11">
      <c r="A1138" s="2" t="s">
        <v>767</v>
      </c>
      <c r="B1138" s="2" t="s">
        <v>43</v>
      </c>
      <c r="C1138" s="2" t="s">
        <v>1309</v>
      </c>
      <c r="D1138" s="40">
        <v>911000</v>
      </c>
      <c r="E1138" s="2" t="s">
        <v>295</v>
      </c>
      <c r="F1138" s="145">
        <v>2020</v>
      </c>
      <c r="H1138" s="2" t="s">
        <v>1310</v>
      </c>
      <c r="I1138" s="72">
        <v>44181</v>
      </c>
      <c r="K1138" s="2" t="s">
        <v>1311</v>
      </c>
    </row>
    <row r="1139" spans="1:11">
      <c r="A1139" s="2" t="s">
        <v>768</v>
      </c>
      <c r="B1139" s="2" t="s">
        <v>43</v>
      </c>
      <c r="C1139" s="2" t="s">
        <v>1309</v>
      </c>
      <c r="D1139" s="40">
        <v>914000</v>
      </c>
      <c r="E1139" s="2" t="s">
        <v>295</v>
      </c>
      <c r="F1139" s="145">
        <v>2023</v>
      </c>
      <c r="H1139" s="2" t="s">
        <v>1310</v>
      </c>
      <c r="I1139" s="72">
        <v>44184</v>
      </c>
      <c r="K1139" s="2" t="s">
        <v>1311</v>
      </c>
    </row>
    <row r="1140" spans="1:11">
      <c r="A1140" s="2" t="s">
        <v>769</v>
      </c>
      <c r="B1140" s="2" t="s">
        <v>43</v>
      </c>
      <c r="C1140" s="2" t="s">
        <v>1309</v>
      </c>
      <c r="D1140" s="40">
        <v>917000</v>
      </c>
      <c r="E1140" s="2" t="s">
        <v>295</v>
      </c>
      <c r="F1140" s="145">
        <v>2026</v>
      </c>
      <c r="H1140" s="2" t="s">
        <v>1310</v>
      </c>
      <c r="I1140" s="72">
        <v>44187</v>
      </c>
      <c r="K1140" s="2" t="s">
        <v>1311</v>
      </c>
    </row>
    <row r="1141" spans="1:11">
      <c r="A1141" s="2" t="s">
        <v>770</v>
      </c>
      <c r="B1141" s="2" t="s">
        <v>43</v>
      </c>
      <c r="C1141" s="2" t="s">
        <v>1309</v>
      </c>
      <c r="D1141" s="40">
        <v>920000</v>
      </c>
      <c r="E1141" s="2" t="s">
        <v>295</v>
      </c>
      <c r="F1141" s="145">
        <v>2029</v>
      </c>
      <c r="H1141" s="2" t="s">
        <v>1310</v>
      </c>
      <c r="I1141" s="72">
        <v>44190</v>
      </c>
      <c r="K1141" s="2" t="s">
        <v>1311</v>
      </c>
    </row>
    <row r="1142" spans="1:11">
      <c r="A1142" s="2" t="s">
        <v>58</v>
      </c>
      <c r="B1142" s="2" t="s">
        <v>43</v>
      </c>
      <c r="C1142" s="2" t="s">
        <v>1309</v>
      </c>
      <c r="D1142" s="40">
        <v>923000</v>
      </c>
      <c r="E1142" s="2" t="s">
        <v>295</v>
      </c>
      <c r="F1142" s="145">
        <v>2032</v>
      </c>
      <c r="H1142" s="2" t="s">
        <v>1310</v>
      </c>
      <c r="I1142" s="72">
        <v>44193</v>
      </c>
      <c r="K1142" s="2" t="s">
        <v>1311</v>
      </c>
    </row>
    <row r="1143" spans="1:11">
      <c r="A1143" s="2" t="s">
        <v>771</v>
      </c>
      <c r="B1143" s="2" t="s">
        <v>43</v>
      </c>
      <c r="C1143" s="2" t="s">
        <v>1309</v>
      </c>
      <c r="D1143" s="40">
        <v>926000</v>
      </c>
      <c r="E1143" s="2" t="s">
        <v>295</v>
      </c>
      <c r="F1143" s="145">
        <v>2035</v>
      </c>
      <c r="H1143" s="2" t="s">
        <v>1310</v>
      </c>
      <c r="I1143" s="72">
        <v>44196</v>
      </c>
      <c r="K1143" s="2" t="s">
        <v>1311</v>
      </c>
    </row>
    <row r="1144" spans="1:11">
      <c r="A1144" s="2" t="s">
        <v>772</v>
      </c>
      <c r="B1144" s="2" t="s">
        <v>43</v>
      </c>
      <c r="C1144" s="2" t="s">
        <v>1309</v>
      </c>
      <c r="D1144" s="40">
        <v>929000</v>
      </c>
      <c r="E1144" s="2" t="s">
        <v>295</v>
      </c>
      <c r="F1144" s="145">
        <v>2038</v>
      </c>
      <c r="H1144" s="2" t="s">
        <v>1310</v>
      </c>
      <c r="I1144" s="72">
        <v>44199</v>
      </c>
      <c r="K1144" s="2" t="s">
        <v>1311</v>
      </c>
    </row>
    <row r="1145" spans="1:11">
      <c r="A1145" s="2" t="s">
        <v>773</v>
      </c>
      <c r="B1145" s="2" t="s">
        <v>43</v>
      </c>
      <c r="C1145" s="2" t="s">
        <v>1309</v>
      </c>
      <c r="D1145" s="40">
        <v>932000</v>
      </c>
      <c r="E1145" s="2" t="s">
        <v>295</v>
      </c>
      <c r="F1145" s="145">
        <v>2041</v>
      </c>
      <c r="H1145" s="2" t="s">
        <v>1310</v>
      </c>
      <c r="I1145" s="72">
        <v>44202</v>
      </c>
      <c r="K1145" s="2" t="s">
        <v>1311</v>
      </c>
    </row>
    <row r="1146" spans="1:11">
      <c r="A1146" s="2" t="s">
        <v>774</v>
      </c>
      <c r="B1146" s="2" t="s">
        <v>43</v>
      </c>
      <c r="C1146" s="2" t="s">
        <v>1309</v>
      </c>
      <c r="D1146" s="40">
        <v>935000</v>
      </c>
      <c r="E1146" s="2" t="s">
        <v>295</v>
      </c>
      <c r="F1146" s="145">
        <v>2044</v>
      </c>
      <c r="H1146" s="2" t="s">
        <v>1310</v>
      </c>
      <c r="I1146" s="72">
        <v>44205</v>
      </c>
      <c r="K1146" s="2" t="s">
        <v>1311</v>
      </c>
    </row>
    <row r="1147" spans="1:11">
      <c r="A1147" s="2" t="s">
        <v>775</v>
      </c>
      <c r="B1147" s="2" t="s">
        <v>43</v>
      </c>
      <c r="C1147" s="2" t="s">
        <v>1309</v>
      </c>
      <c r="D1147" s="40">
        <v>938000</v>
      </c>
      <c r="E1147" s="2" t="s">
        <v>295</v>
      </c>
      <c r="F1147" s="145">
        <v>2047</v>
      </c>
      <c r="H1147" s="2" t="s">
        <v>1310</v>
      </c>
      <c r="I1147" s="72">
        <v>44208</v>
      </c>
      <c r="K1147" s="2" t="s">
        <v>1311</v>
      </c>
    </row>
    <row r="1148" spans="1:11">
      <c r="A1148" s="2" t="s">
        <v>776</v>
      </c>
      <c r="B1148" s="2" t="s">
        <v>43</v>
      </c>
      <c r="C1148" s="2" t="s">
        <v>1309</v>
      </c>
      <c r="D1148" s="40">
        <v>941000</v>
      </c>
      <c r="E1148" s="2" t="s">
        <v>295</v>
      </c>
      <c r="F1148" s="145">
        <v>2050</v>
      </c>
      <c r="H1148" s="2" t="s">
        <v>1310</v>
      </c>
      <c r="I1148" s="72">
        <v>44211</v>
      </c>
      <c r="K1148" s="2" t="s">
        <v>1311</v>
      </c>
    </row>
    <row r="1149" spans="1:11">
      <c r="A1149" s="2" t="s">
        <v>777</v>
      </c>
      <c r="B1149" s="2" t="s">
        <v>43</v>
      </c>
      <c r="C1149" s="2" t="s">
        <v>1309</v>
      </c>
      <c r="D1149" s="40">
        <v>944000</v>
      </c>
      <c r="E1149" s="2" t="s">
        <v>295</v>
      </c>
      <c r="F1149" s="145">
        <v>2053</v>
      </c>
      <c r="H1149" s="2" t="s">
        <v>1310</v>
      </c>
      <c r="I1149" s="72">
        <v>44214</v>
      </c>
      <c r="K1149" s="2" t="s">
        <v>1311</v>
      </c>
    </row>
    <row r="1150" spans="1:11">
      <c r="A1150" s="2" t="s">
        <v>778</v>
      </c>
      <c r="B1150" s="2" t="s">
        <v>43</v>
      </c>
      <c r="C1150" s="2" t="s">
        <v>1309</v>
      </c>
      <c r="D1150" s="40">
        <v>947000</v>
      </c>
      <c r="E1150" s="2" t="s">
        <v>295</v>
      </c>
      <c r="F1150" s="145">
        <v>2056</v>
      </c>
      <c r="H1150" s="2" t="s">
        <v>1310</v>
      </c>
      <c r="I1150" s="72">
        <v>44217</v>
      </c>
      <c r="K1150" s="2" t="s">
        <v>1311</v>
      </c>
    </row>
    <row r="1151" spans="1:11">
      <c r="A1151" s="2" t="s">
        <v>779</v>
      </c>
      <c r="B1151" s="2" t="s">
        <v>43</v>
      </c>
      <c r="C1151" s="2" t="s">
        <v>1309</v>
      </c>
      <c r="D1151" s="40">
        <v>950000</v>
      </c>
      <c r="E1151" s="2" t="s">
        <v>295</v>
      </c>
      <c r="F1151" s="145">
        <v>2059</v>
      </c>
      <c r="H1151" s="2" t="s">
        <v>1310</v>
      </c>
      <c r="I1151" s="72">
        <v>44220</v>
      </c>
      <c r="K1151" s="2" t="s">
        <v>1311</v>
      </c>
    </row>
    <row r="1152" spans="1:11">
      <c r="A1152" s="2" t="s">
        <v>780</v>
      </c>
      <c r="B1152" s="2" t="s">
        <v>43</v>
      </c>
      <c r="C1152" s="2" t="s">
        <v>1309</v>
      </c>
      <c r="D1152" s="40">
        <v>953000</v>
      </c>
      <c r="E1152" s="2" t="s">
        <v>295</v>
      </c>
      <c r="F1152" s="145">
        <v>2062</v>
      </c>
      <c r="H1152" s="2" t="s">
        <v>1310</v>
      </c>
      <c r="I1152" s="72">
        <v>44223</v>
      </c>
      <c r="K1152" s="2" t="s">
        <v>1311</v>
      </c>
    </row>
    <row r="1153" spans="1:11">
      <c r="A1153" s="2" t="s">
        <v>781</v>
      </c>
      <c r="B1153" s="2" t="s">
        <v>43</v>
      </c>
      <c r="C1153" s="2" t="s">
        <v>1309</v>
      </c>
      <c r="D1153" s="40">
        <v>956000</v>
      </c>
      <c r="E1153" s="2" t="s">
        <v>295</v>
      </c>
      <c r="F1153" s="145">
        <v>2065</v>
      </c>
      <c r="H1153" s="2" t="s">
        <v>1310</v>
      </c>
      <c r="I1153" s="72">
        <v>44226</v>
      </c>
      <c r="K1153" s="2" t="s">
        <v>1311</v>
      </c>
    </row>
    <row r="1154" spans="1:11">
      <c r="A1154" s="2" t="s">
        <v>782</v>
      </c>
      <c r="B1154" s="2" t="s">
        <v>43</v>
      </c>
      <c r="C1154" s="2" t="s">
        <v>1309</v>
      </c>
      <c r="D1154" s="40">
        <v>959000</v>
      </c>
      <c r="E1154" s="2" t="s">
        <v>295</v>
      </c>
      <c r="F1154" s="145">
        <v>2068</v>
      </c>
      <c r="H1154" s="2" t="s">
        <v>1310</v>
      </c>
      <c r="I1154" s="72">
        <v>44229</v>
      </c>
      <c r="K1154" s="2" t="s">
        <v>1311</v>
      </c>
    </row>
    <row r="1155" spans="1:11">
      <c r="A1155" s="2" t="s">
        <v>783</v>
      </c>
      <c r="B1155" s="2" t="s">
        <v>43</v>
      </c>
      <c r="C1155" s="2" t="s">
        <v>1309</v>
      </c>
      <c r="D1155" s="40">
        <v>962000</v>
      </c>
      <c r="E1155" s="2" t="s">
        <v>295</v>
      </c>
      <c r="F1155" s="145">
        <v>2071</v>
      </c>
      <c r="H1155" s="2" t="s">
        <v>1310</v>
      </c>
      <c r="I1155" s="72">
        <v>44232</v>
      </c>
      <c r="K1155" s="2" t="s">
        <v>1311</v>
      </c>
    </row>
    <row r="1156" spans="1:11">
      <c r="A1156" s="2" t="s">
        <v>784</v>
      </c>
      <c r="B1156" s="2" t="s">
        <v>43</v>
      </c>
      <c r="C1156" s="2" t="s">
        <v>1309</v>
      </c>
      <c r="D1156" s="40">
        <v>965000</v>
      </c>
      <c r="E1156" s="2" t="s">
        <v>295</v>
      </c>
      <c r="F1156" s="145">
        <v>2074</v>
      </c>
      <c r="H1156" s="2" t="s">
        <v>1310</v>
      </c>
      <c r="I1156" s="72">
        <v>44235</v>
      </c>
      <c r="K1156" s="2" t="s">
        <v>1311</v>
      </c>
    </row>
    <row r="1157" spans="1:11">
      <c r="A1157" s="2" t="s">
        <v>785</v>
      </c>
      <c r="B1157" s="2" t="s">
        <v>43</v>
      </c>
      <c r="C1157" s="2" t="s">
        <v>1309</v>
      </c>
      <c r="D1157" s="40">
        <v>968000</v>
      </c>
      <c r="E1157" s="2" t="s">
        <v>295</v>
      </c>
      <c r="F1157" s="145">
        <v>2077</v>
      </c>
      <c r="H1157" s="2" t="s">
        <v>1310</v>
      </c>
      <c r="I1157" s="72">
        <v>44238</v>
      </c>
      <c r="K1157" s="2" t="s">
        <v>1311</v>
      </c>
    </row>
    <row r="1158" spans="1:11">
      <c r="A1158" s="2" t="s">
        <v>786</v>
      </c>
      <c r="B1158" s="2" t="s">
        <v>43</v>
      </c>
      <c r="C1158" s="2" t="s">
        <v>1309</v>
      </c>
      <c r="D1158" s="40">
        <v>971000</v>
      </c>
      <c r="E1158" s="2" t="s">
        <v>295</v>
      </c>
      <c r="F1158" s="145">
        <v>2080</v>
      </c>
      <c r="H1158" s="2" t="s">
        <v>1310</v>
      </c>
      <c r="I1158" s="72">
        <v>44241</v>
      </c>
      <c r="K1158" s="2" t="s">
        <v>1311</v>
      </c>
    </row>
    <row r="1159" spans="1:11">
      <c r="A1159" s="2" t="s">
        <v>787</v>
      </c>
      <c r="B1159" s="2" t="s">
        <v>43</v>
      </c>
      <c r="C1159" s="2" t="s">
        <v>1309</v>
      </c>
      <c r="D1159" s="40">
        <v>974000</v>
      </c>
      <c r="E1159" s="2" t="s">
        <v>295</v>
      </c>
      <c r="F1159" s="145">
        <v>2083</v>
      </c>
      <c r="H1159" s="2" t="s">
        <v>1310</v>
      </c>
      <c r="I1159" s="72">
        <v>44244</v>
      </c>
      <c r="K1159" s="2" t="s">
        <v>1311</v>
      </c>
    </row>
    <row r="1160" spans="1:11">
      <c r="A1160" s="2" t="s">
        <v>788</v>
      </c>
      <c r="B1160" s="2" t="s">
        <v>43</v>
      </c>
      <c r="C1160" s="2" t="s">
        <v>1309</v>
      </c>
      <c r="D1160" s="40">
        <v>977000</v>
      </c>
      <c r="E1160" s="2" t="s">
        <v>295</v>
      </c>
      <c r="F1160" s="145">
        <v>2086</v>
      </c>
      <c r="H1160" s="2" t="s">
        <v>1310</v>
      </c>
      <c r="I1160" s="72">
        <v>44247</v>
      </c>
      <c r="K1160" s="2" t="s">
        <v>1311</v>
      </c>
    </row>
    <row r="1161" spans="1:11">
      <c r="A1161" s="2" t="s">
        <v>789</v>
      </c>
      <c r="B1161" s="2" t="s">
        <v>43</v>
      </c>
      <c r="C1161" s="2" t="s">
        <v>1309</v>
      </c>
      <c r="D1161" s="40">
        <v>980000</v>
      </c>
      <c r="E1161" s="2" t="s">
        <v>295</v>
      </c>
      <c r="F1161" s="145">
        <v>2089</v>
      </c>
      <c r="H1161" s="2" t="s">
        <v>1310</v>
      </c>
      <c r="I1161" s="72">
        <v>44250</v>
      </c>
      <c r="K1161" s="2" t="s">
        <v>1311</v>
      </c>
    </row>
    <row r="1162" spans="1:11">
      <c r="A1162" s="2" t="s">
        <v>790</v>
      </c>
      <c r="B1162" s="2" t="s">
        <v>43</v>
      </c>
      <c r="C1162" s="2" t="s">
        <v>1309</v>
      </c>
      <c r="D1162" s="40">
        <v>983000</v>
      </c>
      <c r="E1162" s="2" t="s">
        <v>295</v>
      </c>
      <c r="F1162" s="145">
        <v>2092</v>
      </c>
      <c r="H1162" s="2" t="s">
        <v>1310</v>
      </c>
      <c r="I1162" s="72">
        <v>44253</v>
      </c>
      <c r="K1162" s="2" t="s">
        <v>1311</v>
      </c>
    </row>
    <row r="1163" spans="1:11">
      <c r="A1163" s="2" t="s">
        <v>791</v>
      </c>
      <c r="B1163" s="2" t="s">
        <v>43</v>
      </c>
      <c r="C1163" s="2" t="s">
        <v>1309</v>
      </c>
      <c r="D1163" s="40">
        <v>986000</v>
      </c>
      <c r="E1163" s="2" t="s">
        <v>295</v>
      </c>
      <c r="F1163" s="145">
        <v>2095</v>
      </c>
      <c r="H1163" s="2" t="s">
        <v>1310</v>
      </c>
      <c r="I1163" s="72">
        <v>44256</v>
      </c>
      <c r="K1163" s="2" t="s">
        <v>1311</v>
      </c>
    </row>
    <row r="1164" spans="1:11">
      <c r="A1164" s="2" t="s">
        <v>792</v>
      </c>
      <c r="B1164" s="2" t="s">
        <v>43</v>
      </c>
      <c r="C1164" s="2" t="s">
        <v>1309</v>
      </c>
      <c r="D1164" s="40">
        <v>989000</v>
      </c>
      <c r="E1164" s="2" t="s">
        <v>295</v>
      </c>
      <c r="F1164" s="145">
        <v>2098</v>
      </c>
      <c r="H1164" s="2" t="s">
        <v>1310</v>
      </c>
      <c r="I1164" s="72">
        <v>44259</v>
      </c>
      <c r="K1164" s="2" t="s">
        <v>1311</v>
      </c>
    </row>
    <row r="1165" spans="1:11">
      <c r="A1165" s="2" t="s">
        <v>793</v>
      </c>
      <c r="B1165" s="2" t="s">
        <v>43</v>
      </c>
      <c r="C1165" s="2" t="s">
        <v>1309</v>
      </c>
      <c r="D1165" s="40">
        <v>992000</v>
      </c>
      <c r="E1165" s="2" t="s">
        <v>295</v>
      </c>
      <c r="F1165" s="145">
        <v>2101</v>
      </c>
      <c r="H1165" s="2" t="s">
        <v>1310</v>
      </c>
      <c r="I1165" s="72">
        <v>44262</v>
      </c>
      <c r="K1165" s="2" t="s">
        <v>1311</v>
      </c>
    </row>
    <row r="1166" spans="1:11">
      <c r="A1166" s="2" t="s">
        <v>794</v>
      </c>
      <c r="B1166" s="2" t="s">
        <v>43</v>
      </c>
      <c r="C1166" s="2" t="s">
        <v>1309</v>
      </c>
      <c r="D1166" s="40">
        <v>995000</v>
      </c>
      <c r="E1166" s="2" t="s">
        <v>295</v>
      </c>
      <c r="F1166" s="145">
        <v>2104</v>
      </c>
      <c r="H1166" s="2" t="s">
        <v>1310</v>
      </c>
      <c r="I1166" s="72">
        <v>44265</v>
      </c>
      <c r="K1166" s="2" t="s">
        <v>1311</v>
      </c>
    </row>
    <row r="1167" spans="1:11">
      <c r="A1167" s="2" t="s">
        <v>795</v>
      </c>
      <c r="B1167" s="2" t="s">
        <v>43</v>
      </c>
      <c r="C1167" s="2" t="s">
        <v>1309</v>
      </c>
      <c r="D1167" s="40">
        <v>998000</v>
      </c>
      <c r="E1167" s="2" t="s">
        <v>295</v>
      </c>
      <c r="F1167" s="145">
        <v>2107</v>
      </c>
      <c r="H1167" s="2" t="s">
        <v>1310</v>
      </c>
      <c r="I1167" s="72">
        <v>44268</v>
      </c>
      <c r="K1167" s="2" t="s">
        <v>1311</v>
      </c>
    </row>
    <row r="1168" spans="1:11">
      <c r="A1168" s="2" t="s">
        <v>796</v>
      </c>
      <c r="B1168" s="2" t="s">
        <v>43</v>
      </c>
      <c r="C1168" s="2" t="s">
        <v>1309</v>
      </c>
      <c r="D1168" s="40">
        <v>1001000</v>
      </c>
      <c r="E1168" s="2" t="s">
        <v>295</v>
      </c>
      <c r="F1168" s="145">
        <v>2110</v>
      </c>
      <c r="H1168" s="2" t="s">
        <v>1310</v>
      </c>
      <c r="I1168" s="72">
        <v>44271</v>
      </c>
      <c r="K1168" s="2" t="s">
        <v>1311</v>
      </c>
    </row>
    <row r="1169" spans="1:11">
      <c r="A1169" s="2" t="s">
        <v>797</v>
      </c>
      <c r="B1169" s="2" t="s">
        <v>43</v>
      </c>
      <c r="C1169" s="2" t="s">
        <v>1309</v>
      </c>
      <c r="D1169" s="40">
        <v>1004000</v>
      </c>
      <c r="E1169" s="2" t="s">
        <v>295</v>
      </c>
      <c r="F1169" s="145">
        <v>2113</v>
      </c>
      <c r="H1169" s="2" t="s">
        <v>1310</v>
      </c>
      <c r="I1169" s="72">
        <v>44274</v>
      </c>
      <c r="K1169" s="2" t="s">
        <v>1311</v>
      </c>
    </row>
    <row r="1170" spans="1:11">
      <c r="A1170" s="2" t="s">
        <v>798</v>
      </c>
      <c r="B1170" s="2" t="s">
        <v>43</v>
      </c>
      <c r="C1170" s="2" t="s">
        <v>1309</v>
      </c>
      <c r="D1170" s="40">
        <v>1007000</v>
      </c>
      <c r="E1170" s="2" t="s">
        <v>295</v>
      </c>
      <c r="F1170" s="145">
        <v>2116</v>
      </c>
      <c r="H1170" s="2" t="s">
        <v>1310</v>
      </c>
      <c r="I1170" s="72">
        <v>44277</v>
      </c>
      <c r="K1170" s="2" t="s">
        <v>1311</v>
      </c>
    </row>
    <row r="1171" spans="1:11">
      <c r="A1171" s="2" t="s">
        <v>799</v>
      </c>
      <c r="B1171" s="2" t="s">
        <v>43</v>
      </c>
      <c r="C1171" s="2" t="s">
        <v>1309</v>
      </c>
      <c r="D1171" s="40">
        <v>1010000</v>
      </c>
      <c r="E1171" s="2" t="s">
        <v>295</v>
      </c>
      <c r="F1171" s="145">
        <v>2119</v>
      </c>
      <c r="H1171" s="2" t="s">
        <v>1310</v>
      </c>
      <c r="I1171" s="72">
        <v>44280</v>
      </c>
      <c r="K1171" s="2" t="s">
        <v>1311</v>
      </c>
    </row>
    <row r="1172" spans="1:11">
      <c r="A1172" s="2" t="s">
        <v>800</v>
      </c>
      <c r="B1172" s="2" t="s">
        <v>43</v>
      </c>
      <c r="C1172" s="2" t="s">
        <v>1309</v>
      </c>
      <c r="D1172" s="40">
        <v>1013000</v>
      </c>
      <c r="E1172" s="2" t="s">
        <v>295</v>
      </c>
      <c r="F1172" s="145">
        <v>2122</v>
      </c>
      <c r="H1172" s="2" t="s">
        <v>1310</v>
      </c>
      <c r="I1172" s="72">
        <v>44283</v>
      </c>
      <c r="K1172" s="2" t="s">
        <v>1311</v>
      </c>
    </row>
    <row r="1173" spans="1:11">
      <c r="A1173" s="2" t="s">
        <v>801</v>
      </c>
      <c r="B1173" s="2" t="s">
        <v>43</v>
      </c>
      <c r="C1173" s="2" t="s">
        <v>1309</v>
      </c>
      <c r="D1173" s="40">
        <v>1016000</v>
      </c>
      <c r="E1173" s="2" t="s">
        <v>295</v>
      </c>
      <c r="F1173" s="145">
        <v>2125</v>
      </c>
      <c r="H1173" s="2" t="s">
        <v>1310</v>
      </c>
      <c r="I1173" s="72">
        <v>44286</v>
      </c>
      <c r="K1173" s="2" t="s">
        <v>1311</v>
      </c>
    </row>
    <row r="1174" spans="1:11">
      <c r="A1174" s="2" t="s">
        <v>802</v>
      </c>
      <c r="B1174" s="2" t="s">
        <v>43</v>
      </c>
      <c r="C1174" s="2" t="s">
        <v>1309</v>
      </c>
      <c r="D1174" s="40">
        <v>1019000</v>
      </c>
      <c r="E1174" s="2" t="s">
        <v>295</v>
      </c>
      <c r="F1174" s="145">
        <v>2128</v>
      </c>
      <c r="H1174" s="2" t="s">
        <v>1310</v>
      </c>
      <c r="I1174" s="72">
        <v>44289</v>
      </c>
      <c r="K1174" s="2" t="s">
        <v>1311</v>
      </c>
    </row>
    <row r="1175" spans="1:11">
      <c r="A1175" s="2" t="s">
        <v>803</v>
      </c>
      <c r="B1175" s="2" t="s">
        <v>43</v>
      </c>
      <c r="C1175" s="2" t="s">
        <v>1309</v>
      </c>
      <c r="D1175" s="40">
        <v>1022000</v>
      </c>
      <c r="E1175" s="2" t="s">
        <v>295</v>
      </c>
      <c r="F1175" s="145">
        <v>2131</v>
      </c>
      <c r="H1175" s="2" t="s">
        <v>1310</v>
      </c>
      <c r="I1175" s="72">
        <v>44292</v>
      </c>
      <c r="K1175" s="2" t="s">
        <v>1311</v>
      </c>
    </row>
    <row r="1176" spans="1:11">
      <c r="A1176" s="2" t="s">
        <v>804</v>
      </c>
      <c r="B1176" s="2" t="s">
        <v>43</v>
      </c>
      <c r="C1176" s="2" t="s">
        <v>1309</v>
      </c>
      <c r="D1176" s="40">
        <v>1025000</v>
      </c>
      <c r="E1176" s="2" t="s">
        <v>295</v>
      </c>
      <c r="F1176" s="145">
        <v>2134</v>
      </c>
      <c r="H1176" s="2" t="s">
        <v>1310</v>
      </c>
      <c r="I1176" s="72">
        <v>44295</v>
      </c>
      <c r="K1176" s="2" t="s">
        <v>1311</v>
      </c>
    </row>
    <row r="1177" spans="1:11">
      <c r="A1177" s="2" t="s">
        <v>805</v>
      </c>
      <c r="B1177" s="2" t="s">
        <v>43</v>
      </c>
      <c r="C1177" s="2" t="s">
        <v>1309</v>
      </c>
      <c r="D1177" s="40">
        <v>1028000</v>
      </c>
      <c r="E1177" s="2" t="s">
        <v>295</v>
      </c>
      <c r="F1177" s="145">
        <v>2137</v>
      </c>
      <c r="H1177" s="2" t="s">
        <v>1310</v>
      </c>
      <c r="I1177" s="72">
        <v>44298</v>
      </c>
      <c r="K1177" s="2" t="s">
        <v>1311</v>
      </c>
    </row>
    <row r="1178" spans="1:11">
      <c r="A1178" s="2" t="s">
        <v>806</v>
      </c>
      <c r="B1178" s="2" t="s">
        <v>43</v>
      </c>
      <c r="C1178" s="2" t="s">
        <v>1309</v>
      </c>
      <c r="D1178" s="40">
        <v>1031000</v>
      </c>
      <c r="E1178" s="2" t="s">
        <v>295</v>
      </c>
      <c r="F1178" s="145">
        <v>2140</v>
      </c>
      <c r="H1178" s="2" t="s">
        <v>1310</v>
      </c>
      <c r="I1178" s="72">
        <v>44301</v>
      </c>
      <c r="K1178" s="2" t="s">
        <v>1311</v>
      </c>
    </row>
    <row r="1179" spans="1:11">
      <c r="A1179" s="2" t="s">
        <v>807</v>
      </c>
      <c r="B1179" s="2" t="s">
        <v>43</v>
      </c>
      <c r="C1179" s="2" t="s">
        <v>1309</v>
      </c>
      <c r="D1179" s="40">
        <v>1034000</v>
      </c>
      <c r="E1179" s="2" t="s">
        <v>295</v>
      </c>
      <c r="F1179" s="145">
        <v>2143</v>
      </c>
      <c r="H1179" s="2" t="s">
        <v>1310</v>
      </c>
      <c r="I1179" s="72">
        <v>44304</v>
      </c>
      <c r="K1179" s="2" t="s">
        <v>1311</v>
      </c>
    </row>
    <row r="1180" spans="1:11">
      <c r="A1180" s="2" t="s">
        <v>808</v>
      </c>
      <c r="B1180" s="2" t="s">
        <v>43</v>
      </c>
      <c r="C1180" s="2" t="s">
        <v>1309</v>
      </c>
      <c r="D1180" s="40">
        <v>1037000</v>
      </c>
      <c r="E1180" s="2" t="s">
        <v>295</v>
      </c>
      <c r="F1180" s="145">
        <v>2146</v>
      </c>
      <c r="H1180" s="2" t="s">
        <v>1310</v>
      </c>
      <c r="I1180" s="72">
        <v>44307</v>
      </c>
      <c r="K1180" s="2" t="s">
        <v>1311</v>
      </c>
    </row>
    <row r="1181" spans="1:11">
      <c r="A1181" s="2" t="s">
        <v>809</v>
      </c>
      <c r="B1181" s="2" t="s">
        <v>43</v>
      </c>
      <c r="C1181" s="2" t="s">
        <v>1309</v>
      </c>
      <c r="D1181" s="40">
        <v>1040000</v>
      </c>
      <c r="E1181" s="2" t="s">
        <v>295</v>
      </c>
      <c r="F1181" s="145">
        <v>2149</v>
      </c>
      <c r="H1181" s="2" t="s">
        <v>1310</v>
      </c>
      <c r="I1181" s="72">
        <v>44310</v>
      </c>
      <c r="K1181" s="2" t="s">
        <v>1311</v>
      </c>
    </row>
    <row r="1182" spans="1:11">
      <c r="A1182" s="2" t="s">
        <v>810</v>
      </c>
      <c r="B1182" s="2" t="s">
        <v>43</v>
      </c>
      <c r="C1182" s="2" t="s">
        <v>1309</v>
      </c>
      <c r="D1182" s="40">
        <v>1043000</v>
      </c>
      <c r="E1182" s="2" t="s">
        <v>295</v>
      </c>
      <c r="F1182" s="145">
        <v>2152</v>
      </c>
      <c r="H1182" s="2" t="s">
        <v>1310</v>
      </c>
      <c r="I1182" s="72">
        <v>44313</v>
      </c>
      <c r="K1182" s="2" t="s">
        <v>1311</v>
      </c>
    </row>
    <row r="1183" spans="1:11">
      <c r="A1183" s="2" t="s">
        <v>811</v>
      </c>
      <c r="B1183" s="2" t="s">
        <v>43</v>
      </c>
      <c r="C1183" s="2" t="s">
        <v>1309</v>
      </c>
      <c r="D1183" s="40">
        <v>1046000</v>
      </c>
      <c r="E1183" s="2" t="s">
        <v>295</v>
      </c>
      <c r="F1183" s="145">
        <v>2155</v>
      </c>
      <c r="H1183" s="2" t="s">
        <v>1310</v>
      </c>
      <c r="I1183" s="72">
        <v>44316</v>
      </c>
      <c r="K1183" s="2" t="s">
        <v>1311</v>
      </c>
    </row>
    <row r="1184" spans="1:11">
      <c r="A1184" s="2" t="s">
        <v>61</v>
      </c>
      <c r="B1184" s="2" t="s">
        <v>43</v>
      </c>
      <c r="C1184" s="2" t="s">
        <v>1309</v>
      </c>
      <c r="D1184" s="40">
        <v>1049000</v>
      </c>
      <c r="E1184" s="2" t="s">
        <v>295</v>
      </c>
      <c r="F1184" s="145">
        <v>2158</v>
      </c>
      <c r="H1184" s="2" t="s">
        <v>1310</v>
      </c>
      <c r="I1184" s="72">
        <v>44319</v>
      </c>
      <c r="K1184" s="2" t="s">
        <v>1311</v>
      </c>
    </row>
    <row r="1185" spans="1:11">
      <c r="A1185" s="2" t="s">
        <v>812</v>
      </c>
      <c r="B1185" s="2" t="s">
        <v>43</v>
      </c>
      <c r="C1185" s="2" t="s">
        <v>1309</v>
      </c>
      <c r="D1185" s="40">
        <v>1052000</v>
      </c>
      <c r="E1185" s="2" t="s">
        <v>295</v>
      </c>
      <c r="F1185" s="145">
        <v>2161</v>
      </c>
      <c r="H1185" s="2" t="s">
        <v>1310</v>
      </c>
      <c r="I1185" s="72">
        <v>44322</v>
      </c>
      <c r="K1185" s="2" t="s">
        <v>1311</v>
      </c>
    </row>
    <row r="1186" spans="1:11">
      <c r="A1186" s="2" t="s">
        <v>813</v>
      </c>
      <c r="B1186" s="2" t="s">
        <v>43</v>
      </c>
      <c r="C1186" s="2" t="s">
        <v>1309</v>
      </c>
      <c r="D1186" s="40">
        <v>1055000</v>
      </c>
      <c r="E1186" s="2" t="s">
        <v>295</v>
      </c>
      <c r="F1186" s="145">
        <v>2164</v>
      </c>
      <c r="H1186" s="2" t="s">
        <v>1310</v>
      </c>
      <c r="I1186" s="72">
        <v>44325</v>
      </c>
      <c r="K1186" s="2" t="s">
        <v>1311</v>
      </c>
    </row>
    <row r="1187" spans="1:11">
      <c r="A1187" s="2" t="s">
        <v>814</v>
      </c>
      <c r="B1187" s="2" t="s">
        <v>43</v>
      </c>
      <c r="C1187" s="2" t="s">
        <v>1309</v>
      </c>
      <c r="D1187" s="40">
        <v>1058000</v>
      </c>
      <c r="E1187" s="2" t="s">
        <v>295</v>
      </c>
      <c r="F1187" s="145">
        <v>2167</v>
      </c>
      <c r="H1187" s="2" t="s">
        <v>1310</v>
      </c>
      <c r="I1187" s="72">
        <v>44328</v>
      </c>
      <c r="K1187" s="2" t="s">
        <v>1311</v>
      </c>
    </row>
    <row r="1188" spans="1:11">
      <c r="A1188" s="2" t="s">
        <v>815</v>
      </c>
      <c r="B1188" s="2" t="s">
        <v>43</v>
      </c>
      <c r="C1188" s="2" t="s">
        <v>1309</v>
      </c>
      <c r="D1188" s="40">
        <v>1061000</v>
      </c>
      <c r="E1188" s="2" t="s">
        <v>295</v>
      </c>
      <c r="F1188" s="145">
        <v>2170</v>
      </c>
      <c r="H1188" s="2" t="s">
        <v>1310</v>
      </c>
      <c r="I1188" s="72">
        <v>44331</v>
      </c>
      <c r="K1188" s="2" t="s">
        <v>1311</v>
      </c>
    </row>
    <row r="1189" spans="1:11">
      <c r="A1189" s="2" t="s">
        <v>816</v>
      </c>
      <c r="B1189" s="2" t="s">
        <v>43</v>
      </c>
      <c r="C1189" s="2" t="s">
        <v>1309</v>
      </c>
      <c r="D1189" s="40">
        <v>1064000</v>
      </c>
      <c r="E1189" s="2" t="s">
        <v>295</v>
      </c>
      <c r="F1189" s="145">
        <v>2173</v>
      </c>
      <c r="H1189" s="2" t="s">
        <v>1310</v>
      </c>
      <c r="I1189" s="72">
        <v>44334</v>
      </c>
      <c r="K1189" s="2" t="s">
        <v>1311</v>
      </c>
    </row>
    <row r="1190" spans="1:11">
      <c r="A1190" s="2" t="s">
        <v>817</v>
      </c>
      <c r="B1190" s="2" t="s">
        <v>43</v>
      </c>
      <c r="C1190" s="2" t="s">
        <v>1309</v>
      </c>
      <c r="D1190" s="40">
        <v>1067000</v>
      </c>
      <c r="E1190" s="2" t="s">
        <v>295</v>
      </c>
      <c r="F1190" s="145">
        <v>2176</v>
      </c>
      <c r="H1190" s="2" t="s">
        <v>1310</v>
      </c>
      <c r="I1190" s="72">
        <v>44337</v>
      </c>
      <c r="K1190" s="2" t="s">
        <v>1311</v>
      </c>
    </row>
    <row r="1191" spans="1:11">
      <c r="A1191" s="2" t="s">
        <v>818</v>
      </c>
      <c r="B1191" s="2" t="s">
        <v>43</v>
      </c>
      <c r="C1191" s="2" t="s">
        <v>1309</v>
      </c>
      <c r="D1191" s="40">
        <v>1070000</v>
      </c>
      <c r="E1191" s="2" t="s">
        <v>295</v>
      </c>
      <c r="F1191" s="145">
        <v>2179</v>
      </c>
      <c r="H1191" s="2" t="s">
        <v>1310</v>
      </c>
      <c r="I1191" s="72">
        <v>44340</v>
      </c>
      <c r="K1191" s="2" t="s">
        <v>1311</v>
      </c>
    </row>
    <row r="1192" spans="1:11">
      <c r="A1192" s="2" t="s">
        <v>819</v>
      </c>
      <c r="B1192" s="2" t="s">
        <v>43</v>
      </c>
      <c r="C1192" s="2" t="s">
        <v>1309</v>
      </c>
      <c r="D1192" s="40">
        <v>1073000</v>
      </c>
      <c r="E1192" s="2" t="s">
        <v>295</v>
      </c>
      <c r="F1192" s="145">
        <v>2182</v>
      </c>
      <c r="H1192" s="2" t="s">
        <v>1310</v>
      </c>
      <c r="I1192" s="72">
        <v>44343</v>
      </c>
      <c r="K1192" s="2" t="s">
        <v>1311</v>
      </c>
    </row>
    <row r="1193" spans="1:11">
      <c r="A1193" s="2" t="s">
        <v>820</v>
      </c>
      <c r="B1193" s="2" t="s">
        <v>43</v>
      </c>
      <c r="C1193" s="2" t="s">
        <v>1309</v>
      </c>
      <c r="D1193" s="40">
        <v>1076000</v>
      </c>
      <c r="E1193" s="2" t="s">
        <v>295</v>
      </c>
      <c r="F1193" s="145">
        <v>2185</v>
      </c>
      <c r="H1193" s="2" t="s">
        <v>1310</v>
      </c>
      <c r="I1193" s="72">
        <v>44346</v>
      </c>
      <c r="K1193" s="2" t="s">
        <v>1311</v>
      </c>
    </row>
    <row r="1194" spans="1:11">
      <c r="A1194" s="2" t="s">
        <v>821</v>
      </c>
      <c r="B1194" s="2" t="s">
        <v>43</v>
      </c>
      <c r="C1194" s="2" t="s">
        <v>1309</v>
      </c>
      <c r="D1194" s="40">
        <v>1079000</v>
      </c>
      <c r="E1194" s="2" t="s">
        <v>295</v>
      </c>
      <c r="F1194" s="145">
        <v>2188</v>
      </c>
      <c r="H1194" s="2" t="s">
        <v>1310</v>
      </c>
      <c r="I1194" s="72">
        <v>44349</v>
      </c>
      <c r="K1194" s="2" t="s">
        <v>1311</v>
      </c>
    </row>
    <row r="1195" spans="1:11">
      <c r="A1195" s="2" t="s">
        <v>822</v>
      </c>
      <c r="B1195" s="2" t="s">
        <v>43</v>
      </c>
      <c r="C1195" s="2" t="s">
        <v>1309</v>
      </c>
      <c r="D1195" s="40">
        <v>1082000</v>
      </c>
      <c r="E1195" s="2" t="s">
        <v>295</v>
      </c>
      <c r="F1195" s="145">
        <v>2191</v>
      </c>
      <c r="H1195" s="2" t="s">
        <v>1310</v>
      </c>
      <c r="I1195" s="72">
        <v>44352</v>
      </c>
      <c r="K1195" s="2" t="s">
        <v>1311</v>
      </c>
    </row>
    <row r="1196" spans="1:11">
      <c r="A1196" s="2" t="s">
        <v>823</v>
      </c>
      <c r="B1196" s="2" t="s">
        <v>43</v>
      </c>
      <c r="C1196" s="2" t="s">
        <v>1309</v>
      </c>
      <c r="D1196" s="40">
        <v>1085000</v>
      </c>
      <c r="E1196" s="2" t="s">
        <v>295</v>
      </c>
      <c r="F1196" s="145">
        <v>2194</v>
      </c>
      <c r="H1196" s="2" t="s">
        <v>1310</v>
      </c>
      <c r="I1196" s="72">
        <v>44355</v>
      </c>
      <c r="K1196" s="2" t="s">
        <v>1311</v>
      </c>
    </row>
    <row r="1197" spans="1:11">
      <c r="A1197" s="2" t="s">
        <v>824</v>
      </c>
      <c r="B1197" s="2" t="s">
        <v>43</v>
      </c>
      <c r="C1197" s="2" t="s">
        <v>1309</v>
      </c>
      <c r="D1197" s="40">
        <v>1088000</v>
      </c>
      <c r="E1197" s="2" t="s">
        <v>295</v>
      </c>
      <c r="F1197" s="145">
        <v>2197</v>
      </c>
      <c r="H1197" s="2" t="s">
        <v>1310</v>
      </c>
      <c r="I1197" s="72">
        <v>44358</v>
      </c>
      <c r="K1197" s="2" t="s">
        <v>1311</v>
      </c>
    </row>
    <row r="1198" spans="1:11">
      <c r="A1198" s="2" t="s">
        <v>825</v>
      </c>
      <c r="B1198" s="2" t="s">
        <v>43</v>
      </c>
      <c r="C1198" s="2" t="s">
        <v>1309</v>
      </c>
      <c r="D1198" s="40">
        <v>1091000</v>
      </c>
      <c r="E1198" s="2" t="s">
        <v>295</v>
      </c>
      <c r="F1198" s="145">
        <v>2200</v>
      </c>
      <c r="H1198" s="2" t="s">
        <v>1310</v>
      </c>
      <c r="I1198" s="72">
        <v>44361</v>
      </c>
      <c r="K1198" s="2" t="s">
        <v>1311</v>
      </c>
    </row>
    <row r="1199" spans="1:11">
      <c r="A1199" s="2" t="s">
        <v>826</v>
      </c>
      <c r="B1199" s="2" t="s">
        <v>43</v>
      </c>
      <c r="C1199" s="2" t="s">
        <v>1309</v>
      </c>
      <c r="D1199" s="40">
        <v>1094000</v>
      </c>
      <c r="E1199" s="2" t="s">
        <v>295</v>
      </c>
      <c r="F1199" s="145">
        <v>2203</v>
      </c>
      <c r="H1199" s="2" t="s">
        <v>1310</v>
      </c>
      <c r="I1199" s="72">
        <v>44364</v>
      </c>
      <c r="K1199" s="2" t="s">
        <v>1311</v>
      </c>
    </row>
    <row r="1200" spans="1:11">
      <c r="A1200" s="2" t="s">
        <v>827</v>
      </c>
      <c r="B1200" s="2" t="s">
        <v>43</v>
      </c>
      <c r="C1200" s="2" t="s">
        <v>1309</v>
      </c>
      <c r="D1200" s="40">
        <v>1097000</v>
      </c>
      <c r="E1200" s="2" t="s">
        <v>295</v>
      </c>
      <c r="F1200" s="145">
        <v>2206</v>
      </c>
      <c r="H1200" s="2" t="s">
        <v>1310</v>
      </c>
      <c r="I1200" s="72">
        <v>44367</v>
      </c>
      <c r="K1200" s="2" t="s">
        <v>1311</v>
      </c>
    </row>
    <row r="1201" spans="1:11">
      <c r="A1201" s="2" t="s">
        <v>828</v>
      </c>
      <c r="B1201" s="2" t="s">
        <v>43</v>
      </c>
      <c r="C1201" s="2" t="s">
        <v>1309</v>
      </c>
      <c r="D1201" s="40">
        <v>1100000</v>
      </c>
      <c r="E1201" s="2" t="s">
        <v>295</v>
      </c>
      <c r="F1201" s="145">
        <v>2209</v>
      </c>
      <c r="H1201" s="2" t="s">
        <v>1310</v>
      </c>
      <c r="I1201" s="72">
        <v>44370</v>
      </c>
      <c r="K1201" s="2" t="s">
        <v>1311</v>
      </c>
    </row>
    <row r="1202" spans="1:11">
      <c r="A1202" s="2" t="s">
        <v>829</v>
      </c>
      <c r="B1202" s="2" t="s">
        <v>43</v>
      </c>
      <c r="C1202" s="2" t="s">
        <v>1309</v>
      </c>
      <c r="D1202" s="40">
        <v>1103000</v>
      </c>
      <c r="E1202" s="2" t="s">
        <v>295</v>
      </c>
      <c r="F1202" s="145">
        <v>2212</v>
      </c>
      <c r="H1202" s="2" t="s">
        <v>1310</v>
      </c>
      <c r="I1202" s="72">
        <v>44373</v>
      </c>
      <c r="K1202" s="2" t="s">
        <v>1311</v>
      </c>
    </row>
    <row r="1203" spans="1:11">
      <c r="A1203" s="2" t="s">
        <v>830</v>
      </c>
      <c r="B1203" s="2" t="s">
        <v>43</v>
      </c>
      <c r="C1203" s="2" t="s">
        <v>1309</v>
      </c>
      <c r="D1203" s="40">
        <v>1106000</v>
      </c>
      <c r="E1203" s="2" t="s">
        <v>295</v>
      </c>
      <c r="F1203" s="145">
        <v>2215</v>
      </c>
      <c r="H1203" s="2" t="s">
        <v>1310</v>
      </c>
      <c r="I1203" s="72">
        <v>44376</v>
      </c>
      <c r="K1203" s="2" t="s">
        <v>1311</v>
      </c>
    </row>
    <row r="1204" spans="1:11">
      <c r="A1204" s="2" t="s">
        <v>831</v>
      </c>
      <c r="B1204" s="2" t="s">
        <v>43</v>
      </c>
      <c r="C1204" s="2" t="s">
        <v>1309</v>
      </c>
      <c r="D1204" s="40">
        <v>1109000</v>
      </c>
      <c r="E1204" s="2" t="s">
        <v>295</v>
      </c>
      <c r="F1204" s="145">
        <v>2218</v>
      </c>
      <c r="H1204" s="2" t="s">
        <v>1310</v>
      </c>
      <c r="I1204" s="72">
        <v>44379</v>
      </c>
      <c r="K1204" s="2" t="s">
        <v>1311</v>
      </c>
    </row>
    <row r="1205" spans="1:11">
      <c r="A1205" s="2" t="s">
        <v>832</v>
      </c>
      <c r="B1205" s="2" t="s">
        <v>43</v>
      </c>
      <c r="C1205" s="2" t="s">
        <v>1309</v>
      </c>
      <c r="D1205" s="40">
        <v>1112000</v>
      </c>
      <c r="E1205" s="2" t="s">
        <v>295</v>
      </c>
      <c r="F1205" s="145">
        <v>2221</v>
      </c>
      <c r="H1205" s="2" t="s">
        <v>1310</v>
      </c>
      <c r="I1205" s="72">
        <v>44382</v>
      </c>
      <c r="K1205" s="2" t="s">
        <v>1311</v>
      </c>
    </row>
    <row r="1206" spans="1:11">
      <c r="A1206" s="2" t="s">
        <v>833</v>
      </c>
      <c r="B1206" s="2" t="s">
        <v>43</v>
      </c>
      <c r="C1206" s="2" t="s">
        <v>1309</v>
      </c>
      <c r="D1206" s="40">
        <v>1115000</v>
      </c>
      <c r="E1206" s="2" t="s">
        <v>295</v>
      </c>
      <c r="F1206" s="145">
        <v>2224</v>
      </c>
      <c r="H1206" s="2" t="s">
        <v>1310</v>
      </c>
      <c r="I1206" s="72">
        <v>44385</v>
      </c>
      <c r="K1206" s="2" t="s">
        <v>1311</v>
      </c>
    </row>
    <row r="1207" spans="1:11">
      <c r="A1207" s="2" t="s">
        <v>834</v>
      </c>
      <c r="B1207" s="2" t="s">
        <v>43</v>
      </c>
      <c r="C1207" s="2" t="s">
        <v>1309</v>
      </c>
      <c r="D1207" s="40">
        <v>1118000</v>
      </c>
      <c r="E1207" s="2" t="s">
        <v>295</v>
      </c>
      <c r="F1207" s="145">
        <v>2227</v>
      </c>
      <c r="H1207" s="2" t="s">
        <v>1310</v>
      </c>
      <c r="I1207" s="72">
        <v>44388</v>
      </c>
      <c r="K1207" s="2" t="s">
        <v>1311</v>
      </c>
    </row>
    <row r="1208" spans="1:11">
      <c r="A1208" s="2" t="s">
        <v>47</v>
      </c>
      <c r="B1208" s="2" t="s">
        <v>43</v>
      </c>
      <c r="C1208" s="2" t="s">
        <v>1309</v>
      </c>
      <c r="D1208" s="40">
        <v>1121000</v>
      </c>
      <c r="E1208" s="2" t="s">
        <v>295</v>
      </c>
      <c r="F1208" s="145">
        <v>2230</v>
      </c>
      <c r="H1208" s="2" t="s">
        <v>1310</v>
      </c>
      <c r="I1208" s="72">
        <v>44391</v>
      </c>
      <c r="K1208" s="2" t="s">
        <v>1311</v>
      </c>
    </row>
    <row r="1209" spans="1:11">
      <c r="A1209" s="2" t="s">
        <v>835</v>
      </c>
      <c r="B1209" s="2" t="s">
        <v>43</v>
      </c>
      <c r="C1209" s="2" t="s">
        <v>1309</v>
      </c>
      <c r="D1209" s="40">
        <v>1124000</v>
      </c>
      <c r="E1209" s="2" t="s">
        <v>295</v>
      </c>
      <c r="F1209" s="145">
        <v>2233</v>
      </c>
      <c r="H1209" s="2" t="s">
        <v>1310</v>
      </c>
      <c r="I1209" s="72">
        <v>44394</v>
      </c>
      <c r="K1209" s="2" t="s">
        <v>1311</v>
      </c>
    </row>
    <row r="1210" spans="1:11">
      <c r="A1210" s="2" t="s">
        <v>836</v>
      </c>
      <c r="B1210" s="2" t="s">
        <v>43</v>
      </c>
      <c r="C1210" s="2" t="s">
        <v>1309</v>
      </c>
      <c r="D1210" s="40">
        <v>1127000</v>
      </c>
      <c r="E1210" s="2" t="s">
        <v>295</v>
      </c>
      <c r="F1210" s="145">
        <v>2236</v>
      </c>
      <c r="H1210" s="2" t="s">
        <v>1310</v>
      </c>
      <c r="I1210" s="72">
        <v>44397</v>
      </c>
      <c r="K1210" s="2" t="s">
        <v>1311</v>
      </c>
    </row>
    <row r="1211" spans="1:11">
      <c r="A1211" s="2" t="s">
        <v>837</v>
      </c>
      <c r="B1211" s="2" t="s">
        <v>43</v>
      </c>
      <c r="C1211" s="2" t="s">
        <v>1309</v>
      </c>
      <c r="D1211" s="40">
        <v>1130000</v>
      </c>
      <c r="E1211" s="2" t="s">
        <v>295</v>
      </c>
      <c r="F1211" s="145">
        <v>2239</v>
      </c>
      <c r="H1211" s="2" t="s">
        <v>1310</v>
      </c>
      <c r="I1211" s="72">
        <v>44400</v>
      </c>
      <c r="K1211" s="2" t="s">
        <v>1311</v>
      </c>
    </row>
    <row r="1212" spans="1:11">
      <c r="A1212" s="2" t="s">
        <v>838</v>
      </c>
      <c r="B1212" s="2" t="s">
        <v>43</v>
      </c>
      <c r="C1212" s="2" t="s">
        <v>1309</v>
      </c>
      <c r="D1212" s="40">
        <v>1133000</v>
      </c>
      <c r="E1212" s="2" t="s">
        <v>295</v>
      </c>
      <c r="F1212" s="145">
        <v>2242</v>
      </c>
      <c r="H1212" s="2" t="s">
        <v>1310</v>
      </c>
      <c r="I1212" s="72">
        <v>44403</v>
      </c>
      <c r="K1212" s="2" t="s">
        <v>1311</v>
      </c>
    </row>
    <row r="1213" spans="1:11">
      <c r="A1213" s="2" t="s">
        <v>839</v>
      </c>
      <c r="B1213" s="2" t="s">
        <v>43</v>
      </c>
      <c r="C1213" s="2" t="s">
        <v>1309</v>
      </c>
      <c r="D1213" s="40">
        <v>1136000</v>
      </c>
      <c r="E1213" s="2" t="s">
        <v>295</v>
      </c>
      <c r="F1213" s="145">
        <v>2245</v>
      </c>
      <c r="H1213" s="2" t="s">
        <v>1310</v>
      </c>
      <c r="I1213" s="72">
        <v>44406</v>
      </c>
      <c r="K1213" s="2" t="s">
        <v>1311</v>
      </c>
    </row>
    <row r="1214" spans="1:11">
      <c r="A1214" s="2" t="s">
        <v>840</v>
      </c>
      <c r="B1214" s="2" t="s">
        <v>43</v>
      </c>
      <c r="C1214" s="2" t="s">
        <v>1309</v>
      </c>
      <c r="D1214" s="40">
        <v>1139000</v>
      </c>
      <c r="E1214" s="2" t="s">
        <v>295</v>
      </c>
      <c r="F1214" s="145">
        <v>2248</v>
      </c>
      <c r="H1214" s="2" t="s">
        <v>1310</v>
      </c>
      <c r="I1214" s="72">
        <v>44409</v>
      </c>
      <c r="K1214" s="2" t="s">
        <v>1311</v>
      </c>
    </row>
    <row r="1215" spans="1:11">
      <c r="A1215" s="2" t="s">
        <v>841</v>
      </c>
      <c r="B1215" s="2" t="s">
        <v>43</v>
      </c>
      <c r="C1215" s="2" t="s">
        <v>1309</v>
      </c>
      <c r="D1215" s="40">
        <v>1142000</v>
      </c>
      <c r="E1215" s="2" t="s">
        <v>295</v>
      </c>
      <c r="F1215" s="145">
        <v>2251</v>
      </c>
      <c r="H1215" s="2" t="s">
        <v>1310</v>
      </c>
      <c r="I1215" s="72">
        <v>44412</v>
      </c>
      <c r="K1215" s="2" t="s">
        <v>1311</v>
      </c>
    </row>
    <row r="1216" spans="1:11">
      <c r="A1216" s="2" t="s">
        <v>842</v>
      </c>
      <c r="B1216" s="2" t="s">
        <v>43</v>
      </c>
      <c r="C1216" s="2" t="s">
        <v>1309</v>
      </c>
      <c r="D1216" s="40">
        <v>1145000</v>
      </c>
      <c r="E1216" s="2" t="s">
        <v>295</v>
      </c>
      <c r="F1216" s="145">
        <v>2254</v>
      </c>
      <c r="H1216" s="2" t="s">
        <v>1310</v>
      </c>
      <c r="I1216" s="72">
        <v>44415</v>
      </c>
      <c r="K1216" s="2" t="s">
        <v>1311</v>
      </c>
    </row>
    <row r="1217" spans="1:11">
      <c r="A1217" s="2" t="s">
        <v>843</v>
      </c>
      <c r="B1217" s="2" t="s">
        <v>43</v>
      </c>
      <c r="C1217" s="2" t="s">
        <v>1309</v>
      </c>
      <c r="D1217" s="40">
        <v>1148000</v>
      </c>
      <c r="E1217" s="2" t="s">
        <v>295</v>
      </c>
      <c r="F1217" s="145">
        <v>2257</v>
      </c>
      <c r="H1217" s="2" t="s">
        <v>1310</v>
      </c>
      <c r="I1217" s="72">
        <v>44418</v>
      </c>
      <c r="K1217" s="2" t="s">
        <v>1311</v>
      </c>
    </row>
    <row r="1218" spans="1:11">
      <c r="A1218" s="2" t="s">
        <v>844</v>
      </c>
      <c r="B1218" s="2" t="s">
        <v>43</v>
      </c>
      <c r="C1218" s="2" t="s">
        <v>1309</v>
      </c>
      <c r="D1218" s="40">
        <v>1151000</v>
      </c>
      <c r="E1218" s="2" t="s">
        <v>295</v>
      </c>
      <c r="F1218" s="145">
        <v>2260</v>
      </c>
      <c r="H1218" s="2" t="s">
        <v>1310</v>
      </c>
      <c r="I1218" s="72">
        <v>44421</v>
      </c>
      <c r="K1218" s="2" t="s">
        <v>1311</v>
      </c>
    </row>
    <row r="1219" spans="1:11">
      <c r="A1219" s="2" t="s">
        <v>845</v>
      </c>
      <c r="B1219" s="2" t="s">
        <v>43</v>
      </c>
      <c r="C1219" s="2" t="s">
        <v>1309</v>
      </c>
      <c r="D1219" s="40">
        <v>1154000</v>
      </c>
      <c r="E1219" s="2" t="s">
        <v>295</v>
      </c>
      <c r="F1219" s="145">
        <v>2263</v>
      </c>
      <c r="H1219" s="2" t="s">
        <v>1310</v>
      </c>
      <c r="I1219" s="72">
        <v>44424</v>
      </c>
      <c r="K1219" s="2" t="s">
        <v>1311</v>
      </c>
    </row>
    <row r="1220" spans="1:11">
      <c r="A1220" s="2" t="s">
        <v>846</v>
      </c>
      <c r="B1220" s="2" t="s">
        <v>43</v>
      </c>
      <c r="C1220" s="2" t="s">
        <v>1309</v>
      </c>
      <c r="D1220" s="40">
        <v>1157000</v>
      </c>
      <c r="E1220" s="2" t="s">
        <v>295</v>
      </c>
      <c r="F1220" s="145">
        <v>2266</v>
      </c>
      <c r="H1220" s="2" t="s">
        <v>1310</v>
      </c>
      <c r="I1220" s="72">
        <v>44427</v>
      </c>
      <c r="K1220" s="2" t="s">
        <v>1311</v>
      </c>
    </row>
    <row r="1221" spans="1:11">
      <c r="A1221" s="2" t="s">
        <v>847</v>
      </c>
      <c r="B1221" s="2" t="s">
        <v>43</v>
      </c>
      <c r="C1221" s="2" t="s">
        <v>1309</v>
      </c>
      <c r="D1221" s="40">
        <v>1160000</v>
      </c>
      <c r="E1221" s="2" t="s">
        <v>295</v>
      </c>
      <c r="F1221" s="145">
        <v>2269</v>
      </c>
      <c r="H1221" s="2" t="s">
        <v>1310</v>
      </c>
      <c r="I1221" s="72">
        <v>44430</v>
      </c>
      <c r="K1221" s="2" t="s">
        <v>1311</v>
      </c>
    </row>
    <row r="1222" spans="1:11">
      <c r="A1222" s="2" t="s">
        <v>848</v>
      </c>
      <c r="B1222" s="2" t="s">
        <v>43</v>
      </c>
      <c r="C1222" s="2" t="s">
        <v>1309</v>
      </c>
      <c r="D1222" s="40">
        <v>1163000</v>
      </c>
      <c r="E1222" s="2" t="s">
        <v>295</v>
      </c>
      <c r="F1222" s="145">
        <v>2272</v>
      </c>
      <c r="H1222" s="2" t="s">
        <v>1310</v>
      </c>
      <c r="I1222" s="72">
        <v>44433</v>
      </c>
      <c r="K1222" s="2" t="s">
        <v>1311</v>
      </c>
    </row>
    <row r="1223" spans="1:11">
      <c r="A1223" s="2" t="s">
        <v>849</v>
      </c>
      <c r="B1223" s="2" t="s">
        <v>43</v>
      </c>
      <c r="C1223" s="2" t="s">
        <v>1309</v>
      </c>
      <c r="D1223" s="40">
        <v>1166000</v>
      </c>
      <c r="E1223" s="2" t="s">
        <v>295</v>
      </c>
      <c r="F1223" s="145">
        <v>2275</v>
      </c>
      <c r="H1223" s="2" t="s">
        <v>1310</v>
      </c>
      <c r="I1223" s="72">
        <v>44436</v>
      </c>
      <c r="K1223" s="2" t="s">
        <v>1311</v>
      </c>
    </row>
    <row r="1224" spans="1:11">
      <c r="A1224" s="2" t="s">
        <v>850</v>
      </c>
      <c r="B1224" s="2" t="s">
        <v>43</v>
      </c>
      <c r="C1224" s="2" t="s">
        <v>1309</v>
      </c>
      <c r="D1224" s="40">
        <v>1169000</v>
      </c>
      <c r="E1224" s="2" t="s">
        <v>295</v>
      </c>
      <c r="F1224" s="145">
        <v>2278</v>
      </c>
      <c r="H1224" s="2" t="s">
        <v>1310</v>
      </c>
      <c r="I1224" s="72">
        <v>44439</v>
      </c>
      <c r="K1224" s="2" t="s">
        <v>1311</v>
      </c>
    </row>
    <row r="1225" spans="1:11">
      <c r="A1225" s="2" t="s">
        <v>851</v>
      </c>
      <c r="B1225" s="2" t="s">
        <v>43</v>
      </c>
      <c r="C1225" s="2" t="s">
        <v>1309</v>
      </c>
      <c r="D1225" s="40">
        <v>1172000</v>
      </c>
      <c r="E1225" s="2" t="s">
        <v>295</v>
      </c>
      <c r="F1225" s="145">
        <v>2281</v>
      </c>
      <c r="H1225" s="2" t="s">
        <v>1310</v>
      </c>
      <c r="I1225" s="72">
        <v>44442</v>
      </c>
      <c r="K1225" s="2" t="s">
        <v>1311</v>
      </c>
    </row>
    <row r="1226" spans="1:11">
      <c r="A1226" s="2" t="s">
        <v>852</v>
      </c>
      <c r="B1226" s="2" t="s">
        <v>43</v>
      </c>
      <c r="C1226" s="2" t="s">
        <v>1309</v>
      </c>
      <c r="D1226" s="40">
        <v>1175000</v>
      </c>
      <c r="E1226" s="2" t="s">
        <v>295</v>
      </c>
      <c r="F1226" s="145">
        <v>2284</v>
      </c>
      <c r="H1226" s="2" t="s">
        <v>1310</v>
      </c>
      <c r="I1226" s="72">
        <v>44445</v>
      </c>
      <c r="K1226" s="2" t="s">
        <v>1311</v>
      </c>
    </row>
    <row r="1227" spans="1:11">
      <c r="A1227" s="2" t="s">
        <v>853</v>
      </c>
      <c r="B1227" s="2" t="s">
        <v>43</v>
      </c>
      <c r="C1227" s="2" t="s">
        <v>1309</v>
      </c>
      <c r="D1227" s="40">
        <v>1178000</v>
      </c>
      <c r="E1227" s="2" t="s">
        <v>295</v>
      </c>
      <c r="F1227" s="145">
        <v>2287</v>
      </c>
      <c r="H1227" s="2" t="s">
        <v>1310</v>
      </c>
      <c r="I1227" s="72">
        <v>44448</v>
      </c>
      <c r="K1227" s="2" t="s">
        <v>1311</v>
      </c>
    </row>
    <row r="1228" spans="1:11">
      <c r="A1228" s="2" t="s">
        <v>854</v>
      </c>
      <c r="B1228" s="2" t="s">
        <v>43</v>
      </c>
      <c r="C1228" s="2" t="s">
        <v>1309</v>
      </c>
      <c r="D1228" s="40">
        <v>1181000</v>
      </c>
      <c r="E1228" s="2" t="s">
        <v>295</v>
      </c>
      <c r="F1228" s="145">
        <v>2290</v>
      </c>
      <c r="H1228" s="2" t="s">
        <v>1310</v>
      </c>
      <c r="I1228" s="72">
        <v>44451</v>
      </c>
      <c r="K1228" s="2" t="s">
        <v>1311</v>
      </c>
    </row>
    <row r="1229" spans="1:11">
      <c r="A1229" s="2" t="s">
        <v>855</v>
      </c>
      <c r="B1229" s="2" t="s">
        <v>43</v>
      </c>
      <c r="C1229" s="2" t="s">
        <v>1309</v>
      </c>
      <c r="D1229" s="40">
        <v>1184000</v>
      </c>
      <c r="E1229" s="2" t="s">
        <v>295</v>
      </c>
      <c r="F1229" s="145">
        <v>2293</v>
      </c>
      <c r="H1229" s="2" t="s">
        <v>1310</v>
      </c>
      <c r="I1229" s="72">
        <v>44454</v>
      </c>
      <c r="K1229" s="2" t="s">
        <v>1311</v>
      </c>
    </row>
    <row r="1230" spans="1:11">
      <c r="A1230" s="2" t="s">
        <v>856</v>
      </c>
      <c r="B1230" s="2" t="s">
        <v>43</v>
      </c>
      <c r="C1230" s="2" t="s">
        <v>1309</v>
      </c>
      <c r="D1230" s="40">
        <v>1187000</v>
      </c>
      <c r="E1230" s="2" t="s">
        <v>295</v>
      </c>
      <c r="F1230" s="145">
        <v>2296</v>
      </c>
      <c r="H1230" s="2" t="s">
        <v>1310</v>
      </c>
      <c r="I1230" s="72">
        <v>44457</v>
      </c>
      <c r="K1230" s="2" t="s">
        <v>1311</v>
      </c>
    </row>
    <row r="1231" spans="1:11">
      <c r="A1231" s="2" t="s">
        <v>857</v>
      </c>
      <c r="B1231" s="2" t="s">
        <v>43</v>
      </c>
      <c r="C1231" s="2" t="s">
        <v>1309</v>
      </c>
      <c r="D1231" s="40">
        <v>1190000</v>
      </c>
      <c r="E1231" s="2" t="s">
        <v>295</v>
      </c>
      <c r="F1231" s="145">
        <v>2299</v>
      </c>
      <c r="H1231" s="2" t="s">
        <v>1310</v>
      </c>
      <c r="I1231" s="72">
        <v>44460</v>
      </c>
      <c r="K1231" s="2" t="s">
        <v>1311</v>
      </c>
    </row>
    <row r="1232" spans="1:11">
      <c r="A1232" s="2" t="s">
        <v>858</v>
      </c>
      <c r="B1232" s="2" t="s">
        <v>43</v>
      </c>
      <c r="C1232" s="2" t="s">
        <v>1309</v>
      </c>
      <c r="D1232" s="40">
        <v>1193000</v>
      </c>
      <c r="E1232" s="2" t="s">
        <v>295</v>
      </c>
      <c r="F1232" s="145">
        <v>2302</v>
      </c>
      <c r="H1232" s="2" t="s">
        <v>1310</v>
      </c>
      <c r="I1232" s="72">
        <v>44463</v>
      </c>
      <c r="K1232" s="2" t="s">
        <v>1311</v>
      </c>
    </row>
    <row r="1233" spans="1:11">
      <c r="A1233" s="2" t="s">
        <v>859</v>
      </c>
      <c r="B1233" s="2" t="s">
        <v>43</v>
      </c>
      <c r="C1233" s="2" t="s">
        <v>1309</v>
      </c>
      <c r="D1233" s="40">
        <v>1196000</v>
      </c>
      <c r="E1233" s="2" t="s">
        <v>295</v>
      </c>
      <c r="F1233" s="145">
        <v>2305</v>
      </c>
      <c r="H1233" s="2" t="s">
        <v>1310</v>
      </c>
      <c r="I1233" s="72">
        <v>44466</v>
      </c>
      <c r="K1233" s="2" t="s">
        <v>1311</v>
      </c>
    </row>
    <row r="1234" spans="1:11">
      <c r="A1234" s="2" t="s">
        <v>860</v>
      </c>
      <c r="B1234" s="2" t="s">
        <v>43</v>
      </c>
      <c r="C1234" s="2" t="s">
        <v>1309</v>
      </c>
      <c r="D1234" s="40">
        <v>1199000</v>
      </c>
      <c r="E1234" s="2" t="s">
        <v>295</v>
      </c>
      <c r="F1234" s="145">
        <v>2308</v>
      </c>
      <c r="H1234" s="2" t="s">
        <v>1310</v>
      </c>
      <c r="I1234" s="72">
        <v>44469</v>
      </c>
      <c r="K1234" s="2" t="s">
        <v>1311</v>
      </c>
    </row>
    <row r="1235" spans="1:11">
      <c r="A1235" s="2" t="s">
        <v>861</v>
      </c>
      <c r="B1235" s="2" t="s">
        <v>43</v>
      </c>
      <c r="C1235" s="2" t="s">
        <v>1309</v>
      </c>
      <c r="D1235" s="40">
        <v>1202000</v>
      </c>
      <c r="E1235" s="2" t="s">
        <v>295</v>
      </c>
      <c r="F1235" s="145">
        <v>2311</v>
      </c>
      <c r="H1235" s="2" t="s">
        <v>1310</v>
      </c>
      <c r="I1235" s="72">
        <v>44472</v>
      </c>
      <c r="K1235" s="2" t="s">
        <v>1311</v>
      </c>
    </row>
    <row r="1236" spans="1:11">
      <c r="A1236" s="2" t="s">
        <v>862</v>
      </c>
      <c r="B1236" s="2" t="s">
        <v>43</v>
      </c>
      <c r="C1236" s="2" t="s">
        <v>1309</v>
      </c>
      <c r="D1236" s="40">
        <v>1205000</v>
      </c>
      <c r="E1236" s="2" t="s">
        <v>295</v>
      </c>
      <c r="F1236" s="145">
        <v>2314</v>
      </c>
      <c r="H1236" s="2" t="s">
        <v>1310</v>
      </c>
      <c r="I1236" s="72">
        <v>44475</v>
      </c>
      <c r="K1236" s="2" t="s">
        <v>1311</v>
      </c>
    </row>
    <row r="1237" spans="1:11">
      <c r="A1237" s="2" t="s">
        <v>863</v>
      </c>
      <c r="B1237" s="2" t="s">
        <v>43</v>
      </c>
      <c r="C1237" s="2" t="s">
        <v>1309</v>
      </c>
      <c r="D1237" s="40">
        <v>1208000</v>
      </c>
      <c r="E1237" s="2" t="s">
        <v>295</v>
      </c>
      <c r="F1237" s="145">
        <v>2317</v>
      </c>
      <c r="H1237" s="2" t="s">
        <v>1310</v>
      </c>
      <c r="I1237" s="72">
        <v>44478</v>
      </c>
      <c r="K1237" s="2" t="s">
        <v>1311</v>
      </c>
    </row>
    <row r="1238" spans="1:11">
      <c r="A1238" s="2" t="s">
        <v>864</v>
      </c>
      <c r="B1238" s="2" t="s">
        <v>43</v>
      </c>
      <c r="C1238" s="2" t="s">
        <v>1309</v>
      </c>
      <c r="D1238" s="40">
        <v>1211000</v>
      </c>
      <c r="E1238" s="2" t="s">
        <v>295</v>
      </c>
      <c r="F1238" s="145">
        <v>2320</v>
      </c>
      <c r="H1238" s="2" t="s">
        <v>1310</v>
      </c>
      <c r="I1238" s="72">
        <v>44481</v>
      </c>
      <c r="K1238" s="2" t="s">
        <v>1311</v>
      </c>
    </row>
    <row r="1239" spans="1:11">
      <c r="A1239" s="2" t="s">
        <v>865</v>
      </c>
      <c r="B1239" s="2" t="s">
        <v>43</v>
      </c>
      <c r="C1239" s="2" t="s">
        <v>1309</v>
      </c>
      <c r="D1239" s="40">
        <v>1214000</v>
      </c>
      <c r="E1239" s="2" t="s">
        <v>295</v>
      </c>
      <c r="F1239" s="145">
        <v>2323</v>
      </c>
      <c r="H1239" s="2" t="s">
        <v>1310</v>
      </c>
      <c r="I1239" s="72">
        <v>44484</v>
      </c>
      <c r="K1239" s="2" t="s">
        <v>1311</v>
      </c>
    </row>
    <row r="1240" spans="1:11">
      <c r="A1240" s="2" t="s">
        <v>866</v>
      </c>
      <c r="B1240" s="2" t="s">
        <v>43</v>
      </c>
      <c r="C1240" s="2" t="s">
        <v>1309</v>
      </c>
      <c r="D1240" s="40">
        <v>1217000</v>
      </c>
      <c r="E1240" s="2" t="s">
        <v>295</v>
      </c>
      <c r="F1240" s="145">
        <v>2326</v>
      </c>
      <c r="H1240" s="2" t="s">
        <v>1310</v>
      </c>
      <c r="I1240" s="72">
        <v>44487</v>
      </c>
      <c r="K1240" s="2" t="s">
        <v>1311</v>
      </c>
    </row>
    <row r="1241" spans="1:11">
      <c r="A1241" s="2" t="s">
        <v>867</v>
      </c>
      <c r="B1241" s="2" t="s">
        <v>43</v>
      </c>
      <c r="C1241" s="2" t="s">
        <v>1309</v>
      </c>
      <c r="D1241" s="40">
        <v>1220000</v>
      </c>
      <c r="E1241" s="2" t="s">
        <v>295</v>
      </c>
      <c r="F1241" s="145">
        <v>2329</v>
      </c>
      <c r="H1241" s="2" t="s">
        <v>1310</v>
      </c>
      <c r="I1241" s="72">
        <v>44490</v>
      </c>
      <c r="K1241" s="2" t="s">
        <v>1311</v>
      </c>
    </row>
    <row r="1242" spans="1:11">
      <c r="A1242" s="2" t="s">
        <v>868</v>
      </c>
      <c r="B1242" s="2" t="s">
        <v>43</v>
      </c>
      <c r="C1242" s="2" t="s">
        <v>1309</v>
      </c>
      <c r="D1242" s="40">
        <v>1223000</v>
      </c>
      <c r="E1242" s="2" t="s">
        <v>295</v>
      </c>
      <c r="F1242" s="145">
        <v>2332</v>
      </c>
      <c r="H1242" s="2" t="s">
        <v>1310</v>
      </c>
      <c r="I1242" s="72">
        <v>44493</v>
      </c>
      <c r="K1242" s="2" t="s">
        <v>1311</v>
      </c>
    </row>
    <row r="1243" spans="1:11">
      <c r="A1243" s="2" t="s">
        <v>869</v>
      </c>
      <c r="B1243" s="2" t="s">
        <v>43</v>
      </c>
      <c r="C1243" s="2" t="s">
        <v>1309</v>
      </c>
      <c r="D1243" s="40">
        <v>1226000</v>
      </c>
      <c r="E1243" s="2" t="s">
        <v>295</v>
      </c>
      <c r="F1243" s="145">
        <v>2335</v>
      </c>
      <c r="H1243" s="2" t="s">
        <v>1310</v>
      </c>
      <c r="I1243" s="72">
        <v>44496</v>
      </c>
      <c r="K1243" s="2" t="s">
        <v>1311</v>
      </c>
    </row>
    <row r="1244" spans="1:11">
      <c r="A1244" s="2" t="s">
        <v>870</v>
      </c>
      <c r="B1244" s="2" t="s">
        <v>43</v>
      </c>
      <c r="C1244" s="2" t="s">
        <v>1309</v>
      </c>
      <c r="D1244" s="40">
        <v>1229000</v>
      </c>
      <c r="E1244" s="2" t="s">
        <v>295</v>
      </c>
      <c r="F1244" s="145">
        <v>2338</v>
      </c>
      <c r="H1244" s="2" t="s">
        <v>1310</v>
      </c>
      <c r="I1244" s="72">
        <v>44499</v>
      </c>
      <c r="K1244" s="2" t="s">
        <v>1311</v>
      </c>
    </row>
    <row r="1245" spans="1:11">
      <c r="A1245" s="2" t="s">
        <v>871</v>
      </c>
      <c r="B1245" s="2" t="s">
        <v>43</v>
      </c>
      <c r="C1245" s="2" t="s">
        <v>1309</v>
      </c>
      <c r="D1245" s="40">
        <v>1232000</v>
      </c>
      <c r="E1245" s="2" t="s">
        <v>295</v>
      </c>
      <c r="F1245" s="145">
        <v>2341</v>
      </c>
      <c r="H1245" s="2" t="s">
        <v>1310</v>
      </c>
      <c r="I1245" s="72">
        <v>44502</v>
      </c>
      <c r="K1245" s="2" t="s">
        <v>1311</v>
      </c>
    </row>
    <row r="1246" spans="1:11">
      <c r="A1246" s="2" t="s">
        <v>872</v>
      </c>
      <c r="B1246" s="2" t="s">
        <v>43</v>
      </c>
      <c r="C1246" s="2" t="s">
        <v>1309</v>
      </c>
      <c r="D1246" s="40">
        <v>1235000</v>
      </c>
      <c r="E1246" s="2" t="s">
        <v>295</v>
      </c>
      <c r="F1246" s="145">
        <v>2344</v>
      </c>
      <c r="H1246" s="2" t="s">
        <v>1310</v>
      </c>
      <c r="I1246" s="72">
        <v>44505</v>
      </c>
      <c r="K1246" s="2" t="s">
        <v>1311</v>
      </c>
    </row>
    <row r="1247" spans="1:11">
      <c r="A1247" s="2" t="s">
        <v>873</v>
      </c>
      <c r="B1247" s="2" t="s">
        <v>43</v>
      </c>
      <c r="C1247" s="2" t="s">
        <v>1309</v>
      </c>
      <c r="D1247" s="40">
        <v>1238000</v>
      </c>
      <c r="E1247" s="2" t="s">
        <v>295</v>
      </c>
      <c r="F1247" s="145">
        <v>2347</v>
      </c>
      <c r="H1247" s="2" t="s">
        <v>1310</v>
      </c>
      <c r="I1247" s="72">
        <v>44508</v>
      </c>
      <c r="K1247" s="2" t="s">
        <v>1311</v>
      </c>
    </row>
    <row r="1248" spans="1:11">
      <c r="A1248" s="2" t="s">
        <v>874</v>
      </c>
      <c r="B1248" s="2" t="s">
        <v>43</v>
      </c>
      <c r="C1248" s="2" t="s">
        <v>1309</v>
      </c>
      <c r="D1248" s="40">
        <v>1241000</v>
      </c>
      <c r="E1248" s="2" t="s">
        <v>295</v>
      </c>
      <c r="F1248" s="145">
        <v>2350</v>
      </c>
      <c r="H1248" s="2" t="s">
        <v>1310</v>
      </c>
      <c r="I1248" s="72">
        <v>44511</v>
      </c>
      <c r="K1248" s="2" t="s">
        <v>1311</v>
      </c>
    </row>
    <row r="1249" spans="1:11">
      <c r="A1249" s="2" t="s">
        <v>875</v>
      </c>
      <c r="B1249" s="2" t="s">
        <v>43</v>
      </c>
      <c r="C1249" s="2" t="s">
        <v>1309</v>
      </c>
      <c r="D1249" s="40">
        <v>1244000</v>
      </c>
      <c r="E1249" s="2" t="s">
        <v>295</v>
      </c>
      <c r="F1249" s="145">
        <v>2353</v>
      </c>
      <c r="H1249" s="2" t="s">
        <v>1310</v>
      </c>
      <c r="I1249" s="72">
        <v>44514</v>
      </c>
      <c r="K1249" s="2" t="s">
        <v>1311</v>
      </c>
    </row>
    <row r="1250" spans="1:11">
      <c r="A1250" s="2" t="s">
        <v>876</v>
      </c>
      <c r="B1250" s="2" t="s">
        <v>43</v>
      </c>
      <c r="C1250" s="2" t="s">
        <v>1309</v>
      </c>
      <c r="D1250" s="40">
        <v>1247000</v>
      </c>
      <c r="E1250" s="2" t="s">
        <v>295</v>
      </c>
      <c r="F1250" s="145">
        <v>2356</v>
      </c>
      <c r="H1250" s="2" t="s">
        <v>1310</v>
      </c>
      <c r="I1250" s="72">
        <v>44517</v>
      </c>
      <c r="K1250" s="2" t="s">
        <v>1311</v>
      </c>
    </row>
    <row r="1251" spans="1:11">
      <c r="A1251" s="2" t="s">
        <v>877</v>
      </c>
      <c r="B1251" s="2" t="s">
        <v>43</v>
      </c>
      <c r="C1251" s="2" t="s">
        <v>1309</v>
      </c>
      <c r="D1251" s="40">
        <v>1250000</v>
      </c>
      <c r="E1251" s="2" t="s">
        <v>295</v>
      </c>
      <c r="F1251" s="145">
        <v>2359</v>
      </c>
      <c r="H1251" s="2" t="s">
        <v>1310</v>
      </c>
      <c r="I1251" s="72">
        <v>44520</v>
      </c>
      <c r="K1251" s="2" t="s">
        <v>1311</v>
      </c>
    </row>
    <row r="1252" spans="1:11">
      <c r="A1252" s="2" t="s">
        <v>878</v>
      </c>
      <c r="B1252" s="2" t="s">
        <v>43</v>
      </c>
      <c r="C1252" s="2" t="s">
        <v>1309</v>
      </c>
      <c r="D1252" s="40">
        <v>1253000</v>
      </c>
      <c r="E1252" s="2" t="s">
        <v>295</v>
      </c>
      <c r="F1252" s="145">
        <v>2362</v>
      </c>
      <c r="H1252" s="2" t="s">
        <v>1310</v>
      </c>
      <c r="I1252" s="72">
        <v>44523</v>
      </c>
      <c r="K1252" s="2" t="s">
        <v>1311</v>
      </c>
    </row>
    <row r="1253" spans="1:11">
      <c r="A1253" s="2" t="s">
        <v>879</v>
      </c>
      <c r="B1253" s="2" t="s">
        <v>43</v>
      </c>
      <c r="C1253" s="2" t="s">
        <v>1309</v>
      </c>
      <c r="D1253" s="40">
        <v>1256000</v>
      </c>
      <c r="E1253" s="2" t="s">
        <v>295</v>
      </c>
      <c r="F1253" s="145">
        <v>2365</v>
      </c>
      <c r="H1253" s="2" t="s">
        <v>1310</v>
      </c>
      <c r="I1253" s="72">
        <v>44526</v>
      </c>
      <c r="K1253" s="2" t="s">
        <v>1311</v>
      </c>
    </row>
    <row r="1254" spans="1:11">
      <c r="A1254" s="2" t="s">
        <v>880</v>
      </c>
      <c r="B1254" s="2" t="s">
        <v>43</v>
      </c>
      <c r="C1254" s="2" t="s">
        <v>1309</v>
      </c>
      <c r="D1254" s="40">
        <v>1259000</v>
      </c>
      <c r="E1254" s="2" t="s">
        <v>295</v>
      </c>
      <c r="F1254" s="145">
        <v>2368</v>
      </c>
      <c r="H1254" s="2" t="s">
        <v>1310</v>
      </c>
      <c r="I1254" s="72">
        <v>44529</v>
      </c>
      <c r="K1254" s="2" t="s">
        <v>1311</v>
      </c>
    </row>
    <row r="1255" spans="1:11">
      <c r="A1255" s="2" t="s">
        <v>881</v>
      </c>
      <c r="B1255" s="2" t="s">
        <v>43</v>
      </c>
      <c r="C1255" s="2" t="s">
        <v>1309</v>
      </c>
      <c r="D1255" s="40">
        <v>1262000</v>
      </c>
      <c r="E1255" s="2" t="s">
        <v>295</v>
      </c>
      <c r="F1255" s="145">
        <v>2371</v>
      </c>
      <c r="H1255" s="2" t="s">
        <v>1310</v>
      </c>
      <c r="I1255" s="72">
        <v>44532</v>
      </c>
      <c r="K1255" s="2" t="s">
        <v>1311</v>
      </c>
    </row>
    <row r="1256" spans="1:11">
      <c r="A1256" s="2" t="s">
        <v>882</v>
      </c>
      <c r="B1256" s="2" t="s">
        <v>43</v>
      </c>
      <c r="C1256" s="2" t="s">
        <v>1309</v>
      </c>
      <c r="D1256" s="40">
        <v>1265000</v>
      </c>
      <c r="E1256" s="2" t="s">
        <v>295</v>
      </c>
      <c r="F1256" s="145">
        <v>2374</v>
      </c>
      <c r="H1256" s="2" t="s">
        <v>1310</v>
      </c>
      <c r="I1256" s="72">
        <v>44535</v>
      </c>
      <c r="K1256" s="2" t="s">
        <v>1311</v>
      </c>
    </row>
    <row r="1257" spans="1:11">
      <c r="A1257" s="2" t="s">
        <v>883</v>
      </c>
      <c r="B1257" s="2" t="s">
        <v>43</v>
      </c>
      <c r="C1257" s="2" t="s">
        <v>1309</v>
      </c>
      <c r="D1257" s="40">
        <v>1268000</v>
      </c>
      <c r="E1257" s="2" t="s">
        <v>295</v>
      </c>
      <c r="F1257" s="145">
        <v>2377</v>
      </c>
      <c r="H1257" s="2" t="s">
        <v>1310</v>
      </c>
      <c r="I1257" s="72">
        <v>44538</v>
      </c>
      <c r="K1257" s="2" t="s">
        <v>1311</v>
      </c>
    </row>
    <row r="1258" spans="1:11">
      <c r="A1258" s="2" t="s">
        <v>884</v>
      </c>
      <c r="B1258" s="2" t="s">
        <v>43</v>
      </c>
      <c r="C1258" s="2" t="s">
        <v>1309</v>
      </c>
      <c r="D1258" s="40">
        <v>1271000</v>
      </c>
      <c r="E1258" s="2" t="s">
        <v>295</v>
      </c>
      <c r="F1258" s="145">
        <v>2380</v>
      </c>
      <c r="H1258" s="2" t="s">
        <v>1310</v>
      </c>
      <c r="I1258" s="72">
        <v>44541</v>
      </c>
      <c r="K1258" s="2" t="s">
        <v>1311</v>
      </c>
    </row>
    <row r="1259" spans="1:11">
      <c r="A1259" s="2" t="s">
        <v>885</v>
      </c>
      <c r="B1259" s="2" t="s">
        <v>43</v>
      </c>
      <c r="C1259" s="2" t="s">
        <v>1309</v>
      </c>
      <c r="D1259" s="40">
        <v>1274000</v>
      </c>
      <c r="E1259" s="2" t="s">
        <v>295</v>
      </c>
      <c r="F1259" s="145">
        <v>2383</v>
      </c>
      <c r="H1259" s="2" t="s">
        <v>1310</v>
      </c>
      <c r="I1259" s="72">
        <v>44544</v>
      </c>
      <c r="K1259" s="2" t="s">
        <v>1311</v>
      </c>
    </row>
    <row r="1260" spans="1:11">
      <c r="A1260" s="2" t="s">
        <v>886</v>
      </c>
      <c r="B1260" s="2" t="s">
        <v>43</v>
      </c>
      <c r="C1260" s="2" t="s">
        <v>1309</v>
      </c>
      <c r="D1260" s="40">
        <v>1277000</v>
      </c>
      <c r="E1260" s="2" t="s">
        <v>295</v>
      </c>
      <c r="F1260" s="145">
        <v>2386</v>
      </c>
      <c r="H1260" s="2" t="s">
        <v>1310</v>
      </c>
      <c r="I1260" s="72">
        <v>44547</v>
      </c>
      <c r="K1260" s="2" t="s">
        <v>1311</v>
      </c>
    </row>
    <row r="1261" spans="1:11">
      <c r="A1261" s="2" t="s">
        <v>887</v>
      </c>
      <c r="B1261" s="2" t="s">
        <v>43</v>
      </c>
      <c r="C1261" s="2" t="s">
        <v>1309</v>
      </c>
      <c r="D1261" s="40">
        <v>1280000</v>
      </c>
      <c r="E1261" s="2" t="s">
        <v>295</v>
      </c>
      <c r="F1261" s="145">
        <v>2389</v>
      </c>
      <c r="H1261" s="2" t="s">
        <v>1310</v>
      </c>
      <c r="I1261" s="72">
        <v>44550</v>
      </c>
      <c r="K1261" s="2" t="s">
        <v>1311</v>
      </c>
    </row>
    <row r="1262" spans="1:11">
      <c r="A1262" s="2" t="s">
        <v>888</v>
      </c>
      <c r="B1262" s="2" t="s">
        <v>43</v>
      </c>
      <c r="C1262" s="2" t="s">
        <v>1309</v>
      </c>
      <c r="D1262" s="40">
        <v>1283000</v>
      </c>
      <c r="E1262" s="2" t="s">
        <v>295</v>
      </c>
      <c r="F1262" s="145">
        <v>2392</v>
      </c>
      <c r="H1262" s="2" t="s">
        <v>1310</v>
      </c>
      <c r="I1262" s="72">
        <v>44553</v>
      </c>
      <c r="K1262" s="2" t="s">
        <v>1311</v>
      </c>
    </row>
    <row r="1263" spans="1:11">
      <c r="A1263" s="2" t="s">
        <v>889</v>
      </c>
      <c r="B1263" s="2" t="s">
        <v>43</v>
      </c>
      <c r="C1263" s="2" t="s">
        <v>1309</v>
      </c>
      <c r="D1263" s="40">
        <v>1286000</v>
      </c>
      <c r="E1263" s="2" t="s">
        <v>295</v>
      </c>
      <c r="F1263" s="145">
        <v>2395</v>
      </c>
      <c r="H1263" s="2" t="s">
        <v>1310</v>
      </c>
      <c r="I1263" s="72">
        <v>44556</v>
      </c>
      <c r="K1263" s="2" t="s">
        <v>1311</v>
      </c>
    </row>
    <row r="1264" spans="1:11">
      <c r="A1264" s="2" t="s">
        <v>890</v>
      </c>
      <c r="B1264" s="2" t="s">
        <v>43</v>
      </c>
      <c r="C1264" s="2" t="s">
        <v>1309</v>
      </c>
      <c r="D1264" s="40">
        <v>1289000</v>
      </c>
      <c r="E1264" s="2" t="s">
        <v>295</v>
      </c>
      <c r="F1264" s="145">
        <v>2398</v>
      </c>
      <c r="H1264" s="2" t="s">
        <v>1310</v>
      </c>
      <c r="I1264" s="72">
        <v>44559</v>
      </c>
      <c r="K1264" s="2" t="s">
        <v>1311</v>
      </c>
    </row>
    <row r="1265" spans="1:11">
      <c r="A1265" s="2" t="s">
        <v>891</v>
      </c>
      <c r="B1265" s="2" t="s">
        <v>43</v>
      </c>
      <c r="C1265" s="2" t="s">
        <v>1309</v>
      </c>
      <c r="D1265" s="40">
        <v>1292000</v>
      </c>
      <c r="E1265" s="2" t="s">
        <v>295</v>
      </c>
      <c r="F1265" s="145">
        <v>2401</v>
      </c>
      <c r="H1265" s="2" t="s">
        <v>1310</v>
      </c>
      <c r="I1265" s="72">
        <v>44562</v>
      </c>
      <c r="K1265" s="2" t="s">
        <v>1311</v>
      </c>
    </row>
    <row r="1266" spans="1:11">
      <c r="A1266" s="2" t="s">
        <v>892</v>
      </c>
      <c r="B1266" s="2" t="s">
        <v>43</v>
      </c>
      <c r="C1266" s="2" t="s">
        <v>1309</v>
      </c>
      <c r="D1266" s="40">
        <v>1295000</v>
      </c>
      <c r="E1266" s="2" t="s">
        <v>295</v>
      </c>
      <c r="F1266" s="145">
        <v>2404</v>
      </c>
      <c r="H1266" s="2" t="s">
        <v>1310</v>
      </c>
      <c r="I1266" s="72">
        <v>44565</v>
      </c>
      <c r="K1266" s="2" t="s">
        <v>1311</v>
      </c>
    </row>
    <row r="1267" spans="1:11">
      <c r="A1267" s="2" t="s">
        <v>893</v>
      </c>
      <c r="B1267" s="2" t="s">
        <v>43</v>
      </c>
      <c r="C1267" s="2" t="s">
        <v>1309</v>
      </c>
      <c r="D1267" s="40">
        <v>1298000</v>
      </c>
      <c r="E1267" s="2" t="s">
        <v>295</v>
      </c>
      <c r="F1267" s="145">
        <v>2407</v>
      </c>
      <c r="H1267" s="2" t="s">
        <v>1310</v>
      </c>
      <c r="I1267" s="72">
        <v>44568</v>
      </c>
      <c r="K1267" s="2" t="s">
        <v>1311</v>
      </c>
    </row>
    <row r="1268" spans="1:11">
      <c r="A1268" s="2" t="s">
        <v>894</v>
      </c>
      <c r="B1268" s="2" t="s">
        <v>43</v>
      </c>
      <c r="C1268" s="2" t="s">
        <v>1309</v>
      </c>
      <c r="D1268" s="40">
        <v>1301000</v>
      </c>
      <c r="E1268" s="2" t="s">
        <v>295</v>
      </c>
      <c r="F1268" s="145">
        <v>2410</v>
      </c>
      <c r="H1268" s="2" t="s">
        <v>1310</v>
      </c>
      <c r="I1268" s="72">
        <v>44571</v>
      </c>
      <c r="K1268" s="2" t="s">
        <v>1311</v>
      </c>
    </row>
    <row r="1269" spans="1:11">
      <c r="A1269" s="2" t="s">
        <v>895</v>
      </c>
      <c r="B1269" s="2" t="s">
        <v>43</v>
      </c>
      <c r="C1269" s="2" t="s">
        <v>1309</v>
      </c>
      <c r="D1269" s="40">
        <v>1304000</v>
      </c>
      <c r="E1269" s="2" t="s">
        <v>295</v>
      </c>
      <c r="F1269" s="145">
        <v>2413</v>
      </c>
      <c r="H1269" s="2" t="s">
        <v>1310</v>
      </c>
      <c r="I1269" s="72">
        <v>44574</v>
      </c>
      <c r="K1269" s="2" t="s">
        <v>1311</v>
      </c>
    </row>
    <row r="1270" spans="1:11">
      <c r="A1270" s="2" t="s">
        <v>896</v>
      </c>
      <c r="B1270" s="2" t="s">
        <v>43</v>
      </c>
      <c r="C1270" s="2" t="s">
        <v>1309</v>
      </c>
      <c r="D1270" s="40">
        <v>1307000</v>
      </c>
      <c r="E1270" s="2" t="s">
        <v>295</v>
      </c>
      <c r="F1270" s="145">
        <v>2416</v>
      </c>
      <c r="H1270" s="2" t="s">
        <v>1310</v>
      </c>
      <c r="I1270" s="72">
        <v>44577</v>
      </c>
      <c r="K1270" s="2" t="s">
        <v>1311</v>
      </c>
    </row>
    <row r="1271" spans="1:11">
      <c r="A1271" s="2" t="s">
        <v>897</v>
      </c>
      <c r="B1271" s="2" t="s">
        <v>43</v>
      </c>
      <c r="C1271" s="2" t="s">
        <v>1309</v>
      </c>
      <c r="D1271" s="40">
        <v>1310000</v>
      </c>
      <c r="E1271" s="2" t="s">
        <v>295</v>
      </c>
      <c r="F1271" s="145">
        <v>2419</v>
      </c>
      <c r="H1271" s="2" t="s">
        <v>1310</v>
      </c>
      <c r="I1271" s="72">
        <v>44580</v>
      </c>
      <c r="K1271" s="2" t="s">
        <v>1311</v>
      </c>
    </row>
    <row r="1272" spans="1:11">
      <c r="A1272" s="2" t="s">
        <v>898</v>
      </c>
      <c r="B1272" s="2" t="s">
        <v>43</v>
      </c>
      <c r="C1272" s="2" t="s">
        <v>1309</v>
      </c>
      <c r="D1272" s="40">
        <v>1313000</v>
      </c>
      <c r="E1272" s="2" t="s">
        <v>295</v>
      </c>
      <c r="F1272" s="145">
        <v>2422</v>
      </c>
      <c r="H1272" s="2" t="s">
        <v>1310</v>
      </c>
      <c r="I1272" s="72">
        <v>44583</v>
      </c>
      <c r="K1272" s="2" t="s">
        <v>1311</v>
      </c>
    </row>
    <row r="1273" spans="1:11">
      <c r="A1273" s="2" t="s">
        <v>899</v>
      </c>
      <c r="B1273" s="2" t="s">
        <v>43</v>
      </c>
      <c r="C1273" s="2" t="s">
        <v>1309</v>
      </c>
      <c r="D1273" s="40">
        <v>1316000</v>
      </c>
      <c r="E1273" s="2" t="s">
        <v>295</v>
      </c>
      <c r="F1273" s="145">
        <v>2425</v>
      </c>
      <c r="H1273" s="2" t="s">
        <v>1310</v>
      </c>
      <c r="I1273" s="72">
        <v>44586</v>
      </c>
      <c r="K1273" s="2" t="s">
        <v>1311</v>
      </c>
    </row>
    <row r="1274" spans="1:11">
      <c r="A1274" s="2" t="s">
        <v>900</v>
      </c>
      <c r="B1274" s="2" t="s">
        <v>43</v>
      </c>
      <c r="C1274" s="2" t="s">
        <v>1309</v>
      </c>
      <c r="D1274" s="40">
        <v>1319000</v>
      </c>
      <c r="E1274" s="2" t="s">
        <v>295</v>
      </c>
      <c r="F1274" s="145">
        <v>2428</v>
      </c>
      <c r="H1274" s="2" t="s">
        <v>1310</v>
      </c>
      <c r="I1274" s="72">
        <v>44589</v>
      </c>
      <c r="K1274" s="2" t="s">
        <v>1311</v>
      </c>
    </row>
    <row r="1275" spans="1:11">
      <c r="A1275" s="2" t="s">
        <v>901</v>
      </c>
      <c r="B1275" s="2" t="s">
        <v>43</v>
      </c>
      <c r="C1275" s="2" t="s">
        <v>1309</v>
      </c>
      <c r="D1275" s="40">
        <v>1322000</v>
      </c>
      <c r="E1275" s="2" t="s">
        <v>295</v>
      </c>
      <c r="F1275" s="145">
        <v>2431</v>
      </c>
      <c r="H1275" s="2" t="s">
        <v>1310</v>
      </c>
      <c r="I1275" s="72">
        <v>44592</v>
      </c>
      <c r="K1275" s="2" t="s">
        <v>1311</v>
      </c>
    </row>
    <row r="1276" spans="1:11">
      <c r="A1276" s="2" t="s">
        <v>902</v>
      </c>
      <c r="B1276" s="2" t="s">
        <v>43</v>
      </c>
      <c r="C1276" s="2" t="s">
        <v>1309</v>
      </c>
      <c r="D1276" s="40">
        <v>1325000</v>
      </c>
      <c r="E1276" s="2" t="s">
        <v>295</v>
      </c>
      <c r="F1276" s="145">
        <v>2434</v>
      </c>
      <c r="H1276" s="2" t="s">
        <v>1310</v>
      </c>
      <c r="I1276" s="72">
        <v>44595</v>
      </c>
      <c r="K1276" s="2" t="s">
        <v>1311</v>
      </c>
    </row>
    <row r="1277" spans="1:11">
      <c r="A1277" s="2" t="s">
        <v>903</v>
      </c>
      <c r="B1277" s="2" t="s">
        <v>43</v>
      </c>
      <c r="C1277" s="2" t="s">
        <v>1309</v>
      </c>
      <c r="D1277" s="40">
        <v>1328000</v>
      </c>
      <c r="E1277" s="2" t="s">
        <v>295</v>
      </c>
      <c r="F1277" s="145">
        <v>2437</v>
      </c>
      <c r="H1277" s="2" t="s">
        <v>1310</v>
      </c>
      <c r="I1277" s="72">
        <v>44598</v>
      </c>
      <c r="K1277" s="2" t="s">
        <v>1311</v>
      </c>
    </row>
    <row r="1278" spans="1:11">
      <c r="A1278" s="2" t="s">
        <v>904</v>
      </c>
      <c r="B1278" s="2" t="s">
        <v>43</v>
      </c>
      <c r="C1278" s="2" t="s">
        <v>1309</v>
      </c>
      <c r="D1278" s="40">
        <v>1331000</v>
      </c>
      <c r="E1278" s="2" t="s">
        <v>295</v>
      </c>
      <c r="F1278" s="145">
        <v>2440</v>
      </c>
      <c r="H1278" s="2" t="s">
        <v>1310</v>
      </c>
      <c r="I1278" s="72">
        <v>44601</v>
      </c>
      <c r="K1278" s="2" t="s">
        <v>1311</v>
      </c>
    </row>
    <row r="1279" spans="1:11">
      <c r="A1279" s="2" t="s">
        <v>905</v>
      </c>
      <c r="B1279" s="2" t="s">
        <v>43</v>
      </c>
      <c r="C1279" s="2" t="s">
        <v>1309</v>
      </c>
      <c r="D1279" s="40">
        <v>1334000</v>
      </c>
      <c r="E1279" s="2" t="s">
        <v>295</v>
      </c>
      <c r="F1279" s="145">
        <v>2443</v>
      </c>
      <c r="H1279" s="2" t="s">
        <v>1310</v>
      </c>
      <c r="I1279" s="72">
        <v>44604</v>
      </c>
      <c r="K1279" s="2" t="s">
        <v>1311</v>
      </c>
    </row>
    <row r="1280" spans="1:11">
      <c r="A1280" s="2" t="s">
        <v>906</v>
      </c>
      <c r="B1280" s="2" t="s">
        <v>43</v>
      </c>
      <c r="C1280" s="2" t="s">
        <v>1309</v>
      </c>
      <c r="D1280" s="40">
        <v>1337000</v>
      </c>
      <c r="E1280" s="2" t="s">
        <v>295</v>
      </c>
      <c r="F1280" s="145">
        <v>2446</v>
      </c>
      <c r="H1280" s="2" t="s">
        <v>1310</v>
      </c>
      <c r="I1280" s="72">
        <v>44607</v>
      </c>
      <c r="K1280" s="2" t="s">
        <v>1311</v>
      </c>
    </row>
    <row r="1281" spans="1:11">
      <c r="A1281" s="2" t="s">
        <v>907</v>
      </c>
      <c r="B1281" s="2" t="s">
        <v>43</v>
      </c>
      <c r="C1281" s="2" t="s">
        <v>1309</v>
      </c>
      <c r="D1281" s="40">
        <v>1340000</v>
      </c>
      <c r="E1281" s="2" t="s">
        <v>295</v>
      </c>
      <c r="F1281" s="145">
        <v>2449</v>
      </c>
      <c r="H1281" s="2" t="s">
        <v>1310</v>
      </c>
      <c r="I1281" s="72">
        <v>44610</v>
      </c>
      <c r="K1281" s="2" t="s">
        <v>1311</v>
      </c>
    </row>
    <row r="1282" spans="1:11">
      <c r="A1282" s="2" t="s">
        <v>908</v>
      </c>
      <c r="B1282" s="2" t="s">
        <v>43</v>
      </c>
      <c r="C1282" s="2" t="s">
        <v>1309</v>
      </c>
      <c r="D1282" s="40">
        <v>1343000</v>
      </c>
      <c r="E1282" s="2" t="s">
        <v>295</v>
      </c>
      <c r="F1282" s="145">
        <v>2452</v>
      </c>
      <c r="H1282" s="2" t="s">
        <v>1310</v>
      </c>
      <c r="I1282" s="72">
        <v>44613</v>
      </c>
      <c r="K1282" s="2" t="s">
        <v>1311</v>
      </c>
    </row>
    <row r="1283" spans="1:11">
      <c r="A1283" s="2" t="s">
        <v>909</v>
      </c>
      <c r="B1283" s="2" t="s">
        <v>43</v>
      </c>
      <c r="C1283" s="2" t="s">
        <v>1309</v>
      </c>
      <c r="D1283" s="40">
        <v>1346000</v>
      </c>
      <c r="E1283" s="2" t="s">
        <v>295</v>
      </c>
      <c r="F1283" s="145">
        <v>2455</v>
      </c>
      <c r="H1283" s="2" t="s">
        <v>1310</v>
      </c>
      <c r="I1283" s="72">
        <v>44616</v>
      </c>
      <c r="K1283" s="2" t="s">
        <v>1311</v>
      </c>
    </row>
    <row r="1284" spans="1:11">
      <c r="A1284" s="2" t="s">
        <v>910</v>
      </c>
      <c r="B1284" s="2" t="s">
        <v>43</v>
      </c>
      <c r="C1284" s="2" t="s">
        <v>1309</v>
      </c>
      <c r="D1284" s="40">
        <v>1349000</v>
      </c>
      <c r="E1284" s="2" t="s">
        <v>295</v>
      </c>
      <c r="F1284" s="145">
        <v>2458</v>
      </c>
      <c r="H1284" s="2" t="s">
        <v>1310</v>
      </c>
      <c r="I1284" s="72">
        <v>44619</v>
      </c>
      <c r="K1284" s="2" t="s">
        <v>1311</v>
      </c>
    </row>
    <row r="1285" spans="1:11">
      <c r="A1285" s="2" t="s">
        <v>911</v>
      </c>
      <c r="B1285" s="2" t="s">
        <v>43</v>
      </c>
      <c r="C1285" s="2" t="s">
        <v>1309</v>
      </c>
      <c r="D1285" s="40">
        <v>1352000</v>
      </c>
      <c r="E1285" s="2" t="s">
        <v>295</v>
      </c>
      <c r="F1285" s="145">
        <v>2461</v>
      </c>
      <c r="H1285" s="2" t="s">
        <v>1310</v>
      </c>
      <c r="I1285" s="72">
        <v>44622</v>
      </c>
      <c r="K1285" s="2" t="s">
        <v>1311</v>
      </c>
    </row>
    <row r="1286" spans="1:11">
      <c r="A1286" s="2" t="s">
        <v>912</v>
      </c>
      <c r="B1286" s="2" t="s">
        <v>43</v>
      </c>
      <c r="C1286" s="2" t="s">
        <v>1309</v>
      </c>
      <c r="D1286" s="40">
        <v>1355000</v>
      </c>
      <c r="E1286" s="2" t="s">
        <v>295</v>
      </c>
      <c r="F1286" s="145">
        <v>2464</v>
      </c>
      <c r="H1286" s="2" t="s">
        <v>1310</v>
      </c>
      <c r="I1286" s="72">
        <v>44625</v>
      </c>
      <c r="K1286" s="2" t="s">
        <v>1311</v>
      </c>
    </row>
    <row r="1287" spans="1:11">
      <c r="A1287" s="2" t="s">
        <v>913</v>
      </c>
      <c r="B1287" s="2" t="s">
        <v>43</v>
      </c>
      <c r="C1287" s="2" t="s">
        <v>1309</v>
      </c>
      <c r="D1287" s="40">
        <v>1358000</v>
      </c>
      <c r="E1287" s="2" t="s">
        <v>295</v>
      </c>
      <c r="F1287" s="145">
        <v>2467</v>
      </c>
      <c r="H1287" s="2" t="s">
        <v>1310</v>
      </c>
      <c r="I1287" s="72">
        <v>44628</v>
      </c>
      <c r="K1287" s="2" t="s">
        <v>1311</v>
      </c>
    </row>
    <row r="1288" spans="1:11">
      <c r="A1288" s="2" t="s">
        <v>914</v>
      </c>
      <c r="B1288" s="2" t="s">
        <v>43</v>
      </c>
      <c r="C1288" s="2" t="s">
        <v>1309</v>
      </c>
      <c r="D1288" s="40">
        <v>1361000</v>
      </c>
      <c r="E1288" s="2" t="s">
        <v>295</v>
      </c>
      <c r="F1288" s="145">
        <v>2470</v>
      </c>
      <c r="H1288" s="2" t="s">
        <v>1310</v>
      </c>
      <c r="I1288" s="72">
        <v>44631</v>
      </c>
      <c r="K1288" s="2" t="s">
        <v>1311</v>
      </c>
    </row>
    <row r="1289" spans="1:11">
      <c r="A1289" s="2" t="s">
        <v>915</v>
      </c>
      <c r="B1289" s="2" t="s">
        <v>43</v>
      </c>
      <c r="C1289" s="2" t="s">
        <v>1309</v>
      </c>
      <c r="D1289" s="40">
        <v>1364000</v>
      </c>
      <c r="E1289" s="2" t="s">
        <v>295</v>
      </c>
      <c r="F1289" s="145">
        <v>2473</v>
      </c>
      <c r="H1289" s="2" t="s">
        <v>1310</v>
      </c>
      <c r="I1289" s="72">
        <v>44634</v>
      </c>
      <c r="K1289" s="2" t="s">
        <v>1311</v>
      </c>
    </row>
    <row r="1290" spans="1:11">
      <c r="A1290" s="2" t="s">
        <v>916</v>
      </c>
      <c r="B1290" s="2" t="s">
        <v>43</v>
      </c>
      <c r="C1290" s="2" t="s">
        <v>1309</v>
      </c>
      <c r="D1290" s="40">
        <v>1367000</v>
      </c>
      <c r="E1290" s="2" t="s">
        <v>295</v>
      </c>
      <c r="F1290" s="145">
        <v>2476</v>
      </c>
      <c r="H1290" s="2" t="s">
        <v>1310</v>
      </c>
      <c r="I1290" s="72">
        <v>44637</v>
      </c>
      <c r="K1290" s="2" t="s">
        <v>1311</v>
      </c>
    </row>
    <row r="1291" spans="1:11">
      <c r="A1291" s="2" t="s">
        <v>917</v>
      </c>
      <c r="B1291" s="2" t="s">
        <v>43</v>
      </c>
      <c r="C1291" s="2" t="s">
        <v>1309</v>
      </c>
      <c r="D1291" s="40">
        <v>1370000</v>
      </c>
      <c r="E1291" s="2" t="s">
        <v>295</v>
      </c>
      <c r="F1291" s="145">
        <v>2479</v>
      </c>
      <c r="H1291" s="2" t="s">
        <v>1310</v>
      </c>
      <c r="I1291" s="72">
        <v>44640</v>
      </c>
      <c r="K1291" s="2" t="s">
        <v>1311</v>
      </c>
    </row>
    <row r="1292" spans="1:11">
      <c r="A1292" s="2" t="s">
        <v>918</v>
      </c>
      <c r="B1292" s="2" t="s">
        <v>43</v>
      </c>
      <c r="C1292" s="2" t="s">
        <v>1309</v>
      </c>
      <c r="D1292" s="40">
        <v>1373000</v>
      </c>
      <c r="E1292" s="2" t="s">
        <v>295</v>
      </c>
      <c r="F1292" s="145">
        <v>2482</v>
      </c>
      <c r="H1292" s="2" t="s">
        <v>1310</v>
      </c>
      <c r="I1292" s="72">
        <v>44643</v>
      </c>
      <c r="K1292" s="2" t="s">
        <v>1311</v>
      </c>
    </row>
    <row r="1293" spans="1:11">
      <c r="A1293" s="2" t="s">
        <v>919</v>
      </c>
      <c r="B1293" s="2" t="s">
        <v>43</v>
      </c>
      <c r="C1293" s="2" t="s">
        <v>1309</v>
      </c>
      <c r="D1293" s="40">
        <v>1376000</v>
      </c>
      <c r="E1293" s="2" t="s">
        <v>295</v>
      </c>
      <c r="F1293" s="145">
        <v>2485</v>
      </c>
      <c r="H1293" s="2" t="s">
        <v>1310</v>
      </c>
      <c r="I1293" s="72">
        <v>44646</v>
      </c>
      <c r="K1293" s="2" t="s">
        <v>1311</v>
      </c>
    </row>
    <row r="1294" spans="1:11">
      <c r="A1294" s="2" t="s">
        <v>920</v>
      </c>
      <c r="B1294" s="2" t="s">
        <v>43</v>
      </c>
      <c r="C1294" s="2" t="s">
        <v>1309</v>
      </c>
      <c r="D1294" s="40">
        <v>1379000</v>
      </c>
      <c r="E1294" s="2" t="s">
        <v>295</v>
      </c>
      <c r="F1294" s="145">
        <v>2488</v>
      </c>
      <c r="H1294" s="2" t="s">
        <v>1310</v>
      </c>
      <c r="I1294" s="72">
        <v>44649</v>
      </c>
      <c r="K1294" s="2" t="s">
        <v>1311</v>
      </c>
    </row>
    <row r="1295" spans="1:11">
      <c r="A1295" s="2" t="s">
        <v>921</v>
      </c>
      <c r="B1295" s="2" t="s">
        <v>43</v>
      </c>
      <c r="C1295" s="2" t="s">
        <v>1309</v>
      </c>
      <c r="D1295" s="40">
        <v>1382000</v>
      </c>
      <c r="E1295" s="2" t="s">
        <v>295</v>
      </c>
      <c r="F1295" s="145">
        <v>2491</v>
      </c>
      <c r="H1295" s="2" t="s">
        <v>1310</v>
      </c>
      <c r="I1295" s="72">
        <v>44652</v>
      </c>
      <c r="K1295" s="2" t="s">
        <v>1311</v>
      </c>
    </row>
    <row r="1296" spans="1:11">
      <c r="A1296" s="2" t="s">
        <v>922</v>
      </c>
      <c r="B1296" s="2" t="s">
        <v>43</v>
      </c>
      <c r="C1296" s="2" t="s">
        <v>1309</v>
      </c>
      <c r="D1296" s="40">
        <v>1385000</v>
      </c>
      <c r="E1296" s="2" t="s">
        <v>295</v>
      </c>
      <c r="F1296" s="145">
        <v>2494</v>
      </c>
      <c r="H1296" s="2" t="s">
        <v>1310</v>
      </c>
      <c r="I1296" s="72">
        <v>44655</v>
      </c>
      <c r="K1296" s="2" t="s">
        <v>1311</v>
      </c>
    </row>
    <row r="1297" spans="1:11">
      <c r="A1297" s="2" t="s">
        <v>923</v>
      </c>
      <c r="B1297" s="2" t="s">
        <v>43</v>
      </c>
      <c r="C1297" s="2" t="s">
        <v>1309</v>
      </c>
      <c r="D1297" s="40">
        <v>1388000</v>
      </c>
      <c r="E1297" s="2" t="s">
        <v>295</v>
      </c>
      <c r="F1297" s="145">
        <v>2497</v>
      </c>
      <c r="H1297" s="2" t="s">
        <v>1310</v>
      </c>
      <c r="I1297" s="72">
        <v>44658</v>
      </c>
      <c r="K1297" s="2" t="s">
        <v>1311</v>
      </c>
    </row>
    <row r="1298" spans="1:11">
      <c r="A1298" s="2" t="s">
        <v>924</v>
      </c>
      <c r="B1298" s="2" t="s">
        <v>43</v>
      </c>
      <c r="C1298" s="2" t="s">
        <v>1309</v>
      </c>
      <c r="D1298" s="40">
        <v>1391000</v>
      </c>
      <c r="E1298" s="2" t="s">
        <v>295</v>
      </c>
      <c r="F1298" s="145">
        <v>2500</v>
      </c>
      <c r="H1298" s="2" t="s">
        <v>1310</v>
      </c>
      <c r="I1298" s="72">
        <v>44661</v>
      </c>
      <c r="K1298" s="2" t="s">
        <v>1311</v>
      </c>
    </row>
    <row r="1299" spans="1:11">
      <c r="A1299" s="2" t="s">
        <v>925</v>
      </c>
      <c r="B1299" s="2" t="s">
        <v>43</v>
      </c>
      <c r="C1299" s="2" t="s">
        <v>1309</v>
      </c>
      <c r="D1299" s="40">
        <v>1394000</v>
      </c>
      <c r="E1299" s="2" t="s">
        <v>295</v>
      </c>
      <c r="F1299" s="145">
        <v>2503</v>
      </c>
      <c r="H1299" s="2" t="s">
        <v>1310</v>
      </c>
      <c r="I1299" s="72">
        <v>44664</v>
      </c>
      <c r="K1299" s="2" t="s">
        <v>1311</v>
      </c>
    </row>
    <row r="1300" spans="1:11">
      <c r="A1300" s="2" t="s">
        <v>926</v>
      </c>
      <c r="B1300" s="2" t="s">
        <v>43</v>
      </c>
      <c r="C1300" s="2" t="s">
        <v>1309</v>
      </c>
      <c r="D1300" s="40">
        <v>1397000</v>
      </c>
      <c r="E1300" s="2" t="s">
        <v>295</v>
      </c>
      <c r="F1300" s="145">
        <v>2506</v>
      </c>
      <c r="H1300" s="2" t="s">
        <v>1310</v>
      </c>
      <c r="I1300" s="72">
        <v>44667</v>
      </c>
      <c r="K1300" s="2" t="s">
        <v>1311</v>
      </c>
    </row>
    <row r="1301" spans="1:11">
      <c r="A1301" s="2" t="s">
        <v>927</v>
      </c>
      <c r="B1301" s="2" t="s">
        <v>43</v>
      </c>
      <c r="C1301" s="2" t="s">
        <v>1309</v>
      </c>
      <c r="D1301" s="40">
        <v>1400000</v>
      </c>
      <c r="E1301" s="2" t="s">
        <v>295</v>
      </c>
      <c r="F1301" s="145">
        <v>2509</v>
      </c>
      <c r="H1301" s="2" t="s">
        <v>1310</v>
      </c>
      <c r="I1301" s="72">
        <v>44670</v>
      </c>
      <c r="K1301" s="2" t="s">
        <v>1311</v>
      </c>
    </row>
    <row r="1302" spans="1:11">
      <c r="A1302" s="2" t="s">
        <v>928</v>
      </c>
      <c r="B1302" s="2" t="s">
        <v>43</v>
      </c>
      <c r="C1302" s="2" t="s">
        <v>1309</v>
      </c>
      <c r="D1302" s="40">
        <v>1403000</v>
      </c>
      <c r="E1302" s="2" t="s">
        <v>295</v>
      </c>
      <c r="F1302" s="145">
        <v>2512</v>
      </c>
      <c r="H1302" s="2" t="s">
        <v>1310</v>
      </c>
      <c r="I1302" s="72">
        <v>44673</v>
      </c>
      <c r="K1302" s="2" t="s">
        <v>1311</v>
      </c>
    </row>
    <row r="1303" spans="1:11">
      <c r="A1303" s="2" t="s">
        <v>929</v>
      </c>
      <c r="B1303" s="2" t="s">
        <v>43</v>
      </c>
      <c r="C1303" s="2" t="s">
        <v>1309</v>
      </c>
      <c r="D1303" s="40">
        <v>1406000</v>
      </c>
      <c r="E1303" s="2" t="s">
        <v>295</v>
      </c>
      <c r="F1303" s="145">
        <v>2515</v>
      </c>
      <c r="H1303" s="2" t="s">
        <v>1310</v>
      </c>
      <c r="I1303" s="72">
        <v>44676</v>
      </c>
      <c r="K1303" s="2" t="s">
        <v>1311</v>
      </c>
    </row>
    <row r="1304" spans="1:11">
      <c r="A1304" s="2" t="s">
        <v>930</v>
      </c>
      <c r="B1304" s="2" t="s">
        <v>43</v>
      </c>
      <c r="C1304" s="2" t="s">
        <v>1309</v>
      </c>
      <c r="D1304" s="40">
        <v>1409000</v>
      </c>
      <c r="E1304" s="2" t="s">
        <v>295</v>
      </c>
      <c r="F1304" s="145">
        <v>2518</v>
      </c>
      <c r="H1304" s="2" t="s">
        <v>1310</v>
      </c>
      <c r="I1304" s="72">
        <v>44679</v>
      </c>
      <c r="K1304" s="2" t="s">
        <v>1311</v>
      </c>
    </row>
    <row r="1305" spans="1:11">
      <c r="A1305" s="2" t="s">
        <v>931</v>
      </c>
      <c r="B1305" s="2" t="s">
        <v>43</v>
      </c>
      <c r="C1305" s="2" t="s">
        <v>1309</v>
      </c>
      <c r="D1305" s="40">
        <v>1412000</v>
      </c>
      <c r="E1305" s="2" t="s">
        <v>295</v>
      </c>
      <c r="F1305" s="145">
        <v>2521</v>
      </c>
      <c r="H1305" s="2" t="s">
        <v>1310</v>
      </c>
      <c r="I1305" s="72">
        <v>44682</v>
      </c>
      <c r="K1305" s="2" t="s">
        <v>1311</v>
      </c>
    </row>
    <row r="1306" spans="1:11">
      <c r="A1306" s="2" t="s">
        <v>932</v>
      </c>
      <c r="B1306" s="2" t="s">
        <v>43</v>
      </c>
      <c r="C1306" s="2" t="s">
        <v>1309</v>
      </c>
      <c r="D1306" s="40">
        <v>1415000</v>
      </c>
      <c r="E1306" s="2" t="s">
        <v>295</v>
      </c>
      <c r="F1306" s="145">
        <v>2524</v>
      </c>
      <c r="H1306" s="2" t="s">
        <v>1310</v>
      </c>
      <c r="I1306" s="72">
        <v>44685</v>
      </c>
      <c r="K1306" s="2" t="s">
        <v>1311</v>
      </c>
    </row>
    <row r="1307" spans="1:11">
      <c r="A1307" s="2" t="s">
        <v>933</v>
      </c>
      <c r="B1307" s="2" t="s">
        <v>43</v>
      </c>
      <c r="C1307" s="2" t="s">
        <v>1309</v>
      </c>
      <c r="D1307" s="40">
        <v>1418000</v>
      </c>
      <c r="E1307" s="2" t="s">
        <v>295</v>
      </c>
      <c r="F1307" s="145">
        <v>2527</v>
      </c>
      <c r="H1307" s="2" t="s">
        <v>1310</v>
      </c>
      <c r="I1307" s="72">
        <v>44688</v>
      </c>
      <c r="K1307" s="2" t="s">
        <v>1311</v>
      </c>
    </row>
    <row r="1308" spans="1:11">
      <c r="A1308" s="2" t="s">
        <v>934</v>
      </c>
      <c r="B1308" s="2" t="s">
        <v>43</v>
      </c>
      <c r="C1308" s="2" t="s">
        <v>1309</v>
      </c>
      <c r="D1308" s="40">
        <v>1421000</v>
      </c>
      <c r="E1308" s="2" t="s">
        <v>295</v>
      </c>
      <c r="F1308" s="145">
        <v>2530</v>
      </c>
      <c r="H1308" s="2" t="s">
        <v>1310</v>
      </c>
      <c r="I1308" s="72">
        <v>44691</v>
      </c>
      <c r="K1308" s="2" t="s">
        <v>1311</v>
      </c>
    </row>
    <row r="1309" spans="1:11">
      <c r="A1309" s="2" t="s">
        <v>935</v>
      </c>
      <c r="B1309" s="2" t="s">
        <v>43</v>
      </c>
      <c r="C1309" s="2" t="s">
        <v>1309</v>
      </c>
      <c r="D1309" s="40">
        <v>1424000</v>
      </c>
      <c r="E1309" s="2" t="s">
        <v>295</v>
      </c>
      <c r="F1309" s="145">
        <v>2533</v>
      </c>
      <c r="H1309" s="2" t="s">
        <v>1310</v>
      </c>
      <c r="I1309" s="72">
        <v>44694</v>
      </c>
      <c r="K1309" s="2" t="s">
        <v>1311</v>
      </c>
    </row>
    <row r="1310" spans="1:11">
      <c r="A1310" s="2" t="s">
        <v>936</v>
      </c>
      <c r="B1310" s="2" t="s">
        <v>43</v>
      </c>
      <c r="C1310" s="2" t="s">
        <v>1309</v>
      </c>
      <c r="D1310" s="40">
        <v>1427000</v>
      </c>
      <c r="E1310" s="2" t="s">
        <v>295</v>
      </c>
      <c r="F1310" s="145">
        <v>2536</v>
      </c>
      <c r="H1310" s="2" t="s">
        <v>1310</v>
      </c>
      <c r="I1310" s="72">
        <v>44697</v>
      </c>
      <c r="K1310" s="2" t="s">
        <v>1311</v>
      </c>
    </row>
    <row r="1311" spans="1:11">
      <c r="A1311" s="2" t="s">
        <v>937</v>
      </c>
      <c r="B1311" s="2" t="s">
        <v>43</v>
      </c>
      <c r="C1311" s="2" t="s">
        <v>1309</v>
      </c>
      <c r="D1311" s="40">
        <v>1430000</v>
      </c>
      <c r="E1311" s="2" t="s">
        <v>295</v>
      </c>
      <c r="F1311" s="145">
        <v>2539</v>
      </c>
      <c r="H1311" s="2" t="s">
        <v>1310</v>
      </c>
      <c r="I1311" s="72">
        <v>44700</v>
      </c>
      <c r="K1311" s="2" t="s">
        <v>1311</v>
      </c>
    </row>
    <row r="1312" spans="1:11">
      <c r="A1312" s="2" t="s">
        <v>938</v>
      </c>
      <c r="B1312" s="2" t="s">
        <v>43</v>
      </c>
      <c r="C1312" s="2" t="s">
        <v>1309</v>
      </c>
      <c r="D1312" s="40">
        <v>1433000</v>
      </c>
      <c r="E1312" s="2" t="s">
        <v>295</v>
      </c>
      <c r="F1312" s="145">
        <v>2542</v>
      </c>
      <c r="H1312" s="2" t="s">
        <v>1310</v>
      </c>
      <c r="I1312" s="72">
        <v>44703</v>
      </c>
      <c r="K1312" s="2" t="s">
        <v>1311</v>
      </c>
    </row>
    <row r="1313" spans="1:11">
      <c r="A1313" s="2" t="s">
        <v>939</v>
      </c>
      <c r="B1313" s="2" t="s">
        <v>43</v>
      </c>
      <c r="C1313" s="2" t="s">
        <v>1309</v>
      </c>
      <c r="D1313" s="40">
        <v>1436000</v>
      </c>
      <c r="E1313" s="2" t="s">
        <v>295</v>
      </c>
      <c r="F1313" s="145">
        <v>2545</v>
      </c>
      <c r="H1313" s="2" t="s">
        <v>1310</v>
      </c>
      <c r="I1313" s="72">
        <v>44706</v>
      </c>
      <c r="K1313" s="2" t="s">
        <v>1311</v>
      </c>
    </row>
    <row r="1314" spans="1:11">
      <c r="A1314" s="2" t="s">
        <v>940</v>
      </c>
      <c r="B1314" s="2" t="s">
        <v>43</v>
      </c>
      <c r="C1314" s="2" t="s">
        <v>1309</v>
      </c>
      <c r="D1314" s="40">
        <v>1439000</v>
      </c>
      <c r="E1314" s="2" t="s">
        <v>295</v>
      </c>
      <c r="F1314" s="145">
        <v>2548</v>
      </c>
      <c r="H1314" s="2" t="s">
        <v>1310</v>
      </c>
      <c r="I1314" s="72">
        <v>44709</v>
      </c>
      <c r="K1314" s="2" t="s">
        <v>1311</v>
      </c>
    </row>
    <row r="1315" spans="1:11">
      <c r="A1315" s="2" t="s">
        <v>941</v>
      </c>
      <c r="B1315" s="2" t="s">
        <v>43</v>
      </c>
      <c r="C1315" s="2" t="s">
        <v>1309</v>
      </c>
      <c r="D1315" s="40">
        <v>1442000</v>
      </c>
      <c r="E1315" s="2" t="s">
        <v>295</v>
      </c>
      <c r="F1315" s="145">
        <v>2551</v>
      </c>
      <c r="H1315" s="2" t="s">
        <v>1310</v>
      </c>
      <c r="I1315" s="72">
        <v>44712</v>
      </c>
      <c r="K1315" s="2" t="s">
        <v>1311</v>
      </c>
    </row>
    <row r="1316" spans="1:11">
      <c r="A1316" s="2" t="s">
        <v>942</v>
      </c>
      <c r="B1316" s="2" t="s">
        <v>43</v>
      </c>
      <c r="C1316" s="2" t="s">
        <v>1309</v>
      </c>
      <c r="D1316" s="40">
        <v>1445000</v>
      </c>
      <c r="E1316" s="2" t="s">
        <v>295</v>
      </c>
      <c r="F1316" s="145">
        <v>2554</v>
      </c>
      <c r="H1316" s="2" t="s">
        <v>1310</v>
      </c>
      <c r="I1316" s="72">
        <v>44715</v>
      </c>
      <c r="K1316" s="2" t="s">
        <v>1311</v>
      </c>
    </row>
    <row r="1317" spans="1:11">
      <c r="A1317" s="2" t="s">
        <v>943</v>
      </c>
      <c r="B1317" s="2" t="s">
        <v>43</v>
      </c>
      <c r="C1317" s="2" t="s">
        <v>1309</v>
      </c>
      <c r="D1317" s="40">
        <v>1448000</v>
      </c>
      <c r="E1317" s="2" t="s">
        <v>295</v>
      </c>
      <c r="F1317" s="145">
        <v>2557</v>
      </c>
      <c r="H1317" s="2" t="s">
        <v>1310</v>
      </c>
      <c r="I1317" s="72">
        <v>44718</v>
      </c>
      <c r="K1317" s="2" t="s">
        <v>1311</v>
      </c>
    </row>
    <row r="1318" spans="1:11">
      <c r="A1318" s="2" t="s">
        <v>944</v>
      </c>
      <c r="B1318" s="2" t="s">
        <v>43</v>
      </c>
      <c r="C1318" s="2" t="s">
        <v>1309</v>
      </c>
      <c r="D1318" s="40">
        <v>1451000</v>
      </c>
      <c r="E1318" s="2" t="s">
        <v>295</v>
      </c>
      <c r="F1318" s="145">
        <v>2560</v>
      </c>
      <c r="H1318" s="2" t="s">
        <v>1310</v>
      </c>
      <c r="I1318" s="72">
        <v>44721</v>
      </c>
      <c r="K1318" s="2" t="s">
        <v>1311</v>
      </c>
    </row>
    <row r="1319" spans="1:11">
      <c r="A1319" s="2" t="s">
        <v>945</v>
      </c>
      <c r="B1319" s="2" t="s">
        <v>43</v>
      </c>
      <c r="C1319" s="2" t="s">
        <v>1309</v>
      </c>
      <c r="D1319" s="40">
        <v>1454000</v>
      </c>
      <c r="E1319" s="2" t="s">
        <v>295</v>
      </c>
      <c r="F1319" s="145">
        <v>2563</v>
      </c>
      <c r="H1319" s="2" t="s">
        <v>1310</v>
      </c>
      <c r="I1319" s="72">
        <v>44724</v>
      </c>
      <c r="K1319" s="2" t="s">
        <v>1311</v>
      </c>
    </row>
    <row r="1320" spans="1:11">
      <c r="A1320" s="2" t="s">
        <v>946</v>
      </c>
      <c r="B1320" s="2" t="s">
        <v>43</v>
      </c>
      <c r="C1320" s="2" t="s">
        <v>1309</v>
      </c>
      <c r="D1320" s="40">
        <v>1457000</v>
      </c>
      <c r="E1320" s="2" t="s">
        <v>295</v>
      </c>
      <c r="F1320" s="145">
        <v>2566</v>
      </c>
      <c r="H1320" s="2" t="s">
        <v>1310</v>
      </c>
      <c r="I1320" s="72">
        <v>44727</v>
      </c>
      <c r="K1320" s="2" t="s">
        <v>1311</v>
      </c>
    </row>
    <row r="1321" spans="1:11">
      <c r="A1321" s="2" t="s">
        <v>947</v>
      </c>
      <c r="B1321" s="2" t="s">
        <v>43</v>
      </c>
      <c r="C1321" s="2" t="s">
        <v>1309</v>
      </c>
      <c r="D1321" s="40">
        <v>1460000</v>
      </c>
      <c r="E1321" s="2" t="s">
        <v>295</v>
      </c>
      <c r="F1321" s="145">
        <v>2569</v>
      </c>
      <c r="H1321" s="2" t="s">
        <v>1310</v>
      </c>
      <c r="I1321" s="72">
        <v>44730</v>
      </c>
      <c r="K1321" s="2" t="s">
        <v>1311</v>
      </c>
    </row>
    <row r="1322" spans="1:11">
      <c r="A1322" s="2" t="s">
        <v>948</v>
      </c>
      <c r="B1322" s="2" t="s">
        <v>43</v>
      </c>
      <c r="C1322" s="2" t="s">
        <v>1309</v>
      </c>
      <c r="D1322" s="40">
        <v>1463000</v>
      </c>
      <c r="E1322" s="2" t="s">
        <v>295</v>
      </c>
      <c r="F1322" s="145">
        <v>2572</v>
      </c>
      <c r="H1322" s="2" t="s">
        <v>1310</v>
      </c>
      <c r="I1322" s="72">
        <v>44733</v>
      </c>
      <c r="K1322" s="2" t="s">
        <v>1311</v>
      </c>
    </row>
    <row r="1323" spans="1:11">
      <c r="A1323" s="2" t="s">
        <v>949</v>
      </c>
      <c r="B1323" s="2" t="s">
        <v>43</v>
      </c>
      <c r="C1323" s="2" t="s">
        <v>1309</v>
      </c>
      <c r="D1323" s="40">
        <v>1466000</v>
      </c>
      <c r="E1323" s="2" t="s">
        <v>295</v>
      </c>
      <c r="F1323" s="145">
        <v>2575</v>
      </c>
      <c r="H1323" s="2" t="s">
        <v>1310</v>
      </c>
      <c r="I1323" s="72">
        <v>44736</v>
      </c>
      <c r="K1323" s="2" t="s">
        <v>1311</v>
      </c>
    </row>
    <row r="1324" spans="1:11">
      <c r="A1324" s="2" t="s">
        <v>950</v>
      </c>
      <c r="B1324" s="2" t="s">
        <v>43</v>
      </c>
      <c r="C1324" s="2" t="s">
        <v>1309</v>
      </c>
      <c r="D1324" s="40">
        <v>1469000</v>
      </c>
      <c r="E1324" s="2" t="s">
        <v>295</v>
      </c>
      <c r="F1324" s="145">
        <v>2578</v>
      </c>
      <c r="H1324" s="2" t="s">
        <v>1310</v>
      </c>
      <c r="I1324" s="72">
        <v>44739</v>
      </c>
      <c r="K1324" s="2" t="s">
        <v>1311</v>
      </c>
    </row>
    <row r="1325" spans="1:11">
      <c r="A1325" s="2" t="s">
        <v>951</v>
      </c>
      <c r="B1325" s="2" t="s">
        <v>43</v>
      </c>
      <c r="C1325" s="2" t="s">
        <v>1309</v>
      </c>
      <c r="D1325" s="40">
        <v>1472000</v>
      </c>
      <c r="E1325" s="2" t="s">
        <v>295</v>
      </c>
      <c r="F1325" s="145">
        <v>2581</v>
      </c>
      <c r="H1325" s="2" t="s">
        <v>1310</v>
      </c>
      <c r="I1325" s="72">
        <v>44742</v>
      </c>
      <c r="K1325" s="2" t="s">
        <v>1311</v>
      </c>
    </row>
    <row r="1326" spans="1:11">
      <c r="A1326" s="2" t="s">
        <v>952</v>
      </c>
      <c r="B1326" s="2" t="s">
        <v>43</v>
      </c>
      <c r="C1326" s="2" t="s">
        <v>1309</v>
      </c>
      <c r="D1326" s="40">
        <v>1475000</v>
      </c>
      <c r="E1326" s="2" t="s">
        <v>295</v>
      </c>
      <c r="F1326" s="145">
        <v>2584</v>
      </c>
      <c r="H1326" s="2" t="s">
        <v>1310</v>
      </c>
      <c r="I1326" s="72">
        <v>44745</v>
      </c>
      <c r="K1326" s="2" t="s">
        <v>1311</v>
      </c>
    </row>
    <row r="1327" spans="1:11">
      <c r="A1327" s="2" t="s">
        <v>953</v>
      </c>
      <c r="B1327" s="2" t="s">
        <v>43</v>
      </c>
      <c r="C1327" s="2" t="s">
        <v>1309</v>
      </c>
      <c r="D1327" s="40">
        <v>1478000</v>
      </c>
      <c r="E1327" s="2" t="s">
        <v>295</v>
      </c>
      <c r="F1327" s="145">
        <v>2587</v>
      </c>
      <c r="H1327" s="2" t="s">
        <v>1310</v>
      </c>
      <c r="I1327" s="72">
        <v>44748</v>
      </c>
      <c r="K1327" s="2" t="s">
        <v>1311</v>
      </c>
    </row>
    <row r="1328" spans="1:11">
      <c r="A1328" s="2" t="s">
        <v>954</v>
      </c>
      <c r="B1328" s="2" t="s">
        <v>43</v>
      </c>
      <c r="C1328" s="2" t="s">
        <v>1309</v>
      </c>
      <c r="D1328" s="40">
        <v>1481000</v>
      </c>
      <c r="E1328" s="2" t="s">
        <v>295</v>
      </c>
      <c r="F1328" s="145">
        <v>2590</v>
      </c>
      <c r="H1328" s="2" t="s">
        <v>1310</v>
      </c>
      <c r="I1328" s="72">
        <v>44751</v>
      </c>
      <c r="K1328" s="2" t="s">
        <v>1311</v>
      </c>
    </row>
    <row r="1329" spans="1:11">
      <c r="A1329" s="2" t="s">
        <v>955</v>
      </c>
      <c r="B1329" s="2" t="s">
        <v>43</v>
      </c>
      <c r="C1329" s="2" t="s">
        <v>1309</v>
      </c>
      <c r="D1329" s="40">
        <v>1484000</v>
      </c>
      <c r="E1329" s="2" t="s">
        <v>295</v>
      </c>
      <c r="F1329" s="145">
        <v>2593</v>
      </c>
      <c r="H1329" s="2" t="s">
        <v>1310</v>
      </c>
      <c r="I1329" s="72">
        <v>44754</v>
      </c>
      <c r="K1329" s="2" t="s">
        <v>1311</v>
      </c>
    </row>
    <row r="1330" spans="1:11">
      <c r="A1330" s="2" t="s">
        <v>956</v>
      </c>
      <c r="B1330" s="2" t="s">
        <v>43</v>
      </c>
      <c r="C1330" s="2" t="s">
        <v>1309</v>
      </c>
      <c r="D1330" s="40">
        <v>1487000</v>
      </c>
      <c r="E1330" s="2" t="s">
        <v>295</v>
      </c>
      <c r="F1330" s="145">
        <v>2596</v>
      </c>
      <c r="H1330" s="2" t="s">
        <v>1310</v>
      </c>
      <c r="I1330" s="72">
        <v>44757</v>
      </c>
      <c r="K1330" s="2" t="s">
        <v>1311</v>
      </c>
    </row>
    <row r="1331" spans="1:11">
      <c r="A1331" s="2" t="s">
        <v>957</v>
      </c>
      <c r="B1331" s="2" t="s">
        <v>43</v>
      </c>
      <c r="C1331" s="2" t="s">
        <v>1309</v>
      </c>
      <c r="D1331" s="40">
        <v>1490000</v>
      </c>
      <c r="E1331" s="2" t="s">
        <v>295</v>
      </c>
      <c r="F1331" s="145">
        <v>2599</v>
      </c>
      <c r="H1331" s="2" t="s">
        <v>1310</v>
      </c>
      <c r="I1331" s="72">
        <v>44760</v>
      </c>
      <c r="K1331" s="2" t="s">
        <v>1311</v>
      </c>
    </row>
    <row r="1332" spans="1:11">
      <c r="A1332" s="2" t="s">
        <v>958</v>
      </c>
      <c r="B1332" s="2" t="s">
        <v>43</v>
      </c>
      <c r="C1332" s="2" t="s">
        <v>1309</v>
      </c>
      <c r="D1332" s="40">
        <v>1493000</v>
      </c>
      <c r="E1332" s="2" t="s">
        <v>295</v>
      </c>
      <c r="F1332" s="145">
        <v>2602</v>
      </c>
      <c r="H1332" s="2" t="s">
        <v>1310</v>
      </c>
      <c r="I1332" s="72">
        <v>44763</v>
      </c>
      <c r="K1332" s="2" t="s">
        <v>1311</v>
      </c>
    </row>
    <row r="1333" spans="1:11">
      <c r="A1333" s="2" t="s">
        <v>959</v>
      </c>
      <c r="B1333" s="2" t="s">
        <v>43</v>
      </c>
      <c r="C1333" s="2" t="s">
        <v>1309</v>
      </c>
      <c r="D1333" s="40">
        <v>1496000</v>
      </c>
      <c r="E1333" s="2" t="s">
        <v>295</v>
      </c>
      <c r="F1333" s="145">
        <v>2605</v>
      </c>
      <c r="H1333" s="2" t="s">
        <v>1310</v>
      </c>
      <c r="I1333" s="72">
        <v>44766</v>
      </c>
      <c r="K1333" s="2" t="s">
        <v>1311</v>
      </c>
    </row>
    <row r="1334" spans="1:11">
      <c r="A1334" s="2" t="s">
        <v>960</v>
      </c>
      <c r="B1334" s="2" t="s">
        <v>43</v>
      </c>
      <c r="C1334" s="2" t="s">
        <v>1309</v>
      </c>
      <c r="D1334" s="40">
        <v>1499000</v>
      </c>
      <c r="E1334" s="2" t="s">
        <v>295</v>
      </c>
      <c r="F1334" s="145">
        <v>2608</v>
      </c>
      <c r="H1334" s="2" t="s">
        <v>1310</v>
      </c>
      <c r="I1334" s="72">
        <v>44769</v>
      </c>
      <c r="K1334" s="2" t="s">
        <v>1311</v>
      </c>
    </row>
    <row r="1335" spans="1:11">
      <c r="A1335" s="2" t="s">
        <v>961</v>
      </c>
      <c r="B1335" s="2" t="s">
        <v>43</v>
      </c>
      <c r="C1335" s="2" t="s">
        <v>1309</v>
      </c>
      <c r="D1335" s="40">
        <v>1502000</v>
      </c>
      <c r="E1335" s="2" t="s">
        <v>295</v>
      </c>
      <c r="F1335" s="145">
        <v>2611</v>
      </c>
      <c r="H1335" s="2" t="s">
        <v>1310</v>
      </c>
      <c r="I1335" s="72">
        <v>44772</v>
      </c>
      <c r="K1335" s="2" t="s">
        <v>1311</v>
      </c>
    </row>
    <row r="1336" spans="1:11">
      <c r="A1336" s="2" t="s">
        <v>962</v>
      </c>
      <c r="B1336" s="2" t="s">
        <v>43</v>
      </c>
      <c r="C1336" s="2" t="s">
        <v>1309</v>
      </c>
      <c r="D1336" s="40">
        <v>1505000</v>
      </c>
      <c r="E1336" s="2" t="s">
        <v>295</v>
      </c>
      <c r="F1336" s="145">
        <v>2614</v>
      </c>
      <c r="H1336" s="2" t="s">
        <v>1310</v>
      </c>
      <c r="I1336" s="72">
        <v>44775</v>
      </c>
      <c r="K1336" s="2" t="s">
        <v>1311</v>
      </c>
    </row>
    <row r="1337" spans="1:11">
      <c r="A1337" s="2" t="s">
        <v>963</v>
      </c>
      <c r="B1337" s="2" t="s">
        <v>43</v>
      </c>
      <c r="C1337" s="2" t="s">
        <v>1309</v>
      </c>
      <c r="D1337" s="40">
        <v>1508000</v>
      </c>
      <c r="E1337" s="2" t="s">
        <v>295</v>
      </c>
      <c r="F1337" s="145">
        <v>2617</v>
      </c>
      <c r="H1337" s="2" t="s">
        <v>1310</v>
      </c>
      <c r="I1337" s="72">
        <v>44778</v>
      </c>
      <c r="K1337" s="2" t="s">
        <v>1311</v>
      </c>
    </row>
    <row r="1338" spans="1:11">
      <c r="A1338" s="2" t="s">
        <v>964</v>
      </c>
      <c r="B1338" s="2" t="s">
        <v>43</v>
      </c>
      <c r="C1338" s="2" t="s">
        <v>1309</v>
      </c>
      <c r="D1338" s="40">
        <v>1511000</v>
      </c>
      <c r="E1338" s="2" t="s">
        <v>295</v>
      </c>
      <c r="F1338" s="145">
        <v>2620</v>
      </c>
      <c r="H1338" s="2" t="s">
        <v>1310</v>
      </c>
      <c r="I1338" s="72">
        <v>44781</v>
      </c>
      <c r="K1338" s="2" t="s">
        <v>1311</v>
      </c>
    </row>
    <row r="1339" spans="1:11">
      <c r="A1339" s="2" t="s">
        <v>965</v>
      </c>
      <c r="B1339" s="2" t="s">
        <v>43</v>
      </c>
      <c r="C1339" s="2" t="s">
        <v>1309</v>
      </c>
      <c r="D1339" s="40">
        <v>1514000</v>
      </c>
      <c r="E1339" s="2" t="s">
        <v>295</v>
      </c>
      <c r="F1339" s="145">
        <v>2623</v>
      </c>
      <c r="H1339" s="2" t="s">
        <v>1310</v>
      </c>
      <c r="I1339" s="72">
        <v>44784</v>
      </c>
      <c r="K1339" s="2" t="s">
        <v>1311</v>
      </c>
    </row>
    <row r="1340" spans="1:11">
      <c r="A1340" s="2" t="s">
        <v>966</v>
      </c>
      <c r="B1340" s="2" t="s">
        <v>43</v>
      </c>
      <c r="C1340" s="2" t="s">
        <v>1309</v>
      </c>
      <c r="D1340" s="40">
        <v>1517000</v>
      </c>
      <c r="E1340" s="2" t="s">
        <v>295</v>
      </c>
      <c r="F1340" s="145">
        <v>2626</v>
      </c>
      <c r="H1340" s="2" t="s">
        <v>1310</v>
      </c>
      <c r="I1340" s="72">
        <v>44787</v>
      </c>
      <c r="K1340" s="2" t="s">
        <v>1311</v>
      </c>
    </row>
    <row r="1341" spans="1:11">
      <c r="A1341" s="2" t="s">
        <v>967</v>
      </c>
      <c r="B1341" s="2" t="s">
        <v>43</v>
      </c>
      <c r="C1341" s="2" t="s">
        <v>1309</v>
      </c>
      <c r="D1341" s="40">
        <v>1520000</v>
      </c>
      <c r="E1341" s="2" t="s">
        <v>295</v>
      </c>
      <c r="F1341" s="145">
        <v>2629</v>
      </c>
      <c r="H1341" s="2" t="s">
        <v>1310</v>
      </c>
      <c r="I1341" s="72">
        <v>44790</v>
      </c>
      <c r="K1341" s="2" t="s">
        <v>1311</v>
      </c>
    </row>
    <row r="1342" spans="1:11">
      <c r="A1342" s="2" t="s">
        <v>968</v>
      </c>
      <c r="B1342" s="2" t="s">
        <v>43</v>
      </c>
      <c r="C1342" s="2" t="s">
        <v>1309</v>
      </c>
      <c r="D1342" s="40">
        <v>1523000</v>
      </c>
      <c r="E1342" s="2" t="s">
        <v>295</v>
      </c>
      <c r="F1342" s="145">
        <v>2632</v>
      </c>
      <c r="H1342" s="2" t="s">
        <v>1310</v>
      </c>
      <c r="I1342" s="72">
        <v>44793</v>
      </c>
      <c r="K1342" s="2" t="s">
        <v>1311</v>
      </c>
    </row>
    <row r="1343" spans="1:11">
      <c r="A1343" s="2" t="s">
        <v>969</v>
      </c>
      <c r="B1343" s="2" t="s">
        <v>43</v>
      </c>
      <c r="C1343" s="2" t="s">
        <v>1309</v>
      </c>
      <c r="D1343" s="40">
        <v>1526000</v>
      </c>
      <c r="E1343" s="2" t="s">
        <v>295</v>
      </c>
      <c r="F1343" s="145">
        <v>2635</v>
      </c>
      <c r="H1343" s="2" t="s">
        <v>1310</v>
      </c>
      <c r="I1343" s="72">
        <v>44796</v>
      </c>
      <c r="K1343" s="2" t="s">
        <v>1311</v>
      </c>
    </row>
    <row r="1344" spans="1:11">
      <c r="A1344" s="2" t="s">
        <v>970</v>
      </c>
      <c r="B1344" s="2" t="s">
        <v>43</v>
      </c>
      <c r="C1344" s="2" t="s">
        <v>1309</v>
      </c>
      <c r="D1344" s="40">
        <v>1529000</v>
      </c>
      <c r="E1344" s="2" t="s">
        <v>295</v>
      </c>
      <c r="F1344" s="145">
        <v>2638</v>
      </c>
      <c r="H1344" s="2" t="s">
        <v>1310</v>
      </c>
      <c r="I1344" s="72">
        <v>44799</v>
      </c>
      <c r="K1344" s="2" t="s">
        <v>1311</v>
      </c>
    </row>
    <row r="1345" spans="1:11">
      <c r="A1345" s="2" t="s">
        <v>971</v>
      </c>
      <c r="B1345" s="2" t="s">
        <v>43</v>
      </c>
      <c r="C1345" s="2" t="s">
        <v>1309</v>
      </c>
      <c r="D1345" s="40">
        <v>1532000</v>
      </c>
      <c r="E1345" s="2" t="s">
        <v>295</v>
      </c>
      <c r="F1345" s="145">
        <v>2641</v>
      </c>
      <c r="H1345" s="2" t="s">
        <v>1310</v>
      </c>
      <c r="I1345" s="72">
        <v>44802</v>
      </c>
      <c r="K1345" s="2" t="s">
        <v>1311</v>
      </c>
    </row>
    <row r="1346" spans="1:11">
      <c r="A1346" s="2" t="s">
        <v>972</v>
      </c>
      <c r="B1346" s="2" t="s">
        <v>43</v>
      </c>
      <c r="C1346" s="2" t="s">
        <v>1309</v>
      </c>
      <c r="D1346" s="40">
        <v>1535000</v>
      </c>
      <c r="E1346" s="2" t="s">
        <v>295</v>
      </c>
      <c r="F1346" s="145">
        <v>2644</v>
      </c>
      <c r="H1346" s="2" t="s">
        <v>1310</v>
      </c>
      <c r="I1346" s="72">
        <v>44805</v>
      </c>
      <c r="K1346" s="2" t="s">
        <v>1311</v>
      </c>
    </row>
    <row r="1347" spans="1:11">
      <c r="A1347" s="2" t="s">
        <v>973</v>
      </c>
      <c r="B1347" s="2" t="s">
        <v>43</v>
      </c>
      <c r="C1347" s="2" t="s">
        <v>1309</v>
      </c>
      <c r="D1347" s="40">
        <v>1538000</v>
      </c>
      <c r="E1347" s="2" t="s">
        <v>295</v>
      </c>
      <c r="F1347" s="145">
        <v>2647</v>
      </c>
      <c r="H1347" s="2" t="s">
        <v>1310</v>
      </c>
      <c r="I1347" s="72">
        <v>44808</v>
      </c>
      <c r="K1347" s="2" t="s">
        <v>1311</v>
      </c>
    </row>
    <row r="1348" spans="1:11">
      <c r="A1348" s="2" t="s">
        <v>974</v>
      </c>
      <c r="B1348" s="2" t="s">
        <v>43</v>
      </c>
      <c r="C1348" s="2" t="s">
        <v>1309</v>
      </c>
      <c r="D1348" s="40">
        <v>1541000</v>
      </c>
      <c r="E1348" s="2" t="s">
        <v>295</v>
      </c>
      <c r="F1348" s="145">
        <v>2650</v>
      </c>
      <c r="H1348" s="2" t="s">
        <v>1310</v>
      </c>
      <c r="I1348" s="72">
        <v>44811</v>
      </c>
      <c r="K1348" s="2" t="s">
        <v>1311</v>
      </c>
    </row>
    <row r="1349" spans="1:11">
      <c r="A1349" s="2" t="s">
        <v>975</v>
      </c>
      <c r="B1349" s="2" t="s">
        <v>43</v>
      </c>
      <c r="C1349" s="2" t="s">
        <v>1309</v>
      </c>
      <c r="D1349" s="40">
        <v>1544000</v>
      </c>
      <c r="E1349" s="2" t="s">
        <v>295</v>
      </c>
      <c r="F1349" s="145">
        <v>2653</v>
      </c>
      <c r="H1349" s="2" t="s">
        <v>1310</v>
      </c>
      <c r="I1349" s="72">
        <v>44814</v>
      </c>
      <c r="K1349" s="2" t="s">
        <v>1311</v>
      </c>
    </row>
    <row r="1350" spans="1:11">
      <c r="A1350" s="2" t="s">
        <v>976</v>
      </c>
      <c r="B1350" s="2" t="s">
        <v>43</v>
      </c>
      <c r="C1350" s="2" t="s">
        <v>1309</v>
      </c>
      <c r="D1350" s="40">
        <v>1547000</v>
      </c>
      <c r="E1350" s="2" t="s">
        <v>295</v>
      </c>
      <c r="F1350" s="145">
        <v>2656</v>
      </c>
      <c r="H1350" s="2" t="s">
        <v>1310</v>
      </c>
      <c r="I1350" s="72">
        <v>44817</v>
      </c>
      <c r="K1350" s="2" t="s">
        <v>1311</v>
      </c>
    </row>
    <row r="1351" spans="1:11">
      <c r="A1351" s="2" t="s">
        <v>977</v>
      </c>
      <c r="B1351" s="2" t="s">
        <v>43</v>
      </c>
      <c r="C1351" s="2" t="s">
        <v>1309</v>
      </c>
      <c r="D1351" s="40">
        <v>1550000</v>
      </c>
      <c r="E1351" s="2" t="s">
        <v>295</v>
      </c>
      <c r="F1351" s="145">
        <v>2659</v>
      </c>
      <c r="H1351" s="2" t="s">
        <v>1310</v>
      </c>
      <c r="I1351" s="72">
        <v>44820</v>
      </c>
      <c r="K1351" s="2" t="s">
        <v>1311</v>
      </c>
    </row>
    <row r="1352" spans="1:11">
      <c r="A1352" s="2" t="s">
        <v>978</v>
      </c>
      <c r="B1352" s="2" t="s">
        <v>43</v>
      </c>
      <c r="C1352" s="2" t="s">
        <v>1309</v>
      </c>
      <c r="D1352" s="40">
        <v>1553000</v>
      </c>
      <c r="E1352" s="2" t="s">
        <v>295</v>
      </c>
      <c r="F1352" s="145">
        <v>2662</v>
      </c>
      <c r="H1352" s="2" t="s">
        <v>1310</v>
      </c>
      <c r="I1352" s="72">
        <v>44823</v>
      </c>
      <c r="K1352" s="2" t="s">
        <v>1311</v>
      </c>
    </row>
    <row r="1353" spans="1:11">
      <c r="A1353" s="2" t="s">
        <v>979</v>
      </c>
      <c r="B1353" s="2" t="s">
        <v>43</v>
      </c>
      <c r="C1353" s="2" t="s">
        <v>1309</v>
      </c>
      <c r="D1353" s="40">
        <v>1556000</v>
      </c>
      <c r="E1353" s="2" t="s">
        <v>295</v>
      </c>
      <c r="F1353" s="145">
        <v>2665</v>
      </c>
      <c r="H1353" s="2" t="s">
        <v>1310</v>
      </c>
      <c r="I1353" s="72">
        <v>44826</v>
      </c>
      <c r="K1353" s="2" t="s">
        <v>1311</v>
      </c>
    </row>
    <row r="1354" spans="1:11">
      <c r="A1354" s="2" t="s">
        <v>980</v>
      </c>
      <c r="B1354" s="2" t="s">
        <v>43</v>
      </c>
      <c r="C1354" s="2" t="s">
        <v>1309</v>
      </c>
      <c r="D1354" s="40">
        <v>1559000</v>
      </c>
      <c r="E1354" s="2" t="s">
        <v>295</v>
      </c>
      <c r="F1354" s="145">
        <v>2668</v>
      </c>
      <c r="H1354" s="2" t="s">
        <v>1310</v>
      </c>
      <c r="I1354" s="72">
        <v>44829</v>
      </c>
      <c r="K1354" s="2" t="s">
        <v>1311</v>
      </c>
    </row>
    <row r="1355" spans="1:11">
      <c r="A1355" s="2" t="s">
        <v>981</v>
      </c>
      <c r="B1355" s="2" t="s">
        <v>43</v>
      </c>
      <c r="C1355" s="2" t="s">
        <v>1309</v>
      </c>
      <c r="D1355" s="40">
        <v>1562000</v>
      </c>
      <c r="E1355" s="2" t="s">
        <v>295</v>
      </c>
      <c r="F1355" s="145">
        <v>2671</v>
      </c>
      <c r="H1355" s="2" t="s">
        <v>1310</v>
      </c>
      <c r="I1355" s="72">
        <v>44832</v>
      </c>
      <c r="K1355" s="2" t="s">
        <v>1311</v>
      </c>
    </row>
    <row r="1356" spans="1:11">
      <c r="A1356" s="2" t="s">
        <v>982</v>
      </c>
      <c r="B1356" s="2" t="s">
        <v>43</v>
      </c>
      <c r="C1356" s="2" t="s">
        <v>1309</v>
      </c>
      <c r="D1356" s="40">
        <v>1565000</v>
      </c>
      <c r="E1356" s="2" t="s">
        <v>295</v>
      </c>
      <c r="F1356" s="145">
        <v>2674</v>
      </c>
      <c r="H1356" s="2" t="s">
        <v>1310</v>
      </c>
      <c r="I1356" s="72">
        <v>44835</v>
      </c>
      <c r="K1356" s="2" t="s">
        <v>1311</v>
      </c>
    </row>
    <row r="1357" spans="1:11">
      <c r="A1357" s="2" t="s">
        <v>983</v>
      </c>
      <c r="B1357" s="2" t="s">
        <v>43</v>
      </c>
      <c r="C1357" s="2" t="s">
        <v>1309</v>
      </c>
      <c r="D1357" s="40">
        <v>1568000</v>
      </c>
      <c r="E1357" s="2" t="s">
        <v>295</v>
      </c>
      <c r="F1357" s="145">
        <v>2677</v>
      </c>
      <c r="H1357" s="2" t="s">
        <v>1310</v>
      </c>
      <c r="I1357" s="72">
        <v>44838</v>
      </c>
      <c r="K1357" s="2" t="s">
        <v>1311</v>
      </c>
    </row>
    <row r="1358" spans="1:11">
      <c r="A1358" s="2" t="s">
        <v>984</v>
      </c>
      <c r="B1358" s="2" t="s">
        <v>43</v>
      </c>
      <c r="C1358" s="2" t="s">
        <v>1309</v>
      </c>
      <c r="D1358" s="40">
        <v>1571000</v>
      </c>
      <c r="E1358" s="2" t="s">
        <v>295</v>
      </c>
      <c r="F1358" s="145">
        <v>2680</v>
      </c>
      <c r="H1358" s="2" t="s">
        <v>1310</v>
      </c>
      <c r="I1358" s="72">
        <v>44841</v>
      </c>
      <c r="K1358" s="2" t="s">
        <v>1311</v>
      </c>
    </row>
    <row r="1359" spans="1:11">
      <c r="A1359" s="2" t="s">
        <v>985</v>
      </c>
      <c r="B1359" s="2" t="s">
        <v>43</v>
      </c>
      <c r="C1359" s="2" t="s">
        <v>1309</v>
      </c>
      <c r="D1359" s="40">
        <v>1574000</v>
      </c>
      <c r="E1359" s="2" t="s">
        <v>295</v>
      </c>
      <c r="F1359" s="145">
        <v>2683</v>
      </c>
      <c r="H1359" s="2" t="s">
        <v>1310</v>
      </c>
      <c r="I1359" s="72">
        <v>44844</v>
      </c>
      <c r="K1359" s="2" t="s">
        <v>1311</v>
      </c>
    </row>
    <row r="1360" spans="1:11">
      <c r="A1360" s="2" t="s">
        <v>986</v>
      </c>
      <c r="B1360" s="2" t="s">
        <v>43</v>
      </c>
      <c r="C1360" s="2" t="s">
        <v>1309</v>
      </c>
      <c r="D1360" s="40">
        <v>1577000</v>
      </c>
      <c r="E1360" s="2" t="s">
        <v>295</v>
      </c>
      <c r="F1360" s="145">
        <v>2686</v>
      </c>
      <c r="H1360" s="2" t="s">
        <v>1310</v>
      </c>
      <c r="I1360" s="72">
        <v>44847</v>
      </c>
      <c r="K1360" s="2" t="s">
        <v>1311</v>
      </c>
    </row>
    <row r="1361" spans="1:11">
      <c r="A1361" s="2" t="s">
        <v>987</v>
      </c>
      <c r="B1361" s="2" t="s">
        <v>43</v>
      </c>
      <c r="C1361" s="2" t="s">
        <v>1309</v>
      </c>
      <c r="D1361" s="40">
        <v>1580000</v>
      </c>
      <c r="E1361" s="2" t="s">
        <v>295</v>
      </c>
      <c r="F1361" s="145">
        <v>2689</v>
      </c>
      <c r="H1361" s="2" t="s">
        <v>1310</v>
      </c>
      <c r="I1361" s="72">
        <v>44850</v>
      </c>
      <c r="K1361" s="2" t="s">
        <v>1311</v>
      </c>
    </row>
    <row r="1362" spans="1:11">
      <c r="A1362" s="2" t="s">
        <v>988</v>
      </c>
      <c r="B1362" s="2" t="s">
        <v>43</v>
      </c>
      <c r="C1362" s="2" t="s">
        <v>1309</v>
      </c>
      <c r="D1362" s="40">
        <v>1583000</v>
      </c>
      <c r="E1362" s="2" t="s">
        <v>295</v>
      </c>
      <c r="F1362" s="145">
        <v>2692</v>
      </c>
      <c r="H1362" s="2" t="s">
        <v>1310</v>
      </c>
      <c r="I1362" s="72">
        <v>44853</v>
      </c>
      <c r="K1362" s="2" t="s">
        <v>1311</v>
      </c>
    </row>
    <row r="1363" spans="1:11">
      <c r="A1363" s="2" t="s">
        <v>989</v>
      </c>
      <c r="B1363" s="2" t="s">
        <v>43</v>
      </c>
      <c r="C1363" s="2" t="s">
        <v>1309</v>
      </c>
      <c r="D1363" s="40">
        <v>1586000</v>
      </c>
      <c r="E1363" s="2" t="s">
        <v>295</v>
      </c>
      <c r="F1363" s="145">
        <v>2695</v>
      </c>
      <c r="H1363" s="2" t="s">
        <v>1310</v>
      </c>
      <c r="I1363" s="72">
        <v>44856</v>
      </c>
      <c r="K1363" s="2" t="s">
        <v>1311</v>
      </c>
    </row>
    <row r="1364" spans="1:11">
      <c r="A1364" s="2" t="s">
        <v>990</v>
      </c>
      <c r="B1364" s="2" t="s">
        <v>43</v>
      </c>
      <c r="C1364" s="2" t="s">
        <v>1309</v>
      </c>
      <c r="D1364" s="40">
        <v>1589000</v>
      </c>
      <c r="E1364" s="2" t="s">
        <v>295</v>
      </c>
      <c r="F1364" s="145">
        <v>2698</v>
      </c>
      <c r="H1364" s="2" t="s">
        <v>1310</v>
      </c>
      <c r="I1364" s="72">
        <v>44859</v>
      </c>
      <c r="K1364" s="2" t="s">
        <v>1311</v>
      </c>
    </row>
    <row r="1365" spans="1:11">
      <c r="A1365" s="2" t="s">
        <v>991</v>
      </c>
      <c r="B1365" s="2" t="s">
        <v>43</v>
      </c>
      <c r="C1365" s="2" t="s">
        <v>1309</v>
      </c>
      <c r="D1365" s="40">
        <v>1592000</v>
      </c>
      <c r="E1365" s="2" t="s">
        <v>295</v>
      </c>
      <c r="F1365" s="145">
        <v>2701</v>
      </c>
      <c r="H1365" s="2" t="s">
        <v>1310</v>
      </c>
      <c r="I1365" s="72">
        <v>44862</v>
      </c>
      <c r="K1365" s="2" t="s">
        <v>1311</v>
      </c>
    </row>
    <row r="1366" spans="1:11">
      <c r="A1366" s="2" t="s">
        <v>992</v>
      </c>
      <c r="B1366" s="2" t="s">
        <v>43</v>
      </c>
      <c r="C1366" s="2" t="s">
        <v>1309</v>
      </c>
      <c r="D1366" s="40">
        <v>1595000</v>
      </c>
      <c r="E1366" s="2" t="s">
        <v>295</v>
      </c>
      <c r="F1366" s="145">
        <v>2704</v>
      </c>
      <c r="H1366" s="2" t="s">
        <v>1310</v>
      </c>
      <c r="I1366" s="72">
        <v>44865</v>
      </c>
      <c r="K1366" s="2" t="s">
        <v>1311</v>
      </c>
    </row>
    <row r="1367" spans="1:11">
      <c r="A1367" s="2" t="s">
        <v>993</v>
      </c>
      <c r="B1367" s="2" t="s">
        <v>43</v>
      </c>
      <c r="C1367" s="2" t="s">
        <v>1309</v>
      </c>
      <c r="D1367" s="40">
        <v>1598000</v>
      </c>
      <c r="E1367" s="2" t="s">
        <v>295</v>
      </c>
      <c r="F1367" s="145">
        <v>2707</v>
      </c>
      <c r="H1367" s="2" t="s">
        <v>1310</v>
      </c>
      <c r="I1367" s="72">
        <v>44868</v>
      </c>
      <c r="K1367" s="2" t="s">
        <v>1311</v>
      </c>
    </row>
    <row r="1368" spans="1:11">
      <c r="A1368" s="2" t="s">
        <v>994</v>
      </c>
      <c r="B1368" s="2" t="s">
        <v>43</v>
      </c>
      <c r="C1368" s="2" t="s">
        <v>1309</v>
      </c>
      <c r="D1368" s="40">
        <v>1601000</v>
      </c>
      <c r="E1368" s="2" t="s">
        <v>295</v>
      </c>
      <c r="F1368" s="145">
        <v>2710</v>
      </c>
      <c r="H1368" s="2" t="s">
        <v>1310</v>
      </c>
      <c r="I1368" s="72">
        <v>44871</v>
      </c>
      <c r="K1368" s="2" t="s">
        <v>1311</v>
      </c>
    </row>
    <row r="1369" spans="1:11">
      <c r="A1369" s="2" t="s">
        <v>995</v>
      </c>
      <c r="B1369" s="2" t="s">
        <v>43</v>
      </c>
      <c r="C1369" s="2" t="s">
        <v>1309</v>
      </c>
      <c r="D1369" s="40">
        <v>1604000</v>
      </c>
      <c r="E1369" s="2" t="s">
        <v>295</v>
      </c>
      <c r="F1369" s="145">
        <v>2713</v>
      </c>
      <c r="H1369" s="2" t="s">
        <v>1310</v>
      </c>
      <c r="I1369" s="72">
        <v>44874</v>
      </c>
      <c r="K1369" s="2" t="s">
        <v>1311</v>
      </c>
    </row>
    <row r="1370" spans="1:11">
      <c r="A1370" s="2" t="s">
        <v>996</v>
      </c>
      <c r="B1370" s="2" t="s">
        <v>43</v>
      </c>
      <c r="C1370" s="2" t="s">
        <v>1309</v>
      </c>
      <c r="D1370" s="40">
        <v>1607000</v>
      </c>
      <c r="E1370" s="2" t="s">
        <v>295</v>
      </c>
      <c r="F1370" s="145">
        <v>2716</v>
      </c>
      <c r="H1370" s="2" t="s">
        <v>1310</v>
      </c>
      <c r="I1370" s="72">
        <v>44877</v>
      </c>
      <c r="K1370" s="2" t="s">
        <v>1311</v>
      </c>
    </row>
    <row r="1371" spans="1:11">
      <c r="A1371" s="2" t="s">
        <v>997</v>
      </c>
      <c r="B1371" s="2" t="s">
        <v>43</v>
      </c>
      <c r="C1371" s="2" t="s">
        <v>1309</v>
      </c>
      <c r="D1371" s="40">
        <v>1610000</v>
      </c>
      <c r="E1371" s="2" t="s">
        <v>295</v>
      </c>
      <c r="F1371" s="145">
        <v>2719</v>
      </c>
      <c r="H1371" s="2" t="s">
        <v>1310</v>
      </c>
      <c r="I1371" s="72">
        <v>44880</v>
      </c>
      <c r="K1371" s="2" t="s">
        <v>1311</v>
      </c>
    </row>
    <row r="1372" spans="1:11">
      <c r="A1372" s="2" t="s">
        <v>998</v>
      </c>
      <c r="B1372" s="2" t="s">
        <v>43</v>
      </c>
      <c r="C1372" s="2" t="s">
        <v>1309</v>
      </c>
      <c r="D1372" s="40">
        <v>1613000</v>
      </c>
      <c r="E1372" s="2" t="s">
        <v>295</v>
      </c>
      <c r="F1372" s="145">
        <v>2722</v>
      </c>
      <c r="H1372" s="2" t="s">
        <v>1310</v>
      </c>
      <c r="I1372" s="72">
        <v>44883</v>
      </c>
      <c r="K1372" s="2" t="s">
        <v>1311</v>
      </c>
    </row>
    <row r="1373" spans="1:11">
      <c r="A1373" s="2" t="s">
        <v>999</v>
      </c>
      <c r="B1373" s="2" t="s">
        <v>43</v>
      </c>
      <c r="C1373" s="2" t="s">
        <v>1309</v>
      </c>
      <c r="D1373" s="40">
        <v>1616000</v>
      </c>
      <c r="E1373" s="2" t="s">
        <v>295</v>
      </c>
      <c r="F1373" s="145">
        <v>2725</v>
      </c>
      <c r="H1373" s="2" t="s">
        <v>1310</v>
      </c>
      <c r="I1373" s="72">
        <v>44886</v>
      </c>
      <c r="K1373" s="2" t="s">
        <v>1311</v>
      </c>
    </row>
    <row r="1374" spans="1:11">
      <c r="A1374" s="2" t="s">
        <v>1000</v>
      </c>
      <c r="B1374" s="2" t="s">
        <v>43</v>
      </c>
      <c r="C1374" s="2" t="s">
        <v>1309</v>
      </c>
      <c r="D1374" s="40">
        <v>1619000</v>
      </c>
      <c r="E1374" s="2" t="s">
        <v>295</v>
      </c>
      <c r="F1374" s="145">
        <v>2728</v>
      </c>
      <c r="H1374" s="2" t="s">
        <v>1310</v>
      </c>
      <c r="I1374" s="72">
        <v>44889</v>
      </c>
      <c r="K1374" s="2" t="s">
        <v>1311</v>
      </c>
    </row>
    <row r="1375" spans="1:11">
      <c r="A1375" s="2" t="s">
        <v>1001</v>
      </c>
      <c r="B1375" s="2" t="s">
        <v>43</v>
      </c>
      <c r="C1375" s="2" t="s">
        <v>1309</v>
      </c>
      <c r="D1375" s="40">
        <v>1622000</v>
      </c>
      <c r="E1375" s="2" t="s">
        <v>295</v>
      </c>
      <c r="F1375" s="145">
        <v>2731</v>
      </c>
      <c r="H1375" s="2" t="s">
        <v>1310</v>
      </c>
      <c r="I1375" s="72">
        <v>44892</v>
      </c>
      <c r="K1375" s="2" t="s">
        <v>1311</v>
      </c>
    </row>
    <row r="1376" spans="1:11">
      <c r="A1376" s="2" t="s">
        <v>1002</v>
      </c>
      <c r="B1376" s="2" t="s">
        <v>43</v>
      </c>
      <c r="C1376" s="2" t="s">
        <v>1309</v>
      </c>
      <c r="D1376" s="40">
        <v>1625000</v>
      </c>
      <c r="E1376" s="2" t="s">
        <v>295</v>
      </c>
      <c r="F1376" s="145">
        <v>2734</v>
      </c>
      <c r="H1376" s="2" t="s">
        <v>1310</v>
      </c>
      <c r="I1376" s="72">
        <v>44895</v>
      </c>
      <c r="K1376" s="2" t="s">
        <v>1311</v>
      </c>
    </row>
    <row r="1377" spans="1:11">
      <c r="A1377" s="2" t="s">
        <v>1003</v>
      </c>
      <c r="B1377" s="2" t="s">
        <v>43</v>
      </c>
      <c r="C1377" s="2" t="s">
        <v>1309</v>
      </c>
      <c r="D1377" s="40">
        <v>1628000</v>
      </c>
      <c r="E1377" s="2" t="s">
        <v>295</v>
      </c>
      <c r="F1377" s="145">
        <v>2737</v>
      </c>
      <c r="H1377" s="2" t="s">
        <v>1310</v>
      </c>
      <c r="I1377" s="72">
        <v>44898</v>
      </c>
      <c r="K1377" s="2" t="s">
        <v>1311</v>
      </c>
    </row>
    <row r="1378" spans="1:11">
      <c r="A1378" s="2" t="s">
        <v>1004</v>
      </c>
      <c r="B1378" s="2" t="s">
        <v>43</v>
      </c>
      <c r="C1378" s="2" t="s">
        <v>1309</v>
      </c>
      <c r="D1378" s="40">
        <v>1631000</v>
      </c>
      <c r="E1378" s="2" t="s">
        <v>295</v>
      </c>
      <c r="F1378" s="145">
        <v>2740</v>
      </c>
      <c r="H1378" s="2" t="s">
        <v>1310</v>
      </c>
      <c r="I1378" s="72">
        <v>44901</v>
      </c>
      <c r="K1378" s="2" t="s">
        <v>1311</v>
      </c>
    </row>
    <row r="1379" spans="1:11">
      <c r="A1379" s="2" t="s">
        <v>1005</v>
      </c>
      <c r="B1379" s="2" t="s">
        <v>43</v>
      </c>
      <c r="C1379" s="2" t="s">
        <v>1309</v>
      </c>
      <c r="D1379" s="40">
        <v>1634000</v>
      </c>
      <c r="E1379" s="2" t="s">
        <v>295</v>
      </c>
      <c r="F1379" s="145">
        <v>2743</v>
      </c>
      <c r="H1379" s="2" t="s">
        <v>1310</v>
      </c>
      <c r="I1379" s="72">
        <v>44904</v>
      </c>
      <c r="K1379" s="2" t="s">
        <v>1311</v>
      </c>
    </row>
    <row r="1380" spans="1:11">
      <c r="A1380" s="2" t="s">
        <v>1006</v>
      </c>
      <c r="B1380" s="2" t="s">
        <v>43</v>
      </c>
      <c r="C1380" s="2" t="s">
        <v>1309</v>
      </c>
      <c r="D1380" s="40">
        <v>1637000</v>
      </c>
      <c r="E1380" s="2" t="s">
        <v>295</v>
      </c>
      <c r="F1380" s="145">
        <v>2746</v>
      </c>
      <c r="H1380" s="2" t="s">
        <v>1310</v>
      </c>
      <c r="I1380" s="72">
        <v>44907</v>
      </c>
      <c r="K1380" s="2" t="s">
        <v>1311</v>
      </c>
    </row>
    <row r="1381" spans="1:11">
      <c r="A1381" s="2" t="s">
        <v>1007</v>
      </c>
      <c r="B1381" s="2" t="s">
        <v>43</v>
      </c>
      <c r="C1381" s="2" t="s">
        <v>1309</v>
      </c>
      <c r="D1381" s="40">
        <v>1640000</v>
      </c>
      <c r="E1381" s="2" t="s">
        <v>295</v>
      </c>
      <c r="F1381" s="145">
        <v>2749</v>
      </c>
      <c r="H1381" s="2" t="s">
        <v>1310</v>
      </c>
      <c r="I1381" s="72">
        <v>44910</v>
      </c>
      <c r="K1381" s="2" t="s">
        <v>1311</v>
      </c>
    </row>
    <row r="1382" spans="1:11">
      <c r="A1382" s="2" t="s">
        <v>1008</v>
      </c>
      <c r="B1382" s="2" t="s">
        <v>43</v>
      </c>
      <c r="C1382" s="2" t="s">
        <v>1309</v>
      </c>
      <c r="D1382" s="40">
        <v>1643000</v>
      </c>
      <c r="E1382" s="2" t="s">
        <v>295</v>
      </c>
      <c r="F1382" s="145">
        <v>2752</v>
      </c>
      <c r="H1382" s="2" t="s">
        <v>1310</v>
      </c>
      <c r="I1382" s="72">
        <v>44913</v>
      </c>
      <c r="K1382" s="2" t="s">
        <v>1311</v>
      </c>
    </row>
    <row r="1383" spans="1:11">
      <c r="A1383" s="2" t="s">
        <v>1009</v>
      </c>
      <c r="B1383" s="2" t="s">
        <v>43</v>
      </c>
      <c r="C1383" s="2" t="s">
        <v>1309</v>
      </c>
      <c r="D1383" s="40">
        <v>1646000</v>
      </c>
      <c r="E1383" s="2" t="s">
        <v>295</v>
      </c>
      <c r="F1383" s="145">
        <v>2755</v>
      </c>
      <c r="H1383" s="2" t="s">
        <v>1310</v>
      </c>
      <c r="I1383" s="72">
        <v>44916</v>
      </c>
      <c r="K1383" s="2" t="s">
        <v>1311</v>
      </c>
    </row>
    <row r="1384" spans="1:11">
      <c r="A1384" s="2" t="s">
        <v>1010</v>
      </c>
      <c r="B1384" s="2" t="s">
        <v>43</v>
      </c>
      <c r="C1384" s="2" t="s">
        <v>1309</v>
      </c>
      <c r="D1384" s="40">
        <v>1649000</v>
      </c>
      <c r="E1384" s="2" t="s">
        <v>295</v>
      </c>
      <c r="F1384" s="145">
        <v>2758</v>
      </c>
      <c r="H1384" s="2" t="s">
        <v>1310</v>
      </c>
      <c r="I1384" s="72">
        <v>44919</v>
      </c>
      <c r="K1384" s="2" t="s">
        <v>1311</v>
      </c>
    </row>
    <row r="1385" spans="1:11">
      <c r="A1385" s="2" t="s">
        <v>1011</v>
      </c>
      <c r="B1385" s="2" t="s">
        <v>43</v>
      </c>
      <c r="C1385" s="2" t="s">
        <v>1309</v>
      </c>
      <c r="D1385" s="40">
        <v>1652000</v>
      </c>
      <c r="E1385" s="2" t="s">
        <v>295</v>
      </c>
      <c r="F1385" s="145">
        <v>2761</v>
      </c>
      <c r="H1385" s="2" t="s">
        <v>1310</v>
      </c>
      <c r="I1385" s="72">
        <v>44922</v>
      </c>
      <c r="K1385" s="2" t="s">
        <v>1311</v>
      </c>
    </row>
    <row r="1386" spans="1:11">
      <c r="A1386" s="2" t="s">
        <v>1012</v>
      </c>
      <c r="B1386" s="2" t="s">
        <v>43</v>
      </c>
      <c r="C1386" s="2" t="s">
        <v>1309</v>
      </c>
      <c r="D1386" s="40">
        <v>1655000</v>
      </c>
      <c r="E1386" s="2" t="s">
        <v>295</v>
      </c>
      <c r="F1386" s="145">
        <v>2764</v>
      </c>
      <c r="H1386" s="2" t="s">
        <v>1310</v>
      </c>
      <c r="I1386" s="72">
        <v>44925</v>
      </c>
      <c r="K1386" s="2" t="s">
        <v>1311</v>
      </c>
    </row>
    <row r="1387" spans="1:11">
      <c r="A1387" s="2" t="s">
        <v>1013</v>
      </c>
      <c r="B1387" s="2" t="s">
        <v>43</v>
      </c>
      <c r="C1387" s="2" t="s">
        <v>1309</v>
      </c>
      <c r="D1387" s="40">
        <v>1658000</v>
      </c>
      <c r="E1387" s="2" t="s">
        <v>295</v>
      </c>
      <c r="F1387" s="145">
        <v>2767</v>
      </c>
      <c r="H1387" s="2" t="s">
        <v>1310</v>
      </c>
      <c r="I1387" s="72">
        <v>44928</v>
      </c>
      <c r="K1387" s="2" t="s">
        <v>1311</v>
      </c>
    </row>
    <row r="1388" spans="1:11">
      <c r="A1388" s="2" t="s">
        <v>1014</v>
      </c>
      <c r="B1388" s="2" t="s">
        <v>43</v>
      </c>
      <c r="C1388" s="2" t="s">
        <v>1309</v>
      </c>
      <c r="D1388" s="40">
        <v>1661000</v>
      </c>
      <c r="E1388" s="2" t="s">
        <v>295</v>
      </c>
      <c r="F1388" s="145">
        <v>2770</v>
      </c>
      <c r="H1388" s="2" t="s">
        <v>1310</v>
      </c>
      <c r="I1388" s="72">
        <v>44931</v>
      </c>
      <c r="K1388" s="2" t="s">
        <v>1311</v>
      </c>
    </row>
    <row r="1389" spans="1:11">
      <c r="A1389" s="2" t="s">
        <v>1015</v>
      </c>
      <c r="B1389" s="2" t="s">
        <v>43</v>
      </c>
      <c r="C1389" s="2" t="s">
        <v>1309</v>
      </c>
      <c r="D1389" s="40">
        <v>1664000</v>
      </c>
      <c r="E1389" s="2" t="s">
        <v>295</v>
      </c>
      <c r="F1389" s="145">
        <v>2773</v>
      </c>
      <c r="H1389" s="2" t="s">
        <v>1310</v>
      </c>
      <c r="I1389" s="72">
        <v>44934</v>
      </c>
      <c r="K1389" s="2" t="s">
        <v>1311</v>
      </c>
    </row>
    <row r="1390" spans="1:11">
      <c r="A1390" s="2" t="s">
        <v>1016</v>
      </c>
      <c r="B1390" s="2" t="s">
        <v>43</v>
      </c>
      <c r="C1390" s="2" t="s">
        <v>1309</v>
      </c>
      <c r="D1390" s="40">
        <v>1667000</v>
      </c>
      <c r="E1390" s="2" t="s">
        <v>295</v>
      </c>
      <c r="F1390" s="145">
        <v>2776</v>
      </c>
      <c r="H1390" s="2" t="s">
        <v>1310</v>
      </c>
      <c r="I1390" s="72">
        <v>44937</v>
      </c>
      <c r="K1390" s="2" t="s">
        <v>1311</v>
      </c>
    </row>
    <row r="1391" spans="1:11">
      <c r="A1391" s="2" t="s">
        <v>1017</v>
      </c>
      <c r="B1391" s="2" t="s">
        <v>43</v>
      </c>
      <c r="C1391" s="2" t="s">
        <v>1309</v>
      </c>
      <c r="D1391" s="40">
        <v>1670000</v>
      </c>
      <c r="E1391" s="2" t="s">
        <v>295</v>
      </c>
      <c r="F1391" s="145">
        <v>2779</v>
      </c>
      <c r="H1391" s="2" t="s">
        <v>1310</v>
      </c>
      <c r="I1391" s="72">
        <v>44940</v>
      </c>
      <c r="K1391" s="2" t="s">
        <v>1311</v>
      </c>
    </row>
    <row r="1392" spans="1:11">
      <c r="A1392" s="2" t="s">
        <v>1018</v>
      </c>
      <c r="B1392" s="2" t="s">
        <v>43</v>
      </c>
      <c r="C1392" s="2" t="s">
        <v>1309</v>
      </c>
      <c r="D1392" s="40">
        <v>1673000</v>
      </c>
      <c r="E1392" s="2" t="s">
        <v>295</v>
      </c>
      <c r="F1392" s="145">
        <v>2782</v>
      </c>
      <c r="H1392" s="2" t="s">
        <v>1310</v>
      </c>
      <c r="I1392" s="72">
        <v>44943</v>
      </c>
      <c r="K1392" s="2" t="s">
        <v>1311</v>
      </c>
    </row>
    <row r="1393" spans="1:11">
      <c r="A1393" s="2" t="s">
        <v>1019</v>
      </c>
      <c r="B1393" s="2" t="s">
        <v>43</v>
      </c>
      <c r="C1393" s="2" t="s">
        <v>1309</v>
      </c>
      <c r="D1393" s="40">
        <v>1676000</v>
      </c>
      <c r="E1393" s="2" t="s">
        <v>295</v>
      </c>
      <c r="F1393" s="145">
        <v>2785</v>
      </c>
      <c r="H1393" s="2" t="s">
        <v>1310</v>
      </c>
      <c r="I1393" s="72">
        <v>44946</v>
      </c>
      <c r="K1393" s="2" t="s">
        <v>1311</v>
      </c>
    </row>
    <row r="1394" spans="1:11">
      <c r="A1394" s="2" t="s">
        <v>1020</v>
      </c>
      <c r="B1394" s="2" t="s">
        <v>43</v>
      </c>
      <c r="C1394" s="2" t="s">
        <v>1309</v>
      </c>
      <c r="D1394" s="40">
        <v>1679000</v>
      </c>
      <c r="E1394" s="2" t="s">
        <v>295</v>
      </c>
      <c r="F1394" s="145">
        <v>2788</v>
      </c>
      <c r="H1394" s="2" t="s">
        <v>1310</v>
      </c>
      <c r="I1394" s="72">
        <v>44949</v>
      </c>
      <c r="K1394" s="2" t="s">
        <v>1311</v>
      </c>
    </row>
    <row r="1395" spans="1:11">
      <c r="A1395" s="2" t="s">
        <v>1021</v>
      </c>
      <c r="B1395" s="2" t="s">
        <v>43</v>
      </c>
      <c r="C1395" s="2" t="s">
        <v>1309</v>
      </c>
      <c r="D1395" s="40">
        <v>1682000</v>
      </c>
      <c r="E1395" s="2" t="s">
        <v>295</v>
      </c>
      <c r="F1395" s="145">
        <v>2791</v>
      </c>
      <c r="H1395" s="2" t="s">
        <v>1310</v>
      </c>
      <c r="I1395" s="72">
        <v>44952</v>
      </c>
      <c r="K1395" s="2" t="s">
        <v>1311</v>
      </c>
    </row>
    <row r="1396" spans="1:11">
      <c r="A1396" s="2" t="s">
        <v>1022</v>
      </c>
      <c r="B1396" s="2" t="s">
        <v>43</v>
      </c>
      <c r="C1396" s="2" t="s">
        <v>1309</v>
      </c>
      <c r="D1396" s="40">
        <v>1685000</v>
      </c>
      <c r="E1396" s="2" t="s">
        <v>295</v>
      </c>
      <c r="F1396" s="145">
        <v>2794</v>
      </c>
      <c r="H1396" s="2" t="s">
        <v>1310</v>
      </c>
      <c r="I1396" s="72">
        <v>44955</v>
      </c>
      <c r="K1396" s="2" t="s">
        <v>1311</v>
      </c>
    </row>
    <row r="1397" spans="1:11">
      <c r="A1397" s="2" t="s">
        <v>1023</v>
      </c>
      <c r="B1397" s="2" t="s">
        <v>43</v>
      </c>
      <c r="C1397" s="2" t="s">
        <v>1309</v>
      </c>
      <c r="D1397" s="40">
        <v>1688000</v>
      </c>
      <c r="E1397" s="2" t="s">
        <v>295</v>
      </c>
      <c r="F1397" s="145">
        <v>2797</v>
      </c>
      <c r="H1397" s="2" t="s">
        <v>1310</v>
      </c>
      <c r="I1397" s="72">
        <v>44958</v>
      </c>
      <c r="K1397" s="2" t="s">
        <v>1311</v>
      </c>
    </row>
    <row r="1398" spans="1:11">
      <c r="A1398" s="2" t="s">
        <v>1024</v>
      </c>
      <c r="B1398" s="2" t="s">
        <v>43</v>
      </c>
      <c r="C1398" s="2" t="s">
        <v>1309</v>
      </c>
      <c r="D1398" s="40">
        <v>1691000</v>
      </c>
      <c r="E1398" s="2" t="s">
        <v>295</v>
      </c>
      <c r="F1398" s="145">
        <v>2800</v>
      </c>
      <c r="H1398" s="2" t="s">
        <v>1310</v>
      </c>
      <c r="I1398" s="72">
        <v>44961</v>
      </c>
      <c r="K1398" s="2" t="s">
        <v>1311</v>
      </c>
    </row>
    <row r="1399" spans="1:11">
      <c r="A1399" s="2" t="s">
        <v>1025</v>
      </c>
      <c r="B1399" s="2" t="s">
        <v>43</v>
      </c>
      <c r="C1399" s="2" t="s">
        <v>1309</v>
      </c>
      <c r="D1399" s="40">
        <v>1694000</v>
      </c>
      <c r="E1399" s="2" t="s">
        <v>295</v>
      </c>
      <c r="F1399" s="145">
        <v>2803</v>
      </c>
      <c r="H1399" s="2" t="s">
        <v>1310</v>
      </c>
      <c r="I1399" s="72">
        <v>44964</v>
      </c>
      <c r="K1399" s="2" t="s">
        <v>1311</v>
      </c>
    </row>
    <row r="1400" spans="1:11">
      <c r="A1400" s="2" t="s">
        <v>1026</v>
      </c>
      <c r="B1400" s="2" t="s">
        <v>43</v>
      </c>
      <c r="C1400" s="2" t="s">
        <v>1309</v>
      </c>
      <c r="D1400" s="40">
        <v>1697000</v>
      </c>
      <c r="E1400" s="2" t="s">
        <v>295</v>
      </c>
      <c r="F1400" s="145">
        <v>2806</v>
      </c>
      <c r="H1400" s="2" t="s">
        <v>1310</v>
      </c>
      <c r="I1400" s="72">
        <v>44967</v>
      </c>
      <c r="K1400" s="2" t="s">
        <v>1311</v>
      </c>
    </row>
    <row r="1401" spans="1:11">
      <c r="A1401" s="2" t="s">
        <v>1027</v>
      </c>
      <c r="B1401" s="2" t="s">
        <v>43</v>
      </c>
      <c r="C1401" s="2" t="s">
        <v>1309</v>
      </c>
      <c r="D1401" s="40">
        <v>1700000</v>
      </c>
      <c r="E1401" s="2" t="s">
        <v>295</v>
      </c>
      <c r="F1401" s="145">
        <v>2809</v>
      </c>
      <c r="H1401" s="2" t="s">
        <v>1310</v>
      </c>
      <c r="I1401" s="72">
        <v>44970</v>
      </c>
      <c r="K1401" s="2" t="s">
        <v>1311</v>
      </c>
    </row>
    <row r="1402" spans="1:11">
      <c r="A1402" s="2" t="s">
        <v>1028</v>
      </c>
      <c r="B1402" s="2" t="s">
        <v>43</v>
      </c>
      <c r="C1402" s="2" t="s">
        <v>1309</v>
      </c>
      <c r="D1402" s="40">
        <v>1703000</v>
      </c>
      <c r="E1402" s="2" t="s">
        <v>295</v>
      </c>
      <c r="F1402" s="145">
        <v>2812</v>
      </c>
      <c r="H1402" s="2" t="s">
        <v>1310</v>
      </c>
      <c r="I1402" s="72">
        <v>44973</v>
      </c>
      <c r="K1402" s="2" t="s">
        <v>1311</v>
      </c>
    </row>
    <row r="1403" spans="1:11">
      <c r="A1403" s="2" t="s">
        <v>1029</v>
      </c>
      <c r="B1403" s="2" t="s">
        <v>43</v>
      </c>
      <c r="C1403" s="2" t="s">
        <v>1309</v>
      </c>
      <c r="D1403" s="40">
        <v>1706000</v>
      </c>
      <c r="E1403" s="2" t="s">
        <v>295</v>
      </c>
      <c r="F1403" s="145">
        <v>2815</v>
      </c>
      <c r="H1403" s="2" t="s">
        <v>1310</v>
      </c>
      <c r="I1403" s="72">
        <v>44976</v>
      </c>
      <c r="K1403" s="2" t="s">
        <v>1311</v>
      </c>
    </row>
    <row r="1404" spans="1:11">
      <c r="A1404" s="2" t="s">
        <v>1030</v>
      </c>
      <c r="B1404" s="2" t="s">
        <v>43</v>
      </c>
      <c r="C1404" s="2" t="s">
        <v>1309</v>
      </c>
      <c r="D1404" s="40">
        <v>1709000</v>
      </c>
      <c r="E1404" s="2" t="s">
        <v>295</v>
      </c>
      <c r="F1404" s="145">
        <v>2818</v>
      </c>
      <c r="H1404" s="2" t="s">
        <v>1310</v>
      </c>
      <c r="I1404" s="72">
        <v>44979</v>
      </c>
      <c r="K1404" s="2" t="s">
        <v>1311</v>
      </c>
    </row>
    <row r="1405" spans="1:11">
      <c r="A1405" s="2" t="s">
        <v>1031</v>
      </c>
      <c r="B1405" s="2" t="s">
        <v>43</v>
      </c>
      <c r="C1405" s="2" t="s">
        <v>1309</v>
      </c>
      <c r="D1405" s="40">
        <v>1712000</v>
      </c>
      <c r="E1405" s="2" t="s">
        <v>295</v>
      </c>
      <c r="F1405" s="145">
        <v>2821</v>
      </c>
      <c r="H1405" s="2" t="s">
        <v>1310</v>
      </c>
      <c r="I1405" s="72">
        <v>44982</v>
      </c>
      <c r="K1405" s="2" t="s">
        <v>1311</v>
      </c>
    </row>
    <row r="1406" spans="1:11">
      <c r="A1406" s="2" t="s">
        <v>1032</v>
      </c>
      <c r="B1406" s="2" t="s">
        <v>43</v>
      </c>
      <c r="C1406" s="2" t="s">
        <v>1309</v>
      </c>
      <c r="D1406" s="40">
        <v>1715000</v>
      </c>
      <c r="E1406" s="2" t="s">
        <v>295</v>
      </c>
      <c r="F1406" s="145">
        <v>2824</v>
      </c>
      <c r="H1406" s="2" t="s">
        <v>1310</v>
      </c>
      <c r="I1406" s="72">
        <v>44985</v>
      </c>
      <c r="K1406" s="2" t="s">
        <v>1311</v>
      </c>
    </row>
    <row r="1407" spans="1:11">
      <c r="A1407" s="2" t="s">
        <v>1033</v>
      </c>
      <c r="B1407" s="2" t="s">
        <v>43</v>
      </c>
      <c r="C1407" s="2" t="s">
        <v>1309</v>
      </c>
      <c r="D1407" s="40">
        <v>1718000</v>
      </c>
      <c r="E1407" s="2" t="s">
        <v>295</v>
      </c>
      <c r="F1407" s="145">
        <v>2827</v>
      </c>
      <c r="H1407" s="2" t="s">
        <v>1310</v>
      </c>
      <c r="I1407" s="72">
        <v>44988</v>
      </c>
      <c r="K1407" s="2" t="s">
        <v>1311</v>
      </c>
    </row>
    <row r="1408" spans="1:11">
      <c r="A1408" s="2" t="s">
        <v>1034</v>
      </c>
      <c r="B1408" s="2" t="s">
        <v>43</v>
      </c>
      <c r="C1408" s="2" t="s">
        <v>1309</v>
      </c>
      <c r="D1408" s="40">
        <v>1721000</v>
      </c>
      <c r="E1408" s="2" t="s">
        <v>295</v>
      </c>
      <c r="F1408" s="145">
        <v>2830</v>
      </c>
      <c r="H1408" s="2" t="s">
        <v>1310</v>
      </c>
      <c r="I1408" s="72">
        <v>44991</v>
      </c>
      <c r="K1408" s="2" t="s">
        <v>1311</v>
      </c>
    </row>
    <row r="1409" spans="1:11">
      <c r="A1409" s="2" t="s">
        <v>1035</v>
      </c>
      <c r="B1409" s="2" t="s">
        <v>43</v>
      </c>
      <c r="C1409" s="2" t="s">
        <v>1309</v>
      </c>
      <c r="D1409" s="40">
        <v>1724000</v>
      </c>
      <c r="E1409" s="2" t="s">
        <v>295</v>
      </c>
      <c r="F1409" s="145">
        <v>2833</v>
      </c>
      <c r="H1409" s="2" t="s">
        <v>1310</v>
      </c>
      <c r="I1409" s="72">
        <v>44994</v>
      </c>
      <c r="K1409" s="2" t="s">
        <v>1311</v>
      </c>
    </row>
    <row r="1410" spans="1:11">
      <c r="A1410" s="2" t="s">
        <v>1036</v>
      </c>
      <c r="B1410" s="2" t="s">
        <v>43</v>
      </c>
      <c r="C1410" s="2" t="s">
        <v>1309</v>
      </c>
      <c r="D1410" s="40">
        <v>1727000</v>
      </c>
      <c r="E1410" s="2" t="s">
        <v>295</v>
      </c>
      <c r="F1410" s="145">
        <v>2836</v>
      </c>
      <c r="H1410" s="2" t="s">
        <v>1310</v>
      </c>
      <c r="I1410" s="72">
        <v>44997</v>
      </c>
      <c r="K1410" s="2" t="s">
        <v>1311</v>
      </c>
    </row>
    <row r="1411" spans="1:11">
      <c r="A1411" s="2" t="s">
        <v>1037</v>
      </c>
      <c r="B1411" s="2" t="s">
        <v>43</v>
      </c>
      <c r="C1411" s="2" t="s">
        <v>1309</v>
      </c>
      <c r="D1411" s="40">
        <v>1730000</v>
      </c>
      <c r="E1411" s="2" t="s">
        <v>295</v>
      </c>
      <c r="F1411" s="145">
        <v>2839</v>
      </c>
      <c r="H1411" s="2" t="s">
        <v>1310</v>
      </c>
      <c r="I1411" s="72">
        <v>45000</v>
      </c>
      <c r="K1411" s="2" t="s">
        <v>1311</v>
      </c>
    </row>
    <row r="1412" spans="1:11">
      <c r="A1412" s="2" t="s">
        <v>1038</v>
      </c>
      <c r="B1412" s="2" t="s">
        <v>43</v>
      </c>
      <c r="C1412" s="2" t="s">
        <v>1309</v>
      </c>
      <c r="D1412" s="40">
        <v>1733000</v>
      </c>
      <c r="E1412" s="2" t="s">
        <v>295</v>
      </c>
      <c r="F1412" s="145">
        <v>2842</v>
      </c>
      <c r="H1412" s="2" t="s">
        <v>1310</v>
      </c>
      <c r="I1412" s="72">
        <v>45003</v>
      </c>
      <c r="K1412" s="2" t="s">
        <v>1311</v>
      </c>
    </row>
    <row r="1413" spans="1:11">
      <c r="A1413" s="2" t="s">
        <v>1039</v>
      </c>
      <c r="B1413" s="2" t="s">
        <v>43</v>
      </c>
      <c r="C1413" s="2" t="s">
        <v>1309</v>
      </c>
      <c r="D1413" s="40">
        <v>1736000</v>
      </c>
      <c r="E1413" s="2" t="s">
        <v>295</v>
      </c>
      <c r="F1413" s="145">
        <v>2845</v>
      </c>
      <c r="H1413" s="2" t="s">
        <v>1310</v>
      </c>
      <c r="I1413" s="72">
        <v>45006</v>
      </c>
      <c r="K1413" s="2" t="s">
        <v>1311</v>
      </c>
    </row>
    <row r="1414" spans="1:11">
      <c r="A1414" s="2" t="s">
        <v>1040</v>
      </c>
      <c r="B1414" s="2" t="s">
        <v>43</v>
      </c>
      <c r="C1414" s="2" t="s">
        <v>1309</v>
      </c>
      <c r="D1414" s="40">
        <v>1739000</v>
      </c>
      <c r="E1414" s="2" t="s">
        <v>295</v>
      </c>
      <c r="F1414" s="145">
        <v>2848</v>
      </c>
      <c r="H1414" s="2" t="s">
        <v>1310</v>
      </c>
      <c r="I1414" s="72">
        <v>45009</v>
      </c>
      <c r="K1414" s="2" t="s">
        <v>1311</v>
      </c>
    </row>
    <row r="1415" spans="1:11">
      <c r="A1415" s="2" t="s">
        <v>1041</v>
      </c>
      <c r="B1415" s="2" t="s">
        <v>43</v>
      </c>
      <c r="C1415" s="2" t="s">
        <v>1309</v>
      </c>
      <c r="D1415" s="40">
        <v>1742000</v>
      </c>
      <c r="E1415" s="2" t="s">
        <v>295</v>
      </c>
      <c r="F1415" s="145">
        <v>2851</v>
      </c>
      <c r="H1415" s="2" t="s">
        <v>1310</v>
      </c>
      <c r="I1415" s="72">
        <v>45012</v>
      </c>
      <c r="K1415" s="2" t="s">
        <v>1311</v>
      </c>
    </row>
    <row r="1416" spans="1:11">
      <c r="A1416" s="2" t="s">
        <v>1042</v>
      </c>
      <c r="B1416" s="2" t="s">
        <v>43</v>
      </c>
      <c r="C1416" s="2" t="s">
        <v>1309</v>
      </c>
      <c r="D1416" s="40">
        <v>1745000</v>
      </c>
      <c r="E1416" s="2" t="s">
        <v>295</v>
      </c>
      <c r="F1416" s="145">
        <v>2854</v>
      </c>
      <c r="H1416" s="2" t="s">
        <v>1310</v>
      </c>
      <c r="I1416" s="72">
        <v>45015</v>
      </c>
      <c r="K1416" s="2" t="s">
        <v>1311</v>
      </c>
    </row>
    <row r="1417" spans="1:11">
      <c r="A1417" s="2" t="s">
        <v>1043</v>
      </c>
      <c r="B1417" s="2" t="s">
        <v>43</v>
      </c>
      <c r="C1417" s="2" t="s">
        <v>1309</v>
      </c>
      <c r="D1417" s="40">
        <v>1748000</v>
      </c>
      <c r="E1417" s="2" t="s">
        <v>295</v>
      </c>
      <c r="F1417" s="145">
        <v>2857</v>
      </c>
      <c r="H1417" s="2" t="s">
        <v>1310</v>
      </c>
      <c r="I1417" s="72">
        <v>45018</v>
      </c>
      <c r="K1417" s="2" t="s">
        <v>1311</v>
      </c>
    </row>
    <row r="1418" spans="1:11">
      <c r="A1418" s="2" t="s">
        <v>1044</v>
      </c>
      <c r="B1418" s="2" t="s">
        <v>43</v>
      </c>
      <c r="C1418" s="2" t="s">
        <v>1309</v>
      </c>
      <c r="D1418" s="40">
        <v>1751000</v>
      </c>
      <c r="E1418" s="2" t="s">
        <v>295</v>
      </c>
      <c r="F1418" s="145">
        <v>2860</v>
      </c>
      <c r="H1418" s="2" t="s">
        <v>1310</v>
      </c>
      <c r="I1418" s="72">
        <v>45021</v>
      </c>
      <c r="K1418" s="2" t="s">
        <v>1311</v>
      </c>
    </row>
    <row r="1419" spans="1:11">
      <c r="A1419" s="2" t="s">
        <v>1045</v>
      </c>
      <c r="B1419" s="2" t="s">
        <v>43</v>
      </c>
      <c r="C1419" s="2" t="s">
        <v>1309</v>
      </c>
      <c r="D1419" s="40">
        <v>1754000</v>
      </c>
      <c r="E1419" s="2" t="s">
        <v>295</v>
      </c>
      <c r="F1419" s="145">
        <v>2863</v>
      </c>
      <c r="H1419" s="2" t="s">
        <v>1310</v>
      </c>
      <c r="I1419" s="72">
        <v>45024</v>
      </c>
      <c r="K1419" s="2" t="s">
        <v>1311</v>
      </c>
    </row>
    <row r="1420" spans="1:11">
      <c r="A1420" s="2" t="s">
        <v>1046</v>
      </c>
      <c r="B1420" s="2" t="s">
        <v>43</v>
      </c>
      <c r="C1420" s="2" t="s">
        <v>1309</v>
      </c>
      <c r="D1420" s="40">
        <v>1757000</v>
      </c>
      <c r="E1420" s="2" t="s">
        <v>295</v>
      </c>
      <c r="F1420" s="145">
        <v>2866</v>
      </c>
      <c r="H1420" s="2" t="s">
        <v>1310</v>
      </c>
      <c r="I1420" s="72">
        <v>45027</v>
      </c>
      <c r="K1420" s="2" t="s">
        <v>1311</v>
      </c>
    </row>
    <row r="1421" spans="1:11">
      <c r="A1421" s="2" t="s">
        <v>1047</v>
      </c>
      <c r="B1421" s="2" t="s">
        <v>43</v>
      </c>
      <c r="C1421" s="2" t="s">
        <v>1309</v>
      </c>
      <c r="D1421" s="40">
        <v>1760000</v>
      </c>
      <c r="E1421" s="2" t="s">
        <v>295</v>
      </c>
      <c r="F1421" s="145">
        <v>2869</v>
      </c>
      <c r="H1421" s="2" t="s">
        <v>1310</v>
      </c>
      <c r="I1421" s="72">
        <v>45030</v>
      </c>
      <c r="K1421" s="2" t="s">
        <v>1311</v>
      </c>
    </row>
    <row r="1422" spans="1:11">
      <c r="A1422" s="2" t="s">
        <v>1048</v>
      </c>
      <c r="B1422" s="2" t="s">
        <v>43</v>
      </c>
      <c r="C1422" s="2" t="s">
        <v>1309</v>
      </c>
      <c r="D1422" s="40">
        <v>1763000</v>
      </c>
      <c r="E1422" s="2" t="s">
        <v>295</v>
      </c>
      <c r="F1422" s="145">
        <v>2872</v>
      </c>
      <c r="H1422" s="2" t="s">
        <v>1310</v>
      </c>
      <c r="I1422" s="72">
        <v>45033</v>
      </c>
      <c r="K1422" s="2" t="s">
        <v>1311</v>
      </c>
    </row>
    <row r="1423" spans="1:11">
      <c r="A1423" s="2" t="s">
        <v>1049</v>
      </c>
      <c r="B1423" s="2" t="s">
        <v>43</v>
      </c>
      <c r="C1423" s="2" t="s">
        <v>1309</v>
      </c>
      <c r="D1423" s="40">
        <v>1766000</v>
      </c>
      <c r="E1423" s="2" t="s">
        <v>295</v>
      </c>
      <c r="F1423" s="145">
        <v>2875</v>
      </c>
      <c r="H1423" s="2" t="s">
        <v>1310</v>
      </c>
      <c r="I1423" s="72">
        <v>45036</v>
      </c>
      <c r="K1423" s="2" t="s">
        <v>1311</v>
      </c>
    </row>
    <row r="1424" spans="1:11">
      <c r="A1424" s="2" t="s">
        <v>1050</v>
      </c>
      <c r="B1424" s="2" t="s">
        <v>43</v>
      </c>
      <c r="C1424" s="2" t="s">
        <v>1309</v>
      </c>
      <c r="D1424" s="40">
        <v>1769000</v>
      </c>
      <c r="E1424" s="2" t="s">
        <v>295</v>
      </c>
      <c r="F1424" s="145">
        <v>2878</v>
      </c>
      <c r="H1424" s="2" t="s">
        <v>1310</v>
      </c>
      <c r="I1424" s="72">
        <v>45039</v>
      </c>
      <c r="K1424" s="2" t="s">
        <v>1311</v>
      </c>
    </row>
    <row r="1425" spans="1:11">
      <c r="A1425" s="2" t="s">
        <v>1051</v>
      </c>
      <c r="B1425" s="2" t="s">
        <v>43</v>
      </c>
      <c r="C1425" s="2" t="s">
        <v>1309</v>
      </c>
      <c r="D1425" s="40">
        <v>1772000</v>
      </c>
      <c r="E1425" s="2" t="s">
        <v>295</v>
      </c>
      <c r="F1425" s="145">
        <v>2881</v>
      </c>
      <c r="H1425" s="2" t="s">
        <v>1310</v>
      </c>
      <c r="I1425" s="72">
        <v>45042</v>
      </c>
      <c r="K1425" s="2" t="s">
        <v>1311</v>
      </c>
    </row>
    <row r="1426" spans="1:11">
      <c r="A1426" s="2" t="s">
        <v>1052</v>
      </c>
      <c r="B1426" s="2" t="s">
        <v>43</v>
      </c>
      <c r="C1426" s="2" t="s">
        <v>1309</v>
      </c>
      <c r="D1426" s="40">
        <v>1775000</v>
      </c>
      <c r="E1426" s="2" t="s">
        <v>295</v>
      </c>
      <c r="F1426" s="145">
        <v>2884</v>
      </c>
      <c r="H1426" s="2" t="s">
        <v>1310</v>
      </c>
      <c r="I1426" s="72">
        <v>45045</v>
      </c>
      <c r="K1426" s="2" t="s">
        <v>1311</v>
      </c>
    </row>
    <row r="1427" spans="1:11">
      <c r="A1427" s="2" t="s">
        <v>1053</v>
      </c>
      <c r="B1427" s="2" t="s">
        <v>43</v>
      </c>
      <c r="C1427" s="2" t="s">
        <v>1309</v>
      </c>
      <c r="D1427" s="40">
        <v>1778000</v>
      </c>
      <c r="E1427" s="2" t="s">
        <v>295</v>
      </c>
      <c r="F1427" s="145">
        <v>2887</v>
      </c>
      <c r="H1427" s="2" t="s">
        <v>1310</v>
      </c>
      <c r="I1427" s="72">
        <v>45048</v>
      </c>
      <c r="K1427" s="2" t="s">
        <v>1311</v>
      </c>
    </row>
    <row r="1428" spans="1:11">
      <c r="A1428" s="2" t="s">
        <v>1054</v>
      </c>
      <c r="B1428" s="2" t="s">
        <v>43</v>
      </c>
      <c r="C1428" s="2" t="s">
        <v>1309</v>
      </c>
      <c r="D1428" s="40">
        <v>1781000</v>
      </c>
      <c r="E1428" s="2" t="s">
        <v>295</v>
      </c>
      <c r="F1428" s="145">
        <v>2890</v>
      </c>
      <c r="H1428" s="2" t="s">
        <v>1310</v>
      </c>
      <c r="I1428" s="72">
        <v>45051</v>
      </c>
      <c r="K1428" s="2" t="s">
        <v>1311</v>
      </c>
    </row>
    <row r="1429" spans="1:11">
      <c r="A1429" s="2" t="s">
        <v>1055</v>
      </c>
      <c r="B1429" s="2" t="s">
        <v>43</v>
      </c>
      <c r="C1429" s="2" t="s">
        <v>1309</v>
      </c>
      <c r="D1429" s="40">
        <v>1784000</v>
      </c>
      <c r="E1429" s="2" t="s">
        <v>295</v>
      </c>
      <c r="F1429" s="145">
        <v>2893</v>
      </c>
      <c r="H1429" s="2" t="s">
        <v>1310</v>
      </c>
      <c r="I1429" s="72">
        <v>45054</v>
      </c>
      <c r="K1429" s="2" t="s">
        <v>1311</v>
      </c>
    </row>
    <row r="1430" spans="1:11">
      <c r="A1430" s="2" t="s">
        <v>1056</v>
      </c>
      <c r="B1430" s="2" t="s">
        <v>43</v>
      </c>
      <c r="C1430" s="2" t="s">
        <v>1309</v>
      </c>
      <c r="D1430" s="40">
        <v>1787000</v>
      </c>
      <c r="E1430" s="2" t="s">
        <v>295</v>
      </c>
      <c r="F1430" s="145">
        <v>2896</v>
      </c>
      <c r="H1430" s="2" t="s">
        <v>1310</v>
      </c>
      <c r="I1430" s="72">
        <v>45057</v>
      </c>
      <c r="K1430" s="2" t="s">
        <v>1311</v>
      </c>
    </row>
    <row r="1431" spans="1:11">
      <c r="A1431" s="2" t="s">
        <v>1057</v>
      </c>
      <c r="B1431" s="2" t="s">
        <v>43</v>
      </c>
      <c r="C1431" s="2" t="s">
        <v>1309</v>
      </c>
      <c r="D1431" s="40">
        <v>1790000</v>
      </c>
      <c r="E1431" s="2" t="s">
        <v>295</v>
      </c>
      <c r="F1431" s="145">
        <v>2899</v>
      </c>
      <c r="H1431" s="2" t="s">
        <v>1310</v>
      </c>
      <c r="I1431" s="72">
        <v>45060</v>
      </c>
      <c r="K1431" s="2" t="s">
        <v>1311</v>
      </c>
    </row>
    <row r="1432" spans="1:11">
      <c r="A1432" s="2" t="s">
        <v>1058</v>
      </c>
      <c r="B1432" s="2" t="s">
        <v>43</v>
      </c>
      <c r="C1432" s="2" t="s">
        <v>1309</v>
      </c>
      <c r="D1432" s="40">
        <v>1793000</v>
      </c>
      <c r="E1432" s="2" t="s">
        <v>295</v>
      </c>
      <c r="F1432" s="145">
        <v>2902</v>
      </c>
      <c r="H1432" s="2" t="s">
        <v>1310</v>
      </c>
      <c r="I1432" s="72">
        <v>45063</v>
      </c>
      <c r="K1432" s="2" t="s">
        <v>1311</v>
      </c>
    </row>
    <row r="1433" spans="1:11">
      <c r="A1433" s="2" t="s">
        <v>1059</v>
      </c>
      <c r="B1433" s="2" t="s">
        <v>43</v>
      </c>
      <c r="C1433" s="2" t="s">
        <v>1309</v>
      </c>
      <c r="D1433" s="40">
        <v>1796000</v>
      </c>
      <c r="E1433" s="2" t="s">
        <v>295</v>
      </c>
      <c r="F1433" s="145">
        <v>2905</v>
      </c>
      <c r="H1433" s="2" t="s">
        <v>1310</v>
      </c>
      <c r="I1433" s="72">
        <v>45066</v>
      </c>
      <c r="K1433" s="2" t="s">
        <v>1311</v>
      </c>
    </row>
    <row r="1434" spans="1:11">
      <c r="A1434" s="2" t="s">
        <v>1060</v>
      </c>
      <c r="B1434" s="2" t="s">
        <v>43</v>
      </c>
      <c r="C1434" s="2" t="s">
        <v>1309</v>
      </c>
      <c r="D1434" s="40">
        <v>1799000</v>
      </c>
      <c r="E1434" s="2" t="s">
        <v>295</v>
      </c>
      <c r="F1434" s="145">
        <v>2908</v>
      </c>
      <c r="H1434" s="2" t="s">
        <v>1310</v>
      </c>
      <c r="I1434" s="72">
        <v>45069</v>
      </c>
      <c r="K1434" s="2" t="s">
        <v>1311</v>
      </c>
    </row>
    <row r="1435" spans="1:11">
      <c r="A1435" s="2" t="s">
        <v>1061</v>
      </c>
      <c r="B1435" s="2" t="s">
        <v>43</v>
      </c>
      <c r="C1435" s="2" t="s">
        <v>1309</v>
      </c>
      <c r="D1435" s="40">
        <v>1802000</v>
      </c>
      <c r="E1435" s="2" t="s">
        <v>295</v>
      </c>
      <c r="F1435" s="145">
        <v>2911</v>
      </c>
      <c r="H1435" s="2" t="s">
        <v>1310</v>
      </c>
      <c r="I1435" s="72">
        <v>45072</v>
      </c>
      <c r="K1435" s="2" t="s">
        <v>1311</v>
      </c>
    </row>
    <row r="1436" spans="1:11">
      <c r="A1436" s="2" t="s">
        <v>1062</v>
      </c>
      <c r="B1436" s="2" t="s">
        <v>43</v>
      </c>
      <c r="C1436" s="2" t="s">
        <v>1309</v>
      </c>
      <c r="D1436" s="40">
        <v>1805000</v>
      </c>
      <c r="E1436" s="2" t="s">
        <v>295</v>
      </c>
      <c r="F1436" s="145">
        <v>2914</v>
      </c>
      <c r="H1436" s="2" t="s">
        <v>1310</v>
      </c>
      <c r="I1436" s="72">
        <v>45075</v>
      </c>
      <c r="K1436" s="2" t="s">
        <v>1311</v>
      </c>
    </row>
    <row r="1437" spans="1:11">
      <c r="A1437" s="2" t="s">
        <v>1063</v>
      </c>
      <c r="B1437" s="2" t="s">
        <v>43</v>
      </c>
      <c r="C1437" s="2" t="s">
        <v>1309</v>
      </c>
      <c r="D1437" s="40">
        <v>1808000</v>
      </c>
      <c r="E1437" s="2" t="s">
        <v>295</v>
      </c>
      <c r="F1437" s="145">
        <v>2917</v>
      </c>
      <c r="H1437" s="2" t="s">
        <v>1310</v>
      </c>
      <c r="I1437" s="72">
        <v>45078</v>
      </c>
      <c r="K1437" s="2" t="s">
        <v>1311</v>
      </c>
    </row>
    <row r="1438" spans="1:11">
      <c r="A1438" s="2" t="s">
        <v>1064</v>
      </c>
      <c r="B1438" s="2" t="s">
        <v>43</v>
      </c>
      <c r="C1438" s="2" t="s">
        <v>1309</v>
      </c>
      <c r="D1438" s="40">
        <v>1811000</v>
      </c>
      <c r="E1438" s="2" t="s">
        <v>295</v>
      </c>
      <c r="F1438" s="145">
        <v>2920</v>
      </c>
      <c r="H1438" s="2" t="s">
        <v>1310</v>
      </c>
      <c r="I1438" s="72">
        <v>45081</v>
      </c>
      <c r="K1438" s="2" t="s">
        <v>1311</v>
      </c>
    </row>
    <row r="1439" spans="1:11">
      <c r="A1439" s="2" t="s">
        <v>1065</v>
      </c>
      <c r="B1439" s="2" t="s">
        <v>43</v>
      </c>
      <c r="C1439" s="2" t="s">
        <v>1309</v>
      </c>
      <c r="D1439" s="40">
        <v>1814000</v>
      </c>
      <c r="E1439" s="2" t="s">
        <v>295</v>
      </c>
      <c r="F1439" s="145">
        <v>2923</v>
      </c>
      <c r="H1439" s="2" t="s">
        <v>1310</v>
      </c>
      <c r="I1439" s="72">
        <v>45084</v>
      </c>
      <c r="K1439" s="2" t="s">
        <v>1311</v>
      </c>
    </row>
    <row r="1440" spans="1:11">
      <c r="A1440" s="2" t="s">
        <v>1066</v>
      </c>
      <c r="B1440" s="2" t="s">
        <v>43</v>
      </c>
      <c r="C1440" s="2" t="s">
        <v>1309</v>
      </c>
      <c r="D1440" s="40">
        <v>1817000</v>
      </c>
      <c r="E1440" s="2" t="s">
        <v>295</v>
      </c>
      <c r="F1440" s="145">
        <v>2926</v>
      </c>
      <c r="H1440" s="2" t="s">
        <v>1310</v>
      </c>
      <c r="I1440" s="72">
        <v>45087</v>
      </c>
      <c r="K1440" s="2" t="s">
        <v>1311</v>
      </c>
    </row>
    <row r="1441" spans="1:11">
      <c r="A1441" s="2" t="s">
        <v>1067</v>
      </c>
      <c r="B1441" s="2" t="s">
        <v>43</v>
      </c>
      <c r="C1441" s="2" t="s">
        <v>1309</v>
      </c>
      <c r="D1441" s="40">
        <v>1820000</v>
      </c>
      <c r="E1441" s="2" t="s">
        <v>295</v>
      </c>
      <c r="F1441" s="145">
        <v>2929</v>
      </c>
      <c r="H1441" s="2" t="s">
        <v>1310</v>
      </c>
      <c r="I1441" s="72">
        <v>45090</v>
      </c>
      <c r="K1441" s="2" t="s">
        <v>1311</v>
      </c>
    </row>
    <row r="1442" spans="1:11">
      <c r="A1442" s="2" t="s">
        <v>1068</v>
      </c>
      <c r="B1442" s="2" t="s">
        <v>43</v>
      </c>
      <c r="C1442" s="2" t="s">
        <v>1309</v>
      </c>
      <c r="D1442" s="40">
        <v>1823000</v>
      </c>
      <c r="E1442" s="2" t="s">
        <v>295</v>
      </c>
      <c r="F1442" s="145">
        <v>2932</v>
      </c>
      <c r="H1442" s="2" t="s">
        <v>1310</v>
      </c>
      <c r="I1442" s="72">
        <v>45093</v>
      </c>
      <c r="K1442" s="2" t="s">
        <v>1311</v>
      </c>
    </row>
    <row r="1443" spans="1:11">
      <c r="A1443" s="2" t="s">
        <v>1069</v>
      </c>
      <c r="B1443" s="2" t="s">
        <v>43</v>
      </c>
      <c r="C1443" s="2" t="s">
        <v>1309</v>
      </c>
      <c r="D1443" s="40">
        <v>1826000</v>
      </c>
      <c r="E1443" s="2" t="s">
        <v>295</v>
      </c>
      <c r="F1443" s="145">
        <v>2935</v>
      </c>
      <c r="H1443" s="2" t="s">
        <v>1310</v>
      </c>
      <c r="I1443" s="72">
        <v>45096</v>
      </c>
      <c r="K1443" s="2" t="s">
        <v>1311</v>
      </c>
    </row>
    <row r="1444" spans="1:11">
      <c r="A1444" s="2" t="s">
        <v>1070</v>
      </c>
      <c r="B1444" s="2" t="s">
        <v>43</v>
      </c>
      <c r="C1444" s="2" t="s">
        <v>1309</v>
      </c>
      <c r="D1444" s="40">
        <v>1829000</v>
      </c>
      <c r="E1444" s="2" t="s">
        <v>295</v>
      </c>
      <c r="F1444" s="145">
        <v>2938</v>
      </c>
      <c r="H1444" s="2" t="s">
        <v>1310</v>
      </c>
      <c r="I1444" s="72">
        <v>45099</v>
      </c>
      <c r="K1444" s="2" t="s">
        <v>1311</v>
      </c>
    </row>
    <row r="1445" spans="1:11">
      <c r="A1445" s="2" t="s">
        <v>1071</v>
      </c>
      <c r="B1445" s="2" t="s">
        <v>43</v>
      </c>
      <c r="C1445" s="2" t="s">
        <v>1309</v>
      </c>
      <c r="D1445" s="40">
        <v>1832000</v>
      </c>
      <c r="E1445" s="2" t="s">
        <v>295</v>
      </c>
      <c r="F1445" s="145">
        <v>2941</v>
      </c>
      <c r="H1445" s="2" t="s">
        <v>1310</v>
      </c>
      <c r="I1445" s="72">
        <v>45102</v>
      </c>
      <c r="K1445" s="2" t="s">
        <v>1311</v>
      </c>
    </row>
    <row r="1446" spans="1:11">
      <c r="A1446" s="2" t="s">
        <v>1072</v>
      </c>
      <c r="B1446" s="2" t="s">
        <v>43</v>
      </c>
      <c r="C1446" s="2" t="s">
        <v>1309</v>
      </c>
      <c r="D1446" s="40">
        <v>1835000</v>
      </c>
      <c r="E1446" s="2" t="s">
        <v>295</v>
      </c>
      <c r="F1446" s="145">
        <v>2944</v>
      </c>
      <c r="H1446" s="2" t="s">
        <v>1310</v>
      </c>
      <c r="I1446" s="72">
        <v>45105</v>
      </c>
      <c r="K1446" s="2" t="s">
        <v>1311</v>
      </c>
    </row>
    <row r="1447" spans="1:11">
      <c r="A1447" s="2" t="s">
        <v>1073</v>
      </c>
      <c r="B1447" s="2" t="s">
        <v>43</v>
      </c>
      <c r="C1447" s="2" t="s">
        <v>1309</v>
      </c>
      <c r="D1447" s="40">
        <v>1838000</v>
      </c>
      <c r="E1447" s="2" t="s">
        <v>295</v>
      </c>
      <c r="F1447" s="145">
        <v>2947</v>
      </c>
      <c r="H1447" s="2" t="s">
        <v>1310</v>
      </c>
      <c r="I1447" s="72">
        <v>45108</v>
      </c>
      <c r="K1447" s="2" t="s">
        <v>1311</v>
      </c>
    </row>
    <row r="1448" spans="1:11">
      <c r="A1448" s="2" t="s">
        <v>1074</v>
      </c>
      <c r="B1448" s="2" t="s">
        <v>43</v>
      </c>
      <c r="C1448" s="2" t="s">
        <v>1309</v>
      </c>
      <c r="D1448" s="40">
        <v>1841000</v>
      </c>
      <c r="E1448" s="2" t="s">
        <v>295</v>
      </c>
      <c r="F1448" s="145">
        <v>2950</v>
      </c>
      <c r="H1448" s="2" t="s">
        <v>1310</v>
      </c>
      <c r="I1448" s="72">
        <v>45111</v>
      </c>
      <c r="K1448" s="2" t="s">
        <v>1311</v>
      </c>
    </row>
    <row r="1449" spans="1:11">
      <c r="A1449" s="2" t="s">
        <v>1075</v>
      </c>
      <c r="B1449" s="2" t="s">
        <v>43</v>
      </c>
      <c r="C1449" s="2" t="s">
        <v>1309</v>
      </c>
      <c r="D1449" s="40">
        <v>1844000</v>
      </c>
      <c r="E1449" s="2" t="s">
        <v>295</v>
      </c>
      <c r="F1449" s="145">
        <v>2953</v>
      </c>
      <c r="H1449" s="2" t="s">
        <v>1310</v>
      </c>
      <c r="I1449" s="72">
        <v>45114</v>
      </c>
      <c r="K1449" s="2" t="s">
        <v>1311</v>
      </c>
    </row>
    <row r="1450" spans="1:11">
      <c r="A1450" s="2" t="s">
        <v>1076</v>
      </c>
      <c r="B1450" s="2" t="s">
        <v>43</v>
      </c>
      <c r="C1450" s="2" t="s">
        <v>1309</v>
      </c>
      <c r="D1450" s="40">
        <v>1847000</v>
      </c>
      <c r="E1450" s="2" t="s">
        <v>295</v>
      </c>
      <c r="F1450" s="145">
        <v>2956</v>
      </c>
      <c r="H1450" s="2" t="s">
        <v>1310</v>
      </c>
      <c r="I1450" s="72">
        <v>45117</v>
      </c>
      <c r="K1450" s="2" t="s">
        <v>1311</v>
      </c>
    </row>
    <row r="1451" spans="1:11">
      <c r="A1451" s="2" t="s">
        <v>1077</v>
      </c>
      <c r="B1451" s="2" t="s">
        <v>43</v>
      </c>
      <c r="C1451" s="2" t="s">
        <v>1309</v>
      </c>
      <c r="D1451" s="40">
        <v>1850000</v>
      </c>
      <c r="E1451" s="2" t="s">
        <v>295</v>
      </c>
      <c r="F1451" s="145">
        <v>2959</v>
      </c>
      <c r="H1451" s="2" t="s">
        <v>1310</v>
      </c>
      <c r="I1451" s="72">
        <v>45120</v>
      </c>
      <c r="K1451" s="2" t="s">
        <v>1311</v>
      </c>
    </row>
    <row r="1452" spans="1:11">
      <c r="A1452" s="2" t="s">
        <v>1078</v>
      </c>
      <c r="B1452" s="2" t="s">
        <v>43</v>
      </c>
      <c r="C1452" s="2" t="s">
        <v>1309</v>
      </c>
      <c r="D1452" s="40">
        <v>1853000</v>
      </c>
      <c r="E1452" s="2" t="s">
        <v>295</v>
      </c>
      <c r="F1452" s="145">
        <v>2962</v>
      </c>
      <c r="H1452" s="2" t="s">
        <v>1310</v>
      </c>
      <c r="I1452" s="72">
        <v>45123</v>
      </c>
      <c r="K1452" s="2" t="s">
        <v>1311</v>
      </c>
    </row>
    <row r="1453" spans="1:11">
      <c r="A1453" s="2" t="s">
        <v>1079</v>
      </c>
      <c r="B1453" s="2" t="s">
        <v>43</v>
      </c>
      <c r="C1453" s="2" t="s">
        <v>1309</v>
      </c>
      <c r="D1453" s="40">
        <v>1856000</v>
      </c>
      <c r="E1453" s="2" t="s">
        <v>295</v>
      </c>
      <c r="F1453" s="145">
        <v>2965</v>
      </c>
      <c r="H1453" s="2" t="s">
        <v>1310</v>
      </c>
      <c r="I1453" s="72">
        <v>45126</v>
      </c>
      <c r="K1453" s="2" t="s">
        <v>1311</v>
      </c>
    </row>
    <row r="1454" spans="1:11">
      <c r="A1454" s="2" t="s">
        <v>1080</v>
      </c>
      <c r="B1454" s="2" t="s">
        <v>43</v>
      </c>
      <c r="C1454" s="2" t="s">
        <v>1309</v>
      </c>
      <c r="D1454" s="40">
        <v>1859000</v>
      </c>
      <c r="E1454" s="2" t="s">
        <v>295</v>
      </c>
      <c r="F1454" s="145">
        <v>2968</v>
      </c>
      <c r="H1454" s="2" t="s">
        <v>1310</v>
      </c>
      <c r="I1454" s="72">
        <v>45129</v>
      </c>
      <c r="K1454" s="2" t="s">
        <v>1311</v>
      </c>
    </row>
    <row r="1455" spans="1:11">
      <c r="A1455" s="2" t="s">
        <v>1081</v>
      </c>
      <c r="B1455" s="2" t="s">
        <v>43</v>
      </c>
      <c r="C1455" s="2" t="s">
        <v>1309</v>
      </c>
      <c r="D1455" s="40">
        <v>1862000</v>
      </c>
      <c r="E1455" s="2" t="s">
        <v>295</v>
      </c>
      <c r="F1455" s="145">
        <v>2971</v>
      </c>
      <c r="H1455" s="2" t="s">
        <v>1310</v>
      </c>
      <c r="I1455" s="72">
        <v>45132</v>
      </c>
      <c r="K1455" s="2" t="s">
        <v>1311</v>
      </c>
    </row>
    <row r="1456" spans="1:11">
      <c r="A1456" s="2" t="s">
        <v>1082</v>
      </c>
      <c r="B1456" s="2" t="s">
        <v>43</v>
      </c>
      <c r="C1456" s="2" t="s">
        <v>1309</v>
      </c>
      <c r="D1456" s="40">
        <v>1865000</v>
      </c>
      <c r="E1456" s="2" t="s">
        <v>295</v>
      </c>
      <c r="F1456" s="145">
        <v>2974</v>
      </c>
      <c r="H1456" s="2" t="s">
        <v>1310</v>
      </c>
      <c r="I1456" s="72">
        <v>45135</v>
      </c>
      <c r="K1456" s="2" t="s">
        <v>1311</v>
      </c>
    </row>
    <row r="1457" spans="1:11">
      <c r="A1457" s="2" t="s">
        <v>1083</v>
      </c>
      <c r="B1457" s="2" t="s">
        <v>43</v>
      </c>
      <c r="C1457" s="2" t="s">
        <v>1309</v>
      </c>
      <c r="D1457" s="40">
        <v>1868000</v>
      </c>
      <c r="E1457" s="2" t="s">
        <v>295</v>
      </c>
      <c r="F1457" s="145">
        <v>2977</v>
      </c>
      <c r="H1457" s="2" t="s">
        <v>1310</v>
      </c>
      <c r="I1457" s="72">
        <v>45138</v>
      </c>
      <c r="K1457" s="2" t="s">
        <v>1311</v>
      </c>
    </row>
    <row r="1458" spans="1:11">
      <c r="A1458" s="2" t="s">
        <v>1084</v>
      </c>
      <c r="B1458" s="2" t="s">
        <v>43</v>
      </c>
      <c r="C1458" s="2" t="s">
        <v>1309</v>
      </c>
      <c r="D1458" s="40">
        <v>1871000</v>
      </c>
      <c r="E1458" s="2" t="s">
        <v>295</v>
      </c>
      <c r="F1458" s="145">
        <v>2980</v>
      </c>
      <c r="H1458" s="2" t="s">
        <v>1310</v>
      </c>
      <c r="I1458" s="72">
        <v>45141</v>
      </c>
      <c r="K1458" s="2" t="s">
        <v>1311</v>
      </c>
    </row>
    <row r="1459" spans="1:11">
      <c r="A1459" s="2" t="s">
        <v>1085</v>
      </c>
      <c r="B1459" s="2" t="s">
        <v>43</v>
      </c>
      <c r="C1459" s="2" t="s">
        <v>1309</v>
      </c>
      <c r="D1459" s="40">
        <v>1874000</v>
      </c>
      <c r="E1459" s="2" t="s">
        <v>295</v>
      </c>
      <c r="F1459" s="145">
        <v>2983</v>
      </c>
      <c r="H1459" s="2" t="s">
        <v>1310</v>
      </c>
      <c r="I1459" s="72">
        <v>45144</v>
      </c>
      <c r="K1459" s="2" t="s">
        <v>1311</v>
      </c>
    </row>
    <row r="1460" spans="1:11">
      <c r="A1460" s="2" t="s">
        <v>1086</v>
      </c>
      <c r="B1460" s="2" t="s">
        <v>43</v>
      </c>
      <c r="C1460" s="2" t="s">
        <v>1309</v>
      </c>
      <c r="D1460" s="40">
        <v>1877000</v>
      </c>
      <c r="E1460" s="2" t="s">
        <v>295</v>
      </c>
      <c r="F1460" s="145">
        <v>2986</v>
      </c>
      <c r="H1460" s="2" t="s">
        <v>1310</v>
      </c>
      <c r="I1460" s="72">
        <v>45147</v>
      </c>
      <c r="K1460" s="2" t="s">
        <v>1311</v>
      </c>
    </row>
    <row r="1461" spans="1:11">
      <c r="A1461" s="2" t="s">
        <v>1087</v>
      </c>
      <c r="B1461" s="2" t="s">
        <v>43</v>
      </c>
      <c r="C1461" s="2" t="s">
        <v>1309</v>
      </c>
      <c r="D1461" s="40">
        <v>1880000</v>
      </c>
      <c r="E1461" s="2" t="s">
        <v>295</v>
      </c>
      <c r="F1461" s="145">
        <v>2989</v>
      </c>
      <c r="H1461" s="2" t="s">
        <v>1310</v>
      </c>
      <c r="I1461" s="72">
        <v>45150</v>
      </c>
      <c r="K1461" s="2" t="s">
        <v>1311</v>
      </c>
    </row>
    <row r="1462" spans="1:11">
      <c r="A1462" s="2" t="s">
        <v>1088</v>
      </c>
      <c r="B1462" s="2" t="s">
        <v>43</v>
      </c>
      <c r="C1462" s="2" t="s">
        <v>1309</v>
      </c>
      <c r="D1462" s="40">
        <v>1883000</v>
      </c>
      <c r="E1462" s="2" t="s">
        <v>295</v>
      </c>
      <c r="F1462" s="145">
        <v>2992</v>
      </c>
      <c r="H1462" s="2" t="s">
        <v>1310</v>
      </c>
      <c r="I1462" s="72">
        <v>45153</v>
      </c>
      <c r="K1462" s="2" t="s">
        <v>1311</v>
      </c>
    </row>
    <row r="1463" spans="1:11">
      <c r="A1463" s="2" t="s">
        <v>1089</v>
      </c>
      <c r="B1463" s="2" t="s">
        <v>43</v>
      </c>
      <c r="C1463" s="2" t="s">
        <v>1309</v>
      </c>
      <c r="D1463" s="40">
        <v>1886000</v>
      </c>
      <c r="E1463" s="2" t="s">
        <v>295</v>
      </c>
      <c r="F1463" s="145">
        <v>2995</v>
      </c>
      <c r="H1463" s="2" t="s">
        <v>1310</v>
      </c>
      <c r="I1463" s="72">
        <v>45156</v>
      </c>
      <c r="K1463" s="2" t="s">
        <v>1311</v>
      </c>
    </row>
    <row r="1464" spans="1:11">
      <c r="A1464" s="2" t="s">
        <v>1090</v>
      </c>
      <c r="B1464" s="2" t="s">
        <v>43</v>
      </c>
      <c r="C1464" s="2" t="s">
        <v>1309</v>
      </c>
      <c r="D1464" s="40">
        <v>1889000</v>
      </c>
      <c r="E1464" s="2" t="s">
        <v>295</v>
      </c>
      <c r="F1464" s="145">
        <v>2998</v>
      </c>
      <c r="H1464" s="2" t="s">
        <v>1310</v>
      </c>
      <c r="I1464" s="72">
        <v>45159</v>
      </c>
      <c r="K1464" s="2" t="s">
        <v>1311</v>
      </c>
    </row>
    <row r="1465" spans="1:11">
      <c r="A1465" s="2" t="s">
        <v>1091</v>
      </c>
      <c r="B1465" s="2" t="s">
        <v>43</v>
      </c>
      <c r="C1465" s="2" t="s">
        <v>1309</v>
      </c>
      <c r="D1465" s="40">
        <v>1892000</v>
      </c>
      <c r="E1465" s="2" t="s">
        <v>295</v>
      </c>
      <c r="F1465" s="145">
        <v>3001</v>
      </c>
      <c r="H1465" s="2" t="s">
        <v>1310</v>
      </c>
      <c r="I1465" s="72">
        <v>45162</v>
      </c>
      <c r="K1465" s="2" t="s">
        <v>1311</v>
      </c>
    </row>
    <row r="1466" spans="1:11">
      <c r="A1466" s="2" t="s">
        <v>1092</v>
      </c>
      <c r="B1466" s="2" t="s">
        <v>43</v>
      </c>
      <c r="C1466" s="2" t="s">
        <v>1309</v>
      </c>
      <c r="D1466" s="40">
        <v>1895000</v>
      </c>
      <c r="E1466" s="2" t="s">
        <v>295</v>
      </c>
      <c r="F1466" s="145">
        <v>3004</v>
      </c>
      <c r="H1466" s="2" t="s">
        <v>1310</v>
      </c>
      <c r="I1466" s="72">
        <v>45165</v>
      </c>
      <c r="K1466" s="2" t="s">
        <v>1311</v>
      </c>
    </row>
    <row r="1467" spans="1:11">
      <c r="A1467" s="2" t="s">
        <v>1093</v>
      </c>
      <c r="B1467" s="2" t="s">
        <v>43</v>
      </c>
      <c r="C1467" s="2" t="s">
        <v>1309</v>
      </c>
      <c r="D1467" s="40">
        <v>1898000</v>
      </c>
      <c r="E1467" s="2" t="s">
        <v>295</v>
      </c>
      <c r="F1467" s="145">
        <v>3007</v>
      </c>
      <c r="H1467" s="2" t="s">
        <v>1310</v>
      </c>
      <c r="I1467" s="72">
        <v>45168</v>
      </c>
      <c r="K1467" s="2" t="s">
        <v>1311</v>
      </c>
    </row>
    <row r="1468" spans="1:11">
      <c r="A1468" s="2" t="s">
        <v>1094</v>
      </c>
      <c r="B1468" s="2" t="s">
        <v>43</v>
      </c>
      <c r="C1468" s="2" t="s">
        <v>1309</v>
      </c>
      <c r="D1468" s="40">
        <v>1901000</v>
      </c>
      <c r="E1468" s="2" t="s">
        <v>295</v>
      </c>
      <c r="F1468" s="145">
        <v>3010</v>
      </c>
      <c r="H1468" s="2" t="s">
        <v>1310</v>
      </c>
      <c r="I1468" s="72">
        <v>45171</v>
      </c>
      <c r="K1468" s="2" t="s">
        <v>1311</v>
      </c>
    </row>
    <row r="1469" spans="1:11">
      <c r="A1469" s="2" t="s">
        <v>1095</v>
      </c>
      <c r="B1469" s="2" t="s">
        <v>43</v>
      </c>
      <c r="C1469" s="2" t="s">
        <v>1309</v>
      </c>
      <c r="D1469" s="40">
        <v>1904000</v>
      </c>
      <c r="E1469" s="2" t="s">
        <v>295</v>
      </c>
      <c r="F1469" s="145">
        <v>3013</v>
      </c>
      <c r="H1469" s="2" t="s">
        <v>1310</v>
      </c>
      <c r="I1469" s="72">
        <v>45174</v>
      </c>
      <c r="K1469" s="2" t="s">
        <v>1311</v>
      </c>
    </row>
    <row r="1470" spans="1:11">
      <c r="A1470" s="2" t="s">
        <v>1096</v>
      </c>
      <c r="B1470" s="2" t="s">
        <v>43</v>
      </c>
      <c r="C1470" s="2" t="s">
        <v>1309</v>
      </c>
      <c r="D1470" s="40">
        <v>1907000</v>
      </c>
      <c r="E1470" s="2" t="s">
        <v>295</v>
      </c>
      <c r="F1470" s="145">
        <v>3016</v>
      </c>
      <c r="H1470" s="2" t="s">
        <v>1310</v>
      </c>
      <c r="I1470" s="72">
        <v>45177</v>
      </c>
      <c r="K1470" s="2" t="s">
        <v>1311</v>
      </c>
    </row>
    <row r="1471" spans="1:11">
      <c r="A1471" s="2" t="s">
        <v>1097</v>
      </c>
      <c r="B1471" s="2" t="s">
        <v>43</v>
      </c>
      <c r="C1471" s="2" t="s">
        <v>1309</v>
      </c>
      <c r="D1471" s="40">
        <v>1910000</v>
      </c>
      <c r="E1471" s="2" t="s">
        <v>295</v>
      </c>
      <c r="F1471" s="145">
        <v>3019</v>
      </c>
      <c r="H1471" s="2" t="s">
        <v>1310</v>
      </c>
      <c r="I1471" s="72">
        <v>45180</v>
      </c>
      <c r="K1471" s="2" t="s">
        <v>1311</v>
      </c>
    </row>
    <row r="1472" spans="1:11">
      <c r="A1472" s="2" t="s">
        <v>1098</v>
      </c>
      <c r="B1472" s="2" t="s">
        <v>43</v>
      </c>
      <c r="C1472" s="2" t="s">
        <v>1309</v>
      </c>
      <c r="D1472" s="40">
        <v>1913000</v>
      </c>
      <c r="E1472" s="2" t="s">
        <v>295</v>
      </c>
      <c r="F1472" s="145">
        <v>3022</v>
      </c>
      <c r="H1472" s="2" t="s">
        <v>1310</v>
      </c>
      <c r="I1472" s="72">
        <v>45183</v>
      </c>
      <c r="K1472" s="2" t="s">
        <v>1311</v>
      </c>
    </row>
    <row r="1473" spans="1:11">
      <c r="A1473" s="2" t="s">
        <v>1099</v>
      </c>
      <c r="B1473" s="2" t="s">
        <v>43</v>
      </c>
      <c r="C1473" s="2" t="s">
        <v>1309</v>
      </c>
      <c r="D1473" s="40">
        <v>1916000</v>
      </c>
      <c r="E1473" s="2" t="s">
        <v>295</v>
      </c>
      <c r="F1473" s="145">
        <v>3025</v>
      </c>
      <c r="H1473" s="2" t="s">
        <v>1310</v>
      </c>
      <c r="I1473" s="72">
        <v>45186</v>
      </c>
      <c r="K1473" s="2" t="s">
        <v>1311</v>
      </c>
    </row>
    <row r="1474" spans="1:11">
      <c r="A1474" s="2" t="s">
        <v>1100</v>
      </c>
      <c r="B1474" s="2" t="s">
        <v>43</v>
      </c>
      <c r="C1474" s="2" t="s">
        <v>1309</v>
      </c>
      <c r="D1474" s="40">
        <v>1919000</v>
      </c>
      <c r="E1474" s="2" t="s">
        <v>295</v>
      </c>
      <c r="F1474" s="145">
        <v>3028</v>
      </c>
      <c r="H1474" s="2" t="s">
        <v>1310</v>
      </c>
      <c r="I1474" s="72">
        <v>45189</v>
      </c>
      <c r="K1474" s="2" t="s">
        <v>1311</v>
      </c>
    </row>
    <row r="1475" spans="1:11">
      <c r="A1475" s="2" t="s">
        <v>1101</v>
      </c>
      <c r="B1475" s="2" t="s">
        <v>43</v>
      </c>
      <c r="C1475" s="2" t="s">
        <v>1309</v>
      </c>
      <c r="D1475" s="40">
        <v>1922000</v>
      </c>
      <c r="E1475" s="2" t="s">
        <v>295</v>
      </c>
      <c r="F1475" s="145">
        <v>3031</v>
      </c>
      <c r="H1475" s="2" t="s">
        <v>1310</v>
      </c>
      <c r="I1475" s="72">
        <v>45192</v>
      </c>
      <c r="K1475" s="2" t="s">
        <v>1311</v>
      </c>
    </row>
    <row r="1476" spans="1:11">
      <c r="A1476" s="2" t="s">
        <v>1102</v>
      </c>
      <c r="B1476" s="2" t="s">
        <v>43</v>
      </c>
      <c r="C1476" s="2" t="s">
        <v>1309</v>
      </c>
      <c r="D1476" s="40">
        <v>1925000</v>
      </c>
      <c r="E1476" s="2" t="s">
        <v>295</v>
      </c>
      <c r="F1476" s="145">
        <v>3034</v>
      </c>
      <c r="H1476" s="2" t="s">
        <v>1310</v>
      </c>
      <c r="I1476" s="72">
        <v>45195</v>
      </c>
      <c r="K1476" s="2" t="s">
        <v>1311</v>
      </c>
    </row>
    <row r="1477" spans="1:11">
      <c r="A1477" s="2" t="s">
        <v>1103</v>
      </c>
      <c r="B1477" s="2" t="s">
        <v>43</v>
      </c>
      <c r="C1477" s="2" t="s">
        <v>1309</v>
      </c>
      <c r="D1477" s="40">
        <v>1928000</v>
      </c>
      <c r="E1477" s="2" t="s">
        <v>295</v>
      </c>
      <c r="F1477" s="145">
        <v>3037</v>
      </c>
      <c r="H1477" s="2" t="s">
        <v>1310</v>
      </c>
      <c r="I1477" s="72">
        <v>45198</v>
      </c>
      <c r="K1477" s="2" t="s">
        <v>1311</v>
      </c>
    </row>
    <row r="1478" spans="1:11">
      <c r="A1478" s="2" t="s">
        <v>1104</v>
      </c>
      <c r="B1478" s="2" t="s">
        <v>43</v>
      </c>
      <c r="C1478" s="2" t="s">
        <v>1309</v>
      </c>
      <c r="D1478" s="40">
        <v>1931000</v>
      </c>
      <c r="E1478" s="2" t="s">
        <v>295</v>
      </c>
      <c r="F1478" s="145">
        <v>3040</v>
      </c>
      <c r="H1478" s="2" t="s">
        <v>1310</v>
      </c>
      <c r="I1478" s="72">
        <v>45201</v>
      </c>
      <c r="K1478" s="2" t="s">
        <v>1311</v>
      </c>
    </row>
    <row r="1479" spans="1:11">
      <c r="A1479" s="2" t="s">
        <v>1105</v>
      </c>
      <c r="B1479" s="2" t="s">
        <v>43</v>
      </c>
      <c r="C1479" s="2" t="s">
        <v>1309</v>
      </c>
      <c r="D1479" s="40">
        <v>1934000</v>
      </c>
      <c r="E1479" s="2" t="s">
        <v>295</v>
      </c>
      <c r="F1479" s="145">
        <v>3043</v>
      </c>
      <c r="H1479" s="2" t="s">
        <v>1310</v>
      </c>
      <c r="I1479" s="72">
        <v>45204</v>
      </c>
      <c r="K1479" s="2" t="s">
        <v>1311</v>
      </c>
    </row>
    <row r="1480" spans="1:11">
      <c r="A1480" s="2" t="s">
        <v>1106</v>
      </c>
      <c r="B1480" s="2" t="s">
        <v>43</v>
      </c>
      <c r="C1480" s="2" t="s">
        <v>1309</v>
      </c>
      <c r="D1480" s="40">
        <v>1937000</v>
      </c>
      <c r="E1480" s="2" t="s">
        <v>295</v>
      </c>
      <c r="F1480" s="145">
        <v>3046</v>
      </c>
      <c r="H1480" s="2" t="s">
        <v>1310</v>
      </c>
      <c r="I1480" s="72">
        <v>45207</v>
      </c>
      <c r="K1480" s="2" t="s">
        <v>1311</v>
      </c>
    </row>
    <row r="1481" spans="1:11">
      <c r="A1481" s="2" t="s">
        <v>1107</v>
      </c>
      <c r="B1481" s="2" t="s">
        <v>43</v>
      </c>
      <c r="C1481" s="2" t="s">
        <v>1309</v>
      </c>
      <c r="D1481" s="40">
        <v>1940000</v>
      </c>
      <c r="E1481" s="2" t="s">
        <v>295</v>
      </c>
      <c r="F1481" s="145">
        <v>3049</v>
      </c>
      <c r="H1481" s="2" t="s">
        <v>1310</v>
      </c>
      <c r="I1481" s="72">
        <v>45210</v>
      </c>
      <c r="K1481" s="2" t="s">
        <v>1311</v>
      </c>
    </row>
    <row r="1482" spans="1:11">
      <c r="A1482" s="2" t="s">
        <v>1108</v>
      </c>
      <c r="B1482" s="2" t="s">
        <v>43</v>
      </c>
      <c r="C1482" s="2" t="s">
        <v>1309</v>
      </c>
      <c r="D1482" s="40">
        <v>1943000</v>
      </c>
      <c r="E1482" s="2" t="s">
        <v>295</v>
      </c>
      <c r="F1482" s="145">
        <v>3052</v>
      </c>
      <c r="H1482" s="2" t="s">
        <v>1310</v>
      </c>
      <c r="I1482" s="72">
        <v>45213</v>
      </c>
      <c r="K1482" s="2" t="s">
        <v>1311</v>
      </c>
    </row>
    <row r="1483" spans="1:11">
      <c r="A1483" s="2" t="s">
        <v>1109</v>
      </c>
      <c r="B1483" s="2" t="s">
        <v>43</v>
      </c>
      <c r="C1483" s="2" t="s">
        <v>1309</v>
      </c>
      <c r="D1483" s="40">
        <v>1946000</v>
      </c>
      <c r="E1483" s="2" t="s">
        <v>295</v>
      </c>
      <c r="F1483" s="145">
        <v>3055</v>
      </c>
      <c r="H1483" s="2" t="s">
        <v>1310</v>
      </c>
      <c r="I1483" s="72">
        <v>45216</v>
      </c>
      <c r="K1483" s="2" t="s">
        <v>1311</v>
      </c>
    </row>
    <row r="1484" spans="1:11">
      <c r="A1484" s="2" t="s">
        <v>1110</v>
      </c>
      <c r="B1484" s="2" t="s">
        <v>43</v>
      </c>
      <c r="C1484" s="2" t="s">
        <v>1309</v>
      </c>
      <c r="D1484" s="40">
        <v>1949000</v>
      </c>
      <c r="E1484" s="2" t="s">
        <v>295</v>
      </c>
      <c r="F1484" s="145">
        <v>3058</v>
      </c>
      <c r="H1484" s="2" t="s">
        <v>1310</v>
      </c>
      <c r="I1484" s="72">
        <v>45219</v>
      </c>
      <c r="K1484" s="2" t="s">
        <v>1311</v>
      </c>
    </row>
    <row r="1485" spans="1:11">
      <c r="A1485" s="2" t="s">
        <v>1111</v>
      </c>
      <c r="B1485" s="2" t="s">
        <v>43</v>
      </c>
      <c r="C1485" s="2" t="s">
        <v>1309</v>
      </c>
      <c r="D1485" s="40">
        <v>1952000</v>
      </c>
      <c r="E1485" s="2" t="s">
        <v>295</v>
      </c>
      <c r="F1485" s="145">
        <v>3061</v>
      </c>
      <c r="H1485" s="2" t="s">
        <v>1310</v>
      </c>
      <c r="I1485" s="72">
        <v>45222</v>
      </c>
      <c r="K1485" s="2" t="s">
        <v>1311</v>
      </c>
    </row>
    <row r="1486" spans="1:11">
      <c r="A1486" s="2" t="s">
        <v>1112</v>
      </c>
      <c r="B1486" s="2" t="s">
        <v>43</v>
      </c>
      <c r="C1486" s="2" t="s">
        <v>1309</v>
      </c>
      <c r="D1486" s="40">
        <v>1955000</v>
      </c>
      <c r="E1486" s="2" t="s">
        <v>295</v>
      </c>
      <c r="F1486" s="145">
        <v>3064</v>
      </c>
      <c r="H1486" s="2" t="s">
        <v>1310</v>
      </c>
      <c r="I1486" s="72">
        <v>45225</v>
      </c>
      <c r="K1486" s="2" t="s">
        <v>1311</v>
      </c>
    </row>
    <row r="1487" spans="1:11">
      <c r="A1487" s="2" t="s">
        <v>1113</v>
      </c>
      <c r="B1487" s="2" t="s">
        <v>43</v>
      </c>
      <c r="C1487" s="2" t="s">
        <v>1309</v>
      </c>
      <c r="D1487" s="40">
        <v>1958000</v>
      </c>
      <c r="E1487" s="2" t="s">
        <v>295</v>
      </c>
      <c r="F1487" s="145">
        <v>3067</v>
      </c>
      <c r="H1487" s="2" t="s">
        <v>1310</v>
      </c>
      <c r="I1487" s="72">
        <v>45228</v>
      </c>
      <c r="K1487" s="2" t="s">
        <v>1311</v>
      </c>
    </row>
    <row r="1488" spans="1:11">
      <c r="A1488" s="2" t="s">
        <v>1114</v>
      </c>
      <c r="B1488" s="2" t="s">
        <v>43</v>
      </c>
      <c r="C1488" s="2" t="s">
        <v>1309</v>
      </c>
      <c r="D1488" s="40">
        <v>1961000</v>
      </c>
      <c r="E1488" s="2" t="s">
        <v>295</v>
      </c>
      <c r="F1488" s="145">
        <v>3070</v>
      </c>
      <c r="H1488" s="2" t="s">
        <v>1310</v>
      </c>
      <c r="I1488" s="72">
        <v>45231</v>
      </c>
      <c r="K1488" s="2" t="s">
        <v>1311</v>
      </c>
    </row>
    <row r="1489" spans="1:11">
      <c r="A1489" s="2" t="s">
        <v>1115</v>
      </c>
      <c r="B1489" s="2" t="s">
        <v>43</v>
      </c>
      <c r="C1489" s="2" t="s">
        <v>1309</v>
      </c>
      <c r="D1489" s="40">
        <v>1964000</v>
      </c>
      <c r="E1489" s="2" t="s">
        <v>295</v>
      </c>
      <c r="F1489" s="145">
        <v>3073</v>
      </c>
      <c r="H1489" s="2" t="s">
        <v>1310</v>
      </c>
      <c r="I1489" s="72">
        <v>45234</v>
      </c>
      <c r="K1489" s="2" t="s">
        <v>1311</v>
      </c>
    </row>
    <row r="1490" spans="1:11">
      <c r="A1490" s="2" t="s">
        <v>1116</v>
      </c>
      <c r="B1490" s="2" t="s">
        <v>43</v>
      </c>
      <c r="C1490" s="2" t="s">
        <v>1309</v>
      </c>
      <c r="D1490" s="40">
        <v>1967000</v>
      </c>
      <c r="E1490" s="2" t="s">
        <v>295</v>
      </c>
      <c r="F1490" s="145">
        <v>3076</v>
      </c>
      <c r="H1490" s="2" t="s">
        <v>1310</v>
      </c>
      <c r="I1490" s="72">
        <v>45237</v>
      </c>
      <c r="K1490" s="2" t="s">
        <v>1311</v>
      </c>
    </row>
    <row r="1491" spans="1:11">
      <c r="A1491" s="2" t="s">
        <v>1117</v>
      </c>
      <c r="B1491" s="2" t="s">
        <v>43</v>
      </c>
      <c r="C1491" s="2" t="s">
        <v>1309</v>
      </c>
      <c r="D1491" s="40">
        <v>1970000</v>
      </c>
      <c r="E1491" s="2" t="s">
        <v>295</v>
      </c>
      <c r="F1491" s="145">
        <v>3079</v>
      </c>
      <c r="H1491" s="2" t="s">
        <v>1310</v>
      </c>
      <c r="I1491" s="72">
        <v>45240</v>
      </c>
      <c r="K1491" s="2" t="s">
        <v>1311</v>
      </c>
    </row>
    <row r="1492" spans="1:11">
      <c r="A1492" s="2" t="s">
        <v>1118</v>
      </c>
      <c r="B1492" s="2" t="s">
        <v>43</v>
      </c>
      <c r="C1492" s="2" t="s">
        <v>1309</v>
      </c>
      <c r="D1492" s="40">
        <v>1973000</v>
      </c>
      <c r="E1492" s="2" t="s">
        <v>295</v>
      </c>
      <c r="F1492" s="145">
        <v>3082</v>
      </c>
      <c r="H1492" s="2" t="s">
        <v>1310</v>
      </c>
      <c r="I1492" s="72">
        <v>45243</v>
      </c>
      <c r="K1492" s="2" t="s">
        <v>1311</v>
      </c>
    </row>
    <row r="1493" spans="1:11">
      <c r="A1493" s="2" t="s">
        <v>1119</v>
      </c>
      <c r="B1493" s="2" t="s">
        <v>43</v>
      </c>
      <c r="C1493" s="2" t="s">
        <v>1309</v>
      </c>
      <c r="D1493" s="40">
        <v>1976000</v>
      </c>
      <c r="E1493" s="2" t="s">
        <v>295</v>
      </c>
      <c r="F1493" s="145">
        <v>3085</v>
      </c>
      <c r="H1493" s="2" t="s">
        <v>1310</v>
      </c>
      <c r="I1493" s="72">
        <v>45246</v>
      </c>
      <c r="K1493" s="2" t="s">
        <v>1311</v>
      </c>
    </row>
    <row r="1494" spans="1:11">
      <c r="A1494" s="2" t="s">
        <v>1120</v>
      </c>
      <c r="B1494" s="2" t="s">
        <v>43</v>
      </c>
      <c r="C1494" s="2" t="s">
        <v>1309</v>
      </c>
      <c r="D1494" s="40">
        <v>1979000</v>
      </c>
      <c r="E1494" s="2" t="s">
        <v>295</v>
      </c>
      <c r="F1494" s="145">
        <v>3088</v>
      </c>
      <c r="H1494" s="2" t="s">
        <v>1310</v>
      </c>
      <c r="I1494" s="72">
        <v>45249</v>
      </c>
      <c r="K1494" s="2" t="s">
        <v>1311</v>
      </c>
    </row>
    <row r="1495" spans="1:11">
      <c r="A1495" s="2" t="s">
        <v>1121</v>
      </c>
      <c r="B1495" s="2" t="s">
        <v>43</v>
      </c>
      <c r="C1495" s="2" t="s">
        <v>1309</v>
      </c>
      <c r="D1495" s="40">
        <v>1982000</v>
      </c>
      <c r="E1495" s="2" t="s">
        <v>295</v>
      </c>
      <c r="F1495" s="145">
        <v>3091</v>
      </c>
      <c r="H1495" s="2" t="s">
        <v>1310</v>
      </c>
      <c r="I1495" s="72">
        <v>45252</v>
      </c>
      <c r="K1495" s="2" t="s">
        <v>1311</v>
      </c>
    </row>
    <row r="1496" spans="1:11">
      <c r="A1496" s="2" t="s">
        <v>1122</v>
      </c>
      <c r="B1496" s="2" t="s">
        <v>43</v>
      </c>
      <c r="C1496" s="2" t="s">
        <v>1309</v>
      </c>
      <c r="D1496" s="40">
        <v>1985000</v>
      </c>
      <c r="E1496" s="2" t="s">
        <v>295</v>
      </c>
      <c r="F1496" s="145">
        <v>3094</v>
      </c>
      <c r="H1496" s="2" t="s">
        <v>1310</v>
      </c>
      <c r="I1496" s="72">
        <v>45255</v>
      </c>
      <c r="K1496" s="2" t="s">
        <v>1311</v>
      </c>
    </row>
    <row r="1497" spans="1:11">
      <c r="A1497" s="2" t="s">
        <v>1123</v>
      </c>
      <c r="B1497" s="2" t="s">
        <v>43</v>
      </c>
      <c r="C1497" s="2" t="s">
        <v>1309</v>
      </c>
      <c r="D1497" s="40">
        <v>1988000</v>
      </c>
      <c r="E1497" s="2" t="s">
        <v>295</v>
      </c>
      <c r="F1497" s="145">
        <v>3097</v>
      </c>
      <c r="H1497" s="2" t="s">
        <v>1310</v>
      </c>
      <c r="I1497" s="72">
        <v>45258</v>
      </c>
      <c r="K1497" s="2" t="s">
        <v>1311</v>
      </c>
    </row>
    <row r="1498" spans="1:11">
      <c r="A1498" s="2" t="s">
        <v>1124</v>
      </c>
      <c r="B1498" s="2" t="s">
        <v>43</v>
      </c>
      <c r="C1498" s="2" t="s">
        <v>1309</v>
      </c>
      <c r="D1498" s="40">
        <v>1991000</v>
      </c>
      <c r="E1498" s="2" t="s">
        <v>295</v>
      </c>
      <c r="F1498" s="145">
        <v>3100</v>
      </c>
      <c r="H1498" s="2" t="s">
        <v>1310</v>
      </c>
      <c r="I1498" s="72">
        <v>45261</v>
      </c>
      <c r="K1498" s="2" t="s">
        <v>1311</v>
      </c>
    </row>
    <row r="1499" spans="1:11">
      <c r="A1499" s="2" t="s">
        <v>1125</v>
      </c>
      <c r="B1499" s="2" t="s">
        <v>43</v>
      </c>
      <c r="C1499" s="2" t="s">
        <v>1309</v>
      </c>
      <c r="D1499" s="40">
        <v>1994000</v>
      </c>
      <c r="E1499" s="2" t="s">
        <v>295</v>
      </c>
      <c r="F1499" s="145">
        <v>3103</v>
      </c>
      <c r="H1499" s="2" t="s">
        <v>1310</v>
      </c>
      <c r="I1499" s="72">
        <v>45264</v>
      </c>
      <c r="K1499" s="2" t="s">
        <v>1311</v>
      </c>
    </row>
    <row r="1500" spans="1:11">
      <c r="A1500" s="2" t="s">
        <v>1126</v>
      </c>
      <c r="B1500" s="2" t="s">
        <v>43</v>
      </c>
      <c r="C1500" s="2" t="s">
        <v>1309</v>
      </c>
      <c r="D1500" s="40">
        <v>1997000</v>
      </c>
      <c r="E1500" s="2" t="s">
        <v>295</v>
      </c>
      <c r="F1500" s="145">
        <v>3106</v>
      </c>
      <c r="H1500" s="2" t="s">
        <v>1310</v>
      </c>
      <c r="I1500" s="72">
        <v>45267</v>
      </c>
      <c r="K1500" s="2" t="s">
        <v>1311</v>
      </c>
    </row>
    <row r="1501" spans="1:11">
      <c r="A1501" s="2" t="s">
        <v>1127</v>
      </c>
      <c r="B1501" s="2" t="s">
        <v>43</v>
      </c>
      <c r="C1501" s="2" t="s">
        <v>1309</v>
      </c>
      <c r="D1501" s="40">
        <v>2000000</v>
      </c>
      <c r="E1501" s="2" t="s">
        <v>295</v>
      </c>
      <c r="F1501" s="145">
        <v>3109</v>
      </c>
      <c r="H1501" s="2" t="s">
        <v>1310</v>
      </c>
      <c r="I1501" s="72">
        <v>45270</v>
      </c>
      <c r="K1501" s="2" t="s">
        <v>1311</v>
      </c>
    </row>
    <row r="1502" spans="1:11">
      <c r="A1502" s="2" t="s">
        <v>1128</v>
      </c>
      <c r="B1502" s="2" t="s">
        <v>43</v>
      </c>
      <c r="C1502" s="2" t="s">
        <v>1309</v>
      </c>
      <c r="D1502" s="40">
        <v>2003000</v>
      </c>
      <c r="E1502" s="2" t="s">
        <v>295</v>
      </c>
      <c r="F1502" s="145">
        <v>3112</v>
      </c>
      <c r="H1502" s="2" t="s">
        <v>1310</v>
      </c>
      <c r="I1502" s="72">
        <v>45273</v>
      </c>
      <c r="K1502" s="2" t="s">
        <v>1311</v>
      </c>
    </row>
    <row r="1503" spans="1:11">
      <c r="A1503" s="2" t="s">
        <v>1129</v>
      </c>
      <c r="B1503" s="2" t="s">
        <v>43</v>
      </c>
      <c r="C1503" s="2" t="s">
        <v>1309</v>
      </c>
      <c r="D1503" s="40">
        <v>2006000</v>
      </c>
      <c r="E1503" s="2" t="s">
        <v>295</v>
      </c>
      <c r="F1503" s="145">
        <v>3115</v>
      </c>
      <c r="H1503" s="2" t="s">
        <v>1310</v>
      </c>
      <c r="I1503" s="72">
        <v>45276</v>
      </c>
      <c r="K1503" s="2" t="s">
        <v>1311</v>
      </c>
    </row>
    <row r="1504" spans="1:11">
      <c r="A1504" s="2" t="s">
        <v>1130</v>
      </c>
      <c r="B1504" s="2" t="s">
        <v>43</v>
      </c>
      <c r="C1504" s="2" t="s">
        <v>1309</v>
      </c>
      <c r="D1504" s="40">
        <v>2009000</v>
      </c>
      <c r="E1504" s="2" t="s">
        <v>295</v>
      </c>
      <c r="F1504" s="145">
        <v>3118</v>
      </c>
      <c r="H1504" s="2" t="s">
        <v>1310</v>
      </c>
      <c r="I1504" s="72">
        <v>45279</v>
      </c>
      <c r="K1504" s="2" t="s">
        <v>1311</v>
      </c>
    </row>
    <row r="1505" spans="1:11">
      <c r="A1505" s="2" t="s">
        <v>1131</v>
      </c>
      <c r="B1505" s="2" t="s">
        <v>43</v>
      </c>
      <c r="C1505" s="2" t="s">
        <v>1309</v>
      </c>
      <c r="D1505" s="40">
        <v>2012000</v>
      </c>
      <c r="E1505" s="2" t="s">
        <v>295</v>
      </c>
      <c r="F1505" s="145">
        <v>3121</v>
      </c>
      <c r="H1505" s="2" t="s">
        <v>1310</v>
      </c>
      <c r="I1505" s="72">
        <v>45282</v>
      </c>
      <c r="K1505" s="2" t="s">
        <v>1311</v>
      </c>
    </row>
    <row r="1506" spans="1:11">
      <c r="A1506" s="2" t="s">
        <v>1132</v>
      </c>
      <c r="B1506" s="2" t="s">
        <v>43</v>
      </c>
      <c r="C1506" s="2" t="s">
        <v>1309</v>
      </c>
      <c r="D1506" s="40">
        <v>2015000</v>
      </c>
      <c r="E1506" s="2" t="s">
        <v>295</v>
      </c>
      <c r="F1506" s="145">
        <v>3124</v>
      </c>
      <c r="H1506" s="2" t="s">
        <v>1310</v>
      </c>
      <c r="I1506" s="72">
        <v>45285</v>
      </c>
      <c r="K1506" s="2" t="s">
        <v>1311</v>
      </c>
    </row>
    <row r="1507" spans="1:11">
      <c r="A1507" s="2" t="s">
        <v>1133</v>
      </c>
      <c r="B1507" s="2" t="s">
        <v>43</v>
      </c>
      <c r="C1507" s="2" t="s">
        <v>1309</v>
      </c>
      <c r="D1507" s="40">
        <v>2018000</v>
      </c>
      <c r="E1507" s="2" t="s">
        <v>295</v>
      </c>
      <c r="F1507" s="145">
        <v>3127</v>
      </c>
      <c r="H1507" s="2" t="s">
        <v>1310</v>
      </c>
      <c r="I1507" s="72">
        <v>45288</v>
      </c>
      <c r="K1507" s="2" t="s">
        <v>1311</v>
      </c>
    </row>
    <row r="1508" spans="1:11">
      <c r="A1508" s="2" t="s">
        <v>1134</v>
      </c>
      <c r="B1508" s="2" t="s">
        <v>43</v>
      </c>
      <c r="C1508" s="2" t="s">
        <v>1309</v>
      </c>
      <c r="D1508" s="40">
        <v>2021000</v>
      </c>
      <c r="E1508" s="2" t="s">
        <v>295</v>
      </c>
      <c r="F1508" s="145">
        <v>3130</v>
      </c>
      <c r="H1508" s="2" t="s">
        <v>1310</v>
      </c>
      <c r="I1508" s="72">
        <v>45291</v>
      </c>
      <c r="K1508" s="2" t="s">
        <v>1311</v>
      </c>
    </row>
    <row r="1509" spans="1:11">
      <c r="A1509" s="2" t="s">
        <v>1135</v>
      </c>
      <c r="B1509" s="2" t="s">
        <v>43</v>
      </c>
      <c r="C1509" s="2" t="s">
        <v>1309</v>
      </c>
      <c r="D1509" s="40">
        <v>2024000</v>
      </c>
      <c r="E1509" s="2" t="s">
        <v>295</v>
      </c>
      <c r="F1509" s="145">
        <v>3133</v>
      </c>
      <c r="H1509" s="2" t="s">
        <v>1310</v>
      </c>
      <c r="I1509" s="72">
        <v>45294</v>
      </c>
      <c r="K1509" s="2" t="s">
        <v>1311</v>
      </c>
    </row>
    <row r="1510" spans="1:11">
      <c r="A1510" s="2" t="s">
        <v>1136</v>
      </c>
      <c r="B1510" s="2" t="s">
        <v>43</v>
      </c>
      <c r="C1510" s="2" t="s">
        <v>1309</v>
      </c>
      <c r="D1510" s="40">
        <v>2027000</v>
      </c>
      <c r="E1510" s="2" t="s">
        <v>295</v>
      </c>
      <c r="F1510" s="145">
        <v>3136</v>
      </c>
      <c r="H1510" s="2" t="s">
        <v>1310</v>
      </c>
      <c r="I1510" s="72">
        <v>45297</v>
      </c>
      <c r="K1510" s="2" t="s">
        <v>1311</v>
      </c>
    </row>
    <row r="1511" spans="1:11">
      <c r="A1511" s="2" t="s">
        <v>1137</v>
      </c>
      <c r="B1511" s="2" t="s">
        <v>43</v>
      </c>
      <c r="C1511" s="2" t="s">
        <v>1309</v>
      </c>
      <c r="D1511" s="40">
        <v>2030000</v>
      </c>
      <c r="E1511" s="2" t="s">
        <v>295</v>
      </c>
      <c r="F1511" s="145">
        <v>3139</v>
      </c>
      <c r="H1511" s="2" t="s">
        <v>1310</v>
      </c>
      <c r="I1511" s="72">
        <v>45300</v>
      </c>
      <c r="K1511" s="2" t="s">
        <v>1311</v>
      </c>
    </row>
    <row r="1512" spans="1:11">
      <c r="A1512" s="2" t="s">
        <v>1138</v>
      </c>
      <c r="B1512" s="2" t="s">
        <v>43</v>
      </c>
      <c r="C1512" s="2" t="s">
        <v>1309</v>
      </c>
      <c r="D1512" s="40">
        <v>2033000</v>
      </c>
      <c r="E1512" s="2" t="s">
        <v>295</v>
      </c>
      <c r="F1512" s="145">
        <v>3142</v>
      </c>
      <c r="H1512" s="2" t="s">
        <v>1310</v>
      </c>
      <c r="I1512" s="72">
        <v>45303</v>
      </c>
      <c r="K1512" s="2" t="s">
        <v>1311</v>
      </c>
    </row>
    <row r="1513" spans="1:11">
      <c r="A1513" s="2" t="s">
        <v>1139</v>
      </c>
      <c r="B1513" s="2" t="s">
        <v>43</v>
      </c>
      <c r="C1513" s="2" t="s">
        <v>1309</v>
      </c>
      <c r="D1513" s="40">
        <v>2036000</v>
      </c>
      <c r="E1513" s="2" t="s">
        <v>295</v>
      </c>
      <c r="F1513" s="145">
        <v>3145</v>
      </c>
      <c r="H1513" s="2" t="s">
        <v>1310</v>
      </c>
      <c r="I1513" s="72">
        <v>45306</v>
      </c>
      <c r="K1513" s="2" t="s">
        <v>1311</v>
      </c>
    </row>
    <row r="1514" spans="1:11">
      <c r="A1514" s="2" t="s">
        <v>1140</v>
      </c>
      <c r="B1514" s="2" t="s">
        <v>43</v>
      </c>
      <c r="C1514" s="2" t="s">
        <v>1309</v>
      </c>
      <c r="D1514" s="40">
        <v>2039000</v>
      </c>
      <c r="E1514" s="2" t="s">
        <v>295</v>
      </c>
      <c r="F1514" s="145">
        <v>3148</v>
      </c>
      <c r="H1514" s="2" t="s">
        <v>1310</v>
      </c>
      <c r="I1514" s="72">
        <v>45309</v>
      </c>
      <c r="K1514" s="2" t="s">
        <v>1311</v>
      </c>
    </row>
    <row r="1515" spans="1:11">
      <c r="A1515" s="2" t="s">
        <v>1141</v>
      </c>
      <c r="B1515" s="2" t="s">
        <v>43</v>
      </c>
      <c r="C1515" s="2" t="s">
        <v>1309</v>
      </c>
      <c r="D1515" s="40">
        <v>2042000</v>
      </c>
      <c r="E1515" s="2" t="s">
        <v>295</v>
      </c>
      <c r="F1515" s="145">
        <v>3151</v>
      </c>
      <c r="H1515" s="2" t="s">
        <v>1310</v>
      </c>
      <c r="I1515" s="72">
        <v>45312</v>
      </c>
      <c r="K1515" s="2" t="s">
        <v>1311</v>
      </c>
    </row>
    <row r="1516" spans="1:11">
      <c r="A1516" s="2" t="s">
        <v>1142</v>
      </c>
      <c r="B1516" s="2" t="s">
        <v>43</v>
      </c>
      <c r="C1516" s="2" t="s">
        <v>1309</v>
      </c>
      <c r="D1516" s="40">
        <v>2045000</v>
      </c>
      <c r="E1516" s="2" t="s">
        <v>295</v>
      </c>
      <c r="F1516" s="145">
        <v>3154</v>
      </c>
      <c r="H1516" s="2" t="s">
        <v>1310</v>
      </c>
      <c r="I1516" s="72">
        <v>45315</v>
      </c>
      <c r="K1516" s="2" t="s">
        <v>1311</v>
      </c>
    </row>
    <row r="1517" spans="1:11">
      <c r="A1517" s="2" t="s">
        <v>1143</v>
      </c>
      <c r="B1517" s="2" t="s">
        <v>43</v>
      </c>
      <c r="C1517" s="2" t="s">
        <v>1309</v>
      </c>
      <c r="D1517" s="40">
        <v>2048000</v>
      </c>
      <c r="E1517" s="2" t="s">
        <v>295</v>
      </c>
      <c r="F1517" s="145">
        <v>3157</v>
      </c>
      <c r="H1517" s="2" t="s">
        <v>1310</v>
      </c>
      <c r="I1517" s="72">
        <v>45318</v>
      </c>
      <c r="K1517" s="2" t="s">
        <v>1311</v>
      </c>
    </row>
    <row r="1518" spans="1:11">
      <c r="A1518" s="2" t="s">
        <v>1144</v>
      </c>
      <c r="B1518" s="2" t="s">
        <v>43</v>
      </c>
      <c r="C1518" s="2" t="s">
        <v>1309</v>
      </c>
      <c r="D1518" s="40">
        <v>2051000</v>
      </c>
      <c r="E1518" s="2" t="s">
        <v>295</v>
      </c>
      <c r="F1518" s="145">
        <v>3160</v>
      </c>
      <c r="H1518" s="2" t="s">
        <v>1310</v>
      </c>
      <c r="I1518" s="72">
        <v>45321</v>
      </c>
      <c r="K1518" s="2" t="s">
        <v>1311</v>
      </c>
    </row>
    <row r="1519" spans="1:11">
      <c r="A1519" s="2" t="s">
        <v>1145</v>
      </c>
      <c r="B1519" s="2" t="s">
        <v>43</v>
      </c>
      <c r="C1519" s="2" t="s">
        <v>1309</v>
      </c>
      <c r="D1519" s="40">
        <v>2054000</v>
      </c>
      <c r="E1519" s="2" t="s">
        <v>295</v>
      </c>
      <c r="F1519" s="145">
        <v>3163</v>
      </c>
      <c r="H1519" s="2" t="s">
        <v>1310</v>
      </c>
      <c r="I1519" s="72">
        <v>45324</v>
      </c>
      <c r="K1519" s="2" t="s">
        <v>1311</v>
      </c>
    </row>
    <row r="1520" spans="1:11">
      <c r="A1520" s="2" t="s">
        <v>1146</v>
      </c>
      <c r="B1520" s="2" t="s">
        <v>43</v>
      </c>
      <c r="C1520" s="2" t="s">
        <v>1309</v>
      </c>
      <c r="D1520" s="40">
        <v>2057000</v>
      </c>
      <c r="E1520" s="2" t="s">
        <v>295</v>
      </c>
      <c r="F1520" s="145">
        <v>3166</v>
      </c>
      <c r="H1520" s="2" t="s">
        <v>1310</v>
      </c>
      <c r="I1520" s="72">
        <v>45327</v>
      </c>
      <c r="K1520" s="2" t="s">
        <v>1311</v>
      </c>
    </row>
    <row r="1521" spans="1:11">
      <c r="A1521" s="2" t="s">
        <v>1147</v>
      </c>
      <c r="B1521" s="2" t="s">
        <v>43</v>
      </c>
      <c r="C1521" s="2" t="s">
        <v>1309</v>
      </c>
      <c r="D1521" s="40">
        <v>2060000</v>
      </c>
      <c r="E1521" s="2" t="s">
        <v>295</v>
      </c>
      <c r="F1521" s="145">
        <v>3169</v>
      </c>
      <c r="H1521" s="2" t="s">
        <v>1310</v>
      </c>
      <c r="I1521" s="72">
        <v>45330</v>
      </c>
      <c r="K1521" s="2" t="s">
        <v>1311</v>
      </c>
    </row>
    <row r="1522" spans="1:11">
      <c r="A1522" s="2" t="s">
        <v>1148</v>
      </c>
      <c r="B1522" s="2" t="s">
        <v>43</v>
      </c>
      <c r="C1522" s="2" t="s">
        <v>1309</v>
      </c>
      <c r="D1522" s="40">
        <v>2063000</v>
      </c>
      <c r="E1522" s="2" t="s">
        <v>295</v>
      </c>
      <c r="F1522" s="145">
        <v>3172</v>
      </c>
      <c r="H1522" s="2" t="s">
        <v>1310</v>
      </c>
      <c r="I1522" s="72">
        <v>45333</v>
      </c>
      <c r="K1522" s="2" t="s">
        <v>1311</v>
      </c>
    </row>
    <row r="1523" spans="1:11">
      <c r="A1523" s="2" t="s">
        <v>1149</v>
      </c>
      <c r="B1523" s="2" t="s">
        <v>43</v>
      </c>
      <c r="C1523" s="2" t="s">
        <v>1309</v>
      </c>
      <c r="D1523" s="40">
        <v>2066000</v>
      </c>
      <c r="E1523" s="2" t="s">
        <v>295</v>
      </c>
      <c r="F1523" s="145">
        <v>3175</v>
      </c>
      <c r="H1523" s="2" t="s">
        <v>1310</v>
      </c>
      <c r="I1523" s="72">
        <v>45336</v>
      </c>
      <c r="K1523" s="2" t="s">
        <v>1311</v>
      </c>
    </row>
    <row r="1524" spans="1:11">
      <c r="A1524" s="2" t="s">
        <v>1150</v>
      </c>
      <c r="B1524" s="2" t="s">
        <v>43</v>
      </c>
      <c r="C1524" s="2" t="s">
        <v>1309</v>
      </c>
      <c r="D1524" s="40">
        <v>2069000</v>
      </c>
      <c r="E1524" s="2" t="s">
        <v>295</v>
      </c>
      <c r="F1524" s="145">
        <v>3178</v>
      </c>
      <c r="H1524" s="2" t="s">
        <v>1310</v>
      </c>
      <c r="I1524" s="72">
        <v>45339</v>
      </c>
      <c r="K1524" s="2" t="s">
        <v>1311</v>
      </c>
    </row>
    <row r="1525" spans="1:11">
      <c r="A1525" s="2" t="s">
        <v>1151</v>
      </c>
      <c r="B1525" s="2" t="s">
        <v>43</v>
      </c>
      <c r="C1525" s="2" t="s">
        <v>1309</v>
      </c>
      <c r="D1525" s="40">
        <v>2072000</v>
      </c>
      <c r="E1525" s="2" t="s">
        <v>295</v>
      </c>
      <c r="F1525" s="145">
        <v>3181</v>
      </c>
      <c r="H1525" s="2" t="s">
        <v>1310</v>
      </c>
      <c r="I1525" s="72">
        <v>45342</v>
      </c>
      <c r="K1525" s="2" t="s">
        <v>1311</v>
      </c>
    </row>
    <row r="1526" spans="1:11">
      <c r="A1526" s="2" t="s">
        <v>1152</v>
      </c>
      <c r="B1526" s="2" t="s">
        <v>43</v>
      </c>
      <c r="C1526" s="2" t="s">
        <v>1309</v>
      </c>
      <c r="D1526" s="40">
        <v>2075000</v>
      </c>
      <c r="E1526" s="2" t="s">
        <v>295</v>
      </c>
      <c r="F1526" s="145">
        <v>3184</v>
      </c>
      <c r="H1526" s="2" t="s">
        <v>1310</v>
      </c>
      <c r="I1526" s="72">
        <v>45345</v>
      </c>
      <c r="K1526" s="2" t="s">
        <v>1311</v>
      </c>
    </row>
    <row r="1527" spans="1:11">
      <c r="A1527" s="2" t="s">
        <v>1153</v>
      </c>
      <c r="B1527" s="2" t="s">
        <v>43</v>
      </c>
      <c r="C1527" s="2" t="s">
        <v>1309</v>
      </c>
      <c r="D1527" s="40">
        <v>2078000</v>
      </c>
      <c r="E1527" s="2" t="s">
        <v>295</v>
      </c>
      <c r="F1527" s="145">
        <v>3187</v>
      </c>
      <c r="H1527" s="2" t="s">
        <v>1310</v>
      </c>
      <c r="I1527" s="72">
        <v>45348</v>
      </c>
      <c r="K1527" s="2" t="s">
        <v>1311</v>
      </c>
    </row>
    <row r="1528" spans="1:11">
      <c r="A1528" s="2" t="s">
        <v>1154</v>
      </c>
      <c r="B1528" s="2" t="s">
        <v>43</v>
      </c>
      <c r="C1528" s="2" t="s">
        <v>1309</v>
      </c>
      <c r="D1528" s="40">
        <v>2081000</v>
      </c>
      <c r="E1528" s="2" t="s">
        <v>295</v>
      </c>
      <c r="F1528" s="145">
        <v>3190</v>
      </c>
      <c r="H1528" s="2" t="s">
        <v>1310</v>
      </c>
      <c r="I1528" s="72">
        <v>45351</v>
      </c>
      <c r="K1528" s="2" t="s">
        <v>1311</v>
      </c>
    </row>
    <row r="1529" spans="1:11">
      <c r="A1529" s="2" t="s">
        <v>1155</v>
      </c>
      <c r="B1529" s="2" t="s">
        <v>43</v>
      </c>
      <c r="C1529" s="2" t="s">
        <v>1309</v>
      </c>
      <c r="D1529" s="40">
        <v>2084000</v>
      </c>
      <c r="E1529" s="2" t="s">
        <v>295</v>
      </c>
      <c r="F1529" s="145">
        <v>3193</v>
      </c>
      <c r="H1529" s="2" t="s">
        <v>1310</v>
      </c>
      <c r="I1529" s="72">
        <v>45354</v>
      </c>
      <c r="K1529" s="2" t="s">
        <v>1311</v>
      </c>
    </row>
    <row r="1530" spans="1:11">
      <c r="A1530" s="2" t="s">
        <v>1156</v>
      </c>
      <c r="B1530" s="2" t="s">
        <v>43</v>
      </c>
      <c r="C1530" s="2" t="s">
        <v>1309</v>
      </c>
      <c r="D1530" s="40">
        <v>2087000</v>
      </c>
      <c r="E1530" s="2" t="s">
        <v>295</v>
      </c>
      <c r="F1530" s="145">
        <v>3196</v>
      </c>
      <c r="H1530" s="2" t="s">
        <v>1310</v>
      </c>
      <c r="I1530" s="72">
        <v>45357</v>
      </c>
      <c r="K1530" s="2" t="s">
        <v>1311</v>
      </c>
    </row>
    <row r="1531" spans="1:11">
      <c r="A1531" s="2" t="s">
        <v>1157</v>
      </c>
      <c r="B1531" s="2" t="s">
        <v>43</v>
      </c>
      <c r="C1531" s="2" t="s">
        <v>1309</v>
      </c>
      <c r="D1531" s="40">
        <v>2090000</v>
      </c>
      <c r="E1531" s="2" t="s">
        <v>295</v>
      </c>
      <c r="F1531" s="145">
        <v>3199</v>
      </c>
      <c r="H1531" s="2" t="s">
        <v>1310</v>
      </c>
      <c r="I1531" s="72">
        <v>45360</v>
      </c>
      <c r="K1531" s="2" t="s">
        <v>1311</v>
      </c>
    </row>
    <row r="1532" spans="1:11">
      <c r="A1532" s="2" t="s">
        <v>1158</v>
      </c>
      <c r="B1532" s="2" t="s">
        <v>43</v>
      </c>
      <c r="C1532" s="2" t="s">
        <v>1309</v>
      </c>
      <c r="D1532" s="40">
        <v>2093000</v>
      </c>
      <c r="E1532" s="2" t="s">
        <v>295</v>
      </c>
      <c r="F1532" s="145">
        <v>3202</v>
      </c>
      <c r="H1532" s="2" t="s">
        <v>1310</v>
      </c>
      <c r="I1532" s="72">
        <v>45363</v>
      </c>
      <c r="K1532" s="2" t="s">
        <v>1311</v>
      </c>
    </row>
    <row r="1533" spans="1:11">
      <c r="A1533" s="2" t="s">
        <v>1159</v>
      </c>
      <c r="B1533" s="2" t="s">
        <v>43</v>
      </c>
      <c r="C1533" s="2" t="s">
        <v>1309</v>
      </c>
      <c r="D1533" s="40">
        <v>2096000</v>
      </c>
      <c r="E1533" s="2" t="s">
        <v>295</v>
      </c>
      <c r="F1533" s="145">
        <v>3205</v>
      </c>
      <c r="H1533" s="2" t="s">
        <v>1310</v>
      </c>
      <c r="I1533" s="72">
        <v>45366</v>
      </c>
      <c r="K1533" s="2" t="s">
        <v>1311</v>
      </c>
    </row>
    <row r="1534" spans="1:11">
      <c r="A1534" s="2" t="s">
        <v>1160</v>
      </c>
      <c r="B1534" s="2" t="s">
        <v>43</v>
      </c>
      <c r="C1534" s="2" t="s">
        <v>1309</v>
      </c>
      <c r="D1534" s="40">
        <v>2099000</v>
      </c>
      <c r="E1534" s="2" t="s">
        <v>295</v>
      </c>
      <c r="F1534" s="145">
        <v>3208</v>
      </c>
      <c r="H1534" s="2" t="s">
        <v>1310</v>
      </c>
      <c r="I1534" s="72">
        <v>45369</v>
      </c>
      <c r="K1534" s="2" t="s">
        <v>1311</v>
      </c>
    </row>
    <row r="1535" spans="1:11">
      <c r="A1535" s="2" t="s">
        <v>1161</v>
      </c>
      <c r="B1535" s="2" t="s">
        <v>43</v>
      </c>
      <c r="C1535" s="2" t="s">
        <v>1309</v>
      </c>
      <c r="D1535" s="40">
        <v>2102000</v>
      </c>
      <c r="E1535" s="2" t="s">
        <v>295</v>
      </c>
      <c r="F1535" s="145">
        <v>3211</v>
      </c>
      <c r="H1535" s="2" t="s">
        <v>1310</v>
      </c>
      <c r="I1535" s="72">
        <v>45372</v>
      </c>
      <c r="K1535" s="2" t="s">
        <v>1311</v>
      </c>
    </row>
    <row r="1536" spans="1:11">
      <c r="A1536" s="2" t="s">
        <v>1162</v>
      </c>
      <c r="B1536" s="2" t="s">
        <v>43</v>
      </c>
      <c r="C1536" s="2" t="s">
        <v>1309</v>
      </c>
      <c r="D1536" s="40">
        <v>2105000</v>
      </c>
      <c r="E1536" s="2" t="s">
        <v>295</v>
      </c>
      <c r="F1536" s="145">
        <v>3214</v>
      </c>
      <c r="H1536" s="2" t="s">
        <v>1310</v>
      </c>
      <c r="I1536" s="72">
        <v>45375</v>
      </c>
      <c r="K1536" s="2" t="s">
        <v>1311</v>
      </c>
    </row>
    <row r="1537" spans="1:11">
      <c r="A1537" s="2" t="s">
        <v>1163</v>
      </c>
      <c r="B1537" s="2" t="s">
        <v>43</v>
      </c>
      <c r="C1537" s="2" t="s">
        <v>1309</v>
      </c>
      <c r="D1537" s="40">
        <v>2108000</v>
      </c>
      <c r="E1537" s="2" t="s">
        <v>295</v>
      </c>
      <c r="F1537" s="145">
        <v>3217</v>
      </c>
      <c r="H1537" s="2" t="s">
        <v>1310</v>
      </c>
      <c r="I1537" s="72">
        <v>45378</v>
      </c>
      <c r="K1537" s="2" t="s">
        <v>1311</v>
      </c>
    </row>
    <row r="1538" spans="1:11">
      <c r="A1538" s="2" t="s">
        <v>1164</v>
      </c>
      <c r="B1538" s="2" t="s">
        <v>43</v>
      </c>
      <c r="C1538" s="2" t="s">
        <v>1309</v>
      </c>
      <c r="D1538" s="40">
        <v>2111000</v>
      </c>
      <c r="E1538" s="2" t="s">
        <v>295</v>
      </c>
      <c r="F1538" s="145">
        <v>3220</v>
      </c>
      <c r="H1538" s="2" t="s">
        <v>1310</v>
      </c>
      <c r="I1538" s="72">
        <v>45381</v>
      </c>
      <c r="K1538" s="2" t="s">
        <v>1311</v>
      </c>
    </row>
    <row r="1539" spans="1:11">
      <c r="A1539" s="2" t="s">
        <v>1165</v>
      </c>
      <c r="B1539" s="2" t="s">
        <v>43</v>
      </c>
      <c r="C1539" s="2" t="s">
        <v>1309</v>
      </c>
      <c r="D1539" s="40">
        <v>2114000</v>
      </c>
      <c r="E1539" s="2" t="s">
        <v>295</v>
      </c>
      <c r="F1539" s="145">
        <v>3223</v>
      </c>
      <c r="H1539" s="2" t="s">
        <v>1310</v>
      </c>
      <c r="I1539" s="72">
        <v>45384</v>
      </c>
      <c r="K1539" s="2" t="s">
        <v>1311</v>
      </c>
    </row>
    <row r="1540" spans="1:11">
      <c r="A1540" s="2" t="s">
        <v>1166</v>
      </c>
      <c r="B1540" s="2" t="s">
        <v>43</v>
      </c>
      <c r="C1540" s="2" t="s">
        <v>1309</v>
      </c>
      <c r="D1540" s="40">
        <v>2117000</v>
      </c>
      <c r="E1540" s="2" t="s">
        <v>295</v>
      </c>
      <c r="F1540" s="145">
        <v>3226</v>
      </c>
      <c r="H1540" s="2" t="s">
        <v>1310</v>
      </c>
      <c r="I1540" s="72">
        <v>45387</v>
      </c>
      <c r="K1540" s="2" t="s">
        <v>1311</v>
      </c>
    </row>
    <row r="1541" spans="1:11">
      <c r="A1541" s="2" t="s">
        <v>1167</v>
      </c>
      <c r="B1541" s="2" t="s">
        <v>43</v>
      </c>
      <c r="C1541" s="2" t="s">
        <v>1309</v>
      </c>
      <c r="D1541" s="40">
        <v>2120000</v>
      </c>
      <c r="E1541" s="2" t="s">
        <v>295</v>
      </c>
      <c r="F1541" s="145">
        <v>3229</v>
      </c>
      <c r="H1541" s="2" t="s">
        <v>1310</v>
      </c>
      <c r="I1541" s="72">
        <v>45390</v>
      </c>
      <c r="K1541" s="2" t="s">
        <v>1311</v>
      </c>
    </row>
    <row r="1542" spans="1:11">
      <c r="A1542" s="2" t="s">
        <v>1168</v>
      </c>
      <c r="B1542" s="2" t="s">
        <v>43</v>
      </c>
      <c r="C1542" s="2" t="s">
        <v>1309</v>
      </c>
      <c r="D1542" s="40">
        <v>2123000</v>
      </c>
      <c r="E1542" s="2" t="s">
        <v>295</v>
      </c>
      <c r="F1542" s="145">
        <v>3232</v>
      </c>
      <c r="H1542" s="2" t="s">
        <v>1310</v>
      </c>
      <c r="I1542" s="72">
        <v>45393</v>
      </c>
      <c r="K1542" s="2" t="s">
        <v>1311</v>
      </c>
    </row>
    <row r="1543" spans="1:11">
      <c r="A1543" s="2" t="s">
        <v>1169</v>
      </c>
      <c r="B1543" s="2" t="s">
        <v>43</v>
      </c>
      <c r="C1543" s="2" t="s">
        <v>1309</v>
      </c>
      <c r="D1543" s="40">
        <v>2126000</v>
      </c>
      <c r="E1543" s="2" t="s">
        <v>295</v>
      </c>
      <c r="F1543" s="145">
        <v>3235</v>
      </c>
      <c r="H1543" s="2" t="s">
        <v>1310</v>
      </c>
      <c r="I1543" s="72">
        <v>45396</v>
      </c>
      <c r="K1543" s="2" t="s">
        <v>1311</v>
      </c>
    </row>
    <row r="1544" spans="1:11">
      <c r="A1544" s="2" t="s">
        <v>1170</v>
      </c>
      <c r="B1544" s="2" t="s">
        <v>43</v>
      </c>
      <c r="C1544" s="2" t="s">
        <v>1309</v>
      </c>
      <c r="D1544" s="40">
        <v>2129000</v>
      </c>
      <c r="E1544" s="2" t="s">
        <v>295</v>
      </c>
      <c r="F1544" s="145">
        <v>3238</v>
      </c>
      <c r="H1544" s="2" t="s">
        <v>1310</v>
      </c>
      <c r="I1544" s="72">
        <v>45399</v>
      </c>
      <c r="K1544" s="2" t="s">
        <v>1311</v>
      </c>
    </row>
    <row r="1545" spans="1:11">
      <c r="A1545" s="2" t="s">
        <v>1171</v>
      </c>
      <c r="B1545" s="2" t="s">
        <v>43</v>
      </c>
      <c r="C1545" s="2" t="s">
        <v>1309</v>
      </c>
      <c r="D1545" s="40">
        <v>2132000</v>
      </c>
      <c r="E1545" s="2" t="s">
        <v>295</v>
      </c>
      <c r="F1545" s="145">
        <v>3241</v>
      </c>
      <c r="H1545" s="2" t="s">
        <v>1310</v>
      </c>
      <c r="I1545" s="72">
        <v>45402</v>
      </c>
      <c r="K1545" s="2" t="s">
        <v>1311</v>
      </c>
    </row>
    <row r="1546" spans="1:11">
      <c r="A1546" s="2" t="s">
        <v>1172</v>
      </c>
      <c r="B1546" s="2" t="s">
        <v>43</v>
      </c>
      <c r="C1546" s="2" t="s">
        <v>1309</v>
      </c>
      <c r="D1546" s="40">
        <v>2135000</v>
      </c>
      <c r="E1546" s="2" t="s">
        <v>295</v>
      </c>
      <c r="F1546" s="145">
        <v>3244</v>
      </c>
      <c r="H1546" s="2" t="s">
        <v>1310</v>
      </c>
      <c r="I1546" s="72">
        <v>45405</v>
      </c>
      <c r="K1546" s="2" t="s">
        <v>1311</v>
      </c>
    </row>
    <row r="1547" spans="1:11">
      <c r="A1547" s="2" t="s">
        <v>1173</v>
      </c>
      <c r="B1547" s="2" t="s">
        <v>43</v>
      </c>
      <c r="C1547" s="2" t="s">
        <v>1309</v>
      </c>
      <c r="D1547" s="40">
        <v>2138000</v>
      </c>
      <c r="E1547" s="2" t="s">
        <v>295</v>
      </c>
      <c r="F1547" s="145">
        <v>3247</v>
      </c>
      <c r="H1547" s="2" t="s">
        <v>1310</v>
      </c>
      <c r="I1547" s="72">
        <v>45408</v>
      </c>
      <c r="K1547" s="2" t="s">
        <v>1311</v>
      </c>
    </row>
    <row r="1548" spans="1:11">
      <c r="A1548" s="2" t="s">
        <v>1174</v>
      </c>
      <c r="B1548" s="2" t="s">
        <v>43</v>
      </c>
      <c r="C1548" s="2" t="s">
        <v>1309</v>
      </c>
      <c r="D1548" s="40">
        <v>2141000</v>
      </c>
      <c r="E1548" s="2" t="s">
        <v>295</v>
      </c>
      <c r="F1548" s="145">
        <v>3250</v>
      </c>
      <c r="H1548" s="2" t="s">
        <v>1310</v>
      </c>
      <c r="I1548" s="72">
        <v>45411</v>
      </c>
      <c r="K1548" s="2" t="s">
        <v>1311</v>
      </c>
    </row>
    <row r="1549" spans="1:11">
      <c r="A1549" s="2" t="s">
        <v>1175</v>
      </c>
      <c r="B1549" s="2" t="s">
        <v>43</v>
      </c>
      <c r="C1549" s="2" t="s">
        <v>1309</v>
      </c>
      <c r="D1549" s="40">
        <v>2144000</v>
      </c>
      <c r="E1549" s="2" t="s">
        <v>295</v>
      </c>
      <c r="F1549" s="145">
        <v>3253</v>
      </c>
      <c r="H1549" s="2" t="s">
        <v>1310</v>
      </c>
      <c r="I1549" s="72">
        <v>45414</v>
      </c>
      <c r="K1549" s="2" t="s">
        <v>1311</v>
      </c>
    </row>
    <row r="1550" spans="1:11">
      <c r="A1550" s="2" t="s">
        <v>1176</v>
      </c>
      <c r="B1550" s="2" t="s">
        <v>43</v>
      </c>
      <c r="C1550" s="2" t="s">
        <v>1309</v>
      </c>
      <c r="D1550" s="40">
        <v>2147000</v>
      </c>
      <c r="E1550" s="2" t="s">
        <v>295</v>
      </c>
      <c r="F1550" s="145">
        <v>3256</v>
      </c>
      <c r="H1550" s="2" t="s">
        <v>1310</v>
      </c>
      <c r="I1550" s="72">
        <v>45417</v>
      </c>
      <c r="K1550" s="2" t="s">
        <v>1311</v>
      </c>
    </row>
    <row r="1551" spans="1:11">
      <c r="A1551" s="2" t="s">
        <v>1177</v>
      </c>
      <c r="B1551" s="2" t="s">
        <v>43</v>
      </c>
      <c r="C1551" s="2" t="s">
        <v>1309</v>
      </c>
      <c r="D1551" s="40">
        <v>2150000</v>
      </c>
      <c r="E1551" s="2" t="s">
        <v>295</v>
      </c>
      <c r="F1551" s="145">
        <v>3259</v>
      </c>
      <c r="H1551" s="2" t="s">
        <v>1310</v>
      </c>
      <c r="I1551" s="72">
        <v>45420</v>
      </c>
      <c r="K1551" s="2" t="s">
        <v>1311</v>
      </c>
    </row>
    <row r="1552" spans="1:11">
      <c r="A1552" s="2" t="s">
        <v>66</v>
      </c>
      <c r="B1552" s="2" t="s">
        <v>43</v>
      </c>
      <c r="C1552" s="2" t="s">
        <v>1309</v>
      </c>
      <c r="D1552" s="40">
        <v>2153000</v>
      </c>
      <c r="E1552" s="2" t="s">
        <v>295</v>
      </c>
      <c r="F1552" s="145">
        <v>3262</v>
      </c>
      <c r="H1552" s="2" t="s">
        <v>1310</v>
      </c>
      <c r="I1552" s="72">
        <v>45423</v>
      </c>
      <c r="K1552" s="2" t="s">
        <v>1311</v>
      </c>
    </row>
    <row r="1553" spans="1:11">
      <c r="A1553" s="2" t="s">
        <v>1178</v>
      </c>
      <c r="B1553" s="2" t="s">
        <v>43</v>
      </c>
      <c r="C1553" s="2" t="s">
        <v>1309</v>
      </c>
      <c r="D1553" s="40">
        <v>2156000</v>
      </c>
      <c r="E1553" s="2" t="s">
        <v>295</v>
      </c>
      <c r="F1553" s="145">
        <v>3265</v>
      </c>
      <c r="H1553" s="2" t="s">
        <v>1310</v>
      </c>
      <c r="I1553" s="72">
        <v>45426</v>
      </c>
      <c r="K1553" s="2" t="s">
        <v>1311</v>
      </c>
    </row>
    <row r="1554" spans="1:11">
      <c r="A1554" s="2" t="s">
        <v>1179</v>
      </c>
      <c r="B1554" s="2" t="s">
        <v>43</v>
      </c>
      <c r="C1554" s="2" t="s">
        <v>1309</v>
      </c>
      <c r="D1554" s="40">
        <v>2159000</v>
      </c>
      <c r="E1554" s="2" t="s">
        <v>295</v>
      </c>
      <c r="F1554" s="145">
        <v>3268</v>
      </c>
      <c r="H1554" s="2" t="s">
        <v>1310</v>
      </c>
      <c r="I1554" s="72">
        <v>45429</v>
      </c>
      <c r="K1554" s="2" t="s">
        <v>1311</v>
      </c>
    </row>
    <row r="1555" spans="1:11">
      <c r="A1555" s="2" t="s">
        <v>1180</v>
      </c>
      <c r="B1555" s="2" t="s">
        <v>43</v>
      </c>
      <c r="C1555" s="2" t="s">
        <v>1309</v>
      </c>
      <c r="D1555" s="40">
        <v>2162000</v>
      </c>
      <c r="E1555" s="2" t="s">
        <v>295</v>
      </c>
      <c r="F1555" s="145">
        <v>3271</v>
      </c>
      <c r="H1555" s="2" t="s">
        <v>1310</v>
      </c>
      <c r="I1555" s="72">
        <v>45432</v>
      </c>
      <c r="K1555" s="2" t="s">
        <v>1311</v>
      </c>
    </row>
    <row r="1556" spans="1:11">
      <c r="A1556" s="2" t="s">
        <v>1181</v>
      </c>
      <c r="B1556" s="2" t="s">
        <v>43</v>
      </c>
      <c r="C1556" s="2" t="s">
        <v>1309</v>
      </c>
      <c r="D1556" s="40">
        <v>2165000</v>
      </c>
      <c r="E1556" s="2" t="s">
        <v>295</v>
      </c>
      <c r="F1556" s="145">
        <v>3274</v>
      </c>
      <c r="H1556" s="2" t="s">
        <v>1310</v>
      </c>
      <c r="I1556" s="72">
        <v>45435</v>
      </c>
      <c r="K1556" s="2" t="s">
        <v>1311</v>
      </c>
    </row>
    <row r="1557" spans="1:11">
      <c r="A1557" s="2" t="s">
        <v>1182</v>
      </c>
      <c r="B1557" s="2" t="s">
        <v>43</v>
      </c>
      <c r="C1557" s="2" t="s">
        <v>1309</v>
      </c>
      <c r="D1557" s="40">
        <v>2168000</v>
      </c>
      <c r="E1557" s="2" t="s">
        <v>295</v>
      </c>
      <c r="F1557" s="145">
        <v>3277</v>
      </c>
      <c r="H1557" s="2" t="s">
        <v>1310</v>
      </c>
      <c r="I1557" s="72">
        <v>45438</v>
      </c>
      <c r="K1557" s="2" t="s">
        <v>1311</v>
      </c>
    </row>
    <row r="1558" spans="1:11">
      <c r="A1558" s="2" t="s">
        <v>1183</v>
      </c>
      <c r="B1558" s="2" t="s">
        <v>43</v>
      </c>
      <c r="C1558" s="2" t="s">
        <v>1309</v>
      </c>
      <c r="D1558" s="40">
        <v>2171000</v>
      </c>
      <c r="E1558" s="2" t="s">
        <v>295</v>
      </c>
      <c r="F1558" s="145">
        <v>3280</v>
      </c>
      <c r="H1558" s="2" t="s">
        <v>1310</v>
      </c>
      <c r="I1558" s="72">
        <v>45441</v>
      </c>
      <c r="K1558" s="2" t="s">
        <v>1311</v>
      </c>
    </row>
    <row r="1559" spans="1:11">
      <c r="A1559" s="2" t="s">
        <v>1184</v>
      </c>
      <c r="B1559" s="2" t="s">
        <v>43</v>
      </c>
      <c r="C1559" s="2" t="s">
        <v>1309</v>
      </c>
      <c r="D1559" s="40">
        <v>2174000</v>
      </c>
      <c r="E1559" s="2" t="s">
        <v>295</v>
      </c>
      <c r="F1559" s="145">
        <v>3283</v>
      </c>
      <c r="H1559" s="2" t="s">
        <v>1310</v>
      </c>
      <c r="I1559" s="72">
        <v>45444</v>
      </c>
      <c r="K1559" s="2" t="s">
        <v>1311</v>
      </c>
    </row>
    <row r="1560" spans="1:11">
      <c r="A1560" s="2" t="s">
        <v>1185</v>
      </c>
      <c r="B1560" s="2" t="s">
        <v>43</v>
      </c>
      <c r="C1560" s="2" t="s">
        <v>1309</v>
      </c>
      <c r="D1560" s="40">
        <v>2177000</v>
      </c>
      <c r="E1560" s="2" t="s">
        <v>295</v>
      </c>
      <c r="F1560" s="145">
        <v>3286</v>
      </c>
      <c r="H1560" s="2" t="s">
        <v>1310</v>
      </c>
      <c r="I1560" s="72">
        <v>45447</v>
      </c>
      <c r="K1560" s="2" t="s">
        <v>1311</v>
      </c>
    </row>
    <row r="1561" spans="1:11">
      <c r="A1561" s="2" t="s">
        <v>1186</v>
      </c>
      <c r="B1561" s="2" t="s">
        <v>43</v>
      </c>
      <c r="C1561" s="2" t="s">
        <v>1309</v>
      </c>
      <c r="D1561" s="40">
        <v>2180000</v>
      </c>
      <c r="E1561" s="2" t="s">
        <v>295</v>
      </c>
      <c r="F1561" s="145">
        <v>3289</v>
      </c>
      <c r="H1561" s="2" t="s">
        <v>1310</v>
      </c>
      <c r="I1561" s="72">
        <v>45450</v>
      </c>
      <c r="K1561" s="2" t="s">
        <v>1311</v>
      </c>
    </row>
    <row r="1562" spans="1:11">
      <c r="A1562" s="2" t="s">
        <v>1187</v>
      </c>
      <c r="B1562" s="2" t="s">
        <v>43</v>
      </c>
      <c r="C1562" s="2" t="s">
        <v>1309</v>
      </c>
      <c r="D1562" s="40">
        <v>2183000</v>
      </c>
      <c r="E1562" s="2" t="s">
        <v>295</v>
      </c>
      <c r="F1562" s="145">
        <v>3292</v>
      </c>
      <c r="H1562" s="2" t="s">
        <v>1310</v>
      </c>
      <c r="I1562" s="72">
        <v>45453</v>
      </c>
      <c r="K1562" s="2" t="s">
        <v>1311</v>
      </c>
    </row>
    <row r="1563" spans="1:11">
      <c r="A1563" s="2" t="s">
        <v>1188</v>
      </c>
      <c r="B1563" s="2" t="s">
        <v>43</v>
      </c>
      <c r="C1563" s="2" t="s">
        <v>1309</v>
      </c>
      <c r="D1563" s="40">
        <v>2186000</v>
      </c>
      <c r="E1563" s="2" t="s">
        <v>295</v>
      </c>
      <c r="F1563" s="145">
        <v>3295</v>
      </c>
      <c r="H1563" s="2" t="s">
        <v>1310</v>
      </c>
      <c r="I1563" s="72">
        <v>45456</v>
      </c>
      <c r="K1563" s="2" t="s">
        <v>1311</v>
      </c>
    </row>
    <row r="1564" spans="1:11">
      <c r="A1564" s="2" t="s">
        <v>1189</v>
      </c>
      <c r="B1564" s="2" t="s">
        <v>43</v>
      </c>
      <c r="C1564" s="2" t="s">
        <v>1309</v>
      </c>
      <c r="D1564" s="40">
        <v>2189000</v>
      </c>
      <c r="E1564" s="2" t="s">
        <v>295</v>
      </c>
      <c r="F1564" s="145">
        <v>3298</v>
      </c>
      <c r="H1564" s="2" t="s">
        <v>1310</v>
      </c>
      <c r="I1564" s="72">
        <v>45459</v>
      </c>
      <c r="K1564" s="2" t="s">
        <v>1311</v>
      </c>
    </row>
    <row r="1565" spans="1:11">
      <c r="A1565" s="2" t="s">
        <v>1190</v>
      </c>
      <c r="B1565" s="2" t="s">
        <v>43</v>
      </c>
      <c r="C1565" s="2" t="s">
        <v>1309</v>
      </c>
      <c r="D1565" s="40">
        <v>2192000</v>
      </c>
      <c r="E1565" s="2" t="s">
        <v>295</v>
      </c>
      <c r="F1565" s="145">
        <v>3301</v>
      </c>
      <c r="H1565" s="2" t="s">
        <v>1310</v>
      </c>
      <c r="I1565" s="72">
        <v>45462</v>
      </c>
      <c r="K1565" s="2" t="s">
        <v>1311</v>
      </c>
    </row>
    <row r="1566" spans="1:11">
      <c r="A1566" s="2" t="s">
        <v>1191</v>
      </c>
      <c r="B1566" s="2" t="s">
        <v>43</v>
      </c>
      <c r="C1566" s="2" t="s">
        <v>1309</v>
      </c>
      <c r="D1566" s="40">
        <v>2195000</v>
      </c>
      <c r="E1566" s="2" t="s">
        <v>295</v>
      </c>
      <c r="F1566" s="145">
        <v>3304</v>
      </c>
      <c r="H1566" s="2" t="s">
        <v>1310</v>
      </c>
      <c r="I1566" s="72">
        <v>45465</v>
      </c>
      <c r="K1566" s="2" t="s">
        <v>1311</v>
      </c>
    </row>
    <row r="1567" spans="1:11">
      <c r="A1567" s="2" t="s">
        <v>1192</v>
      </c>
      <c r="B1567" s="2" t="s">
        <v>43</v>
      </c>
      <c r="C1567" s="2" t="s">
        <v>1309</v>
      </c>
      <c r="D1567" s="40">
        <v>2198000</v>
      </c>
      <c r="E1567" s="2" t="s">
        <v>295</v>
      </c>
      <c r="F1567" s="145">
        <v>3307</v>
      </c>
      <c r="H1567" s="2" t="s">
        <v>1310</v>
      </c>
      <c r="I1567" s="72">
        <v>45468</v>
      </c>
      <c r="K1567" s="2" t="s">
        <v>1311</v>
      </c>
    </row>
    <row r="1568" spans="1:11">
      <c r="A1568" s="2" t="s">
        <v>1193</v>
      </c>
      <c r="B1568" s="2" t="s">
        <v>43</v>
      </c>
      <c r="C1568" s="2" t="s">
        <v>1309</v>
      </c>
      <c r="D1568" s="40">
        <v>2201000</v>
      </c>
      <c r="E1568" s="2" t="s">
        <v>295</v>
      </c>
      <c r="F1568" s="145">
        <v>3310</v>
      </c>
      <c r="H1568" s="2" t="s">
        <v>1310</v>
      </c>
      <c r="I1568" s="72">
        <v>45471</v>
      </c>
      <c r="K1568" s="2" t="s">
        <v>1311</v>
      </c>
    </row>
    <row r="1569" spans="1:11">
      <c r="A1569" s="2" t="s">
        <v>1194</v>
      </c>
      <c r="B1569" s="2" t="s">
        <v>43</v>
      </c>
      <c r="C1569" s="2" t="s">
        <v>1309</v>
      </c>
      <c r="D1569" s="40">
        <v>2204000</v>
      </c>
      <c r="E1569" s="2" t="s">
        <v>295</v>
      </c>
      <c r="F1569" s="145">
        <v>3313</v>
      </c>
      <c r="H1569" s="2" t="s">
        <v>1310</v>
      </c>
      <c r="I1569" s="72">
        <v>45474</v>
      </c>
      <c r="K1569" s="2" t="s">
        <v>1311</v>
      </c>
    </row>
    <row r="1570" spans="1:11">
      <c r="A1570" s="2" t="s">
        <v>1195</v>
      </c>
      <c r="B1570" s="2" t="s">
        <v>43</v>
      </c>
      <c r="C1570" s="2" t="s">
        <v>1309</v>
      </c>
      <c r="D1570" s="40">
        <v>2207000</v>
      </c>
      <c r="E1570" s="2" t="s">
        <v>295</v>
      </c>
      <c r="F1570" s="145">
        <v>3316</v>
      </c>
      <c r="H1570" s="2" t="s">
        <v>1310</v>
      </c>
      <c r="I1570" s="72">
        <v>45477</v>
      </c>
      <c r="K1570" s="2" t="s">
        <v>1311</v>
      </c>
    </row>
    <row r="1571" spans="1:11">
      <c r="A1571" s="2" t="s">
        <v>1196</v>
      </c>
      <c r="B1571" s="2" t="s">
        <v>43</v>
      </c>
      <c r="C1571" s="2" t="s">
        <v>1309</v>
      </c>
      <c r="D1571" s="40">
        <v>2210000</v>
      </c>
      <c r="E1571" s="2" t="s">
        <v>295</v>
      </c>
      <c r="F1571" s="145">
        <v>3319</v>
      </c>
      <c r="H1571" s="2" t="s">
        <v>1310</v>
      </c>
      <c r="I1571" s="72">
        <v>45480</v>
      </c>
      <c r="K1571" s="2" t="s">
        <v>1311</v>
      </c>
    </row>
    <row r="1572" spans="1:11">
      <c r="A1572" s="2" t="s">
        <v>1197</v>
      </c>
      <c r="B1572" s="2" t="s">
        <v>43</v>
      </c>
      <c r="C1572" s="2" t="s">
        <v>1309</v>
      </c>
      <c r="D1572" s="40">
        <v>2213000</v>
      </c>
      <c r="E1572" s="2" t="s">
        <v>295</v>
      </c>
      <c r="F1572" s="145">
        <v>3322</v>
      </c>
      <c r="H1572" s="2" t="s">
        <v>1310</v>
      </c>
      <c r="I1572" s="72">
        <v>45483</v>
      </c>
      <c r="K1572" s="2" t="s">
        <v>1311</v>
      </c>
    </row>
    <row r="1573" spans="1:11">
      <c r="A1573" s="2" t="s">
        <v>1198</v>
      </c>
      <c r="B1573" s="2" t="s">
        <v>43</v>
      </c>
      <c r="C1573" s="2" t="s">
        <v>1309</v>
      </c>
      <c r="D1573" s="40">
        <v>2216000</v>
      </c>
      <c r="E1573" s="2" t="s">
        <v>295</v>
      </c>
      <c r="F1573" s="145">
        <v>3325</v>
      </c>
      <c r="H1573" s="2" t="s">
        <v>1310</v>
      </c>
      <c r="I1573" s="72">
        <v>45486</v>
      </c>
      <c r="K1573" s="2" t="s">
        <v>1311</v>
      </c>
    </row>
    <row r="1574" spans="1:11">
      <c r="A1574" s="2" t="s">
        <v>1199</v>
      </c>
      <c r="B1574" s="2" t="s">
        <v>43</v>
      </c>
      <c r="C1574" s="2" t="s">
        <v>1309</v>
      </c>
      <c r="D1574" s="40">
        <v>2219000</v>
      </c>
      <c r="E1574" s="2" t="s">
        <v>295</v>
      </c>
      <c r="F1574" s="145">
        <v>3328</v>
      </c>
      <c r="H1574" s="2" t="s">
        <v>1310</v>
      </c>
      <c r="I1574" s="72">
        <v>45489</v>
      </c>
      <c r="K1574" s="2" t="s">
        <v>1311</v>
      </c>
    </row>
    <row r="1575" spans="1:11">
      <c r="A1575" s="2" t="s">
        <v>1200</v>
      </c>
      <c r="B1575" s="2" t="s">
        <v>43</v>
      </c>
      <c r="C1575" s="2" t="s">
        <v>1309</v>
      </c>
      <c r="D1575" s="40">
        <v>2222000</v>
      </c>
      <c r="E1575" s="2" t="s">
        <v>295</v>
      </c>
      <c r="F1575" s="145">
        <v>3331</v>
      </c>
      <c r="H1575" s="2" t="s">
        <v>1310</v>
      </c>
      <c r="I1575" s="72">
        <v>45492</v>
      </c>
      <c r="K1575" s="2" t="s">
        <v>1311</v>
      </c>
    </row>
    <row r="1576" spans="1:11">
      <c r="A1576" s="2" t="s">
        <v>1201</v>
      </c>
      <c r="B1576" s="2" t="s">
        <v>43</v>
      </c>
      <c r="C1576" s="2" t="s">
        <v>1309</v>
      </c>
      <c r="D1576" s="40">
        <v>2225000</v>
      </c>
      <c r="E1576" s="2" t="s">
        <v>295</v>
      </c>
      <c r="F1576" s="145">
        <v>3334</v>
      </c>
      <c r="H1576" s="2" t="s">
        <v>1310</v>
      </c>
      <c r="I1576" s="72">
        <v>45495</v>
      </c>
      <c r="K1576" s="2" t="s">
        <v>1311</v>
      </c>
    </row>
    <row r="1577" spans="1:11">
      <c r="A1577" s="2" t="s">
        <v>69</v>
      </c>
      <c r="B1577" s="2" t="s">
        <v>43</v>
      </c>
      <c r="C1577" s="2" t="s">
        <v>1309</v>
      </c>
      <c r="D1577" s="40">
        <v>2228000</v>
      </c>
      <c r="E1577" s="2" t="s">
        <v>295</v>
      </c>
      <c r="F1577" s="145">
        <v>3337</v>
      </c>
      <c r="H1577" s="2" t="s">
        <v>1310</v>
      </c>
      <c r="I1577" s="72">
        <v>45498</v>
      </c>
      <c r="K1577" s="2" t="s">
        <v>1311</v>
      </c>
    </row>
    <row r="1578" spans="1:11">
      <c r="A1578" s="2" t="s">
        <v>1202</v>
      </c>
      <c r="B1578" s="2" t="s">
        <v>43</v>
      </c>
      <c r="C1578" s="2" t="s">
        <v>1309</v>
      </c>
      <c r="D1578" s="40">
        <v>2231000</v>
      </c>
      <c r="E1578" s="2" t="s">
        <v>295</v>
      </c>
      <c r="F1578" s="145">
        <v>3340</v>
      </c>
      <c r="H1578" s="2" t="s">
        <v>1310</v>
      </c>
      <c r="I1578" s="72">
        <v>45501</v>
      </c>
      <c r="K1578" s="2" t="s">
        <v>1311</v>
      </c>
    </row>
    <row r="1579" spans="1:11">
      <c r="A1579" s="2" t="s">
        <v>1203</v>
      </c>
      <c r="B1579" s="2" t="s">
        <v>43</v>
      </c>
      <c r="C1579" s="2" t="s">
        <v>1309</v>
      </c>
      <c r="D1579" s="40">
        <v>2234000</v>
      </c>
      <c r="E1579" s="2" t="s">
        <v>295</v>
      </c>
      <c r="F1579" s="145">
        <v>3343</v>
      </c>
      <c r="H1579" s="2" t="s">
        <v>1310</v>
      </c>
      <c r="I1579" s="72">
        <v>45504</v>
      </c>
      <c r="K1579" s="2" t="s">
        <v>1311</v>
      </c>
    </row>
    <row r="1580" spans="1:11">
      <c r="A1580" s="2" t="s">
        <v>1204</v>
      </c>
      <c r="B1580" s="2" t="s">
        <v>43</v>
      </c>
      <c r="C1580" s="2" t="s">
        <v>1309</v>
      </c>
      <c r="D1580" s="40">
        <v>2237000</v>
      </c>
      <c r="E1580" s="2" t="s">
        <v>295</v>
      </c>
      <c r="F1580" s="145">
        <v>3346</v>
      </c>
      <c r="H1580" s="2" t="s">
        <v>1310</v>
      </c>
      <c r="I1580" s="72">
        <v>45507</v>
      </c>
      <c r="K1580" s="2" t="s">
        <v>1311</v>
      </c>
    </row>
    <row r="1581" spans="1:11">
      <c r="A1581" s="2" t="s">
        <v>1205</v>
      </c>
      <c r="B1581" s="2" t="s">
        <v>43</v>
      </c>
      <c r="C1581" s="2" t="s">
        <v>1309</v>
      </c>
      <c r="D1581" s="40">
        <v>2240000</v>
      </c>
      <c r="E1581" s="2" t="s">
        <v>295</v>
      </c>
      <c r="F1581" s="145">
        <v>3349</v>
      </c>
      <c r="H1581" s="2" t="s">
        <v>1310</v>
      </c>
      <c r="I1581" s="72">
        <v>45510</v>
      </c>
      <c r="K1581" s="2" t="s">
        <v>1311</v>
      </c>
    </row>
    <row r="1582" spans="1:11">
      <c r="A1582" s="2" t="s">
        <v>1206</v>
      </c>
      <c r="B1582" s="2" t="s">
        <v>43</v>
      </c>
      <c r="C1582" s="2" t="s">
        <v>1309</v>
      </c>
      <c r="D1582" s="40">
        <v>2243000</v>
      </c>
      <c r="E1582" s="2" t="s">
        <v>295</v>
      </c>
      <c r="F1582" s="145">
        <v>3352</v>
      </c>
      <c r="H1582" s="2" t="s">
        <v>1310</v>
      </c>
      <c r="I1582" s="72">
        <v>45513</v>
      </c>
      <c r="K1582" s="2" t="s">
        <v>1311</v>
      </c>
    </row>
    <row r="1583" spans="1:11">
      <c r="A1583" s="2" t="s">
        <v>1207</v>
      </c>
      <c r="B1583" s="2" t="s">
        <v>43</v>
      </c>
      <c r="C1583" s="2" t="s">
        <v>1309</v>
      </c>
      <c r="D1583" s="40">
        <v>2246000</v>
      </c>
      <c r="E1583" s="2" t="s">
        <v>295</v>
      </c>
      <c r="F1583" s="145">
        <v>3355</v>
      </c>
      <c r="H1583" s="2" t="s">
        <v>1310</v>
      </c>
      <c r="I1583" s="72">
        <v>45516</v>
      </c>
      <c r="K1583" s="2" t="s">
        <v>1311</v>
      </c>
    </row>
    <row r="1584" spans="1:11">
      <c r="A1584" s="2" t="s">
        <v>1208</v>
      </c>
      <c r="B1584" s="2" t="s">
        <v>43</v>
      </c>
      <c r="C1584" s="2" t="s">
        <v>1309</v>
      </c>
      <c r="D1584" s="40">
        <v>2249000</v>
      </c>
      <c r="E1584" s="2" t="s">
        <v>295</v>
      </c>
      <c r="F1584" s="145">
        <v>3358</v>
      </c>
      <c r="H1584" s="2" t="s">
        <v>1310</v>
      </c>
      <c r="I1584" s="72">
        <v>45519</v>
      </c>
      <c r="K1584" s="2" t="s">
        <v>1311</v>
      </c>
    </row>
    <row r="1585" spans="1:11">
      <c r="A1585" s="2" t="s">
        <v>1209</v>
      </c>
      <c r="B1585" s="2" t="s">
        <v>43</v>
      </c>
      <c r="C1585" s="2" t="s">
        <v>1309</v>
      </c>
      <c r="D1585" s="40">
        <v>2252000</v>
      </c>
      <c r="E1585" s="2" t="s">
        <v>295</v>
      </c>
      <c r="F1585" s="145">
        <v>3361</v>
      </c>
      <c r="H1585" s="2" t="s">
        <v>1310</v>
      </c>
      <c r="I1585" s="72">
        <v>45522</v>
      </c>
      <c r="K1585" s="2" t="s">
        <v>1311</v>
      </c>
    </row>
    <row r="1586" spans="1:11">
      <c r="A1586" s="2" t="s">
        <v>1210</v>
      </c>
      <c r="B1586" s="2" t="s">
        <v>43</v>
      </c>
      <c r="C1586" s="2" t="s">
        <v>1309</v>
      </c>
      <c r="D1586" s="40">
        <v>2255000</v>
      </c>
      <c r="E1586" s="2" t="s">
        <v>295</v>
      </c>
      <c r="F1586" s="145">
        <v>3364</v>
      </c>
      <c r="H1586" s="2" t="s">
        <v>1310</v>
      </c>
      <c r="I1586" s="72">
        <v>45525</v>
      </c>
      <c r="K1586" s="2" t="s">
        <v>1311</v>
      </c>
    </row>
    <row r="1587" spans="1:11">
      <c r="A1587" s="2" t="s">
        <v>1211</v>
      </c>
      <c r="B1587" s="2" t="s">
        <v>43</v>
      </c>
      <c r="C1587" s="2" t="s">
        <v>1309</v>
      </c>
      <c r="D1587" s="40">
        <v>2258000</v>
      </c>
      <c r="E1587" s="2" t="s">
        <v>295</v>
      </c>
      <c r="F1587" s="145">
        <v>3367</v>
      </c>
      <c r="H1587" s="2" t="s">
        <v>1310</v>
      </c>
      <c r="I1587" s="72">
        <v>45528</v>
      </c>
      <c r="K1587" s="2" t="s">
        <v>1311</v>
      </c>
    </row>
    <row r="1588" spans="1:11">
      <c r="A1588" s="2" t="s">
        <v>1212</v>
      </c>
      <c r="B1588" s="2" t="s">
        <v>43</v>
      </c>
      <c r="C1588" s="2" t="s">
        <v>1309</v>
      </c>
      <c r="D1588" s="40">
        <v>2261000</v>
      </c>
      <c r="E1588" s="2" t="s">
        <v>295</v>
      </c>
      <c r="F1588" s="145">
        <v>3370</v>
      </c>
      <c r="H1588" s="2" t="s">
        <v>1310</v>
      </c>
      <c r="I1588" s="72">
        <v>45531</v>
      </c>
      <c r="K1588" s="2" t="s">
        <v>1311</v>
      </c>
    </row>
    <row r="1589" spans="1:11">
      <c r="A1589" s="2" t="s">
        <v>1213</v>
      </c>
      <c r="B1589" s="2" t="s">
        <v>43</v>
      </c>
      <c r="C1589" s="2" t="s">
        <v>1309</v>
      </c>
      <c r="D1589" s="40">
        <v>2264000</v>
      </c>
      <c r="E1589" s="2" t="s">
        <v>295</v>
      </c>
      <c r="F1589" s="145">
        <v>3373</v>
      </c>
      <c r="H1589" s="2" t="s">
        <v>1310</v>
      </c>
      <c r="I1589" s="72">
        <v>45534</v>
      </c>
      <c r="K1589" s="2" t="s">
        <v>1311</v>
      </c>
    </row>
    <row r="1590" spans="1:11">
      <c r="A1590" s="2" t="s">
        <v>1214</v>
      </c>
      <c r="B1590" s="2" t="s">
        <v>43</v>
      </c>
      <c r="C1590" s="2" t="s">
        <v>1309</v>
      </c>
      <c r="D1590" s="40">
        <v>2267000</v>
      </c>
      <c r="E1590" s="2" t="s">
        <v>295</v>
      </c>
      <c r="F1590" s="145">
        <v>3376</v>
      </c>
      <c r="H1590" s="2" t="s">
        <v>1310</v>
      </c>
      <c r="I1590" s="72">
        <v>45537</v>
      </c>
      <c r="K1590" s="2" t="s">
        <v>1311</v>
      </c>
    </row>
    <row r="1591" spans="1:11">
      <c r="A1591" s="2" t="s">
        <v>1215</v>
      </c>
      <c r="B1591" s="2" t="s">
        <v>43</v>
      </c>
      <c r="C1591" s="2" t="s">
        <v>1309</v>
      </c>
      <c r="D1591" s="40">
        <v>2270000</v>
      </c>
      <c r="E1591" s="2" t="s">
        <v>295</v>
      </c>
      <c r="F1591" s="145">
        <v>3379</v>
      </c>
      <c r="H1591" s="2" t="s">
        <v>1310</v>
      </c>
      <c r="I1591" s="72">
        <v>45540</v>
      </c>
      <c r="K1591" s="2" t="s">
        <v>1311</v>
      </c>
    </row>
    <row r="1592" spans="1:11">
      <c r="A1592" s="2" t="s">
        <v>1216</v>
      </c>
      <c r="B1592" s="2" t="s">
        <v>43</v>
      </c>
      <c r="C1592" s="2" t="s">
        <v>1309</v>
      </c>
      <c r="D1592" s="40">
        <v>2273000</v>
      </c>
      <c r="E1592" s="2" t="s">
        <v>295</v>
      </c>
      <c r="F1592" s="145">
        <v>3382</v>
      </c>
      <c r="H1592" s="2" t="s">
        <v>1310</v>
      </c>
      <c r="I1592" s="72">
        <v>45543</v>
      </c>
      <c r="K1592" s="2" t="s">
        <v>1311</v>
      </c>
    </row>
    <row r="1593" spans="1:11">
      <c r="A1593" s="2" t="s">
        <v>1217</v>
      </c>
      <c r="B1593" s="2" t="s">
        <v>43</v>
      </c>
      <c r="C1593" s="2" t="s">
        <v>1309</v>
      </c>
      <c r="D1593" s="40">
        <v>2276000</v>
      </c>
      <c r="E1593" s="2" t="s">
        <v>295</v>
      </c>
      <c r="F1593" s="145">
        <v>3385</v>
      </c>
      <c r="H1593" s="2" t="s">
        <v>1310</v>
      </c>
      <c r="I1593" s="72">
        <v>45546</v>
      </c>
      <c r="K1593" s="2" t="s">
        <v>1311</v>
      </c>
    </row>
    <row r="1594" spans="1:11">
      <c r="A1594" s="2" t="s">
        <v>1218</v>
      </c>
      <c r="B1594" s="2" t="s">
        <v>43</v>
      </c>
      <c r="C1594" s="2" t="s">
        <v>1309</v>
      </c>
      <c r="D1594" s="40">
        <v>2279000</v>
      </c>
      <c r="E1594" s="2" t="s">
        <v>295</v>
      </c>
      <c r="F1594" s="145">
        <v>3388</v>
      </c>
      <c r="H1594" s="2" t="s">
        <v>1310</v>
      </c>
      <c r="I1594" s="72">
        <v>45549</v>
      </c>
      <c r="K1594" s="2" t="s">
        <v>1311</v>
      </c>
    </row>
    <row r="1595" spans="1:11">
      <c r="A1595" s="2" t="s">
        <v>1219</v>
      </c>
      <c r="B1595" s="2" t="s">
        <v>43</v>
      </c>
      <c r="C1595" s="2" t="s">
        <v>1309</v>
      </c>
      <c r="D1595" s="40">
        <v>2282000</v>
      </c>
      <c r="E1595" s="2" t="s">
        <v>295</v>
      </c>
      <c r="F1595" s="145">
        <v>3391</v>
      </c>
      <c r="H1595" s="2" t="s">
        <v>1310</v>
      </c>
      <c r="I1595" s="72">
        <v>45552</v>
      </c>
      <c r="K1595" s="2" t="s">
        <v>1311</v>
      </c>
    </row>
    <row r="1596" spans="1:11">
      <c r="A1596" s="2" t="s">
        <v>1220</v>
      </c>
      <c r="B1596" s="2" t="s">
        <v>43</v>
      </c>
      <c r="C1596" s="2" t="s">
        <v>1309</v>
      </c>
      <c r="D1596" s="40">
        <v>2285000</v>
      </c>
      <c r="E1596" s="2" t="s">
        <v>295</v>
      </c>
      <c r="F1596" s="145">
        <v>3394</v>
      </c>
      <c r="H1596" s="2" t="s">
        <v>1310</v>
      </c>
      <c r="I1596" s="72">
        <v>45555</v>
      </c>
      <c r="K1596" s="2" t="s">
        <v>1311</v>
      </c>
    </row>
    <row r="1597" spans="1:11">
      <c r="A1597" s="2" t="s">
        <v>1221</v>
      </c>
      <c r="B1597" s="2" t="s">
        <v>43</v>
      </c>
      <c r="C1597" s="2" t="s">
        <v>1309</v>
      </c>
      <c r="D1597" s="40">
        <v>2288000</v>
      </c>
      <c r="E1597" s="2" t="s">
        <v>295</v>
      </c>
      <c r="F1597" s="145">
        <v>3397</v>
      </c>
      <c r="H1597" s="2" t="s">
        <v>1310</v>
      </c>
      <c r="I1597" s="72">
        <v>45558</v>
      </c>
      <c r="K1597" s="2" t="s">
        <v>1311</v>
      </c>
    </row>
    <row r="1598" spans="1:11">
      <c r="A1598" s="2" t="s">
        <v>1222</v>
      </c>
      <c r="B1598" s="2" t="s">
        <v>43</v>
      </c>
      <c r="C1598" s="2" t="s">
        <v>1309</v>
      </c>
      <c r="D1598" s="40">
        <v>2291000</v>
      </c>
      <c r="E1598" s="2" t="s">
        <v>295</v>
      </c>
      <c r="F1598" s="145">
        <v>3400</v>
      </c>
      <c r="H1598" s="2" t="s">
        <v>1310</v>
      </c>
      <c r="I1598" s="72">
        <v>45561</v>
      </c>
      <c r="K1598" s="2" t="s">
        <v>1311</v>
      </c>
    </row>
    <row r="1599" spans="1:11">
      <c r="A1599" s="2" t="s">
        <v>1223</v>
      </c>
      <c r="B1599" s="2" t="s">
        <v>43</v>
      </c>
      <c r="C1599" s="2" t="s">
        <v>1309</v>
      </c>
      <c r="D1599" s="40">
        <v>2294000</v>
      </c>
      <c r="E1599" s="2" t="s">
        <v>295</v>
      </c>
      <c r="F1599" s="145">
        <v>3403</v>
      </c>
      <c r="H1599" s="2" t="s">
        <v>1310</v>
      </c>
      <c r="I1599" s="72">
        <v>45564</v>
      </c>
      <c r="K1599" s="2" t="s">
        <v>1311</v>
      </c>
    </row>
    <row r="1600" spans="1:11">
      <c r="A1600" s="2" t="s">
        <v>1224</v>
      </c>
      <c r="B1600" s="2" t="s">
        <v>43</v>
      </c>
      <c r="C1600" s="2" t="s">
        <v>1309</v>
      </c>
      <c r="D1600" s="40">
        <v>2297000</v>
      </c>
      <c r="E1600" s="2" t="s">
        <v>295</v>
      </c>
      <c r="F1600" s="145">
        <v>3406</v>
      </c>
      <c r="H1600" s="2" t="s">
        <v>1310</v>
      </c>
      <c r="I1600" s="72">
        <v>45567</v>
      </c>
      <c r="K1600" s="2" t="s">
        <v>1311</v>
      </c>
    </row>
    <row r="1601" spans="1:11">
      <c r="A1601" s="2" t="s">
        <v>1225</v>
      </c>
      <c r="B1601" s="2" t="s">
        <v>43</v>
      </c>
      <c r="C1601" s="2" t="s">
        <v>1309</v>
      </c>
      <c r="D1601" s="40">
        <v>2300000</v>
      </c>
      <c r="E1601" s="2" t="s">
        <v>295</v>
      </c>
      <c r="F1601" s="145">
        <v>3409</v>
      </c>
      <c r="H1601" s="2" t="s">
        <v>1310</v>
      </c>
      <c r="I1601" s="72">
        <v>45570</v>
      </c>
      <c r="K1601" s="2" t="s">
        <v>1311</v>
      </c>
    </row>
    <row r="1602" spans="1:11">
      <c r="A1602" s="2" t="s">
        <v>1226</v>
      </c>
      <c r="B1602" s="2" t="s">
        <v>43</v>
      </c>
      <c r="C1602" s="2" t="s">
        <v>1309</v>
      </c>
      <c r="D1602" s="40">
        <v>2303000</v>
      </c>
      <c r="E1602" s="2" t="s">
        <v>295</v>
      </c>
      <c r="F1602" s="145">
        <v>3412</v>
      </c>
      <c r="H1602" s="2" t="s">
        <v>1310</v>
      </c>
      <c r="I1602" s="72">
        <v>45573</v>
      </c>
      <c r="K1602" s="2" t="s">
        <v>1311</v>
      </c>
    </row>
    <row r="1603" spans="1:11">
      <c r="A1603" s="2" t="s">
        <v>1227</v>
      </c>
      <c r="B1603" s="2" t="s">
        <v>43</v>
      </c>
      <c r="C1603" s="2" t="s">
        <v>1309</v>
      </c>
      <c r="D1603" s="40">
        <v>2306000</v>
      </c>
      <c r="E1603" s="2" t="s">
        <v>295</v>
      </c>
      <c r="F1603" s="145">
        <v>3415</v>
      </c>
      <c r="H1603" s="2" t="s">
        <v>1310</v>
      </c>
      <c r="I1603" s="72">
        <v>45576</v>
      </c>
      <c r="K1603" s="2" t="s">
        <v>1311</v>
      </c>
    </row>
    <row r="1604" spans="1:11">
      <c r="A1604" s="2" t="s">
        <v>1228</v>
      </c>
      <c r="B1604" s="2" t="s">
        <v>43</v>
      </c>
      <c r="C1604" s="2" t="s">
        <v>1309</v>
      </c>
      <c r="D1604" s="40">
        <v>2309000</v>
      </c>
      <c r="E1604" s="2" t="s">
        <v>295</v>
      </c>
      <c r="F1604" s="145">
        <v>3418</v>
      </c>
      <c r="H1604" s="2" t="s">
        <v>1310</v>
      </c>
      <c r="I1604" s="72">
        <v>45579</v>
      </c>
      <c r="K1604" s="2" t="s">
        <v>1311</v>
      </c>
    </row>
    <row r="1605" spans="1:11">
      <c r="A1605" s="2" t="s">
        <v>1229</v>
      </c>
      <c r="B1605" s="2" t="s">
        <v>43</v>
      </c>
      <c r="C1605" s="2" t="s">
        <v>1309</v>
      </c>
      <c r="D1605" s="40">
        <v>2312000</v>
      </c>
      <c r="E1605" s="2" t="s">
        <v>295</v>
      </c>
      <c r="F1605" s="145">
        <v>3421</v>
      </c>
      <c r="H1605" s="2" t="s">
        <v>1310</v>
      </c>
      <c r="I1605" s="72">
        <v>45582</v>
      </c>
      <c r="K1605" s="2" t="s">
        <v>1311</v>
      </c>
    </row>
    <row r="1606" spans="1:11">
      <c r="A1606" s="2" t="s">
        <v>1230</v>
      </c>
      <c r="B1606" s="2" t="s">
        <v>43</v>
      </c>
      <c r="C1606" s="2" t="s">
        <v>1309</v>
      </c>
      <c r="D1606" s="40">
        <v>2315000</v>
      </c>
      <c r="E1606" s="2" t="s">
        <v>295</v>
      </c>
      <c r="F1606" s="145">
        <v>3424</v>
      </c>
      <c r="H1606" s="2" t="s">
        <v>1310</v>
      </c>
      <c r="I1606" s="72">
        <v>45585</v>
      </c>
      <c r="K1606" s="2" t="s">
        <v>1311</v>
      </c>
    </row>
    <row r="1607" spans="1:11">
      <c r="A1607" s="2" t="s">
        <v>1231</v>
      </c>
      <c r="B1607" s="2" t="s">
        <v>43</v>
      </c>
      <c r="C1607" s="2" t="s">
        <v>1309</v>
      </c>
      <c r="D1607" s="40">
        <v>2318000</v>
      </c>
      <c r="E1607" s="2" t="s">
        <v>295</v>
      </c>
      <c r="F1607" s="145">
        <v>3427</v>
      </c>
      <c r="H1607" s="2" t="s">
        <v>1310</v>
      </c>
      <c r="I1607" s="72">
        <v>45588</v>
      </c>
      <c r="K1607" s="2" t="s">
        <v>1311</v>
      </c>
    </row>
    <row r="1608" spans="1:11">
      <c r="A1608" s="2" t="s">
        <v>1232</v>
      </c>
      <c r="B1608" s="2" t="s">
        <v>43</v>
      </c>
      <c r="C1608" s="2" t="s">
        <v>1309</v>
      </c>
      <c r="D1608" s="40">
        <v>2321000</v>
      </c>
      <c r="E1608" s="2" t="s">
        <v>295</v>
      </c>
      <c r="F1608" s="145">
        <v>3430</v>
      </c>
      <c r="H1608" s="2" t="s">
        <v>1310</v>
      </c>
      <c r="I1608" s="72">
        <v>45591</v>
      </c>
      <c r="K1608" s="2" t="s">
        <v>1311</v>
      </c>
    </row>
    <row r="1609" spans="1:11">
      <c r="A1609" s="2" t="s">
        <v>1233</v>
      </c>
      <c r="B1609" s="2" t="s">
        <v>43</v>
      </c>
      <c r="C1609" s="2" t="s">
        <v>1309</v>
      </c>
      <c r="D1609" s="40">
        <v>2324000</v>
      </c>
      <c r="E1609" s="2" t="s">
        <v>295</v>
      </c>
      <c r="F1609" s="145">
        <v>3433</v>
      </c>
      <c r="H1609" s="2" t="s">
        <v>1310</v>
      </c>
      <c r="I1609" s="72">
        <v>45594</v>
      </c>
      <c r="K1609" s="2" t="s">
        <v>1311</v>
      </c>
    </row>
    <row r="1610" spans="1:11">
      <c r="A1610" s="2" t="s">
        <v>1234</v>
      </c>
      <c r="B1610" s="2" t="s">
        <v>43</v>
      </c>
      <c r="C1610" s="2" t="s">
        <v>1309</v>
      </c>
      <c r="D1610" s="40">
        <v>2327000</v>
      </c>
      <c r="E1610" s="2" t="s">
        <v>295</v>
      </c>
      <c r="F1610" s="145">
        <v>3436</v>
      </c>
      <c r="H1610" s="2" t="s">
        <v>1310</v>
      </c>
      <c r="I1610" s="72">
        <v>45597</v>
      </c>
      <c r="K1610" s="2" t="s">
        <v>1311</v>
      </c>
    </row>
    <row r="1611" spans="1:11">
      <c r="A1611" s="2" t="s">
        <v>1235</v>
      </c>
      <c r="B1611" s="2" t="s">
        <v>43</v>
      </c>
      <c r="C1611" s="2" t="s">
        <v>1309</v>
      </c>
      <c r="D1611" s="40">
        <v>2330000</v>
      </c>
      <c r="E1611" s="2" t="s">
        <v>295</v>
      </c>
      <c r="F1611" s="145">
        <v>3439</v>
      </c>
      <c r="H1611" s="2" t="s">
        <v>1310</v>
      </c>
      <c r="I1611" s="72">
        <v>45600</v>
      </c>
      <c r="K1611" s="2" t="s">
        <v>1311</v>
      </c>
    </row>
    <row r="1612" spans="1:11">
      <c r="A1612" s="2" t="s">
        <v>1236</v>
      </c>
      <c r="B1612" s="2" t="s">
        <v>43</v>
      </c>
      <c r="C1612" s="2" t="s">
        <v>1309</v>
      </c>
      <c r="D1612" s="40">
        <v>2333000</v>
      </c>
      <c r="E1612" s="2" t="s">
        <v>295</v>
      </c>
      <c r="F1612" s="145">
        <v>3442</v>
      </c>
      <c r="H1612" s="2" t="s">
        <v>1310</v>
      </c>
      <c r="I1612" s="72">
        <v>45603</v>
      </c>
      <c r="K1612" s="2" t="s">
        <v>1311</v>
      </c>
    </row>
    <row r="1613" spans="1:11">
      <c r="A1613" s="2" t="s">
        <v>1237</v>
      </c>
      <c r="B1613" s="2" t="s">
        <v>43</v>
      </c>
      <c r="C1613" s="2" t="s">
        <v>1309</v>
      </c>
      <c r="D1613" s="40">
        <v>2336000</v>
      </c>
      <c r="E1613" s="2" t="s">
        <v>295</v>
      </c>
      <c r="F1613" s="145">
        <v>3445</v>
      </c>
      <c r="H1613" s="2" t="s">
        <v>1310</v>
      </c>
      <c r="I1613" s="72">
        <v>45606</v>
      </c>
      <c r="K1613" s="2" t="s">
        <v>1311</v>
      </c>
    </row>
    <row r="1614" spans="1:11">
      <c r="A1614" s="2" t="s">
        <v>1238</v>
      </c>
      <c r="B1614" s="2" t="s">
        <v>43</v>
      </c>
      <c r="C1614" s="2" t="s">
        <v>1309</v>
      </c>
      <c r="D1614" s="40">
        <v>2339000</v>
      </c>
      <c r="E1614" s="2" t="s">
        <v>295</v>
      </c>
      <c r="F1614" s="145">
        <v>3448</v>
      </c>
      <c r="H1614" s="2" t="s">
        <v>1310</v>
      </c>
      <c r="I1614" s="72">
        <v>45609</v>
      </c>
      <c r="K1614" s="2" t="s">
        <v>1311</v>
      </c>
    </row>
    <row r="1615" spans="1:11">
      <c r="A1615" s="2" t="s">
        <v>1239</v>
      </c>
      <c r="B1615" s="2" t="s">
        <v>43</v>
      </c>
      <c r="C1615" s="2" t="s">
        <v>1309</v>
      </c>
      <c r="D1615" s="40">
        <v>2342000</v>
      </c>
      <c r="E1615" s="2" t="s">
        <v>295</v>
      </c>
      <c r="F1615" s="145">
        <v>3451</v>
      </c>
      <c r="H1615" s="2" t="s">
        <v>1310</v>
      </c>
      <c r="I1615" s="72">
        <v>45612</v>
      </c>
      <c r="K1615" s="2" t="s">
        <v>1311</v>
      </c>
    </row>
    <row r="1616" spans="1:11">
      <c r="A1616" s="2" t="s">
        <v>1240</v>
      </c>
      <c r="B1616" s="2" t="s">
        <v>43</v>
      </c>
      <c r="C1616" s="2" t="s">
        <v>1309</v>
      </c>
      <c r="D1616" s="40">
        <v>2345000</v>
      </c>
      <c r="E1616" s="2" t="s">
        <v>295</v>
      </c>
      <c r="F1616" s="145">
        <v>3454</v>
      </c>
      <c r="H1616" s="2" t="s">
        <v>1310</v>
      </c>
      <c r="I1616" s="72">
        <v>45615</v>
      </c>
      <c r="K1616" s="2" t="s">
        <v>1311</v>
      </c>
    </row>
    <row r="1617" spans="1:11">
      <c r="A1617" s="2" t="s">
        <v>1241</v>
      </c>
      <c r="B1617" s="2" t="s">
        <v>43</v>
      </c>
      <c r="C1617" s="2" t="s">
        <v>1309</v>
      </c>
      <c r="D1617" s="40">
        <v>2348000</v>
      </c>
      <c r="E1617" s="2" t="s">
        <v>295</v>
      </c>
      <c r="F1617" s="145">
        <v>3457</v>
      </c>
      <c r="H1617" s="2" t="s">
        <v>1310</v>
      </c>
      <c r="I1617" s="72">
        <v>45618</v>
      </c>
      <c r="K1617" s="2" t="s">
        <v>1311</v>
      </c>
    </row>
    <row r="1618" spans="1:11">
      <c r="A1618" s="2" t="s">
        <v>1242</v>
      </c>
      <c r="B1618" s="2" t="s">
        <v>43</v>
      </c>
      <c r="C1618" s="2" t="s">
        <v>1309</v>
      </c>
      <c r="D1618" s="40">
        <v>2351000</v>
      </c>
      <c r="E1618" s="2" t="s">
        <v>295</v>
      </c>
      <c r="F1618" s="145">
        <v>3460</v>
      </c>
      <c r="H1618" s="2" t="s">
        <v>1310</v>
      </c>
      <c r="I1618" s="72">
        <v>45621</v>
      </c>
      <c r="K1618" s="2" t="s">
        <v>1311</v>
      </c>
    </row>
    <row r="1619" spans="1:11">
      <c r="A1619" s="2" t="s">
        <v>1243</v>
      </c>
      <c r="B1619" s="2" t="s">
        <v>43</v>
      </c>
      <c r="C1619" s="2" t="s">
        <v>1309</v>
      </c>
      <c r="D1619" s="40">
        <v>2354000</v>
      </c>
      <c r="E1619" s="2" t="s">
        <v>295</v>
      </c>
      <c r="F1619" s="145">
        <v>3463</v>
      </c>
      <c r="H1619" s="2" t="s">
        <v>1310</v>
      </c>
      <c r="I1619" s="72">
        <v>45624</v>
      </c>
      <c r="K1619" s="2" t="s">
        <v>1311</v>
      </c>
    </row>
    <row r="1620" spans="1:11">
      <c r="A1620" s="2" t="s">
        <v>1244</v>
      </c>
      <c r="B1620" s="2" t="s">
        <v>43</v>
      </c>
      <c r="C1620" s="2" t="s">
        <v>1309</v>
      </c>
      <c r="D1620" s="40">
        <v>2357000</v>
      </c>
      <c r="E1620" s="2" t="s">
        <v>295</v>
      </c>
      <c r="F1620" s="145">
        <v>3466</v>
      </c>
      <c r="H1620" s="2" t="s">
        <v>1310</v>
      </c>
      <c r="I1620" s="72">
        <v>45627</v>
      </c>
      <c r="K1620" s="2" t="s">
        <v>1311</v>
      </c>
    </row>
    <row r="1621" spans="1:11">
      <c r="A1621" s="2" t="s">
        <v>374</v>
      </c>
      <c r="B1621" s="2" t="s">
        <v>43</v>
      </c>
      <c r="C1621" s="2" t="s">
        <v>1309</v>
      </c>
      <c r="D1621" s="40">
        <v>2360000</v>
      </c>
      <c r="E1621" s="2" t="s">
        <v>295</v>
      </c>
      <c r="F1621" s="145">
        <v>3469</v>
      </c>
      <c r="H1621" s="2" t="s">
        <v>1310</v>
      </c>
      <c r="I1621" s="72">
        <v>45630</v>
      </c>
      <c r="K1621" s="2" t="s">
        <v>1311</v>
      </c>
    </row>
    <row r="1622" spans="1:11">
      <c r="A1622" s="2" t="s">
        <v>1245</v>
      </c>
      <c r="B1622" s="2" t="s">
        <v>43</v>
      </c>
      <c r="C1622" s="2" t="s">
        <v>1309</v>
      </c>
      <c r="D1622" s="40">
        <v>2363000</v>
      </c>
      <c r="E1622" s="2" t="s">
        <v>295</v>
      </c>
      <c r="F1622" s="145">
        <v>3472</v>
      </c>
      <c r="H1622" s="2" t="s">
        <v>1310</v>
      </c>
      <c r="I1622" s="72">
        <v>45633</v>
      </c>
      <c r="K1622" s="2" t="s">
        <v>1311</v>
      </c>
    </row>
    <row r="1623" spans="1:11">
      <c r="A1623" s="2" t="s">
        <v>1246</v>
      </c>
      <c r="B1623" s="2" t="s">
        <v>43</v>
      </c>
      <c r="C1623" s="2" t="s">
        <v>1309</v>
      </c>
      <c r="D1623" s="40">
        <v>2366000</v>
      </c>
      <c r="E1623" s="2" t="s">
        <v>295</v>
      </c>
      <c r="F1623" s="145">
        <v>3475</v>
      </c>
      <c r="H1623" s="2" t="s">
        <v>1310</v>
      </c>
      <c r="I1623" s="72">
        <v>45636</v>
      </c>
      <c r="K1623" s="2" t="s">
        <v>1311</v>
      </c>
    </row>
    <row r="1624" spans="1:11">
      <c r="A1624" s="2" t="s">
        <v>379</v>
      </c>
      <c r="B1624" s="2" t="s">
        <v>43</v>
      </c>
      <c r="C1624" s="2" t="s">
        <v>1309</v>
      </c>
      <c r="D1624" s="40">
        <v>2369000</v>
      </c>
      <c r="E1624" s="2" t="s">
        <v>295</v>
      </c>
      <c r="F1624" s="145">
        <v>3478</v>
      </c>
      <c r="H1624" s="2" t="s">
        <v>1310</v>
      </c>
      <c r="I1624" s="72">
        <v>45639</v>
      </c>
      <c r="K1624" s="2" t="s">
        <v>1311</v>
      </c>
    </row>
    <row r="1625" spans="1:11">
      <c r="A1625" s="2" t="s">
        <v>1247</v>
      </c>
      <c r="B1625" s="2" t="s">
        <v>43</v>
      </c>
      <c r="C1625" s="2" t="s">
        <v>1309</v>
      </c>
      <c r="D1625" s="40">
        <v>2372000</v>
      </c>
      <c r="E1625" s="2" t="s">
        <v>295</v>
      </c>
      <c r="F1625" s="145">
        <v>3481</v>
      </c>
      <c r="H1625" s="2" t="s">
        <v>1310</v>
      </c>
      <c r="I1625" s="72">
        <v>45642</v>
      </c>
      <c r="K1625" s="2" t="s">
        <v>1311</v>
      </c>
    </row>
    <row r="1626" spans="1:11">
      <c r="A1626" s="2" t="s">
        <v>1248</v>
      </c>
      <c r="B1626" s="2" t="s">
        <v>43</v>
      </c>
      <c r="C1626" s="2" t="s">
        <v>1309</v>
      </c>
      <c r="D1626" s="40">
        <v>2375000</v>
      </c>
      <c r="E1626" s="2" t="s">
        <v>295</v>
      </c>
      <c r="F1626" s="145">
        <v>3484</v>
      </c>
      <c r="H1626" s="2" t="s">
        <v>1310</v>
      </c>
      <c r="I1626" s="72">
        <v>45645</v>
      </c>
      <c r="K1626" s="2" t="s">
        <v>1311</v>
      </c>
    </row>
    <row r="1627" spans="1:11">
      <c r="A1627" s="2" t="s">
        <v>1249</v>
      </c>
      <c r="B1627" s="2" t="s">
        <v>43</v>
      </c>
      <c r="C1627" s="2" t="s">
        <v>1309</v>
      </c>
      <c r="D1627" s="40">
        <v>2378000</v>
      </c>
      <c r="E1627" s="2" t="s">
        <v>295</v>
      </c>
      <c r="F1627" s="145">
        <v>3487</v>
      </c>
      <c r="H1627" s="2" t="s">
        <v>1310</v>
      </c>
      <c r="I1627" s="72">
        <v>45648</v>
      </c>
      <c r="K1627" s="2" t="s">
        <v>1311</v>
      </c>
    </row>
    <row r="1628" spans="1:11">
      <c r="A1628" s="2" t="s">
        <v>1250</v>
      </c>
      <c r="B1628" s="2" t="s">
        <v>43</v>
      </c>
      <c r="C1628" s="2" t="s">
        <v>1309</v>
      </c>
      <c r="D1628" s="40">
        <v>2381000</v>
      </c>
      <c r="E1628" s="2" t="s">
        <v>295</v>
      </c>
      <c r="F1628" s="145">
        <v>3490</v>
      </c>
      <c r="H1628" s="2" t="s">
        <v>1310</v>
      </c>
      <c r="I1628" s="72">
        <v>45651</v>
      </c>
      <c r="K1628" s="2" t="s">
        <v>1311</v>
      </c>
    </row>
    <row r="1629" spans="1:11">
      <c r="A1629" s="2" t="s">
        <v>1251</v>
      </c>
      <c r="B1629" s="2" t="s">
        <v>43</v>
      </c>
      <c r="C1629" s="2" t="s">
        <v>1309</v>
      </c>
      <c r="D1629" s="40">
        <v>2384000</v>
      </c>
      <c r="E1629" s="2" t="s">
        <v>295</v>
      </c>
      <c r="F1629" s="145">
        <v>3493</v>
      </c>
      <c r="H1629" s="2" t="s">
        <v>1310</v>
      </c>
      <c r="I1629" s="72">
        <v>45654</v>
      </c>
      <c r="K1629" s="2" t="s">
        <v>1311</v>
      </c>
    </row>
    <row r="1630" spans="1:11">
      <c r="A1630" s="2" t="s">
        <v>1252</v>
      </c>
      <c r="B1630" s="2" t="s">
        <v>43</v>
      </c>
      <c r="C1630" s="2" t="s">
        <v>1309</v>
      </c>
      <c r="D1630" s="40">
        <v>2387000</v>
      </c>
      <c r="E1630" s="2" t="s">
        <v>295</v>
      </c>
      <c r="F1630" s="145">
        <v>3496</v>
      </c>
      <c r="H1630" s="2" t="s">
        <v>1310</v>
      </c>
      <c r="I1630" s="72">
        <v>45657</v>
      </c>
      <c r="K1630" s="2" t="s">
        <v>1311</v>
      </c>
    </row>
    <row r="1631" spans="1:11">
      <c r="A1631" s="2" t="s">
        <v>1253</v>
      </c>
      <c r="B1631" s="2" t="s">
        <v>43</v>
      </c>
      <c r="C1631" s="2" t="s">
        <v>1309</v>
      </c>
      <c r="D1631" s="40">
        <v>2390000</v>
      </c>
      <c r="E1631" s="2" t="s">
        <v>295</v>
      </c>
      <c r="F1631" s="145">
        <v>3499</v>
      </c>
      <c r="H1631" s="2" t="s">
        <v>1310</v>
      </c>
      <c r="I1631" s="72">
        <v>45660</v>
      </c>
      <c r="K1631" s="2" t="s">
        <v>1311</v>
      </c>
    </row>
    <row r="1632" spans="1:11">
      <c r="A1632" s="2" t="s">
        <v>1254</v>
      </c>
      <c r="B1632" s="2" t="s">
        <v>43</v>
      </c>
      <c r="C1632" s="2" t="s">
        <v>1309</v>
      </c>
      <c r="D1632" s="40">
        <v>2393000</v>
      </c>
      <c r="E1632" s="2" t="s">
        <v>295</v>
      </c>
      <c r="F1632" s="145">
        <v>3502</v>
      </c>
      <c r="H1632" s="2" t="s">
        <v>1310</v>
      </c>
      <c r="I1632" s="72">
        <v>45663</v>
      </c>
      <c r="K1632" s="2" t="s">
        <v>1311</v>
      </c>
    </row>
    <row r="1633" spans="1:11">
      <c r="A1633" s="2" t="s">
        <v>1255</v>
      </c>
      <c r="B1633" s="2" t="s">
        <v>43</v>
      </c>
      <c r="C1633" s="2" t="s">
        <v>1309</v>
      </c>
      <c r="D1633" s="40">
        <v>2396000</v>
      </c>
      <c r="E1633" s="2" t="s">
        <v>295</v>
      </c>
      <c r="F1633" s="145">
        <v>3505</v>
      </c>
      <c r="H1633" s="2" t="s">
        <v>1310</v>
      </c>
      <c r="I1633" s="72">
        <v>45666</v>
      </c>
      <c r="K1633" s="2" t="s">
        <v>1311</v>
      </c>
    </row>
    <row r="1634" spans="1:11">
      <c r="A1634" s="2" t="s">
        <v>1256</v>
      </c>
      <c r="B1634" s="2" t="s">
        <v>43</v>
      </c>
      <c r="C1634" s="2" t="s">
        <v>1309</v>
      </c>
      <c r="D1634" s="40">
        <v>2399000</v>
      </c>
      <c r="E1634" s="2" t="s">
        <v>295</v>
      </c>
      <c r="F1634" s="145">
        <v>3508</v>
      </c>
      <c r="H1634" s="2" t="s">
        <v>1310</v>
      </c>
      <c r="I1634" s="72">
        <v>45669</v>
      </c>
      <c r="K1634" s="2" t="s">
        <v>1311</v>
      </c>
    </row>
    <row r="1635" spans="1:11">
      <c r="A1635" s="2" t="s">
        <v>1257</v>
      </c>
      <c r="B1635" s="2" t="s">
        <v>43</v>
      </c>
      <c r="C1635" s="2" t="s">
        <v>1309</v>
      </c>
      <c r="D1635" s="40">
        <v>2402000</v>
      </c>
      <c r="E1635" s="2" t="s">
        <v>295</v>
      </c>
      <c r="F1635" s="145">
        <v>3511</v>
      </c>
      <c r="H1635" s="2" t="s">
        <v>1310</v>
      </c>
      <c r="I1635" s="72">
        <v>45672</v>
      </c>
      <c r="K1635" s="2" t="s">
        <v>1311</v>
      </c>
    </row>
    <row r="1636" spans="1:11">
      <c r="A1636" s="2" t="s">
        <v>1258</v>
      </c>
      <c r="B1636" s="2" t="s">
        <v>43</v>
      </c>
      <c r="C1636" s="2" t="s">
        <v>1309</v>
      </c>
      <c r="D1636" s="40">
        <v>2405000</v>
      </c>
      <c r="E1636" s="2" t="s">
        <v>295</v>
      </c>
      <c r="F1636" s="145">
        <v>3514</v>
      </c>
      <c r="H1636" s="2" t="s">
        <v>1310</v>
      </c>
      <c r="I1636" s="72">
        <v>45675</v>
      </c>
      <c r="K1636" s="2" t="s">
        <v>1311</v>
      </c>
    </row>
    <row r="1637" spans="1:11">
      <c r="A1637" s="2" t="s">
        <v>1259</v>
      </c>
      <c r="B1637" s="2" t="s">
        <v>43</v>
      </c>
      <c r="C1637" s="2" t="s">
        <v>1309</v>
      </c>
      <c r="D1637" s="40">
        <v>2408000</v>
      </c>
      <c r="E1637" s="2" t="s">
        <v>295</v>
      </c>
      <c r="F1637" s="145">
        <v>3517</v>
      </c>
      <c r="H1637" s="2" t="s">
        <v>1310</v>
      </c>
      <c r="I1637" s="72">
        <v>45678</v>
      </c>
      <c r="K1637" s="2" t="s">
        <v>1311</v>
      </c>
    </row>
    <row r="1638" spans="1:11">
      <c r="A1638" s="2" t="s">
        <v>1260</v>
      </c>
      <c r="B1638" s="2" t="s">
        <v>43</v>
      </c>
      <c r="C1638" s="2" t="s">
        <v>1309</v>
      </c>
      <c r="D1638" s="40">
        <v>2411000</v>
      </c>
      <c r="E1638" s="2" t="s">
        <v>295</v>
      </c>
      <c r="F1638" s="145">
        <v>3520</v>
      </c>
      <c r="H1638" s="2" t="s">
        <v>1310</v>
      </c>
      <c r="I1638" s="72">
        <v>45681</v>
      </c>
      <c r="K1638" s="2" t="s">
        <v>1311</v>
      </c>
    </row>
    <row r="1639" spans="1:11">
      <c r="A1639" s="2" t="s">
        <v>1261</v>
      </c>
      <c r="B1639" s="2" t="s">
        <v>43</v>
      </c>
      <c r="C1639" s="2" t="s">
        <v>1309</v>
      </c>
      <c r="D1639" s="40">
        <v>2414000</v>
      </c>
      <c r="E1639" s="2" t="s">
        <v>295</v>
      </c>
      <c r="F1639" s="145">
        <v>3523</v>
      </c>
      <c r="H1639" s="2" t="s">
        <v>1310</v>
      </c>
      <c r="I1639" s="72">
        <v>45684</v>
      </c>
      <c r="K1639" s="2" t="s">
        <v>1311</v>
      </c>
    </row>
    <row r="1640" spans="1:11">
      <c r="A1640" s="2" t="s">
        <v>1262</v>
      </c>
      <c r="B1640" s="2" t="s">
        <v>43</v>
      </c>
      <c r="C1640" s="2" t="s">
        <v>1309</v>
      </c>
      <c r="D1640" s="40">
        <v>2417000</v>
      </c>
      <c r="E1640" s="2" t="s">
        <v>295</v>
      </c>
      <c r="F1640" s="145">
        <v>3526</v>
      </c>
      <c r="H1640" s="2" t="s">
        <v>1310</v>
      </c>
      <c r="I1640" s="72">
        <v>45687</v>
      </c>
      <c r="K1640" s="2" t="s">
        <v>1311</v>
      </c>
    </row>
    <row r="1641" spans="1:11">
      <c r="A1641" s="2" t="s">
        <v>1263</v>
      </c>
      <c r="B1641" s="2" t="s">
        <v>43</v>
      </c>
      <c r="C1641" s="2" t="s">
        <v>1309</v>
      </c>
      <c r="D1641" s="40">
        <v>2420000</v>
      </c>
      <c r="E1641" s="2" t="s">
        <v>295</v>
      </c>
      <c r="F1641" s="145">
        <v>3529</v>
      </c>
      <c r="H1641" s="2" t="s">
        <v>1310</v>
      </c>
      <c r="I1641" s="72">
        <v>45690</v>
      </c>
      <c r="K1641" s="2" t="s">
        <v>1311</v>
      </c>
    </row>
    <row r="1642" spans="1:11">
      <c r="A1642" s="2" t="s">
        <v>1264</v>
      </c>
      <c r="B1642" s="2" t="s">
        <v>43</v>
      </c>
      <c r="C1642" s="2" t="s">
        <v>1309</v>
      </c>
      <c r="D1642" s="40">
        <v>2423000</v>
      </c>
      <c r="E1642" s="2" t="s">
        <v>295</v>
      </c>
      <c r="F1642" s="145">
        <v>3532</v>
      </c>
      <c r="H1642" s="2" t="s">
        <v>1310</v>
      </c>
      <c r="I1642" s="72">
        <v>45693</v>
      </c>
      <c r="K1642" s="2" t="s">
        <v>1311</v>
      </c>
    </row>
    <row r="1643" spans="1:11">
      <c r="A1643" s="2" t="s">
        <v>381</v>
      </c>
      <c r="B1643" s="2" t="s">
        <v>43</v>
      </c>
      <c r="C1643" s="2" t="s">
        <v>1309</v>
      </c>
      <c r="D1643" s="40">
        <v>2426000</v>
      </c>
      <c r="E1643" s="2" t="s">
        <v>295</v>
      </c>
      <c r="F1643" s="145">
        <v>3535</v>
      </c>
      <c r="H1643" s="2" t="s">
        <v>1310</v>
      </c>
      <c r="I1643" s="72">
        <v>45696</v>
      </c>
      <c r="K1643" s="2" t="s">
        <v>1311</v>
      </c>
    </row>
    <row r="1644" spans="1:11">
      <c r="A1644" s="2" t="s">
        <v>1265</v>
      </c>
      <c r="B1644" s="2" t="s">
        <v>43</v>
      </c>
      <c r="C1644" s="2" t="s">
        <v>1309</v>
      </c>
      <c r="D1644" s="40">
        <v>2429000</v>
      </c>
      <c r="E1644" s="2" t="s">
        <v>295</v>
      </c>
      <c r="F1644" s="145">
        <v>3538</v>
      </c>
      <c r="H1644" s="2" t="s">
        <v>1310</v>
      </c>
      <c r="I1644" s="72">
        <v>45699</v>
      </c>
      <c r="K1644" s="2" t="s">
        <v>1311</v>
      </c>
    </row>
    <row r="1645" spans="1:11">
      <c r="A1645" s="2" t="s">
        <v>1266</v>
      </c>
      <c r="B1645" s="2" t="s">
        <v>43</v>
      </c>
      <c r="C1645" s="2" t="s">
        <v>1309</v>
      </c>
      <c r="D1645" s="40">
        <v>2432000</v>
      </c>
      <c r="E1645" s="2" t="s">
        <v>295</v>
      </c>
      <c r="F1645" s="145">
        <v>3541</v>
      </c>
      <c r="H1645" s="2" t="s">
        <v>1310</v>
      </c>
      <c r="I1645" s="72">
        <v>45702</v>
      </c>
      <c r="K1645" s="2" t="s">
        <v>1311</v>
      </c>
    </row>
    <row r="1646" spans="1:11">
      <c r="A1646" s="2" t="s">
        <v>1267</v>
      </c>
      <c r="B1646" s="2" t="s">
        <v>43</v>
      </c>
      <c r="C1646" s="2" t="s">
        <v>1309</v>
      </c>
      <c r="D1646" s="40">
        <v>2435000</v>
      </c>
      <c r="E1646" s="2" t="s">
        <v>295</v>
      </c>
      <c r="F1646" s="145">
        <v>3544</v>
      </c>
      <c r="H1646" s="2" t="s">
        <v>1310</v>
      </c>
      <c r="I1646" s="72">
        <v>45705</v>
      </c>
      <c r="K1646" s="2" t="s">
        <v>1311</v>
      </c>
    </row>
    <row r="1647" spans="1:11">
      <c r="A1647" s="2" t="s">
        <v>1268</v>
      </c>
      <c r="B1647" s="2" t="s">
        <v>43</v>
      </c>
      <c r="C1647" s="2" t="s">
        <v>1309</v>
      </c>
      <c r="D1647" s="40">
        <v>2438000</v>
      </c>
      <c r="E1647" s="2" t="s">
        <v>295</v>
      </c>
      <c r="F1647" s="145">
        <v>3547</v>
      </c>
      <c r="H1647" s="2" t="s">
        <v>1310</v>
      </c>
      <c r="I1647" s="72">
        <v>45708</v>
      </c>
      <c r="K1647" s="2" t="s">
        <v>1311</v>
      </c>
    </row>
    <row r="1648" spans="1:11">
      <c r="A1648" s="2" t="s">
        <v>1269</v>
      </c>
      <c r="B1648" s="2" t="s">
        <v>43</v>
      </c>
      <c r="C1648" s="2" t="s">
        <v>1309</v>
      </c>
      <c r="D1648" s="40">
        <v>2441000</v>
      </c>
      <c r="E1648" s="2" t="s">
        <v>295</v>
      </c>
      <c r="F1648" s="145">
        <v>3550</v>
      </c>
      <c r="H1648" s="2" t="s">
        <v>1310</v>
      </c>
      <c r="I1648" s="72">
        <v>45711</v>
      </c>
      <c r="K1648" s="2" t="s">
        <v>1311</v>
      </c>
    </row>
    <row r="1649" spans="1:11">
      <c r="A1649" s="2" t="s">
        <v>389</v>
      </c>
      <c r="B1649" s="2" t="s">
        <v>43</v>
      </c>
      <c r="C1649" s="2" t="s">
        <v>1309</v>
      </c>
      <c r="D1649" s="40">
        <v>2444000</v>
      </c>
      <c r="E1649" s="2" t="s">
        <v>295</v>
      </c>
      <c r="F1649" s="145">
        <v>3553</v>
      </c>
      <c r="H1649" s="2" t="s">
        <v>1310</v>
      </c>
      <c r="I1649" s="72">
        <v>45714</v>
      </c>
      <c r="K1649" s="2" t="s">
        <v>1311</v>
      </c>
    </row>
    <row r="1650" spans="1:11">
      <c r="A1650" s="2" t="s">
        <v>385</v>
      </c>
      <c r="B1650" s="2" t="s">
        <v>43</v>
      </c>
      <c r="C1650" s="2" t="s">
        <v>1309</v>
      </c>
      <c r="D1650" s="40">
        <v>2447000</v>
      </c>
      <c r="E1650" s="2" t="s">
        <v>295</v>
      </c>
      <c r="F1650" s="145">
        <v>3556</v>
      </c>
      <c r="H1650" s="2" t="s">
        <v>1310</v>
      </c>
      <c r="I1650" s="72">
        <v>45717</v>
      </c>
      <c r="K1650" s="2" t="s">
        <v>1311</v>
      </c>
    </row>
    <row r="1651" spans="1:11">
      <c r="A1651" s="2" t="s">
        <v>1270</v>
      </c>
      <c r="B1651" s="2" t="s">
        <v>43</v>
      </c>
      <c r="C1651" s="2" t="s">
        <v>1309</v>
      </c>
      <c r="D1651" s="40">
        <v>2450000</v>
      </c>
      <c r="E1651" s="2" t="s">
        <v>295</v>
      </c>
      <c r="F1651" s="145">
        <v>3559</v>
      </c>
      <c r="H1651" s="2" t="s">
        <v>1310</v>
      </c>
      <c r="I1651" s="72">
        <v>45720</v>
      </c>
      <c r="K1651" s="2" t="s">
        <v>1311</v>
      </c>
    </row>
    <row r="1652" spans="1:11">
      <c r="A1652" s="2" t="s">
        <v>1271</v>
      </c>
      <c r="B1652" s="2" t="s">
        <v>43</v>
      </c>
      <c r="C1652" s="2" t="s">
        <v>1309</v>
      </c>
      <c r="D1652" s="40">
        <v>2453000</v>
      </c>
      <c r="E1652" s="2" t="s">
        <v>295</v>
      </c>
      <c r="F1652" s="145">
        <v>3562</v>
      </c>
      <c r="H1652" s="2" t="s">
        <v>1310</v>
      </c>
      <c r="I1652" s="72">
        <v>45723</v>
      </c>
      <c r="K1652" s="2" t="s">
        <v>1311</v>
      </c>
    </row>
    <row r="1653" spans="1:11">
      <c r="A1653" s="2" t="s">
        <v>382</v>
      </c>
      <c r="B1653" s="2" t="s">
        <v>43</v>
      </c>
      <c r="C1653" s="2" t="s">
        <v>1309</v>
      </c>
      <c r="D1653" s="40">
        <v>2456000</v>
      </c>
      <c r="E1653" s="2" t="s">
        <v>295</v>
      </c>
      <c r="F1653" s="145">
        <v>3565</v>
      </c>
      <c r="H1653" s="2" t="s">
        <v>1310</v>
      </c>
      <c r="I1653" s="72">
        <v>45726</v>
      </c>
      <c r="K1653" s="2" t="s">
        <v>1311</v>
      </c>
    </row>
    <row r="1654" spans="1:11">
      <c r="A1654" s="2" t="s">
        <v>1272</v>
      </c>
      <c r="B1654" s="2" t="s">
        <v>43</v>
      </c>
      <c r="C1654" s="2" t="s">
        <v>1309</v>
      </c>
      <c r="D1654" s="40">
        <v>2459000</v>
      </c>
      <c r="E1654" s="2" t="s">
        <v>295</v>
      </c>
      <c r="F1654" s="145">
        <v>3568</v>
      </c>
      <c r="H1654" s="2" t="s">
        <v>1310</v>
      </c>
      <c r="I1654" s="72">
        <v>45729</v>
      </c>
      <c r="K1654" s="2" t="s">
        <v>1311</v>
      </c>
    </row>
    <row r="1655" spans="1:11">
      <c r="A1655" s="2" t="s">
        <v>1273</v>
      </c>
      <c r="B1655" s="2" t="s">
        <v>43</v>
      </c>
      <c r="C1655" s="2" t="s">
        <v>1309</v>
      </c>
      <c r="D1655" s="40">
        <v>2462000</v>
      </c>
      <c r="E1655" s="2" t="s">
        <v>295</v>
      </c>
      <c r="F1655" s="145">
        <v>3571</v>
      </c>
      <c r="H1655" s="2" t="s">
        <v>1310</v>
      </c>
      <c r="I1655" s="72">
        <v>45732</v>
      </c>
      <c r="K1655" s="2" t="s">
        <v>1311</v>
      </c>
    </row>
    <row r="1656" spans="1:11">
      <c r="A1656" s="2" t="s">
        <v>1274</v>
      </c>
      <c r="B1656" s="2" t="s">
        <v>43</v>
      </c>
      <c r="C1656" s="2" t="s">
        <v>1309</v>
      </c>
      <c r="D1656" s="40">
        <v>2465000</v>
      </c>
      <c r="E1656" s="2" t="s">
        <v>295</v>
      </c>
      <c r="F1656" s="145">
        <v>3574</v>
      </c>
      <c r="H1656" s="2" t="s">
        <v>1310</v>
      </c>
      <c r="I1656" s="72">
        <v>45735</v>
      </c>
      <c r="K1656" s="2" t="s">
        <v>1311</v>
      </c>
    </row>
    <row r="1657" spans="1:11">
      <c r="A1657" s="2" t="s">
        <v>1275</v>
      </c>
      <c r="B1657" s="2" t="s">
        <v>43</v>
      </c>
      <c r="C1657" s="2" t="s">
        <v>1309</v>
      </c>
      <c r="D1657" s="40">
        <v>2468000</v>
      </c>
      <c r="E1657" s="2" t="s">
        <v>295</v>
      </c>
      <c r="F1657" s="145">
        <v>3577</v>
      </c>
      <c r="H1657" s="2" t="s">
        <v>1310</v>
      </c>
      <c r="I1657" s="72">
        <v>45738</v>
      </c>
      <c r="K1657" s="2" t="s">
        <v>1311</v>
      </c>
    </row>
    <row r="1658" spans="1:11">
      <c r="A1658" s="2" t="s">
        <v>1276</v>
      </c>
      <c r="B1658" s="2" t="s">
        <v>43</v>
      </c>
      <c r="C1658" s="2" t="s">
        <v>1309</v>
      </c>
      <c r="D1658" s="40">
        <v>2471000</v>
      </c>
      <c r="E1658" s="2" t="s">
        <v>295</v>
      </c>
      <c r="F1658" s="145">
        <v>3580</v>
      </c>
      <c r="H1658" s="2" t="s">
        <v>1310</v>
      </c>
      <c r="I1658" s="72">
        <v>45741</v>
      </c>
      <c r="K1658" s="2" t="s">
        <v>1311</v>
      </c>
    </row>
    <row r="1659" spans="1:11">
      <c r="A1659" s="2" t="s">
        <v>1277</v>
      </c>
      <c r="B1659" s="2" t="s">
        <v>43</v>
      </c>
      <c r="C1659" s="2" t="s">
        <v>1309</v>
      </c>
      <c r="D1659" s="40">
        <v>2474000</v>
      </c>
      <c r="E1659" s="2" t="s">
        <v>295</v>
      </c>
      <c r="F1659" s="145">
        <v>3583</v>
      </c>
      <c r="H1659" s="2" t="s">
        <v>1310</v>
      </c>
      <c r="I1659" s="72">
        <v>45744</v>
      </c>
      <c r="K1659" s="2" t="s">
        <v>1311</v>
      </c>
    </row>
    <row r="1660" spans="1:11">
      <c r="A1660" s="2" t="s">
        <v>397</v>
      </c>
      <c r="B1660" s="2" t="s">
        <v>43</v>
      </c>
      <c r="C1660" s="2" t="s">
        <v>1309</v>
      </c>
      <c r="D1660" s="40">
        <v>2477000</v>
      </c>
      <c r="E1660" s="2" t="s">
        <v>295</v>
      </c>
      <c r="F1660" s="145">
        <v>3586</v>
      </c>
      <c r="H1660" s="2" t="s">
        <v>1310</v>
      </c>
      <c r="I1660" s="72">
        <v>45747</v>
      </c>
      <c r="K1660" s="2" t="s">
        <v>1311</v>
      </c>
    </row>
    <row r="1661" spans="1:11">
      <c r="A1661" s="2" t="s">
        <v>390</v>
      </c>
      <c r="B1661" s="2" t="s">
        <v>43</v>
      </c>
      <c r="C1661" s="2" t="s">
        <v>1309</v>
      </c>
      <c r="D1661" s="40">
        <v>2480000</v>
      </c>
      <c r="E1661" s="2" t="s">
        <v>295</v>
      </c>
      <c r="F1661" s="145">
        <v>3589</v>
      </c>
      <c r="H1661" s="2" t="s">
        <v>1310</v>
      </c>
      <c r="I1661" s="72">
        <v>45750</v>
      </c>
      <c r="K1661" s="2" t="s">
        <v>1311</v>
      </c>
    </row>
    <row r="1662" spans="1:11">
      <c r="A1662" s="2" t="s">
        <v>1278</v>
      </c>
      <c r="B1662" s="2" t="s">
        <v>43</v>
      </c>
      <c r="C1662" s="2" t="s">
        <v>1309</v>
      </c>
      <c r="D1662" s="40">
        <v>2483000</v>
      </c>
      <c r="E1662" s="2" t="s">
        <v>295</v>
      </c>
      <c r="F1662" s="145">
        <v>3592</v>
      </c>
      <c r="H1662" s="2" t="s">
        <v>1310</v>
      </c>
      <c r="I1662" s="72">
        <v>45753</v>
      </c>
      <c r="K1662" s="2" t="s">
        <v>1311</v>
      </c>
    </row>
    <row r="1663" spans="1:11">
      <c r="A1663" s="2" t="s">
        <v>1279</v>
      </c>
      <c r="B1663" s="2" t="s">
        <v>43</v>
      </c>
      <c r="C1663" s="2" t="s">
        <v>1309</v>
      </c>
      <c r="D1663" s="40">
        <v>2486000</v>
      </c>
      <c r="E1663" s="2" t="s">
        <v>295</v>
      </c>
      <c r="F1663" s="145">
        <v>3595</v>
      </c>
      <c r="H1663" s="2" t="s">
        <v>1310</v>
      </c>
      <c r="I1663" s="72">
        <v>45756</v>
      </c>
      <c r="K1663" s="2" t="s">
        <v>1311</v>
      </c>
    </row>
    <row r="1664" spans="1:11">
      <c r="A1664" s="2" t="s">
        <v>1280</v>
      </c>
      <c r="B1664" s="2" t="s">
        <v>43</v>
      </c>
      <c r="C1664" s="2" t="s">
        <v>1309</v>
      </c>
      <c r="D1664" s="40">
        <v>2489000</v>
      </c>
      <c r="E1664" s="2" t="s">
        <v>295</v>
      </c>
      <c r="F1664" s="145">
        <v>3598</v>
      </c>
      <c r="H1664" s="2" t="s">
        <v>1310</v>
      </c>
      <c r="I1664" s="72">
        <v>45759</v>
      </c>
      <c r="K1664" s="2" t="s">
        <v>1311</v>
      </c>
    </row>
    <row r="1665" spans="1:11">
      <c r="A1665" s="2" t="s">
        <v>1281</v>
      </c>
      <c r="B1665" s="2" t="s">
        <v>43</v>
      </c>
      <c r="C1665" s="2" t="s">
        <v>1309</v>
      </c>
      <c r="D1665" s="40">
        <v>2492000</v>
      </c>
      <c r="E1665" s="2" t="s">
        <v>295</v>
      </c>
      <c r="F1665" s="145">
        <v>3601</v>
      </c>
      <c r="H1665" s="2" t="s">
        <v>1310</v>
      </c>
      <c r="I1665" s="72">
        <v>45762</v>
      </c>
      <c r="K1665" s="2" t="s">
        <v>1311</v>
      </c>
    </row>
    <row r="1666" spans="1:11">
      <c r="A1666" s="2" t="s">
        <v>1282</v>
      </c>
      <c r="B1666" s="2" t="s">
        <v>43</v>
      </c>
      <c r="C1666" s="2" t="s">
        <v>1309</v>
      </c>
      <c r="D1666" s="40">
        <v>2495000</v>
      </c>
      <c r="E1666" s="2" t="s">
        <v>295</v>
      </c>
      <c r="F1666" s="145">
        <v>3604</v>
      </c>
      <c r="H1666" s="2" t="s">
        <v>1310</v>
      </c>
      <c r="I1666" s="72">
        <v>45765</v>
      </c>
      <c r="K1666" s="2" t="s">
        <v>1311</v>
      </c>
    </row>
    <row r="1667" spans="1:11">
      <c r="A1667" s="2" t="s">
        <v>1283</v>
      </c>
      <c r="B1667" s="2" t="s">
        <v>43</v>
      </c>
      <c r="C1667" s="2" t="s">
        <v>1309</v>
      </c>
      <c r="D1667" s="40">
        <v>2498000</v>
      </c>
      <c r="E1667" s="2" t="s">
        <v>295</v>
      </c>
      <c r="F1667" s="145">
        <v>3607</v>
      </c>
      <c r="H1667" s="2" t="s">
        <v>1310</v>
      </c>
      <c r="I1667" s="72">
        <v>45768</v>
      </c>
      <c r="K1667" s="2" t="s">
        <v>1311</v>
      </c>
    </row>
    <row r="1668" spans="1:11">
      <c r="A1668" s="2" t="s">
        <v>1284</v>
      </c>
      <c r="B1668" s="2" t="s">
        <v>43</v>
      </c>
      <c r="C1668" s="2" t="s">
        <v>1309</v>
      </c>
      <c r="D1668" s="40">
        <v>2501000</v>
      </c>
      <c r="E1668" s="2" t="s">
        <v>295</v>
      </c>
      <c r="F1668" s="145">
        <v>3610</v>
      </c>
      <c r="H1668" s="2" t="s">
        <v>1310</v>
      </c>
      <c r="I1668" s="72">
        <v>45771</v>
      </c>
      <c r="K1668" s="2" t="s">
        <v>1311</v>
      </c>
    </row>
    <row r="1669" spans="1:11">
      <c r="A1669" s="2" t="s">
        <v>1285</v>
      </c>
      <c r="B1669" s="2" t="s">
        <v>43</v>
      </c>
      <c r="C1669" s="2" t="s">
        <v>1309</v>
      </c>
      <c r="D1669" s="40">
        <v>2504000</v>
      </c>
      <c r="E1669" s="2" t="s">
        <v>295</v>
      </c>
      <c r="F1669" s="145">
        <v>3613</v>
      </c>
      <c r="H1669" s="2" t="s">
        <v>1310</v>
      </c>
      <c r="I1669" s="72">
        <v>45774</v>
      </c>
      <c r="K1669" s="2" t="s">
        <v>1311</v>
      </c>
    </row>
    <row r="1670" spans="1:11">
      <c r="A1670" s="2" t="s">
        <v>1286</v>
      </c>
      <c r="B1670" s="2" t="s">
        <v>43</v>
      </c>
      <c r="C1670" s="2" t="s">
        <v>1309</v>
      </c>
      <c r="D1670" s="40">
        <v>2507000</v>
      </c>
      <c r="E1670" s="2" t="s">
        <v>295</v>
      </c>
      <c r="F1670" s="145">
        <v>3616</v>
      </c>
      <c r="H1670" s="2" t="s">
        <v>1310</v>
      </c>
      <c r="I1670" s="72">
        <v>45777</v>
      </c>
      <c r="K1670" s="2" t="s">
        <v>1311</v>
      </c>
    </row>
    <row r="1671" spans="1:11">
      <c r="A1671" s="2" t="s">
        <v>1287</v>
      </c>
      <c r="B1671" s="2" t="s">
        <v>43</v>
      </c>
      <c r="C1671" s="2" t="s">
        <v>1309</v>
      </c>
      <c r="D1671" s="40">
        <v>2510000</v>
      </c>
      <c r="E1671" s="2" t="s">
        <v>295</v>
      </c>
      <c r="F1671" s="145">
        <v>3619</v>
      </c>
      <c r="H1671" s="2" t="s">
        <v>1310</v>
      </c>
      <c r="I1671" s="72">
        <v>45780</v>
      </c>
      <c r="K1671" s="2" t="s">
        <v>1311</v>
      </c>
    </row>
    <row r="1672" spans="1:11">
      <c r="A1672" s="2" t="s">
        <v>1288</v>
      </c>
      <c r="B1672" s="2" t="s">
        <v>43</v>
      </c>
      <c r="C1672" s="2" t="s">
        <v>1309</v>
      </c>
      <c r="D1672" s="40">
        <v>2513000</v>
      </c>
      <c r="E1672" s="2" t="s">
        <v>295</v>
      </c>
      <c r="F1672" s="145">
        <v>3622</v>
      </c>
      <c r="H1672" s="2" t="s">
        <v>1310</v>
      </c>
      <c r="I1672" s="72">
        <v>45783</v>
      </c>
      <c r="K1672" s="2" t="s">
        <v>1311</v>
      </c>
    </row>
    <row r="1673" spans="1:11">
      <c r="A1673" s="2" t="s">
        <v>1289</v>
      </c>
      <c r="B1673" s="2" t="s">
        <v>43</v>
      </c>
      <c r="C1673" s="2" t="s">
        <v>1309</v>
      </c>
      <c r="D1673" s="40">
        <v>2516000</v>
      </c>
      <c r="E1673" s="2" t="s">
        <v>295</v>
      </c>
      <c r="F1673" s="145">
        <v>3625</v>
      </c>
      <c r="H1673" s="2" t="s">
        <v>1310</v>
      </c>
      <c r="I1673" s="72">
        <v>45786</v>
      </c>
      <c r="K1673" s="2" t="s">
        <v>1311</v>
      </c>
    </row>
    <row r="1674" spans="1:11">
      <c r="A1674" s="2" t="s">
        <v>1290</v>
      </c>
      <c r="B1674" s="2" t="s">
        <v>43</v>
      </c>
      <c r="C1674" s="2" t="s">
        <v>1309</v>
      </c>
      <c r="D1674" s="40">
        <v>2519000</v>
      </c>
      <c r="E1674" s="2" t="s">
        <v>295</v>
      </c>
      <c r="F1674" s="145">
        <v>3628</v>
      </c>
      <c r="H1674" s="2" t="s">
        <v>1310</v>
      </c>
      <c r="I1674" s="72">
        <v>45789</v>
      </c>
      <c r="K1674" s="2" t="s">
        <v>1311</v>
      </c>
    </row>
    <row r="1675" spans="1:11">
      <c r="A1675" s="2" t="s">
        <v>1291</v>
      </c>
      <c r="B1675" s="2" t="s">
        <v>43</v>
      </c>
      <c r="C1675" s="2" t="s">
        <v>1309</v>
      </c>
      <c r="D1675" s="40">
        <v>2522000</v>
      </c>
      <c r="E1675" s="2" t="s">
        <v>295</v>
      </c>
      <c r="F1675" s="145">
        <v>3631</v>
      </c>
      <c r="H1675" s="2" t="s">
        <v>1310</v>
      </c>
      <c r="I1675" s="72">
        <v>45792</v>
      </c>
      <c r="K1675" s="2" t="s">
        <v>1311</v>
      </c>
    </row>
    <row r="1676" spans="1:11">
      <c r="A1676" s="2" t="s">
        <v>1292</v>
      </c>
      <c r="B1676" s="2" t="s">
        <v>43</v>
      </c>
      <c r="C1676" s="2" t="s">
        <v>1309</v>
      </c>
      <c r="D1676" s="40">
        <v>2525000</v>
      </c>
      <c r="E1676" s="2" t="s">
        <v>295</v>
      </c>
      <c r="F1676" s="145">
        <v>3634</v>
      </c>
      <c r="H1676" s="2" t="s">
        <v>1310</v>
      </c>
      <c r="I1676" s="72">
        <v>45795</v>
      </c>
      <c r="K1676" s="2" t="s">
        <v>1311</v>
      </c>
    </row>
    <row r="1677" spans="1:11">
      <c r="A1677" s="2" t="s">
        <v>1293</v>
      </c>
      <c r="B1677" s="2" t="s">
        <v>43</v>
      </c>
      <c r="C1677" s="2" t="s">
        <v>1309</v>
      </c>
      <c r="D1677" s="40">
        <v>2528000</v>
      </c>
      <c r="E1677" s="2" t="s">
        <v>295</v>
      </c>
      <c r="F1677" s="145">
        <v>3637</v>
      </c>
      <c r="H1677" s="2" t="s">
        <v>1310</v>
      </c>
      <c r="I1677" s="72">
        <v>45798</v>
      </c>
      <c r="K1677" s="2" t="s">
        <v>1311</v>
      </c>
    </row>
    <row r="1678" spans="1:11">
      <c r="A1678" s="2" t="s">
        <v>1294</v>
      </c>
      <c r="B1678" s="2" t="s">
        <v>43</v>
      </c>
      <c r="C1678" s="2" t="s">
        <v>1309</v>
      </c>
      <c r="D1678" s="40">
        <v>2531000</v>
      </c>
      <c r="E1678" s="2" t="s">
        <v>295</v>
      </c>
      <c r="F1678" s="145">
        <v>3640</v>
      </c>
      <c r="H1678" s="2" t="s">
        <v>1310</v>
      </c>
      <c r="I1678" s="72">
        <v>45801</v>
      </c>
      <c r="K1678" s="2" t="s">
        <v>1311</v>
      </c>
    </row>
    <row r="1679" spans="1:11">
      <c r="A1679" s="2" t="s">
        <v>1295</v>
      </c>
      <c r="B1679" s="2" t="s">
        <v>43</v>
      </c>
      <c r="C1679" s="2" t="s">
        <v>1309</v>
      </c>
      <c r="D1679" s="40">
        <v>2534000</v>
      </c>
      <c r="E1679" s="2" t="s">
        <v>295</v>
      </c>
      <c r="F1679" s="145">
        <v>3643</v>
      </c>
      <c r="H1679" s="2" t="s">
        <v>1310</v>
      </c>
      <c r="I1679" s="72">
        <v>45804</v>
      </c>
      <c r="K1679" s="2" t="s">
        <v>1311</v>
      </c>
    </row>
    <row r="1680" spans="1:11">
      <c r="A1680" s="2" t="s">
        <v>1296</v>
      </c>
      <c r="B1680" s="2" t="s">
        <v>43</v>
      </c>
      <c r="C1680" s="2" t="s">
        <v>1309</v>
      </c>
      <c r="D1680" s="40">
        <v>2537000</v>
      </c>
      <c r="E1680" s="2" t="s">
        <v>295</v>
      </c>
      <c r="F1680" s="145">
        <v>3646</v>
      </c>
      <c r="H1680" s="2" t="s">
        <v>1310</v>
      </c>
      <c r="I1680" s="72">
        <v>45807</v>
      </c>
      <c r="K1680" s="2" t="s">
        <v>1311</v>
      </c>
    </row>
    <row r="1681" spans="1:11">
      <c r="A1681" s="2" t="s">
        <v>1297</v>
      </c>
      <c r="B1681" s="2" t="s">
        <v>43</v>
      </c>
      <c r="C1681" s="2" t="s">
        <v>1309</v>
      </c>
      <c r="D1681" s="40">
        <v>2540000</v>
      </c>
      <c r="E1681" s="2" t="s">
        <v>295</v>
      </c>
      <c r="F1681" s="145">
        <v>3649</v>
      </c>
      <c r="H1681" s="2" t="s">
        <v>1310</v>
      </c>
      <c r="I1681" s="72">
        <v>45810</v>
      </c>
      <c r="K1681" s="2" t="s">
        <v>1311</v>
      </c>
    </row>
    <row r="1682" spans="1:11">
      <c r="A1682" s="2" t="s">
        <v>399</v>
      </c>
      <c r="B1682" s="2" t="s">
        <v>43</v>
      </c>
      <c r="C1682" s="2" t="s">
        <v>1309</v>
      </c>
      <c r="D1682" s="40">
        <v>2543000</v>
      </c>
      <c r="E1682" s="2" t="s">
        <v>295</v>
      </c>
      <c r="F1682" s="145">
        <v>3652</v>
      </c>
      <c r="H1682" s="2" t="s">
        <v>1310</v>
      </c>
      <c r="I1682" s="72">
        <v>45813</v>
      </c>
      <c r="K1682" s="2" t="s">
        <v>1311</v>
      </c>
    </row>
    <row r="1683" spans="1:11">
      <c r="A1683" s="2" t="s">
        <v>1298</v>
      </c>
      <c r="B1683" s="2" t="s">
        <v>43</v>
      </c>
      <c r="C1683" s="2" t="s">
        <v>1309</v>
      </c>
      <c r="D1683" s="40">
        <v>2546000</v>
      </c>
      <c r="E1683" s="2" t="s">
        <v>295</v>
      </c>
      <c r="F1683" s="145">
        <v>3655</v>
      </c>
      <c r="H1683" s="2" t="s">
        <v>1310</v>
      </c>
      <c r="I1683" s="72">
        <v>45816</v>
      </c>
      <c r="K1683" s="2" t="s">
        <v>1311</v>
      </c>
    </row>
    <row r="1684" spans="1:11">
      <c r="A1684" s="2" t="s">
        <v>1299</v>
      </c>
      <c r="B1684" s="2" t="s">
        <v>43</v>
      </c>
      <c r="C1684" s="2" t="s">
        <v>1309</v>
      </c>
      <c r="D1684" s="40">
        <v>2549000</v>
      </c>
      <c r="E1684" s="2" t="s">
        <v>295</v>
      </c>
      <c r="F1684" s="145">
        <v>3658</v>
      </c>
      <c r="H1684" s="2" t="s">
        <v>1310</v>
      </c>
      <c r="I1684" s="72">
        <v>45819</v>
      </c>
      <c r="K1684" s="2" t="s">
        <v>1311</v>
      </c>
    </row>
    <row r="1685" spans="1:11">
      <c r="A1685" s="2" t="s">
        <v>1300</v>
      </c>
      <c r="B1685" s="2" t="s">
        <v>43</v>
      </c>
      <c r="C1685" s="2" t="s">
        <v>1309</v>
      </c>
      <c r="D1685" s="40">
        <v>2552000</v>
      </c>
      <c r="E1685" s="2" t="s">
        <v>295</v>
      </c>
      <c r="F1685" s="145">
        <v>3661</v>
      </c>
      <c r="H1685" s="2" t="s">
        <v>1310</v>
      </c>
      <c r="I1685" s="72">
        <v>45822</v>
      </c>
      <c r="K1685" s="2" t="s">
        <v>1311</v>
      </c>
    </row>
    <row r="1686" spans="1:11">
      <c r="A1686" s="2" t="s">
        <v>1301</v>
      </c>
      <c r="B1686" s="2" t="s">
        <v>43</v>
      </c>
      <c r="C1686" s="2" t="s">
        <v>1309</v>
      </c>
      <c r="D1686" s="40">
        <v>2555000</v>
      </c>
      <c r="E1686" s="2" t="s">
        <v>295</v>
      </c>
      <c r="F1686" s="145">
        <v>3664</v>
      </c>
      <c r="H1686" s="2" t="s">
        <v>1310</v>
      </c>
      <c r="I1686" s="72">
        <v>45825</v>
      </c>
      <c r="K1686" s="2" t="s">
        <v>1311</v>
      </c>
    </row>
    <row r="1687" spans="1:11">
      <c r="A1687" s="2" t="s">
        <v>1302</v>
      </c>
      <c r="B1687" s="2" t="s">
        <v>43</v>
      </c>
      <c r="C1687" s="2" t="s">
        <v>1309</v>
      </c>
      <c r="D1687" s="40">
        <v>2558000</v>
      </c>
      <c r="E1687" s="2" t="s">
        <v>295</v>
      </c>
      <c r="F1687" s="145">
        <v>3667</v>
      </c>
      <c r="H1687" s="2" t="s">
        <v>1310</v>
      </c>
      <c r="I1687" s="72">
        <v>45828</v>
      </c>
      <c r="K1687" s="2" t="s">
        <v>1311</v>
      </c>
    </row>
    <row r="1688" spans="1:11">
      <c r="A1688" s="2" t="s">
        <v>1303</v>
      </c>
      <c r="B1688" s="2" t="s">
        <v>43</v>
      </c>
      <c r="C1688" s="2" t="s">
        <v>1309</v>
      </c>
      <c r="D1688" s="40">
        <v>2561000</v>
      </c>
      <c r="E1688" s="2" t="s">
        <v>295</v>
      </c>
      <c r="F1688" s="145">
        <v>3670</v>
      </c>
      <c r="H1688" s="2" t="s">
        <v>1310</v>
      </c>
      <c r="I1688" s="72">
        <v>45831</v>
      </c>
      <c r="K1688" s="2" t="s">
        <v>1311</v>
      </c>
    </row>
    <row r="1689" spans="1:11">
      <c r="A1689" s="2" t="s">
        <v>1304</v>
      </c>
      <c r="B1689" s="2" t="s">
        <v>43</v>
      </c>
      <c r="C1689" s="2" t="s">
        <v>1309</v>
      </c>
      <c r="D1689" s="40">
        <v>2564000</v>
      </c>
      <c r="E1689" s="2" t="s">
        <v>295</v>
      </c>
      <c r="F1689" s="145">
        <v>3673</v>
      </c>
      <c r="H1689" s="2" t="s">
        <v>1310</v>
      </c>
      <c r="I1689" s="72">
        <v>45834</v>
      </c>
      <c r="K1689" s="2" t="s">
        <v>1311</v>
      </c>
    </row>
    <row r="1690" spans="1:11">
      <c r="A1690" s="2" t="s">
        <v>1305</v>
      </c>
      <c r="B1690" s="2" t="s">
        <v>43</v>
      </c>
      <c r="C1690" s="2" t="s">
        <v>1309</v>
      </c>
      <c r="D1690" s="40">
        <v>2567000</v>
      </c>
      <c r="E1690" s="2" t="s">
        <v>295</v>
      </c>
      <c r="F1690" s="145">
        <v>3676</v>
      </c>
      <c r="H1690" s="2" t="s">
        <v>1310</v>
      </c>
      <c r="I1690" s="72">
        <v>45837</v>
      </c>
      <c r="K1690" s="2" t="s">
        <v>1311</v>
      </c>
    </row>
    <row r="1691" spans="1:11">
      <c r="A1691" s="2" t="s">
        <v>1306</v>
      </c>
      <c r="B1691" s="2" t="s">
        <v>43</v>
      </c>
      <c r="C1691" s="2" t="s">
        <v>1309</v>
      </c>
      <c r="D1691" s="40">
        <v>2570000</v>
      </c>
      <c r="E1691" s="2" t="s">
        <v>295</v>
      </c>
      <c r="F1691" s="145">
        <v>3679</v>
      </c>
      <c r="H1691" s="2" t="s">
        <v>1310</v>
      </c>
      <c r="I1691" s="72">
        <v>45840</v>
      </c>
      <c r="K1691" s="2" t="s">
        <v>1311</v>
      </c>
    </row>
    <row r="1692" spans="1:11">
      <c r="A1692" s="2" t="s">
        <v>1307</v>
      </c>
      <c r="B1692" s="2" t="s">
        <v>43</v>
      </c>
      <c r="C1692" s="2" t="s">
        <v>1309</v>
      </c>
      <c r="D1692" s="40">
        <v>2573000</v>
      </c>
      <c r="E1692" s="2" t="s">
        <v>295</v>
      </c>
      <c r="F1692" s="145">
        <v>3682</v>
      </c>
      <c r="H1692" s="2" t="s">
        <v>1310</v>
      </c>
      <c r="I1692" s="72">
        <v>45843</v>
      </c>
      <c r="K1692" s="2" t="s">
        <v>1311</v>
      </c>
    </row>
    <row r="1693" spans="1:11">
      <c r="A1693" s="2" t="s">
        <v>1308</v>
      </c>
      <c r="B1693" s="2" t="s">
        <v>43</v>
      </c>
      <c r="C1693" s="2" t="s">
        <v>1309</v>
      </c>
      <c r="D1693" s="40">
        <v>2576000</v>
      </c>
      <c r="E1693" s="2" t="s">
        <v>295</v>
      </c>
      <c r="F1693" s="145">
        <v>3685</v>
      </c>
      <c r="H1693" s="2" t="s">
        <v>1310</v>
      </c>
      <c r="I1693" s="72">
        <v>45846</v>
      </c>
      <c r="K1693" s="2" t="s">
        <v>1311</v>
      </c>
    </row>
  </sheetData>
  <sheetProtection formatCells="0" formatColumns="0" formatRows="0" sort="0" autoFilter="0"/>
  <autoFilter ref="A2:AE2" xr:uid="{00000000-0001-0000-0000-000000000000}"/>
  <phoneticPr fontId="18" type="noConversion"/>
  <conditionalFormatting sqref="B1">
    <cfRule type="containsText" dxfId="87" priority="26782" operator="containsText" text="no">
      <formula>NOT(ISERROR(SEARCH(("no"),(B1))))</formula>
    </cfRule>
  </conditionalFormatting>
  <conditionalFormatting sqref="O1">
    <cfRule type="containsText" dxfId="86" priority="26780" operator="containsText" text="no">
      <formula>NOT(ISERROR(SEARCH(("no"),(O1))))</formula>
    </cfRule>
  </conditionalFormatting>
  <conditionalFormatting sqref="B3:B1048576">
    <cfRule type="cellIs" dxfId="85" priority="26774" operator="equal">
      <formula>"no"</formula>
    </cfRule>
    <cfRule type="cellIs" dxfId="84" priority="26776" operator="equal">
      <formula>"""no"""</formula>
    </cfRule>
  </conditionalFormatting>
  <conditionalFormatting sqref="B1 B3:B1048576">
    <cfRule type="cellIs" dxfId="83" priority="26773" operator="equal">
      <formula>"no"</formula>
    </cfRule>
  </conditionalFormatting>
  <conditionalFormatting sqref="B2">
    <cfRule type="containsText" dxfId="82" priority="3" operator="containsText" text="no">
      <formula>NOT(ISERROR(SEARCH(("no"),(B2))))</formula>
    </cfRule>
  </conditionalFormatting>
  <conditionalFormatting sqref="O2">
    <cfRule type="containsText" dxfId="81" priority="2" operator="containsText" text="no">
      <formula>NOT(ISERROR(SEARCH(("no"),(O2))))</formula>
    </cfRule>
  </conditionalFormatting>
  <conditionalFormatting sqref="B2">
    <cfRule type="cellIs" dxfId="80" priority="1" operator="equal">
      <formula>"no"</formula>
    </cfRule>
  </conditionalFormatting>
  <dataValidations count="2">
    <dataValidation type="list" allowBlank="1" showInputMessage="1" showErrorMessage="1" sqref="S3:T1048576" xr:uid="{8D5C20AD-B277-4F80-87EE-C47CE2B27F1E}">
      <formula1>"Yes, No"</formula1>
    </dataValidation>
    <dataValidation type="list" allowBlank="1" showInputMessage="1" showErrorMessage="1" sqref="B3:B1048576" xr:uid="{00000000-0002-0000-0000-000002000000}">
      <formula1>"yes, no"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">
                <anchor moveWithCells="1" siz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1095375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dit">
                <anchor moveWithCells="1" sizeWithCells="1"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5</xdr:col>
                    <xdr:colOff>1247775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2260F-E66C-452E-92AA-4FAEC871DFCD}">
  <sheetPr codeName="Sheet11"/>
  <dimension ref="A1:C30"/>
  <sheetViews>
    <sheetView workbookViewId="0">
      <selection activeCell="C11" sqref="C11"/>
    </sheetView>
  </sheetViews>
  <sheetFormatPr defaultRowHeight="15"/>
  <sheetData>
    <row r="1" spans="1:3">
      <c r="A1" t="s">
        <v>15</v>
      </c>
      <c r="C1">
        <v>1</v>
      </c>
    </row>
    <row r="2" spans="1:3">
      <c r="A2" t="s">
        <v>18</v>
      </c>
      <c r="C2">
        <f>C1+1</f>
        <v>2</v>
      </c>
    </row>
    <row r="3" spans="1:3">
      <c r="C3">
        <f t="shared" ref="C3:C30" si="0">C2+1</f>
        <v>3</v>
      </c>
    </row>
    <row r="4" spans="1:3">
      <c r="C4">
        <f t="shared" si="0"/>
        <v>4</v>
      </c>
    </row>
    <row r="5" spans="1:3">
      <c r="C5">
        <f t="shared" si="0"/>
        <v>5</v>
      </c>
    </row>
    <row r="6" spans="1:3">
      <c r="C6">
        <f t="shared" si="0"/>
        <v>6</v>
      </c>
    </row>
    <row r="7" spans="1:3">
      <c r="C7">
        <f t="shared" si="0"/>
        <v>7</v>
      </c>
    </row>
    <row r="8" spans="1:3">
      <c r="C8">
        <f t="shared" si="0"/>
        <v>8</v>
      </c>
    </row>
    <row r="9" spans="1:3">
      <c r="C9">
        <f t="shared" si="0"/>
        <v>9</v>
      </c>
    </row>
    <row r="10" spans="1:3">
      <c r="C10">
        <f t="shared" si="0"/>
        <v>10</v>
      </c>
    </row>
    <row r="11" spans="1:3">
      <c r="C11">
        <f t="shared" si="0"/>
        <v>11</v>
      </c>
    </row>
    <row r="12" spans="1:3">
      <c r="C12">
        <f t="shared" si="0"/>
        <v>12</v>
      </c>
    </row>
    <row r="13" spans="1:3">
      <c r="C13">
        <f t="shared" si="0"/>
        <v>13</v>
      </c>
    </row>
    <row r="14" spans="1:3">
      <c r="C14">
        <f t="shared" si="0"/>
        <v>14</v>
      </c>
    </row>
    <row r="15" spans="1:3">
      <c r="C15">
        <f t="shared" si="0"/>
        <v>15</v>
      </c>
    </row>
    <row r="16" spans="1:3">
      <c r="C16">
        <f t="shared" si="0"/>
        <v>16</v>
      </c>
    </row>
    <row r="17" spans="3:3">
      <c r="C17">
        <f t="shared" si="0"/>
        <v>17</v>
      </c>
    </row>
    <row r="18" spans="3:3">
      <c r="C18">
        <f t="shared" si="0"/>
        <v>18</v>
      </c>
    </row>
    <row r="19" spans="3:3">
      <c r="C19">
        <f t="shared" si="0"/>
        <v>19</v>
      </c>
    </row>
    <row r="20" spans="3:3">
      <c r="C20">
        <f t="shared" si="0"/>
        <v>20</v>
      </c>
    </row>
    <row r="21" spans="3:3">
      <c r="C21">
        <f t="shared" si="0"/>
        <v>21</v>
      </c>
    </row>
    <row r="22" spans="3:3">
      <c r="C22">
        <f t="shared" si="0"/>
        <v>22</v>
      </c>
    </row>
    <row r="23" spans="3:3">
      <c r="C23">
        <f t="shared" si="0"/>
        <v>23</v>
      </c>
    </row>
    <row r="24" spans="3:3">
      <c r="C24">
        <f t="shared" si="0"/>
        <v>24</v>
      </c>
    </row>
    <row r="25" spans="3:3">
      <c r="C25">
        <f t="shared" si="0"/>
        <v>25</v>
      </c>
    </row>
    <row r="26" spans="3:3">
      <c r="C26">
        <f t="shared" si="0"/>
        <v>26</v>
      </c>
    </row>
    <row r="27" spans="3:3">
      <c r="C27">
        <f>C26+1</f>
        <v>27</v>
      </c>
    </row>
    <row r="28" spans="3:3">
      <c r="C28">
        <f t="shared" si="0"/>
        <v>28</v>
      </c>
    </row>
    <row r="29" spans="3:3">
      <c r="C29">
        <f t="shared" si="0"/>
        <v>29</v>
      </c>
    </row>
    <row r="30" spans="3:3">
      <c r="C30">
        <f t="shared" si="0"/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549D-45BC-42C8-9C2A-E438BB3C38A3}">
  <sheetPr codeName="Sheet12">
    <pageSetUpPr fitToPage="1"/>
  </sheetPr>
  <dimension ref="A1:AE1506"/>
  <sheetViews>
    <sheetView zoomScaleNormal="100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F3" sqref="F3"/>
    </sheetView>
  </sheetViews>
  <sheetFormatPr defaultColWidth="9.140625" defaultRowHeight="15"/>
  <cols>
    <col min="1" max="1" width="9" style="2" customWidth="1"/>
    <col min="2" max="2" width="9.5703125" style="2" bestFit="1" customWidth="1"/>
    <col min="3" max="3" width="6.85546875" style="2" customWidth="1"/>
    <col min="4" max="4" width="10" style="40" bestFit="1" customWidth="1"/>
    <col min="5" max="5" width="4.5703125" style="2" hidden="1" customWidth="1"/>
    <col min="6" max="6" width="11.42578125" style="41" bestFit="1" customWidth="1"/>
    <col min="7" max="7" width="25.140625" style="2" customWidth="1"/>
    <col min="8" max="8" width="15" style="2" customWidth="1"/>
    <col min="9" max="9" width="11.5703125" customWidth="1"/>
    <col min="10" max="10" width="10.140625" style="110" customWidth="1"/>
    <col min="11" max="11" width="11.140625" style="2" customWidth="1"/>
    <col min="12" max="12" width="5.140625" style="4" customWidth="1"/>
    <col min="13" max="13" width="6.140625" style="2" customWidth="1"/>
    <col min="14" max="14" width="15.140625" style="53" customWidth="1"/>
    <col min="15" max="15" width="9.85546875" style="2" customWidth="1"/>
    <col min="16" max="16" width="7.5703125" style="2" customWidth="1"/>
    <col min="17" max="17" width="9.85546875" style="2" hidden="1" customWidth="1"/>
    <col min="18" max="18" width="15.140625" customWidth="1"/>
    <col min="19" max="19" width="17.85546875" customWidth="1"/>
    <col min="20" max="20" width="7" hidden="1" customWidth="1"/>
    <col min="21" max="21" width="5.85546875" hidden="1" customWidth="1"/>
    <col min="22" max="22" width="7.85546875" hidden="1" customWidth="1"/>
    <col min="23" max="23" width="11.85546875" style="2" customWidth="1"/>
    <col min="24" max="24" width="16.5703125" style="2" customWidth="1"/>
    <col min="25" max="25" width="16.140625" style="2" customWidth="1"/>
    <col min="26" max="30" width="9.140625" style="2"/>
    <col min="31" max="31" width="2" style="2" bestFit="1" customWidth="1"/>
    <col min="32" max="16384" width="9.140625" style="2"/>
  </cols>
  <sheetData>
    <row r="1" spans="1:31" ht="39.75" customHeight="1">
      <c r="A1" s="140" t="s">
        <v>28</v>
      </c>
      <c r="B1" s="20"/>
      <c r="C1" s="21"/>
      <c r="D1" s="39" t="s">
        <v>29</v>
      </c>
      <c r="E1" s="20" t="s">
        <v>29</v>
      </c>
      <c r="F1" s="54"/>
      <c r="G1" s="20" t="s">
        <v>29</v>
      </c>
      <c r="H1" s="20" t="s">
        <v>29</v>
      </c>
      <c r="I1" s="22" t="s">
        <v>29</v>
      </c>
      <c r="J1" s="22"/>
      <c r="K1" s="20"/>
      <c r="L1" s="46"/>
      <c r="M1" s="20"/>
      <c r="N1" s="80"/>
      <c r="O1" s="20"/>
      <c r="P1" s="20"/>
      <c r="Q1" s="20"/>
      <c r="R1" s="20"/>
      <c r="S1" s="20"/>
      <c r="T1" s="20"/>
      <c r="U1" s="20"/>
      <c r="V1" s="20"/>
      <c r="W1" s="20"/>
      <c r="X1" s="20"/>
      <c r="Y1" s="1"/>
      <c r="Z1" s="1"/>
      <c r="AA1" s="1"/>
      <c r="AB1" s="1"/>
      <c r="AC1" s="1"/>
      <c r="AE1" s="2">
        <v>6</v>
      </c>
    </row>
    <row r="2" spans="1:31">
      <c r="A2" s="141" t="s">
        <v>86</v>
      </c>
      <c r="B2" s="20" t="s">
        <v>32</v>
      </c>
      <c r="C2" s="43" t="s">
        <v>33</v>
      </c>
      <c r="D2" s="39" t="s">
        <v>34</v>
      </c>
      <c r="E2" s="20" t="s">
        <v>35</v>
      </c>
      <c r="F2" s="55" t="s">
        <v>36</v>
      </c>
      <c r="G2" s="20" t="s">
        <v>87</v>
      </c>
      <c r="H2" s="20" t="s">
        <v>88</v>
      </c>
      <c r="I2" s="22" t="s">
        <v>7</v>
      </c>
      <c r="J2" s="22" t="s">
        <v>89</v>
      </c>
      <c r="K2" s="20" t="s">
        <v>90</v>
      </c>
      <c r="L2" s="20" t="s">
        <v>91</v>
      </c>
      <c r="M2" s="20" t="s">
        <v>92</v>
      </c>
      <c r="N2" s="80" t="s">
        <v>38</v>
      </c>
      <c r="O2" s="20" t="s">
        <v>40</v>
      </c>
      <c r="P2" s="20" t="s">
        <v>93</v>
      </c>
      <c r="Q2" s="20" t="s">
        <v>94</v>
      </c>
      <c r="R2" s="20" t="s">
        <v>95</v>
      </c>
      <c r="S2" s="20" t="s">
        <v>96</v>
      </c>
      <c r="T2" s="20"/>
      <c r="U2" s="20" t="s">
        <v>41</v>
      </c>
      <c r="V2" s="20" t="s">
        <v>97</v>
      </c>
      <c r="W2" s="20" t="s">
        <v>98</v>
      </c>
      <c r="X2" s="20" t="s">
        <v>99</v>
      </c>
      <c r="Y2" s="20" t="s">
        <v>100</v>
      </c>
      <c r="Z2" s="1"/>
      <c r="AA2" s="1"/>
      <c r="AB2" s="1"/>
      <c r="AC2" s="1"/>
    </row>
    <row r="3" spans="1:31" ht="15" customHeight="1">
      <c r="A3" s="142" t="s">
        <v>101</v>
      </c>
      <c r="B3" s="58" t="s">
        <v>102</v>
      </c>
      <c r="C3" s="58" t="s">
        <v>103</v>
      </c>
      <c r="D3" s="59">
        <v>1651</v>
      </c>
      <c r="E3" s="3" t="s">
        <v>44</v>
      </c>
      <c r="F3" s="56" t="s">
        <v>104</v>
      </c>
      <c r="G3" s="58" t="s">
        <v>105</v>
      </c>
      <c r="H3" s="3" t="s">
        <v>106</v>
      </c>
      <c r="I3" s="94" t="s">
        <v>107</v>
      </c>
      <c r="J3" s="109">
        <f>IF(C3&lt;&gt;"",SUMIFS('Booking Management'!Y:Y,'Booking Management'!B:B,'Sales Orders'!A3),"")</f>
        <v>0</v>
      </c>
      <c r="K3" s="45">
        <v>43876</v>
      </c>
      <c r="L3" s="60" t="s">
        <v>43</v>
      </c>
      <c r="M3" s="92" t="str">
        <f ca="1">IFERROR(IF(K3&lt;&gt;"",IF(AND(_xlfn.NUMBERVALUE(J3)/_xlfn.NUMBERVALUE(D3) &lt;1,K3-TODAY()&lt;2,L3&lt;&gt;"yes"),"alert",""),""),"")</f>
        <v/>
      </c>
      <c r="N3" s="95">
        <v>48183</v>
      </c>
      <c r="O3" s="3"/>
      <c r="P3" s="58" t="s">
        <v>43</v>
      </c>
      <c r="Q3" s="92" t="str">
        <f>IF(C3&lt;&gt;"",IF(OR(K3="",P3=""),"alert",""),"")</f>
        <v/>
      </c>
      <c r="R3" s="98">
        <f>SUMIFS('Booking Management'!J:J,'Booking Management'!B:B,'Sales Orders'!A3)</f>
        <v>0</v>
      </c>
      <c r="S3" s="99" t="str">
        <f>IF(R3&gt;0,(R3/D3)*N3,"")</f>
        <v/>
      </c>
      <c r="T3" s="61"/>
      <c r="U3" s="61" t="s">
        <v>29</v>
      </c>
      <c r="V3" s="61" t="s">
        <v>29</v>
      </c>
      <c r="W3" s="58">
        <v>1651</v>
      </c>
      <c r="X3" s="58">
        <v>21218</v>
      </c>
      <c r="Y3" s="98">
        <f>IF(D3&lt;&gt;"",D3-W3,"")</f>
        <v>0</v>
      </c>
    </row>
    <row r="4" spans="1:31" ht="15" customHeight="1">
      <c r="A4" s="142"/>
      <c r="B4" s="58"/>
      <c r="C4" s="58"/>
      <c r="D4" s="59"/>
      <c r="E4" s="3"/>
      <c r="F4" s="56"/>
      <c r="G4" s="58"/>
      <c r="H4" s="3"/>
      <c r="I4" s="94"/>
      <c r="J4" s="109"/>
      <c r="K4" s="45"/>
      <c r="L4" s="60"/>
      <c r="M4" s="92" t="str">
        <f t="shared" ref="M4:M5" ca="1" si="0">IFERROR(IF(K4&lt;&gt;"",IF(AND(_xlfn.NUMBERVALUE(J4)/_xlfn.NUMBERVALUE(D4) &lt;1,K4-TODAY()&lt;2,L4&lt;&gt;"yes"),"alert",""),""),"")</f>
        <v/>
      </c>
      <c r="N4" s="95"/>
      <c r="O4" s="3"/>
      <c r="P4" s="58"/>
      <c r="Q4" s="92"/>
      <c r="R4" s="98">
        <f>SUMIFS('Booking Management'!J:J,'Booking Management'!B:B,'Sales Orders'!A4)</f>
        <v>0</v>
      </c>
      <c r="S4" s="99" t="str">
        <f t="shared" ref="S4:S67" si="1">IF(R4&gt;0,(R4/D4)*N4,"")</f>
        <v/>
      </c>
      <c r="T4" s="61"/>
      <c r="U4" s="61" t="s">
        <v>29</v>
      </c>
      <c r="V4" s="61" t="s">
        <v>29</v>
      </c>
      <c r="W4" s="58"/>
      <c r="X4" s="58"/>
      <c r="Y4" s="98" t="str">
        <f t="shared" ref="Y4:Y40" si="2">IF(D4&lt;&gt;"",D4-W4,"")</f>
        <v/>
      </c>
    </row>
    <row r="5" spans="1:31">
      <c r="A5" s="142"/>
      <c r="B5" s="58"/>
      <c r="C5" s="58"/>
      <c r="D5" s="59"/>
      <c r="E5" s="3"/>
      <c r="F5" s="56"/>
      <c r="G5" s="58"/>
      <c r="H5" s="3"/>
      <c r="I5" s="94"/>
      <c r="J5" s="109"/>
      <c r="K5" s="45"/>
      <c r="L5" s="60"/>
      <c r="M5" s="92" t="str">
        <f t="shared" ca="1" si="0"/>
        <v/>
      </c>
      <c r="N5" s="95"/>
      <c r="O5" s="3"/>
      <c r="P5" s="58"/>
      <c r="Q5" s="92" t="str">
        <f t="shared" ref="Q5:Q69" si="3">IF(C5&lt;&gt;"",IF(OR(K5="",P5=""),"alert",""),"")</f>
        <v/>
      </c>
      <c r="R5" s="98">
        <f>SUMIFS('Booking Management'!J:J,'Booking Management'!B:B,'Sales Orders'!A5)</f>
        <v>0</v>
      </c>
      <c r="S5" s="99" t="str">
        <f t="shared" si="1"/>
        <v/>
      </c>
      <c r="T5" s="61"/>
      <c r="U5" s="61" t="s">
        <v>29</v>
      </c>
      <c r="V5" s="61" t="s">
        <v>29</v>
      </c>
      <c r="W5" s="58"/>
      <c r="X5" s="58"/>
      <c r="Y5" s="98" t="str">
        <f t="shared" si="2"/>
        <v/>
      </c>
    </row>
    <row r="6" spans="1:31">
      <c r="A6" s="142"/>
      <c r="B6" s="58"/>
      <c r="C6" s="58"/>
      <c r="D6" s="59"/>
      <c r="E6" s="3"/>
      <c r="F6" s="56"/>
      <c r="G6" s="58"/>
      <c r="H6" s="3"/>
      <c r="I6" s="94"/>
      <c r="J6" s="109"/>
      <c r="K6" s="45"/>
      <c r="L6" s="60"/>
      <c r="M6" s="92" t="str">
        <f ca="1">IFERROR(IF(K6&lt;&gt;"",IF(AND(_xlfn.NUMBERVALUE(J6)/_xlfn.NUMBERVALUE(D6) &lt;1,K6-TODAY()&lt;2,L6&lt;&gt;"yes"),"alert",""),""),"")</f>
        <v/>
      </c>
      <c r="N6" s="95"/>
      <c r="O6" s="3"/>
      <c r="P6" s="58"/>
      <c r="Q6" s="92"/>
      <c r="R6" s="98">
        <f>SUMIFS('Booking Management'!J:J,'Booking Management'!B:B,'Sales Orders'!A6)</f>
        <v>0</v>
      </c>
      <c r="S6" s="99" t="str">
        <f t="shared" si="1"/>
        <v/>
      </c>
      <c r="T6" s="61"/>
      <c r="U6" s="61" t="s">
        <v>29</v>
      </c>
      <c r="V6" s="61" t="s">
        <v>29</v>
      </c>
      <c r="W6" s="58"/>
      <c r="X6" s="58"/>
      <c r="Y6" s="98" t="str">
        <f t="shared" si="2"/>
        <v/>
      </c>
    </row>
    <row r="7" spans="1:31">
      <c r="A7" s="142"/>
      <c r="B7" s="58"/>
      <c r="C7" s="58"/>
      <c r="D7" s="59"/>
      <c r="E7" s="3"/>
      <c r="F7" s="56"/>
      <c r="G7" s="58"/>
      <c r="H7" s="3"/>
      <c r="I7" s="94"/>
      <c r="J7" s="109"/>
      <c r="K7" s="45"/>
      <c r="L7" s="60"/>
      <c r="M7" s="92" t="str">
        <f t="shared" ref="M7:M70" ca="1" si="4">IFERROR(IF(K7&lt;&gt;"",IF(AND(_xlfn.NUMBERVALUE(J7)/_xlfn.NUMBERVALUE(D7) &lt;1,K7-TODAY()&lt;2,L7&lt;&gt;"yes"),"alert",""),""),"")</f>
        <v/>
      </c>
      <c r="N7" s="95"/>
      <c r="O7" s="3"/>
      <c r="P7" s="58"/>
      <c r="Q7" s="92" t="str">
        <f t="shared" si="3"/>
        <v/>
      </c>
      <c r="R7" s="98">
        <f>SUMIFS('Booking Management'!J:J,'Booking Management'!B:B,'Sales Orders'!A7)</f>
        <v>0</v>
      </c>
      <c r="S7" s="99" t="str">
        <f t="shared" si="1"/>
        <v/>
      </c>
      <c r="T7" s="61"/>
      <c r="U7" s="61" t="s">
        <v>29</v>
      </c>
      <c r="V7" s="61" t="s">
        <v>29</v>
      </c>
      <c r="W7" s="58"/>
      <c r="X7" s="58"/>
      <c r="Y7" s="98" t="str">
        <f t="shared" si="2"/>
        <v/>
      </c>
    </row>
    <row r="8" spans="1:31" ht="15" customHeight="1">
      <c r="A8" s="142"/>
      <c r="B8" s="58"/>
      <c r="C8" s="58"/>
      <c r="D8" s="59"/>
      <c r="E8" s="3"/>
      <c r="F8" s="56"/>
      <c r="G8" s="58"/>
      <c r="H8" s="3"/>
      <c r="I8" s="94"/>
      <c r="J8" s="109"/>
      <c r="K8" s="45"/>
      <c r="L8" s="60"/>
      <c r="M8" s="92" t="str">
        <f t="shared" ca="1" si="4"/>
        <v/>
      </c>
      <c r="N8" s="95"/>
      <c r="O8" s="3"/>
      <c r="P8" s="58"/>
      <c r="Q8" s="92" t="str">
        <f t="shared" si="3"/>
        <v/>
      </c>
      <c r="R8" s="98">
        <f>SUMIFS('Booking Management'!J:J,'Booking Management'!B:B,'Sales Orders'!A8)</f>
        <v>0</v>
      </c>
      <c r="S8" s="99" t="str">
        <f t="shared" si="1"/>
        <v/>
      </c>
      <c r="T8" s="61"/>
      <c r="U8" s="61" t="s">
        <v>29</v>
      </c>
      <c r="V8" s="61" t="s">
        <v>29</v>
      </c>
      <c r="W8" s="58"/>
      <c r="X8" s="58"/>
      <c r="Y8" s="98" t="str">
        <f t="shared" si="2"/>
        <v/>
      </c>
    </row>
    <row r="9" spans="1:31" ht="15" customHeight="1">
      <c r="A9" s="142"/>
      <c r="B9" s="58"/>
      <c r="C9" s="58"/>
      <c r="D9" s="59"/>
      <c r="E9" s="3"/>
      <c r="F9" s="56"/>
      <c r="G9" s="58"/>
      <c r="H9" s="3"/>
      <c r="I9" s="94"/>
      <c r="J9" s="109"/>
      <c r="K9" s="45"/>
      <c r="L9" s="60"/>
      <c r="M9" s="92" t="str">
        <f t="shared" ca="1" si="4"/>
        <v/>
      </c>
      <c r="N9" s="95"/>
      <c r="O9" s="3"/>
      <c r="P9" s="58"/>
      <c r="Q9" s="92" t="str">
        <f t="shared" si="3"/>
        <v/>
      </c>
      <c r="R9" s="98">
        <f>SUMIFS('Booking Management'!J:J,'Booking Management'!B:B,'Sales Orders'!A9)</f>
        <v>0</v>
      </c>
      <c r="S9" s="99" t="str">
        <f t="shared" si="1"/>
        <v/>
      </c>
      <c r="T9" s="61"/>
      <c r="U9" s="61" t="s">
        <v>29</v>
      </c>
      <c r="V9" s="61" t="s">
        <v>29</v>
      </c>
      <c r="W9" s="58"/>
      <c r="X9" s="58"/>
      <c r="Y9" s="98" t="str">
        <f t="shared" si="2"/>
        <v/>
      </c>
    </row>
    <row r="10" spans="1:31">
      <c r="A10" s="142"/>
      <c r="B10" s="58"/>
      <c r="C10" s="58"/>
      <c r="D10" s="59"/>
      <c r="E10" s="3"/>
      <c r="F10" s="56"/>
      <c r="G10" s="58"/>
      <c r="H10" s="3"/>
      <c r="I10" s="94"/>
      <c r="J10" s="109"/>
      <c r="K10" s="45"/>
      <c r="L10" s="60"/>
      <c r="M10" s="92" t="str">
        <f t="shared" ca="1" si="4"/>
        <v/>
      </c>
      <c r="N10" s="95"/>
      <c r="O10" s="3"/>
      <c r="P10" s="58"/>
      <c r="Q10" s="92" t="str">
        <f t="shared" si="3"/>
        <v/>
      </c>
      <c r="R10" s="98">
        <f>SUMIFS('Booking Management'!J:J,'Booking Management'!B:B,'Sales Orders'!A10)</f>
        <v>0</v>
      </c>
      <c r="S10" s="99" t="str">
        <f t="shared" si="1"/>
        <v/>
      </c>
      <c r="T10" s="61"/>
      <c r="U10" s="61" t="s">
        <v>29</v>
      </c>
      <c r="V10" s="61" t="s">
        <v>29</v>
      </c>
      <c r="W10" s="58"/>
      <c r="X10" s="58"/>
      <c r="Y10" s="98" t="str">
        <f t="shared" si="2"/>
        <v/>
      </c>
    </row>
    <row r="11" spans="1:31" ht="15" customHeight="1">
      <c r="A11" s="142"/>
      <c r="B11" s="58"/>
      <c r="C11" s="58"/>
      <c r="D11" s="59"/>
      <c r="E11" s="3"/>
      <c r="F11" s="56"/>
      <c r="G11" s="58"/>
      <c r="H11" s="3"/>
      <c r="I11" s="94"/>
      <c r="J11" s="109"/>
      <c r="K11" s="45"/>
      <c r="L11" s="60"/>
      <c r="M11" s="92" t="str">
        <f t="shared" ca="1" si="4"/>
        <v/>
      </c>
      <c r="N11" s="95"/>
      <c r="O11" s="3"/>
      <c r="P11" s="58"/>
      <c r="Q11" s="92" t="str">
        <f t="shared" si="3"/>
        <v/>
      </c>
      <c r="R11" s="98">
        <f>SUMIFS('Booking Management'!J:J,'Booking Management'!B:B,'Sales Orders'!A11)</f>
        <v>0</v>
      </c>
      <c r="S11" s="99" t="str">
        <f t="shared" si="1"/>
        <v/>
      </c>
      <c r="T11" s="61"/>
      <c r="U11" s="61" t="s">
        <v>29</v>
      </c>
      <c r="V11" s="61" t="s">
        <v>29</v>
      </c>
      <c r="W11" s="58"/>
      <c r="X11" s="58"/>
      <c r="Y11" s="98" t="str">
        <f t="shared" si="2"/>
        <v/>
      </c>
    </row>
    <row r="12" spans="1:31">
      <c r="A12" s="142"/>
      <c r="B12" s="58"/>
      <c r="C12" s="58"/>
      <c r="D12" s="59"/>
      <c r="E12" s="3"/>
      <c r="F12" s="56"/>
      <c r="G12" s="58"/>
      <c r="H12" s="3"/>
      <c r="I12" s="94"/>
      <c r="J12" s="109"/>
      <c r="K12" s="45"/>
      <c r="L12" s="60"/>
      <c r="M12" s="92" t="str">
        <f t="shared" ca="1" si="4"/>
        <v/>
      </c>
      <c r="N12" s="95"/>
      <c r="O12" s="3"/>
      <c r="P12" s="58"/>
      <c r="Q12" s="92" t="str">
        <f t="shared" si="3"/>
        <v/>
      </c>
      <c r="R12" s="98">
        <f>SUMIFS('Booking Management'!J:J,'Booking Management'!B:B,'Sales Orders'!A12)</f>
        <v>0</v>
      </c>
      <c r="S12" s="99" t="str">
        <f t="shared" si="1"/>
        <v/>
      </c>
      <c r="T12" s="61"/>
      <c r="U12" s="61" t="s">
        <v>29</v>
      </c>
      <c r="V12" s="61" t="s">
        <v>29</v>
      </c>
      <c r="W12" s="58"/>
      <c r="X12" s="58"/>
      <c r="Y12" s="98" t="str">
        <f t="shared" si="2"/>
        <v/>
      </c>
    </row>
    <row r="13" spans="1:31" ht="15" customHeight="1">
      <c r="A13" s="142"/>
      <c r="B13" s="58"/>
      <c r="C13" s="58"/>
      <c r="D13" s="59"/>
      <c r="E13" s="3"/>
      <c r="F13" s="56"/>
      <c r="G13" s="58"/>
      <c r="H13" s="3"/>
      <c r="I13" s="94"/>
      <c r="J13" s="109"/>
      <c r="K13" s="45"/>
      <c r="L13" s="60"/>
      <c r="M13" s="92" t="str">
        <f t="shared" ca="1" si="4"/>
        <v/>
      </c>
      <c r="N13" s="95"/>
      <c r="O13" s="3"/>
      <c r="P13" s="58"/>
      <c r="Q13" s="92" t="str">
        <f t="shared" si="3"/>
        <v/>
      </c>
      <c r="R13" s="98">
        <f>SUMIFS('Booking Management'!J:J,'Booking Management'!B:B,'Sales Orders'!A13)</f>
        <v>0</v>
      </c>
      <c r="S13" s="99" t="str">
        <f t="shared" si="1"/>
        <v/>
      </c>
      <c r="T13" s="61"/>
      <c r="U13" s="61" t="s">
        <v>29</v>
      </c>
      <c r="V13" s="61" t="s">
        <v>29</v>
      </c>
      <c r="W13" s="58"/>
      <c r="X13" s="58"/>
      <c r="Y13" s="98" t="str">
        <f t="shared" si="2"/>
        <v/>
      </c>
    </row>
    <row r="14" spans="1:31" ht="15.75" thickBot="1">
      <c r="A14" s="143"/>
      <c r="B14" s="58"/>
      <c r="C14" s="58"/>
      <c r="D14" s="59"/>
      <c r="E14" s="3"/>
      <c r="F14" s="56"/>
      <c r="G14" s="58"/>
      <c r="H14" s="3"/>
      <c r="I14" s="94"/>
      <c r="J14" s="109"/>
      <c r="K14" s="45"/>
      <c r="L14" s="60"/>
      <c r="M14" s="92" t="str">
        <f t="shared" ca="1" si="4"/>
        <v/>
      </c>
      <c r="N14" s="95"/>
      <c r="O14" s="3"/>
      <c r="P14" s="58"/>
      <c r="Q14" s="92" t="str">
        <f t="shared" si="3"/>
        <v/>
      </c>
      <c r="R14" s="98">
        <f>SUMIFS('Booking Management'!J:J,'Booking Management'!B:B,'Sales Orders'!A14)</f>
        <v>0</v>
      </c>
      <c r="S14" s="99" t="str">
        <f t="shared" si="1"/>
        <v/>
      </c>
      <c r="T14" s="61"/>
      <c r="U14" s="61" t="s">
        <v>29</v>
      </c>
      <c r="V14" s="61" t="s">
        <v>29</v>
      </c>
      <c r="W14" s="58"/>
      <c r="X14" s="58"/>
      <c r="Y14" s="98" t="str">
        <f t="shared" si="2"/>
        <v/>
      </c>
    </row>
    <row r="15" spans="1:31">
      <c r="A15" s="23"/>
      <c r="B15" s="58"/>
      <c r="C15" s="58"/>
      <c r="D15" s="59"/>
      <c r="E15" s="3"/>
      <c r="F15" s="56"/>
      <c r="G15" s="58"/>
      <c r="H15" s="3"/>
      <c r="I15" s="94"/>
      <c r="J15" s="109"/>
      <c r="K15" s="45"/>
      <c r="L15" s="60"/>
      <c r="M15" s="92" t="str">
        <f t="shared" ca="1" si="4"/>
        <v/>
      </c>
      <c r="N15" s="96"/>
      <c r="O15" s="3"/>
      <c r="P15" s="58"/>
      <c r="Q15" s="92" t="str">
        <f t="shared" si="3"/>
        <v/>
      </c>
      <c r="R15" s="98">
        <f>SUMIFS('Booking Management'!J:J,'Booking Management'!B:B,'Sales Orders'!A15)</f>
        <v>0</v>
      </c>
      <c r="S15" s="99" t="str">
        <f t="shared" si="1"/>
        <v/>
      </c>
      <c r="T15" s="61"/>
      <c r="U15" s="61" t="s">
        <v>29</v>
      </c>
      <c r="V15" s="61" t="s">
        <v>29</v>
      </c>
      <c r="W15" s="58"/>
      <c r="X15" s="58"/>
      <c r="Y15" s="98" t="str">
        <f t="shared" si="2"/>
        <v/>
      </c>
    </row>
    <row r="16" spans="1:31">
      <c r="A16" s="23"/>
      <c r="B16" s="58"/>
      <c r="C16" s="58"/>
      <c r="D16" s="59"/>
      <c r="E16" s="3"/>
      <c r="F16" s="56"/>
      <c r="G16" s="58"/>
      <c r="H16" s="3"/>
      <c r="I16" s="94"/>
      <c r="J16" s="109"/>
      <c r="K16" s="45"/>
      <c r="L16" s="60"/>
      <c r="M16" s="92" t="str">
        <f t="shared" ca="1" si="4"/>
        <v/>
      </c>
      <c r="N16" s="95"/>
      <c r="O16" s="3"/>
      <c r="P16" s="58"/>
      <c r="Q16" s="92" t="str">
        <f t="shared" si="3"/>
        <v/>
      </c>
      <c r="R16" s="98">
        <f>SUMIFS('Booking Management'!J:J,'Booking Management'!B:B,'Sales Orders'!A16)</f>
        <v>0</v>
      </c>
      <c r="S16" s="99" t="str">
        <f t="shared" si="1"/>
        <v/>
      </c>
      <c r="T16" s="61"/>
      <c r="U16" s="61" t="s">
        <v>29</v>
      </c>
      <c r="V16" s="61" t="s">
        <v>29</v>
      </c>
      <c r="W16" s="58"/>
      <c r="X16" s="58"/>
      <c r="Y16" s="98" t="str">
        <f t="shared" si="2"/>
        <v/>
      </c>
    </row>
    <row r="17" spans="1:25">
      <c r="A17" s="23"/>
      <c r="B17" s="58"/>
      <c r="C17" s="58"/>
      <c r="D17" s="59"/>
      <c r="E17" s="3"/>
      <c r="F17" s="56"/>
      <c r="G17" s="58"/>
      <c r="H17" s="3"/>
      <c r="I17" s="94"/>
      <c r="J17" s="109"/>
      <c r="K17" s="45"/>
      <c r="L17" s="60"/>
      <c r="M17" s="92" t="str">
        <f t="shared" ca="1" si="4"/>
        <v/>
      </c>
      <c r="N17" s="95"/>
      <c r="O17" s="3"/>
      <c r="P17" s="58"/>
      <c r="Q17" s="92" t="str">
        <f t="shared" si="3"/>
        <v/>
      </c>
      <c r="R17" s="98">
        <f>SUMIFS('Booking Management'!J:J,'Booking Management'!B:B,'Sales Orders'!A17)</f>
        <v>0</v>
      </c>
      <c r="S17" s="99" t="str">
        <f t="shared" si="1"/>
        <v/>
      </c>
      <c r="T17" s="61"/>
      <c r="U17" s="61" t="s">
        <v>29</v>
      </c>
      <c r="V17" s="61" t="s">
        <v>29</v>
      </c>
      <c r="W17" s="58"/>
      <c r="X17" s="58"/>
      <c r="Y17" s="98" t="str">
        <f t="shared" si="2"/>
        <v/>
      </c>
    </row>
    <row r="18" spans="1:25">
      <c r="A18" s="23"/>
      <c r="B18" s="58"/>
      <c r="C18" s="58"/>
      <c r="D18" s="59"/>
      <c r="E18" s="3"/>
      <c r="F18" s="56"/>
      <c r="G18" s="58"/>
      <c r="H18" s="3"/>
      <c r="I18" s="94"/>
      <c r="J18" s="109"/>
      <c r="K18" s="45"/>
      <c r="L18" s="60"/>
      <c r="M18" s="92" t="str">
        <f t="shared" ca="1" si="4"/>
        <v/>
      </c>
      <c r="N18" s="95"/>
      <c r="O18" s="3"/>
      <c r="P18" s="58"/>
      <c r="Q18" s="92" t="str">
        <f t="shared" si="3"/>
        <v/>
      </c>
      <c r="R18" s="98">
        <f>SUMIFS('Booking Management'!J:J,'Booking Management'!B:B,'Sales Orders'!A18)</f>
        <v>0</v>
      </c>
      <c r="S18" s="99" t="str">
        <f t="shared" si="1"/>
        <v/>
      </c>
      <c r="T18" s="61"/>
      <c r="U18" s="61" t="s">
        <v>29</v>
      </c>
      <c r="V18" s="61" t="s">
        <v>29</v>
      </c>
      <c r="W18" s="58"/>
      <c r="X18" s="58"/>
      <c r="Y18" s="98" t="str">
        <f t="shared" si="2"/>
        <v/>
      </c>
    </row>
    <row r="19" spans="1:25">
      <c r="A19" s="23"/>
      <c r="B19" s="58"/>
      <c r="C19" s="58"/>
      <c r="D19" s="59"/>
      <c r="E19" s="3"/>
      <c r="F19" s="56"/>
      <c r="G19" s="58"/>
      <c r="H19" s="3"/>
      <c r="I19" s="94"/>
      <c r="J19" s="109"/>
      <c r="K19" s="45"/>
      <c r="L19" s="60"/>
      <c r="M19" s="92" t="str">
        <f t="shared" ca="1" si="4"/>
        <v/>
      </c>
      <c r="N19" s="95"/>
      <c r="O19" s="3"/>
      <c r="P19" s="58"/>
      <c r="Q19" s="92" t="str">
        <f t="shared" si="3"/>
        <v/>
      </c>
      <c r="R19" s="98">
        <f>SUMIFS('Booking Management'!J:J,'Booking Management'!B:B,'Sales Orders'!A19)</f>
        <v>0</v>
      </c>
      <c r="S19" s="99" t="str">
        <f t="shared" si="1"/>
        <v/>
      </c>
      <c r="T19" s="61"/>
      <c r="U19" s="61" t="s">
        <v>29</v>
      </c>
      <c r="V19" s="61" t="s">
        <v>29</v>
      </c>
      <c r="W19" s="58"/>
      <c r="X19" s="106"/>
      <c r="Y19" s="98" t="str">
        <f t="shared" si="2"/>
        <v/>
      </c>
    </row>
    <row r="20" spans="1:25">
      <c r="A20" s="23"/>
      <c r="B20" s="58"/>
      <c r="C20" s="58"/>
      <c r="D20" s="59"/>
      <c r="E20" s="3"/>
      <c r="F20" s="56"/>
      <c r="G20" s="58"/>
      <c r="H20" s="3"/>
      <c r="I20" s="94"/>
      <c r="J20" s="109"/>
      <c r="K20" s="45"/>
      <c r="L20" s="60"/>
      <c r="M20" s="92" t="str">
        <f t="shared" ca="1" si="4"/>
        <v/>
      </c>
      <c r="N20" s="95"/>
      <c r="O20" s="3"/>
      <c r="P20" s="58"/>
      <c r="Q20" s="92" t="str">
        <f t="shared" si="3"/>
        <v/>
      </c>
      <c r="R20" s="98">
        <f>SUMIFS('Booking Management'!J:J,'Booking Management'!B:B,'Sales Orders'!A20)</f>
        <v>0</v>
      </c>
      <c r="S20" s="99" t="str">
        <f t="shared" si="1"/>
        <v/>
      </c>
      <c r="T20" s="61"/>
      <c r="U20" s="61" t="s">
        <v>29</v>
      </c>
      <c r="V20" s="61" t="s">
        <v>29</v>
      </c>
      <c r="W20" s="58"/>
      <c r="X20" s="58"/>
      <c r="Y20" s="98" t="str">
        <f t="shared" si="2"/>
        <v/>
      </c>
    </row>
    <row r="21" spans="1:25">
      <c r="A21" s="23"/>
      <c r="B21" s="58"/>
      <c r="C21" s="58"/>
      <c r="D21" s="59"/>
      <c r="E21" s="3"/>
      <c r="F21" s="56"/>
      <c r="G21" s="58"/>
      <c r="H21" s="3"/>
      <c r="I21" s="94"/>
      <c r="J21" s="109"/>
      <c r="K21" s="45"/>
      <c r="L21" s="60"/>
      <c r="M21" s="92" t="str">
        <f t="shared" ca="1" si="4"/>
        <v/>
      </c>
      <c r="N21" s="95"/>
      <c r="O21" s="3"/>
      <c r="P21" s="58"/>
      <c r="Q21" s="92" t="str">
        <f t="shared" si="3"/>
        <v/>
      </c>
      <c r="R21" s="98">
        <f>SUMIFS('Booking Management'!J:J,'Booking Management'!B:B,'Sales Orders'!A21)</f>
        <v>0</v>
      </c>
      <c r="S21" s="99" t="str">
        <f t="shared" si="1"/>
        <v/>
      </c>
      <c r="T21" s="61"/>
      <c r="U21" s="61" t="s">
        <v>29</v>
      </c>
      <c r="V21" s="61" t="s">
        <v>29</v>
      </c>
      <c r="W21" s="58"/>
      <c r="X21" s="58"/>
      <c r="Y21" s="98" t="str">
        <f t="shared" si="2"/>
        <v/>
      </c>
    </row>
    <row r="22" spans="1:25">
      <c r="A22" s="23"/>
      <c r="B22" s="58"/>
      <c r="C22" s="58"/>
      <c r="D22" s="59"/>
      <c r="E22" s="3"/>
      <c r="F22" s="56"/>
      <c r="G22" s="58"/>
      <c r="H22" s="3"/>
      <c r="I22" s="94"/>
      <c r="J22" s="109"/>
      <c r="K22" s="45"/>
      <c r="L22" s="60"/>
      <c r="M22" s="92" t="str">
        <f t="shared" ca="1" si="4"/>
        <v/>
      </c>
      <c r="N22" s="95"/>
      <c r="O22" s="3"/>
      <c r="P22" s="58"/>
      <c r="Q22" s="92" t="str">
        <f t="shared" si="3"/>
        <v/>
      </c>
      <c r="R22" s="98">
        <f>SUMIFS('Booking Management'!J:J,'Booking Management'!B:B,'Sales Orders'!A22)</f>
        <v>0</v>
      </c>
      <c r="S22" s="99" t="str">
        <f t="shared" si="1"/>
        <v/>
      </c>
      <c r="T22" s="61"/>
      <c r="U22" s="61" t="s">
        <v>29</v>
      </c>
      <c r="V22" s="61" t="s">
        <v>29</v>
      </c>
      <c r="W22" s="58"/>
      <c r="X22" s="58"/>
      <c r="Y22" s="98" t="str">
        <f t="shared" si="2"/>
        <v/>
      </c>
    </row>
    <row r="23" spans="1:25">
      <c r="A23" s="23"/>
      <c r="B23" s="58"/>
      <c r="C23" s="58"/>
      <c r="D23" s="59"/>
      <c r="E23" s="3"/>
      <c r="F23" s="56"/>
      <c r="G23" s="58"/>
      <c r="H23" s="3"/>
      <c r="I23" s="94"/>
      <c r="J23" s="109"/>
      <c r="K23" s="45"/>
      <c r="L23" s="60"/>
      <c r="M23" s="92" t="str">
        <f t="shared" ca="1" si="4"/>
        <v/>
      </c>
      <c r="N23" s="95"/>
      <c r="O23" s="3"/>
      <c r="P23" s="58"/>
      <c r="Q23" s="92" t="str">
        <f t="shared" si="3"/>
        <v/>
      </c>
      <c r="R23" s="98">
        <f>SUMIFS('Booking Management'!J:J,'Booking Management'!B:B,'Sales Orders'!A23)</f>
        <v>0</v>
      </c>
      <c r="S23" s="99" t="str">
        <f t="shared" si="1"/>
        <v/>
      </c>
      <c r="T23" s="61"/>
      <c r="U23" s="61" t="s">
        <v>29</v>
      </c>
      <c r="V23" s="61" t="s">
        <v>29</v>
      </c>
      <c r="W23" s="58"/>
      <c r="X23" s="58"/>
      <c r="Y23" s="98" t="str">
        <f t="shared" si="2"/>
        <v/>
      </c>
    </row>
    <row r="24" spans="1:25">
      <c r="A24" s="23"/>
      <c r="B24" s="58"/>
      <c r="C24" s="58"/>
      <c r="D24" s="59"/>
      <c r="E24" s="3"/>
      <c r="F24" s="56"/>
      <c r="G24" s="58"/>
      <c r="H24" s="3"/>
      <c r="I24" s="94"/>
      <c r="J24" s="109"/>
      <c r="K24" s="45"/>
      <c r="L24" s="60"/>
      <c r="M24" s="92" t="str">
        <f t="shared" ca="1" si="4"/>
        <v/>
      </c>
      <c r="N24" s="95"/>
      <c r="O24" s="3"/>
      <c r="P24" s="58"/>
      <c r="Q24" s="92" t="str">
        <f t="shared" si="3"/>
        <v/>
      </c>
      <c r="R24" s="98">
        <f>SUMIFS('Booking Management'!J:J,'Booking Management'!B:B,'Sales Orders'!A24)</f>
        <v>0</v>
      </c>
      <c r="S24" s="99" t="str">
        <f t="shared" si="1"/>
        <v/>
      </c>
      <c r="T24" s="61"/>
      <c r="U24" s="61" t="s">
        <v>29</v>
      </c>
      <c r="V24" s="61" t="s">
        <v>29</v>
      </c>
      <c r="W24" s="58"/>
      <c r="X24" s="58"/>
      <c r="Y24" s="98" t="str">
        <f t="shared" si="2"/>
        <v/>
      </c>
    </row>
    <row r="25" spans="1:25">
      <c r="A25" s="23"/>
      <c r="B25" s="58"/>
      <c r="C25" s="58"/>
      <c r="D25" s="59"/>
      <c r="E25" s="3"/>
      <c r="F25" s="56"/>
      <c r="G25" s="58"/>
      <c r="H25" s="3"/>
      <c r="I25" s="94"/>
      <c r="J25" s="109"/>
      <c r="K25" s="45"/>
      <c r="L25" s="60"/>
      <c r="M25" s="92" t="str">
        <f t="shared" ca="1" si="4"/>
        <v/>
      </c>
      <c r="N25" s="95"/>
      <c r="O25" s="3"/>
      <c r="P25" s="58"/>
      <c r="Q25" s="92" t="str">
        <f t="shared" si="3"/>
        <v/>
      </c>
      <c r="R25" s="98">
        <f>SUMIFS('Booking Management'!J:J,'Booking Management'!B:B,'Sales Orders'!A25)</f>
        <v>0</v>
      </c>
      <c r="S25" s="99" t="str">
        <f t="shared" si="1"/>
        <v/>
      </c>
      <c r="T25" s="61"/>
      <c r="U25" s="61" t="s">
        <v>29</v>
      </c>
      <c r="V25" s="61" t="s">
        <v>29</v>
      </c>
      <c r="W25" s="58"/>
      <c r="X25" s="58"/>
      <c r="Y25" s="98" t="str">
        <f t="shared" si="2"/>
        <v/>
      </c>
    </row>
    <row r="26" spans="1:25">
      <c r="A26" s="23"/>
      <c r="B26" s="58"/>
      <c r="C26" s="58"/>
      <c r="D26" s="59"/>
      <c r="E26" s="3"/>
      <c r="F26" s="56"/>
      <c r="G26" s="58"/>
      <c r="H26" s="3"/>
      <c r="I26" s="94"/>
      <c r="J26" s="109"/>
      <c r="K26" s="45"/>
      <c r="L26" s="60"/>
      <c r="M26" s="92" t="str">
        <f t="shared" ca="1" si="4"/>
        <v/>
      </c>
      <c r="N26" s="95"/>
      <c r="O26" s="3"/>
      <c r="P26" s="58"/>
      <c r="Q26" s="92" t="str">
        <f t="shared" si="3"/>
        <v/>
      </c>
      <c r="R26" s="98">
        <f>SUMIFS('Booking Management'!J:J,'Booking Management'!B:B,'Sales Orders'!A26)</f>
        <v>0</v>
      </c>
      <c r="S26" s="99" t="str">
        <f t="shared" si="1"/>
        <v/>
      </c>
      <c r="T26" s="61"/>
      <c r="U26" s="61" t="s">
        <v>29</v>
      </c>
      <c r="V26" s="61" t="s">
        <v>29</v>
      </c>
      <c r="W26" s="58"/>
      <c r="X26" s="58"/>
      <c r="Y26" s="98" t="str">
        <f t="shared" si="2"/>
        <v/>
      </c>
    </row>
    <row r="27" spans="1:25">
      <c r="A27" s="23"/>
      <c r="B27" s="58"/>
      <c r="C27" s="58"/>
      <c r="D27" s="59"/>
      <c r="E27" s="3"/>
      <c r="F27" s="56"/>
      <c r="G27" s="58"/>
      <c r="H27" s="3"/>
      <c r="I27" s="94"/>
      <c r="J27" s="109"/>
      <c r="K27" s="45"/>
      <c r="L27" s="60"/>
      <c r="M27" s="92" t="str">
        <f t="shared" ca="1" si="4"/>
        <v/>
      </c>
      <c r="N27" s="95"/>
      <c r="O27" s="3"/>
      <c r="P27" s="58"/>
      <c r="Q27" s="92" t="str">
        <f t="shared" si="3"/>
        <v/>
      </c>
      <c r="R27" s="98">
        <f>SUMIFS('Booking Management'!J:J,'Booking Management'!B:B,'Sales Orders'!A27)</f>
        <v>0</v>
      </c>
      <c r="S27" s="99" t="str">
        <f t="shared" si="1"/>
        <v/>
      </c>
      <c r="T27" s="61"/>
      <c r="U27" s="61" t="s">
        <v>29</v>
      </c>
      <c r="V27" s="61" t="s">
        <v>29</v>
      </c>
      <c r="W27" s="58"/>
      <c r="X27" s="58"/>
      <c r="Y27" s="98" t="str">
        <f t="shared" si="2"/>
        <v/>
      </c>
    </row>
    <row r="28" spans="1:25">
      <c r="A28" s="23"/>
      <c r="B28" s="58"/>
      <c r="C28" s="58"/>
      <c r="D28" s="59"/>
      <c r="E28" s="3"/>
      <c r="F28" s="107"/>
      <c r="G28" s="58"/>
      <c r="H28" s="3"/>
      <c r="I28" s="94"/>
      <c r="J28" s="109"/>
      <c r="K28" s="45"/>
      <c r="L28" s="60"/>
      <c r="M28" s="92" t="str">
        <f t="shared" ca="1" si="4"/>
        <v/>
      </c>
      <c r="N28" s="95"/>
      <c r="O28" s="3"/>
      <c r="P28" s="58"/>
      <c r="Q28" s="92" t="str">
        <f t="shared" si="3"/>
        <v/>
      </c>
      <c r="R28" s="98">
        <f>SUMIFS('Booking Management'!J:J,'Booking Management'!B:B,'Sales Orders'!A28)</f>
        <v>0</v>
      </c>
      <c r="S28" s="99" t="str">
        <f t="shared" si="1"/>
        <v/>
      </c>
      <c r="T28" s="61"/>
      <c r="U28" s="61" t="s">
        <v>29</v>
      </c>
      <c r="V28" s="61" t="s">
        <v>29</v>
      </c>
      <c r="W28" s="58"/>
      <c r="X28" s="58"/>
      <c r="Y28" s="98" t="str">
        <f t="shared" si="2"/>
        <v/>
      </c>
    </row>
    <row r="29" spans="1:25">
      <c r="A29" s="23"/>
      <c r="B29" s="58"/>
      <c r="C29" s="58"/>
      <c r="D29" s="59"/>
      <c r="E29" s="3"/>
      <c r="F29" s="56"/>
      <c r="G29" s="58"/>
      <c r="H29" s="3"/>
      <c r="I29" s="94"/>
      <c r="J29" s="109"/>
      <c r="K29" s="45"/>
      <c r="L29" s="60"/>
      <c r="M29" s="92" t="str">
        <f t="shared" ca="1" si="4"/>
        <v/>
      </c>
      <c r="N29" s="95"/>
      <c r="O29" s="3"/>
      <c r="P29" s="58"/>
      <c r="Q29" s="92" t="str">
        <f t="shared" si="3"/>
        <v/>
      </c>
      <c r="R29" s="98">
        <f>SUMIFS('Booking Management'!J:J,'Booking Management'!B:B,'Sales Orders'!A29)</f>
        <v>0</v>
      </c>
      <c r="S29" s="99" t="str">
        <f t="shared" si="1"/>
        <v/>
      </c>
      <c r="T29" s="61"/>
      <c r="U29" s="61" t="s">
        <v>29</v>
      </c>
      <c r="V29" s="61" t="s">
        <v>29</v>
      </c>
      <c r="W29" s="58"/>
      <c r="X29" s="58"/>
      <c r="Y29" s="98" t="str">
        <f t="shared" si="2"/>
        <v/>
      </c>
    </row>
    <row r="30" spans="1:25">
      <c r="A30" s="23"/>
      <c r="B30" s="58"/>
      <c r="C30" s="58"/>
      <c r="D30" s="59"/>
      <c r="E30" s="3"/>
      <c r="F30" s="111"/>
      <c r="G30" s="58"/>
      <c r="H30" s="3"/>
      <c r="I30" s="94"/>
      <c r="J30" s="109"/>
      <c r="K30" s="45"/>
      <c r="L30" s="60"/>
      <c r="M30" s="92" t="str">
        <f t="shared" ca="1" si="4"/>
        <v/>
      </c>
      <c r="N30" s="95"/>
      <c r="O30" s="3"/>
      <c r="P30" s="58"/>
      <c r="Q30" s="92" t="str">
        <f t="shared" si="3"/>
        <v/>
      </c>
      <c r="R30" s="98">
        <f>SUMIFS('Booking Management'!J:J,'Booking Management'!B:B,'Sales Orders'!A30)</f>
        <v>0</v>
      </c>
      <c r="S30" s="99" t="str">
        <f t="shared" si="1"/>
        <v/>
      </c>
      <c r="T30" s="61"/>
      <c r="U30" s="61" t="s">
        <v>29</v>
      </c>
      <c r="V30" s="61" t="s">
        <v>29</v>
      </c>
      <c r="W30" s="58"/>
      <c r="X30" s="58"/>
      <c r="Y30" s="98" t="str">
        <f t="shared" si="2"/>
        <v/>
      </c>
    </row>
    <row r="31" spans="1:25">
      <c r="A31" s="23"/>
      <c r="B31" s="58"/>
      <c r="C31" s="58"/>
      <c r="D31" s="59"/>
      <c r="E31" s="3"/>
      <c r="F31" s="108"/>
      <c r="G31" s="58"/>
      <c r="H31" s="3"/>
      <c r="I31" s="94"/>
      <c r="J31" s="109"/>
      <c r="K31" s="45"/>
      <c r="L31" s="60"/>
      <c r="M31" s="92" t="str">
        <f t="shared" ca="1" si="4"/>
        <v/>
      </c>
      <c r="N31" s="95"/>
      <c r="O31" s="3"/>
      <c r="P31" s="58"/>
      <c r="Q31" s="92" t="str">
        <f t="shared" si="3"/>
        <v/>
      </c>
      <c r="R31" s="98">
        <f>SUMIFS('Booking Management'!J:J,'Booking Management'!B:B,'Sales Orders'!A31)</f>
        <v>0</v>
      </c>
      <c r="S31" s="99" t="str">
        <f t="shared" si="1"/>
        <v/>
      </c>
      <c r="T31" s="61"/>
      <c r="U31" s="61" t="s">
        <v>29</v>
      </c>
      <c r="V31" s="61" t="s">
        <v>29</v>
      </c>
      <c r="W31" s="58"/>
      <c r="X31" s="58"/>
      <c r="Y31" s="98" t="str">
        <f t="shared" si="2"/>
        <v/>
      </c>
    </row>
    <row r="32" spans="1:25">
      <c r="A32" s="23"/>
      <c r="B32" s="58"/>
      <c r="C32" s="58"/>
      <c r="D32" s="59"/>
      <c r="E32" s="3"/>
      <c r="F32" s="108"/>
      <c r="G32" s="58"/>
      <c r="H32" s="3"/>
      <c r="I32" s="94"/>
      <c r="J32" s="109"/>
      <c r="K32" s="45"/>
      <c r="L32" s="60"/>
      <c r="M32" s="92" t="str">
        <f t="shared" ca="1" si="4"/>
        <v/>
      </c>
      <c r="N32" s="95"/>
      <c r="O32" s="3"/>
      <c r="P32" s="58"/>
      <c r="Q32" s="92" t="str">
        <f t="shared" si="3"/>
        <v/>
      </c>
      <c r="R32" s="98">
        <f>SUMIFS('Booking Management'!J:J,'Booking Management'!B:B,'Sales Orders'!A32)</f>
        <v>0</v>
      </c>
      <c r="S32" s="99" t="str">
        <f t="shared" si="1"/>
        <v/>
      </c>
      <c r="T32" s="61"/>
      <c r="U32" s="61" t="s">
        <v>29</v>
      </c>
      <c r="V32" s="61" t="s">
        <v>29</v>
      </c>
      <c r="W32" s="58"/>
      <c r="X32" s="58"/>
      <c r="Y32" s="98" t="str">
        <f t="shared" si="2"/>
        <v/>
      </c>
    </row>
    <row r="33" spans="1:25">
      <c r="A33" s="23"/>
      <c r="B33" s="58"/>
      <c r="C33" s="58"/>
      <c r="D33" s="59"/>
      <c r="E33" s="3"/>
      <c r="F33" s="108"/>
      <c r="G33" s="58"/>
      <c r="H33" s="3"/>
      <c r="I33" s="94"/>
      <c r="J33" s="109"/>
      <c r="K33" s="45"/>
      <c r="L33" s="60"/>
      <c r="M33" s="92" t="str">
        <f t="shared" ca="1" si="4"/>
        <v/>
      </c>
      <c r="N33" s="95"/>
      <c r="O33" s="3"/>
      <c r="P33" s="58"/>
      <c r="Q33" s="92" t="str">
        <f t="shared" si="3"/>
        <v/>
      </c>
      <c r="R33" s="98">
        <f>SUMIFS('Booking Management'!J:J,'Booking Management'!B:B,'Sales Orders'!A33)</f>
        <v>0</v>
      </c>
      <c r="S33" s="99" t="str">
        <f t="shared" si="1"/>
        <v/>
      </c>
      <c r="T33" s="61"/>
      <c r="U33" s="61" t="s">
        <v>29</v>
      </c>
      <c r="V33" s="61" t="s">
        <v>29</v>
      </c>
      <c r="W33" s="58"/>
      <c r="X33" s="58"/>
      <c r="Y33" s="98" t="str">
        <f t="shared" si="2"/>
        <v/>
      </c>
    </row>
    <row r="34" spans="1:25">
      <c r="A34" s="23"/>
      <c r="B34" s="58"/>
      <c r="C34" s="58"/>
      <c r="D34" s="59"/>
      <c r="E34" s="3"/>
      <c r="F34" s="108"/>
      <c r="G34" s="58"/>
      <c r="H34" s="3"/>
      <c r="I34" s="94"/>
      <c r="J34" s="109"/>
      <c r="K34" s="45"/>
      <c r="L34" s="60"/>
      <c r="M34" s="92" t="str">
        <f t="shared" ca="1" si="4"/>
        <v/>
      </c>
      <c r="N34" s="95"/>
      <c r="O34" s="3"/>
      <c r="P34" s="58"/>
      <c r="Q34" s="92" t="str">
        <f t="shared" si="3"/>
        <v/>
      </c>
      <c r="R34" s="98">
        <f>SUMIFS('Booking Management'!J:J,'Booking Management'!B:B,'Sales Orders'!A34)</f>
        <v>0</v>
      </c>
      <c r="S34" s="99" t="str">
        <f t="shared" si="1"/>
        <v/>
      </c>
      <c r="T34" s="61"/>
      <c r="U34" s="61" t="s">
        <v>29</v>
      </c>
      <c r="V34" s="61" t="s">
        <v>29</v>
      </c>
      <c r="W34" s="58"/>
      <c r="X34" s="58"/>
      <c r="Y34" s="98" t="str">
        <f t="shared" si="2"/>
        <v/>
      </c>
    </row>
    <row r="35" spans="1:25">
      <c r="A35" s="23"/>
      <c r="B35" s="58"/>
      <c r="C35" s="58"/>
      <c r="D35" s="59"/>
      <c r="E35" s="3"/>
      <c r="F35" s="108"/>
      <c r="G35" s="58"/>
      <c r="H35" s="3"/>
      <c r="I35" s="94"/>
      <c r="J35" s="109"/>
      <c r="K35" s="45"/>
      <c r="L35" s="60"/>
      <c r="M35" s="92" t="str">
        <f t="shared" ca="1" si="4"/>
        <v/>
      </c>
      <c r="N35" s="95"/>
      <c r="O35" s="3"/>
      <c r="P35" s="58"/>
      <c r="Q35" s="92" t="str">
        <f t="shared" si="3"/>
        <v/>
      </c>
      <c r="R35" s="98">
        <f>SUMIFS('Booking Management'!J:J,'Booking Management'!B:B,'Sales Orders'!A35)</f>
        <v>0</v>
      </c>
      <c r="S35" s="99" t="str">
        <f t="shared" si="1"/>
        <v/>
      </c>
      <c r="T35" s="61"/>
      <c r="U35" s="61" t="s">
        <v>29</v>
      </c>
      <c r="V35" s="61" t="s">
        <v>29</v>
      </c>
      <c r="W35" s="58"/>
      <c r="X35" s="58"/>
      <c r="Y35" s="98" t="str">
        <f t="shared" si="2"/>
        <v/>
      </c>
    </row>
    <row r="36" spans="1:25">
      <c r="A36" s="23"/>
      <c r="B36" s="58"/>
      <c r="C36" s="58"/>
      <c r="D36" s="59"/>
      <c r="E36" s="3"/>
      <c r="F36" s="108"/>
      <c r="G36" s="58"/>
      <c r="H36" s="3"/>
      <c r="I36" s="94"/>
      <c r="J36" s="109"/>
      <c r="K36" s="45"/>
      <c r="L36" s="60"/>
      <c r="M36" s="92" t="str">
        <f t="shared" ca="1" si="4"/>
        <v/>
      </c>
      <c r="N36" s="95"/>
      <c r="O36" s="3"/>
      <c r="P36" s="58"/>
      <c r="Q36" s="92" t="str">
        <f t="shared" si="3"/>
        <v/>
      </c>
      <c r="R36" s="98">
        <f>SUMIFS('Booking Management'!J:J,'Booking Management'!B:B,'Sales Orders'!A36)</f>
        <v>0</v>
      </c>
      <c r="S36" s="99" t="str">
        <f t="shared" si="1"/>
        <v/>
      </c>
      <c r="T36" s="61"/>
      <c r="U36" s="61" t="s">
        <v>29</v>
      </c>
      <c r="V36" s="61" t="s">
        <v>29</v>
      </c>
      <c r="W36" s="58"/>
      <c r="X36" s="58"/>
      <c r="Y36" s="98" t="str">
        <f t="shared" si="2"/>
        <v/>
      </c>
    </row>
    <row r="37" spans="1:25">
      <c r="A37" s="23"/>
      <c r="B37" s="58"/>
      <c r="C37" s="58"/>
      <c r="D37" s="59"/>
      <c r="E37" s="3"/>
      <c r="F37" s="108"/>
      <c r="G37" s="58"/>
      <c r="H37" s="3"/>
      <c r="I37" s="94"/>
      <c r="J37" s="109"/>
      <c r="K37" s="45"/>
      <c r="L37" s="60"/>
      <c r="M37" s="92" t="str">
        <f t="shared" ca="1" si="4"/>
        <v/>
      </c>
      <c r="N37" s="95"/>
      <c r="O37" s="3"/>
      <c r="P37" s="58"/>
      <c r="Q37" s="92" t="str">
        <f t="shared" si="3"/>
        <v/>
      </c>
      <c r="R37" s="98">
        <f>SUMIFS('Booking Management'!J:J,'Booking Management'!B:B,'Sales Orders'!A37)</f>
        <v>0</v>
      </c>
      <c r="S37" s="99" t="str">
        <f t="shared" si="1"/>
        <v/>
      </c>
      <c r="T37" s="61"/>
      <c r="U37" s="61" t="s">
        <v>29</v>
      </c>
      <c r="V37" s="61" t="s">
        <v>29</v>
      </c>
      <c r="W37" s="58"/>
      <c r="X37" s="58"/>
      <c r="Y37" s="98" t="str">
        <f t="shared" si="2"/>
        <v/>
      </c>
    </row>
    <row r="38" spans="1:25">
      <c r="A38" s="23"/>
      <c r="B38" s="58"/>
      <c r="C38" s="58"/>
      <c r="D38" s="59"/>
      <c r="E38" s="3"/>
      <c r="F38" s="108"/>
      <c r="G38" s="58"/>
      <c r="H38" s="3"/>
      <c r="I38" s="94"/>
      <c r="J38" s="109"/>
      <c r="K38" s="45"/>
      <c r="L38" s="60"/>
      <c r="M38" s="92" t="str">
        <f t="shared" ca="1" si="4"/>
        <v/>
      </c>
      <c r="N38" s="95"/>
      <c r="O38" s="3"/>
      <c r="P38" s="58"/>
      <c r="Q38" s="92" t="str">
        <f t="shared" si="3"/>
        <v/>
      </c>
      <c r="R38" s="98">
        <f>SUMIFS('Booking Management'!J:J,'Booking Management'!B:B,'Sales Orders'!A38)</f>
        <v>0</v>
      </c>
      <c r="S38" s="99" t="str">
        <f t="shared" si="1"/>
        <v/>
      </c>
      <c r="T38" s="61"/>
      <c r="U38" s="61" t="s">
        <v>29</v>
      </c>
      <c r="V38" s="61" t="s">
        <v>29</v>
      </c>
      <c r="W38" s="58"/>
      <c r="X38" s="58"/>
      <c r="Y38" s="98" t="str">
        <f t="shared" si="2"/>
        <v/>
      </c>
    </row>
    <row r="39" spans="1:25">
      <c r="A39" s="23"/>
      <c r="B39" s="58"/>
      <c r="C39" s="58"/>
      <c r="D39" s="59"/>
      <c r="E39" s="3"/>
      <c r="F39" s="108"/>
      <c r="G39" s="58"/>
      <c r="H39" s="3"/>
      <c r="I39" s="94"/>
      <c r="J39" s="109"/>
      <c r="K39" s="45"/>
      <c r="L39" s="60"/>
      <c r="M39" s="92" t="str">
        <f t="shared" ca="1" si="4"/>
        <v/>
      </c>
      <c r="N39" s="95"/>
      <c r="O39" s="3"/>
      <c r="P39" s="58"/>
      <c r="Q39" s="92" t="str">
        <f t="shared" si="3"/>
        <v/>
      </c>
      <c r="R39" s="98">
        <f>SUMIFS('Booking Management'!J:J,'Booking Management'!B:B,'Sales Orders'!A39)</f>
        <v>0</v>
      </c>
      <c r="S39" s="99" t="str">
        <f t="shared" si="1"/>
        <v/>
      </c>
      <c r="T39" s="61"/>
      <c r="U39" s="61" t="s">
        <v>29</v>
      </c>
      <c r="V39" s="61" t="s">
        <v>29</v>
      </c>
      <c r="W39" s="58"/>
      <c r="X39" s="58"/>
      <c r="Y39" s="98" t="str">
        <f t="shared" si="2"/>
        <v/>
      </c>
    </row>
    <row r="40" spans="1:25">
      <c r="A40" s="23"/>
      <c r="B40" s="58"/>
      <c r="C40" s="58"/>
      <c r="D40" s="59"/>
      <c r="E40" s="3"/>
      <c r="F40" s="108"/>
      <c r="G40" s="58"/>
      <c r="H40" s="3"/>
      <c r="I40" s="94"/>
      <c r="J40" s="109"/>
      <c r="K40" s="45"/>
      <c r="L40" s="60"/>
      <c r="M40" s="92" t="str">
        <f t="shared" ca="1" si="4"/>
        <v/>
      </c>
      <c r="N40" s="95"/>
      <c r="O40" s="3"/>
      <c r="P40" s="58"/>
      <c r="Q40" s="92" t="str">
        <f t="shared" si="3"/>
        <v/>
      </c>
      <c r="R40" s="98">
        <f>SUMIFS('Booking Management'!J:J,'Booking Management'!B:B,'Sales Orders'!A40)</f>
        <v>0</v>
      </c>
      <c r="S40" s="99" t="str">
        <f t="shared" si="1"/>
        <v/>
      </c>
      <c r="T40" s="61"/>
      <c r="U40" s="61" t="s">
        <v>29</v>
      </c>
      <c r="V40" s="61" t="s">
        <v>29</v>
      </c>
      <c r="W40" s="58"/>
      <c r="X40" s="58"/>
      <c r="Y40" s="98" t="str">
        <f t="shared" si="2"/>
        <v/>
      </c>
    </row>
    <row r="41" spans="1:25">
      <c r="A41" s="23"/>
      <c r="B41" s="58"/>
      <c r="C41" s="58"/>
      <c r="D41" s="59"/>
      <c r="E41" s="3"/>
      <c r="F41" s="108"/>
      <c r="G41" s="58"/>
      <c r="H41" s="3"/>
      <c r="I41" s="94"/>
      <c r="J41" s="109"/>
      <c r="K41" s="45"/>
      <c r="L41" s="60"/>
      <c r="M41" s="92" t="str">
        <f t="shared" ca="1" si="4"/>
        <v/>
      </c>
      <c r="N41" s="95"/>
      <c r="O41" s="3"/>
      <c r="P41" s="58"/>
      <c r="Q41" s="92" t="str">
        <f t="shared" si="3"/>
        <v/>
      </c>
      <c r="R41" s="98">
        <f>SUMIFS('Booking Management'!J:J,'Booking Management'!B:B,'Sales Orders'!A41)</f>
        <v>0</v>
      </c>
      <c r="S41" s="99" t="str">
        <f t="shared" si="1"/>
        <v/>
      </c>
      <c r="T41" s="61"/>
      <c r="U41" s="61" t="s">
        <v>29</v>
      </c>
      <c r="V41" s="61" t="s">
        <v>29</v>
      </c>
      <c r="W41" s="58"/>
      <c r="X41" s="58"/>
      <c r="Y41" s="98" t="str">
        <f>IF(D41&lt;&gt;"",D41-J41,"")</f>
        <v/>
      </c>
    </row>
    <row r="42" spans="1:25">
      <c r="A42" s="23"/>
      <c r="B42" s="58"/>
      <c r="C42" s="58"/>
      <c r="D42" s="59"/>
      <c r="E42" s="3"/>
      <c r="F42" s="108"/>
      <c r="G42" s="58"/>
      <c r="H42" s="3"/>
      <c r="I42" s="94"/>
      <c r="J42" s="109"/>
      <c r="K42" s="45"/>
      <c r="L42" s="60"/>
      <c r="M42" s="92" t="str">
        <f t="shared" ca="1" si="4"/>
        <v/>
      </c>
      <c r="N42" s="95"/>
      <c r="O42" s="3"/>
      <c r="P42" s="58"/>
      <c r="Q42" s="92" t="str">
        <f t="shared" si="3"/>
        <v/>
      </c>
      <c r="R42" s="98">
        <f>SUMIFS('Booking Management'!J:J,'Booking Management'!B:B,'Sales Orders'!A42)</f>
        <v>0</v>
      </c>
      <c r="S42" s="99" t="str">
        <f t="shared" si="1"/>
        <v/>
      </c>
      <c r="T42" s="61"/>
      <c r="U42" s="61"/>
      <c r="V42" s="61"/>
      <c r="W42" s="58"/>
      <c r="X42" s="58"/>
      <c r="Y42" s="98" t="str">
        <f t="shared" ref="Y42:Y105" si="5">IF(D42&lt;&gt;"",D42-J42,"")</f>
        <v/>
      </c>
    </row>
    <row r="43" spans="1:25">
      <c r="A43" s="23"/>
      <c r="B43" s="58"/>
      <c r="C43" s="58"/>
      <c r="D43" s="59"/>
      <c r="E43" s="3"/>
      <c r="F43" s="108"/>
      <c r="G43" s="58"/>
      <c r="H43" s="3"/>
      <c r="I43" s="94"/>
      <c r="J43" s="109"/>
      <c r="K43" s="45"/>
      <c r="L43" s="60"/>
      <c r="M43" s="92" t="str">
        <f t="shared" ca="1" si="4"/>
        <v/>
      </c>
      <c r="N43" s="95"/>
      <c r="O43" s="3"/>
      <c r="P43" s="62"/>
      <c r="Q43" s="92" t="str">
        <f t="shared" si="3"/>
        <v/>
      </c>
      <c r="R43" s="98">
        <f>SUMIFS('Booking Management'!J:J,'Booking Management'!B:B,'Sales Orders'!A43)</f>
        <v>0</v>
      </c>
      <c r="S43" s="99" t="str">
        <f t="shared" si="1"/>
        <v/>
      </c>
      <c r="T43" s="61"/>
      <c r="U43" s="61" t="s">
        <v>29</v>
      </c>
      <c r="V43" s="61" t="s">
        <v>29</v>
      </c>
      <c r="W43" s="58"/>
      <c r="X43" s="58"/>
      <c r="Y43" s="98" t="str">
        <f t="shared" si="5"/>
        <v/>
      </c>
    </row>
    <row r="44" spans="1:25">
      <c r="A44" s="23"/>
      <c r="B44" s="58"/>
      <c r="C44" s="58"/>
      <c r="D44" s="59"/>
      <c r="E44" s="3"/>
      <c r="F44" s="108"/>
      <c r="G44" s="58"/>
      <c r="H44" s="3"/>
      <c r="I44" s="94"/>
      <c r="J44" s="109"/>
      <c r="K44" s="45"/>
      <c r="L44" s="60"/>
      <c r="M44" s="92" t="str">
        <f t="shared" ca="1" si="4"/>
        <v/>
      </c>
      <c r="N44" s="95"/>
      <c r="O44" s="3"/>
      <c r="P44" s="62"/>
      <c r="Q44" s="92" t="str">
        <f t="shared" si="3"/>
        <v/>
      </c>
      <c r="R44" s="98">
        <f>SUMIFS('Booking Management'!J:J,'Booking Management'!B:B,'Sales Orders'!A44)</f>
        <v>0</v>
      </c>
      <c r="S44" s="99" t="str">
        <f t="shared" si="1"/>
        <v/>
      </c>
      <c r="T44" s="61"/>
      <c r="U44" s="61" t="s">
        <v>29</v>
      </c>
      <c r="V44" s="61" t="s">
        <v>29</v>
      </c>
      <c r="W44" s="58"/>
      <c r="X44" s="58"/>
      <c r="Y44" s="98" t="str">
        <f t="shared" si="5"/>
        <v/>
      </c>
    </row>
    <row r="45" spans="1:25">
      <c r="A45" s="23"/>
      <c r="B45" s="58"/>
      <c r="C45" s="58"/>
      <c r="D45" s="59"/>
      <c r="E45" s="3"/>
      <c r="F45" s="56"/>
      <c r="G45" s="58"/>
      <c r="H45" s="3"/>
      <c r="I45" s="94"/>
      <c r="J45" s="109"/>
      <c r="K45" s="45"/>
      <c r="L45" s="60"/>
      <c r="M45" s="92" t="str">
        <f t="shared" ca="1" si="4"/>
        <v/>
      </c>
      <c r="N45" s="95"/>
      <c r="O45" s="3"/>
      <c r="P45" s="58"/>
      <c r="Q45" s="92" t="str">
        <f t="shared" si="3"/>
        <v/>
      </c>
      <c r="R45" s="98">
        <f>SUMIFS('Booking Management'!J:J,'Booking Management'!B:B,'Sales Orders'!A45)</f>
        <v>0</v>
      </c>
      <c r="S45" s="99" t="str">
        <f t="shared" si="1"/>
        <v/>
      </c>
      <c r="T45" s="61"/>
      <c r="U45" s="61" t="s">
        <v>29</v>
      </c>
      <c r="V45" s="61" t="s">
        <v>29</v>
      </c>
      <c r="W45" s="58"/>
      <c r="X45" s="58"/>
      <c r="Y45" s="98" t="str">
        <f t="shared" si="5"/>
        <v/>
      </c>
    </row>
    <row r="46" spans="1:25">
      <c r="A46" s="23"/>
      <c r="B46" s="58"/>
      <c r="C46" s="58"/>
      <c r="D46" s="59"/>
      <c r="E46" s="3"/>
      <c r="F46" s="56"/>
      <c r="G46" s="58"/>
      <c r="H46" s="3"/>
      <c r="I46" s="94"/>
      <c r="J46" s="109"/>
      <c r="K46" s="45"/>
      <c r="L46" s="60"/>
      <c r="M46" s="92" t="str">
        <f t="shared" ca="1" si="4"/>
        <v/>
      </c>
      <c r="N46" s="95"/>
      <c r="O46" s="3"/>
      <c r="P46" s="58"/>
      <c r="Q46" s="92" t="str">
        <f t="shared" si="3"/>
        <v/>
      </c>
      <c r="R46" s="98">
        <f>SUMIFS('Booking Management'!J:J,'Booking Management'!B:B,'Sales Orders'!A46)</f>
        <v>0</v>
      </c>
      <c r="S46" s="99" t="str">
        <f t="shared" si="1"/>
        <v/>
      </c>
      <c r="T46" s="61"/>
      <c r="U46" s="61" t="s">
        <v>29</v>
      </c>
      <c r="V46" s="61" t="s">
        <v>29</v>
      </c>
      <c r="W46" s="58"/>
      <c r="X46" s="58"/>
      <c r="Y46" s="98" t="str">
        <f t="shared" si="5"/>
        <v/>
      </c>
    </row>
    <row r="47" spans="1:25">
      <c r="A47" s="23"/>
      <c r="B47" s="58"/>
      <c r="C47" s="58"/>
      <c r="D47" s="59"/>
      <c r="E47" s="3"/>
      <c r="F47" s="56"/>
      <c r="G47" s="58"/>
      <c r="H47" s="3"/>
      <c r="I47" s="94"/>
      <c r="J47" s="109"/>
      <c r="K47" s="45"/>
      <c r="L47" s="60"/>
      <c r="M47" s="92" t="str">
        <f t="shared" ca="1" si="4"/>
        <v/>
      </c>
      <c r="N47" s="95"/>
      <c r="O47" s="3"/>
      <c r="P47" s="58"/>
      <c r="Q47" s="92" t="str">
        <f t="shared" si="3"/>
        <v/>
      </c>
      <c r="R47" s="98">
        <f>SUMIFS('Booking Management'!J:J,'Booking Management'!B:B,'Sales Orders'!A47)</f>
        <v>0</v>
      </c>
      <c r="S47" s="99" t="str">
        <f t="shared" si="1"/>
        <v/>
      </c>
      <c r="T47" s="61"/>
      <c r="U47" s="61" t="s">
        <v>29</v>
      </c>
      <c r="V47" s="61" t="s">
        <v>29</v>
      </c>
      <c r="W47" s="58"/>
      <c r="X47" s="58"/>
      <c r="Y47" s="98" t="str">
        <f t="shared" si="5"/>
        <v/>
      </c>
    </row>
    <row r="48" spans="1:25">
      <c r="A48" s="23"/>
      <c r="B48" s="58"/>
      <c r="C48" s="58"/>
      <c r="D48" s="59"/>
      <c r="E48" s="3"/>
      <c r="F48" s="56"/>
      <c r="G48" s="58"/>
      <c r="H48" s="3"/>
      <c r="I48" s="94"/>
      <c r="J48" s="109"/>
      <c r="K48" s="45"/>
      <c r="L48" s="60"/>
      <c r="M48" s="92" t="str">
        <f t="shared" ca="1" si="4"/>
        <v/>
      </c>
      <c r="N48" s="95"/>
      <c r="O48" s="3"/>
      <c r="P48" s="58"/>
      <c r="Q48" s="92" t="str">
        <f t="shared" si="3"/>
        <v/>
      </c>
      <c r="R48" s="98">
        <f>SUMIFS('Booking Management'!J:J,'Booking Management'!B:B,'Sales Orders'!A48)</f>
        <v>0</v>
      </c>
      <c r="S48" s="99" t="str">
        <f t="shared" si="1"/>
        <v/>
      </c>
      <c r="T48" s="61"/>
      <c r="U48" s="61" t="s">
        <v>29</v>
      </c>
      <c r="V48" s="61" t="s">
        <v>29</v>
      </c>
      <c r="W48" s="58"/>
      <c r="X48" s="58"/>
      <c r="Y48" s="98" t="str">
        <f t="shared" si="5"/>
        <v/>
      </c>
    </row>
    <row r="49" spans="1:25">
      <c r="A49" s="23"/>
      <c r="B49" s="58"/>
      <c r="C49" s="58"/>
      <c r="D49" s="59"/>
      <c r="E49" s="3"/>
      <c r="F49" s="56"/>
      <c r="G49" s="58"/>
      <c r="H49" s="3"/>
      <c r="I49" s="94"/>
      <c r="J49" s="109"/>
      <c r="K49" s="45"/>
      <c r="L49" s="60"/>
      <c r="M49" s="92" t="str">
        <f t="shared" ca="1" si="4"/>
        <v/>
      </c>
      <c r="N49" s="95"/>
      <c r="O49" s="3"/>
      <c r="P49" s="58"/>
      <c r="Q49" s="92" t="str">
        <f t="shared" si="3"/>
        <v/>
      </c>
      <c r="R49" s="98">
        <f>SUMIFS('Booking Management'!J:J,'Booking Management'!B:B,'Sales Orders'!A49)</f>
        <v>0</v>
      </c>
      <c r="S49" s="99" t="str">
        <f t="shared" si="1"/>
        <v/>
      </c>
      <c r="T49" s="61"/>
      <c r="U49" s="61" t="s">
        <v>29</v>
      </c>
      <c r="V49" s="61" t="s">
        <v>29</v>
      </c>
      <c r="W49" s="58"/>
      <c r="X49" s="58"/>
      <c r="Y49" s="98" t="str">
        <f t="shared" si="5"/>
        <v/>
      </c>
    </row>
    <row r="50" spans="1:25">
      <c r="A50" s="23"/>
      <c r="B50" s="58"/>
      <c r="C50" s="58"/>
      <c r="D50" s="59"/>
      <c r="E50" s="3"/>
      <c r="F50" s="56"/>
      <c r="G50" s="58"/>
      <c r="H50" s="3"/>
      <c r="I50" s="94"/>
      <c r="J50" s="109"/>
      <c r="K50" s="45"/>
      <c r="L50" s="60"/>
      <c r="M50" s="92" t="str">
        <f t="shared" ca="1" si="4"/>
        <v/>
      </c>
      <c r="N50" s="95"/>
      <c r="O50" s="3"/>
      <c r="P50" s="58"/>
      <c r="Q50" s="92" t="str">
        <f t="shared" si="3"/>
        <v/>
      </c>
      <c r="R50" s="98">
        <f>SUMIFS('Booking Management'!J:J,'Booking Management'!B:B,'Sales Orders'!A50)</f>
        <v>0</v>
      </c>
      <c r="S50" s="99" t="str">
        <f t="shared" si="1"/>
        <v/>
      </c>
      <c r="T50" s="61"/>
      <c r="U50" s="61" t="s">
        <v>29</v>
      </c>
      <c r="V50" s="61" t="s">
        <v>29</v>
      </c>
      <c r="W50" s="58"/>
      <c r="X50" s="58"/>
      <c r="Y50" s="98" t="str">
        <f t="shared" si="5"/>
        <v/>
      </c>
    </row>
    <row r="51" spans="1:25">
      <c r="A51" s="23"/>
      <c r="B51" s="58"/>
      <c r="C51" s="58"/>
      <c r="D51" s="59"/>
      <c r="E51" s="3"/>
      <c r="F51" s="56"/>
      <c r="G51" s="58"/>
      <c r="H51" s="3"/>
      <c r="I51" s="94"/>
      <c r="J51" s="109"/>
      <c r="K51" s="45"/>
      <c r="L51" s="60"/>
      <c r="M51" s="92" t="str">
        <f t="shared" ca="1" si="4"/>
        <v/>
      </c>
      <c r="N51" s="95"/>
      <c r="O51" s="3"/>
      <c r="P51" s="62"/>
      <c r="Q51" s="92" t="str">
        <f t="shared" si="3"/>
        <v/>
      </c>
      <c r="R51" s="98">
        <f>SUMIFS('Booking Management'!J:J,'Booking Management'!B:B,'Sales Orders'!A51)</f>
        <v>0</v>
      </c>
      <c r="S51" s="99" t="str">
        <f t="shared" si="1"/>
        <v/>
      </c>
      <c r="T51" s="61"/>
      <c r="U51" s="61" t="s">
        <v>29</v>
      </c>
      <c r="V51" s="61" t="s">
        <v>29</v>
      </c>
      <c r="W51" s="58"/>
      <c r="X51" s="58"/>
      <c r="Y51" s="98" t="str">
        <f t="shared" si="5"/>
        <v/>
      </c>
    </row>
    <row r="52" spans="1:25">
      <c r="A52" s="23"/>
      <c r="B52" s="58"/>
      <c r="C52" s="58"/>
      <c r="D52" s="59"/>
      <c r="E52" s="3"/>
      <c r="F52" s="56"/>
      <c r="G52" s="58"/>
      <c r="H52" s="3"/>
      <c r="I52" s="94"/>
      <c r="J52" s="109"/>
      <c r="K52" s="45"/>
      <c r="L52" s="60"/>
      <c r="M52" s="92" t="str">
        <f t="shared" ca="1" si="4"/>
        <v/>
      </c>
      <c r="N52" s="95"/>
      <c r="O52" s="3"/>
      <c r="P52" s="58"/>
      <c r="Q52" s="92" t="str">
        <f t="shared" si="3"/>
        <v/>
      </c>
      <c r="R52" s="98">
        <f>SUMIFS('Booking Management'!J:J,'Booking Management'!B:B,'Sales Orders'!A52)</f>
        <v>0</v>
      </c>
      <c r="S52" s="99" t="str">
        <f t="shared" si="1"/>
        <v/>
      </c>
      <c r="T52" s="61"/>
      <c r="U52" s="61" t="s">
        <v>29</v>
      </c>
      <c r="V52" s="61" t="s">
        <v>29</v>
      </c>
      <c r="W52" s="58"/>
      <c r="X52" s="58"/>
      <c r="Y52" s="98" t="str">
        <f t="shared" si="5"/>
        <v/>
      </c>
    </row>
    <row r="53" spans="1:25">
      <c r="A53" s="23"/>
      <c r="B53" s="58"/>
      <c r="C53" s="58"/>
      <c r="D53" s="59"/>
      <c r="E53" s="3"/>
      <c r="F53" s="56"/>
      <c r="G53" s="58"/>
      <c r="H53" s="3"/>
      <c r="I53" s="94"/>
      <c r="J53" s="109"/>
      <c r="K53" s="45"/>
      <c r="L53" s="60"/>
      <c r="M53" s="92" t="str">
        <f t="shared" ca="1" si="4"/>
        <v/>
      </c>
      <c r="N53" s="95"/>
      <c r="O53" s="3"/>
      <c r="P53" s="58"/>
      <c r="Q53" s="92" t="str">
        <f t="shared" si="3"/>
        <v/>
      </c>
      <c r="R53" s="98">
        <f>SUMIFS('Booking Management'!J:J,'Booking Management'!B:B,'Sales Orders'!A53)</f>
        <v>0</v>
      </c>
      <c r="S53" s="99" t="str">
        <f t="shared" si="1"/>
        <v/>
      </c>
      <c r="T53" s="61"/>
      <c r="U53" s="61" t="s">
        <v>29</v>
      </c>
      <c r="V53" s="61" t="s">
        <v>29</v>
      </c>
      <c r="W53" s="58"/>
      <c r="X53" s="58"/>
      <c r="Y53" s="98" t="str">
        <f t="shared" si="5"/>
        <v/>
      </c>
    </row>
    <row r="54" spans="1:25">
      <c r="A54" s="23"/>
      <c r="B54" s="58"/>
      <c r="C54" s="58"/>
      <c r="D54" s="59"/>
      <c r="E54" s="3"/>
      <c r="F54" s="56"/>
      <c r="G54" s="58"/>
      <c r="H54" s="3"/>
      <c r="I54" s="94"/>
      <c r="J54" s="109"/>
      <c r="K54" s="45"/>
      <c r="L54" s="60"/>
      <c r="M54" s="92" t="str">
        <f t="shared" ca="1" si="4"/>
        <v/>
      </c>
      <c r="N54" s="95"/>
      <c r="O54" s="3"/>
      <c r="P54" s="62"/>
      <c r="Q54" s="92" t="str">
        <f t="shared" si="3"/>
        <v/>
      </c>
      <c r="R54" s="98">
        <f>SUMIFS('Booking Management'!J:J,'Booking Management'!B:B,'Sales Orders'!A54)</f>
        <v>0</v>
      </c>
      <c r="S54" s="99" t="str">
        <f t="shared" si="1"/>
        <v/>
      </c>
      <c r="T54" s="61"/>
      <c r="U54" s="61" t="s">
        <v>29</v>
      </c>
      <c r="V54" s="61" t="s">
        <v>29</v>
      </c>
      <c r="W54" s="58"/>
      <c r="X54" s="58"/>
      <c r="Y54" s="98" t="str">
        <f t="shared" si="5"/>
        <v/>
      </c>
    </row>
    <row r="55" spans="1:25">
      <c r="A55" s="23"/>
      <c r="B55" s="58"/>
      <c r="C55" s="58"/>
      <c r="D55" s="59"/>
      <c r="E55" s="3"/>
      <c r="F55" s="56"/>
      <c r="G55" s="58"/>
      <c r="H55" s="3"/>
      <c r="I55" s="94"/>
      <c r="J55" s="109"/>
      <c r="K55" s="45"/>
      <c r="L55" s="60"/>
      <c r="M55" s="92" t="str">
        <f t="shared" ca="1" si="4"/>
        <v/>
      </c>
      <c r="N55" s="95"/>
      <c r="O55" s="3"/>
      <c r="P55" s="58"/>
      <c r="Q55" s="92" t="str">
        <f t="shared" si="3"/>
        <v/>
      </c>
      <c r="R55" s="98">
        <f>SUMIFS('Booking Management'!J:J,'Booking Management'!B:B,'Sales Orders'!A55)</f>
        <v>0</v>
      </c>
      <c r="S55" s="99" t="str">
        <f t="shared" si="1"/>
        <v/>
      </c>
      <c r="T55" s="61"/>
      <c r="U55" s="61" t="s">
        <v>29</v>
      </c>
      <c r="V55" s="61" t="s">
        <v>29</v>
      </c>
      <c r="W55" s="58"/>
      <c r="X55" s="58"/>
      <c r="Y55" s="98" t="str">
        <f t="shared" si="5"/>
        <v/>
      </c>
    </row>
    <row r="56" spans="1:25">
      <c r="A56" s="23"/>
      <c r="B56" s="58"/>
      <c r="C56" s="58"/>
      <c r="D56" s="59"/>
      <c r="E56" s="3"/>
      <c r="F56" s="56"/>
      <c r="G56" s="58"/>
      <c r="H56" s="3"/>
      <c r="I56" s="94"/>
      <c r="J56" s="109"/>
      <c r="K56" s="45"/>
      <c r="L56" s="60"/>
      <c r="M56" s="92" t="str">
        <f t="shared" ca="1" si="4"/>
        <v/>
      </c>
      <c r="N56" s="95"/>
      <c r="O56" s="3"/>
      <c r="P56" s="58"/>
      <c r="Q56" s="92" t="str">
        <f t="shared" si="3"/>
        <v/>
      </c>
      <c r="R56" s="98">
        <f>SUMIFS('Booking Management'!J:J,'Booking Management'!B:B,'Sales Orders'!A56)</f>
        <v>0</v>
      </c>
      <c r="S56" s="99" t="str">
        <f t="shared" si="1"/>
        <v/>
      </c>
      <c r="T56" s="61"/>
      <c r="U56" s="61" t="s">
        <v>29</v>
      </c>
      <c r="V56" s="61" t="s">
        <v>29</v>
      </c>
      <c r="W56" s="58"/>
      <c r="X56" s="58"/>
      <c r="Y56" s="98" t="str">
        <f t="shared" si="5"/>
        <v/>
      </c>
    </row>
    <row r="57" spans="1:25">
      <c r="A57" s="23"/>
      <c r="B57" s="58"/>
      <c r="C57" s="58"/>
      <c r="D57" s="59"/>
      <c r="E57" s="3"/>
      <c r="F57" s="56"/>
      <c r="G57" s="58"/>
      <c r="H57" s="3"/>
      <c r="I57" s="94"/>
      <c r="J57" s="109"/>
      <c r="K57" s="45"/>
      <c r="L57" s="60"/>
      <c r="M57" s="92" t="str">
        <f t="shared" ca="1" si="4"/>
        <v/>
      </c>
      <c r="N57" s="81"/>
      <c r="O57" s="3"/>
      <c r="P57" s="58"/>
      <c r="Q57" s="92" t="str">
        <f t="shared" si="3"/>
        <v/>
      </c>
      <c r="R57" s="98">
        <f>SUMIFS('Booking Management'!J:J,'Booking Management'!B:B,'Sales Orders'!A57)</f>
        <v>0</v>
      </c>
      <c r="S57" s="99" t="str">
        <f t="shared" si="1"/>
        <v/>
      </c>
      <c r="T57" s="61"/>
      <c r="U57" s="61" t="s">
        <v>29</v>
      </c>
      <c r="V57" s="61" t="s">
        <v>29</v>
      </c>
      <c r="W57" s="58"/>
      <c r="X57" s="58"/>
      <c r="Y57" s="98" t="str">
        <f t="shared" si="5"/>
        <v/>
      </c>
    </row>
    <row r="58" spans="1:25">
      <c r="A58" s="23"/>
      <c r="B58" s="58"/>
      <c r="C58" s="58"/>
      <c r="D58" s="59"/>
      <c r="E58" s="3"/>
      <c r="F58" s="56"/>
      <c r="G58" s="58"/>
      <c r="H58" s="3"/>
      <c r="I58" s="94"/>
      <c r="J58" s="109"/>
      <c r="K58" s="45"/>
      <c r="L58" s="60"/>
      <c r="M58" s="92" t="str">
        <f t="shared" ca="1" si="4"/>
        <v/>
      </c>
      <c r="N58" s="81"/>
      <c r="O58" s="3"/>
      <c r="P58" s="58"/>
      <c r="Q58" s="92" t="str">
        <f t="shared" si="3"/>
        <v/>
      </c>
      <c r="R58" s="98">
        <f>SUMIFS('Booking Management'!J:J,'Booking Management'!B:B,'Sales Orders'!A58)</f>
        <v>0</v>
      </c>
      <c r="S58" s="99" t="str">
        <f t="shared" si="1"/>
        <v/>
      </c>
      <c r="T58" s="61"/>
      <c r="U58" s="61" t="s">
        <v>29</v>
      </c>
      <c r="V58" s="61" t="s">
        <v>29</v>
      </c>
      <c r="W58" s="58"/>
      <c r="X58" s="58"/>
      <c r="Y58" s="98" t="str">
        <f t="shared" si="5"/>
        <v/>
      </c>
    </row>
    <row r="59" spans="1:25">
      <c r="A59" s="23"/>
      <c r="B59" s="58"/>
      <c r="C59" s="58"/>
      <c r="D59" s="59"/>
      <c r="E59" s="3"/>
      <c r="F59" s="56"/>
      <c r="G59" s="58"/>
      <c r="H59" s="3"/>
      <c r="I59" s="94"/>
      <c r="J59" s="109"/>
      <c r="K59" s="45"/>
      <c r="L59" s="60"/>
      <c r="M59" s="92" t="str">
        <f t="shared" ca="1" si="4"/>
        <v/>
      </c>
      <c r="N59" s="81"/>
      <c r="O59" s="3"/>
      <c r="P59" s="58"/>
      <c r="Q59" s="92" t="str">
        <f t="shared" si="3"/>
        <v/>
      </c>
      <c r="R59" s="98">
        <f>SUMIFS('Booking Management'!J:J,'Booking Management'!B:B,'Sales Orders'!A59)</f>
        <v>0</v>
      </c>
      <c r="S59" s="99" t="str">
        <f t="shared" si="1"/>
        <v/>
      </c>
      <c r="T59" s="61"/>
      <c r="U59" s="61" t="s">
        <v>29</v>
      </c>
      <c r="V59" s="61" t="s">
        <v>29</v>
      </c>
      <c r="W59" s="58"/>
      <c r="X59" s="58"/>
      <c r="Y59" s="98" t="str">
        <f t="shared" si="5"/>
        <v/>
      </c>
    </row>
    <row r="60" spans="1:25">
      <c r="A60" s="23"/>
      <c r="B60" s="58"/>
      <c r="C60" s="58"/>
      <c r="D60" s="59"/>
      <c r="E60" s="3"/>
      <c r="F60" s="56"/>
      <c r="G60" s="58"/>
      <c r="H60" s="3"/>
      <c r="I60" s="94"/>
      <c r="J60" s="109"/>
      <c r="K60" s="45"/>
      <c r="L60" s="60"/>
      <c r="M60" s="92" t="str">
        <f t="shared" ca="1" si="4"/>
        <v/>
      </c>
      <c r="N60" s="81"/>
      <c r="O60" s="3"/>
      <c r="P60" s="62"/>
      <c r="Q60" s="92" t="str">
        <f t="shared" si="3"/>
        <v/>
      </c>
      <c r="R60" s="98">
        <f>SUMIFS('Booking Management'!J:J,'Booking Management'!B:B,'Sales Orders'!A60)</f>
        <v>0</v>
      </c>
      <c r="S60" s="99" t="str">
        <f t="shared" si="1"/>
        <v/>
      </c>
      <c r="T60" s="61"/>
      <c r="U60" s="61" t="s">
        <v>29</v>
      </c>
      <c r="V60" s="61" t="s">
        <v>29</v>
      </c>
      <c r="W60" s="58"/>
      <c r="X60" s="58"/>
      <c r="Y60" s="98" t="str">
        <f t="shared" si="5"/>
        <v/>
      </c>
    </row>
    <row r="61" spans="1:25">
      <c r="A61" s="23"/>
      <c r="B61" s="58"/>
      <c r="C61" s="58"/>
      <c r="D61" s="59"/>
      <c r="E61" s="3"/>
      <c r="F61" s="56"/>
      <c r="G61" s="58"/>
      <c r="H61" s="3"/>
      <c r="I61" s="94"/>
      <c r="J61" s="109"/>
      <c r="K61" s="45"/>
      <c r="L61" s="60"/>
      <c r="M61" s="92" t="str">
        <f t="shared" ca="1" si="4"/>
        <v/>
      </c>
      <c r="N61" s="81"/>
      <c r="O61" s="3"/>
      <c r="P61" s="58"/>
      <c r="Q61" s="92" t="str">
        <f t="shared" si="3"/>
        <v/>
      </c>
      <c r="R61" s="98">
        <f>SUMIFS('Booking Management'!J:J,'Booking Management'!B:B,'Sales Orders'!A61)</f>
        <v>0</v>
      </c>
      <c r="S61" s="99" t="str">
        <f t="shared" si="1"/>
        <v/>
      </c>
      <c r="T61" s="61"/>
      <c r="U61" s="61" t="s">
        <v>29</v>
      </c>
      <c r="V61" s="61" t="s">
        <v>29</v>
      </c>
      <c r="W61" s="58"/>
      <c r="X61" s="58"/>
      <c r="Y61" s="98" t="str">
        <f t="shared" si="5"/>
        <v/>
      </c>
    </row>
    <row r="62" spans="1:25">
      <c r="A62" s="23"/>
      <c r="B62" s="58"/>
      <c r="C62" s="58"/>
      <c r="D62" s="59"/>
      <c r="E62" s="3"/>
      <c r="F62" s="56"/>
      <c r="G62" s="58"/>
      <c r="H62" s="3"/>
      <c r="I62" s="94"/>
      <c r="J62" s="109"/>
      <c r="K62" s="45"/>
      <c r="L62" s="60"/>
      <c r="M62" s="92" t="str">
        <f t="shared" ca="1" si="4"/>
        <v/>
      </c>
      <c r="N62" s="81"/>
      <c r="O62" s="3"/>
      <c r="P62" s="58"/>
      <c r="Q62" s="92" t="str">
        <f t="shared" si="3"/>
        <v/>
      </c>
      <c r="R62" s="98">
        <f>SUMIFS('Booking Management'!J:J,'Booking Management'!B:B,'Sales Orders'!A62)</f>
        <v>0</v>
      </c>
      <c r="S62" s="99" t="str">
        <f t="shared" si="1"/>
        <v/>
      </c>
      <c r="T62" s="61"/>
      <c r="U62" s="61" t="s">
        <v>29</v>
      </c>
      <c r="V62" s="61" t="s">
        <v>29</v>
      </c>
      <c r="W62" s="58"/>
      <c r="X62" s="58"/>
      <c r="Y62" s="98" t="str">
        <f t="shared" si="5"/>
        <v/>
      </c>
    </row>
    <row r="63" spans="1:25">
      <c r="A63" s="23"/>
      <c r="B63" s="58"/>
      <c r="C63" s="58"/>
      <c r="D63" s="59"/>
      <c r="E63" s="3"/>
      <c r="F63" s="56"/>
      <c r="G63" s="58"/>
      <c r="H63" s="3"/>
      <c r="I63" s="94"/>
      <c r="J63" s="109"/>
      <c r="K63" s="45"/>
      <c r="L63" s="60"/>
      <c r="M63" s="92" t="str">
        <f t="shared" ca="1" si="4"/>
        <v/>
      </c>
      <c r="N63" s="81"/>
      <c r="O63" s="3"/>
      <c r="P63" s="58"/>
      <c r="Q63" s="92" t="str">
        <f t="shared" si="3"/>
        <v/>
      </c>
      <c r="R63" s="98">
        <f>SUMIFS('Booking Management'!J:J,'Booking Management'!B:B,'Sales Orders'!A63)</f>
        <v>0</v>
      </c>
      <c r="S63" s="99" t="str">
        <f t="shared" si="1"/>
        <v/>
      </c>
      <c r="T63" s="61"/>
      <c r="U63" s="61" t="s">
        <v>29</v>
      </c>
      <c r="V63" s="61" t="s">
        <v>29</v>
      </c>
      <c r="W63" s="58"/>
      <c r="X63" s="58"/>
      <c r="Y63" s="98" t="str">
        <f t="shared" si="5"/>
        <v/>
      </c>
    </row>
    <row r="64" spans="1:25">
      <c r="A64" s="23"/>
      <c r="B64" s="58"/>
      <c r="C64" s="58"/>
      <c r="D64" s="59"/>
      <c r="E64" s="3"/>
      <c r="F64" s="56"/>
      <c r="G64" s="58"/>
      <c r="H64" s="3"/>
      <c r="I64" s="94"/>
      <c r="J64" s="109"/>
      <c r="K64" s="45"/>
      <c r="L64" s="60"/>
      <c r="M64" s="92" t="str">
        <f t="shared" ca="1" si="4"/>
        <v/>
      </c>
      <c r="N64" s="81"/>
      <c r="O64" s="3"/>
      <c r="P64" s="58"/>
      <c r="Q64" s="92" t="str">
        <f t="shared" si="3"/>
        <v/>
      </c>
      <c r="R64" s="98">
        <f>SUMIFS('Booking Management'!J:J,'Booking Management'!B:B,'Sales Orders'!A64)</f>
        <v>0</v>
      </c>
      <c r="S64" s="99" t="str">
        <f t="shared" si="1"/>
        <v/>
      </c>
      <c r="T64" s="61"/>
      <c r="U64" s="61" t="s">
        <v>29</v>
      </c>
      <c r="V64" s="61" t="s">
        <v>29</v>
      </c>
      <c r="W64" s="58"/>
      <c r="X64" s="58"/>
      <c r="Y64" s="98" t="str">
        <f t="shared" si="5"/>
        <v/>
      </c>
    </row>
    <row r="65" spans="1:25">
      <c r="A65" s="23"/>
      <c r="B65" s="58"/>
      <c r="C65" s="58"/>
      <c r="D65" s="59"/>
      <c r="E65" s="3"/>
      <c r="F65" s="56"/>
      <c r="G65" s="58"/>
      <c r="H65" s="3"/>
      <c r="I65" s="94"/>
      <c r="J65" s="109"/>
      <c r="K65" s="45"/>
      <c r="L65" s="60"/>
      <c r="M65" s="92" t="str">
        <f t="shared" ca="1" si="4"/>
        <v/>
      </c>
      <c r="N65" s="81"/>
      <c r="O65" s="3"/>
      <c r="P65" s="58"/>
      <c r="Q65" s="92" t="str">
        <f t="shared" si="3"/>
        <v/>
      </c>
      <c r="R65" s="98">
        <f>SUMIFS('Booking Management'!J:J,'Booking Management'!B:B,'Sales Orders'!A65)</f>
        <v>0</v>
      </c>
      <c r="S65" s="99" t="str">
        <f t="shared" si="1"/>
        <v/>
      </c>
      <c r="T65" s="61"/>
      <c r="U65" s="61" t="s">
        <v>29</v>
      </c>
      <c r="V65" s="61" t="s">
        <v>29</v>
      </c>
      <c r="W65" s="58"/>
      <c r="X65" s="58"/>
      <c r="Y65" s="98" t="str">
        <f t="shared" si="5"/>
        <v/>
      </c>
    </row>
    <row r="66" spans="1:25">
      <c r="A66" s="23"/>
      <c r="B66" s="58"/>
      <c r="C66" s="58"/>
      <c r="D66" s="59"/>
      <c r="E66" s="3"/>
      <c r="F66" s="56"/>
      <c r="G66" s="58"/>
      <c r="H66" s="3"/>
      <c r="I66" s="94"/>
      <c r="J66" s="109"/>
      <c r="K66" s="45"/>
      <c r="L66" s="60"/>
      <c r="M66" s="92" t="str">
        <f t="shared" ca="1" si="4"/>
        <v/>
      </c>
      <c r="N66" s="81"/>
      <c r="O66" s="3"/>
      <c r="P66" s="58"/>
      <c r="Q66" s="92" t="str">
        <f t="shared" si="3"/>
        <v/>
      </c>
      <c r="R66" s="98">
        <f>SUMIFS('Booking Management'!J:J,'Booking Management'!B:B,'Sales Orders'!A66)</f>
        <v>0</v>
      </c>
      <c r="S66" s="99" t="str">
        <f t="shared" si="1"/>
        <v/>
      </c>
      <c r="T66" s="61"/>
      <c r="U66" s="61" t="s">
        <v>29</v>
      </c>
      <c r="V66" s="61" t="s">
        <v>29</v>
      </c>
      <c r="W66" s="58"/>
      <c r="X66" s="58"/>
      <c r="Y66" s="98" t="str">
        <f t="shared" si="5"/>
        <v/>
      </c>
    </row>
    <row r="67" spans="1:25">
      <c r="A67" s="23"/>
      <c r="B67" s="58"/>
      <c r="C67" s="58"/>
      <c r="D67" s="59"/>
      <c r="E67" s="3"/>
      <c r="F67" s="56"/>
      <c r="G67" s="58"/>
      <c r="H67" s="3"/>
      <c r="I67" s="94"/>
      <c r="J67" s="109"/>
      <c r="K67" s="45"/>
      <c r="L67" s="60"/>
      <c r="M67" s="92" t="str">
        <f t="shared" ca="1" si="4"/>
        <v/>
      </c>
      <c r="N67" s="81"/>
      <c r="O67" s="3"/>
      <c r="P67" s="58"/>
      <c r="Q67" s="92" t="str">
        <f t="shared" si="3"/>
        <v/>
      </c>
      <c r="R67" s="98">
        <f>SUMIFS('Booking Management'!J:J,'Booking Management'!B:B,'Sales Orders'!A67)</f>
        <v>0</v>
      </c>
      <c r="S67" s="99" t="str">
        <f t="shared" si="1"/>
        <v/>
      </c>
      <c r="T67" s="61"/>
      <c r="U67" s="61" t="s">
        <v>29</v>
      </c>
      <c r="V67" s="61" t="s">
        <v>29</v>
      </c>
      <c r="W67" s="58"/>
      <c r="X67" s="58"/>
      <c r="Y67" s="98" t="str">
        <f t="shared" si="5"/>
        <v/>
      </c>
    </row>
    <row r="68" spans="1:25">
      <c r="A68" s="23"/>
      <c r="B68" s="58"/>
      <c r="C68" s="58"/>
      <c r="D68" s="59"/>
      <c r="E68" s="3"/>
      <c r="F68" s="56"/>
      <c r="G68" s="58"/>
      <c r="H68" s="3"/>
      <c r="I68" s="94"/>
      <c r="J68" s="109"/>
      <c r="K68" s="45"/>
      <c r="L68" s="60"/>
      <c r="M68" s="92" t="str">
        <f t="shared" ca="1" si="4"/>
        <v/>
      </c>
      <c r="N68" s="81"/>
      <c r="O68" s="3"/>
      <c r="P68" s="58"/>
      <c r="Q68" s="92" t="str">
        <f t="shared" si="3"/>
        <v/>
      </c>
      <c r="R68" s="98">
        <f>SUMIFS('Booking Management'!J:J,'Booking Management'!B:B,'Sales Orders'!A68)</f>
        <v>0</v>
      </c>
      <c r="S68" s="99" t="str">
        <f t="shared" ref="S68:S131" si="6">IF(R68&gt;0,(R68/D68)*N68,"")</f>
        <v/>
      </c>
      <c r="T68" s="61"/>
      <c r="U68" s="61" t="s">
        <v>29</v>
      </c>
      <c r="V68" s="61" t="s">
        <v>29</v>
      </c>
      <c r="W68" s="58"/>
      <c r="X68" s="58"/>
      <c r="Y68" s="98" t="str">
        <f t="shared" si="5"/>
        <v/>
      </c>
    </row>
    <row r="69" spans="1:25">
      <c r="A69" s="23"/>
      <c r="B69" s="58"/>
      <c r="C69" s="58"/>
      <c r="D69" s="59"/>
      <c r="E69" s="3"/>
      <c r="F69" s="56"/>
      <c r="G69" s="58"/>
      <c r="H69" s="3"/>
      <c r="I69" s="94"/>
      <c r="J69" s="109"/>
      <c r="K69" s="45"/>
      <c r="L69" s="60"/>
      <c r="M69" s="92" t="str">
        <f t="shared" ca="1" si="4"/>
        <v/>
      </c>
      <c r="N69" s="81"/>
      <c r="O69" s="3"/>
      <c r="P69" s="58"/>
      <c r="Q69" s="92" t="str">
        <f t="shared" si="3"/>
        <v/>
      </c>
      <c r="R69" s="98">
        <f>SUMIFS('Booking Management'!J:J,'Booking Management'!B:B,'Sales Orders'!A69)</f>
        <v>0</v>
      </c>
      <c r="S69" s="99" t="str">
        <f t="shared" si="6"/>
        <v/>
      </c>
      <c r="T69" s="61"/>
      <c r="U69" s="61" t="s">
        <v>29</v>
      </c>
      <c r="V69" s="61" t="s">
        <v>29</v>
      </c>
      <c r="W69" s="58"/>
      <c r="X69" s="58"/>
      <c r="Y69" s="98" t="str">
        <f t="shared" si="5"/>
        <v/>
      </c>
    </row>
    <row r="70" spans="1:25">
      <c r="A70" s="23"/>
      <c r="B70" s="58"/>
      <c r="C70" s="58"/>
      <c r="D70" s="59"/>
      <c r="E70" s="3"/>
      <c r="F70" s="56"/>
      <c r="G70" s="58"/>
      <c r="H70" s="3"/>
      <c r="I70" s="94"/>
      <c r="J70" s="109"/>
      <c r="K70" s="45"/>
      <c r="L70" s="60"/>
      <c r="M70" s="92" t="str">
        <f t="shared" ca="1" si="4"/>
        <v/>
      </c>
      <c r="N70" s="81"/>
      <c r="O70" s="3"/>
      <c r="P70" s="58"/>
      <c r="Q70" s="92" t="str">
        <f t="shared" ref="Q70:Q133" si="7">IF(C70&lt;&gt;"",IF(OR(K70="",P70=""),"alert",""),"")</f>
        <v/>
      </c>
      <c r="R70" s="98">
        <f>SUMIFS('Booking Management'!J:J,'Booking Management'!B:B,'Sales Orders'!A70)</f>
        <v>0</v>
      </c>
      <c r="S70" s="99" t="str">
        <f t="shared" si="6"/>
        <v/>
      </c>
      <c r="T70" s="61"/>
      <c r="U70" s="61" t="s">
        <v>29</v>
      </c>
      <c r="V70" s="61" t="s">
        <v>29</v>
      </c>
      <c r="W70" s="58"/>
      <c r="X70" s="58"/>
      <c r="Y70" s="98" t="str">
        <f t="shared" si="5"/>
        <v/>
      </c>
    </row>
    <row r="71" spans="1:25">
      <c r="A71" s="23"/>
      <c r="B71" s="58"/>
      <c r="C71" s="58"/>
      <c r="D71" s="59"/>
      <c r="E71" s="3"/>
      <c r="F71" s="56"/>
      <c r="G71" s="58"/>
      <c r="H71" s="3"/>
      <c r="I71" s="94"/>
      <c r="J71" s="109"/>
      <c r="K71" s="45"/>
      <c r="L71" s="60"/>
      <c r="M71" s="92" t="str">
        <f t="shared" ref="M71:M134" ca="1" si="8">IFERROR(IF(K71&lt;&gt;"",IF(AND(_xlfn.NUMBERVALUE(J71)/_xlfn.NUMBERVALUE(D71) &lt;1,K71-TODAY()&lt;2,L71&lt;&gt;"yes"),"alert",""),""),"")</f>
        <v/>
      </c>
      <c r="N71" s="81"/>
      <c r="O71" s="3"/>
      <c r="P71" s="58"/>
      <c r="Q71" s="92" t="str">
        <f t="shared" si="7"/>
        <v/>
      </c>
      <c r="R71" s="98">
        <f>SUMIFS('Booking Management'!J:J,'Booking Management'!B:B,'Sales Orders'!A71)</f>
        <v>0</v>
      </c>
      <c r="S71" s="99" t="str">
        <f t="shared" si="6"/>
        <v/>
      </c>
      <c r="T71" s="61"/>
      <c r="U71" s="61"/>
      <c r="V71" s="61"/>
      <c r="W71" s="58"/>
      <c r="X71" s="58"/>
      <c r="Y71" s="98" t="str">
        <f t="shared" si="5"/>
        <v/>
      </c>
    </row>
    <row r="72" spans="1:25">
      <c r="A72" s="23"/>
      <c r="B72" s="58"/>
      <c r="C72" s="58"/>
      <c r="D72" s="59"/>
      <c r="E72" s="3"/>
      <c r="F72" s="56"/>
      <c r="G72" s="58"/>
      <c r="H72" s="3"/>
      <c r="I72" s="94"/>
      <c r="J72" s="109"/>
      <c r="K72" s="45"/>
      <c r="L72" s="60"/>
      <c r="M72" s="92" t="str">
        <f t="shared" ca="1" si="8"/>
        <v/>
      </c>
      <c r="N72" s="81"/>
      <c r="O72" s="3"/>
      <c r="P72" s="58"/>
      <c r="Q72" s="92" t="str">
        <f t="shared" si="7"/>
        <v/>
      </c>
      <c r="R72" s="98">
        <f>SUMIFS('Booking Management'!J:J,'Booking Management'!B:B,'Sales Orders'!A72)</f>
        <v>0</v>
      </c>
      <c r="S72" s="99" t="str">
        <f t="shared" si="6"/>
        <v/>
      </c>
      <c r="T72" s="61"/>
      <c r="U72" s="61" t="s">
        <v>29</v>
      </c>
      <c r="V72" s="61" t="s">
        <v>29</v>
      </c>
      <c r="W72" s="58"/>
      <c r="X72" s="58"/>
      <c r="Y72" s="98" t="str">
        <f t="shared" si="5"/>
        <v/>
      </c>
    </row>
    <row r="73" spans="1:25">
      <c r="A73" s="23"/>
      <c r="B73" s="58"/>
      <c r="C73" s="58"/>
      <c r="D73" s="59"/>
      <c r="E73" s="3"/>
      <c r="F73" s="56"/>
      <c r="G73" s="58"/>
      <c r="H73" s="3"/>
      <c r="I73" s="94"/>
      <c r="J73" s="109"/>
      <c r="K73" s="45"/>
      <c r="L73" s="60"/>
      <c r="M73" s="92" t="str">
        <f t="shared" ca="1" si="8"/>
        <v/>
      </c>
      <c r="N73" s="81"/>
      <c r="O73" s="3"/>
      <c r="P73" s="58"/>
      <c r="Q73" s="92" t="str">
        <f t="shared" si="7"/>
        <v/>
      </c>
      <c r="R73" s="98">
        <f>SUMIFS('Booking Management'!J:J,'Booking Management'!B:B,'Sales Orders'!A73)</f>
        <v>0</v>
      </c>
      <c r="S73" s="99" t="str">
        <f t="shared" si="6"/>
        <v/>
      </c>
      <c r="T73" s="61"/>
      <c r="U73" s="61" t="s">
        <v>29</v>
      </c>
      <c r="V73" s="61" t="s">
        <v>29</v>
      </c>
      <c r="W73" s="58"/>
      <c r="X73" s="58"/>
      <c r="Y73" s="98" t="str">
        <f t="shared" si="5"/>
        <v/>
      </c>
    </row>
    <row r="74" spans="1:25">
      <c r="A74" s="23"/>
      <c r="B74" s="58"/>
      <c r="C74" s="58"/>
      <c r="D74" s="59"/>
      <c r="E74" s="3"/>
      <c r="F74" s="56"/>
      <c r="G74" s="58"/>
      <c r="H74" s="3"/>
      <c r="I74" s="94"/>
      <c r="J74" s="109"/>
      <c r="K74" s="45"/>
      <c r="L74" s="60"/>
      <c r="M74" s="92" t="str">
        <f t="shared" ca="1" si="8"/>
        <v/>
      </c>
      <c r="N74" s="81"/>
      <c r="O74" s="3"/>
      <c r="P74" s="62"/>
      <c r="Q74" s="92" t="str">
        <f t="shared" si="7"/>
        <v/>
      </c>
      <c r="R74" s="98">
        <f>SUMIFS('Booking Management'!J:J,'Booking Management'!B:B,'Sales Orders'!A74)</f>
        <v>0</v>
      </c>
      <c r="S74" s="99" t="str">
        <f t="shared" si="6"/>
        <v/>
      </c>
      <c r="T74" s="61"/>
      <c r="U74" s="61" t="s">
        <v>29</v>
      </c>
      <c r="V74" s="61" t="s">
        <v>29</v>
      </c>
      <c r="W74" s="58"/>
      <c r="X74" s="58"/>
      <c r="Y74" s="98" t="str">
        <f t="shared" si="5"/>
        <v/>
      </c>
    </row>
    <row r="75" spans="1:25">
      <c r="A75" s="23"/>
      <c r="B75" s="58"/>
      <c r="C75" s="58"/>
      <c r="D75" s="59"/>
      <c r="E75" s="3"/>
      <c r="F75" s="56"/>
      <c r="G75" s="58"/>
      <c r="H75" s="3"/>
      <c r="I75" s="94"/>
      <c r="J75" s="109"/>
      <c r="K75" s="45"/>
      <c r="L75" s="60"/>
      <c r="M75" s="92" t="str">
        <f t="shared" ca="1" si="8"/>
        <v/>
      </c>
      <c r="N75" s="81"/>
      <c r="O75" s="3"/>
      <c r="P75" s="58"/>
      <c r="Q75" s="92" t="str">
        <f t="shared" si="7"/>
        <v/>
      </c>
      <c r="R75" s="98">
        <f>SUMIFS('Booking Management'!J:J,'Booking Management'!B:B,'Sales Orders'!A75)</f>
        <v>0</v>
      </c>
      <c r="S75" s="99" t="str">
        <f t="shared" si="6"/>
        <v/>
      </c>
      <c r="T75" s="61"/>
      <c r="U75" s="61" t="s">
        <v>29</v>
      </c>
      <c r="V75" s="61" t="s">
        <v>29</v>
      </c>
      <c r="W75" s="58"/>
      <c r="X75" s="58"/>
      <c r="Y75" s="98" t="str">
        <f t="shared" si="5"/>
        <v/>
      </c>
    </row>
    <row r="76" spans="1:25">
      <c r="A76" s="23"/>
      <c r="B76" s="58"/>
      <c r="C76" s="58"/>
      <c r="D76" s="59"/>
      <c r="E76" s="3"/>
      <c r="F76" s="56"/>
      <c r="G76" s="58"/>
      <c r="H76" s="3"/>
      <c r="I76" s="94"/>
      <c r="J76" s="109"/>
      <c r="K76" s="45"/>
      <c r="L76" s="60"/>
      <c r="M76" s="92" t="str">
        <f t="shared" ca="1" si="8"/>
        <v/>
      </c>
      <c r="N76" s="81"/>
      <c r="O76" s="3"/>
      <c r="P76" s="58"/>
      <c r="Q76" s="92" t="str">
        <f t="shared" si="7"/>
        <v/>
      </c>
      <c r="R76" s="98">
        <f>SUMIFS('Booking Management'!J:J,'Booking Management'!B:B,'Sales Orders'!A76)</f>
        <v>0</v>
      </c>
      <c r="S76" s="99" t="str">
        <f t="shared" si="6"/>
        <v/>
      </c>
      <c r="T76" s="61"/>
      <c r="U76" s="61" t="s">
        <v>29</v>
      </c>
      <c r="V76" s="61" t="s">
        <v>29</v>
      </c>
      <c r="W76" s="58"/>
      <c r="X76" s="58"/>
      <c r="Y76" s="98" t="str">
        <f t="shared" si="5"/>
        <v/>
      </c>
    </row>
    <row r="77" spans="1:25">
      <c r="A77" s="23"/>
      <c r="B77" s="58"/>
      <c r="C77" s="58"/>
      <c r="D77" s="59"/>
      <c r="E77" s="3"/>
      <c r="F77" s="56"/>
      <c r="G77" s="58"/>
      <c r="H77" s="3"/>
      <c r="I77" s="94"/>
      <c r="J77" s="109"/>
      <c r="K77" s="45"/>
      <c r="L77" s="60"/>
      <c r="M77" s="92" t="str">
        <f t="shared" ca="1" si="8"/>
        <v/>
      </c>
      <c r="N77" s="81"/>
      <c r="O77" s="3"/>
      <c r="P77" s="58"/>
      <c r="Q77" s="92" t="str">
        <f t="shared" si="7"/>
        <v/>
      </c>
      <c r="R77" s="98">
        <f>SUMIFS('Booking Management'!J:J,'Booking Management'!B:B,'Sales Orders'!A77)</f>
        <v>0</v>
      </c>
      <c r="S77" s="99" t="str">
        <f t="shared" si="6"/>
        <v/>
      </c>
      <c r="T77" s="61"/>
      <c r="U77" s="61" t="s">
        <v>29</v>
      </c>
      <c r="V77" s="61" t="s">
        <v>29</v>
      </c>
      <c r="W77" s="58"/>
      <c r="X77" s="58"/>
      <c r="Y77" s="98" t="str">
        <f t="shared" si="5"/>
        <v/>
      </c>
    </row>
    <row r="78" spans="1:25">
      <c r="A78" s="23"/>
      <c r="B78" s="58"/>
      <c r="C78" s="58"/>
      <c r="D78" s="59"/>
      <c r="E78" s="3"/>
      <c r="F78" s="56"/>
      <c r="G78" s="58"/>
      <c r="H78" s="3"/>
      <c r="I78" s="94"/>
      <c r="J78" s="109"/>
      <c r="K78" s="45"/>
      <c r="L78" s="60"/>
      <c r="M78" s="92" t="str">
        <f t="shared" ca="1" si="8"/>
        <v/>
      </c>
      <c r="N78" s="81"/>
      <c r="O78" s="3"/>
      <c r="P78" s="62"/>
      <c r="Q78" s="92" t="str">
        <f t="shared" si="7"/>
        <v/>
      </c>
      <c r="R78" s="98">
        <f>SUMIFS('Booking Management'!J:J,'Booking Management'!B:B,'Sales Orders'!A78)</f>
        <v>0</v>
      </c>
      <c r="S78" s="99" t="str">
        <f t="shared" si="6"/>
        <v/>
      </c>
      <c r="T78" s="61"/>
      <c r="U78" s="61" t="s">
        <v>29</v>
      </c>
      <c r="V78" s="61" t="s">
        <v>29</v>
      </c>
      <c r="W78" s="58"/>
      <c r="X78" s="58"/>
      <c r="Y78" s="98" t="str">
        <f t="shared" si="5"/>
        <v/>
      </c>
    </row>
    <row r="79" spans="1:25">
      <c r="A79" s="23"/>
      <c r="B79" s="58"/>
      <c r="C79" s="58"/>
      <c r="D79" s="59"/>
      <c r="E79" s="3"/>
      <c r="F79" s="56"/>
      <c r="G79" s="58"/>
      <c r="H79" s="3"/>
      <c r="I79" s="94"/>
      <c r="J79" s="109"/>
      <c r="K79" s="45"/>
      <c r="L79" s="60"/>
      <c r="M79" s="92" t="str">
        <f t="shared" ca="1" si="8"/>
        <v/>
      </c>
      <c r="N79" s="81"/>
      <c r="O79" s="3"/>
      <c r="P79" s="58"/>
      <c r="Q79" s="92" t="str">
        <f t="shared" si="7"/>
        <v/>
      </c>
      <c r="R79" s="98">
        <f>SUMIFS('Booking Management'!J:J,'Booking Management'!B:B,'Sales Orders'!A79)</f>
        <v>0</v>
      </c>
      <c r="S79" s="99" t="str">
        <f t="shared" si="6"/>
        <v/>
      </c>
      <c r="T79" s="61"/>
      <c r="U79" s="61" t="s">
        <v>29</v>
      </c>
      <c r="V79" s="61" t="s">
        <v>29</v>
      </c>
      <c r="W79" s="58"/>
      <c r="X79" s="58"/>
      <c r="Y79" s="98" t="str">
        <f t="shared" si="5"/>
        <v/>
      </c>
    </row>
    <row r="80" spans="1:25">
      <c r="A80" s="23"/>
      <c r="B80" s="58"/>
      <c r="C80" s="58"/>
      <c r="D80" s="59"/>
      <c r="E80" s="3"/>
      <c r="F80" s="56"/>
      <c r="G80" s="58"/>
      <c r="H80" s="3"/>
      <c r="I80" s="94"/>
      <c r="J80" s="109"/>
      <c r="K80" s="45"/>
      <c r="L80" s="60"/>
      <c r="M80" s="92" t="str">
        <f t="shared" ca="1" si="8"/>
        <v/>
      </c>
      <c r="N80" s="81"/>
      <c r="O80" s="3"/>
      <c r="P80" s="58"/>
      <c r="Q80" s="92" t="str">
        <f t="shared" si="7"/>
        <v/>
      </c>
      <c r="R80" s="98">
        <f>SUMIFS('Booking Management'!J:J,'Booking Management'!B:B,'Sales Orders'!A80)</f>
        <v>0</v>
      </c>
      <c r="S80" s="99" t="str">
        <f t="shared" si="6"/>
        <v/>
      </c>
      <c r="T80" s="61"/>
      <c r="U80" s="61" t="s">
        <v>29</v>
      </c>
      <c r="V80" s="61" t="s">
        <v>29</v>
      </c>
      <c r="W80" s="58"/>
      <c r="X80" s="58"/>
      <c r="Y80" s="98" t="str">
        <f t="shared" si="5"/>
        <v/>
      </c>
    </row>
    <row r="81" spans="1:25">
      <c r="A81" s="23"/>
      <c r="B81" s="58"/>
      <c r="C81" s="58"/>
      <c r="D81" s="59"/>
      <c r="E81" s="3"/>
      <c r="F81" s="56"/>
      <c r="G81" s="58"/>
      <c r="H81" s="3"/>
      <c r="I81" s="94"/>
      <c r="J81" s="109"/>
      <c r="K81" s="45"/>
      <c r="L81" s="60"/>
      <c r="M81" s="92" t="str">
        <f t="shared" ca="1" si="8"/>
        <v/>
      </c>
      <c r="N81" s="81"/>
      <c r="O81" s="3"/>
      <c r="P81" s="58"/>
      <c r="Q81" s="92" t="str">
        <f t="shared" si="7"/>
        <v/>
      </c>
      <c r="R81" s="98">
        <f>SUMIFS('Booking Management'!J:J,'Booking Management'!B:B,'Sales Orders'!A81)</f>
        <v>0</v>
      </c>
      <c r="S81" s="99" t="str">
        <f t="shared" si="6"/>
        <v/>
      </c>
      <c r="T81" s="61"/>
      <c r="U81" s="61" t="s">
        <v>29</v>
      </c>
      <c r="V81" s="61" t="s">
        <v>29</v>
      </c>
      <c r="W81" s="58"/>
      <c r="X81" s="58"/>
      <c r="Y81" s="98" t="str">
        <f t="shared" si="5"/>
        <v/>
      </c>
    </row>
    <row r="82" spans="1:25">
      <c r="A82" s="23"/>
      <c r="B82" s="58"/>
      <c r="C82" s="58"/>
      <c r="D82" s="59"/>
      <c r="E82" s="3"/>
      <c r="F82" s="56"/>
      <c r="G82" s="58"/>
      <c r="H82" s="3"/>
      <c r="I82" s="94"/>
      <c r="J82" s="109"/>
      <c r="K82" s="45"/>
      <c r="L82" s="60"/>
      <c r="M82" s="92" t="str">
        <f t="shared" ca="1" si="8"/>
        <v/>
      </c>
      <c r="N82" s="81"/>
      <c r="O82" s="3"/>
      <c r="P82" s="58"/>
      <c r="Q82" s="92" t="str">
        <f t="shared" si="7"/>
        <v/>
      </c>
      <c r="R82" s="98">
        <f>SUMIFS('Booking Management'!J:J,'Booking Management'!B:B,'Sales Orders'!A82)</f>
        <v>0</v>
      </c>
      <c r="S82" s="99" t="str">
        <f t="shared" si="6"/>
        <v/>
      </c>
      <c r="T82" s="61"/>
      <c r="U82" s="61" t="s">
        <v>29</v>
      </c>
      <c r="V82" s="61" t="s">
        <v>29</v>
      </c>
      <c r="W82" s="58"/>
      <c r="X82" s="58"/>
      <c r="Y82" s="98" t="str">
        <f t="shared" si="5"/>
        <v/>
      </c>
    </row>
    <row r="83" spans="1:25">
      <c r="A83" s="23"/>
      <c r="B83" s="58"/>
      <c r="C83" s="58"/>
      <c r="D83" s="59"/>
      <c r="E83" s="3"/>
      <c r="F83" s="56"/>
      <c r="G83" s="58"/>
      <c r="H83" s="3"/>
      <c r="I83" s="94"/>
      <c r="J83" s="109"/>
      <c r="K83" s="45"/>
      <c r="L83" s="60"/>
      <c r="M83" s="92" t="str">
        <f t="shared" ca="1" si="8"/>
        <v/>
      </c>
      <c r="N83" s="81"/>
      <c r="O83" s="3"/>
      <c r="P83" s="58"/>
      <c r="Q83" s="92" t="str">
        <f t="shared" si="7"/>
        <v/>
      </c>
      <c r="R83" s="98">
        <f>SUMIFS('Booking Management'!J:J,'Booking Management'!B:B,'Sales Orders'!A83)</f>
        <v>0</v>
      </c>
      <c r="S83" s="99" t="str">
        <f t="shared" si="6"/>
        <v/>
      </c>
      <c r="T83" s="61"/>
      <c r="U83" s="61" t="s">
        <v>29</v>
      </c>
      <c r="V83" s="61" t="s">
        <v>29</v>
      </c>
      <c r="W83" s="58"/>
      <c r="X83" s="58"/>
      <c r="Y83" s="98" t="str">
        <f t="shared" si="5"/>
        <v/>
      </c>
    </row>
    <row r="84" spans="1:25">
      <c r="A84" s="23"/>
      <c r="B84" s="58"/>
      <c r="C84" s="58"/>
      <c r="D84" s="59"/>
      <c r="E84" s="3"/>
      <c r="F84" s="56"/>
      <c r="G84" s="58"/>
      <c r="H84" s="3"/>
      <c r="I84" s="94"/>
      <c r="J84" s="109"/>
      <c r="K84" s="45"/>
      <c r="L84" s="60"/>
      <c r="M84" s="92" t="str">
        <f t="shared" ca="1" si="8"/>
        <v/>
      </c>
      <c r="N84" s="81"/>
      <c r="O84" s="3"/>
      <c r="P84" s="62"/>
      <c r="Q84" s="92" t="str">
        <f t="shared" si="7"/>
        <v/>
      </c>
      <c r="R84" s="98">
        <f>SUMIFS('Booking Management'!J:J,'Booking Management'!B:B,'Sales Orders'!A84)</f>
        <v>0</v>
      </c>
      <c r="S84" s="99" t="str">
        <f t="shared" si="6"/>
        <v/>
      </c>
      <c r="T84" s="61"/>
      <c r="U84" s="61" t="s">
        <v>29</v>
      </c>
      <c r="V84" s="61" t="s">
        <v>29</v>
      </c>
      <c r="W84" s="58"/>
      <c r="X84" s="58"/>
      <c r="Y84" s="98" t="str">
        <f t="shared" si="5"/>
        <v/>
      </c>
    </row>
    <row r="85" spans="1:25">
      <c r="A85" s="23"/>
      <c r="B85" s="58"/>
      <c r="C85" s="58"/>
      <c r="D85" s="59"/>
      <c r="E85" s="3"/>
      <c r="F85" s="56"/>
      <c r="G85" s="58"/>
      <c r="H85" s="3"/>
      <c r="I85" s="94"/>
      <c r="J85" s="109"/>
      <c r="K85" s="45"/>
      <c r="L85" s="60"/>
      <c r="M85" s="92" t="str">
        <f t="shared" ca="1" si="8"/>
        <v/>
      </c>
      <c r="N85" s="81"/>
      <c r="O85" s="3"/>
      <c r="P85" s="62"/>
      <c r="Q85" s="92" t="str">
        <f t="shared" si="7"/>
        <v/>
      </c>
      <c r="R85" s="98">
        <f>SUMIFS('Booking Management'!J:J,'Booking Management'!B:B,'Sales Orders'!A85)</f>
        <v>0</v>
      </c>
      <c r="S85" s="99" t="str">
        <f t="shared" si="6"/>
        <v/>
      </c>
      <c r="T85" s="61"/>
      <c r="U85" s="61" t="s">
        <v>29</v>
      </c>
      <c r="V85" s="61" t="s">
        <v>29</v>
      </c>
      <c r="W85" s="58"/>
      <c r="X85" s="58"/>
      <c r="Y85" s="98" t="str">
        <f t="shared" si="5"/>
        <v/>
      </c>
    </row>
    <row r="86" spans="1:25">
      <c r="A86" s="23"/>
      <c r="B86" s="58"/>
      <c r="C86" s="58"/>
      <c r="D86" s="59"/>
      <c r="E86" s="3"/>
      <c r="F86" s="56"/>
      <c r="G86" s="3"/>
      <c r="H86" s="3"/>
      <c r="I86" s="94"/>
      <c r="J86" s="109"/>
      <c r="K86" s="45"/>
      <c r="L86" s="60"/>
      <c r="M86" s="92" t="str">
        <f t="shared" ca="1" si="8"/>
        <v/>
      </c>
      <c r="N86" s="81"/>
      <c r="O86" s="3"/>
      <c r="P86" s="58"/>
      <c r="Q86" s="92" t="str">
        <f t="shared" si="7"/>
        <v/>
      </c>
      <c r="R86" s="98">
        <f>SUMIFS('Booking Management'!J:J,'Booking Management'!B:B,'Sales Orders'!A86)</f>
        <v>0</v>
      </c>
      <c r="S86" s="99" t="str">
        <f t="shared" si="6"/>
        <v/>
      </c>
      <c r="T86" s="61"/>
      <c r="U86" s="61" t="s">
        <v>29</v>
      </c>
      <c r="V86" s="61" t="s">
        <v>29</v>
      </c>
      <c r="W86" s="58"/>
      <c r="X86" s="58"/>
      <c r="Y86" s="98" t="str">
        <f t="shared" si="5"/>
        <v/>
      </c>
    </row>
    <row r="87" spans="1:25">
      <c r="A87" s="23"/>
      <c r="B87" s="58"/>
      <c r="C87" s="58"/>
      <c r="D87" s="59"/>
      <c r="E87" s="3"/>
      <c r="F87" s="56"/>
      <c r="G87" s="3"/>
      <c r="H87" s="3"/>
      <c r="I87" s="94"/>
      <c r="J87" s="109"/>
      <c r="K87" s="45"/>
      <c r="L87" s="60"/>
      <c r="M87" s="92" t="str">
        <f t="shared" ca="1" si="8"/>
        <v/>
      </c>
      <c r="N87" s="81"/>
      <c r="O87" s="3"/>
      <c r="P87" s="58"/>
      <c r="Q87" s="92" t="str">
        <f t="shared" si="7"/>
        <v/>
      </c>
      <c r="R87" s="98">
        <f>SUMIFS('Booking Management'!J:J,'Booking Management'!B:B,'Sales Orders'!A87)</f>
        <v>0</v>
      </c>
      <c r="S87" s="99" t="str">
        <f t="shared" si="6"/>
        <v/>
      </c>
      <c r="T87" s="61"/>
      <c r="U87" s="61" t="s">
        <v>29</v>
      </c>
      <c r="V87" s="61" t="s">
        <v>29</v>
      </c>
      <c r="W87" s="58"/>
      <c r="X87" s="58"/>
      <c r="Y87" s="98" t="str">
        <f t="shared" si="5"/>
        <v/>
      </c>
    </row>
    <row r="88" spans="1:25">
      <c r="A88" s="23"/>
      <c r="B88" s="58"/>
      <c r="C88" s="58"/>
      <c r="D88" s="59"/>
      <c r="E88" s="3"/>
      <c r="F88" s="56"/>
      <c r="G88" s="3"/>
      <c r="H88" s="3"/>
      <c r="I88" s="94"/>
      <c r="J88" s="109"/>
      <c r="K88" s="45"/>
      <c r="L88" s="60"/>
      <c r="M88" s="92" t="str">
        <f t="shared" ca="1" si="8"/>
        <v/>
      </c>
      <c r="N88" s="81"/>
      <c r="O88" s="3"/>
      <c r="P88" s="58"/>
      <c r="Q88" s="92" t="str">
        <f t="shared" si="7"/>
        <v/>
      </c>
      <c r="R88" s="98">
        <f>SUMIFS('Booking Management'!J:J,'Booking Management'!B:B,'Sales Orders'!A88)</f>
        <v>0</v>
      </c>
      <c r="S88" s="99" t="str">
        <f t="shared" si="6"/>
        <v/>
      </c>
      <c r="T88" s="61"/>
      <c r="U88" s="61" t="s">
        <v>29</v>
      </c>
      <c r="V88" s="61" t="s">
        <v>29</v>
      </c>
      <c r="W88" s="58"/>
      <c r="X88" s="58"/>
      <c r="Y88" s="98" t="str">
        <f t="shared" si="5"/>
        <v/>
      </c>
    </row>
    <row r="89" spans="1:25">
      <c r="A89" s="23"/>
      <c r="B89" s="58"/>
      <c r="C89" s="58"/>
      <c r="D89" s="59"/>
      <c r="E89" s="3"/>
      <c r="F89" s="56"/>
      <c r="G89" s="3"/>
      <c r="H89" s="3"/>
      <c r="I89" s="94"/>
      <c r="J89" s="109"/>
      <c r="K89" s="45"/>
      <c r="L89" s="60"/>
      <c r="M89" s="92" t="str">
        <f t="shared" ca="1" si="8"/>
        <v/>
      </c>
      <c r="N89" s="81"/>
      <c r="O89" s="3"/>
      <c r="P89" s="58"/>
      <c r="Q89" s="92" t="str">
        <f t="shared" si="7"/>
        <v/>
      </c>
      <c r="R89" s="98">
        <f>SUMIFS('Booking Management'!J:J,'Booking Management'!B:B,'Sales Orders'!A89)</f>
        <v>0</v>
      </c>
      <c r="S89" s="99" t="str">
        <f t="shared" si="6"/>
        <v/>
      </c>
      <c r="T89" s="61"/>
      <c r="U89" s="61" t="s">
        <v>29</v>
      </c>
      <c r="V89" s="61" t="s">
        <v>29</v>
      </c>
      <c r="W89" s="58"/>
      <c r="X89" s="58"/>
      <c r="Y89" s="98" t="str">
        <f t="shared" si="5"/>
        <v/>
      </c>
    </row>
    <row r="90" spans="1:25">
      <c r="A90" s="23"/>
      <c r="B90" s="58"/>
      <c r="C90" s="58"/>
      <c r="D90" s="59"/>
      <c r="E90" s="3"/>
      <c r="F90" s="56"/>
      <c r="G90" s="3"/>
      <c r="H90" s="3"/>
      <c r="I90" s="94"/>
      <c r="J90" s="109"/>
      <c r="K90" s="45"/>
      <c r="L90" s="60"/>
      <c r="M90" s="92" t="str">
        <f t="shared" ca="1" si="8"/>
        <v/>
      </c>
      <c r="N90" s="81"/>
      <c r="O90" s="3"/>
      <c r="P90" s="58"/>
      <c r="Q90" s="92" t="str">
        <f t="shared" si="7"/>
        <v/>
      </c>
      <c r="R90" s="98">
        <f>SUMIFS('Booking Management'!J:J,'Booking Management'!B:B,'Sales Orders'!A90)</f>
        <v>0</v>
      </c>
      <c r="S90" s="99" t="str">
        <f t="shared" si="6"/>
        <v/>
      </c>
      <c r="T90" s="61"/>
      <c r="U90" s="61" t="s">
        <v>29</v>
      </c>
      <c r="V90" s="61" t="s">
        <v>29</v>
      </c>
      <c r="W90" s="58"/>
      <c r="X90" s="58"/>
      <c r="Y90" s="98" t="str">
        <f t="shared" si="5"/>
        <v/>
      </c>
    </row>
    <row r="91" spans="1:25">
      <c r="A91" s="23"/>
      <c r="B91" s="58"/>
      <c r="C91" s="58"/>
      <c r="D91" s="59"/>
      <c r="E91" s="3"/>
      <c r="F91" s="56"/>
      <c r="G91" s="58"/>
      <c r="H91" s="3"/>
      <c r="I91" s="94"/>
      <c r="J91" s="109"/>
      <c r="K91" s="45"/>
      <c r="L91" s="60"/>
      <c r="M91" s="92" t="str">
        <f t="shared" ca="1" si="8"/>
        <v/>
      </c>
      <c r="N91" s="81"/>
      <c r="O91" s="3"/>
      <c r="P91" s="62"/>
      <c r="Q91" s="92" t="str">
        <f t="shared" si="7"/>
        <v/>
      </c>
      <c r="R91" s="98">
        <f>SUMIFS('Booking Management'!J:J,'Booking Management'!B:B,'Sales Orders'!A91)</f>
        <v>0</v>
      </c>
      <c r="S91" s="99" t="str">
        <f t="shared" si="6"/>
        <v/>
      </c>
      <c r="T91" s="61"/>
      <c r="U91" s="61" t="s">
        <v>29</v>
      </c>
      <c r="V91" s="61" t="s">
        <v>29</v>
      </c>
      <c r="W91" s="58"/>
      <c r="X91" s="58"/>
      <c r="Y91" s="98" t="str">
        <f t="shared" si="5"/>
        <v/>
      </c>
    </row>
    <row r="92" spans="1:25">
      <c r="A92" s="23"/>
      <c r="B92" s="58"/>
      <c r="C92" s="58"/>
      <c r="D92" s="59"/>
      <c r="E92" s="3"/>
      <c r="F92" s="56"/>
      <c r="G92" s="58"/>
      <c r="H92" s="3"/>
      <c r="I92" s="94"/>
      <c r="J92" s="109"/>
      <c r="K92" s="45"/>
      <c r="L92" s="60"/>
      <c r="M92" s="92" t="str">
        <f t="shared" ca="1" si="8"/>
        <v/>
      </c>
      <c r="N92" s="81"/>
      <c r="O92" s="3"/>
      <c r="P92" s="58"/>
      <c r="Q92" s="92" t="str">
        <f t="shared" si="7"/>
        <v/>
      </c>
      <c r="R92" s="98">
        <f>SUMIFS('Booking Management'!J:J,'Booking Management'!B:B,'Sales Orders'!A92)</f>
        <v>0</v>
      </c>
      <c r="S92" s="99" t="str">
        <f t="shared" si="6"/>
        <v/>
      </c>
      <c r="T92" s="61"/>
      <c r="U92" s="61" t="s">
        <v>29</v>
      </c>
      <c r="V92" s="61" t="s">
        <v>29</v>
      </c>
      <c r="W92" s="58"/>
      <c r="X92" s="58"/>
      <c r="Y92" s="98" t="str">
        <f t="shared" si="5"/>
        <v/>
      </c>
    </row>
    <row r="93" spans="1:25">
      <c r="A93" s="23"/>
      <c r="B93" s="58"/>
      <c r="C93" s="58"/>
      <c r="D93" s="59"/>
      <c r="E93" s="3"/>
      <c r="F93" s="56"/>
      <c r="G93" s="3"/>
      <c r="H93" s="3"/>
      <c r="I93" s="94"/>
      <c r="J93" s="109"/>
      <c r="K93" s="45"/>
      <c r="L93" s="60"/>
      <c r="M93" s="92" t="str">
        <f t="shared" ca="1" si="8"/>
        <v/>
      </c>
      <c r="N93" s="81"/>
      <c r="O93" s="3"/>
      <c r="P93" s="58"/>
      <c r="Q93" s="92" t="str">
        <f t="shared" si="7"/>
        <v/>
      </c>
      <c r="R93" s="98">
        <f>SUMIFS('Booking Management'!J:J,'Booking Management'!B:B,'Sales Orders'!A93)</f>
        <v>0</v>
      </c>
      <c r="S93" s="99" t="str">
        <f t="shared" si="6"/>
        <v/>
      </c>
      <c r="T93" s="61"/>
      <c r="U93" s="61" t="s">
        <v>29</v>
      </c>
      <c r="V93" s="61" t="s">
        <v>29</v>
      </c>
      <c r="W93" s="58"/>
      <c r="X93" s="58"/>
      <c r="Y93" s="98" t="str">
        <f t="shared" si="5"/>
        <v/>
      </c>
    </row>
    <row r="94" spans="1:25">
      <c r="A94" s="23"/>
      <c r="B94" s="58"/>
      <c r="C94" s="58"/>
      <c r="D94" s="59"/>
      <c r="E94" s="3"/>
      <c r="F94" s="56"/>
      <c r="G94" s="3"/>
      <c r="H94" s="3"/>
      <c r="I94" s="94"/>
      <c r="J94" s="109"/>
      <c r="K94" s="45"/>
      <c r="L94" s="60"/>
      <c r="M94" s="92" t="str">
        <f t="shared" ca="1" si="8"/>
        <v/>
      </c>
      <c r="N94" s="81"/>
      <c r="O94" s="3"/>
      <c r="P94" s="58"/>
      <c r="Q94" s="92" t="str">
        <f t="shared" si="7"/>
        <v/>
      </c>
      <c r="R94" s="98">
        <f>SUMIFS('Booking Management'!J:J,'Booking Management'!B:B,'Sales Orders'!A94)</f>
        <v>0</v>
      </c>
      <c r="S94" s="99" t="str">
        <f t="shared" si="6"/>
        <v/>
      </c>
      <c r="T94" s="61"/>
      <c r="U94" s="61" t="s">
        <v>29</v>
      </c>
      <c r="V94" s="61" t="s">
        <v>29</v>
      </c>
      <c r="W94" s="58"/>
      <c r="X94" s="58"/>
      <c r="Y94" s="98" t="str">
        <f t="shared" si="5"/>
        <v/>
      </c>
    </row>
    <row r="95" spans="1:25">
      <c r="A95" s="23"/>
      <c r="B95" s="58"/>
      <c r="C95" s="58"/>
      <c r="D95" s="59"/>
      <c r="E95" s="3"/>
      <c r="F95" s="56"/>
      <c r="G95" s="3"/>
      <c r="H95" s="3"/>
      <c r="I95" s="94"/>
      <c r="J95" s="109"/>
      <c r="K95" s="45"/>
      <c r="L95" s="60"/>
      <c r="M95" s="92" t="str">
        <f t="shared" ca="1" si="8"/>
        <v/>
      </c>
      <c r="N95" s="81"/>
      <c r="O95" s="3"/>
      <c r="P95" s="58"/>
      <c r="Q95" s="92" t="str">
        <f t="shared" si="7"/>
        <v/>
      </c>
      <c r="R95" s="98">
        <f>SUMIFS('Booking Management'!J:J,'Booking Management'!B:B,'Sales Orders'!A95)</f>
        <v>0</v>
      </c>
      <c r="S95" s="99" t="str">
        <f t="shared" si="6"/>
        <v/>
      </c>
      <c r="T95" s="61"/>
      <c r="U95" s="61" t="s">
        <v>29</v>
      </c>
      <c r="V95" s="61" t="s">
        <v>29</v>
      </c>
      <c r="W95" s="58"/>
      <c r="X95" s="58"/>
      <c r="Y95" s="98" t="str">
        <f t="shared" si="5"/>
        <v/>
      </c>
    </row>
    <row r="96" spans="1:25">
      <c r="A96" s="23"/>
      <c r="B96" s="58"/>
      <c r="C96" s="58"/>
      <c r="D96" s="59"/>
      <c r="E96" s="3"/>
      <c r="F96" s="56"/>
      <c r="G96" s="58"/>
      <c r="H96" s="3"/>
      <c r="I96" s="94"/>
      <c r="J96" s="109"/>
      <c r="K96" s="45"/>
      <c r="L96" s="60"/>
      <c r="M96" s="92" t="str">
        <f t="shared" ca="1" si="8"/>
        <v/>
      </c>
      <c r="N96" s="81"/>
      <c r="O96" s="3"/>
      <c r="P96" s="62"/>
      <c r="Q96" s="92" t="str">
        <f t="shared" si="7"/>
        <v/>
      </c>
      <c r="R96" s="98">
        <f>SUMIFS('Booking Management'!J:J,'Booking Management'!B:B,'Sales Orders'!A96)</f>
        <v>0</v>
      </c>
      <c r="S96" s="99" t="str">
        <f t="shared" si="6"/>
        <v/>
      </c>
      <c r="T96" s="61"/>
      <c r="U96" s="61" t="s">
        <v>29</v>
      </c>
      <c r="V96" s="61" t="s">
        <v>29</v>
      </c>
      <c r="W96" s="58"/>
      <c r="X96" s="58"/>
      <c r="Y96" s="98" t="str">
        <f t="shared" si="5"/>
        <v/>
      </c>
    </row>
    <row r="97" spans="1:25">
      <c r="A97" s="23"/>
      <c r="B97" s="58"/>
      <c r="C97" s="58"/>
      <c r="D97" s="59"/>
      <c r="E97" s="3"/>
      <c r="F97" s="56"/>
      <c r="G97" s="58"/>
      <c r="H97" s="3"/>
      <c r="I97" s="94"/>
      <c r="J97" s="109"/>
      <c r="K97" s="45"/>
      <c r="L97" s="60"/>
      <c r="M97" s="92" t="str">
        <f t="shared" ca="1" si="8"/>
        <v/>
      </c>
      <c r="N97" s="81"/>
      <c r="O97" s="3"/>
      <c r="P97" s="62"/>
      <c r="Q97" s="92" t="str">
        <f t="shared" si="7"/>
        <v/>
      </c>
      <c r="R97" s="98">
        <f>SUMIFS('Booking Management'!J:J,'Booking Management'!B:B,'Sales Orders'!A97)</f>
        <v>0</v>
      </c>
      <c r="S97" s="99" t="str">
        <f t="shared" si="6"/>
        <v/>
      </c>
      <c r="T97" s="61"/>
      <c r="U97" s="61" t="s">
        <v>29</v>
      </c>
      <c r="V97" s="61" t="s">
        <v>29</v>
      </c>
      <c r="W97" s="58"/>
      <c r="X97" s="58"/>
      <c r="Y97" s="98" t="str">
        <f t="shared" si="5"/>
        <v/>
      </c>
    </row>
    <row r="98" spans="1:25">
      <c r="A98" s="23"/>
      <c r="B98" s="58"/>
      <c r="C98" s="58"/>
      <c r="D98" s="59"/>
      <c r="E98" s="3"/>
      <c r="F98" s="56"/>
      <c r="G98" s="58"/>
      <c r="H98" s="3"/>
      <c r="I98" s="94"/>
      <c r="J98" s="109"/>
      <c r="K98" s="45"/>
      <c r="L98" s="60"/>
      <c r="M98" s="92" t="str">
        <f t="shared" ca="1" si="8"/>
        <v/>
      </c>
      <c r="N98" s="81"/>
      <c r="O98" s="3"/>
      <c r="P98" s="62"/>
      <c r="Q98" s="92" t="str">
        <f t="shared" si="7"/>
        <v/>
      </c>
      <c r="R98" s="98">
        <f>SUMIFS('Booking Management'!J:J,'Booking Management'!B:B,'Sales Orders'!A98)</f>
        <v>0</v>
      </c>
      <c r="S98" s="99" t="str">
        <f t="shared" si="6"/>
        <v/>
      </c>
      <c r="T98" s="61"/>
      <c r="U98" s="61" t="s">
        <v>29</v>
      </c>
      <c r="V98" s="61" t="s">
        <v>29</v>
      </c>
      <c r="W98" s="58"/>
      <c r="X98" s="58"/>
      <c r="Y98" s="98" t="str">
        <f t="shared" si="5"/>
        <v/>
      </c>
    </row>
    <row r="99" spans="1:25">
      <c r="A99" s="23"/>
      <c r="B99" s="58"/>
      <c r="C99" s="58"/>
      <c r="D99" s="59"/>
      <c r="E99" s="3"/>
      <c r="F99" s="56"/>
      <c r="G99" s="3"/>
      <c r="H99" s="3"/>
      <c r="I99" s="94"/>
      <c r="J99" s="109"/>
      <c r="K99" s="45"/>
      <c r="L99" s="60"/>
      <c r="M99" s="92" t="str">
        <f t="shared" ca="1" si="8"/>
        <v/>
      </c>
      <c r="N99" s="81"/>
      <c r="O99" s="3"/>
      <c r="P99" s="58"/>
      <c r="Q99" s="92" t="str">
        <f t="shared" si="7"/>
        <v/>
      </c>
      <c r="R99" s="98">
        <f>SUMIFS('Booking Management'!J:J,'Booking Management'!B:B,'Sales Orders'!A99)</f>
        <v>0</v>
      </c>
      <c r="S99" s="99" t="str">
        <f t="shared" si="6"/>
        <v/>
      </c>
      <c r="T99" s="61"/>
      <c r="U99" s="61" t="s">
        <v>29</v>
      </c>
      <c r="V99" s="61" t="s">
        <v>29</v>
      </c>
      <c r="W99" s="58"/>
      <c r="X99" s="58"/>
      <c r="Y99" s="98" t="str">
        <f t="shared" si="5"/>
        <v/>
      </c>
    </row>
    <row r="100" spans="1:25">
      <c r="A100" s="23"/>
      <c r="B100" s="58"/>
      <c r="C100" s="58"/>
      <c r="D100" s="59"/>
      <c r="E100" s="3"/>
      <c r="F100" s="56"/>
      <c r="G100" s="3"/>
      <c r="H100" s="3"/>
      <c r="I100" s="94"/>
      <c r="J100" s="109"/>
      <c r="K100" s="45"/>
      <c r="L100" s="60"/>
      <c r="M100" s="92" t="str">
        <f t="shared" ca="1" si="8"/>
        <v/>
      </c>
      <c r="N100" s="81"/>
      <c r="O100" s="3"/>
      <c r="P100" s="58"/>
      <c r="Q100" s="92" t="str">
        <f t="shared" si="7"/>
        <v/>
      </c>
      <c r="R100" s="98">
        <f>SUMIFS('Booking Management'!J:J,'Booking Management'!B:B,'Sales Orders'!A100)</f>
        <v>0</v>
      </c>
      <c r="S100" s="99" t="str">
        <f t="shared" si="6"/>
        <v/>
      </c>
      <c r="T100" s="61"/>
      <c r="U100" s="61" t="s">
        <v>29</v>
      </c>
      <c r="V100" s="61" t="s">
        <v>29</v>
      </c>
      <c r="W100" s="58"/>
      <c r="X100" s="58"/>
      <c r="Y100" s="98" t="str">
        <f t="shared" si="5"/>
        <v/>
      </c>
    </row>
    <row r="101" spans="1:25">
      <c r="A101" s="23"/>
      <c r="B101" s="58"/>
      <c r="C101" s="58"/>
      <c r="D101" s="59"/>
      <c r="E101" s="3"/>
      <c r="F101" s="56"/>
      <c r="G101" s="58"/>
      <c r="H101" s="3"/>
      <c r="I101" s="94"/>
      <c r="J101" s="109"/>
      <c r="K101" s="45"/>
      <c r="L101" s="60"/>
      <c r="M101" s="92" t="str">
        <f t="shared" ca="1" si="8"/>
        <v/>
      </c>
      <c r="N101" s="81"/>
      <c r="O101" s="3"/>
      <c r="P101" s="58"/>
      <c r="Q101" s="92" t="str">
        <f t="shared" si="7"/>
        <v/>
      </c>
      <c r="R101" s="98">
        <f>SUMIFS('Booking Management'!J:J,'Booking Management'!B:B,'Sales Orders'!A101)</f>
        <v>0</v>
      </c>
      <c r="S101" s="99" t="str">
        <f t="shared" si="6"/>
        <v/>
      </c>
      <c r="T101" s="61"/>
      <c r="U101" s="61" t="s">
        <v>29</v>
      </c>
      <c r="V101" s="61" t="s">
        <v>29</v>
      </c>
      <c r="W101" s="58"/>
      <c r="X101" s="58"/>
      <c r="Y101" s="98" t="str">
        <f t="shared" si="5"/>
        <v/>
      </c>
    </row>
    <row r="102" spans="1:25">
      <c r="A102" s="23"/>
      <c r="B102" s="58"/>
      <c r="C102" s="58"/>
      <c r="D102" s="59"/>
      <c r="E102" s="3"/>
      <c r="F102" s="56"/>
      <c r="G102" s="58"/>
      <c r="H102" s="3"/>
      <c r="I102" s="94"/>
      <c r="J102" s="109"/>
      <c r="K102" s="45"/>
      <c r="L102" s="60"/>
      <c r="M102" s="92" t="str">
        <f t="shared" ca="1" si="8"/>
        <v/>
      </c>
      <c r="N102" s="81"/>
      <c r="O102" s="3"/>
      <c r="P102" s="62"/>
      <c r="Q102" s="92" t="str">
        <f t="shared" si="7"/>
        <v/>
      </c>
      <c r="R102" s="98">
        <f>SUMIFS('Booking Management'!J:J,'Booking Management'!B:B,'Sales Orders'!A102)</f>
        <v>0</v>
      </c>
      <c r="S102" s="99" t="str">
        <f t="shared" si="6"/>
        <v/>
      </c>
      <c r="T102" s="61"/>
      <c r="U102" s="61" t="s">
        <v>29</v>
      </c>
      <c r="V102" s="61" t="s">
        <v>29</v>
      </c>
      <c r="W102" s="58"/>
      <c r="X102" s="58"/>
      <c r="Y102" s="98" t="str">
        <f t="shared" si="5"/>
        <v/>
      </c>
    </row>
    <row r="103" spans="1:25">
      <c r="A103" s="23"/>
      <c r="B103" s="58"/>
      <c r="C103" s="58"/>
      <c r="D103" s="59"/>
      <c r="E103" s="3"/>
      <c r="F103" s="56"/>
      <c r="G103" s="58"/>
      <c r="H103" s="3"/>
      <c r="I103" s="94"/>
      <c r="J103" s="109"/>
      <c r="K103" s="45"/>
      <c r="L103" s="60"/>
      <c r="M103" s="92" t="str">
        <f t="shared" ca="1" si="8"/>
        <v/>
      </c>
      <c r="N103" s="81"/>
      <c r="O103" s="3"/>
      <c r="P103" s="62"/>
      <c r="Q103" s="92" t="str">
        <f t="shared" si="7"/>
        <v/>
      </c>
      <c r="R103" s="98">
        <f>SUMIFS('Booking Management'!J:J,'Booking Management'!B:B,'Sales Orders'!A103)</f>
        <v>0</v>
      </c>
      <c r="S103" s="99" t="str">
        <f t="shared" si="6"/>
        <v/>
      </c>
      <c r="T103" s="61"/>
      <c r="U103" s="61" t="s">
        <v>29</v>
      </c>
      <c r="V103" s="61" t="s">
        <v>29</v>
      </c>
      <c r="W103" s="58"/>
      <c r="X103" s="58"/>
      <c r="Y103" s="98" t="str">
        <f t="shared" si="5"/>
        <v/>
      </c>
    </row>
    <row r="104" spans="1:25">
      <c r="A104" s="23"/>
      <c r="B104" s="58"/>
      <c r="C104" s="58"/>
      <c r="D104" s="59"/>
      <c r="E104" s="3"/>
      <c r="F104" s="56"/>
      <c r="G104" s="58"/>
      <c r="H104" s="3"/>
      <c r="I104" s="94"/>
      <c r="J104" s="109"/>
      <c r="K104" s="45"/>
      <c r="L104" s="60"/>
      <c r="M104" s="92" t="str">
        <f t="shared" ca="1" si="8"/>
        <v/>
      </c>
      <c r="N104" s="81"/>
      <c r="O104" s="3"/>
      <c r="P104" s="58"/>
      <c r="Q104" s="92" t="str">
        <f t="shared" si="7"/>
        <v/>
      </c>
      <c r="R104" s="98">
        <f>SUMIFS('Booking Management'!J:J,'Booking Management'!B:B,'Sales Orders'!A104)</f>
        <v>0</v>
      </c>
      <c r="S104" s="99" t="str">
        <f t="shared" si="6"/>
        <v/>
      </c>
      <c r="T104" s="61"/>
      <c r="U104" s="61" t="s">
        <v>29</v>
      </c>
      <c r="V104" s="61" t="s">
        <v>29</v>
      </c>
      <c r="W104" s="58"/>
      <c r="X104" s="58"/>
      <c r="Y104" s="98" t="str">
        <f t="shared" si="5"/>
        <v/>
      </c>
    </row>
    <row r="105" spans="1:25">
      <c r="A105" s="23"/>
      <c r="B105" s="58"/>
      <c r="C105" s="58"/>
      <c r="D105" s="59"/>
      <c r="E105" s="3"/>
      <c r="F105" s="56"/>
      <c r="G105" s="58"/>
      <c r="H105" s="3"/>
      <c r="I105" s="94"/>
      <c r="J105" s="109"/>
      <c r="K105" s="45"/>
      <c r="L105" s="60"/>
      <c r="M105" s="92" t="str">
        <f t="shared" ca="1" si="8"/>
        <v/>
      </c>
      <c r="N105" s="81"/>
      <c r="O105" s="3"/>
      <c r="P105" s="58"/>
      <c r="Q105" s="92" t="str">
        <f t="shared" si="7"/>
        <v/>
      </c>
      <c r="R105" s="98">
        <f>SUMIFS('Booking Management'!J:J,'Booking Management'!B:B,'Sales Orders'!A105)</f>
        <v>0</v>
      </c>
      <c r="S105" s="99" t="str">
        <f t="shared" si="6"/>
        <v/>
      </c>
      <c r="T105" s="61"/>
      <c r="U105" s="61" t="s">
        <v>29</v>
      </c>
      <c r="V105" s="61" t="s">
        <v>29</v>
      </c>
      <c r="W105" s="58"/>
      <c r="X105" s="58"/>
      <c r="Y105" s="98" t="str">
        <f t="shared" si="5"/>
        <v/>
      </c>
    </row>
    <row r="106" spans="1:25">
      <c r="A106" s="23"/>
      <c r="B106" s="58"/>
      <c r="C106" s="58"/>
      <c r="D106" s="59"/>
      <c r="E106" s="3"/>
      <c r="F106" s="56"/>
      <c r="G106" s="58"/>
      <c r="H106" s="3"/>
      <c r="I106" s="94"/>
      <c r="J106" s="109"/>
      <c r="K106" s="45"/>
      <c r="L106" s="60"/>
      <c r="M106" s="92" t="str">
        <f t="shared" ca="1" si="8"/>
        <v/>
      </c>
      <c r="N106" s="81"/>
      <c r="O106" s="3"/>
      <c r="P106" s="62"/>
      <c r="Q106" s="92" t="str">
        <f t="shared" si="7"/>
        <v/>
      </c>
      <c r="R106" s="98">
        <f>SUMIFS('Booking Management'!J:J,'Booking Management'!B:B,'Sales Orders'!A106)</f>
        <v>0</v>
      </c>
      <c r="S106" s="99" t="str">
        <f t="shared" si="6"/>
        <v/>
      </c>
      <c r="T106" s="61"/>
      <c r="U106" s="61" t="s">
        <v>29</v>
      </c>
      <c r="V106" s="61" t="s">
        <v>29</v>
      </c>
      <c r="W106" s="58"/>
      <c r="X106" s="58"/>
      <c r="Y106" s="98" t="str">
        <f t="shared" ref="Y106:Y169" si="9">IF(D106&lt;&gt;"",D106-J106,"")</f>
        <v/>
      </c>
    </row>
    <row r="107" spans="1:25">
      <c r="A107" s="23"/>
      <c r="B107" s="58"/>
      <c r="C107" s="58"/>
      <c r="D107" s="59"/>
      <c r="E107" s="3"/>
      <c r="F107" s="56"/>
      <c r="G107" s="58"/>
      <c r="H107" s="3"/>
      <c r="I107" s="94"/>
      <c r="J107" s="109"/>
      <c r="K107" s="45"/>
      <c r="L107" s="60"/>
      <c r="M107" s="92" t="str">
        <f t="shared" ca="1" si="8"/>
        <v/>
      </c>
      <c r="N107" s="81"/>
      <c r="O107" s="3"/>
      <c r="P107" s="62"/>
      <c r="Q107" s="92" t="str">
        <f t="shared" si="7"/>
        <v/>
      </c>
      <c r="R107" s="98">
        <f>SUMIFS('Booking Management'!J:J,'Booking Management'!B:B,'Sales Orders'!A107)</f>
        <v>0</v>
      </c>
      <c r="S107" s="99" t="str">
        <f t="shared" si="6"/>
        <v/>
      </c>
      <c r="T107" s="61"/>
      <c r="U107" s="61" t="s">
        <v>29</v>
      </c>
      <c r="V107" s="61" t="s">
        <v>29</v>
      </c>
      <c r="W107" s="58"/>
      <c r="X107" s="58"/>
      <c r="Y107" s="98" t="str">
        <f t="shared" si="9"/>
        <v/>
      </c>
    </row>
    <row r="108" spans="1:25">
      <c r="A108" s="23"/>
      <c r="B108" s="58"/>
      <c r="C108" s="58"/>
      <c r="D108" s="59"/>
      <c r="E108" s="3"/>
      <c r="F108" s="56"/>
      <c r="G108" s="3"/>
      <c r="H108" s="3"/>
      <c r="I108" s="94"/>
      <c r="J108" s="109"/>
      <c r="K108" s="45"/>
      <c r="L108" s="60"/>
      <c r="M108" s="92" t="str">
        <f t="shared" ca="1" si="8"/>
        <v/>
      </c>
      <c r="N108" s="81"/>
      <c r="O108" s="3"/>
      <c r="P108" s="58"/>
      <c r="Q108" s="92" t="str">
        <f t="shared" si="7"/>
        <v/>
      </c>
      <c r="R108" s="98">
        <f>SUMIFS('Booking Management'!J:J,'Booking Management'!B:B,'Sales Orders'!A108)</f>
        <v>0</v>
      </c>
      <c r="S108" s="99" t="str">
        <f t="shared" si="6"/>
        <v/>
      </c>
      <c r="T108" s="61"/>
      <c r="U108" s="61" t="s">
        <v>29</v>
      </c>
      <c r="V108" s="61" t="s">
        <v>29</v>
      </c>
      <c r="W108" s="58"/>
      <c r="X108" s="58"/>
      <c r="Y108" s="98" t="str">
        <f t="shared" si="9"/>
        <v/>
      </c>
    </row>
    <row r="109" spans="1:25">
      <c r="A109" s="23"/>
      <c r="B109" s="58"/>
      <c r="C109" s="58"/>
      <c r="D109" s="59"/>
      <c r="E109" s="3"/>
      <c r="F109" s="56"/>
      <c r="G109" s="3"/>
      <c r="H109" s="3"/>
      <c r="J109" s="109"/>
      <c r="K109" s="45"/>
      <c r="L109" s="60"/>
      <c r="M109" s="92" t="str">
        <f t="shared" ca="1" si="8"/>
        <v/>
      </c>
      <c r="N109" s="81"/>
      <c r="O109" s="3"/>
      <c r="P109" s="58"/>
      <c r="Q109" s="92" t="str">
        <f t="shared" si="7"/>
        <v/>
      </c>
      <c r="R109" s="98">
        <f>SUMIFS('Booking Management'!J:J,'Booking Management'!B:B,'Sales Orders'!A109)</f>
        <v>0</v>
      </c>
      <c r="S109" s="99" t="str">
        <f t="shared" si="6"/>
        <v/>
      </c>
      <c r="T109" s="61"/>
      <c r="U109" s="61"/>
      <c r="V109" s="61"/>
      <c r="W109" s="58"/>
      <c r="X109" s="58"/>
      <c r="Y109" s="98" t="str">
        <f t="shared" si="9"/>
        <v/>
      </c>
    </row>
    <row r="110" spans="1:25">
      <c r="A110" s="23"/>
      <c r="B110" s="58"/>
      <c r="C110" s="58"/>
      <c r="D110" s="59"/>
      <c r="E110" s="3"/>
      <c r="F110" s="56"/>
      <c r="G110" s="3"/>
      <c r="H110" s="3"/>
      <c r="I110" s="144"/>
      <c r="J110" s="109"/>
      <c r="K110" s="45"/>
      <c r="L110" s="60"/>
      <c r="M110" s="92" t="str">
        <f t="shared" ca="1" si="8"/>
        <v/>
      </c>
      <c r="N110" s="81"/>
      <c r="O110" s="3"/>
      <c r="P110" s="58"/>
      <c r="Q110" s="92" t="str">
        <f t="shared" si="7"/>
        <v/>
      </c>
      <c r="R110" s="98">
        <f>SUMIFS('Booking Management'!J:J,'Booking Management'!B:B,'Sales Orders'!A110)</f>
        <v>0</v>
      </c>
      <c r="S110" s="99" t="str">
        <f t="shared" si="6"/>
        <v/>
      </c>
      <c r="T110" s="61"/>
      <c r="U110" s="61"/>
      <c r="V110" s="61"/>
      <c r="W110" s="58"/>
      <c r="X110" s="58"/>
      <c r="Y110" s="98" t="str">
        <f t="shared" si="9"/>
        <v/>
      </c>
    </row>
    <row r="111" spans="1:25">
      <c r="A111" s="23"/>
      <c r="B111" s="58"/>
      <c r="C111" s="58"/>
      <c r="D111" s="59"/>
      <c r="E111" s="3"/>
      <c r="F111" s="56"/>
      <c r="G111" s="58"/>
      <c r="H111" s="3"/>
      <c r="I111" s="144"/>
      <c r="J111" s="109"/>
      <c r="K111" s="45"/>
      <c r="L111" s="60"/>
      <c r="M111" s="92" t="str">
        <f t="shared" ca="1" si="8"/>
        <v/>
      </c>
      <c r="N111" s="81"/>
      <c r="O111" s="3"/>
      <c r="P111" s="58"/>
      <c r="Q111" s="92" t="str">
        <f t="shared" si="7"/>
        <v/>
      </c>
      <c r="R111" s="98">
        <f>SUMIFS('Booking Management'!J:J,'Booking Management'!B:B,'Sales Orders'!A111)</f>
        <v>0</v>
      </c>
      <c r="S111" s="99" t="str">
        <f t="shared" si="6"/>
        <v/>
      </c>
      <c r="T111" s="61"/>
      <c r="U111" s="61"/>
      <c r="V111" s="61"/>
      <c r="W111" s="58"/>
      <c r="X111" s="58"/>
      <c r="Y111" s="98" t="str">
        <f t="shared" si="9"/>
        <v/>
      </c>
    </row>
    <row r="112" spans="1:25">
      <c r="A112" s="23"/>
      <c r="B112" s="58"/>
      <c r="C112" s="61"/>
      <c r="D112" s="59"/>
      <c r="E112" s="61"/>
      <c r="F112" s="56"/>
      <c r="G112" s="61"/>
      <c r="H112" s="58"/>
      <c r="I112" s="144"/>
      <c r="J112" s="109"/>
      <c r="K112" s="45"/>
      <c r="L112" s="60"/>
      <c r="M112" s="92" t="str">
        <f t="shared" ca="1" si="8"/>
        <v/>
      </c>
      <c r="N112" s="81"/>
      <c r="O112" s="61"/>
      <c r="P112" s="58"/>
      <c r="Q112" s="92" t="str">
        <f t="shared" si="7"/>
        <v/>
      </c>
      <c r="R112" s="98">
        <f>SUMIFS('Booking Management'!J:J,'Booking Management'!B:B,'Sales Orders'!A112)</f>
        <v>0</v>
      </c>
      <c r="S112" s="99" t="str">
        <f t="shared" si="6"/>
        <v/>
      </c>
      <c r="T112" s="61"/>
      <c r="U112" s="61"/>
      <c r="V112" s="61"/>
      <c r="W112" s="63"/>
      <c r="X112" s="61"/>
      <c r="Y112" s="98" t="str">
        <f t="shared" si="9"/>
        <v/>
      </c>
    </row>
    <row r="113" spans="1:25">
      <c r="A113" s="23"/>
      <c r="B113" s="58"/>
      <c r="C113" s="61"/>
      <c r="D113" s="59"/>
      <c r="E113" s="61"/>
      <c r="F113" s="56"/>
      <c r="G113" s="61"/>
      <c r="H113" s="58"/>
      <c r="I113" s="144"/>
      <c r="J113" s="109"/>
      <c r="K113" s="45"/>
      <c r="L113" s="60"/>
      <c r="M113" s="92" t="str">
        <f t="shared" ca="1" si="8"/>
        <v/>
      </c>
      <c r="N113" s="81"/>
      <c r="O113" s="61"/>
      <c r="P113" s="58"/>
      <c r="Q113" s="92" t="str">
        <f t="shared" si="7"/>
        <v/>
      </c>
      <c r="R113" s="98">
        <f>SUMIFS('Booking Management'!J:J,'Booking Management'!B:B,'Sales Orders'!A113)</f>
        <v>0</v>
      </c>
      <c r="S113" s="99" t="str">
        <f t="shared" si="6"/>
        <v/>
      </c>
      <c r="T113" s="61"/>
      <c r="U113" s="61"/>
      <c r="V113" s="61"/>
      <c r="W113" s="64"/>
      <c r="X113" s="61"/>
      <c r="Y113" s="98" t="str">
        <f t="shared" si="9"/>
        <v/>
      </c>
    </row>
    <row r="114" spans="1:25">
      <c r="A114" s="23"/>
      <c r="B114" s="58"/>
      <c r="C114" s="58"/>
      <c r="D114" s="59"/>
      <c r="E114" s="3"/>
      <c r="F114" s="56"/>
      <c r="G114" s="61"/>
      <c r="H114" s="58"/>
      <c r="I114" s="89"/>
      <c r="J114" s="109"/>
      <c r="K114" s="45"/>
      <c r="L114" s="60"/>
      <c r="M114" s="92" t="str">
        <f t="shared" ca="1" si="8"/>
        <v/>
      </c>
      <c r="N114" s="81"/>
      <c r="O114" s="61"/>
      <c r="P114" s="58"/>
      <c r="Q114" s="92" t="str">
        <f t="shared" si="7"/>
        <v/>
      </c>
      <c r="R114" s="98">
        <f>SUMIFS('Booking Management'!J:J,'Booking Management'!B:B,'Sales Orders'!A114)</f>
        <v>0</v>
      </c>
      <c r="S114" s="99" t="str">
        <f t="shared" si="6"/>
        <v/>
      </c>
      <c r="T114" s="61"/>
      <c r="U114" s="61" t="s">
        <v>29</v>
      </c>
      <c r="V114" s="61" t="s">
        <v>29</v>
      </c>
      <c r="W114" s="58"/>
      <c r="X114" s="61"/>
      <c r="Y114" s="98" t="str">
        <f t="shared" si="9"/>
        <v/>
      </c>
    </row>
    <row r="115" spans="1:25">
      <c r="A115" s="23"/>
      <c r="B115" s="58"/>
      <c r="C115" s="58"/>
      <c r="D115" s="59"/>
      <c r="E115" s="58"/>
      <c r="F115" s="56"/>
      <c r="G115" s="58"/>
      <c r="H115" s="3"/>
      <c r="I115" s="144"/>
      <c r="J115" s="109"/>
      <c r="K115" s="45"/>
      <c r="L115" s="60"/>
      <c r="M115" s="92" t="str">
        <f t="shared" ca="1" si="8"/>
        <v/>
      </c>
      <c r="N115" s="81"/>
      <c r="O115" s="3"/>
      <c r="P115" s="58"/>
      <c r="Q115" s="92" t="str">
        <f t="shared" si="7"/>
        <v/>
      </c>
      <c r="R115" s="98">
        <f>SUMIFS('Booking Management'!J:J,'Booking Management'!B:B,'Sales Orders'!A115)</f>
        <v>0</v>
      </c>
      <c r="S115" s="99" t="str">
        <f t="shared" si="6"/>
        <v/>
      </c>
      <c r="T115" s="61"/>
      <c r="U115" s="61"/>
      <c r="V115" s="61"/>
      <c r="W115" s="58"/>
      <c r="X115" s="58"/>
      <c r="Y115" s="98" t="str">
        <f t="shared" si="9"/>
        <v/>
      </c>
    </row>
    <row r="116" spans="1:25">
      <c r="A116" s="23"/>
      <c r="B116" s="58"/>
      <c r="C116" s="58"/>
      <c r="D116" s="59"/>
      <c r="E116" s="58"/>
      <c r="F116" s="56"/>
      <c r="G116" s="58"/>
      <c r="H116" s="3"/>
      <c r="I116" s="89"/>
      <c r="J116" s="109"/>
      <c r="K116" s="45"/>
      <c r="L116" s="60"/>
      <c r="M116" s="92" t="str">
        <f t="shared" ca="1" si="8"/>
        <v/>
      </c>
      <c r="N116" s="81"/>
      <c r="O116" s="3"/>
      <c r="P116" s="58"/>
      <c r="Q116" s="92" t="str">
        <f t="shared" si="7"/>
        <v/>
      </c>
      <c r="R116" s="98">
        <f>SUMIFS('Booking Management'!J:J,'Booking Management'!B:B,'Sales Orders'!A116)</f>
        <v>0</v>
      </c>
      <c r="S116" s="99" t="str">
        <f t="shared" si="6"/>
        <v/>
      </c>
      <c r="T116" s="61"/>
      <c r="U116" s="61" t="s">
        <v>29</v>
      </c>
      <c r="V116" s="61" t="s">
        <v>29</v>
      </c>
      <c r="W116" s="58"/>
      <c r="X116" s="58"/>
      <c r="Y116" s="98" t="str">
        <f t="shared" si="9"/>
        <v/>
      </c>
    </row>
    <row r="117" spans="1:25">
      <c r="A117" s="23"/>
      <c r="B117" s="58"/>
      <c r="C117" s="58"/>
      <c r="D117" s="59"/>
      <c r="E117" s="58"/>
      <c r="F117" s="56"/>
      <c r="G117" s="58"/>
      <c r="H117" s="3"/>
      <c r="I117" s="89"/>
      <c r="J117" s="109"/>
      <c r="K117" s="45"/>
      <c r="L117" s="60"/>
      <c r="M117" s="92" t="str">
        <f t="shared" ca="1" si="8"/>
        <v/>
      </c>
      <c r="N117" s="81"/>
      <c r="O117" s="3"/>
      <c r="P117" s="58"/>
      <c r="Q117" s="92" t="str">
        <f t="shared" si="7"/>
        <v/>
      </c>
      <c r="R117" s="98">
        <f>SUMIFS('Booking Management'!J:J,'Booking Management'!B:B,'Sales Orders'!A117)</f>
        <v>0</v>
      </c>
      <c r="S117" s="99" t="str">
        <f t="shared" si="6"/>
        <v/>
      </c>
      <c r="T117" s="61"/>
      <c r="U117" s="61" t="s">
        <v>29</v>
      </c>
      <c r="V117" s="61" t="s">
        <v>29</v>
      </c>
      <c r="W117" s="58"/>
      <c r="X117" s="65"/>
      <c r="Y117" s="98" t="str">
        <f t="shared" si="9"/>
        <v/>
      </c>
    </row>
    <row r="118" spans="1:25">
      <c r="A118" s="23"/>
      <c r="B118" s="58"/>
      <c r="C118" s="58"/>
      <c r="D118" s="57"/>
      <c r="E118" s="58"/>
      <c r="F118" s="56"/>
      <c r="G118" s="58"/>
      <c r="H118" s="3"/>
      <c r="I118" s="89"/>
      <c r="J118" s="109"/>
      <c r="K118" s="45"/>
      <c r="L118" s="60"/>
      <c r="M118" s="92" t="str">
        <f t="shared" ca="1" si="8"/>
        <v/>
      </c>
      <c r="N118" s="81"/>
      <c r="O118" s="3"/>
      <c r="P118" s="58"/>
      <c r="Q118" s="92" t="str">
        <f t="shared" si="7"/>
        <v/>
      </c>
      <c r="R118" s="98">
        <f>SUMIFS('Booking Management'!J:J,'Booking Management'!B:B,'Sales Orders'!A118)</f>
        <v>0</v>
      </c>
      <c r="S118" s="99" t="str">
        <f t="shared" si="6"/>
        <v/>
      </c>
      <c r="T118" s="61"/>
      <c r="U118" s="61" t="s">
        <v>29</v>
      </c>
      <c r="V118" s="61" t="s">
        <v>29</v>
      </c>
      <c r="W118" s="58"/>
      <c r="X118" s="58"/>
      <c r="Y118" s="98" t="str">
        <f t="shared" si="9"/>
        <v/>
      </c>
    </row>
    <row r="119" spans="1:25">
      <c r="A119" s="23"/>
      <c r="B119" s="58"/>
      <c r="C119" s="58"/>
      <c r="D119" s="57"/>
      <c r="E119" s="58"/>
      <c r="F119" s="56"/>
      <c r="G119" s="58"/>
      <c r="H119" s="3"/>
      <c r="I119" s="89"/>
      <c r="J119" s="109"/>
      <c r="K119" s="45"/>
      <c r="L119" s="60"/>
      <c r="M119" s="92" t="str">
        <f t="shared" ca="1" si="8"/>
        <v/>
      </c>
      <c r="N119" s="81"/>
      <c r="O119" s="3"/>
      <c r="P119" s="58"/>
      <c r="Q119" s="92" t="str">
        <f t="shared" si="7"/>
        <v/>
      </c>
      <c r="R119" s="98">
        <f>SUMIFS('Booking Management'!J:J,'Booking Management'!B:B,'Sales Orders'!A119)</f>
        <v>0</v>
      </c>
      <c r="S119" s="99" t="str">
        <f t="shared" si="6"/>
        <v/>
      </c>
      <c r="T119" s="61"/>
      <c r="U119" s="61" t="s">
        <v>29</v>
      </c>
      <c r="V119" s="61" t="s">
        <v>29</v>
      </c>
      <c r="W119" s="58"/>
      <c r="X119" s="58"/>
      <c r="Y119" s="98" t="str">
        <f t="shared" si="9"/>
        <v/>
      </c>
    </row>
    <row r="120" spans="1:25">
      <c r="A120" s="23"/>
      <c r="B120" s="58"/>
      <c r="C120" s="58"/>
      <c r="D120" s="57"/>
      <c r="E120" s="58"/>
      <c r="F120" s="56"/>
      <c r="G120" s="58"/>
      <c r="H120" s="3"/>
      <c r="I120" s="144"/>
      <c r="J120" s="109"/>
      <c r="K120" s="45"/>
      <c r="L120" s="60"/>
      <c r="M120" s="92" t="str">
        <f t="shared" ca="1" si="8"/>
        <v/>
      </c>
      <c r="N120" s="81"/>
      <c r="O120" s="3"/>
      <c r="P120" s="58"/>
      <c r="Q120" s="92" t="str">
        <f t="shared" si="7"/>
        <v/>
      </c>
      <c r="R120" s="98">
        <f>SUMIFS('Booking Management'!J:J,'Booking Management'!B:B,'Sales Orders'!A120)</f>
        <v>0</v>
      </c>
      <c r="S120" s="99" t="str">
        <f t="shared" si="6"/>
        <v/>
      </c>
      <c r="T120" s="61"/>
      <c r="U120" s="61"/>
      <c r="V120" s="61"/>
      <c r="W120" s="58"/>
      <c r="X120" s="58"/>
      <c r="Y120" s="98" t="str">
        <f t="shared" si="9"/>
        <v/>
      </c>
    </row>
    <row r="121" spans="1:25">
      <c r="A121" s="23"/>
      <c r="B121" s="58"/>
      <c r="C121" s="58"/>
      <c r="D121" s="57"/>
      <c r="E121" s="58"/>
      <c r="F121" s="56"/>
      <c r="G121" s="58"/>
      <c r="H121" s="3"/>
      <c r="I121" s="144"/>
      <c r="J121" s="109"/>
      <c r="K121" s="45"/>
      <c r="L121" s="60"/>
      <c r="M121" s="92" t="str">
        <f t="shared" ca="1" si="8"/>
        <v/>
      </c>
      <c r="N121" s="81"/>
      <c r="O121" s="3"/>
      <c r="P121" s="58"/>
      <c r="Q121" s="92" t="str">
        <f t="shared" si="7"/>
        <v/>
      </c>
      <c r="R121" s="98">
        <f>SUMIFS('Booking Management'!J:J,'Booking Management'!B:B,'Sales Orders'!A121)</f>
        <v>0</v>
      </c>
      <c r="S121" s="99" t="str">
        <f t="shared" si="6"/>
        <v/>
      </c>
      <c r="T121" s="61"/>
      <c r="U121" s="61"/>
      <c r="V121" s="61"/>
      <c r="W121" s="58"/>
      <c r="X121" s="58"/>
      <c r="Y121" s="98" t="str">
        <f t="shared" si="9"/>
        <v/>
      </c>
    </row>
    <row r="122" spans="1:25">
      <c r="A122" s="23"/>
      <c r="B122" s="58"/>
      <c r="C122" s="58"/>
      <c r="D122" s="57"/>
      <c r="E122" s="58"/>
      <c r="F122" s="56"/>
      <c r="G122" s="58"/>
      <c r="H122" s="3"/>
      <c r="I122" s="144"/>
      <c r="J122" s="109"/>
      <c r="K122" s="45"/>
      <c r="L122" s="60"/>
      <c r="M122" s="92" t="str">
        <f t="shared" ca="1" si="8"/>
        <v/>
      </c>
      <c r="N122" s="81"/>
      <c r="O122" s="3"/>
      <c r="P122" s="58"/>
      <c r="Q122" s="92" t="str">
        <f t="shared" si="7"/>
        <v/>
      </c>
      <c r="R122" s="98">
        <f>SUMIFS('Booking Management'!J:J,'Booking Management'!B:B,'Sales Orders'!A122)</f>
        <v>0</v>
      </c>
      <c r="S122" s="99" t="str">
        <f t="shared" si="6"/>
        <v/>
      </c>
      <c r="T122" s="61"/>
      <c r="U122" s="61"/>
      <c r="V122" s="61"/>
      <c r="W122" s="58"/>
      <c r="X122" s="58"/>
      <c r="Y122" s="98" t="str">
        <f t="shared" si="9"/>
        <v/>
      </c>
    </row>
    <row r="123" spans="1:25">
      <c r="A123" s="23"/>
      <c r="B123" s="58"/>
      <c r="C123" s="58"/>
      <c r="D123" s="57"/>
      <c r="E123" s="58"/>
      <c r="F123" s="56"/>
      <c r="G123" s="58"/>
      <c r="H123" s="3"/>
      <c r="I123" s="144"/>
      <c r="J123" s="109"/>
      <c r="K123" s="45"/>
      <c r="L123" s="60"/>
      <c r="M123" s="92" t="str">
        <f t="shared" ca="1" si="8"/>
        <v/>
      </c>
      <c r="N123" s="81"/>
      <c r="O123" s="3"/>
      <c r="P123" s="58"/>
      <c r="Q123" s="92" t="str">
        <f t="shared" si="7"/>
        <v/>
      </c>
      <c r="R123" s="98">
        <f>SUMIFS('Booking Management'!J:J,'Booking Management'!B:B,'Sales Orders'!A123)</f>
        <v>0</v>
      </c>
      <c r="S123" s="99" t="str">
        <f t="shared" si="6"/>
        <v/>
      </c>
      <c r="T123" s="61"/>
      <c r="U123" s="61"/>
      <c r="V123" s="61"/>
      <c r="W123" s="58"/>
      <c r="X123" s="58"/>
      <c r="Y123" s="98" t="str">
        <f t="shared" si="9"/>
        <v/>
      </c>
    </row>
    <row r="124" spans="1:25">
      <c r="A124" s="23"/>
      <c r="B124" s="58"/>
      <c r="C124" s="58"/>
      <c r="D124" s="57"/>
      <c r="E124" s="58"/>
      <c r="F124" s="56"/>
      <c r="G124" s="58"/>
      <c r="H124" s="3"/>
      <c r="I124" s="144"/>
      <c r="J124" s="109"/>
      <c r="K124" s="45"/>
      <c r="L124" s="60"/>
      <c r="M124" s="92" t="str">
        <f t="shared" ca="1" si="8"/>
        <v/>
      </c>
      <c r="N124" s="81"/>
      <c r="O124" s="3"/>
      <c r="P124" s="58"/>
      <c r="Q124" s="92" t="str">
        <f t="shared" si="7"/>
        <v/>
      </c>
      <c r="R124" s="98">
        <f>SUMIFS('Booking Management'!J:J,'Booking Management'!B:B,'Sales Orders'!A124)</f>
        <v>0</v>
      </c>
      <c r="S124" s="99" t="str">
        <f t="shared" si="6"/>
        <v/>
      </c>
      <c r="T124" s="61"/>
      <c r="U124" s="61"/>
      <c r="V124" s="61"/>
      <c r="W124" s="58"/>
      <c r="X124" s="58"/>
      <c r="Y124" s="98" t="str">
        <f t="shared" si="9"/>
        <v/>
      </c>
    </row>
    <row r="125" spans="1:25">
      <c r="A125" s="23"/>
      <c r="B125" s="58"/>
      <c r="C125" s="58"/>
      <c r="D125" s="57"/>
      <c r="E125" s="58"/>
      <c r="F125" s="56"/>
      <c r="G125" s="58"/>
      <c r="H125" s="3"/>
      <c r="I125" s="144"/>
      <c r="J125" s="109"/>
      <c r="K125" s="45"/>
      <c r="L125" s="60"/>
      <c r="M125" s="92" t="str">
        <f t="shared" ca="1" si="8"/>
        <v/>
      </c>
      <c r="N125" s="81"/>
      <c r="O125" s="3"/>
      <c r="P125" s="58"/>
      <c r="Q125" s="92" t="str">
        <f t="shared" si="7"/>
        <v/>
      </c>
      <c r="R125" s="98">
        <f>SUMIFS('Booking Management'!J:J,'Booking Management'!B:B,'Sales Orders'!A125)</f>
        <v>0</v>
      </c>
      <c r="S125" s="99" t="str">
        <f t="shared" si="6"/>
        <v/>
      </c>
      <c r="T125" s="61"/>
      <c r="U125" s="61"/>
      <c r="V125" s="61"/>
      <c r="W125" s="58"/>
      <c r="X125" s="58"/>
      <c r="Y125" s="98" t="str">
        <f t="shared" si="9"/>
        <v/>
      </c>
    </row>
    <row r="126" spans="1:25">
      <c r="A126" s="23"/>
      <c r="B126" s="58"/>
      <c r="C126" s="58"/>
      <c r="D126" s="57"/>
      <c r="E126" s="58"/>
      <c r="F126" s="56"/>
      <c r="G126" s="58"/>
      <c r="H126" s="3"/>
      <c r="I126" s="89"/>
      <c r="J126" s="109"/>
      <c r="K126" s="45"/>
      <c r="L126" s="60"/>
      <c r="M126" s="92" t="str">
        <f t="shared" ca="1" si="8"/>
        <v/>
      </c>
      <c r="N126" s="81"/>
      <c r="O126" s="3"/>
      <c r="P126" s="58"/>
      <c r="Q126" s="92" t="str">
        <f t="shared" si="7"/>
        <v/>
      </c>
      <c r="R126" s="98">
        <f>SUMIFS('Booking Management'!J:J,'Booking Management'!B:B,'Sales Orders'!A126)</f>
        <v>0</v>
      </c>
      <c r="S126" s="99" t="str">
        <f t="shared" si="6"/>
        <v/>
      </c>
      <c r="T126" s="61"/>
      <c r="U126" s="61" t="s">
        <v>29</v>
      </c>
      <c r="V126" s="61" t="s">
        <v>29</v>
      </c>
      <c r="W126" s="58"/>
      <c r="X126" s="58"/>
      <c r="Y126" s="98" t="str">
        <f t="shared" si="9"/>
        <v/>
      </c>
    </row>
    <row r="127" spans="1:25">
      <c r="A127" s="23"/>
      <c r="B127" s="58"/>
      <c r="C127" s="58"/>
      <c r="D127" s="57"/>
      <c r="E127" s="58"/>
      <c r="F127" s="56"/>
      <c r="G127" s="58"/>
      <c r="H127" s="3"/>
      <c r="I127" s="89"/>
      <c r="J127" s="109"/>
      <c r="K127" s="45"/>
      <c r="L127" s="60"/>
      <c r="M127" s="92" t="str">
        <f t="shared" ca="1" si="8"/>
        <v/>
      </c>
      <c r="N127" s="2"/>
      <c r="O127" s="3"/>
      <c r="P127" s="58"/>
      <c r="Q127" s="92" t="str">
        <f t="shared" si="7"/>
        <v/>
      </c>
      <c r="R127" s="98">
        <f>SUMIFS('Booking Management'!J:J,'Booking Management'!B:B,'Sales Orders'!A127)</f>
        <v>0</v>
      </c>
      <c r="S127" s="99" t="str">
        <f t="shared" si="6"/>
        <v/>
      </c>
      <c r="T127" s="61"/>
      <c r="U127" s="61" t="s">
        <v>29</v>
      </c>
      <c r="V127" s="61" t="s">
        <v>29</v>
      </c>
      <c r="W127" s="58"/>
      <c r="X127" s="58"/>
      <c r="Y127" s="98" t="str">
        <f t="shared" si="9"/>
        <v/>
      </c>
    </row>
    <row r="128" spans="1:25">
      <c r="A128" s="23"/>
      <c r="B128" s="58"/>
      <c r="C128" s="58"/>
      <c r="D128" s="57"/>
      <c r="E128" s="58"/>
      <c r="F128" s="56"/>
      <c r="G128" s="58"/>
      <c r="H128" s="3"/>
      <c r="I128" s="89"/>
      <c r="J128" s="109"/>
      <c r="K128" s="45"/>
      <c r="L128" s="60"/>
      <c r="M128" s="92" t="str">
        <f t="shared" ca="1" si="8"/>
        <v/>
      </c>
      <c r="N128" s="81"/>
      <c r="O128" s="3"/>
      <c r="P128" s="58"/>
      <c r="Q128" s="92" t="str">
        <f t="shared" si="7"/>
        <v/>
      </c>
      <c r="R128" s="98">
        <f>SUMIFS('Booking Management'!J:J,'Booking Management'!B:B,'Sales Orders'!A128)</f>
        <v>0</v>
      </c>
      <c r="S128" s="99" t="str">
        <f t="shared" si="6"/>
        <v/>
      </c>
      <c r="T128" s="61"/>
      <c r="U128" s="61" t="s">
        <v>29</v>
      </c>
      <c r="V128" s="61" t="s">
        <v>29</v>
      </c>
      <c r="W128" s="58"/>
      <c r="X128" s="58"/>
      <c r="Y128" s="98" t="str">
        <f t="shared" si="9"/>
        <v/>
      </c>
    </row>
    <row r="129" spans="1:25">
      <c r="A129" s="23"/>
      <c r="B129" s="58"/>
      <c r="C129" s="58"/>
      <c r="D129" s="57"/>
      <c r="E129" s="58"/>
      <c r="F129" s="56"/>
      <c r="G129" s="58"/>
      <c r="H129" s="3"/>
      <c r="I129" s="89"/>
      <c r="J129" s="109"/>
      <c r="K129" s="45"/>
      <c r="L129" s="60"/>
      <c r="M129" s="92" t="str">
        <f t="shared" ca="1" si="8"/>
        <v/>
      </c>
      <c r="N129" s="81"/>
      <c r="O129" s="3"/>
      <c r="P129" s="58"/>
      <c r="Q129" s="92" t="str">
        <f t="shared" si="7"/>
        <v/>
      </c>
      <c r="R129" s="98">
        <f>SUMIFS('Booking Management'!J:J,'Booking Management'!B:B,'Sales Orders'!A129)</f>
        <v>0</v>
      </c>
      <c r="S129" s="99" t="str">
        <f t="shared" si="6"/>
        <v/>
      </c>
      <c r="T129" s="61"/>
      <c r="U129" s="61" t="s">
        <v>29</v>
      </c>
      <c r="V129" s="61" t="s">
        <v>29</v>
      </c>
      <c r="W129" s="65"/>
      <c r="X129" s="58"/>
      <c r="Y129" s="98" t="str">
        <f t="shared" si="9"/>
        <v/>
      </c>
    </row>
    <row r="130" spans="1:25">
      <c r="A130" s="23"/>
      <c r="B130" s="58"/>
      <c r="C130" s="58"/>
      <c r="D130" s="57"/>
      <c r="E130" s="58"/>
      <c r="F130" s="56"/>
      <c r="G130" s="58"/>
      <c r="H130" s="3"/>
      <c r="I130" s="89"/>
      <c r="J130" s="109"/>
      <c r="K130" s="45"/>
      <c r="L130" s="60"/>
      <c r="M130" s="92" t="str">
        <f t="shared" ca="1" si="8"/>
        <v/>
      </c>
      <c r="N130" s="81"/>
      <c r="O130" s="3"/>
      <c r="P130" s="58"/>
      <c r="Q130" s="92" t="str">
        <f t="shared" si="7"/>
        <v/>
      </c>
      <c r="R130" s="98">
        <f>SUMIFS('Booking Management'!J:J,'Booking Management'!B:B,'Sales Orders'!A130)</f>
        <v>0</v>
      </c>
      <c r="S130" s="99" t="str">
        <f t="shared" si="6"/>
        <v/>
      </c>
      <c r="T130" s="61"/>
      <c r="U130" s="61" t="s">
        <v>15</v>
      </c>
      <c r="V130" s="61" t="s">
        <v>409</v>
      </c>
      <c r="W130" s="58"/>
      <c r="X130" s="58"/>
      <c r="Y130" s="98" t="str">
        <f t="shared" si="9"/>
        <v/>
      </c>
    </row>
    <row r="131" spans="1:25">
      <c r="A131" s="23"/>
      <c r="B131" s="58"/>
      <c r="C131" s="58"/>
      <c r="D131" s="57"/>
      <c r="E131" s="58"/>
      <c r="F131" s="56"/>
      <c r="G131" s="58"/>
      <c r="H131" s="3"/>
      <c r="I131" s="89"/>
      <c r="J131" s="109"/>
      <c r="K131" s="45"/>
      <c r="L131" s="60"/>
      <c r="M131" s="92" t="str">
        <f t="shared" ca="1" si="8"/>
        <v/>
      </c>
      <c r="N131" s="81"/>
      <c r="O131" s="147"/>
      <c r="P131" s="58"/>
      <c r="Q131" s="92" t="str">
        <f t="shared" si="7"/>
        <v/>
      </c>
      <c r="R131" s="98">
        <f>SUMIFS('Booking Management'!J:J,'Booking Management'!B:B,'Sales Orders'!A131)</f>
        <v>0</v>
      </c>
      <c r="S131" s="99" t="str">
        <f t="shared" si="6"/>
        <v/>
      </c>
      <c r="T131" s="61"/>
      <c r="U131" s="61" t="s">
        <v>29</v>
      </c>
      <c r="V131" s="61" t="s">
        <v>29</v>
      </c>
      <c r="W131" s="58"/>
      <c r="X131" s="58"/>
      <c r="Y131" s="98" t="str">
        <f t="shared" si="9"/>
        <v/>
      </c>
    </row>
    <row r="132" spans="1:25">
      <c r="A132" s="23"/>
      <c r="B132" s="58"/>
      <c r="C132" s="58"/>
      <c r="D132" s="57"/>
      <c r="E132" s="58"/>
      <c r="F132" s="56"/>
      <c r="G132" s="58"/>
      <c r="H132" s="3"/>
      <c r="I132" s="144"/>
      <c r="J132" s="109"/>
      <c r="K132" s="45"/>
      <c r="L132" s="60"/>
      <c r="M132" s="92" t="str">
        <f t="shared" ca="1" si="8"/>
        <v/>
      </c>
      <c r="N132" s="81"/>
      <c r="O132" s="3"/>
      <c r="P132" s="58"/>
      <c r="Q132" s="92" t="str">
        <f t="shared" si="7"/>
        <v/>
      </c>
      <c r="R132" s="98">
        <f>SUMIFS('Booking Management'!J:J,'Booking Management'!B:B,'Sales Orders'!A132)</f>
        <v>0</v>
      </c>
      <c r="S132" s="99" t="str">
        <f t="shared" ref="S132:S195" si="10">IF(R132&gt;0,(R132/D132)*N132,"")</f>
        <v/>
      </c>
      <c r="T132" s="61"/>
      <c r="U132" s="61"/>
      <c r="V132" s="61"/>
      <c r="W132" s="58"/>
      <c r="X132" s="58"/>
      <c r="Y132" s="98" t="str">
        <f t="shared" si="9"/>
        <v/>
      </c>
    </row>
    <row r="133" spans="1:25">
      <c r="A133" s="23"/>
      <c r="B133" s="58"/>
      <c r="C133" s="58"/>
      <c r="D133" s="57"/>
      <c r="E133" s="58"/>
      <c r="F133" s="56"/>
      <c r="G133" s="58"/>
      <c r="H133" s="3"/>
      <c r="I133" s="89"/>
      <c r="J133" s="109"/>
      <c r="K133" s="45"/>
      <c r="L133" s="60"/>
      <c r="M133" s="92" t="str">
        <f t="shared" ca="1" si="8"/>
        <v/>
      </c>
      <c r="N133" s="81"/>
      <c r="O133" s="3"/>
      <c r="P133" s="58"/>
      <c r="Q133" s="92" t="str">
        <f t="shared" si="7"/>
        <v/>
      </c>
      <c r="R133" s="98">
        <f>SUMIFS('Booking Management'!J:J,'Booking Management'!B:B,'Sales Orders'!A133)</f>
        <v>0</v>
      </c>
      <c r="S133" s="99" t="str">
        <f t="shared" si="10"/>
        <v/>
      </c>
      <c r="T133" s="61"/>
      <c r="U133" s="61" t="s">
        <v>29</v>
      </c>
      <c r="V133" s="61" t="s">
        <v>29</v>
      </c>
      <c r="W133" s="58"/>
      <c r="X133" s="58"/>
      <c r="Y133" s="98" t="str">
        <f t="shared" si="9"/>
        <v/>
      </c>
    </row>
    <row r="134" spans="1:25">
      <c r="A134" s="23"/>
      <c r="B134" s="58"/>
      <c r="C134" s="58"/>
      <c r="D134" s="57"/>
      <c r="E134" s="58"/>
      <c r="F134" s="56"/>
      <c r="G134" s="58"/>
      <c r="H134" s="3"/>
      <c r="I134" s="144"/>
      <c r="J134" s="109"/>
      <c r="K134" s="45"/>
      <c r="L134" s="60"/>
      <c r="M134" s="92" t="str">
        <f t="shared" ca="1" si="8"/>
        <v/>
      </c>
      <c r="N134" s="81"/>
      <c r="O134" s="3"/>
      <c r="P134" s="58"/>
      <c r="Q134" s="92" t="str">
        <f t="shared" ref="Q134:Q197" si="11">IF(C134&lt;&gt;"",IF(OR(K134="",P134=""),"alert",""),"")</f>
        <v/>
      </c>
      <c r="R134" s="98">
        <f>SUMIFS('Booking Management'!J:J,'Booking Management'!B:B,'Sales Orders'!A134)</f>
        <v>0</v>
      </c>
      <c r="S134" s="99" t="str">
        <f t="shared" si="10"/>
        <v/>
      </c>
      <c r="T134" s="61"/>
      <c r="U134" s="61"/>
      <c r="V134" s="61"/>
      <c r="W134" s="58"/>
      <c r="X134" s="58"/>
      <c r="Y134" s="98" t="str">
        <f t="shared" si="9"/>
        <v/>
      </c>
    </row>
    <row r="135" spans="1:25">
      <c r="A135" s="23"/>
      <c r="B135" s="58"/>
      <c r="C135" s="58"/>
      <c r="D135" s="57"/>
      <c r="E135" s="58"/>
      <c r="F135" s="56"/>
      <c r="G135" s="58"/>
      <c r="H135" s="3"/>
      <c r="I135" s="89"/>
      <c r="J135" s="109"/>
      <c r="K135" s="45"/>
      <c r="L135" s="60"/>
      <c r="M135" s="92" t="str">
        <f t="shared" ref="M135:M198" ca="1" si="12">IFERROR(IF(K135&lt;&gt;"",IF(AND(_xlfn.NUMBERVALUE(J135)/_xlfn.NUMBERVALUE(D135) &lt;1,K135-TODAY()&lt;2,L135&lt;&gt;"yes"),"alert",""),""),"")</f>
        <v/>
      </c>
      <c r="N135" s="81"/>
      <c r="O135" s="3"/>
      <c r="P135" s="58"/>
      <c r="Q135" s="92" t="str">
        <f t="shared" si="11"/>
        <v/>
      </c>
      <c r="R135" s="98">
        <f>SUMIFS('Booking Management'!J:J,'Booking Management'!B:B,'Sales Orders'!A135)</f>
        <v>0</v>
      </c>
      <c r="S135" s="99" t="str">
        <f t="shared" si="10"/>
        <v/>
      </c>
      <c r="T135" s="61"/>
      <c r="U135" s="61" t="s">
        <v>29</v>
      </c>
      <c r="V135" s="61" t="s">
        <v>29</v>
      </c>
      <c r="W135" s="58"/>
      <c r="X135" s="58"/>
      <c r="Y135" s="98" t="str">
        <f t="shared" si="9"/>
        <v/>
      </c>
    </row>
    <row r="136" spans="1:25">
      <c r="A136" s="23"/>
      <c r="B136" s="58"/>
      <c r="C136" s="58"/>
      <c r="D136" s="57"/>
      <c r="E136" s="58"/>
      <c r="F136" s="56"/>
      <c r="G136" s="58"/>
      <c r="H136" s="3"/>
      <c r="I136" s="89"/>
      <c r="J136" s="109"/>
      <c r="K136" s="45"/>
      <c r="L136" s="60"/>
      <c r="M136" s="92" t="str">
        <f t="shared" ca="1" si="12"/>
        <v/>
      </c>
      <c r="N136" s="81"/>
      <c r="O136" s="3"/>
      <c r="P136" s="58"/>
      <c r="Q136" s="92" t="str">
        <f t="shared" si="11"/>
        <v/>
      </c>
      <c r="R136" s="98">
        <f>SUMIFS('Booking Management'!J:J,'Booking Management'!B:B,'Sales Orders'!A136)</f>
        <v>0</v>
      </c>
      <c r="S136" s="99" t="str">
        <f t="shared" si="10"/>
        <v/>
      </c>
      <c r="T136" s="61"/>
      <c r="U136" s="61" t="s">
        <v>29</v>
      </c>
      <c r="V136" s="61" t="s">
        <v>29</v>
      </c>
      <c r="W136" s="58"/>
      <c r="X136" s="58"/>
      <c r="Y136" s="98" t="str">
        <f t="shared" si="9"/>
        <v/>
      </c>
    </row>
    <row r="137" spans="1:25">
      <c r="A137" s="23"/>
      <c r="B137" s="58"/>
      <c r="C137" s="58"/>
      <c r="D137" s="57"/>
      <c r="E137" s="58"/>
      <c r="F137" s="56"/>
      <c r="G137" s="58"/>
      <c r="H137" s="3"/>
      <c r="I137" s="148"/>
      <c r="J137" s="109"/>
      <c r="K137" s="45"/>
      <c r="L137" s="60"/>
      <c r="M137" s="92" t="str">
        <f t="shared" ca="1" si="12"/>
        <v/>
      </c>
      <c r="N137" s="81"/>
      <c r="O137" s="3"/>
      <c r="P137" s="58"/>
      <c r="Q137" s="92" t="str">
        <f t="shared" si="11"/>
        <v/>
      </c>
      <c r="R137" s="98">
        <f>SUMIFS('Booking Management'!J:J,'Booking Management'!B:B,'Sales Orders'!A137)</f>
        <v>0</v>
      </c>
      <c r="S137" s="99" t="str">
        <f t="shared" si="10"/>
        <v/>
      </c>
      <c r="T137" s="61"/>
      <c r="U137" s="61"/>
      <c r="V137" s="61"/>
      <c r="W137" s="58"/>
      <c r="X137" s="58"/>
      <c r="Y137" s="98" t="str">
        <f t="shared" si="9"/>
        <v/>
      </c>
    </row>
    <row r="138" spans="1:25">
      <c r="A138" s="23"/>
      <c r="B138" s="58"/>
      <c r="C138" s="58"/>
      <c r="D138" s="57"/>
      <c r="E138" s="58"/>
      <c r="F138" s="56"/>
      <c r="G138" s="58"/>
      <c r="H138" s="3"/>
      <c r="I138" s="148"/>
      <c r="J138" s="109"/>
      <c r="K138" s="45"/>
      <c r="L138" s="60"/>
      <c r="M138" s="92" t="str">
        <f t="shared" ca="1" si="12"/>
        <v/>
      </c>
      <c r="N138" s="81"/>
      <c r="O138" s="3"/>
      <c r="P138" s="58"/>
      <c r="Q138" s="92" t="str">
        <f t="shared" si="11"/>
        <v/>
      </c>
      <c r="R138" s="98">
        <f>SUMIFS('Booking Management'!J:J,'Booking Management'!B:B,'Sales Orders'!A138)</f>
        <v>0</v>
      </c>
      <c r="S138" s="99" t="str">
        <f t="shared" si="10"/>
        <v/>
      </c>
      <c r="T138" s="61"/>
      <c r="U138" s="61"/>
      <c r="V138" s="61"/>
      <c r="W138" s="58"/>
      <c r="X138" s="58"/>
      <c r="Y138" s="98" t="str">
        <f t="shared" si="9"/>
        <v/>
      </c>
    </row>
    <row r="139" spans="1:25">
      <c r="A139" s="23"/>
      <c r="B139" s="58"/>
      <c r="C139" s="58"/>
      <c r="D139" s="57"/>
      <c r="E139" s="58"/>
      <c r="F139" s="56"/>
      <c r="G139" s="58"/>
      <c r="H139" s="3"/>
      <c r="I139" s="148"/>
      <c r="J139" s="109"/>
      <c r="K139" s="45"/>
      <c r="L139" s="60"/>
      <c r="M139" s="92" t="str">
        <f t="shared" ca="1" si="12"/>
        <v/>
      </c>
      <c r="N139" s="81"/>
      <c r="O139" s="3"/>
      <c r="P139" s="58"/>
      <c r="Q139" s="92" t="str">
        <f t="shared" si="11"/>
        <v/>
      </c>
      <c r="R139" s="98">
        <f>SUMIFS('Booking Management'!J:J,'Booking Management'!B:B,'Sales Orders'!A139)</f>
        <v>0</v>
      </c>
      <c r="S139" s="99" t="str">
        <f t="shared" si="10"/>
        <v/>
      </c>
      <c r="T139" s="61"/>
      <c r="U139" s="61"/>
      <c r="V139" s="61"/>
      <c r="W139" s="58"/>
      <c r="X139" s="58"/>
      <c r="Y139" s="98" t="str">
        <f t="shared" si="9"/>
        <v/>
      </c>
    </row>
    <row r="140" spans="1:25">
      <c r="A140" s="23"/>
      <c r="B140" s="58"/>
      <c r="C140" s="58"/>
      <c r="D140" s="57"/>
      <c r="E140" s="58"/>
      <c r="F140" s="56"/>
      <c r="G140" s="58"/>
      <c r="H140" s="3"/>
      <c r="I140" s="148"/>
      <c r="J140" s="109"/>
      <c r="K140" s="45"/>
      <c r="L140" s="60"/>
      <c r="M140" s="92" t="str">
        <f t="shared" ca="1" si="12"/>
        <v/>
      </c>
      <c r="N140" s="81"/>
      <c r="O140" s="3"/>
      <c r="P140" s="58"/>
      <c r="Q140" s="92" t="str">
        <f t="shared" si="11"/>
        <v/>
      </c>
      <c r="R140" s="98">
        <f>SUMIFS('Booking Management'!J:J,'Booking Management'!B:B,'Sales Orders'!A140)</f>
        <v>0</v>
      </c>
      <c r="S140" s="99" t="str">
        <f t="shared" si="10"/>
        <v/>
      </c>
      <c r="T140" s="61"/>
      <c r="U140" s="61"/>
      <c r="V140" s="61"/>
      <c r="W140" s="58"/>
      <c r="X140" s="58"/>
      <c r="Y140" s="98" t="str">
        <f t="shared" si="9"/>
        <v/>
      </c>
    </row>
    <row r="141" spans="1:25">
      <c r="A141" s="23"/>
      <c r="B141" s="58"/>
      <c r="C141" s="58"/>
      <c r="D141" s="57"/>
      <c r="E141" s="58"/>
      <c r="F141" s="56"/>
      <c r="G141" s="58"/>
      <c r="H141" s="3"/>
      <c r="I141" s="148"/>
      <c r="J141" s="109"/>
      <c r="K141" s="45"/>
      <c r="L141" s="60"/>
      <c r="M141" s="92" t="str">
        <f t="shared" ca="1" si="12"/>
        <v/>
      </c>
      <c r="N141" s="81"/>
      <c r="O141" s="3"/>
      <c r="P141" s="58"/>
      <c r="Q141" s="92" t="str">
        <f t="shared" si="11"/>
        <v/>
      </c>
      <c r="R141" s="98">
        <f>SUMIFS('Booking Management'!J:J,'Booking Management'!B:B,'Sales Orders'!A141)</f>
        <v>0</v>
      </c>
      <c r="S141" s="99" t="str">
        <f t="shared" si="10"/>
        <v/>
      </c>
      <c r="T141" s="61"/>
      <c r="U141" s="61"/>
      <c r="V141" s="61"/>
      <c r="W141" s="65"/>
      <c r="X141" s="58"/>
      <c r="Y141" s="98" t="str">
        <f t="shared" si="9"/>
        <v/>
      </c>
    </row>
    <row r="142" spans="1:25">
      <c r="A142" s="23"/>
      <c r="B142" s="58"/>
      <c r="C142" s="58"/>
      <c r="D142" s="57"/>
      <c r="E142" s="58"/>
      <c r="F142" s="56"/>
      <c r="G142" s="58"/>
      <c r="H142" s="3"/>
      <c r="I142" s="144"/>
      <c r="J142" s="109"/>
      <c r="K142" s="45"/>
      <c r="L142" s="60"/>
      <c r="M142" s="92" t="str">
        <f t="shared" ca="1" si="12"/>
        <v/>
      </c>
      <c r="N142" s="81"/>
      <c r="O142" s="3"/>
      <c r="P142" s="58"/>
      <c r="Q142" s="92" t="str">
        <f t="shared" si="11"/>
        <v/>
      </c>
      <c r="R142" s="98">
        <f>SUMIFS('Booking Management'!J:J,'Booking Management'!B:B,'Sales Orders'!A142)</f>
        <v>0</v>
      </c>
      <c r="S142" s="99" t="str">
        <f t="shared" si="10"/>
        <v/>
      </c>
      <c r="T142" s="61"/>
      <c r="U142" s="61"/>
      <c r="V142" s="61"/>
      <c r="W142" s="58"/>
      <c r="X142" s="58"/>
      <c r="Y142" s="98" t="str">
        <f t="shared" si="9"/>
        <v/>
      </c>
    </row>
    <row r="143" spans="1:25">
      <c r="A143" s="23"/>
      <c r="B143" s="58"/>
      <c r="C143" s="58"/>
      <c r="D143" s="57"/>
      <c r="E143" s="58"/>
      <c r="F143" s="56"/>
      <c r="G143" s="58"/>
      <c r="H143" s="3"/>
      <c r="I143" s="144"/>
      <c r="J143" s="109"/>
      <c r="K143" s="45"/>
      <c r="L143" s="60"/>
      <c r="M143" s="92" t="str">
        <f t="shared" ca="1" si="12"/>
        <v/>
      </c>
      <c r="N143" s="81"/>
      <c r="O143" s="3"/>
      <c r="P143" s="58"/>
      <c r="Q143" s="92" t="str">
        <f t="shared" si="11"/>
        <v/>
      </c>
      <c r="R143" s="98">
        <f>SUMIFS('Booking Management'!J:J,'Booking Management'!B:B,'Sales Orders'!A143)</f>
        <v>0</v>
      </c>
      <c r="S143" s="99" t="str">
        <f t="shared" si="10"/>
        <v/>
      </c>
      <c r="T143" s="61"/>
      <c r="U143" s="61"/>
      <c r="V143" s="61"/>
      <c r="W143" s="58"/>
      <c r="X143" s="58"/>
      <c r="Y143" s="98" t="str">
        <f t="shared" si="9"/>
        <v/>
      </c>
    </row>
    <row r="144" spans="1:25">
      <c r="A144" s="23"/>
      <c r="B144" s="58"/>
      <c r="C144" s="58"/>
      <c r="D144" s="57"/>
      <c r="E144" s="58"/>
      <c r="F144" s="56"/>
      <c r="G144" s="58"/>
      <c r="H144" s="3"/>
      <c r="I144" s="148"/>
      <c r="J144" s="109"/>
      <c r="K144" s="45"/>
      <c r="L144" s="60"/>
      <c r="M144" s="92" t="str">
        <f t="shared" ca="1" si="12"/>
        <v/>
      </c>
      <c r="N144" s="81"/>
      <c r="O144" s="3"/>
      <c r="P144" s="58"/>
      <c r="Q144" s="92" t="str">
        <f t="shared" si="11"/>
        <v/>
      </c>
      <c r="R144" s="98">
        <f>SUMIFS('Booking Management'!J:J,'Booking Management'!B:B,'Sales Orders'!A144)</f>
        <v>0</v>
      </c>
      <c r="S144" s="99" t="str">
        <f t="shared" si="10"/>
        <v/>
      </c>
      <c r="T144" s="61"/>
      <c r="U144" s="61"/>
      <c r="V144" s="61"/>
      <c r="W144" s="58"/>
      <c r="X144" s="65"/>
      <c r="Y144" s="98" t="str">
        <f t="shared" si="9"/>
        <v/>
      </c>
    </row>
    <row r="145" spans="1:25">
      <c r="A145" s="23"/>
      <c r="B145" s="58"/>
      <c r="C145" s="58"/>
      <c r="D145" s="57"/>
      <c r="E145" s="58"/>
      <c r="F145" s="56"/>
      <c r="G145" s="58"/>
      <c r="H145" s="3"/>
      <c r="I145" s="144"/>
      <c r="J145" s="109"/>
      <c r="K145" s="45"/>
      <c r="L145" s="60"/>
      <c r="M145" s="92" t="str">
        <f t="shared" ca="1" si="12"/>
        <v/>
      </c>
      <c r="N145" s="81"/>
      <c r="O145" s="3"/>
      <c r="P145" s="58"/>
      <c r="Q145" s="92" t="str">
        <f t="shared" si="11"/>
        <v/>
      </c>
      <c r="R145" s="98">
        <f>SUMIFS('Booking Management'!J:J,'Booking Management'!B:B,'Sales Orders'!A145)</f>
        <v>0</v>
      </c>
      <c r="S145" s="99" t="str">
        <f t="shared" si="10"/>
        <v/>
      </c>
      <c r="T145" s="61"/>
      <c r="U145" s="61"/>
      <c r="V145" s="61"/>
      <c r="W145" s="58"/>
      <c r="X145" s="58"/>
      <c r="Y145" s="98" t="str">
        <f t="shared" si="9"/>
        <v/>
      </c>
    </row>
    <row r="146" spans="1:25">
      <c r="A146" s="23"/>
      <c r="B146" s="58"/>
      <c r="C146" s="58"/>
      <c r="D146" s="57"/>
      <c r="E146" s="58"/>
      <c r="F146" s="56"/>
      <c r="G146" s="58"/>
      <c r="H146" s="3"/>
      <c r="I146" s="144"/>
      <c r="J146" s="109"/>
      <c r="K146" s="45"/>
      <c r="L146" s="60"/>
      <c r="M146" s="92" t="str">
        <f t="shared" ca="1" si="12"/>
        <v/>
      </c>
      <c r="N146" s="81"/>
      <c r="O146" s="3"/>
      <c r="P146" s="58"/>
      <c r="Q146" s="92" t="str">
        <f t="shared" si="11"/>
        <v/>
      </c>
      <c r="R146" s="98">
        <f>SUMIFS('Booking Management'!J:J,'Booking Management'!B:B,'Sales Orders'!A146)</f>
        <v>0</v>
      </c>
      <c r="S146" s="99" t="str">
        <f t="shared" si="10"/>
        <v/>
      </c>
      <c r="T146" s="61"/>
      <c r="U146" s="61"/>
      <c r="V146" s="61"/>
      <c r="W146" s="58"/>
      <c r="X146" s="58"/>
      <c r="Y146" s="98" t="str">
        <f t="shared" si="9"/>
        <v/>
      </c>
    </row>
    <row r="147" spans="1:25">
      <c r="A147" s="23"/>
      <c r="B147" s="58"/>
      <c r="C147" s="58"/>
      <c r="D147" s="57"/>
      <c r="E147" s="58"/>
      <c r="F147" s="56"/>
      <c r="G147" s="58"/>
      <c r="H147" s="3"/>
      <c r="I147" s="144"/>
      <c r="J147" s="109"/>
      <c r="K147" s="45"/>
      <c r="L147" s="60"/>
      <c r="M147" s="92" t="str">
        <f t="shared" ca="1" si="12"/>
        <v/>
      </c>
      <c r="N147" s="81"/>
      <c r="O147" s="3"/>
      <c r="P147" s="58"/>
      <c r="Q147" s="92" t="str">
        <f t="shared" si="11"/>
        <v/>
      </c>
      <c r="R147" s="98">
        <f>SUMIFS('Booking Management'!J:J,'Booking Management'!B:B,'Sales Orders'!A147)</f>
        <v>0</v>
      </c>
      <c r="S147" s="99" t="str">
        <f t="shared" si="10"/>
        <v/>
      </c>
      <c r="T147" s="61"/>
      <c r="U147" s="61"/>
      <c r="V147" s="61"/>
      <c r="W147" s="58"/>
      <c r="X147" s="65"/>
      <c r="Y147" s="98" t="str">
        <f t="shared" si="9"/>
        <v/>
      </c>
    </row>
    <row r="148" spans="1:25">
      <c r="A148" s="23"/>
      <c r="B148" s="58"/>
      <c r="C148" s="58"/>
      <c r="D148" s="57"/>
      <c r="E148" s="58"/>
      <c r="F148" s="56"/>
      <c r="G148" s="58"/>
      <c r="H148" s="3"/>
      <c r="I148" s="144"/>
      <c r="J148" s="109"/>
      <c r="K148" s="45"/>
      <c r="L148" s="60"/>
      <c r="M148" s="92" t="str">
        <f t="shared" ca="1" si="12"/>
        <v/>
      </c>
      <c r="N148" s="81"/>
      <c r="O148" s="3"/>
      <c r="P148" s="58"/>
      <c r="Q148" s="92" t="str">
        <f t="shared" si="11"/>
        <v/>
      </c>
      <c r="R148" s="98">
        <f>SUMIFS('Booking Management'!J:J,'Booking Management'!B:B,'Sales Orders'!A148)</f>
        <v>0</v>
      </c>
      <c r="S148" s="99" t="str">
        <f t="shared" si="10"/>
        <v/>
      </c>
      <c r="T148" s="61"/>
      <c r="U148" s="61"/>
      <c r="V148" s="61"/>
      <c r="W148" s="58"/>
      <c r="X148" s="65"/>
      <c r="Y148" s="98" t="str">
        <f t="shared" si="9"/>
        <v/>
      </c>
    </row>
    <row r="149" spans="1:25">
      <c r="A149" s="23"/>
      <c r="B149" s="58"/>
      <c r="C149" s="58"/>
      <c r="D149" s="57"/>
      <c r="E149" s="58"/>
      <c r="F149" s="56"/>
      <c r="G149" s="58"/>
      <c r="H149" s="3"/>
      <c r="I149" s="89"/>
      <c r="J149" s="109"/>
      <c r="K149" s="45"/>
      <c r="L149" s="60"/>
      <c r="M149" s="92" t="str">
        <f t="shared" ca="1" si="12"/>
        <v/>
      </c>
      <c r="N149" s="81"/>
      <c r="O149" s="3"/>
      <c r="P149" s="58"/>
      <c r="Q149" s="92" t="str">
        <f t="shared" si="11"/>
        <v/>
      </c>
      <c r="R149" s="98">
        <f>SUMIFS('Booking Management'!J:J,'Booking Management'!B:B,'Sales Orders'!A149)</f>
        <v>0</v>
      </c>
      <c r="S149" s="99" t="str">
        <f t="shared" si="10"/>
        <v/>
      </c>
      <c r="T149" s="61"/>
      <c r="U149" s="61"/>
      <c r="V149" s="61"/>
      <c r="W149" s="58"/>
      <c r="X149" s="65"/>
      <c r="Y149" s="98" t="str">
        <f t="shared" si="9"/>
        <v/>
      </c>
    </row>
    <row r="150" spans="1:25">
      <c r="A150" s="23"/>
      <c r="B150" s="58"/>
      <c r="C150" s="58"/>
      <c r="D150" s="57"/>
      <c r="E150" s="58"/>
      <c r="F150" s="56"/>
      <c r="G150" s="58"/>
      <c r="H150" s="3"/>
      <c r="I150" s="89"/>
      <c r="J150" s="109"/>
      <c r="K150" s="45"/>
      <c r="L150" s="60"/>
      <c r="M150" s="92" t="str">
        <f t="shared" ca="1" si="12"/>
        <v/>
      </c>
      <c r="N150" s="81"/>
      <c r="O150" s="3"/>
      <c r="P150" s="58"/>
      <c r="Q150" s="92" t="str">
        <f t="shared" si="11"/>
        <v/>
      </c>
      <c r="R150" s="98">
        <f>SUMIFS('Booking Management'!J:J,'Booking Management'!B:B,'Sales Orders'!A150)</f>
        <v>0</v>
      </c>
      <c r="S150" s="99" t="str">
        <f t="shared" si="10"/>
        <v/>
      </c>
      <c r="T150" s="61"/>
      <c r="U150" s="61"/>
      <c r="V150" s="61"/>
      <c r="W150" s="58"/>
      <c r="X150" s="65"/>
      <c r="Y150" s="98" t="str">
        <f t="shared" si="9"/>
        <v/>
      </c>
    </row>
    <row r="151" spans="1:25">
      <c r="A151" s="23"/>
      <c r="B151" s="58"/>
      <c r="C151" s="58"/>
      <c r="D151" s="57"/>
      <c r="E151" s="58"/>
      <c r="F151" s="56"/>
      <c r="G151" s="58"/>
      <c r="H151" s="3"/>
      <c r="I151" s="144"/>
      <c r="J151" s="109"/>
      <c r="K151" s="45"/>
      <c r="L151" s="60"/>
      <c r="M151" s="92" t="str">
        <f t="shared" ca="1" si="12"/>
        <v/>
      </c>
      <c r="N151" s="81"/>
      <c r="O151" s="3"/>
      <c r="P151" s="58"/>
      <c r="Q151" s="92" t="str">
        <f t="shared" si="11"/>
        <v/>
      </c>
      <c r="R151" s="98">
        <f>SUMIFS('Booking Management'!J:J,'Booking Management'!B:B,'Sales Orders'!A151)</f>
        <v>0</v>
      </c>
      <c r="S151" s="99" t="str">
        <f t="shared" si="10"/>
        <v/>
      </c>
      <c r="T151" s="61"/>
      <c r="U151" s="61"/>
      <c r="V151" s="61"/>
      <c r="W151" s="58"/>
      <c r="X151" s="58"/>
      <c r="Y151" s="98" t="str">
        <f t="shared" si="9"/>
        <v/>
      </c>
    </row>
    <row r="152" spans="1:25">
      <c r="A152" s="23"/>
      <c r="B152" s="58"/>
      <c r="C152" s="58"/>
      <c r="D152" s="57"/>
      <c r="E152" s="58"/>
      <c r="F152" s="56"/>
      <c r="G152" s="58"/>
      <c r="H152" s="3"/>
      <c r="I152" s="89"/>
      <c r="J152" s="109"/>
      <c r="K152" s="45"/>
      <c r="L152" s="60"/>
      <c r="M152" s="92" t="str">
        <f t="shared" ca="1" si="12"/>
        <v/>
      </c>
      <c r="N152" s="81"/>
      <c r="O152" s="3"/>
      <c r="P152" s="58"/>
      <c r="Q152" s="92" t="str">
        <f t="shared" si="11"/>
        <v/>
      </c>
      <c r="R152" s="98">
        <f>SUMIFS('Booking Management'!J:J,'Booking Management'!B:B,'Sales Orders'!A152)</f>
        <v>0</v>
      </c>
      <c r="S152" s="99" t="str">
        <f t="shared" si="10"/>
        <v/>
      </c>
      <c r="T152" s="61"/>
      <c r="U152" s="61"/>
      <c r="V152" s="61"/>
      <c r="W152" s="58"/>
      <c r="X152" s="58"/>
      <c r="Y152" s="98" t="str">
        <f t="shared" si="9"/>
        <v/>
      </c>
    </row>
    <row r="153" spans="1:25">
      <c r="A153" s="23"/>
      <c r="B153" s="58"/>
      <c r="C153" s="58"/>
      <c r="D153" s="57"/>
      <c r="E153" s="58"/>
      <c r="F153" s="56"/>
      <c r="G153" s="58"/>
      <c r="H153" s="3"/>
      <c r="I153" s="144"/>
      <c r="J153" s="109"/>
      <c r="K153" s="45"/>
      <c r="L153" s="60"/>
      <c r="M153" s="92" t="str">
        <f t="shared" ca="1" si="12"/>
        <v/>
      </c>
      <c r="N153" s="81"/>
      <c r="O153" s="3"/>
      <c r="P153" s="58"/>
      <c r="Q153" s="92" t="str">
        <f t="shared" si="11"/>
        <v/>
      </c>
      <c r="R153" s="98">
        <f>SUMIFS('Booking Management'!J:J,'Booking Management'!B:B,'Sales Orders'!A153)</f>
        <v>0</v>
      </c>
      <c r="S153" s="99" t="str">
        <f t="shared" si="10"/>
        <v/>
      </c>
      <c r="T153" s="61"/>
      <c r="U153" s="61"/>
      <c r="V153" s="61"/>
      <c r="W153" s="58"/>
      <c r="X153" s="58"/>
      <c r="Y153" s="98" t="str">
        <f t="shared" si="9"/>
        <v/>
      </c>
    </row>
    <row r="154" spans="1:25">
      <c r="A154" s="23"/>
      <c r="B154" s="58"/>
      <c r="C154" s="58"/>
      <c r="D154" s="57"/>
      <c r="E154" s="58"/>
      <c r="F154" s="56"/>
      <c r="G154" s="58"/>
      <c r="H154" s="3"/>
      <c r="I154" s="144"/>
      <c r="J154" s="109"/>
      <c r="K154" s="45"/>
      <c r="L154" s="60"/>
      <c r="M154" s="92" t="str">
        <f t="shared" ca="1" si="12"/>
        <v/>
      </c>
      <c r="N154" s="81"/>
      <c r="O154" s="3"/>
      <c r="P154" s="58"/>
      <c r="Q154" s="92" t="str">
        <f t="shared" si="11"/>
        <v/>
      </c>
      <c r="R154" s="98">
        <f>SUMIFS('Booking Management'!J:J,'Booking Management'!B:B,'Sales Orders'!A154)</f>
        <v>0</v>
      </c>
      <c r="S154" s="99" t="str">
        <f t="shared" si="10"/>
        <v/>
      </c>
      <c r="T154" s="61"/>
      <c r="U154" s="61"/>
      <c r="V154" s="61"/>
      <c r="W154" s="58"/>
      <c r="X154" s="58"/>
      <c r="Y154" s="98" t="str">
        <f t="shared" si="9"/>
        <v/>
      </c>
    </row>
    <row r="155" spans="1:25">
      <c r="A155" s="23"/>
      <c r="B155" s="58"/>
      <c r="C155" s="58"/>
      <c r="D155" s="59"/>
      <c r="E155" s="3"/>
      <c r="F155" s="56"/>
      <c r="G155" s="3"/>
      <c r="H155" s="3"/>
      <c r="I155" s="144"/>
      <c r="J155" s="109"/>
      <c r="K155" s="45"/>
      <c r="L155" s="60"/>
      <c r="M155" s="92" t="str">
        <f t="shared" ca="1" si="12"/>
        <v/>
      </c>
      <c r="N155" s="81"/>
      <c r="O155" s="3"/>
      <c r="P155" s="58"/>
      <c r="Q155" s="92" t="str">
        <f t="shared" si="11"/>
        <v/>
      </c>
      <c r="R155" s="98">
        <f>SUMIFS('Booking Management'!J:J,'Booking Management'!B:B,'Sales Orders'!A155)</f>
        <v>0</v>
      </c>
      <c r="S155" s="99" t="str">
        <f t="shared" si="10"/>
        <v/>
      </c>
      <c r="T155" s="61"/>
      <c r="U155" s="61"/>
      <c r="V155" s="61"/>
      <c r="W155" s="58"/>
      <c r="X155" s="58"/>
      <c r="Y155" s="98" t="str">
        <f t="shared" si="9"/>
        <v/>
      </c>
    </row>
    <row r="156" spans="1:25">
      <c r="A156" s="23"/>
      <c r="B156" s="58"/>
      <c r="C156" s="58"/>
      <c r="D156" s="57"/>
      <c r="E156" s="58"/>
      <c r="F156" s="56"/>
      <c r="G156" s="58"/>
      <c r="H156" s="3"/>
      <c r="I156" s="144"/>
      <c r="J156" s="109"/>
      <c r="K156" s="45"/>
      <c r="L156" s="60"/>
      <c r="M156" s="92" t="str">
        <f t="shared" ca="1" si="12"/>
        <v/>
      </c>
      <c r="N156" s="81"/>
      <c r="O156" s="3"/>
      <c r="P156" s="58"/>
      <c r="Q156" s="92" t="str">
        <f t="shared" si="11"/>
        <v/>
      </c>
      <c r="R156" s="98">
        <f>SUMIFS('Booking Management'!J:J,'Booking Management'!B:B,'Sales Orders'!A156)</f>
        <v>0</v>
      </c>
      <c r="S156" s="99" t="str">
        <f t="shared" si="10"/>
        <v/>
      </c>
      <c r="T156" s="61"/>
      <c r="U156" s="61"/>
      <c r="V156" s="61"/>
      <c r="W156" s="65"/>
      <c r="X156" s="58"/>
      <c r="Y156" s="98" t="str">
        <f t="shared" si="9"/>
        <v/>
      </c>
    </row>
    <row r="157" spans="1:25">
      <c r="A157" s="23"/>
      <c r="B157" s="58"/>
      <c r="C157" s="58"/>
      <c r="D157" s="57"/>
      <c r="E157" s="58"/>
      <c r="F157" s="56"/>
      <c r="G157" s="58"/>
      <c r="H157" s="3"/>
      <c r="I157" s="144"/>
      <c r="J157" s="109"/>
      <c r="K157" s="45"/>
      <c r="L157" s="60"/>
      <c r="M157" s="92" t="str">
        <f t="shared" ca="1" si="12"/>
        <v/>
      </c>
      <c r="N157" s="81"/>
      <c r="O157" s="3"/>
      <c r="P157" s="58"/>
      <c r="Q157" s="92" t="str">
        <f t="shared" si="11"/>
        <v/>
      </c>
      <c r="R157" s="98">
        <f>SUMIFS('Booking Management'!J:J,'Booking Management'!B:B,'Sales Orders'!A157)</f>
        <v>0</v>
      </c>
      <c r="S157" s="99" t="str">
        <f t="shared" si="10"/>
        <v/>
      </c>
      <c r="T157" s="61"/>
      <c r="U157" s="61"/>
      <c r="V157" s="61"/>
      <c r="W157" s="58"/>
      <c r="X157" s="58"/>
      <c r="Y157" s="98" t="str">
        <f t="shared" si="9"/>
        <v/>
      </c>
    </row>
    <row r="158" spans="1:25">
      <c r="A158" s="23"/>
      <c r="B158" s="58"/>
      <c r="C158" s="58"/>
      <c r="D158" s="57"/>
      <c r="E158" s="58"/>
      <c r="F158" s="56"/>
      <c r="G158" s="58"/>
      <c r="H158" s="3"/>
      <c r="I158" s="144"/>
      <c r="J158" s="109"/>
      <c r="K158" s="45"/>
      <c r="L158" s="60"/>
      <c r="M158" s="92" t="str">
        <f t="shared" ca="1" si="12"/>
        <v/>
      </c>
      <c r="N158" s="81"/>
      <c r="O158" s="3"/>
      <c r="P158" s="58"/>
      <c r="Q158" s="92" t="str">
        <f t="shared" si="11"/>
        <v/>
      </c>
      <c r="R158" s="98">
        <f>SUMIFS('Booking Management'!J:J,'Booking Management'!B:B,'Sales Orders'!A158)</f>
        <v>0</v>
      </c>
      <c r="S158" s="99" t="str">
        <f t="shared" si="10"/>
        <v/>
      </c>
      <c r="T158" s="61"/>
      <c r="U158" s="61"/>
      <c r="V158" s="61"/>
      <c r="W158" s="58"/>
      <c r="X158" s="58"/>
      <c r="Y158" s="98" t="str">
        <f t="shared" si="9"/>
        <v/>
      </c>
    </row>
    <row r="159" spans="1:25">
      <c r="A159" s="23"/>
      <c r="B159" s="58"/>
      <c r="C159" s="58"/>
      <c r="D159" s="57"/>
      <c r="E159" s="58"/>
      <c r="F159" s="56"/>
      <c r="G159" s="58"/>
      <c r="H159" s="3"/>
      <c r="I159" s="144"/>
      <c r="J159" s="109"/>
      <c r="K159" s="45"/>
      <c r="L159" s="60"/>
      <c r="M159" s="92" t="str">
        <f t="shared" ca="1" si="12"/>
        <v/>
      </c>
      <c r="N159" s="81"/>
      <c r="O159" s="3"/>
      <c r="P159" s="58"/>
      <c r="Q159" s="92" t="str">
        <f t="shared" si="11"/>
        <v/>
      </c>
      <c r="R159" s="98">
        <f>SUMIFS('Booking Management'!J:J,'Booking Management'!B:B,'Sales Orders'!A159)</f>
        <v>0</v>
      </c>
      <c r="S159" s="99" t="str">
        <f t="shared" si="10"/>
        <v/>
      </c>
      <c r="T159" s="61"/>
      <c r="U159" s="61"/>
      <c r="V159" s="61"/>
      <c r="W159" s="58"/>
      <c r="X159" s="58"/>
      <c r="Y159" s="98" t="str">
        <f t="shared" si="9"/>
        <v/>
      </c>
    </row>
    <row r="160" spans="1:25">
      <c r="A160" s="23"/>
      <c r="B160" s="58"/>
      <c r="C160" s="58"/>
      <c r="D160" s="57"/>
      <c r="E160" s="58"/>
      <c r="F160" s="56"/>
      <c r="G160" s="58"/>
      <c r="H160" s="3"/>
      <c r="I160" s="89"/>
      <c r="J160" s="109"/>
      <c r="K160" s="45"/>
      <c r="L160" s="60"/>
      <c r="M160" s="92" t="str">
        <f t="shared" ca="1" si="12"/>
        <v/>
      </c>
      <c r="N160" s="81"/>
      <c r="O160" s="3"/>
      <c r="P160" s="58"/>
      <c r="Q160" s="92" t="str">
        <f t="shared" si="11"/>
        <v/>
      </c>
      <c r="R160" s="98">
        <f>SUMIFS('Booking Management'!J:J,'Booking Management'!B:B,'Sales Orders'!A160)</f>
        <v>0</v>
      </c>
      <c r="S160" s="99" t="str">
        <f t="shared" si="10"/>
        <v/>
      </c>
      <c r="T160" s="61"/>
      <c r="U160" s="61" t="s">
        <v>29</v>
      </c>
      <c r="V160" s="61" t="s">
        <v>29</v>
      </c>
      <c r="W160" s="58"/>
      <c r="X160" s="58"/>
      <c r="Y160" s="98" t="str">
        <f t="shared" si="9"/>
        <v/>
      </c>
    </row>
    <row r="161" spans="1:25">
      <c r="A161" s="23"/>
      <c r="B161" s="58"/>
      <c r="C161" s="58"/>
      <c r="D161" s="57"/>
      <c r="E161" s="58"/>
      <c r="F161" s="56"/>
      <c r="G161" s="58"/>
      <c r="H161" s="3"/>
      <c r="I161" s="89"/>
      <c r="J161" s="109"/>
      <c r="K161" s="45"/>
      <c r="L161" s="60"/>
      <c r="M161" s="92" t="str">
        <f t="shared" ca="1" si="12"/>
        <v/>
      </c>
      <c r="N161" s="81"/>
      <c r="O161" s="3"/>
      <c r="P161" s="58"/>
      <c r="Q161" s="92" t="str">
        <f t="shared" si="11"/>
        <v/>
      </c>
      <c r="R161" s="98">
        <f>SUMIFS('Booking Management'!J:J,'Booking Management'!B:B,'Sales Orders'!A161)</f>
        <v>0</v>
      </c>
      <c r="S161" s="99" t="str">
        <f t="shared" si="10"/>
        <v/>
      </c>
      <c r="T161" s="61"/>
      <c r="U161" s="61" t="s">
        <v>29</v>
      </c>
      <c r="V161" s="61" t="s">
        <v>29</v>
      </c>
      <c r="W161" s="58"/>
      <c r="X161" s="58"/>
      <c r="Y161" s="98" t="str">
        <f t="shared" si="9"/>
        <v/>
      </c>
    </row>
    <row r="162" spans="1:25">
      <c r="A162" s="23"/>
      <c r="B162" s="58"/>
      <c r="C162" s="58"/>
      <c r="D162" s="59"/>
      <c r="E162" s="58"/>
      <c r="F162" s="56"/>
      <c r="G162" s="58"/>
      <c r="H162" s="3"/>
      <c r="I162" s="89"/>
      <c r="J162" s="109"/>
      <c r="K162" s="45"/>
      <c r="L162" s="60"/>
      <c r="M162" s="92" t="str">
        <f t="shared" ca="1" si="12"/>
        <v/>
      </c>
      <c r="N162" s="81"/>
      <c r="O162" s="3"/>
      <c r="P162" s="58"/>
      <c r="Q162" s="92" t="str">
        <f t="shared" si="11"/>
        <v/>
      </c>
      <c r="R162" s="98">
        <f>SUMIFS('Booking Management'!J:J,'Booking Management'!B:B,'Sales Orders'!A162)</f>
        <v>0</v>
      </c>
      <c r="S162" s="99" t="str">
        <f t="shared" si="10"/>
        <v/>
      </c>
      <c r="T162" s="61"/>
      <c r="U162" s="61" t="s">
        <v>29</v>
      </c>
      <c r="V162" s="61" t="s">
        <v>29</v>
      </c>
      <c r="W162" s="58"/>
      <c r="X162" s="58"/>
      <c r="Y162" s="98" t="str">
        <f t="shared" si="9"/>
        <v/>
      </c>
    </row>
    <row r="163" spans="1:25">
      <c r="A163" s="23"/>
      <c r="B163" s="58"/>
      <c r="C163" s="58"/>
      <c r="D163" s="59"/>
      <c r="E163" s="58"/>
      <c r="F163" s="56"/>
      <c r="G163" s="58"/>
      <c r="H163" s="3"/>
      <c r="I163" s="89"/>
      <c r="J163" s="109"/>
      <c r="K163" s="45"/>
      <c r="L163" s="60"/>
      <c r="M163" s="92" t="str">
        <f t="shared" ca="1" si="12"/>
        <v/>
      </c>
      <c r="N163" s="81"/>
      <c r="O163" s="3"/>
      <c r="P163" s="58"/>
      <c r="Q163" s="92" t="str">
        <f t="shared" si="11"/>
        <v/>
      </c>
      <c r="R163" s="98">
        <f>SUMIFS('Booking Management'!J:J,'Booking Management'!B:B,'Sales Orders'!A163)</f>
        <v>0</v>
      </c>
      <c r="S163" s="99" t="str">
        <f t="shared" si="10"/>
        <v/>
      </c>
      <c r="T163" s="61"/>
      <c r="U163" s="61" t="s">
        <v>29</v>
      </c>
      <c r="V163" s="61" t="s">
        <v>29</v>
      </c>
      <c r="W163" s="58"/>
      <c r="X163" s="58"/>
      <c r="Y163" s="98" t="str">
        <f t="shared" si="9"/>
        <v/>
      </c>
    </row>
    <row r="164" spans="1:25">
      <c r="A164" s="23"/>
      <c r="B164" s="58"/>
      <c r="C164" s="58"/>
      <c r="D164" s="57"/>
      <c r="E164" s="58"/>
      <c r="F164" s="56"/>
      <c r="G164" s="58"/>
      <c r="H164" s="3"/>
      <c r="I164" s="89"/>
      <c r="J164" s="109"/>
      <c r="K164" s="45"/>
      <c r="L164" s="60"/>
      <c r="M164" s="92" t="str">
        <f t="shared" ca="1" si="12"/>
        <v/>
      </c>
      <c r="N164" s="81"/>
      <c r="O164" s="3"/>
      <c r="P164" s="58"/>
      <c r="Q164" s="92" t="str">
        <f t="shared" si="11"/>
        <v/>
      </c>
      <c r="R164" s="98">
        <f>SUMIFS('Booking Management'!J:J,'Booking Management'!B:B,'Sales Orders'!A164)</f>
        <v>0</v>
      </c>
      <c r="S164" s="99" t="str">
        <f t="shared" si="10"/>
        <v/>
      </c>
      <c r="T164" s="61"/>
      <c r="U164" s="61" t="s">
        <v>29</v>
      </c>
      <c r="V164" s="61" t="s">
        <v>29</v>
      </c>
      <c r="W164" s="65"/>
      <c r="X164" s="65"/>
      <c r="Y164" s="98" t="str">
        <f t="shared" si="9"/>
        <v/>
      </c>
    </row>
    <row r="165" spans="1:25">
      <c r="A165" s="23"/>
      <c r="B165" s="58"/>
      <c r="C165" s="58"/>
      <c r="D165" s="57"/>
      <c r="E165" s="58"/>
      <c r="F165" s="56"/>
      <c r="G165" s="58"/>
      <c r="H165" s="3"/>
      <c r="I165" s="89"/>
      <c r="J165" s="109"/>
      <c r="K165" s="45"/>
      <c r="L165" s="60"/>
      <c r="M165" s="92" t="str">
        <f t="shared" ca="1" si="12"/>
        <v/>
      </c>
      <c r="N165" s="81"/>
      <c r="O165" s="3"/>
      <c r="P165" s="58"/>
      <c r="Q165" s="92" t="str">
        <f t="shared" si="11"/>
        <v/>
      </c>
      <c r="R165" s="98">
        <f>SUMIFS('Booking Management'!J:J,'Booking Management'!B:B,'Sales Orders'!A165)</f>
        <v>0</v>
      </c>
      <c r="S165" s="99" t="str">
        <f t="shared" si="10"/>
        <v/>
      </c>
      <c r="T165" s="61"/>
      <c r="U165" s="61" t="s">
        <v>29</v>
      </c>
      <c r="V165" s="61" t="s">
        <v>29</v>
      </c>
      <c r="W165" s="58"/>
      <c r="X165" s="58"/>
      <c r="Y165" s="98" t="str">
        <f t="shared" si="9"/>
        <v/>
      </c>
    </row>
    <row r="166" spans="1:25">
      <c r="A166" s="23"/>
      <c r="B166" s="58"/>
      <c r="C166" s="58"/>
      <c r="D166" s="57"/>
      <c r="E166" s="58"/>
      <c r="F166" s="56"/>
      <c r="G166" s="58"/>
      <c r="H166" s="3"/>
      <c r="I166" s="89"/>
      <c r="J166" s="109"/>
      <c r="K166" s="45"/>
      <c r="L166" s="60"/>
      <c r="M166" s="92" t="str">
        <f t="shared" ca="1" si="12"/>
        <v/>
      </c>
      <c r="N166" s="81"/>
      <c r="O166" s="3"/>
      <c r="P166" s="58"/>
      <c r="Q166" s="92" t="str">
        <f t="shared" si="11"/>
        <v/>
      </c>
      <c r="R166" s="98">
        <f>SUMIFS('Booking Management'!J:J,'Booking Management'!B:B,'Sales Orders'!A166)</f>
        <v>0</v>
      </c>
      <c r="S166" s="99" t="str">
        <f t="shared" si="10"/>
        <v/>
      </c>
      <c r="T166" s="61"/>
      <c r="U166" s="61" t="s">
        <v>29</v>
      </c>
      <c r="V166" s="61" t="s">
        <v>29</v>
      </c>
      <c r="W166" s="65"/>
      <c r="X166" s="65"/>
      <c r="Y166" s="98" t="str">
        <f t="shared" si="9"/>
        <v/>
      </c>
    </row>
    <row r="167" spans="1:25">
      <c r="A167" s="23"/>
      <c r="B167" s="58"/>
      <c r="C167" s="58"/>
      <c r="D167" s="57"/>
      <c r="E167" s="58"/>
      <c r="F167" s="56"/>
      <c r="G167" s="58"/>
      <c r="H167" s="3"/>
      <c r="I167" s="144"/>
      <c r="J167" s="109"/>
      <c r="K167" s="45"/>
      <c r="L167" s="60"/>
      <c r="M167" s="92" t="str">
        <f t="shared" ca="1" si="12"/>
        <v/>
      </c>
      <c r="N167" s="81"/>
      <c r="O167" s="3"/>
      <c r="P167" s="58"/>
      <c r="Q167" s="92" t="str">
        <f t="shared" si="11"/>
        <v/>
      </c>
      <c r="R167" s="98">
        <f>SUMIFS('Booking Management'!J:J,'Booking Management'!B:B,'Sales Orders'!A167)</f>
        <v>0</v>
      </c>
      <c r="S167" s="99" t="str">
        <f t="shared" si="10"/>
        <v/>
      </c>
      <c r="T167" s="61"/>
      <c r="U167" s="61"/>
      <c r="V167" s="61"/>
      <c r="W167" s="65"/>
      <c r="X167" s="58"/>
      <c r="Y167" s="98" t="str">
        <f t="shared" si="9"/>
        <v/>
      </c>
    </row>
    <row r="168" spans="1:25">
      <c r="A168" s="23"/>
      <c r="B168" s="58"/>
      <c r="C168" s="58"/>
      <c r="D168" s="57"/>
      <c r="E168" s="58"/>
      <c r="F168" s="56"/>
      <c r="G168" s="58"/>
      <c r="H168" s="3"/>
      <c r="J168" s="109"/>
      <c r="K168" s="45"/>
      <c r="L168" s="60"/>
      <c r="M168" s="92" t="str">
        <f t="shared" ca="1" si="12"/>
        <v/>
      </c>
      <c r="N168" s="81"/>
      <c r="O168" s="3"/>
      <c r="P168" s="58"/>
      <c r="Q168" s="92" t="str">
        <f t="shared" si="11"/>
        <v/>
      </c>
      <c r="R168" s="98">
        <f>SUMIFS('Booking Management'!J:J,'Booking Management'!B:B,'Sales Orders'!A168)</f>
        <v>0</v>
      </c>
      <c r="S168" s="99" t="str">
        <f t="shared" si="10"/>
        <v/>
      </c>
      <c r="T168" s="61"/>
      <c r="U168" s="61"/>
      <c r="V168" s="61"/>
      <c r="W168" s="65"/>
      <c r="X168" s="58"/>
      <c r="Y168" s="98" t="str">
        <f t="shared" si="9"/>
        <v/>
      </c>
    </row>
    <row r="169" spans="1:25">
      <c r="A169" s="23"/>
      <c r="B169" s="58"/>
      <c r="C169" s="58"/>
      <c r="D169" s="57"/>
      <c r="E169" s="58"/>
      <c r="F169" s="56"/>
      <c r="G169" s="58"/>
      <c r="H169" s="3"/>
      <c r="J169" s="109"/>
      <c r="K169" s="45"/>
      <c r="L169" s="60"/>
      <c r="M169" s="92" t="str">
        <f t="shared" ca="1" si="12"/>
        <v/>
      </c>
      <c r="N169" s="81"/>
      <c r="O169" s="3"/>
      <c r="P169" s="58"/>
      <c r="Q169" s="92" t="str">
        <f t="shared" si="11"/>
        <v/>
      </c>
      <c r="R169" s="98">
        <f>SUMIFS('Booking Management'!J:J,'Booking Management'!B:B,'Sales Orders'!A169)</f>
        <v>0</v>
      </c>
      <c r="S169" s="99" t="str">
        <f t="shared" si="10"/>
        <v/>
      </c>
      <c r="T169" s="61"/>
      <c r="U169" s="61"/>
      <c r="V169" s="61"/>
      <c r="W169" s="65"/>
      <c r="X169" s="58"/>
      <c r="Y169" s="98" t="str">
        <f t="shared" si="9"/>
        <v/>
      </c>
    </row>
    <row r="170" spans="1:25">
      <c r="A170" s="23"/>
      <c r="B170" s="58"/>
      <c r="C170" s="58"/>
      <c r="D170" s="59"/>
      <c r="E170" s="58"/>
      <c r="F170" s="56"/>
      <c r="G170" s="58"/>
      <c r="H170" s="3"/>
      <c r="J170" s="109"/>
      <c r="K170" s="45"/>
      <c r="L170" s="60"/>
      <c r="M170" s="92" t="str">
        <f t="shared" ca="1" si="12"/>
        <v/>
      </c>
      <c r="N170" s="81"/>
      <c r="O170" s="3"/>
      <c r="P170" s="58"/>
      <c r="Q170" s="92" t="str">
        <f t="shared" si="11"/>
        <v/>
      </c>
      <c r="R170" s="98">
        <f>SUMIFS('Booking Management'!J:J,'Booking Management'!B:B,'Sales Orders'!A170)</f>
        <v>0</v>
      </c>
      <c r="S170" s="99" t="str">
        <f t="shared" si="10"/>
        <v/>
      </c>
      <c r="T170" s="61"/>
      <c r="U170" s="61"/>
      <c r="V170" s="61"/>
      <c r="W170" s="65"/>
      <c r="X170" s="58"/>
      <c r="Y170" s="98" t="str">
        <f t="shared" ref="Y170:Y233" si="13">IF(D170&lt;&gt;"",D170-J170,"")</f>
        <v/>
      </c>
    </row>
    <row r="171" spans="1:25">
      <c r="A171" s="23"/>
      <c r="B171" s="58"/>
      <c r="C171" s="58"/>
      <c r="D171" s="59"/>
      <c r="E171" s="58"/>
      <c r="F171" s="56"/>
      <c r="G171" s="58"/>
      <c r="H171" s="3"/>
      <c r="J171" s="109"/>
      <c r="K171" s="45"/>
      <c r="L171" s="60"/>
      <c r="M171" s="92" t="str">
        <f t="shared" ca="1" si="12"/>
        <v/>
      </c>
      <c r="N171" s="81"/>
      <c r="O171" s="3"/>
      <c r="P171" s="58"/>
      <c r="Q171" s="92" t="str">
        <f t="shared" si="11"/>
        <v/>
      </c>
      <c r="R171" s="98">
        <f>SUMIFS('Booking Management'!J:J,'Booking Management'!B:B,'Sales Orders'!A171)</f>
        <v>0</v>
      </c>
      <c r="S171" s="99" t="str">
        <f t="shared" si="10"/>
        <v/>
      </c>
      <c r="T171" s="61"/>
      <c r="U171" s="61"/>
      <c r="V171" s="61"/>
      <c r="W171" s="65"/>
      <c r="X171" s="58"/>
      <c r="Y171" s="98" t="str">
        <f t="shared" si="13"/>
        <v/>
      </c>
    </row>
    <row r="172" spans="1:25">
      <c r="A172" s="23"/>
      <c r="B172" s="58"/>
      <c r="C172" s="58"/>
      <c r="D172" s="59"/>
      <c r="E172" s="58"/>
      <c r="F172" s="56"/>
      <c r="G172" s="58"/>
      <c r="H172" s="3"/>
      <c r="J172" s="109" t="str">
        <f>IF(C172&lt;&gt;"",SUMIFS('Booking Management'!Y:Y,'Booking Management'!B:B,'Sales Orders'!A172),"")</f>
        <v/>
      </c>
      <c r="K172" s="45"/>
      <c r="L172" s="60"/>
      <c r="M172" s="92" t="str">
        <f t="shared" ca="1" si="12"/>
        <v/>
      </c>
      <c r="N172" s="81"/>
      <c r="O172" s="3"/>
      <c r="P172" s="58"/>
      <c r="Q172" s="92" t="str">
        <f t="shared" si="11"/>
        <v/>
      </c>
      <c r="R172" s="98">
        <f>SUMIFS('Booking Management'!J:J,'Booking Management'!B:B,'Sales Orders'!A172)</f>
        <v>0</v>
      </c>
      <c r="S172" s="99" t="str">
        <f t="shared" si="10"/>
        <v/>
      </c>
      <c r="T172" s="61"/>
      <c r="U172" s="61"/>
      <c r="V172" s="61"/>
      <c r="W172" s="65"/>
      <c r="X172" s="65"/>
      <c r="Y172" s="98" t="str">
        <f t="shared" si="13"/>
        <v/>
      </c>
    </row>
    <row r="173" spans="1:25">
      <c r="A173" s="23"/>
      <c r="B173" s="58"/>
      <c r="C173" s="58"/>
      <c r="D173" s="59"/>
      <c r="E173" s="58"/>
      <c r="F173" s="56"/>
      <c r="G173" s="58"/>
      <c r="H173" s="3"/>
      <c r="J173" s="109" t="str">
        <f>IF(C173&lt;&gt;"",SUMIFS('Booking Management'!Y:Y,'Booking Management'!B:B,'Sales Orders'!A173),"")</f>
        <v/>
      </c>
      <c r="K173" s="45"/>
      <c r="L173" s="60"/>
      <c r="M173" s="92" t="str">
        <f t="shared" ca="1" si="12"/>
        <v/>
      </c>
      <c r="N173" s="81"/>
      <c r="O173" s="3"/>
      <c r="P173" s="58"/>
      <c r="Q173" s="92" t="str">
        <f t="shared" si="11"/>
        <v/>
      </c>
      <c r="R173" s="98">
        <f>SUMIFS('Booking Management'!J:J,'Booking Management'!B:B,'Sales Orders'!A173)</f>
        <v>0</v>
      </c>
      <c r="S173" s="99" t="str">
        <f t="shared" si="10"/>
        <v/>
      </c>
      <c r="T173" s="61"/>
      <c r="U173" s="61"/>
      <c r="V173" s="61"/>
      <c r="W173" s="65"/>
      <c r="X173" s="58"/>
      <c r="Y173" s="98" t="str">
        <f t="shared" si="13"/>
        <v/>
      </c>
    </row>
    <row r="174" spans="1:25">
      <c r="A174" s="23"/>
      <c r="B174" s="58"/>
      <c r="C174" s="58"/>
      <c r="D174" s="57"/>
      <c r="E174" s="58"/>
      <c r="F174" s="56"/>
      <c r="G174" s="58"/>
      <c r="H174" s="3"/>
      <c r="J174" s="109" t="str">
        <f>IF(C174&lt;&gt;"",SUMIFS('Booking Management'!Y:Y,'Booking Management'!B:B,'Sales Orders'!A174),"")</f>
        <v/>
      </c>
      <c r="K174" s="45"/>
      <c r="L174" s="60"/>
      <c r="M174" s="92" t="str">
        <f t="shared" ca="1" si="12"/>
        <v/>
      </c>
      <c r="N174" s="81"/>
      <c r="O174" s="3"/>
      <c r="P174" s="58"/>
      <c r="Q174" s="92" t="str">
        <f t="shared" si="11"/>
        <v/>
      </c>
      <c r="R174" s="98">
        <f>SUMIFS('Booking Management'!J:J,'Booking Management'!B:B,'Sales Orders'!A174)</f>
        <v>0</v>
      </c>
      <c r="S174" s="99" t="str">
        <f t="shared" si="10"/>
        <v/>
      </c>
      <c r="T174" s="61"/>
      <c r="U174" s="61"/>
      <c r="V174" s="61"/>
      <c r="W174" s="58"/>
      <c r="X174" s="58"/>
      <c r="Y174" s="98" t="str">
        <f t="shared" si="13"/>
        <v/>
      </c>
    </row>
    <row r="175" spans="1:25">
      <c r="A175" s="23"/>
      <c r="B175" s="58"/>
      <c r="C175" s="58"/>
      <c r="D175" s="57"/>
      <c r="E175" s="58"/>
      <c r="F175" s="56"/>
      <c r="G175" s="58"/>
      <c r="H175" s="3"/>
      <c r="J175" s="109" t="str">
        <f>IF(C175&lt;&gt;"",SUMIFS('Booking Management'!Y:Y,'Booking Management'!B:B,'Sales Orders'!A175),"")</f>
        <v/>
      </c>
      <c r="K175" s="45"/>
      <c r="L175" s="60"/>
      <c r="M175" s="92" t="str">
        <f t="shared" ca="1" si="12"/>
        <v/>
      </c>
      <c r="N175" s="81"/>
      <c r="O175" s="3"/>
      <c r="P175" s="58"/>
      <c r="Q175" s="92" t="str">
        <f t="shared" si="11"/>
        <v/>
      </c>
      <c r="R175" s="98">
        <f>SUMIFS('Booking Management'!J:J,'Booking Management'!B:B,'Sales Orders'!A175)</f>
        <v>0</v>
      </c>
      <c r="S175" s="99" t="str">
        <f t="shared" si="10"/>
        <v/>
      </c>
      <c r="T175" s="61"/>
      <c r="U175" s="61"/>
      <c r="V175" s="61"/>
      <c r="W175" s="58"/>
      <c r="X175" s="58"/>
      <c r="Y175" s="98" t="str">
        <f t="shared" si="13"/>
        <v/>
      </c>
    </row>
    <row r="176" spans="1:25">
      <c r="A176" s="23"/>
      <c r="B176" s="58"/>
      <c r="C176" s="58"/>
      <c r="D176" s="59"/>
      <c r="E176" s="58"/>
      <c r="F176" s="56"/>
      <c r="G176" s="58"/>
      <c r="H176" s="3"/>
      <c r="J176" s="109" t="str">
        <f>IF(C176&lt;&gt;"",SUMIFS('Booking Management'!Y:Y,'Booking Management'!B:B,'Sales Orders'!A176),"")</f>
        <v/>
      </c>
      <c r="K176" s="45"/>
      <c r="L176" s="60"/>
      <c r="M176" s="92" t="str">
        <f t="shared" ca="1" si="12"/>
        <v/>
      </c>
      <c r="N176" s="81"/>
      <c r="O176" s="3"/>
      <c r="P176" s="58"/>
      <c r="Q176" s="92" t="str">
        <f t="shared" si="11"/>
        <v/>
      </c>
      <c r="R176" s="98">
        <f>SUMIFS('Booking Management'!J:J,'Booking Management'!B:B,'Sales Orders'!A176)</f>
        <v>0</v>
      </c>
      <c r="S176" s="99" t="str">
        <f t="shared" si="10"/>
        <v/>
      </c>
      <c r="T176" s="61"/>
      <c r="U176" s="61"/>
      <c r="V176" s="61"/>
      <c r="W176" s="58"/>
      <c r="X176" s="58"/>
      <c r="Y176" s="98" t="str">
        <f t="shared" si="13"/>
        <v/>
      </c>
    </row>
    <row r="177" spans="1:25">
      <c r="A177" s="23"/>
      <c r="B177" s="58"/>
      <c r="C177" s="58"/>
      <c r="D177" s="59"/>
      <c r="E177" s="58"/>
      <c r="F177" s="56"/>
      <c r="G177" s="58"/>
      <c r="H177" s="3"/>
      <c r="J177" s="109" t="str">
        <f>IF(C177&lt;&gt;"",SUMIFS('Booking Management'!Y:Y,'Booking Management'!B:B,'Sales Orders'!A177),"")</f>
        <v/>
      </c>
      <c r="K177" s="45"/>
      <c r="L177" s="60"/>
      <c r="M177" s="92" t="str">
        <f t="shared" ca="1" si="12"/>
        <v/>
      </c>
      <c r="N177" s="81"/>
      <c r="O177" s="3"/>
      <c r="P177" s="58"/>
      <c r="Q177" s="92" t="str">
        <f t="shared" si="11"/>
        <v/>
      </c>
      <c r="R177" s="98">
        <f>SUMIFS('Booking Management'!J:J,'Booking Management'!B:B,'Sales Orders'!A177)</f>
        <v>0</v>
      </c>
      <c r="S177" s="99" t="str">
        <f t="shared" si="10"/>
        <v/>
      </c>
      <c r="T177" s="61"/>
      <c r="U177" s="61"/>
      <c r="V177" s="61"/>
      <c r="W177" s="58"/>
      <c r="X177" s="58"/>
      <c r="Y177" s="98" t="str">
        <f t="shared" si="13"/>
        <v/>
      </c>
    </row>
    <row r="178" spans="1:25">
      <c r="A178" s="23"/>
      <c r="B178" s="58"/>
      <c r="C178" s="58"/>
      <c r="D178" s="59"/>
      <c r="E178" s="58"/>
      <c r="F178" s="56"/>
      <c r="G178" s="58"/>
      <c r="H178" s="3"/>
      <c r="J178" s="109" t="str">
        <f>IF(C178&lt;&gt;"",SUMIFS('Booking Management'!Y:Y,'Booking Management'!B:B,'Sales Orders'!A178),"")</f>
        <v/>
      </c>
      <c r="K178" s="45"/>
      <c r="L178" s="60"/>
      <c r="M178" s="92" t="str">
        <f t="shared" ca="1" si="12"/>
        <v/>
      </c>
      <c r="N178" s="81"/>
      <c r="O178" s="3"/>
      <c r="P178" s="58"/>
      <c r="Q178" s="92" t="str">
        <f t="shared" si="11"/>
        <v/>
      </c>
      <c r="R178" s="98">
        <f>SUMIFS('Booking Management'!J:J,'Booking Management'!B:B,'Sales Orders'!A178)</f>
        <v>0</v>
      </c>
      <c r="S178" s="99" t="str">
        <f t="shared" si="10"/>
        <v/>
      </c>
      <c r="T178" s="61"/>
      <c r="U178" s="61"/>
      <c r="V178" s="61"/>
      <c r="W178" s="58"/>
      <c r="X178" s="58"/>
      <c r="Y178" s="98" t="str">
        <f t="shared" si="13"/>
        <v/>
      </c>
    </row>
    <row r="179" spans="1:25">
      <c r="A179" s="23"/>
      <c r="B179" s="58"/>
      <c r="C179" s="58"/>
      <c r="D179" s="59"/>
      <c r="E179" s="58"/>
      <c r="F179" s="56"/>
      <c r="G179" s="58"/>
      <c r="H179" s="3"/>
      <c r="J179" s="109" t="str">
        <f>IF(C179&lt;&gt;"",SUMIFS('Booking Management'!Y:Y,'Booking Management'!B:B,'Sales Orders'!A179),"")</f>
        <v/>
      </c>
      <c r="K179" s="45"/>
      <c r="L179" s="60"/>
      <c r="M179" s="92" t="str">
        <f t="shared" ca="1" si="12"/>
        <v/>
      </c>
      <c r="N179" s="81"/>
      <c r="O179" s="3"/>
      <c r="P179" s="58"/>
      <c r="Q179" s="92" t="str">
        <f t="shared" si="11"/>
        <v/>
      </c>
      <c r="R179" s="98">
        <f>SUMIFS('Booking Management'!J:J,'Booking Management'!B:B,'Sales Orders'!A179)</f>
        <v>0</v>
      </c>
      <c r="S179" s="99" t="str">
        <f t="shared" si="10"/>
        <v/>
      </c>
      <c r="T179" s="61"/>
      <c r="U179" s="61"/>
      <c r="V179" s="61"/>
      <c r="W179" s="65"/>
      <c r="X179" s="58"/>
      <c r="Y179" s="98" t="str">
        <f t="shared" si="13"/>
        <v/>
      </c>
    </row>
    <row r="180" spans="1:25">
      <c r="A180" s="23"/>
      <c r="B180" s="58"/>
      <c r="C180" s="58"/>
      <c r="D180" s="59"/>
      <c r="E180" s="58"/>
      <c r="F180" s="56"/>
      <c r="G180" s="58"/>
      <c r="H180" s="3"/>
      <c r="J180" s="109" t="str">
        <f>IF(C180&lt;&gt;"",SUMIFS('Booking Management'!Y:Y,'Booking Management'!B:B,'Sales Orders'!A180),"")</f>
        <v/>
      </c>
      <c r="K180" s="45"/>
      <c r="L180" s="60"/>
      <c r="M180" s="92" t="str">
        <f t="shared" ca="1" si="12"/>
        <v/>
      </c>
      <c r="N180" s="81"/>
      <c r="O180" s="3"/>
      <c r="P180" s="58"/>
      <c r="Q180" s="92" t="str">
        <f t="shared" si="11"/>
        <v/>
      </c>
      <c r="R180" s="98">
        <f>SUMIFS('Booking Management'!J:J,'Booking Management'!B:B,'Sales Orders'!A180)</f>
        <v>0</v>
      </c>
      <c r="S180" s="99" t="str">
        <f t="shared" si="10"/>
        <v/>
      </c>
      <c r="T180" s="61"/>
      <c r="U180" s="61"/>
      <c r="V180" s="61"/>
      <c r="W180" s="65"/>
      <c r="X180" s="58"/>
      <c r="Y180" s="98" t="str">
        <f t="shared" si="13"/>
        <v/>
      </c>
    </row>
    <row r="181" spans="1:25">
      <c r="A181" s="23"/>
      <c r="B181" s="58"/>
      <c r="C181" s="58"/>
      <c r="D181" s="59"/>
      <c r="E181" s="58"/>
      <c r="F181" s="56"/>
      <c r="G181" s="58"/>
      <c r="H181" s="3"/>
      <c r="J181" s="109" t="str">
        <f>IF(C181&lt;&gt;"",SUMIFS('Booking Management'!Y:Y,'Booking Management'!B:B,'Sales Orders'!A181),"")</f>
        <v/>
      </c>
      <c r="K181" s="45"/>
      <c r="L181" s="60"/>
      <c r="M181" s="92" t="str">
        <f t="shared" ca="1" si="12"/>
        <v/>
      </c>
      <c r="N181" s="81"/>
      <c r="O181" s="3"/>
      <c r="P181" s="58"/>
      <c r="Q181" s="92" t="str">
        <f t="shared" si="11"/>
        <v/>
      </c>
      <c r="R181" s="98">
        <f>SUMIFS('Booking Management'!J:J,'Booking Management'!B:B,'Sales Orders'!A181)</f>
        <v>0</v>
      </c>
      <c r="S181" s="99" t="str">
        <f t="shared" si="10"/>
        <v/>
      </c>
      <c r="T181" s="61"/>
      <c r="U181" s="61"/>
      <c r="V181" s="61"/>
      <c r="W181" s="58"/>
      <c r="X181" s="58"/>
      <c r="Y181" s="98" t="str">
        <f t="shared" si="13"/>
        <v/>
      </c>
    </row>
    <row r="182" spans="1:25">
      <c r="A182" s="23"/>
      <c r="B182" s="58"/>
      <c r="C182" s="58"/>
      <c r="D182" s="59"/>
      <c r="E182" s="58"/>
      <c r="F182" s="56"/>
      <c r="G182" s="58"/>
      <c r="H182" s="3"/>
      <c r="J182" s="109" t="str">
        <f>IF(C182&lt;&gt;"",SUMIFS('Booking Management'!Y:Y,'Booking Management'!B:B,'Sales Orders'!A182),"")</f>
        <v/>
      </c>
      <c r="K182" s="45"/>
      <c r="L182" s="60"/>
      <c r="M182" s="92" t="str">
        <f t="shared" ca="1" si="12"/>
        <v/>
      </c>
      <c r="N182" s="81"/>
      <c r="O182" s="3"/>
      <c r="P182" s="58"/>
      <c r="Q182" s="92" t="str">
        <f t="shared" si="11"/>
        <v/>
      </c>
      <c r="R182" s="98">
        <f>SUMIFS('Booking Management'!J:J,'Booking Management'!B:B,'Sales Orders'!A182)</f>
        <v>0</v>
      </c>
      <c r="S182" s="99" t="str">
        <f t="shared" si="10"/>
        <v/>
      </c>
      <c r="T182" s="61"/>
      <c r="U182" s="61"/>
      <c r="V182" s="61"/>
      <c r="W182" s="58"/>
      <c r="X182" s="58"/>
      <c r="Y182" s="98" t="str">
        <f t="shared" si="13"/>
        <v/>
      </c>
    </row>
    <row r="183" spans="1:25">
      <c r="A183" s="23"/>
      <c r="B183" s="58"/>
      <c r="C183" s="58"/>
      <c r="D183" s="59"/>
      <c r="E183" s="58"/>
      <c r="F183" s="56"/>
      <c r="G183" s="58"/>
      <c r="H183" s="3"/>
      <c r="J183" s="109" t="str">
        <f>IF(C183&lt;&gt;"",SUMIFS('Booking Management'!Y:Y,'Booking Management'!B:B,'Sales Orders'!A183),"")</f>
        <v/>
      </c>
      <c r="K183" s="45"/>
      <c r="L183" s="60"/>
      <c r="M183" s="92" t="str">
        <f t="shared" ca="1" si="12"/>
        <v/>
      </c>
      <c r="N183" s="81"/>
      <c r="O183" s="3"/>
      <c r="P183" s="58"/>
      <c r="Q183" s="92" t="str">
        <f t="shared" si="11"/>
        <v/>
      </c>
      <c r="R183" s="98">
        <f>SUMIFS('Booking Management'!J:J,'Booking Management'!B:B,'Sales Orders'!A183)</f>
        <v>0</v>
      </c>
      <c r="S183" s="99" t="str">
        <f t="shared" si="10"/>
        <v/>
      </c>
      <c r="T183" s="61"/>
      <c r="U183" s="61"/>
      <c r="V183" s="61"/>
      <c r="W183" s="58"/>
      <c r="X183" s="58"/>
      <c r="Y183" s="98" t="str">
        <f t="shared" si="13"/>
        <v/>
      </c>
    </row>
    <row r="184" spans="1:25">
      <c r="A184" s="23"/>
      <c r="B184" s="58"/>
      <c r="C184" s="58"/>
      <c r="D184" s="59"/>
      <c r="E184" s="58"/>
      <c r="F184" s="56"/>
      <c r="G184" s="58"/>
      <c r="H184" s="3"/>
      <c r="J184" s="109" t="str">
        <f>IF(C184&lt;&gt;"",SUMIFS('Booking Management'!Y:Y,'Booking Management'!B:B,'Sales Orders'!A184),"")</f>
        <v/>
      </c>
      <c r="K184" s="45"/>
      <c r="L184" s="60"/>
      <c r="M184" s="92" t="str">
        <f t="shared" ca="1" si="12"/>
        <v/>
      </c>
      <c r="N184" s="81"/>
      <c r="O184" s="3"/>
      <c r="P184" s="58"/>
      <c r="Q184" s="92" t="str">
        <f t="shared" si="11"/>
        <v/>
      </c>
      <c r="R184" s="98">
        <f>SUMIFS('Booking Management'!J:J,'Booking Management'!B:B,'Sales Orders'!A184)</f>
        <v>0</v>
      </c>
      <c r="S184" s="99" t="str">
        <f t="shared" si="10"/>
        <v/>
      </c>
      <c r="T184" s="61"/>
      <c r="U184" s="61"/>
      <c r="V184" s="61"/>
      <c r="W184" s="58"/>
      <c r="X184" s="58"/>
      <c r="Y184" s="98" t="str">
        <f t="shared" si="13"/>
        <v/>
      </c>
    </row>
    <row r="185" spans="1:25">
      <c r="A185" s="23"/>
      <c r="B185" s="58"/>
      <c r="C185" s="58"/>
      <c r="D185" s="59"/>
      <c r="E185" s="58"/>
      <c r="F185" s="56"/>
      <c r="G185" s="58"/>
      <c r="H185" s="3"/>
      <c r="J185" s="109" t="str">
        <f>IF(C185&lt;&gt;"",SUMIFS('Booking Management'!Y:Y,'Booking Management'!B:B,'Sales Orders'!A185),"")</f>
        <v/>
      </c>
      <c r="K185" s="45"/>
      <c r="L185" s="60"/>
      <c r="M185" s="92" t="str">
        <f t="shared" ca="1" si="12"/>
        <v/>
      </c>
      <c r="N185" s="81"/>
      <c r="O185" s="3"/>
      <c r="P185" s="58"/>
      <c r="Q185" s="92" t="str">
        <f t="shared" si="11"/>
        <v/>
      </c>
      <c r="R185" s="98">
        <f>SUMIFS('Booking Management'!J:J,'Booking Management'!B:B,'Sales Orders'!A185)</f>
        <v>0</v>
      </c>
      <c r="S185" s="99" t="str">
        <f t="shared" si="10"/>
        <v/>
      </c>
      <c r="T185" s="61"/>
      <c r="U185" s="61"/>
      <c r="V185" s="61"/>
      <c r="W185" s="58"/>
      <c r="X185" s="58"/>
      <c r="Y185" s="98" t="str">
        <f t="shared" si="13"/>
        <v/>
      </c>
    </row>
    <row r="186" spans="1:25">
      <c r="A186" s="23"/>
      <c r="B186" s="58"/>
      <c r="C186" s="58"/>
      <c r="D186" s="59"/>
      <c r="E186" s="58"/>
      <c r="F186" s="56"/>
      <c r="G186" s="58"/>
      <c r="H186" s="3"/>
      <c r="J186" s="109" t="str">
        <f>IF(C186&lt;&gt;"",SUMIFS('Booking Management'!Y:Y,'Booking Management'!B:B,'Sales Orders'!A186),"")</f>
        <v/>
      </c>
      <c r="K186" s="45"/>
      <c r="L186" s="60"/>
      <c r="M186" s="92" t="str">
        <f t="shared" ca="1" si="12"/>
        <v/>
      </c>
      <c r="N186" s="81"/>
      <c r="O186" s="3"/>
      <c r="P186" s="58"/>
      <c r="Q186" s="92" t="str">
        <f t="shared" si="11"/>
        <v/>
      </c>
      <c r="R186" s="98">
        <f>SUMIFS('Booking Management'!J:J,'Booking Management'!B:B,'Sales Orders'!A186)</f>
        <v>0</v>
      </c>
      <c r="S186" s="99" t="str">
        <f t="shared" si="10"/>
        <v/>
      </c>
      <c r="T186" s="61"/>
      <c r="U186" s="61"/>
      <c r="V186" s="61"/>
      <c r="W186" s="58"/>
      <c r="X186" s="58"/>
      <c r="Y186" s="98" t="str">
        <f t="shared" si="13"/>
        <v/>
      </c>
    </row>
    <row r="187" spans="1:25">
      <c r="A187" s="23"/>
      <c r="B187" s="58"/>
      <c r="C187" s="58"/>
      <c r="D187" s="59"/>
      <c r="E187" s="58"/>
      <c r="F187" s="56"/>
      <c r="G187" s="58"/>
      <c r="H187" s="3"/>
      <c r="J187" s="109" t="str">
        <f>IF(C187&lt;&gt;"",SUMIFS('Booking Management'!Y:Y,'Booking Management'!B:B,'Sales Orders'!A187),"")</f>
        <v/>
      </c>
      <c r="K187" s="45"/>
      <c r="L187" s="60"/>
      <c r="M187" s="92" t="str">
        <f t="shared" ca="1" si="12"/>
        <v/>
      </c>
      <c r="N187" s="81"/>
      <c r="O187" s="3"/>
      <c r="P187" s="58"/>
      <c r="Q187" s="92" t="str">
        <f t="shared" si="11"/>
        <v/>
      </c>
      <c r="R187" s="98">
        <f>SUMIFS('Booking Management'!J:J,'Booking Management'!B:B,'Sales Orders'!A187)</f>
        <v>0</v>
      </c>
      <c r="S187" s="99" t="str">
        <f t="shared" si="10"/>
        <v/>
      </c>
      <c r="T187" s="61"/>
      <c r="U187" s="61"/>
      <c r="V187" s="61"/>
      <c r="W187" s="65"/>
      <c r="X187" s="58"/>
      <c r="Y187" s="98" t="str">
        <f t="shared" si="13"/>
        <v/>
      </c>
    </row>
    <row r="188" spans="1:25">
      <c r="A188" s="23"/>
      <c r="B188" s="58"/>
      <c r="C188" s="58"/>
      <c r="D188" s="59"/>
      <c r="E188" s="58"/>
      <c r="F188" s="56"/>
      <c r="G188" s="58"/>
      <c r="H188" s="3"/>
      <c r="J188" s="109" t="str">
        <f>IF(C188&lt;&gt;"",SUMIFS('Booking Management'!Y:Y,'Booking Management'!B:B,'Sales Orders'!A188),"")</f>
        <v/>
      </c>
      <c r="K188" s="45"/>
      <c r="L188" s="60"/>
      <c r="M188" s="92" t="str">
        <f t="shared" ca="1" si="12"/>
        <v/>
      </c>
      <c r="N188" s="81"/>
      <c r="O188" s="3"/>
      <c r="P188" s="58"/>
      <c r="Q188" s="92" t="str">
        <f t="shared" si="11"/>
        <v/>
      </c>
      <c r="R188" s="98">
        <f>SUMIFS('Booking Management'!J:J,'Booking Management'!B:B,'Sales Orders'!A188)</f>
        <v>0</v>
      </c>
      <c r="S188" s="99" t="str">
        <f t="shared" si="10"/>
        <v/>
      </c>
      <c r="T188" s="61"/>
      <c r="U188" s="61"/>
      <c r="V188" s="61"/>
      <c r="W188" s="58"/>
      <c r="X188" s="58"/>
      <c r="Y188" s="98" t="str">
        <f t="shared" si="13"/>
        <v/>
      </c>
    </row>
    <row r="189" spans="1:25">
      <c r="A189" s="23"/>
      <c r="B189" s="58"/>
      <c r="C189" s="58"/>
      <c r="D189" s="59"/>
      <c r="E189" s="58"/>
      <c r="F189" s="56"/>
      <c r="G189" s="58"/>
      <c r="H189" s="3"/>
      <c r="J189" s="109" t="str">
        <f>IF(C189&lt;&gt;"",SUMIFS('Booking Management'!Y:Y,'Booking Management'!B:B,'Sales Orders'!A189),"")</f>
        <v/>
      </c>
      <c r="K189" s="45"/>
      <c r="L189" s="60"/>
      <c r="M189" s="92" t="str">
        <f t="shared" ca="1" si="12"/>
        <v/>
      </c>
      <c r="N189" s="81"/>
      <c r="O189" s="3"/>
      <c r="P189" s="58"/>
      <c r="Q189" s="92" t="str">
        <f t="shared" si="11"/>
        <v/>
      </c>
      <c r="R189" s="98">
        <f>SUMIFS('Booking Management'!J:J,'Booking Management'!B:B,'Sales Orders'!A189)</f>
        <v>0</v>
      </c>
      <c r="S189" s="99" t="str">
        <f t="shared" si="10"/>
        <v/>
      </c>
      <c r="T189" s="61"/>
      <c r="U189" s="61"/>
      <c r="V189" s="61"/>
      <c r="W189" s="58"/>
      <c r="X189" s="58"/>
      <c r="Y189" s="98" t="str">
        <f t="shared" si="13"/>
        <v/>
      </c>
    </row>
    <row r="190" spans="1:25">
      <c r="A190" s="23"/>
      <c r="B190" s="58"/>
      <c r="C190" s="58"/>
      <c r="D190" s="59"/>
      <c r="E190" s="58"/>
      <c r="F190" s="56"/>
      <c r="G190" s="58"/>
      <c r="H190" s="3"/>
      <c r="J190" s="109" t="str">
        <f>IF(C190&lt;&gt;"",SUMIFS('Booking Management'!Y:Y,'Booking Management'!B:B,'Sales Orders'!A190),"")</f>
        <v/>
      </c>
      <c r="K190" s="45"/>
      <c r="L190" s="60"/>
      <c r="M190" s="92" t="str">
        <f t="shared" ca="1" si="12"/>
        <v/>
      </c>
      <c r="N190" s="81"/>
      <c r="O190" s="3"/>
      <c r="P190" s="58"/>
      <c r="Q190" s="92" t="str">
        <f t="shared" si="11"/>
        <v/>
      </c>
      <c r="R190" s="98">
        <f>SUMIFS('Booking Management'!J:J,'Booking Management'!B:B,'Sales Orders'!A190)</f>
        <v>0</v>
      </c>
      <c r="S190" s="99" t="str">
        <f t="shared" si="10"/>
        <v/>
      </c>
      <c r="T190" s="61"/>
      <c r="U190" s="61"/>
      <c r="V190" s="61"/>
      <c r="W190" s="58"/>
      <c r="X190" s="58"/>
      <c r="Y190" s="98" t="str">
        <f t="shared" si="13"/>
        <v/>
      </c>
    </row>
    <row r="191" spans="1:25">
      <c r="A191" s="23"/>
      <c r="B191" s="58"/>
      <c r="C191" s="58"/>
      <c r="D191" s="59"/>
      <c r="E191" s="58"/>
      <c r="F191" s="56"/>
      <c r="G191" s="58"/>
      <c r="H191" s="3"/>
      <c r="J191" s="109" t="str">
        <f>IF(C191&lt;&gt;"",SUMIFS('Booking Management'!Y:Y,'Booking Management'!B:B,'Sales Orders'!A191),"")</f>
        <v/>
      </c>
      <c r="K191" s="45"/>
      <c r="L191" s="60"/>
      <c r="M191" s="92" t="str">
        <f t="shared" ca="1" si="12"/>
        <v/>
      </c>
      <c r="N191" s="81"/>
      <c r="O191" s="3"/>
      <c r="P191" s="58"/>
      <c r="Q191" s="92" t="str">
        <f t="shared" si="11"/>
        <v/>
      </c>
      <c r="R191" s="98">
        <f>SUMIFS('Booking Management'!J:J,'Booking Management'!B:B,'Sales Orders'!A191)</f>
        <v>0</v>
      </c>
      <c r="S191" s="99" t="str">
        <f t="shared" si="10"/>
        <v/>
      </c>
      <c r="T191" s="61"/>
      <c r="U191" s="61"/>
      <c r="V191" s="61"/>
      <c r="W191" s="58"/>
      <c r="X191" s="58"/>
      <c r="Y191" s="98" t="str">
        <f t="shared" si="13"/>
        <v/>
      </c>
    </row>
    <row r="192" spans="1:25">
      <c r="A192" s="23"/>
      <c r="B192" s="58"/>
      <c r="C192" s="58"/>
      <c r="D192" s="59"/>
      <c r="E192" s="58"/>
      <c r="F192" s="56"/>
      <c r="G192" s="58"/>
      <c r="H192" s="3"/>
      <c r="J192" s="109" t="str">
        <f>IF(C192&lt;&gt;"",SUMIFS('Booking Management'!Y:Y,'Booking Management'!B:B,'Sales Orders'!A192),"")</f>
        <v/>
      </c>
      <c r="K192" s="45"/>
      <c r="L192" s="60"/>
      <c r="M192" s="92" t="str">
        <f t="shared" ca="1" si="12"/>
        <v/>
      </c>
      <c r="N192" s="81"/>
      <c r="O192" s="3"/>
      <c r="P192" s="58"/>
      <c r="Q192" s="92" t="str">
        <f t="shared" si="11"/>
        <v/>
      </c>
      <c r="R192" s="98">
        <f>SUMIFS('Booking Management'!J:J,'Booking Management'!B:B,'Sales Orders'!A192)</f>
        <v>0</v>
      </c>
      <c r="S192" s="99" t="str">
        <f t="shared" si="10"/>
        <v/>
      </c>
      <c r="T192" s="61"/>
      <c r="U192" s="61"/>
      <c r="V192" s="61"/>
      <c r="W192" s="58"/>
      <c r="X192" s="58"/>
      <c r="Y192" s="98" t="str">
        <f t="shared" si="13"/>
        <v/>
      </c>
    </row>
    <row r="193" spans="1:25">
      <c r="A193" s="23"/>
      <c r="B193" s="58"/>
      <c r="C193" s="58"/>
      <c r="D193" s="59"/>
      <c r="E193" s="58"/>
      <c r="F193" s="56"/>
      <c r="G193" s="58"/>
      <c r="H193" s="3"/>
      <c r="J193" s="109" t="str">
        <f>IF(C193&lt;&gt;"",SUMIFS('Booking Management'!Y:Y,'Booking Management'!B:B,'Sales Orders'!A193),"")</f>
        <v/>
      </c>
      <c r="K193" s="45"/>
      <c r="L193" s="60"/>
      <c r="M193" s="92" t="str">
        <f t="shared" ca="1" si="12"/>
        <v/>
      </c>
      <c r="N193" s="81"/>
      <c r="O193" s="3"/>
      <c r="P193" s="58"/>
      <c r="Q193" s="92" t="str">
        <f t="shared" si="11"/>
        <v/>
      </c>
      <c r="R193" s="98">
        <f>SUMIFS('Booking Management'!J:J,'Booking Management'!B:B,'Sales Orders'!A193)</f>
        <v>0</v>
      </c>
      <c r="S193" s="99" t="str">
        <f t="shared" si="10"/>
        <v/>
      </c>
      <c r="T193" s="61"/>
      <c r="U193" s="61"/>
      <c r="V193" s="61"/>
      <c r="W193" s="58"/>
      <c r="X193" s="58"/>
      <c r="Y193" s="98" t="str">
        <f t="shared" si="13"/>
        <v/>
      </c>
    </row>
    <row r="194" spans="1:25">
      <c r="A194" s="23"/>
      <c r="B194" s="58"/>
      <c r="C194" s="58"/>
      <c r="D194" s="59"/>
      <c r="E194" s="58"/>
      <c r="F194" s="56"/>
      <c r="G194" s="58"/>
      <c r="H194" s="3"/>
      <c r="J194" s="109" t="str">
        <f>IF(C194&lt;&gt;"",SUMIFS('Booking Management'!Y:Y,'Booking Management'!B:B,'Sales Orders'!A194),"")</f>
        <v/>
      </c>
      <c r="K194" s="45"/>
      <c r="L194" s="60"/>
      <c r="M194" s="92" t="str">
        <f t="shared" ca="1" si="12"/>
        <v/>
      </c>
      <c r="N194" s="81"/>
      <c r="O194" s="3"/>
      <c r="P194" s="58"/>
      <c r="Q194" s="92" t="str">
        <f t="shared" si="11"/>
        <v/>
      </c>
      <c r="R194" s="98">
        <f>SUMIFS('Booking Management'!J:J,'Booking Management'!B:B,'Sales Orders'!A194)</f>
        <v>0</v>
      </c>
      <c r="S194" s="99" t="str">
        <f t="shared" si="10"/>
        <v/>
      </c>
      <c r="T194" s="61"/>
      <c r="U194" s="61"/>
      <c r="V194" s="61"/>
      <c r="W194" s="65"/>
      <c r="X194" s="58"/>
      <c r="Y194" s="98" t="str">
        <f t="shared" si="13"/>
        <v/>
      </c>
    </row>
    <row r="195" spans="1:25">
      <c r="A195" s="23"/>
      <c r="B195" s="58"/>
      <c r="C195" s="58"/>
      <c r="D195" s="59"/>
      <c r="E195" s="58"/>
      <c r="F195" s="56"/>
      <c r="G195" s="58"/>
      <c r="H195" s="3"/>
      <c r="J195" s="109" t="str">
        <f>IF(C195&lt;&gt;"",SUMIFS('Booking Management'!Y:Y,'Booking Management'!B:B,'Sales Orders'!A195),"")</f>
        <v/>
      </c>
      <c r="K195" s="45"/>
      <c r="L195" s="60"/>
      <c r="M195" s="92" t="str">
        <f t="shared" ca="1" si="12"/>
        <v/>
      </c>
      <c r="N195" s="81"/>
      <c r="O195" s="3"/>
      <c r="P195" s="58"/>
      <c r="Q195" s="92" t="str">
        <f t="shared" si="11"/>
        <v/>
      </c>
      <c r="R195" s="98">
        <f>SUMIFS('Booking Management'!J:J,'Booking Management'!B:B,'Sales Orders'!A195)</f>
        <v>0</v>
      </c>
      <c r="S195" s="99" t="str">
        <f t="shared" si="10"/>
        <v/>
      </c>
      <c r="T195" s="61"/>
      <c r="U195" s="61"/>
      <c r="V195" s="61"/>
      <c r="W195" s="65"/>
      <c r="X195" s="58"/>
      <c r="Y195" s="98" t="str">
        <f t="shared" si="13"/>
        <v/>
      </c>
    </row>
    <row r="196" spans="1:25">
      <c r="A196" s="23"/>
      <c r="B196" s="58"/>
      <c r="C196" s="58"/>
      <c r="D196" s="59"/>
      <c r="E196" s="58"/>
      <c r="F196" s="56"/>
      <c r="G196" s="58"/>
      <c r="H196" s="3"/>
      <c r="J196" s="109" t="str">
        <f>IF(C196&lt;&gt;"",SUMIFS('Booking Management'!Y:Y,'Booking Management'!B:B,'Sales Orders'!A196),"")</f>
        <v/>
      </c>
      <c r="K196" s="45"/>
      <c r="L196" s="60"/>
      <c r="M196" s="92" t="str">
        <f t="shared" ca="1" si="12"/>
        <v/>
      </c>
      <c r="N196" s="81"/>
      <c r="O196" s="3"/>
      <c r="P196" s="58"/>
      <c r="Q196" s="92" t="str">
        <f t="shared" si="11"/>
        <v/>
      </c>
      <c r="R196" s="98">
        <f>SUMIFS('Booking Management'!J:J,'Booking Management'!B:B,'Sales Orders'!A196)</f>
        <v>0</v>
      </c>
      <c r="S196" s="99" t="str">
        <f t="shared" ref="S196:S259" si="14">IF(R196&gt;0,(R196/D196)*N196,"")</f>
        <v/>
      </c>
      <c r="T196" s="61"/>
      <c r="U196" s="61"/>
      <c r="V196" s="61"/>
      <c r="W196" s="65"/>
      <c r="X196" s="58"/>
      <c r="Y196" s="98" t="str">
        <f t="shared" si="13"/>
        <v/>
      </c>
    </row>
    <row r="197" spans="1:25">
      <c r="A197" s="23"/>
      <c r="B197" s="58"/>
      <c r="C197" s="58"/>
      <c r="D197" s="59"/>
      <c r="E197" s="58"/>
      <c r="F197" s="56"/>
      <c r="G197" s="58"/>
      <c r="H197" s="3"/>
      <c r="J197" s="109" t="str">
        <f>IF(C197&lt;&gt;"",SUMIFS('Booking Management'!Y:Y,'Booking Management'!B:B,'Sales Orders'!A197),"")</f>
        <v/>
      </c>
      <c r="K197" s="45"/>
      <c r="L197" s="60"/>
      <c r="M197" s="92" t="str">
        <f t="shared" ca="1" si="12"/>
        <v/>
      </c>
      <c r="N197" s="81"/>
      <c r="O197" s="3"/>
      <c r="P197" s="58"/>
      <c r="Q197" s="92" t="str">
        <f t="shared" si="11"/>
        <v/>
      </c>
      <c r="R197" s="98">
        <f>SUMIFS('Booking Management'!J:J,'Booking Management'!B:B,'Sales Orders'!A197)</f>
        <v>0</v>
      </c>
      <c r="S197" s="99" t="str">
        <f t="shared" si="14"/>
        <v/>
      </c>
      <c r="T197" s="61"/>
      <c r="U197" s="61"/>
      <c r="V197" s="61"/>
      <c r="W197" s="65"/>
      <c r="X197" s="58"/>
      <c r="Y197" s="98" t="str">
        <f t="shared" si="13"/>
        <v/>
      </c>
    </row>
    <row r="198" spans="1:25">
      <c r="A198" s="23"/>
      <c r="B198" s="58"/>
      <c r="C198" s="58"/>
      <c r="D198" s="59"/>
      <c r="E198" s="58"/>
      <c r="F198" s="56"/>
      <c r="G198" s="58"/>
      <c r="H198" s="3"/>
      <c r="J198" s="109" t="str">
        <f>IF(C198&lt;&gt;"",SUMIFS('Booking Management'!Y:Y,'Booking Management'!B:B,'Sales Orders'!A198),"")</f>
        <v/>
      </c>
      <c r="K198" s="45"/>
      <c r="L198" s="60"/>
      <c r="M198" s="92" t="str">
        <f t="shared" ca="1" si="12"/>
        <v/>
      </c>
      <c r="N198" s="81"/>
      <c r="O198" s="3"/>
      <c r="P198" s="58"/>
      <c r="Q198" s="92" t="str">
        <f t="shared" ref="Q198:Q261" si="15">IF(C198&lt;&gt;"",IF(OR(K198="",P198=""),"alert",""),"")</f>
        <v/>
      </c>
      <c r="R198" s="98">
        <f>SUMIFS('Booking Management'!J:J,'Booking Management'!B:B,'Sales Orders'!A198)</f>
        <v>0</v>
      </c>
      <c r="S198" s="99" t="str">
        <f t="shared" si="14"/>
        <v/>
      </c>
      <c r="T198" s="61"/>
      <c r="U198" s="61"/>
      <c r="V198" s="61"/>
      <c r="W198" s="65"/>
      <c r="X198" s="58"/>
      <c r="Y198" s="98" t="str">
        <f t="shared" si="13"/>
        <v/>
      </c>
    </row>
    <row r="199" spans="1:25">
      <c r="A199" s="23"/>
      <c r="B199" s="58"/>
      <c r="C199" s="58"/>
      <c r="D199" s="59"/>
      <c r="E199" s="58"/>
      <c r="F199" s="56"/>
      <c r="G199" s="58"/>
      <c r="H199" s="3"/>
      <c r="J199" s="109" t="str">
        <f>IF(C199&lt;&gt;"",SUMIFS('Booking Management'!Y:Y,'Booking Management'!B:B,'Sales Orders'!A199),"")</f>
        <v/>
      </c>
      <c r="K199" s="45"/>
      <c r="L199" s="60"/>
      <c r="M199" s="92" t="str">
        <f t="shared" ref="M199:M262" ca="1" si="16">IFERROR(IF(K199&lt;&gt;"",IF(AND(_xlfn.NUMBERVALUE(J199)/_xlfn.NUMBERVALUE(D199) &lt;1,K199-TODAY()&lt;2,L199&lt;&gt;"yes"),"alert",""),""),"")</f>
        <v/>
      </c>
      <c r="N199" s="81"/>
      <c r="O199" s="3"/>
      <c r="P199" s="58"/>
      <c r="Q199" s="92" t="str">
        <f t="shared" si="15"/>
        <v/>
      </c>
      <c r="R199" s="98">
        <f>SUMIFS('Booking Management'!J:J,'Booking Management'!B:B,'Sales Orders'!A199)</f>
        <v>0</v>
      </c>
      <c r="S199" s="99" t="str">
        <f t="shared" si="14"/>
        <v/>
      </c>
      <c r="T199" s="61"/>
      <c r="U199" s="61"/>
      <c r="V199" s="61"/>
      <c r="W199" s="58"/>
      <c r="X199" s="58"/>
      <c r="Y199" s="98" t="str">
        <f t="shared" si="13"/>
        <v/>
      </c>
    </row>
    <row r="200" spans="1:25">
      <c r="A200" s="23"/>
      <c r="B200" s="58"/>
      <c r="C200" s="58"/>
      <c r="D200" s="57"/>
      <c r="E200" s="58"/>
      <c r="F200" s="56"/>
      <c r="G200" s="58"/>
      <c r="H200" s="3"/>
      <c r="J200" s="109" t="str">
        <f>IF(C200&lt;&gt;"",SUMIFS('Booking Management'!Y:Y,'Booking Management'!B:B,'Sales Orders'!A200),"")</f>
        <v/>
      </c>
      <c r="K200" s="45"/>
      <c r="L200" s="60"/>
      <c r="M200" s="92" t="str">
        <f t="shared" ca="1" si="16"/>
        <v/>
      </c>
      <c r="N200" s="81"/>
      <c r="O200" s="3"/>
      <c r="P200" s="58"/>
      <c r="Q200" s="92" t="str">
        <f t="shared" si="15"/>
        <v/>
      </c>
      <c r="R200" s="98">
        <f>SUMIFS('Booking Management'!J:J,'Booking Management'!B:B,'Sales Orders'!A200)</f>
        <v>0</v>
      </c>
      <c r="S200" s="99" t="str">
        <f t="shared" si="14"/>
        <v/>
      </c>
      <c r="T200" s="61"/>
      <c r="U200" s="61"/>
      <c r="V200" s="61"/>
      <c r="W200" s="58"/>
      <c r="X200" s="58"/>
      <c r="Y200" s="98" t="str">
        <f t="shared" si="13"/>
        <v/>
      </c>
    </row>
    <row r="201" spans="1:25">
      <c r="A201" s="23"/>
      <c r="B201" s="58"/>
      <c r="C201" s="58"/>
      <c r="D201" s="59"/>
      <c r="E201" s="58"/>
      <c r="F201" s="56"/>
      <c r="G201" s="58"/>
      <c r="H201" s="3"/>
      <c r="J201" s="109" t="str">
        <f>IF(C201&lt;&gt;"",SUMIFS('Booking Management'!Y:Y,'Booking Management'!B:B,'Sales Orders'!A201),"")</f>
        <v/>
      </c>
      <c r="K201" s="45"/>
      <c r="L201" s="60"/>
      <c r="M201" s="92" t="str">
        <f t="shared" ca="1" si="16"/>
        <v/>
      </c>
      <c r="N201" s="81"/>
      <c r="O201" s="3"/>
      <c r="P201" s="58"/>
      <c r="Q201" s="92" t="str">
        <f t="shared" si="15"/>
        <v/>
      </c>
      <c r="R201" s="98">
        <f>SUMIFS('Booking Management'!J:J,'Booking Management'!B:B,'Sales Orders'!A201)</f>
        <v>0</v>
      </c>
      <c r="S201" s="99" t="str">
        <f t="shared" si="14"/>
        <v/>
      </c>
      <c r="T201" s="61"/>
      <c r="U201" s="61"/>
      <c r="V201" s="61"/>
      <c r="W201" s="65"/>
      <c r="X201" s="58"/>
      <c r="Y201" s="98" t="str">
        <f t="shared" si="13"/>
        <v/>
      </c>
    </row>
    <row r="202" spans="1:25">
      <c r="A202" s="23"/>
      <c r="B202" s="58"/>
      <c r="C202" s="58"/>
      <c r="D202" s="59"/>
      <c r="E202" s="58"/>
      <c r="F202" s="56"/>
      <c r="G202" s="58"/>
      <c r="H202" s="3"/>
      <c r="J202" s="109" t="str">
        <f>IF(C202&lt;&gt;"",SUMIFS('Booking Management'!Y:Y,'Booking Management'!B:B,'Sales Orders'!A202),"")</f>
        <v/>
      </c>
      <c r="K202" s="45"/>
      <c r="L202" s="60"/>
      <c r="M202" s="92" t="str">
        <f t="shared" ca="1" si="16"/>
        <v/>
      </c>
      <c r="N202" s="81"/>
      <c r="O202" s="3"/>
      <c r="P202" s="58"/>
      <c r="Q202" s="92" t="str">
        <f t="shared" si="15"/>
        <v/>
      </c>
      <c r="R202" s="98">
        <f>SUMIFS('Booking Management'!J:J,'Booking Management'!B:B,'Sales Orders'!A202)</f>
        <v>0</v>
      </c>
      <c r="S202" s="99" t="str">
        <f t="shared" si="14"/>
        <v/>
      </c>
      <c r="T202" s="61"/>
      <c r="U202" s="61"/>
      <c r="V202" s="61"/>
      <c r="W202" s="65"/>
      <c r="X202" s="58"/>
      <c r="Y202" s="98" t="str">
        <f t="shared" si="13"/>
        <v/>
      </c>
    </row>
    <row r="203" spans="1:25">
      <c r="A203" s="23"/>
      <c r="B203" s="58"/>
      <c r="C203" s="58"/>
      <c r="D203" s="59"/>
      <c r="E203" s="58"/>
      <c r="F203" s="56"/>
      <c r="G203" s="58"/>
      <c r="H203" s="3"/>
      <c r="J203" s="109" t="str">
        <f>IF(C203&lt;&gt;"",SUMIFS('Booking Management'!Y:Y,'Booking Management'!B:B,'Sales Orders'!A203),"")</f>
        <v/>
      </c>
      <c r="K203" s="45"/>
      <c r="L203" s="60"/>
      <c r="M203" s="92" t="str">
        <f t="shared" ca="1" si="16"/>
        <v/>
      </c>
      <c r="N203" s="81"/>
      <c r="O203" s="3"/>
      <c r="P203" s="58"/>
      <c r="Q203" s="92" t="str">
        <f t="shared" si="15"/>
        <v/>
      </c>
      <c r="R203" s="98">
        <f>SUMIFS('Booking Management'!J:J,'Booking Management'!B:B,'Sales Orders'!A203)</f>
        <v>0</v>
      </c>
      <c r="S203" s="99" t="str">
        <f t="shared" si="14"/>
        <v/>
      </c>
      <c r="T203" s="61"/>
      <c r="U203" s="61"/>
      <c r="V203" s="61"/>
      <c r="W203" s="58"/>
      <c r="X203" s="58"/>
      <c r="Y203" s="98" t="str">
        <f t="shared" si="13"/>
        <v/>
      </c>
    </row>
    <row r="204" spans="1:25">
      <c r="A204" s="23"/>
      <c r="B204" s="58"/>
      <c r="C204" s="58"/>
      <c r="D204" s="59"/>
      <c r="E204" s="3"/>
      <c r="F204" s="56"/>
      <c r="G204" s="3"/>
      <c r="H204" s="3"/>
      <c r="J204" s="109" t="str">
        <f>IF(C204&lt;&gt;"",SUMIFS('Booking Management'!Y:Y,'Booking Management'!B:B,'Sales Orders'!A204),"")</f>
        <v/>
      </c>
      <c r="K204" s="45"/>
      <c r="L204" s="60"/>
      <c r="M204" s="92" t="str">
        <f t="shared" ca="1" si="16"/>
        <v/>
      </c>
      <c r="N204" s="81"/>
      <c r="O204" s="3"/>
      <c r="P204" s="58"/>
      <c r="Q204" s="92" t="str">
        <f t="shared" si="15"/>
        <v/>
      </c>
      <c r="R204" s="98">
        <f>SUMIFS('Booking Management'!J:J,'Booking Management'!B:B,'Sales Orders'!A204)</f>
        <v>0</v>
      </c>
      <c r="S204" s="99" t="str">
        <f t="shared" si="14"/>
        <v/>
      </c>
      <c r="T204" s="61"/>
      <c r="U204" s="61"/>
      <c r="V204" s="61"/>
      <c r="W204" s="58"/>
      <c r="X204" s="58"/>
      <c r="Y204" s="98" t="str">
        <f t="shared" si="13"/>
        <v/>
      </c>
    </row>
    <row r="205" spans="1:25">
      <c r="A205" s="23"/>
      <c r="B205" s="58"/>
      <c r="C205" s="58"/>
      <c r="D205" s="59"/>
      <c r="E205" s="58"/>
      <c r="F205" s="56"/>
      <c r="G205" s="58"/>
      <c r="H205" s="3"/>
      <c r="J205" s="109" t="str">
        <f>IF(C205&lt;&gt;"",SUMIFS('Booking Management'!Y:Y,'Booking Management'!B:B,'Sales Orders'!A205),"")</f>
        <v/>
      </c>
      <c r="K205" s="45"/>
      <c r="L205" s="60"/>
      <c r="M205" s="92" t="str">
        <f t="shared" ca="1" si="16"/>
        <v/>
      </c>
      <c r="N205" s="81"/>
      <c r="O205" s="3"/>
      <c r="P205" s="58"/>
      <c r="Q205" s="92" t="str">
        <f t="shared" si="15"/>
        <v/>
      </c>
      <c r="R205" s="98">
        <f>SUMIFS('Booking Management'!J:J,'Booking Management'!B:B,'Sales Orders'!A205)</f>
        <v>0</v>
      </c>
      <c r="S205" s="99" t="str">
        <f t="shared" si="14"/>
        <v/>
      </c>
      <c r="T205" s="61"/>
      <c r="U205" s="61"/>
      <c r="V205" s="61"/>
      <c r="W205" s="65"/>
      <c r="X205" s="58"/>
      <c r="Y205" s="98" t="str">
        <f t="shared" si="13"/>
        <v/>
      </c>
    </row>
    <row r="206" spans="1:25">
      <c r="A206" s="23"/>
      <c r="B206" s="58"/>
      <c r="C206" s="58"/>
      <c r="D206" s="59"/>
      <c r="E206" s="58"/>
      <c r="F206" s="56"/>
      <c r="G206" s="58"/>
      <c r="H206" s="3"/>
      <c r="J206" s="109" t="str">
        <f>IF(C206&lt;&gt;"",SUMIFS('Booking Management'!Y:Y,'Booking Management'!B:B,'Sales Orders'!A206),"")</f>
        <v/>
      </c>
      <c r="K206" s="45"/>
      <c r="L206" s="60"/>
      <c r="M206" s="92" t="str">
        <f t="shared" ca="1" si="16"/>
        <v/>
      </c>
      <c r="N206" s="81"/>
      <c r="O206" s="3"/>
      <c r="P206" s="58"/>
      <c r="Q206" s="92" t="str">
        <f t="shared" si="15"/>
        <v/>
      </c>
      <c r="R206" s="98">
        <f>SUMIFS('Booking Management'!J:J,'Booking Management'!B:B,'Sales Orders'!A206)</f>
        <v>0</v>
      </c>
      <c r="S206" s="99" t="str">
        <f t="shared" si="14"/>
        <v/>
      </c>
      <c r="T206" s="61"/>
      <c r="U206" s="61"/>
      <c r="V206" s="61"/>
      <c r="W206" s="65"/>
      <c r="X206" s="58"/>
      <c r="Y206" s="98" t="str">
        <f t="shared" si="13"/>
        <v/>
      </c>
    </row>
    <row r="207" spans="1:25">
      <c r="A207" s="23"/>
      <c r="B207" s="58"/>
      <c r="C207" s="58"/>
      <c r="D207" s="59"/>
      <c r="E207" s="58"/>
      <c r="F207" s="56"/>
      <c r="G207" s="58"/>
      <c r="H207" s="3"/>
      <c r="J207" s="109" t="str">
        <f>IF(C207&lt;&gt;"",SUMIFS('Booking Management'!Y:Y,'Booking Management'!B:B,'Sales Orders'!A207),"")</f>
        <v/>
      </c>
      <c r="K207" s="45"/>
      <c r="L207" s="60"/>
      <c r="M207" s="92" t="str">
        <f t="shared" ca="1" si="16"/>
        <v/>
      </c>
      <c r="N207" s="81"/>
      <c r="O207" s="3"/>
      <c r="P207" s="58"/>
      <c r="Q207" s="92" t="str">
        <f t="shared" si="15"/>
        <v/>
      </c>
      <c r="R207" s="98">
        <f>SUMIFS('Booking Management'!J:J,'Booking Management'!B:B,'Sales Orders'!A207)</f>
        <v>0</v>
      </c>
      <c r="S207" s="99" t="str">
        <f t="shared" si="14"/>
        <v/>
      </c>
      <c r="T207" s="61"/>
      <c r="U207" s="61"/>
      <c r="V207" s="61"/>
      <c r="W207" s="65"/>
      <c r="X207" s="58"/>
      <c r="Y207" s="98" t="str">
        <f t="shared" si="13"/>
        <v/>
      </c>
    </row>
    <row r="208" spans="1:25">
      <c r="A208" s="23"/>
      <c r="B208" s="58"/>
      <c r="C208" s="58"/>
      <c r="D208" s="59"/>
      <c r="E208" s="58"/>
      <c r="F208" s="56"/>
      <c r="G208" s="58"/>
      <c r="H208" s="3"/>
      <c r="J208" s="109" t="str">
        <f>IF(C208&lt;&gt;"",SUMIFS('Booking Management'!Y:Y,'Booking Management'!B:B,'Sales Orders'!A208),"")</f>
        <v/>
      </c>
      <c r="K208" s="45"/>
      <c r="L208" s="60"/>
      <c r="M208" s="92" t="str">
        <f t="shared" ca="1" si="16"/>
        <v/>
      </c>
      <c r="N208" s="81"/>
      <c r="O208" s="3"/>
      <c r="P208" s="58"/>
      <c r="Q208" s="92" t="str">
        <f t="shared" si="15"/>
        <v/>
      </c>
      <c r="R208" s="98">
        <f>SUMIFS('Booking Management'!J:J,'Booking Management'!B:B,'Sales Orders'!A208)</f>
        <v>0</v>
      </c>
      <c r="S208" s="99" t="str">
        <f t="shared" si="14"/>
        <v/>
      </c>
      <c r="T208" s="61"/>
      <c r="U208" s="61"/>
      <c r="V208" s="61"/>
      <c r="W208" s="65"/>
      <c r="X208" s="58"/>
      <c r="Y208" s="98" t="str">
        <f t="shared" si="13"/>
        <v/>
      </c>
    </row>
    <row r="209" spans="1:25">
      <c r="A209" s="23"/>
      <c r="B209" s="58"/>
      <c r="C209" s="58"/>
      <c r="D209" s="59"/>
      <c r="E209" s="58"/>
      <c r="F209" s="56"/>
      <c r="G209" s="58"/>
      <c r="H209" s="3"/>
      <c r="J209" s="109" t="str">
        <f>IF(C209&lt;&gt;"",SUMIFS('Booking Management'!Y:Y,'Booking Management'!B:B,'Sales Orders'!A209),"")</f>
        <v/>
      </c>
      <c r="K209" s="45"/>
      <c r="L209" s="60"/>
      <c r="M209" s="92" t="str">
        <f t="shared" ca="1" si="16"/>
        <v/>
      </c>
      <c r="N209" s="81"/>
      <c r="O209" s="3"/>
      <c r="P209" s="58"/>
      <c r="Q209" s="92" t="str">
        <f t="shared" si="15"/>
        <v/>
      </c>
      <c r="R209" s="98">
        <f>SUMIFS('Booking Management'!J:J,'Booking Management'!B:B,'Sales Orders'!A209)</f>
        <v>0</v>
      </c>
      <c r="S209" s="99" t="str">
        <f t="shared" si="14"/>
        <v/>
      </c>
      <c r="T209" s="61"/>
      <c r="U209" s="61"/>
      <c r="V209" s="61"/>
      <c r="W209" s="65"/>
      <c r="X209" s="58"/>
      <c r="Y209" s="98" t="str">
        <f t="shared" si="13"/>
        <v/>
      </c>
    </row>
    <row r="210" spans="1:25">
      <c r="A210" s="23"/>
      <c r="B210" s="58"/>
      <c r="C210" s="58"/>
      <c r="D210" s="59"/>
      <c r="E210" s="58"/>
      <c r="F210" s="56"/>
      <c r="G210" s="58"/>
      <c r="H210" s="3"/>
      <c r="J210" s="109" t="str">
        <f>IF(C210&lt;&gt;"",SUMIFS('Booking Management'!Y:Y,'Booking Management'!B:B,'Sales Orders'!A210),"")</f>
        <v/>
      </c>
      <c r="K210" s="45"/>
      <c r="L210" s="60"/>
      <c r="M210" s="92" t="str">
        <f t="shared" ca="1" si="16"/>
        <v/>
      </c>
      <c r="N210" s="81"/>
      <c r="O210" s="3"/>
      <c r="P210" s="58"/>
      <c r="Q210" s="92" t="str">
        <f t="shared" si="15"/>
        <v/>
      </c>
      <c r="R210" s="98">
        <f>SUMIFS('Booking Management'!J:J,'Booking Management'!B:B,'Sales Orders'!A210)</f>
        <v>0</v>
      </c>
      <c r="S210" s="99" t="str">
        <f t="shared" si="14"/>
        <v/>
      </c>
      <c r="T210" s="61"/>
      <c r="U210" s="61"/>
      <c r="V210" s="61"/>
      <c r="W210" s="65"/>
      <c r="X210" s="58"/>
      <c r="Y210" s="98" t="str">
        <f t="shared" si="13"/>
        <v/>
      </c>
    </row>
    <row r="211" spans="1:25">
      <c r="A211" s="23"/>
      <c r="B211" s="58"/>
      <c r="C211" s="58"/>
      <c r="D211" s="59"/>
      <c r="E211" s="58"/>
      <c r="F211" s="56"/>
      <c r="G211" s="58"/>
      <c r="H211" s="3"/>
      <c r="J211" s="109" t="str">
        <f>IF(C211&lt;&gt;"",SUMIFS('Booking Management'!Y:Y,'Booking Management'!B:B,'Sales Orders'!A211),"")</f>
        <v/>
      </c>
      <c r="K211" s="45"/>
      <c r="L211" s="60"/>
      <c r="M211" s="92" t="str">
        <f t="shared" ca="1" si="16"/>
        <v/>
      </c>
      <c r="N211" s="81"/>
      <c r="O211" s="3"/>
      <c r="P211" s="58"/>
      <c r="Q211" s="92" t="str">
        <f t="shared" si="15"/>
        <v/>
      </c>
      <c r="R211" s="98">
        <f>SUMIFS('Booking Management'!J:J,'Booking Management'!B:B,'Sales Orders'!A211)</f>
        <v>0</v>
      </c>
      <c r="S211" s="99" t="str">
        <f t="shared" si="14"/>
        <v/>
      </c>
      <c r="T211" s="61"/>
      <c r="U211" s="61"/>
      <c r="V211" s="61"/>
      <c r="W211" s="65"/>
      <c r="X211" s="58"/>
      <c r="Y211" s="98" t="str">
        <f t="shared" si="13"/>
        <v/>
      </c>
    </row>
    <row r="212" spans="1:25">
      <c r="A212" s="23"/>
      <c r="B212" s="58"/>
      <c r="C212" s="58"/>
      <c r="D212" s="59"/>
      <c r="E212" s="58"/>
      <c r="F212" s="56"/>
      <c r="G212" s="58"/>
      <c r="H212" s="3"/>
      <c r="J212" s="109" t="str">
        <f>IF(C212&lt;&gt;"",SUMIFS('Booking Management'!Y:Y,'Booking Management'!B:B,'Sales Orders'!A212),"")</f>
        <v/>
      </c>
      <c r="K212" s="45"/>
      <c r="L212" s="60"/>
      <c r="M212" s="92" t="str">
        <f t="shared" ca="1" si="16"/>
        <v/>
      </c>
      <c r="N212" s="81"/>
      <c r="O212" s="3"/>
      <c r="P212" s="58"/>
      <c r="Q212" s="92" t="str">
        <f t="shared" si="15"/>
        <v/>
      </c>
      <c r="R212" s="98">
        <f>SUMIFS('Booking Management'!J:J,'Booking Management'!B:B,'Sales Orders'!A212)</f>
        <v>0</v>
      </c>
      <c r="S212" s="99" t="str">
        <f t="shared" si="14"/>
        <v/>
      </c>
      <c r="T212" s="61"/>
      <c r="U212" s="61"/>
      <c r="V212" s="61"/>
      <c r="W212" s="65"/>
      <c r="X212" s="58"/>
      <c r="Y212" s="98" t="str">
        <f t="shared" si="13"/>
        <v/>
      </c>
    </row>
    <row r="213" spans="1:25">
      <c r="A213" s="23"/>
      <c r="B213" s="58"/>
      <c r="C213" s="58"/>
      <c r="D213" s="57"/>
      <c r="E213" s="58"/>
      <c r="F213" s="56"/>
      <c r="G213" s="58"/>
      <c r="H213" s="3"/>
      <c r="J213" s="109" t="str">
        <f>IF(C213&lt;&gt;"",SUMIFS('Booking Management'!Y:Y,'Booking Management'!B:B,'Sales Orders'!A213),"")</f>
        <v/>
      </c>
      <c r="K213" s="45"/>
      <c r="L213" s="60"/>
      <c r="M213" s="92" t="str">
        <f t="shared" ca="1" si="16"/>
        <v/>
      </c>
      <c r="N213" s="81"/>
      <c r="O213" s="3"/>
      <c r="P213" s="58"/>
      <c r="Q213" s="92" t="str">
        <f t="shared" si="15"/>
        <v/>
      </c>
      <c r="R213" s="98">
        <f>SUMIFS('Booking Management'!J:J,'Booking Management'!B:B,'Sales Orders'!A213)</f>
        <v>0</v>
      </c>
      <c r="S213" s="99" t="str">
        <f t="shared" si="14"/>
        <v/>
      </c>
      <c r="T213" s="61"/>
      <c r="U213" s="61"/>
      <c r="V213" s="61"/>
      <c r="W213" s="58"/>
      <c r="X213" s="58"/>
      <c r="Y213" s="98" t="str">
        <f t="shared" si="13"/>
        <v/>
      </c>
    </row>
    <row r="214" spans="1:25">
      <c r="A214" s="23"/>
      <c r="B214" s="58"/>
      <c r="C214" s="58"/>
      <c r="D214" s="57"/>
      <c r="E214" s="58"/>
      <c r="F214" s="56"/>
      <c r="G214" s="58"/>
      <c r="H214" s="3"/>
      <c r="J214" s="109" t="str">
        <f>IF(C214&lt;&gt;"",SUMIFS('Booking Management'!Y:Y,'Booking Management'!B:B,'Sales Orders'!A214),"")</f>
        <v/>
      </c>
      <c r="K214" s="45"/>
      <c r="L214" s="60"/>
      <c r="M214" s="92" t="str">
        <f t="shared" ca="1" si="16"/>
        <v/>
      </c>
      <c r="N214" s="81"/>
      <c r="O214" s="3"/>
      <c r="P214" s="58"/>
      <c r="Q214" s="92" t="str">
        <f t="shared" si="15"/>
        <v/>
      </c>
      <c r="R214" s="98">
        <f>SUMIFS('Booking Management'!J:J,'Booking Management'!B:B,'Sales Orders'!A214)</f>
        <v>0</v>
      </c>
      <c r="S214" s="99" t="str">
        <f t="shared" si="14"/>
        <v/>
      </c>
      <c r="T214" s="61"/>
      <c r="U214" s="61"/>
      <c r="V214" s="61"/>
      <c r="W214" s="65"/>
      <c r="X214" s="58"/>
      <c r="Y214" s="98" t="str">
        <f t="shared" si="13"/>
        <v/>
      </c>
    </row>
    <row r="215" spans="1:25">
      <c r="A215" s="23"/>
      <c r="B215" s="58"/>
      <c r="C215" s="58"/>
      <c r="D215" s="59"/>
      <c r="E215" s="58"/>
      <c r="F215" s="56"/>
      <c r="G215" s="58"/>
      <c r="H215" s="3"/>
      <c r="J215" s="109" t="str">
        <f>IF(C215&lt;&gt;"",SUMIFS('Booking Management'!Y:Y,'Booking Management'!B:B,'Sales Orders'!A215),"")</f>
        <v/>
      </c>
      <c r="K215" s="45"/>
      <c r="L215" s="60"/>
      <c r="M215" s="92" t="str">
        <f t="shared" ca="1" si="16"/>
        <v/>
      </c>
      <c r="N215" s="81"/>
      <c r="O215" s="3"/>
      <c r="P215" s="58"/>
      <c r="Q215" s="92" t="str">
        <f t="shared" si="15"/>
        <v/>
      </c>
      <c r="R215" s="98">
        <f>SUMIFS('Booking Management'!J:J,'Booking Management'!B:B,'Sales Orders'!A215)</f>
        <v>0</v>
      </c>
      <c r="S215" s="99" t="str">
        <f t="shared" si="14"/>
        <v/>
      </c>
      <c r="T215" s="61"/>
      <c r="U215" s="61"/>
      <c r="V215" s="61"/>
      <c r="W215" s="58"/>
      <c r="X215" s="58"/>
      <c r="Y215" s="98" t="str">
        <f t="shared" si="13"/>
        <v/>
      </c>
    </row>
    <row r="216" spans="1:25">
      <c r="A216" s="23"/>
      <c r="B216" s="58"/>
      <c r="C216" s="58"/>
      <c r="D216" s="59"/>
      <c r="E216" s="58"/>
      <c r="F216" s="56"/>
      <c r="G216" s="58"/>
      <c r="H216" s="3"/>
      <c r="J216" s="109" t="str">
        <f>IF(C216&lt;&gt;"",SUMIFS('Booking Management'!Y:Y,'Booking Management'!B:B,'Sales Orders'!A216),"")</f>
        <v/>
      </c>
      <c r="K216" s="45"/>
      <c r="L216" s="60"/>
      <c r="M216" s="92" t="str">
        <f t="shared" ca="1" si="16"/>
        <v/>
      </c>
      <c r="N216" s="81"/>
      <c r="O216" s="3"/>
      <c r="P216" s="58"/>
      <c r="Q216" s="92" t="str">
        <f t="shared" si="15"/>
        <v/>
      </c>
      <c r="R216" s="98">
        <f>SUMIFS('Booking Management'!J:J,'Booking Management'!B:B,'Sales Orders'!A216)</f>
        <v>0</v>
      </c>
      <c r="S216" s="99" t="str">
        <f t="shared" si="14"/>
        <v/>
      </c>
      <c r="T216" s="61"/>
      <c r="U216" s="61"/>
      <c r="V216" s="61"/>
      <c r="W216" s="58"/>
      <c r="X216" s="58"/>
      <c r="Y216" s="98" t="str">
        <f t="shared" si="13"/>
        <v/>
      </c>
    </row>
    <row r="217" spans="1:25">
      <c r="A217" s="23"/>
      <c r="B217" s="58"/>
      <c r="C217" s="58"/>
      <c r="D217" s="59"/>
      <c r="E217" s="3"/>
      <c r="F217" s="56"/>
      <c r="G217" s="3"/>
      <c r="H217" s="3"/>
      <c r="J217" s="109" t="str">
        <f>IF(C217&lt;&gt;"",SUMIFS('Booking Management'!Y:Y,'Booking Management'!B:B,'Sales Orders'!A217),"")</f>
        <v/>
      </c>
      <c r="K217" s="45"/>
      <c r="L217" s="60"/>
      <c r="M217" s="92" t="str">
        <f t="shared" ca="1" si="16"/>
        <v/>
      </c>
      <c r="N217" s="81"/>
      <c r="O217" s="3"/>
      <c r="P217" s="58"/>
      <c r="Q217" s="92" t="str">
        <f t="shared" si="15"/>
        <v/>
      </c>
      <c r="R217" s="98">
        <f>SUMIFS('Booking Management'!J:J,'Booking Management'!B:B,'Sales Orders'!A217)</f>
        <v>0</v>
      </c>
      <c r="S217" s="99" t="str">
        <f t="shared" si="14"/>
        <v/>
      </c>
      <c r="T217" s="61"/>
      <c r="U217" s="61"/>
      <c r="V217" s="61"/>
      <c r="W217" s="58"/>
      <c r="X217" s="58"/>
      <c r="Y217" s="98" t="str">
        <f t="shared" si="13"/>
        <v/>
      </c>
    </row>
    <row r="218" spans="1:25">
      <c r="A218" s="23"/>
      <c r="B218" s="58"/>
      <c r="C218" s="58"/>
      <c r="D218" s="59"/>
      <c r="E218" s="58"/>
      <c r="F218" s="56"/>
      <c r="G218" s="3"/>
      <c r="H218" s="3"/>
      <c r="J218" s="109" t="str">
        <f>IF(C218&lt;&gt;"",SUMIFS('Booking Management'!Y:Y,'Booking Management'!B:B,'Sales Orders'!A218),"")</f>
        <v/>
      </c>
      <c r="K218" s="45"/>
      <c r="L218" s="60"/>
      <c r="M218" s="92" t="str">
        <f t="shared" ca="1" si="16"/>
        <v/>
      </c>
      <c r="N218" s="81"/>
      <c r="O218" s="3"/>
      <c r="P218" s="58"/>
      <c r="Q218" s="92" t="str">
        <f t="shared" si="15"/>
        <v/>
      </c>
      <c r="R218" s="98">
        <f>SUMIFS('Booking Management'!J:J,'Booking Management'!B:B,'Sales Orders'!A218)</f>
        <v>0</v>
      </c>
      <c r="S218" s="99" t="str">
        <f t="shared" si="14"/>
        <v/>
      </c>
      <c r="T218" s="61"/>
      <c r="U218" s="61"/>
      <c r="V218" s="61"/>
      <c r="W218" s="65"/>
      <c r="X218" s="58"/>
      <c r="Y218" s="98" t="str">
        <f t="shared" si="13"/>
        <v/>
      </c>
    </row>
    <row r="219" spans="1:25">
      <c r="A219" s="23"/>
      <c r="B219" s="58"/>
      <c r="C219" s="58"/>
      <c r="D219" s="59"/>
      <c r="E219" s="58"/>
      <c r="F219" s="56"/>
      <c r="G219" s="58"/>
      <c r="H219" s="3"/>
      <c r="J219" s="109" t="str">
        <f>IF(C219&lt;&gt;"",SUMIFS('Booking Management'!Y:Y,'Booking Management'!B:B,'Sales Orders'!A219),"")</f>
        <v/>
      </c>
      <c r="K219" s="45"/>
      <c r="L219" s="60"/>
      <c r="M219" s="92" t="str">
        <f t="shared" ca="1" si="16"/>
        <v/>
      </c>
      <c r="N219" s="81"/>
      <c r="O219" s="3"/>
      <c r="P219" s="58"/>
      <c r="Q219" s="92" t="str">
        <f t="shared" si="15"/>
        <v/>
      </c>
      <c r="R219" s="98">
        <f>SUMIFS('Booking Management'!J:J,'Booking Management'!B:B,'Sales Orders'!A219)</f>
        <v>0</v>
      </c>
      <c r="S219" s="99" t="str">
        <f t="shared" si="14"/>
        <v/>
      </c>
      <c r="T219" s="61"/>
      <c r="U219" s="61"/>
      <c r="V219" s="61"/>
      <c r="W219" s="65"/>
      <c r="X219" s="58"/>
      <c r="Y219" s="98" t="str">
        <f t="shared" si="13"/>
        <v/>
      </c>
    </row>
    <row r="220" spans="1:25">
      <c r="A220" s="23"/>
      <c r="B220" s="58"/>
      <c r="C220" s="58"/>
      <c r="D220" s="59"/>
      <c r="E220" s="58"/>
      <c r="F220" s="56"/>
      <c r="G220" s="58"/>
      <c r="H220" s="3"/>
      <c r="J220" s="109" t="str">
        <f>IF(C220&lt;&gt;"",SUMIFS('Booking Management'!Y:Y,'Booking Management'!B:B,'Sales Orders'!A220),"")</f>
        <v/>
      </c>
      <c r="K220" s="45"/>
      <c r="L220" s="60"/>
      <c r="M220" s="92" t="str">
        <f t="shared" ca="1" si="16"/>
        <v/>
      </c>
      <c r="N220" s="81"/>
      <c r="O220" s="3"/>
      <c r="P220" s="58"/>
      <c r="Q220" s="92" t="str">
        <f t="shared" si="15"/>
        <v/>
      </c>
      <c r="R220" s="98">
        <f>SUMIFS('Booking Management'!J:J,'Booking Management'!B:B,'Sales Orders'!A220)</f>
        <v>0</v>
      </c>
      <c r="S220" s="99" t="str">
        <f t="shared" si="14"/>
        <v/>
      </c>
      <c r="T220" s="61"/>
      <c r="U220" s="61"/>
      <c r="V220" s="61"/>
      <c r="W220" s="65"/>
      <c r="X220" s="58"/>
      <c r="Y220" s="98" t="str">
        <f t="shared" si="13"/>
        <v/>
      </c>
    </row>
    <row r="221" spans="1:25">
      <c r="A221" s="23"/>
      <c r="B221" s="58"/>
      <c r="C221" s="58"/>
      <c r="D221" s="59"/>
      <c r="E221" s="58"/>
      <c r="F221" s="56"/>
      <c r="G221" s="58"/>
      <c r="H221" s="3"/>
      <c r="J221" s="109" t="str">
        <f>IF(C221&lt;&gt;"",SUMIFS('Booking Management'!Y:Y,'Booking Management'!B:B,'Sales Orders'!A221),"")</f>
        <v/>
      </c>
      <c r="K221" s="45"/>
      <c r="L221" s="60"/>
      <c r="M221" s="92" t="str">
        <f t="shared" ca="1" si="16"/>
        <v/>
      </c>
      <c r="N221" s="81"/>
      <c r="O221" s="3"/>
      <c r="P221" s="58"/>
      <c r="Q221" s="92" t="str">
        <f t="shared" si="15"/>
        <v/>
      </c>
      <c r="R221" s="98">
        <f>SUMIFS('Booking Management'!J:J,'Booking Management'!B:B,'Sales Orders'!A221)</f>
        <v>0</v>
      </c>
      <c r="S221" s="99" t="str">
        <f t="shared" si="14"/>
        <v/>
      </c>
      <c r="T221" s="61"/>
      <c r="U221" s="61"/>
      <c r="V221" s="61"/>
      <c r="W221" s="65"/>
      <c r="X221" s="58"/>
      <c r="Y221" s="98" t="str">
        <f t="shared" si="13"/>
        <v/>
      </c>
    </row>
    <row r="222" spans="1:25">
      <c r="A222" s="23"/>
      <c r="B222" s="58"/>
      <c r="C222" s="58"/>
      <c r="D222" s="59"/>
      <c r="E222" s="58"/>
      <c r="F222" s="56"/>
      <c r="G222" s="58"/>
      <c r="H222" s="3"/>
      <c r="J222" s="109" t="str">
        <f>IF(C222&lt;&gt;"",SUMIFS('Booking Management'!Y:Y,'Booking Management'!B:B,'Sales Orders'!A222),"")</f>
        <v/>
      </c>
      <c r="K222" s="45"/>
      <c r="L222" s="60"/>
      <c r="M222" s="92" t="str">
        <f t="shared" ca="1" si="16"/>
        <v/>
      </c>
      <c r="N222" s="81"/>
      <c r="O222" s="3"/>
      <c r="P222" s="58"/>
      <c r="Q222" s="92" t="str">
        <f t="shared" si="15"/>
        <v/>
      </c>
      <c r="R222" s="98">
        <f>SUMIFS('Booking Management'!J:J,'Booking Management'!B:B,'Sales Orders'!A222)</f>
        <v>0</v>
      </c>
      <c r="S222" s="99" t="str">
        <f t="shared" si="14"/>
        <v/>
      </c>
      <c r="T222" s="61"/>
      <c r="U222" s="61"/>
      <c r="V222" s="61"/>
      <c r="W222" s="65"/>
      <c r="X222" s="58"/>
      <c r="Y222" s="98" t="str">
        <f t="shared" si="13"/>
        <v/>
      </c>
    </row>
    <row r="223" spans="1:25">
      <c r="A223" s="23"/>
      <c r="B223" s="58"/>
      <c r="C223" s="58"/>
      <c r="D223" s="59"/>
      <c r="E223" s="58"/>
      <c r="F223" s="56"/>
      <c r="G223" s="58"/>
      <c r="H223" s="3"/>
      <c r="J223" s="109" t="str">
        <f>IF(C223&lt;&gt;"",SUMIFS('Booking Management'!Y:Y,'Booking Management'!B:B,'Sales Orders'!A223),"")</f>
        <v/>
      </c>
      <c r="K223" s="45"/>
      <c r="L223" s="60"/>
      <c r="M223" s="92" t="str">
        <f t="shared" ca="1" si="16"/>
        <v/>
      </c>
      <c r="N223" s="81"/>
      <c r="O223" s="3"/>
      <c r="P223" s="58"/>
      <c r="Q223" s="92" t="str">
        <f t="shared" si="15"/>
        <v/>
      </c>
      <c r="R223" s="98">
        <f>SUMIFS('Booking Management'!J:J,'Booking Management'!B:B,'Sales Orders'!A223)</f>
        <v>0</v>
      </c>
      <c r="S223" s="99" t="str">
        <f t="shared" si="14"/>
        <v/>
      </c>
      <c r="T223" s="61"/>
      <c r="U223" s="61"/>
      <c r="V223" s="61"/>
      <c r="W223" s="65"/>
      <c r="X223" s="58"/>
      <c r="Y223" s="98" t="str">
        <f t="shared" si="13"/>
        <v/>
      </c>
    </row>
    <row r="224" spans="1:25">
      <c r="A224" s="23"/>
      <c r="B224" s="58"/>
      <c r="C224" s="58"/>
      <c r="D224" s="59"/>
      <c r="E224" s="58"/>
      <c r="F224" s="56"/>
      <c r="G224" s="58"/>
      <c r="H224" s="3"/>
      <c r="J224" s="109" t="str">
        <f>IF(C224&lt;&gt;"",SUMIFS('Booking Management'!Y:Y,'Booking Management'!B:B,'Sales Orders'!A224),"")</f>
        <v/>
      </c>
      <c r="K224" s="45"/>
      <c r="L224" s="60"/>
      <c r="M224" s="92" t="str">
        <f t="shared" ca="1" si="16"/>
        <v/>
      </c>
      <c r="N224" s="81"/>
      <c r="O224" s="3"/>
      <c r="P224" s="58"/>
      <c r="Q224" s="92" t="str">
        <f t="shared" si="15"/>
        <v/>
      </c>
      <c r="R224" s="98">
        <f>SUMIFS('Booking Management'!J:J,'Booking Management'!B:B,'Sales Orders'!A224)</f>
        <v>0</v>
      </c>
      <c r="S224" s="99" t="str">
        <f t="shared" si="14"/>
        <v/>
      </c>
      <c r="T224" s="61"/>
      <c r="U224" s="61"/>
      <c r="V224" s="61"/>
      <c r="W224" s="65"/>
      <c r="X224" s="58"/>
      <c r="Y224" s="98" t="str">
        <f t="shared" si="13"/>
        <v/>
      </c>
    </row>
    <row r="225" spans="1:25">
      <c r="A225" s="23"/>
      <c r="B225" s="58"/>
      <c r="C225" s="58"/>
      <c r="D225" s="59"/>
      <c r="E225" s="58"/>
      <c r="F225" s="56"/>
      <c r="G225" s="58"/>
      <c r="H225" s="3"/>
      <c r="J225" s="109" t="str">
        <f>IF(C225&lt;&gt;"",SUMIFS('Booking Management'!Y:Y,'Booking Management'!B:B,'Sales Orders'!A225),"")</f>
        <v/>
      </c>
      <c r="K225" s="45"/>
      <c r="L225" s="60"/>
      <c r="M225" s="92" t="str">
        <f t="shared" ca="1" si="16"/>
        <v/>
      </c>
      <c r="N225" s="81"/>
      <c r="O225" s="3"/>
      <c r="P225" s="58"/>
      <c r="Q225" s="92" t="str">
        <f t="shared" si="15"/>
        <v/>
      </c>
      <c r="R225" s="98">
        <f>SUMIFS('Booking Management'!J:J,'Booking Management'!B:B,'Sales Orders'!A225)</f>
        <v>0</v>
      </c>
      <c r="S225" s="99" t="str">
        <f t="shared" si="14"/>
        <v/>
      </c>
      <c r="T225" s="61"/>
      <c r="U225" s="61"/>
      <c r="V225" s="61"/>
      <c r="W225" s="58"/>
      <c r="X225" s="58"/>
      <c r="Y225" s="98" t="str">
        <f t="shared" si="13"/>
        <v/>
      </c>
    </row>
    <row r="226" spans="1:25">
      <c r="A226" s="23"/>
      <c r="B226" s="58"/>
      <c r="C226" s="58"/>
      <c r="D226" s="57"/>
      <c r="E226" s="58"/>
      <c r="F226" s="56"/>
      <c r="G226" s="58"/>
      <c r="H226" s="3"/>
      <c r="J226" s="109" t="str">
        <f>IF(C226&lt;&gt;"",SUMIFS('Booking Management'!Y:Y,'Booking Management'!B:B,'Sales Orders'!A226),"")</f>
        <v/>
      </c>
      <c r="K226" s="45"/>
      <c r="L226" s="60"/>
      <c r="M226" s="92" t="str">
        <f t="shared" ca="1" si="16"/>
        <v/>
      </c>
      <c r="N226" s="81"/>
      <c r="O226" s="3"/>
      <c r="P226" s="58"/>
      <c r="Q226" s="92" t="str">
        <f t="shared" si="15"/>
        <v/>
      </c>
      <c r="R226" s="98">
        <f>SUMIFS('Booking Management'!J:J,'Booking Management'!B:B,'Sales Orders'!A226)</f>
        <v>0</v>
      </c>
      <c r="S226" s="99" t="str">
        <f t="shared" si="14"/>
        <v/>
      </c>
      <c r="T226" s="61"/>
      <c r="U226" s="61"/>
      <c r="V226" s="61"/>
      <c r="W226" s="58"/>
      <c r="X226" s="58"/>
      <c r="Y226" s="98" t="str">
        <f t="shared" si="13"/>
        <v/>
      </c>
    </row>
    <row r="227" spans="1:25">
      <c r="A227" s="23"/>
      <c r="B227" s="58"/>
      <c r="C227" s="58"/>
      <c r="D227" s="59"/>
      <c r="E227" s="58"/>
      <c r="F227" s="56"/>
      <c r="G227" s="58"/>
      <c r="H227" s="3"/>
      <c r="J227" s="109" t="str">
        <f>IF(C227&lt;&gt;"",SUMIFS('Booking Management'!Y:Y,'Booking Management'!B:B,'Sales Orders'!A227),"")</f>
        <v/>
      </c>
      <c r="K227" s="45"/>
      <c r="L227" s="60"/>
      <c r="M227" s="92" t="str">
        <f t="shared" ca="1" si="16"/>
        <v/>
      </c>
      <c r="N227" s="81"/>
      <c r="O227" s="3"/>
      <c r="P227" s="58"/>
      <c r="Q227" s="92" t="str">
        <f t="shared" si="15"/>
        <v/>
      </c>
      <c r="R227" s="98">
        <f>SUMIFS('Booking Management'!J:J,'Booking Management'!B:B,'Sales Orders'!A227)</f>
        <v>0</v>
      </c>
      <c r="S227" s="99" t="str">
        <f t="shared" si="14"/>
        <v/>
      </c>
      <c r="T227" s="61"/>
      <c r="U227" s="61"/>
      <c r="V227" s="61"/>
      <c r="W227" s="65"/>
      <c r="X227" s="58"/>
      <c r="Y227" s="98" t="str">
        <f t="shared" si="13"/>
        <v/>
      </c>
    </row>
    <row r="228" spans="1:25">
      <c r="A228" s="23"/>
      <c r="B228" s="58"/>
      <c r="C228" s="58"/>
      <c r="D228" s="59"/>
      <c r="E228" s="58"/>
      <c r="F228" s="56"/>
      <c r="G228" s="58"/>
      <c r="H228" s="3"/>
      <c r="J228" s="109" t="str">
        <f>IF(C228&lt;&gt;"",SUMIFS('Booking Management'!Y:Y,'Booking Management'!B:B,'Sales Orders'!A228),"")</f>
        <v/>
      </c>
      <c r="K228" s="45"/>
      <c r="L228" s="60"/>
      <c r="M228" s="92" t="str">
        <f t="shared" ca="1" si="16"/>
        <v/>
      </c>
      <c r="N228" s="81"/>
      <c r="O228" s="3"/>
      <c r="P228" s="58"/>
      <c r="Q228" s="92" t="str">
        <f t="shared" si="15"/>
        <v/>
      </c>
      <c r="R228" s="98">
        <f>SUMIFS('Booking Management'!J:J,'Booking Management'!B:B,'Sales Orders'!A228)</f>
        <v>0</v>
      </c>
      <c r="S228" s="99" t="str">
        <f t="shared" si="14"/>
        <v/>
      </c>
      <c r="T228" s="61"/>
      <c r="U228" s="61"/>
      <c r="V228" s="61"/>
      <c r="W228" s="65"/>
      <c r="X228" s="58"/>
      <c r="Y228" s="98" t="str">
        <f t="shared" si="13"/>
        <v/>
      </c>
    </row>
    <row r="229" spans="1:25">
      <c r="A229" s="23"/>
      <c r="B229" s="58"/>
      <c r="C229" s="58"/>
      <c r="D229" s="59"/>
      <c r="E229" s="58"/>
      <c r="F229" s="56"/>
      <c r="G229" s="58"/>
      <c r="H229" s="3"/>
      <c r="J229" s="109" t="str">
        <f>IF(C229&lt;&gt;"",SUMIFS('Booking Management'!Y:Y,'Booking Management'!B:B,'Sales Orders'!A229),"")</f>
        <v/>
      </c>
      <c r="K229" s="45"/>
      <c r="L229" s="60"/>
      <c r="M229" s="92" t="str">
        <f t="shared" ca="1" si="16"/>
        <v/>
      </c>
      <c r="N229" s="81"/>
      <c r="O229" s="3"/>
      <c r="P229" s="58"/>
      <c r="Q229" s="92" t="str">
        <f t="shared" si="15"/>
        <v/>
      </c>
      <c r="R229" s="98">
        <f>SUMIFS('Booking Management'!J:J,'Booking Management'!B:B,'Sales Orders'!A229)</f>
        <v>0</v>
      </c>
      <c r="S229" s="99" t="str">
        <f t="shared" si="14"/>
        <v/>
      </c>
      <c r="T229" s="61"/>
      <c r="U229" s="61"/>
      <c r="V229" s="61"/>
      <c r="W229" s="65"/>
      <c r="X229" s="58"/>
      <c r="Y229" s="98" t="str">
        <f t="shared" si="13"/>
        <v/>
      </c>
    </row>
    <row r="230" spans="1:25">
      <c r="A230" s="23"/>
      <c r="B230" s="58"/>
      <c r="C230" s="58"/>
      <c r="D230" s="59"/>
      <c r="E230" s="58"/>
      <c r="F230" s="56"/>
      <c r="G230" s="58"/>
      <c r="H230" s="3"/>
      <c r="J230" s="109" t="str">
        <f>IF(C230&lt;&gt;"",SUMIFS('Booking Management'!Y:Y,'Booking Management'!B:B,'Sales Orders'!A230),"")</f>
        <v/>
      </c>
      <c r="K230" s="45"/>
      <c r="L230" s="60"/>
      <c r="M230" s="92" t="str">
        <f t="shared" ca="1" si="16"/>
        <v/>
      </c>
      <c r="N230" s="81"/>
      <c r="O230" s="3"/>
      <c r="P230" s="58"/>
      <c r="Q230" s="92" t="str">
        <f t="shared" si="15"/>
        <v/>
      </c>
      <c r="R230" s="98">
        <f>SUMIFS('Booking Management'!J:J,'Booking Management'!B:B,'Sales Orders'!A230)</f>
        <v>0</v>
      </c>
      <c r="S230" s="99" t="str">
        <f t="shared" si="14"/>
        <v/>
      </c>
      <c r="T230" s="61"/>
      <c r="U230" s="61"/>
      <c r="V230" s="61"/>
      <c r="W230" s="65"/>
      <c r="X230" s="58"/>
      <c r="Y230" s="98" t="str">
        <f t="shared" si="13"/>
        <v/>
      </c>
    </row>
    <row r="231" spans="1:25">
      <c r="A231" s="23"/>
      <c r="B231" s="58"/>
      <c r="C231" s="58"/>
      <c r="D231" s="59"/>
      <c r="E231" s="58"/>
      <c r="F231" s="56"/>
      <c r="G231" s="58"/>
      <c r="H231" s="3"/>
      <c r="J231" s="109" t="str">
        <f>IF(C231&lt;&gt;"",SUMIFS('Booking Management'!Y:Y,'Booking Management'!B:B,'Sales Orders'!A231),"")</f>
        <v/>
      </c>
      <c r="K231" s="45"/>
      <c r="L231" s="60"/>
      <c r="M231" s="92" t="str">
        <f t="shared" ca="1" si="16"/>
        <v/>
      </c>
      <c r="N231" s="81"/>
      <c r="O231" s="3"/>
      <c r="P231" s="58"/>
      <c r="Q231" s="92" t="str">
        <f t="shared" si="15"/>
        <v/>
      </c>
      <c r="R231" s="98">
        <f>SUMIFS('Booking Management'!J:J,'Booking Management'!B:B,'Sales Orders'!A231)</f>
        <v>0</v>
      </c>
      <c r="S231" s="99" t="str">
        <f t="shared" si="14"/>
        <v/>
      </c>
      <c r="T231" s="61"/>
      <c r="U231" s="61"/>
      <c r="V231" s="61"/>
      <c r="W231" s="65"/>
      <c r="X231" s="58"/>
      <c r="Y231" s="98" t="str">
        <f t="shared" si="13"/>
        <v/>
      </c>
    </row>
    <row r="232" spans="1:25">
      <c r="A232" s="23"/>
      <c r="B232" s="58"/>
      <c r="C232" s="58"/>
      <c r="D232" s="59"/>
      <c r="E232" s="58"/>
      <c r="F232" s="56"/>
      <c r="G232" s="58"/>
      <c r="H232" s="3"/>
      <c r="J232" s="109" t="str">
        <f>IF(C232&lt;&gt;"",SUMIFS('Booking Management'!Y:Y,'Booking Management'!B:B,'Sales Orders'!A232),"")</f>
        <v/>
      </c>
      <c r="K232" s="45"/>
      <c r="L232" s="60"/>
      <c r="M232" s="92" t="str">
        <f t="shared" ca="1" si="16"/>
        <v/>
      </c>
      <c r="N232" s="81"/>
      <c r="O232" s="3"/>
      <c r="P232" s="58"/>
      <c r="Q232" s="92" t="str">
        <f t="shared" si="15"/>
        <v/>
      </c>
      <c r="R232" s="98">
        <f>SUMIFS('Booking Management'!J:J,'Booking Management'!B:B,'Sales Orders'!A232)</f>
        <v>0</v>
      </c>
      <c r="S232" s="99" t="str">
        <f t="shared" si="14"/>
        <v/>
      </c>
      <c r="T232" s="61"/>
      <c r="U232" s="61"/>
      <c r="V232" s="61"/>
      <c r="W232" s="65"/>
      <c r="X232" s="58"/>
      <c r="Y232" s="98" t="str">
        <f t="shared" si="13"/>
        <v/>
      </c>
    </row>
    <row r="233" spans="1:25">
      <c r="A233" s="23"/>
      <c r="B233" s="58"/>
      <c r="C233" s="58"/>
      <c r="D233" s="59"/>
      <c r="E233" s="58"/>
      <c r="F233" s="56"/>
      <c r="G233" s="58"/>
      <c r="H233" s="3"/>
      <c r="J233" s="109" t="str">
        <f>IF(C233&lt;&gt;"",SUMIFS('Booking Management'!Y:Y,'Booking Management'!B:B,'Sales Orders'!A233),"")</f>
        <v/>
      </c>
      <c r="K233" s="45"/>
      <c r="L233" s="60"/>
      <c r="M233" s="92" t="str">
        <f t="shared" ca="1" si="16"/>
        <v/>
      </c>
      <c r="N233" s="81"/>
      <c r="O233" s="3"/>
      <c r="P233" s="58"/>
      <c r="Q233" s="92" t="str">
        <f t="shared" si="15"/>
        <v/>
      </c>
      <c r="R233" s="98">
        <f>SUMIFS('Booking Management'!J:J,'Booking Management'!B:B,'Sales Orders'!A233)</f>
        <v>0</v>
      </c>
      <c r="S233" s="99" t="str">
        <f t="shared" si="14"/>
        <v/>
      </c>
      <c r="T233" s="61"/>
      <c r="U233" s="61"/>
      <c r="V233" s="61"/>
      <c r="W233" s="65"/>
      <c r="X233" s="58"/>
      <c r="Y233" s="98" t="str">
        <f t="shared" si="13"/>
        <v/>
      </c>
    </row>
    <row r="234" spans="1:25">
      <c r="A234" s="23"/>
      <c r="B234" s="58"/>
      <c r="C234" s="58"/>
      <c r="D234" s="59"/>
      <c r="E234" s="58"/>
      <c r="F234" s="56"/>
      <c r="G234" s="58"/>
      <c r="H234" s="3"/>
      <c r="J234" s="109" t="str">
        <f>IF(C234&lt;&gt;"",SUMIFS('Booking Management'!Y:Y,'Booking Management'!B:B,'Sales Orders'!A234),"")</f>
        <v/>
      </c>
      <c r="K234" s="45"/>
      <c r="L234" s="60"/>
      <c r="M234" s="92" t="str">
        <f t="shared" ca="1" si="16"/>
        <v/>
      </c>
      <c r="N234" s="81"/>
      <c r="O234" s="3"/>
      <c r="P234" s="58"/>
      <c r="Q234" s="92" t="str">
        <f t="shared" si="15"/>
        <v/>
      </c>
      <c r="R234" s="98">
        <f>SUMIFS('Booking Management'!J:J,'Booking Management'!B:B,'Sales Orders'!A234)</f>
        <v>0</v>
      </c>
      <c r="S234" s="99" t="str">
        <f t="shared" si="14"/>
        <v/>
      </c>
      <c r="T234" s="61"/>
      <c r="U234" s="61"/>
      <c r="V234" s="61"/>
      <c r="W234" s="65"/>
      <c r="X234" s="58"/>
      <c r="Y234" s="98" t="str">
        <f t="shared" ref="Y234:Y297" si="17">IF(D234&lt;&gt;"",D234-J234,"")</f>
        <v/>
      </c>
    </row>
    <row r="235" spans="1:25">
      <c r="A235" s="23"/>
      <c r="B235" s="58"/>
      <c r="C235" s="58"/>
      <c r="D235" s="59"/>
      <c r="E235" s="58"/>
      <c r="F235" s="56"/>
      <c r="G235" s="58"/>
      <c r="H235" s="3"/>
      <c r="J235" s="109" t="str">
        <f>IF(C235&lt;&gt;"",SUMIFS('Booking Management'!Y:Y,'Booking Management'!B:B,'Sales Orders'!A235),"")</f>
        <v/>
      </c>
      <c r="K235" s="45"/>
      <c r="L235" s="60"/>
      <c r="M235" s="92" t="str">
        <f t="shared" ca="1" si="16"/>
        <v/>
      </c>
      <c r="N235" s="81"/>
      <c r="O235" s="3"/>
      <c r="P235" s="58"/>
      <c r="Q235" s="92" t="str">
        <f t="shared" si="15"/>
        <v/>
      </c>
      <c r="R235" s="98">
        <f>SUMIFS('Booking Management'!J:J,'Booking Management'!B:B,'Sales Orders'!A235)</f>
        <v>0</v>
      </c>
      <c r="S235" s="99" t="str">
        <f t="shared" si="14"/>
        <v/>
      </c>
      <c r="T235" s="61"/>
      <c r="U235" s="61"/>
      <c r="V235" s="61"/>
      <c r="W235" s="65"/>
      <c r="X235" s="58"/>
      <c r="Y235" s="98" t="str">
        <f t="shared" si="17"/>
        <v/>
      </c>
    </row>
    <row r="236" spans="1:25">
      <c r="A236" s="23"/>
      <c r="B236" s="58"/>
      <c r="C236" s="58"/>
      <c r="D236" s="59"/>
      <c r="E236" s="58"/>
      <c r="F236" s="56"/>
      <c r="G236" s="58"/>
      <c r="H236" s="3"/>
      <c r="J236" s="109" t="str">
        <f>IF(C236&lt;&gt;"",SUMIFS('Booking Management'!Y:Y,'Booking Management'!B:B,'Sales Orders'!A236),"")</f>
        <v/>
      </c>
      <c r="K236" s="45"/>
      <c r="L236" s="60"/>
      <c r="M236" s="92" t="str">
        <f t="shared" ca="1" si="16"/>
        <v/>
      </c>
      <c r="N236" s="81"/>
      <c r="O236" s="3"/>
      <c r="P236" s="58"/>
      <c r="Q236" s="92" t="str">
        <f t="shared" si="15"/>
        <v/>
      </c>
      <c r="R236" s="98">
        <f>SUMIFS('Booking Management'!J:J,'Booking Management'!B:B,'Sales Orders'!A236)</f>
        <v>0</v>
      </c>
      <c r="S236" s="99" t="str">
        <f t="shared" si="14"/>
        <v/>
      </c>
      <c r="T236" s="61"/>
      <c r="U236" s="61"/>
      <c r="V236" s="61"/>
      <c r="W236" s="65"/>
      <c r="X236" s="58"/>
      <c r="Y236" s="98" t="str">
        <f t="shared" si="17"/>
        <v/>
      </c>
    </row>
    <row r="237" spans="1:25">
      <c r="A237" s="23"/>
      <c r="B237" s="58"/>
      <c r="C237" s="58"/>
      <c r="D237" s="59"/>
      <c r="E237" s="58"/>
      <c r="F237" s="56"/>
      <c r="G237" s="58"/>
      <c r="H237" s="3"/>
      <c r="J237" s="109" t="str">
        <f>IF(C237&lt;&gt;"",SUMIFS('Booking Management'!Y:Y,'Booking Management'!B:B,'Sales Orders'!A237),"")</f>
        <v/>
      </c>
      <c r="K237" s="45"/>
      <c r="L237" s="60"/>
      <c r="M237" s="92" t="str">
        <f t="shared" ca="1" si="16"/>
        <v/>
      </c>
      <c r="N237" s="81"/>
      <c r="O237" s="3"/>
      <c r="P237" s="58"/>
      <c r="Q237" s="92" t="str">
        <f t="shared" si="15"/>
        <v/>
      </c>
      <c r="R237" s="98">
        <f>SUMIFS('Booking Management'!J:J,'Booking Management'!B:B,'Sales Orders'!A237)</f>
        <v>0</v>
      </c>
      <c r="S237" s="99" t="str">
        <f t="shared" si="14"/>
        <v/>
      </c>
      <c r="T237" s="61"/>
      <c r="U237" s="61"/>
      <c r="V237" s="61"/>
      <c r="W237" s="65"/>
      <c r="X237" s="58"/>
      <c r="Y237" s="98" t="str">
        <f t="shared" si="17"/>
        <v/>
      </c>
    </row>
    <row r="238" spans="1:25">
      <c r="A238" s="23"/>
      <c r="B238" s="58"/>
      <c r="C238" s="58"/>
      <c r="D238" s="59"/>
      <c r="E238" s="58"/>
      <c r="F238" s="56"/>
      <c r="G238" s="58"/>
      <c r="H238" s="3"/>
      <c r="J238" s="109" t="str">
        <f>IF(C238&lt;&gt;"",SUMIFS('Booking Management'!Y:Y,'Booking Management'!B:B,'Sales Orders'!A238),"")</f>
        <v/>
      </c>
      <c r="K238" s="45"/>
      <c r="L238" s="60"/>
      <c r="M238" s="92" t="str">
        <f t="shared" ca="1" si="16"/>
        <v/>
      </c>
      <c r="N238" s="81"/>
      <c r="O238" s="3"/>
      <c r="P238" s="58"/>
      <c r="Q238" s="92" t="str">
        <f t="shared" si="15"/>
        <v/>
      </c>
      <c r="R238" s="98">
        <f>SUMIFS('Booking Management'!J:J,'Booking Management'!B:B,'Sales Orders'!A238)</f>
        <v>0</v>
      </c>
      <c r="S238" s="99" t="str">
        <f t="shared" si="14"/>
        <v/>
      </c>
      <c r="T238" s="61"/>
      <c r="U238" s="61"/>
      <c r="V238" s="61"/>
      <c r="W238" s="58"/>
      <c r="X238" s="58"/>
      <c r="Y238" s="98" t="str">
        <f t="shared" si="17"/>
        <v/>
      </c>
    </row>
    <row r="239" spans="1:25">
      <c r="A239" s="23"/>
      <c r="B239" s="58"/>
      <c r="C239" s="58"/>
      <c r="D239" s="59"/>
      <c r="E239" s="58"/>
      <c r="F239" s="56"/>
      <c r="G239" s="58"/>
      <c r="H239" s="3"/>
      <c r="J239" s="109" t="str">
        <f>IF(C239&lt;&gt;"",SUMIFS('Booking Management'!Y:Y,'Booking Management'!B:B,'Sales Orders'!A239),"")</f>
        <v/>
      </c>
      <c r="K239" s="45"/>
      <c r="L239" s="60"/>
      <c r="M239" s="92" t="str">
        <f t="shared" ca="1" si="16"/>
        <v/>
      </c>
      <c r="N239" s="81"/>
      <c r="O239" s="3"/>
      <c r="P239" s="58"/>
      <c r="Q239" s="92" t="str">
        <f t="shared" si="15"/>
        <v/>
      </c>
      <c r="R239" s="98">
        <f>SUMIFS('Booking Management'!J:J,'Booking Management'!B:B,'Sales Orders'!A239)</f>
        <v>0</v>
      </c>
      <c r="S239" s="99" t="str">
        <f t="shared" si="14"/>
        <v/>
      </c>
      <c r="T239" s="61"/>
      <c r="U239" s="61"/>
      <c r="V239" s="61"/>
      <c r="W239" s="65"/>
      <c r="X239" s="58"/>
      <c r="Y239" s="98" t="str">
        <f t="shared" si="17"/>
        <v/>
      </c>
    </row>
    <row r="240" spans="1:25">
      <c r="A240" s="23"/>
      <c r="B240" s="58"/>
      <c r="C240" s="58"/>
      <c r="D240" s="59"/>
      <c r="E240" s="58"/>
      <c r="F240" s="56"/>
      <c r="G240" s="58"/>
      <c r="H240" s="3"/>
      <c r="J240" s="109" t="str">
        <f>IF(C240&lt;&gt;"",SUMIFS('Booking Management'!Y:Y,'Booking Management'!B:B,'Sales Orders'!A240),"")</f>
        <v/>
      </c>
      <c r="K240" s="45"/>
      <c r="L240" s="60"/>
      <c r="M240" s="92" t="str">
        <f t="shared" ca="1" si="16"/>
        <v/>
      </c>
      <c r="N240" s="81"/>
      <c r="O240" s="3"/>
      <c r="P240" s="58"/>
      <c r="Q240" s="92" t="str">
        <f t="shared" si="15"/>
        <v/>
      </c>
      <c r="R240" s="98">
        <f>SUMIFS('Booking Management'!J:J,'Booking Management'!B:B,'Sales Orders'!A240)</f>
        <v>0</v>
      </c>
      <c r="S240" s="99" t="str">
        <f t="shared" si="14"/>
        <v/>
      </c>
      <c r="T240" s="61"/>
      <c r="U240" s="61"/>
      <c r="V240" s="61"/>
      <c r="W240" s="65"/>
      <c r="X240" s="58"/>
      <c r="Y240" s="98" t="str">
        <f t="shared" si="17"/>
        <v/>
      </c>
    </row>
    <row r="241" spans="1:25">
      <c r="A241" s="23"/>
      <c r="B241" s="58"/>
      <c r="C241" s="58"/>
      <c r="D241" s="59"/>
      <c r="E241" s="58"/>
      <c r="F241" s="56"/>
      <c r="G241" s="58"/>
      <c r="H241" s="3"/>
      <c r="J241" s="109" t="str">
        <f>IF(C241&lt;&gt;"",SUMIFS('Booking Management'!Y:Y,'Booking Management'!B:B,'Sales Orders'!A241),"")</f>
        <v/>
      </c>
      <c r="K241" s="45"/>
      <c r="L241" s="60"/>
      <c r="M241" s="92" t="str">
        <f t="shared" ca="1" si="16"/>
        <v/>
      </c>
      <c r="N241" s="81"/>
      <c r="O241" s="3"/>
      <c r="P241" s="58"/>
      <c r="Q241" s="92" t="str">
        <f t="shared" si="15"/>
        <v/>
      </c>
      <c r="R241" s="98">
        <f>SUMIFS('Booking Management'!J:J,'Booking Management'!B:B,'Sales Orders'!A241)</f>
        <v>0</v>
      </c>
      <c r="S241" s="99" t="str">
        <f t="shared" si="14"/>
        <v/>
      </c>
      <c r="T241" s="61"/>
      <c r="U241" s="61"/>
      <c r="V241" s="61"/>
      <c r="W241" s="65"/>
      <c r="X241" s="58"/>
      <c r="Y241" s="98" t="str">
        <f t="shared" si="17"/>
        <v/>
      </c>
    </row>
    <row r="242" spans="1:25">
      <c r="A242" s="23"/>
      <c r="B242" s="58"/>
      <c r="C242" s="58"/>
      <c r="D242" s="59"/>
      <c r="E242" s="58"/>
      <c r="F242" s="56"/>
      <c r="G242" s="58"/>
      <c r="H242" s="3"/>
      <c r="J242" s="109" t="str">
        <f>IF(C242&lt;&gt;"",SUMIFS('Booking Management'!Y:Y,'Booking Management'!B:B,'Sales Orders'!A242),"")</f>
        <v/>
      </c>
      <c r="K242" s="45"/>
      <c r="L242" s="60"/>
      <c r="M242" s="92" t="str">
        <f t="shared" ca="1" si="16"/>
        <v/>
      </c>
      <c r="N242" s="81"/>
      <c r="O242" s="3"/>
      <c r="P242" s="58"/>
      <c r="Q242" s="92" t="str">
        <f t="shared" si="15"/>
        <v/>
      </c>
      <c r="R242" s="98">
        <f>SUMIFS('Booking Management'!J:J,'Booking Management'!B:B,'Sales Orders'!A242)</f>
        <v>0</v>
      </c>
      <c r="S242" s="99" t="str">
        <f t="shared" si="14"/>
        <v/>
      </c>
      <c r="T242" s="61"/>
      <c r="U242" s="61"/>
      <c r="V242" s="61"/>
      <c r="W242" s="65"/>
      <c r="X242" s="58"/>
      <c r="Y242" s="98" t="str">
        <f t="shared" si="17"/>
        <v/>
      </c>
    </row>
    <row r="243" spans="1:25">
      <c r="A243" s="23"/>
      <c r="B243" s="58"/>
      <c r="C243" s="58"/>
      <c r="D243" s="59"/>
      <c r="E243" s="58"/>
      <c r="F243" s="56"/>
      <c r="G243" s="58"/>
      <c r="H243" s="3"/>
      <c r="J243" s="109" t="str">
        <f>IF(C243&lt;&gt;"",SUMIFS('Booking Management'!Y:Y,'Booking Management'!B:B,'Sales Orders'!A243),"")</f>
        <v/>
      </c>
      <c r="K243" s="45"/>
      <c r="L243" s="60"/>
      <c r="M243" s="92" t="str">
        <f t="shared" ca="1" si="16"/>
        <v/>
      </c>
      <c r="N243" s="81"/>
      <c r="O243" s="3"/>
      <c r="P243" s="58"/>
      <c r="Q243" s="92" t="str">
        <f t="shared" si="15"/>
        <v/>
      </c>
      <c r="R243" s="98">
        <f>SUMIFS('Booking Management'!J:J,'Booking Management'!B:B,'Sales Orders'!A243)</f>
        <v>0</v>
      </c>
      <c r="S243" s="99" t="str">
        <f t="shared" si="14"/>
        <v/>
      </c>
      <c r="T243" s="61"/>
      <c r="U243" s="61"/>
      <c r="V243" s="61"/>
      <c r="W243" s="65"/>
      <c r="X243" s="58"/>
      <c r="Y243" s="98" t="str">
        <f t="shared" si="17"/>
        <v/>
      </c>
    </row>
    <row r="244" spans="1:25">
      <c r="A244" s="23"/>
      <c r="B244" s="58"/>
      <c r="C244" s="58"/>
      <c r="D244" s="59"/>
      <c r="E244" s="58"/>
      <c r="F244" s="56"/>
      <c r="G244" s="58"/>
      <c r="H244" s="3"/>
      <c r="J244" s="109" t="str">
        <f>IF(C244&lt;&gt;"",SUMIFS('Booking Management'!Y:Y,'Booking Management'!B:B,'Sales Orders'!A244),"")</f>
        <v/>
      </c>
      <c r="K244" s="45"/>
      <c r="L244" s="60"/>
      <c r="M244" s="92" t="str">
        <f t="shared" ca="1" si="16"/>
        <v/>
      </c>
      <c r="N244" s="81"/>
      <c r="O244" s="3"/>
      <c r="P244" s="58"/>
      <c r="Q244" s="92" t="str">
        <f t="shared" si="15"/>
        <v/>
      </c>
      <c r="R244" s="98">
        <f>SUMIFS('Booking Management'!J:J,'Booking Management'!B:B,'Sales Orders'!A244)</f>
        <v>0</v>
      </c>
      <c r="S244" s="99" t="str">
        <f t="shared" si="14"/>
        <v/>
      </c>
      <c r="T244" s="61"/>
      <c r="U244" s="61"/>
      <c r="V244" s="61"/>
      <c r="W244" s="58"/>
      <c r="X244" s="58"/>
      <c r="Y244" s="98" t="str">
        <f t="shared" si="17"/>
        <v/>
      </c>
    </row>
    <row r="245" spans="1:25">
      <c r="A245" s="23"/>
      <c r="B245" s="58"/>
      <c r="C245" s="58"/>
      <c r="D245" s="59"/>
      <c r="E245" s="58"/>
      <c r="F245" s="56"/>
      <c r="G245" s="58"/>
      <c r="H245" s="3"/>
      <c r="J245" s="109" t="str">
        <f>IF(C245&lt;&gt;"",SUMIFS('Booking Management'!Y:Y,'Booking Management'!B:B,'Sales Orders'!A245),"")</f>
        <v/>
      </c>
      <c r="K245" s="45"/>
      <c r="L245" s="60"/>
      <c r="M245" s="92" t="str">
        <f t="shared" ca="1" si="16"/>
        <v/>
      </c>
      <c r="N245" s="81"/>
      <c r="O245" s="3"/>
      <c r="P245" s="58"/>
      <c r="Q245" s="92" t="str">
        <f t="shared" si="15"/>
        <v/>
      </c>
      <c r="R245" s="98">
        <f>SUMIFS('Booking Management'!J:J,'Booking Management'!B:B,'Sales Orders'!A245)</f>
        <v>0</v>
      </c>
      <c r="S245" s="99" t="str">
        <f t="shared" si="14"/>
        <v/>
      </c>
      <c r="T245" s="61"/>
      <c r="U245" s="61"/>
      <c r="V245" s="61"/>
      <c r="W245" s="65"/>
      <c r="X245" s="58"/>
      <c r="Y245" s="98" t="str">
        <f t="shared" si="17"/>
        <v/>
      </c>
    </row>
    <row r="246" spans="1:25">
      <c r="A246" s="23"/>
      <c r="B246" s="58"/>
      <c r="C246" s="58"/>
      <c r="D246" s="59"/>
      <c r="E246" s="58"/>
      <c r="F246" s="56"/>
      <c r="G246" s="58"/>
      <c r="H246" s="3"/>
      <c r="J246" s="109" t="str">
        <f>IF(C246&lt;&gt;"",SUMIFS('Booking Management'!Y:Y,'Booking Management'!B:B,'Sales Orders'!A246),"")</f>
        <v/>
      </c>
      <c r="K246" s="45"/>
      <c r="L246" s="60"/>
      <c r="M246" s="92" t="str">
        <f t="shared" ca="1" si="16"/>
        <v/>
      </c>
      <c r="N246" s="81"/>
      <c r="O246" s="3"/>
      <c r="P246" s="58"/>
      <c r="Q246" s="92" t="str">
        <f t="shared" si="15"/>
        <v/>
      </c>
      <c r="R246" s="98">
        <f>SUMIFS('Booking Management'!J:J,'Booking Management'!B:B,'Sales Orders'!A246)</f>
        <v>0</v>
      </c>
      <c r="S246" s="99" t="str">
        <f t="shared" si="14"/>
        <v/>
      </c>
      <c r="T246" s="61"/>
      <c r="U246" s="61"/>
      <c r="V246" s="61"/>
      <c r="W246" s="65"/>
      <c r="X246" s="58"/>
      <c r="Y246" s="98" t="str">
        <f t="shared" si="17"/>
        <v/>
      </c>
    </row>
    <row r="247" spans="1:25">
      <c r="A247" s="23"/>
      <c r="B247" s="58"/>
      <c r="C247" s="58"/>
      <c r="D247" s="59"/>
      <c r="E247" s="58"/>
      <c r="F247" s="56"/>
      <c r="G247" s="58"/>
      <c r="H247" s="3"/>
      <c r="J247" s="109" t="str">
        <f>IF(C247&lt;&gt;"",SUMIFS('Booking Management'!Y:Y,'Booking Management'!B:B,'Sales Orders'!A247),"")</f>
        <v/>
      </c>
      <c r="K247" s="45"/>
      <c r="L247" s="60"/>
      <c r="M247" s="92" t="str">
        <f t="shared" ca="1" si="16"/>
        <v/>
      </c>
      <c r="N247" s="81"/>
      <c r="O247" s="3"/>
      <c r="P247" s="58"/>
      <c r="Q247" s="92" t="str">
        <f t="shared" si="15"/>
        <v/>
      </c>
      <c r="R247" s="98">
        <f>SUMIFS('Booking Management'!J:J,'Booking Management'!B:B,'Sales Orders'!A247)</f>
        <v>0</v>
      </c>
      <c r="S247" s="99" t="str">
        <f t="shared" si="14"/>
        <v/>
      </c>
      <c r="T247" s="61"/>
      <c r="U247" s="61"/>
      <c r="V247" s="61"/>
      <c r="W247" s="58"/>
      <c r="X247" s="58"/>
      <c r="Y247" s="98" t="str">
        <f t="shared" si="17"/>
        <v/>
      </c>
    </row>
    <row r="248" spans="1:25">
      <c r="A248" s="23"/>
      <c r="B248" s="58"/>
      <c r="C248" s="58"/>
      <c r="D248" s="59"/>
      <c r="E248" s="58"/>
      <c r="F248" s="56"/>
      <c r="G248" s="58"/>
      <c r="H248" s="3"/>
      <c r="J248" s="109" t="str">
        <f>IF(C248&lt;&gt;"",SUMIFS('Booking Management'!Y:Y,'Booking Management'!B:B,'Sales Orders'!A248),"")</f>
        <v/>
      </c>
      <c r="K248" s="45"/>
      <c r="L248" s="60"/>
      <c r="M248" s="92" t="str">
        <f t="shared" ca="1" si="16"/>
        <v/>
      </c>
      <c r="N248" s="81"/>
      <c r="O248" s="3"/>
      <c r="P248" s="58"/>
      <c r="Q248" s="92" t="str">
        <f t="shared" si="15"/>
        <v/>
      </c>
      <c r="R248" s="98">
        <f>SUMIFS('Booking Management'!J:J,'Booking Management'!B:B,'Sales Orders'!A248)</f>
        <v>0</v>
      </c>
      <c r="S248" s="99" t="str">
        <f t="shared" si="14"/>
        <v/>
      </c>
      <c r="T248" s="61"/>
      <c r="U248" s="61"/>
      <c r="V248" s="61"/>
      <c r="W248" s="58"/>
      <c r="X248" s="58"/>
      <c r="Y248" s="98" t="str">
        <f t="shared" si="17"/>
        <v/>
      </c>
    </row>
    <row r="249" spans="1:25">
      <c r="A249" s="23"/>
      <c r="B249" s="58"/>
      <c r="C249" s="58"/>
      <c r="D249" s="59"/>
      <c r="E249" s="58"/>
      <c r="F249" s="56"/>
      <c r="G249" s="58"/>
      <c r="H249" s="3"/>
      <c r="J249" s="109" t="str">
        <f>IF(C249&lt;&gt;"",SUMIFS('Booking Management'!Y:Y,'Booking Management'!B:B,'Sales Orders'!A249),"")</f>
        <v/>
      </c>
      <c r="K249" s="45"/>
      <c r="L249" s="60"/>
      <c r="M249" s="92" t="str">
        <f t="shared" ca="1" si="16"/>
        <v/>
      </c>
      <c r="N249" s="81"/>
      <c r="O249" s="3"/>
      <c r="P249" s="58"/>
      <c r="Q249" s="92" t="str">
        <f t="shared" si="15"/>
        <v/>
      </c>
      <c r="R249" s="98">
        <f>SUMIFS('Booking Management'!J:J,'Booking Management'!B:B,'Sales Orders'!A249)</f>
        <v>0</v>
      </c>
      <c r="S249" s="99" t="str">
        <f t="shared" si="14"/>
        <v/>
      </c>
      <c r="T249" s="61"/>
      <c r="U249" s="61"/>
      <c r="V249" s="61"/>
      <c r="W249" s="65"/>
      <c r="X249" s="58"/>
      <c r="Y249" s="98" t="str">
        <f t="shared" si="17"/>
        <v/>
      </c>
    </row>
    <row r="250" spans="1:25">
      <c r="A250" s="23"/>
      <c r="B250" s="58"/>
      <c r="C250" s="58"/>
      <c r="D250" s="59"/>
      <c r="E250" s="58"/>
      <c r="F250" s="56"/>
      <c r="G250" s="58"/>
      <c r="H250" s="3"/>
      <c r="J250" s="109" t="str">
        <f>IF(C250&lt;&gt;"",SUMIFS('Booking Management'!Y:Y,'Booking Management'!B:B,'Sales Orders'!A250),"")</f>
        <v/>
      </c>
      <c r="K250" s="45"/>
      <c r="L250" s="60"/>
      <c r="M250" s="92" t="str">
        <f t="shared" ca="1" si="16"/>
        <v/>
      </c>
      <c r="N250" s="81"/>
      <c r="O250" s="3"/>
      <c r="P250" s="58"/>
      <c r="Q250" s="92" t="str">
        <f t="shared" si="15"/>
        <v/>
      </c>
      <c r="R250" s="98">
        <f>SUMIFS('Booking Management'!J:J,'Booking Management'!B:B,'Sales Orders'!A250)</f>
        <v>0</v>
      </c>
      <c r="S250" s="99" t="str">
        <f t="shared" si="14"/>
        <v/>
      </c>
      <c r="T250" s="61"/>
      <c r="U250" s="61"/>
      <c r="V250" s="61"/>
      <c r="W250" s="58"/>
      <c r="X250" s="58"/>
      <c r="Y250" s="98" t="str">
        <f t="shared" si="17"/>
        <v/>
      </c>
    </row>
    <row r="251" spans="1:25">
      <c r="A251" s="23"/>
      <c r="B251" s="58"/>
      <c r="C251" s="58"/>
      <c r="D251" s="59"/>
      <c r="E251" s="58"/>
      <c r="F251" s="56"/>
      <c r="G251" s="58"/>
      <c r="H251" s="3"/>
      <c r="J251" s="109" t="str">
        <f>IF(C251&lt;&gt;"",SUMIFS('Booking Management'!Y:Y,'Booking Management'!B:B,'Sales Orders'!A251),"")</f>
        <v/>
      </c>
      <c r="K251" s="45"/>
      <c r="L251" s="60"/>
      <c r="M251" s="92" t="str">
        <f t="shared" ca="1" si="16"/>
        <v/>
      </c>
      <c r="N251" s="81"/>
      <c r="O251" s="3"/>
      <c r="P251" s="58"/>
      <c r="Q251" s="92" t="str">
        <f t="shared" si="15"/>
        <v/>
      </c>
      <c r="R251" s="98">
        <f>SUMIFS('Booking Management'!J:J,'Booking Management'!B:B,'Sales Orders'!A251)</f>
        <v>0</v>
      </c>
      <c r="S251" s="99" t="str">
        <f t="shared" si="14"/>
        <v/>
      </c>
      <c r="T251" s="61"/>
      <c r="U251" s="61"/>
      <c r="V251" s="61"/>
      <c r="W251" s="65"/>
      <c r="X251" s="58"/>
      <c r="Y251" s="98" t="str">
        <f t="shared" si="17"/>
        <v/>
      </c>
    </row>
    <row r="252" spans="1:25">
      <c r="A252" s="23"/>
      <c r="B252" s="58"/>
      <c r="C252" s="58"/>
      <c r="D252" s="59"/>
      <c r="E252" s="58"/>
      <c r="F252" s="56"/>
      <c r="G252" s="58"/>
      <c r="H252" s="3"/>
      <c r="J252" s="109" t="str">
        <f>IF(C252&lt;&gt;"",SUMIFS('Booking Management'!Y:Y,'Booking Management'!B:B,'Sales Orders'!A252),"")</f>
        <v/>
      </c>
      <c r="K252" s="45"/>
      <c r="L252" s="60"/>
      <c r="M252" s="92" t="str">
        <f t="shared" ca="1" si="16"/>
        <v/>
      </c>
      <c r="N252" s="81"/>
      <c r="O252" s="3"/>
      <c r="P252" s="58"/>
      <c r="Q252" s="92" t="str">
        <f t="shared" si="15"/>
        <v/>
      </c>
      <c r="R252" s="98">
        <f>SUMIFS('Booking Management'!J:J,'Booking Management'!B:B,'Sales Orders'!A252)</f>
        <v>0</v>
      </c>
      <c r="S252" s="99" t="str">
        <f t="shared" si="14"/>
        <v/>
      </c>
      <c r="T252" s="61"/>
      <c r="U252" s="61"/>
      <c r="V252" s="61"/>
      <c r="W252" s="58"/>
      <c r="X252" s="58"/>
      <c r="Y252" s="98" t="str">
        <f t="shared" si="17"/>
        <v/>
      </c>
    </row>
    <row r="253" spans="1:25">
      <c r="A253" s="23"/>
      <c r="B253" s="58"/>
      <c r="C253" s="58"/>
      <c r="D253" s="59"/>
      <c r="E253" s="58"/>
      <c r="F253" s="56"/>
      <c r="G253" s="58"/>
      <c r="H253" s="3"/>
      <c r="J253" s="109" t="str">
        <f>IF(C253&lt;&gt;"",SUMIFS('Booking Management'!Y:Y,'Booking Management'!B:B,'Sales Orders'!A253),"")</f>
        <v/>
      </c>
      <c r="K253" s="45"/>
      <c r="L253" s="60"/>
      <c r="M253" s="92" t="str">
        <f t="shared" ca="1" si="16"/>
        <v/>
      </c>
      <c r="N253" s="81"/>
      <c r="O253" s="3"/>
      <c r="P253" s="58"/>
      <c r="Q253" s="92" t="str">
        <f t="shared" si="15"/>
        <v/>
      </c>
      <c r="R253" s="98">
        <f>SUMIFS('Booking Management'!J:J,'Booking Management'!B:B,'Sales Orders'!A253)</f>
        <v>0</v>
      </c>
      <c r="S253" s="99" t="str">
        <f t="shared" si="14"/>
        <v/>
      </c>
      <c r="T253" s="61"/>
      <c r="U253" s="61"/>
      <c r="V253" s="61"/>
      <c r="W253" s="58"/>
      <c r="X253" s="58"/>
      <c r="Y253" s="98" t="str">
        <f t="shared" si="17"/>
        <v/>
      </c>
    </row>
    <row r="254" spans="1:25">
      <c r="A254" s="23"/>
      <c r="B254" s="58"/>
      <c r="C254" s="58"/>
      <c r="D254" s="59"/>
      <c r="E254" s="58"/>
      <c r="F254" s="56"/>
      <c r="G254" s="58"/>
      <c r="H254" s="3"/>
      <c r="J254" s="109" t="str">
        <f>IF(C254&lt;&gt;"",SUMIFS('Booking Management'!Y:Y,'Booking Management'!B:B,'Sales Orders'!A254),"")</f>
        <v/>
      </c>
      <c r="K254" s="45"/>
      <c r="L254" s="60"/>
      <c r="M254" s="92" t="str">
        <f t="shared" ca="1" si="16"/>
        <v/>
      </c>
      <c r="N254" s="81"/>
      <c r="O254" s="3"/>
      <c r="P254" s="58"/>
      <c r="Q254" s="92" t="str">
        <f t="shared" si="15"/>
        <v/>
      </c>
      <c r="R254" s="98">
        <f>SUMIFS('Booking Management'!J:J,'Booking Management'!B:B,'Sales Orders'!A254)</f>
        <v>0</v>
      </c>
      <c r="S254" s="99" t="str">
        <f t="shared" si="14"/>
        <v/>
      </c>
      <c r="T254" s="61"/>
      <c r="U254" s="61"/>
      <c r="V254" s="61"/>
      <c r="W254" s="65"/>
      <c r="X254" s="58"/>
      <c r="Y254" s="98" t="str">
        <f t="shared" si="17"/>
        <v/>
      </c>
    </row>
    <row r="255" spans="1:25">
      <c r="A255" s="23"/>
      <c r="B255" s="58"/>
      <c r="C255" s="58"/>
      <c r="D255" s="59"/>
      <c r="E255" s="58"/>
      <c r="F255" s="56"/>
      <c r="G255" s="58"/>
      <c r="H255" s="3"/>
      <c r="J255" s="109" t="str">
        <f>IF(C255&lt;&gt;"",SUMIFS('Booking Management'!Y:Y,'Booking Management'!B:B,'Sales Orders'!A255),"")</f>
        <v/>
      </c>
      <c r="K255" s="45"/>
      <c r="L255" s="60"/>
      <c r="M255" s="92" t="str">
        <f t="shared" ca="1" si="16"/>
        <v/>
      </c>
      <c r="N255" s="81"/>
      <c r="O255" s="3"/>
      <c r="P255" s="58"/>
      <c r="Q255" s="92" t="str">
        <f t="shared" si="15"/>
        <v/>
      </c>
      <c r="R255" s="98">
        <f>SUMIFS('Booking Management'!J:J,'Booking Management'!B:B,'Sales Orders'!A255)</f>
        <v>0</v>
      </c>
      <c r="S255" s="99" t="str">
        <f t="shared" si="14"/>
        <v/>
      </c>
      <c r="T255" s="61"/>
      <c r="U255" s="61"/>
      <c r="V255" s="61"/>
      <c r="W255" s="65"/>
      <c r="X255" s="58"/>
      <c r="Y255" s="98" t="str">
        <f t="shared" si="17"/>
        <v/>
      </c>
    </row>
    <row r="256" spans="1:25">
      <c r="A256" s="23"/>
      <c r="B256" s="58"/>
      <c r="C256" s="58"/>
      <c r="D256" s="59"/>
      <c r="E256" s="58"/>
      <c r="F256" s="56"/>
      <c r="G256" s="58"/>
      <c r="H256" s="3"/>
      <c r="J256" s="109" t="str">
        <f>IF(C256&lt;&gt;"",SUMIFS('Booking Management'!Y:Y,'Booking Management'!B:B,'Sales Orders'!A256),"")</f>
        <v/>
      </c>
      <c r="K256" s="45"/>
      <c r="L256" s="60"/>
      <c r="M256" s="92" t="str">
        <f t="shared" ca="1" si="16"/>
        <v/>
      </c>
      <c r="N256" s="81"/>
      <c r="O256" s="3"/>
      <c r="P256" s="58"/>
      <c r="Q256" s="92" t="str">
        <f t="shared" si="15"/>
        <v/>
      </c>
      <c r="R256" s="98">
        <f>SUMIFS('Booking Management'!J:J,'Booking Management'!B:B,'Sales Orders'!A256)</f>
        <v>0</v>
      </c>
      <c r="S256" s="99" t="str">
        <f t="shared" si="14"/>
        <v/>
      </c>
      <c r="T256" s="61"/>
      <c r="U256" s="61"/>
      <c r="V256" s="61"/>
      <c r="W256" s="65"/>
      <c r="X256" s="58"/>
      <c r="Y256" s="98" t="str">
        <f t="shared" si="17"/>
        <v/>
      </c>
    </row>
    <row r="257" spans="1:25">
      <c r="A257" s="23"/>
      <c r="B257" s="58"/>
      <c r="C257" s="58"/>
      <c r="D257" s="59"/>
      <c r="E257" s="58"/>
      <c r="F257" s="56"/>
      <c r="G257" s="58"/>
      <c r="H257" s="3"/>
      <c r="J257" s="109" t="str">
        <f>IF(C257&lt;&gt;"",SUMIFS('Booking Management'!Y:Y,'Booking Management'!B:B,'Sales Orders'!A257),"")</f>
        <v/>
      </c>
      <c r="K257" s="45"/>
      <c r="L257" s="60"/>
      <c r="M257" s="92" t="str">
        <f t="shared" ca="1" si="16"/>
        <v/>
      </c>
      <c r="N257" s="81"/>
      <c r="O257" s="3"/>
      <c r="P257" s="58"/>
      <c r="Q257" s="92" t="str">
        <f t="shared" si="15"/>
        <v/>
      </c>
      <c r="R257" s="98">
        <f>SUMIFS('Booking Management'!J:J,'Booking Management'!B:B,'Sales Orders'!A257)</f>
        <v>0</v>
      </c>
      <c r="S257" s="99" t="str">
        <f t="shared" si="14"/>
        <v/>
      </c>
      <c r="T257" s="61"/>
      <c r="U257" s="61"/>
      <c r="V257" s="61"/>
      <c r="W257" s="58"/>
      <c r="X257" s="58"/>
      <c r="Y257" s="98" t="str">
        <f t="shared" si="17"/>
        <v/>
      </c>
    </row>
    <row r="258" spans="1:25">
      <c r="A258" s="23"/>
      <c r="B258" s="58"/>
      <c r="C258" s="58"/>
      <c r="D258" s="59"/>
      <c r="E258" s="58"/>
      <c r="F258" s="62"/>
      <c r="G258" s="58"/>
      <c r="H258" s="3"/>
      <c r="J258" s="109" t="str">
        <f>IF(C258&lt;&gt;"",SUMIFS('Booking Management'!Y:Y,'Booking Management'!B:B,'Sales Orders'!A258),"")</f>
        <v/>
      </c>
      <c r="K258" s="45"/>
      <c r="L258" s="60"/>
      <c r="M258" s="92" t="str">
        <f t="shared" ca="1" si="16"/>
        <v/>
      </c>
      <c r="N258" s="81"/>
      <c r="O258" s="3"/>
      <c r="P258" s="58"/>
      <c r="Q258" s="92" t="str">
        <f t="shared" si="15"/>
        <v/>
      </c>
      <c r="R258" s="98">
        <f>SUMIFS('Booking Management'!J:J,'Booking Management'!B:B,'Sales Orders'!A258)</f>
        <v>0</v>
      </c>
      <c r="S258" s="99" t="str">
        <f t="shared" si="14"/>
        <v/>
      </c>
      <c r="T258" s="61"/>
      <c r="U258" s="61"/>
      <c r="V258" s="61"/>
      <c r="W258" s="65"/>
      <c r="X258" s="58"/>
      <c r="Y258" s="98" t="str">
        <f t="shared" si="17"/>
        <v/>
      </c>
    </row>
    <row r="259" spans="1:25">
      <c r="A259" s="23"/>
      <c r="B259" s="58"/>
      <c r="C259" s="58"/>
      <c r="D259" s="59"/>
      <c r="E259" s="58"/>
      <c r="F259" s="62"/>
      <c r="G259" s="58"/>
      <c r="H259" s="3"/>
      <c r="J259" s="109" t="str">
        <f>IF(C259&lt;&gt;"",SUMIFS('Booking Management'!Y:Y,'Booking Management'!B:B,'Sales Orders'!A259),"")</f>
        <v/>
      </c>
      <c r="K259" s="45"/>
      <c r="L259" s="60"/>
      <c r="M259" s="92" t="str">
        <f t="shared" ca="1" si="16"/>
        <v/>
      </c>
      <c r="N259" s="81"/>
      <c r="O259" s="3"/>
      <c r="P259" s="58"/>
      <c r="Q259" s="92" t="str">
        <f t="shared" si="15"/>
        <v/>
      </c>
      <c r="R259" s="98">
        <f>SUMIFS('Booking Management'!J:J,'Booking Management'!B:B,'Sales Orders'!A259)</f>
        <v>0</v>
      </c>
      <c r="S259" s="99" t="str">
        <f t="shared" si="14"/>
        <v/>
      </c>
      <c r="T259" s="61"/>
      <c r="U259" s="61"/>
      <c r="V259" s="61"/>
      <c r="W259" s="65"/>
      <c r="X259" s="58"/>
      <c r="Y259" s="98" t="str">
        <f t="shared" si="17"/>
        <v/>
      </c>
    </row>
    <row r="260" spans="1:25">
      <c r="A260" s="23"/>
      <c r="B260" s="58"/>
      <c r="C260" s="58"/>
      <c r="D260" s="59"/>
      <c r="E260" s="58"/>
      <c r="F260" s="62"/>
      <c r="G260" s="58"/>
      <c r="H260" s="3"/>
      <c r="J260" s="109" t="str">
        <f>IF(C260&lt;&gt;"",SUMIFS('Booking Management'!Y:Y,'Booking Management'!B:B,'Sales Orders'!A260),"")</f>
        <v/>
      </c>
      <c r="K260" s="45"/>
      <c r="L260" s="60"/>
      <c r="M260" s="92" t="str">
        <f t="shared" ca="1" si="16"/>
        <v/>
      </c>
      <c r="N260" s="81"/>
      <c r="O260" s="3"/>
      <c r="P260" s="58"/>
      <c r="Q260" s="92" t="str">
        <f t="shared" si="15"/>
        <v/>
      </c>
      <c r="R260" s="98">
        <f>SUMIFS('Booking Management'!J:J,'Booking Management'!B:B,'Sales Orders'!A260)</f>
        <v>0</v>
      </c>
      <c r="S260" s="99" t="str">
        <f t="shared" ref="S260:S323" si="18">IF(R260&gt;0,(R260/D260)*N260,"")</f>
        <v/>
      </c>
      <c r="T260" s="61"/>
      <c r="U260" s="61"/>
      <c r="V260" s="61"/>
      <c r="W260" s="65"/>
      <c r="X260" s="58"/>
      <c r="Y260" s="98" t="str">
        <f t="shared" si="17"/>
        <v/>
      </c>
    </row>
    <row r="261" spans="1:25">
      <c r="A261" s="23"/>
      <c r="B261" s="58"/>
      <c r="C261" s="58"/>
      <c r="D261" s="59"/>
      <c r="E261" s="58"/>
      <c r="F261" s="62"/>
      <c r="G261" s="58"/>
      <c r="H261" s="3"/>
      <c r="J261" s="109" t="str">
        <f>IF(C261&lt;&gt;"",SUMIFS('Booking Management'!Y:Y,'Booking Management'!B:B,'Sales Orders'!A261),"")</f>
        <v/>
      </c>
      <c r="K261" s="45"/>
      <c r="L261" s="60"/>
      <c r="M261" s="92" t="str">
        <f t="shared" ca="1" si="16"/>
        <v/>
      </c>
      <c r="N261" s="81"/>
      <c r="O261" s="3"/>
      <c r="P261" s="58"/>
      <c r="Q261" s="92" t="str">
        <f t="shared" si="15"/>
        <v/>
      </c>
      <c r="R261" s="98">
        <f>SUMIFS('Booking Management'!J:J,'Booking Management'!B:B,'Sales Orders'!A261)</f>
        <v>0</v>
      </c>
      <c r="S261" s="99" t="str">
        <f t="shared" si="18"/>
        <v/>
      </c>
      <c r="T261" s="61"/>
      <c r="U261" s="61"/>
      <c r="V261" s="61"/>
      <c r="W261" s="65"/>
      <c r="X261" s="58"/>
      <c r="Y261" s="98" t="str">
        <f t="shared" si="17"/>
        <v/>
      </c>
    </row>
    <row r="262" spans="1:25">
      <c r="A262" s="23"/>
      <c r="B262" s="58"/>
      <c r="C262" s="58"/>
      <c r="D262" s="59"/>
      <c r="E262" s="58"/>
      <c r="F262" s="62"/>
      <c r="G262" s="58"/>
      <c r="H262" s="3"/>
      <c r="J262" s="109" t="str">
        <f>IF(C262&lt;&gt;"",SUMIFS('Booking Management'!Y:Y,'Booking Management'!B:B,'Sales Orders'!A262),"")</f>
        <v/>
      </c>
      <c r="K262" s="45"/>
      <c r="L262" s="60"/>
      <c r="M262" s="92" t="str">
        <f t="shared" ca="1" si="16"/>
        <v/>
      </c>
      <c r="N262" s="81"/>
      <c r="O262" s="3"/>
      <c r="P262" s="58"/>
      <c r="Q262" s="92" t="str">
        <f t="shared" ref="Q262:Q325" si="19">IF(C262&lt;&gt;"",IF(OR(K262="",P262=""),"alert",""),"")</f>
        <v/>
      </c>
      <c r="R262" s="98">
        <f>SUMIFS('Booking Management'!J:J,'Booking Management'!B:B,'Sales Orders'!A262)</f>
        <v>0</v>
      </c>
      <c r="S262" s="99" t="str">
        <f t="shared" si="18"/>
        <v/>
      </c>
      <c r="T262" s="61"/>
      <c r="U262" s="61"/>
      <c r="V262" s="61"/>
      <c r="W262" s="58"/>
      <c r="X262" s="58"/>
      <c r="Y262" s="98" t="str">
        <f t="shared" si="17"/>
        <v/>
      </c>
    </row>
    <row r="263" spans="1:25">
      <c r="A263" s="23"/>
      <c r="B263" s="58"/>
      <c r="C263" s="58"/>
      <c r="D263" s="59"/>
      <c r="E263" s="58"/>
      <c r="F263" s="62"/>
      <c r="G263" s="58"/>
      <c r="H263" s="3"/>
      <c r="J263" s="109" t="str">
        <f>IF(C263&lt;&gt;"",SUMIFS('Booking Management'!Y:Y,'Booking Management'!B:B,'Sales Orders'!A263),"")</f>
        <v/>
      </c>
      <c r="K263" s="45"/>
      <c r="L263" s="60"/>
      <c r="M263" s="92" t="str">
        <f t="shared" ref="M263:M326" ca="1" si="20">IFERROR(IF(K263&lt;&gt;"",IF(AND(_xlfn.NUMBERVALUE(J263)/_xlfn.NUMBERVALUE(D263) &lt;1,K263-TODAY()&lt;2,L263&lt;&gt;"yes"),"alert",""),""),"")</f>
        <v/>
      </c>
      <c r="N263" s="81"/>
      <c r="O263" s="3"/>
      <c r="P263" s="58"/>
      <c r="Q263" s="92" t="str">
        <f t="shared" si="19"/>
        <v/>
      </c>
      <c r="R263" s="98">
        <f>SUMIFS('Booking Management'!J:J,'Booking Management'!B:B,'Sales Orders'!A263)</f>
        <v>0</v>
      </c>
      <c r="S263" s="99" t="str">
        <f t="shared" si="18"/>
        <v/>
      </c>
      <c r="T263" s="61"/>
      <c r="U263" s="61"/>
      <c r="V263" s="61"/>
      <c r="W263" s="58"/>
      <c r="X263" s="58"/>
      <c r="Y263" s="98" t="str">
        <f t="shared" si="17"/>
        <v/>
      </c>
    </row>
    <row r="264" spans="1:25">
      <c r="A264" s="23"/>
      <c r="B264" s="58"/>
      <c r="C264" s="58"/>
      <c r="D264" s="59"/>
      <c r="E264" s="58"/>
      <c r="F264" s="62"/>
      <c r="G264" s="58"/>
      <c r="H264" s="3"/>
      <c r="J264" s="109" t="str">
        <f>IF(C264&lt;&gt;"",SUMIFS('Booking Management'!Y:Y,'Booking Management'!B:B,'Sales Orders'!A264),"")</f>
        <v/>
      </c>
      <c r="K264" s="45"/>
      <c r="L264" s="60"/>
      <c r="M264" s="92" t="str">
        <f t="shared" ca="1" si="20"/>
        <v/>
      </c>
      <c r="N264" s="81"/>
      <c r="O264" s="3"/>
      <c r="P264" s="58"/>
      <c r="Q264" s="92" t="str">
        <f t="shared" si="19"/>
        <v/>
      </c>
      <c r="R264" s="98">
        <f>SUMIFS('Booking Management'!J:J,'Booking Management'!B:B,'Sales Orders'!A264)</f>
        <v>0</v>
      </c>
      <c r="S264" s="99" t="str">
        <f t="shared" si="18"/>
        <v/>
      </c>
      <c r="T264" s="61"/>
      <c r="U264" s="61"/>
      <c r="V264" s="61"/>
      <c r="W264" s="58"/>
      <c r="X264" s="58"/>
      <c r="Y264" s="98" t="str">
        <f t="shared" si="17"/>
        <v/>
      </c>
    </row>
    <row r="265" spans="1:25">
      <c r="A265" s="23"/>
      <c r="B265" s="58"/>
      <c r="C265" s="58"/>
      <c r="D265" s="59"/>
      <c r="E265" s="58"/>
      <c r="F265" s="62"/>
      <c r="G265" s="58"/>
      <c r="H265" s="3"/>
      <c r="J265" s="109" t="str">
        <f>IF(C265&lt;&gt;"",SUMIFS('Booking Management'!Y:Y,'Booking Management'!B:B,'Sales Orders'!A265),"")</f>
        <v/>
      </c>
      <c r="K265" s="45"/>
      <c r="L265" s="60"/>
      <c r="M265" s="92" t="str">
        <f t="shared" ca="1" si="20"/>
        <v/>
      </c>
      <c r="N265" s="81"/>
      <c r="O265" s="3"/>
      <c r="P265" s="58"/>
      <c r="Q265" s="92" t="str">
        <f t="shared" si="19"/>
        <v/>
      </c>
      <c r="R265" s="98">
        <f>SUMIFS('Booking Management'!J:J,'Booking Management'!B:B,'Sales Orders'!A265)</f>
        <v>0</v>
      </c>
      <c r="S265" s="99" t="str">
        <f t="shared" si="18"/>
        <v/>
      </c>
      <c r="T265" s="61"/>
      <c r="U265" s="61"/>
      <c r="V265" s="61"/>
      <c r="W265" s="58"/>
      <c r="X265" s="58"/>
      <c r="Y265" s="98" t="str">
        <f t="shared" si="17"/>
        <v/>
      </c>
    </row>
    <row r="266" spans="1:25">
      <c r="A266" s="23"/>
      <c r="B266" s="58"/>
      <c r="C266" s="58"/>
      <c r="D266" s="59"/>
      <c r="E266" s="58"/>
      <c r="F266" s="62"/>
      <c r="G266" s="58"/>
      <c r="H266" s="3"/>
      <c r="J266" s="109" t="str">
        <f>IF(C266&lt;&gt;"",SUMIFS('Booking Management'!Y:Y,'Booking Management'!B:B,'Sales Orders'!A266),"")</f>
        <v/>
      </c>
      <c r="K266" s="45"/>
      <c r="L266" s="60"/>
      <c r="M266" s="92" t="str">
        <f t="shared" ca="1" si="20"/>
        <v/>
      </c>
      <c r="N266" s="81"/>
      <c r="O266" s="3"/>
      <c r="P266" s="58"/>
      <c r="Q266" s="92" t="str">
        <f t="shared" si="19"/>
        <v/>
      </c>
      <c r="R266" s="98">
        <f>SUMIFS('Booking Management'!J:J,'Booking Management'!B:B,'Sales Orders'!A266)</f>
        <v>0</v>
      </c>
      <c r="S266" s="99" t="str">
        <f t="shared" si="18"/>
        <v/>
      </c>
      <c r="T266" s="61"/>
      <c r="U266" s="61"/>
      <c r="V266" s="61"/>
      <c r="W266" s="58"/>
      <c r="X266" s="58"/>
      <c r="Y266" s="98" t="str">
        <f t="shared" si="17"/>
        <v/>
      </c>
    </row>
    <row r="267" spans="1:25">
      <c r="A267" s="23"/>
      <c r="B267" s="58"/>
      <c r="C267" s="58"/>
      <c r="D267" s="59"/>
      <c r="E267" s="58"/>
      <c r="F267" s="66"/>
      <c r="G267" s="58"/>
      <c r="H267" s="3"/>
      <c r="J267" s="109" t="str">
        <f>IF(C267&lt;&gt;"",SUMIFS('Booking Management'!Y:Y,'Booking Management'!B:B,'Sales Orders'!A267),"")</f>
        <v/>
      </c>
      <c r="K267" s="45"/>
      <c r="L267" s="60"/>
      <c r="M267" s="92" t="str">
        <f t="shared" ca="1" si="20"/>
        <v/>
      </c>
      <c r="N267" s="81"/>
      <c r="O267" s="3"/>
      <c r="P267" s="58"/>
      <c r="Q267" s="92" t="str">
        <f t="shared" si="19"/>
        <v/>
      </c>
      <c r="R267" s="98">
        <f>SUMIFS('Booking Management'!J:J,'Booking Management'!B:B,'Sales Orders'!A267)</f>
        <v>0</v>
      </c>
      <c r="S267" s="99" t="str">
        <f t="shared" si="18"/>
        <v/>
      </c>
      <c r="T267" s="61"/>
      <c r="U267" s="61"/>
      <c r="V267" s="61"/>
      <c r="W267" s="65"/>
      <c r="X267" s="58"/>
      <c r="Y267" s="98" t="str">
        <f t="shared" si="17"/>
        <v/>
      </c>
    </row>
    <row r="268" spans="1:25">
      <c r="A268" s="23"/>
      <c r="B268" s="58"/>
      <c r="C268" s="58"/>
      <c r="D268" s="59"/>
      <c r="E268" s="58"/>
      <c r="F268" s="62"/>
      <c r="G268" s="58"/>
      <c r="H268" s="3"/>
      <c r="J268" s="109" t="str">
        <f>IF(C268&lt;&gt;"",SUMIFS('Booking Management'!Y:Y,'Booking Management'!B:B,'Sales Orders'!A268),"")</f>
        <v/>
      </c>
      <c r="K268" s="45"/>
      <c r="L268" s="60"/>
      <c r="M268" s="92" t="str">
        <f t="shared" ca="1" si="20"/>
        <v/>
      </c>
      <c r="N268" s="81"/>
      <c r="O268" s="3"/>
      <c r="P268" s="58"/>
      <c r="Q268" s="92" t="str">
        <f t="shared" si="19"/>
        <v/>
      </c>
      <c r="R268" s="98">
        <f>SUMIFS('Booking Management'!J:J,'Booking Management'!B:B,'Sales Orders'!A268)</f>
        <v>0</v>
      </c>
      <c r="S268" s="99" t="str">
        <f t="shared" si="18"/>
        <v/>
      </c>
      <c r="T268" s="61"/>
      <c r="U268" s="61"/>
      <c r="V268" s="61"/>
      <c r="W268" s="65"/>
      <c r="X268" s="58"/>
      <c r="Y268" s="98" t="str">
        <f t="shared" si="17"/>
        <v/>
      </c>
    </row>
    <row r="269" spans="1:25">
      <c r="A269" s="23"/>
      <c r="B269" s="58"/>
      <c r="C269" s="58"/>
      <c r="D269" s="59"/>
      <c r="E269" s="58"/>
      <c r="F269" s="62"/>
      <c r="G269" s="58"/>
      <c r="H269" s="3"/>
      <c r="J269" s="109" t="str">
        <f>IF(C269&lt;&gt;"",SUMIFS('Booking Management'!Y:Y,'Booking Management'!B:B,'Sales Orders'!A269),"")</f>
        <v/>
      </c>
      <c r="K269" s="45"/>
      <c r="L269" s="60"/>
      <c r="M269" s="92" t="str">
        <f t="shared" ca="1" si="20"/>
        <v/>
      </c>
      <c r="N269" s="81"/>
      <c r="O269" s="3"/>
      <c r="P269" s="58"/>
      <c r="Q269" s="92" t="str">
        <f t="shared" si="19"/>
        <v/>
      </c>
      <c r="R269" s="98">
        <f>SUMIFS('Booking Management'!J:J,'Booking Management'!B:B,'Sales Orders'!A269)</f>
        <v>0</v>
      </c>
      <c r="S269" s="99" t="str">
        <f t="shared" si="18"/>
        <v/>
      </c>
      <c r="T269" s="61"/>
      <c r="U269" s="61"/>
      <c r="V269" s="61"/>
      <c r="W269" s="65"/>
      <c r="X269" s="58"/>
      <c r="Y269" s="98" t="str">
        <f t="shared" si="17"/>
        <v/>
      </c>
    </row>
    <row r="270" spans="1:25">
      <c r="A270" s="23"/>
      <c r="B270" s="58"/>
      <c r="C270" s="58"/>
      <c r="D270" s="59"/>
      <c r="E270" s="58"/>
      <c r="F270" s="56"/>
      <c r="G270" s="58"/>
      <c r="H270" s="3"/>
      <c r="J270" s="109" t="str">
        <f>IF(C270&lt;&gt;"",SUMIFS('Booking Management'!Y:Y,'Booking Management'!B:B,'Sales Orders'!A270),"")</f>
        <v/>
      </c>
      <c r="K270" s="45"/>
      <c r="L270" s="60"/>
      <c r="M270" s="92" t="str">
        <f t="shared" ca="1" si="20"/>
        <v/>
      </c>
      <c r="N270" s="81"/>
      <c r="O270" s="3"/>
      <c r="P270" s="58"/>
      <c r="Q270" s="92" t="str">
        <f t="shared" si="19"/>
        <v/>
      </c>
      <c r="R270" s="98">
        <f>SUMIFS('Booking Management'!J:J,'Booking Management'!B:B,'Sales Orders'!A270)</f>
        <v>0</v>
      </c>
      <c r="S270" s="99" t="str">
        <f t="shared" si="18"/>
        <v/>
      </c>
      <c r="T270" s="61"/>
      <c r="U270" s="61"/>
      <c r="V270" s="61"/>
      <c r="W270" s="58"/>
      <c r="X270" s="58"/>
      <c r="Y270" s="98" t="str">
        <f t="shared" si="17"/>
        <v/>
      </c>
    </row>
    <row r="271" spans="1:25">
      <c r="A271" s="23"/>
      <c r="B271" s="58"/>
      <c r="C271" s="58"/>
      <c r="D271" s="59"/>
      <c r="E271" s="58"/>
      <c r="F271" s="62"/>
      <c r="G271" s="58"/>
      <c r="H271" s="3"/>
      <c r="J271" s="109" t="str">
        <f>IF(C271&lt;&gt;"",SUMIFS('Booking Management'!Y:Y,'Booking Management'!B:B,'Sales Orders'!A271),"")</f>
        <v/>
      </c>
      <c r="K271" s="45"/>
      <c r="L271" s="60"/>
      <c r="M271" s="92" t="str">
        <f t="shared" ca="1" si="20"/>
        <v/>
      </c>
      <c r="N271" s="81"/>
      <c r="O271" s="3"/>
      <c r="P271" s="58"/>
      <c r="Q271" s="92" t="str">
        <f t="shared" si="19"/>
        <v/>
      </c>
      <c r="R271" s="98">
        <f>SUMIFS('Booking Management'!J:J,'Booking Management'!B:B,'Sales Orders'!A271)</f>
        <v>0</v>
      </c>
      <c r="S271" s="99" t="str">
        <f t="shared" si="18"/>
        <v/>
      </c>
      <c r="T271" s="61"/>
      <c r="U271" s="61"/>
      <c r="V271" s="61"/>
      <c r="W271" s="65"/>
      <c r="X271" s="58"/>
      <c r="Y271" s="98" t="str">
        <f t="shared" si="17"/>
        <v/>
      </c>
    </row>
    <row r="272" spans="1:25">
      <c r="A272" s="23"/>
      <c r="B272" s="58"/>
      <c r="C272" s="58"/>
      <c r="D272" s="59"/>
      <c r="E272" s="58"/>
      <c r="F272" s="62"/>
      <c r="G272" s="58"/>
      <c r="H272" s="3"/>
      <c r="J272" s="109" t="str">
        <f>IF(C272&lt;&gt;"",SUMIFS('Booking Management'!Y:Y,'Booking Management'!B:B,'Sales Orders'!A272),"")</f>
        <v/>
      </c>
      <c r="K272" s="45"/>
      <c r="L272" s="60"/>
      <c r="M272" s="92" t="str">
        <f t="shared" ca="1" si="20"/>
        <v/>
      </c>
      <c r="N272" s="81"/>
      <c r="O272" s="3"/>
      <c r="P272" s="58"/>
      <c r="Q272" s="92" t="str">
        <f t="shared" si="19"/>
        <v/>
      </c>
      <c r="R272" s="98">
        <f>SUMIFS('Booking Management'!J:J,'Booking Management'!B:B,'Sales Orders'!A272)</f>
        <v>0</v>
      </c>
      <c r="S272" s="99" t="str">
        <f t="shared" si="18"/>
        <v/>
      </c>
      <c r="T272" s="61"/>
      <c r="U272" s="61"/>
      <c r="V272" s="61"/>
      <c r="W272" s="65"/>
      <c r="X272" s="58"/>
      <c r="Y272" s="98" t="str">
        <f t="shared" si="17"/>
        <v/>
      </c>
    </row>
    <row r="273" spans="1:25">
      <c r="A273" s="23"/>
      <c r="B273" s="58"/>
      <c r="C273" s="58"/>
      <c r="D273" s="59"/>
      <c r="E273" s="58"/>
      <c r="F273" s="62"/>
      <c r="G273" s="58"/>
      <c r="H273" s="3"/>
      <c r="J273" s="109" t="str">
        <f>IF(C273&lt;&gt;"",SUMIFS('Booking Management'!Y:Y,'Booking Management'!B:B,'Sales Orders'!A273),"")</f>
        <v/>
      </c>
      <c r="K273" s="45"/>
      <c r="L273" s="60"/>
      <c r="M273" s="92" t="str">
        <f t="shared" ca="1" si="20"/>
        <v/>
      </c>
      <c r="N273" s="81"/>
      <c r="O273" s="3"/>
      <c r="P273" s="58"/>
      <c r="Q273" s="92" t="str">
        <f t="shared" si="19"/>
        <v/>
      </c>
      <c r="R273" s="98">
        <f>SUMIFS('Booking Management'!J:J,'Booking Management'!B:B,'Sales Orders'!A273)</f>
        <v>0</v>
      </c>
      <c r="S273" s="99" t="str">
        <f t="shared" si="18"/>
        <v/>
      </c>
      <c r="T273" s="61"/>
      <c r="U273" s="61"/>
      <c r="V273" s="61"/>
      <c r="W273" s="65"/>
      <c r="X273" s="58"/>
      <c r="Y273" s="98" t="str">
        <f t="shared" si="17"/>
        <v/>
      </c>
    </row>
    <row r="274" spans="1:25">
      <c r="A274" s="23"/>
      <c r="B274" s="58"/>
      <c r="C274" s="58"/>
      <c r="D274" s="59"/>
      <c r="E274" s="58"/>
      <c r="F274" s="62"/>
      <c r="G274" s="58"/>
      <c r="H274" s="3"/>
      <c r="J274" s="109" t="str">
        <f>IF(C274&lt;&gt;"",SUMIFS('Booking Management'!Y:Y,'Booking Management'!B:B,'Sales Orders'!A274),"")</f>
        <v/>
      </c>
      <c r="K274" s="45"/>
      <c r="L274" s="60"/>
      <c r="M274" s="92" t="str">
        <f t="shared" ca="1" si="20"/>
        <v/>
      </c>
      <c r="N274" s="81"/>
      <c r="O274" s="3"/>
      <c r="P274" s="58"/>
      <c r="Q274" s="92" t="str">
        <f t="shared" si="19"/>
        <v/>
      </c>
      <c r="R274" s="98">
        <f>SUMIFS('Booking Management'!J:J,'Booking Management'!B:B,'Sales Orders'!A274)</f>
        <v>0</v>
      </c>
      <c r="S274" s="99" t="str">
        <f t="shared" si="18"/>
        <v/>
      </c>
      <c r="T274" s="61"/>
      <c r="U274" s="61"/>
      <c r="V274" s="61"/>
      <c r="W274" s="65"/>
      <c r="X274" s="58"/>
      <c r="Y274" s="98" t="str">
        <f t="shared" si="17"/>
        <v/>
      </c>
    </row>
    <row r="275" spans="1:25">
      <c r="A275" s="23"/>
      <c r="B275" s="58"/>
      <c r="C275" s="58"/>
      <c r="D275" s="59"/>
      <c r="E275" s="58"/>
      <c r="F275" s="62"/>
      <c r="G275" s="58"/>
      <c r="H275" s="3"/>
      <c r="J275" s="109" t="str">
        <f>IF(C275&lt;&gt;"",SUMIFS('Booking Management'!Y:Y,'Booking Management'!B:B,'Sales Orders'!A275),"")</f>
        <v/>
      </c>
      <c r="K275" s="45"/>
      <c r="L275" s="60"/>
      <c r="M275" s="92" t="str">
        <f t="shared" ca="1" si="20"/>
        <v/>
      </c>
      <c r="N275" s="81"/>
      <c r="O275" s="3"/>
      <c r="P275" s="58"/>
      <c r="Q275" s="92" t="str">
        <f t="shared" si="19"/>
        <v/>
      </c>
      <c r="R275" s="98">
        <f>SUMIFS('Booking Management'!J:J,'Booking Management'!B:B,'Sales Orders'!A275)</f>
        <v>0</v>
      </c>
      <c r="S275" s="99" t="str">
        <f t="shared" si="18"/>
        <v/>
      </c>
      <c r="T275" s="61"/>
      <c r="U275" s="61"/>
      <c r="V275" s="61"/>
      <c r="W275" s="58"/>
      <c r="X275" s="58"/>
      <c r="Y275" s="98" t="str">
        <f t="shared" si="17"/>
        <v/>
      </c>
    </row>
    <row r="276" spans="1:25">
      <c r="A276" s="23"/>
      <c r="B276" s="58"/>
      <c r="C276" s="58"/>
      <c r="D276" s="59"/>
      <c r="E276" s="58"/>
      <c r="F276" s="62"/>
      <c r="G276" s="58"/>
      <c r="H276" s="3"/>
      <c r="J276" s="109" t="str">
        <f>IF(C276&lt;&gt;"",SUMIFS('Booking Management'!Y:Y,'Booking Management'!B:B,'Sales Orders'!A276),"")</f>
        <v/>
      </c>
      <c r="K276" s="45"/>
      <c r="L276" s="60"/>
      <c r="M276" s="92" t="str">
        <f t="shared" ca="1" si="20"/>
        <v/>
      </c>
      <c r="N276" s="81"/>
      <c r="O276" s="3"/>
      <c r="P276" s="58"/>
      <c r="Q276" s="92" t="str">
        <f t="shared" si="19"/>
        <v/>
      </c>
      <c r="R276" s="98">
        <f>SUMIFS('Booking Management'!J:J,'Booking Management'!B:B,'Sales Orders'!A276)</f>
        <v>0</v>
      </c>
      <c r="S276" s="99" t="str">
        <f t="shared" si="18"/>
        <v/>
      </c>
      <c r="T276" s="61"/>
      <c r="U276" s="61"/>
      <c r="V276" s="61"/>
      <c r="W276" s="58"/>
      <c r="X276" s="58"/>
      <c r="Y276" s="98" t="str">
        <f t="shared" si="17"/>
        <v/>
      </c>
    </row>
    <row r="277" spans="1:25">
      <c r="A277" s="23"/>
      <c r="B277" s="58"/>
      <c r="C277" s="58"/>
      <c r="D277" s="59"/>
      <c r="E277" s="58"/>
      <c r="F277" s="62"/>
      <c r="G277" s="58"/>
      <c r="H277" s="3"/>
      <c r="J277" s="109" t="str">
        <f>IF(C277&lt;&gt;"",SUMIFS('Booking Management'!Y:Y,'Booking Management'!B:B,'Sales Orders'!A277),"")</f>
        <v/>
      </c>
      <c r="K277" s="45"/>
      <c r="L277" s="60"/>
      <c r="M277" s="92" t="str">
        <f t="shared" ca="1" si="20"/>
        <v/>
      </c>
      <c r="N277" s="81"/>
      <c r="O277" s="3"/>
      <c r="P277" s="58"/>
      <c r="Q277" s="92" t="str">
        <f t="shared" si="19"/>
        <v/>
      </c>
      <c r="R277" s="98">
        <f>SUMIFS('Booking Management'!J:J,'Booking Management'!B:B,'Sales Orders'!A277)</f>
        <v>0</v>
      </c>
      <c r="S277" s="99" t="str">
        <f t="shared" si="18"/>
        <v/>
      </c>
      <c r="T277" s="61"/>
      <c r="U277" s="61"/>
      <c r="V277" s="61"/>
      <c r="W277" s="58"/>
      <c r="X277" s="58"/>
      <c r="Y277" s="98" t="str">
        <f t="shared" si="17"/>
        <v/>
      </c>
    </row>
    <row r="278" spans="1:25">
      <c r="A278" s="23"/>
      <c r="B278" s="58"/>
      <c r="C278" s="58"/>
      <c r="D278" s="59"/>
      <c r="E278" s="58"/>
      <c r="F278" s="62"/>
      <c r="G278" s="58"/>
      <c r="H278" s="3"/>
      <c r="J278" s="109" t="str">
        <f>IF(C278&lt;&gt;"",SUMIFS('Booking Management'!Y:Y,'Booking Management'!B:B,'Sales Orders'!A278),"")</f>
        <v/>
      </c>
      <c r="K278" s="45"/>
      <c r="L278" s="60"/>
      <c r="M278" s="92" t="str">
        <f t="shared" ca="1" si="20"/>
        <v/>
      </c>
      <c r="N278" s="81"/>
      <c r="O278" s="3"/>
      <c r="P278" s="58"/>
      <c r="Q278" s="92" t="str">
        <f t="shared" si="19"/>
        <v/>
      </c>
      <c r="R278" s="98">
        <f>SUMIFS('Booking Management'!J:J,'Booking Management'!B:B,'Sales Orders'!A278)</f>
        <v>0</v>
      </c>
      <c r="S278" s="99" t="str">
        <f t="shared" si="18"/>
        <v/>
      </c>
      <c r="T278" s="61"/>
      <c r="U278" s="61"/>
      <c r="V278" s="61"/>
      <c r="W278" s="58"/>
      <c r="X278" s="58"/>
      <c r="Y278" s="98" t="str">
        <f t="shared" si="17"/>
        <v/>
      </c>
    </row>
    <row r="279" spans="1:25">
      <c r="A279" s="23"/>
      <c r="B279" s="58"/>
      <c r="C279" s="58"/>
      <c r="D279" s="59"/>
      <c r="E279" s="58"/>
      <c r="F279" s="67"/>
      <c r="G279" s="58"/>
      <c r="H279" s="3"/>
      <c r="J279" s="109" t="str">
        <f>IF(C279&lt;&gt;"",SUMIFS('Booking Management'!Y:Y,'Booking Management'!B:B,'Sales Orders'!A279),"")</f>
        <v/>
      </c>
      <c r="K279" s="45"/>
      <c r="L279" s="60"/>
      <c r="M279" s="92" t="str">
        <f t="shared" ca="1" si="20"/>
        <v/>
      </c>
      <c r="N279" s="81"/>
      <c r="O279" s="3"/>
      <c r="P279" s="58"/>
      <c r="Q279" s="92" t="str">
        <f t="shared" si="19"/>
        <v/>
      </c>
      <c r="R279" s="98">
        <f>SUMIFS('Booking Management'!J:J,'Booking Management'!B:B,'Sales Orders'!A279)</f>
        <v>0</v>
      </c>
      <c r="S279" s="99" t="str">
        <f t="shared" si="18"/>
        <v/>
      </c>
      <c r="T279" s="61"/>
      <c r="U279" s="61"/>
      <c r="V279" s="61"/>
      <c r="W279" s="65"/>
      <c r="X279" s="58"/>
      <c r="Y279" s="98" t="str">
        <f t="shared" si="17"/>
        <v/>
      </c>
    </row>
    <row r="280" spans="1:25">
      <c r="A280" s="23"/>
      <c r="B280" s="58"/>
      <c r="C280" s="58"/>
      <c r="D280" s="59"/>
      <c r="E280" s="58"/>
      <c r="F280" s="67"/>
      <c r="G280" s="58"/>
      <c r="H280" s="3"/>
      <c r="J280" s="109" t="str">
        <f>IF(C280&lt;&gt;"",SUMIFS('Booking Management'!Y:Y,'Booking Management'!B:B,'Sales Orders'!A280),"")</f>
        <v/>
      </c>
      <c r="K280" s="45"/>
      <c r="L280" s="60"/>
      <c r="M280" s="92" t="str">
        <f t="shared" ca="1" si="20"/>
        <v/>
      </c>
      <c r="N280" s="81"/>
      <c r="O280" s="3"/>
      <c r="P280" s="58"/>
      <c r="Q280" s="92" t="str">
        <f t="shared" si="19"/>
        <v/>
      </c>
      <c r="R280" s="98">
        <f>SUMIFS('Booking Management'!J:J,'Booking Management'!B:B,'Sales Orders'!A280)</f>
        <v>0</v>
      </c>
      <c r="S280" s="99" t="str">
        <f t="shared" si="18"/>
        <v/>
      </c>
      <c r="T280" s="61"/>
      <c r="U280" s="61"/>
      <c r="V280" s="61"/>
      <c r="W280" s="65"/>
      <c r="X280" s="58"/>
      <c r="Y280" s="98" t="str">
        <f t="shared" si="17"/>
        <v/>
      </c>
    </row>
    <row r="281" spans="1:25">
      <c r="A281" s="23"/>
      <c r="B281" s="58"/>
      <c r="C281" s="58"/>
      <c r="D281" s="59"/>
      <c r="E281" s="58"/>
      <c r="F281" s="67"/>
      <c r="G281" s="58"/>
      <c r="H281" s="3"/>
      <c r="J281" s="109" t="str">
        <f>IF(C281&lt;&gt;"",SUMIFS('Booking Management'!Y:Y,'Booking Management'!B:B,'Sales Orders'!A281),"")</f>
        <v/>
      </c>
      <c r="K281" s="45"/>
      <c r="L281" s="60"/>
      <c r="M281" s="92" t="str">
        <f t="shared" ca="1" si="20"/>
        <v/>
      </c>
      <c r="N281" s="81"/>
      <c r="O281" s="3"/>
      <c r="P281" s="58"/>
      <c r="Q281" s="92" t="str">
        <f t="shared" si="19"/>
        <v/>
      </c>
      <c r="R281" s="98">
        <f>SUMIFS('Booking Management'!J:J,'Booking Management'!B:B,'Sales Orders'!A281)</f>
        <v>0</v>
      </c>
      <c r="S281" s="99" t="str">
        <f t="shared" si="18"/>
        <v/>
      </c>
      <c r="T281" s="61"/>
      <c r="U281" s="61"/>
      <c r="V281" s="61"/>
      <c r="W281" s="65"/>
      <c r="X281" s="58"/>
      <c r="Y281" s="98" t="str">
        <f t="shared" si="17"/>
        <v/>
      </c>
    </row>
    <row r="282" spans="1:25">
      <c r="A282" s="23"/>
      <c r="B282" s="58"/>
      <c r="C282" s="58"/>
      <c r="D282" s="59"/>
      <c r="E282" s="58"/>
      <c r="F282" s="67"/>
      <c r="G282" s="58"/>
      <c r="H282" s="3"/>
      <c r="J282" s="109" t="str">
        <f>IF(C282&lt;&gt;"",SUMIFS('Booking Management'!Y:Y,'Booking Management'!B:B,'Sales Orders'!A282),"")</f>
        <v/>
      </c>
      <c r="K282" s="45"/>
      <c r="L282" s="60"/>
      <c r="M282" s="92" t="str">
        <f t="shared" ca="1" si="20"/>
        <v/>
      </c>
      <c r="N282" s="81"/>
      <c r="O282" s="3"/>
      <c r="P282" s="58"/>
      <c r="Q282" s="92" t="str">
        <f t="shared" si="19"/>
        <v/>
      </c>
      <c r="R282" s="98">
        <f>SUMIFS('Booking Management'!J:J,'Booking Management'!B:B,'Sales Orders'!A282)</f>
        <v>0</v>
      </c>
      <c r="S282" s="99" t="str">
        <f t="shared" si="18"/>
        <v/>
      </c>
      <c r="T282" s="61"/>
      <c r="U282" s="61"/>
      <c r="V282" s="61"/>
      <c r="W282" s="65"/>
      <c r="X282" s="58"/>
      <c r="Y282" s="98" t="str">
        <f t="shared" si="17"/>
        <v/>
      </c>
    </row>
    <row r="283" spans="1:25">
      <c r="A283" s="23"/>
      <c r="B283" s="58"/>
      <c r="C283" s="58"/>
      <c r="D283" s="59"/>
      <c r="E283" s="58"/>
      <c r="F283" s="62"/>
      <c r="G283" s="58"/>
      <c r="H283" s="3"/>
      <c r="J283" s="109" t="str">
        <f>IF(C283&lt;&gt;"",SUMIFS('Booking Management'!Y:Y,'Booking Management'!B:B,'Sales Orders'!A283),"")</f>
        <v/>
      </c>
      <c r="K283" s="45"/>
      <c r="L283" s="60"/>
      <c r="M283" s="92" t="str">
        <f t="shared" ca="1" si="20"/>
        <v/>
      </c>
      <c r="N283" s="81"/>
      <c r="O283" s="3"/>
      <c r="P283" s="58"/>
      <c r="Q283" s="92" t="str">
        <f t="shared" si="19"/>
        <v/>
      </c>
      <c r="R283" s="98">
        <f>SUMIFS('Booking Management'!J:J,'Booking Management'!B:B,'Sales Orders'!A283)</f>
        <v>0</v>
      </c>
      <c r="S283" s="99" t="str">
        <f t="shared" si="18"/>
        <v/>
      </c>
      <c r="T283" s="61"/>
      <c r="U283" s="61"/>
      <c r="V283" s="61"/>
      <c r="W283" s="65"/>
      <c r="X283" s="65"/>
      <c r="Y283" s="98" t="str">
        <f t="shared" si="17"/>
        <v/>
      </c>
    </row>
    <row r="284" spans="1:25">
      <c r="A284" s="23"/>
      <c r="B284" s="58"/>
      <c r="C284" s="58"/>
      <c r="D284" s="59"/>
      <c r="E284" s="58"/>
      <c r="F284" s="62"/>
      <c r="G284" s="58"/>
      <c r="H284" s="3"/>
      <c r="J284" s="109" t="str">
        <f>IF(C284&lt;&gt;"",SUMIFS('Booking Management'!Y:Y,'Booking Management'!B:B,'Sales Orders'!A284),"")</f>
        <v/>
      </c>
      <c r="K284" s="45"/>
      <c r="L284" s="60"/>
      <c r="M284" s="92" t="str">
        <f t="shared" ca="1" si="20"/>
        <v/>
      </c>
      <c r="N284" s="81"/>
      <c r="O284" s="3"/>
      <c r="P284" s="58"/>
      <c r="Q284" s="92" t="str">
        <f t="shared" si="19"/>
        <v/>
      </c>
      <c r="R284" s="98">
        <f>SUMIFS('Booking Management'!J:J,'Booking Management'!B:B,'Sales Orders'!A284)</f>
        <v>0</v>
      </c>
      <c r="S284" s="99" t="str">
        <f t="shared" si="18"/>
        <v/>
      </c>
      <c r="T284" s="61"/>
      <c r="U284" s="61"/>
      <c r="V284" s="61"/>
      <c r="W284" s="65"/>
      <c r="X284" s="58"/>
      <c r="Y284" s="98" t="str">
        <f t="shared" si="17"/>
        <v/>
      </c>
    </row>
    <row r="285" spans="1:25">
      <c r="A285" s="23"/>
      <c r="B285" s="58"/>
      <c r="C285" s="58"/>
      <c r="D285" s="59"/>
      <c r="E285" s="58"/>
      <c r="F285" s="62"/>
      <c r="G285" s="58"/>
      <c r="H285" s="3"/>
      <c r="J285" s="109" t="str">
        <f>IF(C285&lt;&gt;"",SUMIFS('Booking Management'!Y:Y,'Booking Management'!B:B,'Sales Orders'!A285),"")</f>
        <v/>
      </c>
      <c r="K285" s="45"/>
      <c r="L285" s="60"/>
      <c r="M285" s="92" t="str">
        <f t="shared" ca="1" si="20"/>
        <v/>
      </c>
      <c r="N285" s="81"/>
      <c r="O285" s="3"/>
      <c r="P285" s="58"/>
      <c r="Q285" s="92" t="str">
        <f t="shared" si="19"/>
        <v/>
      </c>
      <c r="R285" s="98">
        <f>SUMIFS('Booking Management'!J:J,'Booking Management'!B:B,'Sales Orders'!A285)</f>
        <v>0</v>
      </c>
      <c r="S285" s="99" t="str">
        <f t="shared" si="18"/>
        <v/>
      </c>
      <c r="T285" s="61"/>
      <c r="U285" s="61"/>
      <c r="V285" s="61"/>
      <c r="W285" s="65"/>
      <c r="X285" s="58"/>
      <c r="Y285" s="98" t="str">
        <f t="shared" si="17"/>
        <v/>
      </c>
    </row>
    <row r="286" spans="1:25">
      <c r="A286" s="23"/>
      <c r="B286" s="58"/>
      <c r="C286" s="58"/>
      <c r="D286" s="59"/>
      <c r="E286" s="58"/>
      <c r="F286" s="62"/>
      <c r="G286" s="58"/>
      <c r="H286" s="3"/>
      <c r="J286" s="109" t="str">
        <f>IF(C286&lt;&gt;"",SUMIFS('Booking Management'!Y:Y,'Booking Management'!B:B,'Sales Orders'!A286),"")</f>
        <v/>
      </c>
      <c r="K286" s="45"/>
      <c r="L286" s="60"/>
      <c r="M286" s="92" t="str">
        <f t="shared" ca="1" si="20"/>
        <v/>
      </c>
      <c r="N286" s="81"/>
      <c r="O286" s="3"/>
      <c r="P286" s="58"/>
      <c r="Q286" s="92" t="str">
        <f t="shared" si="19"/>
        <v/>
      </c>
      <c r="R286" s="98">
        <f>SUMIFS('Booking Management'!J:J,'Booking Management'!B:B,'Sales Orders'!A286)</f>
        <v>0</v>
      </c>
      <c r="S286" s="99" t="str">
        <f t="shared" si="18"/>
        <v/>
      </c>
      <c r="T286" s="61"/>
      <c r="U286" s="61"/>
      <c r="V286" s="61"/>
      <c r="W286" s="65"/>
      <c r="X286" s="58"/>
      <c r="Y286" s="98" t="str">
        <f t="shared" si="17"/>
        <v/>
      </c>
    </row>
    <row r="287" spans="1:25">
      <c r="A287" s="23"/>
      <c r="B287" s="58"/>
      <c r="C287" s="58"/>
      <c r="D287" s="59"/>
      <c r="E287" s="58"/>
      <c r="F287" s="62"/>
      <c r="G287" s="58"/>
      <c r="H287" s="3"/>
      <c r="J287" s="109" t="str">
        <f>IF(C287&lt;&gt;"",SUMIFS('Booking Management'!Y:Y,'Booking Management'!B:B,'Sales Orders'!A287),"")</f>
        <v/>
      </c>
      <c r="K287" s="45"/>
      <c r="L287" s="60"/>
      <c r="M287" s="92" t="str">
        <f t="shared" ca="1" si="20"/>
        <v/>
      </c>
      <c r="N287" s="81"/>
      <c r="O287" s="3"/>
      <c r="P287" s="58"/>
      <c r="Q287" s="92" t="str">
        <f t="shared" si="19"/>
        <v/>
      </c>
      <c r="R287" s="98">
        <f>SUMIFS('Booking Management'!J:J,'Booking Management'!B:B,'Sales Orders'!A287)</f>
        <v>0</v>
      </c>
      <c r="S287" s="99" t="str">
        <f t="shared" si="18"/>
        <v/>
      </c>
      <c r="T287" s="61"/>
      <c r="U287" s="61"/>
      <c r="V287" s="61"/>
      <c r="W287" s="65"/>
      <c r="X287" s="58"/>
      <c r="Y287" s="98" t="str">
        <f t="shared" si="17"/>
        <v/>
      </c>
    </row>
    <row r="288" spans="1:25">
      <c r="A288" s="23"/>
      <c r="B288" s="58"/>
      <c r="C288" s="58"/>
      <c r="D288" s="59"/>
      <c r="E288" s="58"/>
      <c r="F288" s="62"/>
      <c r="G288" s="58"/>
      <c r="H288" s="3"/>
      <c r="J288" s="109" t="str">
        <f>IF(C288&lt;&gt;"",SUMIFS('Booking Management'!Y:Y,'Booking Management'!B:B,'Sales Orders'!A288),"")</f>
        <v/>
      </c>
      <c r="K288" s="45"/>
      <c r="L288" s="60"/>
      <c r="M288" s="92" t="str">
        <f t="shared" ca="1" si="20"/>
        <v/>
      </c>
      <c r="N288" s="81"/>
      <c r="O288" s="3"/>
      <c r="P288" s="58"/>
      <c r="Q288" s="92" t="str">
        <f t="shared" si="19"/>
        <v/>
      </c>
      <c r="R288" s="98">
        <f>SUMIFS('Booking Management'!J:J,'Booking Management'!B:B,'Sales Orders'!A288)</f>
        <v>0</v>
      </c>
      <c r="S288" s="99" t="str">
        <f t="shared" si="18"/>
        <v/>
      </c>
      <c r="T288" s="61"/>
      <c r="U288" s="61"/>
      <c r="V288" s="61"/>
      <c r="W288" s="65"/>
      <c r="X288" s="58"/>
      <c r="Y288" s="98" t="str">
        <f t="shared" si="17"/>
        <v/>
      </c>
    </row>
    <row r="289" spans="1:25">
      <c r="A289" s="23"/>
      <c r="B289" s="58"/>
      <c r="C289" s="58"/>
      <c r="D289" s="59"/>
      <c r="E289" s="58"/>
      <c r="F289" s="62"/>
      <c r="G289" s="58"/>
      <c r="H289" s="3"/>
      <c r="J289" s="109" t="str">
        <f>IF(C289&lt;&gt;"",SUMIFS('Booking Management'!Y:Y,'Booking Management'!B:B,'Sales Orders'!A289),"")</f>
        <v/>
      </c>
      <c r="K289" s="45"/>
      <c r="L289" s="60"/>
      <c r="M289" s="92" t="str">
        <f t="shared" ca="1" si="20"/>
        <v/>
      </c>
      <c r="N289" s="81"/>
      <c r="O289" s="3"/>
      <c r="P289" s="58"/>
      <c r="Q289" s="92" t="str">
        <f t="shared" si="19"/>
        <v/>
      </c>
      <c r="R289" s="98">
        <f>SUMIFS('Booking Management'!J:J,'Booking Management'!B:B,'Sales Orders'!A289)</f>
        <v>0</v>
      </c>
      <c r="S289" s="99" t="str">
        <f t="shared" si="18"/>
        <v/>
      </c>
      <c r="T289" s="61"/>
      <c r="U289" s="61"/>
      <c r="V289" s="61"/>
      <c r="W289" s="65"/>
      <c r="X289" s="58"/>
      <c r="Y289" s="98" t="str">
        <f t="shared" si="17"/>
        <v/>
      </c>
    </row>
    <row r="290" spans="1:25">
      <c r="A290" s="23"/>
      <c r="B290" s="58"/>
      <c r="C290" s="58"/>
      <c r="D290" s="59"/>
      <c r="E290" s="58"/>
      <c r="F290" s="62"/>
      <c r="G290" s="58"/>
      <c r="H290" s="3"/>
      <c r="J290" s="109" t="str">
        <f>IF(C290&lt;&gt;"",SUMIFS('Booking Management'!Y:Y,'Booking Management'!B:B,'Sales Orders'!A290),"")</f>
        <v/>
      </c>
      <c r="K290" s="45"/>
      <c r="L290" s="60"/>
      <c r="M290" s="92" t="str">
        <f t="shared" ca="1" si="20"/>
        <v/>
      </c>
      <c r="N290" s="81"/>
      <c r="O290" s="3"/>
      <c r="P290" s="58"/>
      <c r="Q290" s="92" t="str">
        <f t="shared" si="19"/>
        <v/>
      </c>
      <c r="R290" s="98">
        <f>SUMIFS('Booking Management'!J:J,'Booking Management'!B:B,'Sales Orders'!A290)</f>
        <v>0</v>
      </c>
      <c r="S290" s="99" t="str">
        <f t="shared" si="18"/>
        <v/>
      </c>
      <c r="T290" s="61"/>
      <c r="U290" s="61"/>
      <c r="V290" s="61"/>
      <c r="W290" s="65"/>
      <c r="X290" s="58"/>
      <c r="Y290" s="98" t="str">
        <f t="shared" si="17"/>
        <v/>
      </c>
    </row>
    <row r="291" spans="1:25">
      <c r="A291" s="23"/>
      <c r="B291" s="58"/>
      <c r="C291" s="58"/>
      <c r="D291" s="59"/>
      <c r="E291" s="58"/>
      <c r="F291" s="62"/>
      <c r="G291" s="58"/>
      <c r="H291" s="3"/>
      <c r="J291" s="109" t="str">
        <f>IF(C291&lt;&gt;"",SUMIFS('Booking Management'!Y:Y,'Booking Management'!B:B,'Sales Orders'!A291),"")</f>
        <v/>
      </c>
      <c r="K291" s="45"/>
      <c r="L291" s="60"/>
      <c r="M291" s="92" t="str">
        <f t="shared" ca="1" si="20"/>
        <v/>
      </c>
      <c r="N291" s="81"/>
      <c r="O291" s="3"/>
      <c r="P291" s="58"/>
      <c r="Q291" s="92" t="str">
        <f t="shared" si="19"/>
        <v/>
      </c>
      <c r="R291" s="98">
        <f>SUMIFS('Booking Management'!J:J,'Booking Management'!B:B,'Sales Orders'!A291)</f>
        <v>0</v>
      </c>
      <c r="S291" s="99" t="str">
        <f t="shared" si="18"/>
        <v/>
      </c>
      <c r="T291" s="61"/>
      <c r="U291" s="61"/>
      <c r="V291" s="61"/>
      <c r="W291" s="58"/>
      <c r="X291" s="58"/>
      <c r="Y291" s="98" t="str">
        <f t="shared" si="17"/>
        <v/>
      </c>
    </row>
    <row r="292" spans="1:25">
      <c r="A292" s="23"/>
      <c r="B292" s="58"/>
      <c r="C292" s="58"/>
      <c r="D292" s="59"/>
      <c r="E292" s="58"/>
      <c r="F292" s="62"/>
      <c r="G292" s="58"/>
      <c r="H292" s="3"/>
      <c r="J292" s="109" t="str">
        <f>IF(C292&lt;&gt;"",SUMIFS('Booking Management'!Y:Y,'Booking Management'!B:B,'Sales Orders'!A292),"")</f>
        <v/>
      </c>
      <c r="K292" s="45"/>
      <c r="L292" s="60"/>
      <c r="M292" s="92" t="str">
        <f t="shared" ca="1" si="20"/>
        <v/>
      </c>
      <c r="N292" s="81"/>
      <c r="O292" s="3"/>
      <c r="P292" s="58"/>
      <c r="Q292" s="92" t="str">
        <f t="shared" si="19"/>
        <v/>
      </c>
      <c r="R292" s="98">
        <f>SUMIFS('Booking Management'!J:J,'Booking Management'!B:B,'Sales Orders'!A292)</f>
        <v>0</v>
      </c>
      <c r="S292" s="99" t="str">
        <f t="shared" si="18"/>
        <v/>
      </c>
      <c r="T292" s="61"/>
      <c r="U292" s="61"/>
      <c r="V292" s="61"/>
      <c r="W292" s="58"/>
      <c r="X292" s="58"/>
      <c r="Y292" s="98" t="str">
        <f t="shared" si="17"/>
        <v/>
      </c>
    </row>
    <row r="293" spans="1:25">
      <c r="A293" s="23"/>
      <c r="B293" s="58"/>
      <c r="C293" s="58"/>
      <c r="D293" s="59"/>
      <c r="E293" s="58"/>
      <c r="F293" s="62"/>
      <c r="G293" s="58"/>
      <c r="H293" s="3"/>
      <c r="J293" s="109" t="str">
        <f>IF(C293&lt;&gt;"",SUMIFS('Booking Management'!Y:Y,'Booking Management'!B:B,'Sales Orders'!A293),"")</f>
        <v/>
      </c>
      <c r="K293" s="45"/>
      <c r="L293" s="60"/>
      <c r="M293" s="92" t="str">
        <f t="shared" ca="1" si="20"/>
        <v/>
      </c>
      <c r="N293" s="81"/>
      <c r="O293" s="3"/>
      <c r="P293" s="58"/>
      <c r="Q293" s="92" t="str">
        <f t="shared" si="19"/>
        <v/>
      </c>
      <c r="R293" s="98">
        <f>SUMIFS('Booking Management'!J:J,'Booking Management'!B:B,'Sales Orders'!A293)</f>
        <v>0</v>
      </c>
      <c r="S293" s="99" t="str">
        <f t="shared" si="18"/>
        <v/>
      </c>
      <c r="T293" s="61"/>
      <c r="U293" s="61"/>
      <c r="V293" s="61"/>
      <c r="W293" s="58"/>
      <c r="X293" s="58"/>
      <c r="Y293" s="98" t="str">
        <f t="shared" si="17"/>
        <v/>
      </c>
    </row>
    <row r="294" spans="1:25">
      <c r="A294" s="23"/>
      <c r="B294" s="58"/>
      <c r="C294" s="58"/>
      <c r="D294" s="59"/>
      <c r="E294" s="58"/>
      <c r="F294" s="62"/>
      <c r="G294" s="58"/>
      <c r="H294" s="3"/>
      <c r="J294" s="109" t="str">
        <f>IF(C294&lt;&gt;"",SUMIFS('Booking Management'!Y:Y,'Booking Management'!B:B,'Sales Orders'!A294),"")</f>
        <v/>
      </c>
      <c r="K294" s="45"/>
      <c r="L294" s="60"/>
      <c r="M294" s="92" t="str">
        <f t="shared" ca="1" si="20"/>
        <v/>
      </c>
      <c r="N294" s="81"/>
      <c r="O294" s="3"/>
      <c r="P294" s="58"/>
      <c r="Q294" s="92" t="str">
        <f t="shared" si="19"/>
        <v/>
      </c>
      <c r="R294" s="98">
        <f>SUMIFS('Booking Management'!J:J,'Booking Management'!B:B,'Sales Orders'!A294)</f>
        <v>0</v>
      </c>
      <c r="S294" s="99" t="str">
        <f t="shared" si="18"/>
        <v/>
      </c>
      <c r="T294" s="61"/>
      <c r="U294" s="61"/>
      <c r="V294" s="61"/>
      <c r="W294" s="65"/>
      <c r="X294" s="58"/>
      <c r="Y294" s="98" t="str">
        <f t="shared" si="17"/>
        <v/>
      </c>
    </row>
    <row r="295" spans="1:25">
      <c r="A295" s="23"/>
      <c r="B295" s="58"/>
      <c r="C295" s="58"/>
      <c r="D295" s="59"/>
      <c r="E295" s="58"/>
      <c r="F295" s="62"/>
      <c r="G295" s="58"/>
      <c r="H295" s="3"/>
      <c r="J295" s="109" t="str">
        <f>IF(C295&lt;&gt;"",SUMIFS('Booking Management'!Y:Y,'Booking Management'!B:B,'Sales Orders'!A295),"")</f>
        <v/>
      </c>
      <c r="K295" s="45"/>
      <c r="L295" s="60"/>
      <c r="M295" s="92" t="str">
        <f t="shared" ca="1" si="20"/>
        <v/>
      </c>
      <c r="N295" s="81"/>
      <c r="O295" s="3"/>
      <c r="P295" s="58"/>
      <c r="Q295" s="92" t="str">
        <f t="shared" si="19"/>
        <v/>
      </c>
      <c r="R295" s="98">
        <f>SUMIFS('Booking Management'!J:J,'Booking Management'!B:B,'Sales Orders'!A295)</f>
        <v>0</v>
      </c>
      <c r="S295" s="99" t="str">
        <f t="shared" si="18"/>
        <v/>
      </c>
      <c r="T295" s="61"/>
      <c r="U295" s="61"/>
      <c r="V295" s="61"/>
      <c r="W295" s="58"/>
      <c r="X295" s="58"/>
      <c r="Y295" s="98" t="str">
        <f t="shared" si="17"/>
        <v/>
      </c>
    </row>
    <row r="296" spans="1:25">
      <c r="A296" s="23"/>
      <c r="B296" s="58"/>
      <c r="C296" s="58"/>
      <c r="D296" s="59"/>
      <c r="E296" s="58"/>
      <c r="F296" s="56"/>
      <c r="G296" s="58"/>
      <c r="H296" s="3"/>
      <c r="J296" s="109" t="str">
        <f>IF(C296&lt;&gt;"",SUMIFS('Booking Management'!Y:Y,'Booking Management'!B:B,'Sales Orders'!A296),"")</f>
        <v/>
      </c>
      <c r="K296" s="45"/>
      <c r="L296" s="60"/>
      <c r="M296" s="92" t="str">
        <f t="shared" ca="1" si="20"/>
        <v/>
      </c>
      <c r="N296" s="81"/>
      <c r="O296" s="3"/>
      <c r="P296" s="58"/>
      <c r="Q296" s="92" t="str">
        <f t="shared" si="19"/>
        <v/>
      </c>
      <c r="R296" s="98">
        <f>SUMIFS('Booking Management'!J:J,'Booking Management'!B:B,'Sales Orders'!A296)</f>
        <v>0</v>
      </c>
      <c r="S296" s="99" t="str">
        <f t="shared" si="18"/>
        <v/>
      </c>
      <c r="T296" s="61"/>
      <c r="U296" s="61"/>
      <c r="V296" s="61"/>
      <c r="W296" s="58"/>
      <c r="X296" s="58"/>
      <c r="Y296" s="98" t="str">
        <f t="shared" si="17"/>
        <v/>
      </c>
    </row>
    <row r="297" spans="1:25">
      <c r="A297" s="23"/>
      <c r="B297" s="58"/>
      <c r="C297" s="58"/>
      <c r="D297" s="59"/>
      <c r="E297" s="58"/>
      <c r="F297" s="62"/>
      <c r="G297" s="58"/>
      <c r="H297" s="3"/>
      <c r="J297" s="109" t="str">
        <f>IF(C297&lt;&gt;"",SUMIFS('Booking Management'!Y:Y,'Booking Management'!B:B,'Sales Orders'!A297),"")</f>
        <v/>
      </c>
      <c r="K297" s="45"/>
      <c r="L297" s="60"/>
      <c r="M297" s="92" t="str">
        <f t="shared" ca="1" si="20"/>
        <v/>
      </c>
      <c r="N297" s="81"/>
      <c r="O297" s="3"/>
      <c r="P297" s="58"/>
      <c r="Q297" s="92" t="str">
        <f t="shared" si="19"/>
        <v/>
      </c>
      <c r="R297" s="98">
        <f>SUMIFS('Booking Management'!J:J,'Booking Management'!B:B,'Sales Orders'!A297)</f>
        <v>0</v>
      </c>
      <c r="S297" s="99" t="str">
        <f t="shared" si="18"/>
        <v/>
      </c>
      <c r="T297" s="61"/>
      <c r="U297" s="61"/>
      <c r="V297" s="61"/>
      <c r="W297" s="65"/>
      <c r="X297" s="58"/>
      <c r="Y297" s="98" t="str">
        <f t="shared" si="17"/>
        <v/>
      </c>
    </row>
    <row r="298" spans="1:25">
      <c r="A298" s="23"/>
      <c r="B298" s="58"/>
      <c r="C298" s="58"/>
      <c r="D298" s="59"/>
      <c r="E298" s="58"/>
      <c r="F298" s="62"/>
      <c r="G298" s="58"/>
      <c r="H298" s="3"/>
      <c r="J298" s="109" t="str">
        <f>IF(C298&lt;&gt;"",SUMIFS('Booking Management'!Y:Y,'Booking Management'!B:B,'Sales Orders'!A298),"")</f>
        <v/>
      </c>
      <c r="K298" s="45"/>
      <c r="L298" s="60"/>
      <c r="M298" s="92" t="str">
        <f t="shared" ca="1" si="20"/>
        <v/>
      </c>
      <c r="N298" s="81"/>
      <c r="O298" s="3"/>
      <c r="P298" s="58"/>
      <c r="Q298" s="92" t="str">
        <f t="shared" si="19"/>
        <v/>
      </c>
      <c r="R298" s="98">
        <f>SUMIFS('Booking Management'!J:J,'Booking Management'!B:B,'Sales Orders'!A298)</f>
        <v>0</v>
      </c>
      <c r="S298" s="99" t="str">
        <f t="shared" si="18"/>
        <v/>
      </c>
      <c r="T298" s="61"/>
      <c r="U298" s="61"/>
      <c r="V298" s="61"/>
      <c r="W298" s="58"/>
      <c r="X298" s="58"/>
      <c r="Y298" s="98" t="str">
        <f t="shared" ref="Y298:Y361" si="21">IF(D298&lt;&gt;"",D298-J298,"")</f>
        <v/>
      </c>
    </row>
    <row r="299" spans="1:25">
      <c r="A299" s="23"/>
      <c r="B299" s="58"/>
      <c r="C299" s="58"/>
      <c r="D299" s="59"/>
      <c r="E299" s="58"/>
      <c r="F299" s="62"/>
      <c r="G299" s="58"/>
      <c r="H299" s="3"/>
      <c r="J299" s="109" t="str">
        <f>IF(C299&lt;&gt;"",SUMIFS('Booking Management'!Y:Y,'Booking Management'!B:B,'Sales Orders'!A299),"")</f>
        <v/>
      </c>
      <c r="K299" s="45"/>
      <c r="L299" s="60"/>
      <c r="M299" s="92" t="str">
        <f t="shared" ca="1" si="20"/>
        <v/>
      </c>
      <c r="N299" s="81"/>
      <c r="O299" s="3"/>
      <c r="P299" s="58"/>
      <c r="Q299" s="92" t="str">
        <f t="shared" si="19"/>
        <v/>
      </c>
      <c r="R299" s="98">
        <f>SUMIFS('Booking Management'!J:J,'Booking Management'!B:B,'Sales Orders'!A299)</f>
        <v>0</v>
      </c>
      <c r="S299" s="99" t="str">
        <f t="shared" si="18"/>
        <v/>
      </c>
      <c r="T299" s="61"/>
      <c r="U299" s="61"/>
      <c r="V299" s="61"/>
      <c r="W299" s="58"/>
      <c r="X299" s="58"/>
      <c r="Y299" s="98" t="str">
        <f t="shared" si="21"/>
        <v/>
      </c>
    </row>
    <row r="300" spans="1:25">
      <c r="A300" s="23"/>
      <c r="B300" s="58"/>
      <c r="C300" s="58"/>
      <c r="D300" s="59"/>
      <c r="E300" s="58"/>
      <c r="F300" s="62"/>
      <c r="G300" s="58"/>
      <c r="H300" s="3"/>
      <c r="J300" s="109" t="str">
        <f>IF(C300&lt;&gt;"",SUMIFS('Booking Management'!Y:Y,'Booking Management'!B:B,'Sales Orders'!A300),"")</f>
        <v/>
      </c>
      <c r="K300" s="45"/>
      <c r="L300" s="60"/>
      <c r="M300" s="92" t="str">
        <f t="shared" ca="1" si="20"/>
        <v/>
      </c>
      <c r="N300" s="81"/>
      <c r="O300" s="3"/>
      <c r="P300" s="58"/>
      <c r="Q300" s="92" t="str">
        <f t="shared" si="19"/>
        <v/>
      </c>
      <c r="R300" s="98">
        <f>SUMIFS('Booking Management'!J:J,'Booking Management'!B:B,'Sales Orders'!A300)</f>
        <v>0</v>
      </c>
      <c r="S300" s="99" t="str">
        <f t="shared" si="18"/>
        <v/>
      </c>
      <c r="T300" s="61"/>
      <c r="U300" s="61"/>
      <c r="V300" s="61"/>
      <c r="W300" s="58"/>
      <c r="X300" s="58"/>
      <c r="Y300" s="98" t="str">
        <f t="shared" si="21"/>
        <v/>
      </c>
    </row>
    <row r="301" spans="1:25">
      <c r="A301" s="23"/>
      <c r="B301" s="58"/>
      <c r="C301" s="58"/>
      <c r="D301" s="59"/>
      <c r="E301" s="58"/>
      <c r="F301" s="62"/>
      <c r="G301" s="58"/>
      <c r="H301" s="3"/>
      <c r="J301" s="109" t="str">
        <f>IF(C301&lt;&gt;"",SUMIFS('Booking Management'!Y:Y,'Booking Management'!B:B,'Sales Orders'!A301),"")</f>
        <v/>
      </c>
      <c r="K301" s="45"/>
      <c r="L301" s="60"/>
      <c r="M301" s="92" t="str">
        <f t="shared" ca="1" si="20"/>
        <v/>
      </c>
      <c r="N301" s="81"/>
      <c r="O301" s="3"/>
      <c r="P301" s="58"/>
      <c r="Q301" s="92" t="str">
        <f t="shared" si="19"/>
        <v/>
      </c>
      <c r="R301" s="98">
        <f>SUMIFS('Booking Management'!J:J,'Booking Management'!B:B,'Sales Orders'!A301)</f>
        <v>0</v>
      </c>
      <c r="S301" s="99" t="str">
        <f t="shared" si="18"/>
        <v/>
      </c>
      <c r="T301" s="61"/>
      <c r="U301" s="61"/>
      <c r="V301" s="61"/>
      <c r="W301" s="58"/>
      <c r="X301" s="58"/>
      <c r="Y301" s="98" t="str">
        <f t="shared" si="21"/>
        <v/>
      </c>
    </row>
    <row r="302" spans="1:25">
      <c r="A302" s="23"/>
      <c r="B302" s="58"/>
      <c r="C302" s="58"/>
      <c r="D302" s="59"/>
      <c r="E302" s="58"/>
      <c r="F302" s="62"/>
      <c r="G302" s="58"/>
      <c r="H302" s="3"/>
      <c r="J302" s="109" t="str">
        <f>IF(C302&lt;&gt;"",SUMIFS('Booking Management'!Y:Y,'Booking Management'!B:B,'Sales Orders'!A302),"")</f>
        <v/>
      </c>
      <c r="K302" s="45"/>
      <c r="L302" s="60"/>
      <c r="M302" s="92" t="str">
        <f t="shared" ca="1" si="20"/>
        <v/>
      </c>
      <c r="N302" s="81"/>
      <c r="O302" s="3"/>
      <c r="P302" s="58"/>
      <c r="Q302" s="92" t="str">
        <f t="shared" si="19"/>
        <v/>
      </c>
      <c r="R302" s="98">
        <f>SUMIFS('Booking Management'!J:J,'Booking Management'!B:B,'Sales Orders'!A302)</f>
        <v>0</v>
      </c>
      <c r="S302" s="99" t="str">
        <f t="shared" si="18"/>
        <v/>
      </c>
      <c r="T302" s="61"/>
      <c r="U302" s="61"/>
      <c r="V302" s="61"/>
      <c r="W302" s="58"/>
      <c r="X302" s="58"/>
      <c r="Y302" s="98" t="str">
        <f t="shared" si="21"/>
        <v/>
      </c>
    </row>
    <row r="303" spans="1:25">
      <c r="A303" s="23"/>
      <c r="B303" s="58"/>
      <c r="C303" s="58"/>
      <c r="D303" s="59"/>
      <c r="E303" s="58"/>
      <c r="F303" s="62"/>
      <c r="G303" s="58"/>
      <c r="H303" s="3"/>
      <c r="J303" s="109" t="str">
        <f>IF(C303&lt;&gt;"",SUMIFS('Booking Management'!Y:Y,'Booking Management'!B:B,'Sales Orders'!A303),"")</f>
        <v/>
      </c>
      <c r="K303" s="45"/>
      <c r="L303" s="60"/>
      <c r="M303" s="92" t="str">
        <f t="shared" ca="1" si="20"/>
        <v/>
      </c>
      <c r="N303" s="81"/>
      <c r="O303" s="3"/>
      <c r="P303" s="58"/>
      <c r="Q303" s="92" t="str">
        <f t="shared" si="19"/>
        <v/>
      </c>
      <c r="R303" s="98">
        <f>SUMIFS('Booking Management'!J:J,'Booking Management'!B:B,'Sales Orders'!A303)</f>
        <v>0</v>
      </c>
      <c r="S303" s="99" t="str">
        <f t="shared" si="18"/>
        <v/>
      </c>
      <c r="T303" s="61"/>
      <c r="U303" s="61"/>
      <c r="V303" s="61"/>
      <c r="W303" s="58"/>
      <c r="X303" s="58"/>
      <c r="Y303" s="98" t="str">
        <f t="shared" si="21"/>
        <v/>
      </c>
    </row>
    <row r="304" spans="1:25">
      <c r="A304" s="23"/>
      <c r="B304" s="58"/>
      <c r="C304" s="58"/>
      <c r="D304" s="59"/>
      <c r="E304" s="58"/>
      <c r="F304" s="62"/>
      <c r="G304" s="58"/>
      <c r="H304" s="3"/>
      <c r="J304" s="109" t="str">
        <f>IF(C304&lt;&gt;"",SUMIFS('Booking Management'!Y:Y,'Booking Management'!B:B,'Sales Orders'!A304),"")</f>
        <v/>
      </c>
      <c r="K304" s="45"/>
      <c r="L304" s="60"/>
      <c r="M304" s="92" t="str">
        <f t="shared" ca="1" si="20"/>
        <v/>
      </c>
      <c r="N304" s="81"/>
      <c r="O304" s="3"/>
      <c r="P304" s="58"/>
      <c r="Q304" s="92" t="str">
        <f t="shared" si="19"/>
        <v/>
      </c>
      <c r="R304" s="98">
        <f>SUMIFS('Booking Management'!J:J,'Booking Management'!B:B,'Sales Orders'!A304)</f>
        <v>0</v>
      </c>
      <c r="S304" s="99" t="str">
        <f t="shared" si="18"/>
        <v/>
      </c>
      <c r="T304" s="61"/>
      <c r="U304" s="61"/>
      <c r="V304" s="61"/>
      <c r="W304" s="58"/>
      <c r="X304" s="58"/>
      <c r="Y304" s="98" t="str">
        <f t="shared" si="21"/>
        <v/>
      </c>
    </row>
    <row r="305" spans="1:25">
      <c r="A305" s="23"/>
      <c r="B305" s="58"/>
      <c r="C305" s="58"/>
      <c r="D305" s="59"/>
      <c r="E305" s="58"/>
      <c r="F305" s="62"/>
      <c r="G305" s="58"/>
      <c r="H305" s="3"/>
      <c r="J305" s="109" t="str">
        <f>IF(C305&lt;&gt;"",SUMIFS('Booking Management'!Y:Y,'Booking Management'!B:B,'Sales Orders'!A305),"")</f>
        <v/>
      </c>
      <c r="K305" s="45"/>
      <c r="L305" s="60"/>
      <c r="M305" s="92" t="str">
        <f t="shared" ca="1" si="20"/>
        <v/>
      </c>
      <c r="N305" s="81"/>
      <c r="O305" s="3"/>
      <c r="P305" s="58"/>
      <c r="Q305" s="92" t="str">
        <f t="shared" si="19"/>
        <v/>
      </c>
      <c r="R305" s="98">
        <f>SUMIFS('Booking Management'!J:J,'Booking Management'!B:B,'Sales Orders'!A305)</f>
        <v>0</v>
      </c>
      <c r="S305" s="99" t="str">
        <f t="shared" si="18"/>
        <v/>
      </c>
      <c r="T305" s="61"/>
      <c r="U305" s="61"/>
      <c r="V305" s="61"/>
      <c r="W305" s="58"/>
      <c r="X305" s="58"/>
      <c r="Y305" s="98" t="str">
        <f t="shared" si="21"/>
        <v/>
      </c>
    </row>
    <row r="306" spans="1:25">
      <c r="A306" s="23"/>
      <c r="B306" s="58"/>
      <c r="C306" s="58"/>
      <c r="D306" s="59"/>
      <c r="E306" s="58"/>
      <c r="F306" s="62"/>
      <c r="G306" s="58"/>
      <c r="H306" s="3"/>
      <c r="J306" s="109" t="str">
        <f>IF(C306&lt;&gt;"",SUMIFS('Booking Management'!Y:Y,'Booking Management'!B:B,'Sales Orders'!A306),"")</f>
        <v/>
      </c>
      <c r="K306" s="45"/>
      <c r="L306" s="60"/>
      <c r="M306" s="92" t="str">
        <f t="shared" ca="1" si="20"/>
        <v/>
      </c>
      <c r="N306" s="81"/>
      <c r="O306" s="3"/>
      <c r="P306" s="58"/>
      <c r="Q306" s="92" t="str">
        <f t="shared" si="19"/>
        <v/>
      </c>
      <c r="R306" s="98">
        <f>SUMIFS('Booking Management'!J:J,'Booking Management'!B:B,'Sales Orders'!A306)</f>
        <v>0</v>
      </c>
      <c r="S306" s="99" t="str">
        <f t="shared" si="18"/>
        <v/>
      </c>
      <c r="T306" s="61"/>
      <c r="U306" s="61"/>
      <c r="V306" s="61"/>
      <c r="W306" s="58"/>
      <c r="X306" s="58"/>
      <c r="Y306" s="98" t="str">
        <f t="shared" si="21"/>
        <v/>
      </c>
    </row>
    <row r="307" spans="1:25">
      <c r="A307" s="23"/>
      <c r="B307" s="58"/>
      <c r="C307" s="58"/>
      <c r="D307" s="59"/>
      <c r="E307" s="58"/>
      <c r="F307" s="62"/>
      <c r="G307" s="58"/>
      <c r="H307" s="3"/>
      <c r="J307" s="109" t="str">
        <f>IF(C307&lt;&gt;"",SUMIFS('Booking Management'!Y:Y,'Booking Management'!B:B,'Sales Orders'!A307),"")</f>
        <v/>
      </c>
      <c r="K307" s="45"/>
      <c r="L307" s="60"/>
      <c r="M307" s="92" t="str">
        <f t="shared" ca="1" si="20"/>
        <v/>
      </c>
      <c r="N307" s="81"/>
      <c r="O307" s="3"/>
      <c r="P307" s="58"/>
      <c r="Q307" s="92" t="str">
        <f t="shared" si="19"/>
        <v/>
      </c>
      <c r="R307" s="98">
        <f>SUMIFS('Booking Management'!J:J,'Booking Management'!B:B,'Sales Orders'!A307)</f>
        <v>0</v>
      </c>
      <c r="S307" s="99" t="str">
        <f t="shared" si="18"/>
        <v/>
      </c>
      <c r="T307" s="61"/>
      <c r="U307" s="61"/>
      <c r="V307" s="61"/>
      <c r="W307" s="58"/>
      <c r="X307" s="58"/>
      <c r="Y307" s="98" t="str">
        <f t="shared" si="21"/>
        <v/>
      </c>
    </row>
    <row r="308" spans="1:25">
      <c r="A308" s="23"/>
      <c r="B308" s="58"/>
      <c r="C308" s="58"/>
      <c r="D308" s="59"/>
      <c r="E308" s="58"/>
      <c r="F308" s="62"/>
      <c r="G308" s="58"/>
      <c r="H308" s="3"/>
      <c r="J308" s="109" t="str">
        <f>IF(C308&lt;&gt;"",SUMIFS('Booking Management'!Y:Y,'Booking Management'!B:B,'Sales Orders'!A308),"")</f>
        <v/>
      </c>
      <c r="K308" s="45"/>
      <c r="L308" s="60"/>
      <c r="M308" s="92" t="str">
        <f t="shared" ca="1" si="20"/>
        <v/>
      </c>
      <c r="N308" s="81"/>
      <c r="O308" s="3"/>
      <c r="P308" s="58"/>
      <c r="Q308" s="92" t="str">
        <f t="shared" si="19"/>
        <v/>
      </c>
      <c r="R308" s="98">
        <f>SUMIFS('Booking Management'!J:J,'Booking Management'!B:B,'Sales Orders'!A308)</f>
        <v>0</v>
      </c>
      <c r="S308" s="99" t="str">
        <f t="shared" si="18"/>
        <v/>
      </c>
      <c r="T308" s="61"/>
      <c r="U308" s="61"/>
      <c r="V308" s="61"/>
      <c r="W308" s="58"/>
      <c r="X308" s="58"/>
      <c r="Y308" s="98" t="str">
        <f t="shared" si="21"/>
        <v/>
      </c>
    </row>
    <row r="309" spans="1:25">
      <c r="A309" s="23"/>
      <c r="B309" s="58"/>
      <c r="C309" s="58"/>
      <c r="D309" s="59"/>
      <c r="E309" s="58"/>
      <c r="F309" s="62"/>
      <c r="G309" s="58"/>
      <c r="H309" s="3"/>
      <c r="J309" s="109" t="str">
        <f>IF(C309&lt;&gt;"",SUMIFS('Booking Management'!Y:Y,'Booking Management'!B:B,'Sales Orders'!A309),"")</f>
        <v/>
      </c>
      <c r="K309" s="45"/>
      <c r="L309" s="60"/>
      <c r="M309" s="92" t="str">
        <f t="shared" ca="1" si="20"/>
        <v/>
      </c>
      <c r="N309" s="81"/>
      <c r="O309" s="3"/>
      <c r="P309" s="58"/>
      <c r="Q309" s="92" t="str">
        <f t="shared" si="19"/>
        <v/>
      </c>
      <c r="R309" s="98">
        <f>SUMIFS('Booking Management'!J:J,'Booking Management'!B:B,'Sales Orders'!A309)</f>
        <v>0</v>
      </c>
      <c r="S309" s="99" t="str">
        <f t="shared" si="18"/>
        <v/>
      </c>
      <c r="T309" s="61"/>
      <c r="U309" s="61"/>
      <c r="V309" s="61"/>
      <c r="W309" s="58"/>
      <c r="X309" s="58"/>
      <c r="Y309" s="98" t="str">
        <f t="shared" si="21"/>
        <v/>
      </c>
    </row>
    <row r="310" spans="1:25">
      <c r="A310" s="23"/>
      <c r="B310" s="58"/>
      <c r="C310" s="58"/>
      <c r="D310" s="59"/>
      <c r="E310" s="58"/>
      <c r="F310" s="62"/>
      <c r="G310" s="58"/>
      <c r="H310" s="3"/>
      <c r="J310" s="109" t="str">
        <f>IF(C310&lt;&gt;"",SUMIFS('Booking Management'!Y:Y,'Booking Management'!B:B,'Sales Orders'!A310),"")</f>
        <v/>
      </c>
      <c r="K310" s="45"/>
      <c r="L310" s="60"/>
      <c r="M310" s="92" t="str">
        <f t="shared" ca="1" si="20"/>
        <v/>
      </c>
      <c r="N310" s="81"/>
      <c r="O310" s="3"/>
      <c r="P310" s="58"/>
      <c r="Q310" s="92" t="str">
        <f t="shared" si="19"/>
        <v/>
      </c>
      <c r="R310" s="98">
        <f>SUMIFS('Booking Management'!J:J,'Booking Management'!B:B,'Sales Orders'!A310)</f>
        <v>0</v>
      </c>
      <c r="S310" s="99" t="str">
        <f t="shared" si="18"/>
        <v/>
      </c>
      <c r="T310" s="61"/>
      <c r="U310" s="61"/>
      <c r="V310" s="61"/>
      <c r="W310" s="58"/>
      <c r="X310" s="58"/>
      <c r="Y310" s="98" t="str">
        <f t="shared" si="21"/>
        <v/>
      </c>
    </row>
    <row r="311" spans="1:25">
      <c r="A311" s="23"/>
      <c r="B311" s="58"/>
      <c r="C311" s="58"/>
      <c r="D311" s="59"/>
      <c r="E311" s="58"/>
      <c r="F311" s="62"/>
      <c r="G311" s="58"/>
      <c r="H311" s="3"/>
      <c r="J311" s="109" t="str">
        <f>IF(C311&lt;&gt;"",SUMIFS('Booking Management'!Y:Y,'Booking Management'!B:B,'Sales Orders'!A311),"")</f>
        <v/>
      </c>
      <c r="K311" s="45"/>
      <c r="L311" s="60"/>
      <c r="M311" s="92" t="str">
        <f t="shared" ca="1" si="20"/>
        <v/>
      </c>
      <c r="N311" s="81"/>
      <c r="O311" s="3"/>
      <c r="P311" s="58"/>
      <c r="Q311" s="92" t="str">
        <f t="shared" si="19"/>
        <v/>
      </c>
      <c r="R311" s="98">
        <f>SUMIFS('Booking Management'!J:J,'Booking Management'!B:B,'Sales Orders'!A311)</f>
        <v>0</v>
      </c>
      <c r="S311" s="99" t="str">
        <f t="shared" si="18"/>
        <v/>
      </c>
      <c r="T311" s="61"/>
      <c r="U311" s="61"/>
      <c r="V311" s="61"/>
      <c r="W311" s="58"/>
      <c r="X311" s="58"/>
      <c r="Y311" s="98" t="str">
        <f t="shared" si="21"/>
        <v/>
      </c>
    </row>
    <row r="312" spans="1:25">
      <c r="A312" s="23"/>
      <c r="B312" s="58"/>
      <c r="C312" s="58"/>
      <c r="D312" s="59"/>
      <c r="E312" s="58"/>
      <c r="F312" s="62"/>
      <c r="G312" s="58"/>
      <c r="H312" s="3"/>
      <c r="J312" s="109" t="str">
        <f>IF(C312&lt;&gt;"",SUMIFS('Booking Management'!Y:Y,'Booking Management'!B:B,'Sales Orders'!A312),"")</f>
        <v/>
      </c>
      <c r="K312" s="45"/>
      <c r="L312" s="60"/>
      <c r="M312" s="92" t="str">
        <f t="shared" ca="1" si="20"/>
        <v/>
      </c>
      <c r="N312" s="81"/>
      <c r="O312" s="3"/>
      <c r="P312" s="58"/>
      <c r="Q312" s="92" t="str">
        <f t="shared" si="19"/>
        <v/>
      </c>
      <c r="R312" s="98">
        <f>SUMIFS('Booking Management'!J:J,'Booking Management'!B:B,'Sales Orders'!A312)</f>
        <v>0</v>
      </c>
      <c r="S312" s="99" t="str">
        <f t="shared" si="18"/>
        <v/>
      </c>
      <c r="T312" s="61"/>
      <c r="U312" s="61"/>
      <c r="V312" s="61"/>
      <c r="W312" s="58"/>
      <c r="X312" s="58"/>
      <c r="Y312" s="98" t="str">
        <f t="shared" si="21"/>
        <v/>
      </c>
    </row>
    <row r="313" spans="1:25">
      <c r="A313" s="23"/>
      <c r="B313" s="58"/>
      <c r="C313" s="58"/>
      <c r="D313" s="59"/>
      <c r="E313" s="58"/>
      <c r="F313" s="62"/>
      <c r="G313" s="58"/>
      <c r="H313" s="3"/>
      <c r="J313" s="109" t="str">
        <f>IF(C313&lt;&gt;"",SUMIFS('Booking Management'!Y:Y,'Booking Management'!B:B,'Sales Orders'!A313),"")</f>
        <v/>
      </c>
      <c r="K313" s="45"/>
      <c r="L313" s="60"/>
      <c r="M313" s="92" t="str">
        <f t="shared" ca="1" si="20"/>
        <v/>
      </c>
      <c r="N313" s="81"/>
      <c r="O313" s="3"/>
      <c r="P313" s="58"/>
      <c r="Q313" s="92" t="str">
        <f t="shared" si="19"/>
        <v/>
      </c>
      <c r="R313" s="98">
        <f>SUMIFS('Booking Management'!J:J,'Booking Management'!B:B,'Sales Orders'!A313)</f>
        <v>0</v>
      </c>
      <c r="S313" s="99" t="str">
        <f t="shared" si="18"/>
        <v/>
      </c>
      <c r="T313" s="61"/>
      <c r="U313" s="61"/>
      <c r="V313" s="61"/>
      <c r="W313" s="58"/>
      <c r="X313" s="58"/>
      <c r="Y313" s="98" t="str">
        <f t="shared" si="21"/>
        <v/>
      </c>
    </row>
    <row r="314" spans="1:25">
      <c r="A314" s="23"/>
      <c r="B314" s="58"/>
      <c r="C314" s="58"/>
      <c r="D314" s="59"/>
      <c r="E314" s="58"/>
      <c r="F314" s="62"/>
      <c r="G314" s="58"/>
      <c r="H314" s="3"/>
      <c r="J314" s="109" t="str">
        <f>IF(C314&lt;&gt;"",SUMIFS('Booking Management'!Y:Y,'Booking Management'!B:B,'Sales Orders'!A314),"")</f>
        <v/>
      </c>
      <c r="K314" s="45"/>
      <c r="L314" s="60"/>
      <c r="M314" s="92" t="str">
        <f t="shared" ca="1" si="20"/>
        <v/>
      </c>
      <c r="N314" s="81"/>
      <c r="O314" s="3"/>
      <c r="P314" s="58"/>
      <c r="Q314" s="92" t="str">
        <f t="shared" si="19"/>
        <v/>
      </c>
      <c r="R314" s="98">
        <f>SUMIFS('Booking Management'!J:J,'Booking Management'!B:B,'Sales Orders'!A314)</f>
        <v>0</v>
      </c>
      <c r="S314" s="99" t="str">
        <f t="shared" si="18"/>
        <v/>
      </c>
      <c r="T314" s="61"/>
      <c r="U314" s="61"/>
      <c r="V314" s="61"/>
      <c r="W314" s="51"/>
      <c r="X314" s="58"/>
      <c r="Y314" s="98" t="str">
        <f t="shared" si="21"/>
        <v/>
      </c>
    </row>
    <row r="315" spans="1:25">
      <c r="A315" s="23"/>
      <c r="B315" s="58"/>
      <c r="C315" s="58"/>
      <c r="D315" s="59"/>
      <c r="E315" s="58"/>
      <c r="F315" s="62"/>
      <c r="G315" s="58"/>
      <c r="H315" s="3"/>
      <c r="J315" s="109" t="str">
        <f>IF(C315&lt;&gt;"",SUMIFS('Booking Management'!Y:Y,'Booking Management'!B:B,'Sales Orders'!A315),"")</f>
        <v/>
      </c>
      <c r="K315" s="45"/>
      <c r="L315" s="60"/>
      <c r="M315" s="92" t="str">
        <f t="shared" ca="1" si="20"/>
        <v/>
      </c>
      <c r="N315" s="81"/>
      <c r="O315" s="3"/>
      <c r="P315" s="58"/>
      <c r="Q315" s="92" t="str">
        <f t="shared" si="19"/>
        <v/>
      </c>
      <c r="R315" s="98">
        <f>SUMIFS('Booking Management'!J:J,'Booking Management'!B:B,'Sales Orders'!A315)</f>
        <v>0</v>
      </c>
      <c r="S315" s="99" t="str">
        <f t="shared" si="18"/>
        <v/>
      </c>
      <c r="T315" s="61"/>
      <c r="U315" s="61"/>
      <c r="V315" s="61"/>
      <c r="W315" s="58"/>
      <c r="X315" s="58"/>
      <c r="Y315" s="98" t="str">
        <f t="shared" si="21"/>
        <v/>
      </c>
    </row>
    <row r="316" spans="1:25">
      <c r="A316" s="23"/>
      <c r="B316" s="58"/>
      <c r="C316" s="58"/>
      <c r="D316" s="59"/>
      <c r="E316" s="58"/>
      <c r="F316" s="62"/>
      <c r="G316" s="58"/>
      <c r="H316" s="3"/>
      <c r="J316" s="109" t="str">
        <f>IF(C316&lt;&gt;"",SUMIFS('Booking Management'!Y:Y,'Booking Management'!B:B,'Sales Orders'!A316),"")</f>
        <v/>
      </c>
      <c r="K316" s="45"/>
      <c r="L316" s="60"/>
      <c r="M316" s="92" t="str">
        <f t="shared" ca="1" si="20"/>
        <v/>
      </c>
      <c r="N316" s="81"/>
      <c r="O316" s="3"/>
      <c r="P316" s="58"/>
      <c r="Q316" s="92" t="str">
        <f t="shared" si="19"/>
        <v/>
      </c>
      <c r="R316" s="98">
        <f>SUMIFS('Booking Management'!J:J,'Booking Management'!B:B,'Sales Orders'!A316)</f>
        <v>0</v>
      </c>
      <c r="S316" s="99" t="str">
        <f t="shared" si="18"/>
        <v/>
      </c>
      <c r="T316" s="61"/>
      <c r="U316" s="61"/>
      <c r="V316" s="61"/>
      <c r="W316" s="58"/>
      <c r="X316" s="65"/>
      <c r="Y316" s="98" t="str">
        <f t="shared" si="21"/>
        <v/>
      </c>
    </row>
    <row r="317" spans="1:25">
      <c r="A317" s="23"/>
      <c r="B317" s="58"/>
      <c r="C317" s="58"/>
      <c r="D317" s="59"/>
      <c r="E317" s="58"/>
      <c r="F317" s="62"/>
      <c r="G317" s="58"/>
      <c r="H317" s="3"/>
      <c r="J317" s="109" t="str">
        <f>IF(C317&lt;&gt;"",SUMIFS('Booking Management'!Y:Y,'Booking Management'!B:B,'Sales Orders'!A317),"")</f>
        <v/>
      </c>
      <c r="K317" s="45"/>
      <c r="L317" s="60"/>
      <c r="M317" s="92" t="str">
        <f t="shared" ca="1" si="20"/>
        <v/>
      </c>
      <c r="N317" s="81"/>
      <c r="O317" s="3"/>
      <c r="P317" s="58"/>
      <c r="Q317" s="92" t="str">
        <f t="shared" si="19"/>
        <v/>
      </c>
      <c r="R317" s="98">
        <f>SUMIFS('Booking Management'!J:J,'Booking Management'!B:B,'Sales Orders'!A317)</f>
        <v>0</v>
      </c>
      <c r="S317" s="99" t="str">
        <f t="shared" si="18"/>
        <v/>
      </c>
      <c r="T317" s="61"/>
      <c r="U317" s="61"/>
      <c r="V317" s="61"/>
      <c r="W317" s="58"/>
      <c r="X317" s="65"/>
      <c r="Y317" s="98" t="str">
        <f t="shared" si="21"/>
        <v/>
      </c>
    </row>
    <row r="318" spans="1:25">
      <c r="A318" s="23"/>
      <c r="B318" s="58"/>
      <c r="C318" s="58"/>
      <c r="D318" s="59"/>
      <c r="E318" s="58"/>
      <c r="F318" s="62"/>
      <c r="G318" s="58"/>
      <c r="H318" s="3"/>
      <c r="J318" s="109" t="str">
        <f>IF(C318&lt;&gt;"",SUMIFS('Booking Management'!Y:Y,'Booking Management'!B:B,'Sales Orders'!A318),"")</f>
        <v/>
      </c>
      <c r="K318" s="45"/>
      <c r="L318" s="60"/>
      <c r="M318" s="92" t="str">
        <f t="shared" ca="1" si="20"/>
        <v/>
      </c>
      <c r="N318" s="81"/>
      <c r="O318" s="3"/>
      <c r="P318" s="58"/>
      <c r="Q318" s="92" t="str">
        <f t="shared" si="19"/>
        <v/>
      </c>
      <c r="R318" s="98">
        <f>SUMIFS('Booking Management'!J:J,'Booking Management'!B:B,'Sales Orders'!A318)</f>
        <v>0</v>
      </c>
      <c r="S318" s="99" t="str">
        <f t="shared" si="18"/>
        <v/>
      </c>
      <c r="T318" s="61"/>
      <c r="U318" s="61"/>
      <c r="V318" s="61"/>
      <c r="W318" s="58"/>
      <c r="X318" s="65"/>
      <c r="Y318" s="98" t="str">
        <f t="shared" si="21"/>
        <v/>
      </c>
    </row>
    <row r="319" spans="1:25">
      <c r="A319" s="23"/>
      <c r="B319" s="58"/>
      <c r="C319" s="58"/>
      <c r="D319" s="59"/>
      <c r="E319" s="58"/>
      <c r="F319" s="62"/>
      <c r="G319" s="58"/>
      <c r="H319" s="3"/>
      <c r="J319" s="109" t="str">
        <f>IF(C319&lt;&gt;"",SUMIFS('Booking Management'!Y:Y,'Booking Management'!B:B,'Sales Orders'!A319),"")</f>
        <v/>
      </c>
      <c r="K319" s="45"/>
      <c r="L319" s="60"/>
      <c r="M319" s="92" t="str">
        <f t="shared" ca="1" si="20"/>
        <v/>
      </c>
      <c r="N319" s="81"/>
      <c r="O319" s="3"/>
      <c r="P319" s="58"/>
      <c r="Q319" s="92" t="str">
        <f t="shared" si="19"/>
        <v/>
      </c>
      <c r="R319" s="98">
        <f>SUMIFS('Booking Management'!J:J,'Booking Management'!B:B,'Sales Orders'!A319)</f>
        <v>0</v>
      </c>
      <c r="S319" s="99" t="str">
        <f t="shared" si="18"/>
        <v/>
      </c>
      <c r="T319" s="61"/>
      <c r="U319" s="61"/>
      <c r="V319" s="61"/>
      <c r="W319" s="58"/>
      <c r="X319" s="65"/>
      <c r="Y319" s="98" t="str">
        <f t="shared" si="21"/>
        <v/>
      </c>
    </row>
    <row r="320" spans="1:25">
      <c r="A320" s="23"/>
      <c r="B320" s="58"/>
      <c r="C320" s="58"/>
      <c r="D320" s="59"/>
      <c r="E320" s="58"/>
      <c r="F320" s="62"/>
      <c r="G320" s="58"/>
      <c r="H320" s="3"/>
      <c r="J320" s="109" t="str">
        <f>IF(C320&lt;&gt;"",SUMIFS('Booking Management'!Y:Y,'Booking Management'!B:B,'Sales Orders'!A320),"")</f>
        <v/>
      </c>
      <c r="K320" s="45"/>
      <c r="L320" s="60"/>
      <c r="M320" s="92" t="str">
        <f t="shared" ca="1" si="20"/>
        <v/>
      </c>
      <c r="N320" s="81"/>
      <c r="O320" s="3"/>
      <c r="P320" s="58"/>
      <c r="Q320" s="92" t="str">
        <f t="shared" si="19"/>
        <v/>
      </c>
      <c r="R320" s="98">
        <f>SUMIFS('Booking Management'!J:J,'Booking Management'!B:B,'Sales Orders'!A320)</f>
        <v>0</v>
      </c>
      <c r="S320" s="99" t="str">
        <f t="shared" si="18"/>
        <v/>
      </c>
      <c r="T320" s="61"/>
      <c r="U320" s="61"/>
      <c r="V320" s="61"/>
      <c r="W320" s="58"/>
      <c r="X320" s="65"/>
      <c r="Y320" s="98" t="str">
        <f t="shared" si="21"/>
        <v/>
      </c>
    </row>
    <row r="321" spans="1:25">
      <c r="A321" s="23"/>
      <c r="B321" s="58"/>
      <c r="C321" s="58"/>
      <c r="D321" s="59"/>
      <c r="E321" s="58"/>
      <c r="F321" s="62"/>
      <c r="G321" s="58"/>
      <c r="H321" s="3"/>
      <c r="J321" s="109" t="str">
        <f>IF(C321&lt;&gt;"",SUMIFS('Booking Management'!Y:Y,'Booking Management'!B:B,'Sales Orders'!A321),"")</f>
        <v/>
      </c>
      <c r="K321" s="45"/>
      <c r="L321" s="60"/>
      <c r="M321" s="92" t="str">
        <f t="shared" ca="1" si="20"/>
        <v/>
      </c>
      <c r="N321" s="81"/>
      <c r="O321" s="3"/>
      <c r="P321" s="58"/>
      <c r="Q321" s="92" t="str">
        <f t="shared" si="19"/>
        <v/>
      </c>
      <c r="R321" s="98">
        <f>SUMIFS('Booking Management'!J:J,'Booking Management'!B:B,'Sales Orders'!A321)</f>
        <v>0</v>
      </c>
      <c r="S321" s="99" t="str">
        <f t="shared" si="18"/>
        <v/>
      </c>
      <c r="T321" s="61"/>
      <c r="U321" s="61"/>
      <c r="V321" s="61"/>
      <c r="W321" s="58"/>
      <c r="X321" s="65"/>
      <c r="Y321" s="98" t="str">
        <f t="shared" si="21"/>
        <v/>
      </c>
    </row>
    <row r="322" spans="1:25">
      <c r="A322" s="23"/>
      <c r="B322" s="58"/>
      <c r="C322" s="58"/>
      <c r="D322" s="59"/>
      <c r="E322" s="58"/>
      <c r="F322" s="62"/>
      <c r="G322" s="58"/>
      <c r="H322" s="3"/>
      <c r="J322" s="109" t="str">
        <f>IF(C322&lt;&gt;"",SUMIFS('Booking Management'!Y:Y,'Booking Management'!B:B,'Sales Orders'!A322),"")</f>
        <v/>
      </c>
      <c r="K322" s="45"/>
      <c r="L322" s="60"/>
      <c r="M322" s="92" t="str">
        <f t="shared" ca="1" si="20"/>
        <v/>
      </c>
      <c r="N322" s="81"/>
      <c r="O322" s="3"/>
      <c r="P322" s="58"/>
      <c r="Q322" s="92" t="str">
        <f t="shared" si="19"/>
        <v/>
      </c>
      <c r="R322" s="98">
        <f>SUMIFS('Booking Management'!J:J,'Booking Management'!B:B,'Sales Orders'!A322)</f>
        <v>0</v>
      </c>
      <c r="S322" s="99" t="str">
        <f t="shared" si="18"/>
        <v/>
      </c>
      <c r="T322" s="61"/>
      <c r="U322" s="61"/>
      <c r="V322" s="61"/>
      <c r="W322" s="58"/>
      <c r="X322" s="65"/>
      <c r="Y322" s="98" t="str">
        <f t="shared" si="21"/>
        <v/>
      </c>
    </row>
    <row r="323" spans="1:25">
      <c r="A323" s="23"/>
      <c r="B323" s="58"/>
      <c r="C323" s="58"/>
      <c r="D323" s="59"/>
      <c r="E323" s="58"/>
      <c r="F323" s="62"/>
      <c r="G323" s="58"/>
      <c r="H323" s="3"/>
      <c r="J323" s="109" t="str">
        <f>IF(C323&lt;&gt;"",SUMIFS('Booking Management'!Y:Y,'Booking Management'!B:B,'Sales Orders'!A323),"")</f>
        <v/>
      </c>
      <c r="K323" s="45"/>
      <c r="L323" s="60"/>
      <c r="M323" s="92" t="str">
        <f t="shared" ca="1" si="20"/>
        <v/>
      </c>
      <c r="N323" s="81"/>
      <c r="O323" s="3"/>
      <c r="P323" s="58"/>
      <c r="Q323" s="92" t="str">
        <f t="shared" si="19"/>
        <v/>
      </c>
      <c r="R323" s="98">
        <f>SUMIFS('Booking Management'!J:J,'Booking Management'!B:B,'Sales Orders'!A323)</f>
        <v>0</v>
      </c>
      <c r="S323" s="99" t="str">
        <f t="shared" si="18"/>
        <v/>
      </c>
      <c r="T323" s="61"/>
      <c r="U323" s="61"/>
      <c r="V323" s="61"/>
      <c r="W323" s="58"/>
      <c r="X323" s="65"/>
      <c r="Y323" s="98" t="str">
        <f t="shared" si="21"/>
        <v/>
      </c>
    </row>
    <row r="324" spans="1:25">
      <c r="A324" s="23"/>
      <c r="B324" s="58"/>
      <c r="C324" s="58"/>
      <c r="D324" s="59"/>
      <c r="E324" s="58"/>
      <c r="F324" s="62"/>
      <c r="G324" s="58"/>
      <c r="H324" s="3"/>
      <c r="J324" s="109" t="str">
        <f>IF(C324&lt;&gt;"",SUMIFS('Booking Management'!Y:Y,'Booking Management'!B:B,'Sales Orders'!A324),"")</f>
        <v/>
      </c>
      <c r="K324" s="45"/>
      <c r="L324" s="60"/>
      <c r="M324" s="92" t="str">
        <f t="shared" ca="1" si="20"/>
        <v/>
      </c>
      <c r="N324" s="81"/>
      <c r="O324" s="3"/>
      <c r="P324" s="58"/>
      <c r="Q324" s="92" t="str">
        <f t="shared" si="19"/>
        <v/>
      </c>
      <c r="R324" s="98">
        <f>SUMIFS('Booking Management'!J:J,'Booking Management'!B:B,'Sales Orders'!A324)</f>
        <v>0</v>
      </c>
      <c r="S324" s="99" t="str">
        <f t="shared" ref="S324:S387" si="22">IF(R324&gt;0,(R324/D324)*N324,"")</f>
        <v/>
      </c>
      <c r="T324" s="61"/>
      <c r="U324" s="61"/>
      <c r="V324" s="61"/>
      <c r="W324" s="58"/>
      <c r="X324" s="58"/>
      <c r="Y324" s="98" t="str">
        <f t="shared" si="21"/>
        <v/>
      </c>
    </row>
    <row r="325" spans="1:25">
      <c r="A325" s="23"/>
      <c r="B325" s="58"/>
      <c r="C325" s="58"/>
      <c r="D325" s="59"/>
      <c r="E325" s="58"/>
      <c r="F325" s="62"/>
      <c r="G325" s="58"/>
      <c r="H325" s="3"/>
      <c r="J325" s="109" t="str">
        <f>IF(C325&lt;&gt;"",SUMIFS('Booking Management'!Y:Y,'Booking Management'!B:B,'Sales Orders'!A325),"")</f>
        <v/>
      </c>
      <c r="K325" s="45"/>
      <c r="L325" s="60"/>
      <c r="M325" s="92" t="str">
        <f t="shared" ca="1" si="20"/>
        <v/>
      </c>
      <c r="N325" s="81"/>
      <c r="O325" s="3"/>
      <c r="P325" s="58"/>
      <c r="Q325" s="92" t="str">
        <f t="shared" si="19"/>
        <v/>
      </c>
      <c r="R325" s="98">
        <f>SUMIFS('Booking Management'!J:J,'Booking Management'!B:B,'Sales Orders'!A325)</f>
        <v>0</v>
      </c>
      <c r="S325" s="99" t="str">
        <f t="shared" si="22"/>
        <v/>
      </c>
      <c r="T325" s="61"/>
      <c r="U325" s="61"/>
      <c r="V325" s="61"/>
      <c r="W325" s="58"/>
      <c r="X325" s="58"/>
      <c r="Y325" s="98" t="str">
        <f t="shared" si="21"/>
        <v/>
      </c>
    </row>
    <row r="326" spans="1:25">
      <c r="A326" s="23"/>
      <c r="B326" s="58"/>
      <c r="C326" s="58"/>
      <c r="D326" s="59"/>
      <c r="E326" s="58"/>
      <c r="F326" s="62"/>
      <c r="G326" s="58"/>
      <c r="H326" s="3"/>
      <c r="J326" s="109" t="str">
        <f>IF(C326&lt;&gt;"",SUMIFS('Booking Management'!Y:Y,'Booking Management'!B:B,'Sales Orders'!A326),"")</f>
        <v/>
      </c>
      <c r="K326" s="45"/>
      <c r="L326" s="60"/>
      <c r="M326" s="92" t="str">
        <f t="shared" ca="1" si="20"/>
        <v/>
      </c>
      <c r="N326" s="81"/>
      <c r="O326" s="3"/>
      <c r="P326" s="58"/>
      <c r="Q326" s="92" t="str">
        <f t="shared" ref="Q326:Q389" si="23">IF(C326&lt;&gt;"",IF(OR(K326="",P326=""),"alert",""),"")</f>
        <v/>
      </c>
      <c r="R326" s="98">
        <f>SUMIFS('Booking Management'!J:J,'Booking Management'!B:B,'Sales Orders'!A326)</f>
        <v>0</v>
      </c>
      <c r="S326" s="99" t="str">
        <f t="shared" si="22"/>
        <v/>
      </c>
      <c r="T326" s="61"/>
      <c r="U326" s="61"/>
      <c r="V326" s="61"/>
      <c r="W326" s="58"/>
      <c r="X326" s="58"/>
      <c r="Y326" s="98" t="str">
        <f t="shared" si="21"/>
        <v/>
      </c>
    </row>
    <row r="327" spans="1:25">
      <c r="A327" s="23"/>
      <c r="B327" s="58"/>
      <c r="C327" s="58"/>
      <c r="D327" s="59"/>
      <c r="E327" s="58"/>
      <c r="F327" s="62"/>
      <c r="G327" s="58"/>
      <c r="H327" s="3"/>
      <c r="J327" s="109" t="str">
        <f>IF(C327&lt;&gt;"",SUMIFS('Booking Management'!Y:Y,'Booking Management'!B:B,'Sales Orders'!A327),"")</f>
        <v/>
      </c>
      <c r="K327" s="45"/>
      <c r="L327" s="60"/>
      <c r="M327" s="92" t="str">
        <f t="shared" ref="M327:M390" ca="1" si="24">IFERROR(IF(K327&lt;&gt;"",IF(AND(_xlfn.NUMBERVALUE(J327)/_xlfn.NUMBERVALUE(D327) &lt;1,K327-TODAY()&lt;2,L327&lt;&gt;"yes"),"alert",""),""),"")</f>
        <v/>
      </c>
      <c r="N327" s="81"/>
      <c r="O327" s="3"/>
      <c r="P327" s="58"/>
      <c r="Q327" s="92" t="str">
        <f t="shared" si="23"/>
        <v/>
      </c>
      <c r="R327" s="98">
        <f>SUMIFS('Booking Management'!J:J,'Booking Management'!B:B,'Sales Orders'!A327)</f>
        <v>0</v>
      </c>
      <c r="S327" s="99" t="str">
        <f t="shared" si="22"/>
        <v/>
      </c>
      <c r="T327" s="61"/>
      <c r="U327" s="61"/>
      <c r="V327" s="61"/>
      <c r="W327" s="58"/>
      <c r="X327" s="58"/>
      <c r="Y327" s="98" t="str">
        <f t="shared" si="21"/>
        <v/>
      </c>
    </row>
    <row r="328" spans="1:25">
      <c r="A328" s="23"/>
      <c r="B328" s="58"/>
      <c r="C328" s="58"/>
      <c r="D328" s="59"/>
      <c r="E328" s="58"/>
      <c r="F328" s="62"/>
      <c r="G328" s="58"/>
      <c r="H328" s="3"/>
      <c r="J328" s="109" t="str">
        <f>IF(C328&lt;&gt;"",SUMIFS('Booking Management'!Y:Y,'Booking Management'!B:B,'Sales Orders'!A328),"")</f>
        <v/>
      </c>
      <c r="K328" s="45"/>
      <c r="L328" s="60"/>
      <c r="M328" s="92" t="str">
        <f t="shared" ca="1" si="24"/>
        <v/>
      </c>
      <c r="N328" s="81"/>
      <c r="O328" s="3"/>
      <c r="P328" s="58"/>
      <c r="Q328" s="92" t="str">
        <f t="shared" si="23"/>
        <v/>
      </c>
      <c r="R328" s="98">
        <f>SUMIFS('Booking Management'!J:J,'Booking Management'!B:B,'Sales Orders'!A328)</f>
        <v>0</v>
      </c>
      <c r="S328" s="99" t="str">
        <f t="shared" si="22"/>
        <v/>
      </c>
      <c r="T328" s="61"/>
      <c r="U328" s="61"/>
      <c r="V328" s="61"/>
      <c r="W328" s="58"/>
      <c r="X328" s="58"/>
      <c r="Y328" s="98" t="str">
        <f t="shared" si="21"/>
        <v/>
      </c>
    </row>
    <row r="329" spans="1:25">
      <c r="A329" s="23"/>
      <c r="B329" s="58"/>
      <c r="C329" s="58"/>
      <c r="D329" s="59"/>
      <c r="E329" s="58"/>
      <c r="F329" s="62"/>
      <c r="G329" s="68"/>
      <c r="H329" s="3"/>
      <c r="J329" s="109" t="str">
        <f>IF(C329&lt;&gt;"",SUMIFS('Booking Management'!Y:Y,'Booking Management'!B:B,'Sales Orders'!A329),"")</f>
        <v/>
      </c>
      <c r="K329" s="45"/>
      <c r="L329" s="60"/>
      <c r="M329" s="92" t="str">
        <f t="shared" ca="1" si="24"/>
        <v/>
      </c>
      <c r="N329" s="81"/>
      <c r="O329" s="3"/>
      <c r="P329" s="58"/>
      <c r="Q329" s="92" t="str">
        <f t="shared" si="23"/>
        <v/>
      </c>
      <c r="R329" s="98">
        <f>SUMIFS('Booking Management'!J:J,'Booking Management'!B:B,'Sales Orders'!A329)</f>
        <v>0</v>
      </c>
      <c r="S329" s="99" t="str">
        <f t="shared" si="22"/>
        <v/>
      </c>
      <c r="T329" s="61"/>
      <c r="U329" s="61"/>
      <c r="V329" s="61"/>
      <c r="W329" s="58"/>
      <c r="X329" s="58"/>
      <c r="Y329" s="98" t="str">
        <f t="shared" si="21"/>
        <v/>
      </c>
    </row>
    <row r="330" spans="1:25">
      <c r="A330" s="23"/>
      <c r="B330" s="58"/>
      <c r="C330" s="58"/>
      <c r="D330" s="59"/>
      <c r="E330" s="58"/>
      <c r="F330" s="62"/>
      <c r="G330" s="68"/>
      <c r="H330" s="3"/>
      <c r="J330" s="109" t="str">
        <f>IF(C330&lt;&gt;"",SUMIFS('Booking Management'!Y:Y,'Booking Management'!B:B,'Sales Orders'!A330),"")</f>
        <v/>
      </c>
      <c r="K330" s="45"/>
      <c r="L330" s="60"/>
      <c r="M330" s="92" t="str">
        <f t="shared" ca="1" si="24"/>
        <v/>
      </c>
      <c r="N330" s="81"/>
      <c r="O330" s="3"/>
      <c r="P330" s="58"/>
      <c r="Q330" s="92" t="str">
        <f t="shared" si="23"/>
        <v/>
      </c>
      <c r="R330" s="98">
        <f>SUMIFS('Booking Management'!J:J,'Booking Management'!B:B,'Sales Orders'!A330)</f>
        <v>0</v>
      </c>
      <c r="S330" s="99" t="str">
        <f t="shared" si="22"/>
        <v/>
      </c>
      <c r="T330" s="61"/>
      <c r="U330" s="61"/>
      <c r="V330" s="61"/>
      <c r="W330" s="58"/>
      <c r="X330" s="58"/>
      <c r="Y330" s="98" t="str">
        <f t="shared" si="21"/>
        <v/>
      </c>
    </row>
    <row r="331" spans="1:25">
      <c r="A331" s="23"/>
      <c r="B331" s="58"/>
      <c r="C331" s="58"/>
      <c r="D331" s="59"/>
      <c r="E331" s="58"/>
      <c r="F331" s="62"/>
      <c r="G331" s="58"/>
      <c r="H331" s="3"/>
      <c r="J331" s="109" t="str">
        <f>IF(C331&lt;&gt;"",SUMIFS('Booking Management'!Y:Y,'Booking Management'!B:B,'Sales Orders'!A331),"")</f>
        <v/>
      </c>
      <c r="K331" s="45"/>
      <c r="L331" s="60"/>
      <c r="M331" s="92" t="str">
        <f t="shared" ca="1" si="24"/>
        <v/>
      </c>
      <c r="N331" s="81"/>
      <c r="O331" s="3"/>
      <c r="P331" s="58"/>
      <c r="Q331" s="92" t="str">
        <f t="shared" si="23"/>
        <v/>
      </c>
      <c r="R331" s="98">
        <f>SUMIFS('Booking Management'!J:J,'Booking Management'!B:B,'Sales Orders'!A331)</f>
        <v>0</v>
      </c>
      <c r="S331" s="99" t="str">
        <f t="shared" si="22"/>
        <v/>
      </c>
      <c r="T331" s="61"/>
      <c r="U331" s="61"/>
      <c r="V331" s="61"/>
      <c r="W331" s="51"/>
      <c r="X331" s="58"/>
      <c r="Y331" s="98" t="str">
        <f t="shared" si="21"/>
        <v/>
      </c>
    </row>
    <row r="332" spans="1:25">
      <c r="A332" s="23"/>
      <c r="B332" s="58"/>
      <c r="C332" s="58"/>
      <c r="D332" s="59"/>
      <c r="E332" s="58"/>
      <c r="F332" s="62"/>
      <c r="G332" s="58"/>
      <c r="H332" s="3"/>
      <c r="J332" s="109" t="str">
        <f>IF(C332&lt;&gt;"",SUMIFS('Booking Management'!Y:Y,'Booking Management'!B:B,'Sales Orders'!A332),"")</f>
        <v/>
      </c>
      <c r="K332" s="45"/>
      <c r="L332" s="60"/>
      <c r="M332" s="92" t="str">
        <f t="shared" ca="1" si="24"/>
        <v/>
      </c>
      <c r="N332" s="81"/>
      <c r="O332" s="3"/>
      <c r="P332" s="58"/>
      <c r="Q332" s="92" t="str">
        <f t="shared" si="23"/>
        <v/>
      </c>
      <c r="R332" s="98">
        <f>SUMIFS('Booking Management'!J:J,'Booking Management'!B:B,'Sales Orders'!A332)</f>
        <v>0</v>
      </c>
      <c r="S332" s="99" t="str">
        <f t="shared" si="22"/>
        <v/>
      </c>
      <c r="T332" s="61"/>
      <c r="U332" s="61"/>
      <c r="V332" s="61"/>
      <c r="W332" s="51"/>
      <c r="X332" s="58"/>
      <c r="Y332" s="98" t="str">
        <f t="shared" si="21"/>
        <v/>
      </c>
    </row>
    <row r="333" spans="1:25">
      <c r="A333" s="23"/>
      <c r="B333" s="58"/>
      <c r="C333" s="58"/>
      <c r="D333" s="59"/>
      <c r="E333" s="58"/>
      <c r="F333" s="62"/>
      <c r="G333" s="58"/>
      <c r="H333" s="51"/>
      <c r="J333" s="109" t="str">
        <f>IF(C333&lt;&gt;"",SUMIFS('Booking Management'!Y:Y,'Booking Management'!B:B,'Sales Orders'!A333),"")</f>
        <v/>
      </c>
      <c r="K333" s="45"/>
      <c r="L333" s="60"/>
      <c r="M333" s="92" t="str">
        <f t="shared" ca="1" si="24"/>
        <v/>
      </c>
      <c r="N333" s="81"/>
      <c r="O333" s="3"/>
      <c r="P333" s="58"/>
      <c r="Q333" s="92" t="str">
        <f t="shared" si="23"/>
        <v/>
      </c>
      <c r="R333" s="98">
        <f>SUMIFS('Booking Management'!J:J,'Booking Management'!B:B,'Sales Orders'!A333)</f>
        <v>0</v>
      </c>
      <c r="S333" s="99" t="str">
        <f t="shared" si="22"/>
        <v/>
      </c>
      <c r="T333" s="61"/>
      <c r="U333" s="61"/>
      <c r="V333" s="61"/>
      <c r="W333" s="58"/>
      <c r="X333" s="58"/>
      <c r="Y333" s="98" t="str">
        <f t="shared" si="21"/>
        <v/>
      </c>
    </row>
    <row r="334" spans="1:25">
      <c r="A334" s="23"/>
      <c r="B334" s="58"/>
      <c r="C334" s="58"/>
      <c r="D334" s="59"/>
      <c r="E334" s="58"/>
      <c r="F334" s="62"/>
      <c r="G334" s="58"/>
      <c r="H334" s="3"/>
      <c r="J334" s="109" t="str">
        <f>IF(C334&lt;&gt;"",SUMIFS('Booking Management'!Y:Y,'Booking Management'!B:B,'Sales Orders'!A334),"")</f>
        <v/>
      </c>
      <c r="K334" s="45"/>
      <c r="L334" s="60"/>
      <c r="M334" s="92" t="str">
        <f t="shared" ca="1" si="24"/>
        <v/>
      </c>
      <c r="N334" s="81"/>
      <c r="O334" s="3"/>
      <c r="P334" s="58"/>
      <c r="Q334" s="92" t="str">
        <f t="shared" si="23"/>
        <v/>
      </c>
      <c r="R334" s="98">
        <f>SUMIFS('Booking Management'!J:J,'Booking Management'!B:B,'Sales Orders'!A334)</f>
        <v>0</v>
      </c>
      <c r="S334" s="99" t="str">
        <f t="shared" si="22"/>
        <v/>
      </c>
      <c r="T334" s="61"/>
      <c r="U334" s="61"/>
      <c r="V334" s="61"/>
      <c r="W334" s="58"/>
      <c r="X334" s="58"/>
      <c r="Y334" s="98" t="str">
        <f t="shared" si="21"/>
        <v/>
      </c>
    </row>
    <row r="335" spans="1:25">
      <c r="A335" s="23"/>
      <c r="B335" s="58"/>
      <c r="C335" s="58"/>
      <c r="D335" s="59"/>
      <c r="E335" s="58"/>
      <c r="F335" s="62"/>
      <c r="G335" s="69"/>
      <c r="H335" s="3"/>
      <c r="J335" s="109" t="str">
        <f>IF(C335&lt;&gt;"",SUMIFS('Booking Management'!Y:Y,'Booking Management'!B:B,'Sales Orders'!A335),"")</f>
        <v/>
      </c>
      <c r="K335" s="45"/>
      <c r="L335" s="60"/>
      <c r="M335" s="92" t="str">
        <f t="shared" ca="1" si="24"/>
        <v/>
      </c>
      <c r="N335" s="81"/>
      <c r="O335" s="3"/>
      <c r="P335" s="58"/>
      <c r="Q335" s="92" t="str">
        <f t="shared" si="23"/>
        <v/>
      </c>
      <c r="R335" s="98">
        <f>SUMIFS('Booking Management'!J:J,'Booking Management'!B:B,'Sales Orders'!A335)</f>
        <v>0</v>
      </c>
      <c r="S335" s="99" t="str">
        <f t="shared" si="22"/>
        <v/>
      </c>
      <c r="T335" s="61"/>
      <c r="U335" s="61"/>
      <c r="V335" s="61"/>
      <c r="W335" s="58"/>
      <c r="X335" s="58"/>
      <c r="Y335" s="98" t="str">
        <f t="shared" si="21"/>
        <v/>
      </c>
    </row>
    <row r="336" spans="1:25">
      <c r="A336" s="23"/>
      <c r="B336" s="58"/>
      <c r="C336" s="58"/>
      <c r="D336" s="59"/>
      <c r="E336" s="58"/>
      <c r="F336" s="62"/>
      <c r="G336" s="58"/>
      <c r="H336" s="3"/>
      <c r="J336" s="109" t="str">
        <f>IF(C336&lt;&gt;"",SUMIFS('Booking Management'!Y:Y,'Booking Management'!B:B,'Sales Orders'!A336),"")</f>
        <v/>
      </c>
      <c r="K336" s="45"/>
      <c r="L336" s="60"/>
      <c r="M336" s="92" t="str">
        <f t="shared" ca="1" si="24"/>
        <v/>
      </c>
      <c r="N336" s="81"/>
      <c r="O336" s="3"/>
      <c r="P336" s="58"/>
      <c r="Q336" s="92" t="str">
        <f t="shared" si="23"/>
        <v/>
      </c>
      <c r="R336" s="98">
        <f>SUMIFS('Booking Management'!J:J,'Booking Management'!B:B,'Sales Orders'!A336)</f>
        <v>0</v>
      </c>
      <c r="S336" s="99" t="str">
        <f t="shared" si="22"/>
        <v/>
      </c>
      <c r="T336" s="61"/>
      <c r="U336" s="61"/>
      <c r="V336" s="61"/>
      <c r="W336" s="58"/>
      <c r="X336" s="58"/>
      <c r="Y336" s="98" t="str">
        <f t="shared" si="21"/>
        <v/>
      </c>
    </row>
    <row r="337" spans="1:25">
      <c r="A337" s="23"/>
      <c r="B337" s="58"/>
      <c r="C337" s="61"/>
      <c r="D337" s="59"/>
      <c r="E337" s="58"/>
      <c r="F337" s="62"/>
      <c r="G337" s="58"/>
      <c r="H337" s="3"/>
      <c r="J337" s="109" t="str">
        <f>IF(C337&lt;&gt;"",SUMIFS('Booking Management'!Y:Y,'Booking Management'!B:B,'Sales Orders'!A337),"")</f>
        <v/>
      </c>
      <c r="K337" s="45"/>
      <c r="L337" s="60"/>
      <c r="M337" s="92" t="str">
        <f t="shared" ca="1" si="24"/>
        <v/>
      </c>
      <c r="N337" s="81"/>
      <c r="O337" s="3"/>
      <c r="P337" s="58"/>
      <c r="Q337" s="92" t="str">
        <f t="shared" si="23"/>
        <v/>
      </c>
      <c r="R337" s="98">
        <f>SUMIFS('Booking Management'!J:J,'Booking Management'!B:B,'Sales Orders'!A337)</f>
        <v>0</v>
      </c>
      <c r="S337" s="99" t="str">
        <f t="shared" si="22"/>
        <v/>
      </c>
      <c r="T337" s="61"/>
      <c r="U337" s="61"/>
      <c r="V337" s="61"/>
      <c r="W337" s="58"/>
      <c r="X337" s="58"/>
      <c r="Y337" s="98" t="str">
        <f t="shared" si="21"/>
        <v/>
      </c>
    </row>
    <row r="338" spans="1:25">
      <c r="A338" s="23"/>
      <c r="B338" s="58"/>
      <c r="C338" s="58"/>
      <c r="D338" s="59"/>
      <c r="E338" s="58"/>
      <c r="F338" s="62"/>
      <c r="G338" s="58"/>
      <c r="H338" s="3"/>
      <c r="J338" s="109" t="str">
        <f>IF(C338&lt;&gt;"",SUMIFS('Booking Management'!Y:Y,'Booking Management'!B:B,'Sales Orders'!A338),"")</f>
        <v/>
      </c>
      <c r="K338" s="45"/>
      <c r="L338" s="60"/>
      <c r="M338" s="92" t="str">
        <f t="shared" ca="1" si="24"/>
        <v/>
      </c>
      <c r="N338" s="81"/>
      <c r="O338" s="3"/>
      <c r="P338" s="58"/>
      <c r="Q338" s="92" t="str">
        <f t="shared" si="23"/>
        <v/>
      </c>
      <c r="R338" s="98">
        <f>SUMIFS('Booking Management'!J:J,'Booking Management'!B:B,'Sales Orders'!A338)</f>
        <v>0</v>
      </c>
      <c r="S338" s="99" t="str">
        <f t="shared" si="22"/>
        <v/>
      </c>
      <c r="T338" s="61"/>
      <c r="U338" s="61"/>
      <c r="V338" s="61"/>
      <c r="W338" s="58"/>
      <c r="X338" s="58"/>
      <c r="Y338" s="98" t="str">
        <f t="shared" si="21"/>
        <v/>
      </c>
    </row>
    <row r="339" spans="1:25">
      <c r="A339" s="23"/>
      <c r="B339" s="58"/>
      <c r="C339" s="58"/>
      <c r="D339" s="59"/>
      <c r="E339" s="58"/>
      <c r="F339" s="62"/>
      <c r="G339" s="58"/>
      <c r="H339" s="3"/>
      <c r="J339" s="109" t="str">
        <f>IF(C339&lt;&gt;"",SUMIFS('Booking Management'!Y:Y,'Booking Management'!B:B,'Sales Orders'!A339),"")</f>
        <v/>
      </c>
      <c r="K339" s="45"/>
      <c r="L339" s="60"/>
      <c r="M339" s="92" t="str">
        <f t="shared" ca="1" si="24"/>
        <v/>
      </c>
      <c r="N339" s="81"/>
      <c r="O339" s="3"/>
      <c r="P339" s="58"/>
      <c r="Q339" s="92" t="str">
        <f t="shared" si="23"/>
        <v/>
      </c>
      <c r="R339" s="98">
        <f>SUMIFS('Booking Management'!J:J,'Booking Management'!B:B,'Sales Orders'!A339)</f>
        <v>0</v>
      </c>
      <c r="S339" s="99" t="str">
        <f t="shared" si="22"/>
        <v/>
      </c>
      <c r="T339" s="61"/>
      <c r="U339" s="61"/>
      <c r="V339" s="61"/>
      <c r="W339" s="58"/>
      <c r="X339" s="58"/>
      <c r="Y339" s="98" t="str">
        <f t="shared" si="21"/>
        <v/>
      </c>
    </row>
    <row r="340" spans="1:25">
      <c r="A340" s="23"/>
      <c r="B340" s="58"/>
      <c r="C340" s="58"/>
      <c r="D340" s="59"/>
      <c r="E340" s="58"/>
      <c r="F340" s="62"/>
      <c r="G340" s="58"/>
      <c r="H340" s="3"/>
      <c r="J340" s="109" t="str">
        <f>IF(C340&lt;&gt;"",SUMIFS('Booking Management'!Y:Y,'Booking Management'!B:B,'Sales Orders'!A340),"")</f>
        <v/>
      </c>
      <c r="K340" s="45"/>
      <c r="L340" s="60"/>
      <c r="M340" s="92" t="str">
        <f t="shared" ca="1" si="24"/>
        <v/>
      </c>
      <c r="N340" s="81"/>
      <c r="O340" s="3"/>
      <c r="P340" s="58"/>
      <c r="Q340" s="92" t="str">
        <f t="shared" si="23"/>
        <v/>
      </c>
      <c r="R340" s="98">
        <f>SUMIFS('Booking Management'!J:J,'Booking Management'!B:B,'Sales Orders'!A340)</f>
        <v>0</v>
      </c>
      <c r="S340" s="99" t="str">
        <f t="shared" si="22"/>
        <v/>
      </c>
      <c r="T340" s="61"/>
      <c r="U340" s="61"/>
      <c r="V340" s="61"/>
      <c r="W340" s="58"/>
      <c r="X340" s="58"/>
      <c r="Y340" s="98" t="str">
        <f t="shared" si="21"/>
        <v/>
      </c>
    </row>
    <row r="341" spans="1:25">
      <c r="A341" s="23"/>
      <c r="B341" s="58"/>
      <c r="C341" s="58"/>
      <c r="D341" s="59"/>
      <c r="E341" s="58"/>
      <c r="F341" s="62"/>
      <c r="G341" s="58"/>
      <c r="H341" s="3"/>
      <c r="J341" s="109" t="str">
        <f>IF(C341&lt;&gt;"",SUMIFS('Booking Management'!Y:Y,'Booking Management'!B:B,'Sales Orders'!A341),"")</f>
        <v/>
      </c>
      <c r="K341" s="45"/>
      <c r="L341" s="60"/>
      <c r="M341" s="92" t="str">
        <f t="shared" ca="1" si="24"/>
        <v/>
      </c>
      <c r="N341" s="81"/>
      <c r="O341" s="3"/>
      <c r="P341" s="58"/>
      <c r="Q341" s="92" t="str">
        <f t="shared" si="23"/>
        <v/>
      </c>
      <c r="R341" s="98">
        <f>SUMIFS('Booking Management'!J:J,'Booking Management'!B:B,'Sales Orders'!A341)</f>
        <v>0</v>
      </c>
      <c r="S341" s="99" t="str">
        <f t="shared" si="22"/>
        <v/>
      </c>
      <c r="T341" s="61"/>
      <c r="U341" s="61"/>
      <c r="V341" s="61"/>
      <c r="W341" s="58"/>
      <c r="X341" s="58"/>
      <c r="Y341" s="98" t="str">
        <f t="shared" si="21"/>
        <v/>
      </c>
    </row>
    <row r="342" spans="1:25">
      <c r="A342" s="23"/>
      <c r="B342" s="58"/>
      <c r="C342" s="58"/>
      <c r="D342" s="59"/>
      <c r="E342" s="58"/>
      <c r="F342" s="62"/>
      <c r="G342" s="58"/>
      <c r="H342" s="3"/>
      <c r="J342" s="109" t="str">
        <f>IF(C342&lt;&gt;"",SUMIFS('Booking Management'!Y:Y,'Booking Management'!B:B,'Sales Orders'!A342),"")</f>
        <v/>
      </c>
      <c r="K342" s="45"/>
      <c r="L342" s="60"/>
      <c r="M342" s="92" t="str">
        <f t="shared" ca="1" si="24"/>
        <v/>
      </c>
      <c r="N342" s="81"/>
      <c r="O342" s="3"/>
      <c r="P342" s="58"/>
      <c r="Q342" s="92" t="str">
        <f t="shared" si="23"/>
        <v/>
      </c>
      <c r="R342" s="98">
        <f>SUMIFS('Booking Management'!J:J,'Booking Management'!B:B,'Sales Orders'!A342)</f>
        <v>0</v>
      </c>
      <c r="S342" s="99" t="str">
        <f t="shared" si="22"/>
        <v/>
      </c>
      <c r="T342" s="61"/>
      <c r="U342" s="61"/>
      <c r="V342" s="61"/>
      <c r="W342" s="58"/>
      <c r="X342" s="58"/>
      <c r="Y342" s="98" t="str">
        <f t="shared" si="21"/>
        <v/>
      </c>
    </row>
    <row r="343" spans="1:25">
      <c r="A343" s="23"/>
      <c r="B343" s="58"/>
      <c r="C343" s="58"/>
      <c r="D343" s="59"/>
      <c r="E343" s="58"/>
      <c r="F343" s="62"/>
      <c r="G343" s="58"/>
      <c r="H343" s="3"/>
      <c r="J343" s="109" t="str">
        <f>IF(C343&lt;&gt;"",SUMIFS('Booking Management'!Y:Y,'Booking Management'!B:B,'Sales Orders'!A343),"")</f>
        <v/>
      </c>
      <c r="K343" s="45"/>
      <c r="L343" s="60"/>
      <c r="M343" s="92" t="str">
        <f t="shared" ca="1" si="24"/>
        <v/>
      </c>
      <c r="N343" s="81"/>
      <c r="O343" s="3"/>
      <c r="P343" s="58"/>
      <c r="Q343" s="92" t="str">
        <f t="shared" si="23"/>
        <v/>
      </c>
      <c r="R343" s="98">
        <f>SUMIFS('Booking Management'!J:J,'Booking Management'!B:B,'Sales Orders'!A343)</f>
        <v>0</v>
      </c>
      <c r="S343" s="99" t="str">
        <f t="shared" si="22"/>
        <v/>
      </c>
      <c r="T343" s="61"/>
      <c r="U343" s="61"/>
      <c r="V343" s="61"/>
      <c r="W343" s="58"/>
      <c r="X343" s="58"/>
      <c r="Y343" s="98" t="str">
        <f t="shared" si="21"/>
        <v/>
      </c>
    </row>
    <row r="344" spans="1:25">
      <c r="A344" s="23"/>
      <c r="B344" s="58"/>
      <c r="C344" s="58"/>
      <c r="D344" s="59"/>
      <c r="E344" s="58"/>
      <c r="F344" s="62"/>
      <c r="G344" s="58"/>
      <c r="H344" s="3"/>
      <c r="J344" s="109" t="str">
        <f>IF(C344&lt;&gt;"",SUMIFS('Booking Management'!Y:Y,'Booking Management'!B:B,'Sales Orders'!A344),"")</f>
        <v/>
      </c>
      <c r="K344" s="45"/>
      <c r="L344" s="60"/>
      <c r="M344" s="92" t="str">
        <f t="shared" ca="1" si="24"/>
        <v/>
      </c>
      <c r="N344" s="81"/>
      <c r="O344" s="3"/>
      <c r="P344" s="58"/>
      <c r="Q344" s="92" t="str">
        <f t="shared" si="23"/>
        <v/>
      </c>
      <c r="R344" s="98">
        <f>SUMIFS('Booking Management'!J:J,'Booking Management'!B:B,'Sales Orders'!A344)</f>
        <v>0</v>
      </c>
      <c r="S344" s="99" t="str">
        <f t="shared" si="22"/>
        <v/>
      </c>
      <c r="T344" s="61"/>
      <c r="U344" s="61"/>
      <c r="V344" s="61"/>
      <c r="W344" s="58"/>
      <c r="X344" s="58"/>
      <c r="Y344" s="98" t="str">
        <f t="shared" si="21"/>
        <v/>
      </c>
    </row>
    <row r="345" spans="1:25">
      <c r="A345" s="23"/>
      <c r="B345" s="58"/>
      <c r="C345" s="58"/>
      <c r="D345" s="59"/>
      <c r="E345" s="58"/>
      <c r="F345" s="62"/>
      <c r="G345" s="58"/>
      <c r="H345" s="3"/>
      <c r="J345" s="109" t="str">
        <f>IF(C345&lt;&gt;"",SUMIFS('Booking Management'!Y:Y,'Booking Management'!B:B,'Sales Orders'!A345),"")</f>
        <v/>
      </c>
      <c r="K345" s="45"/>
      <c r="L345" s="60"/>
      <c r="M345" s="92" t="str">
        <f t="shared" ca="1" si="24"/>
        <v/>
      </c>
      <c r="N345" s="81"/>
      <c r="O345" s="3"/>
      <c r="P345" s="58"/>
      <c r="Q345" s="92" t="str">
        <f t="shared" si="23"/>
        <v/>
      </c>
      <c r="R345" s="98">
        <f>SUMIFS('Booking Management'!J:J,'Booking Management'!B:B,'Sales Orders'!A345)</f>
        <v>0</v>
      </c>
      <c r="S345" s="99" t="str">
        <f t="shared" si="22"/>
        <v/>
      </c>
      <c r="T345" s="61"/>
      <c r="U345" s="61"/>
      <c r="V345" s="61"/>
      <c r="W345" s="58"/>
      <c r="X345" s="58"/>
      <c r="Y345" s="98" t="str">
        <f t="shared" si="21"/>
        <v/>
      </c>
    </row>
    <row r="346" spans="1:25">
      <c r="A346" s="23"/>
      <c r="B346" s="58"/>
      <c r="C346" s="58"/>
      <c r="D346" s="59"/>
      <c r="E346" s="58"/>
      <c r="F346" s="62"/>
      <c r="G346" s="58"/>
      <c r="H346" s="3"/>
      <c r="J346" s="109" t="str">
        <f>IF(C346&lt;&gt;"",SUMIFS('Booking Management'!Y:Y,'Booking Management'!B:B,'Sales Orders'!A346),"")</f>
        <v/>
      </c>
      <c r="K346" s="45"/>
      <c r="L346" s="60"/>
      <c r="M346" s="92" t="str">
        <f t="shared" ca="1" si="24"/>
        <v/>
      </c>
      <c r="N346" s="81"/>
      <c r="O346" s="3"/>
      <c r="P346" s="58"/>
      <c r="Q346" s="92" t="str">
        <f t="shared" si="23"/>
        <v/>
      </c>
      <c r="R346" s="98">
        <f>SUMIFS('Booking Management'!J:J,'Booking Management'!B:B,'Sales Orders'!A346)</f>
        <v>0</v>
      </c>
      <c r="S346" s="99" t="str">
        <f t="shared" si="22"/>
        <v/>
      </c>
      <c r="T346" s="61"/>
      <c r="U346" s="61"/>
      <c r="V346" s="61"/>
      <c r="W346" s="58"/>
      <c r="X346" s="58"/>
      <c r="Y346" s="98" t="str">
        <f t="shared" si="21"/>
        <v/>
      </c>
    </row>
    <row r="347" spans="1:25">
      <c r="A347" s="23"/>
      <c r="B347" s="58"/>
      <c r="C347" s="58"/>
      <c r="D347" s="59"/>
      <c r="E347" s="58"/>
      <c r="F347" s="62"/>
      <c r="G347" s="58"/>
      <c r="H347" s="3"/>
      <c r="J347" s="109" t="str">
        <f>IF(C347&lt;&gt;"",SUMIFS('Booking Management'!Y:Y,'Booking Management'!B:B,'Sales Orders'!A347),"")</f>
        <v/>
      </c>
      <c r="K347" s="45"/>
      <c r="L347" s="60"/>
      <c r="M347" s="92" t="str">
        <f t="shared" ca="1" si="24"/>
        <v/>
      </c>
      <c r="N347" s="81"/>
      <c r="O347" s="3"/>
      <c r="P347" s="58"/>
      <c r="Q347" s="92" t="str">
        <f t="shared" si="23"/>
        <v/>
      </c>
      <c r="R347" s="98">
        <f>SUMIFS('Booking Management'!J:J,'Booking Management'!B:B,'Sales Orders'!A347)</f>
        <v>0</v>
      </c>
      <c r="S347" s="99" t="str">
        <f t="shared" si="22"/>
        <v/>
      </c>
      <c r="T347" s="61"/>
      <c r="U347" s="61"/>
      <c r="V347" s="61"/>
      <c r="W347" s="58"/>
      <c r="X347" s="58"/>
      <c r="Y347" s="98" t="str">
        <f t="shared" si="21"/>
        <v/>
      </c>
    </row>
    <row r="348" spans="1:25">
      <c r="A348" s="23"/>
      <c r="B348" s="58"/>
      <c r="C348" s="58"/>
      <c r="D348" s="59"/>
      <c r="E348" s="58"/>
      <c r="F348" s="62"/>
      <c r="G348" s="58"/>
      <c r="H348" s="3"/>
      <c r="J348" s="109" t="str">
        <f>IF(C348&lt;&gt;"",SUMIFS('Booking Management'!Y:Y,'Booking Management'!B:B,'Sales Orders'!A348),"")</f>
        <v/>
      </c>
      <c r="K348" s="45"/>
      <c r="L348" s="60"/>
      <c r="M348" s="92" t="str">
        <f t="shared" ca="1" si="24"/>
        <v/>
      </c>
      <c r="N348" s="81"/>
      <c r="O348" s="3"/>
      <c r="P348" s="58"/>
      <c r="Q348" s="92" t="str">
        <f t="shared" si="23"/>
        <v/>
      </c>
      <c r="R348" s="98">
        <f>SUMIFS('Booking Management'!J:J,'Booking Management'!B:B,'Sales Orders'!A348)</f>
        <v>0</v>
      </c>
      <c r="S348" s="99" t="str">
        <f t="shared" si="22"/>
        <v/>
      </c>
      <c r="T348" s="61"/>
      <c r="U348" s="61"/>
      <c r="V348" s="61"/>
      <c r="W348" s="58"/>
      <c r="X348" s="58"/>
      <c r="Y348" s="98" t="str">
        <f t="shared" si="21"/>
        <v/>
      </c>
    </row>
    <row r="349" spans="1:25">
      <c r="A349" s="23"/>
      <c r="B349" s="58"/>
      <c r="C349" s="58"/>
      <c r="D349" s="59"/>
      <c r="E349" s="58"/>
      <c r="F349" s="62"/>
      <c r="G349" s="58"/>
      <c r="H349" s="3"/>
      <c r="J349" s="109" t="str">
        <f>IF(C349&lt;&gt;"",SUMIFS('Booking Management'!Y:Y,'Booking Management'!B:B,'Sales Orders'!A349),"")</f>
        <v/>
      </c>
      <c r="K349" s="45"/>
      <c r="L349" s="60"/>
      <c r="M349" s="92" t="str">
        <f t="shared" ca="1" si="24"/>
        <v/>
      </c>
      <c r="N349" s="81"/>
      <c r="O349" s="3"/>
      <c r="P349" s="58"/>
      <c r="Q349" s="92" t="str">
        <f t="shared" si="23"/>
        <v/>
      </c>
      <c r="R349" s="98">
        <f>SUMIFS('Booking Management'!J:J,'Booking Management'!B:B,'Sales Orders'!A349)</f>
        <v>0</v>
      </c>
      <c r="S349" s="99" t="str">
        <f t="shared" si="22"/>
        <v/>
      </c>
      <c r="T349" s="61"/>
      <c r="U349" s="61"/>
      <c r="V349" s="61"/>
      <c r="W349" s="58"/>
      <c r="X349" s="58"/>
      <c r="Y349" s="98" t="str">
        <f t="shared" si="21"/>
        <v/>
      </c>
    </row>
    <row r="350" spans="1:25">
      <c r="A350" s="23"/>
      <c r="B350" s="58"/>
      <c r="C350" s="58"/>
      <c r="D350" s="59"/>
      <c r="E350" s="58"/>
      <c r="F350" s="62"/>
      <c r="G350" s="58"/>
      <c r="H350" s="3"/>
      <c r="J350" s="109" t="str">
        <f>IF(C350&lt;&gt;"",SUMIFS('Booking Management'!Y:Y,'Booking Management'!B:B,'Sales Orders'!A350),"")</f>
        <v/>
      </c>
      <c r="K350" s="45"/>
      <c r="L350" s="60"/>
      <c r="M350" s="92" t="str">
        <f t="shared" ca="1" si="24"/>
        <v/>
      </c>
      <c r="N350" s="81"/>
      <c r="O350" s="3"/>
      <c r="P350" s="58"/>
      <c r="Q350" s="92" t="str">
        <f t="shared" si="23"/>
        <v/>
      </c>
      <c r="R350" s="98">
        <f>SUMIFS('Booking Management'!J:J,'Booking Management'!B:B,'Sales Orders'!A350)</f>
        <v>0</v>
      </c>
      <c r="S350" s="99" t="str">
        <f t="shared" si="22"/>
        <v/>
      </c>
      <c r="T350" s="61"/>
      <c r="U350" s="61"/>
      <c r="V350" s="61"/>
      <c r="W350" s="58"/>
      <c r="X350" s="58"/>
      <c r="Y350" s="98" t="str">
        <f t="shared" si="21"/>
        <v/>
      </c>
    </row>
    <row r="351" spans="1:25">
      <c r="A351" s="23"/>
      <c r="B351" s="58"/>
      <c r="C351" s="58"/>
      <c r="D351" s="59"/>
      <c r="E351" s="58"/>
      <c r="F351" s="62"/>
      <c r="G351" s="58"/>
      <c r="H351" s="58"/>
      <c r="J351" s="109" t="str">
        <f>IF(C351&lt;&gt;"",SUMIFS('Booking Management'!Y:Y,'Booking Management'!B:B,'Sales Orders'!A351),"")</f>
        <v/>
      </c>
      <c r="K351" s="45"/>
      <c r="L351" s="60"/>
      <c r="M351" s="92" t="str">
        <f t="shared" ca="1" si="24"/>
        <v/>
      </c>
      <c r="N351" s="81"/>
      <c r="O351" s="3"/>
      <c r="P351" s="58"/>
      <c r="Q351" s="92" t="str">
        <f t="shared" si="23"/>
        <v/>
      </c>
      <c r="R351" s="98">
        <f>SUMIFS('Booking Management'!J:J,'Booking Management'!B:B,'Sales Orders'!A351)</f>
        <v>0</v>
      </c>
      <c r="S351" s="99" t="str">
        <f t="shared" si="22"/>
        <v/>
      </c>
      <c r="T351" s="61"/>
      <c r="U351" s="61"/>
      <c r="V351" s="61"/>
      <c r="W351" s="58"/>
      <c r="X351" s="58"/>
      <c r="Y351" s="98" t="str">
        <f t="shared" si="21"/>
        <v/>
      </c>
    </row>
    <row r="352" spans="1:25">
      <c r="A352" s="23"/>
      <c r="B352" s="58"/>
      <c r="C352" s="58"/>
      <c r="D352" s="59"/>
      <c r="E352" s="58"/>
      <c r="F352" s="62"/>
      <c r="G352" s="58"/>
      <c r="H352" s="3"/>
      <c r="J352" s="109" t="str">
        <f>IF(C352&lt;&gt;"",SUMIFS('Booking Management'!Y:Y,'Booking Management'!B:B,'Sales Orders'!A352),"")</f>
        <v/>
      </c>
      <c r="K352" s="45"/>
      <c r="L352" s="60"/>
      <c r="M352" s="92" t="str">
        <f t="shared" ca="1" si="24"/>
        <v/>
      </c>
      <c r="N352" s="81"/>
      <c r="O352" s="3"/>
      <c r="P352" s="58"/>
      <c r="Q352" s="92" t="str">
        <f t="shared" si="23"/>
        <v/>
      </c>
      <c r="R352" s="98">
        <f>SUMIFS('Booking Management'!J:J,'Booking Management'!B:B,'Sales Orders'!A352)</f>
        <v>0</v>
      </c>
      <c r="S352" s="99" t="str">
        <f t="shared" si="22"/>
        <v/>
      </c>
      <c r="T352" s="61"/>
      <c r="U352" s="61"/>
      <c r="V352" s="61"/>
      <c r="W352" s="58"/>
      <c r="X352" s="58"/>
      <c r="Y352" s="98" t="str">
        <f t="shared" si="21"/>
        <v/>
      </c>
    </row>
    <row r="353" spans="1:25">
      <c r="A353" s="23"/>
      <c r="B353" s="58"/>
      <c r="C353" s="58"/>
      <c r="D353" s="59"/>
      <c r="E353" s="58"/>
      <c r="F353" s="62"/>
      <c r="G353" s="58"/>
      <c r="H353" s="3"/>
      <c r="J353" s="109" t="str">
        <f>IF(C353&lt;&gt;"",SUMIFS('Booking Management'!Y:Y,'Booking Management'!B:B,'Sales Orders'!A353),"")</f>
        <v/>
      </c>
      <c r="K353" s="45"/>
      <c r="L353" s="60"/>
      <c r="M353" s="92" t="str">
        <f t="shared" ca="1" si="24"/>
        <v/>
      </c>
      <c r="N353" s="81"/>
      <c r="O353" s="3"/>
      <c r="P353" s="58"/>
      <c r="Q353" s="92" t="str">
        <f t="shared" si="23"/>
        <v/>
      </c>
      <c r="R353" s="98">
        <f>SUMIFS('Booking Management'!J:J,'Booking Management'!B:B,'Sales Orders'!A353)</f>
        <v>0</v>
      </c>
      <c r="S353" s="99" t="str">
        <f t="shared" si="22"/>
        <v/>
      </c>
      <c r="T353" s="61"/>
      <c r="U353" s="61"/>
      <c r="V353" s="61"/>
      <c r="W353" s="58"/>
      <c r="X353" s="58"/>
      <c r="Y353" s="98" t="str">
        <f t="shared" si="21"/>
        <v/>
      </c>
    </row>
    <row r="354" spans="1:25">
      <c r="A354" s="23"/>
      <c r="B354" s="58"/>
      <c r="C354" s="58"/>
      <c r="D354" s="59"/>
      <c r="E354" s="58"/>
      <c r="F354" s="62"/>
      <c r="G354" s="58"/>
      <c r="H354" s="3"/>
      <c r="J354" s="109" t="str">
        <f>IF(C354&lt;&gt;"",SUMIFS('Booking Management'!Y:Y,'Booking Management'!B:B,'Sales Orders'!A354),"")</f>
        <v/>
      </c>
      <c r="K354" s="45"/>
      <c r="L354" s="60"/>
      <c r="M354" s="92" t="str">
        <f t="shared" ca="1" si="24"/>
        <v/>
      </c>
      <c r="N354" s="81"/>
      <c r="O354" s="3"/>
      <c r="P354" s="58"/>
      <c r="Q354" s="92" t="str">
        <f t="shared" si="23"/>
        <v/>
      </c>
      <c r="R354" s="98">
        <f>SUMIFS('Booking Management'!J:J,'Booking Management'!B:B,'Sales Orders'!A354)</f>
        <v>0</v>
      </c>
      <c r="S354" s="99" t="str">
        <f t="shared" si="22"/>
        <v/>
      </c>
      <c r="T354" s="61"/>
      <c r="U354" s="61"/>
      <c r="V354" s="61"/>
      <c r="W354" s="58"/>
      <c r="X354" s="58"/>
      <c r="Y354" s="98" t="str">
        <f t="shared" si="21"/>
        <v/>
      </c>
    </row>
    <row r="355" spans="1:25">
      <c r="A355" s="23"/>
      <c r="B355" s="58"/>
      <c r="C355" s="58"/>
      <c r="D355" s="59"/>
      <c r="E355" s="58"/>
      <c r="F355" s="62"/>
      <c r="G355" s="58"/>
      <c r="H355" s="3"/>
      <c r="J355" s="109" t="str">
        <f>IF(C355&lt;&gt;"",SUMIFS('Booking Management'!Y:Y,'Booking Management'!B:B,'Sales Orders'!A355),"")</f>
        <v/>
      </c>
      <c r="K355" s="45"/>
      <c r="L355" s="60"/>
      <c r="M355" s="92" t="str">
        <f t="shared" ca="1" si="24"/>
        <v/>
      </c>
      <c r="N355" s="81"/>
      <c r="O355" s="3"/>
      <c r="P355" s="58"/>
      <c r="Q355" s="92" t="str">
        <f t="shared" si="23"/>
        <v/>
      </c>
      <c r="R355" s="98">
        <f>SUMIFS('Booking Management'!J:J,'Booking Management'!B:B,'Sales Orders'!A355)</f>
        <v>0</v>
      </c>
      <c r="S355" s="99" t="str">
        <f t="shared" si="22"/>
        <v/>
      </c>
      <c r="T355" s="61"/>
      <c r="U355" s="61"/>
      <c r="V355" s="61"/>
      <c r="W355" s="58"/>
      <c r="X355" s="58"/>
      <c r="Y355" s="98" t="str">
        <f t="shared" si="21"/>
        <v/>
      </c>
    </row>
    <row r="356" spans="1:25">
      <c r="A356" s="23"/>
      <c r="B356" s="58"/>
      <c r="C356" s="58"/>
      <c r="D356" s="59"/>
      <c r="E356" s="58"/>
      <c r="F356" s="62"/>
      <c r="G356" s="58"/>
      <c r="H356" s="3"/>
      <c r="J356" s="109" t="str">
        <f>IF(C356&lt;&gt;"",SUMIFS('Booking Management'!Y:Y,'Booking Management'!B:B,'Sales Orders'!A356),"")</f>
        <v/>
      </c>
      <c r="K356" s="45"/>
      <c r="L356" s="60"/>
      <c r="M356" s="92" t="str">
        <f t="shared" ca="1" si="24"/>
        <v/>
      </c>
      <c r="N356" s="81"/>
      <c r="O356" s="3"/>
      <c r="P356" s="58"/>
      <c r="Q356" s="92" t="str">
        <f t="shared" si="23"/>
        <v/>
      </c>
      <c r="R356" s="98">
        <f>SUMIFS('Booking Management'!J:J,'Booking Management'!B:B,'Sales Orders'!A356)</f>
        <v>0</v>
      </c>
      <c r="S356" s="99" t="str">
        <f t="shared" si="22"/>
        <v/>
      </c>
      <c r="T356" s="61"/>
      <c r="U356" s="61"/>
      <c r="V356" s="61"/>
      <c r="W356" s="58"/>
      <c r="X356" s="58"/>
      <c r="Y356" s="98" t="str">
        <f t="shared" si="21"/>
        <v/>
      </c>
    </row>
    <row r="357" spans="1:25">
      <c r="A357" s="23"/>
      <c r="B357" s="58"/>
      <c r="C357" s="58"/>
      <c r="D357" s="59"/>
      <c r="E357" s="58"/>
      <c r="F357" s="62"/>
      <c r="G357" s="58"/>
      <c r="H357" s="3"/>
      <c r="J357" s="109" t="str">
        <f>IF(C357&lt;&gt;"",SUMIFS('Booking Management'!Y:Y,'Booking Management'!B:B,'Sales Orders'!A357),"")</f>
        <v/>
      </c>
      <c r="K357" s="45"/>
      <c r="L357" s="60"/>
      <c r="M357" s="92" t="str">
        <f t="shared" ca="1" si="24"/>
        <v/>
      </c>
      <c r="N357" s="81"/>
      <c r="O357" s="3"/>
      <c r="P357" s="58"/>
      <c r="Q357" s="92" t="str">
        <f t="shared" si="23"/>
        <v/>
      </c>
      <c r="R357" s="98">
        <f>SUMIFS('Booking Management'!J:J,'Booking Management'!B:B,'Sales Orders'!A357)</f>
        <v>0</v>
      </c>
      <c r="S357" s="99" t="str">
        <f t="shared" si="22"/>
        <v/>
      </c>
      <c r="T357" s="61"/>
      <c r="U357" s="61"/>
      <c r="V357" s="61"/>
      <c r="W357" s="58"/>
      <c r="X357" s="58"/>
      <c r="Y357" s="98" t="str">
        <f t="shared" si="21"/>
        <v/>
      </c>
    </row>
    <row r="358" spans="1:25">
      <c r="A358" s="23"/>
      <c r="B358" s="58"/>
      <c r="C358" s="58"/>
      <c r="D358" s="59"/>
      <c r="E358" s="58"/>
      <c r="F358" s="62"/>
      <c r="G358" s="58"/>
      <c r="H358" s="3"/>
      <c r="J358" s="109" t="str">
        <f>IF(C358&lt;&gt;"",SUMIFS('Booking Management'!Y:Y,'Booking Management'!B:B,'Sales Orders'!A358),"")</f>
        <v/>
      </c>
      <c r="K358" s="45"/>
      <c r="L358" s="60"/>
      <c r="M358" s="92" t="str">
        <f t="shared" ca="1" si="24"/>
        <v/>
      </c>
      <c r="N358" s="81"/>
      <c r="O358" s="3"/>
      <c r="P358" s="58"/>
      <c r="Q358" s="92" t="str">
        <f t="shared" si="23"/>
        <v/>
      </c>
      <c r="R358" s="98">
        <f>SUMIFS('Booking Management'!J:J,'Booking Management'!B:B,'Sales Orders'!A358)</f>
        <v>0</v>
      </c>
      <c r="S358" s="99" t="str">
        <f t="shared" si="22"/>
        <v/>
      </c>
      <c r="T358" s="61"/>
      <c r="U358" s="61"/>
      <c r="V358" s="61"/>
      <c r="W358" s="58"/>
      <c r="X358" s="58"/>
      <c r="Y358" s="98" t="str">
        <f t="shared" si="21"/>
        <v/>
      </c>
    </row>
    <row r="359" spans="1:25">
      <c r="A359" s="23"/>
      <c r="B359" s="58"/>
      <c r="C359" s="58"/>
      <c r="D359" s="59"/>
      <c r="E359" s="58"/>
      <c r="F359" s="62"/>
      <c r="G359" s="58"/>
      <c r="H359" s="3"/>
      <c r="J359" s="109" t="str">
        <f>IF(C359&lt;&gt;"",SUMIFS('Booking Management'!Y:Y,'Booking Management'!B:B,'Sales Orders'!A359),"")</f>
        <v/>
      </c>
      <c r="K359" s="45"/>
      <c r="L359" s="60"/>
      <c r="M359" s="92" t="str">
        <f t="shared" ca="1" si="24"/>
        <v/>
      </c>
      <c r="N359" s="81"/>
      <c r="O359" s="3"/>
      <c r="P359" s="58"/>
      <c r="Q359" s="92" t="str">
        <f t="shared" si="23"/>
        <v/>
      </c>
      <c r="R359" s="98">
        <f>SUMIFS('Booking Management'!J:J,'Booking Management'!B:B,'Sales Orders'!A359)</f>
        <v>0</v>
      </c>
      <c r="S359" s="99" t="str">
        <f t="shared" si="22"/>
        <v/>
      </c>
      <c r="T359" s="61"/>
      <c r="U359" s="61"/>
      <c r="V359" s="61"/>
      <c r="W359" s="58"/>
      <c r="X359" s="58"/>
      <c r="Y359" s="98" t="str">
        <f t="shared" si="21"/>
        <v/>
      </c>
    </row>
    <row r="360" spans="1:25">
      <c r="A360" s="23"/>
      <c r="B360" s="58"/>
      <c r="C360" s="58"/>
      <c r="D360" s="59"/>
      <c r="E360" s="58"/>
      <c r="F360" s="62"/>
      <c r="G360" s="58"/>
      <c r="H360" s="3"/>
      <c r="J360" s="109" t="str">
        <f>IF(C360&lt;&gt;"",SUMIFS('Booking Management'!Y:Y,'Booking Management'!B:B,'Sales Orders'!A360),"")</f>
        <v/>
      </c>
      <c r="K360" s="45"/>
      <c r="L360" s="60"/>
      <c r="M360" s="92" t="str">
        <f t="shared" ca="1" si="24"/>
        <v/>
      </c>
      <c r="N360" s="81"/>
      <c r="O360" s="3"/>
      <c r="P360" s="58"/>
      <c r="Q360" s="92" t="str">
        <f t="shared" si="23"/>
        <v/>
      </c>
      <c r="R360" s="98">
        <f>SUMIFS('Booking Management'!J:J,'Booking Management'!B:B,'Sales Orders'!A360)</f>
        <v>0</v>
      </c>
      <c r="S360" s="99" t="str">
        <f t="shared" si="22"/>
        <v/>
      </c>
      <c r="T360" s="61"/>
      <c r="U360" s="61"/>
      <c r="V360" s="61"/>
      <c r="W360" s="58"/>
      <c r="X360" s="58"/>
      <c r="Y360" s="98" t="str">
        <f t="shared" si="21"/>
        <v/>
      </c>
    </row>
    <row r="361" spans="1:25">
      <c r="A361" s="23"/>
      <c r="B361" s="58"/>
      <c r="C361" s="58"/>
      <c r="D361" s="59"/>
      <c r="E361" s="58"/>
      <c r="F361" s="62"/>
      <c r="G361" s="58"/>
      <c r="H361" s="3"/>
      <c r="J361" s="109" t="str">
        <f>IF(C361&lt;&gt;"",SUMIFS('Booking Management'!Y:Y,'Booking Management'!B:B,'Sales Orders'!A361),"")</f>
        <v/>
      </c>
      <c r="K361" s="45"/>
      <c r="L361" s="60"/>
      <c r="M361" s="92" t="str">
        <f t="shared" ca="1" si="24"/>
        <v/>
      </c>
      <c r="N361" s="81"/>
      <c r="O361" s="3"/>
      <c r="P361" s="58"/>
      <c r="Q361" s="92" t="str">
        <f t="shared" si="23"/>
        <v/>
      </c>
      <c r="R361" s="98">
        <f>SUMIFS('Booking Management'!J:J,'Booking Management'!B:B,'Sales Orders'!A361)</f>
        <v>0</v>
      </c>
      <c r="S361" s="99" t="str">
        <f t="shared" si="22"/>
        <v/>
      </c>
      <c r="T361" s="61"/>
      <c r="U361" s="61"/>
      <c r="V361" s="61"/>
      <c r="W361" s="58"/>
      <c r="X361" s="58"/>
      <c r="Y361" s="98" t="str">
        <f t="shared" si="21"/>
        <v/>
      </c>
    </row>
    <row r="362" spans="1:25">
      <c r="A362" s="23"/>
      <c r="B362" s="58"/>
      <c r="C362" s="58"/>
      <c r="D362" s="59"/>
      <c r="E362" s="58"/>
      <c r="F362" s="62"/>
      <c r="G362" s="58"/>
      <c r="H362" s="3"/>
      <c r="J362" s="109" t="str">
        <f>IF(C362&lt;&gt;"",SUMIFS('Booking Management'!Y:Y,'Booking Management'!B:B,'Sales Orders'!A362),"")</f>
        <v/>
      </c>
      <c r="K362" s="45"/>
      <c r="L362" s="60"/>
      <c r="M362" s="92" t="str">
        <f t="shared" ca="1" si="24"/>
        <v/>
      </c>
      <c r="N362" s="81"/>
      <c r="O362" s="3"/>
      <c r="P362" s="58"/>
      <c r="Q362" s="92" t="str">
        <f t="shared" si="23"/>
        <v/>
      </c>
      <c r="R362" s="98">
        <f>SUMIFS('Booking Management'!J:J,'Booking Management'!B:B,'Sales Orders'!A362)</f>
        <v>0</v>
      </c>
      <c r="S362" s="99" t="str">
        <f t="shared" si="22"/>
        <v/>
      </c>
      <c r="T362" s="61"/>
      <c r="U362" s="61"/>
      <c r="V362" s="61"/>
      <c r="W362" s="58"/>
      <c r="X362" s="58"/>
      <c r="Y362" s="98" t="str">
        <f t="shared" ref="Y362:Y425" si="25">IF(D362&lt;&gt;"",D362-J362,"")</f>
        <v/>
      </c>
    </row>
    <row r="363" spans="1:25">
      <c r="A363" s="23"/>
      <c r="B363" s="58"/>
      <c r="C363" s="58"/>
      <c r="D363" s="59"/>
      <c r="E363" s="58"/>
      <c r="F363" s="62"/>
      <c r="G363" s="58"/>
      <c r="H363" s="3"/>
      <c r="J363" s="109" t="str">
        <f>IF(C363&lt;&gt;"",SUMIFS('Booking Management'!Y:Y,'Booking Management'!B:B,'Sales Orders'!A363),"")</f>
        <v/>
      </c>
      <c r="K363" s="45"/>
      <c r="L363" s="60"/>
      <c r="M363" s="92" t="str">
        <f t="shared" ca="1" si="24"/>
        <v/>
      </c>
      <c r="N363" s="81"/>
      <c r="O363" s="3"/>
      <c r="P363" s="58"/>
      <c r="Q363" s="92" t="str">
        <f t="shared" si="23"/>
        <v/>
      </c>
      <c r="R363" s="98">
        <f>SUMIFS('Booking Management'!J:J,'Booking Management'!B:B,'Sales Orders'!A363)</f>
        <v>0</v>
      </c>
      <c r="S363" s="99" t="str">
        <f t="shared" si="22"/>
        <v/>
      </c>
      <c r="T363" s="61"/>
      <c r="U363" s="61"/>
      <c r="V363" s="61"/>
      <c r="W363" s="58"/>
      <c r="X363" s="58"/>
      <c r="Y363" s="98" t="str">
        <f t="shared" si="25"/>
        <v/>
      </c>
    </row>
    <row r="364" spans="1:25">
      <c r="A364" s="23"/>
      <c r="B364" s="58"/>
      <c r="C364" s="58"/>
      <c r="D364" s="59"/>
      <c r="E364" s="58"/>
      <c r="F364" s="62"/>
      <c r="G364" s="58"/>
      <c r="H364" s="3"/>
      <c r="J364" s="109" t="str">
        <f>IF(C364&lt;&gt;"",SUMIFS('Booking Management'!Y:Y,'Booking Management'!B:B,'Sales Orders'!A364),"")</f>
        <v/>
      </c>
      <c r="K364" s="45"/>
      <c r="L364" s="60"/>
      <c r="M364" s="92" t="str">
        <f t="shared" ca="1" si="24"/>
        <v/>
      </c>
      <c r="N364" s="81"/>
      <c r="O364" s="3"/>
      <c r="P364" s="58"/>
      <c r="Q364" s="92" t="str">
        <f t="shared" si="23"/>
        <v/>
      </c>
      <c r="R364" s="98">
        <f>SUMIFS('Booking Management'!J:J,'Booking Management'!B:B,'Sales Orders'!A364)</f>
        <v>0</v>
      </c>
      <c r="S364" s="99" t="str">
        <f t="shared" si="22"/>
        <v/>
      </c>
      <c r="T364" s="61"/>
      <c r="U364" s="61"/>
      <c r="V364" s="61"/>
      <c r="W364" s="58"/>
      <c r="X364" s="58"/>
      <c r="Y364" s="98" t="str">
        <f t="shared" si="25"/>
        <v/>
      </c>
    </row>
    <row r="365" spans="1:25">
      <c r="A365" s="23"/>
      <c r="B365" s="58"/>
      <c r="C365" s="58"/>
      <c r="D365" s="59"/>
      <c r="E365" s="58"/>
      <c r="F365" s="62"/>
      <c r="G365" s="58"/>
      <c r="H365" s="3"/>
      <c r="J365" s="109" t="str">
        <f>IF(C365&lt;&gt;"",SUMIFS('Booking Management'!Y:Y,'Booking Management'!B:B,'Sales Orders'!A365),"")</f>
        <v/>
      </c>
      <c r="K365" s="45"/>
      <c r="L365" s="60"/>
      <c r="M365" s="92" t="str">
        <f t="shared" ca="1" si="24"/>
        <v/>
      </c>
      <c r="N365" s="81"/>
      <c r="O365" s="3"/>
      <c r="P365" s="58"/>
      <c r="Q365" s="92" t="str">
        <f t="shared" si="23"/>
        <v/>
      </c>
      <c r="R365" s="98">
        <f>SUMIFS('Booking Management'!J:J,'Booking Management'!B:B,'Sales Orders'!A365)</f>
        <v>0</v>
      </c>
      <c r="S365" s="99" t="str">
        <f t="shared" si="22"/>
        <v/>
      </c>
      <c r="T365" s="61"/>
      <c r="U365" s="61"/>
      <c r="V365" s="61"/>
      <c r="W365" s="58"/>
      <c r="X365" s="58"/>
      <c r="Y365" s="98" t="str">
        <f t="shared" si="25"/>
        <v/>
      </c>
    </row>
    <row r="366" spans="1:25">
      <c r="A366" s="23"/>
      <c r="B366" s="58"/>
      <c r="C366" s="58"/>
      <c r="D366" s="59"/>
      <c r="E366" s="58"/>
      <c r="F366" s="62"/>
      <c r="G366" s="58"/>
      <c r="H366" s="3"/>
      <c r="J366" s="109" t="str">
        <f>IF(C366&lt;&gt;"",SUMIFS('Booking Management'!Y:Y,'Booking Management'!B:B,'Sales Orders'!A366),"")</f>
        <v/>
      </c>
      <c r="K366" s="45"/>
      <c r="L366" s="60"/>
      <c r="M366" s="92" t="str">
        <f t="shared" ca="1" si="24"/>
        <v/>
      </c>
      <c r="N366" s="81"/>
      <c r="O366" s="3"/>
      <c r="P366" s="58"/>
      <c r="Q366" s="92" t="str">
        <f t="shared" si="23"/>
        <v/>
      </c>
      <c r="R366" s="98">
        <f>SUMIFS('Booking Management'!J:J,'Booking Management'!B:B,'Sales Orders'!A366)</f>
        <v>0</v>
      </c>
      <c r="S366" s="99" t="str">
        <f t="shared" si="22"/>
        <v/>
      </c>
      <c r="T366" s="61"/>
      <c r="U366" s="61"/>
      <c r="V366" s="61"/>
      <c r="W366" s="58"/>
      <c r="X366" s="58"/>
      <c r="Y366" s="98" t="str">
        <f t="shared" si="25"/>
        <v/>
      </c>
    </row>
    <row r="367" spans="1:25">
      <c r="A367" s="23"/>
      <c r="B367" s="58"/>
      <c r="C367" s="58"/>
      <c r="D367" s="59"/>
      <c r="E367" s="58"/>
      <c r="F367" s="62"/>
      <c r="G367" s="58"/>
      <c r="H367" s="3"/>
      <c r="J367" s="109" t="str">
        <f>IF(C367&lt;&gt;"",SUMIFS('Booking Management'!Y:Y,'Booking Management'!B:B,'Sales Orders'!A367),"")</f>
        <v/>
      </c>
      <c r="K367" s="45"/>
      <c r="L367" s="60"/>
      <c r="M367" s="92" t="str">
        <f t="shared" ca="1" si="24"/>
        <v/>
      </c>
      <c r="N367" s="81"/>
      <c r="O367" s="3"/>
      <c r="P367" s="58"/>
      <c r="Q367" s="92" t="str">
        <f t="shared" si="23"/>
        <v/>
      </c>
      <c r="R367" s="98">
        <f>SUMIFS('Booking Management'!J:J,'Booking Management'!B:B,'Sales Orders'!A367)</f>
        <v>0</v>
      </c>
      <c r="S367" s="99" t="str">
        <f t="shared" si="22"/>
        <v/>
      </c>
      <c r="T367" s="61"/>
      <c r="U367" s="61"/>
      <c r="V367" s="61"/>
      <c r="W367" s="58"/>
      <c r="X367" s="58"/>
      <c r="Y367" s="98" t="str">
        <f t="shared" si="25"/>
        <v/>
      </c>
    </row>
    <row r="368" spans="1:25">
      <c r="A368" s="23"/>
      <c r="B368" s="58"/>
      <c r="C368" s="58"/>
      <c r="D368" s="59"/>
      <c r="E368" s="58"/>
      <c r="F368" s="62"/>
      <c r="G368" s="58"/>
      <c r="H368" s="3"/>
      <c r="J368" s="109" t="str">
        <f>IF(C368&lt;&gt;"",SUMIFS('Booking Management'!Y:Y,'Booking Management'!B:B,'Sales Orders'!A368),"")</f>
        <v/>
      </c>
      <c r="K368" s="45"/>
      <c r="L368" s="60"/>
      <c r="M368" s="92" t="str">
        <f t="shared" ca="1" si="24"/>
        <v/>
      </c>
      <c r="N368" s="81"/>
      <c r="O368" s="3"/>
      <c r="P368" s="58"/>
      <c r="Q368" s="92" t="str">
        <f t="shared" si="23"/>
        <v/>
      </c>
      <c r="R368" s="98">
        <f>SUMIFS('Booking Management'!J:J,'Booking Management'!B:B,'Sales Orders'!A368)</f>
        <v>0</v>
      </c>
      <c r="S368" s="99" t="str">
        <f t="shared" si="22"/>
        <v/>
      </c>
      <c r="T368" s="61"/>
      <c r="U368" s="61"/>
      <c r="V368" s="61"/>
      <c r="W368" s="58"/>
      <c r="X368" s="58"/>
      <c r="Y368" s="98" t="str">
        <f t="shared" si="25"/>
        <v/>
      </c>
    </row>
    <row r="369" spans="1:25">
      <c r="A369" s="23"/>
      <c r="B369" s="58"/>
      <c r="C369" s="58"/>
      <c r="D369" s="59"/>
      <c r="E369" s="58"/>
      <c r="F369" s="62"/>
      <c r="G369" s="58"/>
      <c r="H369" s="3"/>
      <c r="J369" s="109" t="str">
        <f>IF(C369&lt;&gt;"",SUMIFS('Booking Management'!Y:Y,'Booking Management'!B:B,'Sales Orders'!A369),"")</f>
        <v/>
      </c>
      <c r="K369" s="45"/>
      <c r="L369" s="60"/>
      <c r="M369" s="92" t="str">
        <f t="shared" ca="1" si="24"/>
        <v/>
      </c>
      <c r="N369" s="81"/>
      <c r="O369" s="3"/>
      <c r="P369" s="58"/>
      <c r="Q369" s="92" t="str">
        <f t="shared" si="23"/>
        <v/>
      </c>
      <c r="R369" s="98">
        <f>SUMIFS('Booking Management'!J:J,'Booking Management'!B:B,'Sales Orders'!A369)</f>
        <v>0</v>
      </c>
      <c r="S369" s="99" t="str">
        <f t="shared" si="22"/>
        <v/>
      </c>
      <c r="T369" s="61"/>
      <c r="U369" s="61"/>
      <c r="V369" s="61"/>
      <c r="W369" s="58"/>
      <c r="X369" s="58"/>
      <c r="Y369" s="98" t="str">
        <f t="shared" si="25"/>
        <v/>
      </c>
    </row>
    <row r="370" spans="1:25">
      <c r="A370" s="23"/>
      <c r="B370" s="58"/>
      <c r="C370" s="58"/>
      <c r="D370" s="59"/>
      <c r="E370" s="58"/>
      <c r="F370" s="62"/>
      <c r="G370" s="58"/>
      <c r="H370" s="3"/>
      <c r="J370" s="109" t="str">
        <f>IF(C370&lt;&gt;"",SUMIFS('Booking Management'!Y:Y,'Booking Management'!B:B,'Sales Orders'!A370),"")</f>
        <v/>
      </c>
      <c r="K370" s="45"/>
      <c r="L370" s="60"/>
      <c r="M370" s="92" t="str">
        <f t="shared" ca="1" si="24"/>
        <v/>
      </c>
      <c r="N370" s="81"/>
      <c r="O370" s="3"/>
      <c r="P370" s="58"/>
      <c r="Q370" s="92" t="str">
        <f t="shared" si="23"/>
        <v/>
      </c>
      <c r="R370" s="98">
        <f>SUMIFS('Booking Management'!J:J,'Booking Management'!B:B,'Sales Orders'!A370)</f>
        <v>0</v>
      </c>
      <c r="S370" s="99" t="str">
        <f t="shared" si="22"/>
        <v/>
      </c>
      <c r="T370" s="61"/>
      <c r="U370" s="61"/>
      <c r="V370" s="61"/>
      <c r="W370" s="58"/>
      <c r="X370" s="58"/>
      <c r="Y370" s="98" t="str">
        <f t="shared" si="25"/>
        <v/>
      </c>
    </row>
    <row r="371" spans="1:25">
      <c r="A371" s="23"/>
      <c r="B371" s="58"/>
      <c r="C371" s="58"/>
      <c r="D371" s="59"/>
      <c r="E371" s="58"/>
      <c r="F371" s="62"/>
      <c r="G371" s="58"/>
      <c r="H371" s="3"/>
      <c r="J371" s="109" t="str">
        <f>IF(C371&lt;&gt;"",SUMIFS('Booking Management'!Y:Y,'Booking Management'!B:B,'Sales Orders'!A371),"")</f>
        <v/>
      </c>
      <c r="K371" s="45"/>
      <c r="L371" s="60"/>
      <c r="M371" s="92" t="str">
        <f t="shared" ca="1" si="24"/>
        <v/>
      </c>
      <c r="N371" s="81"/>
      <c r="O371" s="3"/>
      <c r="P371" s="58"/>
      <c r="Q371" s="92" t="str">
        <f t="shared" si="23"/>
        <v/>
      </c>
      <c r="R371" s="98">
        <f>SUMIFS('Booking Management'!J:J,'Booking Management'!B:B,'Sales Orders'!A371)</f>
        <v>0</v>
      </c>
      <c r="S371" s="99" t="str">
        <f t="shared" si="22"/>
        <v/>
      </c>
      <c r="T371" s="61"/>
      <c r="U371" s="61"/>
      <c r="V371" s="61"/>
      <c r="W371" s="58"/>
      <c r="X371" s="58"/>
      <c r="Y371" s="98" t="str">
        <f t="shared" si="25"/>
        <v/>
      </c>
    </row>
    <row r="372" spans="1:25">
      <c r="A372" s="23"/>
      <c r="B372" s="58"/>
      <c r="C372" s="58"/>
      <c r="D372" s="59"/>
      <c r="E372" s="58"/>
      <c r="F372" s="62"/>
      <c r="G372" s="58"/>
      <c r="H372" s="3"/>
      <c r="J372" s="109" t="str">
        <f>IF(C372&lt;&gt;"",SUMIFS('Booking Management'!Y:Y,'Booking Management'!B:B,'Sales Orders'!A372),"")</f>
        <v/>
      </c>
      <c r="K372" s="45"/>
      <c r="L372" s="60"/>
      <c r="M372" s="92" t="str">
        <f t="shared" ca="1" si="24"/>
        <v/>
      </c>
      <c r="N372" s="81"/>
      <c r="O372" s="3"/>
      <c r="P372" s="58"/>
      <c r="Q372" s="92" t="str">
        <f t="shared" si="23"/>
        <v/>
      </c>
      <c r="R372" s="98">
        <f>SUMIFS('Booking Management'!J:J,'Booking Management'!B:B,'Sales Orders'!A372)</f>
        <v>0</v>
      </c>
      <c r="S372" s="99" t="str">
        <f t="shared" si="22"/>
        <v/>
      </c>
      <c r="T372" s="61"/>
      <c r="U372" s="61"/>
      <c r="V372" s="61"/>
      <c r="W372" s="58"/>
      <c r="X372" s="58"/>
      <c r="Y372" s="98" t="str">
        <f t="shared" si="25"/>
        <v/>
      </c>
    </row>
    <row r="373" spans="1:25">
      <c r="A373" s="23"/>
      <c r="B373" s="58"/>
      <c r="C373" s="58"/>
      <c r="D373" s="59"/>
      <c r="E373" s="58"/>
      <c r="F373" s="62"/>
      <c r="G373" s="58"/>
      <c r="H373" s="3"/>
      <c r="J373" s="109" t="str">
        <f>IF(C373&lt;&gt;"",SUMIFS('Booking Management'!Y:Y,'Booking Management'!B:B,'Sales Orders'!A373),"")</f>
        <v/>
      </c>
      <c r="K373" s="45"/>
      <c r="L373" s="60"/>
      <c r="M373" s="92" t="str">
        <f t="shared" ca="1" si="24"/>
        <v/>
      </c>
      <c r="N373" s="81"/>
      <c r="O373" s="3"/>
      <c r="P373" s="58"/>
      <c r="Q373" s="92" t="str">
        <f t="shared" si="23"/>
        <v/>
      </c>
      <c r="R373" s="98">
        <f>SUMIFS('Booking Management'!J:J,'Booking Management'!B:B,'Sales Orders'!A373)</f>
        <v>0</v>
      </c>
      <c r="S373" s="99" t="str">
        <f t="shared" si="22"/>
        <v/>
      </c>
      <c r="T373" s="61"/>
      <c r="U373" s="61"/>
      <c r="V373" s="61"/>
      <c r="W373" s="58"/>
      <c r="X373" s="58"/>
      <c r="Y373" s="98" t="str">
        <f t="shared" si="25"/>
        <v/>
      </c>
    </row>
    <row r="374" spans="1:25">
      <c r="A374" s="23"/>
      <c r="B374" s="58"/>
      <c r="C374" s="58"/>
      <c r="D374" s="59"/>
      <c r="E374" s="58"/>
      <c r="F374" s="62"/>
      <c r="G374" s="58"/>
      <c r="H374" s="3"/>
      <c r="J374" s="109" t="str">
        <f>IF(C374&lt;&gt;"",SUMIFS('Booking Management'!Y:Y,'Booking Management'!B:B,'Sales Orders'!A374),"")</f>
        <v/>
      </c>
      <c r="K374" s="45"/>
      <c r="L374" s="60"/>
      <c r="M374" s="92" t="str">
        <f t="shared" ca="1" si="24"/>
        <v/>
      </c>
      <c r="N374" s="81"/>
      <c r="O374" s="3"/>
      <c r="P374" s="58"/>
      <c r="Q374" s="92" t="str">
        <f t="shared" si="23"/>
        <v/>
      </c>
      <c r="R374" s="98">
        <f>SUMIFS('Booking Management'!J:J,'Booking Management'!B:B,'Sales Orders'!A374)</f>
        <v>0</v>
      </c>
      <c r="S374" s="99" t="str">
        <f t="shared" si="22"/>
        <v/>
      </c>
      <c r="T374" s="61"/>
      <c r="U374" s="61"/>
      <c r="V374" s="61"/>
      <c r="W374" s="58"/>
      <c r="X374" s="58"/>
      <c r="Y374" s="98" t="str">
        <f t="shared" si="25"/>
        <v/>
      </c>
    </row>
    <row r="375" spans="1:25">
      <c r="A375" s="23"/>
      <c r="B375" s="58"/>
      <c r="C375" s="58"/>
      <c r="D375" s="59"/>
      <c r="E375" s="58"/>
      <c r="F375" s="62"/>
      <c r="G375" s="58"/>
      <c r="H375" s="3"/>
      <c r="J375" s="109" t="str">
        <f>IF(C375&lt;&gt;"",SUMIFS('Booking Management'!Y:Y,'Booking Management'!B:B,'Sales Orders'!A375),"")</f>
        <v/>
      </c>
      <c r="K375" s="45"/>
      <c r="L375" s="60"/>
      <c r="M375" s="92" t="str">
        <f t="shared" ca="1" si="24"/>
        <v/>
      </c>
      <c r="N375" s="81"/>
      <c r="O375" s="3"/>
      <c r="P375" s="58"/>
      <c r="Q375" s="92" t="str">
        <f t="shared" si="23"/>
        <v/>
      </c>
      <c r="R375" s="98">
        <f>SUMIFS('Booking Management'!J:J,'Booking Management'!B:B,'Sales Orders'!A375)</f>
        <v>0</v>
      </c>
      <c r="S375" s="99" t="str">
        <f t="shared" si="22"/>
        <v/>
      </c>
      <c r="T375" s="61"/>
      <c r="U375" s="61"/>
      <c r="V375" s="61"/>
      <c r="W375" s="58"/>
      <c r="X375" s="58"/>
      <c r="Y375" s="98" t="str">
        <f t="shared" si="25"/>
        <v/>
      </c>
    </row>
    <row r="376" spans="1:25">
      <c r="A376" s="23"/>
      <c r="B376" s="58"/>
      <c r="C376" s="58"/>
      <c r="D376" s="59"/>
      <c r="E376" s="58"/>
      <c r="F376" s="62"/>
      <c r="G376" s="58"/>
      <c r="H376" s="3"/>
      <c r="J376" s="109" t="str">
        <f>IF(C376&lt;&gt;"",SUMIFS('Booking Management'!Y:Y,'Booking Management'!B:B,'Sales Orders'!A376),"")</f>
        <v/>
      </c>
      <c r="K376" s="45"/>
      <c r="L376" s="60"/>
      <c r="M376" s="92" t="str">
        <f t="shared" ca="1" si="24"/>
        <v/>
      </c>
      <c r="N376" s="81"/>
      <c r="O376" s="3"/>
      <c r="P376" s="58"/>
      <c r="Q376" s="92" t="str">
        <f t="shared" si="23"/>
        <v/>
      </c>
      <c r="R376" s="98">
        <f>SUMIFS('Booking Management'!J:J,'Booking Management'!B:B,'Sales Orders'!A376)</f>
        <v>0</v>
      </c>
      <c r="S376" s="99" t="str">
        <f t="shared" si="22"/>
        <v/>
      </c>
      <c r="T376" s="61"/>
      <c r="U376" s="61"/>
      <c r="V376" s="61"/>
      <c r="W376" s="58"/>
      <c r="X376" s="58"/>
      <c r="Y376" s="98" t="str">
        <f t="shared" si="25"/>
        <v/>
      </c>
    </row>
    <row r="377" spans="1:25">
      <c r="A377" s="23"/>
      <c r="B377" s="58"/>
      <c r="C377" s="58"/>
      <c r="D377" s="59"/>
      <c r="E377" s="58"/>
      <c r="F377" s="62"/>
      <c r="G377" s="58"/>
      <c r="H377" s="3"/>
      <c r="J377" s="109" t="str">
        <f>IF(C377&lt;&gt;"",SUMIFS('Booking Management'!Y:Y,'Booking Management'!B:B,'Sales Orders'!A377),"")</f>
        <v/>
      </c>
      <c r="K377" s="45"/>
      <c r="L377" s="60"/>
      <c r="M377" s="92" t="str">
        <f t="shared" ca="1" si="24"/>
        <v/>
      </c>
      <c r="N377" s="81"/>
      <c r="O377" s="3"/>
      <c r="P377" s="58"/>
      <c r="Q377" s="92" t="str">
        <f t="shared" si="23"/>
        <v/>
      </c>
      <c r="R377" s="98">
        <f>SUMIFS('Booking Management'!J:J,'Booking Management'!B:B,'Sales Orders'!A377)</f>
        <v>0</v>
      </c>
      <c r="S377" s="99" t="str">
        <f t="shared" si="22"/>
        <v/>
      </c>
      <c r="T377" s="61"/>
      <c r="U377" s="61"/>
      <c r="V377" s="61"/>
      <c r="W377" s="58"/>
      <c r="X377" s="58"/>
      <c r="Y377" s="98" t="str">
        <f t="shared" si="25"/>
        <v/>
      </c>
    </row>
    <row r="378" spans="1:25">
      <c r="A378" s="23"/>
      <c r="B378" s="58"/>
      <c r="C378" s="58"/>
      <c r="D378" s="59"/>
      <c r="E378" s="58"/>
      <c r="F378" s="62"/>
      <c r="G378" s="58"/>
      <c r="H378" s="3"/>
      <c r="J378" s="109" t="str">
        <f>IF(C378&lt;&gt;"",SUMIFS('Booking Management'!Y:Y,'Booking Management'!B:B,'Sales Orders'!A378),"")</f>
        <v/>
      </c>
      <c r="K378" s="45"/>
      <c r="L378" s="60"/>
      <c r="M378" s="92" t="str">
        <f t="shared" ca="1" si="24"/>
        <v/>
      </c>
      <c r="N378" s="81"/>
      <c r="O378" s="3"/>
      <c r="P378" s="58"/>
      <c r="Q378" s="92" t="str">
        <f t="shared" si="23"/>
        <v/>
      </c>
      <c r="R378" s="98">
        <f>SUMIFS('Booking Management'!J:J,'Booking Management'!B:B,'Sales Orders'!A378)</f>
        <v>0</v>
      </c>
      <c r="S378" s="99" t="str">
        <f t="shared" si="22"/>
        <v/>
      </c>
      <c r="T378" s="61"/>
      <c r="U378" s="61"/>
      <c r="V378" s="61"/>
      <c r="W378" s="58"/>
      <c r="X378" s="58"/>
      <c r="Y378" s="98" t="str">
        <f t="shared" si="25"/>
        <v/>
      </c>
    </row>
    <row r="379" spans="1:25">
      <c r="A379" s="23"/>
      <c r="B379" s="58"/>
      <c r="C379" s="58"/>
      <c r="D379" s="59"/>
      <c r="E379" s="58"/>
      <c r="F379" s="62"/>
      <c r="G379" s="58"/>
      <c r="H379" s="3"/>
      <c r="J379" s="109" t="str">
        <f>IF(C379&lt;&gt;"",SUMIFS('Booking Management'!Y:Y,'Booking Management'!B:B,'Sales Orders'!A379),"")</f>
        <v/>
      </c>
      <c r="K379" s="45"/>
      <c r="L379" s="60"/>
      <c r="M379" s="92" t="str">
        <f t="shared" ca="1" si="24"/>
        <v/>
      </c>
      <c r="N379" s="81"/>
      <c r="O379" s="3"/>
      <c r="P379" s="58"/>
      <c r="Q379" s="92" t="str">
        <f t="shared" si="23"/>
        <v/>
      </c>
      <c r="R379" s="98">
        <f>SUMIFS('Booking Management'!J:J,'Booking Management'!B:B,'Sales Orders'!A379)</f>
        <v>0</v>
      </c>
      <c r="S379" s="99" t="str">
        <f t="shared" si="22"/>
        <v/>
      </c>
      <c r="T379" s="61"/>
      <c r="U379" s="61"/>
      <c r="V379" s="61"/>
      <c r="W379" s="58"/>
      <c r="X379" s="58"/>
      <c r="Y379" s="98" t="str">
        <f t="shared" si="25"/>
        <v/>
      </c>
    </row>
    <row r="380" spans="1:25">
      <c r="A380" s="23"/>
      <c r="B380" s="58"/>
      <c r="C380" s="58"/>
      <c r="D380" s="59"/>
      <c r="E380" s="58"/>
      <c r="F380" s="62"/>
      <c r="G380" s="58"/>
      <c r="H380" s="3"/>
      <c r="J380" s="109" t="str">
        <f>IF(C380&lt;&gt;"",SUMIFS('Booking Management'!Y:Y,'Booking Management'!B:B,'Sales Orders'!A380),"")</f>
        <v/>
      </c>
      <c r="K380" s="45"/>
      <c r="L380" s="60"/>
      <c r="M380" s="92" t="str">
        <f t="shared" ca="1" si="24"/>
        <v/>
      </c>
      <c r="N380" s="81"/>
      <c r="O380" s="3"/>
      <c r="P380" s="58"/>
      <c r="Q380" s="92" t="str">
        <f t="shared" si="23"/>
        <v/>
      </c>
      <c r="R380" s="98">
        <f>SUMIFS('Booking Management'!J:J,'Booking Management'!B:B,'Sales Orders'!A380)</f>
        <v>0</v>
      </c>
      <c r="S380" s="99" t="str">
        <f t="shared" si="22"/>
        <v/>
      </c>
      <c r="T380" s="61"/>
      <c r="U380" s="61"/>
      <c r="V380" s="61"/>
      <c r="W380" s="58"/>
      <c r="X380" s="58"/>
      <c r="Y380" s="98" t="str">
        <f t="shared" si="25"/>
        <v/>
      </c>
    </row>
    <row r="381" spans="1:25">
      <c r="A381" s="23"/>
      <c r="B381" s="58"/>
      <c r="C381" s="58"/>
      <c r="D381" s="59"/>
      <c r="E381" s="58"/>
      <c r="F381" s="62"/>
      <c r="G381" s="58"/>
      <c r="H381" s="3"/>
      <c r="J381" s="109" t="str">
        <f>IF(C381&lt;&gt;"",SUMIFS('Booking Management'!Y:Y,'Booking Management'!B:B,'Sales Orders'!A381),"")</f>
        <v/>
      </c>
      <c r="K381" s="45"/>
      <c r="L381" s="60"/>
      <c r="M381" s="92" t="str">
        <f t="shared" ca="1" si="24"/>
        <v/>
      </c>
      <c r="N381" s="81"/>
      <c r="O381" s="3"/>
      <c r="P381" s="58"/>
      <c r="Q381" s="92" t="str">
        <f t="shared" si="23"/>
        <v/>
      </c>
      <c r="R381" s="98">
        <f>SUMIFS('Booking Management'!J:J,'Booking Management'!B:B,'Sales Orders'!A381)</f>
        <v>0</v>
      </c>
      <c r="S381" s="99" t="str">
        <f t="shared" si="22"/>
        <v/>
      </c>
      <c r="T381" s="61"/>
      <c r="U381" s="61"/>
      <c r="V381" s="61"/>
      <c r="W381" s="58"/>
      <c r="X381" s="58"/>
      <c r="Y381" s="98" t="str">
        <f t="shared" si="25"/>
        <v/>
      </c>
    </row>
    <row r="382" spans="1:25">
      <c r="A382" s="23"/>
      <c r="B382" s="58"/>
      <c r="C382" s="58"/>
      <c r="D382" s="59"/>
      <c r="E382" s="58"/>
      <c r="F382" s="62"/>
      <c r="G382" s="58"/>
      <c r="H382" s="3"/>
      <c r="J382" s="109" t="str">
        <f>IF(C382&lt;&gt;"",SUMIFS('Booking Management'!Y:Y,'Booking Management'!B:B,'Sales Orders'!A382),"")</f>
        <v/>
      </c>
      <c r="K382" s="45"/>
      <c r="L382" s="60"/>
      <c r="M382" s="92" t="str">
        <f t="shared" ca="1" si="24"/>
        <v/>
      </c>
      <c r="N382" s="81"/>
      <c r="O382" s="3"/>
      <c r="P382" s="58"/>
      <c r="Q382" s="92" t="str">
        <f t="shared" si="23"/>
        <v/>
      </c>
      <c r="R382" s="98">
        <f>SUMIFS('Booking Management'!J:J,'Booking Management'!B:B,'Sales Orders'!A382)</f>
        <v>0</v>
      </c>
      <c r="S382" s="99" t="str">
        <f t="shared" si="22"/>
        <v/>
      </c>
      <c r="T382" s="61"/>
      <c r="U382" s="61"/>
      <c r="V382" s="61"/>
      <c r="W382" s="58"/>
      <c r="X382" s="58"/>
      <c r="Y382" s="98" t="str">
        <f t="shared" si="25"/>
        <v/>
      </c>
    </row>
    <row r="383" spans="1:25">
      <c r="A383" s="23"/>
      <c r="B383" s="58"/>
      <c r="C383" s="58"/>
      <c r="D383" s="59"/>
      <c r="E383" s="58"/>
      <c r="F383" s="62"/>
      <c r="G383" s="58"/>
      <c r="H383" s="3"/>
      <c r="J383" s="109" t="str">
        <f>IF(C383&lt;&gt;"",SUMIFS('Booking Management'!Y:Y,'Booking Management'!B:B,'Sales Orders'!A383),"")</f>
        <v/>
      </c>
      <c r="K383" s="45"/>
      <c r="L383" s="60"/>
      <c r="M383" s="92" t="str">
        <f t="shared" ca="1" si="24"/>
        <v/>
      </c>
      <c r="N383" s="81"/>
      <c r="O383" s="3"/>
      <c r="P383" s="58"/>
      <c r="Q383" s="92" t="str">
        <f t="shared" si="23"/>
        <v/>
      </c>
      <c r="R383" s="98">
        <f>SUMIFS('Booking Management'!J:J,'Booking Management'!B:B,'Sales Orders'!A383)</f>
        <v>0</v>
      </c>
      <c r="S383" s="99" t="str">
        <f t="shared" si="22"/>
        <v/>
      </c>
      <c r="T383" s="61"/>
      <c r="U383" s="61"/>
      <c r="V383" s="61"/>
      <c r="W383" s="58"/>
      <c r="X383" s="58"/>
      <c r="Y383" s="98" t="str">
        <f t="shared" si="25"/>
        <v/>
      </c>
    </row>
    <row r="384" spans="1:25">
      <c r="A384" s="23"/>
      <c r="B384" s="58"/>
      <c r="C384" s="58"/>
      <c r="D384" s="59"/>
      <c r="E384" s="58"/>
      <c r="F384" s="62"/>
      <c r="G384" s="58"/>
      <c r="H384" s="3"/>
      <c r="J384" s="109" t="str">
        <f>IF(C384&lt;&gt;"",SUMIFS('Booking Management'!Y:Y,'Booking Management'!B:B,'Sales Orders'!A384),"")</f>
        <v/>
      </c>
      <c r="K384" s="45"/>
      <c r="L384" s="60"/>
      <c r="M384" s="92" t="str">
        <f t="shared" ca="1" si="24"/>
        <v/>
      </c>
      <c r="N384" s="81"/>
      <c r="O384" s="3"/>
      <c r="P384" s="58"/>
      <c r="Q384" s="92" t="str">
        <f t="shared" si="23"/>
        <v/>
      </c>
      <c r="R384" s="98">
        <f>SUMIFS('Booking Management'!J:J,'Booking Management'!B:B,'Sales Orders'!A384)</f>
        <v>0</v>
      </c>
      <c r="S384" s="99" t="str">
        <f t="shared" si="22"/>
        <v/>
      </c>
      <c r="T384" s="61"/>
      <c r="U384" s="61"/>
      <c r="V384" s="61"/>
      <c r="W384" s="58"/>
      <c r="X384" s="58"/>
      <c r="Y384" s="98" t="str">
        <f t="shared" si="25"/>
        <v/>
      </c>
    </row>
    <row r="385" spans="1:25">
      <c r="A385" s="23"/>
      <c r="B385" s="58"/>
      <c r="C385" s="58"/>
      <c r="D385" s="59"/>
      <c r="E385" s="58"/>
      <c r="F385" s="62"/>
      <c r="G385" s="58"/>
      <c r="H385" s="3"/>
      <c r="J385" s="109" t="str">
        <f>IF(C385&lt;&gt;"",SUMIFS('Booking Management'!Y:Y,'Booking Management'!B:B,'Sales Orders'!A385),"")</f>
        <v/>
      </c>
      <c r="K385" s="45"/>
      <c r="L385" s="60"/>
      <c r="M385" s="92" t="str">
        <f t="shared" ca="1" si="24"/>
        <v/>
      </c>
      <c r="N385" s="81"/>
      <c r="O385" s="3"/>
      <c r="P385" s="58"/>
      <c r="Q385" s="92" t="str">
        <f t="shared" si="23"/>
        <v/>
      </c>
      <c r="R385" s="98">
        <f>SUMIFS('Booking Management'!J:J,'Booking Management'!B:B,'Sales Orders'!A385)</f>
        <v>0</v>
      </c>
      <c r="S385" s="99" t="str">
        <f t="shared" si="22"/>
        <v/>
      </c>
      <c r="T385" s="61"/>
      <c r="U385" s="61"/>
      <c r="V385" s="61"/>
      <c r="W385" s="58"/>
      <c r="X385" s="58"/>
      <c r="Y385" s="98" t="str">
        <f t="shared" si="25"/>
        <v/>
      </c>
    </row>
    <row r="386" spans="1:25">
      <c r="A386" s="23"/>
      <c r="B386" s="58"/>
      <c r="C386" s="58"/>
      <c r="D386" s="59"/>
      <c r="E386" s="58"/>
      <c r="F386" s="62"/>
      <c r="G386" s="58"/>
      <c r="H386" s="3"/>
      <c r="J386" s="109" t="str">
        <f>IF(C386&lt;&gt;"",SUMIFS('Booking Management'!Y:Y,'Booking Management'!B:B,'Sales Orders'!A386),"")</f>
        <v/>
      </c>
      <c r="K386" s="45"/>
      <c r="L386" s="60"/>
      <c r="M386" s="92" t="str">
        <f t="shared" ca="1" si="24"/>
        <v/>
      </c>
      <c r="N386" s="81"/>
      <c r="O386" s="3"/>
      <c r="P386" s="58"/>
      <c r="Q386" s="92" t="str">
        <f t="shared" si="23"/>
        <v/>
      </c>
      <c r="R386" s="98">
        <f>SUMIFS('Booking Management'!J:J,'Booking Management'!B:B,'Sales Orders'!A386)</f>
        <v>0</v>
      </c>
      <c r="S386" s="99" t="str">
        <f t="shared" si="22"/>
        <v/>
      </c>
      <c r="T386" s="61"/>
      <c r="U386" s="61"/>
      <c r="V386" s="61"/>
      <c r="W386" s="58"/>
      <c r="X386" s="58"/>
      <c r="Y386" s="98" t="str">
        <f t="shared" si="25"/>
        <v/>
      </c>
    </row>
    <row r="387" spans="1:25">
      <c r="A387" s="23"/>
      <c r="B387" s="58"/>
      <c r="C387" s="58"/>
      <c r="D387" s="59"/>
      <c r="E387" s="58"/>
      <c r="F387" s="70"/>
      <c r="G387" s="58"/>
      <c r="H387" s="3"/>
      <c r="J387" s="109" t="str">
        <f>IF(C387&lt;&gt;"",SUMIFS('Booking Management'!Y:Y,'Booking Management'!B:B,'Sales Orders'!A387),"")</f>
        <v/>
      </c>
      <c r="K387" s="45"/>
      <c r="L387" s="60"/>
      <c r="M387" s="92" t="str">
        <f t="shared" ca="1" si="24"/>
        <v/>
      </c>
      <c r="N387" s="81"/>
      <c r="O387" s="3"/>
      <c r="P387" s="58"/>
      <c r="Q387" s="92" t="str">
        <f t="shared" si="23"/>
        <v/>
      </c>
      <c r="R387" s="98">
        <f>SUMIFS('Booking Management'!J:J,'Booking Management'!B:B,'Sales Orders'!A387)</f>
        <v>0</v>
      </c>
      <c r="S387" s="99" t="str">
        <f t="shared" si="22"/>
        <v/>
      </c>
      <c r="T387" s="61"/>
      <c r="U387" s="61"/>
      <c r="V387" s="61"/>
      <c r="W387" s="58"/>
      <c r="X387" s="58"/>
      <c r="Y387" s="98" t="str">
        <f t="shared" si="25"/>
        <v/>
      </c>
    </row>
    <row r="388" spans="1:25">
      <c r="A388" s="23"/>
      <c r="B388" s="58"/>
      <c r="C388" s="58"/>
      <c r="D388" s="59"/>
      <c r="E388" s="58"/>
      <c r="F388" s="62"/>
      <c r="G388" s="58"/>
      <c r="H388" s="3"/>
      <c r="J388" s="109" t="str">
        <f>IF(C388&lt;&gt;"",SUMIFS('Booking Management'!Y:Y,'Booking Management'!B:B,'Sales Orders'!A388),"")</f>
        <v/>
      </c>
      <c r="K388" s="45"/>
      <c r="L388" s="60"/>
      <c r="M388" s="92" t="str">
        <f t="shared" ca="1" si="24"/>
        <v/>
      </c>
      <c r="N388" s="81"/>
      <c r="O388" s="3"/>
      <c r="P388" s="58"/>
      <c r="Q388" s="92" t="str">
        <f t="shared" si="23"/>
        <v/>
      </c>
      <c r="R388" s="98">
        <f>SUMIFS('Booking Management'!J:J,'Booking Management'!B:B,'Sales Orders'!A388)</f>
        <v>0</v>
      </c>
      <c r="S388" s="99" t="str">
        <f t="shared" ref="S388:S451" si="26">IF(R388&gt;0,(R388/D388)*N388,"")</f>
        <v/>
      </c>
      <c r="T388" s="61"/>
      <c r="U388" s="61"/>
      <c r="V388" s="61"/>
      <c r="W388" s="58"/>
      <c r="X388" s="58"/>
      <c r="Y388" s="98" t="str">
        <f t="shared" si="25"/>
        <v/>
      </c>
    </row>
    <row r="389" spans="1:25">
      <c r="A389" s="23"/>
      <c r="B389" s="58"/>
      <c r="C389" s="58"/>
      <c r="D389" s="59"/>
      <c r="E389" s="58"/>
      <c r="F389" s="62"/>
      <c r="G389" s="58"/>
      <c r="H389" s="3"/>
      <c r="J389" s="109" t="str">
        <f>IF(C389&lt;&gt;"",SUMIFS('Booking Management'!Y:Y,'Booking Management'!B:B,'Sales Orders'!A389),"")</f>
        <v/>
      </c>
      <c r="K389" s="45"/>
      <c r="L389" s="60"/>
      <c r="M389" s="92" t="str">
        <f t="shared" ca="1" si="24"/>
        <v/>
      </c>
      <c r="N389" s="81"/>
      <c r="O389" s="3"/>
      <c r="P389" s="58"/>
      <c r="Q389" s="92" t="str">
        <f t="shared" si="23"/>
        <v/>
      </c>
      <c r="R389" s="98">
        <f>SUMIFS('Booking Management'!J:J,'Booking Management'!B:B,'Sales Orders'!A389)</f>
        <v>0</v>
      </c>
      <c r="S389" s="99" t="str">
        <f t="shared" si="26"/>
        <v/>
      </c>
      <c r="T389" s="61"/>
      <c r="U389" s="61"/>
      <c r="V389" s="61"/>
      <c r="W389" s="58"/>
      <c r="X389" s="58"/>
      <c r="Y389" s="98" t="str">
        <f t="shared" si="25"/>
        <v/>
      </c>
    </row>
    <row r="390" spans="1:25">
      <c r="A390" s="23"/>
      <c r="B390" s="58"/>
      <c r="C390" s="58"/>
      <c r="D390" s="59"/>
      <c r="E390" s="58"/>
      <c r="F390" s="62"/>
      <c r="G390" s="58"/>
      <c r="H390" s="3"/>
      <c r="J390" s="109" t="str">
        <f>IF(C390&lt;&gt;"",SUMIFS('Booking Management'!Y:Y,'Booking Management'!B:B,'Sales Orders'!A390),"")</f>
        <v/>
      </c>
      <c r="K390" s="45"/>
      <c r="L390" s="60"/>
      <c r="M390" s="92" t="str">
        <f t="shared" ca="1" si="24"/>
        <v/>
      </c>
      <c r="N390" s="81"/>
      <c r="O390" s="3"/>
      <c r="P390" s="58"/>
      <c r="Q390" s="92" t="str">
        <f t="shared" ref="Q390:Q453" si="27">IF(C390&lt;&gt;"",IF(OR(K390="",P390=""),"alert",""),"")</f>
        <v/>
      </c>
      <c r="R390" s="98">
        <f>SUMIFS('Booking Management'!J:J,'Booking Management'!B:B,'Sales Orders'!A390)</f>
        <v>0</v>
      </c>
      <c r="S390" s="99" t="str">
        <f t="shared" si="26"/>
        <v/>
      </c>
      <c r="T390" s="61"/>
      <c r="U390" s="61"/>
      <c r="V390" s="61"/>
      <c r="W390" s="58"/>
      <c r="X390" s="58"/>
      <c r="Y390" s="98" t="str">
        <f t="shared" si="25"/>
        <v/>
      </c>
    </row>
    <row r="391" spans="1:25">
      <c r="A391" s="23"/>
      <c r="B391" s="58"/>
      <c r="C391" s="58"/>
      <c r="D391" s="59"/>
      <c r="E391" s="58"/>
      <c r="F391" s="62"/>
      <c r="G391" s="58"/>
      <c r="H391" s="3"/>
      <c r="J391" s="109" t="str">
        <f>IF(C391&lt;&gt;"",SUMIFS('Booking Management'!Y:Y,'Booking Management'!B:B,'Sales Orders'!A391),"")</f>
        <v/>
      </c>
      <c r="K391" s="45"/>
      <c r="L391" s="60"/>
      <c r="M391" s="92" t="str">
        <f t="shared" ref="M391:M454" ca="1" si="28">IFERROR(IF(K391&lt;&gt;"",IF(AND(_xlfn.NUMBERVALUE(J391)/_xlfn.NUMBERVALUE(D391) &lt;1,K391-TODAY()&lt;2,L391&lt;&gt;"yes"),"alert",""),""),"")</f>
        <v/>
      </c>
      <c r="N391" s="81"/>
      <c r="O391" s="3"/>
      <c r="P391" s="58"/>
      <c r="Q391" s="92" t="str">
        <f t="shared" si="27"/>
        <v/>
      </c>
      <c r="R391" s="98">
        <f>SUMIFS('Booking Management'!J:J,'Booking Management'!B:B,'Sales Orders'!A391)</f>
        <v>0</v>
      </c>
      <c r="S391" s="99" t="str">
        <f t="shared" si="26"/>
        <v/>
      </c>
      <c r="T391" s="61"/>
      <c r="U391" s="61"/>
      <c r="V391" s="61"/>
      <c r="W391" s="58"/>
      <c r="X391" s="58"/>
      <c r="Y391" s="98" t="str">
        <f t="shared" si="25"/>
        <v/>
      </c>
    </row>
    <row r="392" spans="1:25">
      <c r="A392" s="23"/>
      <c r="B392" s="58"/>
      <c r="C392" s="58"/>
      <c r="D392" s="59"/>
      <c r="E392" s="58"/>
      <c r="F392" s="62"/>
      <c r="G392" s="58"/>
      <c r="H392" s="3"/>
      <c r="J392" s="109" t="str">
        <f>IF(C392&lt;&gt;"",SUMIFS('Booking Management'!Y:Y,'Booking Management'!B:B,'Sales Orders'!A392),"")</f>
        <v/>
      </c>
      <c r="K392" s="45"/>
      <c r="L392" s="60"/>
      <c r="M392" s="92" t="str">
        <f t="shared" ca="1" si="28"/>
        <v/>
      </c>
      <c r="N392" s="81"/>
      <c r="O392" s="3"/>
      <c r="P392" s="58"/>
      <c r="Q392" s="92" t="str">
        <f t="shared" si="27"/>
        <v/>
      </c>
      <c r="R392" s="98">
        <f>SUMIFS('Booking Management'!J:J,'Booking Management'!B:B,'Sales Orders'!A392)</f>
        <v>0</v>
      </c>
      <c r="S392" s="99" t="str">
        <f t="shared" si="26"/>
        <v/>
      </c>
      <c r="T392" s="61"/>
      <c r="U392" s="61"/>
      <c r="V392" s="61"/>
      <c r="W392" s="58"/>
      <c r="X392" s="58"/>
      <c r="Y392" s="98" t="str">
        <f t="shared" si="25"/>
        <v/>
      </c>
    </row>
    <row r="393" spans="1:25">
      <c r="A393" s="23"/>
      <c r="B393" s="58"/>
      <c r="C393" s="58"/>
      <c r="D393" s="59"/>
      <c r="E393" s="58"/>
      <c r="F393" s="62"/>
      <c r="G393" s="58"/>
      <c r="H393" s="3"/>
      <c r="J393" s="109" t="str">
        <f>IF(C393&lt;&gt;"",SUMIFS('Booking Management'!Y:Y,'Booking Management'!B:B,'Sales Orders'!A393),"")</f>
        <v/>
      </c>
      <c r="K393" s="45"/>
      <c r="L393" s="60"/>
      <c r="M393" s="92" t="str">
        <f t="shared" ca="1" si="28"/>
        <v/>
      </c>
      <c r="N393" s="81"/>
      <c r="O393" s="3"/>
      <c r="P393" s="58"/>
      <c r="Q393" s="92" t="str">
        <f t="shared" si="27"/>
        <v/>
      </c>
      <c r="R393" s="98">
        <f>SUMIFS('Booking Management'!J:J,'Booking Management'!B:B,'Sales Orders'!A393)</f>
        <v>0</v>
      </c>
      <c r="S393" s="99" t="str">
        <f t="shared" si="26"/>
        <v/>
      </c>
      <c r="T393" s="61"/>
      <c r="U393" s="61"/>
      <c r="V393" s="61"/>
      <c r="W393" s="58"/>
      <c r="X393" s="58"/>
      <c r="Y393" s="98" t="str">
        <f t="shared" si="25"/>
        <v/>
      </c>
    </row>
    <row r="394" spans="1:25">
      <c r="A394" s="23"/>
      <c r="B394" s="58"/>
      <c r="C394" s="58"/>
      <c r="D394" s="59"/>
      <c r="E394" s="58"/>
      <c r="F394" s="62"/>
      <c r="G394" s="58"/>
      <c r="H394" s="3"/>
      <c r="J394" s="109" t="str">
        <f>IF(C394&lt;&gt;"",SUMIFS('Booking Management'!Y:Y,'Booking Management'!B:B,'Sales Orders'!A394),"")</f>
        <v/>
      </c>
      <c r="K394" s="45"/>
      <c r="L394" s="60"/>
      <c r="M394" s="92" t="str">
        <f t="shared" ca="1" si="28"/>
        <v/>
      </c>
      <c r="N394" s="81"/>
      <c r="O394" s="3"/>
      <c r="P394" s="58"/>
      <c r="Q394" s="92" t="str">
        <f t="shared" si="27"/>
        <v/>
      </c>
      <c r="R394" s="98">
        <f>SUMIFS('Booking Management'!J:J,'Booking Management'!B:B,'Sales Orders'!A394)</f>
        <v>0</v>
      </c>
      <c r="S394" s="99" t="str">
        <f t="shared" si="26"/>
        <v/>
      </c>
      <c r="T394" s="61"/>
      <c r="U394" s="61"/>
      <c r="V394" s="61"/>
      <c r="W394" s="58"/>
      <c r="X394" s="58"/>
      <c r="Y394" s="98" t="str">
        <f t="shared" si="25"/>
        <v/>
      </c>
    </row>
    <row r="395" spans="1:25">
      <c r="A395" s="23"/>
      <c r="B395" s="58"/>
      <c r="C395" s="58"/>
      <c r="D395" s="59"/>
      <c r="E395" s="58"/>
      <c r="F395" s="62"/>
      <c r="G395" s="58"/>
      <c r="H395" s="3"/>
      <c r="J395" s="109" t="str">
        <f>IF(C395&lt;&gt;"",SUMIFS('Booking Management'!Y:Y,'Booking Management'!B:B,'Sales Orders'!A395),"")</f>
        <v/>
      </c>
      <c r="K395" s="45"/>
      <c r="L395" s="60"/>
      <c r="M395" s="92" t="str">
        <f t="shared" ca="1" si="28"/>
        <v/>
      </c>
      <c r="N395" s="81"/>
      <c r="O395" s="3"/>
      <c r="P395" s="58"/>
      <c r="Q395" s="92" t="str">
        <f t="shared" si="27"/>
        <v/>
      </c>
      <c r="R395" s="98">
        <f>SUMIFS('Booking Management'!J:J,'Booking Management'!B:B,'Sales Orders'!A395)</f>
        <v>0</v>
      </c>
      <c r="S395" s="99" t="str">
        <f t="shared" si="26"/>
        <v/>
      </c>
      <c r="T395" s="61"/>
      <c r="U395" s="61"/>
      <c r="V395" s="61"/>
      <c r="W395" s="58"/>
      <c r="X395" s="58"/>
      <c r="Y395" s="98" t="str">
        <f t="shared" si="25"/>
        <v/>
      </c>
    </row>
    <row r="396" spans="1:25">
      <c r="A396" s="23"/>
      <c r="B396" s="58"/>
      <c r="C396" s="58"/>
      <c r="D396" s="59"/>
      <c r="E396" s="58"/>
      <c r="F396" s="62"/>
      <c r="G396" s="58"/>
      <c r="H396" s="3"/>
      <c r="J396" s="109" t="str">
        <f>IF(C396&lt;&gt;"",SUMIFS('Booking Management'!Y:Y,'Booking Management'!B:B,'Sales Orders'!A396),"")</f>
        <v/>
      </c>
      <c r="K396" s="45"/>
      <c r="L396" s="60"/>
      <c r="M396" s="92" t="str">
        <f t="shared" ca="1" si="28"/>
        <v/>
      </c>
      <c r="N396" s="81"/>
      <c r="O396" s="3"/>
      <c r="P396" s="58"/>
      <c r="Q396" s="92" t="str">
        <f t="shared" si="27"/>
        <v/>
      </c>
      <c r="R396" s="98">
        <f>SUMIFS('Booking Management'!J:J,'Booking Management'!B:B,'Sales Orders'!A396)</f>
        <v>0</v>
      </c>
      <c r="S396" s="99" t="str">
        <f t="shared" si="26"/>
        <v/>
      </c>
      <c r="T396" s="61"/>
      <c r="U396" s="61"/>
      <c r="V396" s="61"/>
      <c r="W396" s="58"/>
      <c r="X396" s="58"/>
      <c r="Y396" s="98" t="str">
        <f t="shared" si="25"/>
        <v/>
      </c>
    </row>
    <row r="397" spans="1:25">
      <c r="A397" s="23"/>
      <c r="B397" s="58"/>
      <c r="C397" s="58"/>
      <c r="D397" s="59"/>
      <c r="E397" s="58"/>
      <c r="F397" s="62"/>
      <c r="G397" s="58"/>
      <c r="H397" s="3"/>
      <c r="J397" s="109" t="str">
        <f>IF(C397&lt;&gt;"",SUMIFS('Booking Management'!Y:Y,'Booking Management'!B:B,'Sales Orders'!A397),"")</f>
        <v/>
      </c>
      <c r="K397" s="45"/>
      <c r="L397" s="60"/>
      <c r="M397" s="92" t="str">
        <f t="shared" ca="1" si="28"/>
        <v/>
      </c>
      <c r="N397" s="81"/>
      <c r="O397" s="3"/>
      <c r="P397" s="58"/>
      <c r="Q397" s="92" t="str">
        <f t="shared" si="27"/>
        <v/>
      </c>
      <c r="R397" s="98">
        <f>SUMIFS('Booking Management'!J:J,'Booking Management'!B:B,'Sales Orders'!A397)</f>
        <v>0</v>
      </c>
      <c r="S397" s="99" t="str">
        <f t="shared" si="26"/>
        <v/>
      </c>
      <c r="T397" s="61"/>
      <c r="U397" s="61"/>
      <c r="V397" s="61"/>
      <c r="W397" s="58"/>
      <c r="X397" s="58"/>
      <c r="Y397" s="98" t="str">
        <f t="shared" si="25"/>
        <v/>
      </c>
    </row>
    <row r="398" spans="1:25">
      <c r="A398" s="23"/>
      <c r="B398" s="58"/>
      <c r="C398" s="58"/>
      <c r="D398" s="59"/>
      <c r="E398" s="58"/>
      <c r="F398" s="62"/>
      <c r="G398" s="58"/>
      <c r="H398" s="3"/>
      <c r="J398" s="109" t="str">
        <f>IF(C398&lt;&gt;"",SUMIFS('Booking Management'!Y:Y,'Booking Management'!B:B,'Sales Orders'!A398),"")</f>
        <v/>
      </c>
      <c r="K398" s="45"/>
      <c r="L398" s="60"/>
      <c r="M398" s="92" t="str">
        <f t="shared" ca="1" si="28"/>
        <v/>
      </c>
      <c r="N398" s="81"/>
      <c r="O398" s="3"/>
      <c r="P398" s="58"/>
      <c r="Q398" s="92" t="str">
        <f t="shared" si="27"/>
        <v/>
      </c>
      <c r="R398" s="98">
        <f>SUMIFS('Booking Management'!J:J,'Booking Management'!B:B,'Sales Orders'!A398)</f>
        <v>0</v>
      </c>
      <c r="S398" s="99" t="str">
        <f t="shared" si="26"/>
        <v/>
      </c>
      <c r="T398" s="61"/>
      <c r="U398" s="61"/>
      <c r="V398" s="61"/>
      <c r="W398" s="58"/>
      <c r="X398" s="58"/>
      <c r="Y398" s="98" t="str">
        <f t="shared" si="25"/>
        <v/>
      </c>
    </row>
    <row r="399" spans="1:25">
      <c r="A399" s="23"/>
      <c r="B399" s="58"/>
      <c r="C399" s="58"/>
      <c r="D399" s="59"/>
      <c r="E399" s="58"/>
      <c r="F399" s="62"/>
      <c r="G399" s="58"/>
      <c r="H399" s="3"/>
      <c r="J399" s="109" t="str">
        <f>IF(C399&lt;&gt;"",SUMIFS('Booking Management'!Y:Y,'Booking Management'!B:B,'Sales Orders'!A399),"")</f>
        <v/>
      </c>
      <c r="K399" s="45"/>
      <c r="L399" s="60"/>
      <c r="M399" s="92" t="str">
        <f t="shared" ca="1" si="28"/>
        <v/>
      </c>
      <c r="N399" s="81"/>
      <c r="O399" s="3"/>
      <c r="P399" s="58"/>
      <c r="Q399" s="92" t="str">
        <f t="shared" si="27"/>
        <v/>
      </c>
      <c r="R399" s="98">
        <f>SUMIFS('Booking Management'!J:J,'Booking Management'!B:B,'Sales Orders'!A399)</f>
        <v>0</v>
      </c>
      <c r="S399" s="99" t="str">
        <f t="shared" si="26"/>
        <v/>
      </c>
      <c r="T399" s="61"/>
      <c r="U399" s="61"/>
      <c r="V399" s="61"/>
      <c r="W399" s="58"/>
      <c r="X399" s="58"/>
      <c r="Y399" s="98" t="str">
        <f t="shared" si="25"/>
        <v/>
      </c>
    </row>
    <row r="400" spans="1:25">
      <c r="A400" s="23"/>
      <c r="B400" s="58"/>
      <c r="C400" s="58"/>
      <c r="D400" s="59"/>
      <c r="E400" s="58"/>
      <c r="F400" s="62"/>
      <c r="G400" s="58"/>
      <c r="H400" s="3"/>
      <c r="J400" s="109" t="str">
        <f>IF(C400&lt;&gt;"",SUMIFS('Booking Management'!Y:Y,'Booking Management'!B:B,'Sales Orders'!A400),"")</f>
        <v/>
      </c>
      <c r="K400" s="45"/>
      <c r="L400" s="60"/>
      <c r="M400" s="92" t="str">
        <f t="shared" ca="1" si="28"/>
        <v/>
      </c>
      <c r="N400" s="81"/>
      <c r="O400" s="3"/>
      <c r="P400" s="58"/>
      <c r="Q400" s="92" t="str">
        <f t="shared" si="27"/>
        <v/>
      </c>
      <c r="R400" s="98">
        <f>SUMIFS('Booking Management'!J:J,'Booking Management'!B:B,'Sales Orders'!A400)</f>
        <v>0</v>
      </c>
      <c r="S400" s="99" t="str">
        <f t="shared" si="26"/>
        <v/>
      </c>
      <c r="T400" s="61"/>
      <c r="U400" s="61"/>
      <c r="V400" s="61"/>
      <c r="W400" s="58"/>
      <c r="X400" s="58"/>
      <c r="Y400" s="98" t="str">
        <f t="shared" si="25"/>
        <v/>
      </c>
    </row>
    <row r="401" spans="1:25">
      <c r="A401" s="23"/>
      <c r="B401" s="58"/>
      <c r="C401" s="58"/>
      <c r="D401" s="59"/>
      <c r="E401" s="58"/>
      <c r="F401" s="62"/>
      <c r="G401" s="58"/>
      <c r="H401" s="3"/>
      <c r="J401" s="109" t="str">
        <f>IF(C401&lt;&gt;"",SUMIFS('Booking Management'!Y:Y,'Booking Management'!B:B,'Sales Orders'!A401),"")</f>
        <v/>
      </c>
      <c r="K401" s="45"/>
      <c r="L401" s="60"/>
      <c r="M401" s="92" t="str">
        <f t="shared" ca="1" si="28"/>
        <v/>
      </c>
      <c r="N401" s="81"/>
      <c r="O401" s="3"/>
      <c r="P401" s="58"/>
      <c r="Q401" s="92" t="str">
        <f t="shared" si="27"/>
        <v/>
      </c>
      <c r="R401" s="98">
        <f>SUMIFS('Booking Management'!J:J,'Booking Management'!B:B,'Sales Orders'!A401)</f>
        <v>0</v>
      </c>
      <c r="S401" s="99" t="str">
        <f t="shared" si="26"/>
        <v/>
      </c>
      <c r="T401" s="61"/>
      <c r="U401" s="61"/>
      <c r="V401" s="61"/>
      <c r="W401" s="58"/>
      <c r="X401" s="58"/>
      <c r="Y401" s="98" t="str">
        <f t="shared" si="25"/>
        <v/>
      </c>
    </row>
    <row r="402" spans="1:25">
      <c r="A402" s="23"/>
      <c r="B402" s="58"/>
      <c r="C402" s="58"/>
      <c r="D402" s="59"/>
      <c r="E402" s="58"/>
      <c r="F402" s="62"/>
      <c r="G402" s="58"/>
      <c r="H402" s="3"/>
      <c r="J402" s="109" t="str">
        <f>IF(C402&lt;&gt;"",SUMIFS('Booking Management'!Y:Y,'Booking Management'!B:B,'Sales Orders'!A402),"")</f>
        <v/>
      </c>
      <c r="K402" s="45"/>
      <c r="L402" s="60"/>
      <c r="M402" s="92" t="str">
        <f t="shared" ca="1" si="28"/>
        <v/>
      </c>
      <c r="N402" s="81"/>
      <c r="O402" s="3"/>
      <c r="P402" s="58"/>
      <c r="Q402" s="92" t="str">
        <f t="shared" si="27"/>
        <v/>
      </c>
      <c r="R402" s="98">
        <f>SUMIFS('Booking Management'!J:J,'Booking Management'!B:B,'Sales Orders'!A402)</f>
        <v>0</v>
      </c>
      <c r="S402" s="99" t="str">
        <f t="shared" si="26"/>
        <v/>
      </c>
      <c r="T402" s="61"/>
      <c r="U402" s="61"/>
      <c r="V402" s="61"/>
      <c r="W402" s="58"/>
      <c r="X402" s="58"/>
      <c r="Y402" s="98" t="str">
        <f t="shared" si="25"/>
        <v/>
      </c>
    </row>
    <row r="403" spans="1:25">
      <c r="A403" s="23"/>
      <c r="B403" s="58"/>
      <c r="C403" s="58"/>
      <c r="D403" s="59"/>
      <c r="E403" s="58"/>
      <c r="F403" s="62"/>
      <c r="G403" s="58"/>
      <c r="H403" s="3"/>
      <c r="J403" s="109" t="str">
        <f>IF(C403&lt;&gt;"",SUMIFS('Booking Management'!Y:Y,'Booking Management'!B:B,'Sales Orders'!A403),"")</f>
        <v/>
      </c>
      <c r="K403" s="45"/>
      <c r="L403" s="60"/>
      <c r="M403" s="92" t="str">
        <f t="shared" ca="1" si="28"/>
        <v/>
      </c>
      <c r="N403" s="81"/>
      <c r="O403" s="3"/>
      <c r="P403" s="58"/>
      <c r="Q403" s="92" t="str">
        <f t="shared" si="27"/>
        <v/>
      </c>
      <c r="R403" s="98">
        <f>SUMIFS('Booking Management'!J:J,'Booking Management'!B:B,'Sales Orders'!A403)</f>
        <v>0</v>
      </c>
      <c r="S403" s="99" t="str">
        <f t="shared" si="26"/>
        <v/>
      </c>
      <c r="T403" s="61"/>
      <c r="U403" s="61"/>
      <c r="V403" s="61"/>
      <c r="W403" s="58"/>
      <c r="X403" s="58"/>
      <c r="Y403" s="98" t="str">
        <f t="shared" si="25"/>
        <v/>
      </c>
    </row>
    <row r="404" spans="1:25">
      <c r="A404" s="23"/>
      <c r="B404" s="58"/>
      <c r="C404" s="58"/>
      <c r="D404" s="59"/>
      <c r="E404" s="58"/>
      <c r="F404" s="62"/>
      <c r="G404" s="58"/>
      <c r="H404" s="3"/>
      <c r="J404" s="109" t="str">
        <f>IF(C404&lt;&gt;"",SUMIFS('Booking Management'!Y:Y,'Booking Management'!B:B,'Sales Orders'!A404),"")</f>
        <v/>
      </c>
      <c r="K404" s="45"/>
      <c r="L404" s="60"/>
      <c r="M404" s="92" t="str">
        <f t="shared" ca="1" si="28"/>
        <v/>
      </c>
      <c r="N404" s="81"/>
      <c r="O404" s="3"/>
      <c r="P404" s="58"/>
      <c r="Q404" s="92" t="str">
        <f t="shared" si="27"/>
        <v/>
      </c>
      <c r="R404" s="98">
        <f>SUMIFS('Booking Management'!J:J,'Booking Management'!B:B,'Sales Orders'!A404)</f>
        <v>0</v>
      </c>
      <c r="S404" s="99" t="str">
        <f t="shared" si="26"/>
        <v/>
      </c>
      <c r="T404" s="61"/>
      <c r="U404" s="61"/>
      <c r="V404" s="61"/>
      <c r="W404" s="58"/>
      <c r="X404" s="58"/>
      <c r="Y404" s="98" t="str">
        <f t="shared" si="25"/>
        <v/>
      </c>
    </row>
    <row r="405" spans="1:25">
      <c r="A405" s="23"/>
      <c r="B405" s="58"/>
      <c r="C405" s="58"/>
      <c r="D405" s="59"/>
      <c r="E405" s="58"/>
      <c r="F405" s="62"/>
      <c r="G405" s="58"/>
      <c r="H405" s="3"/>
      <c r="J405" s="109" t="str">
        <f>IF(C405&lt;&gt;"",SUMIFS('Booking Management'!Y:Y,'Booking Management'!B:B,'Sales Orders'!A405),"")</f>
        <v/>
      </c>
      <c r="K405" s="45"/>
      <c r="L405" s="60"/>
      <c r="M405" s="92" t="str">
        <f t="shared" ca="1" si="28"/>
        <v/>
      </c>
      <c r="N405" s="81"/>
      <c r="O405" s="3"/>
      <c r="P405" s="58"/>
      <c r="Q405" s="92" t="str">
        <f t="shared" si="27"/>
        <v/>
      </c>
      <c r="R405" s="98">
        <f>SUMIFS('Booking Management'!J:J,'Booking Management'!B:B,'Sales Orders'!A405)</f>
        <v>0</v>
      </c>
      <c r="S405" s="99" t="str">
        <f t="shared" si="26"/>
        <v/>
      </c>
      <c r="T405" s="61"/>
      <c r="U405" s="61"/>
      <c r="V405" s="61"/>
      <c r="W405" s="58"/>
      <c r="X405" s="58"/>
      <c r="Y405" s="98" t="str">
        <f t="shared" si="25"/>
        <v/>
      </c>
    </row>
    <row r="406" spans="1:25">
      <c r="A406" s="23"/>
      <c r="B406" s="58"/>
      <c r="C406" s="58"/>
      <c r="D406" s="59"/>
      <c r="E406" s="58"/>
      <c r="F406" s="62"/>
      <c r="G406" s="58"/>
      <c r="H406" s="3"/>
      <c r="J406" s="109" t="str">
        <f>IF(C406&lt;&gt;"",SUMIFS('Booking Management'!Y:Y,'Booking Management'!B:B,'Sales Orders'!A406),"")</f>
        <v/>
      </c>
      <c r="K406" s="45"/>
      <c r="L406" s="60"/>
      <c r="M406" s="92" t="str">
        <f t="shared" ca="1" si="28"/>
        <v/>
      </c>
      <c r="N406" s="81"/>
      <c r="O406" s="3"/>
      <c r="P406" s="58"/>
      <c r="Q406" s="92" t="str">
        <f t="shared" si="27"/>
        <v/>
      </c>
      <c r="R406" s="98">
        <f>SUMIFS('Booking Management'!J:J,'Booking Management'!B:B,'Sales Orders'!A406)</f>
        <v>0</v>
      </c>
      <c r="S406" s="99" t="str">
        <f t="shared" si="26"/>
        <v/>
      </c>
      <c r="T406" s="61"/>
      <c r="U406" s="61"/>
      <c r="V406" s="61"/>
      <c r="W406" s="58"/>
      <c r="X406" s="58"/>
      <c r="Y406" s="98" t="str">
        <f t="shared" si="25"/>
        <v/>
      </c>
    </row>
    <row r="407" spans="1:25">
      <c r="A407" s="23"/>
      <c r="B407" s="58"/>
      <c r="C407" s="58"/>
      <c r="D407" s="59"/>
      <c r="E407" s="58"/>
      <c r="F407" s="62"/>
      <c r="G407" s="58"/>
      <c r="H407" s="3"/>
      <c r="J407" s="109" t="str">
        <f>IF(C407&lt;&gt;"",SUMIFS('Booking Management'!Y:Y,'Booking Management'!B:B,'Sales Orders'!A407),"")</f>
        <v/>
      </c>
      <c r="K407" s="45"/>
      <c r="L407" s="60"/>
      <c r="M407" s="92" t="str">
        <f t="shared" ca="1" si="28"/>
        <v/>
      </c>
      <c r="N407" s="81"/>
      <c r="O407" s="3"/>
      <c r="P407" s="58"/>
      <c r="Q407" s="92" t="str">
        <f t="shared" si="27"/>
        <v/>
      </c>
      <c r="R407" s="98">
        <f>SUMIFS('Booking Management'!J:J,'Booking Management'!B:B,'Sales Orders'!A407)</f>
        <v>0</v>
      </c>
      <c r="S407" s="99" t="str">
        <f t="shared" si="26"/>
        <v/>
      </c>
      <c r="T407" s="61"/>
      <c r="U407" s="61"/>
      <c r="V407" s="61"/>
      <c r="W407" s="58"/>
      <c r="X407" s="58"/>
      <c r="Y407" s="98" t="str">
        <f t="shared" si="25"/>
        <v/>
      </c>
    </row>
    <row r="408" spans="1:25">
      <c r="A408" s="23"/>
      <c r="B408" s="58"/>
      <c r="C408" s="58"/>
      <c r="D408" s="59"/>
      <c r="E408" s="58"/>
      <c r="F408" s="62"/>
      <c r="G408" s="58"/>
      <c r="H408" s="3"/>
      <c r="J408" s="109" t="str">
        <f>IF(C408&lt;&gt;"",SUMIFS('Booking Management'!Y:Y,'Booking Management'!B:B,'Sales Orders'!A408),"")</f>
        <v/>
      </c>
      <c r="K408" s="45"/>
      <c r="L408" s="60"/>
      <c r="M408" s="92" t="str">
        <f t="shared" ca="1" si="28"/>
        <v/>
      </c>
      <c r="N408" s="81"/>
      <c r="O408" s="3"/>
      <c r="P408" s="58"/>
      <c r="Q408" s="92" t="str">
        <f t="shared" si="27"/>
        <v/>
      </c>
      <c r="R408" s="98">
        <f>SUMIFS('Booking Management'!J:J,'Booking Management'!B:B,'Sales Orders'!A408)</f>
        <v>0</v>
      </c>
      <c r="S408" s="99" t="str">
        <f t="shared" si="26"/>
        <v/>
      </c>
      <c r="T408" s="61"/>
      <c r="U408" s="61"/>
      <c r="V408" s="61"/>
      <c r="W408" s="58"/>
      <c r="X408" s="58"/>
      <c r="Y408" s="98" t="str">
        <f t="shared" si="25"/>
        <v/>
      </c>
    </row>
    <row r="409" spans="1:25">
      <c r="A409" s="23"/>
      <c r="B409" s="58"/>
      <c r="C409" s="58"/>
      <c r="D409" s="59"/>
      <c r="E409" s="58"/>
      <c r="F409" s="62"/>
      <c r="G409" s="58"/>
      <c r="H409" s="3"/>
      <c r="J409" s="109" t="str">
        <f>IF(C409&lt;&gt;"",SUMIFS('Booking Management'!Y:Y,'Booking Management'!B:B,'Sales Orders'!A409),"")</f>
        <v/>
      </c>
      <c r="K409" s="45"/>
      <c r="L409" s="60"/>
      <c r="M409" s="92" t="str">
        <f t="shared" ca="1" si="28"/>
        <v/>
      </c>
      <c r="N409" s="81"/>
      <c r="O409" s="3"/>
      <c r="P409" s="58"/>
      <c r="Q409" s="92" t="str">
        <f t="shared" si="27"/>
        <v/>
      </c>
      <c r="R409" s="98">
        <f>SUMIFS('Booking Management'!J:J,'Booking Management'!B:B,'Sales Orders'!A409)</f>
        <v>0</v>
      </c>
      <c r="S409" s="99" t="str">
        <f t="shared" si="26"/>
        <v/>
      </c>
      <c r="T409" s="61"/>
      <c r="U409" s="61"/>
      <c r="V409" s="61"/>
      <c r="W409" s="58"/>
      <c r="X409" s="58"/>
      <c r="Y409" s="98" t="str">
        <f t="shared" si="25"/>
        <v/>
      </c>
    </row>
    <row r="410" spans="1:25">
      <c r="A410" s="23"/>
      <c r="B410" s="58"/>
      <c r="C410" s="58"/>
      <c r="D410" s="59"/>
      <c r="E410" s="58"/>
      <c r="F410" s="62"/>
      <c r="G410" s="58"/>
      <c r="H410" s="3"/>
      <c r="J410" s="109" t="str">
        <f>IF(C410&lt;&gt;"",SUMIFS('Booking Management'!Y:Y,'Booking Management'!B:B,'Sales Orders'!A410),"")</f>
        <v/>
      </c>
      <c r="K410" s="45"/>
      <c r="L410" s="60"/>
      <c r="M410" s="92" t="str">
        <f t="shared" ca="1" si="28"/>
        <v/>
      </c>
      <c r="N410" s="81"/>
      <c r="O410" s="3"/>
      <c r="P410" s="58"/>
      <c r="Q410" s="92" t="str">
        <f t="shared" si="27"/>
        <v/>
      </c>
      <c r="R410" s="98">
        <f>SUMIFS('Booking Management'!J:J,'Booking Management'!B:B,'Sales Orders'!A410)</f>
        <v>0</v>
      </c>
      <c r="S410" s="99" t="str">
        <f t="shared" si="26"/>
        <v/>
      </c>
      <c r="T410" s="61"/>
      <c r="U410" s="61"/>
      <c r="V410" s="61"/>
      <c r="W410" s="58"/>
      <c r="X410" s="58"/>
      <c r="Y410" s="98" t="str">
        <f t="shared" si="25"/>
        <v/>
      </c>
    </row>
    <row r="411" spans="1:25">
      <c r="A411" s="23"/>
      <c r="B411" s="58"/>
      <c r="C411" s="58"/>
      <c r="D411" s="59"/>
      <c r="E411" s="58"/>
      <c r="F411" s="62"/>
      <c r="G411" s="58"/>
      <c r="H411" s="3"/>
      <c r="J411" s="109" t="str">
        <f>IF(C411&lt;&gt;"",SUMIFS('Booking Management'!Y:Y,'Booking Management'!B:B,'Sales Orders'!A411),"")</f>
        <v/>
      </c>
      <c r="K411" s="45"/>
      <c r="L411" s="60"/>
      <c r="M411" s="92" t="str">
        <f t="shared" ca="1" si="28"/>
        <v/>
      </c>
      <c r="N411" s="81"/>
      <c r="O411" s="3"/>
      <c r="P411" s="58"/>
      <c r="Q411" s="92" t="str">
        <f t="shared" si="27"/>
        <v/>
      </c>
      <c r="R411" s="98">
        <f>SUMIFS('Booking Management'!J:J,'Booking Management'!B:B,'Sales Orders'!A411)</f>
        <v>0</v>
      </c>
      <c r="S411" s="99" t="str">
        <f t="shared" si="26"/>
        <v/>
      </c>
      <c r="T411" s="61"/>
      <c r="U411" s="61"/>
      <c r="V411" s="61"/>
      <c r="W411" s="58"/>
      <c r="X411" s="58"/>
      <c r="Y411" s="98" t="str">
        <f t="shared" si="25"/>
        <v/>
      </c>
    </row>
    <row r="412" spans="1:25">
      <c r="A412" s="23"/>
      <c r="B412" s="58"/>
      <c r="C412" s="58"/>
      <c r="D412" s="59"/>
      <c r="E412" s="58"/>
      <c r="F412" s="62"/>
      <c r="G412" s="58"/>
      <c r="H412" s="3"/>
      <c r="J412" s="109" t="str">
        <f>IF(C412&lt;&gt;"",SUMIFS('Booking Management'!Y:Y,'Booking Management'!B:B,'Sales Orders'!A412),"")</f>
        <v/>
      </c>
      <c r="K412" s="45"/>
      <c r="L412" s="60"/>
      <c r="M412" s="92" t="str">
        <f t="shared" ca="1" si="28"/>
        <v/>
      </c>
      <c r="N412" s="81"/>
      <c r="O412" s="3"/>
      <c r="P412" s="58"/>
      <c r="Q412" s="92" t="str">
        <f t="shared" si="27"/>
        <v/>
      </c>
      <c r="R412" s="98">
        <f>SUMIFS('Booking Management'!J:J,'Booking Management'!B:B,'Sales Orders'!A412)</f>
        <v>0</v>
      </c>
      <c r="S412" s="99" t="str">
        <f t="shared" si="26"/>
        <v/>
      </c>
      <c r="T412" s="61"/>
      <c r="U412" s="61"/>
      <c r="V412" s="61"/>
      <c r="W412" s="58"/>
      <c r="X412" s="58"/>
      <c r="Y412" s="98" t="str">
        <f t="shared" si="25"/>
        <v/>
      </c>
    </row>
    <row r="413" spans="1:25">
      <c r="A413" s="23"/>
      <c r="B413" s="58"/>
      <c r="C413" s="58"/>
      <c r="D413" s="59"/>
      <c r="E413" s="58"/>
      <c r="F413" s="62"/>
      <c r="G413" s="58"/>
      <c r="H413" s="3"/>
      <c r="J413" s="109" t="str">
        <f>IF(C413&lt;&gt;"",SUMIFS('Booking Management'!Y:Y,'Booking Management'!B:B,'Sales Orders'!A413),"")</f>
        <v/>
      </c>
      <c r="K413" s="45"/>
      <c r="L413" s="60"/>
      <c r="M413" s="92" t="str">
        <f t="shared" ca="1" si="28"/>
        <v/>
      </c>
      <c r="N413" s="81"/>
      <c r="O413" s="3"/>
      <c r="P413" s="58"/>
      <c r="Q413" s="92" t="str">
        <f t="shared" si="27"/>
        <v/>
      </c>
      <c r="R413" s="98">
        <f>SUMIFS('Booking Management'!J:J,'Booking Management'!B:B,'Sales Orders'!A413)</f>
        <v>0</v>
      </c>
      <c r="S413" s="99" t="str">
        <f t="shared" si="26"/>
        <v/>
      </c>
      <c r="T413" s="61"/>
      <c r="U413" s="61"/>
      <c r="V413" s="61"/>
      <c r="W413" s="58"/>
      <c r="X413" s="58"/>
      <c r="Y413" s="98" t="str">
        <f t="shared" si="25"/>
        <v/>
      </c>
    </row>
    <row r="414" spans="1:25">
      <c r="A414" s="23"/>
      <c r="B414" s="58"/>
      <c r="C414" s="58"/>
      <c r="D414" s="59"/>
      <c r="E414" s="58"/>
      <c r="F414" s="62"/>
      <c r="G414" s="58"/>
      <c r="H414" s="3"/>
      <c r="J414" s="109" t="str">
        <f>IF(C414&lt;&gt;"",SUMIFS('Booking Management'!Y:Y,'Booking Management'!B:B,'Sales Orders'!A414),"")</f>
        <v/>
      </c>
      <c r="K414" s="45"/>
      <c r="L414" s="60"/>
      <c r="M414" s="92" t="str">
        <f t="shared" ca="1" si="28"/>
        <v/>
      </c>
      <c r="N414" s="81"/>
      <c r="O414" s="3"/>
      <c r="P414" s="58"/>
      <c r="Q414" s="92" t="str">
        <f t="shared" si="27"/>
        <v/>
      </c>
      <c r="R414" s="98">
        <f>SUMIFS('Booking Management'!J:J,'Booking Management'!B:B,'Sales Orders'!A414)</f>
        <v>0</v>
      </c>
      <c r="S414" s="99" t="str">
        <f t="shared" si="26"/>
        <v/>
      </c>
      <c r="T414" s="61"/>
      <c r="U414" s="61"/>
      <c r="V414" s="61"/>
      <c r="W414" s="58"/>
      <c r="X414" s="58"/>
      <c r="Y414" s="98" t="str">
        <f t="shared" si="25"/>
        <v/>
      </c>
    </row>
    <row r="415" spans="1:25">
      <c r="A415" s="23"/>
      <c r="B415" s="58"/>
      <c r="C415" s="58"/>
      <c r="D415" s="59"/>
      <c r="E415" s="58"/>
      <c r="F415" s="62"/>
      <c r="G415" s="58"/>
      <c r="H415" s="3"/>
      <c r="J415" s="109" t="str">
        <f>IF(C415&lt;&gt;"",SUMIFS('Booking Management'!Y:Y,'Booking Management'!B:B,'Sales Orders'!A415),"")</f>
        <v/>
      </c>
      <c r="K415" s="45"/>
      <c r="L415" s="60"/>
      <c r="M415" s="92" t="str">
        <f t="shared" ca="1" si="28"/>
        <v/>
      </c>
      <c r="N415" s="81"/>
      <c r="O415" s="3"/>
      <c r="P415" s="58"/>
      <c r="Q415" s="92" t="str">
        <f t="shared" si="27"/>
        <v/>
      </c>
      <c r="R415" s="98">
        <f>SUMIFS('Booking Management'!J:J,'Booking Management'!B:B,'Sales Orders'!A415)</f>
        <v>0</v>
      </c>
      <c r="S415" s="99" t="str">
        <f t="shared" si="26"/>
        <v/>
      </c>
      <c r="T415" s="61"/>
      <c r="U415" s="61"/>
      <c r="V415" s="61"/>
      <c r="W415" s="58"/>
      <c r="X415" s="58"/>
      <c r="Y415" s="98" t="str">
        <f t="shared" si="25"/>
        <v/>
      </c>
    </row>
    <row r="416" spans="1:25">
      <c r="A416" s="23"/>
      <c r="B416" s="58"/>
      <c r="C416" s="58"/>
      <c r="D416" s="59"/>
      <c r="E416" s="58"/>
      <c r="F416" s="62"/>
      <c r="G416" s="58"/>
      <c r="H416" s="3"/>
      <c r="J416" s="109" t="str">
        <f>IF(C416&lt;&gt;"",SUMIFS('Booking Management'!Y:Y,'Booking Management'!B:B,'Sales Orders'!A416),"")</f>
        <v/>
      </c>
      <c r="K416" s="45"/>
      <c r="L416" s="60"/>
      <c r="M416" s="92" t="str">
        <f t="shared" ca="1" si="28"/>
        <v/>
      </c>
      <c r="N416" s="81"/>
      <c r="O416" s="3"/>
      <c r="P416" s="58"/>
      <c r="Q416" s="92" t="str">
        <f t="shared" si="27"/>
        <v/>
      </c>
      <c r="R416" s="98">
        <f>SUMIFS('Booking Management'!J:J,'Booking Management'!B:B,'Sales Orders'!A416)</f>
        <v>0</v>
      </c>
      <c r="S416" s="99" t="str">
        <f t="shared" si="26"/>
        <v/>
      </c>
      <c r="T416" s="61"/>
      <c r="U416" s="61"/>
      <c r="V416" s="61"/>
      <c r="W416" s="58"/>
      <c r="X416" s="58"/>
      <c r="Y416" s="98" t="str">
        <f t="shared" si="25"/>
        <v/>
      </c>
    </row>
    <row r="417" spans="1:25">
      <c r="A417" s="23"/>
      <c r="B417" s="58"/>
      <c r="C417" s="58"/>
      <c r="D417" s="59"/>
      <c r="E417" s="58"/>
      <c r="F417" s="62"/>
      <c r="G417" s="58"/>
      <c r="H417" s="3"/>
      <c r="J417" s="109" t="str">
        <f>IF(C417&lt;&gt;"",SUMIFS('Booking Management'!Y:Y,'Booking Management'!B:B,'Sales Orders'!A417),"")</f>
        <v/>
      </c>
      <c r="K417" s="45"/>
      <c r="L417" s="60"/>
      <c r="M417" s="92" t="str">
        <f t="shared" ca="1" si="28"/>
        <v/>
      </c>
      <c r="N417" s="81"/>
      <c r="O417" s="3"/>
      <c r="P417" s="58"/>
      <c r="Q417" s="92" t="str">
        <f t="shared" si="27"/>
        <v/>
      </c>
      <c r="R417" s="98">
        <f>SUMIFS('Booking Management'!J:J,'Booking Management'!B:B,'Sales Orders'!A417)</f>
        <v>0</v>
      </c>
      <c r="S417" s="99" t="str">
        <f t="shared" si="26"/>
        <v/>
      </c>
      <c r="T417" s="61"/>
      <c r="U417" s="61"/>
      <c r="V417" s="61"/>
      <c r="W417" s="58"/>
      <c r="X417" s="58"/>
      <c r="Y417" s="98" t="str">
        <f t="shared" si="25"/>
        <v/>
      </c>
    </row>
    <row r="418" spans="1:25">
      <c r="A418" s="23"/>
      <c r="B418" s="58"/>
      <c r="C418" s="58"/>
      <c r="D418" s="59"/>
      <c r="E418" s="58"/>
      <c r="F418" s="62"/>
      <c r="G418" s="58"/>
      <c r="H418" s="3"/>
      <c r="J418" s="109" t="str">
        <f>IF(C418&lt;&gt;"",SUMIFS('Booking Management'!Y:Y,'Booking Management'!B:B,'Sales Orders'!A418),"")</f>
        <v/>
      </c>
      <c r="K418" s="45"/>
      <c r="L418" s="60"/>
      <c r="M418" s="92" t="str">
        <f t="shared" ca="1" si="28"/>
        <v/>
      </c>
      <c r="N418" s="81"/>
      <c r="O418" s="3"/>
      <c r="P418" s="58"/>
      <c r="Q418" s="92" t="str">
        <f t="shared" si="27"/>
        <v/>
      </c>
      <c r="R418" s="98">
        <f>SUMIFS('Booking Management'!J:J,'Booking Management'!B:B,'Sales Orders'!A418)</f>
        <v>0</v>
      </c>
      <c r="S418" s="99" t="str">
        <f t="shared" si="26"/>
        <v/>
      </c>
      <c r="T418" s="61"/>
      <c r="U418" s="61"/>
      <c r="V418" s="61"/>
      <c r="W418" s="58"/>
      <c r="X418" s="58"/>
      <c r="Y418" s="98" t="str">
        <f t="shared" si="25"/>
        <v/>
      </c>
    </row>
    <row r="419" spans="1:25">
      <c r="A419" s="23"/>
      <c r="B419" s="58"/>
      <c r="C419" s="58"/>
      <c r="D419" s="59"/>
      <c r="E419" s="58"/>
      <c r="F419" s="62"/>
      <c r="G419" s="58"/>
      <c r="H419" s="3"/>
      <c r="J419" s="109" t="str">
        <f>IF(C419&lt;&gt;"",SUMIFS('Booking Management'!Y:Y,'Booking Management'!B:B,'Sales Orders'!A419),"")</f>
        <v/>
      </c>
      <c r="K419" s="45"/>
      <c r="L419" s="60"/>
      <c r="M419" s="92" t="str">
        <f t="shared" ca="1" si="28"/>
        <v/>
      </c>
      <c r="N419" s="81"/>
      <c r="O419" s="3"/>
      <c r="P419" s="58"/>
      <c r="Q419" s="92" t="str">
        <f t="shared" si="27"/>
        <v/>
      </c>
      <c r="R419" s="98">
        <f>SUMIFS('Booking Management'!J:J,'Booking Management'!B:B,'Sales Orders'!A419)</f>
        <v>0</v>
      </c>
      <c r="S419" s="99" t="str">
        <f t="shared" si="26"/>
        <v/>
      </c>
      <c r="T419" s="61"/>
      <c r="U419" s="61"/>
      <c r="V419" s="61"/>
      <c r="W419" s="58"/>
      <c r="X419" s="58"/>
      <c r="Y419" s="98" t="str">
        <f t="shared" si="25"/>
        <v/>
      </c>
    </row>
    <row r="420" spans="1:25">
      <c r="A420" s="23"/>
      <c r="B420" s="58"/>
      <c r="C420" s="58"/>
      <c r="D420" s="59"/>
      <c r="E420" s="58"/>
      <c r="F420" s="62"/>
      <c r="G420" s="58"/>
      <c r="H420" s="3"/>
      <c r="J420" s="109" t="str">
        <f>IF(C420&lt;&gt;"",SUMIFS('Booking Management'!Y:Y,'Booking Management'!B:B,'Sales Orders'!A420),"")</f>
        <v/>
      </c>
      <c r="K420" s="45"/>
      <c r="L420" s="60"/>
      <c r="M420" s="92" t="str">
        <f t="shared" ca="1" si="28"/>
        <v/>
      </c>
      <c r="N420" s="81"/>
      <c r="O420" s="3"/>
      <c r="P420" s="58"/>
      <c r="Q420" s="92" t="str">
        <f t="shared" si="27"/>
        <v/>
      </c>
      <c r="R420" s="98">
        <f>SUMIFS('Booking Management'!J:J,'Booking Management'!B:B,'Sales Orders'!A420)</f>
        <v>0</v>
      </c>
      <c r="S420" s="99" t="str">
        <f t="shared" si="26"/>
        <v/>
      </c>
      <c r="T420" s="61"/>
      <c r="U420" s="61"/>
      <c r="V420" s="61"/>
      <c r="W420" s="58"/>
      <c r="X420" s="58"/>
      <c r="Y420" s="98" t="str">
        <f t="shared" si="25"/>
        <v/>
      </c>
    </row>
    <row r="421" spans="1:25">
      <c r="A421" s="23"/>
      <c r="F421" s="37"/>
      <c r="H421" s="3"/>
      <c r="J421" s="109" t="str">
        <f>IF(C421&lt;&gt;"",SUMIFS('Booking Management'!Y:Y,'Booking Management'!B:B,'Sales Orders'!A421),"")</f>
        <v/>
      </c>
      <c r="K421" s="45"/>
      <c r="M421" s="92" t="str">
        <f t="shared" ca="1" si="28"/>
        <v/>
      </c>
      <c r="O421" s="3"/>
      <c r="Q421" s="92" t="str">
        <f t="shared" si="27"/>
        <v/>
      </c>
      <c r="R421" s="98">
        <f>SUMIFS('Booking Management'!J:J,'Booking Management'!B:B,'Sales Orders'!A421)</f>
        <v>0</v>
      </c>
      <c r="S421" s="99" t="str">
        <f t="shared" si="26"/>
        <v/>
      </c>
      <c r="Y421" s="98" t="str">
        <f t="shared" si="25"/>
        <v/>
      </c>
    </row>
    <row r="422" spans="1:25">
      <c r="A422" s="23"/>
      <c r="F422" s="37"/>
      <c r="H422" s="3"/>
      <c r="J422" s="109" t="str">
        <f>IF(C422&lt;&gt;"",SUMIFS('Booking Management'!Y:Y,'Booking Management'!B:B,'Sales Orders'!A422),"")</f>
        <v/>
      </c>
      <c r="K422" s="45"/>
      <c r="M422" s="92" t="str">
        <f t="shared" ca="1" si="28"/>
        <v/>
      </c>
      <c r="O422" s="3"/>
      <c r="Q422" s="92" t="str">
        <f t="shared" si="27"/>
        <v/>
      </c>
      <c r="R422" s="98">
        <f>SUMIFS('Booking Management'!J:J,'Booking Management'!B:B,'Sales Orders'!A422)</f>
        <v>0</v>
      </c>
      <c r="S422" s="99" t="str">
        <f t="shared" si="26"/>
        <v/>
      </c>
      <c r="Y422" s="98" t="str">
        <f t="shared" si="25"/>
        <v/>
      </c>
    </row>
    <row r="423" spans="1:25">
      <c r="A423" s="23"/>
      <c r="F423" s="37"/>
      <c r="H423" s="3"/>
      <c r="J423" s="109" t="str">
        <f>IF(C423&lt;&gt;"",SUMIFS('Booking Management'!Y:Y,'Booking Management'!B:B,'Sales Orders'!A423),"")</f>
        <v/>
      </c>
      <c r="K423" s="45"/>
      <c r="M423" s="92" t="str">
        <f t="shared" ca="1" si="28"/>
        <v/>
      </c>
      <c r="O423" s="3"/>
      <c r="Q423" s="92" t="str">
        <f t="shared" si="27"/>
        <v/>
      </c>
      <c r="R423" s="98">
        <f>SUMIFS('Booking Management'!J:J,'Booking Management'!B:B,'Sales Orders'!A423)</f>
        <v>0</v>
      </c>
      <c r="S423" s="99" t="str">
        <f t="shared" si="26"/>
        <v/>
      </c>
      <c r="Y423" s="98" t="str">
        <f t="shared" si="25"/>
        <v/>
      </c>
    </row>
    <row r="424" spans="1:25">
      <c r="A424" s="23"/>
      <c r="F424" s="37"/>
      <c r="H424" s="3"/>
      <c r="J424" s="109" t="str">
        <f>IF(C424&lt;&gt;"",SUMIFS('Booking Management'!Y:Y,'Booking Management'!B:B,'Sales Orders'!A424),"")</f>
        <v/>
      </c>
      <c r="K424" s="45"/>
      <c r="M424" s="92" t="str">
        <f t="shared" ca="1" si="28"/>
        <v/>
      </c>
      <c r="O424" s="3"/>
      <c r="Q424" s="92" t="str">
        <f t="shared" si="27"/>
        <v/>
      </c>
      <c r="R424" s="98">
        <f>SUMIFS('Booking Management'!J:J,'Booking Management'!B:B,'Sales Orders'!A424)</f>
        <v>0</v>
      </c>
      <c r="S424" s="99" t="str">
        <f t="shared" si="26"/>
        <v/>
      </c>
      <c r="Y424" s="98" t="str">
        <f t="shared" si="25"/>
        <v/>
      </c>
    </row>
    <row r="425" spans="1:25">
      <c r="A425" s="23"/>
      <c r="F425" s="37"/>
      <c r="H425" s="3"/>
      <c r="J425" s="109" t="str">
        <f>IF(C425&lt;&gt;"",SUMIFS('Booking Management'!Y:Y,'Booking Management'!B:B,'Sales Orders'!A425),"")</f>
        <v/>
      </c>
      <c r="K425" s="45"/>
      <c r="M425" s="92" t="str">
        <f t="shared" ca="1" si="28"/>
        <v/>
      </c>
      <c r="O425" s="3"/>
      <c r="Q425" s="92" t="str">
        <f t="shared" si="27"/>
        <v/>
      </c>
      <c r="R425" s="98">
        <f>SUMIFS('Booking Management'!J:J,'Booking Management'!B:B,'Sales Orders'!A425)</f>
        <v>0</v>
      </c>
      <c r="S425" s="99" t="str">
        <f t="shared" si="26"/>
        <v/>
      </c>
      <c r="Y425" s="98" t="str">
        <f t="shared" si="25"/>
        <v/>
      </c>
    </row>
    <row r="426" spans="1:25">
      <c r="A426" s="23"/>
      <c r="F426" s="37"/>
      <c r="H426" s="3"/>
      <c r="J426" s="109" t="str">
        <f>IF(C426&lt;&gt;"",SUMIFS('Booking Management'!Y:Y,'Booking Management'!B:B,'Sales Orders'!A426),"")</f>
        <v/>
      </c>
      <c r="K426" s="45"/>
      <c r="M426" s="92" t="str">
        <f t="shared" ca="1" si="28"/>
        <v/>
      </c>
      <c r="O426" s="3"/>
      <c r="Q426" s="92" t="str">
        <f t="shared" si="27"/>
        <v/>
      </c>
      <c r="R426" s="98">
        <f>SUMIFS('Booking Management'!J:J,'Booking Management'!B:B,'Sales Orders'!A426)</f>
        <v>0</v>
      </c>
      <c r="S426" s="99" t="str">
        <f t="shared" si="26"/>
        <v/>
      </c>
      <c r="Y426" s="98" t="str">
        <f t="shared" ref="Y426:Y489" si="29">IF(D426&lt;&gt;"",D426-J426,"")</f>
        <v/>
      </c>
    </row>
    <row r="427" spans="1:25">
      <c r="A427" s="23"/>
      <c r="F427" s="37"/>
      <c r="H427" s="3"/>
      <c r="J427" s="109" t="str">
        <f>IF(C427&lt;&gt;"",SUMIFS('Booking Management'!Y:Y,'Booking Management'!B:B,'Sales Orders'!A427),"")</f>
        <v/>
      </c>
      <c r="K427" s="45"/>
      <c r="M427" s="92" t="str">
        <f t="shared" ca="1" si="28"/>
        <v/>
      </c>
      <c r="O427" s="3"/>
      <c r="Q427" s="92" t="str">
        <f t="shared" si="27"/>
        <v/>
      </c>
      <c r="R427" s="98">
        <f>SUMIFS('Booking Management'!J:J,'Booking Management'!B:B,'Sales Orders'!A427)</f>
        <v>0</v>
      </c>
      <c r="S427" s="99" t="str">
        <f t="shared" si="26"/>
        <v/>
      </c>
      <c r="Y427" s="98" t="str">
        <f t="shared" si="29"/>
        <v/>
      </c>
    </row>
    <row r="428" spans="1:25">
      <c r="A428" s="23"/>
      <c r="F428" s="37"/>
      <c r="H428" s="3"/>
      <c r="J428" s="109" t="str">
        <f>IF(C428&lt;&gt;"",SUMIFS('Booking Management'!Y:Y,'Booking Management'!B:B,'Sales Orders'!A428),"")</f>
        <v/>
      </c>
      <c r="K428" s="45"/>
      <c r="M428" s="92" t="str">
        <f t="shared" ca="1" si="28"/>
        <v/>
      </c>
      <c r="O428" s="3"/>
      <c r="Q428" s="92" t="str">
        <f t="shared" si="27"/>
        <v/>
      </c>
      <c r="R428" s="98">
        <f>SUMIFS('Booking Management'!J:J,'Booking Management'!B:B,'Sales Orders'!A428)</f>
        <v>0</v>
      </c>
      <c r="S428" s="99" t="str">
        <f t="shared" si="26"/>
        <v/>
      </c>
      <c r="Y428" s="98" t="str">
        <f t="shared" si="29"/>
        <v/>
      </c>
    </row>
    <row r="429" spans="1:25">
      <c r="A429" s="23"/>
      <c r="F429" s="37"/>
      <c r="H429" s="3"/>
      <c r="J429" s="109" t="str">
        <f>IF(C429&lt;&gt;"",SUMIFS('Booking Management'!Y:Y,'Booking Management'!B:B,'Sales Orders'!A429),"")</f>
        <v/>
      </c>
      <c r="K429" s="45"/>
      <c r="M429" s="92" t="str">
        <f t="shared" ca="1" si="28"/>
        <v/>
      </c>
      <c r="O429" s="3"/>
      <c r="Q429" s="92" t="str">
        <f t="shared" si="27"/>
        <v/>
      </c>
      <c r="R429" s="98">
        <f>SUMIFS('Booking Management'!J:J,'Booking Management'!B:B,'Sales Orders'!A429)</f>
        <v>0</v>
      </c>
      <c r="S429" s="99" t="str">
        <f t="shared" si="26"/>
        <v/>
      </c>
      <c r="Y429" s="98" t="str">
        <f t="shared" si="29"/>
        <v/>
      </c>
    </row>
    <row r="430" spans="1:25">
      <c r="A430" s="23"/>
      <c r="F430" s="37"/>
      <c r="H430" s="3"/>
      <c r="J430" s="109" t="str">
        <f>IF(C430&lt;&gt;"",SUMIFS('Booking Management'!Y:Y,'Booking Management'!B:B,'Sales Orders'!A430),"")</f>
        <v/>
      </c>
      <c r="K430" s="45"/>
      <c r="M430" s="92" t="str">
        <f t="shared" ca="1" si="28"/>
        <v/>
      </c>
      <c r="O430" s="3"/>
      <c r="Q430" s="92" t="str">
        <f t="shared" si="27"/>
        <v/>
      </c>
      <c r="R430" s="98">
        <f>SUMIFS('Booking Management'!J:J,'Booking Management'!B:B,'Sales Orders'!A430)</f>
        <v>0</v>
      </c>
      <c r="S430" s="99" t="str">
        <f t="shared" si="26"/>
        <v/>
      </c>
      <c r="Y430" s="98" t="str">
        <f t="shared" si="29"/>
        <v/>
      </c>
    </row>
    <row r="431" spans="1:25">
      <c r="A431" s="23"/>
      <c r="F431" s="37"/>
      <c r="H431" s="3"/>
      <c r="J431" s="109" t="str">
        <f>IF(C431&lt;&gt;"",SUMIFS('Booking Management'!Y:Y,'Booking Management'!B:B,'Sales Orders'!A431),"")</f>
        <v/>
      </c>
      <c r="K431" s="45"/>
      <c r="M431" s="92" t="str">
        <f t="shared" ca="1" si="28"/>
        <v/>
      </c>
      <c r="O431" s="3"/>
      <c r="Q431" s="92" t="str">
        <f t="shared" si="27"/>
        <v/>
      </c>
      <c r="R431" s="98">
        <f>SUMIFS('Booking Management'!J:J,'Booking Management'!B:B,'Sales Orders'!A431)</f>
        <v>0</v>
      </c>
      <c r="S431" s="99" t="str">
        <f t="shared" si="26"/>
        <v/>
      </c>
      <c r="Y431" s="98" t="str">
        <f t="shared" si="29"/>
        <v/>
      </c>
    </row>
    <row r="432" spans="1:25">
      <c r="A432" s="23"/>
      <c r="F432" s="37"/>
      <c r="H432" s="3"/>
      <c r="J432" s="109" t="str">
        <f>IF(C432&lt;&gt;"",SUMIFS('Booking Management'!Y:Y,'Booking Management'!B:B,'Sales Orders'!A432),"")</f>
        <v/>
      </c>
      <c r="K432" s="45"/>
      <c r="M432" s="92" t="str">
        <f t="shared" ca="1" si="28"/>
        <v/>
      </c>
      <c r="O432" s="3"/>
      <c r="Q432" s="92" t="str">
        <f t="shared" si="27"/>
        <v/>
      </c>
      <c r="R432" s="98">
        <f>SUMIFS('Booking Management'!J:J,'Booking Management'!B:B,'Sales Orders'!A432)</f>
        <v>0</v>
      </c>
      <c r="S432" s="99" t="str">
        <f t="shared" si="26"/>
        <v/>
      </c>
      <c r="Y432" s="98" t="str">
        <f t="shared" si="29"/>
        <v/>
      </c>
    </row>
    <row r="433" spans="1:25">
      <c r="A433" s="23"/>
      <c r="F433" s="37"/>
      <c r="H433" s="3"/>
      <c r="J433" s="109" t="str">
        <f>IF(C433&lt;&gt;"",SUMIFS('Booking Management'!Y:Y,'Booking Management'!B:B,'Sales Orders'!A433),"")</f>
        <v/>
      </c>
      <c r="K433" s="45"/>
      <c r="M433" s="92" t="str">
        <f t="shared" ca="1" si="28"/>
        <v/>
      </c>
      <c r="O433" s="3"/>
      <c r="Q433" s="92" t="str">
        <f t="shared" si="27"/>
        <v/>
      </c>
      <c r="R433" s="98">
        <f>SUMIFS('Booking Management'!J:J,'Booking Management'!B:B,'Sales Orders'!A433)</f>
        <v>0</v>
      </c>
      <c r="S433" s="99" t="str">
        <f t="shared" si="26"/>
        <v/>
      </c>
      <c r="Y433" s="98" t="str">
        <f t="shared" si="29"/>
        <v/>
      </c>
    </row>
    <row r="434" spans="1:25">
      <c r="A434" s="23"/>
      <c r="F434" s="37"/>
      <c r="H434" s="3"/>
      <c r="J434" s="109" t="str">
        <f>IF(C434&lt;&gt;"",SUMIFS('Booking Management'!Y:Y,'Booking Management'!B:B,'Sales Orders'!A434),"")</f>
        <v/>
      </c>
      <c r="K434" s="45"/>
      <c r="M434" s="92" t="str">
        <f t="shared" ca="1" si="28"/>
        <v/>
      </c>
      <c r="O434" s="3"/>
      <c r="Q434" s="92" t="str">
        <f t="shared" si="27"/>
        <v/>
      </c>
      <c r="R434" s="98">
        <f>SUMIFS('Booking Management'!J:J,'Booking Management'!B:B,'Sales Orders'!A434)</f>
        <v>0</v>
      </c>
      <c r="S434" s="99" t="str">
        <f t="shared" si="26"/>
        <v/>
      </c>
      <c r="Y434" s="98" t="str">
        <f t="shared" si="29"/>
        <v/>
      </c>
    </row>
    <row r="435" spans="1:25">
      <c r="A435" s="23"/>
      <c r="F435" s="37"/>
      <c r="H435" s="3"/>
      <c r="J435" s="109" t="str">
        <f>IF(C435&lt;&gt;"",SUMIFS('Booking Management'!Y:Y,'Booking Management'!B:B,'Sales Orders'!A435),"")</f>
        <v/>
      </c>
      <c r="K435" s="45"/>
      <c r="M435" s="92" t="str">
        <f t="shared" ca="1" si="28"/>
        <v/>
      </c>
      <c r="O435" s="3"/>
      <c r="Q435" s="92" t="str">
        <f t="shared" si="27"/>
        <v/>
      </c>
      <c r="R435" s="98">
        <f>SUMIFS('Booking Management'!J:J,'Booking Management'!B:B,'Sales Orders'!A435)</f>
        <v>0</v>
      </c>
      <c r="S435" s="99" t="str">
        <f t="shared" si="26"/>
        <v/>
      </c>
      <c r="Y435" s="98" t="str">
        <f t="shared" si="29"/>
        <v/>
      </c>
    </row>
    <row r="436" spans="1:25">
      <c r="A436" s="23"/>
      <c r="F436" s="37"/>
      <c r="H436" s="3"/>
      <c r="J436" s="109" t="str">
        <f>IF(C436&lt;&gt;"",SUMIFS('Booking Management'!Y:Y,'Booking Management'!B:B,'Sales Orders'!A436),"")</f>
        <v/>
      </c>
      <c r="K436" s="45"/>
      <c r="M436" s="92" t="str">
        <f t="shared" ca="1" si="28"/>
        <v/>
      </c>
      <c r="O436" s="3"/>
      <c r="Q436" s="92" t="str">
        <f t="shared" si="27"/>
        <v/>
      </c>
      <c r="R436" s="98">
        <f>SUMIFS('Booking Management'!J:J,'Booking Management'!B:B,'Sales Orders'!A436)</f>
        <v>0</v>
      </c>
      <c r="S436" s="99" t="str">
        <f t="shared" si="26"/>
        <v/>
      </c>
      <c r="Y436" s="98" t="str">
        <f t="shared" si="29"/>
        <v/>
      </c>
    </row>
    <row r="437" spans="1:25">
      <c r="A437" s="23"/>
      <c r="F437" s="37"/>
      <c r="H437" s="3"/>
      <c r="J437" s="109" t="str">
        <f>IF(C437&lt;&gt;"",SUMIFS('Booking Management'!Y:Y,'Booking Management'!B:B,'Sales Orders'!A437),"")</f>
        <v/>
      </c>
      <c r="K437" s="45"/>
      <c r="M437" s="92" t="str">
        <f t="shared" ca="1" si="28"/>
        <v/>
      </c>
      <c r="O437" s="3"/>
      <c r="Q437" s="92" t="str">
        <f t="shared" si="27"/>
        <v/>
      </c>
      <c r="R437" s="98">
        <f>SUMIFS('Booking Management'!J:J,'Booking Management'!B:B,'Sales Orders'!A437)</f>
        <v>0</v>
      </c>
      <c r="S437" s="99" t="str">
        <f t="shared" si="26"/>
        <v/>
      </c>
      <c r="Y437" s="98" t="str">
        <f t="shared" si="29"/>
        <v/>
      </c>
    </row>
    <row r="438" spans="1:25">
      <c r="A438" s="23"/>
      <c r="F438" s="37"/>
      <c r="H438" s="3"/>
      <c r="J438" s="109" t="str">
        <f>IF(C438&lt;&gt;"",SUMIFS('Booking Management'!Y:Y,'Booking Management'!B:B,'Sales Orders'!A438),"")</f>
        <v/>
      </c>
      <c r="K438" s="45"/>
      <c r="M438" s="92" t="str">
        <f t="shared" ca="1" si="28"/>
        <v/>
      </c>
      <c r="O438" s="3"/>
      <c r="Q438" s="92" t="str">
        <f t="shared" si="27"/>
        <v/>
      </c>
      <c r="R438" s="98">
        <f>SUMIFS('Booking Management'!J:J,'Booking Management'!B:B,'Sales Orders'!A438)</f>
        <v>0</v>
      </c>
      <c r="S438" s="99" t="str">
        <f t="shared" si="26"/>
        <v/>
      </c>
      <c r="Y438" s="98" t="str">
        <f t="shared" si="29"/>
        <v/>
      </c>
    </row>
    <row r="439" spans="1:25">
      <c r="A439" s="23"/>
      <c r="F439" s="37"/>
      <c r="H439" s="3"/>
      <c r="J439" s="109" t="str">
        <f>IF(C439&lt;&gt;"",SUMIFS('Booking Management'!Y:Y,'Booking Management'!B:B,'Sales Orders'!A439),"")</f>
        <v/>
      </c>
      <c r="K439" s="45"/>
      <c r="M439" s="92" t="str">
        <f t="shared" ca="1" si="28"/>
        <v/>
      </c>
      <c r="O439" s="3"/>
      <c r="Q439" s="92" t="str">
        <f t="shared" si="27"/>
        <v/>
      </c>
      <c r="R439" s="98">
        <f>SUMIFS('Booking Management'!J:J,'Booking Management'!B:B,'Sales Orders'!A439)</f>
        <v>0</v>
      </c>
      <c r="S439" s="99" t="str">
        <f t="shared" si="26"/>
        <v/>
      </c>
      <c r="Y439" s="98" t="str">
        <f t="shared" si="29"/>
        <v/>
      </c>
    </row>
    <row r="440" spans="1:25">
      <c r="A440" s="23"/>
      <c r="F440" s="37"/>
      <c r="H440" s="3"/>
      <c r="J440" s="109" t="str">
        <f>IF(C440&lt;&gt;"",SUMIFS('Booking Management'!Y:Y,'Booking Management'!B:B,'Sales Orders'!A440),"")</f>
        <v/>
      </c>
      <c r="K440" s="45"/>
      <c r="M440" s="92" t="str">
        <f t="shared" ca="1" si="28"/>
        <v/>
      </c>
      <c r="O440" s="3"/>
      <c r="Q440" s="92" t="str">
        <f t="shared" si="27"/>
        <v/>
      </c>
      <c r="R440" s="98">
        <f>SUMIFS('Booking Management'!J:J,'Booking Management'!B:B,'Sales Orders'!A440)</f>
        <v>0</v>
      </c>
      <c r="S440" s="99" t="str">
        <f t="shared" si="26"/>
        <v/>
      </c>
      <c r="Y440" s="98" t="str">
        <f t="shared" si="29"/>
        <v/>
      </c>
    </row>
    <row r="441" spans="1:25">
      <c r="A441" s="23"/>
      <c r="F441" s="37"/>
      <c r="H441" s="3"/>
      <c r="J441" s="109" t="str">
        <f>IF(C441&lt;&gt;"",SUMIFS('Booking Management'!Y:Y,'Booking Management'!B:B,'Sales Orders'!A441),"")</f>
        <v/>
      </c>
      <c r="K441" s="45"/>
      <c r="M441" s="92" t="str">
        <f t="shared" ca="1" si="28"/>
        <v/>
      </c>
      <c r="O441" s="3"/>
      <c r="Q441" s="92" t="str">
        <f t="shared" si="27"/>
        <v/>
      </c>
      <c r="R441" s="98">
        <f>SUMIFS('Booking Management'!J:J,'Booking Management'!B:B,'Sales Orders'!A441)</f>
        <v>0</v>
      </c>
      <c r="S441" s="99" t="str">
        <f t="shared" si="26"/>
        <v/>
      </c>
      <c r="Y441" s="98" t="str">
        <f t="shared" si="29"/>
        <v/>
      </c>
    </row>
    <row r="442" spans="1:25">
      <c r="A442" s="23"/>
      <c r="F442" s="37"/>
      <c r="H442" s="3"/>
      <c r="J442" s="109" t="str">
        <f>IF(C442&lt;&gt;"",SUMIFS('Booking Management'!Y:Y,'Booking Management'!B:B,'Sales Orders'!A442),"")</f>
        <v/>
      </c>
      <c r="K442" s="45"/>
      <c r="M442" s="92" t="str">
        <f t="shared" ca="1" si="28"/>
        <v/>
      </c>
      <c r="O442" s="3"/>
      <c r="Q442" s="92" t="str">
        <f t="shared" si="27"/>
        <v/>
      </c>
      <c r="R442" s="98">
        <f>SUMIFS('Booking Management'!J:J,'Booking Management'!B:B,'Sales Orders'!A442)</f>
        <v>0</v>
      </c>
      <c r="S442" s="99" t="str">
        <f t="shared" si="26"/>
        <v/>
      </c>
      <c r="Y442" s="98" t="str">
        <f t="shared" si="29"/>
        <v/>
      </c>
    </row>
    <row r="443" spans="1:25">
      <c r="A443" s="23"/>
      <c r="F443" s="37"/>
      <c r="H443" s="3"/>
      <c r="J443" s="109" t="str">
        <f>IF(C443&lt;&gt;"",SUMIFS('Booking Management'!Y:Y,'Booking Management'!B:B,'Sales Orders'!A443),"")</f>
        <v/>
      </c>
      <c r="K443" s="45"/>
      <c r="M443" s="92" t="str">
        <f t="shared" ca="1" si="28"/>
        <v/>
      </c>
      <c r="O443" s="3"/>
      <c r="Q443" s="92" t="str">
        <f t="shared" si="27"/>
        <v/>
      </c>
      <c r="R443" s="98">
        <f>SUMIFS('Booking Management'!J:J,'Booking Management'!B:B,'Sales Orders'!A443)</f>
        <v>0</v>
      </c>
      <c r="S443" s="99" t="str">
        <f t="shared" si="26"/>
        <v/>
      </c>
      <c r="Y443" s="98" t="str">
        <f t="shared" si="29"/>
        <v/>
      </c>
    </row>
    <row r="444" spans="1:25">
      <c r="A444" s="23"/>
      <c r="F444" s="37"/>
      <c r="H444" s="3"/>
      <c r="J444" s="109" t="str">
        <f>IF(C444&lt;&gt;"",SUMIFS('Booking Management'!Y:Y,'Booking Management'!B:B,'Sales Orders'!A444),"")</f>
        <v/>
      </c>
      <c r="K444" s="45"/>
      <c r="M444" s="92" t="str">
        <f t="shared" ca="1" si="28"/>
        <v/>
      </c>
      <c r="O444" s="3"/>
      <c r="Q444" s="92" t="str">
        <f t="shared" si="27"/>
        <v/>
      </c>
      <c r="R444" s="98">
        <f>SUMIFS('Booking Management'!J:J,'Booking Management'!B:B,'Sales Orders'!A444)</f>
        <v>0</v>
      </c>
      <c r="S444" s="99" t="str">
        <f t="shared" si="26"/>
        <v/>
      </c>
      <c r="Y444" s="98" t="str">
        <f t="shared" si="29"/>
        <v/>
      </c>
    </row>
    <row r="445" spans="1:25">
      <c r="A445" s="23"/>
      <c r="F445" s="37"/>
      <c r="H445" s="3"/>
      <c r="J445" s="109" t="str">
        <f>IF(C445&lt;&gt;"",SUMIFS('Booking Management'!Y:Y,'Booking Management'!B:B,'Sales Orders'!A445),"")</f>
        <v/>
      </c>
      <c r="K445" s="45"/>
      <c r="M445" s="92" t="str">
        <f t="shared" ca="1" si="28"/>
        <v/>
      </c>
      <c r="O445" s="3"/>
      <c r="Q445" s="92" t="str">
        <f t="shared" si="27"/>
        <v/>
      </c>
      <c r="R445" s="98">
        <f>SUMIFS('Booking Management'!J:J,'Booking Management'!B:B,'Sales Orders'!A445)</f>
        <v>0</v>
      </c>
      <c r="S445" s="99" t="str">
        <f t="shared" si="26"/>
        <v/>
      </c>
      <c r="Y445" s="98" t="str">
        <f t="shared" si="29"/>
        <v/>
      </c>
    </row>
    <row r="446" spans="1:25">
      <c r="A446" s="23"/>
      <c r="F446" s="37"/>
      <c r="H446" s="3"/>
      <c r="J446" s="109" t="str">
        <f>IF(C446&lt;&gt;"",SUMIFS('Booking Management'!Y:Y,'Booking Management'!B:B,'Sales Orders'!A446),"")</f>
        <v/>
      </c>
      <c r="K446" s="45"/>
      <c r="M446" s="92" t="str">
        <f t="shared" ca="1" si="28"/>
        <v/>
      </c>
      <c r="O446" s="3"/>
      <c r="Q446" s="92" t="str">
        <f t="shared" si="27"/>
        <v/>
      </c>
      <c r="R446" s="98">
        <f>SUMIFS('Booking Management'!J:J,'Booking Management'!B:B,'Sales Orders'!A446)</f>
        <v>0</v>
      </c>
      <c r="S446" s="99" t="str">
        <f t="shared" si="26"/>
        <v/>
      </c>
      <c r="Y446" s="98" t="str">
        <f t="shared" si="29"/>
        <v/>
      </c>
    </row>
    <row r="447" spans="1:25">
      <c r="A447" s="23"/>
      <c r="F447" s="37"/>
      <c r="H447" s="3"/>
      <c r="J447" s="109" t="str">
        <f>IF(C447&lt;&gt;"",SUMIFS('Booking Management'!Y:Y,'Booking Management'!B:B,'Sales Orders'!A447),"")</f>
        <v/>
      </c>
      <c r="K447" s="45"/>
      <c r="M447" s="92" t="str">
        <f t="shared" ca="1" si="28"/>
        <v/>
      </c>
      <c r="O447" s="3"/>
      <c r="Q447" s="92" t="str">
        <f t="shared" si="27"/>
        <v/>
      </c>
      <c r="R447" s="98">
        <f>SUMIFS('Booking Management'!J:J,'Booking Management'!B:B,'Sales Orders'!A447)</f>
        <v>0</v>
      </c>
      <c r="S447" s="99" t="str">
        <f t="shared" si="26"/>
        <v/>
      </c>
      <c r="Y447" s="98" t="str">
        <f t="shared" si="29"/>
        <v/>
      </c>
    </row>
    <row r="448" spans="1:25">
      <c r="A448" s="23"/>
      <c r="F448" s="37"/>
      <c r="H448" s="3"/>
      <c r="J448" s="109" t="str">
        <f>IF(C448&lt;&gt;"",SUMIFS('Booking Management'!Y:Y,'Booking Management'!B:B,'Sales Orders'!A448),"")</f>
        <v/>
      </c>
      <c r="K448" s="45"/>
      <c r="M448" s="92" t="str">
        <f t="shared" ca="1" si="28"/>
        <v/>
      </c>
      <c r="O448" s="3"/>
      <c r="Q448" s="92" t="str">
        <f t="shared" si="27"/>
        <v/>
      </c>
      <c r="R448" s="98">
        <f>SUMIFS('Booking Management'!J:J,'Booking Management'!B:B,'Sales Orders'!A448)</f>
        <v>0</v>
      </c>
      <c r="S448" s="99" t="str">
        <f t="shared" si="26"/>
        <v/>
      </c>
      <c r="Y448" s="98" t="str">
        <f t="shared" si="29"/>
        <v/>
      </c>
    </row>
    <row r="449" spans="1:25">
      <c r="A449" s="23"/>
      <c r="F449" s="37"/>
      <c r="H449" s="3"/>
      <c r="J449" s="109" t="str">
        <f>IF(C449&lt;&gt;"",SUMIFS('Booking Management'!Y:Y,'Booking Management'!B:B,'Sales Orders'!A449),"")</f>
        <v/>
      </c>
      <c r="K449" s="45"/>
      <c r="M449" s="92" t="str">
        <f t="shared" ca="1" si="28"/>
        <v/>
      </c>
      <c r="O449" s="3"/>
      <c r="Q449" s="92" t="str">
        <f t="shared" si="27"/>
        <v/>
      </c>
      <c r="R449" s="98">
        <f>SUMIFS('Booking Management'!J:J,'Booking Management'!B:B,'Sales Orders'!A449)</f>
        <v>0</v>
      </c>
      <c r="S449" s="99" t="str">
        <f t="shared" si="26"/>
        <v/>
      </c>
      <c r="Y449" s="98" t="str">
        <f t="shared" si="29"/>
        <v/>
      </c>
    </row>
    <row r="450" spans="1:25">
      <c r="A450" s="23"/>
      <c r="F450" s="37"/>
      <c r="H450" s="3"/>
      <c r="J450" s="109" t="str">
        <f>IF(C450&lt;&gt;"",SUMIFS('Booking Management'!Y:Y,'Booking Management'!B:B,'Sales Orders'!A450),"")</f>
        <v/>
      </c>
      <c r="K450" s="45"/>
      <c r="M450" s="92" t="str">
        <f t="shared" ca="1" si="28"/>
        <v/>
      </c>
      <c r="O450" s="3"/>
      <c r="Q450" s="92" t="str">
        <f t="shared" si="27"/>
        <v/>
      </c>
      <c r="R450" s="98">
        <f>SUMIFS('Booking Management'!J:J,'Booking Management'!B:B,'Sales Orders'!A450)</f>
        <v>0</v>
      </c>
      <c r="S450" s="99" t="str">
        <f t="shared" si="26"/>
        <v/>
      </c>
      <c r="Y450" s="98" t="str">
        <f t="shared" si="29"/>
        <v/>
      </c>
    </row>
    <row r="451" spans="1:25">
      <c r="A451" s="23"/>
      <c r="F451" s="37"/>
      <c r="H451" s="3"/>
      <c r="J451" s="109" t="str">
        <f>IF(C451&lt;&gt;"",SUMIFS('Booking Management'!Y:Y,'Booking Management'!B:B,'Sales Orders'!A451),"")</f>
        <v/>
      </c>
      <c r="K451" s="45"/>
      <c r="M451" s="92" t="str">
        <f t="shared" ca="1" si="28"/>
        <v/>
      </c>
      <c r="O451" s="3"/>
      <c r="Q451" s="92" t="str">
        <f t="shared" si="27"/>
        <v/>
      </c>
      <c r="R451" s="98">
        <f>SUMIFS('Booking Management'!J:J,'Booking Management'!B:B,'Sales Orders'!A451)</f>
        <v>0</v>
      </c>
      <c r="S451" s="99" t="str">
        <f t="shared" si="26"/>
        <v/>
      </c>
      <c r="Y451" s="98" t="str">
        <f t="shared" si="29"/>
        <v/>
      </c>
    </row>
    <row r="452" spans="1:25">
      <c r="A452" s="23"/>
      <c r="F452" s="37"/>
      <c r="H452" s="3"/>
      <c r="J452" s="109" t="str">
        <f>IF(C452&lt;&gt;"",SUMIFS('Booking Management'!Y:Y,'Booking Management'!B:B,'Sales Orders'!A452),"")</f>
        <v/>
      </c>
      <c r="K452" s="45"/>
      <c r="M452" s="92" t="str">
        <f t="shared" ca="1" si="28"/>
        <v/>
      </c>
      <c r="O452" s="3"/>
      <c r="Q452" s="92" t="str">
        <f t="shared" si="27"/>
        <v/>
      </c>
      <c r="R452" s="98">
        <f>SUMIFS('Booking Management'!J:J,'Booking Management'!B:B,'Sales Orders'!A452)</f>
        <v>0</v>
      </c>
      <c r="S452" s="99" t="str">
        <f t="shared" ref="S452:S515" si="30">IF(R452&gt;0,(R452/D452)*N452,"")</f>
        <v/>
      </c>
      <c r="Y452" s="98" t="str">
        <f t="shared" si="29"/>
        <v/>
      </c>
    </row>
    <row r="453" spans="1:25">
      <c r="A453" s="23"/>
      <c r="F453" s="37"/>
      <c r="H453" s="3"/>
      <c r="J453" s="109" t="str">
        <f>IF(C453&lt;&gt;"",SUMIFS('Booking Management'!Y:Y,'Booking Management'!B:B,'Sales Orders'!A453),"")</f>
        <v/>
      </c>
      <c r="K453" s="45"/>
      <c r="M453" s="92" t="str">
        <f t="shared" ca="1" si="28"/>
        <v/>
      </c>
      <c r="O453" s="3"/>
      <c r="Q453" s="92" t="str">
        <f t="shared" si="27"/>
        <v/>
      </c>
      <c r="R453" s="98">
        <f>SUMIFS('Booking Management'!J:J,'Booking Management'!B:B,'Sales Orders'!A453)</f>
        <v>0</v>
      </c>
      <c r="S453" s="99" t="str">
        <f t="shared" si="30"/>
        <v/>
      </c>
      <c r="Y453" s="98" t="str">
        <f t="shared" si="29"/>
        <v/>
      </c>
    </row>
    <row r="454" spans="1:25">
      <c r="A454" s="23"/>
      <c r="F454" s="37"/>
      <c r="H454" s="3"/>
      <c r="J454" s="109" t="str">
        <f>IF(C454&lt;&gt;"",SUMIFS('Booking Management'!Y:Y,'Booking Management'!B:B,'Sales Orders'!A454),"")</f>
        <v/>
      </c>
      <c r="K454" s="45"/>
      <c r="M454" s="92" t="str">
        <f t="shared" ca="1" si="28"/>
        <v/>
      </c>
      <c r="O454" s="3"/>
      <c r="Q454" s="92" t="str">
        <f t="shared" ref="Q454:Q517" si="31">IF(C454&lt;&gt;"",IF(OR(K454="",P454=""),"alert",""),"")</f>
        <v/>
      </c>
      <c r="R454" s="98">
        <f>SUMIFS('Booking Management'!J:J,'Booking Management'!B:B,'Sales Orders'!A454)</f>
        <v>0</v>
      </c>
      <c r="S454" s="99" t="str">
        <f t="shared" si="30"/>
        <v/>
      </c>
      <c r="Y454" s="98" t="str">
        <f t="shared" si="29"/>
        <v/>
      </c>
    </row>
    <row r="455" spans="1:25">
      <c r="A455" s="23"/>
      <c r="F455" s="37"/>
      <c r="H455" s="3"/>
      <c r="J455" s="109" t="str">
        <f>IF(C455&lt;&gt;"",SUMIFS('Booking Management'!Y:Y,'Booking Management'!B:B,'Sales Orders'!A455),"")</f>
        <v/>
      </c>
      <c r="K455" s="45"/>
      <c r="M455" s="92" t="str">
        <f t="shared" ref="M455:M518" ca="1" si="32">IFERROR(IF(K455&lt;&gt;"",IF(AND(_xlfn.NUMBERVALUE(J455)/_xlfn.NUMBERVALUE(D455) &lt;1,K455-TODAY()&lt;2,L455&lt;&gt;"yes"),"alert",""),""),"")</f>
        <v/>
      </c>
      <c r="O455" s="3"/>
      <c r="Q455" s="92" t="str">
        <f t="shared" si="31"/>
        <v/>
      </c>
      <c r="R455" s="98">
        <f>SUMIFS('Booking Management'!J:J,'Booking Management'!B:B,'Sales Orders'!A455)</f>
        <v>0</v>
      </c>
      <c r="S455" s="99" t="str">
        <f t="shared" si="30"/>
        <v/>
      </c>
      <c r="Y455" s="98" t="str">
        <f t="shared" si="29"/>
        <v/>
      </c>
    </row>
    <row r="456" spans="1:25">
      <c r="A456" s="23"/>
      <c r="F456" s="37"/>
      <c r="H456" s="3"/>
      <c r="J456" s="109" t="str">
        <f>IF(C456&lt;&gt;"",SUMIFS('Booking Management'!Y:Y,'Booking Management'!B:B,'Sales Orders'!A456),"")</f>
        <v/>
      </c>
      <c r="K456" s="45"/>
      <c r="M456" s="92" t="str">
        <f t="shared" ca="1" si="32"/>
        <v/>
      </c>
      <c r="O456" s="3"/>
      <c r="Q456" s="92" t="str">
        <f t="shared" si="31"/>
        <v/>
      </c>
      <c r="R456" s="98">
        <f>SUMIFS('Booking Management'!J:J,'Booking Management'!B:B,'Sales Orders'!A456)</f>
        <v>0</v>
      </c>
      <c r="S456" s="99" t="str">
        <f t="shared" si="30"/>
        <v/>
      </c>
      <c r="Y456" s="98" t="str">
        <f t="shared" si="29"/>
        <v/>
      </c>
    </row>
    <row r="457" spans="1:25">
      <c r="A457" s="23"/>
      <c r="F457" s="37"/>
      <c r="H457" s="3"/>
      <c r="J457" s="109" t="str">
        <f>IF(C457&lt;&gt;"",SUMIFS('Booking Management'!Y:Y,'Booking Management'!B:B,'Sales Orders'!A457),"")</f>
        <v/>
      </c>
      <c r="K457" s="45"/>
      <c r="M457" s="92" t="str">
        <f t="shared" ca="1" si="32"/>
        <v/>
      </c>
      <c r="O457" s="3"/>
      <c r="Q457" s="92" t="str">
        <f t="shared" si="31"/>
        <v/>
      </c>
      <c r="R457" s="98">
        <f>SUMIFS('Booking Management'!J:J,'Booking Management'!B:B,'Sales Orders'!A457)</f>
        <v>0</v>
      </c>
      <c r="S457" s="99" t="str">
        <f t="shared" si="30"/>
        <v/>
      </c>
      <c r="Y457" s="98" t="str">
        <f t="shared" si="29"/>
        <v/>
      </c>
    </row>
    <row r="458" spans="1:25">
      <c r="A458" s="23"/>
      <c r="F458" s="37"/>
      <c r="H458" s="3"/>
      <c r="J458" s="109" t="str">
        <f>IF(C458&lt;&gt;"",SUMIFS('Booking Management'!Y:Y,'Booking Management'!B:B,'Sales Orders'!A458),"")</f>
        <v/>
      </c>
      <c r="K458" s="45"/>
      <c r="M458" s="92" t="str">
        <f t="shared" ca="1" si="32"/>
        <v/>
      </c>
      <c r="O458" s="3"/>
      <c r="Q458" s="92" t="str">
        <f t="shared" si="31"/>
        <v/>
      </c>
      <c r="R458" s="98">
        <f>SUMIFS('Booking Management'!J:J,'Booking Management'!B:B,'Sales Orders'!A458)</f>
        <v>0</v>
      </c>
      <c r="S458" s="99" t="str">
        <f t="shared" si="30"/>
        <v/>
      </c>
      <c r="Y458" s="98" t="str">
        <f t="shared" si="29"/>
        <v/>
      </c>
    </row>
    <row r="459" spans="1:25">
      <c r="A459" s="23"/>
      <c r="F459" s="37"/>
      <c r="H459" s="3"/>
      <c r="J459" s="109" t="str">
        <f>IF(C459&lt;&gt;"",SUMIFS('Booking Management'!Y:Y,'Booking Management'!B:B,'Sales Orders'!A459),"")</f>
        <v/>
      </c>
      <c r="K459" s="45"/>
      <c r="M459" s="92" t="str">
        <f t="shared" ca="1" si="32"/>
        <v/>
      </c>
      <c r="O459" s="3"/>
      <c r="Q459" s="92" t="str">
        <f t="shared" si="31"/>
        <v/>
      </c>
      <c r="R459" s="98">
        <f>SUMIFS('Booking Management'!J:J,'Booking Management'!B:B,'Sales Orders'!A459)</f>
        <v>0</v>
      </c>
      <c r="S459" s="99" t="str">
        <f t="shared" si="30"/>
        <v/>
      </c>
      <c r="Y459" s="98" t="str">
        <f t="shared" si="29"/>
        <v/>
      </c>
    </row>
    <row r="460" spans="1:25">
      <c r="A460" s="23"/>
      <c r="F460" s="37"/>
      <c r="H460" s="3"/>
      <c r="J460" s="109" t="str">
        <f>IF(C460&lt;&gt;"",SUMIFS('Booking Management'!Y:Y,'Booking Management'!B:B,'Sales Orders'!A460),"")</f>
        <v/>
      </c>
      <c r="K460" s="45"/>
      <c r="M460" s="92" t="str">
        <f t="shared" ca="1" si="32"/>
        <v/>
      </c>
      <c r="O460" s="3"/>
      <c r="Q460" s="92" t="str">
        <f t="shared" si="31"/>
        <v/>
      </c>
      <c r="R460" s="98">
        <f>SUMIFS('Booking Management'!J:J,'Booking Management'!B:B,'Sales Orders'!A460)</f>
        <v>0</v>
      </c>
      <c r="S460" s="99" t="str">
        <f t="shared" si="30"/>
        <v/>
      </c>
      <c r="Y460" s="98" t="str">
        <f t="shared" si="29"/>
        <v/>
      </c>
    </row>
    <row r="461" spans="1:25">
      <c r="A461" s="23"/>
      <c r="F461" s="37"/>
      <c r="H461" s="3"/>
      <c r="J461" s="109" t="str">
        <f>IF(C461&lt;&gt;"",SUMIFS('Booking Management'!Y:Y,'Booking Management'!B:B,'Sales Orders'!A461),"")</f>
        <v/>
      </c>
      <c r="K461" s="45"/>
      <c r="M461" s="92" t="str">
        <f t="shared" ca="1" si="32"/>
        <v/>
      </c>
      <c r="O461" s="3"/>
      <c r="Q461" s="92" t="str">
        <f t="shared" si="31"/>
        <v/>
      </c>
      <c r="R461" s="98">
        <f>SUMIFS('Booking Management'!J:J,'Booking Management'!B:B,'Sales Orders'!A461)</f>
        <v>0</v>
      </c>
      <c r="S461" s="99" t="str">
        <f t="shared" si="30"/>
        <v/>
      </c>
      <c r="Y461" s="98" t="str">
        <f t="shared" si="29"/>
        <v/>
      </c>
    </row>
    <row r="462" spans="1:25">
      <c r="A462" s="23"/>
      <c r="F462" s="37"/>
      <c r="H462" s="3"/>
      <c r="J462" s="109" t="str">
        <f>IF(C462&lt;&gt;"",SUMIFS('Booking Management'!Y:Y,'Booking Management'!B:B,'Sales Orders'!A462),"")</f>
        <v/>
      </c>
      <c r="K462" s="45"/>
      <c r="M462" s="92" t="str">
        <f t="shared" ca="1" si="32"/>
        <v/>
      </c>
      <c r="O462" s="3"/>
      <c r="Q462" s="92" t="str">
        <f t="shared" si="31"/>
        <v/>
      </c>
      <c r="R462" s="98">
        <f>SUMIFS('Booking Management'!J:J,'Booking Management'!B:B,'Sales Orders'!A462)</f>
        <v>0</v>
      </c>
      <c r="S462" s="99" t="str">
        <f t="shared" si="30"/>
        <v/>
      </c>
      <c r="Y462" s="98" t="str">
        <f t="shared" si="29"/>
        <v/>
      </c>
    </row>
    <row r="463" spans="1:25">
      <c r="A463" s="23"/>
      <c r="F463" s="37"/>
      <c r="H463" s="3"/>
      <c r="J463" s="109" t="str">
        <f>IF(C463&lt;&gt;"",SUMIFS('Booking Management'!Y:Y,'Booking Management'!B:B,'Sales Orders'!A463),"")</f>
        <v/>
      </c>
      <c r="K463" s="45"/>
      <c r="M463" s="92" t="str">
        <f t="shared" ca="1" si="32"/>
        <v/>
      </c>
      <c r="O463" s="3"/>
      <c r="Q463" s="92" t="str">
        <f t="shared" si="31"/>
        <v/>
      </c>
      <c r="R463" s="98">
        <f>SUMIFS('Booking Management'!J:J,'Booking Management'!B:B,'Sales Orders'!A463)</f>
        <v>0</v>
      </c>
      <c r="S463" s="99" t="str">
        <f t="shared" si="30"/>
        <v/>
      </c>
      <c r="Y463" s="98" t="str">
        <f t="shared" si="29"/>
        <v/>
      </c>
    </row>
    <row r="464" spans="1:25">
      <c r="A464" s="23"/>
      <c r="F464" s="37"/>
      <c r="H464" s="3"/>
      <c r="J464" s="109" t="str">
        <f>IF(C464&lt;&gt;"",SUMIFS('Booking Management'!Y:Y,'Booking Management'!B:B,'Sales Orders'!A464),"")</f>
        <v/>
      </c>
      <c r="K464" s="45"/>
      <c r="M464" s="92" t="str">
        <f t="shared" ca="1" si="32"/>
        <v/>
      </c>
      <c r="O464" s="3"/>
      <c r="Q464" s="92" t="str">
        <f t="shared" si="31"/>
        <v/>
      </c>
      <c r="R464" s="98">
        <f>SUMIFS('Booking Management'!J:J,'Booking Management'!B:B,'Sales Orders'!A464)</f>
        <v>0</v>
      </c>
      <c r="S464" s="99" t="str">
        <f t="shared" si="30"/>
        <v/>
      </c>
      <c r="Y464" s="98" t="str">
        <f t="shared" si="29"/>
        <v/>
      </c>
    </row>
    <row r="465" spans="1:25">
      <c r="A465" s="23"/>
      <c r="F465" s="37"/>
      <c r="H465" s="3"/>
      <c r="J465" s="109" t="str">
        <f>IF(C465&lt;&gt;"",SUMIFS('Booking Management'!Y:Y,'Booking Management'!B:B,'Sales Orders'!A465),"")</f>
        <v/>
      </c>
      <c r="K465" s="45"/>
      <c r="M465" s="92" t="str">
        <f t="shared" ca="1" si="32"/>
        <v/>
      </c>
      <c r="O465" s="3"/>
      <c r="Q465" s="92" t="str">
        <f t="shared" si="31"/>
        <v/>
      </c>
      <c r="R465" s="98">
        <f>SUMIFS('Booking Management'!J:J,'Booking Management'!B:B,'Sales Orders'!A465)</f>
        <v>0</v>
      </c>
      <c r="S465" s="99" t="str">
        <f t="shared" si="30"/>
        <v/>
      </c>
      <c r="Y465" s="98" t="str">
        <f t="shared" si="29"/>
        <v/>
      </c>
    </row>
    <row r="466" spans="1:25">
      <c r="A466" s="23"/>
      <c r="F466" s="37"/>
      <c r="H466" s="3"/>
      <c r="J466" s="109" t="str">
        <f>IF(C466&lt;&gt;"",SUMIFS('Booking Management'!Y:Y,'Booking Management'!B:B,'Sales Orders'!A466),"")</f>
        <v/>
      </c>
      <c r="K466" s="45"/>
      <c r="M466" s="92" t="str">
        <f t="shared" ca="1" si="32"/>
        <v/>
      </c>
      <c r="O466" s="3"/>
      <c r="Q466" s="92" t="str">
        <f t="shared" si="31"/>
        <v/>
      </c>
      <c r="R466" s="98">
        <f>SUMIFS('Booking Management'!J:J,'Booking Management'!B:B,'Sales Orders'!A466)</f>
        <v>0</v>
      </c>
      <c r="S466" s="99" t="str">
        <f t="shared" si="30"/>
        <v/>
      </c>
      <c r="Y466" s="98" t="str">
        <f t="shared" si="29"/>
        <v/>
      </c>
    </row>
    <row r="467" spans="1:25">
      <c r="A467" s="23"/>
      <c r="F467" s="37"/>
      <c r="H467" s="3"/>
      <c r="J467" s="109" t="str">
        <f>IF(C467&lt;&gt;"",SUMIFS('Booking Management'!Y:Y,'Booking Management'!B:B,'Sales Orders'!A467),"")</f>
        <v/>
      </c>
      <c r="K467" s="45"/>
      <c r="M467" s="92" t="str">
        <f t="shared" ca="1" si="32"/>
        <v/>
      </c>
      <c r="O467" s="3"/>
      <c r="Q467" s="92" t="str">
        <f t="shared" si="31"/>
        <v/>
      </c>
      <c r="R467" s="98">
        <f>SUMIFS('Booking Management'!J:J,'Booking Management'!B:B,'Sales Orders'!A467)</f>
        <v>0</v>
      </c>
      <c r="S467" s="99" t="str">
        <f t="shared" si="30"/>
        <v/>
      </c>
      <c r="Y467" s="98" t="str">
        <f t="shared" si="29"/>
        <v/>
      </c>
    </row>
    <row r="468" spans="1:25">
      <c r="A468" s="23"/>
      <c r="F468" s="37"/>
      <c r="H468" s="3"/>
      <c r="J468" s="109" t="str">
        <f>IF(C468&lt;&gt;"",SUMIFS('Booking Management'!Y:Y,'Booking Management'!B:B,'Sales Orders'!A468),"")</f>
        <v/>
      </c>
      <c r="K468" s="45"/>
      <c r="M468" s="92" t="str">
        <f t="shared" ca="1" si="32"/>
        <v/>
      </c>
      <c r="O468" s="3"/>
      <c r="Q468" s="92" t="str">
        <f t="shared" si="31"/>
        <v/>
      </c>
      <c r="R468" s="98">
        <f>SUMIFS('Booking Management'!J:J,'Booking Management'!B:B,'Sales Orders'!A468)</f>
        <v>0</v>
      </c>
      <c r="S468" s="99" t="str">
        <f t="shared" si="30"/>
        <v/>
      </c>
      <c r="Y468" s="98" t="str">
        <f t="shared" si="29"/>
        <v/>
      </c>
    </row>
    <row r="469" spans="1:25">
      <c r="A469" s="23"/>
      <c r="F469" s="37"/>
      <c r="H469" s="3"/>
      <c r="J469" s="109" t="str">
        <f>IF(C469&lt;&gt;"",SUMIFS('Booking Management'!Y:Y,'Booking Management'!B:B,'Sales Orders'!A469),"")</f>
        <v/>
      </c>
      <c r="K469" s="45"/>
      <c r="M469" s="92" t="str">
        <f t="shared" ca="1" si="32"/>
        <v/>
      </c>
      <c r="O469" s="3"/>
      <c r="Q469" s="92" t="str">
        <f t="shared" si="31"/>
        <v/>
      </c>
      <c r="R469" s="98">
        <f>SUMIFS('Booking Management'!J:J,'Booking Management'!B:B,'Sales Orders'!A469)</f>
        <v>0</v>
      </c>
      <c r="S469" s="99" t="str">
        <f t="shared" si="30"/>
        <v/>
      </c>
      <c r="Y469" s="98" t="str">
        <f t="shared" si="29"/>
        <v/>
      </c>
    </row>
    <row r="470" spans="1:25">
      <c r="A470" s="23"/>
      <c r="F470" s="37"/>
      <c r="H470" s="3"/>
      <c r="J470" s="109" t="str">
        <f>IF(C470&lt;&gt;"",SUMIFS('Booking Management'!Y:Y,'Booking Management'!B:B,'Sales Orders'!A470),"")</f>
        <v/>
      </c>
      <c r="K470" s="45"/>
      <c r="M470" s="92" t="str">
        <f t="shared" ca="1" si="32"/>
        <v/>
      </c>
      <c r="O470" s="3"/>
      <c r="Q470" s="92" t="str">
        <f t="shared" si="31"/>
        <v/>
      </c>
      <c r="R470" s="98">
        <f>SUMIFS('Booking Management'!J:J,'Booking Management'!B:B,'Sales Orders'!A470)</f>
        <v>0</v>
      </c>
      <c r="S470" s="99" t="str">
        <f t="shared" si="30"/>
        <v/>
      </c>
      <c r="Y470" s="98" t="str">
        <f t="shared" si="29"/>
        <v/>
      </c>
    </row>
    <row r="471" spans="1:25">
      <c r="A471" s="23"/>
      <c r="F471" s="37"/>
      <c r="H471" s="3"/>
      <c r="J471" s="109" t="str">
        <f>IF(C471&lt;&gt;"",SUMIFS('Booking Management'!Y:Y,'Booking Management'!B:B,'Sales Orders'!A471),"")</f>
        <v/>
      </c>
      <c r="K471" s="45"/>
      <c r="M471" s="92" t="str">
        <f t="shared" ca="1" si="32"/>
        <v/>
      </c>
      <c r="O471" s="3"/>
      <c r="Q471" s="92" t="str">
        <f t="shared" si="31"/>
        <v/>
      </c>
      <c r="R471" s="98">
        <f>SUMIFS('Booking Management'!J:J,'Booking Management'!B:B,'Sales Orders'!A471)</f>
        <v>0</v>
      </c>
      <c r="S471" s="99" t="str">
        <f t="shared" si="30"/>
        <v/>
      </c>
      <c r="Y471" s="98" t="str">
        <f t="shared" si="29"/>
        <v/>
      </c>
    </row>
    <row r="472" spans="1:25">
      <c r="A472" s="23"/>
      <c r="F472" s="37"/>
      <c r="H472" s="3"/>
      <c r="J472" s="109" t="str">
        <f>IF(C472&lt;&gt;"",SUMIFS('Booking Management'!Y:Y,'Booking Management'!B:B,'Sales Orders'!A472),"")</f>
        <v/>
      </c>
      <c r="K472" s="45"/>
      <c r="M472" s="92" t="str">
        <f t="shared" ca="1" si="32"/>
        <v/>
      </c>
      <c r="O472" s="3"/>
      <c r="Q472" s="92" t="str">
        <f t="shared" si="31"/>
        <v/>
      </c>
      <c r="R472" s="98">
        <f>SUMIFS('Booking Management'!J:J,'Booking Management'!B:B,'Sales Orders'!A472)</f>
        <v>0</v>
      </c>
      <c r="S472" s="99" t="str">
        <f t="shared" si="30"/>
        <v/>
      </c>
      <c r="Y472" s="98" t="str">
        <f t="shared" si="29"/>
        <v/>
      </c>
    </row>
    <row r="473" spans="1:25">
      <c r="A473" s="23"/>
      <c r="F473" s="37"/>
      <c r="H473" s="3"/>
      <c r="J473" s="109" t="str">
        <f>IF(C473&lt;&gt;"",SUMIFS('Booking Management'!Y:Y,'Booking Management'!B:B,'Sales Orders'!A473),"")</f>
        <v/>
      </c>
      <c r="K473" s="45"/>
      <c r="M473" s="92" t="str">
        <f t="shared" ca="1" si="32"/>
        <v/>
      </c>
      <c r="O473" s="3"/>
      <c r="Q473" s="92" t="str">
        <f t="shared" si="31"/>
        <v/>
      </c>
      <c r="R473" s="98">
        <f>SUMIFS('Booking Management'!J:J,'Booking Management'!B:B,'Sales Orders'!A473)</f>
        <v>0</v>
      </c>
      <c r="S473" s="99" t="str">
        <f t="shared" si="30"/>
        <v/>
      </c>
      <c r="Y473" s="98" t="str">
        <f t="shared" si="29"/>
        <v/>
      </c>
    </row>
    <row r="474" spans="1:25">
      <c r="A474" s="23"/>
      <c r="F474" s="37"/>
      <c r="H474" s="3"/>
      <c r="J474" s="109" t="str">
        <f>IF(C474&lt;&gt;"",SUMIFS('Booking Management'!Y:Y,'Booking Management'!B:B,'Sales Orders'!A474),"")</f>
        <v/>
      </c>
      <c r="K474" s="45"/>
      <c r="M474" s="92" t="str">
        <f t="shared" ca="1" si="32"/>
        <v/>
      </c>
      <c r="O474" s="3"/>
      <c r="Q474" s="92" t="str">
        <f t="shared" si="31"/>
        <v/>
      </c>
      <c r="R474" s="98">
        <f>SUMIFS('Booking Management'!J:J,'Booking Management'!B:B,'Sales Orders'!A474)</f>
        <v>0</v>
      </c>
      <c r="S474" s="99" t="str">
        <f t="shared" si="30"/>
        <v/>
      </c>
      <c r="Y474" s="98" t="str">
        <f t="shared" si="29"/>
        <v/>
      </c>
    </row>
    <row r="475" spans="1:25">
      <c r="A475" s="23"/>
      <c r="F475" s="37"/>
      <c r="H475" s="3"/>
      <c r="J475" s="109" t="str">
        <f>IF(C475&lt;&gt;"",SUMIFS('Booking Management'!Y:Y,'Booking Management'!B:B,'Sales Orders'!A475),"")</f>
        <v/>
      </c>
      <c r="K475" s="45"/>
      <c r="M475" s="92" t="str">
        <f t="shared" ca="1" si="32"/>
        <v/>
      </c>
      <c r="O475" s="3"/>
      <c r="Q475" s="92" t="str">
        <f t="shared" si="31"/>
        <v/>
      </c>
      <c r="R475" s="98">
        <f>SUMIFS('Booking Management'!J:J,'Booking Management'!B:B,'Sales Orders'!A475)</f>
        <v>0</v>
      </c>
      <c r="S475" s="99" t="str">
        <f t="shared" si="30"/>
        <v/>
      </c>
      <c r="Y475" s="98" t="str">
        <f t="shared" si="29"/>
        <v/>
      </c>
    </row>
    <row r="476" spans="1:25">
      <c r="A476" s="23"/>
      <c r="F476" s="37"/>
      <c r="H476" s="3"/>
      <c r="J476" s="109" t="str">
        <f>IF(C476&lt;&gt;"",SUMIFS('Booking Management'!Y:Y,'Booking Management'!B:B,'Sales Orders'!A476),"")</f>
        <v/>
      </c>
      <c r="K476" s="45"/>
      <c r="M476" s="92" t="str">
        <f t="shared" ca="1" si="32"/>
        <v/>
      </c>
      <c r="O476" s="3"/>
      <c r="Q476" s="92" t="str">
        <f t="shared" si="31"/>
        <v/>
      </c>
      <c r="R476" s="98">
        <f>SUMIFS('Booking Management'!J:J,'Booking Management'!B:B,'Sales Orders'!A476)</f>
        <v>0</v>
      </c>
      <c r="S476" s="99" t="str">
        <f t="shared" si="30"/>
        <v/>
      </c>
      <c r="Y476" s="98" t="str">
        <f t="shared" si="29"/>
        <v/>
      </c>
    </row>
    <row r="477" spans="1:25">
      <c r="A477" s="23"/>
      <c r="F477" s="37"/>
      <c r="H477" s="3"/>
      <c r="J477" s="109" t="str">
        <f>IF(C477&lt;&gt;"",SUMIFS('Booking Management'!Y:Y,'Booking Management'!B:B,'Sales Orders'!A477),"")</f>
        <v/>
      </c>
      <c r="K477" s="45"/>
      <c r="M477" s="92" t="str">
        <f t="shared" ca="1" si="32"/>
        <v/>
      </c>
      <c r="O477" s="3"/>
      <c r="Q477" s="92" t="str">
        <f t="shared" si="31"/>
        <v/>
      </c>
      <c r="R477" s="98">
        <f>SUMIFS('Booking Management'!J:J,'Booking Management'!B:B,'Sales Orders'!A477)</f>
        <v>0</v>
      </c>
      <c r="S477" s="99" t="str">
        <f t="shared" si="30"/>
        <v/>
      </c>
      <c r="Y477" s="98" t="str">
        <f t="shared" si="29"/>
        <v/>
      </c>
    </row>
    <row r="478" spans="1:25">
      <c r="A478" s="23"/>
      <c r="F478" s="37"/>
      <c r="H478" s="3"/>
      <c r="J478" s="109" t="str">
        <f>IF(C478&lt;&gt;"",SUMIFS('Booking Management'!Y:Y,'Booking Management'!B:B,'Sales Orders'!A478),"")</f>
        <v/>
      </c>
      <c r="K478" s="45"/>
      <c r="M478" s="92" t="str">
        <f t="shared" ca="1" si="32"/>
        <v/>
      </c>
      <c r="O478" s="3"/>
      <c r="Q478" s="92" t="str">
        <f t="shared" si="31"/>
        <v/>
      </c>
      <c r="R478" s="98">
        <f>SUMIFS('Booking Management'!J:J,'Booking Management'!B:B,'Sales Orders'!A478)</f>
        <v>0</v>
      </c>
      <c r="S478" s="99" t="str">
        <f t="shared" si="30"/>
        <v/>
      </c>
      <c r="Y478" s="98" t="str">
        <f t="shared" si="29"/>
        <v/>
      </c>
    </row>
    <row r="479" spans="1:25">
      <c r="A479" s="23"/>
      <c r="F479" s="37"/>
      <c r="H479" s="3"/>
      <c r="J479" s="109" t="str">
        <f>IF(C479&lt;&gt;"",SUMIFS('Booking Management'!Y:Y,'Booking Management'!B:B,'Sales Orders'!A479),"")</f>
        <v/>
      </c>
      <c r="K479" s="45"/>
      <c r="M479" s="92" t="str">
        <f t="shared" ca="1" si="32"/>
        <v/>
      </c>
      <c r="O479" s="3"/>
      <c r="Q479" s="92" t="str">
        <f t="shared" si="31"/>
        <v/>
      </c>
      <c r="R479" s="98">
        <f>SUMIFS('Booking Management'!J:J,'Booking Management'!B:B,'Sales Orders'!A479)</f>
        <v>0</v>
      </c>
      <c r="S479" s="99" t="str">
        <f t="shared" si="30"/>
        <v/>
      </c>
      <c r="Y479" s="98" t="str">
        <f t="shared" si="29"/>
        <v/>
      </c>
    </row>
    <row r="480" spans="1:25">
      <c r="A480" s="23"/>
      <c r="F480" s="37"/>
      <c r="H480" s="3"/>
      <c r="J480" s="109" t="str">
        <f>IF(C480&lt;&gt;"",SUMIFS('Booking Management'!Y:Y,'Booking Management'!B:B,'Sales Orders'!A480),"")</f>
        <v/>
      </c>
      <c r="K480" s="45"/>
      <c r="M480" s="92" t="str">
        <f t="shared" ca="1" si="32"/>
        <v/>
      </c>
      <c r="O480" s="3"/>
      <c r="Q480" s="92" t="str">
        <f t="shared" si="31"/>
        <v/>
      </c>
      <c r="R480" s="98">
        <f>SUMIFS('Booking Management'!J:J,'Booking Management'!B:B,'Sales Orders'!A480)</f>
        <v>0</v>
      </c>
      <c r="S480" s="99" t="str">
        <f t="shared" si="30"/>
        <v/>
      </c>
      <c r="Y480" s="98" t="str">
        <f t="shared" si="29"/>
        <v/>
      </c>
    </row>
    <row r="481" spans="1:25">
      <c r="A481" s="23"/>
      <c r="F481" s="37"/>
      <c r="H481" s="3"/>
      <c r="J481" s="109" t="str">
        <f>IF(C481&lt;&gt;"",SUMIFS('Booking Management'!Y:Y,'Booking Management'!B:B,'Sales Orders'!A481),"")</f>
        <v/>
      </c>
      <c r="K481" s="45"/>
      <c r="M481" s="92" t="str">
        <f t="shared" ca="1" si="32"/>
        <v/>
      </c>
      <c r="O481" s="3"/>
      <c r="Q481" s="92" t="str">
        <f t="shared" si="31"/>
        <v/>
      </c>
      <c r="R481" s="98">
        <f>SUMIFS('Booking Management'!J:J,'Booking Management'!B:B,'Sales Orders'!A481)</f>
        <v>0</v>
      </c>
      <c r="S481" s="99" t="str">
        <f t="shared" si="30"/>
        <v/>
      </c>
      <c r="Y481" s="98" t="str">
        <f t="shared" si="29"/>
        <v/>
      </c>
    </row>
    <row r="482" spans="1:25">
      <c r="A482" s="23"/>
      <c r="F482" s="37"/>
      <c r="H482" s="3"/>
      <c r="J482" s="109" t="str">
        <f>IF(C482&lt;&gt;"",SUMIFS('Booking Management'!Y:Y,'Booking Management'!B:B,'Sales Orders'!A482),"")</f>
        <v/>
      </c>
      <c r="K482" s="45"/>
      <c r="M482" s="92" t="str">
        <f t="shared" ca="1" si="32"/>
        <v/>
      </c>
      <c r="O482" s="3"/>
      <c r="Q482" s="92" t="str">
        <f t="shared" si="31"/>
        <v/>
      </c>
      <c r="R482" s="98">
        <f>SUMIFS('Booking Management'!J:J,'Booking Management'!B:B,'Sales Orders'!A482)</f>
        <v>0</v>
      </c>
      <c r="S482" s="99" t="str">
        <f t="shared" si="30"/>
        <v/>
      </c>
      <c r="Y482" s="98" t="str">
        <f t="shared" si="29"/>
        <v/>
      </c>
    </row>
    <row r="483" spans="1:25">
      <c r="A483" s="23"/>
      <c r="F483" s="37"/>
      <c r="H483" s="3"/>
      <c r="J483" s="109" t="str">
        <f>IF(C483&lt;&gt;"",SUMIFS('Booking Management'!Y:Y,'Booking Management'!B:B,'Sales Orders'!A483),"")</f>
        <v/>
      </c>
      <c r="K483" s="45"/>
      <c r="M483" s="92" t="str">
        <f t="shared" ca="1" si="32"/>
        <v/>
      </c>
      <c r="O483" s="3"/>
      <c r="Q483" s="92" t="str">
        <f t="shared" si="31"/>
        <v/>
      </c>
      <c r="R483" s="98">
        <f>SUMIFS('Booking Management'!J:J,'Booking Management'!B:B,'Sales Orders'!A483)</f>
        <v>0</v>
      </c>
      <c r="S483" s="99" t="str">
        <f t="shared" si="30"/>
        <v/>
      </c>
      <c r="Y483" s="98" t="str">
        <f t="shared" si="29"/>
        <v/>
      </c>
    </row>
    <row r="484" spans="1:25">
      <c r="A484" s="23"/>
      <c r="F484" s="37"/>
      <c r="H484" s="3"/>
      <c r="J484" s="109" t="str">
        <f>IF(C484&lt;&gt;"",SUMIFS('Booking Management'!Y:Y,'Booking Management'!B:B,'Sales Orders'!A484),"")</f>
        <v/>
      </c>
      <c r="K484" s="45"/>
      <c r="M484" s="92" t="str">
        <f t="shared" ca="1" si="32"/>
        <v/>
      </c>
      <c r="O484" s="3"/>
      <c r="Q484" s="92" t="str">
        <f t="shared" si="31"/>
        <v/>
      </c>
      <c r="R484" s="98">
        <f>SUMIFS('Booking Management'!J:J,'Booking Management'!B:B,'Sales Orders'!A484)</f>
        <v>0</v>
      </c>
      <c r="S484" s="99" t="str">
        <f t="shared" si="30"/>
        <v/>
      </c>
      <c r="Y484" s="98" t="str">
        <f t="shared" si="29"/>
        <v/>
      </c>
    </row>
    <row r="485" spans="1:25">
      <c r="A485" s="23"/>
      <c r="F485" s="37"/>
      <c r="H485" s="3"/>
      <c r="J485" s="109" t="str">
        <f>IF(C485&lt;&gt;"",SUMIFS('Booking Management'!Y:Y,'Booking Management'!B:B,'Sales Orders'!A485),"")</f>
        <v/>
      </c>
      <c r="K485" s="45"/>
      <c r="M485" s="92" t="str">
        <f t="shared" ca="1" si="32"/>
        <v/>
      </c>
      <c r="O485" s="3"/>
      <c r="Q485" s="92" t="str">
        <f t="shared" si="31"/>
        <v/>
      </c>
      <c r="R485" s="98">
        <f>SUMIFS('Booking Management'!J:J,'Booking Management'!B:B,'Sales Orders'!A485)</f>
        <v>0</v>
      </c>
      <c r="S485" s="99" t="str">
        <f t="shared" si="30"/>
        <v/>
      </c>
      <c r="Y485" s="98" t="str">
        <f t="shared" si="29"/>
        <v/>
      </c>
    </row>
    <row r="486" spans="1:25">
      <c r="A486" s="23"/>
      <c r="F486" s="37"/>
      <c r="H486" s="3"/>
      <c r="J486" s="109" t="str">
        <f>IF(C486&lt;&gt;"",SUMIFS('Booking Management'!Y:Y,'Booking Management'!B:B,'Sales Orders'!A486),"")</f>
        <v/>
      </c>
      <c r="K486" s="45"/>
      <c r="M486" s="92" t="str">
        <f t="shared" ca="1" si="32"/>
        <v/>
      </c>
      <c r="O486" s="3"/>
      <c r="Q486" s="92" t="str">
        <f t="shared" si="31"/>
        <v/>
      </c>
      <c r="R486" s="98">
        <f>SUMIFS('Booking Management'!J:J,'Booking Management'!B:B,'Sales Orders'!A486)</f>
        <v>0</v>
      </c>
      <c r="S486" s="99" t="str">
        <f t="shared" si="30"/>
        <v/>
      </c>
      <c r="Y486" s="98" t="str">
        <f t="shared" si="29"/>
        <v/>
      </c>
    </row>
    <row r="487" spans="1:25">
      <c r="A487" s="23"/>
      <c r="F487" s="37"/>
      <c r="H487" s="3"/>
      <c r="J487" s="109" t="str">
        <f>IF(C487&lt;&gt;"",SUMIFS('Booking Management'!Y:Y,'Booking Management'!B:B,'Sales Orders'!A487),"")</f>
        <v/>
      </c>
      <c r="K487" s="45"/>
      <c r="M487" s="92" t="str">
        <f t="shared" ca="1" si="32"/>
        <v/>
      </c>
      <c r="O487" s="3"/>
      <c r="Q487" s="92" t="str">
        <f t="shared" si="31"/>
        <v/>
      </c>
      <c r="R487" s="98">
        <f>SUMIFS('Booking Management'!J:J,'Booking Management'!B:B,'Sales Orders'!A487)</f>
        <v>0</v>
      </c>
      <c r="S487" s="99" t="str">
        <f t="shared" si="30"/>
        <v/>
      </c>
      <c r="Y487" s="98" t="str">
        <f t="shared" si="29"/>
        <v/>
      </c>
    </row>
    <row r="488" spans="1:25">
      <c r="A488" s="23"/>
      <c r="F488" s="37"/>
      <c r="H488" s="3"/>
      <c r="J488" s="109" t="str">
        <f>IF(C488&lt;&gt;"",SUMIFS('Booking Management'!Y:Y,'Booking Management'!B:B,'Sales Orders'!A488),"")</f>
        <v/>
      </c>
      <c r="K488" s="45"/>
      <c r="M488" s="92" t="str">
        <f t="shared" ca="1" si="32"/>
        <v/>
      </c>
      <c r="O488" s="3"/>
      <c r="Q488" s="92" t="str">
        <f t="shared" si="31"/>
        <v/>
      </c>
      <c r="R488" s="98">
        <f>SUMIFS('Booking Management'!J:J,'Booking Management'!B:B,'Sales Orders'!A488)</f>
        <v>0</v>
      </c>
      <c r="S488" s="99" t="str">
        <f t="shared" si="30"/>
        <v/>
      </c>
      <c r="Y488" s="98" t="str">
        <f t="shared" si="29"/>
        <v/>
      </c>
    </row>
    <row r="489" spans="1:25">
      <c r="A489" s="23"/>
      <c r="F489" s="37"/>
      <c r="H489" s="3"/>
      <c r="J489" s="109" t="str">
        <f>IF(C489&lt;&gt;"",SUMIFS('Booking Management'!Y:Y,'Booking Management'!B:B,'Sales Orders'!A489),"")</f>
        <v/>
      </c>
      <c r="K489" s="45"/>
      <c r="M489" s="92" t="str">
        <f t="shared" ca="1" si="32"/>
        <v/>
      </c>
      <c r="O489" s="3"/>
      <c r="Q489" s="92" t="str">
        <f t="shared" si="31"/>
        <v/>
      </c>
      <c r="R489" s="98">
        <f>SUMIFS('Booking Management'!J:J,'Booking Management'!B:B,'Sales Orders'!A489)</f>
        <v>0</v>
      </c>
      <c r="S489" s="99" t="str">
        <f t="shared" si="30"/>
        <v/>
      </c>
      <c r="Y489" s="98" t="str">
        <f t="shared" si="29"/>
        <v/>
      </c>
    </row>
    <row r="490" spans="1:25">
      <c r="A490" s="23"/>
      <c r="F490" s="37"/>
      <c r="H490" s="3"/>
      <c r="J490" s="109" t="str">
        <f>IF(C490&lt;&gt;"",SUMIFS('Booking Management'!Y:Y,'Booking Management'!B:B,'Sales Orders'!A490),"")</f>
        <v/>
      </c>
      <c r="K490" s="45"/>
      <c r="M490" s="92" t="str">
        <f t="shared" ca="1" si="32"/>
        <v/>
      </c>
      <c r="O490" s="3"/>
      <c r="Q490" s="92" t="str">
        <f t="shared" si="31"/>
        <v/>
      </c>
      <c r="R490" s="98">
        <f>SUMIFS('Booking Management'!J:J,'Booking Management'!B:B,'Sales Orders'!A490)</f>
        <v>0</v>
      </c>
      <c r="S490" s="99" t="str">
        <f t="shared" si="30"/>
        <v/>
      </c>
      <c r="Y490" s="98" t="str">
        <f t="shared" ref="Y490:Y553" si="33">IF(D490&lt;&gt;"",D490-J490,"")</f>
        <v/>
      </c>
    </row>
    <row r="491" spans="1:25">
      <c r="A491" s="23"/>
      <c r="F491" s="37"/>
      <c r="H491" s="3"/>
      <c r="J491" s="109" t="str">
        <f>IF(C491&lt;&gt;"",SUMIFS('Booking Management'!Y:Y,'Booking Management'!B:B,'Sales Orders'!A491),"")</f>
        <v/>
      </c>
      <c r="K491" s="45"/>
      <c r="M491" s="92" t="str">
        <f t="shared" ca="1" si="32"/>
        <v/>
      </c>
      <c r="O491" s="3"/>
      <c r="Q491" s="92" t="str">
        <f t="shared" si="31"/>
        <v/>
      </c>
      <c r="R491" s="98">
        <f>SUMIFS('Booking Management'!J:J,'Booking Management'!B:B,'Sales Orders'!A491)</f>
        <v>0</v>
      </c>
      <c r="S491" s="99" t="str">
        <f t="shared" si="30"/>
        <v/>
      </c>
      <c r="Y491" s="98" t="str">
        <f t="shared" si="33"/>
        <v/>
      </c>
    </row>
    <row r="492" spans="1:25">
      <c r="A492" s="23"/>
      <c r="F492" s="37"/>
      <c r="H492" s="3"/>
      <c r="J492" s="109" t="str">
        <f>IF(C492&lt;&gt;"",SUMIFS('Booking Management'!Y:Y,'Booking Management'!B:B,'Sales Orders'!A492),"")</f>
        <v/>
      </c>
      <c r="K492" s="45"/>
      <c r="M492" s="92" t="str">
        <f t="shared" ca="1" si="32"/>
        <v/>
      </c>
      <c r="O492" s="3"/>
      <c r="Q492" s="92" t="str">
        <f t="shared" si="31"/>
        <v/>
      </c>
      <c r="R492" s="98">
        <f>SUMIFS('Booking Management'!J:J,'Booking Management'!B:B,'Sales Orders'!A492)</f>
        <v>0</v>
      </c>
      <c r="S492" s="99" t="str">
        <f t="shared" si="30"/>
        <v/>
      </c>
      <c r="Y492" s="98" t="str">
        <f t="shared" si="33"/>
        <v/>
      </c>
    </row>
    <row r="493" spans="1:25">
      <c r="A493" s="23"/>
      <c r="F493" s="37"/>
      <c r="H493" s="3"/>
      <c r="J493" s="109" t="str">
        <f>IF(C493&lt;&gt;"",SUMIFS('Booking Management'!Y:Y,'Booking Management'!B:B,'Sales Orders'!A493),"")</f>
        <v/>
      </c>
      <c r="K493" s="45"/>
      <c r="M493" s="92" t="str">
        <f t="shared" ca="1" si="32"/>
        <v/>
      </c>
      <c r="O493" s="3"/>
      <c r="Q493" s="92" t="str">
        <f t="shared" si="31"/>
        <v/>
      </c>
      <c r="R493" s="98">
        <f>SUMIFS('Booking Management'!J:J,'Booking Management'!B:B,'Sales Orders'!A493)</f>
        <v>0</v>
      </c>
      <c r="S493" s="99" t="str">
        <f t="shared" si="30"/>
        <v/>
      </c>
      <c r="Y493" s="98" t="str">
        <f t="shared" si="33"/>
        <v/>
      </c>
    </row>
    <row r="494" spans="1:25">
      <c r="A494" s="23"/>
      <c r="F494" s="37"/>
      <c r="H494" s="3"/>
      <c r="J494" s="109" t="str">
        <f>IF(C494&lt;&gt;"",SUMIFS('Booking Management'!Y:Y,'Booking Management'!B:B,'Sales Orders'!A494),"")</f>
        <v/>
      </c>
      <c r="K494" s="45"/>
      <c r="M494" s="92" t="str">
        <f t="shared" ca="1" si="32"/>
        <v/>
      </c>
      <c r="O494" s="3"/>
      <c r="Q494" s="92" t="str">
        <f t="shared" si="31"/>
        <v/>
      </c>
      <c r="R494" s="98">
        <f>SUMIFS('Booking Management'!J:J,'Booking Management'!B:B,'Sales Orders'!A494)</f>
        <v>0</v>
      </c>
      <c r="S494" s="99" t="str">
        <f t="shared" si="30"/>
        <v/>
      </c>
      <c r="Y494" s="98" t="str">
        <f t="shared" si="33"/>
        <v/>
      </c>
    </row>
    <row r="495" spans="1:25">
      <c r="A495" s="23"/>
      <c r="F495" s="37"/>
      <c r="H495" s="3"/>
      <c r="J495" s="109" t="str">
        <f>IF(C495&lt;&gt;"",SUMIFS('Booking Management'!Y:Y,'Booking Management'!B:B,'Sales Orders'!A495),"")</f>
        <v/>
      </c>
      <c r="K495" s="45"/>
      <c r="M495" s="92" t="str">
        <f t="shared" ca="1" si="32"/>
        <v/>
      </c>
      <c r="O495" s="3"/>
      <c r="Q495" s="92" t="str">
        <f t="shared" si="31"/>
        <v/>
      </c>
      <c r="R495" s="98">
        <f>SUMIFS('Booking Management'!J:J,'Booking Management'!B:B,'Sales Orders'!A495)</f>
        <v>0</v>
      </c>
      <c r="S495" s="99" t="str">
        <f t="shared" si="30"/>
        <v/>
      </c>
      <c r="Y495" s="98" t="str">
        <f t="shared" si="33"/>
        <v/>
      </c>
    </row>
    <row r="496" spans="1:25">
      <c r="A496" s="23"/>
      <c r="F496" s="37"/>
      <c r="H496" s="3"/>
      <c r="J496" s="109" t="str">
        <f>IF(C496&lt;&gt;"",SUMIFS('Booking Management'!Y:Y,'Booking Management'!B:B,'Sales Orders'!A496),"")</f>
        <v/>
      </c>
      <c r="K496" s="45"/>
      <c r="M496" s="92" t="str">
        <f t="shared" ca="1" si="32"/>
        <v/>
      </c>
      <c r="O496" s="3"/>
      <c r="Q496" s="92" t="str">
        <f t="shared" si="31"/>
        <v/>
      </c>
      <c r="R496" s="98">
        <f>SUMIFS('Booking Management'!J:J,'Booking Management'!B:B,'Sales Orders'!A496)</f>
        <v>0</v>
      </c>
      <c r="S496" s="99" t="str">
        <f t="shared" si="30"/>
        <v/>
      </c>
      <c r="Y496" s="98" t="str">
        <f t="shared" si="33"/>
        <v/>
      </c>
    </row>
    <row r="497" spans="1:25">
      <c r="A497" s="23"/>
      <c r="F497" s="37"/>
      <c r="H497" s="3"/>
      <c r="J497" s="109" t="str">
        <f>IF(C497&lt;&gt;"",SUMIFS('Booking Management'!Y:Y,'Booking Management'!B:B,'Sales Orders'!A497),"")</f>
        <v/>
      </c>
      <c r="K497" s="45"/>
      <c r="M497" s="92" t="str">
        <f t="shared" ca="1" si="32"/>
        <v/>
      </c>
      <c r="O497" s="3"/>
      <c r="Q497" s="92" t="str">
        <f t="shared" si="31"/>
        <v/>
      </c>
      <c r="R497" s="98">
        <f>SUMIFS('Booking Management'!J:J,'Booking Management'!B:B,'Sales Orders'!A497)</f>
        <v>0</v>
      </c>
      <c r="S497" s="99" t="str">
        <f t="shared" si="30"/>
        <v/>
      </c>
      <c r="Y497" s="98" t="str">
        <f t="shared" si="33"/>
        <v/>
      </c>
    </row>
    <row r="498" spans="1:25">
      <c r="A498" s="23"/>
      <c r="F498" s="37"/>
      <c r="H498" s="3"/>
      <c r="J498" s="109" t="str">
        <f>IF(C498&lt;&gt;"",SUMIFS('Booking Management'!Y:Y,'Booking Management'!B:B,'Sales Orders'!A498),"")</f>
        <v/>
      </c>
      <c r="K498" s="45"/>
      <c r="M498" s="92" t="str">
        <f t="shared" ca="1" si="32"/>
        <v/>
      </c>
      <c r="O498" s="3"/>
      <c r="Q498" s="92" t="str">
        <f t="shared" si="31"/>
        <v/>
      </c>
      <c r="R498" s="98">
        <f>SUMIFS('Booking Management'!J:J,'Booking Management'!B:B,'Sales Orders'!A498)</f>
        <v>0</v>
      </c>
      <c r="S498" s="99" t="str">
        <f t="shared" si="30"/>
        <v/>
      </c>
      <c r="Y498" s="98" t="str">
        <f t="shared" si="33"/>
        <v/>
      </c>
    </row>
    <row r="499" spans="1:25">
      <c r="A499" s="23"/>
      <c r="F499" s="37"/>
      <c r="H499" s="3"/>
      <c r="J499" s="109" t="str">
        <f>IF(C499&lt;&gt;"",SUMIFS('Booking Management'!Y:Y,'Booking Management'!B:B,'Sales Orders'!A499),"")</f>
        <v/>
      </c>
      <c r="K499" s="45"/>
      <c r="M499" s="92" t="str">
        <f t="shared" ca="1" si="32"/>
        <v/>
      </c>
      <c r="O499" s="3"/>
      <c r="Q499" s="92" t="str">
        <f t="shared" si="31"/>
        <v/>
      </c>
      <c r="R499" s="98">
        <f>SUMIFS('Booking Management'!J:J,'Booking Management'!B:B,'Sales Orders'!A499)</f>
        <v>0</v>
      </c>
      <c r="S499" s="99" t="str">
        <f t="shared" si="30"/>
        <v/>
      </c>
      <c r="Y499" s="98" t="str">
        <f t="shared" si="33"/>
        <v/>
      </c>
    </row>
    <row r="500" spans="1:25">
      <c r="A500" s="23"/>
      <c r="F500" s="37"/>
      <c r="H500" s="3"/>
      <c r="J500" s="109" t="str">
        <f>IF(C500&lt;&gt;"",SUMIFS('Booking Management'!Y:Y,'Booking Management'!B:B,'Sales Orders'!A500),"")</f>
        <v/>
      </c>
      <c r="K500" s="45"/>
      <c r="M500" s="92" t="str">
        <f t="shared" ca="1" si="32"/>
        <v/>
      </c>
      <c r="O500" s="3"/>
      <c r="Q500" s="92" t="str">
        <f t="shared" si="31"/>
        <v/>
      </c>
      <c r="R500" s="98">
        <f>SUMIFS('Booking Management'!J:J,'Booking Management'!B:B,'Sales Orders'!A500)</f>
        <v>0</v>
      </c>
      <c r="S500" s="99" t="str">
        <f t="shared" si="30"/>
        <v/>
      </c>
      <c r="Y500" s="98" t="str">
        <f t="shared" si="33"/>
        <v/>
      </c>
    </row>
    <row r="501" spans="1:25">
      <c r="A501" s="23"/>
      <c r="F501" s="37"/>
      <c r="H501" s="3"/>
      <c r="J501" s="109" t="str">
        <f>IF(C501&lt;&gt;"",SUMIFS('Booking Management'!Y:Y,'Booking Management'!B:B,'Sales Orders'!A501),"")</f>
        <v/>
      </c>
      <c r="K501" s="45"/>
      <c r="M501" s="92" t="str">
        <f t="shared" ca="1" si="32"/>
        <v/>
      </c>
      <c r="O501" s="3"/>
      <c r="Q501" s="92" t="str">
        <f t="shared" si="31"/>
        <v/>
      </c>
      <c r="R501" s="98">
        <f>SUMIFS('Booking Management'!J:J,'Booking Management'!B:B,'Sales Orders'!A501)</f>
        <v>0</v>
      </c>
      <c r="S501" s="99" t="str">
        <f t="shared" si="30"/>
        <v/>
      </c>
      <c r="Y501" s="98" t="str">
        <f t="shared" si="33"/>
        <v/>
      </c>
    </row>
    <row r="502" spans="1:25">
      <c r="A502" s="23"/>
      <c r="F502" s="37"/>
      <c r="H502" s="3"/>
      <c r="J502" s="109" t="str">
        <f>IF(C502&lt;&gt;"",SUMIFS('Booking Management'!Y:Y,'Booking Management'!B:B,'Sales Orders'!A502),"")</f>
        <v/>
      </c>
      <c r="K502" s="45"/>
      <c r="M502" s="92" t="str">
        <f t="shared" ca="1" si="32"/>
        <v/>
      </c>
      <c r="O502" s="3"/>
      <c r="Q502" s="92" t="str">
        <f t="shared" si="31"/>
        <v/>
      </c>
      <c r="R502" s="98">
        <f>SUMIFS('Booking Management'!J:J,'Booking Management'!B:B,'Sales Orders'!A502)</f>
        <v>0</v>
      </c>
      <c r="S502" s="99" t="str">
        <f t="shared" si="30"/>
        <v/>
      </c>
      <c r="Y502" s="98" t="str">
        <f t="shared" si="33"/>
        <v/>
      </c>
    </row>
    <row r="503" spans="1:25">
      <c r="A503" s="23"/>
      <c r="F503" s="37"/>
      <c r="H503" s="3"/>
      <c r="J503" s="109" t="str">
        <f>IF(C503&lt;&gt;"",SUMIFS('Booking Management'!Y:Y,'Booking Management'!B:B,'Sales Orders'!A503),"")</f>
        <v/>
      </c>
      <c r="K503" s="45"/>
      <c r="M503" s="92" t="str">
        <f t="shared" ca="1" si="32"/>
        <v/>
      </c>
      <c r="O503" s="3"/>
      <c r="Q503" s="92" t="str">
        <f t="shared" si="31"/>
        <v/>
      </c>
      <c r="R503" s="98">
        <f>SUMIFS('Booking Management'!J:J,'Booking Management'!B:B,'Sales Orders'!A503)</f>
        <v>0</v>
      </c>
      <c r="S503" s="99" t="str">
        <f t="shared" si="30"/>
        <v/>
      </c>
      <c r="Y503" s="98" t="str">
        <f t="shared" si="33"/>
        <v/>
      </c>
    </row>
    <row r="504" spans="1:25">
      <c r="A504" s="23"/>
      <c r="F504" s="37"/>
      <c r="H504" s="3"/>
      <c r="J504" s="109" t="str">
        <f>IF(C504&lt;&gt;"",SUMIFS('Booking Management'!Y:Y,'Booking Management'!B:B,'Sales Orders'!A504),"")</f>
        <v/>
      </c>
      <c r="K504" s="45"/>
      <c r="M504" s="92" t="str">
        <f t="shared" ca="1" si="32"/>
        <v/>
      </c>
      <c r="O504" s="3"/>
      <c r="Q504" s="92" t="str">
        <f t="shared" si="31"/>
        <v/>
      </c>
      <c r="R504" s="98">
        <f>SUMIFS('Booking Management'!J:J,'Booking Management'!B:B,'Sales Orders'!A504)</f>
        <v>0</v>
      </c>
      <c r="S504" s="99" t="str">
        <f t="shared" si="30"/>
        <v/>
      </c>
      <c r="Y504" s="98" t="str">
        <f t="shared" si="33"/>
        <v/>
      </c>
    </row>
    <row r="505" spans="1:25">
      <c r="A505" s="23"/>
      <c r="F505" s="37"/>
      <c r="H505" s="3"/>
      <c r="J505" s="109" t="str">
        <f>IF(C505&lt;&gt;"",SUMIFS('Booking Management'!Y:Y,'Booking Management'!B:B,'Sales Orders'!A505),"")</f>
        <v/>
      </c>
      <c r="K505" s="45"/>
      <c r="M505" s="92" t="str">
        <f t="shared" ca="1" si="32"/>
        <v/>
      </c>
      <c r="O505" s="3"/>
      <c r="Q505" s="92" t="str">
        <f t="shared" si="31"/>
        <v/>
      </c>
      <c r="R505" s="98">
        <f>SUMIFS('Booking Management'!J:J,'Booking Management'!B:B,'Sales Orders'!A505)</f>
        <v>0</v>
      </c>
      <c r="S505" s="99" t="str">
        <f t="shared" si="30"/>
        <v/>
      </c>
      <c r="Y505" s="98" t="str">
        <f t="shared" si="33"/>
        <v/>
      </c>
    </row>
    <row r="506" spans="1:25">
      <c r="A506" s="23"/>
      <c r="F506" s="37"/>
      <c r="H506" s="3"/>
      <c r="J506" s="109" t="str">
        <f>IF(C506&lt;&gt;"",SUMIFS('Booking Management'!Y:Y,'Booking Management'!B:B,'Sales Orders'!A506),"")</f>
        <v/>
      </c>
      <c r="K506" s="45"/>
      <c r="M506" s="92" t="str">
        <f t="shared" ca="1" si="32"/>
        <v/>
      </c>
      <c r="O506" s="3"/>
      <c r="Q506" s="92" t="str">
        <f t="shared" si="31"/>
        <v/>
      </c>
      <c r="R506" s="98">
        <f>SUMIFS('Booking Management'!J:J,'Booking Management'!B:B,'Sales Orders'!A506)</f>
        <v>0</v>
      </c>
      <c r="S506" s="99" t="str">
        <f t="shared" si="30"/>
        <v/>
      </c>
      <c r="Y506" s="98" t="str">
        <f t="shared" si="33"/>
        <v/>
      </c>
    </row>
    <row r="507" spans="1:25">
      <c r="A507" s="23"/>
      <c r="F507" s="37"/>
      <c r="H507" s="3"/>
      <c r="J507" s="109" t="str">
        <f>IF(C507&lt;&gt;"",SUMIFS('Booking Management'!Y:Y,'Booking Management'!B:B,'Sales Orders'!A507),"")</f>
        <v/>
      </c>
      <c r="K507" s="45"/>
      <c r="M507" s="92" t="str">
        <f t="shared" ca="1" si="32"/>
        <v/>
      </c>
      <c r="O507" s="3"/>
      <c r="Q507" s="92" t="str">
        <f t="shared" si="31"/>
        <v/>
      </c>
      <c r="R507" s="98">
        <f>SUMIFS('Booking Management'!J:J,'Booking Management'!B:B,'Sales Orders'!A507)</f>
        <v>0</v>
      </c>
      <c r="S507" s="99" t="str">
        <f t="shared" si="30"/>
        <v/>
      </c>
      <c r="Y507" s="98" t="str">
        <f t="shared" si="33"/>
        <v/>
      </c>
    </row>
    <row r="508" spans="1:25">
      <c r="A508" s="23"/>
      <c r="F508" s="37"/>
      <c r="H508" s="3"/>
      <c r="J508" s="109" t="str">
        <f>IF(C508&lt;&gt;"",SUMIFS('Booking Management'!Y:Y,'Booking Management'!B:B,'Sales Orders'!A508),"")</f>
        <v/>
      </c>
      <c r="K508" s="45"/>
      <c r="M508" s="92" t="str">
        <f t="shared" ca="1" si="32"/>
        <v/>
      </c>
      <c r="O508" s="3"/>
      <c r="Q508" s="92" t="str">
        <f t="shared" si="31"/>
        <v/>
      </c>
      <c r="R508" s="98">
        <f>SUMIFS('Booking Management'!J:J,'Booking Management'!B:B,'Sales Orders'!A508)</f>
        <v>0</v>
      </c>
      <c r="S508" s="99" t="str">
        <f t="shared" si="30"/>
        <v/>
      </c>
      <c r="Y508" s="98" t="str">
        <f t="shared" si="33"/>
        <v/>
      </c>
    </row>
    <row r="509" spans="1:25">
      <c r="A509" s="23"/>
      <c r="F509" s="37"/>
      <c r="H509" s="3"/>
      <c r="J509" s="109" t="str">
        <f>IF(C509&lt;&gt;"",SUMIFS('Booking Management'!Y:Y,'Booking Management'!B:B,'Sales Orders'!A509),"")</f>
        <v/>
      </c>
      <c r="K509" s="45"/>
      <c r="M509" s="92" t="str">
        <f t="shared" ca="1" si="32"/>
        <v/>
      </c>
      <c r="O509" s="3"/>
      <c r="Q509" s="92" t="str">
        <f t="shared" si="31"/>
        <v/>
      </c>
      <c r="R509" s="98">
        <f>SUMIFS('Booking Management'!J:J,'Booking Management'!B:B,'Sales Orders'!A509)</f>
        <v>0</v>
      </c>
      <c r="S509" s="99" t="str">
        <f t="shared" si="30"/>
        <v/>
      </c>
      <c r="Y509" s="98" t="str">
        <f t="shared" si="33"/>
        <v/>
      </c>
    </row>
    <row r="510" spans="1:25">
      <c r="A510" s="23"/>
      <c r="F510" s="37"/>
      <c r="H510" s="3"/>
      <c r="J510" s="109" t="str">
        <f>IF(C510&lt;&gt;"",SUMIFS('Booking Management'!Y:Y,'Booking Management'!B:B,'Sales Orders'!A510),"")</f>
        <v/>
      </c>
      <c r="K510" s="45"/>
      <c r="M510" s="92" t="str">
        <f t="shared" ca="1" si="32"/>
        <v/>
      </c>
      <c r="O510" s="3"/>
      <c r="Q510" s="92" t="str">
        <f t="shared" si="31"/>
        <v/>
      </c>
      <c r="R510" s="98">
        <f>SUMIFS('Booking Management'!J:J,'Booking Management'!B:B,'Sales Orders'!A510)</f>
        <v>0</v>
      </c>
      <c r="S510" s="99" t="str">
        <f t="shared" si="30"/>
        <v/>
      </c>
      <c r="Y510" s="98" t="str">
        <f t="shared" si="33"/>
        <v/>
      </c>
    </row>
    <row r="511" spans="1:25">
      <c r="A511" s="23"/>
      <c r="F511" s="37"/>
      <c r="H511" s="3"/>
      <c r="J511" s="109" t="str">
        <f>IF(C511&lt;&gt;"",SUMIFS('Booking Management'!Y:Y,'Booking Management'!B:B,'Sales Orders'!A511),"")</f>
        <v/>
      </c>
      <c r="K511" s="45"/>
      <c r="M511" s="92" t="str">
        <f t="shared" ca="1" si="32"/>
        <v/>
      </c>
      <c r="O511" s="3"/>
      <c r="Q511" s="92" t="str">
        <f t="shared" si="31"/>
        <v/>
      </c>
      <c r="R511" s="98">
        <f>SUMIFS('Booking Management'!J:J,'Booking Management'!B:B,'Sales Orders'!A511)</f>
        <v>0</v>
      </c>
      <c r="S511" s="99" t="str">
        <f t="shared" si="30"/>
        <v/>
      </c>
      <c r="Y511" s="98" t="str">
        <f t="shared" si="33"/>
        <v/>
      </c>
    </row>
    <row r="512" spans="1:25">
      <c r="A512" s="23"/>
      <c r="F512" s="37"/>
      <c r="H512" s="3"/>
      <c r="J512" s="109" t="str">
        <f>IF(C512&lt;&gt;"",SUMIFS('Booking Management'!Y:Y,'Booking Management'!B:B,'Sales Orders'!A512),"")</f>
        <v/>
      </c>
      <c r="K512" s="45"/>
      <c r="M512" s="92" t="str">
        <f t="shared" ca="1" si="32"/>
        <v/>
      </c>
      <c r="O512" s="3"/>
      <c r="Q512" s="92" t="str">
        <f t="shared" si="31"/>
        <v/>
      </c>
      <c r="R512" s="98">
        <f>SUMIFS('Booking Management'!J:J,'Booking Management'!B:B,'Sales Orders'!A512)</f>
        <v>0</v>
      </c>
      <c r="S512" s="99" t="str">
        <f t="shared" si="30"/>
        <v/>
      </c>
      <c r="Y512" s="98" t="str">
        <f t="shared" si="33"/>
        <v/>
      </c>
    </row>
    <row r="513" spans="1:25">
      <c r="A513" s="23"/>
      <c r="F513" s="37"/>
      <c r="H513" s="3"/>
      <c r="J513" s="109" t="str">
        <f>IF(C513&lt;&gt;"",SUMIFS('Booking Management'!Y:Y,'Booking Management'!B:B,'Sales Orders'!A513),"")</f>
        <v/>
      </c>
      <c r="K513" s="45"/>
      <c r="M513" s="92" t="str">
        <f t="shared" ca="1" si="32"/>
        <v/>
      </c>
      <c r="O513" s="3"/>
      <c r="Q513" s="92" t="str">
        <f t="shared" si="31"/>
        <v/>
      </c>
      <c r="R513" s="98">
        <f>SUMIFS('Booking Management'!J:J,'Booking Management'!B:B,'Sales Orders'!A513)</f>
        <v>0</v>
      </c>
      <c r="S513" s="99" t="str">
        <f t="shared" si="30"/>
        <v/>
      </c>
      <c r="Y513" s="98" t="str">
        <f t="shared" si="33"/>
        <v/>
      </c>
    </row>
    <row r="514" spans="1:25">
      <c r="A514" s="23"/>
      <c r="F514" s="37"/>
      <c r="H514" s="3"/>
      <c r="J514" s="109" t="str">
        <f>IF(C514&lt;&gt;"",SUMIFS('Booking Management'!Y:Y,'Booking Management'!B:B,'Sales Orders'!A514),"")</f>
        <v/>
      </c>
      <c r="K514" s="45"/>
      <c r="M514" s="92" t="str">
        <f t="shared" ca="1" si="32"/>
        <v/>
      </c>
      <c r="O514" s="3"/>
      <c r="Q514" s="92" t="str">
        <f t="shared" si="31"/>
        <v/>
      </c>
      <c r="R514" s="98">
        <f>SUMIFS('Booking Management'!J:J,'Booking Management'!B:B,'Sales Orders'!A514)</f>
        <v>0</v>
      </c>
      <c r="S514" s="99" t="str">
        <f t="shared" si="30"/>
        <v/>
      </c>
      <c r="Y514" s="98" t="str">
        <f t="shared" si="33"/>
        <v/>
      </c>
    </row>
    <row r="515" spans="1:25">
      <c r="A515" s="23"/>
      <c r="F515" s="37"/>
      <c r="H515" s="3"/>
      <c r="J515" s="109" t="str">
        <f>IF(C515&lt;&gt;"",SUMIFS('Booking Management'!Y:Y,'Booking Management'!B:B,'Sales Orders'!A515),"")</f>
        <v/>
      </c>
      <c r="K515" s="45"/>
      <c r="M515" s="92" t="str">
        <f t="shared" ca="1" si="32"/>
        <v/>
      </c>
      <c r="O515" s="3"/>
      <c r="Q515" s="92" t="str">
        <f t="shared" si="31"/>
        <v/>
      </c>
      <c r="R515" s="98">
        <f>SUMIFS('Booking Management'!J:J,'Booking Management'!B:B,'Sales Orders'!A515)</f>
        <v>0</v>
      </c>
      <c r="S515" s="99" t="str">
        <f t="shared" si="30"/>
        <v/>
      </c>
      <c r="Y515" s="98" t="str">
        <f t="shared" si="33"/>
        <v/>
      </c>
    </row>
    <row r="516" spans="1:25">
      <c r="A516" s="23"/>
      <c r="F516" s="37"/>
      <c r="H516" s="3"/>
      <c r="J516" s="109" t="str">
        <f>IF(C516&lt;&gt;"",SUMIFS('Booking Management'!Y:Y,'Booking Management'!B:B,'Sales Orders'!A516),"")</f>
        <v/>
      </c>
      <c r="K516" s="45"/>
      <c r="M516" s="92" t="str">
        <f t="shared" ca="1" si="32"/>
        <v/>
      </c>
      <c r="O516" s="3"/>
      <c r="Q516" s="92" t="str">
        <f t="shared" si="31"/>
        <v/>
      </c>
      <c r="R516" s="98">
        <f>SUMIFS('Booking Management'!J:J,'Booking Management'!B:B,'Sales Orders'!A516)</f>
        <v>0</v>
      </c>
      <c r="S516" s="99" t="str">
        <f t="shared" ref="S516:S579" si="34">IF(R516&gt;0,(R516/D516)*N516,"")</f>
        <v/>
      </c>
      <c r="Y516" s="98" t="str">
        <f t="shared" si="33"/>
        <v/>
      </c>
    </row>
    <row r="517" spans="1:25">
      <c r="A517" s="23"/>
      <c r="F517" s="37"/>
      <c r="H517" s="3"/>
      <c r="J517" s="109" t="str">
        <f>IF(C517&lt;&gt;"",SUMIFS('Booking Management'!Y:Y,'Booking Management'!B:B,'Sales Orders'!A517),"")</f>
        <v/>
      </c>
      <c r="K517" s="45"/>
      <c r="M517" s="92" t="str">
        <f t="shared" ca="1" si="32"/>
        <v/>
      </c>
      <c r="O517" s="3"/>
      <c r="Q517" s="92" t="str">
        <f t="shared" si="31"/>
        <v/>
      </c>
      <c r="R517" s="98">
        <f>SUMIFS('Booking Management'!J:J,'Booking Management'!B:B,'Sales Orders'!A517)</f>
        <v>0</v>
      </c>
      <c r="S517" s="99" t="str">
        <f t="shared" si="34"/>
        <v/>
      </c>
      <c r="Y517" s="98" t="str">
        <f t="shared" si="33"/>
        <v/>
      </c>
    </row>
    <row r="518" spans="1:25">
      <c r="A518" s="23"/>
      <c r="F518" s="37"/>
      <c r="H518" s="3"/>
      <c r="J518" s="109" t="str">
        <f>IF(C518&lt;&gt;"",SUMIFS('Booking Management'!Y:Y,'Booking Management'!B:B,'Sales Orders'!A518),"")</f>
        <v/>
      </c>
      <c r="K518" s="45"/>
      <c r="M518" s="92" t="str">
        <f t="shared" ca="1" si="32"/>
        <v/>
      </c>
      <c r="O518" s="3"/>
      <c r="Q518" s="92" t="str">
        <f t="shared" ref="Q518:Q581" si="35">IF(C518&lt;&gt;"",IF(OR(K518="",P518=""),"alert",""),"")</f>
        <v/>
      </c>
      <c r="R518" s="98">
        <f>SUMIFS('Booking Management'!J:J,'Booking Management'!B:B,'Sales Orders'!A518)</f>
        <v>0</v>
      </c>
      <c r="S518" s="99" t="str">
        <f t="shared" si="34"/>
        <v/>
      </c>
      <c r="Y518" s="98" t="str">
        <f t="shared" si="33"/>
        <v/>
      </c>
    </row>
    <row r="519" spans="1:25">
      <c r="A519" s="23"/>
      <c r="F519" s="37"/>
      <c r="H519" s="3"/>
      <c r="J519" s="109" t="str">
        <f>IF(C519&lt;&gt;"",SUMIFS('Booking Management'!Y:Y,'Booking Management'!B:B,'Sales Orders'!A519),"")</f>
        <v/>
      </c>
      <c r="K519" s="45"/>
      <c r="M519" s="92" t="str">
        <f t="shared" ref="M519:M582" ca="1" si="36">IFERROR(IF(K519&lt;&gt;"",IF(AND(_xlfn.NUMBERVALUE(J519)/_xlfn.NUMBERVALUE(D519) &lt;1,K519-TODAY()&lt;2,L519&lt;&gt;"yes"),"alert",""),""),"")</f>
        <v/>
      </c>
      <c r="O519" s="3"/>
      <c r="Q519" s="92" t="str">
        <f t="shared" si="35"/>
        <v/>
      </c>
      <c r="R519" s="98">
        <f>SUMIFS('Booking Management'!J:J,'Booking Management'!B:B,'Sales Orders'!A519)</f>
        <v>0</v>
      </c>
      <c r="S519" s="99" t="str">
        <f t="shared" si="34"/>
        <v/>
      </c>
      <c r="Y519" s="98" t="str">
        <f t="shared" si="33"/>
        <v/>
      </c>
    </row>
    <row r="520" spans="1:25">
      <c r="A520" s="23"/>
      <c r="F520" s="37"/>
      <c r="H520" s="3"/>
      <c r="J520" s="109" t="str">
        <f>IF(C520&lt;&gt;"",SUMIFS('Booking Management'!Y:Y,'Booking Management'!B:B,'Sales Orders'!A520),"")</f>
        <v/>
      </c>
      <c r="K520" s="45"/>
      <c r="M520" s="92" t="str">
        <f t="shared" ca="1" si="36"/>
        <v/>
      </c>
      <c r="O520" s="3"/>
      <c r="Q520" s="92" t="str">
        <f t="shared" si="35"/>
        <v/>
      </c>
      <c r="R520" s="98">
        <f>SUMIFS('Booking Management'!J:J,'Booking Management'!B:B,'Sales Orders'!A520)</f>
        <v>0</v>
      </c>
      <c r="S520" s="99" t="str">
        <f t="shared" si="34"/>
        <v/>
      </c>
      <c r="Y520" s="98" t="str">
        <f t="shared" si="33"/>
        <v/>
      </c>
    </row>
    <row r="521" spans="1:25">
      <c r="A521" s="23"/>
      <c r="F521" s="37"/>
      <c r="H521" s="3"/>
      <c r="J521" s="109" t="str">
        <f>IF(C521&lt;&gt;"",SUMIFS('Booking Management'!Y:Y,'Booking Management'!B:B,'Sales Orders'!A521),"")</f>
        <v/>
      </c>
      <c r="K521" s="45"/>
      <c r="M521" s="92" t="str">
        <f t="shared" ca="1" si="36"/>
        <v/>
      </c>
      <c r="O521" s="3"/>
      <c r="Q521" s="92" t="str">
        <f t="shared" si="35"/>
        <v/>
      </c>
      <c r="R521" s="98">
        <f>SUMIFS('Booking Management'!J:J,'Booking Management'!B:B,'Sales Orders'!A521)</f>
        <v>0</v>
      </c>
      <c r="S521" s="99" t="str">
        <f t="shared" si="34"/>
        <v/>
      </c>
      <c r="Y521" s="98" t="str">
        <f t="shared" si="33"/>
        <v/>
      </c>
    </row>
    <row r="522" spans="1:25">
      <c r="A522" s="23"/>
      <c r="F522" s="37"/>
      <c r="H522" s="3"/>
      <c r="J522" s="109" t="str">
        <f>IF(C522&lt;&gt;"",SUMIFS('Booking Management'!Y:Y,'Booking Management'!B:B,'Sales Orders'!A522),"")</f>
        <v/>
      </c>
      <c r="K522" s="45"/>
      <c r="M522" s="92" t="str">
        <f t="shared" ca="1" si="36"/>
        <v/>
      </c>
      <c r="O522" s="3"/>
      <c r="Q522" s="92" t="str">
        <f t="shared" si="35"/>
        <v/>
      </c>
      <c r="R522" s="98">
        <f>SUMIFS('Booking Management'!J:J,'Booking Management'!B:B,'Sales Orders'!A522)</f>
        <v>0</v>
      </c>
      <c r="S522" s="99" t="str">
        <f t="shared" si="34"/>
        <v/>
      </c>
      <c r="Y522" s="98" t="str">
        <f t="shared" si="33"/>
        <v/>
      </c>
    </row>
    <row r="523" spans="1:25">
      <c r="A523" s="23"/>
      <c r="F523" s="37"/>
      <c r="H523" s="3"/>
      <c r="J523" s="109" t="str">
        <f>IF(C523&lt;&gt;"",SUMIFS('Booking Management'!Y:Y,'Booking Management'!B:B,'Sales Orders'!A523),"")</f>
        <v/>
      </c>
      <c r="K523" s="45"/>
      <c r="M523" s="92" t="str">
        <f t="shared" ca="1" si="36"/>
        <v/>
      </c>
      <c r="O523" s="3"/>
      <c r="Q523" s="92" t="str">
        <f t="shared" si="35"/>
        <v/>
      </c>
      <c r="R523" s="98">
        <f>SUMIFS('Booking Management'!J:J,'Booking Management'!B:B,'Sales Orders'!A523)</f>
        <v>0</v>
      </c>
      <c r="S523" s="99" t="str">
        <f t="shared" si="34"/>
        <v/>
      </c>
      <c r="Y523" s="98" t="str">
        <f t="shared" si="33"/>
        <v/>
      </c>
    </row>
    <row r="524" spans="1:25">
      <c r="A524" s="23"/>
      <c r="F524" s="37"/>
      <c r="H524" s="3"/>
      <c r="J524" s="109" t="str">
        <f>IF(C524&lt;&gt;"",SUMIFS('Booking Management'!Y:Y,'Booking Management'!B:B,'Sales Orders'!A524),"")</f>
        <v/>
      </c>
      <c r="K524" s="45"/>
      <c r="M524" s="92" t="str">
        <f t="shared" ca="1" si="36"/>
        <v/>
      </c>
      <c r="O524" s="3"/>
      <c r="Q524" s="92" t="str">
        <f t="shared" si="35"/>
        <v/>
      </c>
      <c r="R524" s="98">
        <f>SUMIFS('Booking Management'!J:J,'Booking Management'!B:B,'Sales Orders'!A524)</f>
        <v>0</v>
      </c>
      <c r="S524" s="99" t="str">
        <f t="shared" si="34"/>
        <v/>
      </c>
      <c r="Y524" s="98" t="str">
        <f t="shared" si="33"/>
        <v/>
      </c>
    </row>
    <row r="525" spans="1:25">
      <c r="A525" s="23"/>
      <c r="F525" s="37"/>
      <c r="H525" s="3"/>
      <c r="J525" s="109" t="str">
        <f>IF(C525&lt;&gt;"",SUMIFS('Booking Management'!Y:Y,'Booking Management'!B:B,'Sales Orders'!A525),"")</f>
        <v/>
      </c>
      <c r="K525" s="45"/>
      <c r="M525" s="92" t="str">
        <f t="shared" ca="1" si="36"/>
        <v/>
      </c>
      <c r="O525" s="3"/>
      <c r="Q525" s="92" t="str">
        <f t="shared" si="35"/>
        <v/>
      </c>
      <c r="R525" s="98">
        <f>SUMIFS('Booking Management'!J:J,'Booking Management'!B:B,'Sales Orders'!A525)</f>
        <v>0</v>
      </c>
      <c r="S525" s="99" t="str">
        <f t="shared" si="34"/>
        <v/>
      </c>
      <c r="Y525" s="98" t="str">
        <f t="shared" si="33"/>
        <v/>
      </c>
    </row>
    <row r="526" spans="1:25">
      <c r="A526" s="23"/>
      <c r="F526" s="37"/>
      <c r="H526" s="3"/>
      <c r="J526" s="109" t="str">
        <f>IF(C526&lt;&gt;"",SUMIFS('Booking Management'!Y:Y,'Booking Management'!B:B,'Sales Orders'!A526),"")</f>
        <v/>
      </c>
      <c r="K526" s="45"/>
      <c r="M526" s="92" t="str">
        <f t="shared" ca="1" si="36"/>
        <v/>
      </c>
      <c r="O526" s="3"/>
      <c r="Q526" s="92" t="str">
        <f t="shared" si="35"/>
        <v/>
      </c>
      <c r="R526" s="98">
        <f>SUMIFS('Booking Management'!J:J,'Booking Management'!B:B,'Sales Orders'!A526)</f>
        <v>0</v>
      </c>
      <c r="S526" s="99" t="str">
        <f t="shared" si="34"/>
        <v/>
      </c>
      <c r="Y526" s="98" t="str">
        <f t="shared" si="33"/>
        <v/>
      </c>
    </row>
    <row r="527" spans="1:25">
      <c r="A527" s="23"/>
      <c r="F527" s="37"/>
      <c r="H527" s="3"/>
      <c r="J527" s="109" t="str">
        <f>IF(C527&lt;&gt;"",SUMIFS('Booking Management'!Y:Y,'Booking Management'!B:B,'Sales Orders'!A527),"")</f>
        <v/>
      </c>
      <c r="K527" s="45"/>
      <c r="M527" s="92" t="str">
        <f t="shared" ca="1" si="36"/>
        <v/>
      </c>
      <c r="O527" s="3"/>
      <c r="Q527" s="92" t="str">
        <f t="shared" si="35"/>
        <v/>
      </c>
      <c r="R527" s="98">
        <f>SUMIFS('Booking Management'!J:J,'Booking Management'!B:B,'Sales Orders'!A527)</f>
        <v>0</v>
      </c>
      <c r="S527" s="99" t="str">
        <f t="shared" si="34"/>
        <v/>
      </c>
      <c r="Y527" s="98" t="str">
        <f t="shared" si="33"/>
        <v/>
      </c>
    </row>
    <row r="528" spans="1:25">
      <c r="A528" s="23"/>
      <c r="F528" s="37"/>
      <c r="H528" s="3"/>
      <c r="J528" s="109" t="str">
        <f>IF(C528&lt;&gt;"",SUMIFS('Booking Management'!Y:Y,'Booking Management'!B:B,'Sales Orders'!A528),"")</f>
        <v/>
      </c>
      <c r="K528" s="45"/>
      <c r="M528" s="92" t="str">
        <f t="shared" ca="1" si="36"/>
        <v/>
      </c>
      <c r="O528" s="3"/>
      <c r="Q528" s="92" t="str">
        <f t="shared" si="35"/>
        <v/>
      </c>
      <c r="R528" s="98">
        <f>SUMIFS('Booking Management'!J:J,'Booking Management'!B:B,'Sales Orders'!A528)</f>
        <v>0</v>
      </c>
      <c r="S528" s="99" t="str">
        <f t="shared" si="34"/>
        <v/>
      </c>
      <c r="Y528" s="98" t="str">
        <f t="shared" si="33"/>
        <v/>
      </c>
    </row>
    <row r="529" spans="1:25">
      <c r="A529" s="23"/>
      <c r="F529" s="37"/>
      <c r="H529" s="3"/>
      <c r="J529" s="109" t="str">
        <f>IF(C529&lt;&gt;"",SUMIFS('Booking Management'!Y:Y,'Booking Management'!B:B,'Sales Orders'!A529),"")</f>
        <v/>
      </c>
      <c r="K529" s="45"/>
      <c r="M529" s="92" t="str">
        <f t="shared" ca="1" si="36"/>
        <v/>
      </c>
      <c r="O529" s="3"/>
      <c r="Q529" s="92" t="str">
        <f t="shared" si="35"/>
        <v/>
      </c>
      <c r="R529" s="98">
        <f>SUMIFS('Booking Management'!J:J,'Booking Management'!B:B,'Sales Orders'!A529)</f>
        <v>0</v>
      </c>
      <c r="S529" s="99" t="str">
        <f t="shared" si="34"/>
        <v/>
      </c>
      <c r="Y529" s="98" t="str">
        <f t="shared" si="33"/>
        <v/>
      </c>
    </row>
    <row r="530" spans="1:25">
      <c r="A530" s="23"/>
      <c r="F530" s="37"/>
      <c r="H530" s="3"/>
      <c r="J530" s="109" t="str">
        <f>IF(C530&lt;&gt;"",SUMIFS('Booking Management'!Y:Y,'Booking Management'!B:B,'Sales Orders'!A530),"")</f>
        <v/>
      </c>
      <c r="K530" s="45"/>
      <c r="M530" s="92" t="str">
        <f t="shared" ca="1" si="36"/>
        <v/>
      </c>
      <c r="O530" s="3"/>
      <c r="Q530" s="92" t="str">
        <f t="shared" si="35"/>
        <v/>
      </c>
      <c r="R530" s="98">
        <f>SUMIFS('Booking Management'!J:J,'Booking Management'!B:B,'Sales Orders'!A530)</f>
        <v>0</v>
      </c>
      <c r="S530" s="99" t="str">
        <f t="shared" si="34"/>
        <v/>
      </c>
      <c r="Y530" s="98" t="str">
        <f t="shared" si="33"/>
        <v/>
      </c>
    </row>
    <row r="531" spans="1:25">
      <c r="A531" s="23"/>
      <c r="F531" s="37"/>
      <c r="H531" s="3"/>
      <c r="J531" s="109" t="str">
        <f>IF(C531&lt;&gt;"",SUMIFS('Booking Management'!Y:Y,'Booking Management'!B:B,'Sales Orders'!A531),"")</f>
        <v/>
      </c>
      <c r="K531" s="45"/>
      <c r="M531" s="92" t="str">
        <f t="shared" ca="1" si="36"/>
        <v/>
      </c>
      <c r="O531" s="3"/>
      <c r="Q531" s="92" t="str">
        <f t="shared" si="35"/>
        <v/>
      </c>
      <c r="R531" s="98">
        <f>SUMIFS('Booking Management'!J:J,'Booking Management'!B:B,'Sales Orders'!A531)</f>
        <v>0</v>
      </c>
      <c r="S531" s="99" t="str">
        <f t="shared" si="34"/>
        <v/>
      </c>
      <c r="Y531" s="98" t="str">
        <f t="shared" si="33"/>
        <v/>
      </c>
    </row>
    <row r="532" spans="1:25">
      <c r="A532" s="23"/>
      <c r="F532" s="37"/>
      <c r="H532" s="3"/>
      <c r="J532" s="109" t="str">
        <f>IF(C532&lt;&gt;"",SUMIFS('Booking Management'!Y:Y,'Booking Management'!B:B,'Sales Orders'!A532),"")</f>
        <v/>
      </c>
      <c r="K532" s="45"/>
      <c r="M532" s="92" t="str">
        <f t="shared" ca="1" si="36"/>
        <v/>
      </c>
      <c r="O532" s="3"/>
      <c r="Q532" s="92" t="str">
        <f t="shared" si="35"/>
        <v/>
      </c>
      <c r="R532" s="98">
        <f>SUMIFS('Booking Management'!J:J,'Booking Management'!B:B,'Sales Orders'!A532)</f>
        <v>0</v>
      </c>
      <c r="S532" s="99" t="str">
        <f t="shared" si="34"/>
        <v/>
      </c>
      <c r="Y532" s="98" t="str">
        <f t="shared" si="33"/>
        <v/>
      </c>
    </row>
    <row r="533" spans="1:25">
      <c r="A533" s="23"/>
      <c r="F533" s="37"/>
      <c r="H533" s="3"/>
      <c r="J533" s="109" t="str">
        <f>IF(C533&lt;&gt;"",SUMIFS('Booking Management'!Y:Y,'Booking Management'!B:B,'Sales Orders'!A533),"")</f>
        <v/>
      </c>
      <c r="K533" s="45"/>
      <c r="M533" s="92" t="str">
        <f t="shared" ca="1" si="36"/>
        <v/>
      </c>
      <c r="O533" s="3"/>
      <c r="Q533" s="92" t="str">
        <f t="shared" si="35"/>
        <v/>
      </c>
      <c r="R533" s="98">
        <f>SUMIFS('Booking Management'!J:J,'Booking Management'!B:B,'Sales Orders'!A533)</f>
        <v>0</v>
      </c>
      <c r="S533" s="99" t="str">
        <f t="shared" si="34"/>
        <v/>
      </c>
      <c r="Y533" s="98" t="str">
        <f t="shared" si="33"/>
        <v/>
      </c>
    </row>
    <row r="534" spans="1:25">
      <c r="A534" s="23"/>
      <c r="F534" s="37"/>
      <c r="H534" s="3"/>
      <c r="J534" s="109" t="str">
        <f>IF(C534&lt;&gt;"",SUMIFS('Booking Management'!Y:Y,'Booking Management'!B:B,'Sales Orders'!A534),"")</f>
        <v/>
      </c>
      <c r="K534" s="45"/>
      <c r="M534" s="92" t="str">
        <f t="shared" ca="1" si="36"/>
        <v/>
      </c>
      <c r="O534" s="3"/>
      <c r="Q534" s="92" t="str">
        <f t="shared" si="35"/>
        <v/>
      </c>
      <c r="R534" s="98">
        <f>SUMIFS('Booking Management'!J:J,'Booking Management'!B:B,'Sales Orders'!A534)</f>
        <v>0</v>
      </c>
      <c r="S534" s="99" t="str">
        <f t="shared" si="34"/>
        <v/>
      </c>
      <c r="Y534" s="98" t="str">
        <f t="shared" si="33"/>
        <v/>
      </c>
    </row>
    <row r="535" spans="1:25">
      <c r="A535" s="23"/>
      <c r="F535" s="37"/>
      <c r="H535" s="3"/>
      <c r="J535" s="109" t="str">
        <f>IF(C535&lt;&gt;"",SUMIFS('Booking Management'!Y:Y,'Booking Management'!B:B,'Sales Orders'!A535),"")</f>
        <v/>
      </c>
      <c r="K535" s="45"/>
      <c r="M535" s="92" t="str">
        <f t="shared" ca="1" si="36"/>
        <v/>
      </c>
      <c r="O535" s="3"/>
      <c r="Q535" s="92" t="str">
        <f t="shared" si="35"/>
        <v/>
      </c>
      <c r="R535" s="98">
        <f>SUMIFS('Booking Management'!J:J,'Booking Management'!B:B,'Sales Orders'!A535)</f>
        <v>0</v>
      </c>
      <c r="S535" s="99" t="str">
        <f t="shared" si="34"/>
        <v/>
      </c>
      <c r="Y535" s="98" t="str">
        <f t="shared" si="33"/>
        <v/>
      </c>
    </row>
    <row r="536" spans="1:25">
      <c r="A536" s="23"/>
      <c r="F536" s="37"/>
      <c r="H536" s="3"/>
      <c r="J536" s="109" t="str">
        <f>IF(C536&lt;&gt;"",SUMIFS('Booking Management'!Y:Y,'Booking Management'!B:B,'Sales Orders'!A536),"")</f>
        <v/>
      </c>
      <c r="K536" s="45"/>
      <c r="M536" s="92" t="str">
        <f t="shared" ca="1" si="36"/>
        <v/>
      </c>
      <c r="O536" s="3"/>
      <c r="Q536" s="92" t="str">
        <f t="shared" si="35"/>
        <v/>
      </c>
      <c r="R536" s="98">
        <f>SUMIFS('Booking Management'!J:J,'Booking Management'!B:B,'Sales Orders'!A536)</f>
        <v>0</v>
      </c>
      <c r="S536" s="99" t="str">
        <f t="shared" si="34"/>
        <v/>
      </c>
      <c r="Y536" s="98" t="str">
        <f t="shared" si="33"/>
        <v/>
      </c>
    </row>
    <row r="537" spans="1:25">
      <c r="A537" s="23"/>
      <c r="F537" s="37"/>
      <c r="H537" s="3"/>
      <c r="J537" s="109" t="str">
        <f>IF(C537&lt;&gt;"",SUMIFS('Booking Management'!Y:Y,'Booking Management'!B:B,'Sales Orders'!A537),"")</f>
        <v/>
      </c>
      <c r="K537" s="45"/>
      <c r="M537" s="92" t="str">
        <f t="shared" ca="1" si="36"/>
        <v/>
      </c>
      <c r="O537" s="3"/>
      <c r="Q537" s="92" t="str">
        <f t="shared" si="35"/>
        <v/>
      </c>
      <c r="R537" s="98">
        <f>SUMIFS('Booking Management'!J:J,'Booking Management'!B:B,'Sales Orders'!A537)</f>
        <v>0</v>
      </c>
      <c r="S537" s="99" t="str">
        <f t="shared" si="34"/>
        <v/>
      </c>
      <c r="Y537" s="98" t="str">
        <f t="shared" si="33"/>
        <v/>
      </c>
    </row>
    <row r="538" spans="1:25">
      <c r="A538" s="23"/>
      <c r="F538" s="37"/>
      <c r="H538" s="3"/>
      <c r="J538" s="109" t="str">
        <f>IF(C538&lt;&gt;"",SUMIFS('Booking Management'!Y:Y,'Booking Management'!B:B,'Sales Orders'!A538),"")</f>
        <v/>
      </c>
      <c r="K538" s="45"/>
      <c r="M538" s="92" t="str">
        <f t="shared" ca="1" si="36"/>
        <v/>
      </c>
      <c r="O538" s="3"/>
      <c r="Q538" s="92" t="str">
        <f t="shared" si="35"/>
        <v/>
      </c>
      <c r="R538" s="98">
        <f>SUMIFS('Booking Management'!J:J,'Booking Management'!B:B,'Sales Orders'!A538)</f>
        <v>0</v>
      </c>
      <c r="S538" s="99" t="str">
        <f t="shared" si="34"/>
        <v/>
      </c>
      <c r="Y538" s="98" t="str">
        <f t="shared" si="33"/>
        <v/>
      </c>
    </row>
    <row r="539" spans="1:25">
      <c r="A539" s="23"/>
      <c r="F539" s="37"/>
      <c r="H539" s="3"/>
      <c r="J539" s="109" t="str">
        <f>IF(C539&lt;&gt;"",SUMIFS('Booking Management'!Y:Y,'Booking Management'!B:B,'Sales Orders'!A539),"")</f>
        <v/>
      </c>
      <c r="K539" s="45"/>
      <c r="M539" s="92" t="str">
        <f t="shared" ca="1" si="36"/>
        <v/>
      </c>
      <c r="O539" s="3"/>
      <c r="Q539" s="92" t="str">
        <f t="shared" si="35"/>
        <v/>
      </c>
      <c r="R539" s="98">
        <f>SUMIFS('Booking Management'!J:J,'Booking Management'!B:B,'Sales Orders'!A539)</f>
        <v>0</v>
      </c>
      <c r="S539" s="99" t="str">
        <f t="shared" si="34"/>
        <v/>
      </c>
      <c r="Y539" s="98" t="str">
        <f t="shared" si="33"/>
        <v/>
      </c>
    </row>
    <row r="540" spans="1:25">
      <c r="A540" s="23"/>
      <c r="F540" s="37"/>
      <c r="H540" s="3"/>
      <c r="J540" s="109" t="str">
        <f>IF(C540&lt;&gt;"",SUMIFS('Booking Management'!Y:Y,'Booking Management'!B:B,'Sales Orders'!A540),"")</f>
        <v/>
      </c>
      <c r="K540" s="45"/>
      <c r="M540" s="92" t="str">
        <f t="shared" ca="1" si="36"/>
        <v/>
      </c>
      <c r="O540" s="3"/>
      <c r="Q540" s="92" t="str">
        <f t="shared" si="35"/>
        <v/>
      </c>
      <c r="R540" s="98">
        <f>SUMIFS('Booking Management'!J:J,'Booking Management'!B:B,'Sales Orders'!A540)</f>
        <v>0</v>
      </c>
      <c r="S540" s="99" t="str">
        <f t="shared" si="34"/>
        <v/>
      </c>
      <c r="Y540" s="98" t="str">
        <f t="shared" si="33"/>
        <v/>
      </c>
    </row>
    <row r="541" spans="1:25">
      <c r="A541" s="23"/>
      <c r="F541" s="37"/>
      <c r="H541" s="3"/>
      <c r="J541" s="109" t="str">
        <f>IF(C541&lt;&gt;"",SUMIFS('Booking Management'!Y:Y,'Booking Management'!B:B,'Sales Orders'!A541),"")</f>
        <v/>
      </c>
      <c r="K541" s="45"/>
      <c r="M541" s="92" t="str">
        <f t="shared" ca="1" si="36"/>
        <v/>
      </c>
      <c r="O541" s="3"/>
      <c r="Q541" s="92" t="str">
        <f t="shared" si="35"/>
        <v/>
      </c>
      <c r="R541" s="98">
        <f>SUMIFS('Booking Management'!J:J,'Booking Management'!B:B,'Sales Orders'!A541)</f>
        <v>0</v>
      </c>
      <c r="S541" s="99" t="str">
        <f t="shared" si="34"/>
        <v/>
      </c>
      <c r="Y541" s="98" t="str">
        <f t="shared" si="33"/>
        <v/>
      </c>
    </row>
    <row r="542" spans="1:25">
      <c r="A542" s="23"/>
      <c r="F542" s="37"/>
      <c r="H542" s="3"/>
      <c r="J542" s="109" t="str">
        <f>IF(C542&lt;&gt;"",SUMIFS('Booking Management'!Y:Y,'Booking Management'!B:B,'Sales Orders'!A542),"")</f>
        <v/>
      </c>
      <c r="K542" s="45"/>
      <c r="M542" s="92" t="str">
        <f t="shared" ca="1" si="36"/>
        <v/>
      </c>
      <c r="O542" s="3"/>
      <c r="Q542" s="92" t="str">
        <f t="shared" si="35"/>
        <v/>
      </c>
      <c r="R542" s="98">
        <f>SUMIFS('Booking Management'!J:J,'Booking Management'!B:B,'Sales Orders'!A542)</f>
        <v>0</v>
      </c>
      <c r="S542" s="99" t="str">
        <f t="shared" si="34"/>
        <v/>
      </c>
      <c r="Y542" s="98" t="str">
        <f t="shared" si="33"/>
        <v/>
      </c>
    </row>
    <row r="543" spans="1:25">
      <c r="A543" s="23"/>
      <c r="F543" s="37"/>
      <c r="H543" s="3"/>
      <c r="J543" s="109" t="str">
        <f>IF(C543&lt;&gt;"",SUMIFS('Booking Management'!Y:Y,'Booking Management'!B:B,'Sales Orders'!A543),"")</f>
        <v/>
      </c>
      <c r="K543" s="45"/>
      <c r="M543" s="92" t="str">
        <f t="shared" ca="1" si="36"/>
        <v/>
      </c>
      <c r="O543" s="3"/>
      <c r="Q543" s="92" t="str">
        <f t="shared" si="35"/>
        <v/>
      </c>
      <c r="R543" s="98">
        <f>SUMIFS('Booking Management'!J:J,'Booking Management'!B:B,'Sales Orders'!A543)</f>
        <v>0</v>
      </c>
      <c r="S543" s="99" t="str">
        <f t="shared" si="34"/>
        <v/>
      </c>
      <c r="Y543" s="98" t="str">
        <f t="shared" si="33"/>
        <v/>
      </c>
    </row>
    <row r="544" spans="1:25">
      <c r="A544" s="23"/>
      <c r="F544" s="37"/>
      <c r="H544" s="3"/>
      <c r="J544" s="109" t="str">
        <f>IF(C544&lt;&gt;"",SUMIFS('Booking Management'!Y:Y,'Booking Management'!B:B,'Sales Orders'!A544),"")</f>
        <v/>
      </c>
      <c r="K544" s="45"/>
      <c r="M544" s="92" t="str">
        <f t="shared" ca="1" si="36"/>
        <v/>
      </c>
      <c r="O544" s="3"/>
      <c r="Q544" s="92" t="str">
        <f t="shared" si="35"/>
        <v/>
      </c>
      <c r="R544" s="98">
        <f>SUMIFS('Booking Management'!J:J,'Booking Management'!B:B,'Sales Orders'!A544)</f>
        <v>0</v>
      </c>
      <c r="S544" s="99" t="str">
        <f t="shared" si="34"/>
        <v/>
      </c>
      <c r="Y544" s="98" t="str">
        <f t="shared" si="33"/>
        <v/>
      </c>
    </row>
    <row r="545" spans="1:25">
      <c r="A545" s="23"/>
      <c r="F545" s="37"/>
      <c r="H545" s="3"/>
      <c r="J545" s="109" t="str">
        <f>IF(C545&lt;&gt;"",SUMIFS('Booking Management'!Y:Y,'Booking Management'!B:B,'Sales Orders'!A545),"")</f>
        <v/>
      </c>
      <c r="K545" s="45"/>
      <c r="M545" s="92" t="str">
        <f t="shared" ca="1" si="36"/>
        <v/>
      </c>
      <c r="O545" s="3"/>
      <c r="Q545" s="92" t="str">
        <f t="shared" si="35"/>
        <v/>
      </c>
      <c r="R545" s="98">
        <f>SUMIFS('Booking Management'!J:J,'Booking Management'!B:B,'Sales Orders'!A545)</f>
        <v>0</v>
      </c>
      <c r="S545" s="99" t="str">
        <f t="shared" si="34"/>
        <v/>
      </c>
      <c r="Y545" s="98" t="str">
        <f t="shared" si="33"/>
        <v/>
      </c>
    </row>
    <row r="546" spans="1:25">
      <c r="A546" s="23"/>
      <c r="F546" s="37"/>
      <c r="H546" s="3"/>
      <c r="J546" s="109" t="str">
        <f>IF(C546&lt;&gt;"",SUMIFS('Booking Management'!Y:Y,'Booking Management'!B:B,'Sales Orders'!A546),"")</f>
        <v/>
      </c>
      <c r="K546" s="45"/>
      <c r="M546" s="92" t="str">
        <f t="shared" ca="1" si="36"/>
        <v/>
      </c>
      <c r="O546" s="3"/>
      <c r="Q546" s="92" t="str">
        <f t="shared" si="35"/>
        <v/>
      </c>
      <c r="R546" s="98">
        <f>SUMIFS('Booking Management'!J:J,'Booking Management'!B:B,'Sales Orders'!A546)</f>
        <v>0</v>
      </c>
      <c r="S546" s="99" t="str">
        <f t="shared" si="34"/>
        <v/>
      </c>
      <c r="Y546" s="98" t="str">
        <f t="shared" si="33"/>
        <v/>
      </c>
    </row>
    <row r="547" spans="1:25">
      <c r="A547" s="23"/>
      <c r="F547" s="37"/>
      <c r="H547" s="3"/>
      <c r="J547" s="109" t="str">
        <f>IF(C547&lt;&gt;"",SUMIFS('Booking Management'!Y:Y,'Booking Management'!B:B,'Sales Orders'!A547),"")</f>
        <v/>
      </c>
      <c r="K547" s="45"/>
      <c r="M547" s="92" t="str">
        <f t="shared" ca="1" si="36"/>
        <v/>
      </c>
      <c r="O547" s="3"/>
      <c r="Q547" s="92" t="str">
        <f t="shared" si="35"/>
        <v/>
      </c>
      <c r="R547" s="98">
        <f>SUMIFS('Booking Management'!J:J,'Booking Management'!B:B,'Sales Orders'!A547)</f>
        <v>0</v>
      </c>
      <c r="S547" s="99" t="str">
        <f t="shared" si="34"/>
        <v/>
      </c>
      <c r="Y547" s="98" t="str">
        <f t="shared" si="33"/>
        <v/>
      </c>
    </row>
    <row r="548" spans="1:25">
      <c r="A548" s="23"/>
      <c r="F548" s="37"/>
      <c r="H548" s="3"/>
      <c r="J548" s="109" t="str">
        <f>IF(C548&lt;&gt;"",SUMIFS('Booking Management'!Y:Y,'Booking Management'!B:B,'Sales Orders'!A548),"")</f>
        <v/>
      </c>
      <c r="K548" s="45"/>
      <c r="M548" s="92" t="str">
        <f t="shared" ca="1" si="36"/>
        <v/>
      </c>
      <c r="O548" s="3"/>
      <c r="Q548" s="92" t="str">
        <f t="shared" si="35"/>
        <v/>
      </c>
      <c r="R548" s="98">
        <f>SUMIFS('Booking Management'!J:J,'Booking Management'!B:B,'Sales Orders'!A548)</f>
        <v>0</v>
      </c>
      <c r="S548" s="99" t="str">
        <f t="shared" si="34"/>
        <v/>
      </c>
      <c r="Y548" s="98" t="str">
        <f t="shared" si="33"/>
        <v/>
      </c>
    </row>
    <row r="549" spans="1:25">
      <c r="A549" s="23"/>
      <c r="F549" s="37"/>
      <c r="H549" s="3"/>
      <c r="J549" s="109" t="str">
        <f>IF(C549&lt;&gt;"",SUMIFS('Booking Management'!Y:Y,'Booking Management'!B:B,'Sales Orders'!A549),"")</f>
        <v/>
      </c>
      <c r="K549" s="45"/>
      <c r="M549" s="92" t="str">
        <f t="shared" ca="1" si="36"/>
        <v/>
      </c>
      <c r="O549" s="3"/>
      <c r="Q549" s="92" t="str">
        <f t="shared" si="35"/>
        <v/>
      </c>
      <c r="R549" s="98">
        <f>SUMIFS('Booking Management'!J:J,'Booking Management'!B:B,'Sales Orders'!A549)</f>
        <v>0</v>
      </c>
      <c r="S549" s="99" t="str">
        <f t="shared" si="34"/>
        <v/>
      </c>
      <c r="Y549" s="98" t="str">
        <f t="shared" si="33"/>
        <v/>
      </c>
    </row>
    <row r="550" spans="1:25">
      <c r="A550" s="23"/>
      <c r="F550" s="37"/>
      <c r="H550" s="3"/>
      <c r="J550" s="109" t="str">
        <f>IF(C550&lt;&gt;"",SUMIFS('Booking Management'!Y:Y,'Booking Management'!B:B,'Sales Orders'!A550),"")</f>
        <v/>
      </c>
      <c r="K550" s="45"/>
      <c r="M550" s="92" t="str">
        <f t="shared" ca="1" si="36"/>
        <v/>
      </c>
      <c r="O550" s="3"/>
      <c r="Q550" s="92" t="str">
        <f t="shared" si="35"/>
        <v/>
      </c>
      <c r="R550" s="98">
        <f>SUMIFS('Booking Management'!J:J,'Booking Management'!B:B,'Sales Orders'!A550)</f>
        <v>0</v>
      </c>
      <c r="S550" s="99" t="str">
        <f t="shared" si="34"/>
        <v/>
      </c>
      <c r="Y550" s="98" t="str">
        <f t="shared" si="33"/>
        <v/>
      </c>
    </row>
    <row r="551" spans="1:25">
      <c r="A551" s="23"/>
      <c r="F551" s="37"/>
      <c r="H551" s="3"/>
      <c r="J551" s="109" t="str">
        <f>IF(C551&lt;&gt;"",SUMIFS('Booking Management'!Y:Y,'Booking Management'!B:B,'Sales Orders'!A551),"")</f>
        <v/>
      </c>
      <c r="K551" s="45"/>
      <c r="M551" s="92" t="str">
        <f t="shared" ca="1" si="36"/>
        <v/>
      </c>
      <c r="O551" s="3"/>
      <c r="Q551" s="92" t="str">
        <f t="shared" si="35"/>
        <v/>
      </c>
      <c r="R551" s="98">
        <f>SUMIFS('Booking Management'!J:J,'Booking Management'!B:B,'Sales Orders'!A551)</f>
        <v>0</v>
      </c>
      <c r="S551" s="99" t="str">
        <f t="shared" si="34"/>
        <v/>
      </c>
      <c r="Y551" s="98" t="str">
        <f t="shared" si="33"/>
        <v/>
      </c>
    </row>
    <row r="552" spans="1:25">
      <c r="A552" s="23"/>
      <c r="F552" s="37"/>
      <c r="H552" s="3"/>
      <c r="J552" s="109" t="str">
        <f>IF(C552&lt;&gt;"",SUMIFS('Booking Management'!Y:Y,'Booking Management'!B:B,'Sales Orders'!A552),"")</f>
        <v/>
      </c>
      <c r="K552" s="45"/>
      <c r="M552" s="92" t="str">
        <f t="shared" ca="1" si="36"/>
        <v/>
      </c>
      <c r="O552" s="3"/>
      <c r="Q552" s="92" t="str">
        <f t="shared" si="35"/>
        <v/>
      </c>
      <c r="R552" s="98">
        <f>SUMIFS('Booking Management'!J:J,'Booking Management'!B:B,'Sales Orders'!A552)</f>
        <v>0</v>
      </c>
      <c r="S552" s="99" t="str">
        <f t="shared" si="34"/>
        <v/>
      </c>
      <c r="Y552" s="98" t="str">
        <f t="shared" si="33"/>
        <v/>
      </c>
    </row>
    <row r="553" spans="1:25">
      <c r="A553" s="23"/>
      <c r="F553" s="37"/>
      <c r="H553" s="3"/>
      <c r="J553" s="109" t="str">
        <f>IF(C553&lt;&gt;"",SUMIFS('Booking Management'!Y:Y,'Booking Management'!B:B,'Sales Orders'!A553),"")</f>
        <v/>
      </c>
      <c r="K553" s="45"/>
      <c r="M553" s="92" t="str">
        <f t="shared" ca="1" si="36"/>
        <v/>
      </c>
      <c r="O553" s="3"/>
      <c r="Q553" s="92" t="str">
        <f t="shared" si="35"/>
        <v/>
      </c>
      <c r="R553" s="98">
        <f>SUMIFS('Booking Management'!J:J,'Booking Management'!B:B,'Sales Orders'!A553)</f>
        <v>0</v>
      </c>
      <c r="S553" s="99" t="str">
        <f t="shared" si="34"/>
        <v/>
      </c>
      <c r="Y553" s="98" t="str">
        <f t="shared" si="33"/>
        <v/>
      </c>
    </row>
    <row r="554" spans="1:25">
      <c r="A554" s="23"/>
      <c r="F554" s="37"/>
      <c r="H554" s="3"/>
      <c r="J554" s="109" t="str">
        <f>IF(C554&lt;&gt;"",SUMIFS('Booking Management'!Y:Y,'Booking Management'!B:B,'Sales Orders'!A554),"")</f>
        <v/>
      </c>
      <c r="K554" s="45"/>
      <c r="M554" s="92" t="str">
        <f t="shared" ca="1" si="36"/>
        <v/>
      </c>
      <c r="O554" s="3"/>
      <c r="Q554" s="92" t="str">
        <f t="shared" si="35"/>
        <v/>
      </c>
      <c r="R554" s="98">
        <f>SUMIFS('Booking Management'!J:J,'Booking Management'!B:B,'Sales Orders'!A554)</f>
        <v>0</v>
      </c>
      <c r="S554" s="99" t="str">
        <f t="shared" si="34"/>
        <v/>
      </c>
      <c r="Y554" s="98" t="str">
        <f t="shared" ref="Y554:Y617" si="37">IF(D554&lt;&gt;"",D554-J554,"")</f>
        <v/>
      </c>
    </row>
    <row r="555" spans="1:25">
      <c r="A555" s="23"/>
      <c r="F555" s="37"/>
      <c r="H555" s="3"/>
      <c r="J555" s="109" t="str">
        <f>IF(C555&lt;&gt;"",SUMIFS('Booking Management'!Y:Y,'Booking Management'!B:B,'Sales Orders'!A555),"")</f>
        <v/>
      </c>
      <c r="K555" s="45"/>
      <c r="M555" s="92" t="str">
        <f t="shared" ca="1" si="36"/>
        <v/>
      </c>
      <c r="O555" s="3"/>
      <c r="Q555" s="92" t="str">
        <f t="shared" si="35"/>
        <v/>
      </c>
      <c r="R555" s="98">
        <f>SUMIFS('Booking Management'!J:J,'Booking Management'!B:B,'Sales Orders'!A555)</f>
        <v>0</v>
      </c>
      <c r="S555" s="99" t="str">
        <f t="shared" si="34"/>
        <v/>
      </c>
      <c r="Y555" s="98" t="str">
        <f t="shared" si="37"/>
        <v/>
      </c>
    </row>
    <row r="556" spans="1:25">
      <c r="A556" s="23"/>
      <c r="F556" s="37"/>
      <c r="H556" s="3"/>
      <c r="J556" s="109" t="str">
        <f>IF(C556&lt;&gt;"",SUMIFS('Booking Management'!Y:Y,'Booking Management'!B:B,'Sales Orders'!A556),"")</f>
        <v/>
      </c>
      <c r="K556" s="45"/>
      <c r="M556" s="92" t="str">
        <f t="shared" ca="1" si="36"/>
        <v/>
      </c>
      <c r="O556" s="3"/>
      <c r="Q556" s="92" t="str">
        <f t="shared" si="35"/>
        <v/>
      </c>
      <c r="R556" s="98">
        <f>SUMIFS('Booking Management'!J:J,'Booking Management'!B:B,'Sales Orders'!A556)</f>
        <v>0</v>
      </c>
      <c r="S556" s="99" t="str">
        <f t="shared" si="34"/>
        <v/>
      </c>
      <c r="Y556" s="98" t="str">
        <f t="shared" si="37"/>
        <v/>
      </c>
    </row>
    <row r="557" spans="1:25">
      <c r="A557" s="23"/>
      <c r="F557" s="37"/>
      <c r="H557" s="3"/>
      <c r="J557" s="109" t="str">
        <f>IF(C557&lt;&gt;"",SUMIFS('Booking Management'!Y:Y,'Booking Management'!B:B,'Sales Orders'!A557),"")</f>
        <v/>
      </c>
      <c r="K557" s="45"/>
      <c r="M557" s="92" t="str">
        <f t="shared" ca="1" si="36"/>
        <v/>
      </c>
      <c r="O557" s="3"/>
      <c r="Q557" s="92" t="str">
        <f t="shared" si="35"/>
        <v/>
      </c>
      <c r="R557" s="98">
        <f>SUMIFS('Booking Management'!J:J,'Booking Management'!B:B,'Sales Orders'!A557)</f>
        <v>0</v>
      </c>
      <c r="S557" s="99" t="str">
        <f t="shared" si="34"/>
        <v/>
      </c>
      <c r="Y557" s="98" t="str">
        <f t="shared" si="37"/>
        <v/>
      </c>
    </row>
    <row r="558" spans="1:25">
      <c r="A558" s="23"/>
      <c r="F558" s="37"/>
      <c r="H558" s="3"/>
      <c r="J558" s="109" t="str">
        <f>IF(C558&lt;&gt;"",SUMIFS('Booking Management'!Y:Y,'Booking Management'!B:B,'Sales Orders'!A558),"")</f>
        <v/>
      </c>
      <c r="K558" s="45"/>
      <c r="M558" s="92" t="str">
        <f t="shared" ca="1" si="36"/>
        <v/>
      </c>
      <c r="O558" s="3"/>
      <c r="Q558" s="92" t="str">
        <f t="shared" si="35"/>
        <v/>
      </c>
      <c r="R558" s="98">
        <f>SUMIFS('Booking Management'!J:J,'Booking Management'!B:B,'Sales Orders'!A558)</f>
        <v>0</v>
      </c>
      <c r="S558" s="99" t="str">
        <f t="shared" si="34"/>
        <v/>
      </c>
      <c r="Y558" s="98" t="str">
        <f t="shared" si="37"/>
        <v/>
      </c>
    </row>
    <row r="559" spans="1:25">
      <c r="A559" s="23"/>
      <c r="F559" s="37"/>
      <c r="H559" s="3"/>
      <c r="J559" s="109" t="str">
        <f>IF(C559&lt;&gt;"",SUMIFS('Booking Management'!Y:Y,'Booking Management'!B:B,'Sales Orders'!A559),"")</f>
        <v/>
      </c>
      <c r="K559" s="45"/>
      <c r="M559" s="92" t="str">
        <f t="shared" ca="1" si="36"/>
        <v/>
      </c>
      <c r="O559" s="3"/>
      <c r="Q559" s="92" t="str">
        <f t="shared" si="35"/>
        <v/>
      </c>
      <c r="R559" s="98">
        <f>SUMIFS('Booking Management'!J:J,'Booking Management'!B:B,'Sales Orders'!A559)</f>
        <v>0</v>
      </c>
      <c r="S559" s="99" t="str">
        <f t="shared" si="34"/>
        <v/>
      </c>
      <c r="Y559" s="98" t="str">
        <f t="shared" si="37"/>
        <v/>
      </c>
    </row>
    <row r="560" spans="1:25">
      <c r="A560" s="23"/>
      <c r="F560" s="37"/>
      <c r="H560" s="3"/>
      <c r="J560" s="109" t="str">
        <f>IF(C560&lt;&gt;"",SUMIFS('Booking Management'!Y:Y,'Booking Management'!B:B,'Sales Orders'!A560),"")</f>
        <v/>
      </c>
      <c r="K560" s="45"/>
      <c r="M560" s="92" t="str">
        <f t="shared" ca="1" si="36"/>
        <v/>
      </c>
      <c r="O560" s="3"/>
      <c r="Q560" s="92" t="str">
        <f t="shared" si="35"/>
        <v/>
      </c>
      <c r="R560" s="98">
        <f>SUMIFS('Booking Management'!J:J,'Booking Management'!B:B,'Sales Orders'!A560)</f>
        <v>0</v>
      </c>
      <c r="S560" s="99" t="str">
        <f t="shared" si="34"/>
        <v/>
      </c>
      <c r="Y560" s="98" t="str">
        <f t="shared" si="37"/>
        <v/>
      </c>
    </row>
    <row r="561" spans="1:25">
      <c r="A561" s="23"/>
      <c r="F561" s="37"/>
      <c r="H561" s="3"/>
      <c r="J561" s="109" t="str">
        <f>IF(C561&lt;&gt;"",SUMIFS('Booking Management'!Y:Y,'Booking Management'!B:B,'Sales Orders'!A561),"")</f>
        <v/>
      </c>
      <c r="K561" s="45"/>
      <c r="M561" s="92" t="str">
        <f t="shared" ca="1" si="36"/>
        <v/>
      </c>
      <c r="O561" s="3"/>
      <c r="Q561" s="92" t="str">
        <f t="shared" si="35"/>
        <v/>
      </c>
      <c r="R561" s="98">
        <f>SUMIFS('Booking Management'!J:J,'Booking Management'!B:B,'Sales Orders'!A561)</f>
        <v>0</v>
      </c>
      <c r="S561" s="99" t="str">
        <f t="shared" si="34"/>
        <v/>
      </c>
      <c r="Y561" s="98" t="str">
        <f t="shared" si="37"/>
        <v/>
      </c>
    </row>
    <row r="562" spans="1:25">
      <c r="A562" s="23"/>
      <c r="F562" s="37"/>
      <c r="H562" s="3"/>
      <c r="J562" s="109" t="str">
        <f>IF(C562&lt;&gt;"",SUMIFS('Booking Management'!Y:Y,'Booking Management'!B:B,'Sales Orders'!A562),"")</f>
        <v/>
      </c>
      <c r="K562" s="45"/>
      <c r="M562" s="92" t="str">
        <f t="shared" ca="1" si="36"/>
        <v/>
      </c>
      <c r="O562" s="3"/>
      <c r="Q562" s="92" t="str">
        <f t="shared" si="35"/>
        <v/>
      </c>
      <c r="R562" s="98">
        <f>SUMIFS('Booking Management'!J:J,'Booking Management'!B:B,'Sales Orders'!A562)</f>
        <v>0</v>
      </c>
      <c r="S562" s="99" t="str">
        <f t="shared" si="34"/>
        <v/>
      </c>
      <c r="Y562" s="98" t="str">
        <f t="shared" si="37"/>
        <v/>
      </c>
    </row>
    <row r="563" spans="1:25">
      <c r="A563" s="23"/>
      <c r="F563" s="37"/>
      <c r="H563" s="3"/>
      <c r="J563" s="109" t="str">
        <f>IF(C563&lt;&gt;"",SUMIFS('Booking Management'!Y:Y,'Booking Management'!B:B,'Sales Orders'!A563),"")</f>
        <v/>
      </c>
      <c r="K563" s="45"/>
      <c r="M563" s="92" t="str">
        <f t="shared" ca="1" si="36"/>
        <v/>
      </c>
      <c r="O563" s="3"/>
      <c r="Q563" s="92" t="str">
        <f t="shared" si="35"/>
        <v/>
      </c>
      <c r="R563" s="98">
        <f>SUMIFS('Booking Management'!J:J,'Booking Management'!B:B,'Sales Orders'!A563)</f>
        <v>0</v>
      </c>
      <c r="S563" s="99" t="str">
        <f t="shared" si="34"/>
        <v/>
      </c>
      <c r="Y563" s="98" t="str">
        <f t="shared" si="37"/>
        <v/>
      </c>
    </row>
    <row r="564" spans="1:25">
      <c r="A564" s="23"/>
      <c r="F564" s="37"/>
      <c r="H564" s="3"/>
      <c r="J564" s="109" t="str">
        <f>IF(C564&lt;&gt;"",SUMIFS('Booking Management'!Y:Y,'Booking Management'!B:B,'Sales Orders'!A564),"")</f>
        <v/>
      </c>
      <c r="K564" s="45"/>
      <c r="M564" s="92" t="str">
        <f t="shared" ca="1" si="36"/>
        <v/>
      </c>
      <c r="O564" s="3"/>
      <c r="Q564" s="92" t="str">
        <f t="shared" si="35"/>
        <v/>
      </c>
      <c r="R564" s="98">
        <f>SUMIFS('Booking Management'!J:J,'Booking Management'!B:B,'Sales Orders'!A564)</f>
        <v>0</v>
      </c>
      <c r="S564" s="99" t="str">
        <f t="shared" si="34"/>
        <v/>
      </c>
      <c r="Y564" s="98" t="str">
        <f t="shared" si="37"/>
        <v/>
      </c>
    </row>
    <row r="565" spans="1:25">
      <c r="A565" s="23"/>
      <c r="F565" s="37"/>
      <c r="H565" s="3"/>
      <c r="J565" s="109" t="str">
        <f>IF(C565&lt;&gt;"",SUMIFS('Booking Management'!Y:Y,'Booking Management'!B:B,'Sales Orders'!A565),"")</f>
        <v/>
      </c>
      <c r="K565" s="45"/>
      <c r="M565" s="92" t="str">
        <f t="shared" ca="1" si="36"/>
        <v/>
      </c>
      <c r="O565" s="3"/>
      <c r="Q565" s="92" t="str">
        <f t="shared" si="35"/>
        <v/>
      </c>
      <c r="R565" s="98">
        <f>SUMIFS('Booking Management'!J:J,'Booking Management'!B:B,'Sales Orders'!A565)</f>
        <v>0</v>
      </c>
      <c r="S565" s="99" t="str">
        <f t="shared" si="34"/>
        <v/>
      </c>
      <c r="Y565" s="98" t="str">
        <f t="shared" si="37"/>
        <v/>
      </c>
    </row>
    <row r="566" spans="1:25">
      <c r="A566" s="23"/>
      <c r="F566" s="37"/>
      <c r="H566" s="3"/>
      <c r="J566" s="109" t="str">
        <f>IF(C566&lt;&gt;"",SUMIFS('Booking Management'!Y:Y,'Booking Management'!B:B,'Sales Orders'!A566),"")</f>
        <v/>
      </c>
      <c r="K566" s="45"/>
      <c r="M566" s="92" t="str">
        <f t="shared" ca="1" si="36"/>
        <v/>
      </c>
      <c r="O566" s="3"/>
      <c r="Q566" s="92" t="str">
        <f t="shared" si="35"/>
        <v/>
      </c>
      <c r="R566" s="98">
        <f>SUMIFS('Booking Management'!J:J,'Booking Management'!B:B,'Sales Orders'!A566)</f>
        <v>0</v>
      </c>
      <c r="S566" s="99" t="str">
        <f t="shared" si="34"/>
        <v/>
      </c>
      <c r="Y566" s="98" t="str">
        <f t="shared" si="37"/>
        <v/>
      </c>
    </row>
    <row r="567" spans="1:25">
      <c r="A567" s="23"/>
      <c r="F567" s="37"/>
      <c r="H567" s="3"/>
      <c r="J567" s="109" t="str">
        <f>IF(C567&lt;&gt;"",SUMIFS('Booking Management'!Y:Y,'Booking Management'!B:B,'Sales Orders'!A567),"")</f>
        <v/>
      </c>
      <c r="K567" s="45"/>
      <c r="M567" s="92" t="str">
        <f t="shared" ca="1" si="36"/>
        <v/>
      </c>
      <c r="O567" s="3"/>
      <c r="Q567" s="92" t="str">
        <f t="shared" si="35"/>
        <v/>
      </c>
      <c r="R567" s="98">
        <f>SUMIFS('Booking Management'!J:J,'Booking Management'!B:B,'Sales Orders'!A567)</f>
        <v>0</v>
      </c>
      <c r="S567" s="99" t="str">
        <f t="shared" si="34"/>
        <v/>
      </c>
      <c r="Y567" s="98" t="str">
        <f t="shared" si="37"/>
        <v/>
      </c>
    </row>
    <row r="568" spans="1:25">
      <c r="A568" s="23"/>
      <c r="F568" s="37"/>
      <c r="H568" s="3"/>
      <c r="J568" s="109" t="str">
        <f>IF(C568&lt;&gt;"",SUMIFS('Booking Management'!Y:Y,'Booking Management'!B:B,'Sales Orders'!A568),"")</f>
        <v/>
      </c>
      <c r="K568" s="45"/>
      <c r="M568" s="92" t="str">
        <f t="shared" ca="1" si="36"/>
        <v/>
      </c>
      <c r="O568" s="3"/>
      <c r="Q568" s="92" t="str">
        <f t="shared" si="35"/>
        <v/>
      </c>
      <c r="R568" s="98">
        <f>SUMIFS('Booking Management'!J:J,'Booking Management'!B:B,'Sales Orders'!A568)</f>
        <v>0</v>
      </c>
      <c r="S568" s="99" t="str">
        <f t="shared" si="34"/>
        <v/>
      </c>
      <c r="Y568" s="98" t="str">
        <f t="shared" si="37"/>
        <v/>
      </c>
    </row>
    <row r="569" spans="1:25">
      <c r="A569" s="23"/>
      <c r="F569" s="37"/>
      <c r="H569" s="3"/>
      <c r="J569" s="109" t="str">
        <f>IF(C569&lt;&gt;"",SUMIFS('Booking Management'!Y:Y,'Booking Management'!B:B,'Sales Orders'!A569),"")</f>
        <v/>
      </c>
      <c r="K569" s="45"/>
      <c r="M569" s="92" t="str">
        <f t="shared" ca="1" si="36"/>
        <v/>
      </c>
      <c r="O569" s="3"/>
      <c r="Q569" s="92" t="str">
        <f t="shared" si="35"/>
        <v/>
      </c>
      <c r="R569" s="98">
        <f>SUMIFS('Booking Management'!J:J,'Booking Management'!B:B,'Sales Orders'!A569)</f>
        <v>0</v>
      </c>
      <c r="S569" s="99" t="str">
        <f t="shared" si="34"/>
        <v/>
      </c>
      <c r="Y569" s="98" t="str">
        <f t="shared" si="37"/>
        <v/>
      </c>
    </row>
    <row r="570" spans="1:25">
      <c r="A570" s="23"/>
      <c r="F570" s="37"/>
      <c r="H570" s="3"/>
      <c r="J570" s="109" t="str">
        <f>IF(C570&lt;&gt;"",SUMIFS('Booking Management'!Y:Y,'Booking Management'!B:B,'Sales Orders'!A570),"")</f>
        <v/>
      </c>
      <c r="K570" s="45"/>
      <c r="M570" s="92" t="str">
        <f t="shared" ca="1" si="36"/>
        <v/>
      </c>
      <c r="O570" s="3"/>
      <c r="Q570" s="92" t="str">
        <f t="shared" si="35"/>
        <v/>
      </c>
      <c r="R570" s="98">
        <f>SUMIFS('Booking Management'!J:J,'Booking Management'!B:B,'Sales Orders'!A570)</f>
        <v>0</v>
      </c>
      <c r="S570" s="99" t="str">
        <f t="shared" si="34"/>
        <v/>
      </c>
      <c r="Y570" s="98" t="str">
        <f t="shared" si="37"/>
        <v/>
      </c>
    </row>
    <row r="571" spans="1:25">
      <c r="A571" s="23"/>
      <c r="F571" s="37"/>
      <c r="H571" s="3"/>
      <c r="J571" s="109" t="str">
        <f>IF(C571&lt;&gt;"",SUMIFS('Booking Management'!Y:Y,'Booking Management'!B:B,'Sales Orders'!A571),"")</f>
        <v/>
      </c>
      <c r="K571" s="45"/>
      <c r="M571" s="92" t="str">
        <f t="shared" ca="1" si="36"/>
        <v/>
      </c>
      <c r="O571" s="3"/>
      <c r="Q571" s="92" t="str">
        <f t="shared" si="35"/>
        <v/>
      </c>
      <c r="R571" s="98">
        <f>SUMIFS('Booking Management'!J:J,'Booking Management'!B:B,'Sales Orders'!A571)</f>
        <v>0</v>
      </c>
      <c r="S571" s="99" t="str">
        <f t="shared" si="34"/>
        <v/>
      </c>
      <c r="Y571" s="98" t="str">
        <f t="shared" si="37"/>
        <v/>
      </c>
    </row>
    <row r="572" spans="1:25">
      <c r="A572" s="23"/>
      <c r="F572" s="37"/>
      <c r="H572" s="3"/>
      <c r="J572" s="109" t="str">
        <f>IF(C572&lt;&gt;"",SUMIFS('Booking Management'!Y:Y,'Booking Management'!B:B,'Sales Orders'!A572),"")</f>
        <v/>
      </c>
      <c r="K572" s="45"/>
      <c r="M572" s="92" t="str">
        <f t="shared" ca="1" si="36"/>
        <v/>
      </c>
      <c r="O572" s="3"/>
      <c r="Q572" s="92" t="str">
        <f t="shared" si="35"/>
        <v/>
      </c>
      <c r="R572" s="98">
        <f>SUMIFS('Booking Management'!J:J,'Booking Management'!B:B,'Sales Orders'!A572)</f>
        <v>0</v>
      </c>
      <c r="S572" s="99" t="str">
        <f t="shared" si="34"/>
        <v/>
      </c>
      <c r="Y572" s="98" t="str">
        <f t="shared" si="37"/>
        <v/>
      </c>
    </row>
    <row r="573" spans="1:25">
      <c r="A573" s="23"/>
      <c r="F573" s="37"/>
      <c r="H573" s="3"/>
      <c r="J573" s="109" t="str">
        <f>IF(C573&lt;&gt;"",SUMIFS('Booking Management'!Y:Y,'Booking Management'!B:B,'Sales Orders'!A573),"")</f>
        <v/>
      </c>
      <c r="K573" s="45"/>
      <c r="M573" s="92" t="str">
        <f t="shared" ca="1" si="36"/>
        <v/>
      </c>
      <c r="O573" s="3"/>
      <c r="Q573" s="92" t="str">
        <f t="shared" si="35"/>
        <v/>
      </c>
      <c r="R573" s="98">
        <f>SUMIFS('Booking Management'!J:J,'Booking Management'!B:B,'Sales Orders'!A573)</f>
        <v>0</v>
      </c>
      <c r="S573" s="99" t="str">
        <f t="shared" si="34"/>
        <v/>
      </c>
      <c r="Y573" s="98" t="str">
        <f t="shared" si="37"/>
        <v/>
      </c>
    </row>
    <row r="574" spans="1:25">
      <c r="A574" s="23"/>
      <c r="F574" s="37"/>
      <c r="H574" s="3"/>
      <c r="J574" s="109" t="str">
        <f>IF(C574&lt;&gt;"",SUMIFS('Booking Management'!Y:Y,'Booking Management'!B:B,'Sales Orders'!A574),"")</f>
        <v/>
      </c>
      <c r="K574" s="45"/>
      <c r="M574" s="92" t="str">
        <f t="shared" ca="1" si="36"/>
        <v/>
      </c>
      <c r="O574" s="3"/>
      <c r="Q574" s="92" t="str">
        <f t="shared" si="35"/>
        <v/>
      </c>
      <c r="R574" s="98">
        <f>SUMIFS('Booking Management'!J:J,'Booking Management'!B:B,'Sales Orders'!A574)</f>
        <v>0</v>
      </c>
      <c r="S574" s="99" t="str">
        <f t="shared" si="34"/>
        <v/>
      </c>
      <c r="Y574" s="98" t="str">
        <f t="shared" si="37"/>
        <v/>
      </c>
    </row>
    <row r="575" spans="1:25">
      <c r="A575" s="23"/>
      <c r="F575" s="37"/>
      <c r="H575" s="3"/>
      <c r="J575" s="109" t="str">
        <f>IF(C575&lt;&gt;"",SUMIFS('Booking Management'!Y:Y,'Booking Management'!B:B,'Sales Orders'!A575),"")</f>
        <v/>
      </c>
      <c r="K575" s="45"/>
      <c r="M575" s="92" t="str">
        <f t="shared" ca="1" si="36"/>
        <v/>
      </c>
      <c r="O575" s="3"/>
      <c r="Q575" s="92" t="str">
        <f t="shared" si="35"/>
        <v/>
      </c>
      <c r="R575" s="98">
        <f>SUMIFS('Booking Management'!J:J,'Booking Management'!B:B,'Sales Orders'!A575)</f>
        <v>0</v>
      </c>
      <c r="S575" s="99" t="str">
        <f t="shared" si="34"/>
        <v/>
      </c>
      <c r="Y575" s="98" t="str">
        <f t="shared" si="37"/>
        <v/>
      </c>
    </row>
    <row r="576" spans="1:25">
      <c r="A576" s="23"/>
      <c r="F576" s="37"/>
      <c r="H576" s="3"/>
      <c r="J576" s="109" t="str">
        <f>IF(C576&lt;&gt;"",SUMIFS('Booking Management'!Y:Y,'Booking Management'!B:B,'Sales Orders'!A576),"")</f>
        <v/>
      </c>
      <c r="K576" s="45"/>
      <c r="M576" s="92" t="str">
        <f t="shared" ca="1" si="36"/>
        <v/>
      </c>
      <c r="O576" s="3"/>
      <c r="Q576" s="92" t="str">
        <f t="shared" si="35"/>
        <v/>
      </c>
      <c r="R576" s="98">
        <f>SUMIFS('Booking Management'!J:J,'Booking Management'!B:B,'Sales Orders'!A576)</f>
        <v>0</v>
      </c>
      <c r="S576" s="99" t="str">
        <f t="shared" si="34"/>
        <v/>
      </c>
      <c r="Y576" s="98" t="str">
        <f t="shared" si="37"/>
        <v/>
      </c>
    </row>
    <row r="577" spans="1:25">
      <c r="A577" s="23"/>
      <c r="F577" s="37"/>
      <c r="H577" s="3"/>
      <c r="J577" s="109" t="str">
        <f>IF(C577&lt;&gt;"",SUMIFS('Booking Management'!Y:Y,'Booking Management'!B:B,'Sales Orders'!A577),"")</f>
        <v/>
      </c>
      <c r="K577" s="45"/>
      <c r="M577" s="92" t="str">
        <f t="shared" ca="1" si="36"/>
        <v/>
      </c>
      <c r="O577" s="3"/>
      <c r="Q577" s="92" t="str">
        <f t="shared" si="35"/>
        <v/>
      </c>
      <c r="R577" s="98">
        <f>SUMIFS('Booking Management'!J:J,'Booking Management'!B:B,'Sales Orders'!A577)</f>
        <v>0</v>
      </c>
      <c r="S577" s="99" t="str">
        <f t="shared" si="34"/>
        <v/>
      </c>
      <c r="Y577" s="98" t="str">
        <f t="shared" si="37"/>
        <v/>
      </c>
    </row>
    <row r="578" spans="1:25">
      <c r="A578" s="23"/>
      <c r="F578" s="37"/>
      <c r="H578" s="3"/>
      <c r="J578" s="109" t="str">
        <f>IF(C578&lt;&gt;"",SUMIFS('Booking Management'!Y:Y,'Booking Management'!B:B,'Sales Orders'!A578),"")</f>
        <v/>
      </c>
      <c r="K578" s="45"/>
      <c r="M578" s="92" t="str">
        <f t="shared" ca="1" si="36"/>
        <v/>
      </c>
      <c r="O578" s="3"/>
      <c r="Q578" s="92" t="str">
        <f t="shared" si="35"/>
        <v/>
      </c>
      <c r="R578" s="98">
        <f>SUMIFS('Booking Management'!J:J,'Booking Management'!B:B,'Sales Orders'!A578)</f>
        <v>0</v>
      </c>
      <c r="S578" s="99" t="str">
        <f t="shared" si="34"/>
        <v/>
      </c>
      <c r="Y578" s="98" t="str">
        <f t="shared" si="37"/>
        <v/>
      </c>
    </row>
    <row r="579" spans="1:25">
      <c r="A579" s="23"/>
      <c r="F579" s="37"/>
      <c r="H579" s="3"/>
      <c r="J579" s="109" t="str">
        <f>IF(C579&lt;&gt;"",SUMIFS('Booking Management'!Y:Y,'Booking Management'!B:B,'Sales Orders'!A579),"")</f>
        <v/>
      </c>
      <c r="K579" s="45"/>
      <c r="M579" s="92" t="str">
        <f t="shared" ca="1" si="36"/>
        <v/>
      </c>
      <c r="O579" s="3"/>
      <c r="Q579" s="92" t="str">
        <f t="shared" si="35"/>
        <v/>
      </c>
      <c r="R579" s="98">
        <f>SUMIFS('Booking Management'!J:J,'Booking Management'!B:B,'Sales Orders'!A579)</f>
        <v>0</v>
      </c>
      <c r="S579" s="99" t="str">
        <f t="shared" si="34"/>
        <v/>
      </c>
      <c r="Y579" s="98" t="str">
        <f t="shared" si="37"/>
        <v/>
      </c>
    </row>
    <row r="580" spans="1:25">
      <c r="A580" s="23"/>
      <c r="F580" s="37"/>
      <c r="H580" s="3"/>
      <c r="J580" s="109" t="str">
        <f>IF(C580&lt;&gt;"",SUMIFS('Booking Management'!Y:Y,'Booking Management'!B:B,'Sales Orders'!A580),"")</f>
        <v/>
      </c>
      <c r="K580" s="45"/>
      <c r="M580" s="92" t="str">
        <f t="shared" ca="1" si="36"/>
        <v/>
      </c>
      <c r="O580" s="3"/>
      <c r="Q580" s="92" t="str">
        <f t="shared" si="35"/>
        <v/>
      </c>
      <c r="R580" s="98">
        <f>SUMIFS('Booking Management'!J:J,'Booking Management'!B:B,'Sales Orders'!A580)</f>
        <v>0</v>
      </c>
      <c r="S580" s="99" t="str">
        <f t="shared" ref="S580:S643" si="38">IF(R580&gt;0,(R580/D580)*N580,"")</f>
        <v/>
      </c>
      <c r="Y580" s="98" t="str">
        <f t="shared" si="37"/>
        <v/>
      </c>
    </row>
    <row r="581" spans="1:25">
      <c r="A581" s="23"/>
      <c r="F581" s="37"/>
      <c r="H581" s="3"/>
      <c r="J581" s="109" t="str">
        <f>IF(C581&lt;&gt;"",SUMIFS('Booking Management'!Y:Y,'Booking Management'!B:B,'Sales Orders'!A581),"")</f>
        <v/>
      </c>
      <c r="K581" s="45"/>
      <c r="M581" s="92" t="str">
        <f t="shared" ca="1" si="36"/>
        <v/>
      </c>
      <c r="O581" s="3"/>
      <c r="Q581" s="92" t="str">
        <f t="shared" si="35"/>
        <v/>
      </c>
      <c r="R581" s="98">
        <f>SUMIFS('Booking Management'!J:J,'Booking Management'!B:B,'Sales Orders'!A581)</f>
        <v>0</v>
      </c>
      <c r="S581" s="99" t="str">
        <f t="shared" si="38"/>
        <v/>
      </c>
      <c r="Y581" s="98" t="str">
        <f t="shared" si="37"/>
        <v/>
      </c>
    </row>
    <row r="582" spans="1:25">
      <c r="A582" s="23"/>
      <c r="F582" s="37"/>
      <c r="H582" s="3"/>
      <c r="J582" s="109" t="str">
        <f>IF(C582&lt;&gt;"",SUMIFS('Booking Management'!Y:Y,'Booking Management'!B:B,'Sales Orders'!A582),"")</f>
        <v/>
      </c>
      <c r="K582" s="45"/>
      <c r="M582" s="92" t="str">
        <f t="shared" ca="1" si="36"/>
        <v/>
      </c>
      <c r="O582" s="3"/>
      <c r="Q582" s="92" t="str">
        <f t="shared" ref="Q582:Q645" si="39">IF(C582&lt;&gt;"",IF(OR(K582="",P582=""),"alert",""),"")</f>
        <v/>
      </c>
      <c r="R582" s="98">
        <f>SUMIFS('Booking Management'!J:J,'Booking Management'!B:B,'Sales Orders'!A582)</f>
        <v>0</v>
      </c>
      <c r="S582" s="99" t="str">
        <f t="shared" si="38"/>
        <v/>
      </c>
      <c r="Y582" s="98" t="str">
        <f t="shared" si="37"/>
        <v/>
      </c>
    </row>
    <row r="583" spans="1:25">
      <c r="A583" s="23"/>
      <c r="F583" s="37"/>
      <c r="H583" s="3"/>
      <c r="J583" s="109" t="str">
        <f>IF(C583&lt;&gt;"",SUMIFS('Booking Management'!Y:Y,'Booking Management'!B:B,'Sales Orders'!A583),"")</f>
        <v/>
      </c>
      <c r="K583" s="45"/>
      <c r="M583" s="92" t="str">
        <f t="shared" ref="M583:M646" ca="1" si="40">IFERROR(IF(K583&lt;&gt;"",IF(AND(_xlfn.NUMBERVALUE(J583)/_xlfn.NUMBERVALUE(D583) &lt;1,K583-TODAY()&lt;2,L583&lt;&gt;"yes"),"alert",""),""),"")</f>
        <v/>
      </c>
      <c r="O583" s="3"/>
      <c r="Q583" s="92" t="str">
        <f t="shared" si="39"/>
        <v/>
      </c>
      <c r="R583" s="98">
        <f>SUMIFS('Booking Management'!J:J,'Booking Management'!B:B,'Sales Orders'!A583)</f>
        <v>0</v>
      </c>
      <c r="S583" s="99" t="str">
        <f t="shared" si="38"/>
        <v/>
      </c>
      <c r="Y583" s="98" t="str">
        <f t="shared" si="37"/>
        <v/>
      </c>
    </row>
    <row r="584" spans="1:25">
      <c r="A584" s="23"/>
      <c r="F584" s="37"/>
      <c r="H584" s="3"/>
      <c r="J584" s="109" t="str">
        <f>IF(C584&lt;&gt;"",SUMIFS('Booking Management'!Y:Y,'Booking Management'!B:B,'Sales Orders'!A584),"")</f>
        <v/>
      </c>
      <c r="K584" s="45"/>
      <c r="M584" s="92" t="str">
        <f t="shared" ca="1" si="40"/>
        <v/>
      </c>
      <c r="O584" s="3"/>
      <c r="Q584" s="92" t="str">
        <f t="shared" si="39"/>
        <v/>
      </c>
      <c r="R584" s="98">
        <f>SUMIFS('Booking Management'!J:J,'Booking Management'!B:B,'Sales Orders'!A584)</f>
        <v>0</v>
      </c>
      <c r="S584" s="99" t="str">
        <f t="shared" si="38"/>
        <v/>
      </c>
      <c r="Y584" s="98" t="str">
        <f t="shared" si="37"/>
        <v/>
      </c>
    </row>
    <row r="585" spans="1:25">
      <c r="A585" s="23"/>
      <c r="F585" s="37"/>
      <c r="H585" s="3"/>
      <c r="J585" s="109" t="str">
        <f>IF(C585&lt;&gt;"",SUMIFS('Booking Management'!Y:Y,'Booking Management'!B:B,'Sales Orders'!A585),"")</f>
        <v/>
      </c>
      <c r="K585" s="45"/>
      <c r="M585" s="92" t="str">
        <f t="shared" ca="1" si="40"/>
        <v/>
      </c>
      <c r="O585" s="3"/>
      <c r="Q585" s="92" t="str">
        <f t="shared" si="39"/>
        <v/>
      </c>
      <c r="R585" s="98">
        <f>SUMIFS('Booking Management'!J:J,'Booking Management'!B:B,'Sales Orders'!A585)</f>
        <v>0</v>
      </c>
      <c r="S585" s="99" t="str">
        <f t="shared" si="38"/>
        <v/>
      </c>
      <c r="Y585" s="98" t="str">
        <f t="shared" si="37"/>
        <v/>
      </c>
    </row>
    <row r="586" spans="1:25">
      <c r="A586" s="23"/>
      <c r="F586" s="37"/>
      <c r="H586" s="3"/>
      <c r="J586" s="109" t="str">
        <f>IF(C586&lt;&gt;"",SUMIFS('Booking Management'!Y:Y,'Booking Management'!B:B,'Sales Orders'!A586),"")</f>
        <v/>
      </c>
      <c r="K586" s="45"/>
      <c r="M586" s="92" t="str">
        <f t="shared" ca="1" si="40"/>
        <v/>
      </c>
      <c r="O586" s="3"/>
      <c r="Q586" s="92" t="str">
        <f t="shared" si="39"/>
        <v/>
      </c>
      <c r="R586" s="98">
        <f>SUMIFS('Booking Management'!J:J,'Booking Management'!B:B,'Sales Orders'!A586)</f>
        <v>0</v>
      </c>
      <c r="S586" s="99" t="str">
        <f t="shared" si="38"/>
        <v/>
      </c>
      <c r="Y586" s="98" t="str">
        <f t="shared" si="37"/>
        <v/>
      </c>
    </row>
    <row r="587" spans="1:25">
      <c r="A587" s="23"/>
      <c r="F587" s="37"/>
      <c r="H587" s="3"/>
      <c r="J587" s="109" t="str">
        <f>IF(C587&lt;&gt;"",SUMIFS('Booking Management'!Y:Y,'Booking Management'!B:B,'Sales Orders'!A587),"")</f>
        <v/>
      </c>
      <c r="K587" s="45"/>
      <c r="M587" s="92" t="str">
        <f t="shared" ca="1" si="40"/>
        <v/>
      </c>
      <c r="O587" s="3"/>
      <c r="Q587" s="92" t="str">
        <f t="shared" si="39"/>
        <v/>
      </c>
      <c r="R587" s="98">
        <f>SUMIFS('Booking Management'!J:J,'Booking Management'!B:B,'Sales Orders'!A587)</f>
        <v>0</v>
      </c>
      <c r="S587" s="99" t="str">
        <f t="shared" si="38"/>
        <v/>
      </c>
      <c r="Y587" s="98" t="str">
        <f t="shared" si="37"/>
        <v/>
      </c>
    </row>
    <row r="588" spans="1:25">
      <c r="A588" s="23"/>
      <c r="F588" s="37"/>
      <c r="H588" s="3"/>
      <c r="J588" s="109" t="str">
        <f>IF(C588&lt;&gt;"",SUMIFS('Booking Management'!Y:Y,'Booking Management'!B:B,'Sales Orders'!A588),"")</f>
        <v/>
      </c>
      <c r="K588" s="45"/>
      <c r="M588" s="92" t="str">
        <f t="shared" ca="1" si="40"/>
        <v/>
      </c>
      <c r="O588" s="3"/>
      <c r="Q588" s="92" t="str">
        <f t="shared" si="39"/>
        <v/>
      </c>
      <c r="R588" s="98">
        <f>SUMIFS('Booking Management'!J:J,'Booking Management'!B:B,'Sales Orders'!A588)</f>
        <v>0</v>
      </c>
      <c r="S588" s="99" t="str">
        <f t="shared" si="38"/>
        <v/>
      </c>
      <c r="Y588" s="98" t="str">
        <f t="shared" si="37"/>
        <v/>
      </c>
    </row>
    <row r="589" spans="1:25">
      <c r="A589" s="23"/>
      <c r="F589" s="37"/>
      <c r="H589" s="3"/>
      <c r="J589" s="109" t="str">
        <f>IF(C589&lt;&gt;"",SUMIFS('Booking Management'!Y:Y,'Booking Management'!B:B,'Sales Orders'!A589),"")</f>
        <v/>
      </c>
      <c r="K589" s="45"/>
      <c r="M589" s="92" t="str">
        <f t="shared" ca="1" si="40"/>
        <v/>
      </c>
      <c r="O589" s="3"/>
      <c r="Q589" s="92" t="str">
        <f t="shared" si="39"/>
        <v/>
      </c>
      <c r="R589" s="98">
        <f>SUMIFS('Booking Management'!J:J,'Booking Management'!B:B,'Sales Orders'!A589)</f>
        <v>0</v>
      </c>
      <c r="S589" s="99" t="str">
        <f t="shared" si="38"/>
        <v/>
      </c>
      <c r="Y589" s="98" t="str">
        <f t="shared" si="37"/>
        <v/>
      </c>
    </row>
    <row r="590" spans="1:25">
      <c r="A590" s="23"/>
      <c r="F590" s="37"/>
      <c r="H590" s="3"/>
      <c r="J590" s="109" t="str">
        <f>IF(C590&lt;&gt;"",SUMIFS('Booking Management'!Y:Y,'Booking Management'!B:B,'Sales Orders'!A590),"")</f>
        <v/>
      </c>
      <c r="K590" s="45"/>
      <c r="M590" s="92" t="str">
        <f t="shared" ca="1" si="40"/>
        <v/>
      </c>
      <c r="O590" s="3"/>
      <c r="Q590" s="92" t="str">
        <f t="shared" si="39"/>
        <v/>
      </c>
      <c r="R590" s="98">
        <f>SUMIFS('Booking Management'!J:J,'Booking Management'!B:B,'Sales Orders'!A590)</f>
        <v>0</v>
      </c>
      <c r="S590" s="99" t="str">
        <f t="shared" si="38"/>
        <v/>
      </c>
      <c r="Y590" s="98" t="str">
        <f t="shared" si="37"/>
        <v/>
      </c>
    </row>
    <row r="591" spans="1:25">
      <c r="A591" s="23"/>
      <c r="F591" s="37"/>
      <c r="H591" s="3"/>
      <c r="J591" s="109" t="str">
        <f>IF(C591&lt;&gt;"",SUMIFS('Booking Management'!Y:Y,'Booking Management'!B:B,'Sales Orders'!A591),"")</f>
        <v/>
      </c>
      <c r="K591" s="45"/>
      <c r="M591" s="92" t="str">
        <f t="shared" ca="1" si="40"/>
        <v/>
      </c>
      <c r="O591" s="3"/>
      <c r="Q591" s="92" t="str">
        <f t="shared" si="39"/>
        <v/>
      </c>
      <c r="R591" s="98">
        <f>SUMIFS('Booking Management'!J:J,'Booking Management'!B:B,'Sales Orders'!A591)</f>
        <v>0</v>
      </c>
      <c r="S591" s="99" t="str">
        <f t="shared" si="38"/>
        <v/>
      </c>
      <c r="Y591" s="98" t="str">
        <f t="shared" si="37"/>
        <v/>
      </c>
    </row>
    <row r="592" spans="1:25">
      <c r="A592" s="23"/>
      <c r="F592" s="37"/>
      <c r="H592" s="3"/>
      <c r="J592" s="109" t="str">
        <f>IF(C592&lt;&gt;"",SUMIFS('Booking Management'!Y:Y,'Booking Management'!B:B,'Sales Orders'!A592),"")</f>
        <v/>
      </c>
      <c r="K592" s="45"/>
      <c r="M592" s="92" t="str">
        <f t="shared" ca="1" si="40"/>
        <v/>
      </c>
      <c r="O592" s="3"/>
      <c r="Q592" s="92" t="str">
        <f t="shared" si="39"/>
        <v/>
      </c>
      <c r="R592" s="98">
        <f>SUMIFS('Booking Management'!J:J,'Booking Management'!B:B,'Sales Orders'!A592)</f>
        <v>0</v>
      </c>
      <c r="S592" s="99" t="str">
        <f t="shared" si="38"/>
        <v/>
      </c>
      <c r="Y592" s="98" t="str">
        <f t="shared" si="37"/>
        <v/>
      </c>
    </row>
    <row r="593" spans="1:25">
      <c r="A593" s="23"/>
      <c r="F593" s="37"/>
      <c r="H593" s="3"/>
      <c r="J593" s="109" t="str">
        <f>IF(C593&lt;&gt;"",SUMIFS('Booking Management'!Y:Y,'Booking Management'!B:B,'Sales Orders'!A593),"")</f>
        <v/>
      </c>
      <c r="K593" s="45"/>
      <c r="M593" s="92" t="str">
        <f t="shared" ca="1" si="40"/>
        <v/>
      </c>
      <c r="O593" s="3"/>
      <c r="Q593" s="92" t="str">
        <f t="shared" si="39"/>
        <v/>
      </c>
      <c r="R593" s="98">
        <f>SUMIFS('Booking Management'!J:J,'Booking Management'!B:B,'Sales Orders'!A593)</f>
        <v>0</v>
      </c>
      <c r="S593" s="99" t="str">
        <f t="shared" si="38"/>
        <v/>
      </c>
      <c r="Y593" s="98" t="str">
        <f t="shared" si="37"/>
        <v/>
      </c>
    </row>
    <row r="594" spans="1:25">
      <c r="A594" s="23"/>
      <c r="F594" s="37"/>
      <c r="H594" s="3"/>
      <c r="J594" s="109" t="str">
        <f>IF(C594&lt;&gt;"",SUMIFS('Booking Management'!Y:Y,'Booking Management'!B:B,'Sales Orders'!A594),"")</f>
        <v/>
      </c>
      <c r="K594" s="45"/>
      <c r="M594" s="92" t="str">
        <f t="shared" ca="1" si="40"/>
        <v/>
      </c>
      <c r="O594" s="3"/>
      <c r="Q594" s="92" t="str">
        <f t="shared" si="39"/>
        <v/>
      </c>
      <c r="R594" s="98">
        <f>SUMIFS('Booking Management'!J:J,'Booking Management'!B:B,'Sales Orders'!A594)</f>
        <v>0</v>
      </c>
      <c r="S594" s="99" t="str">
        <f t="shared" si="38"/>
        <v/>
      </c>
      <c r="Y594" s="98" t="str">
        <f t="shared" si="37"/>
        <v/>
      </c>
    </row>
    <row r="595" spans="1:25">
      <c r="A595" s="23"/>
      <c r="F595" s="37"/>
      <c r="H595" s="3"/>
      <c r="J595" s="109" t="str">
        <f>IF(C595&lt;&gt;"",SUMIFS('Booking Management'!Y:Y,'Booking Management'!B:B,'Sales Orders'!A595),"")</f>
        <v/>
      </c>
      <c r="K595" s="45"/>
      <c r="M595" s="92" t="str">
        <f t="shared" ca="1" si="40"/>
        <v/>
      </c>
      <c r="O595" s="3"/>
      <c r="Q595" s="92" t="str">
        <f t="shared" si="39"/>
        <v/>
      </c>
      <c r="R595" s="98">
        <f>SUMIFS('Booking Management'!J:J,'Booking Management'!B:B,'Sales Orders'!A595)</f>
        <v>0</v>
      </c>
      <c r="S595" s="99" t="str">
        <f t="shared" si="38"/>
        <v/>
      </c>
      <c r="Y595" s="98" t="str">
        <f t="shared" si="37"/>
        <v/>
      </c>
    </row>
    <row r="596" spans="1:25">
      <c r="A596" s="23"/>
      <c r="F596" s="37"/>
      <c r="H596" s="3"/>
      <c r="J596" s="109" t="str">
        <f>IF(C596&lt;&gt;"",SUMIFS('Booking Management'!Y:Y,'Booking Management'!B:B,'Sales Orders'!A596),"")</f>
        <v/>
      </c>
      <c r="K596" s="45"/>
      <c r="M596" s="92" t="str">
        <f t="shared" ca="1" si="40"/>
        <v/>
      </c>
      <c r="O596" s="3"/>
      <c r="Q596" s="92" t="str">
        <f t="shared" si="39"/>
        <v/>
      </c>
      <c r="R596" s="98">
        <f>SUMIFS('Booking Management'!J:J,'Booking Management'!B:B,'Sales Orders'!A596)</f>
        <v>0</v>
      </c>
      <c r="S596" s="99" t="str">
        <f t="shared" si="38"/>
        <v/>
      </c>
      <c r="Y596" s="98" t="str">
        <f t="shared" si="37"/>
        <v/>
      </c>
    </row>
    <row r="597" spans="1:25">
      <c r="A597" s="23"/>
      <c r="F597" s="37"/>
      <c r="H597" s="3"/>
      <c r="J597" s="109" t="str">
        <f>IF(C597&lt;&gt;"",SUMIFS('Booking Management'!Y:Y,'Booking Management'!B:B,'Sales Orders'!A597),"")</f>
        <v/>
      </c>
      <c r="K597" s="45"/>
      <c r="M597" s="92" t="str">
        <f t="shared" ca="1" si="40"/>
        <v/>
      </c>
      <c r="O597" s="3"/>
      <c r="Q597" s="92" t="str">
        <f t="shared" si="39"/>
        <v/>
      </c>
      <c r="R597" s="98">
        <f>SUMIFS('Booking Management'!J:J,'Booking Management'!B:B,'Sales Orders'!A597)</f>
        <v>0</v>
      </c>
      <c r="S597" s="99" t="str">
        <f t="shared" si="38"/>
        <v/>
      </c>
      <c r="Y597" s="98" t="str">
        <f t="shared" si="37"/>
        <v/>
      </c>
    </row>
    <row r="598" spans="1:25">
      <c r="A598" s="23"/>
      <c r="F598" s="37"/>
      <c r="H598" s="3"/>
      <c r="J598" s="109" t="str">
        <f>IF(C598&lt;&gt;"",SUMIFS('Booking Management'!Y:Y,'Booking Management'!B:B,'Sales Orders'!A598),"")</f>
        <v/>
      </c>
      <c r="K598" s="45"/>
      <c r="M598" s="92" t="str">
        <f t="shared" ca="1" si="40"/>
        <v/>
      </c>
      <c r="O598" s="3"/>
      <c r="Q598" s="92" t="str">
        <f t="shared" si="39"/>
        <v/>
      </c>
      <c r="R598" s="98">
        <f>SUMIFS('Booking Management'!J:J,'Booking Management'!B:B,'Sales Orders'!A598)</f>
        <v>0</v>
      </c>
      <c r="S598" s="99" t="str">
        <f t="shared" si="38"/>
        <v/>
      </c>
      <c r="Y598" s="98" t="str">
        <f t="shared" si="37"/>
        <v/>
      </c>
    </row>
    <row r="599" spans="1:25">
      <c r="A599" s="23"/>
      <c r="F599" s="37"/>
      <c r="H599" s="3"/>
      <c r="J599" s="109" t="str">
        <f>IF(C599&lt;&gt;"",SUMIFS('Booking Management'!Y:Y,'Booking Management'!B:B,'Sales Orders'!A599),"")</f>
        <v/>
      </c>
      <c r="K599" s="45"/>
      <c r="M599" s="92" t="str">
        <f t="shared" ca="1" si="40"/>
        <v/>
      </c>
      <c r="O599" s="3"/>
      <c r="Q599" s="92" t="str">
        <f t="shared" si="39"/>
        <v/>
      </c>
      <c r="R599" s="98">
        <f>SUMIFS('Booking Management'!J:J,'Booking Management'!B:B,'Sales Orders'!A599)</f>
        <v>0</v>
      </c>
      <c r="S599" s="99" t="str">
        <f t="shared" si="38"/>
        <v/>
      </c>
      <c r="Y599" s="98" t="str">
        <f t="shared" si="37"/>
        <v/>
      </c>
    </row>
    <row r="600" spans="1:25">
      <c r="A600" s="23"/>
      <c r="F600" s="37"/>
      <c r="H600" s="3"/>
      <c r="J600" s="109" t="str">
        <f>IF(C600&lt;&gt;"",SUMIFS('Booking Management'!Y:Y,'Booking Management'!B:B,'Sales Orders'!A600),"")</f>
        <v/>
      </c>
      <c r="K600" s="45"/>
      <c r="M600" s="92" t="str">
        <f t="shared" ca="1" si="40"/>
        <v/>
      </c>
      <c r="O600" s="3"/>
      <c r="Q600" s="92" t="str">
        <f t="shared" si="39"/>
        <v/>
      </c>
      <c r="R600" s="98">
        <f>SUMIFS('Booking Management'!J:J,'Booking Management'!B:B,'Sales Orders'!A600)</f>
        <v>0</v>
      </c>
      <c r="S600" s="99" t="str">
        <f t="shared" si="38"/>
        <v/>
      </c>
      <c r="Y600" s="98" t="str">
        <f t="shared" si="37"/>
        <v/>
      </c>
    </row>
    <row r="601" spans="1:25">
      <c r="A601" s="23"/>
      <c r="F601" s="37"/>
      <c r="H601" s="3"/>
      <c r="J601" s="109" t="str">
        <f>IF(C601&lt;&gt;"",SUMIFS('Booking Management'!Y:Y,'Booking Management'!B:B,'Sales Orders'!A601),"")</f>
        <v/>
      </c>
      <c r="K601" s="45"/>
      <c r="M601" s="92" t="str">
        <f t="shared" ca="1" si="40"/>
        <v/>
      </c>
      <c r="O601" s="3"/>
      <c r="Q601" s="92" t="str">
        <f t="shared" si="39"/>
        <v/>
      </c>
      <c r="R601" s="98">
        <f>SUMIFS('Booking Management'!J:J,'Booking Management'!B:B,'Sales Orders'!A601)</f>
        <v>0</v>
      </c>
      <c r="S601" s="99" t="str">
        <f t="shared" si="38"/>
        <v/>
      </c>
      <c r="Y601" s="98" t="str">
        <f t="shared" si="37"/>
        <v/>
      </c>
    </row>
    <row r="602" spans="1:25">
      <c r="A602" s="23"/>
      <c r="F602" s="37"/>
      <c r="H602" s="3"/>
      <c r="J602" s="109" t="str">
        <f>IF(C602&lt;&gt;"",SUMIFS('Booking Management'!Y:Y,'Booking Management'!B:B,'Sales Orders'!A602),"")</f>
        <v/>
      </c>
      <c r="M602" s="92" t="str">
        <f t="shared" ca="1" si="40"/>
        <v/>
      </c>
      <c r="O602" s="3"/>
      <c r="Q602" s="92" t="str">
        <f t="shared" si="39"/>
        <v/>
      </c>
      <c r="R602" s="98">
        <f>SUMIFS('Booking Management'!J:J,'Booking Management'!B:B,'Sales Orders'!A602)</f>
        <v>0</v>
      </c>
      <c r="S602" s="99" t="str">
        <f t="shared" si="38"/>
        <v/>
      </c>
      <c r="Y602" s="98" t="str">
        <f t="shared" si="37"/>
        <v/>
      </c>
    </row>
    <row r="603" spans="1:25">
      <c r="A603" s="23"/>
      <c r="F603" s="37"/>
      <c r="H603" s="3"/>
      <c r="J603" s="109" t="str">
        <f>IF(C603&lt;&gt;"",SUMIFS('Booking Management'!Y:Y,'Booking Management'!B:B,'Sales Orders'!A603),"")</f>
        <v/>
      </c>
      <c r="M603" s="92" t="str">
        <f t="shared" ca="1" si="40"/>
        <v/>
      </c>
      <c r="O603" s="3"/>
      <c r="Q603" s="92" t="str">
        <f t="shared" si="39"/>
        <v/>
      </c>
      <c r="R603" s="98">
        <f>SUMIFS('Booking Management'!J:J,'Booking Management'!B:B,'Sales Orders'!A603)</f>
        <v>0</v>
      </c>
      <c r="S603" s="99" t="str">
        <f t="shared" si="38"/>
        <v/>
      </c>
      <c r="Y603" s="98" t="str">
        <f t="shared" si="37"/>
        <v/>
      </c>
    </row>
    <row r="604" spans="1:25">
      <c r="A604" s="23"/>
      <c r="F604" s="37"/>
      <c r="H604" s="3"/>
      <c r="J604" s="109" t="str">
        <f>IF(C604&lt;&gt;"",SUMIFS('Booking Management'!Y:Y,'Booking Management'!B:B,'Sales Orders'!A604),"")</f>
        <v/>
      </c>
      <c r="M604" s="92" t="str">
        <f t="shared" ca="1" si="40"/>
        <v/>
      </c>
      <c r="O604" s="3"/>
      <c r="Q604" s="92" t="str">
        <f t="shared" si="39"/>
        <v/>
      </c>
      <c r="R604" s="98">
        <f>SUMIFS('Booking Management'!J:J,'Booking Management'!B:B,'Sales Orders'!A604)</f>
        <v>0</v>
      </c>
      <c r="S604" s="99" t="str">
        <f t="shared" si="38"/>
        <v/>
      </c>
      <c r="Y604" s="98" t="str">
        <f t="shared" si="37"/>
        <v/>
      </c>
    </row>
    <row r="605" spans="1:25">
      <c r="A605" s="23"/>
      <c r="F605" s="37"/>
      <c r="H605" s="3"/>
      <c r="J605" s="109" t="str">
        <f>IF(C605&lt;&gt;"",SUMIFS('Booking Management'!Y:Y,'Booking Management'!B:B,'Sales Orders'!A605),"")</f>
        <v/>
      </c>
      <c r="M605" s="92" t="str">
        <f t="shared" ca="1" si="40"/>
        <v/>
      </c>
      <c r="O605" s="3"/>
      <c r="Q605" s="92" t="str">
        <f t="shared" si="39"/>
        <v/>
      </c>
      <c r="R605" s="98">
        <f>SUMIFS('Booking Management'!J:J,'Booking Management'!B:B,'Sales Orders'!A605)</f>
        <v>0</v>
      </c>
      <c r="S605" s="99" t="str">
        <f t="shared" si="38"/>
        <v/>
      </c>
      <c r="Y605" s="98" t="str">
        <f t="shared" si="37"/>
        <v/>
      </c>
    </row>
    <row r="606" spans="1:25">
      <c r="A606" s="23"/>
      <c r="F606" s="37"/>
      <c r="H606" s="3"/>
      <c r="J606" s="109" t="str">
        <f>IF(C606&lt;&gt;"",SUMIFS('Booking Management'!Y:Y,'Booking Management'!B:B,'Sales Orders'!A606),"")</f>
        <v/>
      </c>
      <c r="M606" s="92" t="str">
        <f t="shared" ca="1" si="40"/>
        <v/>
      </c>
      <c r="O606" s="3"/>
      <c r="Q606" s="92" t="str">
        <f t="shared" si="39"/>
        <v/>
      </c>
      <c r="R606" s="98">
        <f>SUMIFS('Booking Management'!J:J,'Booking Management'!B:B,'Sales Orders'!A606)</f>
        <v>0</v>
      </c>
      <c r="S606" s="99" t="str">
        <f t="shared" si="38"/>
        <v/>
      </c>
      <c r="Y606" s="98" t="str">
        <f t="shared" si="37"/>
        <v/>
      </c>
    </row>
    <row r="607" spans="1:25">
      <c r="A607" s="23"/>
      <c r="F607" s="37"/>
      <c r="H607" s="3"/>
      <c r="J607" s="109" t="str">
        <f>IF(C607&lt;&gt;"",SUMIFS('Booking Management'!Y:Y,'Booking Management'!B:B,'Sales Orders'!A607),"")</f>
        <v/>
      </c>
      <c r="M607" s="92" t="str">
        <f t="shared" ca="1" si="40"/>
        <v/>
      </c>
      <c r="O607" s="3"/>
      <c r="Q607" s="92" t="str">
        <f t="shared" si="39"/>
        <v/>
      </c>
      <c r="R607" s="98">
        <f>SUMIFS('Booking Management'!J:J,'Booking Management'!B:B,'Sales Orders'!A607)</f>
        <v>0</v>
      </c>
      <c r="S607" s="99" t="str">
        <f t="shared" si="38"/>
        <v/>
      </c>
      <c r="Y607" s="98" t="str">
        <f t="shared" si="37"/>
        <v/>
      </c>
    </row>
    <row r="608" spans="1:25">
      <c r="A608" s="23"/>
      <c r="F608" s="37"/>
      <c r="H608" s="3"/>
      <c r="J608" s="109" t="str">
        <f>IF(C608&lt;&gt;"",SUMIFS('Booking Management'!Y:Y,'Booking Management'!B:B,'Sales Orders'!A608),"")</f>
        <v/>
      </c>
      <c r="M608" s="92" t="str">
        <f t="shared" ca="1" si="40"/>
        <v/>
      </c>
      <c r="O608" s="3"/>
      <c r="Q608" s="92" t="str">
        <f t="shared" si="39"/>
        <v/>
      </c>
      <c r="R608" s="98">
        <f>SUMIFS('Booking Management'!J:J,'Booking Management'!B:B,'Sales Orders'!A608)</f>
        <v>0</v>
      </c>
      <c r="S608" s="99" t="str">
        <f t="shared" si="38"/>
        <v/>
      </c>
      <c r="Y608" s="98" t="str">
        <f t="shared" si="37"/>
        <v/>
      </c>
    </row>
    <row r="609" spans="1:25">
      <c r="A609" s="23"/>
      <c r="F609" s="37"/>
      <c r="H609" s="3"/>
      <c r="J609" s="109" t="str">
        <f>IF(C609&lt;&gt;"",SUMIFS('Booking Management'!Y:Y,'Booking Management'!B:B,'Sales Orders'!A609),"")</f>
        <v/>
      </c>
      <c r="M609" s="92" t="str">
        <f t="shared" ca="1" si="40"/>
        <v/>
      </c>
      <c r="O609" s="3"/>
      <c r="Q609" s="92" t="str">
        <f t="shared" si="39"/>
        <v/>
      </c>
      <c r="R609" s="98">
        <f>SUMIFS('Booking Management'!J:J,'Booking Management'!B:B,'Sales Orders'!A609)</f>
        <v>0</v>
      </c>
      <c r="S609" s="99" t="str">
        <f t="shared" si="38"/>
        <v/>
      </c>
      <c r="Y609" s="98" t="str">
        <f t="shared" si="37"/>
        <v/>
      </c>
    </row>
    <row r="610" spans="1:25">
      <c r="A610" s="23"/>
      <c r="F610" s="37"/>
      <c r="H610" s="3"/>
      <c r="J610" s="109" t="str">
        <f>IF(C610&lt;&gt;"",SUMIFS('Booking Management'!Y:Y,'Booking Management'!B:B,'Sales Orders'!A610),"")</f>
        <v/>
      </c>
      <c r="M610" s="92" t="str">
        <f t="shared" ca="1" si="40"/>
        <v/>
      </c>
      <c r="O610" s="3"/>
      <c r="Q610" s="92" t="str">
        <f t="shared" si="39"/>
        <v/>
      </c>
      <c r="R610" s="98">
        <f>SUMIFS('Booking Management'!J:J,'Booking Management'!B:B,'Sales Orders'!A610)</f>
        <v>0</v>
      </c>
      <c r="S610" s="99" t="str">
        <f t="shared" si="38"/>
        <v/>
      </c>
      <c r="Y610" s="98" t="str">
        <f t="shared" si="37"/>
        <v/>
      </c>
    </row>
    <row r="611" spans="1:25">
      <c r="A611" s="23"/>
      <c r="F611" s="37"/>
      <c r="H611" s="3"/>
      <c r="J611" s="109" t="str">
        <f>IF(C611&lt;&gt;"",SUMIFS('Booking Management'!Y:Y,'Booking Management'!B:B,'Sales Orders'!A611),"")</f>
        <v/>
      </c>
      <c r="M611" s="92" t="str">
        <f t="shared" ca="1" si="40"/>
        <v/>
      </c>
      <c r="O611" s="3"/>
      <c r="Q611" s="92" t="str">
        <f t="shared" si="39"/>
        <v/>
      </c>
      <c r="R611" s="98">
        <f>SUMIFS('Booking Management'!J:J,'Booking Management'!B:B,'Sales Orders'!A611)</f>
        <v>0</v>
      </c>
      <c r="S611" s="99" t="str">
        <f t="shared" si="38"/>
        <v/>
      </c>
      <c r="Y611" s="98" t="str">
        <f t="shared" si="37"/>
        <v/>
      </c>
    </row>
    <row r="612" spans="1:25">
      <c r="A612" s="23"/>
      <c r="F612" s="37"/>
      <c r="H612" s="3"/>
      <c r="J612" s="109" t="str">
        <f>IF(C612&lt;&gt;"",SUMIFS('Booking Management'!Y:Y,'Booking Management'!B:B,'Sales Orders'!A612),"")</f>
        <v/>
      </c>
      <c r="M612" s="92" t="str">
        <f t="shared" ca="1" si="40"/>
        <v/>
      </c>
      <c r="O612" s="3"/>
      <c r="Q612" s="92" t="str">
        <f t="shared" si="39"/>
        <v/>
      </c>
      <c r="R612" s="98">
        <f>SUMIFS('Booking Management'!J:J,'Booking Management'!B:B,'Sales Orders'!A612)</f>
        <v>0</v>
      </c>
      <c r="S612" s="99" t="str">
        <f t="shared" si="38"/>
        <v/>
      </c>
      <c r="Y612" s="98" t="str">
        <f t="shared" si="37"/>
        <v/>
      </c>
    </row>
    <row r="613" spans="1:25">
      <c r="A613" s="23"/>
      <c r="F613" s="37"/>
      <c r="H613" s="3"/>
      <c r="J613" s="109" t="str">
        <f>IF(C613&lt;&gt;"",SUMIFS('Booking Management'!Y:Y,'Booking Management'!B:B,'Sales Orders'!A613),"")</f>
        <v/>
      </c>
      <c r="M613" s="92" t="str">
        <f t="shared" ca="1" si="40"/>
        <v/>
      </c>
      <c r="O613" s="3"/>
      <c r="Q613" s="92" t="str">
        <f t="shared" si="39"/>
        <v/>
      </c>
      <c r="R613" s="98">
        <f>SUMIFS('Booking Management'!J:J,'Booking Management'!B:B,'Sales Orders'!A613)</f>
        <v>0</v>
      </c>
      <c r="S613" s="99" t="str">
        <f t="shared" si="38"/>
        <v/>
      </c>
      <c r="Y613" s="98" t="str">
        <f t="shared" si="37"/>
        <v/>
      </c>
    </row>
    <row r="614" spans="1:25">
      <c r="A614" s="23"/>
      <c r="F614" s="37"/>
      <c r="H614" s="3"/>
      <c r="J614" s="109" t="str">
        <f>IF(C614&lt;&gt;"",SUMIFS('Booking Management'!Y:Y,'Booking Management'!B:B,'Sales Orders'!A614),"")</f>
        <v/>
      </c>
      <c r="M614" s="92" t="str">
        <f t="shared" ca="1" si="40"/>
        <v/>
      </c>
      <c r="O614" s="3"/>
      <c r="Q614" s="92" t="str">
        <f t="shared" si="39"/>
        <v/>
      </c>
      <c r="R614" s="98">
        <f>SUMIFS('Booking Management'!J:J,'Booking Management'!B:B,'Sales Orders'!A614)</f>
        <v>0</v>
      </c>
      <c r="S614" s="99" t="str">
        <f t="shared" si="38"/>
        <v/>
      </c>
      <c r="Y614" s="98" t="str">
        <f t="shared" si="37"/>
        <v/>
      </c>
    </row>
    <row r="615" spans="1:25">
      <c r="A615" s="23"/>
      <c r="F615" s="37"/>
      <c r="H615" s="3"/>
      <c r="J615" s="109" t="str">
        <f>IF(C615&lt;&gt;"",SUMIFS('Booking Management'!Y:Y,'Booking Management'!B:B,'Sales Orders'!A615),"")</f>
        <v/>
      </c>
      <c r="M615" s="92" t="str">
        <f t="shared" ca="1" si="40"/>
        <v/>
      </c>
      <c r="O615" s="3"/>
      <c r="Q615" s="92" t="str">
        <f t="shared" si="39"/>
        <v/>
      </c>
      <c r="R615" s="98">
        <f>SUMIFS('Booking Management'!J:J,'Booking Management'!B:B,'Sales Orders'!A615)</f>
        <v>0</v>
      </c>
      <c r="S615" s="99" t="str">
        <f t="shared" si="38"/>
        <v/>
      </c>
      <c r="Y615" s="98" t="str">
        <f t="shared" si="37"/>
        <v/>
      </c>
    </row>
    <row r="616" spans="1:25">
      <c r="A616" s="23"/>
      <c r="F616" s="37"/>
      <c r="H616" s="3"/>
      <c r="J616" s="109" t="str">
        <f>IF(C616&lt;&gt;"",SUMIFS('Booking Management'!Y:Y,'Booking Management'!B:B,'Sales Orders'!A616),"")</f>
        <v/>
      </c>
      <c r="M616" s="92" t="str">
        <f t="shared" ca="1" si="40"/>
        <v/>
      </c>
      <c r="O616" s="3"/>
      <c r="Q616" s="92" t="str">
        <f t="shared" si="39"/>
        <v/>
      </c>
      <c r="R616" s="98">
        <f>SUMIFS('Booking Management'!J:J,'Booking Management'!B:B,'Sales Orders'!A616)</f>
        <v>0</v>
      </c>
      <c r="S616" s="99" t="str">
        <f t="shared" si="38"/>
        <v/>
      </c>
      <c r="Y616" s="98" t="str">
        <f t="shared" si="37"/>
        <v/>
      </c>
    </row>
    <row r="617" spans="1:25">
      <c r="A617" s="23"/>
      <c r="F617" s="37"/>
      <c r="H617" s="3"/>
      <c r="J617" s="109" t="str">
        <f>IF(C617&lt;&gt;"",SUMIFS('Booking Management'!Y:Y,'Booking Management'!B:B,'Sales Orders'!A617),"")</f>
        <v/>
      </c>
      <c r="M617" s="92" t="str">
        <f t="shared" ca="1" si="40"/>
        <v/>
      </c>
      <c r="O617" s="3"/>
      <c r="Q617" s="92" t="str">
        <f t="shared" si="39"/>
        <v/>
      </c>
      <c r="R617" s="98">
        <f>SUMIFS('Booking Management'!J:J,'Booking Management'!B:B,'Sales Orders'!A617)</f>
        <v>0</v>
      </c>
      <c r="S617" s="99" t="str">
        <f t="shared" si="38"/>
        <v/>
      </c>
      <c r="Y617" s="98" t="str">
        <f t="shared" si="37"/>
        <v/>
      </c>
    </row>
    <row r="618" spans="1:25">
      <c r="A618" s="23"/>
      <c r="F618" s="37"/>
      <c r="H618" s="3"/>
      <c r="J618" s="109" t="str">
        <f>IF(C618&lt;&gt;"",SUMIFS('Booking Management'!Y:Y,'Booking Management'!B:B,'Sales Orders'!A618),"")</f>
        <v/>
      </c>
      <c r="M618" s="92" t="str">
        <f t="shared" ca="1" si="40"/>
        <v/>
      </c>
      <c r="O618" s="3"/>
      <c r="Q618" s="92" t="str">
        <f t="shared" si="39"/>
        <v/>
      </c>
      <c r="R618" s="98">
        <f>SUMIFS('Booking Management'!J:J,'Booking Management'!B:B,'Sales Orders'!A618)</f>
        <v>0</v>
      </c>
      <c r="S618" s="99" t="str">
        <f t="shared" si="38"/>
        <v/>
      </c>
      <c r="Y618" s="98" t="str">
        <f t="shared" ref="Y618:Y681" si="41">IF(D618&lt;&gt;"",D618-J618,"")</f>
        <v/>
      </c>
    </row>
    <row r="619" spans="1:25">
      <c r="A619" s="23"/>
      <c r="F619" s="37"/>
      <c r="H619" s="3"/>
      <c r="J619" s="109" t="str">
        <f>IF(C619&lt;&gt;"",SUMIFS('Booking Management'!Y:Y,'Booking Management'!B:B,'Sales Orders'!A619),"")</f>
        <v/>
      </c>
      <c r="M619" s="92" t="str">
        <f t="shared" ca="1" si="40"/>
        <v/>
      </c>
      <c r="O619" s="3"/>
      <c r="Q619" s="92" t="str">
        <f t="shared" si="39"/>
        <v/>
      </c>
      <c r="R619" s="98">
        <f>SUMIFS('Booking Management'!J:J,'Booking Management'!B:B,'Sales Orders'!A619)</f>
        <v>0</v>
      </c>
      <c r="S619" s="99" t="str">
        <f t="shared" si="38"/>
        <v/>
      </c>
      <c r="Y619" s="98" t="str">
        <f t="shared" si="41"/>
        <v/>
      </c>
    </row>
    <row r="620" spans="1:25">
      <c r="A620" s="23"/>
      <c r="F620" s="37"/>
      <c r="H620" s="3"/>
      <c r="J620" s="109" t="str">
        <f>IF(C620&lt;&gt;"",SUMIFS('Booking Management'!Y:Y,'Booking Management'!B:B,'Sales Orders'!A620),"")</f>
        <v/>
      </c>
      <c r="M620" s="92" t="str">
        <f t="shared" ca="1" si="40"/>
        <v/>
      </c>
      <c r="O620" s="3"/>
      <c r="Q620" s="92" t="str">
        <f t="shared" si="39"/>
        <v/>
      </c>
      <c r="R620" s="98">
        <f>SUMIFS('Booking Management'!J:J,'Booking Management'!B:B,'Sales Orders'!A620)</f>
        <v>0</v>
      </c>
      <c r="S620" s="99" t="str">
        <f t="shared" si="38"/>
        <v/>
      </c>
      <c r="Y620" s="98" t="str">
        <f t="shared" si="41"/>
        <v/>
      </c>
    </row>
    <row r="621" spans="1:25">
      <c r="A621" s="23"/>
      <c r="F621" s="37"/>
      <c r="H621" s="3"/>
      <c r="J621" s="109" t="str">
        <f>IF(C621&lt;&gt;"",SUMIFS('Booking Management'!Y:Y,'Booking Management'!B:B,'Sales Orders'!A621),"")</f>
        <v/>
      </c>
      <c r="M621" s="92" t="str">
        <f t="shared" ca="1" si="40"/>
        <v/>
      </c>
      <c r="O621" s="3"/>
      <c r="Q621" s="92" t="str">
        <f t="shared" si="39"/>
        <v/>
      </c>
      <c r="R621" s="98">
        <f>SUMIFS('Booking Management'!J:J,'Booking Management'!B:B,'Sales Orders'!A621)</f>
        <v>0</v>
      </c>
      <c r="S621" s="99" t="str">
        <f t="shared" si="38"/>
        <v/>
      </c>
      <c r="Y621" s="98" t="str">
        <f t="shared" si="41"/>
        <v/>
      </c>
    </row>
    <row r="622" spans="1:25">
      <c r="A622" s="23"/>
      <c r="F622" s="37"/>
      <c r="H622" s="3"/>
      <c r="J622" s="109" t="str">
        <f>IF(C622&lt;&gt;"",SUMIFS('Booking Management'!Y:Y,'Booking Management'!B:B,'Sales Orders'!A622),"")</f>
        <v/>
      </c>
      <c r="M622" s="92" t="str">
        <f t="shared" ca="1" si="40"/>
        <v/>
      </c>
      <c r="O622" s="3"/>
      <c r="Q622" s="92" t="str">
        <f t="shared" si="39"/>
        <v/>
      </c>
      <c r="R622" s="98">
        <f>SUMIFS('Booking Management'!J:J,'Booking Management'!B:B,'Sales Orders'!A622)</f>
        <v>0</v>
      </c>
      <c r="S622" s="99" t="str">
        <f t="shared" si="38"/>
        <v/>
      </c>
      <c r="Y622" s="98" t="str">
        <f t="shared" si="41"/>
        <v/>
      </c>
    </row>
    <row r="623" spans="1:25">
      <c r="A623" s="23"/>
      <c r="F623" s="37"/>
      <c r="H623" s="3"/>
      <c r="J623" s="109" t="str">
        <f>IF(C623&lt;&gt;"",SUMIFS('Booking Management'!Y:Y,'Booking Management'!B:B,'Sales Orders'!A623),"")</f>
        <v/>
      </c>
      <c r="M623" s="92" t="str">
        <f t="shared" ca="1" si="40"/>
        <v/>
      </c>
      <c r="O623" s="3"/>
      <c r="Q623" s="92" t="str">
        <f t="shared" si="39"/>
        <v/>
      </c>
      <c r="R623" s="98">
        <f>SUMIFS('Booking Management'!J:J,'Booking Management'!B:B,'Sales Orders'!A623)</f>
        <v>0</v>
      </c>
      <c r="S623" s="99" t="str">
        <f t="shared" si="38"/>
        <v/>
      </c>
      <c r="Y623" s="98" t="str">
        <f t="shared" si="41"/>
        <v/>
      </c>
    </row>
    <row r="624" spans="1:25">
      <c r="A624" s="23"/>
      <c r="F624" s="37"/>
      <c r="H624" s="3"/>
      <c r="J624" s="109" t="str">
        <f>IF(C624&lt;&gt;"",SUMIFS('Booking Management'!Y:Y,'Booking Management'!B:B,'Sales Orders'!A624),"")</f>
        <v/>
      </c>
      <c r="M624" s="92" t="str">
        <f t="shared" ca="1" si="40"/>
        <v/>
      </c>
      <c r="O624" s="3"/>
      <c r="Q624" s="92" t="str">
        <f t="shared" si="39"/>
        <v/>
      </c>
      <c r="R624" s="98">
        <f>SUMIFS('Booking Management'!J:J,'Booking Management'!B:B,'Sales Orders'!A624)</f>
        <v>0</v>
      </c>
      <c r="S624" s="99" t="str">
        <f t="shared" si="38"/>
        <v/>
      </c>
      <c r="Y624" s="98" t="str">
        <f t="shared" si="41"/>
        <v/>
      </c>
    </row>
    <row r="625" spans="1:25">
      <c r="A625" s="23"/>
      <c r="F625" s="37"/>
      <c r="H625" s="3"/>
      <c r="J625" s="109" t="str">
        <f>IF(C625&lt;&gt;"",SUMIFS('Booking Management'!Y:Y,'Booking Management'!B:B,'Sales Orders'!A625),"")</f>
        <v/>
      </c>
      <c r="M625" s="92" t="str">
        <f t="shared" ca="1" si="40"/>
        <v/>
      </c>
      <c r="O625" s="3"/>
      <c r="Q625" s="92" t="str">
        <f t="shared" si="39"/>
        <v/>
      </c>
      <c r="R625" s="98">
        <f>SUMIFS('Booking Management'!J:J,'Booking Management'!B:B,'Sales Orders'!A625)</f>
        <v>0</v>
      </c>
      <c r="S625" s="99" t="str">
        <f t="shared" si="38"/>
        <v/>
      </c>
      <c r="Y625" s="98" t="str">
        <f t="shared" si="41"/>
        <v/>
      </c>
    </row>
    <row r="626" spans="1:25">
      <c r="A626" s="23"/>
      <c r="F626" s="37"/>
      <c r="H626" s="3"/>
      <c r="J626" s="109" t="str">
        <f>IF(C626&lt;&gt;"",SUMIFS('Booking Management'!Y:Y,'Booking Management'!B:B,'Sales Orders'!A626),"")</f>
        <v/>
      </c>
      <c r="M626" s="92" t="str">
        <f t="shared" ca="1" si="40"/>
        <v/>
      </c>
      <c r="O626" s="3"/>
      <c r="Q626" s="92" t="str">
        <f t="shared" si="39"/>
        <v/>
      </c>
      <c r="R626" s="98">
        <f>SUMIFS('Booking Management'!J:J,'Booking Management'!B:B,'Sales Orders'!A626)</f>
        <v>0</v>
      </c>
      <c r="S626" s="99" t="str">
        <f t="shared" si="38"/>
        <v/>
      </c>
      <c r="Y626" s="98" t="str">
        <f t="shared" si="41"/>
        <v/>
      </c>
    </row>
    <row r="627" spans="1:25">
      <c r="A627" s="23"/>
      <c r="F627" s="37"/>
      <c r="H627" s="3"/>
      <c r="J627" s="109" t="str">
        <f>IF(C627&lt;&gt;"",SUMIFS('Booking Management'!Y:Y,'Booking Management'!B:B,'Sales Orders'!A627),"")</f>
        <v/>
      </c>
      <c r="M627" s="92" t="str">
        <f t="shared" ca="1" si="40"/>
        <v/>
      </c>
      <c r="O627" s="3"/>
      <c r="Q627" s="92" t="str">
        <f t="shared" si="39"/>
        <v/>
      </c>
      <c r="R627" s="98">
        <f>SUMIFS('Booking Management'!J:J,'Booking Management'!B:B,'Sales Orders'!A627)</f>
        <v>0</v>
      </c>
      <c r="S627" s="99" t="str">
        <f t="shared" si="38"/>
        <v/>
      </c>
      <c r="Y627" s="98" t="str">
        <f t="shared" si="41"/>
        <v/>
      </c>
    </row>
    <row r="628" spans="1:25">
      <c r="A628" s="23"/>
      <c r="F628" s="37"/>
      <c r="H628" s="3"/>
      <c r="J628" s="109" t="str">
        <f>IF(C628&lt;&gt;"",SUMIFS('Booking Management'!Y:Y,'Booking Management'!B:B,'Sales Orders'!A628),"")</f>
        <v/>
      </c>
      <c r="M628" s="92" t="str">
        <f t="shared" ca="1" si="40"/>
        <v/>
      </c>
      <c r="O628" s="3"/>
      <c r="Q628" s="92" t="str">
        <f t="shared" si="39"/>
        <v/>
      </c>
      <c r="R628" s="98">
        <f>SUMIFS('Booking Management'!J:J,'Booking Management'!B:B,'Sales Orders'!A628)</f>
        <v>0</v>
      </c>
      <c r="S628" s="99" t="str">
        <f t="shared" si="38"/>
        <v/>
      </c>
      <c r="Y628" s="98" t="str">
        <f t="shared" si="41"/>
        <v/>
      </c>
    </row>
    <row r="629" spans="1:25">
      <c r="A629" s="23"/>
      <c r="F629" s="37"/>
      <c r="H629" s="3"/>
      <c r="J629" s="109" t="str">
        <f>IF(C629&lt;&gt;"",SUMIFS('Booking Management'!Y:Y,'Booking Management'!B:B,'Sales Orders'!A629),"")</f>
        <v/>
      </c>
      <c r="M629" s="92" t="str">
        <f t="shared" ca="1" si="40"/>
        <v/>
      </c>
      <c r="O629" s="3"/>
      <c r="Q629" s="92" t="str">
        <f t="shared" si="39"/>
        <v/>
      </c>
      <c r="R629" s="98">
        <f>SUMIFS('Booking Management'!J:J,'Booking Management'!B:B,'Sales Orders'!A629)</f>
        <v>0</v>
      </c>
      <c r="S629" s="99" t="str">
        <f t="shared" si="38"/>
        <v/>
      </c>
      <c r="Y629" s="98" t="str">
        <f t="shared" si="41"/>
        <v/>
      </c>
    </row>
    <row r="630" spans="1:25">
      <c r="A630" s="23"/>
      <c r="F630" s="37"/>
      <c r="H630" s="3"/>
      <c r="J630" s="109" t="str">
        <f>IF(C630&lt;&gt;"",SUMIFS('Booking Management'!Y:Y,'Booking Management'!B:B,'Sales Orders'!A630),"")</f>
        <v/>
      </c>
      <c r="M630" s="92" t="str">
        <f t="shared" ca="1" si="40"/>
        <v/>
      </c>
      <c r="O630" s="3"/>
      <c r="Q630" s="92" t="str">
        <f t="shared" si="39"/>
        <v/>
      </c>
      <c r="R630" s="98">
        <f>SUMIFS('Booking Management'!J:J,'Booking Management'!B:B,'Sales Orders'!A630)</f>
        <v>0</v>
      </c>
      <c r="S630" s="99" t="str">
        <f t="shared" si="38"/>
        <v/>
      </c>
      <c r="Y630" s="98" t="str">
        <f t="shared" si="41"/>
        <v/>
      </c>
    </row>
    <row r="631" spans="1:25">
      <c r="A631" s="23"/>
      <c r="F631" s="37"/>
      <c r="H631" s="3"/>
      <c r="J631" s="109" t="str">
        <f>IF(C631&lt;&gt;"",SUMIFS('Booking Management'!Y:Y,'Booking Management'!B:B,'Sales Orders'!A631),"")</f>
        <v/>
      </c>
      <c r="M631" s="92" t="str">
        <f t="shared" ca="1" si="40"/>
        <v/>
      </c>
      <c r="O631" s="3"/>
      <c r="Q631" s="92" t="str">
        <f t="shared" si="39"/>
        <v/>
      </c>
      <c r="R631" s="98">
        <f>SUMIFS('Booking Management'!J:J,'Booking Management'!B:B,'Sales Orders'!A631)</f>
        <v>0</v>
      </c>
      <c r="S631" s="99" t="str">
        <f t="shared" si="38"/>
        <v/>
      </c>
      <c r="Y631" s="98" t="str">
        <f t="shared" si="41"/>
        <v/>
      </c>
    </row>
    <row r="632" spans="1:25">
      <c r="A632" s="23"/>
      <c r="F632" s="37"/>
      <c r="H632" s="3"/>
      <c r="J632" s="109" t="str">
        <f>IF(C632&lt;&gt;"",SUMIFS('Booking Management'!Y:Y,'Booking Management'!B:B,'Sales Orders'!A632),"")</f>
        <v/>
      </c>
      <c r="M632" s="92" t="str">
        <f t="shared" ca="1" si="40"/>
        <v/>
      </c>
      <c r="O632" s="3"/>
      <c r="Q632" s="92" t="str">
        <f t="shared" si="39"/>
        <v/>
      </c>
      <c r="R632" s="98">
        <f>SUMIFS('Booking Management'!J:J,'Booking Management'!B:B,'Sales Orders'!A632)</f>
        <v>0</v>
      </c>
      <c r="S632" s="99" t="str">
        <f t="shared" si="38"/>
        <v/>
      </c>
      <c r="Y632" s="98" t="str">
        <f t="shared" si="41"/>
        <v/>
      </c>
    </row>
    <row r="633" spans="1:25">
      <c r="A633" s="23"/>
      <c r="F633" s="37"/>
      <c r="H633" s="3"/>
      <c r="J633" s="109" t="str">
        <f>IF(C633&lt;&gt;"",SUMIFS('Booking Management'!Y:Y,'Booking Management'!B:B,'Sales Orders'!A633),"")</f>
        <v/>
      </c>
      <c r="M633" s="92" t="str">
        <f t="shared" ca="1" si="40"/>
        <v/>
      </c>
      <c r="O633" s="3"/>
      <c r="Q633" s="92" t="str">
        <f t="shared" si="39"/>
        <v/>
      </c>
      <c r="R633" s="98">
        <f>SUMIFS('Booking Management'!J:J,'Booking Management'!B:B,'Sales Orders'!A633)</f>
        <v>0</v>
      </c>
      <c r="S633" s="99" t="str">
        <f t="shared" si="38"/>
        <v/>
      </c>
      <c r="Y633" s="98" t="str">
        <f t="shared" si="41"/>
        <v/>
      </c>
    </row>
    <row r="634" spans="1:25">
      <c r="A634" s="23"/>
      <c r="F634" s="37"/>
      <c r="H634" s="3"/>
      <c r="J634" s="109" t="str">
        <f>IF(C634&lt;&gt;"",SUMIFS('Booking Management'!Y:Y,'Booking Management'!B:B,'Sales Orders'!A634),"")</f>
        <v/>
      </c>
      <c r="M634" s="92" t="str">
        <f t="shared" ca="1" si="40"/>
        <v/>
      </c>
      <c r="O634" s="3"/>
      <c r="Q634" s="92" t="str">
        <f t="shared" si="39"/>
        <v/>
      </c>
      <c r="R634" s="98">
        <f>SUMIFS('Booking Management'!J:J,'Booking Management'!B:B,'Sales Orders'!A634)</f>
        <v>0</v>
      </c>
      <c r="S634" s="99" t="str">
        <f t="shared" si="38"/>
        <v/>
      </c>
      <c r="Y634" s="98" t="str">
        <f t="shared" si="41"/>
        <v/>
      </c>
    </row>
    <row r="635" spans="1:25">
      <c r="A635" s="23"/>
      <c r="F635" s="37"/>
      <c r="H635" s="3"/>
      <c r="J635" s="109" t="str">
        <f>IF(C635&lt;&gt;"",SUMIFS('Booking Management'!Y:Y,'Booking Management'!B:B,'Sales Orders'!A635),"")</f>
        <v/>
      </c>
      <c r="M635" s="92" t="str">
        <f t="shared" ca="1" si="40"/>
        <v/>
      </c>
      <c r="O635" s="3"/>
      <c r="Q635" s="92" t="str">
        <f t="shared" si="39"/>
        <v/>
      </c>
      <c r="R635" s="98">
        <f>SUMIFS('Booking Management'!J:J,'Booking Management'!B:B,'Sales Orders'!A635)</f>
        <v>0</v>
      </c>
      <c r="S635" s="99" t="str">
        <f t="shared" si="38"/>
        <v/>
      </c>
      <c r="Y635" s="98" t="str">
        <f t="shared" si="41"/>
        <v/>
      </c>
    </row>
    <row r="636" spans="1:25">
      <c r="A636" s="23"/>
      <c r="F636" s="37"/>
      <c r="H636" s="3"/>
      <c r="J636" s="109" t="str">
        <f>IF(C636&lt;&gt;"",SUMIFS('Booking Management'!Y:Y,'Booking Management'!B:B,'Sales Orders'!A636),"")</f>
        <v/>
      </c>
      <c r="M636" s="92" t="str">
        <f t="shared" ca="1" si="40"/>
        <v/>
      </c>
      <c r="O636" s="3"/>
      <c r="Q636" s="92" t="str">
        <f t="shared" si="39"/>
        <v/>
      </c>
      <c r="R636" s="98">
        <f>SUMIFS('Booking Management'!J:J,'Booking Management'!B:B,'Sales Orders'!A636)</f>
        <v>0</v>
      </c>
      <c r="S636" s="99" t="str">
        <f t="shared" si="38"/>
        <v/>
      </c>
      <c r="Y636" s="98" t="str">
        <f t="shared" si="41"/>
        <v/>
      </c>
    </row>
    <row r="637" spans="1:25">
      <c r="A637" s="23"/>
      <c r="F637" s="37"/>
      <c r="H637" s="3"/>
      <c r="J637" s="109" t="str">
        <f>IF(C637&lt;&gt;"",SUMIFS('Booking Management'!Y:Y,'Booking Management'!B:B,'Sales Orders'!A637),"")</f>
        <v/>
      </c>
      <c r="M637" s="92" t="str">
        <f t="shared" ca="1" si="40"/>
        <v/>
      </c>
      <c r="O637" s="3"/>
      <c r="Q637" s="92" t="str">
        <f t="shared" si="39"/>
        <v/>
      </c>
      <c r="R637" s="98">
        <f>SUMIFS('Booking Management'!J:J,'Booking Management'!B:B,'Sales Orders'!A637)</f>
        <v>0</v>
      </c>
      <c r="S637" s="99" t="str">
        <f t="shared" si="38"/>
        <v/>
      </c>
      <c r="Y637" s="98" t="str">
        <f t="shared" si="41"/>
        <v/>
      </c>
    </row>
    <row r="638" spans="1:25">
      <c r="A638" s="23"/>
      <c r="F638" s="37"/>
      <c r="H638" s="3"/>
      <c r="J638" s="109" t="str">
        <f>IF(C638&lt;&gt;"",SUMIFS('Booking Management'!Y:Y,'Booking Management'!B:B,'Sales Orders'!A638),"")</f>
        <v/>
      </c>
      <c r="M638" s="92" t="str">
        <f t="shared" ca="1" si="40"/>
        <v/>
      </c>
      <c r="O638" s="3"/>
      <c r="Q638" s="92" t="str">
        <f t="shared" si="39"/>
        <v/>
      </c>
      <c r="R638" s="98">
        <f>SUMIFS('Booking Management'!J:J,'Booking Management'!B:B,'Sales Orders'!A638)</f>
        <v>0</v>
      </c>
      <c r="S638" s="99" t="str">
        <f t="shared" si="38"/>
        <v/>
      </c>
      <c r="Y638" s="98" t="str">
        <f t="shared" si="41"/>
        <v/>
      </c>
    </row>
    <row r="639" spans="1:25">
      <c r="A639" s="23"/>
      <c r="F639" s="37"/>
      <c r="H639" s="3"/>
      <c r="J639" s="109" t="str">
        <f>IF(C639&lt;&gt;"",SUMIFS('Booking Management'!Y:Y,'Booking Management'!B:B,'Sales Orders'!A639),"")</f>
        <v/>
      </c>
      <c r="M639" s="92" t="str">
        <f t="shared" ca="1" si="40"/>
        <v/>
      </c>
      <c r="O639" s="3"/>
      <c r="Q639" s="92" t="str">
        <f t="shared" si="39"/>
        <v/>
      </c>
      <c r="R639" s="98">
        <f>SUMIFS('Booking Management'!J:J,'Booking Management'!B:B,'Sales Orders'!A639)</f>
        <v>0</v>
      </c>
      <c r="S639" s="99" t="str">
        <f t="shared" si="38"/>
        <v/>
      </c>
      <c r="Y639" s="98" t="str">
        <f t="shared" si="41"/>
        <v/>
      </c>
    </row>
    <row r="640" spans="1:25">
      <c r="A640" s="23"/>
      <c r="F640" s="37"/>
      <c r="H640" s="3"/>
      <c r="J640" s="109" t="str">
        <f>IF(C640&lt;&gt;"",SUMIFS('Booking Management'!Y:Y,'Booking Management'!B:B,'Sales Orders'!A640),"")</f>
        <v/>
      </c>
      <c r="M640" s="92" t="str">
        <f t="shared" ca="1" si="40"/>
        <v/>
      </c>
      <c r="O640" s="3"/>
      <c r="Q640" s="92" t="str">
        <f t="shared" si="39"/>
        <v/>
      </c>
      <c r="R640" s="98">
        <f>SUMIFS('Booking Management'!J:J,'Booking Management'!B:B,'Sales Orders'!A640)</f>
        <v>0</v>
      </c>
      <c r="S640" s="99" t="str">
        <f t="shared" si="38"/>
        <v/>
      </c>
      <c r="Y640" s="98" t="str">
        <f t="shared" si="41"/>
        <v/>
      </c>
    </row>
    <row r="641" spans="1:25">
      <c r="A641" s="23"/>
      <c r="F641" s="37"/>
      <c r="H641" s="3"/>
      <c r="J641" s="109" t="str">
        <f>IF(C641&lt;&gt;"",SUMIFS('Booking Management'!Y:Y,'Booking Management'!B:B,'Sales Orders'!A641),"")</f>
        <v/>
      </c>
      <c r="M641" s="92" t="str">
        <f t="shared" ca="1" si="40"/>
        <v/>
      </c>
      <c r="O641" s="3"/>
      <c r="Q641" s="92" t="str">
        <f t="shared" si="39"/>
        <v/>
      </c>
      <c r="R641" s="98">
        <f>SUMIFS('Booking Management'!J:J,'Booking Management'!B:B,'Sales Orders'!A641)</f>
        <v>0</v>
      </c>
      <c r="S641" s="99" t="str">
        <f t="shared" si="38"/>
        <v/>
      </c>
      <c r="Y641" s="98" t="str">
        <f t="shared" si="41"/>
        <v/>
      </c>
    </row>
    <row r="642" spans="1:25">
      <c r="A642" s="23"/>
      <c r="F642" s="37"/>
      <c r="H642" s="3"/>
      <c r="J642" s="109" t="str">
        <f>IF(C642&lt;&gt;"",SUMIFS('Booking Management'!Y:Y,'Booking Management'!B:B,'Sales Orders'!A642),"")</f>
        <v/>
      </c>
      <c r="M642" s="92" t="str">
        <f t="shared" ca="1" si="40"/>
        <v/>
      </c>
      <c r="O642" s="3"/>
      <c r="Q642" s="92" t="str">
        <f t="shared" si="39"/>
        <v/>
      </c>
      <c r="R642" s="98">
        <f>SUMIFS('Booking Management'!J:J,'Booking Management'!B:B,'Sales Orders'!A642)</f>
        <v>0</v>
      </c>
      <c r="S642" s="99" t="str">
        <f t="shared" si="38"/>
        <v/>
      </c>
      <c r="Y642" s="98" t="str">
        <f t="shared" si="41"/>
        <v/>
      </c>
    </row>
    <row r="643" spans="1:25">
      <c r="A643" s="23"/>
      <c r="F643" s="37"/>
      <c r="H643" s="3"/>
      <c r="J643" s="109" t="str">
        <f>IF(C643&lt;&gt;"",SUMIFS('Booking Management'!Y:Y,'Booking Management'!B:B,'Sales Orders'!A643),"")</f>
        <v/>
      </c>
      <c r="M643" s="92" t="str">
        <f t="shared" ca="1" si="40"/>
        <v/>
      </c>
      <c r="O643" s="3"/>
      <c r="Q643" s="92" t="str">
        <f t="shared" si="39"/>
        <v/>
      </c>
      <c r="R643" s="98">
        <f>SUMIFS('Booking Management'!J:J,'Booking Management'!B:B,'Sales Orders'!A643)</f>
        <v>0</v>
      </c>
      <c r="S643" s="99" t="str">
        <f t="shared" si="38"/>
        <v/>
      </c>
      <c r="Y643" s="98" t="str">
        <f t="shared" si="41"/>
        <v/>
      </c>
    </row>
    <row r="644" spans="1:25">
      <c r="A644" s="23"/>
      <c r="F644" s="37"/>
      <c r="H644" s="3"/>
      <c r="J644" s="109" t="str">
        <f>IF(C644&lt;&gt;"",SUMIFS('Booking Management'!Y:Y,'Booking Management'!B:B,'Sales Orders'!A644),"")</f>
        <v/>
      </c>
      <c r="M644" s="92" t="str">
        <f t="shared" ca="1" si="40"/>
        <v/>
      </c>
      <c r="O644" s="3"/>
      <c r="Q644" s="92" t="str">
        <f t="shared" si="39"/>
        <v/>
      </c>
      <c r="R644" s="98">
        <f>SUMIFS('Booking Management'!J:J,'Booking Management'!B:B,'Sales Orders'!A644)</f>
        <v>0</v>
      </c>
      <c r="S644" s="99" t="str">
        <f t="shared" ref="S644:S707" si="42">IF(R644&gt;0,(R644/D644)*N644,"")</f>
        <v/>
      </c>
      <c r="Y644" s="98" t="str">
        <f t="shared" si="41"/>
        <v/>
      </c>
    </row>
    <row r="645" spans="1:25">
      <c r="A645" s="23"/>
      <c r="F645" s="37"/>
      <c r="H645" s="3"/>
      <c r="J645" s="109" t="str">
        <f>IF(C645&lt;&gt;"",SUMIFS('Booking Management'!Y:Y,'Booking Management'!B:B,'Sales Orders'!A645),"")</f>
        <v/>
      </c>
      <c r="M645" s="92" t="str">
        <f t="shared" ca="1" si="40"/>
        <v/>
      </c>
      <c r="O645" s="3"/>
      <c r="Q645" s="92" t="str">
        <f t="shared" si="39"/>
        <v/>
      </c>
      <c r="R645" s="98">
        <f>SUMIFS('Booking Management'!J:J,'Booking Management'!B:B,'Sales Orders'!A645)</f>
        <v>0</v>
      </c>
      <c r="S645" s="99" t="str">
        <f t="shared" si="42"/>
        <v/>
      </c>
      <c r="Y645" s="98" t="str">
        <f t="shared" si="41"/>
        <v/>
      </c>
    </row>
    <row r="646" spans="1:25">
      <c r="A646" s="23"/>
      <c r="F646" s="37"/>
      <c r="H646" s="3"/>
      <c r="J646" s="109" t="str">
        <f>IF(C646&lt;&gt;"",SUMIFS('Booking Management'!Y:Y,'Booking Management'!B:B,'Sales Orders'!A646),"")</f>
        <v/>
      </c>
      <c r="M646" s="92" t="str">
        <f t="shared" ca="1" si="40"/>
        <v/>
      </c>
      <c r="O646" s="3"/>
      <c r="Q646" s="92" t="str">
        <f t="shared" ref="Q646:Q709" si="43">IF(C646&lt;&gt;"",IF(OR(K646="",P646=""),"alert",""),"")</f>
        <v/>
      </c>
      <c r="R646" s="98">
        <f>SUMIFS('Booking Management'!J:J,'Booking Management'!B:B,'Sales Orders'!A646)</f>
        <v>0</v>
      </c>
      <c r="S646" s="99" t="str">
        <f t="shared" si="42"/>
        <v/>
      </c>
      <c r="Y646" s="98" t="str">
        <f t="shared" si="41"/>
        <v/>
      </c>
    </row>
    <row r="647" spans="1:25">
      <c r="A647" s="23"/>
      <c r="F647" s="37"/>
      <c r="H647" s="3"/>
      <c r="J647" s="109" t="str">
        <f>IF(C647&lt;&gt;"",SUMIFS('Booking Management'!Y:Y,'Booking Management'!B:B,'Sales Orders'!A647),"")</f>
        <v/>
      </c>
      <c r="M647" s="92" t="str">
        <f t="shared" ref="M647:M710" ca="1" si="44">IFERROR(IF(K647&lt;&gt;"",IF(AND(_xlfn.NUMBERVALUE(J647)/_xlfn.NUMBERVALUE(D647) &lt;1,K647-TODAY()&lt;2,L647&lt;&gt;"yes"),"alert",""),""),"")</f>
        <v/>
      </c>
      <c r="O647" s="3"/>
      <c r="Q647" s="92" t="str">
        <f t="shared" si="43"/>
        <v/>
      </c>
      <c r="R647" s="98">
        <f>SUMIFS('Booking Management'!J:J,'Booking Management'!B:B,'Sales Orders'!A647)</f>
        <v>0</v>
      </c>
      <c r="S647" s="99" t="str">
        <f t="shared" si="42"/>
        <v/>
      </c>
      <c r="Y647" s="98" t="str">
        <f t="shared" si="41"/>
        <v/>
      </c>
    </row>
    <row r="648" spans="1:25">
      <c r="A648" s="23"/>
      <c r="F648" s="37"/>
      <c r="H648" s="3"/>
      <c r="J648" s="109" t="str">
        <f>IF(C648&lt;&gt;"",SUMIFS('Booking Management'!Y:Y,'Booking Management'!B:B,'Sales Orders'!A648),"")</f>
        <v/>
      </c>
      <c r="M648" s="92" t="str">
        <f t="shared" ca="1" si="44"/>
        <v/>
      </c>
      <c r="O648" s="3"/>
      <c r="Q648" s="92" t="str">
        <f t="shared" si="43"/>
        <v/>
      </c>
      <c r="R648" s="98">
        <f>SUMIFS('Booking Management'!J:J,'Booking Management'!B:B,'Sales Orders'!A648)</f>
        <v>0</v>
      </c>
      <c r="S648" s="99" t="str">
        <f t="shared" si="42"/>
        <v/>
      </c>
      <c r="Y648" s="98" t="str">
        <f t="shared" si="41"/>
        <v/>
      </c>
    </row>
    <row r="649" spans="1:25">
      <c r="A649" s="23"/>
      <c r="F649" s="37"/>
      <c r="H649" s="3"/>
      <c r="J649" s="109" t="str">
        <f>IF(C649&lt;&gt;"",SUMIFS('Booking Management'!Y:Y,'Booking Management'!B:B,'Sales Orders'!A649),"")</f>
        <v/>
      </c>
      <c r="M649" s="92" t="str">
        <f t="shared" ca="1" si="44"/>
        <v/>
      </c>
      <c r="O649" s="3"/>
      <c r="Q649" s="92" t="str">
        <f t="shared" si="43"/>
        <v/>
      </c>
      <c r="R649" s="98">
        <f>SUMIFS('Booking Management'!J:J,'Booking Management'!B:B,'Sales Orders'!A649)</f>
        <v>0</v>
      </c>
      <c r="S649" s="99" t="str">
        <f t="shared" si="42"/>
        <v/>
      </c>
      <c r="Y649" s="98" t="str">
        <f t="shared" si="41"/>
        <v/>
      </c>
    </row>
    <row r="650" spans="1:25">
      <c r="A650" s="23"/>
      <c r="F650" s="37"/>
      <c r="H650" s="3"/>
      <c r="J650" s="109" t="str">
        <f>IF(C650&lt;&gt;"",SUMIFS('Booking Management'!Y:Y,'Booking Management'!B:B,'Sales Orders'!A650),"")</f>
        <v/>
      </c>
      <c r="M650" s="92" t="str">
        <f t="shared" ca="1" si="44"/>
        <v/>
      </c>
      <c r="O650" s="3"/>
      <c r="Q650" s="92" t="str">
        <f t="shared" si="43"/>
        <v/>
      </c>
      <c r="R650" s="98">
        <f>SUMIFS('Booking Management'!J:J,'Booking Management'!B:B,'Sales Orders'!A650)</f>
        <v>0</v>
      </c>
      <c r="S650" s="99" t="str">
        <f t="shared" si="42"/>
        <v/>
      </c>
      <c r="Y650" s="98" t="str">
        <f t="shared" si="41"/>
        <v/>
      </c>
    </row>
    <row r="651" spans="1:25">
      <c r="A651" s="23"/>
      <c r="F651" s="37"/>
      <c r="H651" s="3"/>
      <c r="J651" s="109" t="str">
        <f>IF(C651&lt;&gt;"",SUMIFS('Booking Management'!Y:Y,'Booking Management'!B:B,'Sales Orders'!A651),"")</f>
        <v/>
      </c>
      <c r="M651" s="92" t="str">
        <f t="shared" ca="1" si="44"/>
        <v/>
      </c>
      <c r="O651" s="3"/>
      <c r="Q651" s="92" t="str">
        <f t="shared" si="43"/>
        <v/>
      </c>
      <c r="R651" s="98">
        <f>SUMIFS('Booking Management'!J:J,'Booking Management'!B:B,'Sales Orders'!A651)</f>
        <v>0</v>
      </c>
      <c r="S651" s="99" t="str">
        <f t="shared" si="42"/>
        <v/>
      </c>
      <c r="Y651" s="98" t="str">
        <f t="shared" si="41"/>
        <v/>
      </c>
    </row>
    <row r="652" spans="1:25">
      <c r="A652" s="23"/>
      <c r="F652" s="37"/>
      <c r="H652" s="3"/>
      <c r="J652" s="109" t="str">
        <f>IF(C652&lt;&gt;"",SUMIFS('Booking Management'!Y:Y,'Booking Management'!B:B,'Sales Orders'!A652),"")</f>
        <v/>
      </c>
      <c r="M652" s="92" t="str">
        <f t="shared" ca="1" si="44"/>
        <v/>
      </c>
      <c r="O652" s="3"/>
      <c r="Q652" s="92" t="str">
        <f t="shared" si="43"/>
        <v/>
      </c>
      <c r="R652" s="98">
        <f>SUMIFS('Booking Management'!J:J,'Booking Management'!B:B,'Sales Orders'!A652)</f>
        <v>0</v>
      </c>
      <c r="S652" s="99" t="str">
        <f t="shared" si="42"/>
        <v/>
      </c>
      <c r="Y652" s="98" t="str">
        <f t="shared" si="41"/>
        <v/>
      </c>
    </row>
    <row r="653" spans="1:25">
      <c r="A653" s="23"/>
      <c r="F653" s="37"/>
      <c r="H653" s="3"/>
      <c r="J653" s="109" t="str">
        <f>IF(C653&lt;&gt;"",SUMIFS('Booking Management'!Y:Y,'Booking Management'!B:B,'Sales Orders'!A653),"")</f>
        <v/>
      </c>
      <c r="M653" s="92" t="str">
        <f t="shared" ca="1" si="44"/>
        <v/>
      </c>
      <c r="O653" s="3"/>
      <c r="Q653" s="92" t="str">
        <f t="shared" si="43"/>
        <v/>
      </c>
      <c r="R653" s="98">
        <f>SUMIFS('Booking Management'!J:J,'Booking Management'!B:B,'Sales Orders'!A653)</f>
        <v>0</v>
      </c>
      <c r="S653" s="99" t="str">
        <f t="shared" si="42"/>
        <v/>
      </c>
      <c r="Y653" s="98" t="str">
        <f t="shared" si="41"/>
        <v/>
      </c>
    </row>
    <row r="654" spans="1:25">
      <c r="A654" s="23"/>
      <c r="F654" s="37"/>
      <c r="H654" s="3"/>
      <c r="J654" s="109" t="str">
        <f>IF(C654&lt;&gt;"",SUMIFS('Booking Management'!Y:Y,'Booking Management'!B:B,'Sales Orders'!A654),"")</f>
        <v/>
      </c>
      <c r="M654" s="92" t="str">
        <f t="shared" ca="1" si="44"/>
        <v/>
      </c>
      <c r="O654" s="3"/>
      <c r="Q654" s="92" t="str">
        <f t="shared" si="43"/>
        <v/>
      </c>
      <c r="R654" s="98">
        <f>SUMIFS('Booking Management'!J:J,'Booking Management'!B:B,'Sales Orders'!A654)</f>
        <v>0</v>
      </c>
      <c r="S654" s="99" t="str">
        <f t="shared" si="42"/>
        <v/>
      </c>
      <c r="Y654" s="98" t="str">
        <f t="shared" si="41"/>
        <v/>
      </c>
    </row>
    <row r="655" spans="1:25">
      <c r="A655" s="23"/>
      <c r="F655" s="37"/>
      <c r="H655" s="3"/>
      <c r="J655" s="109" t="str">
        <f>IF(C655&lt;&gt;"",SUMIFS('Booking Management'!Y:Y,'Booking Management'!B:B,'Sales Orders'!A655),"")</f>
        <v/>
      </c>
      <c r="M655" s="92" t="str">
        <f t="shared" ca="1" si="44"/>
        <v/>
      </c>
      <c r="O655" s="3"/>
      <c r="Q655" s="92" t="str">
        <f t="shared" si="43"/>
        <v/>
      </c>
      <c r="R655" s="98">
        <f>SUMIFS('Booking Management'!J:J,'Booking Management'!B:B,'Sales Orders'!A655)</f>
        <v>0</v>
      </c>
      <c r="S655" s="99" t="str">
        <f t="shared" si="42"/>
        <v/>
      </c>
      <c r="Y655" s="98" t="str">
        <f t="shared" si="41"/>
        <v/>
      </c>
    </row>
    <row r="656" spans="1:25">
      <c r="A656" s="23"/>
      <c r="F656" s="37"/>
      <c r="H656" s="3"/>
      <c r="J656" s="109" t="str">
        <f>IF(C656&lt;&gt;"",SUMIFS('Booking Management'!Y:Y,'Booking Management'!B:B,'Sales Orders'!A656),"")</f>
        <v/>
      </c>
      <c r="M656" s="92" t="str">
        <f t="shared" ca="1" si="44"/>
        <v/>
      </c>
      <c r="O656" s="3"/>
      <c r="Q656" s="92" t="str">
        <f t="shared" si="43"/>
        <v/>
      </c>
      <c r="R656" s="98">
        <f>SUMIFS('Booking Management'!J:J,'Booking Management'!B:B,'Sales Orders'!A656)</f>
        <v>0</v>
      </c>
      <c r="S656" s="99" t="str">
        <f t="shared" si="42"/>
        <v/>
      </c>
      <c r="Y656" s="98" t="str">
        <f t="shared" si="41"/>
        <v/>
      </c>
    </row>
    <row r="657" spans="1:25">
      <c r="A657" s="23"/>
      <c r="F657" s="37"/>
      <c r="H657" s="3"/>
      <c r="J657" s="109" t="str">
        <f>IF(C657&lt;&gt;"",SUMIFS('Booking Management'!Y:Y,'Booking Management'!B:B,'Sales Orders'!A657),"")</f>
        <v/>
      </c>
      <c r="M657" s="92" t="str">
        <f t="shared" ca="1" si="44"/>
        <v/>
      </c>
      <c r="O657" s="3"/>
      <c r="Q657" s="92" t="str">
        <f t="shared" si="43"/>
        <v/>
      </c>
      <c r="R657" s="98">
        <f>SUMIFS('Booking Management'!J:J,'Booking Management'!B:B,'Sales Orders'!A657)</f>
        <v>0</v>
      </c>
      <c r="S657" s="99" t="str">
        <f t="shared" si="42"/>
        <v/>
      </c>
      <c r="Y657" s="98" t="str">
        <f t="shared" si="41"/>
        <v/>
      </c>
    </row>
    <row r="658" spans="1:25">
      <c r="A658" s="23"/>
      <c r="F658" s="37"/>
      <c r="H658" s="3"/>
      <c r="J658" s="109" t="str">
        <f>IF(C658&lt;&gt;"",SUMIFS('Booking Management'!Y:Y,'Booking Management'!B:B,'Sales Orders'!A658),"")</f>
        <v/>
      </c>
      <c r="M658" s="92" t="str">
        <f t="shared" ca="1" si="44"/>
        <v/>
      </c>
      <c r="O658" s="3"/>
      <c r="Q658" s="92" t="str">
        <f t="shared" si="43"/>
        <v/>
      </c>
      <c r="R658" s="98">
        <f>SUMIFS('Booking Management'!J:J,'Booking Management'!B:B,'Sales Orders'!A658)</f>
        <v>0</v>
      </c>
      <c r="S658" s="99" t="str">
        <f t="shared" si="42"/>
        <v/>
      </c>
      <c r="Y658" s="98" t="str">
        <f t="shared" si="41"/>
        <v/>
      </c>
    </row>
    <row r="659" spans="1:25">
      <c r="A659" s="23"/>
      <c r="F659" s="37"/>
      <c r="H659" s="3"/>
      <c r="J659" s="109" t="str">
        <f>IF(C659&lt;&gt;"",SUMIFS('Booking Management'!Y:Y,'Booking Management'!B:B,'Sales Orders'!A659),"")</f>
        <v/>
      </c>
      <c r="M659" s="92" t="str">
        <f t="shared" ca="1" si="44"/>
        <v/>
      </c>
      <c r="O659" s="3"/>
      <c r="Q659" s="92" t="str">
        <f t="shared" si="43"/>
        <v/>
      </c>
      <c r="R659" s="98">
        <f>SUMIFS('Booking Management'!J:J,'Booking Management'!B:B,'Sales Orders'!A659)</f>
        <v>0</v>
      </c>
      <c r="S659" s="99" t="str">
        <f t="shared" si="42"/>
        <v/>
      </c>
      <c r="Y659" s="98" t="str">
        <f t="shared" si="41"/>
        <v/>
      </c>
    </row>
    <row r="660" spans="1:25">
      <c r="A660" s="23"/>
      <c r="F660" s="37"/>
      <c r="H660" s="3"/>
      <c r="J660" s="109" t="str">
        <f>IF(C660&lt;&gt;"",SUMIFS('Booking Management'!Y:Y,'Booking Management'!B:B,'Sales Orders'!A660),"")</f>
        <v/>
      </c>
      <c r="M660" s="92" t="str">
        <f t="shared" ca="1" si="44"/>
        <v/>
      </c>
      <c r="O660" s="3"/>
      <c r="Q660" s="92" t="str">
        <f t="shared" si="43"/>
        <v/>
      </c>
      <c r="R660" s="98">
        <f>SUMIFS('Booking Management'!J:J,'Booking Management'!B:B,'Sales Orders'!A660)</f>
        <v>0</v>
      </c>
      <c r="S660" s="99" t="str">
        <f t="shared" si="42"/>
        <v/>
      </c>
      <c r="Y660" s="98" t="str">
        <f t="shared" si="41"/>
        <v/>
      </c>
    </row>
    <row r="661" spans="1:25">
      <c r="A661" s="23"/>
      <c r="F661" s="37"/>
      <c r="H661" s="3"/>
      <c r="J661" s="109" t="str">
        <f>IF(C661&lt;&gt;"",SUMIFS('Booking Management'!Y:Y,'Booking Management'!B:B,'Sales Orders'!A661),"")</f>
        <v/>
      </c>
      <c r="M661" s="92" t="str">
        <f t="shared" ca="1" si="44"/>
        <v/>
      </c>
      <c r="O661" s="3"/>
      <c r="Q661" s="92" t="str">
        <f t="shared" si="43"/>
        <v/>
      </c>
      <c r="R661" s="98">
        <f>SUMIFS('Booking Management'!J:J,'Booking Management'!B:B,'Sales Orders'!A661)</f>
        <v>0</v>
      </c>
      <c r="S661" s="99" t="str">
        <f t="shared" si="42"/>
        <v/>
      </c>
      <c r="Y661" s="98" t="str">
        <f t="shared" si="41"/>
        <v/>
      </c>
    </row>
    <row r="662" spans="1:25">
      <c r="A662" s="23"/>
      <c r="F662" s="37"/>
      <c r="H662" s="3"/>
      <c r="J662" s="109" t="str">
        <f>IF(C662&lt;&gt;"",SUMIFS('Booking Management'!Y:Y,'Booking Management'!B:B,'Sales Orders'!A662),"")</f>
        <v/>
      </c>
      <c r="M662" s="92" t="str">
        <f t="shared" ca="1" si="44"/>
        <v/>
      </c>
      <c r="O662" s="3"/>
      <c r="Q662" s="92" t="str">
        <f t="shared" si="43"/>
        <v/>
      </c>
      <c r="R662" s="98">
        <f>SUMIFS('Booking Management'!J:J,'Booking Management'!B:B,'Sales Orders'!A662)</f>
        <v>0</v>
      </c>
      <c r="S662" s="99" t="str">
        <f t="shared" si="42"/>
        <v/>
      </c>
      <c r="Y662" s="98" t="str">
        <f t="shared" si="41"/>
        <v/>
      </c>
    </row>
    <row r="663" spans="1:25">
      <c r="A663" s="23"/>
      <c r="F663" s="37"/>
      <c r="H663" s="3"/>
      <c r="J663" s="109" t="str">
        <f>IF(C663&lt;&gt;"",SUMIFS('Booking Management'!Y:Y,'Booking Management'!B:B,'Sales Orders'!A663),"")</f>
        <v/>
      </c>
      <c r="M663" s="92" t="str">
        <f t="shared" ca="1" si="44"/>
        <v/>
      </c>
      <c r="O663" s="3"/>
      <c r="Q663" s="92" t="str">
        <f t="shared" si="43"/>
        <v/>
      </c>
      <c r="R663" s="98">
        <f>SUMIFS('Booking Management'!J:J,'Booking Management'!B:B,'Sales Orders'!A663)</f>
        <v>0</v>
      </c>
      <c r="S663" s="99" t="str">
        <f t="shared" si="42"/>
        <v/>
      </c>
      <c r="Y663" s="98" t="str">
        <f t="shared" si="41"/>
        <v/>
      </c>
    </row>
    <row r="664" spans="1:25">
      <c r="A664" s="23"/>
      <c r="F664" s="37"/>
      <c r="H664" s="3"/>
      <c r="J664" s="109" t="str">
        <f>IF(C664&lt;&gt;"",SUMIFS('Booking Management'!Y:Y,'Booking Management'!B:B,'Sales Orders'!A664),"")</f>
        <v/>
      </c>
      <c r="M664" s="92" t="str">
        <f t="shared" ca="1" si="44"/>
        <v/>
      </c>
      <c r="O664" s="3"/>
      <c r="Q664" s="92" t="str">
        <f t="shared" si="43"/>
        <v/>
      </c>
      <c r="R664" s="98">
        <f>SUMIFS('Booking Management'!J:J,'Booking Management'!B:B,'Sales Orders'!A664)</f>
        <v>0</v>
      </c>
      <c r="S664" s="99" t="str">
        <f t="shared" si="42"/>
        <v/>
      </c>
      <c r="Y664" s="98" t="str">
        <f t="shared" si="41"/>
        <v/>
      </c>
    </row>
    <row r="665" spans="1:25">
      <c r="A665" s="23"/>
      <c r="F665" s="37"/>
      <c r="H665" s="3"/>
      <c r="J665" s="109" t="str">
        <f>IF(C665&lt;&gt;"",SUMIFS('Booking Management'!Y:Y,'Booking Management'!B:B,'Sales Orders'!A665),"")</f>
        <v/>
      </c>
      <c r="M665" s="92" t="str">
        <f t="shared" ca="1" si="44"/>
        <v/>
      </c>
      <c r="O665" s="3"/>
      <c r="Q665" s="92" t="str">
        <f t="shared" si="43"/>
        <v/>
      </c>
      <c r="R665" s="98">
        <f>SUMIFS('Booking Management'!J:J,'Booking Management'!B:B,'Sales Orders'!A665)</f>
        <v>0</v>
      </c>
      <c r="S665" s="99" t="str">
        <f t="shared" si="42"/>
        <v/>
      </c>
      <c r="Y665" s="98" t="str">
        <f t="shared" si="41"/>
        <v/>
      </c>
    </row>
    <row r="666" spans="1:25">
      <c r="A666" s="23"/>
      <c r="F666" s="37"/>
      <c r="H666" s="3"/>
      <c r="J666" s="109" t="str">
        <f>IF(C666&lt;&gt;"",SUMIFS('Booking Management'!Y:Y,'Booking Management'!B:B,'Sales Orders'!A666),"")</f>
        <v/>
      </c>
      <c r="M666" s="92" t="str">
        <f t="shared" ca="1" si="44"/>
        <v/>
      </c>
      <c r="O666" s="3"/>
      <c r="Q666" s="92" t="str">
        <f t="shared" si="43"/>
        <v/>
      </c>
      <c r="R666" s="98">
        <f>SUMIFS('Booking Management'!J:J,'Booking Management'!B:B,'Sales Orders'!A666)</f>
        <v>0</v>
      </c>
      <c r="S666" s="99" t="str">
        <f t="shared" si="42"/>
        <v/>
      </c>
      <c r="Y666" s="98" t="str">
        <f t="shared" si="41"/>
        <v/>
      </c>
    </row>
    <row r="667" spans="1:25">
      <c r="A667" s="23"/>
      <c r="F667" s="37"/>
      <c r="H667" s="3"/>
      <c r="J667" s="109" t="str">
        <f>IF(C667&lt;&gt;"",SUMIFS('Booking Management'!Y:Y,'Booking Management'!B:B,'Sales Orders'!A667),"")</f>
        <v/>
      </c>
      <c r="M667" s="92" t="str">
        <f t="shared" ca="1" si="44"/>
        <v/>
      </c>
      <c r="O667" s="3"/>
      <c r="Q667" s="92" t="str">
        <f t="shared" si="43"/>
        <v/>
      </c>
      <c r="R667" s="98">
        <f>SUMIFS('Booking Management'!J:J,'Booking Management'!B:B,'Sales Orders'!A667)</f>
        <v>0</v>
      </c>
      <c r="S667" s="99" t="str">
        <f t="shared" si="42"/>
        <v/>
      </c>
      <c r="Y667" s="98" t="str">
        <f t="shared" si="41"/>
        <v/>
      </c>
    </row>
    <row r="668" spans="1:25">
      <c r="A668" s="23"/>
      <c r="F668" s="37"/>
      <c r="H668" s="3"/>
      <c r="J668" s="109" t="str">
        <f>IF(C668&lt;&gt;"",SUMIFS('Booking Management'!Y:Y,'Booking Management'!B:B,'Sales Orders'!A668),"")</f>
        <v/>
      </c>
      <c r="M668" s="92" t="str">
        <f t="shared" ca="1" si="44"/>
        <v/>
      </c>
      <c r="O668" s="3"/>
      <c r="Q668" s="92" t="str">
        <f t="shared" si="43"/>
        <v/>
      </c>
      <c r="R668" s="98">
        <f>SUMIFS('Booking Management'!J:J,'Booking Management'!B:B,'Sales Orders'!A668)</f>
        <v>0</v>
      </c>
      <c r="S668" s="99" t="str">
        <f t="shared" si="42"/>
        <v/>
      </c>
      <c r="Y668" s="98" t="str">
        <f t="shared" si="41"/>
        <v/>
      </c>
    </row>
    <row r="669" spans="1:25">
      <c r="A669" s="23"/>
      <c r="F669" s="37"/>
      <c r="H669" s="3"/>
      <c r="J669" s="109" t="str">
        <f>IF(C669&lt;&gt;"",SUMIFS('Booking Management'!Y:Y,'Booking Management'!B:B,'Sales Orders'!A669),"")</f>
        <v/>
      </c>
      <c r="M669" s="92" t="str">
        <f t="shared" ca="1" si="44"/>
        <v/>
      </c>
      <c r="O669" s="3"/>
      <c r="Q669" s="92" t="str">
        <f t="shared" si="43"/>
        <v/>
      </c>
      <c r="R669" s="98">
        <f>SUMIFS('Booking Management'!J:J,'Booking Management'!B:B,'Sales Orders'!A669)</f>
        <v>0</v>
      </c>
      <c r="S669" s="99" t="str">
        <f t="shared" si="42"/>
        <v/>
      </c>
      <c r="Y669" s="98" t="str">
        <f t="shared" si="41"/>
        <v/>
      </c>
    </row>
    <row r="670" spans="1:25">
      <c r="A670" s="23"/>
      <c r="F670" s="37"/>
      <c r="H670" s="3"/>
      <c r="J670" s="109" t="str">
        <f>IF(C670&lt;&gt;"",SUMIFS('Booking Management'!Y:Y,'Booking Management'!B:B,'Sales Orders'!A670),"")</f>
        <v/>
      </c>
      <c r="M670" s="92" t="str">
        <f t="shared" ca="1" si="44"/>
        <v/>
      </c>
      <c r="O670" s="3"/>
      <c r="Q670" s="92" t="str">
        <f t="shared" si="43"/>
        <v/>
      </c>
      <c r="R670" s="98">
        <f>SUMIFS('Booking Management'!J:J,'Booking Management'!B:B,'Sales Orders'!A670)</f>
        <v>0</v>
      </c>
      <c r="S670" s="99" t="str">
        <f t="shared" si="42"/>
        <v/>
      </c>
      <c r="Y670" s="98" t="str">
        <f t="shared" si="41"/>
        <v/>
      </c>
    </row>
    <row r="671" spans="1:25">
      <c r="A671" s="23"/>
      <c r="F671" s="37"/>
      <c r="H671" s="3"/>
      <c r="J671" s="109" t="str">
        <f>IF(C671&lt;&gt;"",SUMIFS('Booking Management'!Y:Y,'Booking Management'!B:B,'Sales Orders'!A671),"")</f>
        <v/>
      </c>
      <c r="M671" s="92" t="str">
        <f t="shared" ca="1" si="44"/>
        <v/>
      </c>
      <c r="O671" s="3"/>
      <c r="Q671" s="92" t="str">
        <f t="shared" si="43"/>
        <v/>
      </c>
      <c r="R671" s="98">
        <f>SUMIFS('Booking Management'!J:J,'Booking Management'!B:B,'Sales Orders'!A671)</f>
        <v>0</v>
      </c>
      <c r="S671" s="99" t="str">
        <f t="shared" si="42"/>
        <v/>
      </c>
      <c r="Y671" s="98" t="str">
        <f t="shared" si="41"/>
        <v/>
      </c>
    </row>
    <row r="672" spans="1:25">
      <c r="A672" s="23"/>
      <c r="F672" s="37"/>
      <c r="H672" s="3"/>
      <c r="J672" s="109" t="str">
        <f>IF(C672&lt;&gt;"",SUMIFS('Booking Management'!Y:Y,'Booking Management'!B:B,'Sales Orders'!A672),"")</f>
        <v/>
      </c>
      <c r="M672" s="92" t="str">
        <f t="shared" ca="1" si="44"/>
        <v/>
      </c>
      <c r="O672" s="3"/>
      <c r="Q672" s="92" t="str">
        <f t="shared" si="43"/>
        <v/>
      </c>
      <c r="R672" s="98">
        <f>SUMIFS('Booking Management'!J:J,'Booking Management'!B:B,'Sales Orders'!A672)</f>
        <v>0</v>
      </c>
      <c r="S672" s="99" t="str">
        <f t="shared" si="42"/>
        <v/>
      </c>
      <c r="Y672" s="98" t="str">
        <f t="shared" si="41"/>
        <v/>
      </c>
    </row>
    <row r="673" spans="1:25">
      <c r="A673" s="23"/>
      <c r="F673" s="37"/>
      <c r="H673" s="3"/>
      <c r="J673" s="109" t="str">
        <f>IF(C673&lt;&gt;"",SUMIFS('Booking Management'!Y:Y,'Booking Management'!B:B,'Sales Orders'!A673),"")</f>
        <v/>
      </c>
      <c r="M673" s="92" t="str">
        <f t="shared" ca="1" si="44"/>
        <v/>
      </c>
      <c r="O673" s="3"/>
      <c r="Q673" s="92" t="str">
        <f t="shared" si="43"/>
        <v/>
      </c>
      <c r="R673" s="98">
        <f>SUMIFS('Booking Management'!J:J,'Booking Management'!B:B,'Sales Orders'!A673)</f>
        <v>0</v>
      </c>
      <c r="S673" s="99" t="str">
        <f t="shared" si="42"/>
        <v/>
      </c>
      <c r="Y673" s="98" t="str">
        <f t="shared" si="41"/>
        <v/>
      </c>
    </row>
    <row r="674" spans="1:25">
      <c r="A674" s="23"/>
      <c r="F674" s="37"/>
      <c r="H674" s="3"/>
      <c r="J674" s="109" t="str">
        <f>IF(C674&lt;&gt;"",SUMIFS('Booking Management'!Y:Y,'Booking Management'!B:B,'Sales Orders'!A674),"")</f>
        <v/>
      </c>
      <c r="M674" s="92" t="str">
        <f t="shared" ca="1" si="44"/>
        <v/>
      </c>
      <c r="O674" s="3"/>
      <c r="Q674" s="92" t="str">
        <f t="shared" si="43"/>
        <v/>
      </c>
      <c r="R674" s="98">
        <f>SUMIFS('Booking Management'!J:J,'Booking Management'!B:B,'Sales Orders'!A674)</f>
        <v>0</v>
      </c>
      <c r="S674" s="99" t="str">
        <f t="shared" si="42"/>
        <v/>
      </c>
      <c r="Y674" s="98" t="str">
        <f t="shared" si="41"/>
        <v/>
      </c>
    </row>
    <row r="675" spans="1:25">
      <c r="A675" s="23"/>
      <c r="F675" s="37"/>
      <c r="H675" s="3"/>
      <c r="J675" s="109" t="str">
        <f>IF(C675&lt;&gt;"",SUMIFS('Booking Management'!Y:Y,'Booking Management'!B:B,'Sales Orders'!A675),"")</f>
        <v/>
      </c>
      <c r="M675" s="92" t="str">
        <f t="shared" ca="1" si="44"/>
        <v/>
      </c>
      <c r="O675" s="3"/>
      <c r="Q675" s="92" t="str">
        <f t="shared" si="43"/>
        <v/>
      </c>
      <c r="R675" s="98">
        <f>SUMIFS('Booking Management'!J:J,'Booking Management'!B:B,'Sales Orders'!A675)</f>
        <v>0</v>
      </c>
      <c r="S675" s="99" t="str">
        <f t="shared" si="42"/>
        <v/>
      </c>
      <c r="Y675" s="98" t="str">
        <f t="shared" si="41"/>
        <v/>
      </c>
    </row>
    <row r="676" spans="1:25">
      <c r="A676" s="23"/>
      <c r="F676" s="37"/>
      <c r="H676" s="3"/>
      <c r="J676" s="109" t="str">
        <f>IF(C676&lt;&gt;"",SUMIFS('Booking Management'!Y:Y,'Booking Management'!B:B,'Sales Orders'!A676),"")</f>
        <v/>
      </c>
      <c r="M676" s="92" t="str">
        <f t="shared" ca="1" si="44"/>
        <v/>
      </c>
      <c r="O676" s="3"/>
      <c r="Q676" s="92" t="str">
        <f t="shared" si="43"/>
        <v/>
      </c>
      <c r="R676" s="98">
        <f>SUMIFS('Booking Management'!J:J,'Booking Management'!B:B,'Sales Orders'!A676)</f>
        <v>0</v>
      </c>
      <c r="S676" s="99" t="str">
        <f t="shared" si="42"/>
        <v/>
      </c>
      <c r="Y676" s="98" t="str">
        <f t="shared" si="41"/>
        <v/>
      </c>
    </row>
    <row r="677" spans="1:25">
      <c r="A677" s="23"/>
      <c r="F677" s="37"/>
      <c r="H677" s="3"/>
      <c r="J677" s="109" t="str">
        <f>IF(C677&lt;&gt;"",SUMIFS('Booking Management'!Y:Y,'Booking Management'!B:B,'Sales Orders'!A677),"")</f>
        <v/>
      </c>
      <c r="M677" s="92" t="str">
        <f t="shared" ca="1" si="44"/>
        <v/>
      </c>
      <c r="O677" s="3"/>
      <c r="Q677" s="92" t="str">
        <f t="shared" si="43"/>
        <v/>
      </c>
      <c r="R677" s="98">
        <f>SUMIFS('Booking Management'!J:J,'Booking Management'!B:B,'Sales Orders'!A677)</f>
        <v>0</v>
      </c>
      <c r="S677" s="99" t="str">
        <f t="shared" si="42"/>
        <v/>
      </c>
      <c r="Y677" s="98" t="str">
        <f t="shared" si="41"/>
        <v/>
      </c>
    </row>
    <row r="678" spans="1:25">
      <c r="A678" s="23"/>
      <c r="F678" s="37"/>
      <c r="H678" s="3"/>
      <c r="J678" s="109" t="str">
        <f>IF(C678&lt;&gt;"",SUMIFS('Booking Management'!Y:Y,'Booking Management'!B:B,'Sales Orders'!A678),"")</f>
        <v/>
      </c>
      <c r="M678" s="92" t="str">
        <f t="shared" ca="1" si="44"/>
        <v/>
      </c>
      <c r="O678" s="3"/>
      <c r="Q678" s="92" t="str">
        <f t="shared" si="43"/>
        <v/>
      </c>
      <c r="R678" s="98">
        <f>SUMIFS('Booking Management'!J:J,'Booking Management'!B:B,'Sales Orders'!A678)</f>
        <v>0</v>
      </c>
      <c r="S678" s="99" t="str">
        <f t="shared" si="42"/>
        <v/>
      </c>
      <c r="Y678" s="98" t="str">
        <f t="shared" si="41"/>
        <v/>
      </c>
    </row>
    <row r="679" spans="1:25">
      <c r="A679" s="23"/>
      <c r="F679" s="37"/>
      <c r="H679" s="3"/>
      <c r="J679" s="109" t="str">
        <f>IF(C679&lt;&gt;"",SUMIFS('Booking Management'!Y:Y,'Booking Management'!B:B,'Sales Orders'!A679),"")</f>
        <v/>
      </c>
      <c r="M679" s="92" t="str">
        <f t="shared" ca="1" si="44"/>
        <v/>
      </c>
      <c r="O679" s="3"/>
      <c r="Q679" s="92" t="str">
        <f t="shared" si="43"/>
        <v/>
      </c>
      <c r="R679" s="98">
        <f>SUMIFS('Booking Management'!J:J,'Booking Management'!B:B,'Sales Orders'!A679)</f>
        <v>0</v>
      </c>
      <c r="S679" s="99" t="str">
        <f t="shared" si="42"/>
        <v/>
      </c>
      <c r="Y679" s="98" t="str">
        <f t="shared" si="41"/>
        <v/>
      </c>
    </row>
    <row r="680" spans="1:25">
      <c r="A680" s="23"/>
      <c r="F680" s="37"/>
      <c r="H680" s="3"/>
      <c r="J680" s="109" t="str">
        <f>IF(C680&lt;&gt;"",SUMIFS('Booking Management'!Y:Y,'Booking Management'!B:B,'Sales Orders'!A680),"")</f>
        <v/>
      </c>
      <c r="M680" s="92" t="str">
        <f t="shared" ca="1" si="44"/>
        <v/>
      </c>
      <c r="O680" s="3"/>
      <c r="Q680" s="92" t="str">
        <f t="shared" si="43"/>
        <v/>
      </c>
      <c r="R680" s="98">
        <f>SUMIFS('Booking Management'!J:J,'Booking Management'!B:B,'Sales Orders'!A680)</f>
        <v>0</v>
      </c>
      <c r="S680" s="99" t="str">
        <f t="shared" si="42"/>
        <v/>
      </c>
      <c r="Y680" s="98" t="str">
        <f t="shared" si="41"/>
        <v/>
      </c>
    </row>
    <row r="681" spans="1:25">
      <c r="A681" s="23"/>
      <c r="F681" s="37"/>
      <c r="H681" s="3"/>
      <c r="J681" s="109" t="str">
        <f>IF(C681&lt;&gt;"",SUMIFS('Booking Management'!Y:Y,'Booking Management'!B:B,'Sales Orders'!A681),"")</f>
        <v/>
      </c>
      <c r="M681" s="92" t="str">
        <f t="shared" ca="1" si="44"/>
        <v/>
      </c>
      <c r="O681" s="3"/>
      <c r="Q681" s="92" t="str">
        <f t="shared" si="43"/>
        <v/>
      </c>
      <c r="R681" s="98">
        <f>SUMIFS('Booking Management'!J:J,'Booking Management'!B:B,'Sales Orders'!A681)</f>
        <v>0</v>
      </c>
      <c r="S681" s="99" t="str">
        <f t="shared" si="42"/>
        <v/>
      </c>
      <c r="Y681" s="98" t="str">
        <f t="shared" si="41"/>
        <v/>
      </c>
    </row>
    <row r="682" spans="1:25">
      <c r="A682" s="23"/>
      <c r="F682" s="37"/>
      <c r="H682" s="3"/>
      <c r="J682" s="109" t="str">
        <f>IF(C682&lt;&gt;"",SUMIFS('Booking Management'!Y:Y,'Booking Management'!B:B,'Sales Orders'!A682),"")</f>
        <v/>
      </c>
      <c r="M682" s="92" t="str">
        <f t="shared" ca="1" si="44"/>
        <v/>
      </c>
      <c r="O682" s="3"/>
      <c r="Q682" s="92" t="str">
        <f t="shared" si="43"/>
        <v/>
      </c>
      <c r="R682" s="98">
        <f>SUMIFS('Booking Management'!J:J,'Booking Management'!B:B,'Sales Orders'!A682)</f>
        <v>0</v>
      </c>
      <c r="S682" s="99" t="str">
        <f t="shared" si="42"/>
        <v/>
      </c>
      <c r="Y682" s="98" t="str">
        <f t="shared" ref="Y682:Y745" si="45">IF(D682&lt;&gt;"",D682-J682,"")</f>
        <v/>
      </c>
    </row>
    <row r="683" spans="1:25">
      <c r="A683" s="23"/>
      <c r="F683" s="37"/>
      <c r="H683" s="3"/>
      <c r="J683" s="109" t="str">
        <f>IF(C683&lt;&gt;"",SUMIFS('Booking Management'!Y:Y,'Booking Management'!B:B,'Sales Orders'!A683),"")</f>
        <v/>
      </c>
      <c r="M683" s="92" t="str">
        <f t="shared" ca="1" si="44"/>
        <v/>
      </c>
      <c r="O683" s="3"/>
      <c r="Q683" s="92" t="str">
        <f t="shared" si="43"/>
        <v/>
      </c>
      <c r="R683" s="98">
        <f>SUMIFS('Booking Management'!J:J,'Booking Management'!B:B,'Sales Orders'!A683)</f>
        <v>0</v>
      </c>
      <c r="S683" s="99" t="str">
        <f t="shared" si="42"/>
        <v/>
      </c>
      <c r="Y683" s="98" t="str">
        <f t="shared" si="45"/>
        <v/>
      </c>
    </row>
    <row r="684" spans="1:25">
      <c r="A684" s="23"/>
      <c r="F684" s="37"/>
      <c r="H684" s="3"/>
      <c r="J684" s="109" t="str">
        <f>IF(C684&lt;&gt;"",SUMIFS('Booking Management'!Y:Y,'Booking Management'!B:B,'Sales Orders'!A684),"")</f>
        <v/>
      </c>
      <c r="M684" s="92" t="str">
        <f t="shared" ca="1" si="44"/>
        <v/>
      </c>
      <c r="O684" s="3"/>
      <c r="Q684" s="92" t="str">
        <f t="shared" si="43"/>
        <v/>
      </c>
      <c r="R684" s="98">
        <f>SUMIFS('Booking Management'!J:J,'Booking Management'!B:B,'Sales Orders'!A684)</f>
        <v>0</v>
      </c>
      <c r="S684" s="99" t="str">
        <f t="shared" si="42"/>
        <v/>
      </c>
      <c r="Y684" s="98" t="str">
        <f t="shared" si="45"/>
        <v/>
      </c>
    </row>
    <row r="685" spans="1:25">
      <c r="A685" s="23"/>
      <c r="F685" s="37"/>
      <c r="H685" s="3"/>
      <c r="J685" s="109" t="str">
        <f>IF(C685&lt;&gt;"",SUMIFS('Booking Management'!Y:Y,'Booking Management'!B:B,'Sales Orders'!A685),"")</f>
        <v/>
      </c>
      <c r="M685" s="92" t="str">
        <f t="shared" ca="1" si="44"/>
        <v/>
      </c>
      <c r="O685" s="3"/>
      <c r="Q685" s="92" t="str">
        <f t="shared" si="43"/>
        <v/>
      </c>
      <c r="R685" s="98">
        <f>SUMIFS('Booking Management'!J:J,'Booking Management'!B:B,'Sales Orders'!A685)</f>
        <v>0</v>
      </c>
      <c r="S685" s="99" t="str">
        <f t="shared" si="42"/>
        <v/>
      </c>
      <c r="Y685" s="98" t="str">
        <f t="shared" si="45"/>
        <v/>
      </c>
    </row>
    <row r="686" spans="1:25">
      <c r="A686" s="23"/>
      <c r="F686" s="37"/>
      <c r="H686" s="3"/>
      <c r="J686" s="109" t="str">
        <f>IF(C686&lt;&gt;"",SUMIFS('Booking Management'!Y:Y,'Booking Management'!B:B,'Sales Orders'!A686),"")</f>
        <v/>
      </c>
      <c r="M686" s="92" t="str">
        <f t="shared" ca="1" si="44"/>
        <v/>
      </c>
      <c r="O686" s="3"/>
      <c r="Q686" s="92" t="str">
        <f t="shared" si="43"/>
        <v/>
      </c>
      <c r="R686" s="98">
        <f>SUMIFS('Booking Management'!J:J,'Booking Management'!B:B,'Sales Orders'!A686)</f>
        <v>0</v>
      </c>
      <c r="S686" s="99" t="str">
        <f t="shared" si="42"/>
        <v/>
      </c>
      <c r="Y686" s="98" t="str">
        <f t="shared" si="45"/>
        <v/>
      </c>
    </row>
    <row r="687" spans="1:25">
      <c r="A687" s="23"/>
      <c r="F687" s="37"/>
      <c r="H687" s="3"/>
      <c r="J687" s="109" t="str">
        <f>IF(C687&lt;&gt;"",SUMIFS('Booking Management'!Y:Y,'Booking Management'!B:B,'Sales Orders'!A687),"")</f>
        <v/>
      </c>
      <c r="M687" s="92" t="str">
        <f t="shared" ca="1" si="44"/>
        <v/>
      </c>
      <c r="O687" s="3"/>
      <c r="Q687" s="92" t="str">
        <f t="shared" si="43"/>
        <v/>
      </c>
      <c r="R687" s="98">
        <f>SUMIFS('Booking Management'!J:J,'Booking Management'!B:B,'Sales Orders'!A687)</f>
        <v>0</v>
      </c>
      <c r="S687" s="99" t="str">
        <f t="shared" si="42"/>
        <v/>
      </c>
      <c r="Y687" s="98" t="str">
        <f t="shared" si="45"/>
        <v/>
      </c>
    </row>
    <row r="688" spans="1:25">
      <c r="A688" s="23"/>
      <c r="F688" s="37"/>
      <c r="H688" s="3"/>
      <c r="J688" s="109" t="str">
        <f>IF(C688&lt;&gt;"",SUMIFS('Booking Management'!Y:Y,'Booking Management'!B:B,'Sales Orders'!A688),"")</f>
        <v/>
      </c>
      <c r="M688" s="92" t="str">
        <f t="shared" ca="1" si="44"/>
        <v/>
      </c>
      <c r="O688" s="3"/>
      <c r="Q688" s="92" t="str">
        <f t="shared" si="43"/>
        <v/>
      </c>
      <c r="R688" s="98">
        <f>SUMIFS('Booking Management'!J:J,'Booking Management'!B:B,'Sales Orders'!A688)</f>
        <v>0</v>
      </c>
      <c r="S688" s="99" t="str">
        <f t="shared" si="42"/>
        <v/>
      </c>
      <c r="Y688" s="98" t="str">
        <f t="shared" si="45"/>
        <v/>
      </c>
    </row>
    <row r="689" spans="1:25">
      <c r="A689" s="23"/>
      <c r="F689" s="37"/>
      <c r="H689" s="3"/>
      <c r="J689" s="109" t="str">
        <f>IF(C689&lt;&gt;"",SUMIFS('Booking Management'!Y:Y,'Booking Management'!B:B,'Sales Orders'!A689),"")</f>
        <v/>
      </c>
      <c r="M689" s="92" t="str">
        <f t="shared" ca="1" si="44"/>
        <v/>
      </c>
      <c r="O689" s="3"/>
      <c r="Q689" s="92" t="str">
        <f t="shared" si="43"/>
        <v/>
      </c>
      <c r="R689" s="98">
        <f>SUMIFS('Booking Management'!J:J,'Booking Management'!B:B,'Sales Orders'!A689)</f>
        <v>0</v>
      </c>
      <c r="S689" s="99" t="str">
        <f t="shared" si="42"/>
        <v/>
      </c>
      <c r="Y689" s="98" t="str">
        <f t="shared" si="45"/>
        <v/>
      </c>
    </row>
    <row r="690" spans="1:25">
      <c r="A690" s="23"/>
      <c r="F690" s="37"/>
      <c r="H690" s="3"/>
      <c r="J690" s="109" t="str">
        <f>IF(C690&lt;&gt;"",SUMIFS('Booking Management'!Y:Y,'Booking Management'!B:B,'Sales Orders'!A690),"")</f>
        <v/>
      </c>
      <c r="M690" s="92" t="str">
        <f t="shared" ca="1" si="44"/>
        <v/>
      </c>
      <c r="O690" s="3"/>
      <c r="Q690" s="92" t="str">
        <f t="shared" si="43"/>
        <v/>
      </c>
      <c r="R690" s="98">
        <f>SUMIFS('Booking Management'!J:J,'Booking Management'!B:B,'Sales Orders'!A690)</f>
        <v>0</v>
      </c>
      <c r="S690" s="99" t="str">
        <f t="shared" si="42"/>
        <v/>
      </c>
      <c r="Y690" s="98" t="str">
        <f t="shared" si="45"/>
        <v/>
      </c>
    </row>
    <row r="691" spans="1:25">
      <c r="A691" s="23"/>
      <c r="F691" s="37"/>
      <c r="H691" s="3"/>
      <c r="J691" s="109" t="str">
        <f>IF(C691&lt;&gt;"",SUMIFS('Booking Management'!Y:Y,'Booking Management'!B:B,'Sales Orders'!A691),"")</f>
        <v/>
      </c>
      <c r="M691" s="92" t="str">
        <f t="shared" ca="1" si="44"/>
        <v/>
      </c>
      <c r="O691" s="3"/>
      <c r="Q691" s="92" t="str">
        <f t="shared" si="43"/>
        <v/>
      </c>
      <c r="R691" s="98">
        <f>SUMIFS('Booking Management'!J:J,'Booking Management'!B:B,'Sales Orders'!A691)</f>
        <v>0</v>
      </c>
      <c r="S691" s="99" t="str">
        <f t="shared" si="42"/>
        <v/>
      </c>
      <c r="Y691" s="98" t="str">
        <f t="shared" si="45"/>
        <v/>
      </c>
    </row>
    <row r="692" spans="1:25">
      <c r="A692" s="23"/>
      <c r="F692" s="37"/>
      <c r="H692" s="3"/>
      <c r="J692" s="109" t="str">
        <f>IF(C692&lt;&gt;"",SUMIFS('Booking Management'!Y:Y,'Booking Management'!B:B,'Sales Orders'!A692),"")</f>
        <v/>
      </c>
      <c r="M692" s="92" t="str">
        <f t="shared" ca="1" si="44"/>
        <v/>
      </c>
      <c r="O692" s="3"/>
      <c r="Q692" s="92" t="str">
        <f t="shared" si="43"/>
        <v/>
      </c>
      <c r="R692" s="98">
        <f>SUMIFS('Booking Management'!J:J,'Booking Management'!B:B,'Sales Orders'!A692)</f>
        <v>0</v>
      </c>
      <c r="S692" s="99" t="str">
        <f t="shared" si="42"/>
        <v/>
      </c>
      <c r="Y692" s="98" t="str">
        <f t="shared" si="45"/>
        <v/>
      </c>
    </row>
    <row r="693" spans="1:25">
      <c r="A693" s="23"/>
      <c r="F693" s="37"/>
      <c r="H693" s="3"/>
      <c r="J693" s="109" t="str">
        <f>IF(C693&lt;&gt;"",SUMIFS('Booking Management'!Y:Y,'Booking Management'!B:B,'Sales Orders'!A693),"")</f>
        <v/>
      </c>
      <c r="M693" s="92" t="str">
        <f t="shared" ca="1" si="44"/>
        <v/>
      </c>
      <c r="O693" s="3"/>
      <c r="Q693" s="92" t="str">
        <f t="shared" si="43"/>
        <v/>
      </c>
      <c r="R693" s="98">
        <f>SUMIFS('Booking Management'!J:J,'Booking Management'!B:B,'Sales Orders'!A693)</f>
        <v>0</v>
      </c>
      <c r="S693" s="99" t="str">
        <f t="shared" si="42"/>
        <v/>
      </c>
      <c r="Y693" s="98" t="str">
        <f t="shared" si="45"/>
        <v/>
      </c>
    </row>
    <row r="694" spans="1:25">
      <c r="A694" s="23"/>
      <c r="F694" s="37"/>
      <c r="H694" s="3"/>
      <c r="J694" s="109" t="str">
        <f>IF(C694&lt;&gt;"",SUMIFS('Booking Management'!Y:Y,'Booking Management'!B:B,'Sales Orders'!A694),"")</f>
        <v/>
      </c>
      <c r="M694" s="92" t="str">
        <f t="shared" ca="1" si="44"/>
        <v/>
      </c>
      <c r="O694" s="3"/>
      <c r="Q694" s="92" t="str">
        <f t="shared" si="43"/>
        <v/>
      </c>
      <c r="R694" s="98">
        <f>SUMIFS('Booking Management'!J:J,'Booking Management'!B:B,'Sales Orders'!A694)</f>
        <v>0</v>
      </c>
      <c r="S694" s="99" t="str">
        <f t="shared" si="42"/>
        <v/>
      </c>
      <c r="Y694" s="98" t="str">
        <f t="shared" si="45"/>
        <v/>
      </c>
    </row>
    <row r="695" spans="1:25">
      <c r="A695" s="23"/>
      <c r="F695" s="37"/>
      <c r="H695" s="3"/>
      <c r="J695" s="109" t="str">
        <f>IF(C695&lt;&gt;"",SUMIFS('Booking Management'!Y:Y,'Booking Management'!B:B,'Sales Orders'!A695),"")</f>
        <v/>
      </c>
      <c r="M695" s="92" t="str">
        <f t="shared" ca="1" si="44"/>
        <v/>
      </c>
      <c r="O695" s="3"/>
      <c r="Q695" s="92" t="str">
        <f t="shared" si="43"/>
        <v/>
      </c>
      <c r="R695" s="98">
        <f>SUMIFS('Booking Management'!J:J,'Booking Management'!B:B,'Sales Orders'!A695)</f>
        <v>0</v>
      </c>
      <c r="S695" s="99" t="str">
        <f t="shared" si="42"/>
        <v/>
      </c>
      <c r="Y695" s="98" t="str">
        <f t="shared" si="45"/>
        <v/>
      </c>
    </row>
    <row r="696" spans="1:25">
      <c r="A696" s="23"/>
      <c r="F696" s="37"/>
      <c r="H696" s="3"/>
      <c r="J696" s="109" t="str">
        <f>IF(C696&lt;&gt;"",SUMIFS('Booking Management'!Y:Y,'Booking Management'!B:B,'Sales Orders'!A696),"")</f>
        <v/>
      </c>
      <c r="M696" s="92" t="str">
        <f t="shared" ca="1" si="44"/>
        <v/>
      </c>
      <c r="O696" s="3"/>
      <c r="Q696" s="92" t="str">
        <f t="shared" si="43"/>
        <v/>
      </c>
      <c r="R696" s="98">
        <f>SUMIFS('Booking Management'!J:J,'Booking Management'!B:B,'Sales Orders'!A696)</f>
        <v>0</v>
      </c>
      <c r="S696" s="99" t="str">
        <f t="shared" si="42"/>
        <v/>
      </c>
      <c r="Y696" s="98" t="str">
        <f t="shared" si="45"/>
        <v/>
      </c>
    </row>
    <row r="697" spans="1:25">
      <c r="A697" s="23"/>
      <c r="F697" s="37"/>
      <c r="H697" s="3"/>
      <c r="J697" s="109" t="str">
        <f>IF(C697&lt;&gt;"",SUMIFS('Booking Management'!Y:Y,'Booking Management'!B:B,'Sales Orders'!A697),"")</f>
        <v/>
      </c>
      <c r="M697" s="92" t="str">
        <f t="shared" ca="1" si="44"/>
        <v/>
      </c>
      <c r="O697" s="3"/>
      <c r="Q697" s="92" t="str">
        <f t="shared" si="43"/>
        <v/>
      </c>
      <c r="R697" s="98">
        <f>SUMIFS('Booking Management'!J:J,'Booking Management'!B:B,'Sales Orders'!A697)</f>
        <v>0</v>
      </c>
      <c r="S697" s="99" t="str">
        <f t="shared" si="42"/>
        <v/>
      </c>
      <c r="Y697" s="98" t="str">
        <f t="shared" si="45"/>
        <v/>
      </c>
    </row>
    <row r="698" spans="1:25">
      <c r="A698" s="23"/>
      <c r="F698" s="37"/>
      <c r="H698" s="3"/>
      <c r="J698" s="109" t="str">
        <f>IF(C698&lt;&gt;"",SUMIFS('Booking Management'!Y:Y,'Booking Management'!B:B,'Sales Orders'!A698),"")</f>
        <v/>
      </c>
      <c r="M698" s="92" t="str">
        <f t="shared" ca="1" si="44"/>
        <v/>
      </c>
      <c r="O698" s="3"/>
      <c r="Q698" s="92" t="str">
        <f t="shared" si="43"/>
        <v/>
      </c>
      <c r="R698" s="98">
        <f>SUMIFS('Booking Management'!J:J,'Booking Management'!B:B,'Sales Orders'!A698)</f>
        <v>0</v>
      </c>
      <c r="S698" s="99" t="str">
        <f t="shared" si="42"/>
        <v/>
      </c>
      <c r="Y698" s="98" t="str">
        <f t="shared" si="45"/>
        <v/>
      </c>
    </row>
    <row r="699" spans="1:25">
      <c r="A699" s="23"/>
      <c r="F699" s="37"/>
      <c r="H699" s="3"/>
      <c r="J699" s="109" t="str">
        <f>IF(C699&lt;&gt;"",SUMIFS('Booking Management'!Y:Y,'Booking Management'!B:B,'Sales Orders'!A699),"")</f>
        <v/>
      </c>
      <c r="M699" s="92" t="str">
        <f t="shared" ca="1" si="44"/>
        <v/>
      </c>
      <c r="O699" s="3"/>
      <c r="Q699" s="92" t="str">
        <f t="shared" si="43"/>
        <v/>
      </c>
      <c r="R699" s="98">
        <f>SUMIFS('Booking Management'!J:J,'Booking Management'!B:B,'Sales Orders'!A699)</f>
        <v>0</v>
      </c>
      <c r="S699" s="99" t="str">
        <f t="shared" si="42"/>
        <v/>
      </c>
      <c r="Y699" s="98" t="str">
        <f t="shared" si="45"/>
        <v/>
      </c>
    </row>
    <row r="700" spans="1:25">
      <c r="A700" s="23"/>
      <c r="F700" s="37"/>
      <c r="H700" s="3"/>
      <c r="J700" s="109" t="str">
        <f>IF(C700&lt;&gt;"",SUMIFS('Booking Management'!Y:Y,'Booking Management'!B:B,'Sales Orders'!A700),"")</f>
        <v/>
      </c>
      <c r="M700" s="92" t="str">
        <f t="shared" ca="1" si="44"/>
        <v/>
      </c>
      <c r="O700" s="3"/>
      <c r="Q700" s="92" t="str">
        <f t="shared" si="43"/>
        <v/>
      </c>
      <c r="R700" s="98">
        <f>SUMIFS('Booking Management'!J:J,'Booking Management'!B:B,'Sales Orders'!A700)</f>
        <v>0</v>
      </c>
      <c r="S700" s="99" t="str">
        <f t="shared" si="42"/>
        <v/>
      </c>
      <c r="Y700" s="98" t="str">
        <f t="shared" si="45"/>
        <v/>
      </c>
    </row>
    <row r="701" spans="1:25">
      <c r="A701" s="23"/>
      <c r="F701" s="37"/>
      <c r="H701" s="3"/>
      <c r="J701" s="109" t="str">
        <f>IF(C701&lt;&gt;"",SUMIFS('Booking Management'!Y:Y,'Booking Management'!B:B,'Sales Orders'!A701),"")</f>
        <v/>
      </c>
      <c r="M701" s="92" t="str">
        <f t="shared" ca="1" si="44"/>
        <v/>
      </c>
      <c r="O701" s="3"/>
      <c r="Q701" s="92" t="str">
        <f t="shared" si="43"/>
        <v/>
      </c>
      <c r="R701" s="98">
        <f>SUMIFS('Booking Management'!J:J,'Booking Management'!B:B,'Sales Orders'!A701)</f>
        <v>0</v>
      </c>
      <c r="S701" s="99" t="str">
        <f t="shared" si="42"/>
        <v/>
      </c>
      <c r="Y701" s="98" t="str">
        <f t="shared" si="45"/>
        <v/>
      </c>
    </row>
    <row r="702" spans="1:25">
      <c r="A702" s="23"/>
      <c r="F702" s="37"/>
      <c r="H702" s="3"/>
      <c r="J702" s="109" t="str">
        <f>IF(C702&lt;&gt;"",SUMIFS('Booking Management'!Y:Y,'Booking Management'!B:B,'Sales Orders'!A702),"")</f>
        <v/>
      </c>
      <c r="M702" s="92" t="str">
        <f t="shared" ca="1" si="44"/>
        <v/>
      </c>
      <c r="O702" s="3"/>
      <c r="Q702" s="92" t="str">
        <f t="shared" si="43"/>
        <v/>
      </c>
      <c r="R702" s="98">
        <f>SUMIFS('Booking Management'!J:J,'Booking Management'!B:B,'Sales Orders'!A702)</f>
        <v>0</v>
      </c>
      <c r="S702" s="99" t="str">
        <f t="shared" si="42"/>
        <v/>
      </c>
      <c r="Y702" s="98" t="str">
        <f t="shared" si="45"/>
        <v/>
      </c>
    </row>
    <row r="703" spans="1:25">
      <c r="A703" s="23"/>
      <c r="F703" s="37"/>
      <c r="H703" s="3"/>
      <c r="J703" s="109" t="str">
        <f>IF(C703&lt;&gt;"",SUMIFS('Booking Management'!Y:Y,'Booking Management'!B:B,'Sales Orders'!A703),"")</f>
        <v/>
      </c>
      <c r="M703" s="92" t="str">
        <f t="shared" ca="1" si="44"/>
        <v/>
      </c>
      <c r="O703" s="3"/>
      <c r="Q703" s="92" t="str">
        <f t="shared" si="43"/>
        <v/>
      </c>
      <c r="R703" s="98">
        <f>SUMIFS('Booking Management'!J:J,'Booking Management'!B:B,'Sales Orders'!A703)</f>
        <v>0</v>
      </c>
      <c r="S703" s="99" t="str">
        <f t="shared" si="42"/>
        <v/>
      </c>
      <c r="Y703" s="98" t="str">
        <f t="shared" si="45"/>
        <v/>
      </c>
    </row>
    <row r="704" spans="1:25">
      <c r="A704" s="23"/>
      <c r="F704" s="37"/>
      <c r="H704" s="3"/>
      <c r="J704" s="109" t="str">
        <f>IF(C704&lt;&gt;"",SUMIFS('Booking Management'!Y:Y,'Booking Management'!B:B,'Sales Orders'!A704),"")</f>
        <v/>
      </c>
      <c r="M704" s="92" t="str">
        <f t="shared" ca="1" si="44"/>
        <v/>
      </c>
      <c r="O704" s="3"/>
      <c r="Q704" s="92" t="str">
        <f t="shared" si="43"/>
        <v/>
      </c>
      <c r="R704" s="98">
        <f>SUMIFS('Booking Management'!J:J,'Booking Management'!B:B,'Sales Orders'!A704)</f>
        <v>0</v>
      </c>
      <c r="S704" s="99" t="str">
        <f t="shared" si="42"/>
        <v/>
      </c>
      <c r="Y704" s="98" t="str">
        <f t="shared" si="45"/>
        <v/>
      </c>
    </row>
    <row r="705" spans="1:25">
      <c r="A705" s="23"/>
      <c r="F705" s="37"/>
      <c r="H705" s="3"/>
      <c r="J705" s="109" t="str">
        <f>IF(C705&lt;&gt;"",SUMIFS('Booking Management'!Y:Y,'Booking Management'!B:B,'Sales Orders'!A705),"")</f>
        <v/>
      </c>
      <c r="M705" s="92" t="str">
        <f t="shared" ca="1" si="44"/>
        <v/>
      </c>
      <c r="O705" s="3"/>
      <c r="Q705" s="92" t="str">
        <f t="shared" si="43"/>
        <v/>
      </c>
      <c r="R705" s="98">
        <f>SUMIFS('Booking Management'!J:J,'Booking Management'!B:B,'Sales Orders'!A705)</f>
        <v>0</v>
      </c>
      <c r="S705" s="99" t="str">
        <f t="shared" si="42"/>
        <v/>
      </c>
      <c r="Y705" s="98" t="str">
        <f t="shared" si="45"/>
        <v/>
      </c>
    </row>
    <row r="706" spans="1:25">
      <c r="A706" s="23"/>
      <c r="F706" s="37"/>
      <c r="H706" s="3"/>
      <c r="J706" s="109" t="str">
        <f>IF(C706&lt;&gt;"",SUMIFS('Booking Management'!Y:Y,'Booking Management'!B:B,'Sales Orders'!A706),"")</f>
        <v/>
      </c>
      <c r="M706" s="92" t="str">
        <f t="shared" ca="1" si="44"/>
        <v/>
      </c>
      <c r="O706" s="3"/>
      <c r="Q706" s="92" t="str">
        <f t="shared" si="43"/>
        <v/>
      </c>
      <c r="R706" s="98">
        <f>SUMIFS('Booking Management'!J:J,'Booking Management'!B:B,'Sales Orders'!A706)</f>
        <v>0</v>
      </c>
      <c r="S706" s="99" t="str">
        <f t="shared" si="42"/>
        <v/>
      </c>
      <c r="Y706" s="98" t="str">
        <f t="shared" si="45"/>
        <v/>
      </c>
    </row>
    <row r="707" spans="1:25">
      <c r="A707" s="23"/>
      <c r="F707" s="37"/>
      <c r="H707" s="3"/>
      <c r="J707" s="109" t="str">
        <f>IF(C707&lt;&gt;"",SUMIFS('Booking Management'!Y:Y,'Booking Management'!B:B,'Sales Orders'!A707),"")</f>
        <v/>
      </c>
      <c r="M707" s="92" t="str">
        <f t="shared" ca="1" si="44"/>
        <v/>
      </c>
      <c r="O707" s="3"/>
      <c r="Q707" s="92" t="str">
        <f t="shared" si="43"/>
        <v/>
      </c>
      <c r="R707" s="98">
        <f>SUMIFS('Booking Management'!J:J,'Booking Management'!B:B,'Sales Orders'!A707)</f>
        <v>0</v>
      </c>
      <c r="S707" s="99" t="str">
        <f t="shared" si="42"/>
        <v/>
      </c>
      <c r="Y707" s="98" t="str">
        <f t="shared" si="45"/>
        <v/>
      </c>
    </row>
    <row r="708" spans="1:25">
      <c r="A708" s="23"/>
      <c r="F708" s="37"/>
      <c r="H708" s="3"/>
      <c r="J708" s="109" t="str">
        <f>IF(C708&lt;&gt;"",SUMIFS('Booking Management'!Y:Y,'Booking Management'!B:B,'Sales Orders'!A708),"")</f>
        <v/>
      </c>
      <c r="M708" s="92" t="str">
        <f t="shared" ca="1" si="44"/>
        <v/>
      </c>
      <c r="O708" s="3"/>
      <c r="Q708" s="92" t="str">
        <f t="shared" si="43"/>
        <v/>
      </c>
      <c r="R708" s="98">
        <f>SUMIFS('Booking Management'!J:J,'Booking Management'!B:B,'Sales Orders'!A708)</f>
        <v>0</v>
      </c>
      <c r="S708" s="99" t="str">
        <f t="shared" ref="S708:S771" si="46">IF(R708&gt;0,(R708/D708)*N708,"")</f>
        <v/>
      </c>
      <c r="Y708" s="98" t="str">
        <f t="shared" si="45"/>
        <v/>
      </c>
    </row>
    <row r="709" spans="1:25">
      <c r="A709" s="23"/>
      <c r="F709" s="37"/>
      <c r="H709" s="3"/>
      <c r="J709" s="109" t="str">
        <f>IF(C709&lt;&gt;"",SUMIFS('Booking Management'!Y:Y,'Booking Management'!B:B,'Sales Orders'!A709),"")</f>
        <v/>
      </c>
      <c r="M709" s="92" t="str">
        <f t="shared" ca="1" si="44"/>
        <v/>
      </c>
      <c r="O709" s="3"/>
      <c r="Q709" s="92" t="str">
        <f t="shared" si="43"/>
        <v/>
      </c>
      <c r="R709" s="98">
        <f>SUMIFS('Booking Management'!J:J,'Booking Management'!B:B,'Sales Orders'!A709)</f>
        <v>0</v>
      </c>
      <c r="S709" s="99" t="str">
        <f t="shared" si="46"/>
        <v/>
      </c>
      <c r="Y709" s="98" t="str">
        <f t="shared" si="45"/>
        <v/>
      </c>
    </row>
    <row r="710" spans="1:25">
      <c r="A710" s="23"/>
      <c r="F710" s="37"/>
      <c r="H710" s="3"/>
      <c r="J710" s="109" t="str">
        <f>IF(C710&lt;&gt;"",SUMIFS('Booking Management'!Y:Y,'Booking Management'!B:B,'Sales Orders'!A710),"")</f>
        <v/>
      </c>
      <c r="M710" s="92" t="str">
        <f t="shared" ca="1" si="44"/>
        <v/>
      </c>
      <c r="O710" s="3"/>
      <c r="Q710" s="92" t="str">
        <f t="shared" ref="Q710:Q773" si="47">IF(C710&lt;&gt;"",IF(OR(K710="",P710=""),"alert",""),"")</f>
        <v/>
      </c>
      <c r="R710" s="98">
        <f>SUMIFS('Booking Management'!J:J,'Booking Management'!B:B,'Sales Orders'!A710)</f>
        <v>0</v>
      </c>
      <c r="S710" s="99" t="str">
        <f t="shared" si="46"/>
        <v/>
      </c>
      <c r="Y710" s="98" t="str">
        <f t="shared" si="45"/>
        <v/>
      </c>
    </row>
    <row r="711" spans="1:25">
      <c r="A711" s="23"/>
      <c r="F711" s="37"/>
      <c r="H711" s="3"/>
      <c r="J711" s="109" t="str">
        <f>IF(C711&lt;&gt;"",SUMIFS('Booking Management'!Y:Y,'Booking Management'!B:B,'Sales Orders'!A711),"")</f>
        <v/>
      </c>
      <c r="M711" s="92" t="str">
        <f t="shared" ref="M711:M774" ca="1" si="48">IFERROR(IF(K711&lt;&gt;"",IF(AND(_xlfn.NUMBERVALUE(J711)/_xlfn.NUMBERVALUE(D711) &lt;1,K711-TODAY()&lt;2,L711&lt;&gt;"yes"),"alert",""),""),"")</f>
        <v/>
      </c>
      <c r="O711" s="3"/>
      <c r="Q711" s="92" t="str">
        <f t="shared" si="47"/>
        <v/>
      </c>
      <c r="R711" s="98">
        <f>SUMIFS('Booking Management'!J:J,'Booking Management'!B:B,'Sales Orders'!A711)</f>
        <v>0</v>
      </c>
      <c r="S711" s="99" t="str">
        <f t="shared" si="46"/>
        <v/>
      </c>
      <c r="Y711" s="98" t="str">
        <f t="shared" si="45"/>
        <v/>
      </c>
    </row>
    <row r="712" spans="1:25">
      <c r="A712" s="23"/>
      <c r="F712" s="37"/>
      <c r="H712" s="3"/>
      <c r="J712" s="109" t="str">
        <f>IF(C712&lt;&gt;"",SUMIFS('Booking Management'!Y:Y,'Booking Management'!B:B,'Sales Orders'!A712),"")</f>
        <v/>
      </c>
      <c r="M712" s="92" t="str">
        <f t="shared" ca="1" si="48"/>
        <v/>
      </c>
      <c r="O712" s="3"/>
      <c r="Q712" s="92" t="str">
        <f t="shared" si="47"/>
        <v/>
      </c>
      <c r="R712" s="98">
        <f>SUMIFS('Booking Management'!J:J,'Booking Management'!B:B,'Sales Orders'!A712)</f>
        <v>0</v>
      </c>
      <c r="S712" s="99" t="str">
        <f t="shared" si="46"/>
        <v/>
      </c>
      <c r="Y712" s="98" t="str">
        <f t="shared" si="45"/>
        <v/>
      </c>
    </row>
    <row r="713" spans="1:25">
      <c r="A713" s="23"/>
      <c r="F713" s="37"/>
      <c r="H713" s="3"/>
      <c r="J713" s="109" t="str">
        <f>IF(C713&lt;&gt;"",SUMIFS('Booking Management'!Y:Y,'Booking Management'!B:B,'Sales Orders'!A713),"")</f>
        <v/>
      </c>
      <c r="M713" s="92" t="str">
        <f t="shared" ca="1" si="48"/>
        <v/>
      </c>
      <c r="O713" s="3"/>
      <c r="Q713" s="92" t="str">
        <f t="shared" si="47"/>
        <v/>
      </c>
      <c r="R713" s="98">
        <f>SUMIFS('Booking Management'!J:J,'Booking Management'!B:B,'Sales Orders'!A713)</f>
        <v>0</v>
      </c>
      <c r="S713" s="99" t="str">
        <f t="shared" si="46"/>
        <v/>
      </c>
      <c r="Y713" s="98" t="str">
        <f t="shared" si="45"/>
        <v/>
      </c>
    </row>
    <row r="714" spans="1:25">
      <c r="A714" s="23"/>
      <c r="F714" s="37"/>
      <c r="H714" s="3"/>
      <c r="J714" s="109" t="str">
        <f>IF(C714&lt;&gt;"",SUMIFS('Booking Management'!Y:Y,'Booking Management'!B:B,'Sales Orders'!A714),"")</f>
        <v/>
      </c>
      <c r="M714" s="92" t="str">
        <f t="shared" ca="1" si="48"/>
        <v/>
      </c>
      <c r="O714" s="3"/>
      <c r="Q714" s="92" t="str">
        <f t="shared" si="47"/>
        <v/>
      </c>
      <c r="R714" s="98">
        <f>SUMIFS('Booking Management'!J:J,'Booking Management'!B:B,'Sales Orders'!A714)</f>
        <v>0</v>
      </c>
      <c r="S714" s="99" t="str">
        <f t="shared" si="46"/>
        <v/>
      </c>
      <c r="Y714" s="98" t="str">
        <f t="shared" si="45"/>
        <v/>
      </c>
    </row>
    <row r="715" spans="1:25">
      <c r="A715" s="23"/>
      <c r="F715" s="37"/>
      <c r="H715" s="3"/>
      <c r="J715" s="109" t="str">
        <f>IF(C715&lt;&gt;"",SUMIFS('Booking Management'!Y:Y,'Booking Management'!B:B,'Sales Orders'!A715),"")</f>
        <v/>
      </c>
      <c r="M715" s="92" t="str">
        <f t="shared" ca="1" si="48"/>
        <v/>
      </c>
      <c r="O715" s="3"/>
      <c r="Q715" s="92" t="str">
        <f t="shared" si="47"/>
        <v/>
      </c>
      <c r="R715" s="98">
        <f>SUMIFS('Booking Management'!J:J,'Booking Management'!B:B,'Sales Orders'!A715)</f>
        <v>0</v>
      </c>
      <c r="S715" s="99" t="str">
        <f t="shared" si="46"/>
        <v/>
      </c>
      <c r="Y715" s="98" t="str">
        <f t="shared" si="45"/>
        <v/>
      </c>
    </row>
    <row r="716" spans="1:25">
      <c r="A716" s="23"/>
      <c r="F716" s="37"/>
      <c r="H716" s="3"/>
      <c r="J716" s="109" t="str">
        <f>IF(C716&lt;&gt;"",SUMIFS('Booking Management'!Y:Y,'Booking Management'!B:B,'Sales Orders'!A716),"")</f>
        <v/>
      </c>
      <c r="M716" s="92" t="str">
        <f t="shared" ca="1" si="48"/>
        <v/>
      </c>
      <c r="O716" s="3"/>
      <c r="Q716" s="92" t="str">
        <f t="shared" si="47"/>
        <v/>
      </c>
      <c r="R716" s="98">
        <f>SUMIFS('Booking Management'!J:J,'Booking Management'!B:B,'Sales Orders'!A716)</f>
        <v>0</v>
      </c>
      <c r="S716" s="99" t="str">
        <f t="shared" si="46"/>
        <v/>
      </c>
      <c r="Y716" s="98" t="str">
        <f t="shared" si="45"/>
        <v/>
      </c>
    </row>
    <row r="717" spans="1:25">
      <c r="A717" s="23"/>
      <c r="F717" s="37"/>
      <c r="H717" s="3"/>
      <c r="J717" s="109" t="str">
        <f>IF(C717&lt;&gt;"",SUMIFS('Booking Management'!Y:Y,'Booking Management'!B:B,'Sales Orders'!A717),"")</f>
        <v/>
      </c>
      <c r="M717" s="92" t="str">
        <f t="shared" ca="1" si="48"/>
        <v/>
      </c>
      <c r="O717" s="3"/>
      <c r="Q717" s="92" t="str">
        <f t="shared" si="47"/>
        <v/>
      </c>
      <c r="R717" s="98">
        <f>SUMIFS('Booking Management'!J:J,'Booking Management'!B:B,'Sales Orders'!A717)</f>
        <v>0</v>
      </c>
      <c r="S717" s="99" t="str">
        <f t="shared" si="46"/>
        <v/>
      </c>
      <c r="Y717" s="98" t="str">
        <f t="shared" si="45"/>
        <v/>
      </c>
    </row>
    <row r="718" spans="1:25">
      <c r="A718" s="23"/>
      <c r="F718" s="37"/>
      <c r="H718" s="3"/>
      <c r="J718" s="109" t="str">
        <f>IF(C718&lt;&gt;"",SUMIFS('Booking Management'!Y:Y,'Booking Management'!B:B,'Sales Orders'!A718),"")</f>
        <v/>
      </c>
      <c r="M718" s="92" t="str">
        <f t="shared" ca="1" si="48"/>
        <v/>
      </c>
      <c r="O718" s="3"/>
      <c r="Q718" s="92" t="str">
        <f t="shared" si="47"/>
        <v/>
      </c>
      <c r="R718" s="98">
        <f>SUMIFS('Booking Management'!J:J,'Booking Management'!B:B,'Sales Orders'!A718)</f>
        <v>0</v>
      </c>
      <c r="S718" s="99" t="str">
        <f t="shared" si="46"/>
        <v/>
      </c>
      <c r="Y718" s="98" t="str">
        <f t="shared" si="45"/>
        <v/>
      </c>
    </row>
    <row r="719" spans="1:25">
      <c r="A719" s="23"/>
      <c r="F719" s="37"/>
      <c r="H719" s="3"/>
      <c r="J719" s="109" t="str">
        <f>IF(C719&lt;&gt;"",SUMIFS('Booking Management'!Y:Y,'Booking Management'!B:B,'Sales Orders'!A719),"")</f>
        <v/>
      </c>
      <c r="M719" s="92" t="str">
        <f t="shared" ca="1" si="48"/>
        <v/>
      </c>
      <c r="O719" s="3"/>
      <c r="Q719" s="92" t="str">
        <f t="shared" si="47"/>
        <v/>
      </c>
      <c r="R719" s="98">
        <f>SUMIFS('Booking Management'!J:J,'Booking Management'!B:B,'Sales Orders'!A719)</f>
        <v>0</v>
      </c>
      <c r="S719" s="99" t="str">
        <f t="shared" si="46"/>
        <v/>
      </c>
      <c r="Y719" s="98" t="str">
        <f t="shared" si="45"/>
        <v/>
      </c>
    </row>
    <row r="720" spans="1:25">
      <c r="A720" s="23"/>
      <c r="F720" s="37"/>
      <c r="H720" s="3"/>
      <c r="J720" s="109" t="str">
        <f>IF(C720&lt;&gt;"",SUMIFS('Booking Management'!Y:Y,'Booking Management'!B:B,'Sales Orders'!A720),"")</f>
        <v/>
      </c>
      <c r="M720" s="92" t="str">
        <f t="shared" ca="1" si="48"/>
        <v/>
      </c>
      <c r="O720" s="3"/>
      <c r="Q720" s="92" t="str">
        <f t="shared" si="47"/>
        <v/>
      </c>
      <c r="R720" s="98">
        <f>SUMIFS('Booking Management'!J:J,'Booking Management'!B:B,'Sales Orders'!A720)</f>
        <v>0</v>
      </c>
      <c r="S720" s="99" t="str">
        <f t="shared" si="46"/>
        <v/>
      </c>
      <c r="Y720" s="98" t="str">
        <f t="shared" si="45"/>
        <v/>
      </c>
    </row>
    <row r="721" spans="1:25">
      <c r="A721" s="23"/>
      <c r="F721" s="37"/>
      <c r="H721" s="3"/>
      <c r="J721" s="109" t="str">
        <f>IF(C721&lt;&gt;"",SUMIFS('Booking Management'!Y:Y,'Booking Management'!B:B,'Sales Orders'!A721),"")</f>
        <v/>
      </c>
      <c r="M721" s="92" t="str">
        <f t="shared" ca="1" si="48"/>
        <v/>
      </c>
      <c r="O721" s="3"/>
      <c r="Q721" s="92" t="str">
        <f t="shared" si="47"/>
        <v/>
      </c>
      <c r="R721" s="98">
        <f>SUMIFS('Booking Management'!J:J,'Booking Management'!B:B,'Sales Orders'!A721)</f>
        <v>0</v>
      </c>
      <c r="S721" s="99" t="str">
        <f t="shared" si="46"/>
        <v/>
      </c>
      <c r="Y721" s="98" t="str">
        <f t="shared" si="45"/>
        <v/>
      </c>
    </row>
    <row r="722" spans="1:25">
      <c r="A722" s="23"/>
      <c r="F722" s="37"/>
      <c r="H722" s="3"/>
      <c r="J722" s="109" t="str">
        <f>IF(C722&lt;&gt;"",SUMIFS('Booking Management'!Y:Y,'Booking Management'!B:B,'Sales Orders'!A722),"")</f>
        <v/>
      </c>
      <c r="M722" s="92" t="str">
        <f t="shared" ca="1" si="48"/>
        <v/>
      </c>
      <c r="O722" s="3"/>
      <c r="Q722" s="92" t="str">
        <f t="shared" si="47"/>
        <v/>
      </c>
      <c r="R722" s="98">
        <f>SUMIFS('Booking Management'!J:J,'Booking Management'!B:B,'Sales Orders'!A722)</f>
        <v>0</v>
      </c>
      <c r="S722" s="99" t="str">
        <f t="shared" si="46"/>
        <v/>
      </c>
      <c r="Y722" s="98" t="str">
        <f t="shared" si="45"/>
        <v/>
      </c>
    </row>
    <row r="723" spans="1:25">
      <c r="A723" s="23"/>
      <c r="F723" s="37"/>
      <c r="H723" s="3"/>
      <c r="J723" s="109" t="str">
        <f>IF(C723&lt;&gt;"",SUMIFS('Booking Management'!Y:Y,'Booking Management'!B:B,'Sales Orders'!A723),"")</f>
        <v/>
      </c>
      <c r="M723" s="92" t="str">
        <f t="shared" ca="1" si="48"/>
        <v/>
      </c>
      <c r="O723" s="3"/>
      <c r="Q723" s="92" t="str">
        <f t="shared" si="47"/>
        <v/>
      </c>
      <c r="R723" s="98">
        <f>SUMIFS('Booking Management'!J:J,'Booking Management'!B:B,'Sales Orders'!A723)</f>
        <v>0</v>
      </c>
      <c r="S723" s="99" t="str">
        <f t="shared" si="46"/>
        <v/>
      </c>
      <c r="Y723" s="98" t="str">
        <f t="shared" si="45"/>
        <v/>
      </c>
    </row>
    <row r="724" spans="1:25">
      <c r="A724" s="23"/>
      <c r="F724" s="37"/>
      <c r="H724" s="3"/>
      <c r="J724" s="109" t="str">
        <f>IF(C724&lt;&gt;"",SUMIFS('Booking Management'!Y:Y,'Booking Management'!B:B,'Sales Orders'!A724),"")</f>
        <v/>
      </c>
      <c r="M724" s="92" t="str">
        <f t="shared" ca="1" si="48"/>
        <v/>
      </c>
      <c r="O724" s="3"/>
      <c r="Q724" s="92" t="str">
        <f t="shared" si="47"/>
        <v/>
      </c>
      <c r="R724" s="98">
        <f>SUMIFS('Booking Management'!J:J,'Booking Management'!B:B,'Sales Orders'!A724)</f>
        <v>0</v>
      </c>
      <c r="S724" s="99" t="str">
        <f t="shared" si="46"/>
        <v/>
      </c>
      <c r="Y724" s="98" t="str">
        <f t="shared" si="45"/>
        <v/>
      </c>
    </row>
    <row r="725" spans="1:25">
      <c r="A725" s="23"/>
      <c r="F725" s="37"/>
      <c r="H725" s="3"/>
      <c r="J725" s="109" t="str">
        <f>IF(C725&lt;&gt;"",SUMIFS('Booking Management'!Y:Y,'Booking Management'!B:B,'Sales Orders'!A725),"")</f>
        <v/>
      </c>
      <c r="M725" s="92" t="str">
        <f t="shared" ca="1" si="48"/>
        <v/>
      </c>
      <c r="O725" s="3"/>
      <c r="Q725" s="92" t="str">
        <f t="shared" si="47"/>
        <v/>
      </c>
      <c r="R725" s="98">
        <f>SUMIFS('Booking Management'!J:J,'Booking Management'!B:B,'Sales Orders'!A725)</f>
        <v>0</v>
      </c>
      <c r="S725" s="99" t="str">
        <f t="shared" si="46"/>
        <v/>
      </c>
      <c r="Y725" s="98" t="str">
        <f t="shared" si="45"/>
        <v/>
      </c>
    </row>
    <row r="726" spans="1:25">
      <c r="A726" s="23"/>
      <c r="F726" s="37"/>
      <c r="H726" s="3"/>
      <c r="J726" s="109" t="str">
        <f>IF(C726&lt;&gt;"",SUMIFS('Booking Management'!Y:Y,'Booking Management'!B:B,'Sales Orders'!A726),"")</f>
        <v/>
      </c>
      <c r="M726" s="92" t="str">
        <f t="shared" ca="1" si="48"/>
        <v/>
      </c>
      <c r="O726" s="3"/>
      <c r="Q726" s="92" t="str">
        <f t="shared" si="47"/>
        <v/>
      </c>
      <c r="R726" s="98">
        <f>SUMIFS('Booking Management'!J:J,'Booking Management'!B:B,'Sales Orders'!A726)</f>
        <v>0</v>
      </c>
      <c r="S726" s="99" t="str">
        <f t="shared" si="46"/>
        <v/>
      </c>
      <c r="Y726" s="98" t="str">
        <f t="shared" si="45"/>
        <v/>
      </c>
    </row>
    <row r="727" spans="1:25">
      <c r="A727" s="23"/>
      <c r="F727" s="37"/>
      <c r="H727" s="3"/>
      <c r="J727" s="109" t="str">
        <f>IF(C727&lt;&gt;"",SUMIFS('Booking Management'!Y:Y,'Booking Management'!B:B,'Sales Orders'!A727),"")</f>
        <v/>
      </c>
      <c r="M727" s="92" t="str">
        <f t="shared" ca="1" si="48"/>
        <v/>
      </c>
      <c r="O727" s="3"/>
      <c r="Q727" s="92" t="str">
        <f t="shared" si="47"/>
        <v/>
      </c>
      <c r="R727" s="98">
        <f>SUMIFS('Booking Management'!J:J,'Booking Management'!B:B,'Sales Orders'!A727)</f>
        <v>0</v>
      </c>
      <c r="S727" s="99" t="str">
        <f t="shared" si="46"/>
        <v/>
      </c>
      <c r="Y727" s="98" t="str">
        <f t="shared" si="45"/>
        <v/>
      </c>
    </row>
    <row r="728" spans="1:25">
      <c r="A728" s="23"/>
      <c r="F728" s="37"/>
      <c r="H728" s="3"/>
      <c r="J728" s="109" t="str">
        <f>IF(C728&lt;&gt;"",SUMIFS('Booking Management'!Y:Y,'Booking Management'!B:B,'Sales Orders'!A728),"")</f>
        <v/>
      </c>
      <c r="M728" s="92" t="str">
        <f t="shared" ca="1" si="48"/>
        <v/>
      </c>
      <c r="O728" s="3"/>
      <c r="Q728" s="92" t="str">
        <f t="shared" si="47"/>
        <v/>
      </c>
      <c r="R728" s="98">
        <f>SUMIFS('Booking Management'!J:J,'Booking Management'!B:B,'Sales Orders'!A728)</f>
        <v>0</v>
      </c>
      <c r="S728" s="99" t="str">
        <f t="shared" si="46"/>
        <v/>
      </c>
      <c r="Y728" s="98" t="str">
        <f t="shared" si="45"/>
        <v/>
      </c>
    </row>
    <row r="729" spans="1:25">
      <c r="A729" s="23"/>
      <c r="F729" s="37"/>
      <c r="H729" s="3"/>
      <c r="J729" s="109" t="str">
        <f>IF(C729&lt;&gt;"",SUMIFS('Booking Management'!Y:Y,'Booking Management'!B:B,'Sales Orders'!A729),"")</f>
        <v/>
      </c>
      <c r="M729" s="92" t="str">
        <f t="shared" ca="1" si="48"/>
        <v/>
      </c>
      <c r="O729" s="3"/>
      <c r="Q729" s="92" t="str">
        <f t="shared" si="47"/>
        <v/>
      </c>
      <c r="R729" s="98">
        <f>SUMIFS('Booking Management'!J:J,'Booking Management'!B:B,'Sales Orders'!A729)</f>
        <v>0</v>
      </c>
      <c r="S729" s="99" t="str">
        <f t="shared" si="46"/>
        <v/>
      </c>
      <c r="Y729" s="98" t="str">
        <f t="shared" si="45"/>
        <v/>
      </c>
    </row>
    <row r="730" spans="1:25">
      <c r="A730" s="23"/>
      <c r="F730" s="37"/>
      <c r="H730" s="3"/>
      <c r="J730" s="109" t="str">
        <f>IF(C730&lt;&gt;"",SUMIFS('Booking Management'!Y:Y,'Booking Management'!B:B,'Sales Orders'!A730),"")</f>
        <v/>
      </c>
      <c r="M730" s="92" t="str">
        <f t="shared" ca="1" si="48"/>
        <v/>
      </c>
      <c r="O730" s="3"/>
      <c r="Q730" s="92" t="str">
        <f t="shared" si="47"/>
        <v/>
      </c>
      <c r="R730" s="98">
        <f>SUMIFS('Booking Management'!J:J,'Booking Management'!B:B,'Sales Orders'!A730)</f>
        <v>0</v>
      </c>
      <c r="S730" s="99" t="str">
        <f t="shared" si="46"/>
        <v/>
      </c>
      <c r="Y730" s="98" t="str">
        <f t="shared" si="45"/>
        <v/>
      </c>
    </row>
    <row r="731" spans="1:25">
      <c r="A731" s="23"/>
      <c r="F731" s="37"/>
      <c r="H731" s="3"/>
      <c r="J731" s="109" t="str">
        <f>IF(C731&lt;&gt;"",SUMIFS('Booking Management'!Y:Y,'Booking Management'!B:B,'Sales Orders'!A731),"")</f>
        <v/>
      </c>
      <c r="M731" s="92" t="str">
        <f t="shared" ca="1" si="48"/>
        <v/>
      </c>
      <c r="O731" s="3"/>
      <c r="Q731" s="92" t="str">
        <f t="shared" si="47"/>
        <v/>
      </c>
      <c r="R731" s="98">
        <f>SUMIFS('Booking Management'!J:J,'Booking Management'!B:B,'Sales Orders'!A731)</f>
        <v>0</v>
      </c>
      <c r="S731" s="99" t="str">
        <f t="shared" si="46"/>
        <v/>
      </c>
      <c r="Y731" s="98" t="str">
        <f t="shared" si="45"/>
        <v/>
      </c>
    </row>
    <row r="732" spans="1:25">
      <c r="A732" s="23"/>
      <c r="F732" s="37"/>
      <c r="H732" s="3"/>
      <c r="J732" s="109" t="str">
        <f>IF(C732&lt;&gt;"",SUMIFS('Booking Management'!Y:Y,'Booking Management'!B:B,'Sales Orders'!A732),"")</f>
        <v/>
      </c>
      <c r="M732" s="92" t="str">
        <f t="shared" ca="1" si="48"/>
        <v/>
      </c>
      <c r="O732" s="3"/>
      <c r="Q732" s="92" t="str">
        <f t="shared" si="47"/>
        <v/>
      </c>
      <c r="R732" s="98">
        <f>SUMIFS('Booking Management'!J:J,'Booking Management'!B:B,'Sales Orders'!A732)</f>
        <v>0</v>
      </c>
      <c r="S732" s="99" t="str">
        <f t="shared" si="46"/>
        <v/>
      </c>
      <c r="Y732" s="98" t="str">
        <f t="shared" si="45"/>
        <v/>
      </c>
    </row>
    <row r="733" spans="1:25">
      <c r="A733" s="23"/>
      <c r="F733" s="37"/>
      <c r="H733" s="3"/>
      <c r="J733" s="109" t="str">
        <f>IF(C733&lt;&gt;"",SUMIFS('Booking Management'!Y:Y,'Booking Management'!B:B,'Sales Orders'!A733),"")</f>
        <v/>
      </c>
      <c r="M733" s="92" t="str">
        <f t="shared" ca="1" si="48"/>
        <v/>
      </c>
      <c r="O733" s="3"/>
      <c r="Q733" s="92" t="str">
        <f t="shared" si="47"/>
        <v/>
      </c>
      <c r="R733" s="98">
        <f>SUMIFS('Booking Management'!J:J,'Booking Management'!B:B,'Sales Orders'!A733)</f>
        <v>0</v>
      </c>
      <c r="S733" s="99" t="str">
        <f t="shared" si="46"/>
        <v/>
      </c>
      <c r="Y733" s="98" t="str">
        <f t="shared" si="45"/>
        <v/>
      </c>
    </row>
    <row r="734" spans="1:25">
      <c r="A734" s="23"/>
      <c r="F734" s="37"/>
      <c r="H734" s="3"/>
      <c r="J734" s="109" t="str">
        <f>IF(C734&lt;&gt;"",SUMIFS('Booking Management'!Y:Y,'Booking Management'!B:B,'Sales Orders'!A734),"")</f>
        <v/>
      </c>
      <c r="M734" s="92" t="str">
        <f t="shared" ca="1" si="48"/>
        <v/>
      </c>
      <c r="O734" s="3"/>
      <c r="Q734" s="92" t="str">
        <f t="shared" si="47"/>
        <v/>
      </c>
      <c r="R734" s="98">
        <f>SUMIFS('Booking Management'!J:J,'Booking Management'!B:B,'Sales Orders'!A734)</f>
        <v>0</v>
      </c>
      <c r="S734" s="99" t="str">
        <f t="shared" si="46"/>
        <v/>
      </c>
      <c r="Y734" s="98" t="str">
        <f t="shared" si="45"/>
        <v/>
      </c>
    </row>
    <row r="735" spans="1:25">
      <c r="A735" s="23"/>
      <c r="F735" s="37"/>
      <c r="H735" s="3"/>
      <c r="J735" s="109" t="str">
        <f>IF(C735&lt;&gt;"",SUMIFS('Booking Management'!Y:Y,'Booking Management'!B:B,'Sales Orders'!A735),"")</f>
        <v/>
      </c>
      <c r="M735" s="92" t="str">
        <f t="shared" ca="1" si="48"/>
        <v/>
      </c>
      <c r="O735" s="3"/>
      <c r="Q735" s="92" t="str">
        <f t="shared" si="47"/>
        <v/>
      </c>
      <c r="R735" s="98">
        <f>SUMIFS('Booking Management'!J:J,'Booking Management'!B:B,'Sales Orders'!A735)</f>
        <v>0</v>
      </c>
      <c r="S735" s="99" t="str">
        <f t="shared" si="46"/>
        <v/>
      </c>
      <c r="Y735" s="98" t="str">
        <f t="shared" si="45"/>
        <v/>
      </c>
    </row>
    <row r="736" spans="1:25">
      <c r="A736" s="23"/>
      <c r="F736" s="37"/>
      <c r="H736" s="3"/>
      <c r="J736" s="109" t="str">
        <f>IF(C736&lt;&gt;"",SUMIFS('Booking Management'!Y:Y,'Booking Management'!B:B,'Sales Orders'!A736),"")</f>
        <v/>
      </c>
      <c r="M736" s="92" t="str">
        <f t="shared" ca="1" si="48"/>
        <v/>
      </c>
      <c r="O736" s="3"/>
      <c r="Q736" s="92" t="str">
        <f t="shared" si="47"/>
        <v/>
      </c>
      <c r="R736" s="98">
        <f>SUMIFS('Booking Management'!J:J,'Booking Management'!B:B,'Sales Orders'!A736)</f>
        <v>0</v>
      </c>
      <c r="S736" s="99" t="str">
        <f t="shared" si="46"/>
        <v/>
      </c>
      <c r="Y736" s="98" t="str">
        <f t="shared" si="45"/>
        <v/>
      </c>
    </row>
    <row r="737" spans="1:25">
      <c r="A737" s="23"/>
      <c r="F737" s="37"/>
      <c r="H737" s="3"/>
      <c r="J737" s="109" t="str">
        <f>IF(C737&lt;&gt;"",SUMIFS('Booking Management'!Y:Y,'Booking Management'!B:B,'Sales Orders'!A737),"")</f>
        <v/>
      </c>
      <c r="M737" s="92" t="str">
        <f t="shared" ca="1" si="48"/>
        <v/>
      </c>
      <c r="O737" s="3"/>
      <c r="Q737" s="92" t="str">
        <f t="shared" si="47"/>
        <v/>
      </c>
      <c r="R737" s="98">
        <f>SUMIFS('Booking Management'!J:J,'Booking Management'!B:B,'Sales Orders'!A737)</f>
        <v>0</v>
      </c>
      <c r="S737" s="99" t="str">
        <f t="shared" si="46"/>
        <v/>
      </c>
      <c r="Y737" s="98" t="str">
        <f t="shared" si="45"/>
        <v/>
      </c>
    </row>
    <row r="738" spans="1:25">
      <c r="A738" s="23"/>
      <c r="F738" s="37"/>
      <c r="H738" s="3"/>
      <c r="J738" s="109" t="str">
        <f>IF(C738&lt;&gt;"",SUMIFS('Booking Management'!Y:Y,'Booking Management'!B:B,'Sales Orders'!A738),"")</f>
        <v/>
      </c>
      <c r="M738" s="92" t="str">
        <f t="shared" ca="1" si="48"/>
        <v/>
      </c>
      <c r="O738" s="3"/>
      <c r="Q738" s="92" t="str">
        <f t="shared" si="47"/>
        <v/>
      </c>
      <c r="R738" s="98">
        <f>SUMIFS('Booking Management'!J:J,'Booking Management'!B:B,'Sales Orders'!A738)</f>
        <v>0</v>
      </c>
      <c r="S738" s="99" t="str">
        <f t="shared" si="46"/>
        <v/>
      </c>
      <c r="Y738" s="98" t="str">
        <f t="shared" si="45"/>
        <v/>
      </c>
    </row>
    <row r="739" spans="1:25">
      <c r="A739" s="23"/>
      <c r="F739" s="37"/>
      <c r="H739" s="3"/>
      <c r="J739" s="109" t="str">
        <f>IF(C739&lt;&gt;"",SUMIFS('Booking Management'!Y:Y,'Booking Management'!B:B,'Sales Orders'!A739),"")</f>
        <v/>
      </c>
      <c r="M739" s="92" t="str">
        <f t="shared" ca="1" si="48"/>
        <v/>
      </c>
      <c r="O739" s="3"/>
      <c r="Q739" s="92" t="str">
        <f t="shared" si="47"/>
        <v/>
      </c>
      <c r="R739" s="98">
        <f>SUMIFS('Booking Management'!J:J,'Booking Management'!B:B,'Sales Orders'!A739)</f>
        <v>0</v>
      </c>
      <c r="S739" s="99" t="str">
        <f t="shared" si="46"/>
        <v/>
      </c>
      <c r="Y739" s="98" t="str">
        <f t="shared" si="45"/>
        <v/>
      </c>
    </row>
    <row r="740" spans="1:25">
      <c r="A740" s="23"/>
      <c r="F740" s="37"/>
      <c r="H740" s="3"/>
      <c r="J740" s="109" t="str">
        <f>IF(C740&lt;&gt;"",SUMIFS('Booking Management'!Y:Y,'Booking Management'!B:B,'Sales Orders'!A740),"")</f>
        <v/>
      </c>
      <c r="M740" s="92" t="str">
        <f t="shared" ca="1" si="48"/>
        <v/>
      </c>
      <c r="O740" s="3"/>
      <c r="Q740" s="92" t="str">
        <f t="shared" si="47"/>
        <v/>
      </c>
      <c r="R740" s="98">
        <f>SUMIFS('Booking Management'!J:J,'Booking Management'!B:B,'Sales Orders'!A740)</f>
        <v>0</v>
      </c>
      <c r="S740" s="99" t="str">
        <f t="shared" si="46"/>
        <v/>
      </c>
      <c r="Y740" s="98" t="str">
        <f t="shared" si="45"/>
        <v/>
      </c>
    </row>
    <row r="741" spans="1:25">
      <c r="A741" s="23"/>
      <c r="F741" s="37"/>
      <c r="H741" s="3"/>
      <c r="J741" s="109" t="str">
        <f>IF(C741&lt;&gt;"",SUMIFS('Booking Management'!Y:Y,'Booking Management'!B:B,'Sales Orders'!A741),"")</f>
        <v/>
      </c>
      <c r="M741" s="92" t="str">
        <f t="shared" ca="1" si="48"/>
        <v/>
      </c>
      <c r="O741" s="3"/>
      <c r="Q741" s="92" t="str">
        <f t="shared" si="47"/>
        <v/>
      </c>
      <c r="R741" s="98">
        <f>SUMIFS('Booking Management'!J:J,'Booking Management'!B:B,'Sales Orders'!A741)</f>
        <v>0</v>
      </c>
      <c r="S741" s="99" t="str">
        <f t="shared" si="46"/>
        <v/>
      </c>
      <c r="Y741" s="98" t="str">
        <f t="shared" si="45"/>
        <v/>
      </c>
    </row>
    <row r="742" spans="1:25">
      <c r="A742" s="23"/>
      <c r="F742" s="37"/>
      <c r="H742" s="3"/>
      <c r="J742" s="109" t="str">
        <f>IF(C742&lt;&gt;"",SUMIFS('Booking Management'!Y:Y,'Booking Management'!B:B,'Sales Orders'!A742),"")</f>
        <v/>
      </c>
      <c r="M742" s="92" t="str">
        <f t="shared" ca="1" si="48"/>
        <v/>
      </c>
      <c r="O742" s="3"/>
      <c r="Q742" s="92" t="str">
        <f t="shared" si="47"/>
        <v/>
      </c>
      <c r="R742" s="98">
        <f>SUMIFS('Booking Management'!J:J,'Booking Management'!B:B,'Sales Orders'!A742)</f>
        <v>0</v>
      </c>
      <c r="S742" s="99" t="str">
        <f t="shared" si="46"/>
        <v/>
      </c>
      <c r="Y742" s="98" t="str">
        <f t="shared" si="45"/>
        <v/>
      </c>
    </row>
    <row r="743" spans="1:25">
      <c r="A743" s="23"/>
      <c r="F743" s="37"/>
      <c r="H743" s="3"/>
      <c r="J743" s="109" t="str">
        <f>IF(C743&lt;&gt;"",SUMIFS('Booking Management'!Y:Y,'Booking Management'!B:B,'Sales Orders'!A743),"")</f>
        <v/>
      </c>
      <c r="M743" s="92" t="str">
        <f t="shared" ca="1" si="48"/>
        <v/>
      </c>
      <c r="O743" s="3"/>
      <c r="Q743" s="92" t="str">
        <f t="shared" si="47"/>
        <v/>
      </c>
      <c r="R743" s="98">
        <f>SUMIFS('Booking Management'!J:J,'Booking Management'!B:B,'Sales Orders'!A743)</f>
        <v>0</v>
      </c>
      <c r="S743" s="99" t="str">
        <f t="shared" si="46"/>
        <v/>
      </c>
      <c r="Y743" s="98" t="str">
        <f t="shared" si="45"/>
        <v/>
      </c>
    </row>
    <row r="744" spans="1:25">
      <c r="A744" s="23"/>
      <c r="F744" s="37"/>
      <c r="H744" s="3"/>
      <c r="J744" s="109" t="str">
        <f>IF(C744&lt;&gt;"",SUMIFS('Booking Management'!Y:Y,'Booking Management'!B:B,'Sales Orders'!A744),"")</f>
        <v/>
      </c>
      <c r="M744" s="92" t="str">
        <f t="shared" ca="1" si="48"/>
        <v/>
      </c>
      <c r="O744" s="3"/>
      <c r="Q744" s="92" t="str">
        <f t="shared" si="47"/>
        <v/>
      </c>
      <c r="R744" s="98">
        <f>SUMIFS('Booking Management'!J:J,'Booking Management'!B:B,'Sales Orders'!A744)</f>
        <v>0</v>
      </c>
      <c r="S744" s="99" t="str">
        <f t="shared" si="46"/>
        <v/>
      </c>
      <c r="Y744" s="98" t="str">
        <f t="shared" si="45"/>
        <v/>
      </c>
    </row>
    <row r="745" spans="1:25">
      <c r="A745" s="23"/>
      <c r="F745" s="37"/>
      <c r="H745" s="3"/>
      <c r="J745" s="109" t="str">
        <f>IF(C745&lt;&gt;"",SUMIFS('Booking Management'!Y:Y,'Booking Management'!B:B,'Sales Orders'!A745),"")</f>
        <v/>
      </c>
      <c r="M745" s="92" t="str">
        <f t="shared" ca="1" si="48"/>
        <v/>
      </c>
      <c r="O745" s="3"/>
      <c r="Q745" s="92" t="str">
        <f t="shared" si="47"/>
        <v/>
      </c>
      <c r="R745" s="98">
        <f>SUMIFS('Booking Management'!J:J,'Booking Management'!B:B,'Sales Orders'!A745)</f>
        <v>0</v>
      </c>
      <c r="S745" s="99" t="str">
        <f t="shared" si="46"/>
        <v/>
      </c>
      <c r="Y745" s="98" t="str">
        <f t="shared" si="45"/>
        <v/>
      </c>
    </row>
    <row r="746" spans="1:25">
      <c r="A746" s="23"/>
      <c r="F746" s="37"/>
      <c r="H746" s="3"/>
      <c r="J746" s="109" t="str">
        <f>IF(C746&lt;&gt;"",SUMIFS('Booking Management'!Y:Y,'Booking Management'!B:B,'Sales Orders'!A746),"")</f>
        <v/>
      </c>
      <c r="M746" s="92" t="str">
        <f t="shared" ca="1" si="48"/>
        <v/>
      </c>
      <c r="O746" s="3"/>
      <c r="Q746" s="92" t="str">
        <f t="shared" si="47"/>
        <v/>
      </c>
      <c r="R746" s="98">
        <f>SUMIFS('Booking Management'!J:J,'Booking Management'!B:B,'Sales Orders'!A746)</f>
        <v>0</v>
      </c>
      <c r="S746" s="99" t="str">
        <f t="shared" si="46"/>
        <v/>
      </c>
      <c r="Y746" s="98" t="str">
        <f t="shared" ref="Y746:Y809" si="49">IF(D746&lt;&gt;"",D746-J746,"")</f>
        <v/>
      </c>
    </row>
    <row r="747" spans="1:25">
      <c r="A747" s="23"/>
      <c r="F747" s="37"/>
      <c r="H747" s="3"/>
      <c r="J747" s="109" t="str">
        <f>IF(C747&lt;&gt;"",SUMIFS('Booking Management'!Y:Y,'Booking Management'!B:B,'Sales Orders'!A747),"")</f>
        <v/>
      </c>
      <c r="M747" s="92" t="str">
        <f t="shared" ca="1" si="48"/>
        <v/>
      </c>
      <c r="O747" s="3"/>
      <c r="Q747" s="92" t="str">
        <f t="shared" si="47"/>
        <v/>
      </c>
      <c r="R747" s="98">
        <f>SUMIFS('Booking Management'!J:J,'Booking Management'!B:B,'Sales Orders'!A747)</f>
        <v>0</v>
      </c>
      <c r="S747" s="99" t="str">
        <f t="shared" si="46"/>
        <v/>
      </c>
      <c r="Y747" s="98" t="str">
        <f t="shared" si="49"/>
        <v/>
      </c>
    </row>
    <row r="748" spans="1:25">
      <c r="A748" s="23"/>
      <c r="F748" s="37"/>
      <c r="H748" s="3"/>
      <c r="J748" s="109" t="str">
        <f>IF(C748&lt;&gt;"",SUMIFS('Booking Management'!Y:Y,'Booking Management'!B:B,'Sales Orders'!A748),"")</f>
        <v/>
      </c>
      <c r="M748" s="92" t="str">
        <f t="shared" ca="1" si="48"/>
        <v/>
      </c>
      <c r="O748" s="3"/>
      <c r="Q748" s="92" t="str">
        <f t="shared" si="47"/>
        <v/>
      </c>
      <c r="R748" s="98">
        <f>SUMIFS('Booking Management'!J:J,'Booking Management'!B:B,'Sales Orders'!A748)</f>
        <v>0</v>
      </c>
      <c r="S748" s="99" t="str">
        <f t="shared" si="46"/>
        <v/>
      </c>
      <c r="Y748" s="98" t="str">
        <f t="shared" si="49"/>
        <v/>
      </c>
    </row>
    <row r="749" spans="1:25">
      <c r="A749" s="23"/>
      <c r="F749" s="37"/>
      <c r="H749" s="3"/>
      <c r="J749" s="109" t="str">
        <f>IF(C749&lt;&gt;"",SUMIFS('Booking Management'!Y:Y,'Booking Management'!B:B,'Sales Orders'!A749),"")</f>
        <v/>
      </c>
      <c r="M749" s="92" t="str">
        <f t="shared" ca="1" si="48"/>
        <v/>
      </c>
      <c r="O749" s="3"/>
      <c r="Q749" s="92" t="str">
        <f t="shared" si="47"/>
        <v/>
      </c>
      <c r="R749" s="98">
        <f>SUMIFS('Booking Management'!J:J,'Booking Management'!B:B,'Sales Orders'!A749)</f>
        <v>0</v>
      </c>
      <c r="S749" s="99" t="str">
        <f t="shared" si="46"/>
        <v/>
      </c>
      <c r="Y749" s="98" t="str">
        <f t="shared" si="49"/>
        <v/>
      </c>
    </row>
    <row r="750" spans="1:25">
      <c r="A750" s="23"/>
      <c r="F750" s="37"/>
      <c r="H750" s="3"/>
      <c r="J750" s="109" t="str">
        <f>IF(C750&lt;&gt;"",SUMIFS('Booking Management'!Y:Y,'Booking Management'!B:B,'Sales Orders'!A750),"")</f>
        <v/>
      </c>
      <c r="M750" s="92" t="str">
        <f t="shared" ca="1" si="48"/>
        <v/>
      </c>
      <c r="O750" s="3"/>
      <c r="Q750" s="92" t="str">
        <f t="shared" si="47"/>
        <v/>
      </c>
      <c r="R750" s="98">
        <f>SUMIFS('Booking Management'!J:J,'Booking Management'!B:B,'Sales Orders'!A750)</f>
        <v>0</v>
      </c>
      <c r="S750" s="99" t="str">
        <f t="shared" si="46"/>
        <v/>
      </c>
      <c r="Y750" s="98" t="str">
        <f t="shared" si="49"/>
        <v/>
      </c>
    </row>
    <row r="751" spans="1:25">
      <c r="A751" s="23"/>
      <c r="F751" s="37"/>
      <c r="H751" s="3"/>
      <c r="J751" s="109" t="str">
        <f>IF(C751&lt;&gt;"",SUMIFS('Booking Management'!Y:Y,'Booking Management'!B:B,'Sales Orders'!A751),"")</f>
        <v/>
      </c>
      <c r="M751" s="92" t="str">
        <f t="shared" ca="1" si="48"/>
        <v/>
      </c>
      <c r="O751" s="3"/>
      <c r="Q751" s="92" t="str">
        <f t="shared" si="47"/>
        <v/>
      </c>
      <c r="R751" s="98">
        <f>SUMIFS('Booking Management'!J:J,'Booking Management'!B:B,'Sales Orders'!A751)</f>
        <v>0</v>
      </c>
      <c r="S751" s="99" t="str">
        <f t="shared" si="46"/>
        <v/>
      </c>
      <c r="Y751" s="98" t="str">
        <f t="shared" si="49"/>
        <v/>
      </c>
    </row>
    <row r="752" spans="1:25">
      <c r="A752" s="23"/>
      <c r="F752" s="37"/>
      <c r="H752" s="3"/>
      <c r="J752" s="109" t="str">
        <f>IF(C752&lt;&gt;"",SUMIFS('Booking Management'!Y:Y,'Booking Management'!B:B,'Sales Orders'!A752),"")</f>
        <v/>
      </c>
      <c r="M752" s="92" t="str">
        <f t="shared" ca="1" si="48"/>
        <v/>
      </c>
      <c r="O752" s="3"/>
      <c r="Q752" s="92" t="str">
        <f t="shared" si="47"/>
        <v/>
      </c>
      <c r="R752" s="98">
        <f>SUMIFS('Booking Management'!J:J,'Booking Management'!B:B,'Sales Orders'!A752)</f>
        <v>0</v>
      </c>
      <c r="S752" s="99" t="str">
        <f t="shared" si="46"/>
        <v/>
      </c>
      <c r="Y752" s="98" t="str">
        <f t="shared" si="49"/>
        <v/>
      </c>
    </row>
    <row r="753" spans="1:25">
      <c r="A753" s="23"/>
      <c r="F753" s="37"/>
      <c r="H753" s="3"/>
      <c r="J753" s="109" t="str">
        <f>IF(C753&lt;&gt;"",SUMIFS('Booking Management'!Y:Y,'Booking Management'!B:B,'Sales Orders'!A753),"")</f>
        <v/>
      </c>
      <c r="M753" s="92" t="str">
        <f t="shared" ca="1" si="48"/>
        <v/>
      </c>
      <c r="O753" s="3"/>
      <c r="Q753" s="92" t="str">
        <f t="shared" si="47"/>
        <v/>
      </c>
      <c r="R753" s="98">
        <f>SUMIFS('Booking Management'!J:J,'Booking Management'!B:B,'Sales Orders'!A753)</f>
        <v>0</v>
      </c>
      <c r="S753" s="99" t="str">
        <f t="shared" si="46"/>
        <v/>
      </c>
      <c r="Y753" s="98" t="str">
        <f t="shared" si="49"/>
        <v/>
      </c>
    </row>
    <row r="754" spans="1:25">
      <c r="A754" s="23"/>
      <c r="F754" s="37"/>
      <c r="H754" s="3"/>
      <c r="J754" s="109" t="str">
        <f>IF(C754&lt;&gt;"",SUMIFS('Booking Management'!Y:Y,'Booking Management'!B:B,'Sales Orders'!A754),"")</f>
        <v/>
      </c>
      <c r="M754" s="92" t="str">
        <f t="shared" ca="1" si="48"/>
        <v/>
      </c>
      <c r="O754" s="3"/>
      <c r="Q754" s="92" t="str">
        <f t="shared" si="47"/>
        <v/>
      </c>
      <c r="R754" s="98">
        <f>SUMIFS('Booking Management'!J:J,'Booking Management'!B:B,'Sales Orders'!A754)</f>
        <v>0</v>
      </c>
      <c r="S754" s="99" t="str">
        <f t="shared" si="46"/>
        <v/>
      </c>
      <c r="Y754" s="98" t="str">
        <f t="shared" si="49"/>
        <v/>
      </c>
    </row>
    <row r="755" spans="1:25">
      <c r="A755" s="23"/>
      <c r="F755" s="37"/>
      <c r="H755" s="3"/>
      <c r="J755" s="109" t="str">
        <f>IF(C755&lt;&gt;"",SUMIFS('Booking Management'!Y:Y,'Booking Management'!B:B,'Sales Orders'!A755),"")</f>
        <v/>
      </c>
      <c r="M755" s="92" t="str">
        <f t="shared" ca="1" si="48"/>
        <v/>
      </c>
      <c r="O755" s="3"/>
      <c r="Q755" s="92" t="str">
        <f t="shared" si="47"/>
        <v/>
      </c>
      <c r="R755" s="98">
        <f>SUMIFS('Booking Management'!J:J,'Booking Management'!B:B,'Sales Orders'!A755)</f>
        <v>0</v>
      </c>
      <c r="S755" s="99" t="str">
        <f t="shared" si="46"/>
        <v/>
      </c>
      <c r="Y755" s="98" t="str">
        <f t="shared" si="49"/>
        <v/>
      </c>
    </row>
    <row r="756" spans="1:25">
      <c r="A756" s="23"/>
      <c r="F756" s="37"/>
      <c r="H756" s="3"/>
      <c r="J756" s="109" t="str">
        <f>IF(C756&lt;&gt;"",SUMIFS('Booking Management'!Y:Y,'Booking Management'!B:B,'Sales Orders'!A756),"")</f>
        <v/>
      </c>
      <c r="M756" s="92" t="str">
        <f t="shared" ca="1" si="48"/>
        <v/>
      </c>
      <c r="O756" s="3"/>
      <c r="Q756" s="92" t="str">
        <f t="shared" si="47"/>
        <v/>
      </c>
      <c r="R756" s="98">
        <f>SUMIFS('Booking Management'!J:J,'Booking Management'!B:B,'Sales Orders'!A756)</f>
        <v>0</v>
      </c>
      <c r="S756" s="99" t="str">
        <f t="shared" si="46"/>
        <v/>
      </c>
      <c r="Y756" s="98" t="str">
        <f t="shared" si="49"/>
        <v/>
      </c>
    </row>
    <row r="757" spans="1:25">
      <c r="A757" s="23"/>
      <c r="F757" s="37"/>
      <c r="H757" s="3"/>
      <c r="J757" s="109" t="str">
        <f>IF(C757&lt;&gt;"",SUMIFS('Booking Management'!Y:Y,'Booking Management'!B:B,'Sales Orders'!A757),"")</f>
        <v/>
      </c>
      <c r="M757" s="92" t="str">
        <f t="shared" ca="1" si="48"/>
        <v/>
      </c>
      <c r="O757" s="3"/>
      <c r="Q757" s="92" t="str">
        <f t="shared" si="47"/>
        <v/>
      </c>
      <c r="R757" s="98">
        <f>SUMIFS('Booking Management'!J:J,'Booking Management'!B:B,'Sales Orders'!A757)</f>
        <v>0</v>
      </c>
      <c r="S757" s="99" t="str">
        <f t="shared" si="46"/>
        <v/>
      </c>
      <c r="Y757" s="98" t="str">
        <f t="shared" si="49"/>
        <v/>
      </c>
    </row>
    <row r="758" spans="1:25">
      <c r="A758" s="23"/>
      <c r="F758" s="37"/>
      <c r="H758" s="3"/>
      <c r="J758" s="109" t="str">
        <f>IF(C758&lt;&gt;"",SUMIFS('Booking Management'!Y:Y,'Booking Management'!B:B,'Sales Orders'!A758),"")</f>
        <v/>
      </c>
      <c r="M758" s="92" t="str">
        <f t="shared" ca="1" si="48"/>
        <v/>
      </c>
      <c r="O758" s="3"/>
      <c r="Q758" s="92" t="str">
        <f t="shared" si="47"/>
        <v/>
      </c>
      <c r="R758" s="98">
        <f>SUMIFS('Booking Management'!J:J,'Booking Management'!B:B,'Sales Orders'!A758)</f>
        <v>0</v>
      </c>
      <c r="S758" s="99" t="str">
        <f t="shared" si="46"/>
        <v/>
      </c>
      <c r="Y758" s="98" t="str">
        <f t="shared" si="49"/>
        <v/>
      </c>
    </row>
    <row r="759" spans="1:25">
      <c r="A759" s="23"/>
      <c r="F759" s="37"/>
      <c r="H759" s="3"/>
      <c r="J759" s="109" t="str">
        <f>IF(C759&lt;&gt;"",SUMIFS('Booking Management'!Y:Y,'Booking Management'!B:B,'Sales Orders'!A759),"")</f>
        <v/>
      </c>
      <c r="M759" s="92" t="str">
        <f t="shared" ca="1" si="48"/>
        <v/>
      </c>
      <c r="O759" s="3"/>
      <c r="Q759" s="92" t="str">
        <f t="shared" si="47"/>
        <v/>
      </c>
      <c r="R759" s="98">
        <f>SUMIFS('Booking Management'!J:J,'Booking Management'!B:B,'Sales Orders'!A759)</f>
        <v>0</v>
      </c>
      <c r="S759" s="99" t="str">
        <f t="shared" si="46"/>
        <v/>
      </c>
      <c r="Y759" s="98" t="str">
        <f t="shared" si="49"/>
        <v/>
      </c>
    </row>
    <row r="760" spans="1:25">
      <c r="A760" s="23"/>
      <c r="F760" s="37"/>
      <c r="H760" s="3"/>
      <c r="J760" s="109" t="str">
        <f>IF(C760&lt;&gt;"",SUMIFS('Booking Management'!Y:Y,'Booking Management'!B:B,'Sales Orders'!A760),"")</f>
        <v/>
      </c>
      <c r="M760" s="92" t="str">
        <f t="shared" ca="1" si="48"/>
        <v/>
      </c>
      <c r="O760" s="3"/>
      <c r="Q760" s="92" t="str">
        <f t="shared" si="47"/>
        <v/>
      </c>
      <c r="R760" s="98">
        <f>SUMIFS('Booking Management'!J:J,'Booking Management'!B:B,'Sales Orders'!A760)</f>
        <v>0</v>
      </c>
      <c r="S760" s="99" t="str">
        <f t="shared" si="46"/>
        <v/>
      </c>
      <c r="Y760" s="98" t="str">
        <f t="shared" si="49"/>
        <v/>
      </c>
    </row>
    <row r="761" spans="1:25">
      <c r="A761" s="23"/>
      <c r="F761" s="37"/>
      <c r="H761" s="3"/>
      <c r="J761" s="109" t="str">
        <f>IF(C761&lt;&gt;"",SUMIFS('Booking Management'!Y:Y,'Booking Management'!B:B,'Sales Orders'!A761),"")</f>
        <v/>
      </c>
      <c r="M761" s="92" t="str">
        <f t="shared" ca="1" si="48"/>
        <v/>
      </c>
      <c r="O761" s="3"/>
      <c r="Q761" s="92" t="str">
        <f t="shared" si="47"/>
        <v/>
      </c>
      <c r="R761" s="98">
        <f>SUMIFS('Booking Management'!J:J,'Booking Management'!B:B,'Sales Orders'!A761)</f>
        <v>0</v>
      </c>
      <c r="S761" s="99" t="str">
        <f t="shared" si="46"/>
        <v/>
      </c>
      <c r="Y761" s="98" t="str">
        <f t="shared" si="49"/>
        <v/>
      </c>
    </row>
    <row r="762" spans="1:25">
      <c r="A762" s="23"/>
      <c r="F762" s="37"/>
      <c r="H762" s="3"/>
      <c r="J762" s="109" t="str">
        <f>IF(C762&lt;&gt;"",SUMIFS('Booking Management'!Y:Y,'Booking Management'!B:B,'Sales Orders'!A762),"")</f>
        <v/>
      </c>
      <c r="M762" s="92" t="str">
        <f t="shared" ca="1" si="48"/>
        <v/>
      </c>
      <c r="O762" s="3"/>
      <c r="Q762" s="92" t="str">
        <f t="shared" si="47"/>
        <v/>
      </c>
      <c r="R762" s="98">
        <f>SUMIFS('Booking Management'!J:J,'Booking Management'!B:B,'Sales Orders'!A762)</f>
        <v>0</v>
      </c>
      <c r="S762" s="99" t="str">
        <f t="shared" si="46"/>
        <v/>
      </c>
      <c r="Y762" s="98" t="str">
        <f t="shared" si="49"/>
        <v/>
      </c>
    </row>
    <row r="763" spans="1:25">
      <c r="A763" s="23"/>
      <c r="F763" s="37"/>
      <c r="H763" s="3"/>
      <c r="J763" s="109" t="str">
        <f>IF(C763&lt;&gt;"",SUMIFS('Booking Management'!Y:Y,'Booking Management'!B:B,'Sales Orders'!A763),"")</f>
        <v/>
      </c>
      <c r="M763" s="92" t="str">
        <f t="shared" ca="1" si="48"/>
        <v/>
      </c>
      <c r="O763" s="3"/>
      <c r="Q763" s="92" t="str">
        <f t="shared" si="47"/>
        <v/>
      </c>
      <c r="R763" s="98">
        <f>SUMIFS('Booking Management'!J:J,'Booking Management'!B:B,'Sales Orders'!A763)</f>
        <v>0</v>
      </c>
      <c r="S763" s="99" t="str">
        <f t="shared" si="46"/>
        <v/>
      </c>
      <c r="Y763" s="98" t="str">
        <f t="shared" si="49"/>
        <v/>
      </c>
    </row>
    <row r="764" spans="1:25">
      <c r="A764" s="23"/>
      <c r="F764" s="37"/>
      <c r="H764" s="3"/>
      <c r="J764" s="109" t="str">
        <f>IF(C764&lt;&gt;"",SUMIFS('Booking Management'!Y:Y,'Booking Management'!B:B,'Sales Orders'!A764),"")</f>
        <v/>
      </c>
      <c r="M764" s="92" t="str">
        <f t="shared" ca="1" si="48"/>
        <v/>
      </c>
      <c r="O764" s="3"/>
      <c r="Q764" s="92" t="str">
        <f t="shared" si="47"/>
        <v/>
      </c>
      <c r="R764" s="98">
        <f>SUMIFS('Booking Management'!J:J,'Booking Management'!B:B,'Sales Orders'!A764)</f>
        <v>0</v>
      </c>
      <c r="S764" s="99" t="str">
        <f t="shared" si="46"/>
        <v/>
      </c>
      <c r="Y764" s="98" t="str">
        <f t="shared" si="49"/>
        <v/>
      </c>
    </row>
    <row r="765" spans="1:25">
      <c r="A765" s="23"/>
      <c r="F765" s="37"/>
      <c r="H765" s="3"/>
      <c r="J765" s="109" t="str">
        <f>IF(C765&lt;&gt;"",SUMIFS('Booking Management'!Y:Y,'Booking Management'!B:B,'Sales Orders'!A765),"")</f>
        <v/>
      </c>
      <c r="M765" s="92" t="str">
        <f t="shared" ca="1" si="48"/>
        <v/>
      </c>
      <c r="O765" s="3"/>
      <c r="Q765" s="92" t="str">
        <f t="shared" si="47"/>
        <v/>
      </c>
      <c r="R765" s="98">
        <f>SUMIFS('Booking Management'!J:J,'Booking Management'!B:B,'Sales Orders'!A765)</f>
        <v>0</v>
      </c>
      <c r="S765" s="99" t="str">
        <f t="shared" si="46"/>
        <v/>
      </c>
      <c r="Y765" s="98" t="str">
        <f t="shared" si="49"/>
        <v/>
      </c>
    </row>
    <row r="766" spans="1:25">
      <c r="A766" s="23"/>
      <c r="F766" s="37"/>
      <c r="H766" s="3"/>
      <c r="J766" s="109" t="str">
        <f>IF(C766&lt;&gt;"",SUMIFS('Booking Management'!Y:Y,'Booking Management'!B:B,'Sales Orders'!A766),"")</f>
        <v/>
      </c>
      <c r="M766" s="92" t="str">
        <f t="shared" ca="1" si="48"/>
        <v/>
      </c>
      <c r="O766" s="3"/>
      <c r="Q766" s="92" t="str">
        <f t="shared" si="47"/>
        <v/>
      </c>
      <c r="R766" s="98">
        <f>SUMIFS('Booking Management'!J:J,'Booking Management'!B:B,'Sales Orders'!A766)</f>
        <v>0</v>
      </c>
      <c r="S766" s="99" t="str">
        <f t="shared" si="46"/>
        <v/>
      </c>
      <c r="Y766" s="98" t="str">
        <f t="shared" si="49"/>
        <v/>
      </c>
    </row>
    <row r="767" spans="1:25">
      <c r="A767" s="23"/>
      <c r="F767" s="37"/>
      <c r="H767" s="3"/>
      <c r="J767" s="109" t="str">
        <f>IF(C767&lt;&gt;"",SUMIFS('Booking Management'!Y:Y,'Booking Management'!B:B,'Sales Orders'!A767),"")</f>
        <v/>
      </c>
      <c r="M767" s="92" t="str">
        <f t="shared" ca="1" si="48"/>
        <v/>
      </c>
      <c r="O767" s="3"/>
      <c r="Q767" s="92" t="str">
        <f t="shared" si="47"/>
        <v/>
      </c>
      <c r="R767" s="98">
        <f>SUMIFS('Booking Management'!J:J,'Booking Management'!B:B,'Sales Orders'!A767)</f>
        <v>0</v>
      </c>
      <c r="S767" s="99" t="str">
        <f t="shared" si="46"/>
        <v/>
      </c>
      <c r="Y767" s="98" t="str">
        <f t="shared" si="49"/>
        <v/>
      </c>
    </row>
    <row r="768" spans="1:25">
      <c r="A768" s="23"/>
      <c r="F768" s="37"/>
      <c r="H768" s="3"/>
      <c r="J768" s="109" t="str">
        <f>IF(C768&lt;&gt;"",SUMIFS('Booking Management'!Y:Y,'Booking Management'!B:B,'Sales Orders'!A768),"")</f>
        <v/>
      </c>
      <c r="M768" s="92" t="str">
        <f t="shared" ca="1" si="48"/>
        <v/>
      </c>
      <c r="O768" s="3"/>
      <c r="Q768" s="92" t="str">
        <f t="shared" si="47"/>
        <v/>
      </c>
      <c r="R768" s="98">
        <f>SUMIFS('Booking Management'!J:J,'Booking Management'!B:B,'Sales Orders'!A768)</f>
        <v>0</v>
      </c>
      <c r="S768" s="99" t="str">
        <f t="shared" si="46"/>
        <v/>
      </c>
      <c r="Y768" s="98" t="str">
        <f t="shared" si="49"/>
        <v/>
      </c>
    </row>
    <row r="769" spans="1:25">
      <c r="A769" s="23"/>
      <c r="F769" s="37"/>
      <c r="H769" s="3"/>
      <c r="J769" s="109" t="str">
        <f>IF(C769&lt;&gt;"",SUMIFS('Booking Management'!Y:Y,'Booking Management'!B:B,'Sales Orders'!A769),"")</f>
        <v/>
      </c>
      <c r="M769" s="92" t="str">
        <f t="shared" ca="1" si="48"/>
        <v/>
      </c>
      <c r="O769" s="3"/>
      <c r="Q769" s="92" t="str">
        <f t="shared" si="47"/>
        <v/>
      </c>
      <c r="R769" s="98">
        <f>SUMIFS('Booking Management'!J:J,'Booking Management'!B:B,'Sales Orders'!A769)</f>
        <v>0</v>
      </c>
      <c r="S769" s="99" t="str">
        <f t="shared" si="46"/>
        <v/>
      </c>
      <c r="Y769" s="98" t="str">
        <f t="shared" si="49"/>
        <v/>
      </c>
    </row>
    <row r="770" spans="1:25">
      <c r="A770" s="23"/>
      <c r="F770" s="37"/>
      <c r="H770" s="3"/>
      <c r="J770" s="109" t="str">
        <f>IF(C770&lt;&gt;"",SUMIFS('Booking Management'!Y:Y,'Booking Management'!B:B,'Sales Orders'!A770),"")</f>
        <v/>
      </c>
      <c r="M770" s="92" t="str">
        <f t="shared" ca="1" si="48"/>
        <v/>
      </c>
      <c r="O770" s="3"/>
      <c r="Q770" s="92" t="str">
        <f t="shared" si="47"/>
        <v/>
      </c>
      <c r="R770" s="98">
        <f>SUMIFS('Booking Management'!J:J,'Booking Management'!B:B,'Sales Orders'!A770)</f>
        <v>0</v>
      </c>
      <c r="S770" s="99" t="str">
        <f t="shared" si="46"/>
        <v/>
      </c>
      <c r="Y770" s="98" t="str">
        <f t="shared" si="49"/>
        <v/>
      </c>
    </row>
    <row r="771" spans="1:25">
      <c r="A771" s="23"/>
      <c r="F771" s="37"/>
      <c r="H771" s="3"/>
      <c r="J771" s="109" t="str">
        <f>IF(C771&lt;&gt;"",SUMIFS('Booking Management'!Y:Y,'Booking Management'!B:B,'Sales Orders'!A771),"")</f>
        <v/>
      </c>
      <c r="M771" s="92" t="str">
        <f t="shared" ca="1" si="48"/>
        <v/>
      </c>
      <c r="O771" s="3"/>
      <c r="Q771" s="92" t="str">
        <f t="shared" si="47"/>
        <v/>
      </c>
      <c r="R771" s="98">
        <f>SUMIFS('Booking Management'!J:J,'Booking Management'!B:B,'Sales Orders'!A771)</f>
        <v>0</v>
      </c>
      <c r="S771" s="99" t="str">
        <f t="shared" si="46"/>
        <v/>
      </c>
      <c r="Y771" s="98" t="str">
        <f t="shared" si="49"/>
        <v/>
      </c>
    </row>
    <row r="772" spans="1:25">
      <c r="A772" s="23"/>
      <c r="F772" s="37"/>
      <c r="H772" s="3"/>
      <c r="J772" s="109" t="str">
        <f>IF(C772&lt;&gt;"",SUMIFS('Booking Management'!Y:Y,'Booking Management'!B:B,'Sales Orders'!A772),"")</f>
        <v/>
      </c>
      <c r="M772" s="92" t="str">
        <f t="shared" ca="1" si="48"/>
        <v/>
      </c>
      <c r="O772" s="3"/>
      <c r="Q772" s="92" t="str">
        <f t="shared" si="47"/>
        <v/>
      </c>
      <c r="R772" s="98">
        <f>SUMIFS('Booking Management'!J:J,'Booking Management'!B:B,'Sales Orders'!A772)</f>
        <v>0</v>
      </c>
      <c r="S772" s="99" t="str">
        <f t="shared" ref="S772:S835" si="50">IF(R772&gt;0,(R772/D772)*N772,"")</f>
        <v/>
      </c>
      <c r="Y772" s="98" t="str">
        <f t="shared" si="49"/>
        <v/>
      </c>
    </row>
    <row r="773" spans="1:25">
      <c r="A773" s="23"/>
      <c r="F773" s="37"/>
      <c r="H773" s="3"/>
      <c r="J773" s="109" t="str">
        <f>IF(C773&lt;&gt;"",SUMIFS('Booking Management'!Y:Y,'Booking Management'!B:B,'Sales Orders'!A773),"")</f>
        <v/>
      </c>
      <c r="M773" s="92" t="str">
        <f t="shared" ca="1" si="48"/>
        <v/>
      </c>
      <c r="O773" s="3"/>
      <c r="Q773" s="92" t="str">
        <f t="shared" si="47"/>
        <v/>
      </c>
      <c r="R773" s="98">
        <f>SUMIFS('Booking Management'!J:J,'Booking Management'!B:B,'Sales Orders'!A773)</f>
        <v>0</v>
      </c>
      <c r="S773" s="99" t="str">
        <f t="shared" si="50"/>
        <v/>
      </c>
      <c r="Y773" s="98" t="str">
        <f t="shared" si="49"/>
        <v/>
      </c>
    </row>
    <row r="774" spans="1:25">
      <c r="A774" s="23"/>
      <c r="F774" s="37"/>
      <c r="H774" s="3"/>
      <c r="J774" s="109" t="str">
        <f>IF(C774&lt;&gt;"",SUMIFS('Booking Management'!Y:Y,'Booking Management'!B:B,'Sales Orders'!A774),"")</f>
        <v/>
      </c>
      <c r="M774" s="92" t="str">
        <f t="shared" ca="1" si="48"/>
        <v/>
      </c>
      <c r="O774" s="3"/>
      <c r="Q774" s="92" t="str">
        <f t="shared" ref="Q774:Q837" si="51">IF(C774&lt;&gt;"",IF(OR(K774="",P774=""),"alert",""),"")</f>
        <v/>
      </c>
      <c r="R774" s="98">
        <f>SUMIFS('Booking Management'!J:J,'Booking Management'!B:B,'Sales Orders'!A774)</f>
        <v>0</v>
      </c>
      <c r="S774" s="99" t="str">
        <f t="shared" si="50"/>
        <v/>
      </c>
      <c r="Y774" s="98" t="str">
        <f t="shared" si="49"/>
        <v/>
      </c>
    </row>
    <row r="775" spans="1:25">
      <c r="A775" s="23"/>
      <c r="F775" s="37"/>
      <c r="H775" s="3"/>
      <c r="J775" s="109" t="str">
        <f>IF(C775&lt;&gt;"",SUMIFS('Booking Management'!Y:Y,'Booking Management'!B:B,'Sales Orders'!A775),"")</f>
        <v/>
      </c>
      <c r="M775" s="92" t="str">
        <f t="shared" ref="M775:M838" ca="1" si="52">IFERROR(IF(K775&lt;&gt;"",IF(AND(_xlfn.NUMBERVALUE(J775)/_xlfn.NUMBERVALUE(D775) &lt;1,K775-TODAY()&lt;2,L775&lt;&gt;"yes"),"alert",""),""),"")</f>
        <v/>
      </c>
      <c r="O775" s="3"/>
      <c r="Q775" s="92" t="str">
        <f t="shared" si="51"/>
        <v/>
      </c>
      <c r="R775" s="98">
        <f>SUMIFS('Booking Management'!J:J,'Booking Management'!B:B,'Sales Orders'!A775)</f>
        <v>0</v>
      </c>
      <c r="S775" s="99" t="str">
        <f t="shared" si="50"/>
        <v/>
      </c>
      <c r="Y775" s="98" t="str">
        <f t="shared" si="49"/>
        <v/>
      </c>
    </row>
    <row r="776" spans="1:25">
      <c r="A776" s="23"/>
      <c r="F776" s="37"/>
      <c r="H776" s="3"/>
      <c r="J776" s="109" t="str">
        <f>IF(C776&lt;&gt;"",SUMIFS('Booking Management'!Y:Y,'Booking Management'!B:B,'Sales Orders'!A776),"")</f>
        <v/>
      </c>
      <c r="M776" s="92" t="str">
        <f t="shared" ca="1" si="52"/>
        <v/>
      </c>
      <c r="O776" s="3"/>
      <c r="Q776" s="92" t="str">
        <f t="shared" si="51"/>
        <v/>
      </c>
      <c r="R776" s="98">
        <f>SUMIFS('Booking Management'!J:J,'Booking Management'!B:B,'Sales Orders'!A776)</f>
        <v>0</v>
      </c>
      <c r="S776" s="99" t="str">
        <f t="shared" si="50"/>
        <v/>
      </c>
      <c r="Y776" s="98" t="str">
        <f t="shared" si="49"/>
        <v/>
      </c>
    </row>
    <row r="777" spans="1:25">
      <c r="A777" s="23"/>
      <c r="F777" s="37"/>
      <c r="H777" s="3"/>
      <c r="J777" s="109" t="str">
        <f>IF(C777&lt;&gt;"",SUMIFS('Booking Management'!Y:Y,'Booking Management'!B:B,'Sales Orders'!A777),"")</f>
        <v/>
      </c>
      <c r="M777" s="92" t="str">
        <f t="shared" ca="1" si="52"/>
        <v/>
      </c>
      <c r="O777" s="3"/>
      <c r="Q777" s="92" t="str">
        <f t="shared" si="51"/>
        <v/>
      </c>
      <c r="R777" s="98">
        <f>SUMIFS('Booking Management'!J:J,'Booking Management'!B:B,'Sales Orders'!A777)</f>
        <v>0</v>
      </c>
      <c r="S777" s="99" t="str">
        <f t="shared" si="50"/>
        <v/>
      </c>
      <c r="Y777" s="98" t="str">
        <f t="shared" si="49"/>
        <v/>
      </c>
    </row>
    <row r="778" spans="1:25">
      <c r="A778" s="23"/>
      <c r="F778" s="37"/>
      <c r="H778" s="3"/>
      <c r="J778" s="109" t="str">
        <f>IF(C778&lt;&gt;"",SUMIFS('Booking Management'!Y:Y,'Booking Management'!B:B,'Sales Orders'!A778),"")</f>
        <v/>
      </c>
      <c r="M778" s="92" t="str">
        <f t="shared" ca="1" si="52"/>
        <v/>
      </c>
      <c r="O778" s="3"/>
      <c r="Q778" s="92" t="str">
        <f t="shared" si="51"/>
        <v/>
      </c>
      <c r="R778" s="98">
        <f>SUMIFS('Booking Management'!J:J,'Booking Management'!B:B,'Sales Orders'!A778)</f>
        <v>0</v>
      </c>
      <c r="S778" s="99" t="str">
        <f t="shared" si="50"/>
        <v/>
      </c>
      <c r="Y778" s="98" t="str">
        <f t="shared" si="49"/>
        <v/>
      </c>
    </row>
    <row r="779" spans="1:25">
      <c r="A779" s="23"/>
      <c r="F779" s="37"/>
      <c r="H779" s="3"/>
      <c r="J779" s="109" t="str">
        <f>IF(C779&lt;&gt;"",SUMIFS('Booking Management'!Y:Y,'Booking Management'!B:B,'Sales Orders'!A779),"")</f>
        <v/>
      </c>
      <c r="M779" s="92" t="str">
        <f t="shared" ca="1" si="52"/>
        <v/>
      </c>
      <c r="O779" s="3"/>
      <c r="Q779" s="92" t="str">
        <f t="shared" si="51"/>
        <v/>
      </c>
      <c r="R779" s="98">
        <f>SUMIFS('Booking Management'!J:J,'Booking Management'!B:B,'Sales Orders'!A779)</f>
        <v>0</v>
      </c>
      <c r="S779" s="99" t="str">
        <f t="shared" si="50"/>
        <v/>
      </c>
      <c r="Y779" s="98" t="str">
        <f t="shared" si="49"/>
        <v/>
      </c>
    </row>
    <row r="780" spans="1:25">
      <c r="A780" s="23"/>
      <c r="F780" s="37"/>
      <c r="H780" s="3"/>
      <c r="J780" s="109" t="str">
        <f>IF(C780&lt;&gt;"",SUMIFS('Booking Management'!Y:Y,'Booking Management'!B:B,'Sales Orders'!A780),"")</f>
        <v/>
      </c>
      <c r="M780" s="92" t="str">
        <f t="shared" ca="1" si="52"/>
        <v/>
      </c>
      <c r="O780" s="3"/>
      <c r="Q780" s="92" t="str">
        <f t="shared" si="51"/>
        <v/>
      </c>
      <c r="R780" s="98">
        <f>SUMIFS('Booking Management'!J:J,'Booking Management'!B:B,'Sales Orders'!A780)</f>
        <v>0</v>
      </c>
      <c r="S780" s="99" t="str">
        <f t="shared" si="50"/>
        <v/>
      </c>
      <c r="Y780" s="98" t="str">
        <f t="shared" si="49"/>
        <v/>
      </c>
    </row>
    <row r="781" spans="1:25">
      <c r="A781" s="23"/>
      <c r="F781" s="37"/>
      <c r="H781" s="3"/>
      <c r="J781" s="109" t="str">
        <f>IF(C781&lt;&gt;"",SUMIFS('Booking Management'!Y:Y,'Booking Management'!B:B,'Sales Orders'!A781),"")</f>
        <v/>
      </c>
      <c r="M781" s="92" t="str">
        <f t="shared" ca="1" si="52"/>
        <v/>
      </c>
      <c r="O781" s="3"/>
      <c r="Q781" s="92" t="str">
        <f t="shared" si="51"/>
        <v/>
      </c>
      <c r="R781" s="98">
        <f>SUMIFS('Booking Management'!J:J,'Booking Management'!B:B,'Sales Orders'!A781)</f>
        <v>0</v>
      </c>
      <c r="S781" s="99" t="str">
        <f t="shared" si="50"/>
        <v/>
      </c>
      <c r="Y781" s="98" t="str">
        <f t="shared" si="49"/>
        <v/>
      </c>
    </row>
    <row r="782" spans="1:25">
      <c r="A782" s="23"/>
      <c r="F782" s="37"/>
      <c r="H782" s="3"/>
      <c r="J782" s="109" t="str">
        <f>IF(C782&lt;&gt;"",SUMIFS('Booking Management'!Y:Y,'Booking Management'!B:B,'Sales Orders'!A782),"")</f>
        <v/>
      </c>
      <c r="M782" s="92" t="str">
        <f t="shared" ca="1" si="52"/>
        <v/>
      </c>
      <c r="O782" s="3"/>
      <c r="Q782" s="92" t="str">
        <f t="shared" si="51"/>
        <v/>
      </c>
      <c r="R782" s="98">
        <f>SUMIFS('Booking Management'!J:J,'Booking Management'!B:B,'Sales Orders'!A782)</f>
        <v>0</v>
      </c>
      <c r="S782" s="99" t="str">
        <f t="shared" si="50"/>
        <v/>
      </c>
      <c r="Y782" s="98" t="str">
        <f t="shared" si="49"/>
        <v/>
      </c>
    </row>
    <row r="783" spans="1:25">
      <c r="A783" s="23"/>
      <c r="F783" s="37"/>
      <c r="H783" s="3"/>
      <c r="J783" s="109" t="str">
        <f>IF(C783&lt;&gt;"",SUMIFS('Booking Management'!Y:Y,'Booking Management'!B:B,'Sales Orders'!A783),"")</f>
        <v/>
      </c>
      <c r="M783" s="92" t="str">
        <f t="shared" ca="1" si="52"/>
        <v/>
      </c>
      <c r="O783" s="3"/>
      <c r="Q783" s="92" t="str">
        <f t="shared" si="51"/>
        <v/>
      </c>
      <c r="R783" s="98">
        <f>SUMIFS('Booking Management'!J:J,'Booking Management'!B:B,'Sales Orders'!A783)</f>
        <v>0</v>
      </c>
      <c r="S783" s="99" t="str">
        <f t="shared" si="50"/>
        <v/>
      </c>
      <c r="Y783" s="98" t="str">
        <f t="shared" si="49"/>
        <v/>
      </c>
    </row>
    <row r="784" spans="1:25">
      <c r="A784" s="23"/>
      <c r="F784" s="37"/>
      <c r="H784" s="3"/>
      <c r="J784" s="109" t="str">
        <f>IF(C784&lt;&gt;"",SUMIFS('Booking Management'!Y:Y,'Booking Management'!B:B,'Sales Orders'!A784),"")</f>
        <v/>
      </c>
      <c r="M784" s="92" t="str">
        <f t="shared" ca="1" si="52"/>
        <v/>
      </c>
      <c r="O784" s="3"/>
      <c r="Q784" s="92" t="str">
        <f t="shared" si="51"/>
        <v/>
      </c>
      <c r="R784" s="98">
        <f>SUMIFS('Booking Management'!J:J,'Booking Management'!B:B,'Sales Orders'!A784)</f>
        <v>0</v>
      </c>
      <c r="S784" s="99" t="str">
        <f t="shared" si="50"/>
        <v/>
      </c>
      <c r="Y784" s="98" t="str">
        <f t="shared" si="49"/>
        <v/>
      </c>
    </row>
    <row r="785" spans="1:25">
      <c r="A785" s="23"/>
      <c r="F785" s="37"/>
      <c r="H785" s="3"/>
      <c r="J785" s="109" t="str">
        <f>IF(C785&lt;&gt;"",SUMIFS('Booking Management'!Y:Y,'Booking Management'!B:B,'Sales Orders'!A785),"")</f>
        <v/>
      </c>
      <c r="M785" s="92" t="str">
        <f t="shared" ca="1" si="52"/>
        <v/>
      </c>
      <c r="O785" s="3"/>
      <c r="Q785" s="92" t="str">
        <f t="shared" si="51"/>
        <v/>
      </c>
      <c r="R785" s="98">
        <f>SUMIFS('Booking Management'!J:J,'Booking Management'!B:B,'Sales Orders'!A785)</f>
        <v>0</v>
      </c>
      <c r="S785" s="99" t="str">
        <f t="shared" si="50"/>
        <v/>
      </c>
      <c r="Y785" s="98" t="str">
        <f t="shared" si="49"/>
        <v/>
      </c>
    </row>
    <row r="786" spans="1:25">
      <c r="A786" s="23"/>
      <c r="F786" s="37"/>
      <c r="H786" s="3"/>
      <c r="J786" s="109" t="str">
        <f>IF(C786&lt;&gt;"",SUMIFS('Booking Management'!Y:Y,'Booking Management'!B:B,'Sales Orders'!A786),"")</f>
        <v/>
      </c>
      <c r="M786" s="92" t="str">
        <f t="shared" ca="1" si="52"/>
        <v/>
      </c>
      <c r="O786" s="3"/>
      <c r="Q786" s="92" t="str">
        <f t="shared" si="51"/>
        <v/>
      </c>
      <c r="R786" s="98">
        <f>SUMIFS('Booking Management'!J:J,'Booking Management'!B:B,'Sales Orders'!A786)</f>
        <v>0</v>
      </c>
      <c r="S786" s="99" t="str">
        <f t="shared" si="50"/>
        <v/>
      </c>
      <c r="Y786" s="98" t="str">
        <f t="shared" si="49"/>
        <v/>
      </c>
    </row>
    <row r="787" spans="1:25">
      <c r="A787" s="23"/>
      <c r="F787" s="37"/>
      <c r="H787" s="3"/>
      <c r="J787" s="109" t="str">
        <f>IF(C787&lt;&gt;"",SUMIFS('Booking Management'!Y:Y,'Booking Management'!B:B,'Sales Orders'!A787),"")</f>
        <v/>
      </c>
      <c r="M787" s="92" t="str">
        <f t="shared" ca="1" si="52"/>
        <v/>
      </c>
      <c r="O787" s="3"/>
      <c r="Q787" s="92" t="str">
        <f t="shared" si="51"/>
        <v/>
      </c>
      <c r="R787" s="98">
        <f>SUMIFS('Booking Management'!J:J,'Booking Management'!B:B,'Sales Orders'!A787)</f>
        <v>0</v>
      </c>
      <c r="S787" s="99" t="str">
        <f t="shared" si="50"/>
        <v/>
      </c>
      <c r="Y787" s="98" t="str">
        <f t="shared" si="49"/>
        <v/>
      </c>
    </row>
    <row r="788" spans="1:25">
      <c r="A788" s="23"/>
      <c r="F788" s="37"/>
      <c r="H788" s="3"/>
      <c r="J788" s="109" t="str">
        <f>IF(C788&lt;&gt;"",SUMIFS('Booking Management'!Y:Y,'Booking Management'!B:B,'Sales Orders'!A788),"")</f>
        <v/>
      </c>
      <c r="M788" s="92" t="str">
        <f t="shared" ca="1" si="52"/>
        <v/>
      </c>
      <c r="O788" s="3"/>
      <c r="Q788" s="92" t="str">
        <f t="shared" si="51"/>
        <v/>
      </c>
      <c r="R788" s="98">
        <f>SUMIFS('Booking Management'!J:J,'Booking Management'!B:B,'Sales Orders'!A788)</f>
        <v>0</v>
      </c>
      <c r="S788" s="99" t="str">
        <f t="shared" si="50"/>
        <v/>
      </c>
      <c r="Y788" s="98" t="str">
        <f t="shared" si="49"/>
        <v/>
      </c>
    </row>
    <row r="789" spans="1:25">
      <c r="A789" s="23"/>
      <c r="F789" s="37"/>
      <c r="H789" s="3"/>
      <c r="J789" s="109" t="str">
        <f>IF(C789&lt;&gt;"",SUMIFS('Booking Management'!Y:Y,'Booking Management'!B:B,'Sales Orders'!A789),"")</f>
        <v/>
      </c>
      <c r="M789" s="92" t="str">
        <f t="shared" ca="1" si="52"/>
        <v/>
      </c>
      <c r="O789" s="3"/>
      <c r="Q789" s="92" t="str">
        <f t="shared" si="51"/>
        <v/>
      </c>
      <c r="R789" s="98">
        <f>SUMIFS('Booking Management'!J:J,'Booking Management'!B:B,'Sales Orders'!A789)</f>
        <v>0</v>
      </c>
      <c r="S789" s="99" t="str">
        <f t="shared" si="50"/>
        <v/>
      </c>
      <c r="Y789" s="98" t="str">
        <f t="shared" si="49"/>
        <v/>
      </c>
    </row>
    <row r="790" spans="1:25">
      <c r="A790" s="23"/>
      <c r="F790" s="37"/>
      <c r="H790" s="3"/>
      <c r="J790" s="109" t="str">
        <f>IF(C790&lt;&gt;"",SUMIFS('Booking Management'!Y:Y,'Booking Management'!B:B,'Sales Orders'!A790),"")</f>
        <v/>
      </c>
      <c r="M790" s="92" t="str">
        <f t="shared" ca="1" si="52"/>
        <v/>
      </c>
      <c r="O790" s="3"/>
      <c r="Q790" s="92" t="str">
        <f t="shared" si="51"/>
        <v/>
      </c>
      <c r="R790" s="98">
        <f>SUMIFS('Booking Management'!J:J,'Booking Management'!B:B,'Sales Orders'!A790)</f>
        <v>0</v>
      </c>
      <c r="S790" s="99" t="str">
        <f t="shared" si="50"/>
        <v/>
      </c>
      <c r="Y790" s="98" t="str">
        <f t="shared" si="49"/>
        <v/>
      </c>
    </row>
    <row r="791" spans="1:25">
      <c r="A791" s="23"/>
      <c r="F791" s="37"/>
      <c r="H791" s="3"/>
      <c r="J791" s="109" t="str">
        <f>IF(C791&lt;&gt;"",SUMIFS('Booking Management'!Y:Y,'Booking Management'!B:B,'Sales Orders'!A791),"")</f>
        <v/>
      </c>
      <c r="M791" s="92" t="str">
        <f t="shared" ca="1" si="52"/>
        <v/>
      </c>
      <c r="O791" s="3"/>
      <c r="Q791" s="92" t="str">
        <f t="shared" si="51"/>
        <v/>
      </c>
      <c r="R791" s="98">
        <f>SUMIFS('Booking Management'!J:J,'Booking Management'!B:B,'Sales Orders'!A791)</f>
        <v>0</v>
      </c>
      <c r="S791" s="99" t="str">
        <f t="shared" si="50"/>
        <v/>
      </c>
      <c r="Y791" s="98" t="str">
        <f t="shared" si="49"/>
        <v/>
      </c>
    </row>
    <row r="792" spans="1:25">
      <c r="A792" s="23"/>
      <c r="F792" s="37"/>
      <c r="H792" s="3"/>
      <c r="J792" s="109" t="str">
        <f>IF(C792&lt;&gt;"",SUMIFS('Booking Management'!Y:Y,'Booking Management'!B:B,'Sales Orders'!A792),"")</f>
        <v/>
      </c>
      <c r="M792" s="92" t="str">
        <f t="shared" ca="1" si="52"/>
        <v/>
      </c>
      <c r="O792" s="3"/>
      <c r="Q792" s="92" t="str">
        <f t="shared" si="51"/>
        <v/>
      </c>
      <c r="R792" s="98">
        <f>SUMIFS('Booking Management'!J:J,'Booking Management'!B:B,'Sales Orders'!A792)</f>
        <v>0</v>
      </c>
      <c r="S792" s="99" t="str">
        <f t="shared" si="50"/>
        <v/>
      </c>
      <c r="Y792" s="98" t="str">
        <f t="shared" si="49"/>
        <v/>
      </c>
    </row>
    <row r="793" spans="1:25">
      <c r="A793" s="23"/>
      <c r="F793" s="37"/>
      <c r="H793" s="3"/>
      <c r="J793" s="109" t="str">
        <f>IF(C793&lt;&gt;"",SUMIFS('Booking Management'!Y:Y,'Booking Management'!B:B,'Sales Orders'!A793),"")</f>
        <v/>
      </c>
      <c r="M793" s="92" t="str">
        <f t="shared" ca="1" si="52"/>
        <v/>
      </c>
      <c r="O793" s="3"/>
      <c r="Q793" s="92" t="str">
        <f t="shared" si="51"/>
        <v/>
      </c>
      <c r="R793" s="98">
        <f>SUMIFS('Booking Management'!J:J,'Booking Management'!B:B,'Sales Orders'!A793)</f>
        <v>0</v>
      </c>
      <c r="S793" s="99" t="str">
        <f t="shared" si="50"/>
        <v/>
      </c>
      <c r="Y793" s="98" t="str">
        <f t="shared" si="49"/>
        <v/>
      </c>
    </row>
    <row r="794" spans="1:25">
      <c r="A794" s="23"/>
      <c r="F794" s="37"/>
      <c r="H794" s="3"/>
      <c r="J794" s="109" t="str">
        <f>IF(C794&lt;&gt;"",SUMIFS('Booking Management'!Y:Y,'Booking Management'!B:B,'Sales Orders'!A794),"")</f>
        <v/>
      </c>
      <c r="M794" s="92" t="str">
        <f t="shared" ca="1" si="52"/>
        <v/>
      </c>
      <c r="O794" s="3"/>
      <c r="Q794" s="92" t="str">
        <f t="shared" si="51"/>
        <v/>
      </c>
      <c r="R794" s="98">
        <f>SUMIFS('Booking Management'!J:J,'Booking Management'!B:B,'Sales Orders'!A794)</f>
        <v>0</v>
      </c>
      <c r="S794" s="99" t="str">
        <f t="shared" si="50"/>
        <v/>
      </c>
      <c r="Y794" s="98" t="str">
        <f t="shared" si="49"/>
        <v/>
      </c>
    </row>
    <row r="795" spans="1:25">
      <c r="A795" s="23"/>
      <c r="F795" s="37"/>
      <c r="H795" s="3"/>
      <c r="J795" s="109" t="str">
        <f>IF(C795&lt;&gt;"",SUMIFS('Booking Management'!Y:Y,'Booking Management'!B:B,'Sales Orders'!A795),"")</f>
        <v/>
      </c>
      <c r="M795" s="92" t="str">
        <f t="shared" ca="1" si="52"/>
        <v/>
      </c>
      <c r="O795" s="3"/>
      <c r="Q795" s="92" t="str">
        <f t="shared" si="51"/>
        <v/>
      </c>
      <c r="R795" s="98">
        <f>SUMIFS('Booking Management'!J:J,'Booking Management'!B:B,'Sales Orders'!A795)</f>
        <v>0</v>
      </c>
      <c r="S795" s="99" t="str">
        <f t="shared" si="50"/>
        <v/>
      </c>
      <c r="Y795" s="98" t="str">
        <f t="shared" si="49"/>
        <v/>
      </c>
    </row>
    <row r="796" spans="1:25">
      <c r="A796" s="23"/>
      <c r="F796" s="37"/>
      <c r="H796" s="3"/>
      <c r="J796" s="109" t="str">
        <f>IF(C796&lt;&gt;"",SUMIFS('Booking Management'!Y:Y,'Booking Management'!B:B,'Sales Orders'!A796),"")</f>
        <v/>
      </c>
      <c r="M796" s="92" t="str">
        <f t="shared" ca="1" si="52"/>
        <v/>
      </c>
      <c r="O796" s="3"/>
      <c r="Q796" s="92" t="str">
        <f t="shared" si="51"/>
        <v/>
      </c>
      <c r="R796" s="98">
        <f>SUMIFS('Booking Management'!J:J,'Booking Management'!B:B,'Sales Orders'!A796)</f>
        <v>0</v>
      </c>
      <c r="S796" s="99" t="str">
        <f t="shared" si="50"/>
        <v/>
      </c>
      <c r="Y796" s="98" t="str">
        <f t="shared" si="49"/>
        <v/>
      </c>
    </row>
    <row r="797" spans="1:25">
      <c r="A797" s="23"/>
      <c r="F797" s="37"/>
      <c r="H797" s="3"/>
      <c r="J797" s="109" t="str">
        <f>IF(C797&lt;&gt;"",SUMIFS('Booking Management'!Y:Y,'Booking Management'!B:B,'Sales Orders'!A797),"")</f>
        <v/>
      </c>
      <c r="M797" s="92" t="str">
        <f t="shared" ca="1" si="52"/>
        <v/>
      </c>
      <c r="O797" s="3"/>
      <c r="Q797" s="92" t="str">
        <f t="shared" si="51"/>
        <v/>
      </c>
      <c r="R797" s="98">
        <f>SUMIFS('Booking Management'!J:J,'Booking Management'!B:B,'Sales Orders'!A797)</f>
        <v>0</v>
      </c>
      <c r="S797" s="99" t="str">
        <f t="shared" si="50"/>
        <v/>
      </c>
      <c r="Y797" s="98" t="str">
        <f t="shared" si="49"/>
        <v/>
      </c>
    </row>
    <row r="798" spans="1:25">
      <c r="A798" s="23"/>
      <c r="F798" s="37"/>
      <c r="H798" s="3"/>
      <c r="J798" s="109" t="str">
        <f>IF(C798&lt;&gt;"",SUMIFS('Booking Management'!Y:Y,'Booking Management'!B:B,'Sales Orders'!A798),"")</f>
        <v/>
      </c>
      <c r="M798" s="92" t="str">
        <f t="shared" ca="1" si="52"/>
        <v/>
      </c>
      <c r="O798" s="3"/>
      <c r="Q798" s="92" t="str">
        <f t="shared" si="51"/>
        <v/>
      </c>
      <c r="R798" s="98">
        <f>SUMIFS('Booking Management'!J:J,'Booking Management'!B:B,'Sales Orders'!A798)</f>
        <v>0</v>
      </c>
      <c r="S798" s="99" t="str">
        <f t="shared" si="50"/>
        <v/>
      </c>
      <c r="Y798" s="98" t="str">
        <f t="shared" si="49"/>
        <v/>
      </c>
    </row>
    <row r="799" spans="1:25">
      <c r="A799" s="23"/>
      <c r="F799" s="37"/>
      <c r="H799" s="3"/>
      <c r="J799" s="109" t="str">
        <f>IF(C799&lt;&gt;"",SUMIFS('Booking Management'!Y:Y,'Booking Management'!B:B,'Sales Orders'!A799),"")</f>
        <v/>
      </c>
      <c r="M799" s="92" t="str">
        <f t="shared" ca="1" si="52"/>
        <v/>
      </c>
      <c r="O799" s="3"/>
      <c r="Q799" s="92" t="str">
        <f t="shared" si="51"/>
        <v/>
      </c>
      <c r="R799" s="98">
        <f>SUMIFS('Booking Management'!J:J,'Booking Management'!B:B,'Sales Orders'!A799)</f>
        <v>0</v>
      </c>
      <c r="S799" s="99" t="str">
        <f t="shared" si="50"/>
        <v/>
      </c>
      <c r="Y799" s="98" t="str">
        <f t="shared" si="49"/>
        <v/>
      </c>
    </row>
    <row r="800" spans="1:25">
      <c r="A800" s="23"/>
      <c r="F800" s="37"/>
      <c r="H800" s="3"/>
      <c r="J800" s="109" t="str">
        <f>IF(C800&lt;&gt;"",SUMIFS('Booking Management'!Y:Y,'Booking Management'!B:B,'Sales Orders'!A800),"")</f>
        <v/>
      </c>
      <c r="M800" s="92" t="str">
        <f t="shared" ca="1" si="52"/>
        <v/>
      </c>
      <c r="O800" s="3"/>
      <c r="Q800" s="92" t="str">
        <f t="shared" si="51"/>
        <v/>
      </c>
      <c r="R800" s="98">
        <f>SUMIFS('Booking Management'!J:J,'Booking Management'!B:B,'Sales Orders'!A800)</f>
        <v>0</v>
      </c>
      <c r="S800" s="99" t="str">
        <f t="shared" si="50"/>
        <v/>
      </c>
      <c r="Y800" s="98" t="str">
        <f t="shared" si="49"/>
        <v/>
      </c>
    </row>
    <row r="801" spans="1:25">
      <c r="A801" s="23"/>
      <c r="F801" s="37"/>
      <c r="H801" s="3"/>
      <c r="J801" s="109" t="str">
        <f>IF(C801&lt;&gt;"",SUMIFS('Booking Management'!Y:Y,'Booking Management'!B:B,'Sales Orders'!A801),"")</f>
        <v/>
      </c>
      <c r="M801" s="92" t="str">
        <f t="shared" ca="1" si="52"/>
        <v/>
      </c>
      <c r="O801" s="3"/>
      <c r="Q801" s="92" t="str">
        <f t="shared" si="51"/>
        <v/>
      </c>
      <c r="R801" s="98">
        <f>SUMIFS('Booking Management'!J:J,'Booking Management'!B:B,'Sales Orders'!A801)</f>
        <v>0</v>
      </c>
      <c r="S801" s="99" t="str">
        <f t="shared" si="50"/>
        <v/>
      </c>
      <c r="Y801" s="98" t="str">
        <f t="shared" si="49"/>
        <v/>
      </c>
    </row>
    <row r="802" spans="1:25">
      <c r="A802" s="23"/>
      <c r="F802" s="37"/>
      <c r="H802" s="3"/>
      <c r="J802" s="109" t="str">
        <f>IF(C802&lt;&gt;"",SUMIFS('Booking Management'!Y:Y,'Booking Management'!B:B,'Sales Orders'!A802),"")</f>
        <v/>
      </c>
      <c r="M802" s="92" t="str">
        <f t="shared" ca="1" si="52"/>
        <v/>
      </c>
      <c r="O802" s="3"/>
      <c r="Q802" s="92" t="str">
        <f t="shared" si="51"/>
        <v/>
      </c>
      <c r="R802" s="98">
        <f>SUMIFS('Booking Management'!J:J,'Booking Management'!B:B,'Sales Orders'!A802)</f>
        <v>0</v>
      </c>
      <c r="S802" s="99" t="str">
        <f t="shared" si="50"/>
        <v/>
      </c>
      <c r="Y802" s="98" t="str">
        <f t="shared" si="49"/>
        <v/>
      </c>
    </row>
    <row r="803" spans="1:25">
      <c r="A803" s="23"/>
      <c r="F803" s="37"/>
      <c r="H803" s="3"/>
      <c r="J803" s="109" t="str">
        <f>IF(C803&lt;&gt;"",SUMIFS('Booking Management'!Y:Y,'Booking Management'!B:B,'Sales Orders'!A803),"")</f>
        <v/>
      </c>
      <c r="M803" s="92" t="str">
        <f t="shared" ca="1" si="52"/>
        <v/>
      </c>
      <c r="O803" s="3"/>
      <c r="Q803" s="92" t="str">
        <f t="shared" si="51"/>
        <v/>
      </c>
      <c r="R803" s="98">
        <f>SUMIFS('Booking Management'!J:J,'Booking Management'!B:B,'Sales Orders'!A803)</f>
        <v>0</v>
      </c>
      <c r="S803" s="99" t="str">
        <f t="shared" si="50"/>
        <v/>
      </c>
      <c r="Y803" s="98" t="str">
        <f t="shared" si="49"/>
        <v/>
      </c>
    </row>
    <row r="804" spans="1:25">
      <c r="A804" s="23"/>
      <c r="F804" s="37"/>
      <c r="H804" s="3"/>
      <c r="J804" s="109" t="str">
        <f>IF(C804&lt;&gt;"",SUMIFS('Booking Management'!Y:Y,'Booking Management'!B:B,'Sales Orders'!A804),"")</f>
        <v/>
      </c>
      <c r="M804" s="92" t="str">
        <f t="shared" ca="1" si="52"/>
        <v/>
      </c>
      <c r="O804" s="3"/>
      <c r="Q804" s="92" t="str">
        <f t="shared" si="51"/>
        <v/>
      </c>
      <c r="R804" s="98">
        <f>SUMIFS('Booking Management'!J:J,'Booking Management'!B:B,'Sales Orders'!A804)</f>
        <v>0</v>
      </c>
      <c r="S804" s="99" t="str">
        <f t="shared" si="50"/>
        <v/>
      </c>
      <c r="Y804" s="98" t="str">
        <f t="shared" si="49"/>
        <v/>
      </c>
    </row>
    <row r="805" spans="1:25">
      <c r="A805" s="23"/>
      <c r="F805" s="37"/>
      <c r="H805" s="3"/>
      <c r="J805" s="109" t="str">
        <f>IF(C805&lt;&gt;"",SUMIFS('Booking Management'!Y:Y,'Booking Management'!B:B,'Sales Orders'!A805),"")</f>
        <v/>
      </c>
      <c r="M805" s="92" t="str">
        <f t="shared" ca="1" si="52"/>
        <v/>
      </c>
      <c r="O805" s="3"/>
      <c r="Q805" s="92" t="str">
        <f t="shared" si="51"/>
        <v/>
      </c>
      <c r="R805" s="98">
        <f>SUMIFS('Booking Management'!J:J,'Booking Management'!B:B,'Sales Orders'!A805)</f>
        <v>0</v>
      </c>
      <c r="S805" s="99" t="str">
        <f t="shared" si="50"/>
        <v/>
      </c>
      <c r="Y805" s="98" t="str">
        <f t="shared" si="49"/>
        <v/>
      </c>
    </row>
    <row r="806" spans="1:25">
      <c r="A806" s="23"/>
      <c r="F806" s="37"/>
      <c r="H806" s="3"/>
      <c r="J806" s="109" t="str">
        <f>IF(C806&lt;&gt;"",SUMIFS('Booking Management'!Y:Y,'Booking Management'!B:B,'Sales Orders'!A806),"")</f>
        <v/>
      </c>
      <c r="M806" s="92" t="str">
        <f t="shared" ca="1" si="52"/>
        <v/>
      </c>
      <c r="O806" s="3"/>
      <c r="Q806" s="92" t="str">
        <f t="shared" si="51"/>
        <v/>
      </c>
      <c r="R806" s="98">
        <f>SUMIFS('Booking Management'!J:J,'Booking Management'!B:B,'Sales Orders'!A806)</f>
        <v>0</v>
      </c>
      <c r="S806" s="99" t="str">
        <f t="shared" si="50"/>
        <v/>
      </c>
      <c r="Y806" s="98" t="str">
        <f t="shared" si="49"/>
        <v/>
      </c>
    </row>
    <row r="807" spans="1:25">
      <c r="A807" s="23"/>
      <c r="F807" s="37"/>
      <c r="H807" s="3"/>
      <c r="J807" s="109" t="str">
        <f>IF(C807&lt;&gt;"",SUMIFS('Booking Management'!Y:Y,'Booking Management'!B:B,'Sales Orders'!A807),"")</f>
        <v/>
      </c>
      <c r="M807" s="92" t="str">
        <f t="shared" ca="1" si="52"/>
        <v/>
      </c>
      <c r="O807" s="3"/>
      <c r="Q807" s="92" t="str">
        <f t="shared" si="51"/>
        <v/>
      </c>
      <c r="R807" s="98">
        <f>SUMIFS('Booking Management'!J:J,'Booking Management'!B:B,'Sales Orders'!A807)</f>
        <v>0</v>
      </c>
      <c r="S807" s="99" t="str">
        <f t="shared" si="50"/>
        <v/>
      </c>
      <c r="Y807" s="98" t="str">
        <f t="shared" si="49"/>
        <v/>
      </c>
    </row>
    <row r="808" spans="1:25">
      <c r="A808" s="23"/>
      <c r="F808" s="37"/>
      <c r="H808" s="3"/>
      <c r="J808" s="109" t="str">
        <f>IF(C808&lt;&gt;"",SUMIFS('Booking Management'!Y:Y,'Booking Management'!B:B,'Sales Orders'!A808),"")</f>
        <v/>
      </c>
      <c r="M808" s="92" t="str">
        <f t="shared" ca="1" si="52"/>
        <v/>
      </c>
      <c r="O808" s="3"/>
      <c r="Q808" s="92" t="str">
        <f t="shared" si="51"/>
        <v/>
      </c>
      <c r="R808" s="98">
        <f>SUMIFS('Booking Management'!J:J,'Booking Management'!B:B,'Sales Orders'!A808)</f>
        <v>0</v>
      </c>
      <c r="S808" s="99" t="str">
        <f t="shared" si="50"/>
        <v/>
      </c>
      <c r="Y808" s="98" t="str">
        <f t="shared" si="49"/>
        <v/>
      </c>
    </row>
    <row r="809" spans="1:25">
      <c r="A809" s="23"/>
      <c r="F809" s="37"/>
      <c r="H809" s="3"/>
      <c r="J809" s="109" t="str">
        <f>IF(C809&lt;&gt;"",SUMIFS('Booking Management'!Y:Y,'Booking Management'!B:B,'Sales Orders'!A809),"")</f>
        <v/>
      </c>
      <c r="M809" s="92" t="str">
        <f t="shared" ca="1" si="52"/>
        <v/>
      </c>
      <c r="O809" s="3"/>
      <c r="Q809" s="92" t="str">
        <f t="shared" si="51"/>
        <v/>
      </c>
      <c r="R809" s="98">
        <f>SUMIFS('Booking Management'!J:J,'Booking Management'!B:B,'Sales Orders'!A809)</f>
        <v>0</v>
      </c>
      <c r="S809" s="99" t="str">
        <f t="shared" si="50"/>
        <v/>
      </c>
      <c r="Y809" s="98" t="str">
        <f t="shared" si="49"/>
        <v/>
      </c>
    </row>
    <row r="810" spans="1:25">
      <c r="A810" s="23"/>
      <c r="F810" s="37"/>
      <c r="H810" s="3"/>
      <c r="J810" s="109" t="str">
        <f>IF(C810&lt;&gt;"",SUMIFS('Booking Management'!Y:Y,'Booking Management'!B:B,'Sales Orders'!A810),"")</f>
        <v/>
      </c>
      <c r="M810" s="92" t="str">
        <f t="shared" ca="1" si="52"/>
        <v/>
      </c>
      <c r="O810" s="3"/>
      <c r="Q810" s="92" t="str">
        <f t="shared" si="51"/>
        <v/>
      </c>
      <c r="R810" s="98">
        <f>SUMIFS('Booking Management'!J:J,'Booking Management'!B:B,'Sales Orders'!A810)</f>
        <v>0</v>
      </c>
      <c r="S810" s="99" t="str">
        <f t="shared" si="50"/>
        <v/>
      </c>
      <c r="Y810" s="98" t="str">
        <f t="shared" ref="Y810:Y873" si="53">IF(D810&lt;&gt;"",D810-J810,"")</f>
        <v/>
      </c>
    </row>
    <row r="811" spans="1:25">
      <c r="A811" s="23"/>
      <c r="F811" s="37"/>
      <c r="H811" s="3"/>
      <c r="J811" s="109" t="str">
        <f>IF(C811&lt;&gt;"",SUMIFS('Booking Management'!Y:Y,'Booking Management'!B:B,'Sales Orders'!A811),"")</f>
        <v/>
      </c>
      <c r="M811" s="92" t="str">
        <f t="shared" ca="1" si="52"/>
        <v/>
      </c>
      <c r="O811" s="3"/>
      <c r="Q811" s="92" t="str">
        <f t="shared" si="51"/>
        <v/>
      </c>
      <c r="R811" s="98">
        <f>SUMIFS('Booking Management'!J:J,'Booking Management'!B:B,'Sales Orders'!A811)</f>
        <v>0</v>
      </c>
      <c r="S811" s="99" t="str">
        <f t="shared" si="50"/>
        <v/>
      </c>
      <c r="Y811" s="98" t="str">
        <f t="shared" si="53"/>
        <v/>
      </c>
    </row>
    <row r="812" spans="1:25">
      <c r="A812" s="23"/>
      <c r="F812" s="37"/>
      <c r="H812" s="3"/>
      <c r="J812" s="109" t="str">
        <f>IF(C812&lt;&gt;"",SUMIFS('Booking Management'!Y:Y,'Booking Management'!B:B,'Sales Orders'!A812),"")</f>
        <v/>
      </c>
      <c r="M812" s="92" t="str">
        <f t="shared" ca="1" si="52"/>
        <v/>
      </c>
      <c r="O812" s="3"/>
      <c r="Q812" s="92" t="str">
        <f t="shared" si="51"/>
        <v/>
      </c>
      <c r="R812" s="98">
        <f>SUMIFS('Booking Management'!J:J,'Booking Management'!B:B,'Sales Orders'!A812)</f>
        <v>0</v>
      </c>
      <c r="S812" s="99" t="str">
        <f t="shared" si="50"/>
        <v/>
      </c>
      <c r="Y812" s="98" t="str">
        <f t="shared" si="53"/>
        <v/>
      </c>
    </row>
    <row r="813" spans="1:25">
      <c r="A813" s="23"/>
      <c r="F813" s="37"/>
      <c r="H813" s="3"/>
      <c r="J813" s="109" t="str">
        <f>IF(C813&lt;&gt;"",SUMIFS('Booking Management'!Y:Y,'Booking Management'!B:B,'Sales Orders'!A813),"")</f>
        <v/>
      </c>
      <c r="M813" s="92" t="str">
        <f t="shared" ca="1" si="52"/>
        <v/>
      </c>
      <c r="O813" s="3"/>
      <c r="Q813" s="92" t="str">
        <f t="shared" si="51"/>
        <v/>
      </c>
      <c r="R813" s="98">
        <f>SUMIFS('Booking Management'!J:J,'Booking Management'!B:B,'Sales Orders'!A813)</f>
        <v>0</v>
      </c>
      <c r="S813" s="99" t="str">
        <f t="shared" si="50"/>
        <v/>
      </c>
      <c r="Y813" s="98" t="str">
        <f t="shared" si="53"/>
        <v/>
      </c>
    </row>
    <row r="814" spans="1:25">
      <c r="A814" s="23"/>
      <c r="F814" s="37"/>
      <c r="H814" s="3"/>
      <c r="J814" s="109" t="str">
        <f>IF(C814&lt;&gt;"",SUMIFS('Booking Management'!Y:Y,'Booking Management'!B:B,'Sales Orders'!A814),"")</f>
        <v/>
      </c>
      <c r="M814" s="92" t="str">
        <f t="shared" ca="1" si="52"/>
        <v/>
      </c>
      <c r="O814" s="3"/>
      <c r="Q814" s="92" t="str">
        <f t="shared" si="51"/>
        <v/>
      </c>
      <c r="R814" s="98">
        <f>SUMIFS('Booking Management'!J:J,'Booking Management'!B:B,'Sales Orders'!A814)</f>
        <v>0</v>
      </c>
      <c r="S814" s="99" t="str">
        <f t="shared" si="50"/>
        <v/>
      </c>
      <c r="Y814" s="98" t="str">
        <f t="shared" si="53"/>
        <v/>
      </c>
    </row>
    <row r="815" spans="1:25">
      <c r="A815" s="23"/>
      <c r="F815" s="37"/>
      <c r="H815" s="3"/>
      <c r="J815" s="109" t="str">
        <f>IF(C815&lt;&gt;"",SUMIFS('Booking Management'!Y:Y,'Booking Management'!B:B,'Sales Orders'!A815),"")</f>
        <v/>
      </c>
      <c r="M815" s="92" t="str">
        <f t="shared" ca="1" si="52"/>
        <v/>
      </c>
      <c r="O815" s="3"/>
      <c r="Q815" s="92" t="str">
        <f t="shared" si="51"/>
        <v/>
      </c>
      <c r="R815" s="98">
        <f>SUMIFS('Booking Management'!J:J,'Booking Management'!B:B,'Sales Orders'!A815)</f>
        <v>0</v>
      </c>
      <c r="S815" s="99" t="str">
        <f t="shared" si="50"/>
        <v/>
      </c>
      <c r="Y815" s="98" t="str">
        <f t="shared" si="53"/>
        <v/>
      </c>
    </row>
    <row r="816" spans="1:25">
      <c r="A816" s="23"/>
      <c r="F816" s="37"/>
      <c r="H816" s="3"/>
      <c r="J816" s="109" t="str">
        <f>IF(C816&lt;&gt;"",SUMIFS('Booking Management'!Y:Y,'Booking Management'!B:B,'Sales Orders'!A816),"")</f>
        <v/>
      </c>
      <c r="M816" s="92" t="str">
        <f t="shared" ca="1" si="52"/>
        <v/>
      </c>
      <c r="O816" s="3"/>
      <c r="Q816" s="92" t="str">
        <f t="shared" si="51"/>
        <v/>
      </c>
      <c r="R816" s="98">
        <f>SUMIFS('Booking Management'!J:J,'Booking Management'!B:B,'Sales Orders'!A816)</f>
        <v>0</v>
      </c>
      <c r="S816" s="99" t="str">
        <f t="shared" si="50"/>
        <v/>
      </c>
      <c r="Y816" s="98" t="str">
        <f t="shared" si="53"/>
        <v/>
      </c>
    </row>
    <row r="817" spans="1:25">
      <c r="A817" s="23"/>
      <c r="F817" s="37"/>
      <c r="H817" s="3"/>
      <c r="J817" s="109" t="str">
        <f>IF(C817&lt;&gt;"",SUMIFS('Booking Management'!Y:Y,'Booking Management'!B:B,'Sales Orders'!A817),"")</f>
        <v/>
      </c>
      <c r="M817" s="92" t="str">
        <f t="shared" ca="1" si="52"/>
        <v/>
      </c>
      <c r="O817" s="3"/>
      <c r="Q817" s="92" t="str">
        <f t="shared" si="51"/>
        <v/>
      </c>
      <c r="R817" s="98">
        <f>SUMIFS('Booking Management'!J:J,'Booking Management'!B:B,'Sales Orders'!A817)</f>
        <v>0</v>
      </c>
      <c r="S817" s="99" t="str">
        <f t="shared" si="50"/>
        <v/>
      </c>
      <c r="Y817" s="98" t="str">
        <f t="shared" si="53"/>
        <v/>
      </c>
    </row>
    <row r="818" spans="1:25">
      <c r="A818" s="23"/>
      <c r="F818" s="37"/>
      <c r="H818" s="3"/>
      <c r="J818" s="109" t="str">
        <f>IF(C818&lt;&gt;"",SUMIFS('Booking Management'!Y:Y,'Booking Management'!B:B,'Sales Orders'!A818),"")</f>
        <v/>
      </c>
      <c r="M818" s="92" t="str">
        <f t="shared" ca="1" si="52"/>
        <v/>
      </c>
      <c r="O818" s="3"/>
      <c r="Q818" s="92" t="str">
        <f t="shared" si="51"/>
        <v/>
      </c>
      <c r="R818" s="98">
        <f>SUMIFS('Booking Management'!J:J,'Booking Management'!B:B,'Sales Orders'!A818)</f>
        <v>0</v>
      </c>
      <c r="S818" s="99" t="str">
        <f t="shared" si="50"/>
        <v/>
      </c>
      <c r="Y818" s="98" t="str">
        <f t="shared" si="53"/>
        <v/>
      </c>
    </row>
    <row r="819" spans="1:25">
      <c r="A819" s="23"/>
      <c r="F819" s="37"/>
      <c r="H819" s="3"/>
      <c r="J819" s="109" t="str">
        <f>IF(C819&lt;&gt;"",SUMIFS('Booking Management'!Y:Y,'Booking Management'!B:B,'Sales Orders'!A819),"")</f>
        <v/>
      </c>
      <c r="M819" s="92" t="str">
        <f t="shared" ca="1" si="52"/>
        <v/>
      </c>
      <c r="O819" s="3"/>
      <c r="Q819" s="92" t="str">
        <f t="shared" si="51"/>
        <v/>
      </c>
      <c r="R819" s="98">
        <f>SUMIFS('Booking Management'!J:J,'Booking Management'!B:B,'Sales Orders'!A819)</f>
        <v>0</v>
      </c>
      <c r="S819" s="99" t="str">
        <f t="shared" si="50"/>
        <v/>
      </c>
      <c r="Y819" s="98" t="str">
        <f t="shared" si="53"/>
        <v/>
      </c>
    </row>
    <row r="820" spans="1:25">
      <c r="A820" s="23"/>
      <c r="F820" s="37"/>
      <c r="H820" s="3"/>
      <c r="J820" s="109" t="str">
        <f>IF(C820&lt;&gt;"",SUMIFS('Booking Management'!Y:Y,'Booking Management'!B:B,'Sales Orders'!A820),"")</f>
        <v/>
      </c>
      <c r="M820" s="92" t="str">
        <f t="shared" ca="1" si="52"/>
        <v/>
      </c>
      <c r="O820" s="3"/>
      <c r="Q820" s="92" t="str">
        <f t="shared" si="51"/>
        <v/>
      </c>
      <c r="R820" s="98">
        <f>SUMIFS('Booking Management'!J:J,'Booking Management'!B:B,'Sales Orders'!A820)</f>
        <v>0</v>
      </c>
      <c r="S820" s="99" t="str">
        <f t="shared" si="50"/>
        <v/>
      </c>
      <c r="Y820" s="98" t="str">
        <f t="shared" si="53"/>
        <v/>
      </c>
    </row>
    <row r="821" spans="1:25">
      <c r="A821" s="23"/>
      <c r="F821" s="37"/>
      <c r="H821" s="3"/>
      <c r="J821" s="109" t="str">
        <f>IF(C821&lt;&gt;"",SUMIFS('Booking Management'!Y:Y,'Booking Management'!B:B,'Sales Orders'!A821),"")</f>
        <v/>
      </c>
      <c r="M821" s="92" t="str">
        <f t="shared" ca="1" si="52"/>
        <v/>
      </c>
      <c r="O821" s="3"/>
      <c r="Q821" s="92" t="str">
        <f t="shared" si="51"/>
        <v/>
      </c>
      <c r="R821" s="98">
        <f>SUMIFS('Booking Management'!J:J,'Booking Management'!B:B,'Sales Orders'!A821)</f>
        <v>0</v>
      </c>
      <c r="S821" s="99" t="str">
        <f t="shared" si="50"/>
        <v/>
      </c>
      <c r="Y821" s="98" t="str">
        <f t="shared" si="53"/>
        <v/>
      </c>
    </row>
    <row r="822" spans="1:25">
      <c r="A822" s="23"/>
      <c r="F822" s="37"/>
      <c r="H822" s="3"/>
      <c r="J822" s="109" t="str">
        <f>IF(C822&lt;&gt;"",SUMIFS('Booking Management'!Y:Y,'Booking Management'!B:B,'Sales Orders'!A822),"")</f>
        <v/>
      </c>
      <c r="M822" s="92" t="str">
        <f t="shared" ca="1" si="52"/>
        <v/>
      </c>
      <c r="O822" s="3"/>
      <c r="Q822" s="92" t="str">
        <f t="shared" si="51"/>
        <v/>
      </c>
      <c r="R822" s="98">
        <f>SUMIFS('Booking Management'!J:J,'Booking Management'!B:B,'Sales Orders'!A822)</f>
        <v>0</v>
      </c>
      <c r="S822" s="99" t="str">
        <f t="shared" si="50"/>
        <v/>
      </c>
      <c r="Y822" s="98" t="str">
        <f t="shared" si="53"/>
        <v/>
      </c>
    </row>
    <row r="823" spans="1:25">
      <c r="A823" s="23"/>
      <c r="F823" s="37"/>
      <c r="H823" s="3"/>
      <c r="J823" s="109" t="str">
        <f>IF(C823&lt;&gt;"",SUMIFS('Booking Management'!Y:Y,'Booking Management'!B:B,'Sales Orders'!A823),"")</f>
        <v/>
      </c>
      <c r="M823" s="92" t="str">
        <f t="shared" ca="1" si="52"/>
        <v/>
      </c>
      <c r="O823" s="3"/>
      <c r="Q823" s="92" t="str">
        <f t="shared" si="51"/>
        <v/>
      </c>
      <c r="R823" s="98">
        <f>SUMIFS('Booking Management'!J:J,'Booking Management'!B:B,'Sales Orders'!A823)</f>
        <v>0</v>
      </c>
      <c r="S823" s="99" t="str">
        <f t="shared" si="50"/>
        <v/>
      </c>
      <c r="Y823" s="98" t="str">
        <f t="shared" si="53"/>
        <v/>
      </c>
    </row>
    <row r="824" spans="1:25">
      <c r="A824" s="23"/>
      <c r="F824" s="37"/>
      <c r="H824" s="3"/>
      <c r="J824" s="109" t="str">
        <f>IF(C824&lt;&gt;"",SUMIFS('Booking Management'!Y:Y,'Booking Management'!B:B,'Sales Orders'!A824),"")</f>
        <v/>
      </c>
      <c r="M824" s="92" t="str">
        <f t="shared" ca="1" si="52"/>
        <v/>
      </c>
      <c r="O824" s="3"/>
      <c r="Q824" s="92" t="str">
        <f t="shared" si="51"/>
        <v/>
      </c>
      <c r="R824" s="98">
        <f>SUMIFS('Booking Management'!J:J,'Booking Management'!B:B,'Sales Orders'!A824)</f>
        <v>0</v>
      </c>
      <c r="S824" s="99" t="str">
        <f t="shared" si="50"/>
        <v/>
      </c>
      <c r="Y824" s="98" t="str">
        <f t="shared" si="53"/>
        <v/>
      </c>
    </row>
    <row r="825" spans="1:25">
      <c r="A825" s="23"/>
      <c r="F825" s="37"/>
      <c r="H825" s="3"/>
      <c r="J825" s="109" t="str">
        <f>IF(C825&lt;&gt;"",SUMIFS('Booking Management'!Y:Y,'Booking Management'!B:B,'Sales Orders'!A825),"")</f>
        <v/>
      </c>
      <c r="M825" s="92" t="str">
        <f t="shared" ca="1" si="52"/>
        <v/>
      </c>
      <c r="O825" s="3"/>
      <c r="Q825" s="92" t="str">
        <f t="shared" si="51"/>
        <v/>
      </c>
      <c r="R825" s="98">
        <f>SUMIFS('Booking Management'!J:J,'Booking Management'!B:B,'Sales Orders'!A825)</f>
        <v>0</v>
      </c>
      <c r="S825" s="99" t="str">
        <f t="shared" si="50"/>
        <v/>
      </c>
      <c r="Y825" s="98" t="str">
        <f t="shared" si="53"/>
        <v/>
      </c>
    </row>
    <row r="826" spans="1:25">
      <c r="A826" s="23"/>
      <c r="F826" s="37"/>
      <c r="H826" s="3"/>
      <c r="J826" s="109" t="str">
        <f>IF(C826&lt;&gt;"",SUMIFS('Booking Management'!Y:Y,'Booking Management'!B:B,'Sales Orders'!A826),"")</f>
        <v/>
      </c>
      <c r="M826" s="92" t="str">
        <f t="shared" ca="1" si="52"/>
        <v/>
      </c>
      <c r="O826" s="3"/>
      <c r="Q826" s="92" t="str">
        <f t="shared" si="51"/>
        <v/>
      </c>
      <c r="R826" s="98">
        <f>SUMIFS('Booking Management'!J:J,'Booking Management'!B:B,'Sales Orders'!A826)</f>
        <v>0</v>
      </c>
      <c r="S826" s="99" t="str">
        <f t="shared" si="50"/>
        <v/>
      </c>
      <c r="Y826" s="98" t="str">
        <f t="shared" si="53"/>
        <v/>
      </c>
    </row>
    <row r="827" spans="1:25">
      <c r="A827" s="23"/>
      <c r="F827" s="37"/>
      <c r="H827" s="3"/>
      <c r="J827" s="109" t="str">
        <f>IF(C827&lt;&gt;"",SUMIFS('Booking Management'!Y:Y,'Booking Management'!B:B,'Sales Orders'!A827),"")</f>
        <v/>
      </c>
      <c r="M827" s="92" t="str">
        <f t="shared" ca="1" si="52"/>
        <v/>
      </c>
      <c r="O827" s="3"/>
      <c r="Q827" s="92" t="str">
        <f t="shared" si="51"/>
        <v/>
      </c>
      <c r="R827" s="98">
        <f>SUMIFS('Booking Management'!J:J,'Booking Management'!B:B,'Sales Orders'!A827)</f>
        <v>0</v>
      </c>
      <c r="S827" s="99" t="str">
        <f t="shared" si="50"/>
        <v/>
      </c>
      <c r="Y827" s="98" t="str">
        <f t="shared" si="53"/>
        <v/>
      </c>
    </row>
    <row r="828" spans="1:25">
      <c r="A828" s="23"/>
      <c r="F828" s="37"/>
      <c r="H828" s="3"/>
      <c r="J828" s="109" t="str">
        <f>IF(C828&lt;&gt;"",SUMIFS('Booking Management'!Y:Y,'Booking Management'!B:B,'Sales Orders'!A828),"")</f>
        <v/>
      </c>
      <c r="M828" s="92" t="str">
        <f t="shared" ca="1" si="52"/>
        <v/>
      </c>
      <c r="O828" s="3"/>
      <c r="Q828" s="92" t="str">
        <f t="shared" si="51"/>
        <v/>
      </c>
      <c r="R828" s="98">
        <f>SUMIFS('Booking Management'!J:J,'Booking Management'!B:B,'Sales Orders'!A828)</f>
        <v>0</v>
      </c>
      <c r="S828" s="99" t="str">
        <f t="shared" si="50"/>
        <v/>
      </c>
      <c r="Y828" s="98" t="str">
        <f t="shared" si="53"/>
        <v/>
      </c>
    </row>
    <row r="829" spans="1:25">
      <c r="A829" s="23"/>
      <c r="F829" s="37"/>
      <c r="H829" s="3"/>
      <c r="J829" s="109" t="str">
        <f>IF(C829&lt;&gt;"",SUMIFS('Booking Management'!Y:Y,'Booking Management'!B:B,'Sales Orders'!A829),"")</f>
        <v/>
      </c>
      <c r="M829" s="92" t="str">
        <f t="shared" ca="1" si="52"/>
        <v/>
      </c>
      <c r="O829" s="3"/>
      <c r="Q829" s="92" t="str">
        <f t="shared" si="51"/>
        <v/>
      </c>
      <c r="R829" s="98">
        <f>SUMIFS('Booking Management'!J:J,'Booking Management'!B:B,'Sales Orders'!A829)</f>
        <v>0</v>
      </c>
      <c r="S829" s="99" t="str">
        <f t="shared" si="50"/>
        <v/>
      </c>
      <c r="Y829" s="98" t="str">
        <f t="shared" si="53"/>
        <v/>
      </c>
    </row>
    <row r="830" spans="1:25">
      <c r="A830" s="23"/>
      <c r="F830" s="37"/>
      <c r="H830" s="3"/>
      <c r="J830" s="109" t="str">
        <f>IF(C830&lt;&gt;"",SUMIFS('Booking Management'!Y:Y,'Booking Management'!B:B,'Sales Orders'!A830),"")</f>
        <v/>
      </c>
      <c r="M830" s="92" t="str">
        <f t="shared" ca="1" si="52"/>
        <v/>
      </c>
      <c r="O830" s="3"/>
      <c r="Q830" s="92" t="str">
        <f t="shared" si="51"/>
        <v/>
      </c>
      <c r="R830" s="98">
        <f>SUMIFS('Booking Management'!J:J,'Booking Management'!B:B,'Sales Orders'!A830)</f>
        <v>0</v>
      </c>
      <c r="S830" s="99" t="str">
        <f t="shared" si="50"/>
        <v/>
      </c>
      <c r="Y830" s="98" t="str">
        <f t="shared" si="53"/>
        <v/>
      </c>
    </row>
    <row r="831" spans="1:25">
      <c r="A831" s="23"/>
      <c r="F831" s="37"/>
      <c r="H831" s="3"/>
      <c r="J831" s="109" t="str">
        <f>IF(C831&lt;&gt;"",SUMIFS('Booking Management'!Y:Y,'Booking Management'!B:B,'Sales Orders'!A831),"")</f>
        <v/>
      </c>
      <c r="M831" s="92" t="str">
        <f t="shared" ca="1" si="52"/>
        <v/>
      </c>
      <c r="O831" s="3"/>
      <c r="Q831" s="92" t="str">
        <f t="shared" si="51"/>
        <v/>
      </c>
      <c r="R831" s="98">
        <f>SUMIFS('Booking Management'!J:J,'Booking Management'!B:B,'Sales Orders'!A831)</f>
        <v>0</v>
      </c>
      <c r="S831" s="99" t="str">
        <f t="shared" si="50"/>
        <v/>
      </c>
      <c r="Y831" s="98" t="str">
        <f t="shared" si="53"/>
        <v/>
      </c>
    </row>
    <row r="832" spans="1:25">
      <c r="A832" s="23"/>
      <c r="F832" s="37"/>
      <c r="H832" s="3"/>
      <c r="J832" s="109" t="str">
        <f>IF(C832&lt;&gt;"",SUMIFS('Booking Management'!Y:Y,'Booking Management'!B:B,'Sales Orders'!A832),"")</f>
        <v/>
      </c>
      <c r="M832" s="92" t="str">
        <f t="shared" ca="1" si="52"/>
        <v/>
      </c>
      <c r="O832" s="3"/>
      <c r="Q832" s="92" t="str">
        <f t="shared" si="51"/>
        <v/>
      </c>
      <c r="R832" s="98">
        <f>SUMIFS('Booking Management'!J:J,'Booking Management'!B:B,'Sales Orders'!A832)</f>
        <v>0</v>
      </c>
      <c r="S832" s="99" t="str">
        <f t="shared" si="50"/>
        <v/>
      </c>
      <c r="Y832" s="98" t="str">
        <f t="shared" si="53"/>
        <v/>
      </c>
    </row>
    <row r="833" spans="1:25">
      <c r="A833" s="23"/>
      <c r="F833" s="37"/>
      <c r="H833" s="3"/>
      <c r="J833" s="109" t="str">
        <f>IF(C833&lt;&gt;"",SUMIFS('Booking Management'!Y:Y,'Booking Management'!B:B,'Sales Orders'!A833),"")</f>
        <v/>
      </c>
      <c r="M833" s="92" t="str">
        <f t="shared" ca="1" si="52"/>
        <v/>
      </c>
      <c r="O833" s="3"/>
      <c r="Q833" s="92" t="str">
        <f t="shared" si="51"/>
        <v/>
      </c>
      <c r="R833" s="98">
        <f>SUMIFS('Booking Management'!J:J,'Booking Management'!B:B,'Sales Orders'!A833)</f>
        <v>0</v>
      </c>
      <c r="S833" s="99" t="str">
        <f t="shared" si="50"/>
        <v/>
      </c>
      <c r="Y833" s="98" t="str">
        <f t="shared" si="53"/>
        <v/>
      </c>
    </row>
    <row r="834" spans="1:25">
      <c r="A834" s="23"/>
      <c r="F834" s="37"/>
      <c r="H834" s="3"/>
      <c r="J834" s="109" t="str">
        <f>IF(C834&lt;&gt;"",SUMIFS('Booking Management'!Y:Y,'Booking Management'!B:B,'Sales Orders'!A834),"")</f>
        <v/>
      </c>
      <c r="M834" s="92" t="str">
        <f t="shared" ca="1" si="52"/>
        <v/>
      </c>
      <c r="O834" s="3"/>
      <c r="Q834" s="92" t="str">
        <f t="shared" si="51"/>
        <v/>
      </c>
      <c r="R834" s="98">
        <f>SUMIFS('Booking Management'!J:J,'Booking Management'!B:B,'Sales Orders'!A834)</f>
        <v>0</v>
      </c>
      <c r="S834" s="99" t="str">
        <f t="shared" si="50"/>
        <v/>
      </c>
      <c r="Y834" s="98" t="str">
        <f t="shared" si="53"/>
        <v/>
      </c>
    </row>
    <row r="835" spans="1:25">
      <c r="A835" s="23"/>
      <c r="F835" s="37"/>
      <c r="H835" s="3"/>
      <c r="J835" s="109" t="str">
        <f>IF(C835&lt;&gt;"",SUMIFS('Booking Management'!Y:Y,'Booking Management'!B:B,'Sales Orders'!A835),"")</f>
        <v/>
      </c>
      <c r="M835" s="92" t="str">
        <f t="shared" ca="1" si="52"/>
        <v/>
      </c>
      <c r="O835" s="3"/>
      <c r="Q835" s="92" t="str">
        <f t="shared" si="51"/>
        <v/>
      </c>
      <c r="R835" s="98">
        <f>SUMIFS('Booking Management'!J:J,'Booking Management'!B:B,'Sales Orders'!A835)</f>
        <v>0</v>
      </c>
      <c r="S835" s="99" t="str">
        <f t="shared" si="50"/>
        <v/>
      </c>
      <c r="Y835" s="98" t="str">
        <f t="shared" si="53"/>
        <v/>
      </c>
    </row>
    <row r="836" spans="1:25">
      <c r="A836" s="23"/>
      <c r="F836" s="37"/>
      <c r="H836" s="3"/>
      <c r="J836" s="109" t="str">
        <f>IF(C836&lt;&gt;"",SUMIFS('Booking Management'!Y:Y,'Booking Management'!B:B,'Sales Orders'!A836),"")</f>
        <v/>
      </c>
      <c r="M836" s="92" t="str">
        <f t="shared" ca="1" si="52"/>
        <v/>
      </c>
      <c r="O836" s="3"/>
      <c r="Q836" s="92" t="str">
        <f t="shared" si="51"/>
        <v/>
      </c>
      <c r="R836" s="98">
        <f>SUMIFS('Booking Management'!J:J,'Booking Management'!B:B,'Sales Orders'!A836)</f>
        <v>0</v>
      </c>
      <c r="S836" s="99" t="str">
        <f t="shared" ref="S836:S899" si="54">IF(R836&gt;0,(R836/D836)*N836,"")</f>
        <v/>
      </c>
      <c r="Y836" s="98" t="str">
        <f t="shared" si="53"/>
        <v/>
      </c>
    </row>
    <row r="837" spans="1:25">
      <c r="A837" s="23"/>
      <c r="F837" s="37"/>
      <c r="H837" s="3"/>
      <c r="J837" s="109" t="str">
        <f>IF(C837&lt;&gt;"",SUMIFS('Booking Management'!Y:Y,'Booking Management'!B:B,'Sales Orders'!A837),"")</f>
        <v/>
      </c>
      <c r="M837" s="92" t="str">
        <f t="shared" ca="1" si="52"/>
        <v/>
      </c>
      <c r="O837" s="3"/>
      <c r="Q837" s="92" t="str">
        <f t="shared" si="51"/>
        <v/>
      </c>
      <c r="R837" s="98">
        <f>SUMIFS('Booking Management'!J:J,'Booking Management'!B:B,'Sales Orders'!A837)</f>
        <v>0</v>
      </c>
      <c r="S837" s="99" t="str">
        <f t="shared" si="54"/>
        <v/>
      </c>
      <c r="Y837" s="98" t="str">
        <f t="shared" si="53"/>
        <v/>
      </c>
    </row>
    <row r="838" spans="1:25">
      <c r="A838" s="23"/>
      <c r="F838" s="37"/>
      <c r="H838" s="3"/>
      <c r="J838" s="109" t="str">
        <f>IF(C838&lt;&gt;"",SUMIFS('Booking Management'!Y:Y,'Booking Management'!B:B,'Sales Orders'!A838),"")</f>
        <v/>
      </c>
      <c r="M838" s="92" t="str">
        <f t="shared" ca="1" si="52"/>
        <v/>
      </c>
      <c r="O838" s="3"/>
      <c r="Q838" s="92" t="str">
        <f t="shared" ref="Q838:Q901" si="55">IF(C838&lt;&gt;"",IF(OR(K838="",P838=""),"alert",""),"")</f>
        <v/>
      </c>
      <c r="R838" s="98">
        <f>SUMIFS('Booking Management'!J:J,'Booking Management'!B:B,'Sales Orders'!A838)</f>
        <v>0</v>
      </c>
      <c r="S838" s="99" t="str">
        <f t="shared" si="54"/>
        <v/>
      </c>
      <c r="Y838" s="98" t="str">
        <f t="shared" si="53"/>
        <v/>
      </c>
    </row>
    <row r="839" spans="1:25">
      <c r="A839" s="23"/>
      <c r="F839" s="37"/>
      <c r="H839" s="3"/>
      <c r="J839" s="109" t="str">
        <f>IF(C839&lt;&gt;"",SUMIFS('Booking Management'!Y:Y,'Booking Management'!B:B,'Sales Orders'!A839),"")</f>
        <v/>
      </c>
      <c r="M839" s="92" t="str">
        <f t="shared" ref="M839:M902" ca="1" si="56">IFERROR(IF(K839&lt;&gt;"",IF(AND(_xlfn.NUMBERVALUE(J839)/_xlfn.NUMBERVALUE(D839) &lt;1,K839-TODAY()&lt;2,L839&lt;&gt;"yes"),"alert",""),""),"")</f>
        <v/>
      </c>
      <c r="O839" s="3"/>
      <c r="Q839" s="92" t="str">
        <f t="shared" si="55"/>
        <v/>
      </c>
      <c r="R839" s="98">
        <f>SUMIFS('Booking Management'!J:J,'Booking Management'!B:B,'Sales Orders'!A839)</f>
        <v>0</v>
      </c>
      <c r="S839" s="99" t="str">
        <f t="shared" si="54"/>
        <v/>
      </c>
      <c r="Y839" s="98" t="str">
        <f t="shared" si="53"/>
        <v/>
      </c>
    </row>
    <row r="840" spans="1:25">
      <c r="A840" s="23"/>
      <c r="F840" s="37"/>
      <c r="H840" s="3"/>
      <c r="J840" s="109" t="str">
        <f>IF(C840&lt;&gt;"",SUMIFS('Booking Management'!Y:Y,'Booking Management'!B:B,'Sales Orders'!A840),"")</f>
        <v/>
      </c>
      <c r="M840" s="92" t="str">
        <f t="shared" ca="1" si="56"/>
        <v/>
      </c>
      <c r="O840" s="3"/>
      <c r="Q840" s="92" t="str">
        <f t="shared" si="55"/>
        <v/>
      </c>
      <c r="R840" s="98">
        <f>SUMIFS('Booking Management'!J:J,'Booking Management'!B:B,'Sales Orders'!A840)</f>
        <v>0</v>
      </c>
      <c r="S840" s="99" t="str">
        <f t="shared" si="54"/>
        <v/>
      </c>
      <c r="Y840" s="98" t="str">
        <f t="shared" si="53"/>
        <v/>
      </c>
    </row>
    <row r="841" spans="1:25">
      <c r="A841" s="23"/>
      <c r="F841" s="37"/>
      <c r="H841" s="3"/>
      <c r="J841" s="109" t="str">
        <f>IF(C841&lt;&gt;"",SUMIFS('Booking Management'!Y:Y,'Booking Management'!B:B,'Sales Orders'!A841),"")</f>
        <v/>
      </c>
      <c r="M841" s="92" t="str">
        <f t="shared" ca="1" si="56"/>
        <v/>
      </c>
      <c r="O841" s="3"/>
      <c r="Q841" s="92" t="str">
        <f t="shared" si="55"/>
        <v/>
      </c>
      <c r="R841" s="98">
        <f>SUMIFS('Booking Management'!J:J,'Booking Management'!B:B,'Sales Orders'!A841)</f>
        <v>0</v>
      </c>
      <c r="S841" s="99" t="str">
        <f t="shared" si="54"/>
        <v/>
      </c>
      <c r="Y841" s="98" t="str">
        <f t="shared" si="53"/>
        <v/>
      </c>
    </row>
    <row r="842" spans="1:25">
      <c r="A842" s="23"/>
      <c r="F842" s="37"/>
      <c r="H842" s="3"/>
      <c r="J842" s="109" t="str">
        <f>IF(C842&lt;&gt;"",SUMIFS('Booking Management'!Y:Y,'Booking Management'!B:B,'Sales Orders'!A842),"")</f>
        <v/>
      </c>
      <c r="M842" s="92" t="str">
        <f t="shared" ca="1" si="56"/>
        <v/>
      </c>
      <c r="O842" s="3"/>
      <c r="Q842" s="92" t="str">
        <f t="shared" si="55"/>
        <v/>
      </c>
      <c r="R842" s="98">
        <f>SUMIFS('Booking Management'!J:J,'Booking Management'!B:B,'Sales Orders'!A842)</f>
        <v>0</v>
      </c>
      <c r="S842" s="99" t="str">
        <f t="shared" si="54"/>
        <v/>
      </c>
      <c r="Y842" s="98" t="str">
        <f t="shared" si="53"/>
        <v/>
      </c>
    </row>
    <row r="843" spans="1:25">
      <c r="A843" s="23"/>
      <c r="F843" s="37"/>
      <c r="H843" s="3"/>
      <c r="J843" s="109" t="str">
        <f>IF(C843&lt;&gt;"",SUMIFS('Booking Management'!Y:Y,'Booking Management'!B:B,'Sales Orders'!A843),"")</f>
        <v/>
      </c>
      <c r="M843" s="92" t="str">
        <f t="shared" ca="1" si="56"/>
        <v/>
      </c>
      <c r="O843" s="3"/>
      <c r="Q843" s="92" t="str">
        <f t="shared" si="55"/>
        <v/>
      </c>
      <c r="R843" s="98">
        <f>SUMIFS('Booking Management'!J:J,'Booking Management'!B:B,'Sales Orders'!A843)</f>
        <v>0</v>
      </c>
      <c r="S843" s="99" t="str">
        <f t="shared" si="54"/>
        <v/>
      </c>
      <c r="Y843" s="98" t="str">
        <f t="shared" si="53"/>
        <v/>
      </c>
    </row>
    <row r="844" spans="1:25">
      <c r="A844" s="23"/>
      <c r="F844" s="37"/>
      <c r="H844" s="3"/>
      <c r="J844" s="109" t="str">
        <f>IF(C844&lt;&gt;"",SUMIFS('Booking Management'!Y:Y,'Booking Management'!B:B,'Sales Orders'!A844),"")</f>
        <v/>
      </c>
      <c r="M844" s="92" t="str">
        <f t="shared" ca="1" si="56"/>
        <v/>
      </c>
      <c r="O844" s="3"/>
      <c r="Q844" s="92" t="str">
        <f t="shared" si="55"/>
        <v/>
      </c>
      <c r="R844" s="98">
        <f>SUMIFS('Booking Management'!J:J,'Booking Management'!B:B,'Sales Orders'!A844)</f>
        <v>0</v>
      </c>
      <c r="S844" s="99" t="str">
        <f t="shared" si="54"/>
        <v/>
      </c>
      <c r="Y844" s="98" t="str">
        <f t="shared" si="53"/>
        <v/>
      </c>
    </row>
    <row r="845" spans="1:25">
      <c r="A845" s="23"/>
      <c r="F845" s="37"/>
      <c r="H845" s="3"/>
      <c r="J845" s="109" t="str">
        <f>IF(C845&lt;&gt;"",SUMIFS('Booking Management'!Y:Y,'Booking Management'!B:B,'Sales Orders'!A845),"")</f>
        <v/>
      </c>
      <c r="M845" s="92" t="str">
        <f t="shared" ca="1" si="56"/>
        <v/>
      </c>
      <c r="O845" s="3"/>
      <c r="Q845" s="92" t="str">
        <f t="shared" si="55"/>
        <v/>
      </c>
      <c r="R845" s="98">
        <f>SUMIFS('Booking Management'!J:J,'Booking Management'!B:B,'Sales Orders'!A845)</f>
        <v>0</v>
      </c>
      <c r="S845" s="99" t="str">
        <f t="shared" si="54"/>
        <v/>
      </c>
      <c r="Y845" s="98" t="str">
        <f t="shared" si="53"/>
        <v/>
      </c>
    </row>
    <row r="846" spans="1:25">
      <c r="A846" s="23"/>
      <c r="F846" s="37"/>
      <c r="H846" s="3"/>
      <c r="J846" s="109" t="str">
        <f>IF(C846&lt;&gt;"",SUMIFS('Booking Management'!Y:Y,'Booking Management'!B:B,'Sales Orders'!A846),"")</f>
        <v/>
      </c>
      <c r="M846" s="92" t="str">
        <f t="shared" ca="1" si="56"/>
        <v/>
      </c>
      <c r="O846" s="3"/>
      <c r="Q846" s="92" t="str">
        <f t="shared" si="55"/>
        <v/>
      </c>
      <c r="R846" s="98">
        <f>SUMIFS('Booking Management'!J:J,'Booking Management'!B:B,'Sales Orders'!A846)</f>
        <v>0</v>
      </c>
      <c r="S846" s="99" t="str">
        <f t="shared" si="54"/>
        <v/>
      </c>
      <c r="Y846" s="98" t="str">
        <f t="shared" si="53"/>
        <v/>
      </c>
    </row>
    <row r="847" spans="1:25">
      <c r="A847" s="23"/>
      <c r="F847" s="37"/>
      <c r="H847" s="3"/>
      <c r="J847" s="109" t="str">
        <f>IF(C847&lt;&gt;"",SUMIFS('Booking Management'!Y:Y,'Booking Management'!B:B,'Sales Orders'!A847),"")</f>
        <v/>
      </c>
      <c r="M847" s="92" t="str">
        <f t="shared" ca="1" si="56"/>
        <v/>
      </c>
      <c r="O847" s="3"/>
      <c r="Q847" s="92" t="str">
        <f t="shared" si="55"/>
        <v/>
      </c>
      <c r="R847" s="98">
        <f>SUMIFS('Booking Management'!J:J,'Booking Management'!B:B,'Sales Orders'!A847)</f>
        <v>0</v>
      </c>
      <c r="S847" s="99" t="str">
        <f t="shared" si="54"/>
        <v/>
      </c>
      <c r="Y847" s="98" t="str">
        <f t="shared" si="53"/>
        <v/>
      </c>
    </row>
    <row r="848" spans="1:25">
      <c r="A848" s="23"/>
      <c r="F848" s="37"/>
      <c r="H848" s="3"/>
      <c r="J848" s="109" t="str">
        <f>IF(C848&lt;&gt;"",SUMIFS('Booking Management'!Y:Y,'Booking Management'!B:B,'Sales Orders'!A848),"")</f>
        <v/>
      </c>
      <c r="M848" s="92" t="str">
        <f t="shared" ca="1" si="56"/>
        <v/>
      </c>
      <c r="O848" s="3"/>
      <c r="Q848" s="92" t="str">
        <f t="shared" si="55"/>
        <v/>
      </c>
      <c r="R848" s="98">
        <f>SUMIFS('Booking Management'!J:J,'Booking Management'!B:B,'Sales Orders'!A848)</f>
        <v>0</v>
      </c>
      <c r="S848" s="99" t="str">
        <f t="shared" si="54"/>
        <v/>
      </c>
      <c r="Y848" s="98" t="str">
        <f t="shared" si="53"/>
        <v/>
      </c>
    </row>
    <row r="849" spans="1:25">
      <c r="A849" s="23"/>
      <c r="F849" s="37"/>
      <c r="H849" s="3"/>
      <c r="J849" s="109" t="str">
        <f>IF(C849&lt;&gt;"",SUMIFS('Booking Management'!Y:Y,'Booking Management'!B:B,'Sales Orders'!A849),"")</f>
        <v/>
      </c>
      <c r="M849" s="92" t="str">
        <f t="shared" ca="1" si="56"/>
        <v/>
      </c>
      <c r="O849" s="3"/>
      <c r="Q849" s="92" t="str">
        <f t="shared" si="55"/>
        <v/>
      </c>
      <c r="R849" s="98">
        <f>SUMIFS('Booking Management'!J:J,'Booking Management'!B:B,'Sales Orders'!A849)</f>
        <v>0</v>
      </c>
      <c r="S849" s="99" t="str">
        <f t="shared" si="54"/>
        <v/>
      </c>
      <c r="Y849" s="98" t="str">
        <f t="shared" si="53"/>
        <v/>
      </c>
    </row>
    <row r="850" spans="1:25">
      <c r="A850" s="23"/>
      <c r="F850" s="37"/>
      <c r="H850" s="3"/>
      <c r="J850" s="109" t="str">
        <f>IF(C850&lt;&gt;"",SUMIFS('Booking Management'!Y:Y,'Booking Management'!B:B,'Sales Orders'!A850),"")</f>
        <v/>
      </c>
      <c r="M850" s="92" t="str">
        <f t="shared" ca="1" si="56"/>
        <v/>
      </c>
      <c r="O850" s="3"/>
      <c r="Q850" s="92" t="str">
        <f t="shared" si="55"/>
        <v/>
      </c>
      <c r="R850" s="98">
        <f>SUMIFS('Booking Management'!J:J,'Booking Management'!B:B,'Sales Orders'!A850)</f>
        <v>0</v>
      </c>
      <c r="S850" s="99" t="str">
        <f t="shared" si="54"/>
        <v/>
      </c>
      <c r="Y850" s="98" t="str">
        <f t="shared" si="53"/>
        <v/>
      </c>
    </row>
    <row r="851" spans="1:25">
      <c r="A851" s="23"/>
      <c r="F851" s="37"/>
      <c r="H851" s="3"/>
      <c r="J851" s="109" t="str">
        <f>IF(C851&lt;&gt;"",SUMIFS('Booking Management'!Y:Y,'Booking Management'!B:B,'Sales Orders'!A851),"")</f>
        <v/>
      </c>
      <c r="M851" s="92" t="str">
        <f t="shared" ca="1" si="56"/>
        <v/>
      </c>
      <c r="O851" s="3"/>
      <c r="Q851" s="92" t="str">
        <f t="shared" si="55"/>
        <v/>
      </c>
      <c r="R851" s="98">
        <f>SUMIFS('Booking Management'!J:J,'Booking Management'!B:B,'Sales Orders'!A851)</f>
        <v>0</v>
      </c>
      <c r="S851" s="99" t="str">
        <f t="shared" si="54"/>
        <v/>
      </c>
      <c r="Y851" s="98" t="str">
        <f t="shared" si="53"/>
        <v/>
      </c>
    </row>
    <row r="852" spans="1:25">
      <c r="A852" s="23"/>
      <c r="F852" s="37"/>
      <c r="H852" s="3"/>
      <c r="J852" s="109" t="str">
        <f>IF(C852&lt;&gt;"",SUMIFS('Booking Management'!Y:Y,'Booking Management'!B:B,'Sales Orders'!A852),"")</f>
        <v/>
      </c>
      <c r="M852" s="92" t="str">
        <f t="shared" ca="1" si="56"/>
        <v/>
      </c>
      <c r="O852" s="3"/>
      <c r="Q852" s="92" t="str">
        <f t="shared" si="55"/>
        <v/>
      </c>
      <c r="R852" s="98">
        <f>SUMIFS('Booking Management'!J:J,'Booking Management'!B:B,'Sales Orders'!A852)</f>
        <v>0</v>
      </c>
      <c r="S852" s="99" t="str">
        <f t="shared" si="54"/>
        <v/>
      </c>
      <c r="Y852" s="98" t="str">
        <f t="shared" si="53"/>
        <v/>
      </c>
    </row>
    <row r="853" spans="1:25">
      <c r="A853" s="23"/>
      <c r="F853" s="37"/>
      <c r="H853" s="3"/>
      <c r="J853" s="109" t="str">
        <f>IF(C853&lt;&gt;"",SUMIFS('Booking Management'!Y:Y,'Booking Management'!B:B,'Sales Orders'!A853),"")</f>
        <v/>
      </c>
      <c r="M853" s="92" t="str">
        <f t="shared" ca="1" si="56"/>
        <v/>
      </c>
      <c r="O853" s="3"/>
      <c r="Q853" s="92" t="str">
        <f t="shared" si="55"/>
        <v/>
      </c>
      <c r="R853" s="98">
        <f>SUMIFS('Booking Management'!J:J,'Booking Management'!B:B,'Sales Orders'!A853)</f>
        <v>0</v>
      </c>
      <c r="S853" s="99" t="str">
        <f t="shared" si="54"/>
        <v/>
      </c>
      <c r="Y853" s="98" t="str">
        <f t="shared" si="53"/>
        <v/>
      </c>
    </row>
    <row r="854" spans="1:25">
      <c r="A854" s="23"/>
      <c r="F854" s="37"/>
      <c r="H854" s="3"/>
      <c r="J854" s="109" t="str">
        <f>IF(C854&lt;&gt;"",SUMIFS('Booking Management'!Y:Y,'Booking Management'!B:B,'Sales Orders'!A854),"")</f>
        <v/>
      </c>
      <c r="M854" s="92" t="str">
        <f t="shared" ca="1" si="56"/>
        <v/>
      </c>
      <c r="O854" s="3"/>
      <c r="Q854" s="92" t="str">
        <f t="shared" si="55"/>
        <v/>
      </c>
      <c r="R854" s="98">
        <f>SUMIFS('Booking Management'!J:J,'Booking Management'!B:B,'Sales Orders'!A854)</f>
        <v>0</v>
      </c>
      <c r="S854" s="99" t="str">
        <f t="shared" si="54"/>
        <v/>
      </c>
      <c r="Y854" s="98" t="str">
        <f t="shared" si="53"/>
        <v/>
      </c>
    </row>
    <row r="855" spans="1:25">
      <c r="A855" s="23"/>
      <c r="F855" s="37"/>
      <c r="H855" s="3"/>
      <c r="J855" s="109" t="str">
        <f>IF(C855&lt;&gt;"",SUMIFS('Booking Management'!Y:Y,'Booking Management'!B:B,'Sales Orders'!A855),"")</f>
        <v/>
      </c>
      <c r="M855" s="92" t="str">
        <f t="shared" ca="1" si="56"/>
        <v/>
      </c>
      <c r="O855" s="3"/>
      <c r="Q855" s="92" t="str">
        <f t="shared" si="55"/>
        <v/>
      </c>
      <c r="R855" s="98">
        <f>SUMIFS('Booking Management'!J:J,'Booking Management'!B:B,'Sales Orders'!A855)</f>
        <v>0</v>
      </c>
      <c r="S855" s="99" t="str">
        <f t="shared" si="54"/>
        <v/>
      </c>
      <c r="Y855" s="98" t="str">
        <f t="shared" si="53"/>
        <v/>
      </c>
    </row>
    <row r="856" spans="1:25">
      <c r="A856" s="23"/>
      <c r="F856" s="37"/>
      <c r="H856" s="3"/>
      <c r="J856" s="109" t="str">
        <f>IF(C856&lt;&gt;"",SUMIFS('Booking Management'!Y:Y,'Booking Management'!B:B,'Sales Orders'!A856),"")</f>
        <v/>
      </c>
      <c r="M856" s="92" t="str">
        <f t="shared" ca="1" si="56"/>
        <v/>
      </c>
      <c r="O856" s="3"/>
      <c r="Q856" s="92" t="str">
        <f t="shared" si="55"/>
        <v/>
      </c>
      <c r="R856" s="98">
        <f>SUMIFS('Booking Management'!J:J,'Booking Management'!B:B,'Sales Orders'!A856)</f>
        <v>0</v>
      </c>
      <c r="S856" s="99" t="str">
        <f t="shared" si="54"/>
        <v/>
      </c>
      <c r="Y856" s="98" t="str">
        <f t="shared" si="53"/>
        <v/>
      </c>
    </row>
    <row r="857" spans="1:25">
      <c r="A857" s="23"/>
      <c r="F857" s="37"/>
      <c r="H857" s="3"/>
      <c r="J857" s="109" t="str">
        <f>IF(C857&lt;&gt;"",SUMIFS('Booking Management'!Y:Y,'Booking Management'!B:B,'Sales Orders'!A857),"")</f>
        <v/>
      </c>
      <c r="M857" s="92" t="str">
        <f t="shared" ca="1" si="56"/>
        <v/>
      </c>
      <c r="O857" s="3"/>
      <c r="Q857" s="92" t="str">
        <f t="shared" si="55"/>
        <v/>
      </c>
      <c r="R857" s="98">
        <f>SUMIFS('Booking Management'!J:J,'Booking Management'!B:B,'Sales Orders'!A857)</f>
        <v>0</v>
      </c>
      <c r="S857" s="99" t="str">
        <f t="shared" si="54"/>
        <v/>
      </c>
      <c r="Y857" s="98" t="str">
        <f t="shared" si="53"/>
        <v/>
      </c>
    </row>
    <row r="858" spans="1:25">
      <c r="A858" s="23"/>
      <c r="F858" s="37"/>
      <c r="H858" s="3"/>
      <c r="J858" s="109" t="str">
        <f>IF(C858&lt;&gt;"",SUMIFS('Booking Management'!Y:Y,'Booking Management'!B:B,'Sales Orders'!A858),"")</f>
        <v/>
      </c>
      <c r="M858" s="92" t="str">
        <f t="shared" ca="1" si="56"/>
        <v/>
      </c>
      <c r="O858" s="3"/>
      <c r="Q858" s="92" t="str">
        <f t="shared" si="55"/>
        <v/>
      </c>
      <c r="R858" s="98">
        <f>SUMIFS('Booking Management'!J:J,'Booking Management'!B:B,'Sales Orders'!A858)</f>
        <v>0</v>
      </c>
      <c r="S858" s="99" t="str">
        <f t="shared" si="54"/>
        <v/>
      </c>
      <c r="Y858" s="98" t="str">
        <f t="shared" si="53"/>
        <v/>
      </c>
    </row>
    <row r="859" spans="1:25">
      <c r="A859" s="23"/>
      <c r="F859" s="37"/>
      <c r="H859" s="3"/>
      <c r="J859" s="109" t="str">
        <f>IF(C859&lt;&gt;"",SUMIFS('Booking Management'!Y:Y,'Booking Management'!B:B,'Sales Orders'!A859),"")</f>
        <v/>
      </c>
      <c r="M859" s="92" t="str">
        <f t="shared" ca="1" si="56"/>
        <v/>
      </c>
      <c r="O859" s="3"/>
      <c r="Q859" s="92" t="str">
        <f t="shared" si="55"/>
        <v/>
      </c>
      <c r="R859" s="98">
        <f>SUMIFS('Booking Management'!J:J,'Booking Management'!B:B,'Sales Orders'!A859)</f>
        <v>0</v>
      </c>
      <c r="S859" s="99" t="str">
        <f t="shared" si="54"/>
        <v/>
      </c>
      <c r="Y859" s="98" t="str">
        <f t="shared" si="53"/>
        <v/>
      </c>
    </row>
    <row r="860" spans="1:25">
      <c r="A860" s="23"/>
      <c r="F860" s="37"/>
      <c r="H860" s="3"/>
      <c r="J860" s="109" t="str">
        <f>IF(C860&lt;&gt;"",SUMIFS('Booking Management'!Y:Y,'Booking Management'!B:B,'Sales Orders'!A860),"")</f>
        <v/>
      </c>
      <c r="M860" s="92" t="str">
        <f t="shared" ca="1" si="56"/>
        <v/>
      </c>
      <c r="O860" s="3"/>
      <c r="Q860" s="92" t="str">
        <f t="shared" si="55"/>
        <v/>
      </c>
      <c r="R860" s="98">
        <f>SUMIFS('Booking Management'!J:J,'Booking Management'!B:B,'Sales Orders'!A860)</f>
        <v>0</v>
      </c>
      <c r="S860" s="99" t="str">
        <f t="shared" si="54"/>
        <v/>
      </c>
      <c r="Y860" s="98" t="str">
        <f t="shared" si="53"/>
        <v/>
      </c>
    </row>
    <row r="861" spans="1:25">
      <c r="A861" s="23"/>
      <c r="F861" s="37"/>
      <c r="H861" s="3"/>
      <c r="J861" s="109" t="str">
        <f>IF(C861&lt;&gt;"",SUMIFS('Booking Management'!Y:Y,'Booking Management'!B:B,'Sales Orders'!A861),"")</f>
        <v/>
      </c>
      <c r="M861" s="92" t="str">
        <f t="shared" ca="1" si="56"/>
        <v/>
      </c>
      <c r="O861" s="3"/>
      <c r="Q861" s="92" t="str">
        <f t="shared" si="55"/>
        <v/>
      </c>
      <c r="R861" s="98">
        <f>SUMIFS('Booking Management'!J:J,'Booking Management'!B:B,'Sales Orders'!A861)</f>
        <v>0</v>
      </c>
      <c r="S861" s="99" t="str">
        <f t="shared" si="54"/>
        <v/>
      </c>
      <c r="Y861" s="98" t="str">
        <f t="shared" si="53"/>
        <v/>
      </c>
    </row>
    <row r="862" spans="1:25">
      <c r="A862" s="23"/>
      <c r="F862" s="37"/>
      <c r="H862" s="3"/>
      <c r="J862" s="109" t="str">
        <f>IF(C862&lt;&gt;"",SUMIFS('Booking Management'!Y:Y,'Booking Management'!B:B,'Sales Orders'!A862),"")</f>
        <v/>
      </c>
      <c r="M862" s="92" t="str">
        <f t="shared" ca="1" si="56"/>
        <v/>
      </c>
      <c r="O862" s="3"/>
      <c r="Q862" s="92" t="str">
        <f t="shared" si="55"/>
        <v/>
      </c>
      <c r="R862" s="98">
        <f>SUMIFS('Booking Management'!J:J,'Booking Management'!B:B,'Sales Orders'!A862)</f>
        <v>0</v>
      </c>
      <c r="S862" s="99" t="str">
        <f t="shared" si="54"/>
        <v/>
      </c>
      <c r="Y862" s="98" t="str">
        <f t="shared" si="53"/>
        <v/>
      </c>
    </row>
    <row r="863" spans="1:25">
      <c r="A863" s="23"/>
      <c r="F863" s="37"/>
      <c r="H863" s="3"/>
      <c r="J863" s="109" t="str">
        <f>IF(C863&lt;&gt;"",SUMIFS('Booking Management'!Y:Y,'Booking Management'!B:B,'Sales Orders'!A863),"")</f>
        <v/>
      </c>
      <c r="M863" s="92" t="str">
        <f t="shared" ca="1" si="56"/>
        <v/>
      </c>
      <c r="O863" s="3"/>
      <c r="Q863" s="92" t="str">
        <f t="shared" si="55"/>
        <v/>
      </c>
      <c r="R863" s="98">
        <f>SUMIFS('Booking Management'!J:J,'Booking Management'!B:B,'Sales Orders'!A863)</f>
        <v>0</v>
      </c>
      <c r="S863" s="99" t="str">
        <f t="shared" si="54"/>
        <v/>
      </c>
      <c r="Y863" s="98" t="str">
        <f t="shared" si="53"/>
        <v/>
      </c>
    </row>
    <row r="864" spans="1:25">
      <c r="A864" s="23"/>
      <c r="F864" s="37"/>
      <c r="H864" s="3"/>
      <c r="J864" s="109" t="str">
        <f>IF(C864&lt;&gt;"",SUMIFS('Booking Management'!Y:Y,'Booking Management'!B:B,'Sales Orders'!A864),"")</f>
        <v/>
      </c>
      <c r="M864" s="92" t="str">
        <f t="shared" ca="1" si="56"/>
        <v/>
      </c>
      <c r="O864" s="3"/>
      <c r="Q864" s="92" t="str">
        <f t="shared" si="55"/>
        <v/>
      </c>
      <c r="R864" s="98">
        <f>SUMIFS('Booking Management'!J:J,'Booking Management'!B:B,'Sales Orders'!A864)</f>
        <v>0</v>
      </c>
      <c r="S864" s="99" t="str">
        <f t="shared" si="54"/>
        <v/>
      </c>
      <c r="Y864" s="98" t="str">
        <f t="shared" si="53"/>
        <v/>
      </c>
    </row>
    <row r="865" spans="1:25">
      <c r="A865" s="23"/>
      <c r="F865" s="37"/>
      <c r="H865" s="3"/>
      <c r="J865" s="109" t="str">
        <f>IF(C865&lt;&gt;"",SUMIFS('Booking Management'!Y:Y,'Booking Management'!B:B,'Sales Orders'!A865),"")</f>
        <v/>
      </c>
      <c r="M865" s="92" t="str">
        <f t="shared" ca="1" si="56"/>
        <v/>
      </c>
      <c r="O865" s="3"/>
      <c r="Q865" s="92" t="str">
        <f t="shared" si="55"/>
        <v/>
      </c>
      <c r="R865" s="98">
        <f>SUMIFS('Booking Management'!J:J,'Booking Management'!B:B,'Sales Orders'!A865)</f>
        <v>0</v>
      </c>
      <c r="S865" s="99" t="str">
        <f t="shared" si="54"/>
        <v/>
      </c>
      <c r="Y865" s="98" t="str">
        <f t="shared" si="53"/>
        <v/>
      </c>
    </row>
    <row r="866" spans="1:25">
      <c r="A866" s="23"/>
      <c r="F866" s="37"/>
      <c r="H866" s="3"/>
      <c r="J866" s="109" t="str">
        <f>IF(C866&lt;&gt;"",SUMIFS('Booking Management'!Y:Y,'Booking Management'!B:B,'Sales Orders'!A866),"")</f>
        <v/>
      </c>
      <c r="M866" s="92" t="str">
        <f t="shared" ca="1" si="56"/>
        <v/>
      </c>
      <c r="O866" s="3"/>
      <c r="Q866" s="92" t="str">
        <f t="shared" si="55"/>
        <v/>
      </c>
      <c r="R866" s="98">
        <f>SUMIFS('Booking Management'!J:J,'Booking Management'!B:B,'Sales Orders'!A866)</f>
        <v>0</v>
      </c>
      <c r="S866" s="99" t="str">
        <f t="shared" si="54"/>
        <v/>
      </c>
      <c r="Y866" s="98" t="str">
        <f t="shared" si="53"/>
        <v/>
      </c>
    </row>
    <row r="867" spans="1:25">
      <c r="A867" s="23"/>
      <c r="F867" s="37"/>
      <c r="H867" s="3"/>
      <c r="J867" s="109" t="str">
        <f>IF(C867&lt;&gt;"",SUMIFS('Booking Management'!Y:Y,'Booking Management'!B:B,'Sales Orders'!A867),"")</f>
        <v/>
      </c>
      <c r="M867" s="92" t="str">
        <f t="shared" ca="1" si="56"/>
        <v/>
      </c>
      <c r="O867" s="3"/>
      <c r="Q867" s="92" t="str">
        <f t="shared" si="55"/>
        <v/>
      </c>
      <c r="R867" s="98">
        <f>SUMIFS('Booking Management'!J:J,'Booking Management'!B:B,'Sales Orders'!A867)</f>
        <v>0</v>
      </c>
      <c r="S867" s="99" t="str">
        <f t="shared" si="54"/>
        <v/>
      </c>
      <c r="Y867" s="98" t="str">
        <f t="shared" si="53"/>
        <v/>
      </c>
    </row>
    <row r="868" spans="1:25">
      <c r="A868" s="23"/>
      <c r="F868" s="37"/>
      <c r="H868" s="3"/>
      <c r="J868" s="109" t="str">
        <f>IF(C868&lt;&gt;"",SUMIFS('Booking Management'!Y:Y,'Booking Management'!B:B,'Sales Orders'!A868),"")</f>
        <v/>
      </c>
      <c r="M868" s="92" t="str">
        <f t="shared" ca="1" si="56"/>
        <v/>
      </c>
      <c r="O868" s="3"/>
      <c r="Q868" s="92" t="str">
        <f t="shared" si="55"/>
        <v/>
      </c>
      <c r="R868" s="98">
        <f>SUMIFS('Booking Management'!J:J,'Booking Management'!B:B,'Sales Orders'!A868)</f>
        <v>0</v>
      </c>
      <c r="S868" s="99" t="str">
        <f t="shared" si="54"/>
        <v/>
      </c>
      <c r="Y868" s="98" t="str">
        <f t="shared" si="53"/>
        <v/>
      </c>
    </row>
    <row r="869" spans="1:25">
      <c r="A869" s="23"/>
      <c r="F869" s="37"/>
      <c r="H869" s="3"/>
      <c r="J869" s="109" t="str">
        <f>IF(C869&lt;&gt;"",SUMIFS('Booking Management'!Y:Y,'Booking Management'!B:B,'Sales Orders'!A869),"")</f>
        <v/>
      </c>
      <c r="M869" s="92" t="str">
        <f t="shared" ca="1" si="56"/>
        <v/>
      </c>
      <c r="O869" s="3"/>
      <c r="Q869" s="92" t="str">
        <f t="shared" si="55"/>
        <v/>
      </c>
      <c r="R869" s="98">
        <f>SUMIFS('Booking Management'!J:J,'Booking Management'!B:B,'Sales Orders'!A869)</f>
        <v>0</v>
      </c>
      <c r="S869" s="99" t="str">
        <f t="shared" si="54"/>
        <v/>
      </c>
      <c r="Y869" s="98" t="str">
        <f t="shared" si="53"/>
        <v/>
      </c>
    </row>
    <row r="870" spans="1:25">
      <c r="A870" s="23"/>
      <c r="F870" s="37"/>
      <c r="H870" s="3"/>
      <c r="J870" s="109" t="str">
        <f>IF(C870&lt;&gt;"",SUMIFS('Booking Management'!Y:Y,'Booking Management'!B:B,'Sales Orders'!A870),"")</f>
        <v/>
      </c>
      <c r="M870" s="92" t="str">
        <f t="shared" ca="1" si="56"/>
        <v/>
      </c>
      <c r="O870" s="3"/>
      <c r="Q870" s="92" t="str">
        <f t="shared" si="55"/>
        <v/>
      </c>
      <c r="R870" s="98">
        <f>SUMIFS('Booking Management'!J:J,'Booking Management'!B:B,'Sales Orders'!A870)</f>
        <v>0</v>
      </c>
      <c r="S870" s="99" t="str">
        <f t="shared" si="54"/>
        <v/>
      </c>
      <c r="Y870" s="98" t="str">
        <f t="shared" si="53"/>
        <v/>
      </c>
    </row>
    <row r="871" spans="1:25">
      <c r="A871" s="23"/>
      <c r="F871" s="37"/>
      <c r="H871" s="3"/>
      <c r="J871" s="109" t="str">
        <f>IF(C871&lt;&gt;"",SUMIFS('Booking Management'!Y:Y,'Booking Management'!B:B,'Sales Orders'!A871),"")</f>
        <v/>
      </c>
      <c r="M871" s="92" t="str">
        <f t="shared" ca="1" si="56"/>
        <v/>
      </c>
      <c r="O871" s="3"/>
      <c r="Q871" s="92" t="str">
        <f t="shared" si="55"/>
        <v/>
      </c>
      <c r="R871" s="98">
        <f>SUMIFS('Booking Management'!J:J,'Booking Management'!B:B,'Sales Orders'!A871)</f>
        <v>0</v>
      </c>
      <c r="S871" s="99" t="str">
        <f t="shared" si="54"/>
        <v/>
      </c>
      <c r="Y871" s="98" t="str">
        <f t="shared" si="53"/>
        <v/>
      </c>
    </row>
    <row r="872" spans="1:25">
      <c r="A872" s="23"/>
      <c r="F872" s="37"/>
      <c r="H872" s="3"/>
      <c r="J872" s="109" t="str">
        <f>IF(C872&lt;&gt;"",SUMIFS('Booking Management'!Y:Y,'Booking Management'!B:B,'Sales Orders'!A872),"")</f>
        <v/>
      </c>
      <c r="M872" s="92" t="str">
        <f t="shared" ca="1" si="56"/>
        <v/>
      </c>
      <c r="O872" s="3"/>
      <c r="Q872" s="92" t="str">
        <f t="shared" si="55"/>
        <v/>
      </c>
      <c r="R872" s="98">
        <f>SUMIFS('Booking Management'!J:J,'Booking Management'!B:B,'Sales Orders'!A872)</f>
        <v>0</v>
      </c>
      <c r="S872" s="99" t="str">
        <f t="shared" si="54"/>
        <v/>
      </c>
      <c r="Y872" s="98" t="str">
        <f t="shared" si="53"/>
        <v/>
      </c>
    </row>
    <row r="873" spans="1:25">
      <c r="A873" s="23"/>
      <c r="F873" s="37"/>
      <c r="H873" s="3"/>
      <c r="J873" s="109" t="str">
        <f>IF(C873&lt;&gt;"",SUMIFS('Booking Management'!Y:Y,'Booking Management'!B:B,'Sales Orders'!A873),"")</f>
        <v/>
      </c>
      <c r="M873" s="92" t="str">
        <f t="shared" ca="1" si="56"/>
        <v/>
      </c>
      <c r="O873" s="3"/>
      <c r="Q873" s="92" t="str">
        <f t="shared" si="55"/>
        <v/>
      </c>
      <c r="R873" s="98">
        <f>SUMIFS('Booking Management'!J:J,'Booking Management'!B:B,'Sales Orders'!A873)</f>
        <v>0</v>
      </c>
      <c r="S873" s="99" t="str">
        <f t="shared" si="54"/>
        <v/>
      </c>
      <c r="Y873" s="98" t="str">
        <f t="shared" si="53"/>
        <v/>
      </c>
    </row>
    <row r="874" spans="1:25">
      <c r="A874" s="23"/>
      <c r="F874" s="37"/>
      <c r="H874" s="3"/>
      <c r="J874" s="109" t="str">
        <f>IF(C874&lt;&gt;"",SUMIFS('Booking Management'!Y:Y,'Booking Management'!B:B,'Sales Orders'!A874),"")</f>
        <v/>
      </c>
      <c r="M874" s="92" t="str">
        <f t="shared" ca="1" si="56"/>
        <v/>
      </c>
      <c r="O874" s="3"/>
      <c r="Q874" s="92" t="str">
        <f t="shared" si="55"/>
        <v/>
      </c>
      <c r="R874" s="98">
        <f>SUMIFS('Booking Management'!J:J,'Booking Management'!B:B,'Sales Orders'!A874)</f>
        <v>0</v>
      </c>
      <c r="S874" s="99" t="str">
        <f t="shared" si="54"/>
        <v/>
      </c>
      <c r="Y874" s="98" t="str">
        <f t="shared" ref="Y874:Y937" si="57">IF(D874&lt;&gt;"",D874-J874,"")</f>
        <v/>
      </c>
    </row>
    <row r="875" spans="1:25">
      <c r="A875" s="23"/>
      <c r="F875" s="37"/>
      <c r="H875" s="3"/>
      <c r="J875" s="109" t="str">
        <f>IF(C875&lt;&gt;"",SUMIFS('Booking Management'!Y:Y,'Booking Management'!B:B,'Sales Orders'!A875),"")</f>
        <v/>
      </c>
      <c r="M875" s="92" t="str">
        <f t="shared" ca="1" si="56"/>
        <v/>
      </c>
      <c r="O875" s="3"/>
      <c r="Q875" s="92" t="str">
        <f t="shared" si="55"/>
        <v/>
      </c>
      <c r="R875" s="98">
        <f>SUMIFS('Booking Management'!J:J,'Booking Management'!B:B,'Sales Orders'!A875)</f>
        <v>0</v>
      </c>
      <c r="S875" s="99" t="str">
        <f t="shared" si="54"/>
        <v/>
      </c>
      <c r="Y875" s="98" t="str">
        <f t="shared" si="57"/>
        <v/>
      </c>
    </row>
    <row r="876" spans="1:25">
      <c r="A876" s="23"/>
      <c r="F876" s="37"/>
      <c r="H876" s="3"/>
      <c r="J876" s="109" t="str">
        <f>IF(C876&lt;&gt;"",SUMIFS('Booking Management'!Y:Y,'Booking Management'!B:B,'Sales Orders'!A876),"")</f>
        <v/>
      </c>
      <c r="M876" s="92" t="str">
        <f t="shared" ca="1" si="56"/>
        <v/>
      </c>
      <c r="O876" s="3"/>
      <c r="Q876" s="92" t="str">
        <f t="shared" si="55"/>
        <v/>
      </c>
      <c r="R876" s="98">
        <f>SUMIFS('Booking Management'!J:J,'Booking Management'!B:B,'Sales Orders'!A876)</f>
        <v>0</v>
      </c>
      <c r="S876" s="99" t="str">
        <f t="shared" si="54"/>
        <v/>
      </c>
      <c r="Y876" s="98" t="str">
        <f t="shared" si="57"/>
        <v/>
      </c>
    </row>
    <row r="877" spans="1:25">
      <c r="A877" s="23"/>
      <c r="F877" s="37"/>
      <c r="H877" s="3"/>
      <c r="J877" s="109" t="str">
        <f>IF(C877&lt;&gt;"",SUMIFS('Booking Management'!Y:Y,'Booking Management'!B:B,'Sales Orders'!A877),"")</f>
        <v/>
      </c>
      <c r="M877" s="92" t="str">
        <f t="shared" ca="1" si="56"/>
        <v/>
      </c>
      <c r="O877" s="3"/>
      <c r="Q877" s="92" t="str">
        <f t="shared" si="55"/>
        <v/>
      </c>
      <c r="R877" s="98">
        <f>SUMIFS('Booking Management'!J:J,'Booking Management'!B:B,'Sales Orders'!A877)</f>
        <v>0</v>
      </c>
      <c r="S877" s="99" t="str">
        <f t="shared" si="54"/>
        <v/>
      </c>
      <c r="Y877" s="98" t="str">
        <f t="shared" si="57"/>
        <v/>
      </c>
    </row>
    <row r="878" spans="1:25">
      <c r="A878" s="23"/>
      <c r="F878" s="37"/>
      <c r="H878" s="3"/>
      <c r="J878" s="109" t="str">
        <f>IF(C878&lt;&gt;"",SUMIFS('Booking Management'!Y:Y,'Booking Management'!B:B,'Sales Orders'!A878),"")</f>
        <v/>
      </c>
      <c r="M878" s="92" t="str">
        <f t="shared" ca="1" si="56"/>
        <v/>
      </c>
      <c r="O878" s="3"/>
      <c r="Q878" s="92" t="str">
        <f t="shared" si="55"/>
        <v/>
      </c>
      <c r="R878" s="98">
        <f>SUMIFS('Booking Management'!J:J,'Booking Management'!B:B,'Sales Orders'!A878)</f>
        <v>0</v>
      </c>
      <c r="S878" s="99" t="str">
        <f t="shared" si="54"/>
        <v/>
      </c>
      <c r="Y878" s="98" t="str">
        <f t="shared" si="57"/>
        <v/>
      </c>
    </row>
    <row r="879" spans="1:25">
      <c r="A879" s="23"/>
      <c r="F879" s="37"/>
      <c r="H879" s="3"/>
      <c r="J879" s="109" t="str">
        <f>IF(C879&lt;&gt;"",SUMIFS('Booking Management'!Y:Y,'Booking Management'!B:B,'Sales Orders'!A879),"")</f>
        <v/>
      </c>
      <c r="M879" s="92" t="str">
        <f t="shared" ca="1" si="56"/>
        <v/>
      </c>
      <c r="O879" s="3"/>
      <c r="Q879" s="92" t="str">
        <f t="shared" si="55"/>
        <v/>
      </c>
      <c r="R879" s="98">
        <f>SUMIFS('Booking Management'!J:J,'Booking Management'!B:B,'Sales Orders'!A879)</f>
        <v>0</v>
      </c>
      <c r="S879" s="99" t="str">
        <f t="shared" si="54"/>
        <v/>
      </c>
      <c r="Y879" s="98" t="str">
        <f t="shared" si="57"/>
        <v/>
      </c>
    </row>
    <row r="880" spans="1:25">
      <c r="A880" s="23"/>
      <c r="F880" s="37"/>
      <c r="H880" s="3"/>
      <c r="J880" s="109" t="str">
        <f>IF(C880&lt;&gt;"",SUMIFS('Booking Management'!Y:Y,'Booking Management'!B:B,'Sales Orders'!A880),"")</f>
        <v/>
      </c>
      <c r="M880" s="92" t="str">
        <f t="shared" ca="1" si="56"/>
        <v/>
      </c>
      <c r="O880" s="3"/>
      <c r="Q880" s="92" t="str">
        <f t="shared" si="55"/>
        <v/>
      </c>
      <c r="R880" s="98">
        <f>SUMIFS('Booking Management'!J:J,'Booking Management'!B:B,'Sales Orders'!A880)</f>
        <v>0</v>
      </c>
      <c r="S880" s="99" t="str">
        <f t="shared" si="54"/>
        <v/>
      </c>
      <c r="Y880" s="98" t="str">
        <f t="shared" si="57"/>
        <v/>
      </c>
    </row>
    <row r="881" spans="1:25">
      <c r="A881" s="23"/>
      <c r="F881" s="37"/>
      <c r="H881" s="3"/>
      <c r="J881" s="109" t="str">
        <f>IF(C881&lt;&gt;"",SUMIFS('Booking Management'!Y:Y,'Booking Management'!B:B,'Sales Orders'!A881),"")</f>
        <v/>
      </c>
      <c r="M881" s="92" t="str">
        <f t="shared" ca="1" si="56"/>
        <v/>
      </c>
      <c r="O881" s="3"/>
      <c r="Q881" s="92" t="str">
        <f t="shared" si="55"/>
        <v/>
      </c>
      <c r="R881" s="98">
        <f>SUMIFS('Booking Management'!J:J,'Booking Management'!B:B,'Sales Orders'!A881)</f>
        <v>0</v>
      </c>
      <c r="S881" s="99" t="str">
        <f t="shared" si="54"/>
        <v/>
      </c>
      <c r="Y881" s="98" t="str">
        <f t="shared" si="57"/>
        <v/>
      </c>
    </row>
    <row r="882" spans="1:25">
      <c r="A882" s="23"/>
      <c r="F882" s="37"/>
      <c r="H882" s="3"/>
      <c r="J882" s="109" t="str">
        <f>IF(C882&lt;&gt;"",SUMIFS('Booking Management'!Y:Y,'Booking Management'!B:B,'Sales Orders'!A882),"")</f>
        <v/>
      </c>
      <c r="M882" s="92" t="str">
        <f t="shared" ca="1" si="56"/>
        <v/>
      </c>
      <c r="O882" s="3"/>
      <c r="Q882" s="92" t="str">
        <f t="shared" si="55"/>
        <v/>
      </c>
      <c r="R882" s="98">
        <f>SUMIFS('Booking Management'!J:J,'Booking Management'!B:B,'Sales Orders'!A882)</f>
        <v>0</v>
      </c>
      <c r="S882" s="99" t="str">
        <f t="shared" si="54"/>
        <v/>
      </c>
      <c r="Y882" s="98" t="str">
        <f t="shared" si="57"/>
        <v/>
      </c>
    </row>
    <row r="883" spans="1:25">
      <c r="A883" s="23"/>
      <c r="F883" s="37"/>
      <c r="H883" s="3"/>
      <c r="J883" s="109" t="str">
        <f>IF(C883&lt;&gt;"",SUMIFS('Booking Management'!Y:Y,'Booking Management'!B:B,'Sales Orders'!A883),"")</f>
        <v/>
      </c>
      <c r="M883" s="92" t="str">
        <f t="shared" ca="1" si="56"/>
        <v/>
      </c>
      <c r="O883" s="3"/>
      <c r="Q883" s="92" t="str">
        <f t="shared" si="55"/>
        <v/>
      </c>
      <c r="R883" s="98">
        <f>SUMIFS('Booking Management'!J:J,'Booking Management'!B:B,'Sales Orders'!A883)</f>
        <v>0</v>
      </c>
      <c r="S883" s="99" t="str">
        <f t="shared" si="54"/>
        <v/>
      </c>
      <c r="Y883" s="98" t="str">
        <f t="shared" si="57"/>
        <v/>
      </c>
    </row>
    <row r="884" spans="1:25">
      <c r="A884" s="23"/>
      <c r="F884" s="37"/>
      <c r="H884" s="3"/>
      <c r="J884" s="109" t="str">
        <f>IF(C884&lt;&gt;"",SUMIFS('Booking Management'!Y:Y,'Booking Management'!B:B,'Sales Orders'!A884),"")</f>
        <v/>
      </c>
      <c r="M884" s="92" t="str">
        <f t="shared" ca="1" si="56"/>
        <v/>
      </c>
      <c r="O884" s="3"/>
      <c r="Q884" s="92" t="str">
        <f t="shared" si="55"/>
        <v/>
      </c>
      <c r="R884" s="98">
        <f>SUMIFS('Booking Management'!J:J,'Booking Management'!B:B,'Sales Orders'!A884)</f>
        <v>0</v>
      </c>
      <c r="S884" s="99" t="str">
        <f t="shared" si="54"/>
        <v/>
      </c>
      <c r="Y884" s="98" t="str">
        <f t="shared" si="57"/>
        <v/>
      </c>
    </row>
    <row r="885" spans="1:25">
      <c r="A885" s="23"/>
      <c r="F885" s="37"/>
      <c r="H885" s="3"/>
      <c r="J885" s="109" t="str">
        <f>IF(C885&lt;&gt;"",SUMIFS('Booking Management'!Y:Y,'Booking Management'!B:B,'Sales Orders'!A885),"")</f>
        <v/>
      </c>
      <c r="M885" s="92" t="str">
        <f t="shared" ca="1" si="56"/>
        <v/>
      </c>
      <c r="O885" s="3"/>
      <c r="Q885" s="92" t="str">
        <f t="shared" si="55"/>
        <v/>
      </c>
      <c r="R885" s="98">
        <f>SUMIFS('Booking Management'!J:J,'Booking Management'!B:B,'Sales Orders'!A885)</f>
        <v>0</v>
      </c>
      <c r="S885" s="99" t="str">
        <f t="shared" si="54"/>
        <v/>
      </c>
      <c r="Y885" s="98" t="str">
        <f t="shared" si="57"/>
        <v/>
      </c>
    </row>
    <row r="886" spans="1:25">
      <c r="A886" s="23"/>
      <c r="F886" s="37"/>
      <c r="H886" s="3"/>
      <c r="J886" s="109" t="str">
        <f>IF(C886&lt;&gt;"",SUMIFS('Booking Management'!Y:Y,'Booking Management'!B:B,'Sales Orders'!A886),"")</f>
        <v/>
      </c>
      <c r="M886" s="92" t="str">
        <f t="shared" ca="1" si="56"/>
        <v/>
      </c>
      <c r="O886" s="3"/>
      <c r="Q886" s="92" t="str">
        <f t="shared" si="55"/>
        <v/>
      </c>
      <c r="R886" s="98">
        <f>SUMIFS('Booking Management'!J:J,'Booking Management'!B:B,'Sales Orders'!A886)</f>
        <v>0</v>
      </c>
      <c r="S886" s="99" t="str">
        <f t="shared" si="54"/>
        <v/>
      </c>
      <c r="Y886" s="98" t="str">
        <f t="shared" si="57"/>
        <v/>
      </c>
    </row>
    <row r="887" spans="1:25">
      <c r="A887" s="23"/>
      <c r="F887" s="37"/>
      <c r="H887" s="3"/>
      <c r="J887" s="109" t="str">
        <f>IF(C887&lt;&gt;"",SUMIFS('Booking Management'!Y:Y,'Booking Management'!B:B,'Sales Orders'!A887),"")</f>
        <v/>
      </c>
      <c r="M887" s="92" t="str">
        <f t="shared" ca="1" si="56"/>
        <v/>
      </c>
      <c r="O887" s="3"/>
      <c r="Q887" s="92" t="str">
        <f t="shared" si="55"/>
        <v/>
      </c>
      <c r="R887" s="98">
        <f>SUMIFS('Booking Management'!J:J,'Booking Management'!B:B,'Sales Orders'!A887)</f>
        <v>0</v>
      </c>
      <c r="S887" s="99" t="str">
        <f t="shared" si="54"/>
        <v/>
      </c>
      <c r="Y887" s="98" t="str">
        <f t="shared" si="57"/>
        <v/>
      </c>
    </row>
    <row r="888" spans="1:25">
      <c r="A888" s="23"/>
      <c r="F888" s="37"/>
      <c r="H888" s="3"/>
      <c r="J888" s="109" t="str">
        <f>IF(C888&lt;&gt;"",SUMIFS('Booking Management'!Y:Y,'Booking Management'!B:B,'Sales Orders'!A888),"")</f>
        <v/>
      </c>
      <c r="M888" s="92" t="str">
        <f t="shared" ca="1" si="56"/>
        <v/>
      </c>
      <c r="O888" s="3"/>
      <c r="Q888" s="92" t="str">
        <f t="shared" si="55"/>
        <v/>
      </c>
      <c r="R888" s="98">
        <f>SUMIFS('Booking Management'!J:J,'Booking Management'!B:B,'Sales Orders'!A888)</f>
        <v>0</v>
      </c>
      <c r="S888" s="99" t="str">
        <f t="shared" si="54"/>
        <v/>
      </c>
      <c r="Y888" s="98" t="str">
        <f t="shared" si="57"/>
        <v/>
      </c>
    </row>
    <row r="889" spans="1:25">
      <c r="A889" s="23"/>
      <c r="F889" s="37"/>
      <c r="H889" s="3"/>
      <c r="J889" s="109" t="str">
        <f>IF(C889&lt;&gt;"",SUMIFS('Booking Management'!Y:Y,'Booking Management'!B:B,'Sales Orders'!A889),"")</f>
        <v/>
      </c>
      <c r="M889" s="92" t="str">
        <f t="shared" ca="1" si="56"/>
        <v/>
      </c>
      <c r="O889" s="3"/>
      <c r="Q889" s="92" t="str">
        <f t="shared" si="55"/>
        <v/>
      </c>
      <c r="R889" s="98">
        <f>SUMIFS('Booking Management'!J:J,'Booking Management'!B:B,'Sales Orders'!A889)</f>
        <v>0</v>
      </c>
      <c r="S889" s="99" t="str">
        <f t="shared" si="54"/>
        <v/>
      </c>
      <c r="Y889" s="98" t="str">
        <f t="shared" si="57"/>
        <v/>
      </c>
    </row>
    <row r="890" spans="1:25">
      <c r="A890" s="23"/>
      <c r="F890" s="37"/>
      <c r="H890" s="3"/>
      <c r="J890" s="109" t="str">
        <f>IF(C890&lt;&gt;"",SUMIFS('Booking Management'!Y:Y,'Booking Management'!B:B,'Sales Orders'!A890),"")</f>
        <v/>
      </c>
      <c r="M890" s="92" t="str">
        <f t="shared" ca="1" si="56"/>
        <v/>
      </c>
      <c r="O890" s="3"/>
      <c r="Q890" s="92" t="str">
        <f t="shared" si="55"/>
        <v/>
      </c>
      <c r="R890" s="98">
        <f>SUMIFS('Booking Management'!J:J,'Booking Management'!B:B,'Sales Orders'!A890)</f>
        <v>0</v>
      </c>
      <c r="S890" s="99" t="str">
        <f t="shared" si="54"/>
        <v/>
      </c>
      <c r="Y890" s="98" t="str">
        <f t="shared" si="57"/>
        <v/>
      </c>
    </row>
    <row r="891" spans="1:25">
      <c r="A891" s="23"/>
      <c r="F891" s="37"/>
      <c r="H891" s="3"/>
      <c r="J891" s="109" t="str">
        <f>IF(C891&lt;&gt;"",SUMIFS('Booking Management'!Y:Y,'Booking Management'!B:B,'Sales Orders'!A891),"")</f>
        <v/>
      </c>
      <c r="M891" s="92" t="str">
        <f t="shared" ca="1" si="56"/>
        <v/>
      </c>
      <c r="O891" s="3"/>
      <c r="Q891" s="92" t="str">
        <f t="shared" si="55"/>
        <v/>
      </c>
      <c r="R891" s="98">
        <f>SUMIFS('Booking Management'!J:J,'Booking Management'!B:B,'Sales Orders'!A891)</f>
        <v>0</v>
      </c>
      <c r="S891" s="99" t="str">
        <f t="shared" si="54"/>
        <v/>
      </c>
      <c r="Y891" s="98" t="str">
        <f t="shared" si="57"/>
        <v/>
      </c>
    </row>
    <row r="892" spans="1:25">
      <c r="A892" s="23"/>
      <c r="F892" s="37"/>
      <c r="H892" s="3"/>
      <c r="J892" s="109" t="str">
        <f>IF(C892&lt;&gt;"",SUMIFS('Booking Management'!Y:Y,'Booking Management'!B:B,'Sales Orders'!A892),"")</f>
        <v/>
      </c>
      <c r="M892" s="92" t="str">
        <f t="shared" ca="1" si="56"/>
        <v/>
      </c>
      <c r="O892" s="3"/>
      <c r="Q892" s="92" t="str">
        <f t="shared" si="55"/>
        <v/>
      </c>
      <c r="R892" s="98">
        <f>SUMIFS('Booking Management'!J:J,'Booking Management'!B:B,'Sales Orders'!A892)</f>
        <v>0</v>
      </c>
      <c r="S892" s="99" t="str">
        <f t="shared" si="54"/>
        <v/>
      </c>
      <c r="Y892" s="98" t="str">
        <f t="shared" si="57"/>
        <v/>
      </c>
    </row>
    <row r="893" spans="1:25">
      <c r="A893" s="23"/>
      <c r="F893" s="37"/>
      <c r="H893" s="3"/>
      <c r="J893" s="109" t="str">
        <f>IF(C893&lt;&gt;"",SUMIFS('Booking Management'!Y:Y,'Booking Management'!B:B,'Sales Orders'!A893),"")</f>
        <v/>
      </c>
      <c r="M893" s="92" t="str">
        <f t="shared" ca="1" si="56"/>
        <v/>
      </c>
      <c r="O893" s="3"/>
      <c r="Q893" s="92" t="str">
        <f t="shared" si="55"/>
        <v/>
      </c>
      <c r="R893" s="98">
        <f>SUMIFS('Booking Management'!J:J,'Booking Management'!B:B,'Sales Orders'!A893)</f>
        <v>0</v>
      </c>
      <c r="S893" s="99" t="str">
        <f t="shared" si="54"/>
        <v/>
      </c>
      <c r="Y893" s="98" t="str">
        <f t="shared" si="57"/>
        <v/>
      </c>
    </row>
    <row r="894" spans="1:25">
      <c r="A894" s="23"/>
      <c r="F894" s="37"/>
      <c r="H894" s="3"/>
      <c r="J894" s="109" t="str">
        <f>IF(C894&lt;&gt;"",SUMIFS('Booking Management'!Y:Y,'Booking Management'!B:B,'Sales Orders'!A894),"")</f>
        <v/>
      </c>
      <c r="M894" s="92" t="str">
        <f t="shared" ca="1" si="56"/>
        <v/>
      </c>
      <c r="O894" s="3"/>
      <c r="Q894" s="92" t="str">
        <f t="shared" si="55"/>
        <v/>
      </c>
      <c r="R894" s="98">
        <f>SUMIFS('Booking Management'!J:J,'Booking Management'!B:B,'Sales Orders'!A894)</f>
        <v>0</v>
      </c>
      <c r="S894" s="99" t="str">
        <f t="shared" si="54"/>
        <v/>
      </c>
      <c r="Y894" s="98" t="str">
        <f t="shared" si="57"/>
        <v/>
      </c>
    </row>
    <row r="895" spans="1:25">
      <c r="A895" s="23"/>
      <c r="F895" s="37"/>
      <c r="H895" s="3"/>
      <c r="J895" s="109" t="str">
        <f>IF(C895&lt;&gt;"",SUMIFS('Booking Management'!Y:Y,'Booking Management'!B:B,'Sales Orders'!A895),"")</f>
        <v/>
      </c>
      <c r="M895" s="92" t="str">
        <f t="shared" ca="1" si="56"/>
        <v/>
      </c>
      <c r="O895" s="3"/>
      <c r="Q895" s="92" t="str">
        <f t="shared" si="55"/>
        <v/>
      </c>
      <c r="R895" s="98">
        <f>SUMIFS('Booking Management'!J:J,'Booking Management'!B:B,'Sales Orders'!A895)</f>
        <v>0</v>
      </c>
      <c r="S895" s="99" t="str">
        <f t="shared" si="54"/>
        <v/>
      </c>
      <c r="Y895" s="98" t="str">
        <f t="shared" si="57"/>
        <v/>
      </c>
    </row>
    <row r="896" spans="1:25">
      <c r="A896" s="23"/>
      <c r="F896" s="37"/>
      <c r="H896" s="3"/>
      <c r="J896" s="109" t="str">
        <f>IF(C896&lt;&gt;"",SUMIFS('Booking Management'!Y:Y,'Booking Management'!B:B,'Sales Orders'!A896),"")</f>
        <v/>
      </c>
      <c r="M896" s="92" t="str">
        <f t="shared" ca="1" si="56"/>
        <v/>
      </c>
      <c r="O896" s="3"/>
      <c r="Q896" s="92" t="str">
        <f t="shared" si="55"/>
        <v/>
      </c>
      <c r="R896" s="98">
        <f>SUMIFS('Booking Management'!J:J,'Booking Management'!B:B,'Sales Orders'!A896)</f>
        <v>0</v>
      </c>
      <c r="S896" s="99" t="str">
        <f t="shared" si="54"/>
        <v/>
      </c>
      <c r="Y896" s="98" t="str">
        <f t="shared" si="57"/>
        <v/>
      </c>
    </row>
    <row r="897" spans="1:25">
      <c r="A897" s="23"/>
      <c r="F897" s="37"/>
      <c r="H897" s="3"/>
      <c r="J897" s="109" t="str">
        <f>IF(C897&lt;&gt;"",SUMIFS('Booking Management'!Y:Y,'Booking Management'!B:B,'Sales Orders'!A897),"")</f>
        <v/>
      </c>
      <c r="M897" s="92" t="str">
        <f t="shared" ca="1" si="56"/>
        <v/>
      </c>
      <c r="O897" s="3"/>
      <c r="Q897" s="92" t="str">
        <f t="shared" si="55"/>
        <v/>
      </c>
      <c r="R897" s="98">
        <f>SUMIFS('Booking Management'!J:J,'Booking Management'!B:B,'Sales Orders'!A897)</f>
        <v>0</v>
      </c>
      <c r="S897" s="99" t="str">
        <f t="shared" si="54"/>
        <v/>
      </c>
      <c r="Y897" s="98" t="str">
        <f t="shared" si="57"/>
        <v/>
      </c>
    </row>
    <row r="898" spans="1:25">
      <c r="A898" s="23"/>
      <c r="F898" s="37"/>
      <c r="H898" s="3"/>
      <c r="J898" s="109" t="str">
        <f>IF(C898&lt;&gt;"",SUMIFS('Booking Management'!Y:Y,'Booking Management'!B:B,'Sales Orders'!A898),"")</f>
        <v/>
      </c>
      <c r="M898" s="92" t="str">
        <f t="shared" ca="1" si="56"/>
        <v/>
      </c>
      <c r="O898" s="3"/>
      <c r="Q898" s="92" t="str">
        <f t="shared" si="55"/>
        <v/>
      </c>
      <c r="R898" s="98">
        <f>SUMIFS('Booking Management'!J:J,'Booking Management'!B:B,'Sales Orders'!A898)</f>
        <v>0</v>
      </c>
      <c r="S898" s="99" t="str">
        <f t="shared" si="54"/>
        <v/>
      </c>
      <c r="Y898" s="98" t="str">
        <f t="shared" si="57"/>
        <v/>
      </c>
    </row>
    <row r="899" spans="1:25">
      <c r="A899" s="23"/>
      <c r="F899" s="37"/>
      <c r="H899" s="3"/>
      <c r="J899" s="109" t="str">
        <f>IF(C899&lt;&gt;"",SUMIFS('Booking Management'!Y:Y,'Booking Management'!B:B,'Sales Orders'!A899),"")</f>
        <v/>
      </c>
      <c r="M899" s="92" t="str">
        <f t="shared" ca="1" si="56"/>
        <v/>
      </c>
      <c r="O899" s="3"/>
      <c r="Q899" s="92" t="str">
        <f t="shared" si="55"/>
        <v/>
      </c>
      <c r="R899" s="98">
        <f>SUMIFS('Booking Management'!J:J,'Booking Management'!B:B,'Sales Orders'!A899)</f>
        <v>0</v>
      </c>
      <c r="S899" s="99" t="str">
        <f t="shared" si="54"/>
        <v/>
      </c>
      <c r="Y899" s="98" t="str">
        <f t="shared" si="57"/>
        <v/>
      </c>
    </row>
    <row r="900" spans="1:25">
      <c r="A900" s="23"/>
      <c r="F900" s="37"/>
      <c r="H900" s="3"/>
      <c r="J900" s="109" t="str">
        <f>IF(C900&lt;&gt;"",SUMIFS('Booking Management'!Y:Y,'Booking Management'!B:B,'Sales Orders'!A900),"")</f>
        <v/>
      </c>
      <c r="M900" s="92" t="str">
        <f t="shared" ca="1" si="56"/>
        <v/>
      </c>
      <c r="O900" s="3"/>
      <c r="Q900" s="92" t="str">
        <f t="shared" si="55"/>
        <v/>
      </c>
      <c r="R900" s="98">
        <f>SUMIFS('Booking Management'!J:J,'Booking Management'!B:B,'Sales Orders'!A900)</f>
        <v>0</v>
      </c>
      <c r="S900" s="99" t="str">
        <f t="shared" ref="S900:S963" si="58">IF(R900&gt;0,(R900/D900)*N900,"")</f>
        <v/>
      </c>
      <c r="Y900" s="98" t="str">
        <f t="shared" si="57"/>
        <v/>
      </c>
    </row>
    <row r="901" spans="1:25">
      <c r="A901" s="23"/>
      <c r="F901" s="37"/>
      <c r="H901" s="3"/>
      <c r="J901" s="109" t="str">
        <f>IF(C901&lt;&gt;"",SUMIFS('Booking Management'!Y:Y,'Booking Management'!B:B,'Sales Orders'!A901),"")</f>
        <v/>
      </c>
      <c r="M901" s="92" t="str">
        <f t="shared" ca="1" si="56"/>
        <v/>
      </c>
      <c r="O901" s="3"/>
      <c r="Q901" s="92" t="str">
        <f t="shared" si="55"/>
        <v/>
      </c>
      <c r="R901" s="98">
        <f>SUMIFS('Booking Management'!J:J,'Booking Management'!B:B,'Sales Orders'!A901)</f>
        <v>0</v>
      </c>
      <c r="S901" s="99" t="str">
        <f t="shared" si="58"/>
        <v/>
      </c>
      <c r="Y901" s="98" t="str">
        <f t="shared" si="57"/>
        <v/>
      </c>
    </row>
    <row r="902" spans="1:25">
      <c r="A902" s="23"/>
      <c r="F902" s="37"/>
      <c r="H902" s="3"/>
      <c r="J902" s="109" t="str">
        <f>IF(C902&lt;&gt;"",SUMIFS('Booking Management'!Y:Y,'Booking Management'!B:B,'Sales Orders'!A902),"")</f>
        <v/>
      </c>
      <c r="M902" s="92" t="str">
        <f t="shared" ca="1" si="56"/>
        <v/>
      </c>
      <c r="O902" s="3"/>
      <c r="Q902" s="92" t="str">
        <f t="shared" ref="Q902:Q965" si="59">IF(C902&lt;&gt;"",IF(OR(K902="",P902=""),"alert",""),"")</f>
        <v/>
      </c>
      <c r="R902" s="98">
        <f>SUMIFS('Booking Management'!J:J,'Booking Management'!B:B,'Sales Orders'!A902)</f>
        <v>0</v>
      </c>
      <c r="S902" s="99" t="str">
        <f t="shared" si="58"/>
        <v/>
      </c>
      <c r="Y902" s="98" t="str">
        <f t="shared" si="57"/>
        <v/>
      </c>
    </row>
    <row r="903" spans="1:25">
      <c r="A903" s="23"/>
      <c r="F903" s="37"/>
      <c r="H903" s="3"/>
      <c r="J903" s="109" t="str">
        <f>IF(C903&lt;&gt;"",SUMIFS('Booking Management'!Y:Y,'Booking Management'!B:B,'Sales Orders'!A903),"")</f>
        <v/>
      </c>
      <c r="M903" s="92" t="str">
        <f t="shared" ref="M903:M966" ca="1" si="60">IFERROR(IF(K903&lt;&gt;"",IF(AND(_xlfn.NUMBERVALUE(J903)/_xlfn.NUMBERVALUE(D903) &lt;1,K903-TODAY()&lt;2,L903&lt;&gt;"yes"),"alert",""),""),"")</f>
        <v/>
      </c>
      <c r="O903" s="3"/>
      <c r="Q903" s="92" t="str">
        <f t="shared" si="59"/>
        <v/>
      </c>
      <c r="R903" s="98">
        <f>SUMIFS('Booking Management'!J:J,'Booking Management'!B:B,'Sales Orders'!A903)</f>
        <v>0</v>
      </c>
      <c r="S903" s="99" t="str">
        <f t="shared" si="58"/>
        <v/>
      </c>
      <c r="Y903" s="98" t="str">
        <f t="shared" si="57"/>
        <v/>
      </c>
    </row>
    <row r="904" spans="1:25">
      <c r="A904" s="23"/>
      <c r="F904" s="37"/>
      <c r="H904" s="3"/>
      <c r="J904" s="109" t="str">
        <f>IF(C904&lt;&gt;"",SUMIFS('Booking Management'!Y:Y,'Booking Management'!B:B,'Sales Orders'!A904),"")</f>
        <v/>
      </c>
      <c r="M904" s="92" t="str">
        <f t="shared" ca="1" si="60"/>
        <v/>
      </c>
      <c r="O904" s="3"/>
      <c r="Q904" s="92" t="str">
        <f t="shared" si="59"/>
        <v/>
      </c>
      <c r="R904" s="98">
        <f>SUMIFS('Booking Management'!J:J,'Booking Management'!B:B,'Sales Orders'!A904)</f>
        <v>0</v>
      </c>
      <c r="S904" s="99" t="str">
        <f t="shared" si="58"/>
        <v/>
      </c>
      <c r="Y904" s="98" t="str">
        <f t="shared" si="57"/>
        <v/>
      </c>
    </row>
    <row r="905" spans="1:25">
      <c r="A905" s="23"/>
      <c r="F905" s="37"/>
      <c r="H905" s="3"/>
      <c r="J905" s="109" t="str">
        <f>IF(C905&lt;&gt;"",SUMIFS('Booking Management'!Y:Y,'Booking Management'!B:B,'Sales Orders'!A905),"")</f>
        <v/>
      </c>
      <c r="M905" s="92" t="str">
        <f t="shared" ca="1" si="60"/>
        <v/>
      </c>
      <c r="O905" s="3"/>
      <c r="Q905" s="92" t="str">
        <f t="shared" si="59"/>
        <v/>
      </c>
      <c r="R905" s="98">
        <f>SUMIFS('Booking Management'!J:J,'Booking Management'!B:B,'Sales Orders'!A905)</f>
        <v>0</v>
      </c>
      <c r="S905" s="99" t="str">
        <f t="shared" si="58"/>
        <v/>
      </c>
      <c r="Y905" s="98" t="str">
        <f t="shared" si="57"/>
        <v/>
      </c>
    </row>
    <row r="906" spans="1:25">
      <c r="A906" s="23"/>
      <c r="F906" s="37"/>
      <c r="H906" s="3"/>
      <c r="J906" s="109" t="str">
        <f>IF(C906&lt;&gt;"",SUMIFS('Booking Management'!Y:Y,'Booking Management'!B:B,'Sales Orders'!A906),"")</f>
        <v/>
      </c>
      <c r="M906" s="92" t="str">
        <f t="shared" ca="1" si="60"/>
        <v/>
      </c>
      <c r="O906" s="3"/>
      <c r="Q906" s="92" t="str">
        <f t="shared" si="59"/>
        <v/>
      </c>
      <c r="R906" s="98">
        <f>SUMIFS('Booking Management'!J:J,'Booking Management'!B:B,'Sales Orders'!A906)</f>
        <v>0</v>
      </c>
      <c r="S906" s="99" t="str">
        <f t="shared" si="58"/>
        <v/>
      </c>
      <c r="Y906" s="98" t="str">
        <f t="shared" si="57"/>
        <v/>
      </c>
    </row>
    <row r="907" spans="1:25">
      <c r="A907" s="23"/>
      <c r="F907" s="37"/>
      <c r="H907" s="3"/>
      <c r="J907" s="109" t="str">
        <f>IF(C907&lt;&gt;"",SUMIFS('Booking Management'!Y:Y,'Booking Management'!B:B,'Sales Orders'!A907),"")</f>
        <v/>
      </c>
      <c r="M907" s="92" t="str">
        <f t="shared" ca="1" si="60"/>
        <v/>
      </c>
      <c r="O907" s="3"/>
      <c r="Q907" s="92" t="str">
        <f t="shared" si="59"/>
        <v/>
      </c>
      <c r="R907" s="98">
        <f>SUMIFS('Booking Management'!J:J,'Booking Management'!B:B,'Sales Orders'!A907)</f>
        <v>0</v>
      </c>
      <c r="S907" s="99" t="str">
        <f t="shared" si="58"/>
        <v/>
      </c>
      <c r="Y907" s="98" t="str">
        <f t="shared" si="57"/>
        <v/>
      </c>
    </row>
    <row r="908" spans="1:25">
      <c r="A908" s="23"/>
      <c r="F908" s="37"/>
      <c r="H908" s="3"/>
      <c r="J908" s="109" t="str">
        <f>IF(C908&lt;&gt;"",SUMIFS('Booking Management'!Y:Y,'Booking Management'!B:B,'Sales Orders'!A908),"")</f>
        <v/>
      </c>
      <c r="M908" s="92" t="str">
        <f t="shared" ca="1" si="60"/>
        <v/>
      </c>
      <c r="O908" s="3"/>
      <c r="Q908" s="92" t="str">
        <f t="shared" si="59"/>
        <v/>
      </c>
      <c r="R908" s="98">
        <f>SUMIFS('Booking Management'!J:J,'Booking Management'!B:B,'Sales Orders'!A908)</f>
        <v>0</v>
      </c>
      <c r="S908" s="99" t="str">
        <f t="shared" si="58"/>
        <v/>
      </c>
      <c r="Y908" s="98" t="str">
        <f t="shared" si="57"/>
        <v/>
      </c>
    </row>
    <row r="909" spans="1:25">
      <c r="A909" s="23"/>
      <c r="F909" s="37"/>
      <c r="H909" s="3"/>
      <c r="J909" s="109" t="str">
        <f>IF(C909&lt;&gt;"",SUMIFS('Booking Management'!Y:Y,'Booking Management'!B:B,'Sales Orders'!A909),"")</f>
        <v/>
      </c>
      <c r="M909" s="92" t="str">
        <f t="shared" ca="1" si="60"/>
        <v/>
      </c>
      <c r="O909" s="3"/>
      <c r="Q909" s="92" t="str">
        <f t="shared" si="59"/>
        <v/>
      </c>
      <c r="R909" s="98">
        <f>SUMIFS('Booking Management'!J:J,'Booking Management'!B:B,'Sales Orders'!A909)</f>
        <v>0</v>
      </c>
      <c r="S909" s="99" t="str">
        <f t="shared" si="58"/>
        <v/>
      </c>
      <c r="Y909" s="98" t="str">
        <f t="shared" si="57"/>
        <v/>
      </c>
    </row>
    <row r="910" spans="1:25">
      <c r="A910" s="23"/>
      <c r="F910" s="37"/>
      <c r="H910" s="3"/>
      <c r="J910" s="109" t="str">
        <f>IF(C910&lt;&gt;"",SUMIFS('Booking Management'!Y:Y,'Booking Management'!B:B,'Sales Orders'!A910),"")</f>
        <v/>
      </c>
      <c r="M910" s="92" t="str">
        <f t="shared" ca="1" si="60"/>
        <v/>
      </c>
      <c r="O910" s="3"/>
      <c r="Q910" s="92" t="str">
        <f t="shared" si="59"/>
        <v/>
      </c>
      <c r="R910" s="98">
        <f>SUMIFS('Booking Management'!J:J,'Booking Management'!B:B,'Sales Orders'!A910)</f>
        <v>0</v>
      </c>
      <c r="S910" s="99" t="str">
        <f t="shared" si="58"/>
        <v/>
      </c>
      <c r="Y910" s="98" t="str">
        <f t="shared" si="57"/>
        <v/>
      </c>
    </row>
    <row r="911" spans="1:25">
      <c r="A911" s="23"/>
      <c r="F911" s="37"/>
      <c r="H911" s="3"/>
      <c r="J911" s="109" t="str">
        <f>IF(C911&lt;&gt;"",SUMIFS('Booking Management'!Y:Y,'Booking Management'!B:B,'Sales Orders'!A911),"")</f>
        <v/>
      </c>
      <c r="M911" s="92" t="str">
        <f t="shared" ca="1" si="60"/>
        <v/>
      </c>
      <c r="O911" s="3"/>
      <c r="Q911" s="92" t="str">
        <f t="shared" si="59"/>
        <v/>
      </c>
      <c r="R911" s="98">
        <f>SUMIFS('Booking Management'!J:J,'Booking Management'!B:B,'Sales Orders'!A911)</f>
        <v>0</v>
      </c>
      <c r="S911" s="99" t="str">
        <f t="shared" si="58"/>
        <v/>
      </c>
      <c r="Y911" s="98" t="str">
        <f t="shared" si="57"/>
        <v/>
      </c>
    </row>
    <row r="912" spans="1:25">
      <c r="A912" s="23"/>
      <c r="F912" s="37"/>
      <c r="H912" s="3"/>
      <c r="J912" s="109" t="str">
        <f>IF(C912&lt;&gt;"",SUMIFS('Booking Management'!Y:Y,'Booking Management'!B:B,'Sales Orders'!A912),"")</f>
        <v/>
      </c>
      <c r="M912" s="92" t="str">
        <f t="shared" ca="1" si="60"/>
        <v/>
      </c>
      <c r="O912" s="3"/>
      <c r="Q912" s="92" t="str">
        <f t="shared" si="59"/>
        <v/>
      </c>
      <c r="R912" s="98">
        <f>SUMIFS('Booking Management'!J:J,'Booking Management'!B:B,'Sales Orders'!A912)</f>
        <v>0</v>
      </c>
      <c r="S912" s="99" t="str">
        <f t="shared" si="58"/>
        <v/>
      </c>
      <c r="Y912" s="98" t="str">
        <f t="shared" si="57"/>
        <v/>
      </c>
    </row>
    <row r="913" spans="1:25">
      <c r="A913" s="23"/>
      <c r="F913" s="37"/>
      <c r="H913" s="3"/>
      <c r="J913" s="109" t="str">
        <f>IF(C913&lt;&gt;"",SUMIFS('Booking Management'!Y:Y,'Booking Management'!B:B,'Sales Orders'!A913),"")</f>
        <v/>
      </c>
      <c r="M913" s="92" t="str">
        <f t="shared" ca="1" si="60"/>
        <v/>
      </c>
      <c r="O913" s="3"/>
      <c r="Q913" s="92" t="str">
        <f t="shared" si="59"/>
        <v/>
      </c>
      <c r="R913" s="98">
        <f>SUMIFS('Booking Management'!J:J,'Booking Management'!B:B,'Sales Orders'!A913)</f>
        <v>0</v>
      </c>
      <c r="S913" s="99" t="str">
        <f t="shared" si="58"/>
        <v/>
      </c>
      <c r="Y913" s="98" t="str">
        <f t="shared" si="57"/>
        <v/>
      </c>
    </row>
    <row r="914" spans="1:25">
      <c r="A914" s="23"/>
      <c r="F914" s="37"/>
      <c r="H914" s="3"/>
      <c r="J914" s="109" t="str">
        <f>IF(C914&lt;&gt;"",SUMIFS('Booking Management'!Y:Y,'Booking Management'!B:B,'Sales Orders'!A914),"")</f>
        <v/>
      </c>
      <c r="M914" s="92" t="str">
        <f t="shared" ca="1" si="60"/>
        <v/>
      </c>
      <c r="O914" s="3"/>
      <c r="Q914" s="92" t="str">
        <f t="shared" si="59"/>
        <v/>
      </c>
      <c r="R914" s="98">
        <f>SUMIFS('Booking Management'!J:J,'Booking Management'!B:B,'Sales Orders'!A914)</f>
        <v>0</v>
      </c>
      <c r="S914" s="99" t="str">
        <f t="shared" si="58"/>
        <v/>
      </c>
      <c r="Y914" s="98" t="str">
        <f t="shared" si="57"/>
        <v/>
      </c>
    </row>
    <row r="915" spans="1:25">
      <c r="A915" s="23"/>
      <c r="F915" s="37"/>
      <c r="H915" s="3"/>
      <c r="J915" s="109" t="str">
        <f>IF(C915&lt;&gt;"",SUMIFS('Booking Management'!Y:Y,'Booking Management'!B:B,'Sales Orders'!A915),"")</f>
        <v/>
      </c>
      <c r="M915" s="92" t="str">
        <f t="shared" ca="1" si="60"/>
        <v/>
      </c>
      <c r="O915" s="3"/>
      <c r="Q915" s="92" t="str">
        <f t="shared" si="59"/>
        <v/>
      </c>
      <c r="R915" s="98">
        <f>SUMIFS('Booking Management'!J:J,'Booking Management'!B:B,'Sales Orders'!A915)</f>
        <v>0</v>
      </c>
      <c r="S915" s="99" t="str">
        <f t="shared" si="58"/>
        <v/>
      </c>
      <c r="Y915" s="98" t="str">
        <f t="shared" si="57"/>
        <v/>
      </c>
    </row>
    <row r="916" spans="1:25">
      <c r="A916" s="23"/>
      <c r="F916" s="37"/>
      <c r="H916" s="3"/>
      <c r="J916" s="109" t="str">
        <f>IF(C916&lt;&gt;"",SUMIFS('Booking Management'!Y:Y,'Booking Management'!B:B,'Sales Orders'!A916),"")</f>
        <v/>
      </c>
      <c r="M916" s="92" t="str">
        <f t="shared" ca="1" si="60"/>
        <v/>
      </c>
      <c r="O916" s="3"/>
      <c r="Q916" s="92" t="str">
        <f t="shared" si="59"/>
        <v/>
      </c>
      <c r="R916" s="98">
        <f>SUMIFS('Booking Management'!J:J,'Booking Management'!B:B,'Sales Orders'!A916)</f>
        <v>0</v>
      </c>
      <c r="S916" s="99" t="str">
        <f t="shared" si="58"/>
        <v/>
      </c>
      <c r="Y916" s="98" t="str">
        <f t="shared" si="57"/>
        <v/>
      </c>
    </row>
    <row r="917" spans="1:25">
      <c r="A917" s="23"/>
      <c r="F917" s="37"/>
      <c r="H917" s="3"/>
      <c r="J917" s="109" t="str">
        <f>IF(C917&lt;&gt;"",SUMIFS('Booking Management'!Y:Y,'Booking Management'!B:B,'Sales Orders'!A917),"")</f>
        <v/>
      </c>
      <c r="M917" s="92" t="str">
        <f t="shared" ca="1" si="60"/>
        <v/>
      </c>
      <c r="O917" s="3"/>
      <c r="Q917" s="92" t="str">
        <f t="shared" si="59"/>
        <v/>
      </c>
      <c r="R917" s="98">
        <f>SUMIFS('Booking Management'!J:J,'Booking Management'!B:B,'Sales Orders'!A917)</f>
        <v>0</v>
      </c>
      <c r="S917" s="99" t="str">
        <f t="shared" si="58"/>
        <v/>
      </c>
      <c r="Y917" s="98" t="str">
        <f t="shared" si="57"/>
        <v/>
      </c>
    </row>
    <row r="918" spans="1:25">
      <c r="A918" s="23"/>
      <c r="F918" s="37"/>
      <c r="H918" s="3"/>
      <c r="J918" s="109" t="str">
        <f>IF(C918&lt;&gt;"",SUMIFS('Booking Management'!Y:Y,'Booking Management'!B:B,'Sales Orders'!A918),"")</f>
        <v/>
      </c>
      <c r="M918" s="92" t="str">
        <f t="shared" ca="1" si="60"/>
        <v/>
      </c>
      <c r="O918" s="3"/>
      <c r="Q918" s="92" t="str">
        <f t="shared" si="59"/>
        <v/>
      </c>
      <c r="R918" s="98">
        <f>SUMIFS('Booking Management'!J:J,'Booking Management'!B:B,'Sales Orders'!A918)</f>
        <v>0</v>
      </c>
      <c r="S918" s="99" t="str">
        <f t="shared" si="58"/>
        <v/>
      </c>
      <c r="Y918" s="98" t="str">
        <f t="shared" si="57"/>
        <v/>
      </c>
    </row>
    <row r="919" spans="1:25">
      <c r="A919" s="23"/>
      <c r="F919" s="37"/>
      <c r="H919" s="3"/>
      <c r="J919" s="109" t="str">
        <f>IF(C919&lt;&gt;"",SUMIFS('Booking Management'!Y:Y,'Booking Management'!B:B,'Sales Orders'!A919),"")</f>
        <v/>
      </c>
      <c r="M919" s="92" t="str">
        <f t="shared" ca="1" si="60"/>
        <v/>
      </c>
      <c r="O919" s="3"/>
      <c r="Q919" s="92" t="str">
        <f t="shared" si="59"/>
        <v/>
      </c>
      <c r="R919" s="98">
        <f>SUMIFS('Booking Management'!J:J,'Booking Management'!B:B,'Sales Orders'!A919)</f>
        <v>0</v>
      </c>
      <c r="S919" s="99" t="str">
        <f t="shared" si="58"/>
        <v/>
      </c>
      <c r="Y919" s="98" t="str">
        <f t="shared" si="57"/>
        <v/>
      </c>
    </row>
    <row r="920" spans="1:25">
      <c r="A920" s="23"/>
      <c r="F920" s="37"/>
      <c r="H920" s="3"/>
      <c r="J920" s="109" t="str">
        <f>IF(C920&lt;&gt;"",SUMIFS('Booking Management'!Y:Y,'Booking Management'!B:B,'Sales Orders'!A920),"")</f>
        <v/>
      </c>
      <c r="M920" s="92" t="str">
        <f t="shared" ca="1" si="60"/>
        <v/>
      </c>
      <c r="O920" s="3"/>
      <c r="Q920" s="92" t="str">
        <f t="shared" si="59"/>
        <v/>
      </c>
      <c r="R920" s="98">
        <f>SUMIFS('Booking Management'!J:J,'Booking Management'!B:B,'Sales Orders'!A920)</f>
        <v>0</v>
      </c>
      <c r="S920" s="99" t="str">
        <f t="shared" si="58"/>
        <v/>
      </c>
      <c r="Y920" s="98" t="str">
        <f t="shared" si="57"/>
        <v/>
      </c>
    </row>
    <row r="921" spans="1:25">
      <c r="A921" s="23"/>
      <c r="F921" s="37"/>
      <c r="H921" s="3"/>
      <c r="J921" s="109" t="str">
        <f>IF(C921&lt;&gt;"",SUMIFS('Booking Management'!Y:Y,'Booking Management'!B:B,'Sales Orders'!A921),"")</f>
        <v/>
      </c>
      <c r="M921" s="92" t="str">
        <f t="shared" ca="1" si="60"/>
        <v/>
      </c>
      <c r="O921" s="3"/>
      <c r="Q921" s="92" t="str">
        <f t="shared" si="59"/>
        <v/>
      </c>
      <c r="R921" s="98">
        <f>SUMIFS('Booking Management'!J:J,'Booking Management'!B:B,'Sales Orders'!A921)</f>
        <v>0</v>
      </c>
      <c r="S921" s="99" t="str">
        <f t="shared" si="58"/>
        <v/>
      </c>
      <c r="Y921" s="98" t="str">
        <f t="shared" si="57"/>
        <v/>
      </c>
    </row>
    <row r="922" spans="1:25">
      <c r="A922" s="23"/>
      <c r="F922" s="37"/>
      <c r="H922" s="3"/>
      <c r="J922" s="109" t="str">
        <f>IF(C922&lt;&gt;"",SUMIFS('Booking Management'!Y:Y,'Booking Management'!B:B,'Sales Orders'!A922),"")</f>
        <v/>
      </c>
      <c r="M922" s="92" t="str">
        <f t="shared" ca="1" si="60"/>
        <v/>
      </c>
      <c r="O922" s="3"/>
      <c r="Q922" s="92" t="str">
        <f t="shared" si="59"/>
        <v/>
      </c>
      <c r="R922" s="98">
        <f>SUMIFS('Booking Management'!J:J,'Booking Management'!B:B,'Sales Orders'!A922)</f>
        <v>0</v>
      </c>
      <c r="S922" s="99" t="str">
        <f t="shared" si="58"/>
        <v/>
      </c>
      <c r="Y922" s="98" t="str">
        <f t="shared" si="57"/>
        <v/>
      </c>
    </row>
    <row r="923" spans="1:25">
      <c r="A923" s="23"/>
      <c r="F923" s="37"/>
      <c r="H923" s="3"/>
      <c r="J923" s="109" t="str">
        <f>IF(C923&lt;&gt;"",SUMIFS('Booking Management'!Y:Y,'Booking Management'!B:B,'Sales Orders'!A923),"")</f>
        <v/>
      </c>
      <c r="M923" s="92" t="str">
        <f t="shared" ca="1" si="60"/>
        <v/>
      </c>
      <c r="O923" s="3"/>
      <c r="Q923" s="92" t="str">
        <f t="shared" si="59"/>
        <v/>
      </c>
      <c r="R923" s="98">
        <f>SUMIFS('Booking Management'!J:J,'Booking Management'!B:B,'Sales Orders'!A923)</f>
        <v>0</v>
      </c>
      <c r="S923" s="99" t="str">
        <f t="shared" si="58"/>
        <v/>
      </c>
      <c r="Y923" s="98" t="str">
        <f t="shared" si="57"/>
        <v/>
      </c>
    </row>
    <row r="924" spans="1:25">
      <c r="A924" s="23"/>
      <c r="F924" s="37"/>
      <c r="H924" s="3"/>
      <c r="J924" s="109" t="str">
        <f>IF(C924&lt;&gt;"",SUMIFS('Booking Management'!Y:Y,'Booking Management'!B:B,'Sales Orders'!A924),"")</f>
        <v/>
      </c>
      <c r="M924" s="92" t="str">
        <f t="shared" ca="1" si="60"/>
        <v/>
      </c>
      <c r="O924" s="3"/>
      <c r="Q924" s="92" t="str">
        <f t="shared" si="59"/>
        <v/>
      </c>
      <c r="R924" s="98">
        <f>SUMIFS('Booking Management'!J:J,'Booking Management'!B:B,'Sales Orders'!A924)</f>
        <v>0</v>
      </c>
      <c r="S924" s="99" t="str">
        <f t="shared" si="58"/>
        <v/>
      </c>
      <c r="Y924" s="98" t="str">
        <f t="shared" si="57"/>
        <v/>
      </c>
    </row>
    <row r="925" spans="1:25">
      <c r="A925" s="23"/>
      <c r="F925" s="37"/>
      <c r="H925" s="3"/>
      <c r="J925" s="109" t="str">
        <f>IF(C925&lt;&gt;"",SUMIFS('Booking Management'!Y:Y,'Booking Management'!B:B,'Sales Orders'!A925),"")</f>
        <v/>
      </c>
      <c r="M925" s="92" t="str">
        <f t="shared" ca="1" si="60"/>
        <v/>
      </c>
      <c r="O925" s="3"/>
      <c r="Q925" s="92" t="str">
        <f t="shared" si="59"/>
        <v/>
      </c>
      <c r="R925" s="98">
        <f>SUMIFS('Booking Management'!J:J,'Booking Management'!B:B,'Sales Orders'!A925)</f>
        <v>0</v>
      </c>
      <c r="S925" s="99" t="str">
        <f t="shared" si="58"/>
        <v/>
      </c>
      <c r="Y925" s="98" t="str">
        <f t="shared" si="57"/>
        <v/>
      </c>
    </row>
    <row r="926" spans="1:25">
      <c r="A926" s="23"/>
      <c r="F926" s="37"/>
      <c r="H926" s="3"/>
      <c r="J926" s="109" t="str">
        <f>IF(C926&lt;&gt;"",SUMIFS('Booking Management'!Y:Y,'Booking Management'!B:B,'Sales Orders'!A926),"")</f>
        <v/>
      </c>
      <c r="M926" s="92" t="str">
        <f t="shared" ca="1" si="60"/>
        <v/>
      </c>
      <c r="O926" s="3"/>
      <c r="Q926" s="92" t="str">
        <f t="shared" si="59"/>
        <v/>
      </c>
      <c r="R926" s="98">
        <f>SUMIFS('Booking Management'!J:J,'Booking Management'!B:B,'Sales Orders'!A926)</f>
        <v>0</v>
      </c>
      <c r="S926" s="99" t="str">
        <f t="shared" si="58"/>
        <v/>
      </c>
      <c r="Y926" s="98" t="str">
        <f t="shared" si="57"/>
        <v/>
      </c>
    </row>
    <row r="927" spans="1:25">
      <c r="A927" s="23"/>
      <c r="F927" s="37"/>
      <c r="H927" s="3"/>
      <c r="J927" s="109" t="str">
        <f>IF(C927&lt;&gt;"",SUMIFS('Booking Management'!Y:Y,'Booking Management'!B:B,'Sales Orders'!A927),"")</f>
        <v/>
      </c>
      <c r="M927" s="92" t="str">
        <f t="shared" ca="1" si="60"/>
        <v/>
      </c>
      <c r="O927" s="3"/>
      <c r="Q927" s="92" t="str">
        <f t="shared" si="59"/>
        <v/>
      </c>
      <c r="R927" s="98">
        <f>SUMIFS('Booking Management'!J:J,'Booking Management'!B:B,'Sales Orders'!A927)</f>
        <v>0</v>
      </c>
      <c r="S927" s="99" t="str">
        <f t="shared" si="58"/>
        <v/>
      </c>
      <c r="Y927" s="98" t="str">
        <f t="shared" si="57"/>
        <v/>
      </c>
    </row>
    <row r="928" spans="1:25">
      <c r="A928" s="23"/>
      <c r="F928" s="37"/>
      <c r="H928" s="3"/>
      <c r="J928" s="109" t="str">
        <f>IF(C928&lt;&gt;"",SUMIFS('Booking Management'!Y:Y,'Booking Management'!B:B,'Sales Orders'!A928),"")</f>
        <v/>
      </c>
      <c r="M928" s="92" t="str">
        <f t="shared" ca="1" si="60"/>
        <v/>
      </c>
      <c r="O928" s="3"/>
      <c r="Q928" s="92" t="str">
        <f t="shared" si="59"/>
        <v/>
      </c>
      <c r="R928" s="98">
        <f>SUMIFS('Booking Management'!J:J,'Booking Management'!B:B,'Sales Orders'!A928)</f>
        <v>0</v>
      </c>
      <c r="S928" s="99" t="str">
        <f t="shared" si="58"/>
        <v/>
      </c>
      <c r="Y928" s="98" t="str">
        <f t="shared" si="57"/>
        <v/>
      </c>
    </row>
    <row r="929" spans="1:25">
      <c r="A929" s="23"/>
      <c r="F929" s="37"/>
      <c r="H929" s="3"/>
      <c r="J929" s="109" t="str">
        <f>IF(C929&lt;&gt;"",SUMIFS('Booking Management'!Y:Y,'Booking Management'!B:B,'Sales Orders'!A929),"")</f>
        <v/>
      </c>
      <c r="M929" s="92" t="str">
        <f t="shared" ca="1" si="60"/>
        <v/>
      </c>
      <c r="O929" s="3"/>
      <c r="Q929" s="92" t="str">
        <f t="shared" si="59"/>
        <v/>
      </c>
      <c r="R929" s="98">
        <f>SUMIFS('Booking Management'!J:J,'Booking Management'!B:B,'Sales Orders'!A929)</f>
        <v>0</v>
      </c>
      <c r="S929" s="99" t="str">
        <f t="shared" si="58"/>
        <v/>
      </c>
      <c r="Y929" s="98" t="str">
        <f t="shared" si="57"/>
        <v/>
      </c>
    </row>
    <row r="930" spans="1:25">
      <c r="A930" s="23"/>
      <c r="F930" s="37"/>
      <c r="H930" s="3"/>
      <c r="J930" s="109" t="str">
        <f>IF(C930&lt;&gt;"",SUMIFS('Booking Management'!Y:Y,'Booking Management'!B:B,'Sales Orders'!A930),"")</f>
        <v/>
      </c>
      <c r="M930" s="92" t="str">
        <f t="shared" ca="1" si="60"/>
        <v/>
      </c>
      <c r="O930" s="3"/>
      <c r="Q930" s="92" t="str">
        <f t="shared" si="59"/>
        <v/>
      </c>
      <c r="R930" s="98">
        <f>SUMIFS('Booking Management'!J:J,'Booking Management'!B:B,'Sales Orders'!A930)</f>
        <v>0</v>
      </c>
      <c r="S930" s="99" t="str">
        <f t="shared" si="58"/>
        <v/>
      </c>
      <c r="Y930" s="98" t="str">
        <f t="shared" si="57"/>
        <v/>
      </c>
    </row>
    <row r="931" spans="1:25">
      <c r="A931" s="23"/>
      <c r="F931" s="37"/>
      <c r="H931" s="3"/>
      <c r="J931" s="109" t="str">
        <f>IF(C931&lt;&gt;"",SUMIFS('Booking Management'!Y:Y,'Booking Management'!B:B,'Sales Orders'!A931),"")</f>
        <v/>
      </c>
      <c r="M931" s="92" t="str">
        <f t="shared" ca="1" si="60"/>
        <v/>
      </c>
      <c r="O931" s="3"/>
      <c r="Q931" s="92" t="str">
        <f t="shared" si="59"/>
        <v/>
      </c>
      <c r="R931" s="98">
        <f>SUMIFS('Booking Management'!J:J,'Booking Management'!B:B,'Sales Orders'!A931)</f>
        <v>0</v>
      </c>
      <c r="S931" s="99" t="str">
        <f t="shared" si="58"/>
        <v/>
      </c>
      <c r="Y931" s="98" t="str">
        <f t="shared" si="57"/>
        <v/>
      </c>
    </row>
    <row r="932" spans="1:25">
      <c r="A932" s="23"/>
      <c r="F932" s="37"/>
      <c r="H932" s="3"/>
      <c r="J932" s="109" t="str">
        <f>IF(C932&lt;&gt;"",SUMIFS('Booking Management'!Y:Y,'Booking Management'!B:B,'Sales Orders'!A932),"")</f>
        <v/>
      </c>
      <c r="M932" s="92" t="str">
        <f t="shared" ca="1" si="60"/>
        <v/>
      </c>
      <c r="O932" s="3"/>
      <c r="Q932" s="92" t="str">
        <f t="shared" si="59"/>
        <v/>
      </c>
      <c r="R932" s="98">
        <f>SUMIFS('Booking Management'!J:J,'Booking Management'!B:B,'Sales Orders'!A932)</f>
        <v>0</v>
      </c>
      <c r="S932" s="99" t="str">
        <f t="shared" si="58"/>
        <v/>
      </c>
      <c r="Y932" s="98" t="str">
        <f t="shared" si="57"/>
        <v/>
      </c>
    </row>
    <row r="933" spans="1:25">
      <c r="A933" s="23"/>
      <c r="F933" s="37"/>
      <c r="H933" s="3"/>
      <c r="J933" s="109" t="str">
        <f>IF(C933&lt;&gt;"",SUMIFS('Booking Management'!Y:Y,'Booking Management'!B:B,'Sales Orders'!A933),"")</f>
        <v/>
      </c>
      <c r="M933" s="92" t="str">
        <f t="shared" ca="1" si="60"/>
        <v/>
      </c>
      <c r="O933" s="3"/>
      <c r="Q933" s="92" t="str">
        <f t="shared" si="59"/>
        <v/>
      </c>
      <c r="R933" s="98">
        <f>SUMIFS('Booking Management'!J:J,'Booking Management'!B:B,'Sales Orders'!A933)</f>
        <v>0</v>
      </c>
      <c r="S933" s="99" t="str">
        <f t="shared" si="58"/>
        <v/>
      </c>
      <c r="Y933" s="98" t="str">
        <f t="shared" si="57"/>
        <v/>
      </c>
    </row>
    <row r="934" spans="1:25">
      <c r="A934" s="23"/>
      <c r="F934" s="37"/>
      <c r="H934" s="3"/>
      <c r="J934" s="109" t="str">
        <f>IF(C934&lt;&gt;"",SUMIFS('Booking Management'!Y:Y,'Booking Management'!B:B,'Sales Orders'!A934),"")</f>
        <v/>
      </c>
      <c r="M934" s="92" t="str">
        <f t="shared" ca="1" si="60"/>
        <v/>
      </c>
      <c r="O934" s="3"/>
      <c r="Q934" s="92" t="str">
        <f t="shared" si="59"/>
        <v/>
      </c>
      <c r="R934" s="98">
        <f>SUMIFS('Booking Management'!J:J,'Booking Management'!B:B,'Sales Orders'!A934)</f>
        <v>0</v>
      </c>
      <c r="S934" s="99" t="str">
        <f t="shared" si="58"/>
        <v/>
      </c>
      <c r="Y934" s="98" t="str">
        <f t="shared" si="57"/>
        <v/>
      </c>
    </row>
    <row r="935" spans="1:25">
      <c r="A935" s="23"/>
      <c r="F935" s="37"/>
      <c r="H935" s="3"/>
      <c r="J935" s="109" t="str">
        <f>IF(C935&lt;&gt;"",SUMIFS('Booking Management'!Y:Y,'Booking Management'!B:B,'Sales Orders'!A935),"")</f>
        <v/>
      </c>
      <c r="M935" s="92" t="str">
        <f t="shared" ca="1" si="60"/>
        <v/>
      </c>
      <c r="O935" s="3"/>
      <c r="Q935" s="92" t="str">
        <f t="shared" si="59"/>
        <v/>
      </c>
      <c r="R935" s="98">
        <f>SUMIFS('Booking Management'!J:J,'Booking Management'!B:B,'Sales Orders'!A935)</f>
        <v>0</v>
      </c>
      <c r="S935" s="99" t="str">
        <f t="shared" si="58"/>
        <v/>
      </c>
      <c r="Y935" s="98" t="str">
        <f t="shared" si="57"/>
        <v/>
      </c>
    </row>
    <row r="936" spans="1:25">
      <c r="A936" s="23"/>
      <c r="F936" s="37"/>
      <c r="H936" s="3"/>
      <c r="J936" s="109" t="str">
        <f>IF(C936&lt;&gt;"",SUMIFS('Booking Management'!Y:Y,'Booking Management'!B:B,'Sales Orders'!A936),"")</f>
        <v/>
      </c>
      <c r="M936" s="92" t="str">
        <f t="shared" ca="1" si="60"/>
        <v/>
      </c>
      <c r="O936" s="3"/>
      <c r="Q936" s="92" t="str">
        <f t="shared" si="59"/>
        <v/>
      </c>
      <c r="R936" s="98">
        <f>SUMIFS('Booking Management'!J:J,'Booking Management'!B:B,'Sales Orders'!A936)</f>
        <v>0</v>
      </c>
      <c r="S936" s="99" t="str">
        <f t="shared" si="58"/>
        <v/>
      </c>
      <c r="Y936" s="98" t="str">
        <f t="shared" si="57"/>
        <v/>
      </c>
    </row>
    <row r="937" spans="1:25">
      <c r="A937" s="23"/>
      <c r="F937" s="37"/>
      <c r="H937" s="3"/>
      <c r="J937" s="109" t="str">
        <f>IF(C937&lt;&gt;"",SUMIFS('Booking Management'!Y:Y,'Booking Management'!B:B,'Sales Orders'!A937),"")</f>
        <v/>
      </c>
      <c r="M937" s="92" t="str">
        <f t="shared" ca="1" si="60"/>
        <v/>
      </c>
      <c r="O937" s="3"/>
      <c r="Q937" s="92" t="str">
        <f t="shared" si="59"/>
        <v/>
      </c>
      <c r="R937" s="98">
        <f>SUMIFS('Booking Management'!J:J,'Booking Management'!B:B,'Sales Orders'!A937)</f>
        <v>0</v>
      </c>
      <c r="S937" s="99" t="str">
        <f t="shared" si="58"/>
        <v/>
      </c>
      <c r="Y937" s="98" t="str">
        <f t="shared" si="57"/>
        <v/>
      </c>
    </row>
    <row r="938" spans="1:25">
      <c r="A938" s="23"/>
      <c r="F938" s="37"/>
      <c r="H938" s="3"/>
      <c r="J938" s="109" t="str">
        <f>IF(C938&lt;&gt;"",SUMIFS('Booking Management'!Y:Y,'Booking Management'!B:B,'Sales Orders'!A938),"")</f>
        <v/>
      </c>
      <c r="M938" s="92" t="str">
        <f t="shared" ca="1" si="60"/>
        <v/>
      </c>
      <c r="O938" s="3"/>
      <c r="Q938" s="92" t="str">
        <f t="shared" si="59"/>
        <v/>
      </c>
      <c r="R938" s="98">
        <f>SUMIFS('Booking Management'!J:J,'Booking Management'!B:B,'Sales Orders'!A938)</f>
        <v>0</v>
      </c>
      <c r="S938" s="99" t="str">
        <f t="shared" si="58"/>
        <v/>
      </c>
      <c r="Y938" s="98" t="str">
        <f t="shared" ref="Y938:Y1001" si="61">IF(D938&lt;&gt;"",D938-J938,"")</f>
        <v/>
      </c>
    </row>
    <row r="939" spans="1:25">
      <c r="A939" s="23"/>
      <c r="F939" s="37"/>
      <c r="H939" s="3"/>
      <c r="J939" s="109" t="str">
        <f>IF(C939&lt;&gt;"",SUMIFS('Booking Management'!Y:Y,'Booking Management'!B:B,'Sales Orders'!A939),"")</f>
        <v/>
      </c>
      <c r="M939" s="92" t="str">
        <f t="shared" ca="1" si="60"/>
        <v/>
      </c>
      <c r="O939" s="3"/>
      <c r="Q939" s="92" t="str">
        <f t="shared" si="59"/>
        <v/>
      </c>
      <c r="R939" s="98">
        <f>SUMIFS('Booking Management'!J:J,'Booking Management'!B:B,'Sales Orders'!A939)</f>
        <v>0</v>
      </c>
      <c r="S939" s="99" t="str">
        <f t="shared" si="58"/>
        <v/>
      </c>
      <c r="Y939" s="98" t="str">
        <f t="shared" si="61"/>
        <v/>
      </c>
    </row>
    <row r="940" spans="1:25">
      <c r="A940" s="23"/>
      <c r="F940" s="37"/>
      <c r="H940" s="3"/>
      <c r="J940" s="109" t="str">
        <f>IF(C940&lt;&gt;"",SUMIFS('Booking Management'!Y:Y,'Booking Management'!B:B,'Sales Orders'!A940),"")</f>
        <v/>
      </c>
      <c r="M940" s="92" t="str">
        <f t="shared" ca="1" si="60"/>
        <v/>
      </c>
      <c r="O940" s="3"/>
      <c r="Q940" s="92" t="str">
        <f t="shared" si="59"/>
        <v/>
      </c>
      <c r="R940" s="98">
        <f>SUMIFS('Booking Management'!J:J,'Booking Management'!B:B,'Sales Orders'!A940)</f>
        <v>0</v>
      </c>
      <c r="S940" s="99" t="str">
        <f t="shared" si="58"/>
        <v/>
      </c>
      <c r="Y940" s="98" t="str">
        <f t="shared" si="61"/>
        <v/>
      </c>
    </row>
    <row r="941" spans="1:25">
      <c r="A941" s="23"/>
      <c r="F941" s="37"/>
      <c r="H941" s="3"/>
      <c r="J941" s="109" t="str">
        <f>IF(C941&lt;&gt;"",SUMIFS('Booking Management'!Y:Y,'Booking Management'!B:B,'Sales Orders'!A941),"")</f>
        <v/>
      </c>
      <c r="M941" s="92" t="str">
        <f t="shared" ca="1" si="60"/>
        <v/>
      </c>
      <c r="O941" s="3"/>
      <c r="Q941" s="92" t="str">
        <f t="shared" si="59"/>
        <v/>
      </c>
      <c r="R941" s="98">
        <f>SUMIFS('Booking Management'!J:J,'Booking Management'!B:B,'Sales Orders'!A941)</f>
        <v>0</v>
      </c>
      <c r="S941" s="99" t="str">
        <f t="shared" si="58"/>
        <v/>
      </c>
      <c r="Y941" s="98" t="str">
        <f t="shared" si="61"/>
        <v/>
      </c>
    </row>
    <row r="942" spans="1:25">
      <c r="A942" s="23"/>
      <c r="F942" s="37"/>
      <c r="H942" s="3"/>
      <c r="J942" s="109" t="str">
        <f>IF(C942&lt;&gt;"",SUMIFS('Booking Management'!Y:Y,'Booking Management'!B:B,'Sales Orders'!A942),"")</f>
        <v/>
      </c>
      <c r="M942" s="92" t="str">
        <f t="shared" ca="1" si="60"/>
        <v/>
      </c>
      <c r="O942" s="3"/>
      <c r="Q942" s="92" t="str">
        <f t="shared" si="59"/>
        <v/>
      </c>
      <c r="R942" s="98">
        <f>SUMIFS('Booking Management'!J:J,'Booking Management'!B:B,'Sales Orders'!A942)</f>
        <v>0</v>
      </c>
      <c r="S942" s="99" t="str">
        <f t="shared" si="58"/>
        <v/>
      </c>
      <c r="Y942" s="98" t="str">
        <f t="shared" si="61"/>
        <v/>
      </c>
    </row>
    <row r="943" spans="1:25">
      <c r="A943" s="23"/>
      <c r="F943" s="37"/>
      <c r="H943" s="3"/>
      <c r="J943" s="109" t="str">
        <f>IF(C943&lt;&gt;"",SUMIFS('Booking Management'!Y:Y,'Booking Management'!B:B,'Sales Orders'!A943),"")</f>
        <v/>
      </c>
      <c r="M943" s="92" t="str">
        <f t="shared" ca="1" si="60"/>
        <v/>
      </c>
      <c r="O943" s="3"/>
      <c r="Q943" s="92" t="str">
        <f t="shared" si="59"/>
        <v/>
      </c>
      <c r="R943" s="98">
        <f>SUMIFS('Booking Management'!J:J,'Booking Management'!B:B,'Sales Orders'!A943)</f>
        <v>0</v>
      </c>
      <c r="S943" s="99" t="str">
        <f t="shared" si="58"/>
        <v/>
      </c>
      <c r="Y943" s="98" t="str">
        <f t="shared" si="61"/>
        <v/>
      </c>
    </row>
    <row r="944" spans="1:25">
      <c r="A944" s="23"/>
      <c r="F944" s="37"/>
      <c r="H944" s="3"/>
      <c r="J944" s="109" t="str">
        <f>IF(C944&lt;&gt;"",SUMIFS('Booking Management'!Y:Y,'Booking Management'!B:B,'Sales Orders'!A944),"")</f>
        <v/>
      </c>
      <c r="M944" s="92" t="str">
        <f t="shared" ca="1" si="60"/>
        <v/>
      </c>
      <c r="O944" s="3"/>
      <c r="Q944" s="92" t="str">
        <f t="shared" si="59"/>
        <v/>
      </c>
      <c r="R944" s="98">
        <f>SUMIFS('Booking Management'!J:J,'Booking Management'!B:B,'Sales Orders'!A944)</f>
        <v>0</v>
      </c>
      <c r="S944" s="99" t="str">
        <f t="shared" si="58"/>
        <v/>
      </c>
      <c r="Y944" s="98" t="str">
        <f t="shared" si="61"/>
        <v/>
      </c>
    </row>
    <row r="945" spans="1:25">
      <c r="A945" s="23"/>
      <c r="F945" s="37"/>
      <c r="H945" s="3"/>
      <c r="J945" s="109" t="str">
        <f>IF(C945&lt;&gt;"",SUMIFS('Booking Management'!Y:Y,'Booking Management'!B:B,'Sales Orders'!A945),"")</f>
        <v/>
      </c>
      <c r="M945" s="92" t="str">
        <f t="shared" ca="1" si="60"/>
        <v/>
      </c>
      <c r="O945" s="3"/>
      <c r="Q945" s="92" t="str">
        <f t="shared" si="59"/>
        <v/>
      </c>
      <c r="R945" s="98">
        <f>SUMIFS('Booking Management'!J:J,'Booking Management'!B:B,'Sales Orders'!A945)</f>
        <v>0</v>
      </c>
      <c r="S945" s="99" t="str">
        <f t="shared" si="58"/>
        <v/>
      </c>
      <c r="Y945" s="98" t="str">
        <f t="shared" si="61"/>
        <v/>
      </c>
    </row>
    <row r="946" spans="1:25">
      <c r="A946" s="23"/>
      <c r="F946" s="37"/>
      <c r="H946" s="3"/>
      <c r="J946" s="109" t="str">
        <f>IF(C946&lt;&gt;"",SUMIFS('Booking Management'!Y:Y,'Booking Management'!B:B,'Sales Orders'!A946),"")</f>
        <v/>
      </c>
      <c r="M946" s="92" t="str">
        <f t="shared" ca="1" si="60"/>
        <v/>
      </c>
      <c r="O946" s="3"/>
      <c r="Q946" s="92" t="str">
        <f t="shared" si="59"/>
        <v/>
      </c>
      <c r="R946" s="98">
        <f>SUMIFS('Booking Management'!J:J,'Booking Management'!B:B,'Sales Orders'!A946)</f>
        <v>0</v>
      </c>
      <c r="S946" s="99" t="str">
        <f t="shared" si="58"/>
        <v/>
      </c>
      <c r="Y946" s="98" t="str">
        <f t="shared" si="61"/>
        <v/>
      </c>
    </row>
    <row r="947" spans="1:25">
      <c r="A947" s="23"/>
      <c r="F947" s="37"/>
      <c r="H947" s="3"/>
      <c r="J947" s="109" t="str">
        <f>IF(C947&lt;&gt;"",SUMIFS('Booking Management'!Y:Y,'Booking Management'!B:B,'Sales Orders'!A947),"")</f>
        <v/>
      </c>
      <c r="M947" s="92" t="str">
        <f t="shared" ca="1" si="60"/>
        <v/>
      </c>
      <c r="O947" s="3"/>
      <c r="Q947" s="92" t="str">
        <f t="shared" si="59"/>
        <v/>
      </c>
      <c r="R947" s="98">
        <f>SUMIFS('Booking Management'!J:J,'Booking Management'!B:B,'Sales Orders'!A947)</f>
        <v>0</v>
      </c>
      <c r="S947" s="99" t="str">
        <f t="shared" si="58"/>
        <v/>
      </c>
      <c r="Y947" s="98" t="str">
        <f t="shared" si="61"/>
        <v/>
      </c>
    </row>
    <row r="948" spans="1:25">
      <c r="A948" s="23"/>
      <c r="F948" s="37"/>
      <c r="H948" s="3"/>
      <c r="J948" s="109" t="str">
        <f>IF(C948&lt;&gt;"",SUMIFS('Booking Management'!Y:Y,'Booking Management'!B:B,'Sales Orders'!A948),"")</f>
        <v/>
      </c>
      <c r="M948" s="92" t="str">
        <f t="shared" ca="1" si="60"/>
        <v/>
      </c>
      <c r="O948" s="3"/>
      <c r="Q948" s="92" t="str">
        <f t="shared" si="59"/>
        <v/>
      </c>
      <c r="R948" s="98">
        <f>SUMIFS('Booking Management'!J:J,'Booking Management'!B:B,'Sales Orders'!A948)</f>
        <v>0</v>
      </c>
      <c r="S948" s="99" t="str">
        <f t="shared" si="58"/>
        <v/>
      </c>
      <c r="Y948" s="98" t="str">
        <f t="shared" si="61"/>
        <v/>
      </c>
    </row>
    <row r="949" spans="1:25">
      <c r="A949" s="23"/>
      <c r="F949" s="37"/>
      <c r="H949" s="3"/>
      <c r="J949" s="109" t="str">
        <f>IF(C949&lt;&gt;"",SUMIFS('Booking Management'!Y:Y,'Booking Management'!B:B,'Sales Orders'!A949),"")</f>
        <v/>
      </c>
      <c r="M949" s="92" t="str">
        <f t="shared" ca="1" si="60"/>
        <v/>
      </c>
      <c r="O949" s="3"/>
      <c r="Q949" s="92" t="str">
        <f t="shared" si="59"/>
        <v/>
      </c>
      <c r="R949" s="98">
        <f>SUMIFS('Booking Management'!J:J,'Booking Management'!B:B,'Sales Orders'!A949)</f>
        <v>0</v>
      </c>
      <c r="S949" s="99" t="str">
        <f t="shared" si="58"/>
        <v/>
      </c>
      <c r="Y949" s="98" t="str">
        <f t="shared" si="61"/>
        <v/>
      </c>
    </row>
    <row r="950" spans="1:25">
      <c r="A950" s="23"/>
      <c r="F950" s="37"/>
      <c r="H950" s="3"/>
      <c r="J950" s="109" t="str">
        <f>IF(C950&lt;&gt;"",SUMIFS('Booking Management'!Y:Y,'Booking Management'!B:B,'Sales Orders'!A950),"")</f>
        <v/>
      </c>
      <c r="M950" s="92" t="str">
        <f t="shared" ca="1" si="60"/>
        <v/>
      </c>
      <c r="O950" s="3"/>
      <c r="Q950" s="92" t="str">
        <f t="shared" si="59"/>
        <v/>
      </c>
      <c r="R950" s="98">
        <f>SUMIFS('Booking Management'!J:J,'Booking Management'!B:B,'Sales Orders'!A950)</f>
        <v>0</v>
      </c>
      <c r="S950" s="99" t="str">
        <f t="shared" si="58"/>
        <v/>
      </c>
      <c r="Y950" s="98" t="str">
        <f t="shared" si="61"/>
        <v/>
      </c>
    </row>
    <row r="951" spans="1:25">
      <c r="A951" s="23"/>
      <c r="F951" s="37"/>
      <c r="H951" s="3"/>
      <c r="J951" s="109" t="str">
        <f>IF(C951&lt;&gt;"",SUMIFS('Booking Management'!Y:Y,'Booking Management'!B:B,'Sales Orders'!A951),"")</f>
        <v/>
      </c>
      <c r="M951" s="92" t="str">
        <f t="shared" ca="1" si="60"/>
        <v/>
      </c>
      <c r="O951" s="3"/>
      <c r="Q951" s="92" t="str">
        <f t="shared" si="59"/>
        <v/>
      </c>
      <c r="R951" s="98">
        <f>SUMIFS('Booking Management'!J:J,'Booking Management'!B:B,'Sales Orders'!A951)</f>
        <v>0</v>
      </c>
      <c r="S951" s="99" t="str">
        <f t="shared" si="58"/>
        <v/>
      </c>
      <c r="Y951" s="98" t="str">
        <f t="shared" si="61"/>
        <v/>
      </c>
    </row>
    <row r="952" spans="1:25">
      <c r="A952" s="23"/>
      <c r="F952" s="37"/>
      <c r="H952" s="3"/>
      <c r="J952" s="109" t="str">
        <f>IF(C952&lt;&gt;"",SUMIFS('Booking Management'!Y:Y,'Booking Management'!B:B,'Sales Orders'!A952),"")</f>
        <v/>
      </c>
      <c r="M952" s="92" t="str">
        <f t="shared" ca="1" si="60"/>
        <v/>
      </c>
      <c r="O952" s="3"/>
      <c r="Q952" s="92" t="str">
        <f t="shared" si="59"/>
        <v/>
      </c>
      <c r="R952" s="98">
        <f>SUMIFS('Booking Management'!J:J,'Booking Management'!B:B,'Sales Orders'!A952)</f>
        <v>0</v>
      </c>
      <c r="S952" s="99" t="str">
        <f t="shared" si="58"/>
        <v/>
      </c>
      <c r="Y952" s="98" t="str">
        <f t="shared" si="61"/>
        <v/>
      </c>
    </row>
    <row r="953" spans="1:25">
      <c r="A953" s="23"/>
      <c r="F953" s="37"/>
      <c r="H953" s="3"/>
      <c r="J953" s="109" t="str">
        <f>IF(C953&lt;&gt;"",SUMIFS('Booking Management'!Y:Y,'Booking Management'!B:B,'Sales Orders'!A953),"")</f>
        <v/>
      </c>
      <c r="M953" s="92" t="str">
        <f t="shared" ca="1" si="60"/>
        <v/>
      </c>
      <c r="O953" s="3"/>
      <c r="Q953" s="92" t="str">
        <f t="shared" si="59"/>
        <v/>
      </c>
      <c r="R953" s="98">
        <f>SUMIFS('Booking Management'!J:J,'Booking Management'!B:B,'Sales Orders'!A953)</f>
        <v>0</v>
      </c>
      <c r="S953" s="99" t="str">
        <f t="shared" si="58"/>
        <v/>
      </c>
      <c r="Y953" s="98" t="str">
        <f t="shared" si="61"/>
        <v/>
      </c>
    </row>
    <row r="954" spans="1:25">
      <c r="A954" s="23"/>
      <c r="F954" s="37"/>
      <c r="H954" s="3"/>
      <c r="J954" s="109" t="str">
        <f>IF(C954&lt;&gt;"",SUMIFS('Booking Management'!Y:Y,'Booking Management'!B:B,'Sales Orders'!A954),"")</f>
        <v/>
      </c>
      <c r="M954" s="92" t="str">
        <f t="shared" ca="1" si="60"/>
        <v/>
      </c>
      <c r="O954" s="3"/>
      <c r="Q954" s="92" t="str">
        <f t="shared" si="59"/>
        <v/>
      </c>
      <c r="R954" s="98">
        <f>SUMIFS('Booking Management'!J:J,'Booking Management'!B:B,'Sales Orders'!A954)</f>
        <v>0</v>
      </c>
      <c r="S954" s="99" t="str">
        <f t="shared" si="58"/>
        <v/>
      </c>
      <c r="Y954" s="98" t="str">
        <f t="shared" si="61"/>
        <v/>
      </c>
    </row>
    <row r="955" spans="1:25">
      <c r="A955" s="23"/>
      <c r="F955" s="37"/>
      <c r="H955" s="3"/>
      <c r="J955" s="109" t="str">
        <f>IF(C955&lt;&gt;"",SUMIFS('Booking Management'!Y:Y,'Booking Management'!B:B,'Sales Orders'!A955),"")</f>
        <v/>
      </c>
      <c r="M955" s="92" t="str">
        <f t="shared" ca="1" si="60"/>
        <v/>
      </c>
      <c r="O955" s="3"/>
      <c r="Q955" s="92" t="str">
        <f t="shared" si="59"/>
        <v/>
      </c>
      <c r="R955" s="98">
        <f>SUMIFS('Booking Management'!J:J,'Booking Management'!B:B,'Sales Orders'!A955)</f>
        <v>0</v>
      </c>
      <c r="S955" s="99" t="str">
        <f t="shared" si="58"/>
        <v/>
      </c>
      <c r="Y955" s="98" t="str">
        <f t="shared" si="61"/>
        <v/>
      </c>
    </row>
    <row r="956" spans="1:25">
      <c r="A956" s="23"/>
      <c r="F956" s="37"/>
      <c r="H956" s="3"/>
      <c r="J956" s="109" t="str">
        <f>IF(C956&lt;&gt;"",SUMIFS('Booking Management'!Y:Y,'Booking Management'!B:B,'Sales Orders'!A956),"")</f>
        <v/>
      </c>
      <c r="M956" s="92" t="str">
        <f t="shared" ca="1" si="60"/>
        <v/>
      </c>
      <c r="O956" s="3"/>
      <c r="Q956" s="92" t="str">
        <f t="shared" si="59"/>
        <v/>
      </c>
      <c r="R956" s="98">
        <f>SUMIFS('Booking Management'!J:J,'Booking Management'!B:B,'Sales Orders'!A956)</f>
        <v>0</v>
      </c>
      <c r="S956" s="99" t="str">
        <f t="shared" si="58"/>
        <v/>
      </c>
      <c r="Y956" s="98" t="str">
        <f t="shared" si="61"/>
        <v/>
      </c>
    </row>
    <row r="957" spans="1:25">
      <c r="A957" s="23"/>
      <c r="F957" s="37"/>
      <c r="H957" s="3"/>
      <c r="J957" s="109" t="str">
        <f>IF(C957&lt;&gt;"",SUMIFS('Booking Management'!Y:Y,'Booking Management'!B:B,'Sales Orders'!A957),"")</f>
        <v/>
      </c>
      <c r="M957" s="92" t="str">
        <f t="shared" ca="1" si="60"/>
        <v/>
      </c>
      <c r="O957" s="3"/>
      <c r="Q957" s="92" t="str">
        <f t="shared" si="59"/>
        <v/>
      </c>
      <c r="R957" s="98">
        <f>SUMIFS('Booking Management'!J:J,'Booking Management'!B:B,'Sales Orders'!A957)</f>
        <v>0</v>
      </c>
      <c r="S957" s="99" t="str">
        <f t="shared" si="58"/>
        <v/>
      </c>
      <c r="Y957" s="98" t="str">
        <f t="shared" si="61"/>
        <v/>
      </c>
    </row>
    <row r="958" spans="1:25">
      <c r="A958" s="23"/>
      <c r="F958" s="37"/>
      <c r="H958" s="3"/>
      <c r="J958" s="109" t="str">
        <f>IF(C958&lt;&gt;"",SUMIFS('Booking Management'!Y:Y,'Booking Management'!B:B,'Sales Orders'!A958),"")</f>
        <v/>
      </c>
      <c r="M958" s="92" t="str">
        <f t="shared" ca="1" si="60"/>
        <v/>
      </c>
      <c r="O958" s="3"/>
      <c r="Q958" s="92" t="str">
        <f t="shared" si="59"/>
        <v/>
      </c>
      <c r="R958" s="98">
        <f>SUMIFS('Booking Management'!J:J,'Booking Management'!B:B,'Sales Orders'!A958)</f>
        <v>0</v>
      </c>
      <c r="S958" s="99" t="str">
        <f t="shared" si="58"/>
        <v/>
      </c>
      <c r="Y958" s="98" t="str">
        <f t="shared" si="61"/>
        <v/>
      </c>
    </row>
    <row r="959" spans="1:25">
      <c r="A959" s="23"/>
      <c r="F959" s="37"/>
      <c r="H959" s="3"/>
      <c r="J959" s="109" t="str">
        <f>IF(C959&lt;&gt;"",SUMIFS('Booking Management'!Y:Y,'Booking Management'!B:B,'Sales Orders'!A959),"")</f>
        <v/>
      </c>
      <c r="M959" s="92" t="str">
        <f t="shared" ca="1" si="60"/>
        <v/>
      </c>
      <c r="O959" s="3"/>
      <c r="Q959" s="92" t="str">
        <f t="shared" si="59"/>
        <v/>
      </c>
      <c r="R959" s="98">
        <f>SUMIFS('Booking Management'!J:J,'Booking Management'!B:B,'Sales Orders'!A959)</f>
        <v>0</v>
      </c>
      <c r="S959" s="99" t="str">
        <f t="shared" si="58"/>
        <v/>
      </c>
      <c r="Y959" s="98" t="str">
        <f t="shared" si="61"/>
        <v/>
      </c>
    </row>
    <row r="960" spans="1:25">
      <c r="A960" s="23"/>
      <c r="F960" s="37"/>
      <c r="H960" s="3"/>
      <c r="J960" s="109" t="str">
        <f>IF(C960&lt;&gt;"",SUMIFS('Booking Management'!Y:Y,'Booking Management'!B:B,'Sales Orders'!A960),"")</f>
        <v/>
      </c>
      <c r="M960" s="92" t="str">
        <f t="shared" ca="1" si="60"/>
        <v/>
      </c>
      <c r="O960" s="3"/>
      <c r="Q960" s="92" t="str">
        <f t="shared" si="59"/>
        <v/>
      </c>
      <c r="R960" s="98">
        <f>SUMIFS('Booking Management'!J:J,'Booking Management'!B:B,'Sales Orders'!A960)</f>
        <v>0</v>
      </c>
      <c r="S960" s="99" t="str">
        <f t="shared" si="58"/>
        <v/>
      </c>
      <c r="Y960" s="98" t="str">
        <f t="shared" si="61"/>
        <v/>
      </c>
    </row>
    <row r="961" spans="1:25">
      <c r="A961" s="23"/>
      <c r="F961" s="37"/>
      <c r="H961" s="3"/>
      <c r="J961" s="109" t="str">
        <f>IF(C961&lt;&gt;"",SUMIFS('Booking Management'!Y:Y,'Booking Management'!B:B,'Sales Orders'!A961),"")</f>
        <v/>
      </c>
      <c r="M961" s="92" t="str">
        <f t="shared" ca="1" si="60"/>
        <v/>
      </c>
      <c r="O961" s="3"/>
      <c r="Q961" s="92" t="str">
        <f t="shared" si="59"/>
        <v/>
      </c>
      <c r="R961" s="98">
        <f>SUMIFS('Booking Management'!J:J,'Booking Management'!B:B,'Sales Orders'!A961)</f>
        <v>0</v>
      </c>
      <c r="S961" s="99" t="str">
        <f t="shared" si="58"/>
        <v/>
      </c>
      <c r="Y961" s="98" t="str">
        <f t="shared" si="61"/>
        <v/>
      </c>
    </row>
    <row r="962" spans="1:25">
      <c r="A962" s="23"/>
      <c r="F962" s="37"/>
      <c r="H962" s="3"/>
      <c r="J962" s="109" t="str">
        <f>IF(C962&lt;&gt;"",SUMIFS('Booking Management'!Y:Y,'Booking Management'!B:B,'Sales Orders'!A962),"")</f>
        <v/>
      </c>
      <c r="M962" s="92" t="str">
        <f t="shared" ca="1" si="60"/>
        <v/>
      </c>
      <c r="O962" s="3"/>
      <c r="Q962" s="92" t="str">
        <f t="shared" si="59"/>
        <v/>
      </c>
      <c r="R962" s="98">
        <f>SUMIFS('Booking Management'!J:J,'Booking Management'!B:B,'Sales Orders'!A962)</f>
        <v>0</v>
      </c>
      <c r="S962" s="99" t="str">
        <f t="shared" si="58"/>
        <v/>
      </c>
      <c r="Y962" s="98" t="str">
        <f t="shared" si="61"/>
        <v/>
      </c>
    </row>
    <row r="963" spans="1:25">
      <c r="A963" s="23"/>
      <c r="F963" s="37"/>
      <c r="H963" s="3"/>
      <c r="J963" s="109" t="str">
        <f>IF(C963&lt;&gt;"",SUMIFS('Booking Management'!Y:Y,'Booking Management'!B:B,'Sales Orders'!A963),"")</f>
        <v/>
      </c>
      <c r="M963" s="92" t="str">
        <f t="shared" ca="1" si="60"/>
        <v/>
      </c>
      <c r="O963" s="3"/>
      <c r="Q963" s="92" t="str">
        <f t="shared" si="59"/>
        <v/>
      </c>
      <c r="R963" s="98">
        <f>SUMIFS('Booking Management'!J:J,'Booking Management'!B:B,'Sales Orders'!A963)</f>
        <v>0</v>
      </c>
      <c r="S963" s="99" t="str">
        <f t="shared" si="58"/>
        <v/>
      </c>
      <c r="Y963" s="98" t="str">
        <f t="shared" si="61"/>
        <v/>
      </c>
    </row>
    <row r="964" spans="1:25">
      <c r="A964" s="23"/>
      <c r="F964" s="37"/>
      <c r="H964" s="3"/>
      <c r="J964" s="109" t="str">
        <f>IF(C964&lt;&gt;"",SUMIFS('Booking Management'!Y:Y,'Booking Management'!B:B,'Sales Orders'!A964),"")</f>
        <v/>
      </c>
      <c r="M964" s="92" t="str">
        <f t="shared" ca="1" si="60"/>
        <v/>
      </c>
      <c r="O964" s="3"/>
      <c r="Q964" s="92" t="str">
        <f t="shared" si="59"/>
        <v/>
      </c>
      <c r="R964" s="98">
        <f>SUMIFS('Booking Management'!J:J,'Booking Management'!B:B,'Sales Orders'!A964)</f>
        <v>0</v>
      </c>
      <c r="S964" s="99" t="str">
        <f t="shared" ref="S964:S1002" si="62">IF(R964&gt;0,(R964/D964)*N964,"")</f>
        <v/>
      </c>
      <c r="Y964" s="98" t="str">
        <f t="shared" si="61"/>
        <v/>
      </c>
    </row>
    <row r="965" spans="1:25">
      <c r="A965" s="23"/>
      <c r="F965" s="37"/>
      <c r="H965" s="3"/>
      <c r="J965" s="109" t="str">
        <f>IF(C965&lt;&gt;"",SUMIFS('Booking Management'!Y:Y,'Booking Management'!B:B,'Sales Orders'!A965),"")</f>
        <v/>
      </c>
      <c r="M965" s="92" t="str">
        <f t="shared" ca="1" si="60"/>
        <v/>
      </c>
      <c r="O965" s="3"/>
      <c r="Q965" s="92" t="str">
        <f t="shared" si="59"/>
        <v/>
      </c>
      <c r="R965" s="98">
        <f>SUMIFS('Booking Management'!J:J,'Booking Management'!B:B,'Sales Orders'!A965)</f>
        <v>0</v>
      </c>
      <c r="S965" s="99" t="str">
        <f t="shared" si="62"/>
        <v/>
      </c>
      <c r="Y965" s="98" t="str">
        <f t="shared" si="61"/>
        <v/>
      </c>
    </row>
    <row r="966" spans="1:25">
      <c r="A966" s="23"/>
      <c r="F966" s="37"/>
      <c r="H966" s="3"/>
      <c r="J966" s="109" t="str">
        <f>IF(C966&lt;&gt;"",SUMIFS('Booking Management'!Y:Y,'Booking Management'!B:B,'Sales Orders'!A966),"")</f>
        <v/>
      </c>
      <c r="M966" s="92" t="str">
        <f t="shared" ca="1" si="60"/>
        <v/>
      </c>
      <c r="O966" s="3"/>
      <c r="Q966" s="92" t="str">
        <f t="shared" ref="Q966:Q1002" si="63">IF(C966&lt;&gt;"",IF(OR(K966="",P966=""),"alert",""),"")</f>
        <v/>
      </c>
      <c r="R966" s="98">
        <f>SUMIFS('Booking Management'!J:J,'Booking Management'!B:B,'Sales Orders'!A966)</f>
        <v>0</v>
      </c>
      <c r="S966" s="99" t="str">
        <f t="shared" si="62"/>
        <v/>
      </c>
      <c r="Y966" s="98" t="str">
        <f t="shared" si="61"/>
        <v/>
      </c>
    </row>
    <row r="967" spans="1:25">
      <c r="A967" s="23"/>
      <c r="F967" s="37"/>
      <c r="H967" s="3"/>
      <c r="J967" s="109" t="str">
        <f>IF(C967&lt;&gt;"",SUMIFS('Booking Management'!Y:Y,'Booking Management'!B:B,'Sales Orders'!A967),"")</f>
        <v/>
      </c>
      <c r="M967" s="92" t="str">
        <f t="shared" ref="M967:M1002" ca="1" si="64">IFERROR(IF(K967&lt;&gt;"",IF(AND(_xlfn.NUMBERVALUE(J967)/_xlfn.NUMBERVALUE(D967) &lt;1,K967-TODAY()&lt;2,L967&lt;&gt;"yes"),"alert",""),""),"")</f>
        <v/>
      </c>
      <c r="O967" s="3"/>
      <c r="Q967" s="92" t="str">
        <f t="shared" si="63"/>
        <v/>
      </c>
      <c r="R967" s="98">
        <f>SUMIFS('Booking Management'!J:J,'Booking Management'!B:B,'Sales Orders'!A967)</f>
        <v>0</v>
      </c>
      <c r="S967" s="99" t="str">
        <f t="shared" si="62"/>
        <v/>
      </c>
      <c r="Y967" s="98" t="str">
        <f t="shared" si="61"/>
        <v/>
      </c>
    </row>
    <row r="968" spans="1:25">
      <c r="A968" s="23"/>
      <c r="F968" s="37"/>
      <c r="H968" s="3"/>
      <c r="J968" s="109" t="str">
        <f>IF(C968&lt;&gt;"",SUMIFS('Booking Management'!Y:Y,'Booking Management'!B:B,'Sales Orders'!A968),"")</f>
        <v/>
      </c>
      <c r="M968" s="92" t="str">
        <f t="shared" ca="1" si="64"/>
        <v/>
      </c>
      <c r="O968" s="3"/>
      <c r="Q968" s="92" t="str">
        <f t="shared" si="63"/>
        <v/>
      </c>
      <c r="R968" s="98">
        <f>SUMIFS('Booking Management'!J:J,'Booking Management'!B:B,'Sales Orders'!A968)</f>
        <v>0</v>
      </c>
      <c r="S968" s="99" t="str">
        <f t="shared" si="62"/>
        <v/>
      </c>
      <c r="Y968" s="98" t="str">
        <f t="shared" si="61"/>
        <v/>
      </c>
    </row>
    <row r="969" spans="1:25">
      <c r="A969" s="23"/>
      <c r="F969" s="37"/>
      <c r="H969" s="3"/>
      <c r="J969" s="109" t="str">
        <f>IF(C969&lt;&gt;"",SUMIFS('Booking Management'!Y:Y,'Booking Management'!B:B,'Sales Orders'!A969),"")</f>
        <v/>
      </c>
      <c r="M969" s="92" t="str">
        <f t="shared" ca="1" si="64"/>
        <v/>
      </c>
      <c r="O969" s="3"/>
      <c r="Q969" s="92" t="str">
        <f t="shared" si="63"/>
        <v/>
      </c>
      <c r="R969" s="98">
        <f>SUMIFS('Booking Management'!J:J,'Booking Management'!B:B,'Sales Orders'!A969)</f>
        <v>0</v>
      </c>
      <c r="S969" s="99" t="str">
        <f t="shared" si="62"/>
        <v/>
      </c>
      <c r="Y969" s="98" t="str">
        <f t="shared" si="61"/>
        <v/>
      </c>
    </row>
    <row r="970" spans="1:25">
      <c r="A970" s="23"/>
      <c r="F970" s="37"/>
      <c r="H970" s="3"/>
      <c r="J970" s="109" t="str">
        <f>IF(C970&lt;&gt;"",SUMIFS('Booking Management'!Y:Y,'Booking Management'!B:B,'Sales Orders'!A970),"")</f>
        <v/>
      </c>
      <c r="M970" s="92" t="str">
        <f t="shared" ca="1" si="64"/>
        <v/>
      </c>
      <c r="O970" s="3"/>
      <c r="Q970" s="92" t="str">
        <f t="shared" si="63"/>
        <v/>
      </c>
      <c r="R970" s="98">
        <f>SUMIFS('Booking Management'!J:J,'Booking Management'!B:B,'Sales Orders'!A970)</f>
        <v>0</v>
      </c>
      <c r="S970" s="99" t="str">
        <f t="shared" si="62"/>
        <v/>
      </c>
      <c r="Y970" s="98" t="str">
        <f t="shared" si="61"/>
        <v/>
      </c>
    </row>
    <row r="971" spans="1:25">
      <c r="A971" s="23"/>
      <c r="F971" s="37"/>
      <c r="H971" s="3"/>
      <c r="J971" s="109" t="str">
        <f>IF(C971&lt;&gt;"",SUMIFS('Booking Management'!Y:Y,'Booking Management'!B:B,'Sales Orders'!A971),"")</f>
        <v/>
      </c>
      <c r="M971" s="92" t="str">
        <f t="shared" ca="1" si="64"/>
        <v/>
      </c>
      <c r="O971" s="3"/>
      <c r="Q971" s="92" t="str">
        <f t="shared" si="63"/>
        <v/>
      </c>
      <c r="R971" s="98">
        <f>SUMIFS('Booking Management'!J:J,'Booking Management'!B:B,'Sales Orders'!A971)</f>
        <v>0</v>
      </c>
      <c r="S971" s="99" t="str">
        <f t="shared" si="62"/>
        <v/>
      </c>
      <c r="Y971" s="98" t="str">
        <f t="shared" si="61"/>
        <v/>
      </c>
    </row>
    <row r="972" spans="1:25">
      <c r="A972" s="23"/>
      <c r="F972" s="37"/>
      <c r="H972" s="3"/>
      <c r="J972" s="109" t="str">
        <f>IF(C972&lt;&gt;"",SUMIFS('Booking Management'!Y:Y,'Booking Management'!B:B,'Sales Orders'!A972),"")</f>
        <v/>
      </c>
      <c r="M972" s="92" t="str">
        <f t="shared" ca="1" si="64"/>
        <v/>
      </c>
      <c r="O972" s="3"/>
      <c r="Q972" s="92" t="str">
        <f t="shared" si="63"/>
        <v/>
      </c>
      <c r="R972" s="98">
        <f>SUMIFS('Booking Management'!J:J,'Booking Management'!B:B,'Sales Orders'!A972)</f>
        <v>0</v>
      </c>
      <c r="S972" s="99" t="str">
        <f t="shared" si="62"/>
        <v/>
      </c>
      <c r="Y972" s="98" t="str">
        <f t="shared" si="61"/>
        <v/>
      </c>
    </row>
    <row r="973" spans="1:25">
      <c r="A973" s="23"/>
      <c r="F973" s="37"/>
      <c r="H973" s="3"/>
      <c r="J973" s="109" t="str">
        <f>IF(C973&lt;&gt;"",SUMIFS('Booking Management'!Y:Y,'Booking Management'!B:B,'Sales Orders'!A973),"")</f>
        <v/>
      </c>
      <c r="M973" s="92" t="str">
        <f t="shared" ca="1" si="64"/>
        <v/>
      </c>
      <c r="O973" s="3"/>
      <c r="Q973" s="92" t="str">
        <f t="shared" si="63"/>
        <v/>
      </c>
      <c r="R973" s="98">
        <f>SUMIFS('Booking Management'!J:J,'Booking Management'!B:B,'Sales Orders'!A973)</f>
        <v>0</v>
      </c>
      <c r="S973" s="99" t="str">
        <f t="shared" si="62"/>
        <v/>
      </c>
      <c r="Y973" s="98" t="str">
        <f t="shared" si="61"/>
        <v/>
      </c>
    </row>
    <row r="974" spans="1:25">
      <c r="A974" s="23"/>
      <c r="F974" s="37"/>
      <c r="H974" s="3"/>
      <c r="J974" s="109" t="str">
        <f>IF(C974&lt;&gt;"",SUMIFS('Booking Management'!Y:Y,'Booking Management'!B:B,'Sales Orders'!A974),"")</f>
        <v/>
      </c>
      <c r="M974" s="92" t="str">
        <f t="shared" ca="1" si="64"/>
        <v/>
      </c>
      <c r="O974" s="3"/>
      <c r="Q974" s="92" t="str">
        <f t="shared" si="63"/>
        <v/>
      </c>
      <c r="R974" s="98">
        <f>SUMIFS('Booking Management'!J:J,'Booking Management'!B:B,'Sales Orders'!A974)</f>
        <v>0</v>
      </c>
      <c r="S974" s="99" t="str">
        <f t="shared" si="62"/>
        <v/>
      </c>
      <c r="Y974" s="98" t="str">
        <f t="shared" si="61"/>
        <v/>
      </c>
    </row>
    <row r="975" spans="1:25">
      <c r="A975" s="23"/>
      <c r="F975" s="37"/>
      <c r="H975" s="3"/>
      <c r="J975" s="109" t="str">
        <f>IF(C975&lt;&gt;"",SUMIFS('Booking Management'!Y:Y,'Booking Management'!B:B,'Sales Orders'!A975),"")</f>
        <v/>
      </c>
      <c r="M975" s="92" t="str">
        <f t="shared" ca="1" si="64"/>
        <v/>
      </c>
      <c r="O975" s="3"/>
      <c r="Q975" s="92" t="str">
        <f t="shared" si="63"/>
        <v/>
      </c>
      <c r="R975" s="98">
        <f>SUMIFS('Booking Management'!J:J,'Booking Management'!B:B,'Sales Orders'!A975)</f>
        <v>0</v>
      </c>
      <c r="S975" s="99" t="str">
        <f t="shared" si="62"/>
        <v/>
      </c>
      <c r="Y975" s="98" t="str">
        <f t="shared" si="61"/>
        <v/>
      </c>
    </row>
    <row r="976" spans="1:25">
      <c r="A976" s="23"/>
      <c r="F976" s="37"/>
      <c r="H976" s="3"/>
      <c r="J976" s="109" t="str">
        <f>IF(C976&lt;&gt;"",SUMIFS('Booking Management'!Y:Y,'Booking Management'!B:B,'Sales Orders'!A976),"")</f>
        <v/>
      </c>
      <c r="M976" s="92" t="str">
        <f t="shared" ca="1" si="64"/>
        <v/>
      </c>
      <c r="O976" s="3"/>
      <c r="Q976" s="92" t="str">
        <f t="shared" si="63"/>
        <v/>
      </c>
      <c r="R976" s="98">
        <f>SUMIFS('Booking Management'!J:J,'Booking Management'!B:B,'Sales Orders'!A976)</f>
        <v>0</v>
      </c>
      <c r="S976" s="99" t="str">
        <f t="shared" si="62"/>
        <v/>
      </c>
      <c r="Y976" s="98" t="str">
        <f t="shared" si="61"/>
        <v/>
      </c>
    </row>
    <row r="977" spans="1:25">
      <c r="A977" s="23"/>
      <c r="F977" s="37"/>
      <c r="H977" s="3"/>
      <c r="J977" s="109" t="str">
        <f>IF(C977&lt;&gt;"",SUMIFS('Booking Management'!Y:Y,'Booking Management'!B:B,'Sales Orders'!A977),"")</f>
        <v/>
      </c>
      <c r="M977" s="92" t="str">
        <f t="shared" ca="1" si="64"/>
        <v/>
      </c>
      <c r="O977" s="3"/>
      <c r="Q977" s="92" t="str">
        <f t="shared" si="63"/>
        <v/>
      </c>
      <c r="R977" s="98">
        <f>SUMIFS('Booking Management'!J:J,'Booking Management'!B:B,'Sales Orders'!A977)</f>
        <v>0</v>
      </c>
      <c r="S977" s="99" t="str">
        <f t="shared" si="62"/>
        <v/>
      </c>
      <c r="Y977" s="98" t="str">
        <f t="shared" si="61"/>
        <v/>
      </c>
    </row>
    <row r="978" spans="1:25">
      <c r="A978" s="23"/>
      <c r="F978" s="37"/>
      <c r="H978" s="3"/>
      <c r="J978" s="109" t="str">
        <f>IF(C978&lt;&gt;"",SUMIFS('Booking Management'!Y:Y,'Booking Management'!B:B,'Sales Orders'!A978),"")</f>
        <v/>
      </c>
      <c r="M978" s="92" t="str">
        <f t="shared" ca="1" si="64"/>
        <v/>
      </c>
      <c r="O978" s="3"/>
      <c r="Q978" s="92" t="str">
        <f t="shared" si="63"/>
        <v/>
      </c>
      <c r="R978" s="98">
        <f>SUMIFS('Booking Management'!J:J,'Booking Management'!B:B,'Sales Orders'!A978)</f>
        <v>0</v>
      </c>
      <c r="S978" s="99" t="str">
        <f t="shared" si="62"/>
        <v/>
      </c>
      <c r="Y978" s="98" t="str">
        <f t="shared" si="61"/>
        <v/>
      </c>
    </row>
    <row r="979" spans="1:25">
      <c r="A979" s="23"/>
      <c r="F979" s="37"/>
      <c r="H979" s="3"/>
      <c r="J979" s="109" t="str">
        <f>IF(C979&lt;&gt;"",SUMIFS('Booking Management'!Y:Y,'Booking Management'!B:B,'Sales Orders'!A979),"")</f>
        <v/>
      </c>
      <c r="M979" s="92" t="str">
        <f t="shared" ca="1" si="64"/>
        <v/>
      </c>
      <c r="O979" s="3"/>
      <c r="Q979" s="92" t="str">
        <f t="shared" si="63"/>
        <v/>
      </c>
      <c r="R979" s="98">
        <f>SUMIFS('Booking Management'!J:J,'Booking Management'!B:B,'Sales Orders'!A979)</f>
        <v>0</v>
      </c>
      <c r="S979" s="99" t="str">
        <f t="shared" si="62"/>
        <v/>
      </c>
      <c r="Y979" s="98" t="str">
        <f t="shared" si="61"/>
        <v/>
      </c>
    </row>
    <row r="980" spans="1:25">
      <c r="A980" s="23"/>
      <c r="F980" s="37"/>
      <c r="H980" s="3"/>
      <c r="J980" s="109" t="str">
        <f>IF(C980&lt;&gt;"",SUMIFS('Booking Management'!Y:Y,'Booking Management'!B:B,'Sales Orders'!A980),"")</f>
        <v/>
      </c>
      <c r="M980" s="92" t="str">
        <f t="shared" ca="1" si="64"/>
        <v/>
      </c>
      <c r="O980" s="3"/>
      <c r="Q980" s="92" t="str">
        <f t="shared" si="63"/>
        <v/>
      </c>
      <c r="R980" s="98">
        <f>SUMIFS('Booking Management'!J:J,'Booking Management'!B:B,'Sales Orders'!A980)</f>
        <v>0</v>
      </c>
      <c r="S980" s="99" t="str">
        <f t="shared" si="62"/>
        <v/>
      </c>
      <c r="Y980" s="98" t="str">
        <f t="shared" si="61"/>
        <v/>
      </c>
    </row>
    <row r="981" spans="1:25">
      <c r="A981" s="23"/>
      <c r="F981" s="37"/>
      <c r="H981" s="3"/>
      <c r="J981" s="109" t="str">
        <f>IF(C981&lt;&gt;"",SUMIFS('Booking Management'!Y:Y,'Booking Management'!B:B,'Sales Orders'!A981),"")</f>
        <v/>
      </c>
      <c r="M981" s="92" t="str">
        <f t="shared" ca="1" si="64"/>
        <v/>
      </c>
      <c r="O981" s="3"/>
      <c r="Q981" s="92" t="str">
        <f t="shared" si="63"/>
        <v/>
      </c>
      <c r="R981" s="98">
        <f>SUMIFS('Booking Management'!J:J,'Booking Management'!B:B,'Sales Orders'!A981)</f>
        <v>0</v>
      </c>
      <c r="S981" s="99" t="str">
        <f t="shared" si="62"/>
        <v/>
      </c>
      <c r="Y981" s="98" t="str">
        <f t="shared" si="61"/>
        <v/>
      </c>
    </row>
    <row r="982" spans="1:25">
      <c r="A982" s="23"/>
      <c r="F982" s="37"/>
      <c r="H982" s="3"/>
      <c r="J982" s="109" t="str">
        <f>IF(C982&lt;&gt;"",SUMIFS('Booking Management'!Y:Y,'Booking Management'!B:B,'Sales Orders'!A982),"")</f>
        <v/>
      </c>
      <c r="M982" s="92" t="str">
        <f t="shared" ca="1" si="64"/>
        <v/>
      </c>
      <c r="O982" s="3"/>
      <c r="Q982" s="92" t="str">
        <f t="shared" si="63"/>
        <v/>
      </c>
      <c r="R982" s="98">
        <f>SUMIFS('Booking Management'!J:J,'Booking Management'!B:B,'Sales Orders'!A982)</f>
        <v>0</v>
      </c>
      <c r="S982" s="99" t="str">
        <f t="shared" si="62"/>
        <v/>
      </c>
      <c r="Y982" s="98" t="str">
        <f t="shared" si="61"/>
        <v/>
      </c>
    </row>
    <row r="983" spans="1:25">
      <c r="A983" s="23"/>
      <c r="F983" s="37"/>
      <c r="H983" s="3"/>
      <c r="J983" s="109" t="str">
        <f>IF(C983&lt;&gt;"",SUMIFS('Booking Management'!Y:Y,'Booking Management'!B:B,'Sales Orders'!A983),"")</f>
        <v/>
      </c>
      <c r="M983" s="92" t="str">
        <f t="shared" ca="1" si="64"/>
        <v/>
      </c>
      <c r="O983" s="3"/>
      <c r="Q983" s="92" t="str">
        <f t="shared" si="63"/>
        <v/>
      </c>
      <c r="R983" s="98">
        <f>SUMIFS('Booking Management'!J:J,'Booking Management'!B:B,'Sales Orders'!A983)</f>
        <v>0</v>
      </c>
      <c r="S983" s="99" t="str">
        <f t="shared" si="62"/>
        <v/>
      </c>
      <c r="Y983" s="98" t="str">
        <f t="shared" si="61"/>
        <v/>
      </c>
    </row>
    <row r="984" spans="1:25">
      <c r="A984" s="23"/>
      <c r="F984" s="37"/>
      <c r="H984" s="3"/>
      <c r="J984" s="109" t="str">
        <f>IF(C984&lt;&gt;"",SUMIFS('Booking Management'!Y:Y,'Booking Management'!B:B,'Sales Orders'!A984),"")</f>
        <v/>
      </c>
      <c r="M984" s="92" t="str">
        <f t="shared" ca="1" si="64"/>
        <v/>
      </c>
      <c r="O984" s="3"/>
      <c r="Q984" s="92" t="str">
        <f t="shared" si="63"/>
        <v/>
      </c>
      <c r="R984" s="98">
        <f>SUMIFS('Booking Management'!J:J,'Booking Management'!B:B,'Sales Orders'!A984)</f>
        <v>0</v>
      </c>
      <c r="S984" s="99" t="str">
        <f t="shared" si="62"/>
        <v/>
      </c>
      <c r="Y984" s="98" t="str">
        <f t="shared" si="61"/>
        <v/>
      </c>
    </row>
    <row r="985" spans="1:25">
      <c r="A985" s="23"/>
      <c r="F985" s="37"/>
      <c r="H985" s="3"/>
      <c r="J985" s="109" t="str">
        <f>IF(C985&lt;&gt;"",SUMIFS('Booking Management'!Y:Y,'Booking Management'!B:B,'Sales Orders'!A985),"")</f>
        <v/>
      </c>
      <c r="M985" s="92" t="str">
        <f t="shared" ca="1" si="64"/>
        <v/>
      </c>
      <c r="O985" s="3"/>
      <c r="Q985" s="92" t="str">
        <f t="shared" si="63"/>
        <v/>
      </c>
      <c r="R985" s="98">
        <f>SUMIFS('Booking Management'!J:J,'Booking Management'!B:B,'Sales Orders'!A985)</f>
        <v>0</v>
      </c>
      <c r="S985" s="99" t="str">
        <f t="shared" si="62"/>
        <v/>
      </c>
      <c r="Y985" s="98" t="str">
        <f t="shared" si="61"/>
        <v/>
      </c>
    </row>
    <row r="986" spans="1:25">
      <c r="A986" s="23"/>
      <c r="F986" s="37"/>
      <c r="H986" s="3"/>
      <c r="J986" s="109" t="str">
        <f>IF(C986&lt;&gt;"",SUMIFS('Booking Management'!Y:Y,'Booking Management'!B:B,'Sales Orders'!A986),"")</f>
        <v/>
      </c>
      <c r="M986" s="92" t="str">
        <f t="shared" ca="1" si="64"/>
        <v/>
      </c>
      <c r="O986" s="3"/>
      <c r="Q986" s="92" t="str">
        <f t="shared" si="63"/>
        <v/>
      </c>
      <c r="R986" s="98">
        <f>SUMIFS('Booking Management'!J:J,'Booking Management'!B:B,'Sales Orders'!A986)</f>
        <v>0</v>
      </c>
      <c r="S986" s="99" t="str">
        <f t="shared" si="62"/>
        <v/>
      </c>
      <c r="Y986" s="98" t="str">
        <f t="shared" si="61"/>
        <v/>
      </c>
    </row>
    <row r="987" spans="1:25">
      <c r="A987" s="23"/>
      <c r="F987" s="37"/>
      <c r="H987" s="3"/>
      <c r="J987" s="109" t="str">
        <f>IF(C987&lt;&gt;"",SUMIFS('Booking Management'!Y:Y,'Booking Management'!B:B,'Sales Orders'!A987),"")</f>
        <v/>
      </c>
      <c r="M987" s="92" t="str">
        <f t="shared" ca="1" si="64"/>
        <v/>
      </c>
      <c r="O987" s="3"/>
      <c r="Q987" s="92" t="str">
        <f t="shared" si="63"/>
        <v/>
      </c>
      <c r="R987" s="98">
        <f>SUMIFS('Booking Management'!J:J,'Booking Management'!B:B,'Sales Orders'!A987)</f>
        <v>0</v>
      </c>
      <c r="S987" s="99" t="str">
        <f t="shared" si="62"/>
        <v/>
      </c>
      <c r="Y987" s="98" t="str">
        <f t="shared" si="61"/>
        <v/>
      </c>
    </row>
    <row r="988" spans="1:25">
      <c r="A988" s="23"/>
      <c r="F988" s="37"/>
      <c r="H988" s="3"/>
      <c r="J988" s="109" t="str">
        <f>IF(C988&lt;&gt;"",SUMIFS('Booking Management'!Y:Y,'Booking Management'!B:B,'Sales Orders'!A988),"")</f>
        <v/>
      </c>
      <c r="M988" s="92" t="str">
        <f t="shared" ca="1" si="64"/>
        <v/>
      </c>
      <c r="O988" s="3"/>
      <c r="Q988" s="92" t="str">
        <f t="shared" si="63"/>
        <v/>
      </c>
      <c r="R988" s="98">
        <f>SUMIFS('Booking Management'!J:J,'Booking Management'!B:B,'Sales Orders'!A988)</f>
        <v>0</v>
      </c>
      <c r="S988" s="99" t="str">
        <f t="shared" si="62"/>
        <v/>
      </c>
      <c r="Y988" s="98" t="str">
        <f t="shared" si="61"/>
        <v/>
      </c>
    </row>
    <row r="989" spans="1:25">
      <c r="A989" s="23"/>
      <c r="F989" s="37"/>
      <c r="H989" s="3"/>
      <c r="J989" s="109" t="str">
        <f>IF(C989&lt;&gt;"",SUMIFS('Booking Management'!Y:Y,'Booking Management'!B:B,'Sales Orders'!A989),"")</f>
        <v/>
      </c>
      <c r="M989" s="92" t="str">
        <f t="shared" ca="1" si="64"/>
        <v/>
      </c>
      <c r="O989" s="3"/>
      <c r="Q989" s="92" t="str">
        <f t="shared" si="63"/>
        <v/>
      </c>
      <c r="R989" s="98">
        <f>SUMIFS('Booking Management'!J:J,'Booking Management'!B:B,'Sales Orders'!A989)</f>
        <v>0</v>
      </c>
      <c r="S989" s="99" t="str">
        <f t="shared" si="62"/>
        <v/>
      </c>
      <c r="Y989" s="98" t="str">
        <f t="shared" si="61"/>
        <v/>
      </c>
    </row>
    <row r="990" spans="1:25">
      <c r="A990" s="23"/>
      <c r="F990" s="37"/>
      <c r="H990" s="3"/>
      <c r="J990" s="109" t="str">
        <f>IF(C990&lt;&gt;"",SUMIFS('Booking Management'!Y:Y,'Booking Management'!B:B,'Sales Orders'!A990),"")</f>
        <v/>
      </c>
      <c r="M990" s="92" t="str">
        <f t="shared" ca="1" si="64"/>
        <v/>
      </c>
      <c r="O990" s="3"/>
      <c r="Q990" s="92" t="str">
        <f t="shared" si="63"/>
        <v/>
      </c>
      <c r="R990" s="98">
        <f>SUMIFS('Booking Management'!J:J,'Booking Management'!B:B,'Sales Orders'!A990)</f>
        <v>0</v>
      </c>
      <c r="S990" s="99" t="str">
        <f t="shared" si="62"/>
        <v/>
      </c>
      <c r="Y990" s="98" t="str">
        <f t="shared" si="61"/>
        <v/>
      </c>
    </row>
    <row r="991" spans="1:25">
      <c r="A991" s="23"/>
      <c r="F991" s="37"/>
      <c r="H991" s="3"/>
      <c r="J991" s="109" t="str">
        <f>IF(C991&lt;&gt;"",SUMIFS('Booking Management'!Y:Y,'Booking Management'!B:B,'Sales Orders'!A991),"")</f>
        <v/>
      </c>
      <c r="M991" s="92" t="str">
        <f t="shared" ca="1" si="64"/>
        <v/>
      </c>
      <c r="O991" s="3"/>
      <c r="Q991" s="92" t="str">
        <f t="shared" si="63"/>
        <v/>
      </c>
      <c r="R991" s="98">
        <f>SUMIFS('Booking Management'!J:J,'Booking Management'!B:B,'Sales Orders'!A991)</f>
        <v>0</v>
      </c>
      <c r="S991" s="99" t="str">
        <f t="shared" si="62"/>
        <v/>
      </c>
      <c r="Y991" s="98" t="str">
        <f t="shared" si="61"/>
        <v/>
      </c>
    </row>
    <row r="992" spans="1:25">
      <c r="A992" s="23"/>
      <c r="F992" s="37"/>
      <c r="H992" s="3"/>
      <c r="J992" s="109" t="str">
        <f>IF(C992&lt;&gt;"",SUMIFS('Booking Management'!Y:Y,'Booking Management'!B:B,'Sales Orders'!A992),"")</f>
        <v/>
      </c>
      <c r="M992" s="92" t="str">
        <f t="shared" ca="1" si="64"/>
        <v/>
      </c>
      <c r="O992" s="3"/>
      <c r="Q992" s="92" t="str">
        <f t="shared" si="63"/>
        <v/>
      </c>
      <c r="R992" s="98">
        <f>SUMIFS('Booking Management'!J:J,'Booking Management'!B:B,'Sales Orders'!A992)</f>
        <v>0</v>
      </c>
      <c r="S992" s="99" t="str">
        <f t="shared" si="62"/>
        <v/>
      </c>
      <c r="Y992" s="98" t="str">
        <f t="shared" si="61"/>
        <v/>
      </c>
    </row>
    <row r="993" spans="1:25">
      <c r="A993" s="23"/>
      <c r="F993" s="37"/>
      <c r="H993" s="3"/>
      <c r="J993" s="109" t="str">
        <f>IF(C993&lt;&gt;"",SUMIFS('Booking Management'!Y:Y,'Booking Management'!B:B,'Sales Orders'!A993),"")</f>
        <v/>
      </c>
      <c r="M993" s="92" t="str">
        <f t="shared" ca="1" si="64"/>
        <v/>
      </c>
      <c r="O993" s="3"/>
      <c r="Q993" s="92" t="str">
        <f t="shared" si="63"/>
        <v/>
      </c>
      <c r="R993" s="98">
        <f>SUMIFS('Booking Management'!J:J,'Booking Management'!B:B,'Sales Orders'!A993)</f>
        <v>0</v>
      </c>
      <c r="S993" s="99" t="str">
        <f t="shared" si="62"/>
        <v/>
      </c>
      <c r="Y993" s="98" t="str">
        <f t="shared" si="61"/>
        <v/>
      </c>
    </row>
    <row r="994" spans="1:25">
      <c r="A994" s="23"/>
      <c r="F994" s="37"/>
      <c r="H994" s="3"/>
      <c r="J994" s="109" t="str">
        <f>IF(C994&lt;&gt;"",SUMIFS('Booking Management'!Y:Y,'Booking Management'!B:B,'Sales Orders'!A994),"")</f>
        <v/>
      </c>
      <c r="M994" s="92" t="str">
        <f t="shared" ca="1" si="64"/>
        <v/>
      </c>
      <c r="O994" s="3"/>
      <c r="Q994" s="92" t="str">
        <f t="shared" si="63"/>
        <v/>
      </c>
      <c r="R994" s="98">
        <f>SUMIFS('Booking Management'!J:J,'Booking Management'!B:B,'Sales Orders'!A994)</f>
        <v>0</v>
      </c>
      <c r="S994" s="99" t="str">
        <f t="shared" si="62"/>
        <v/>
      </c>
      <c r="Y994" s="98" t="str">
        <f t="shared" si="61"/>
        <v/>
      </c>
    </row>
    <row r="995" spans="1:25">
      <c r="A995" s="23"/>
      <c r="F995" s="37"/>
      <c r="H995" s="3"/>
      <c r="J995" s="109" t="str">
        <f>IF(C995&lt;&gt;"",SUMIFS('Booking Management'!Y:Y,'Booking Management'!B:B,'Sales Orders'!A995),"")</f>
        <v/>
      </c>
      <c r="M995" s="92" t="str">
        <f t="shared" ca="1" si="64"/>
        <v/>
      </c>
      <c r="O995" s="3"/>
      <c r="Q995" s="92" t="str">
        <f t="shared" si="63"/>
        <v/>
      </c>
      <c r="R995" s="98">
        <f>SUMIFS('Booking Management'!J:J,'Booking Management'!B:B,'Sales Orders'!A995)</f>
        <v>0</v>
      </c>
      <c r="S995" s="99" t="str">
        <f t="shared" si="62"/>
        <v/>
      </c>
      <c r="Y995" s="98" t="str">
        <f t="shared" si="61"/>
        <v/>
      </c>
    </row>
    <row r="996" spans="1:25">
      <c r="A996" s="23"/>
      <c r="F996" s="37"/>
      <c r="H996" s="3"/>
      <c r="J996" s="109" t="str">
        <f>IF(C996&lt;&gt;"",SUMIFS('Booking Management'!Y:Y,'Booking Management'!B:B,'Sales Orders'!A996),"")</f>
        <v/>
      </c>
      <c r="M996" s="92" t="str">
        <f t="shared" ca="1" si="64"/>
        <v/>
      </c>
      <c r="O996" s="3"/>
      <c r="Q996" s="92" t="str">
        <f t="shared" si="63"/>
        <v/>
      </c>
      <c r="R996" s="98">
        <f>SUMIFS('Booking Management'!J:J,'Booking Management'!B:B,'Sales Orders'!A996)</f>
        <v>0</v>
      </c>
      <c r="S996" s="99" t="str">
        <f t="shared" si="62"/>
        <v/>
      </c>
      <c r="Y996" s="98" t="str">
        <f t="shared" si="61"/>
        <v/>
      </c>
    </row>
    <row r="997" spans="1:25">
      <c r="A997" s="23"/>
      <c r="F997" s="37"/>
      <c r="H997" s="3"/>
      <c r="J997" s="109" t="str">
        <f>IF(C997&lt;&gt;"",SUMIFS('Booking Management'!Y:Y,'Booking Management'!B:B,'Sales Orders'!A997),"")</f>
        <v/>
      </c>
      <c r="M997" s="92" t="str">
        <f t="shared" ca="1" si="64"/>
        <v/>
      </c>
      <c r="O997" s="3"/>
      <c r="Q997" s="92" t="str">
        <f t="shared" si="63"/>
        <v/>
      </c>
      <c r="R997" s="98">
        <f>SUMIFS('Booking Management'!J:J,'Booking Management'!B:B,'Sales Orders'!A997)</f>
        <v>0</v>
      </c>
      <c r="S997" s="99" t="str">
        <f t="shared" si="62"/>
        <v/>
      </c>
      <c r="Y997" s="98" t="str">
        <f t="shared" si="61"/>
        <v/>
      </c>
    </row>
    <row r="998" spans="1:25">
      <c r="A998" s="23"/>
      <c r="F998" s="37"/>
      <c r="H998" s="3"/>
      <c r="J998" s="109" t="str">
        <f>IF(C998&lt;&gt;"",SUMIFS('Booking Management'!Y:Y,'Booking Management'!B:B,'Sales Orders'!A998),"")</f>
        <v/>
      </c>
      <c r="M998" s="92" t="str">
        <f t="shared" ca="1" si="64"/>
        <v/>
      </c>
      <c r="O998" s="3"/>
      <c r="Q998" s="92" t="str">
        <f t="shared" si="63"/>
        <v/>
      </c>
      <c r="R998" s="98">
        <f>SUMIFS('Booking Management'!J:J,'Booking Management'!B:B,'Sales Orders'!A998)</f>
        <v>0</v>
      </c>
      <c r="S998" s="99" t="str">
        <f t="shared" si="62"/>
        <v/>
      </c>
      <c r="Y998" s="98" t="str">
        <f t="shared" si="61"/>
        <v/>
      </c>
    </row>
    <row r="999" spans="1:25">
      <c r="A999" s="23"/>
      <c r="F999" s="37"/>
      <c r="H999" s="3"/>
      <c r="J999" s="109" t="str">
        <f>IF(C999&lt;&gt;"",SUMIFS('Booking Management'!Y:Y,'Booking Management'!B:B,'Sales Orders'!A999),"")</f>
        <v/>
      </c>
      <c r="M999" s="92" t="str">
        <f t="shared" ca="1" si="64"/>
        <v/>
      </c>
      <c r="O999" s="3"/>
      <c r="Q999" s="92" t="str">
        <f t="shared" si="63"/>
        <v/>
      </c>
      <c r="R999" s="98">
        <f>SUMIFS('Booking Management'!J:J,'Booking Management'!B:B,'Sales Orders'!A999)</f>
        <v>0</v>
      </c>
      <c r="S999" s="99" t="str">
        <f t="shared" si="62"/>
        <v/>
      </c>
      <c r="Y999" s="98" t="str">
        <f t="shared" si="61"/>
        <v/>
      </c>
    </row>
    <row r="1000" spans="1:25">
      <c r="A1000" s="23"/>
      <c r="F1000" s="37"/>
      <c r="H1000" s="3"/>
      <c r="J1000" s="109" t="str">
        <f>IF(C1000&lt;&gt;"",SUMIFS('Booking Management'!Y:Y,'Booking Management'!B:B,'Sales Orders'!A1000),"")</f>
        <v/>
      </c>
      <c r="M1000" s="92" t="str">
        <f t="shared" ca="1" si="64"/>
        <v/>
      </c>
      <c r="O1000" s="3"/>
      <c r="Q1000" s="92" t="str">
        <f t="shared" si="63"/>
        <v/>
      </c>
      <c r="R1000" s="98">
        <f>SUMIFS('Booking Management'!J:J,'Booking Management'!B:B,'Sales Orders'!A1000)</f>
        <v>0</v>
      </c>
      <c r="S1000" s="99" t="str">
        <f t="shared" si="62"/>
        <v/>
      </c>
      <c r="Y1000" s="98" t="str">
        <f t="shared" si="61"/>
        <v/>
      </c>
    </row>
    <row r="1001" spans="1:25">
      <c r="A1001" s="23"/>
      <c r="F1001" s="37"/>
      <c r="H1001" s="3"/>
      <c r="J1001" s="109" t="str">
        <f>IF(C1001&lt;&gt;"",SUMIFS('Booking Management'!Y:Y,'Booking Management'!B:B,'Sales Orders'!A1001),"")</f>
        <v/>
      </c>
      <c r="M1001" s="92" t="str">
        <f t="shared" ca="1" si="64"/>
        <v/>
      </c>
      <c r="O1001" s="3"/>
      <c r="Q1001" s="92" t="str">
        <f t="shared" si="63"/>
        <v/>
      </c>
      <c r="R1001" s="98">
        <f>SUMIFS('Booking Management'!J:J,'Booking Management'!B:B,'Sales Orders'!A1001)</f>
        <v>0</v>
      </c>
      <c r="S1001" s="99" t="str">
        <f t="shared" si="62"/>
        <v/>
      </c>
      <c r="Y1001" s="98" t="str">
        <f t="shared" si="61"/>
        <v/>
      </c>
    </row>
    <row r="1002" spans="1:25">
      <c r="A1002" s="23"/>
      <c r="F1002" s="37"/>
      <c r="H1002" s="3"/>
      <c r="J1002" s="109" t="str">
        <f>IF(C1002&lt;&gt;"",SUMIFS('Booking Management'!Y:Y,'Booking Management'!B:B,'Sales Orders'!A1002),"")</f>
        <v/>
      </c>
      <c r="M1002" s="92" t="str">
        <f t="shared" ca="1" si="64"/>
        <v/>
      </c>
      <c r="O1002" s="3"/>
      <c r="Q1002" s="92" t="str">
        <f t="shared" si="63"/>
        <v/>
      </c>
      <c r="R1002" s="98">
        <f>SUMIFS('Booking Management'!J:J,'Booking Management'!B:B,'Sales Orders'!A1002)</f>
        <v>0</v>
      </c>
      <c r="S1002" s="99" t="str">
        <f t="shared" si="62"/>
        <v/>
      </c>
      <c r="Y1002" s="98" t="str">
        <f t="shared" ref="Y1002" si="65">IF(D1002&lt;&gt;"",D1002-J1002,"")</f>
        <v/>
      </c>
    </row>
    <row r="1003" spans="1:25">
      <c r="A1003" s="23"/>
      <c r="F1003" s="37"/>
      <c r="H1003" s="3"/>
      <c r="M1003" s="3"/>
      <c r="N1003" s="96"/>
      <c r="O1003" s="3"/>
    </row>
    <row r="1004" spans="1:25">
      <c r="A1004" s="23"/>
      <c r="F1004" s="37"/>
      <c r="H1004" s="3"/>
      <c r="M1004" s="3"/>
      <c r="N1004" s="96"/>
      <c r="O1004" s="3"/>
    </row>
    <row r="1005" spans="1:25">
      <c r="A1005" s="23"/>
      <c r="F1005" s="37"/>
      <c r="H1005" s="3"/>
      <c r="M1005" s="3"/>
      <c r="N1005" s="96"/>
      <c r="O1005" s="3"/>
    </row>
    <row r="1006" spans="1:25">
      <c r="A1006" s="23"/>
      <c r="F1006" s="37"/>
      <c r="H1006" s="3"/>
      <c r="M1006" s="3"/>
      <c r="N1006" s="96"/>
      <c r="O1006" s="3"/>
    </row>
    <row r="1007" spans="1:25">
      <c r="A1007" s="23"/>
      <c r="F1007" s="37"/>
      <c r="H1007" s="3"/>
      <c r="M1007" s="3"/>
      <c r="N1007" s="96"/>
      <c r="O1007" s="3"/>
    </row>
    <row r="1008" spans="1:25">
      <c r="A1008" s="23"/>
      <c r="F1008" s="37"/>
      <c r="H1008" s="3"/>
      <c r="M1008" s="3"/>
      <c r="N1008" s="96"/>
      <c r="O1008" s="3"/>
    </row>
    <row r="1009" spans="1:15">
      <c r="A1009" s="23"/>
      <c r="F1009" s="37"/>
      <c r="H1009" s="3"/>
      <c r="M1009" s="3"/>
      <c r="N1009" s="96"/>
      <c r="O1009" s="3"/>
    </row>
    <row r="1010" spans="1:15">
      <c r="A1010" s="23"/>
      <c r="F1010" s="37"/>
      <c r="H1010" s="3"/>
      <c r="M1010" s="3"/>
      <c r="N1010" s="96"/>
      <c r="O1010" s="3"/>
    </row>
    <row r="1011" spans="1:15">
      <c r="A1011" s="23"/>
      <c r="F1011" s="37"/>
      <c r="H1011" s="3"/>
      <c r="M1011" s="3"/>
      <c r="N1011" s="96"/>
      <c r="O1011" s="3"/>
    </row>
    <row r="1012" spans="1:15">
      <c r="A1012" s="23"/>
      <c r="F1012" s="37"/>
      <c r="H1012" s="3"/>
      <c r="M1012" s="3"/>
      <c r="N1012" s="96"/>
      <c r="O1012" s="3"/>
    </row>
    <row r="1013" spans="1:15">
      <c r="A1013" s="23"/>
      <c r="F1013" s="37"/>
      <c r="H1013" s="3"/>
      <c r="M1013" s="3"/>
      <c r="N1013" s="96"/>
      <c r="O1013" s="3"/>
    </row>
    <row r="1014" spans="1:15">
      <c r="A1014" s="23"/>
      <c r="F1014" s="37"/>
      <c r="H1014" s="3"/>
      <c r="M1014" s="3"/>
      <c r="N1014" s="96"/>
      <c r="O1014" s="3"/>
    </row>
    <row r="1015" spans="1:15">
      <c r="A1015" s="23"/>
      <c r="F1015" s="37"/>
      <c r="H1015" s="3"/>
      <c r="M1015" s="3"/>
      <c r="N1015" s="96"/>
      <c r="O1015" s="3"/>
    </row>
    <row r="1016" spans="1:15">
      <c r="A1016" s="23"/>
      <c r="F1016" s="37"/>
      <c r="H1016" s="3"/>
      <c r="M1016" s="3"/>
      <c r="N1016" s="96"/>
      <c r="O1016" s="3"/>
    </row>
    <row r="1017" spans="1:15">
      <c r="A1017" s="23"/>
      <c r="F1017" s="37"/>
      <c r="H1017" s="3"/>
      <c r="M1017" s="3"/>
      <c r="O1017" s="3"/>
    </row>
    <row r="1018" spans="1:15">
      <c r="A1018" s="23"/>
      <c r="F1018" s="37"/>
      <c r="H1018" s="3"/>
      <c r="M1018" s="3"/>
      <c r="O1018" s="3"/>
    </row>
    <row r="1019" spans="1:15">
      <c r="A1019" s="23"/>
      <c r="F1019" s="37"/>
      <c r="H1019" s="3"/>
      <c r="M1019" s="3"/>
      <c r="O1019" s="3"/>
    </row>
    <row r="1020" spans="1:15">
      <c r="A1020" s="23"/>
      <c r="F1020" s="37"/>
      <c r="H1020" s="3"/>
      <c r="M1020" s="3"/>
      <c r="O1020" s="3"/>
    </row>
    <row r="1021" spans="1:15">
      <c r="A1021" s="23"/>
      <c r="F1021" s="37"/>
      <c r="H1021" s="3"/>
      <c r="M1021" s="3"/>
      <c r="O1021" s="3"/>
    </row>
    <row r="1022" spans="1:15">
      <c r="A1022" s="23"/>
      <c r="F1022" s="37"/>
      <c r="H1022" s="3"/>
      <c r="M1022" s="3"/>
      <c r="O1022" s="3"/>
    </row>
    <row r="1023" spans="1:15">
      <c r="A1023" s="23"/>
      <c r="F1023" s="37"/>
      <c r="H1023" s="3"/>
      <c r="M1023" s="3"/>
      <c r="O1023" s="3"/>
    </row>
    <row r="1024" spans="1:15">
      <c r="A1024" s="23"/>
      <c r="F1024" s="37"/>
      <c r="H1024" s="3"/>
      <c r="M1024" s="3"/>
      <c r="O1024" s="3"/>
    </row>
    <row r="1025" spans="1:15">
      <c r="A1025" s="23"/>
      <c r="F1025" s="37"/>
      <c r="H1025" s="3"/>
      <c r="M1025" s="3"/>
      <c r="O1025" s="3"/>
    </row>
    <row r="1026" spans="1:15">
      <c r="A1026" s="23"/>
      <c r="F1026" s="37"/>
      <c r="H1026" s="3"/>
      <c r="M1026" s="3"/>
      <c r="O1026" s="3"/>
    </row>
    <row r="1027" spans="1:15">
      <c r="A1027" s="23"/>
      <c r="F1027" s="37"/>
      <c r="H1027" s="3"/>
      <c r="M1027" s="3"/>
      <c r="O1027" s="3"/>
    </row>
    <row r="1028" spans="1:15">
      <c r="A1028" s="23"/>
      <c r="F1028" s="37"/>
      <c r="H1028" s="3"/>
      <c r="M1028" s="3"/>
      <c r="O1028" s="3"/>
    </row>
    <row r="1029" spans="1:15">
      <c r="A1029" s="23"/>
      <c r="F1029" s="37"/>
      <c r="H1029" s="3"/>
      <c r="M1029" s="3"/>
      <c r="O1029" s="3"/>
    </row>
    <row r="1030" spans="1:15">
      <c r="A1030" s="23"/>
      <c r="F1030" s="37"/>
      <c r="H1030" s="3"/>
      <c r="M1030" s="3"/>
      <c r="O1030" s="3"/>
    </row>
    <row r="1031" spans="1:15">
      <c r="A1031" s="23"/>
      <c r="F1031" s="37"/>
      <c r="H1031" s="3"/>
      <c r="M1031" s="3"/>
      <c r="O1031" s="3"/>
    </row>
    <row r="1032" spans="1:15">
      <c r="A1032" s="23"/>
      <c r="F1032" s="37"/>
      <c r="H1032" s="3"/>
      <c r="M1032" s="3"/>
      <c r="O1032" s="3"/>
    </row>
    <row r="1033" spans="1:15">
      <c r="A1033" s="23"/>
      <c r="F1033" s="37"/>
      <c r="H1033" s="3"/>
      <c r="M1033" s="3"/>
      <c r="O1033" s="3"/>
    </row>
    <row r="1034" spans="1:15">
      <c r="A1034" s="23"/>
      <c r="F1034" s="37"/>
      <c r="H1034" s="3"/>
      <c r="M1034" s="3"/>
      <c r="O1034" s="3"/>
    </row>
    <row r="1035" spans="1:15">
      <c r="A1035" s="23"/>
      <c r="F1035" s="37"/>
      <c r="H1035" s="3"/>
      <c r="M1035" s="3"/>
      <c r="O1035" s="3"/>
    </row>
    <row r="1036" spans="1:15">
      <c r="A1036" s="23"/>
      <c r="F1036" s="37"/>
      <c r="H1036" s="3"/>
      <c r="M1036" s="3"/>
      <c r="O1036" s="3"/>
    </row>
    <row r="1037" spans="1:15">
      <c r="A1037" s="23"/>
      <c r="F1037" s="37"/>
      <c r="H1037" s="3"/>
      <c r="M1037" s="3"/>
      <c r="O1037" s="3"/>
    </row>
    <row r="1038" spans="1:15">
      <c r="A1038" s="23"/>
      <c r="F1038" s="37"/>
      <c r="H1038" s="3"/>
      <c r="M1038" s="3"/>
      <c r="O1038" s="3"/>
    </row>
    <row r="1039" spans="1:15">
      <c r="A1039" s="23"/>
      <c r="F1039" s="37"/>
      <c r="H1039" s="3"/>
      <c r="M1039" s="3"/>
      <c r="O1039" s="3"/>
    </row>
    <row r="1040" spans="1:15">
      <c r="A1040" s="23"/>
      <c r="F1040" s="37"/>
      <c r="H1040" s="3"/>
      <c r="M1040" s="3"/>
      <c r="O1040" s="3"/>
    </row>
    <row r="1041" spans="1:15">
      <c r="A1041" s="23"/>
      <c r="F1041" s="37"/>
      <c r="H1041" s="3"/>
      <c r="M1041" s="3"/>
      <c r="O1041" s="3"/>
    </row>
    <row r="1042" spans="1:15">
      <c r="A1042" s="23"/>
      <c r="F1042" s="37"/>
      <c r="H1042" s="3"/>
      <c r="M1042" s="3"/>
      <c r="O1042" s="3"/>
    </row>
    <row r="1043" spans="1:15">
      <c r="A1043" s="23"/>
      <c r="F1043" s="37"/>
      <c r="H1043" s="3"/>
      <c r="M1043" s="3"/>
      <c r="O1043" s="3"/>
    </row>
    <row r="1044" spans="1:15">
      <c r="A1044" s="23"/>
      <c r="F1044" s="37"/>
      <c r="H1044" s="3"/>
      <c r="M1044" s="3"/>
      <c r="O1044" s="3"/>
    </row>
    <row r="1045" spans="1:15">
      <c r="A1045" s="23"/>
      <c r="F1045" s="37"/>
      <c r="H1045" s="3"/>
      <c r="M1045" s="3"/>
      <c r="O1045" s="3"/>
    </row>
    <row r="1046" spans="1:15">
      <c r="A1046" s="23"/>
      <c r="F1046" s="37"/>
      <c r="H1046" s="3"/>
      <c r="M1046" s="3"/>
      <c r="O1046" s="3"/>
    </row>
    <row r="1047" spans="1:15">
      <c r="A1047" s="23"/>
      <c r="F1047" s="37"/>
      <c r="H1047" s="3"/>
      <c r="M1047" s="3"/>
      <c r="O1047" s="3"/>
    </row>
    <row r="1048" spans="1:15">
      <c r="A1048" s="23"/>
      <c r="F1048" s="37"/>
      <c r="H1048" s="3"/>
      <c r="M1048" s="3"/>
      <c r="O1048" s="3"/>
    </row>
    <row r="1049" spans="1:15">
      <c r="A1049" s="23"/>
      <c r="F1049" s="37"/>
      <c r="H1049" s="3"/>
      <c r="M1049" s="3"/>
      <c r="O1049" s="3"/>
    </row>
    <row r="1050" spans="1:15">
      <c r="A1050" s="23"/>
      <c r="F1050" s="37"/>
      <c r="H1050" s="3"/>
      <c r="M1050" s="3"/>
      <c r="O1050" s="3"/>
    </row>
    <row r="1051" spans="1:15">
      <c r="A1051" s="23"/>
      <c r="F1051" s="37"/>
      <c r="H1051" s="3"/>
      <c r="M1051" s="3"/>
      <c r="O1051" s="3"/>
    </row>
    <row r="1052" spans="1:15">
      <c r="A1052" s="23"/>
      <c r="F1052" s="37"/>
      <c r="H1052" s="3"/>
      <c r="M1052" s="3"/>
      <c r="O1052" s="3"/>
    </row>
    <row r="1053" spans="1:15">
      <c r="A1053" s="23"/>
      <c r="F1053" s="37"/>
      <c r="H1053" s="3"/>
      <c r="M1053" s="3"/>
      <c r="O1053" s="3"/>
    </row>
    <row r="1054" spans="1:15">
      <c r="A1054" s="23"/>
      <c r="F1054" s="37"/>
      <c r="H1054" s="3"/>
      <c r="M1054" s="3"/>
      <c r="O1054" s="3"/>
    </row>
    <row r="1055" spans="1:15">
      <c r="A1055" s="23"/>
      <c r="F1055" s="37"/>
      <c r="H1055" s="3"/>
      <c r="M1055" s="3"/>
      <c r="O1055" s="3"/>
    </row>
    <row r="1056" spans="1:15">
      <c r="A1056" s="23"/>
      <c r="F1056" s="37"/>
      <c r="H1056" s="3"/>
      <c r="M1056" s="3"/>
      <c r="O1056" s="3"/>
    </row>
    <row r="1057" spans="1:15">
      <c r="A1057" s="23"/>
      <c r="F1057" s="37"/>
      <c r="H1057" s="3"/>
      <c r="M1057" s="3"/>
      <c r="O1057" s="3"/>
    </row>
    <row r="1058" spans="1:15">
      <c r="A1058" s="23"/>
      <c r="F1058" s="37"/>
      <c r="H1058" s="3"/>
      <c r="M1058" s="3"/>
      <c r="O1058" s="3"/>
    </row>
    <row r="1059" spans="1:15">
      <c r="A1059" s="23"/>
      <c r="F1059" s="37"/>
      <c r="H1059" s="3"/>
      <c r="M1059" s="3"/>
      <c r="O1059" s="3"/>
    </row>
    <row r="1060" spans="1:15">
      <c r="A1060" s="23"/>
      <c r="F1060" s="37"/>
      <c r="H1060" s="3"/>
      <c r="M1060" s="3"/>
      <c r="O1060" s="3"/>
    </row>
    <row r="1061" spans="1:15">
      <c r="A1061" s="23"/>
      <c r="F1061" s="37"/>
      <c r="H1061" s="3"/>
      <c r="M1061" s="3"/>
      <c r="O1061" s="3"/>
    </row>
    <row r="1062" spans="1:15">
      <c r="A1062" s="23"/>
      <c r="F1062" s="37"/>
      <c r="H1062" s="3"/>
      <c r="M1062" s="3"/>
      <c r="O1062" s="3"/>
    </row>
    <row r="1063" spans="1:15">
      <c r="A1063" s="23"/>
      <c r="F1063" s="37"/>
      <c r="H1063" s="3"/>
      <c r="M1063" s="3"/>
      <c r="O1063" s="3"/>
    </row>
    <row r="1064" spans="1:15">
      <c r="A1064" s="23"/>
      <c r="F1064" s="37"/>
      <c r="H1064" s="3"/>
      <c r="M1064" s="3"/>
      <c r="O1064" s="3"/>
    </row>
    <row r="1065" spans="1:15">
      <c r="A1065" s="23"/>
      <c r="F1065" s="37"/>
      <c r="H1065" s="3"/>
      <c r="M1065" s="3"/>
      <c r="O1065" s="3"/>
    </row>
    <row r="1066" spans="1:15">
      <c r="A1066" s="23"/>
      <c r="F1066" s="37"/>
      <c r="H1066" s="3"/>
      <c r="M1066" s="3"/>
      <c r="O1066" s="3"/>
    </row>
    <row r="1067" spans="1:15">
      <c r="A1067" s="23"/>
      <c r="F1067" s="37"/>
      <c r="H1067" s="3"/>
      <c r="M1067" s="3"/>
      <c r="O1067" s="3"/>
    </row>
    <row r="1068" spans="1:15">
      <c r="A1068" s="23"/>
      <c r="F1068" s="37"/>
      <c r="H1068" s="3"/>
      <c r="M1068" s="3"/>
      <c r="O1068" s="3"/>
    </row>
    <row r="1069" spans="1:15">
      <c r="A1069" s="23"/>
      <c r="F1069" s="37"/>
      <c r="H1069" s="3"/>
      <c r="M1069" s="3"/>
      <c r="O1069" s="3"/>
    </row>
    <row r="1070" spans="1:15">
      <c r="A1070" s="23"/>
      <c r="F1070" s="37"/>
      <c r="H1070" s="3"/>
      <c r="M1070" s="3"/>
      <c r="O1070" s="3"/>
    </row>
    <row r="1071" spans="1:15">
      <c r="A1071" s="23"/>
      <c r="F1071" s="37"/>
      <c r="H1071" s="3"/>
      <c r="M1071" s="3"/>
      <c r="O1071" s="3"/>
    </row>
    <row r="1072" spans="1:15">
      <c r="A1072" s="23"/>
      <c r="F1072" s="37"/>
      <c r="H1072" s="3"/>
      <c r="M1072" s="3"/>
      <c r="O1072" s="3"/>
    </row>
    <row r="1073" spans="1:15">
      <c r="A1073" s="23"/>
      <c r="F1073" s="37"/>
      <c r="H1073" s="3"/>
      <c r="M1073" s="3"/>
      <c r="O1073" s="3"/>
    </row>
    <row r="1074" spans="1:15">
      <c r="A1074" s="23"/>
      <c r="F1074" s="37"/>
      <c r="H1074" s="3"/>
      <c r="M1074" s="3"/>
      <c r="O1074" s="3"/>
    </row>
    <row r="1075" spans="1:15">
      <c r="A1075" s="23"/>
      <c r="F1075" s="37"/>
      <c r="H1075" s="3"/>
      <c r="M1075" s="3"/>
      <c r="O1075" s="3"/>
    </row>
    <row r="1076" spans="1:15">
      <c r="A1076" s="23"/>
      <c r="F1076" s="37"/>
      <c r="H1076" s="3"/>
      <c r="M1076" s="3"/>
      <c r="O1076" s="3"/>
    </row>
    <row r="1077" spans="1:15">
      <c r="A1077" s="23"/>
      <c r="F1077" s="37"/>
      <c r="H1077" s="3"/>
      <c r="M1077" s="3"/>
      <c r="O1077" s="3"/>
    </row>
    <row r="1078" spans="1:15">
      <c r="A1078" s="23"/>
      <c r="F1078" s="37"/>
      <c r="H1078" s="3"/>
      <c r="M1078" s="3"/>
      <c r="O1078" s="3"/>
    </row>
    <row r="1079" spans="1:15">
      <c r="A1079" s="23"/>
      <c r="F1079" s="37"/>
      <c r="H1079" s="3"/>
      <c r="M1079" s="3"/>
      <c r="O1079" s="3"/>
    </row>
    <row r="1080" spans="1:15">
      <c r="A1080" s="23"/>
      <c r="F1080" s="37"/>
      <c r="H1080" s="3"/>
      <c r="M1080" s="3"/>
      <c r="O1080" s="3"/>
    </row>
    <row r="1081" spans="1:15">
      <c r="A1081" s="23"/>
      <c r="F1081" s="37"/>
      <c r="H1081" s="3"/>
      <c r="M1081" s="3"/>
      <c r="O1081" s="3"/>
    </row>
    <row r="1082" spans="1:15">
      <c r="A1082" s="23"/>
      <c r="F1082" s="37"/>
      <c r="H1082" s="3"/>
      <c r="M1082" s="3"/>
      <c r="O1082" s="3"/>
    </row>
    <row r="1083" spans="1:15">
      <c r="A1083" s="23"/>
      <c r="F1083" s="37"/>
      <c r="H1083" s="3"/>
      <c r="M1083" s="3"/>
      <c r="O1083" s="3"/>
    </row>
    <row r="1084" spans="1:15">
      <c r="A1084" s="23"/>
      <c r="F1084" s="37"/>
      <c r="H1084" s="3"/>
      <c r="M1084" s="3"/>
      <c r="O1084" s="3"/>
    </row>
    <row r="1085" spans="1:15">
      <c r="A1085" s="23"/>
      <c r="F1085" s="37"/>
      <c r="H1085" s="3"/>
      <c r="M1085" s="3"/>
      <c r="O1085" s="3"/>
    </row>
    <row r="1086" spans="1:15">
      <c r="A1086" s="23"/>
      <c r="F1086" s="37"/>
      <c r="H1086" s="3"/>
      <c r="M1086" s="3"/>
      <c r="O1086" s="3"/>
    </row>
    <row r="1087" spans="1:15">
      <c r="A1087" s="23"/>
      <c r="F1087" s="37"/>
      <c r="H1087" s="3"/>
      <c r="M1087" s="3"/>
      <c r="O1087" s="3"/>
    </row>
    <row r="1088" spans="1:15">
      <c r="A1088" s="23"/>
      <c r="F1088" s="37"/>
      <c r="H1088" s="3"/>
      <c r="M1088" s="3"/>
      <c r="O1088" s="3"/>
    </row>
    <row r="1089" spans="1:15">
      <c r="A1089" s="23"/>
      <c r="F1089" s="37"/>
      <c r="H1089" s="3"/>
      <c r="M1089" s="3"/>
      <c r="O1089" s="3"/>
    </row>
    <row r="1090" spans="1:15">
      <c r="A1090" s="23"/>
      <c r="F1090" s="37"/>
      <c r="H1090" s="3"/>
      <c r="M1090" s="3"/>
      <c r="O1090" s="3"/>
    </row>
    <row r="1091" spans="1:15">
      <c r="A1091" s="23"/>
      <c r="F1091" s="37"/>
      <c r="H1091" s="3"/>
      <c r="M1091" s="3"/>
      <c r="O1091" s="3"/>
    </row>
    <row r="1092" spans="1:15">
      <c r="A1092" s="23"/>
      <c r="F1092" s="37"/>
      <c r="H1092" s="3"/>
      <c r="M1092" s="3"/>
      <c r="O1092" s="3"/>
    </row>
    <row r="1093" spans="1:15">
      <c r="A1093" s="23"/>
      <c r="F1093" s="37"/>
      <c r="H1093" s="3"/>
      <c r="M1093" s="3"/>
      <c r="O1093" s="3"/>
    </row>
    <row r="1094" spans="1:15">
      <c r="A1094" s="23"/>
      <c r="F1094" s="37"/>
      <c r="H1094" s="3"/>
      <c r="M1094" s="3"/>
      <c r="O1094" s="3"/>
    </row>
    <row r="1095" spans="1:15">
      <c r="A1095" s="23"/>
      <c r="F1095" s="37"/>
      <c r="H1095" s="3"/>
      <c r="M1095" s="3"/>
      <c r="O1095" s="3"/>
    </row>
    <row r="1096" spans="1:15">
      <c r="A1096" s="23"/>
      <c r="F1096" s="37"/>
      <c r="H1096" s="3"/>
      <c r="M1096" s="3"/>
      <c r="O1096" s="3"/>
    </row>
    <row r="1097" spans="1:15">
      <c r="A1097" s="23"/>
      <c r="F1097" s="37"/>
      <c r="H1097" s="3"/>
      <c r="M1097" s="3"/>
      <c r="O1097" s="3"/>
    </row>
    <row r="1098" spans="1:15">
      <c r="A1098" s="23"/>
      <c r="F1098" s="37"/>
      <c r="H1098" s="3"/>
      <c r="M1098" s="3"/>
      <c r="O1098" s="3"/>
    </row>
    <row r="1099" spans="1:15">
      <c r="A1099" s="23"/>
      <c r="F1099" s="37"/>
      <c r="H1099" s="3"/>
      <c r="M1099" s="3"/>
      <c r="O1099" s="3"/>
    </row>
    <row r="1100" spans="1:15">
      <c r="A1100" s="23"/>
      <c r="F1100" s="37"/>
      <c r="H1100" s="3"/>
      <c r="M1100" s="3"/>
      <c r="O1100" s="3"/>
    </row>
    <row r="1101" spans="1:15">
      <c r="A1101" s="23"/>
      <c r="F1101" s="37"/>
      <c r="H1101" s="3"/>
      <c r="M1101" s="3"/>
      <c r="O1101" s="3"/>
    </row>
    <row r="1102" spans="1:15">
      <c r="A1102" s="23"/>
      <c r="F1102" s="37"/>
      <c r="H1102" s="3"/>
      <c r="M1102" s="3"/>
      <c r="O1102" s="3"/>
    </row>
    <row r="1103" spans="1:15">
      <c r="A1103" s="23"/>
      <c r="F1103" s="37"/>
      <c r="H1103" s="3"/>
      <c r="M1103" s="3"/>
      <c r="O1103" s="3"/>
    </row>
    <row r="1104" spans="1:15">
      <c r="A1104" s="23"/>
      <c r="F1104" s="37"/>
      <c r="H1104" s="3"/>
      <c r="M1104" s="3"/>
      <c r="O1104" s="3"/>
    </row>
    <row r="1105" spans="1:15">
      <c r="A1105" s="23"/>
      <c r="F1105" s="37"/>
      <c r="H1105" s="3"/>
      <c r="M1105" s="3"/>
      <c r="O1105" s="3"/>
    </row>
    <row r="1106" spans="1:15">
      <c r="A1106" s="23"/>
      <c r="F1106" s="37"/>
      <c r="H1106" s="3"/>
      <c r="M1106" s="3"/>
      <c r="O1106" s="3"/>
    </row>
    <row r="1107" spans="1:15">
      <c r="A1107" s="23"/>
      <c r="F1107" s="37"/>
      <c r="H1107" s="3"/>
      <c r="M1107" s="3"/>
      <c r="O1107" s="3"/>
    </row>
    <row r="1108" spans="1:15">
      <c r="A1108" s="23"/>
      <c r="F1108" s="37"/>
      <c r="H1108" s="3"/>
      <c r="M1108" s="3"/>
      <c r="O1108" s="3"/>
    </row>
    <row r="1109" spans="1:15">
      <c r="A1109" s="23"/>
      <c r="F1109" s="37"/>
      <c r="H1109" s="3"/>
      <c r="M1109" s="3"/>
      <c r="O1109" s="3"/>
    </row>
    <row r="1110" spans="1:15">
      <c r="A1110" s="23"/>
      <c r="F1110" s="37"/>
      <c r="H1110" s="3"/>
      <c r="M1110" s="3"/>
      <c r="O1110" s="3"/>
    </row>
    <row r="1111" spans="1:15">
      <c r="A1111" s="23"/>
      <c r="F1111" s="37"/>
      <c r="H1111" s="3"/>
      <c r="M1111" s="3"/>
      <c r="O1111" s="3"/>
    </row>
    <row r="1112" spans="1:15">
      <c r="A1112" s="23"/>
      <c r="F1112" s="37"/>
      <c r="H1112" s="3"/>
      <c r="M1112" s="3"/>
      <c r="O1112" s="3"/>
    </row>
    <row r="1113" spans="1:15">
      <c r="A1113" s="23"/>
      <c r="F1113" s="37"/>
      <c r="H1113" s="3"/>
      <c r="M1113" s="3"/>
      <c r="O1113" s="3"/>
    </row>
    <row r="1114" spans="1:15">
      <c r="A1114" s="23"/>
      <c r="F1114" s="37"/>
      <c r="H1114" s="3"/>
      <c r="M1114" s="3"/>
      <c r="O1114" s="3"/>
    </row>
    <row r="1115" spans="1:15">
      <c r="A1115" s="23"/>
      <c r="F1115" s="37"/>
      <c r="H1115" s="3"/>
      <c r="M1115" s="3"/>
      <c r="O1115" s="3"/>
    </row>
    <row r="1116" spans="1:15">
      <c r="A1116" s="23"/>
      <c r="F1116" s="37"/>
      <c r="H1116" s="3"/>
      <c r="M1116" s="3"/>
      <c r="O1116" s="3"/>
    </row>
    <row r="1117" spans="1:15">
      <c r="A1117" s="23"/>
      <c r="F1117" s="37"/>
      <c r="H1117" s="3"/>
      <c r="M1117" s="3"/>
      <c r="O1117" s="3"/>
    </row>
    <row r="1118" spans="1:15">
      <c r="A1118" s="23"/>
      <c r="F1118" s="37"/>
      <c r="H1118" s="3"/>
      <c r="M1118" s="3"/>
      <c r="O1118" s="3"/>
    </row>
    <row r="1119" spans="1:15">
      <c r="A1119" s="23"/>
      <c r="F1119" s="37"/>
      <c r="H1119" s="3"/>
      <c r="M1119" s="3"/>
      <c r="O1119" s="3"/>
    </row>
    <row r="1120" spans="1:15">
      <c r="A1120" s="23"/>
      <c r="F1120" s="37"/>
      <c r="H1120" s="3"/>
      <c r="M1120" s="3"/>
      <c r="O1120" s="3"/>
    </row>
    <row r="1121" spans="1:15">
      <c r="A1121" s="23"/>
      <c r="F1121" s="37"/>
      <c r="H1121" s="3"/>
      <c r="M1121" s="3"/>
      <c r="O1121" s="3"/>
    </row>
    <row r="1122" spans="1:15">
      <c r="A1122" s="23"/>
      <c r="F1122" s="37"/>
      <c r="H1122" s="3"/>
      <c r="M1122" s="3"/>
      <c r="O1122" s="3"/>
    </row>
    <row r="1123" spans="1:15">
      <c r="A1123" s="23"/>
      <c r="F1123" s="37"/>
      <c r="H1123" s="3"/>
      <c r="M1123" s="3"/>
      <c r="O1123" s="3"/>
    </row>
    <row r="1124" spans="1:15">
      <c r="A1124" s="23"/>
      <c r="F1124" s="37"/>
      <c r="H1124" s="3"/>
      <c r="M1124" s="3"/>
      <c r="O1124" s="3"/>
    </row>
    <row r="1125" spans="1:15">
      <c r="A1125" s="23"/>
      <c r="F1125" s="37"/>
      <c r="H1125" s="3"/>
      <c r="M1125" s="3"/>
      <c r="O1125" s="3"/>
    </row>
    <row r="1126" spans="1:15">
      <c r="A1126" s="23"/>
      <c r="F1126" s="37"/>
      <c r="H1126" s="3"/>
      <c r="M1126" s="3"/>
      <c r="O1126" s="3"/>
    </row>
    <row r="1127" spans="1:15">
      <c r="A1127" s="23"/>
      <c r="F1127" s="37"/>
      <c r="H1127" s="3"/>
      <c r="M1127" s="3"/>
      <c r="O1127" s="3"/>
    </row>
    <row r="1128" spans="1:15">
      <c r="A1128" s="23"/>
      <c r="F1128" s="37"/>
      <c r="H1128" s="3"/>
      <c r="M1128" s="3"/>
      <c r="O1128" s="3"/>
    </row>
    <row r="1129" spans="1:15">
      <c r="A1129" s="23"/>
      <c r="F1129" s="37"/>
      <c r="H1129" s="3"/>
      <c r="M1129" s="3"/>
      <c r="O1129" s="3"/>
    </row>
    <row r="1130" spans="1:15">
      <c r="A1130" s="23"/>
      <c r="F1130" s="37"/>
      <c r="H1130" s="3"/>
      <c r="M1130" s="3"/>
      <c r="O1130" s="3"/>
    </row>
    <row r="1131" spans="1:15">
      <c r="A1131" s="23"/>
      <c r="F1131" s="37"/>
      <c r="H1131" s="3"/>
      <c r="M1131" s="3"/>
      <c r="O1131" s="3"/>
    </row>
    <row r="1132" spans="1:15">
      <c r="A1132" s="23"/>
      <c r="F1132" s="37"/>
      <c r="H1132" s="3"/>
      <c r="M1132" s="3"/>
      <c r="O1132" s="3"/>
    </row>
    <row r="1133" spans="1:15">
      <c r="A1133" s="23"/>
      <c r="F1133" s="37"/>
      <c r="H1133" s="3"/>
      <c r="M1133" s="3"/>
      <c r="O1133" s="3"/>
    </row>
    <row r="1134" spans="1:15">
      <c r="A1134" s="23"/>
      <c r="F1134" s="37"/>
      <c r="H1134" s="3"/>
      <c r="M1134" s="3"/>
      <c r="O1134" s="3"/>
    </row>
    <row r="1135" spans="1:15">
      <c r="A1135" s="23"/>
      <c r="F1135" s="37"/>
      <c r="H1135" s="3"/>
      <c r="M1135" s="3"/>
      <c r="O1135" s="3"/>
    </row>
    <row r="1136" spans="1:15">
      <c r="A1136" s="23"/>
      <c r="F1136" s="37"/>
      <c r="H1136" s="3"/>
      <c r="M1136" s="3"/>
      <c r="O1136" s="3"/>
    </row>
    <row r="1137" spans="1:15">
      <c r="A1137" s="23"/>
      <c r="F1137" s="37"/>
      <c r="H1137" s="3"/>
      <c r="M1137" s="3"/>
      <c r="O1137" s="3"/>
    </row>
    <row r="1138" spans="1:15">
      <c r="A1138" s="23"/>
      <c r="F1138" s="37"/>
      <c r="H1138" s="3"/>
      <c r="M1138" s="3"/>
      <c r="O1138" s="3"/>
    </row>
    <row r="1139" spans="1:15">
      <c r="A1139" s="23"/>
      <c r="F1139" s="37"/>
      <c r="H1139" s="3"/>
      <c r="M1139" s="3"/>
      <c r="O1139" s="3"/>
    </row>
    <row r="1140" spans="1:15">
      <c r="A1140" s="23"/>
      <c r="F1140" s="37"/>
      <c r="H1140" s="3"/>
      <c r="M1140" s="3"/>
      <c r="O1140" s="3"/>
    </row>
    <row r="1141" spans="1:15">
      <c r="A1141" s="23"/>
      <c r="F1141" s="37"/>
      <c r="H1141" s="3"/>
      <c r="M1141" s="3"/>
      <c r="O1141" s="3"/>
    </row>
    <row r="1142" spans="1:15">
      <c r="A1142" s="23"/>
      <c r="F1142" s="37"/>
      <c r="H1142" s="3"/>
      <c r="M1142" s="3"/>
      <c r="O1142" s="3"/>
    </row>
    <row r="1143" spans="1:15">
      <c r="A1143" s="23"/>
      <c r="F1143" s="37"/>
      <c r="H1143" s="3"/>
      <c r="M1143" s="3"/>
      <c r="O1143" s="3"/>
    </row>
    <row r="1144" spans="1:15">
      <c r="A1144" s="23"/>
      <c r="F1144" s="37"/>
      <c r="H1144" s="3"/>
      <c r="M1144" s="3"/>
      <c r="O1144" s="3"/>
    </row>
    <row r="1145" spans="1:15">
      <c r="A1145" s="23"/>
      <c r="F1145" s="37"/>
      <c r="H1145" s="3"/>
      <c r="M1145" s="3"/>
      <c r="O1145" s="3"/>
    </row>
    <row r="1146" spans="1:15">
      <c r="A1146" s="23"/>
      <c r="F1146" s="37"/>
      <c r="H1146" s="3"/>
      <c r="M1146" s="3"/>
      <c r="O1146" s="3"/>
    </row>
    <row r="1147" spans="1:15">
      <c r="A1147" s="23"/>
      <c r="F1147" s="37"/>
      <c r="H1147" s="3"/>
      <c r="M1147" s="3"/>
      <c r="O1147" s="3"/>
    </row>
    <row r="1148" spans="1:15">
      <c r="A1148" s="23"/>
      <c r="F1148" s="37"/>
      <c r="H1148" s="3"/>
      <c r="M1148" s="3"/>
      <c r="O1148" s="3"/>
    </row>
    <row r="1149" spans="1:15">
      <c r="A1149" s="23"/>
      <c r="F1149" s="37"/>
      <c r="H1149" s="3"/>
      <c r="M1149" s="3"/>
      <c r="O1149" s="3"/>
    </row>
    <row r="1150" spans="1:15">
      <c r="A1150" s="23"/>
      <c r="F1150" s="37"/>
      <c r="H1150" s="3"/>
      <c r="M1150" s="3"/>
      <c r="O1150" s="3"/>
    </row>
    <row r="1151" spans="1:15">
      <c r="A1151" s="23"/>
      <c r="F1151" s="37"/>
      <c r="H1151" s="3"/>
      <c r="M1151" s="3"/>
      <c r="O1151" s="3"/>
    </row>
    <row r="1152" spans="1:15">
      <c r="A1152" s="23"/>
      <c r="F1152" s="37"/>
      <c r="H1152" s="3"/>
      <c r="M1152" s="3"/>
      <c r="O1152" s="3"/>
    </row>
    <row r="1153" spans="1:15">
      <c r="A1153" s="23"/>
      <c r="F1153" s="37"/>
      <c r="H1153" s="3"/>
      <c r="M1153" s="3"/>
      <c r="O1153" s="3"/>
    </row>
    <row r="1154" spans="1:15">
      <c r="A1154" s="23"/>
      <c r="F1154" s="37"/>
      <c r="H1154" s="3"/>
      <c r="M1154" s="3"/>
      <c r="O1154" s="3"/>
    </row>
    <row r="1155" spans="1:15">
      <c r="A1155" s="23"/>
      <c r="F1155" s="37"/>
      <c r="H1155" s="3"/>
      <c r="M1155" s="3"/>
      <c r="O1155" s="3"/>
    </row>
    <row r="1156" spans="1:15">
      <c r="A1156" s="23"/>
      <c r="F1156" s="37"/>
      <c r="H1156" s="3"/>
      <c r="M1156" s="3"/>
      <c r="O1156" s="3"/>
    </row>
    <row r="1157" spans="1:15">
      <c r="A1157" s="23"/>
      <c r="F1157" s="37"/>
      <c r="H1157" s="3"/>
      <c r="M1157" s="3"/>
      <c r="O1157" s="3"/>
    </row>
    <row r="1158" spans="1:15">
      <c r="A1158" s="23"/>
      <c r="F1158" s="37"/>
      <c r="H1158" s="3"/>
      <c r="M1158" s="3"/>
      <c r="O1158" s="3"/>
    </row>
    <row r="1159" spans="1:15">
      <c r="A1159" s="23"/>
      <c r="F1159" s="37"/>
      <c r="H1159" s="3"/>
      <c r="M1159" s="3"/>
      <c r="O1159" s="3"/>
    </row>
    <row r="1160" spans="1:15">
      <c r="A1160" s="23"/>
      <c r="F1160" s="37"/>
      <c r="H1160" s="3"/>
      <c r="M1160" s="3"/>
      <c r="O1160" s="3"/>
    </row>
    <row r="1161" spans="1:15">
      <c r="A1161" s="23"/>
      <c r="F1161" s="37"/>
      <c r="H1161" s="3"/>
      <c r="M1161" s="3"/>
      <c r="O1161" s="3"/>
    </row>
    <row r="1162" spans="1:15">
      <c r="A1162" s="23"/>
      <c r="F1162" s="37"/>
      <c r="H1162" s="3"/>
      <c r="M1162" s="3"/>
      <c r="O1162" s="3"/>
    </row>
    <row r="1163" spans="1:15">
      <c r="A1163" s="23"/>
      <c r="F1163" s="37"/>
      <c r="H1163" s="3"/>
      <c r="M1163" s="3"/>
      <c r="O1163" s="3"/>
    </row>
    <row r="1164" spans="1:15">
      <c r="A1164" s="23"/>
      <c r="F1164" s="37"/>
      <c r="H1164" s="3"/>
      <c r="M1164" s="3"/>
      <c r="O1164" s="3"/>
    </row>
    <row r="1165" spans="1:15">
      <c r="A1165" s="23"/>
      <c r="F1165" s="37"/>
      <c r="H1165" s="3"/>
      <c r="M1165" s="3"/>
      <c r="O1165" s="3"/>
    </row>
    <row r="1166" spans="1:15">
      <c r="A1166" s="23"/>
      <c r="F1166" s="37"/>
      <c r="H1166" s="3"/>
      <c r="M1166" s="3"/>
      <c r="O1166" s="3"/>
    </row>
    <row r="1167" spans="1:15">
      <c r="A1167" s="23"/>
      <c r="F1167" s="37"/>
      <c r="H1167" s="3"/>
      <c r="M1167" s="3"/>
      <c r="O1167" s="3"/>
    </row>
    <row r="1168" spans="1:15">
      <c r="A1168" s="23"/>
      <c r="F1168" s="37"/>
      <c r="H1168" s="3"/>
      <c r="M1168" s="3"/>
      <c r="O1168" s="3"/>
    </row>
    <row r="1169" spans="1:15">
      <c r="A1169" s="23"/>
      <c r="F1169" s="37"/>
      <c r="H1169" s="3"/>
      <c r="M1169" s="3"/>
      <c r="O1169" s="3"/>
    </row>
    <row r="1170" spans="1:15">
      <c r="A1170" s="23"/>
      <c r="F1170" s="37"/>
      <c r="H1170" s="3"/>
      <c r="M1170" s="3"/>
      <c r="O1170" s="3"/>
    </row>
    <row r="1171" spans="1:15">
      <c r="A1171" s="23"/>
      <c r="F1171" s="37"/>
      <c r="H1171" s="3"/>
      <c r="M1171" s="3"/>
      <c r="O1171" s="3"/>
    </row>
    <row r="1172" spans="1:15">
      <c r="A1172" s="23"/>
      <c r="F1172" s="37"/>
      <c r="H1172" s="3"/>
      <c r="M1172" s="3"/>
      <c r="O1172" s="3"/>
    </row>
    <row r="1173" spans="1:15">
      <c r="A1173" s="23"/>
      <c r="F1173" s="37"/>
      <c r="H1173" s="3"/>
      <c r="M1173" s="3"/>
      <c r="O1173" s="3"/>
    </row>
    <row r="1174" spans="1:15">
      <c r="A1174" s="23"/>
      <c r="F1174" s="37"/>
      <c r="H1174" s="3"/>
      <c r="M1174" s="3"/>
      <c r="O1174" s="3"/>
    </row>
    <row r="1175" spans="1:15">
      <c r="A1175" s="23"/>
      <c r="F1175" s="37"/>
      <c r="H1175" s="3"/>
      <c r="M1175" s="3"/>
      <c r="O1175" s="3"/>
    </row>
    <row r="1176" spans="1:15">
      <c r="A1176" s="23"/>
      <c r="F1176" s="37"/>
      <c r="H1176" s="3"/>
      <c r="M1176" s="3"/>
      <c r="O1176" s="3"/>
    </row>
    <row r="1177" spans="1:15">
      <c r="A1177" s="23"/>
      <c r="F1177" s="37"/>
      <c r="H1177" s="3"/>
      <c r="M1177" s="3"/>
      <c r="O1177" s="3"/>
    </row>
    <row r="1178" spans="1:15">
      <c r="A1178" s="23"/>
      <c r="F1178" s="37"/>
      <c r="H1178" s="3"/>
      <c r="M1178" s="3"/>
      <c r="O1178" s="3"/>
    </row>
    <row r="1179" spans="1:15">
      <c r="A1179" s="23"/>
      <c r="F1179" s="37"/>
      <c r="H1179" s="3"/>
      <c r="M1179" s="3"/>
      <c r="O1179" s="3"/>
    </row>
    <row r="1180" spans="1:15">
      <c r="A1180" s="23"/>
      <c r="F1180" s="37"/>
      <c r="H1180" s="3"/>
      <c r="M1180" s="3"/>
      <c r="O1180" s="3"/>
    </row>
    <row r="1181" spans="1:15">
      <c r="A1181" s="23"/>
      <c r="F1181" s="37"/>
      <c r="H1181" s="3"/>
      <c r="M1181" s="3"/>
      <c r="O1181" s="3"/>
    </row>
    <row r="1182" spans="1:15">
      <c r="A1182" s="23"/>
      <c r="F1182" s="37"/>
      <c r="H1182" s="3"/>
      <c r="M1182" s="3"/>
      <c r="O1182" s="3"/>
    </row>
    <row r="1183" spans="1:15">
      <c r="A1183" s="23"/>
      <c r="F1183" s="37"/>
      <c r="H1183" s="3"/>
      <c r="M1183" s="3"/>
      <c r="O1183" s="3"/>
    </row>
    <row r="1184" spans="1:15">
      <c r="A1184" s="23"/>
      <c r="F1184" s="37"/>
      <c r="H1184" s="3"/>
      <c r="M1184" s="3"/>
      <c r="O1184" s="3"/>
    </row>
    <row r="1185" spans="1:15">
      <c r="A1185" s="23"/>
      <c r="F1185" s="37"/>
      <c r="H1185" s="3"/>
      <c r="M1185" s="3"/>
      <c r="O1185" s="3"/>
    </row>
    <row r="1186" spans="1:15">
      <c r="A1186" s="23"/>
      <c r="F1186" s="37"/>
      <c r="H1186" s="3"/>
      <c r="M1186" s="3"/>
      <c r="O1186" s="3"/>
    </row>
    <row r="1187" spans="1:15">
      <c r="A1187" s="23"/>
      <c r="F1187" s="37"/>
      <c r="H1187" s="3"/>
      <c r="M1187" s="3"/>
      <c r="O1187" s="3"/>
    </row>
    <row r="1188" spans="1:15">
      <c r="A1188" s="23"/>
      <c r="F1188" s="37"/>
      <c r="H1188" s="3"/>
      <c r="M1188" s="3"/>
      <c r="O1188" s="3"/>
    </row>
    <row r="1189" spans="1:15">
      <c r="A1189" s="23"/>
      <c r="F1189" s="37"/>
      <c r="H1189" s="3"/>
      <c r="M1189" s="3"/>
      <c r="O1189" s="3"/>
    </row>
    <row r="1190" spans="1:15">
      <c r="A1190" s="23"/>
      <c r="F1190" s="37"/>
      <c r="H1190" s="3"/>
      <c r="M1190" s="3"/>
      <c r="O1190" s="3"/>
    </row>
    <row r="1191" spans="1:15">
      <c r="A1191" s="23"/>
      <c r="F1191" s="37"/>
      <c r="H1191" s="3"/>
      <c r="M1191" s="3"/>
      <c r="O1191" s="3"/>
    </row>
    <row r="1192" spans="1:15">
      <c r="A1192" s="23"/>
      <c r="F1192" s="37"/>
      <c r="H1192" s="3"/>
      <c r="M1192" s="3"/>
      <c r="O1192" s="3"/>
    </row>
    <row r="1193" spans="1:15">
      <c r="A1193" s="23"/>
      <c r="F1193" s="37"/>
      <c r="H1193" s="3"/>
      <c r="M1193" s="3"/>
      <c r="O1193" s="3"/>
    </row>
    <row r="1194" spans="1:15">
      <c r="A1194" s="23"/>
      <c r="F1194" s="37"/>
      <c r="H1194" s="3"/>
      <c r="M1194" s="3"/>
      <c r="O1194" s="3"/>
    </row>
    <row r="1195" spans="1:15">
      <c r="A1195" s="23"/>
      <c r="F1195" s="37"/>
      <c r="H1195" s="3"/>
      <c r="M1195" s="3"/>
      <c r="O1195" s="3"/>
    </row>
    <row r="1196" spans="1:15">
      <c r="A1196" s="23"/>
      <c r="F1196" s="37"/>
      <c r="H1196" s="3"/>
      <c r="M1196" s="3"/>
      <c r="O1196" s="3"/>
    </row>
    <row r="1197" spans="1:15">
      <c r="A1197" s="23"/>
      <c r="F1197" s="37"/>
      <c r="H1197" s="3"/>
      <c r="M1197" s="3"/>
      <c r="O1197" s="3"/>
    </row>
    <row r="1198" spans="1:15">
      <c r="A1198" s="23"/>
      <c r="F1198" s="37"/>
      <c r="H1198" s="3"/>
      <c r="M1198" s="3"/>
      <c r="O1198" s="3"/>
    </row>
    <row r="1199" spans="1:15">
      <c r="A1199" s="23"/>
      <c r="F1199" s="37"/>
      <c r="H1199" s="3"/>
      <c r="M1199" s="3"/>
      <c r="O1199" s="3"/>
    </row>
    <row r="1200" spans="1:15">
      <c r="A1200" s="23"/>
      <c r="F1200" s="37"/>
      <c r="H1200" s="3"/>
      <c r="M1200" s="3"/>
      <c r="O1200" s="3"/>
    </row>
    <row r="1201" spans="1:15">
      <c r="A1201" s="23"/>
      <c r="F1201" s="37"/>
      <c r="H1201" s="3"/>
      <c r="M1201" s="3"/>
      <c r="O1201" s="3"/>
    </row>
    <row r="1202" spans="1:15">
      <c r="A1202" s="23"/>
      <c r="F1202" s="37"/>
      <c r="H1202" s="3"/>
      <c r="M1202" s="3"/>
      <c r="O1202" s="3"/>
    </row>
    <row r="1203" spans="1:15">
      <c r="A1203" s="23"/>
      <c r="F1203" s="37"/>
      <c r="H1203" s="3"/>
      <c r="M1203" s="3"/>
      <c r="O1203" s="3"/>
    </row>
    <row r="1204" spans="1:15">
      <c r="A1204" s="23"/>
      <c r="F1204" s="37"/>
      <c r="H1204" s="3"/>
      <c r="M1204" s="3"/>
      <c r="O1204" s="3"/>
    </row>
    <row r="1205" spans="1:15">
      <c r="A1205" s="23"/>
      <c r="F1205" s="37"/>
      <c r="H1205" s="3"/>
      <c r="M1205" s="3"/>
      <c r="O1205" s="3"/>
    </row>
    <row r="1206" spans="1:15">
      <c r="A1206" s="23"/>
      <c r="F1206" s="37"/>
      <c r="H1206" s="3"/>
      <c r="M1206" s="3"/>
      <c r="O1206" s="3"/>
    </row>
    <row r="1207" spans="1:15">
      <c r="A1207" s="23"/>
      <c r="F1207" s="37"/>
      <c r="H1207" s="3"/>
      <c r="M1207" s="3"/>
      <c r="O1207" s="3"/>
    </row>
    <row r="1208" spans="1:15">
      <c r="A1208" s="23"/>
      <c r="F1208" s="37"/>
      <c r="H1208" s="3"/>
      <c r="M1208" s="3"/>
      <c r="O1208" s="3"/>
    </row>
    <row r="1209" spans="1:15">
      <c r="A1209" s="23"/>
      <c r="F1209" s="37"/>
      <c r="H1209" s="3"/>
      <c r="M1209" s="3"/>
      <c r="O1209" s="3"/>
    </row>
    <row r="1210" spans="1:15">
      <c r="A1210" s="23"/>
      <c r="F1210" s="37"/>
      <c r="H1210" s="3"/>
      <c r="M1210" s="3"/>
      <c r="O1210" s="3"/>
    </row>
    <row r="1211" spans="1:15">
      <c r="A1211" s="23"/>
      <c r="F1211" s="37"/>
      <c r="H1211" s="3"/>
      <c r="M1211" s="3"/>
      <c r="O1211" s="3"/>
    </row>
    <row r="1212" spans="1:15">
      <c r="A1212" s="23"/>
      <c r="F1212" s="37"/>
      <c r="H1212" s="3"/>
      <c r="M1212" s="3"/>
      <c r="O1212" s="3"/>
    </row>
    <row r="1213" spans="1:15">
      <c r="A1213" s="23"/>
      <c r="F1213" s="37"/>
      <c r="H1213" s="3"/>
      <c r="M1213" s="3"/>
      <c r="O1213" s="3"/>
    </row>
    <row r="1214" spans="1:15">
      <c r="A1214" s="23"/>
      <c r="F1214" s="37"/>
      <c r="H1214" s="3"/>
      <c r="M1214" s="3"/>
      <c r="O1214" s="3"/>
    </row>
    <row r="1215" spans="1:15">
      <c r="A1215" s="23"/>
      <c r="F1215" s="37"/>
      <c r="H1215" s="3"/>
      <c r="M1215" s="3"/>
      <c r="O1215" s="3"/>
    </row>
    <row r="1216" spans="1:15">
      <c r="A1216" s="23"/>
      <c r="F1216" s="37"/>
      <c r="H1216" s="3"/>
      <c r="M1216" s="3"/>
      <c r="O1216" s="3"/>
    </row>
    <row r="1217" spans="1:15">
      <c r="A1217" s="23"/>
      <c r="F1217" s="37"/>
      <c r="H1217" s="3"/>
      <c r="M1217" s="3"/>
      <c r="O1217" s="3"/>
    </row>
    <row r="1218" spans="1:15">
      <c r="A1218" s="23"/>
      <c r="F1218" s="37"/>
      <c r="H1218" s="3"/>
      <c r="M1218" s="3"/>
      <c r="O1218" s="3"/>
    </row>
    <row r="1219" spans="1:15">
      <c r="A1219" s="23"/>
      <c r="F1219" s="37"/>
      <c r="H1219" s="3"/>
      <c r="M1219" s="3"/>
      <c r="O1219" s="3"/>
    </row>
    <row r="1220" spans="1:15">
      <c r="A1220" s="23"/>
      <c r="F1220" s="37"/>
      <c r="H1220" s="3"/>
      <c r="M1220" s="3"/>
      <c r="O1220" s="3"/>
    </row>
    <row r="1221" spans="1:15">
      <c r="A1221" s="23"/>
      <c r="F1221" s="37"/>
      <c r="H1221" s="3"/>
      <c r="M1221" s="3"/>
      <c r="O1221" s="3"/>
    </row>
    <row r="1222" spans="1:15">
      <c r="A1222" s="23"/>
      <c r="F1222" s="37"/>
      <c r="H1222" s="3"/>
      <c r="M1222" s="3"/>
      <c r="O1222" s="3"/>
    </row>
    <row r="1223" spans="1:15">
      <c r="A1223" s="23"/>
      <c r="F1223" s="37"/>
      <c r="H1223" s="3"/>
      <c r="M1223" s="3"/>
      <c r="O1223" s="3"/>
    </row>
    <row r="1224" spans="1:15">
      <c r="A1224" s="23"/>
      <c r="F1224" s="37"/>
      <c r="H1224" s="3"/>
      <c r="M1224" s="3"/>
      <c r="O1224" s="3"/>
    </row>
    <row r="1225" spans="1:15">
      <c r="A1225" s="23"/>
      <c r="F1225" s="37"/>
      <c r="H1225" s="3"/>
      <c r="M1225" s="3"/>
      <c r="O1225" s="3"/>
    </row>
    <row r="1226" spans="1:15">
      <c r="A1226" s="23"/>
      <c r="F1226" s="37"/>
      <c r="H1226" s="3"/>
      <c r="M1226" s="3"/>
      <c r="O1226" s="3"/>
    </row>
    <row r="1227" spans="1:15">
      <c r="A1227" s="23"/>
      <c r="F1227" s="37"/>
      <c r="H1227" s="3"/>
      <c r="M1227" s="3"/>
      <c r="O1227" s="3"/>
    </row>
    <row r="1228" spans="1:15">
      <c r="A1228" s="23"/>
      <c r="F1228" s="37"/>
      <c r="H1228" s="3"/>
      <c r="M1228" s="3"/>
      <c r="O1228" s="3"/>
    </row>
    <row r="1229" spans="1:15">
      <c r="A1229" s="23"/>
      <c r="F1229" s="37"/>
      <c r="H1229" s="3"/>
      <c r="M1229" s="3"/>
      <c r="O1229" s="3"/>
    </row>
    <row r="1230" spans="1:15">
      <c r="A1230" s="23"/>
      <c r="F1230" s="37"/>
      <c r="H1230" s="3"/>
      <c r="M1230" s="3"/>
      <c r="O1230" s="3"/>
    </row>
    <row r="1231" spans="1:15">
      <c r="A1231" s="23"/>
      <c r="F1231" s="37"/>
      <c r="H1231" s="3"/>
      <c r="M1231" s="3"/>
      <c r="O1231" s="3"/>
    </row>
    <row r="1232" spans="1:15">
      <c r="A1232" s="23"/>
      <c r="F1232" s="37"/>
      <c r="H1232" s="3"/>
      <c r="M1232" s="3"/>
      <c r="O1232" s="3"/>
    </row>
    <row r="1233" spans="1:15">
      <c r="A1233" s="23"/>
      <c r="F1233" s="37"/>
      <c r="H1233" s="3"/>
      <c r="M1233" s="3"/>
      <c r="O1233" s="3"/>
    </row>
    <row r="1234" spans="1:15">
      <c r="A1234" s="23"/>
      <c r="F1234" s="37"/>
      <c r="H1234" s="3"/>
      <c r="M1234" s="3"/>
      <c r="O1234" s="3"/>
    </row>
    <row r="1235" spans="1:15">
      <c r="A1235" s="23"/>
      <c r="F1235" s="37"/>
      <c r="H1235" s="3"/>
      <c r="M1235" s="3"/>
      <c r="O1235" s="3"/>
    </row>
    <row r="1236" spans="1:15">
      <c r="A1236" s="23"/>
      <c r="F1236" s="37"/>
      <c r="H1236" s="3"/>
      <c r="M1236" s="3"/>
      <c r="O1236" s="3"/>
    </row>
    <row r="1237" spans="1:15">
      <c r="A1237" s="23"/>
      <c r="F1237" s="37"/>
      <c r="H1237" s="3"/>
      <c r="M1237" s="3"/>
      <c r="O1237" s="3"/>
    </row>
    <row r="1238" spans="1:15">
      <c r="A1238" s="23"/>
      <c r="F1238" s="37"/>
      <c r="H1238" s="3"/>
      <c r="M1238" s="3"/>
      <c r="O1238" s="3"/>
    </row>
    <row r="1239" spans="1:15">
      <c r="A1239" s="23"/>
      <c r="F1239" s="37"/>
      <c r="H1239" s="3"/>
      <c r="M1239" s="3"/>
      <c r="O1239" s="3"/>
    </row>
    <row r="1240" spans="1:15">
      <c r="A1240" s="23"/>
      <c r="F1240" s="37"/>
      <c r="H1240" s="3"/>
      <c r="M1240" s="3"/>
      <c r="O1240" s="3"/>
    </row>
    <row r="1241" spans="1:15">
      <c r="A1241" s="23"/>
      <c r="F1241" s="37"/>
      <c r="H1241" s="3"/>
      <c r="M1241" s="3"/>
      <c r="O1241" s="3"/>
    </row>
    <row r="1242" spans="1:15">
      <c r="A1242" s="23"/>
      <c r="F1242" s="37"/>
      <c r="H1242" s="3"/>
      <c r="M1242" s="3"/>
      <c r="O1242" s="3"/>
    </row>
    <row r="1243" spans="1:15">
      <c r="A1243" s="23"/>
      <c r="F1243" s="37"/>
      <c r="H1243" s="3"/>
      <c r="M1243" s="3"/>
      <c r="O1243" s="3"/>
    </row>
    <row r="1244" spans="1:15">
      <c r="A1244" s="23"/>
      <c r="F1244" s="37"/>
      <c r="H1244" s="3"/>
      <c r="M1244" s="3"/>
      <c r="O1244" s="3"/>
    </row>
    <row r="1245" spans="1:15">
      <c r="A1245" s="23"/>
      <c r="F1245" s="37"/>
      <c r="H1245" s="3"/>
      <c r="M1245" s="3"/>
      <c r="O1245" s="3"/>
    </row>
    <row r="1246" spans="1:15">
      <c r="A1246" s="23"/>
      <c r="F1246" s="37"/>
      <c r="H1246" s="3"/>
      <c r="M1246" s="3"/>
      <c r="O1246" s="3"/>
    </row>
    <row r="1247" spans="1:15">
      <c r="A1247" s="23"/>
      <c r="F1247" s="37"/>
      <c r="H1247" s="3"/>
      <c r="M1247" s="3"/>
      <c r="O1247" s="3"/>
    </row>
    <row r="1248" spans="1:15">
      <c r="A1248" s="23"/>
      <c r="F1248" s="37"/>
      <c r="H1248" s="3"/>
      <c r="M1248" s="3"/>
      <c r="O1248" s="3"/>
    </row>
    <row r="1249" spans="1:15">
      <c r="A1249" s="23"/>
      <c r="F1249" s="37"/>
      <c r="H1249" s="3"/>
      <c r="M1249" s="3"/>
      <c r="O1249" s="3"/>
    </row>
    <row r="1250" spans="1:15">
      <c r="A1250" s="23"/>
      <c r="F1250" s="37"/>
      <c r="H1250" s="3"/>
      <c r="M1250" s="3"/>
      <c r="O1250" s="3"/>
    </row>
    <row r="1251" spans="1:15">
      <c r="A1251" s="23"/>
      <c r="F1251" s="37"/>
      <c r="H1251" s="3"/>
      <c r="M1251" s="3"/>
      <c r="O1251" s="3"/>
    </row>
    <row r="1252" spans="1:15">
      <c r="A1252" s="23"/>
      <c r="F1252" s="37"/>
      <c r="H1252" s="3"/>
      <c r="M1252" s="3"/>
      <c r="O1252" s="3"/>
    </row>
    <row r="1253" spans="1:15">
      <c r="A1253" s="23"/>
      <c r="F1253" s="37"/>
      <c r="H1253" s="3"/>
      <c r="M1253" s="3"/>
      <c r="O1253" s="3"/>
    </row>
    <row r="1254" spans="1:15">
      <c r="A1254" s="23"/>
      <c r="F1254" s="37"/>
      <c r="H1254" s="3"/>
      <c r="M1254" s="3"/>
      <c r="O1254" s="3"/>
    </row>
    <row r="1255" spans="1:15">
      <c r="A1255" s="23"/>
      <c r="F1255" s="37"/>
      <c r="H1255" s="3"/>
      <c r="M1255" s="3"/>
      <c r="O1255" s="3"/>
    </row>
    <row r="1256" spans="1:15">
      <c r="A1256" s="23"/>
      <c r="F1256" s="37"/>
      <c r="H1256" s="3"/>
      <c r="M1256" s="3"/>
      <c r="O1256" s="3"/>
    </row>
    <row r="1257" spans="1:15">
      <c r="A1257" s="23"/>
      <c r="F1257" s="37"/>
      <c r="H1257" s="3"/>
      <c r="M1257" s="3"/>
      <c r="O1257" s="3"/>
    </row>
    <row r="1258" spans="1:15">
      <c r="A1258" s="23"/>
      <c r="F1258" s="37"/>
      <c r="H1258" s="3"/>
      <c r="M1258" s="3"/>
      <c r="O1258" s="3"/>
    </row>
    <row r="1259" spans="1:15">
      <c r="A1259" s="23"/>
      <c r="F1259" s="37"/>
      <c r="H1259" s="3"/>
      <c r="M1259" s="3"/>
      <c r="O1259" s="3"/>
    </row>
    <row r="1260" spans="1:15">
      <c r="A1260" s="23"/>
      <c r="F1260" s="37"/>
      <c r="H1260" s="3"/>
      <c r="M1260" s="3"/>
      <c r="O1260" s="3"/>
    </row>
    <row r="1261" spans="1:15">
      <c r="A1261" s="23"/>
      <c r="F1261" s="37"/>
      <c r="H1261" s="3"/>
      <c r="M1261" s="3"/>
      <c r="O1261" s="3"/>
    </row>
    <row r="1262" spans="1:15">
      <c r="A1262" s="23"/>
      <c r="F1262" s="37"/>
      <c r="H1262" s="3"/>
      <c r="M1262" s="3"/>
      <c r="O1262" s="3"/>
    </row>
    <row r="1263" spans="1:15">
      <c r="A1263" s="23"/>
      <c r="F1263" s="37"/>
      <c r="H1263" s="3"/>
      <c r="M1263" s="3"/>
      <c r="O1263" s="3"/>
    </row>
    <row r="1264" spans="1:15">
      <c r="A1264" s="23"/>
      <c r="F1264" s="37"/>
      <c r="H1264" s="3"/>
      <c r="M1264" s="3"/>
      <c r="O1264" s="3"/>
    </row>
    <row r="1265" spans="1:15">
      <c r="A1265" s="23"/>
      <c r="F1265" s="37"/>
      <c r="H1265" s="3"/>
      <c r="M1265" s="3"/>
      <c r="O1265" s="3"/>
    </row>
    <row r="1266" spans="1:15">
      <c r="A1266" s="23"/>
      <c r="F1266" s="37"/>
      <c r="H1266" s="3"/>
      <c r="M1266" s="3"/>
      <c r="O1266" s="3"/>
    </row>
    <row r="1267" spans="1:15">
      <c r="A1267" s="23"/>
      <c r="F1267" s="37"/>
      <c r="H1267" s="3"/>
      <c r="M1267" s="3"/>
      <c r="O1267" s="3"/>
    </row>
    <row r="1268" spans="1:15">
      <c r="A1268" s="23"/>
      <c r="F1268" s="37"/>
      <c r="H1268" s="3"/>
      <c r="M1268" s="3"/>
      <c r="O1268" s="3"/>
    </row>
    <row r="1269" spans="1:15">
      <c r="A1269" s="23"/>
      <c r="F1269" s="37"/>
      <c r="H1269" s="3"/>
      <c r="M1269" s="3"/>
      <c r="O1269" s="3"/>
    </row>
    <row r="1270" spans="1:15">
      <c r="A1270" s="23"/>
      <c r="F1270" s="37"/>
      <c r="H1270" s="3"/>
      <c r="M1270" s="3"/>
      <c r="O1270" s="3"/>
    </row>
    <row r="1271" spans="1:15">
      <c r="A1271" s="23"/>
      <c r="F1271" s="37"/>
      <c r="H1271" s="3"/>
      <c r="M1271" s="3"/>
      <c r="O1271" s="3"/>
    </row>
    <row r="1272" spans="1:15">
      <c r="A1272" s="23"/>
      <c r="F1272" s="37"/>
      <c r="H1272" s="3"/>
      <c r="M1272" s="3"/>
      <c r="O1272" s="3"/>
    </row>
    <row r="1273" spans="1:15">
      <c r="A1273" s="23"/>
      <c r="F1273" s="37"/>
      <c r="H1273" s="3"/>
      <c r="M1273" s="3"/>
      <c r="O1273" s="3"/>
    </row>
    <row r="1274" spans="1:15">
      <c r="A1274" s="23"/>
      <c r="F1274" s="37"/>
      <c r="H1274" s="3"/>
      <c r="M1274" s="3"/>
      <c r="O1274" s="3"/>
    </row>
    <row r="1275" spans="1:15">
      <c r="A1275" s="23"/>
      <c r="F1275" s="37"/>
      <c r="H1275" s="3"/>
      <c r="M1275" s="3"/>
      <c r="O1275" s="3"/>
    </row>
    <row r="1276" spans="1:15">
      <c r="A1276" s="23"/>
      <c r="F1276" s="37"/>
      <c r="H1276" s="3"/>
      <c r="M1276" s="3"/>
      <c r="O1276" s="3"/>
    </row>
    <row r="1277" spans="1:15">
      <c r="A1277" s="23"/>
      <c r="F1277" s="37"/>
      <c r="H1277" s="3"/>
      <c r="M1277" s="3"/>
      <c r="O1277" s="3"/>
    </row>
    <row r="1278" spans="1:15">
      <c r="A1278" s="23"/>
      <c r="F1278" s="37"/>
      <c r="H1278" s="3"/>
      <c r="M1278" s="3"/>
      <c r="O1278" s="3"/>
    </row>
    <row r="1279" spans="1:15">
      <c r="A1279" s="23"/>
      <c r="F1279" s="37"/>
      <c r="H1279" s="3"/>
      <c r="M1279" s="3"/>
      <c r="O1279" s="3"/>
    </row>
    <row r="1280" spans="1:15">
      <c r="A1280" s="23"/>
      <c r="F1280" s="37"/>
      <c r="H1280" s="3"/>
      <c r="M1280" s="3"/>
      <c r="O1280" s="3"/>
    </row>
    <row r="1281" spans="1:15">
      <c r="A1281" s="23"/>
      <c r="F1281" s="37"/>
      <c r="H1281" s="3"/>
      <c r="M1281" s="3"/>
      <c r="O1281" s="3"/>
    </row>
    <row r="1282" spans="1:15">
      <c r="A1282" s="23"/>
      <c r="F1282" s="37"/>
      <c r="H1282" s="3"/>
      <c r="M1282" s="3"/>
      <c r="O1282" s="3"/>
    </row>
    <row r="1283" spans="1:15">
      <c r="A1283" s="23"/>
      <c r="F1283" s="37"/>
      <c r="H1283" s="3"/>
      <c r="M1283" s="3"/>
      <c r="O1283" s="3"/>
    </row>
    <row r="1284" spans="1:15">
      <c r="A1284" s="23"/>
      <c r="F1284" s="37"/>
      <c r="H1284" s="3"/>
      <c r="M1284" s="3"/>
      <c r="O1284" s="3"/>
    </row>
    <row r="1285" spans="1:15">
      <c r="A1285" s="23"/>
      <c r="F1285" s="37"/>
      <c r="H1285" s="3"/>
      <c r="M1285" s="3"/>
      <c r="O1285" s="3"/>
    </row>
    <row r="1286" spans="1:15">
      <c r="A1286" s="23"/>
      <c r="F1286" s="37"/>
      <c r="H1286" s="3"/>
      <c r="M1286" s="3"/>
      <c r="O1286" s="3"/>
    </row>
    <row r="1287" spans="1:15">
      <c r="A1287" s="23"/>
      <c r="F1287" s="37"/>
      <c r="H1287" s="3"/>
      <c r="M1287" s="3"/>
      <c r="O1287" s="3"/>
    </row>
    <row r="1288" spans="1:15">
      <c r="A1288" s="23"/>
      <c r="F1288" s="37"/>
      <c r="H1288" s="3"/>
      <c r="M1288" s="3"/>
      <c r="O1288" s="3"/>
    </row>
    <row r="1289" spans="1:15">
      <c r="A1289" s="23"/>
      <c r="F1289" s="37"/>
      <c r="H1289" s="3"/>
      <c r="M1289" s="3"/>
      <c r="O1289" s="3"/>
    </row>
    <row r="1290" spans="1:15">
      <c r="A1290" s="23"/>
      <c r="F1290" s="37"/>
      <c r="H1290" s="3"/>
      <c r="M1290" s="3"/>
      <c r="O1290" s="3"/>
    </row>
    <row r="1291" spans="1:15">
      <c r="A1291" s="23"/>
      <c r="F1291" s="37"/>
      <c r="H1291" s="3"/>
      <c r="M1291" s="3"/>
      <c r="O1291" s="3"/>
    </row>
    <row r="1292" spans="1:15">
      <c r="A1292" s="23"/>
      <c r="F1292" s="37"/>
      <c r="H1292" s="3"/>
      <c r="M1292" s="3"/>
      <c r="O1292" s="3"/>
    </row>
    <row r="1293" spans="1:15">
      <c r="A1293" s="23"/>
      <c r="F1293" s="37"/>
      <c r="H1293" s="3"/>
      <c r="M1293" s="3"/>
      <c r="O1293" s="3"/>
    </row>
    <row r="1294" spans="1:15">
      <c r="A1294" s="23"/>
      <c r="F1294" s="37"/>
      <c r="H1294" s="3"/>
      <c r="M1294" s="3"/>
      <c r="O1294" s="3"/>
    </row>
    <row r="1295" spans="1:15">
      <c r="A1295" s="23"/>
      <c r="F1295" s="37"/>
      <c r="H1295" s="3"/>
      <c r="M1295" s="3"/>
      <c r="O1295" s="3"/>
    </row>
    <row r="1296" spans="1:15">
      <c r="A1296" s="23"/>
      <c r="F1296" s="37"/>
      <c r="H1296" s="3"/>
      <c r="M1296" s="3"/>
      <c r="O1296" s="3"/>
    </row>
    <row r="1297" spans="1:15">
      <c r="A1297" s="23"/>
      <c r="F1297" s="37"/>
      <c r="H1297" s="3"/>
      <c r="M1297" s="3"/>
      <c r="O1297" s="3"/>
    </row>
    <row r="1298" spans="1:15">
      <c r="A1298" s="23"/>
      <c r="F1298" s="37"/>
      <c r="H1298" s="3"/>
      <c r="M1298" s="3"/>
      <c r="O1298" s="3"/>
    </row>
    <row r="1299" spans="1:15">
      <c r="A1299" s="23"/>
      <c r="F1299" s="37"/>
      <c r="H1299" s="3"/>
      <c r="M1299" s="3"/>
      <c r="O1299" s="3"/>
    </row>
    <row r="1300" spans="1:15">
      <c r="A1300" s="23"/>
      <c r="F1300" s="37"/>
      <c r="H1300" s="3"/>
      <c r="M1300" s="3"/>
      <c r="O1300" s="3"/>
    </row>
    <row r="1301" spans="1:15">
      <c r="A1301" s="23"/>
      <c r="F1301" s="37"/>
      <c r="H1301" s="3"/>
      <c r="M1301" s="3"/>
      <c r="O1301" s="3"/>
    </row>
    <row r="1302" spans="1:15">
      <c r="A1302" s="23"/>
      <c r="F1302" s="37"/>
      <c r="H1302" s="3"/>
      <c r="M1302" s="3"/>
      <c r="O1302" s="3"/>
    </row>
    <row r="1303" spans="1:15">
      <c r="A1303" s="23"/>
      <c r="F1303" s="37"/>
      <c r="H1303" s="3"/>
      <c r="M1303" s="3"/>
      <c r="O1303" s="3"/>
    </row>
    <row r="1304" spans="1:15">
      <c r="A1304" s="23"/>
      <c r="F1304" s="37"/>
      <c r="H1304" s="3"/>
      <c r="M1304" s="3"/>
      <c r="O1304" s="3"/>
    </row>
    <row r="1305" spans="1:15">
      <c r="A1305" s="23"/>
      <c r="F1305" s="37"/>
      <c r="H1305" s="3"/>
      <c r="M1305" s="3"/>
      <c r="O1305" s="3"/>
    </row>
    <row r="1306" spans="1:15">
      <c r="A1306" s="23"/>
      <c r="F1306" s="37"/>
      <c r="H1306" s="3"/>
      <c r="M1306" s="3"/>
      <c r="O1306" s="3"/>
    </row>
    <row r="1307" spans="1:15">
      <c r="A1307" s="23"/>
      <c r="F1307" s="37"/>
      <c r="H1307" s="3"/>
      <c r="M1307" s="3"/>
      <c r="O1307" s="3"/>
    </row>
    <row r="1308" spans="1:15">
      <c r="A1308" s="23"/>
      <c r="F1308" s="37"/>
      <c r="H1308" s="3"/>
      <c r="M1308" s="3"/>
      <c r="O1308" s="3"/>
    </row>
    <row r="1309" spans="1:15">
      <c r="A1309" s="23"/>
      <c r="F1309" s="37"/>
      <c r="H1309" s="3"/>
      <c r="M1309" s="3"/>
      <c r="O1309" s="3"/>
    </row>
    <row r="1310" spans="1:15">
      <c r="A1310" s="23"/>
      <c r="F1310" s="37"/>
      <c r="H1310" s="3"/>
      <c r="M1310" s="3"/>
      <c r="O1310" s="3"/>
    </row>
    <row r="1311" spans="1:15">
      <c r="A1311" s="23"/>
      <c r="F1311" s="37"/>
      <c r="H1311" s="3"/>
      <c r="M1311" s="3"/>
      <c r="O1311" s="3"/>
    </row>
    <row r="1312" spans="1:15">
      <c r="A1312" s="23"/>
      <c r="F1312" s="37"/>
      <c r="H1312" s="3"/>
      <c r="M1312" s="3"/>
      <c r="O1312" s="3"/>
    </row>
    <row r="1313" spans="1:15">
      <c r="A1313" s="23"/>
      <c r="F1313" s="37"/>
      <c r="H1313" s="3"/>
      <c r="M1313" s="3"/>
      <c r="O1313" s="3"/>
    </row>
    <row r="1314" spans="1:15">
      <c r="A1314" s="23"/>
      <c r="F1314" s="37"/>
      <c r="H1314" s="3"/>
      <c r="M1314" s="3"/>
      <c r="O1314" s="3"/>
    </row>
    <row r="1315" spans="1:15">
      <c r="A1315" s="23"/>
      <c r="F1315" s="37"/>
      <c r="H1315" s="3"/>
      <c r="M1315" s="3"/>
      <c r="O1315" s="3"/>
    </row>
    <row r="1316" spans="1:15">
      <c r="A1316" s="23"/>
      <c r="F1316" s="37"/>
      <c r="H1316" s="3"/>
      <c r="M1316" s="3"/>
      <c r="O1316" s="3"/>
    </row>
    <row r="1317" spans="1:15">
      <c r="A1317" s="23"/>
      <c r="F1317" s="37"/>
      <c r="H1317" s="3"/>
      <c r="M1317" s="3"/>
      <c r="O1317" s="3"/>
    </row>
    <row r="1318" spans="1:15">
      <c r="A1318" s="23"/>
      <c r="F1318" s="37"/>
      <c r="H1318" s="3"/>
      <c r="M1318" s="3"/>
      <c r="O1318" s="3"/>
    </row>
    <row r="1319" spans="1:15">
      <c r="A1319" s="23"/>
      <c r="F1319" s="37"/>
      <c r="H1319" s="3"/>
      <c r="M1319" s="3"/>
      <c r="O1319" s="3"/>
    </row>
    <row r="1320" spans="1:15">
      <c r="A1320" s="23"/>
      <c r="F1320" s="37"/>
      <c r="H1320" s="3"/>
      <c r="M1320" s="3"/>
      <c r="O1320" s="3"/>
    </row>
    <row r="1321" spans="1:15">
      <c r="A1321" s="23"/>
      <c r="F1321" s="37"/>
      <c r="H1321" s="3"/>
      <c r="M1321" s="3"/>
      <c r="O1321" s="3"/>
    </row>
    <row r="1322" spans="1:15">
      <c r="A1322" s="23"/>
      <c r="F1322" s="37"/>
      <c r="H1322" s="3"/>
      <c r="M1322" s="3"/>
      <c r="O1322" s="3"/>
    </row>
    <row r="1323" spans="1:15">
      <c r="A1323" s="23"/>
      <c r="F1323" s="37"/>
      <c r="H1323" s="3"/>
      <c r="M1323" s="3"/>
      <c r="O1323" s="3"/>
    </row>
    <row r="1324" spans="1:15">
      <c r="A1324" s="23"/>
      <c r="F1324" s="37"/>
      <c r="H1324" s="3"/>
      <c r="M1324" s="3"/>
      <c r="O1324" s="3"/>
    </row>
    <row r="1325" spans="1:15">
      <c r="A1325" s="23"/>
      <c r="F1325" s="37"/>
      <c r="H1325" s="3"/>
      <c r="M1325" s="3"/>
      <c r="O1325" s="3"/>
    </row>
    <row r="1326" spans="1:15">
      <c r="A1326" s="23"/>
      <c r="F1326" s="37"/>
      <c r="H1326" s="3"/>
      <c r="M1326" s="3"/>
      <c r="O1326" s="3"/>
    </row>
    <row r="1327" spans="1:15">
      <c r="A1327" s="23"/>
      <c r="F1327" s="37"/>
      <c r="H1327" s="3"/>
      <c r="M1327" s="3"/>
      <c r="O1327" s="3"/>
    </row>
    <row r="1328" spans="1:15">
      <c r="A1328" s="23"/>
      <c r="F1328" s="37"/>
      <c r="H1328" s="3"/>
      <c r="M1328" s="3"/>
      <c r="O1328" s="3"/>
    </row>
    <row r="1329" spans="1:15">
      <c r="A1329" s="23"/>
      <c r="F1329" s="37"/>
      <c r="H1329" s="3"/>
      <c r="M1329" s="3"/>
      <c r="O1329" s="3"/>
    </row>
    <row r="1330" spans="1:15">
      <c r="A1330" s="23"/>
      <c r="F1330" s="37"/>
      <c r="H1330" s="3"/>
      <c r="M1330" s="3"/>
      <c r="O1330" s="3"/>
    </row>
    <row r="1331" spans="1:15">
      <c r="A1331" s="23"/>
      <c r="F1331" s="37"/>
      <c r="H1331" s="3"/>
      <c r="M1331" s="3"/>
      <c r="O1331" s="3"/>
    </row>
    <row r="1332" spans="1:15">
      <c r="A1332" s="23"/>
      <c r="F1332" s="37"/>
      <c r="H1332" s="3"/>
      <c r="M1332" s="3"/>
      <c r="O1332" s="3"/>
    </row>
    <row r="1333" spans="1:15">
      <c r="A1333" s="23"/>
      <c r="F1333" s="37"/>
      <c r="H1333" s="3"/>
      <c r="M1333" s="3"/>
      <c r="O1333" s="3"/>
    </row>
    <row r="1334" spans="1:15">
      <c r="A1334" s="23"/>
      <c r="F1334" s="37"/>
      <c r="H1334" s="3"/>
      <c r="M1334" s="3"/>
      <c r="O1334" s="3"/>
    </row>
    <row r="1335" spans="1:15">
      <c r="A1335" s="23"/>
      <c r="F1335" s="37"/>
      <c r="H1335" s="3"/>
      <c r="M1335" s="3"/>
      <c r="O1335" s="3"/>
    </row>
    <row r="1336" spans="1:15">
      <c r="A1336" s="23"/>
      <c r="F1336" s="37"/>
      <c r="H1336" s="3"/>
      <c r="M1336" s="3"/>
      <c r="O1336" s="3"/>
    </row>
    <row r="1337" spans="1:15">
      <c r="A1337" s="23"/>
      <c r="F1337" s="37"/>
      <c r="H1337" s="3"/>
      <c r="M1337" s="3"/>
      <c r="O1337" s="3"/>
    </row>
    <row r="1338" spans="1:15">
      <c r="A1338" s="23"/>
      <c r="F1338" s="37"/>
      <c r="H1338" s="3"/>
      <c r="M1338" s="3"/>
      <c r="O1338" s="3"/>
    </row>
    <row r="1339" spans="1:15">
      <c r="A1339" s="23"/>
      <c r="F1339" s="37"/>
      <c r="H1339" s="3"/>
      <c r="M1339" s="3"/>
      <c r="O1339" s="3"/>
    </row>
    <row r="1340" spans="1:15">
      <c r="A1340" s="23"/>
      <c r="F1340" s="37"/>
      <c r="H1340" s="3"/>
      <c r="M1340" s="3"/>
      <c r="O1340" s="3"/>
    </row>
    <row r="1341" spans="1:15">
      <c r="A1341" s="23"/>
      <c r="F1341" s="37"/>
      <c r="H1341" s="3"/>
      <c r="M1341" s="3"/>
      <c r="O1341" s="3"/>
    </row>
    <row r="1342" spans="1:15">
      <c r="A1342" s="23"/>
      <c r="F1342" s="37"/>
      <c r="H1342" s="3"/>
      <c r="M1342" s="3"/>
      <c r="O1342" s="3"/>
    </row>
    <row r="1343" spans="1:15">
      <c r="A1343" s="23"/>
      <c r="F1343" s="37"/>
      <c r="H1343" s="3"/>
      <c r="M1343" s="3"/>
      <c r="O1343" s="3"/>
    </row>
    <row r="1344" spans="1:15">
      <c r="A1344" s="23"/>
      <c r="F1344" s="37"/>
      <c r="H1344" s="3"/>
      <c r="M1344" s="3"/>
      <c r="O1344" s="3"/>
    </row>
    <row r="1345" spans="1:15">
      <c r="A1345" s="23"/>
      <c r="F1345" s="37"/>
      <c r="H1345" s="3"/>
      <c r="M1345" s="3"/>
      <c r="O1345" s="3"/>
    </row>
    <row r="1346" spans="1:15">
      <c r="A1346" s="23"/>
      <c r="F1346" s="37"/>
      <c r="H1346" s="3"/>
      <c r="M1346" s="3"/>
      <c r="O1346" s="3"/>
    </row>
    <row r="1347" spans="1:15">
      <c r="A1347" s="23"/>
      <c r="F1347" s="37"/>
      <c r="H1347" s="3"/>
      <c r="M1347" s="3"/>
      <c r="O1347" s="3"/>
    </row>
    <row r="1348" spans="1:15">
      <c r="A1348" s="23"/>
      <c r="F1348" s="37"/>
      <c r="H1348" s="3"/>
      <c r="M1348" s="3"/>
      <c r="O1348" s="3"/>
    </row>
    <row r="1349" spans="1:15">
      <c r="A1349" s="23"/>
      <c r="F1349" s="37"/>
      <c r="H1349" s="3"/>
      <c r="M1349" s="3"/>
      <c r="O1349" s="3"/>
    </row>
    <row r="1350" spans="1:15">
      <c r="A1350" s="23"/>
      <c r="F1350" s="37"/>
      <c r="H1350" s="3"/>
      <c r="M1350" s="3"/>
      <c r="O1350" s="3"/>
    </row>
    <row r="1351" spans="1:15">
      <c r="A1351" s="23"/>
      <c r="F1351" s="37"/>
      <c r="H1351" s="3"/>
      <c r="M1351" s="3"/>
      <c r="O1351" s="3"/>
    </row>
    <row r="1352" spans="1:15">
      <c r="A1352" s="23"/>
      <c r="F1352" s="37"/>
      <c r="H1352" s="3"/>
      <c r="M1352" s="3"/>
      <c r="O1352" s="3"/>
    </row>
    <row r="1353" spans="1:15">
      <c r="A1353" s="23"/>
      <c r="F1353" s="37"/>
      <c r="H1353" s="3"/>
      <c r="M1353" s="3"/>
      <c r="O1353" s="3"/>
    </row>
    <row r="1354" spans="1:15">
      <c r="A1354" s="23"/>
      <c r="F1354" s="37"/>
      <c r="H1354" s="3"/>
      <c r="M1354" s="3"/>
      <c r="O1354" s="3"/>
    </row>
    <row r="1355" spans="1:15">
      <c r="A1355" s="23"/>
      <c r="F1355" s="37"/>
      <c r="H1355" s="3"/>
      <c r="M1355" s="3"/>
      <c r="O1355" s="3"/>
    </row>
    <row r="1356" spans="1:15">
      <c r="A1356" s="23"/>
      <c r="F1356" s="37"/>
      <c r="H1356" s="3"/>
      <c r="M1356" s="3"/>
      <c r="O1356" s="3"/>
    </row>
    <row r="1357" spans="1:15">
      <c r="A1357" s="23"/>
      <c r="F1357" s="37"/>
      <c r="H1357" s="3"/>
      <c r="M1357" s="3"/>
      <c r="O1357" s="3"/>
    </row>
    <row r="1358" spans="1:15">
      <c r="A1358" s="23"/>
      <c r="F1358" s="37"/>
      <c r="H1358" s="3"/>
      <c r="M1358" s="3"/>
      <c r="O1358" s="3"/>
    </row>
    <row r="1359" spans="1:15">
      <c r="A1359" s="23"/>
      <c r="F1359" s="37"/>
      <c r="H1359" s="3"/>
      <c r="M1359" s="3"/>
      <c r="O1359" s="3"/>
    </row>
    <row r="1360" spans="1:15">
      <c r="A1360" s="23"/>
      <c r="F1360" s="37"/>
      <c r="H1360" s="3"/>
      <c r="M1360" s="3"/>
      <c r="O1360" s="3"/>
    </row>
    <row r="1361" spans="1:15">
      <c r="A1361" s="23"/>
      <c r="F1361" s="37"/>
      <c r="H1361" s="3"/>
      <c r="M1361" s="3"/>
      <c r="O1361" s="3"/>
    </row>
    <row r="1362" spans="1:15">
      <c r="A1362" s="23"/>
      <c r="F1362" s="37"/>
      <c r="H1362" s="3"/>
      <c r="M1362" s="3"/>
      <c r="O1362" s="3"/>
    </row>
    <row r="1363" spans="1:15">
      <c r="A1363" s="23"/>
      <c r="F1363" s="37"/>
      <c r="H1363" s="3"/>
      <c r="M1363" s="3"/>
      <c r="O1363" s="3"/>
    </row>
    <row r="1364" spans="1:15">
      <c r="A1364" s="23"/>
      <c r="F1364" s="37"/>
      <c r="H1364" s="3"/>
      <c r="M1364" s="3"/>
      <c r="O1364" s="3"/>
    </row>
    <row r="1365" spans="1:15">
      <c r="A1365" s="23"/>
      <c r="F1365" s="37"/>
      <c r="H1365" s="3"/>
      <c r="M1365" s="3"/>
      <c r="O1365" s="3"/>
    </row>
    <row r="1366" spans="1:15">
      <c r="A1366" s="23"/>
      <c r="F1366" s="37"/>
      <c r="H1366" s="3"/>
      <c r="M1366" s="3"/>
      <c r="O1366" s="3"/>
    </row>
    <row r="1367" spans="1:15">
      <c r="A1367" s="23"/>
      <c r="F1367" s="37"/>
      <c r="H1367" s="3"/>
      <c r="M1367" s="3"/>
      <c r="O1367" s="3"/>
    </row>
    <row r="1368" spans="1:15">
      <c r="A1368" s="23"/>
      <c r="F1368" s="37"/>
      <c r="H1368" s="3"/>
      <c r="M1368" s="3"/>
      <c r="O1368" s="3"/>
    </row>
    <row r="1369" spans="1:15">
      <c r="A1369" s="23"/>
      <c r="F1369" s="37"/>
      <c r="H1369" s="3"/>
      <c r="M1369" s="3"/>
      <c r="O1369" s="3"/>
    </row>
    <row r="1370" spans="1:15">
      <c r="A1370" s="23"/>
      <c r="F1370" s="37"/>
      <c r="H1370" s="3"/>
      <c r="M1370" s="3"/>
      <c r="O1370" s="3"/>
    </row>
    <row r="1371" spans="1:15">
      <c r="A1371" s="23"/>
      <c r="F1371" s="37"/>
      <c r="H1371" s="3"/>
      <c r="M1371" s="3"/>
      <c r="O1371" s="3"/>
    </row>
    <row r="1372" spans="1:15">
      <c r="A1372" s="23"/>
      <c r="F1372" s="37"/>
      <c r="H1372" s="3"/>
      <c r="M1372" s="3"/>
      <c r="O1372" s="3"/>
    </row>
    <row r="1373" spans="1:15">
      <c r="A1373" s="23"/>
      <c r="F1373" s="37"/>
      <c r="H1373" s="3"/>
      <c r="M1373" s="3"/>
      <c r="O1373" s="3"/>
    </row>
    <row r="1374" spans="1:15">
      <c r="A1374" s="23"/>
      <c r="F1374" s="37"/>
      <c r="H1374" s="3"/>
      <c r="M1374" s="3"/>
      <c r="O1374" s="3"/>
    </row>
    <row r="1375" spans="1:15">
      <c r="A1375" s="23"/>
      <c r="F1375" s="37"/>
      <c r="H1375" s="3"/>
      <c r="M1375" s="3"/>
      <c r="O1375" s="3"/>
    </row>
    <row r="1376" spans="1:15">
      <c r="A1376" s="23"/>
      <c r="F1376" s="37"/>
      <c r="H1376" s="3"/>
      <c r="M1376" s="3"/>
      <c r="O1376" s="3"/>
    </row>
    <row r="1377" spans="1:15">
      <c r="A1377" s="23"/>
      <c r="F1377" s="37"/>
      <c r="H1377" s="3"/>
      <c r="M1377" s="3"/>
      <c r="O1377" s="3"/>
    </row>
    <row r="1378" spans="1:15">
      <c r="A1378" s="23"/>
      <c r="F1378" s="37"/>
      <c r="H1378" s="3"/>
      <c r="M1378" s="3"/>
      <c r="O1378" s="3"/>
    </row>
    <row r="1379" spans="1:15">
      <c r="A1379" s="23"/>
      <c r="F1379" s="37"/>
      <c r="H1379" s="3"/>
      <c r="M1379" s="3"/>
      <c r="O1379" s="3"/>
    </row>
    <row r="1380" spans="1:15">
      <c r="A1380" s="23"/>
      <c r="F1380" s="37"/>
      <c r="H1380" s="3"/>
      <c r="M1380" s="3"/>
      <c r="O1380" s="3"/>
    </row>
    <row r="1381" spans="1:15">
      <c r="A1381" s="23"/>
      <c r="F1381" s="37"/>
      <c r="H1381" s="3"/>
      <c r="M1381" s="3"/>
      <c r="O1381" s="3"/>
    </row>
    <row r="1382" spans="1:15">
      <c r="A1382" s="23"/>
      <c r="F1382" s="37"/>
      <c r="H1382" s="3"/>
      <c r="M1382" s="3"/>
      <c r="O1382" s="3"/>
    </row>
    <row r="1383" spans="1:15">
      <c r="A1383" s="23"/>
      <c r="F1383" s="37"/>
      <c r="H1383" s="3"/>
      <c r="M1383" s="3"/>
      <c r="O1383" s="3"/>
    </row>
    <row r="1384" spans="1:15">
      <c r="A1384" s="23"/>
      <c r="F1384" s="37"/>
      <c r="H1384" s="3"/>
      <c r="M1384" s="3"/>
      <c r="O1384" s="3"/>
    </row>
    <row r="1385" spans="1:15">
      <c r="A1385" s="23"/>
      <c r="F1385" s="37"/>
      <c r="H1385" s="3"/>
      <c r="M1385" s="3"/>
      <c r="O1385" s="3"/>
    </row>
    <row r="1386" spans="1:15">
      <c r="A1386" s="23"/>
      <c r="F1386" s="37"/>
      <c r="H1386" s="3"/>
      <c r="M1386" s="3"/>
      <c r="O1386" s="3"/>
    </row>
    <row r="1387" spans="1:15">
      <c r="A1387" s="23"/>
      <c r="F1387" s="37"/>
      <c r="H1387" s="3"/>
      <c r="M1387" s="3"/>
      <c r="O1387" s="3"/>
    </row>
    <row r="1388" spans="1:15">
      <c r="A1388" s="23"/>
      <c r="F1388" s="37"/>
      <c r="H1388" s="3"/>
      <c r="M1388" s="3"/>
      <c r="O1388" s="3"/>
    </row>
    <row r="1389" spans="1:15">
      <c r="A1389" s="23"/>
      <c r="F1389" s="37"/>
      <c r="H1389" s="3"/>
      <c r="M1389" s="3"/>
      <c r="O1389" s="3"/>
    </row>
    <row r="1390" spans="1:15">
      <c r="A1390" s="23"/>
      <c r="F1390" s="37"/>
      <c r="H1390" s="3"/>
      <c r="M1390" s="3"/>
      <c r="O1390" s="3"/>
    </row>
    <row r="1391" spans="1:15">
      <c r="A1391" s="23"/>
      <c r="F1391" s="37"/>
      <c r="H1391" s="3"/>
      <c r="M1391" s="3"/>
      <c r="O1391" s="3"/>
    </row>
    <row r="1392" spans="1:15">
      <c r="A1392" s="23"/>
      <c r="F1392" s="37"/>
      <c r="H1392" s="3"/>
      <c r="M1392" s="3"/>
      <c r="O1392" s="3"/>
    </row>
    <row r="1393" spans="1:15">
      <c r="A1393" s="23"/>
      <c r="F1393" s="37"/>
      <c r="H1393" s="3"/>
      <c r="M1393" s="3"/>
      <c r="O1393" s="3"/>
    </row>
    <row r="1394" spans="1:15">
      <c r="A1394" s="23"/>
      <c r="F1394" s="37"/>
      <c r="H1394" s="3"/>
      <c r="M1394" s="3"/>
      <c r="O1394" s="3"/>
    </row>
    <row r="1395" spans="1:15">
      <c r="A1395" s="23"/>
      <c r="F1395" s="37"/>
      <c r="H1395" s="3"/>
      <c r="M1395" s="3"/>
      <c r="O1395" s="3"/>
    </row>
    <row r="1396" spans="1:15">
      <c r="A1396" s="23"/>
      <c r="F1396" s="37"/>
      <c r="H1396" s="3"/>
      <c r="M1396" s="3"/>
      <c r="O1396" s="3"/>
    </row>
    <row r="1397" spans="1:15">
      <c r="A1397" s="23"/>
      <c r="F1397" s="37"/>
      <c r="H1397" s="3"/>
      <c r="M1397" s="3"/>
      <c r="O1397" s="3"/>
    </row>
    <row r="1398" spans="1:15">
      <c r="A1398" s="23"/>
      <c r="F1398" s="37"/>
      <c r="H1398" s="3"/>
      <c r="M1398" s="3"/>
      <c r="O1398" s="3"/>
    </row>
    <row r="1399" spans="1:15">
      <c r="A1399" s="23"/>
      <c r="F1399" s="37"/>
      <c r="H1399" s="3"/>
      <c r="M1399" s="3"/>
      <c r="O1399" s="3"/>
    </row>
    <row r="1400" spans="1:15">
      <c r="A1400" s="23"/>
      <c r="F1400" s="37"/>
      <c r="H1400" s="3"/>
      <c r="M1400" s="3"/>
      <c r="O1400" s="3"/>
    </row>
    <row r="1401" spans="1:15">
      <c r="A1401" s="23"/>
      <c r="F1401" s="37"/>
      <c r="H1401" s="3"/>
      <c r="M1401" s="3"/>
      <c r="O1401" s="3"/>
    </row>
    <row r="1402" spans="1:15">
      <c r="A1402" s="23"/>
      <c r="F1402" s="37"/>
      <c r="H1402" s="3"/>
      <c r="M1402" s="3"/>
      <c r="O1402" s="3"/>
    </row>
    <row r="1403" spans="1:15">
      <c r="A1403" s="23"/>
      <c r="F1403" s="37"/>
      <c r="H1403" s="3"/>
      <c r="M1403" s="3"/>
      <c r="O1403" s="3"/>
    </row>
    <row r="1404" spans="1:15">
      <c r="A1404" s="23"/>
      <c r="F1404" s="37"/>
      <c r="H1404" s="3"/>
      <c r="M1404" s="3"/>
      <c r="O1404" s="3"/>
    </row>
    <row r="1405" spans="1:15">
      <c r="A1405" s="23"/>
      <c r="F1405" s="37"/>
      <c r="H1405" s="3"/>
      <c r="M1405" s="3"/>
      <c r="O1405" s="3"/>
    </row>
    <row r="1406" spans="1:15">
      <c r="A1406" s="23"/>
      <c r="F1406" s="37"/>
      <c r="H1406" s="3"/>
      <c r="M1406" s="3"/>
      <c r="O1406" s="3"/>
    </row>
    <row r="1407" spans="1:15">
      <c r="A1407" s="23"/>
      <c r="F1407" s="37"/>
      <c r="H1407" s="3"/>
      <c r="M1407" s="3"/>
      <c r="O1407" s="3"/>
    </row>
    <row r="1408" spans="1:15">
      <c r="A1408" s="23"/>
      <c r="F1408" s="37"/>
      <c r="H1408" s="3"/>
      <c r="M1408" s="3"/>
      <c r="O1408" s="3"/>
    </row>
    <row r="1409" spans="1:15">
      <c r="A1409" s="23"/>
      <c r="F1409" s="37"/>
      <c r="H1409" s="3"/>
      <c r="M1409" s="3"/>
      <c r="O1409" s="3"/>
    </row>
    <row r="1410" spans="1:15">
      <c r="A1410" s="23"/>
      <c r="F1410" s="37"/>
      <c r="H1410" s="3"/>
      <c r="M1410" s="3"/>
      <c r="O1410" s="3"/>
    </row>
    <row r="1411" spans="1:15">
      <c r="A1411" s="23"/>
      <c r="F1411" s="37"/>
      <c r="H1411" s="3"/>
      <c r="M1411" s="3"/>
      <c r="O1411" s="3"/>
    </row>
    <row r="1412" spans="1:15">
      <c r="A1412" s="23"/>
      <c r="F1412" s="37"/>
      <c r="H1412" s="3"/>
      <c r="M1412" s="3"/>
      <c r="O1412" s="3"/>
    </row>
    <row r="1413" spans="1:15">
      <c r="A1413" s="23"/>
      <c r="F1413" s="37"/>
      <c r="H1413" s="3"/>
      <c r="M1413" s="3"/>
      <c r="O1413" s="3"/>
    </row>
    <row r="1414" spans="1:15">
      <c r="A1414" s="23"/>
      <c r="F1414" s="37"/>
      <c r="H1414" s="3"/>
      <c r="M1414" s="3"/>
      <c r="O1414" s="3"/>
    </row>
    <row r="1415" spans="1:15">
      <c r="A1415" s="23"/>
      <c r="F1415" s="37"/>
      <c r="H1415" s="3"/>
      <c r="M1415" s="3"/>
      <c r="O1415" s="3"/>
    </row>
    <row r="1416" spans="1:15">
      <c r="A1416" s="23"/>
      <c r="F1416" s="37"/>
      <c r="H1416" s="3"/>
      <c r="M1416" s="3"/>
      <c r="O1416" s="3"/>
    </row>
    <row r="1417" spans="1:15">
      <c r="A1417" s="23"/>
      <c r="F1417" s="37"/>
      <c r="H1417" s="3"/>
      <c r="M1417" s="3"/>
      <c r="O1417" s="3"/>
    </row>
    <row r="1418" spans="1:15">
      <c r="A1418" s="23"/>
      <c r="F1418" s="37"/>
      <c r="H1418" s="3"/>
      <c r="M1418" s="3"/>
      <c r="O1418" s="3"/>
    </row>
    <row r="1419" spans="1:15">
      <c r="A1419" s="23"/>
      <c r="F1419" s="37"/>
      <c r="H1419" s="3"/>
      <c r="M1419" s="3"/>
      <c r="O1419" s="3"/>
    </row>
    <row r="1420" spans="1:15">
      <c r="A1420" s="23"/>
      <c r="F1420" s="37"/>
      <c r="H1420" s="3"/>
      <c r="M1420" s="3"/>
      <c r="O1420" s="3"/>
    </row>
    <row r="1421" spans="1:15">
      <c r="A1421" s="23"/>
      <c r="F1421" s="37"/>
      <c r="H1421" s="3"/>
      <c r="M1421" s="3"/>
      <c r="O1421" s="3"/>
    </row>
    <row r="1422" spans="1:15">
      <c r="A1422" s="23"/>
      <c r="F1422" s="37"/>
      <c r="H1422" s="3"/>
      <c r="M1422" s="3"/>
      <c r="O1422" s="3"/>
    </row>
    <row r="1423" spans="1:15">
      <c r="A1423" s="23"/>
      <c r="F1423" s="37"/>
      <c r="H1423" s="3"/>
      <c r="M1423" s="3"/>
      <c r="O1423" s="3"/>
    </row>
    <row r="1424" spans="1:15">
      <c r="A1424" s="23"/>
      <c r="F1424" s="37"/>
      <c r="H1424" s="3"/>
      <c r="M1424" s="3"/>
      <c r="O1424" s="3"/>
    </row>
    <row r="1425" spans="1:15">
      <c r="A1425" s="23"/>
      <c r="F1425" s="37"/>
      <c r="H1425" s="3"/>
      <c r="M1425" s="3"/>
      <c r="O1425" s="3"/>
    </row>
    <row r="1426" spans="1:15">
      <c r="A1426" s="23"/>
      <c r="F1426" s="37"/>
      <c r="H1426" s="3"/>
      <c r="M1426" s="3"/>
      <c r="O1426" s="3"/>
    </row>
    <row r="1427" spans="1:15">
      <c r="A1427" s="23"/>
      <c r="F1427" s="37"/>
      <c r="H1427" s="3"/>
      <c r="M1427" s="3"/>
      <c r="O1427" s="3"/>
    </row>
    <row r="1428" spans="1:15">
      <c r="A1428" s="23"/>
      <c r="F1428" s="37"/>
      <c r="H1428" s="3"/>
      <c r="M1428" s="3"/>
      <c r="O1428" s="3"/>
    </row>
    <row r="1429" spans="1:15">
      <c r="A1429" s="23"/>
      <c r="F1429" s="37"/>
      <c r="H1429" s="3"/>
      <c r="M1429" s="3"/>
      <c r="O1429" s="3"/>
    </row>
    <row r="1430" spans="1:15">
      <c r="A1430" s="23"/>
      <c r="F1430" s="37"/>
      <c r="H1430" s="3"/>
      <c r="M1430" s="3"/>
      <c r="O1430" s="3"/>
    </row>
    <row r="1431" spans="1:15">
      <c r="A1431" s="23"/>
      <c r="F1431" s="37"/>
      <c r="H1431" s="3"/>
      <c r="M1431" s="3"/>
      <c r="O1431" s="3"/>
    </row>
    <row r="1432" spans="1:15">
      <c r="A1432" s="23"/>
      <c r="F1432" s="37"/>
      <c r="H1432" s="3"/>
      <c r="M1432" s="3"/>
      <c r="O1432" s="3"/>
    </row>
    <row r="1433" spans="1:15">
      <c r="A1433" s="23"/>
      <c r="F1433" s="37"/>
      <c r="H1433" s="3"/>
      <c r="M1433" s="3"/>
      <c r="O1433" s="3"/>
    </row>
    <row r="1434" spans="1:15">
      <c r="A1434" s="23"/>
      <c r="F1434" s="37"/>
      <c r="H1434" s="3"/>
      <c r="M1434" s="3"/>
      <c r="O1434" s="3"/>
    </row>
    <row r="1435" spans="1:15">
      <c r="A1435" s="23"/>
      <c r="F1435" s="37"/>
      <c r="H1435" s="3"/>
      <c r="M1435" s="3"/>
      <c r="O1435" s="3"/>
    </row>
    <row r="1436" spans="1:15">
      <c r="A1436" s="23"/>
      <c r="F1436" s="37"/>
      <c r="H1436" s="3"/>
      <c r="M1436" s="3"/>
      <c r="O1436" s="3"/>
    </row>
    <row r="1437" spans="1:15">
      <c r="A1437" s="23"/>
      <c r="F1437" s="37"/>
      <c r="H1437" s="3"/>
      <c r="M1437" s="3"/>
      <c r="O1437" s="3"/>
    </row>
    <row r="1438" spans="1:15">
      <c r="A1438" s="23"/>
      <c r="F1438" s="37"/>
      <c r="H1438" s="3"/>
      <c r="M1438" s="3"/>
      <c r="O1438" s="3"/>
    </row>
    <row r="1439" spans="1:15">
      <c r="A1439" s="23"/>
      <c r="F1439" s="37"/>
      <c r="H1439" s="3"/>
      <c r="M1439" s="3"/>
      <c r="O1439" s="3"/>
    </row>
    <row r="1440" spans="1:15">
      <c r="A1440" s="23"/>
      <c r="F1440" s="37"/>
      <c r="H1440" s="3"/>
      <c r="M1440" s="3"/>
      <c r="O1440" s="3"/>
    </row>
    <row r="1441" spans="1:15">
      <c r="A1441" s="23"/>
      <c r="F1441" s="37"/>
      <c r="H1441" s="3"/>
      <c r="M1441" s="3"/>
      <c r="O1441" s="3"/>
    </row>
    <row r="1442" spans="1:15">
      <c r="A1442" s="23"/>
      <c r="F1442" s="37"/>
      <c r="H1442" s="3"/>
      <c r="M1442" s="3"/>
      <c r="O1442" s="3"/>
    </row>
    <row r="1443" spans="1:15">
      <c r="A1443" s="23"/>
      <c r="F1443" s="37"/>
      <c r="H1443" s="3"/>
      <c r="M1443" s="3"/>
      <c r="O1443" s="3"/>
    </row>
    <row r="1444" spans="1:15">
      <c r="A1444" s="23"/>
      <c r="F1444" s="37"/>
      <c r="H1444" s="3"/>
      <c r="M1444" s="3"/>
      <c r="O1444" s="3"/>
    </row>
    <row r="1445" spans="1:15">
      <c r="A1445" s="23"/>
      <c r="F1445" s="37"/>
      <c r="H1445" s="3"/>
      <c r="M1445" s="3"/>
      <c r="O1445" s="3"/>
    </row>
    <row r="1446" spans="1:15">
      <c r="A1446" s="23"/>
      <c r="F1446" s="37"/>
      <c r="H1446" s="3"/>
      <c r="M1446" s="3"/>
      <c r="O1446" s="3"/>
    </row>
    <row r="1447" spans="1:15">
      <c r="A1447" s="23"/>
      <c r="F1447" s="37"/>
      <c r="H1447" s="3"/>
      <c r="M1447" s="3"/>
      <c r="O1447" s="3"/>
    </row>
    <row r="1448" spans="1:15">
      <c r="A1448" s="23"/>
      <c r="F1448" s="37"/>
      <c r="H1448" s="3"/>
      <c r="M1448" s="3"/>
      <c r="O1448" s="3"/>
    </row>
    <row r="1449" spans="1:15">
      <c r="A1449" s="23"/>
      <c r="F1449" s="37"/>
      <c r="H1449" s="3"/>
      <c r="M1449" s="3"/>
      <c r="O1449" s="3"/>
    </row>
    <row r="1450" spans="1:15">
      <c r="A1450" s="23"/>
      <c r="F1450" s="37"/>
      <c r="H1450" s="3"/>
      <c r="M1450" s="3"/>
      <c r="O1450" s="3"/>
    </row>
    <row r="1451" spans="1:15">
      <c r="A1451" s="23"/>
      <c r="F1451" s="37"/>
      <c r="H1451" s="3"/>
      <c r="M1451" s="3"/>
      <c r="O1451" s="3"/>
    </row>
    <row r="1452" spans="1:15">
      <c r="A1452" s="23"/>
      <c r="F1452" s="37"/>
      <c r="H1452" s="3"/>
      <c r="M1452" s="3"/>
      <c r="O1452" s="3"/>
    </row>
    <row r="1453" spans="1:15">
      <c r="A1453" s="23"/>
      <c r="F1453" s="37"/>
      <c r="H1453" s="3"/>
      <c r="M1453" s="3"/>
      <c r="O1453" s="3"/>
    </row>
    <row r="1454" spans="1:15">
      <c r="A1454" s="23"/>
      <c r="F1454" s="37"/>
      <c r="H1454" s="3"/>
      <c r="M1454" s="3"/>
      <c r="O1454" s="3"/>
    </row>
    <row r="1455" spans="1:15">
      <c r="A1455" s="23"/>
      <c r="F1455" s="37"/>
      <c r="H1455" s="3"/>
      <c r="M1455" s="3"/>
      <c r="O1455" s="3"/>
    </row>
    <row r="1456" spans="1:15">
      <c r="A1456" s="23"/>
      <c r="F1456" s="37"/>
      <c r="H1456" s="3"/>
      <c r="M1456" s="3"/>
      <c r="O1456" s="3"/>
    </row>
    <row r="1457" spans="1:15">
      <c r="A1457" s="23"/>
      <c r="F1457" s="37"/>
      <c r="H1457" s="3"/>
      <c r="M1457" s="3"/>
      <c r="O1457" s="3"/>
    </row>
    <row r="1458" spans="1:15">
      <c r="A1458" s="23"/>
      <c r="F1458" s="37"/>
      <c r="H1458" s="3"/>
      <c r="M1458" s="3"/>
      <c r="O1458" s="3"/>
    </row>
    <row r="1459" spans="1:15">
      <c r="A1459" s="23"/>
      <c r="F1459" s="37"/>
      <c r="H1459" s="3"/>
      <c r="M1459" s="3"/>
      <c r="O1459" s="3"/>
    </row>
    <row r="1460" spans="1:15">
      <c r="A1460" s="23"/>
      <c r="F1460" s="37"/>
      <c r="H1460" s="3"/>
      <c r="M1460" s="3"/>
      <c r="O1460" s="3"/>
    </row>
    <row r="1461" spans="1:15">
      <c r="A1461" s="23"/>
      <c r="F1461" s="37"/>
      <c r="H1461" s="3"/>
      <c r="M1461" s="3"/>
      <c r="O1461" s="3"/>
    </row>
    <row r="1462" spans="1:15">
      <c r="A1462" s="23"/>
      <c r="F1462" s="37"/>
      <c r="H1462" s="3"/>
      <c r="M1462" s="3"/>
      <c r="O1462" s="3"/>
    </row>
    <row r="1463" spans="1:15">
      <c r="A1463" s="23"/>
      <c r="F1463" s="37"/>
      <c r="H1463" s="3"/>
      <c r="M1463" s="3"/>
      <c r="O1463" s="3"/>
    </row>
    <row r="1464" spans="1:15">
      <c r="A1464" s="23"/>
      <c r="F1464" s="37"/>
      <c r="H1464" s="3"/>
      <c r="M1464" s="3"/>
      <c r="O1464" s="3"/>
    </row>
    <row r="1465" spans="1:15">
      <c r="A1465" s="23"/>
      <c r="F1465" s="37"/>
      <c r="H1465" s="3"/>
      <c r="M1465" s="3"/>
      <c r="O1465" s="3"/>
    </row>
    <row r="1466" spans="1:15">
      <c r="A1466" s="23"/>
      <c r="F1466" s="37"/>
      <c r="H1466" s="3"/>
      <c r="M1466" s="3"/>
      <c r="O1466" s="3"/>
    </row>
    <row r="1467" spans="1:15">
      <c r="A1467" s="23"/>
      <c r="F1467" s="37"/>
      <c r="H1467" s="3"/>
      <c r="M1467" s="3"/>
      <c r="O1467" s="3"/>
    </row>
    <row r="1468" spans="1:15">
      <c r="A1468" s="23"/>
      <c r="F1468" s="37"/>
      <c r="H1468" s="3"/>
      <c r="M1468" s="3"/>
      <c r="O1468" s="3"/>
    </row>
    <row r="1469" spans="1:15">
      <c r="A1469" s="23"/>
      <c r="F1469" s="37"/>
      <c r="H1469" s="3"/>
      <c r="M1469" s="3"/>
      <c r="O1469" s="3"/>
    </row>
    <row r="1470" spans="1:15">
      <c r="A1470" s="23"/>
      <c r="F1470" s="37"/>
      <c r="H1470" s="3"/>
      <c r="M1470" s="3"/>
      <c r="O1470" s="3"/>
    </row>
    <row r="1471" spans="1:15">
      <c r="A1471" s="23"/>
      <c r="F1471" s="37"/>
      <c r="H1471" s="3"/>
      <c r="M1471" s="3"/>
      <c r="O1471" s="3"/>
    </row>
    <row r="1472" spans="1:15">
      <c r="A1472" s="23"/>
      <c r="F1472" s="37"/>
      <c r="H1472" s="3"/>
      <c r="M1472" s="3"/>
      <c r="O1472" s="3"/>
    </row>
    <row r="1473" spans="1:15">
      <c r="A1473" s="23"/>
      <c r="F1473" s="37"/>
      <c r="H1473" s="3"/>
      <c r="M1473" s="3"/>
      <c r="O1473" s="3"/>
    </row>
    <row r="1474" spans="1:15">
      <c r="A1474" s="23"/>
      <c r="F1474" s="37"/>
      <c r="H1474" s="3"/>
      <c r="M1474" s="3"/>
      <c r="O1474" s="3"/>
    </row>
    <row r="1475" spans="1:15">
      <c r="A1475" s="23"/>
      <c r="F1475" s="37"/>
      <c r="H1475" s="3"/>
      <c r="M1475" s="3"/>
      <c r="O1475" s="3"/>
    </row>
    <row r="1476" spans="1:15">
      <c r="A1476" s="23"/>
      <c r="F1476" s="37"/>
      <c r="H1476" s="3"/>
      <c r="M1476" s="3"/>
      <c r="O1476" s="3"/>
    </row>
    <row r="1477" spans="1:15">
      <c r="A1477" s="23"/>
      <c r="F1477" s="37"/>
      <c r="H1477" s="3"/>
      <c r="M1477" s="3"/>
      <c r="O1477" s="3"/>
    </row>
    <row r="1478" spans="1:15">
      <c r="A1478" s="23"/>
      <c r="F1478" s="37"/>
      <c r="H1478" s="3"/>
      <c r="M1478" s="3"/>
      <c r="O1478" s="3"/>
    </row>
    <row r="1479" spans="1:15">
      <c r="A1479" s="23"/>
      <c r="F1479" s="37"/>
      <c r="H1479" s="3"/>
      <c r="M1479" s="3"/>
      <c r="O1479" s="3"/>
    </row>
    <row r="1480" spans="1:15">
      <c r="A1480" s="23"/>
      <c r="F1480" s="37"/>
      <c r="H1480" s="3"/>
      <c r="M1480" s="3"/>
      <c r="O1480" s="3"/>
    </row>
    <row r="1481" spans="1:15">
      <c r="A1481" s="23"/>
      <c r="F1481" s="37"/>
      <c r="H1481" s="3"/>
      <c r="M1481" s="3"/>
      <c r="O1481" s="3"/>
    </row>
    <row r="1482" spans="1:15">
      <c r="A1482" s="23"/>
      <c r="F1482" s="37"/>
      <c r="H1482" s="3"/>
      <c r="M1482" s="3"/>
      <c r="O1482" s="3"/>
    </row>
    <row r="1483" spans="1:15">
      <c r="A1483" s="23"/>
      <c r="F1483" s="37"/>
      <c r="H1483" s="3"/>
      <c r="M1483" s="3"/>
      <c r="O1483" s="3"/>
    </row>
    <row r="1484" spans="1:15">
      <c r="A1484" s="23"/>
      <c r="F1484" s="37"/>
      <c r="H1484" s="3"/>
      <c r="M1484" s="3"/>
      <c r="O1484" s="3"/>
    </row>
    <row r="1485" spans="1:15">
      <c r="A1485" s="23"/>
      <c r="F1485" s="37"/>
      <c r="H1485" s="3"/>
      <c r="M1485" s="3"/>
      <c r="O1485" s="3"/>
    </row>
    <row r="1486" spans="1:15">
      <c r="A1486" s="23"/>
      <c r="F1486" s="37"/>
      <c r="H1486" s="3"/>
      <c r="M1486" s="3"/>
      <c r="O1486" s="3"/>
    </row>
    <row r="1487" spans="1:15">
      <c r="A1487" s="23"/>
      <c r="F1487" s="37"/>
      <c r="H1487" s="3"/>
      <c r="M1487" s="3"/>
      <c r="O1487" s="3"/>
    </row>
    <row r="1488" spans="1:15">
      <c r="A1488" s="23"/>
      <c r="F1488" s="37"/>
      <c r="H1488" s="3"/>
      <c r="M1488" s="3"/>
      <c r="O1488" s="3"/>
    </row>
    <row r="1489" spans="1:15">
      <c r="A1489" s="23"/>
      <c r="F1489" s="37"/>
      <c r="H1489" s="3"/>
      <c r="M1489" s="3"/>
      <c r="O1489" s="3"/>
    </row>
    <row r="1490" spans="1:15">
      <c r="A1490" s="23"/>
      <c r="F1490" s="37"/>
      <c r="H1490" s="3"/>
      <c r="M1490" s="3"/>
      <c r="O1490" s="3"/>
    </row>
    <row r="1491" spans="1:15">
      <c r="A1491" s="23"/>
      <c r="F1491" s="37"/>
      <c r="H1491" s="3"/>
      <c r="M1491" s="3"/>
      <c r="O1491" s="3"/>
    </row>
    <row r="1492" spans="1:15">
      <c r="A1492" s="23"/>
      <c r="F1492" s="37"/>
      <c r="H1492" s="3"/>
      <c r="M1492" s="3"/>
      <c r="O1492" s="3"/>
    </row>
    <row r="1493" spans="1:15">
      <c r="A1493" s="23"/>
      <c r="F1493" s="37"/>
      <c r="H1493" s="3"/>
      <c r="M1493" s="3"/>
      <c r="O1493" s="3"/>
    </row>
    <row r="1494" spans="1:15">
      <c r="A1494" s="23"/>
      <c r="F1494" s="37"/>
      <c r="H1494" s="3"/>
      <c r="M1494" s="3"/>
      <c r="O1494" s="3"/>
    </row>
    <row r="1495" spans="1:15">
      <c r="A1495" s="23"/>
      <c r="F1495" s="37"/>
      <c r="H1495" s="3"/>
      <c r="M1495" s="3"/>
      <c r="O1495" s="3"/>
    </row>
    <row r="1496" spans="1:15">
      <c r="A1496" s="23"/>
      <c r="F1496" s="37"/>
      <c r="H1496" s="3"/>
      <c r="M1496" s="3"/>
      <c r="O1496" s="3"/>
    </row>
    <row r="1497" spans="1:15">
      <c r="A1497" s="23"/>
      <c r="F1497" s="37"/>
      <c r="H1497" s="3"/>
      <c r="M1497" s="3"/>
      <c r="O1497" s="3"/>
    </row>
    <row r="1498" spans="1:15">
      <c r="A1498" s="23"/>
      <c r="F1498" s="37"/>
      <c r="H1498" s="3"/>
      <c r="M1498" s="3"/>
      <c r="O1498" s="3"/>
    </row>
    <row r="1499" spans="1:15">
      <c r="A1499" s="23"/>
      <c r="F1499" s="37"/>
      <c r="H1499" s="3"/>
      <c r="M1499" s="3"/>
      <c r="O1499" s="3"/>
    </row>
    <row r="1500" spans="1:15">
      <c r="A1500" s="23"/>
      <c r="F1500" s="37"/>
      <c r="H1500" s="3"/>
      <c r="M1500" s="3"/>
      <c r="O1500" s="3"/>
    </row>
    <row r="1501" spans="1:15">
      <c r="A1501" s="23"/>
      <c r="F1501" s="37"/>
      <c r="H1501" s="3"/>
      <c r="M1501" s="3"/>
      <c r="O1501" s="3"/>
    </row>
    <row r="1502" spans="1:15">
      <c r="A1502" s="23"/>
      <c r="F1502" s="37"/>
      <c r="H1502" s="3"/>
      <c r="M1502" s="3"/>
      <c r="O1502" s="3"/>
    </row>
    <row r="1503" spans="1:15">
      <c r="A1503" s="23"/>
      <c r="F1503" s="37"/>
      <c r="H1503" s="3"/>
      <c r="M1503" s="3"/>
      <c r="O1503" s="3"/>
    </row>
    <row r="1504" spans="1:15">
      <c r="A1504" s="23"/>
      <c r="F1504" s="37"/>
      <c r="H1504" s="3"/>
      <c r="M1504" s="3"/>
      <c r="O1504" s="3"/>
    </row>
    <row r="1505" spans="1:15">
      <c r="A1505" s="23"/>
      <c r="F1505" s="37"/>
      <c r="H1505" s="3"/>
      <c r="M1505" s="3"/>
      <c r="O1505" s="3"/>
    </row>
    <row r="1506" spans="1:15">
      <c r="A1506" s="23"/>
      <c r="F1506" s="37"/>
      <c r="H1506" s="3"/>
      <c r="M1506" s="3"/>
      <c r="O1506" s="3"/>
    </row>
  </sheetData>
  <sheetProtection sheet="1" objects="1" scenarios="1" formatCells="0" formatColumns="0" formatRows="0" sort="0" autoFilter="0"/>
  <autoFilter ref="A2:V1002" xr:uid="{906532DA-24B8-43B1-AEDE-A00AF002465D}"/>
  <phoneticPr fontId="18" type="noConversion"/>
  <conditionalFormatting sqref="B1:B2 O115:O145 O153:O159 O147:O150 O161 O163:O225 O227:O1506 O3:O111">
    <cfRule type="containsText" dxfId="79" priority="75" operator="containsText" text="no">
      <formula>NOT(ISERROR(SEARCH(("no"),(B1))))</formula>
    </cfRule>
  </conditionalFormatting>
  <conditionalFormatting sqref="O1">
    <cfRule type="containsText" dxfId="78" priority="74" operator="containsText" text="no">
      <formula>NOT(ISERROR(SEARCH(("no"),(O1))))</formula>
    </cfRule>
  </conditionalFormatting>
  <conditionalFormatting sqref="B117:B150 B153:B154 B156:B159 B161 B164 B166:B170 B172:B173 B176:B203 B205:B210 B213:B225 B227:B229 B313:B353 B355:B391 B231:B311 B393:B418 B420:B1048576">
    <cfRule type="cellIs" dxfId="77" priority="72" operator="equal">
      <formula>"no"</formula>
    </cfRule>
    <cfRule type="cellIs" dxfId="76" priority="73" operator="equal">
      <formula>"""no"""</formula>
    </cfRule>
  </conditionalFormatting>
  <conditionalFormatting sqref="B1:B2 B117:B150 B153:B154 B156:B159 B161 B164 B166:B170 B172:B173 B176:B203 B205:B210 B213:B225 B227:B229 B313:B353 B355:B391 B231:B311 B393:B418 B420:B1048576">
    <cfRule type="cellIs" dxfId="75" priority="71" operator="equal">
      <formula>"no"</formula>
    </cfRule>
  </conditionalFormatting>
  <conditionalFormatting sqref="B3">
    <cfRule type="cellIs" dxfId="74" priority="69" operator="equal">
      <formula>"no"</formula>
    </cfRule>
    <cfRule type="cellIs" dxfId="73" priority="70" operator="equal">
      <formula>"""no"""</formula>
    </cfRule>
  </conditionalFormatting>
  <conditionalFormatting sqref="B24:B25 B27:B104">
    <cfRule type="cellIs" dxfId="72" priority="67" operator="equal">
      <formula>"no"</formula>
    </cfRule>
    <cfRule type="cellIs" dxfId="71" priority="68" operator="equal">
      <formula>"""no"""</formula>
    </cfRule>
  </conditionalFormatting>
  <conditionalFormatting sqref="B105:B116">
    <cfRule type="cellIs" dxfId="70" priority="65" operator="equal">
      <formula>"no"</formula>
    </cfRule>
    <cfRule type="cellIs" dxfId="69" priority="66" operator="equal">
      <formula>"""no"""</formula>
    </cfRule>
  </conditionalFormatting>
  <conditionalFormatting sqref="B151">
    <cfRule type="cellIs" dxfId="68" priority="63" operator="equal">
      <formula>"no"</formula>
    </cfRule>
    <cfRule type="cellIs" dxfId="67" priority="64" operator="equal">
      <formula>"""no"""</formula>
    </cfRule>
  </conditionalFormatting>
  <conditionalFormatting sqref="B151">
    <cfRule type="cellIs" dxfId="66" priority="62" operator="equal">
      <formula>"no"</formula>
    </cfRule>
  </conditionalFormatting>
  <conditionalFormatting sqref="B152">
    <cfRule type="cellIs" dxfId="65" priority="60" operator="equal">
      <formula>"no"</formula>
    </cfRule>
    <cfRule type="cellIs" dxfId="64" priority="61" operator="equal">
      <formula>"""no"""</formula>
    </cfRule>
  </conditionalFormatting>
  <conditionalFormatting sqref="B152">
    <cfRule type="cellIs" dxfId="63" priority="59" operator="equal">
      <formula>"no"</formula>
    </cfRule>
  </conditionalFormatting>
  <conditionalFormatting sqref="O151">
    <cfRule type="containsText" dxfId="62" priority="58" operator="containsText" text="no">
      <formula>NOT(ISERROR(SEARCH(("no"),(O151))))</formula>
    </cfRule>
  </conditionalFormatting>
  <conditionalFormatting sqref="O146">
    <cfRule type="containsText" dxfId="61" priority="57" operator="containsText" text="no">
      <formula>NOT(ISERROR(SEARCH(("no"),(O146))))</formula>
    </cfRule>
  </conditionalFormatting>
  <conditionalFormatting sqref="O152">
    <cfRule type="containsText" dxfId="60" priority="56" operator="containsText" text="no">
      <formula>NOT(ISERROR(SEARCH(("no"),(O152))))</formula>
    </cfRule>
  </conditionalFormatting>
  <conditionalFormatting sqref="B155">
    <cfRule type="cellIs" dxfId="59" priority="54" operator="equal">
      <formula>"no"</formula>
    </cfRule>
    <cfRule type="cellIs" dxfId="58" priority="55" operator="equal">
      <formula>"""no"""</formula>
    </cfRule>
  </conditionalFormatting>
  <conditionalFormatting sqref="O160">
    <cfRule type="containsText" dxfId="57" priority="53" operator="containsText" text="no">
      <formula>NOT(ISERROR(SEARCH(("no"),(O160))))</formula>
    </cfRule>
  </conditionalFormatting>
  <conditionalFormatting sqref="B160">
    <cfRule type="cellIs" dxfId="56" priority="51" operator="equal">
      <formula>"no"</formula>
    </cfRule>
    <cfRule type="cellIs" dxfId="55" priority="52" operator="equal">
      <formula>"""no"""</formula>
    </cfRule>
  </conditionalFormatting>
  <conditionalFormatting sqref="B160">
    <cfRule type="cellIs" dxfId="54" priority="50" operator="equal">
      <formula>"no"</formula>
    </cfRule>
  </conditionalFormatting>
  <conditionalFormatting sqref="O162">
    <cfRule type="containsText" dxfId="53" priority="49" operator="containsText" text="no">
      <formula>NOT(ISERROR(SEARCH(("no"),(O162))))</formula>
    </cfRule>
  </conditionalFormatting>
  <conditionalFormatting sqref="B162">
    <cfRule type="cellIs" dxfId="52" priority="47" operator="equal">
      <formula>"no"</formula>
    </cfRule>
    <cfRule type="cellIs" dxfId="51" priority="48" operator="equal">
      <formula>"""no"""</formula>
    </cfRule>
  </conditionalFormatting>
  <conditionalFormatting sqref="B165">
    <cfRule type="cellIs" dxfId="50" priority="45" operator="equal">
      <formula>"no"</formula>
    </cfRule>
    <cfRule type="cellIs" dxfId="49" priority="46" operator="equal">
      <formula>"""no"""</formula>
    </cfRule>
  </conditionalFormatting>
  <conditionalFormatting sqref="B165">
    <cfRule type="cellIs" dxfId="48" priority="44" operator="equal">
      <formula>"no"</formula>
    </cfRule>
  </conditionalFormatting>
  <conditionalFormatting sqref="B163">
    <cfRule type="cellIs" dxfId="47" priority="42" operator="equal">
      <formula>"no"</formula>
    </cfRule>
    <cfRule type="cellIs" dxfId="46" priority="43" operator="equal">
      <formula>"""no"""</formula>
    </cfRule>
  </conditionalFormatting>
  <conditionalFormatting sqref="B171">
    <cfRule type="cellIs" dxfId="45" priority="40" operator="equal">
      <formula>"no"</formula>
    </cfRule>
    <cfRule type="cellIs" dxfId="44" priority="41" operator="equal">
      <formula>"""no"""</formula>
    </cfRule>
  </conditionalFormatting>
  <conditionalFormatting sqref="B171">
    <cfRule type="cellIs" dxfId="43" priority="39" operator="equal">
      <formula>"no"</formula>
    </cfRule>
  </conditionalFormatting>
  <conditionalFormatting sqref="B174:B175">
    <cfRule type="cellIs" dxfId="42" priority="37" operator="equal">
      <formula>"no"</formula>
    </cfRule>
    <cfRule type="cellIs" dxfId="41" priority="38" operator="equal">
      <formula>"""no"""</formula>
    </cfRule>
  </conditionalFormatting>
  <conditionalFormatting sqref="B174:B175">
    <cfRule type="cellIs" dxfId="40" priority="36" operator="equal">
      <formula>"no"</formula>
    </cfRule>
  </conditionalFormatting>
  <conditionalFormatting sqref="B204">
    <cfRule type="cellIs" dxfId="39" priority="34" operator="equal">
      <formula>"no"</formula>
    </cfRule>
    <cfRule type="cellIs" dxfId="38" priority="35" operator="equal">
      <formula>"""no"""</formula>
    </cfRule>
  </conditionalFormatting>
  <conditionalFormatting sqref="B211">
    <cfRule type="cellIs" dxfId="37" priority="32" operator="equal">
      <formula>"no"</formula>
    </cfRule>
    <cfRule type="cellIs" dxfId="36" priority="33" operator="equal">
      <formula>"""no"""</formula>
    </cfRule>
  </conditionalFormatting>
  <conditionalFormatting sqref="B211">
    <cfRule type="cellIs" dxfId="35" priority="31" operator="equal">
      <formula>"no"</formula>
    </cfRule>
  </conditionalFormatting>
  <conditionalFormatting sqref="B212">
    <cfRule type="cellIs" dxfId="34" priority="29" operator="equal">
      <formula>"no"</formula>
    </cfRule>
    <cfRule type="cellIs" dxfId="33" priority="30" operator="equal">
      <formula>"""no"""</formula>
    </cfRule>
  </conditionalFormatting>
  <conditionalFormatting sqref="B212">
    <cfRule type="cellIs" dxfId="32" priority="28" operator="equal">
      <formula>"no"</formula>
    </cfRule>
  </conditionalFormatting>
  <conditionalFormatting sqref="B226">
    <cfRule type="cellIs" dxfId="31" priority="26" operator="equal">
      <formula>"no"</formula>
    </cfRule>
    <cfRule type="cellIs" dxfId="30" priority="27" operator="equal">
      <formula>"""no"""</formula>
    </cfRule>
  </conditionalFormatting>
  <conditionalFormatting sqref="B226">
    <cfRule type="cellIs" dxfId="29" priority="25" operator="equal">
      <formula>"no"</formula>
    </cfRule>
  </conditionalFormatting>
  <conditionalFormatting sqref="O226">
    <cfRule type="containsText" dxfId="28" priority="24" operator="containsText" text="no">
      <formula>NOT(ISERROR(SEARCH(("no"),(O226))))</formula>
    </cfRule>
  </conditionalFormatting>
  <conditionalFormatting sqref="B230">
    <cfRule type="cellIs" dxfId="27" priority="22" operator="equal">
      <formula>"no"</formula>
    </cfRule>
    <cfRule type="cellIs" dxfId="26" priority="23" operator="equal">
      <formula>"""no"""</formula>
    </cfRule>
  </conditionalFormatting>
  <conditionalFormatting sqref="B230">
    <cfRule type="cellIs" dxfId="25" priority="21" operator="equal">
      <formula>"no"</formula>
    </cfRule>
  </conditionalFormatting>
  <conditionalFormatting sqref="B312">
    <cfRule type="cellIs" dxfId="24" priority="19" operator="equal">
      <formula>"no"</formula>
    </cfRule>
    <cfRule type="cellIs" dxfId="23" priority="20" operator="equal">
      <formula>"""no"""</formula>
    </cfRule>
  </conditionalFormatting>
  <conditionalFormatting sqref="B312">
    <cfRule type="cellIs" dxfId="22" priority="18" operator="equal">
      <formula>"no"</formula>
    </cfRule>
  </conditionalFormatting>
  <conditionalFormatting sqref="B354">
    <cfRule type="cellIs" dxfId="21" priority="16" operator="equal">
      <formula>"no"</formula>
    </cfRule>
    <cfRule type="cellIs" dxfId="20" priority="17" operator="equal">
      <formula>"""no"""</formula>
    </cfRule>
  </conditionalFormatting>
  <conditionalFormatting sqref="B354">
    <cfRule type="cellIs" dxfId="19" priority="15" operator="equal">
      <formula>"no"</formula>
    </cfRule>
  </conditionalFormatting>
  <conditionalFormatting sqref="B392">
    <cfRule type="cellIs" dxfId="18" priority="13" operator="equal">
      <formula>"no"</formula>
    </cfRule>
    <cfRule type="cellIs" dxfId="17" priority="14" operator="equal">
      <formula>"""no"""</formula>
    </cfRule>
  </conditionalFormatting>
  <conditionalFormatting sqref="B392">
    <cfRule type="cellIs" dxfId="16" priority="12" operator="equal">
      <formula>"no"</formula>
    </cfRule>
  </conditionalFormatting>
  <conditionalFormatting sqref="B419">
    <cfRule type="cellIs" dxfId="15" priority="10" operator="equal">
      <formula>"no"</formula>
    </cfRule>
    <cfRule type="cellIs" dxfId="14" priority="11" operator="equal">
      <formula>"""no"""</formula>
    </cfRule>
  </conditionalFormatting>
  <conditionalFormatting sqref="B419">
    <cfRule type="cellIs" dxfId="13" priority="9" operator="equal">
      <formula>"no"</formula>
    </cfRule>
  </conditionalFormatting>
  <conditionalFormatting sqref="B3:B35">
    <cfRule type="cellIs" dxfId="12" priority="5" operator="equal">
      <formula>"no"</formula>
    </cfRule>
    <cfRule type="cellIs" dxfId="11" priority="6" operator="equal">
      <formula>"""no"""</formula>
    </cfRule>
  </conditionalFormatting>
  <conditionalFormatting sqref="B23">
    <cfRule type="cellIs" dxfId="10" priority="3" operator="equal">
      <formula>"no"</formula>
    </cfRule>
    <cfRule type="cellIs" dxfId="9" priority="4" operator="equal">
      <formula>"""no"""</formula>
    </cfRule>
  </conditionalFormatting>
  <conditionalFormatting sqref="B26">
    <cfRule type="cellIs" dxfId="8" priority="1" operator="equal">
      <formula>"no"</formula>
    </cfRule>
    <cfRule type="cellIs" dxfId="7" priority="2" operator="equal">
      <formula>"""no"""</formula>
    </cfRule>
  </conditionalFormatting>
  <dataValidations count="8">
    <dataValidation type="list" allowBlank="1" showInputMessage="1" showErrorMessage="1" sqref="T3:T111 T115:T1048576" xr:uid="{85F14786-A3D2-4C25-8BEF-C2CCA6A174DF}">
      <formula1>"Yes, No"</formula1>
    </dataValidation>
    <dataValidation allowBlank="1" sqref="D7 C1:C2" xr:uid="{D5444E70-77BB-4BC2-B505-8CC1281B96CC}"/>
    <dataValidation type="list" allowBlank="1" showInputMessage="1" showErrorMessage="1" sqref="U3:U1048576" xr:uid="{A26F312D-965D-4B83-BCAF-B469FF89355A}">
      <formula1>"""yes"", ""no"""</formula1>
    </dataValidation>
    <dataValidation type="list" allowBlank="1" showInputMessage="1" showErrorMessage="1" sqref="L3:L1048576" xr:uid="{BB58E399-DEE5-4CBF-B41A-E5DDE0424ABB}">
      <formula1>"yes,no"</formula1>
    </dataValidation>
    <dataValidation type="list" allowBlank="1" showInputMessage="1" showErrorMessage="1" sqref="G3:G1048576" xr:uid="{30EEA10B-6B51-4ADA-A88E-CA26B381A9D1}">
      <formula1>Buyers</formula1>
    </dataValidation>
    <dataValidation type="decimal" allowBlank="1" showInputMessage="1" showErrorMessage="1" sqref="W3:W1048576" xr:uid="{CC8B7E83-C71D-47C4-A890-BEAB3B4A5C28}">
      <formula1>0</formula1>
      <formula2>10000000</formula2>
    </dataValidation>
    <dataValidation type="list" allowBlank="1" showInputMessage="1" showErrorMessage="1" sqref="B3:B1048576" xr:uid="{A99B53A6-DEF8-4C21-A749-1C0DF45AE554}">
      <formula1>"yes, no, edit, complete"</formula1>
    </dataValidation>
    <dataValidation type="list" allowBlank="1" sqref="C3:C1048576" xr:uid="{EC879F2B-1784-4244-84AD-06498D18C482}">
      <formula1>Material_Code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Add_2">
                <anchor moveWithCells="1" siz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Edit_2">
                <anchor moveWithCells="1" sizeWithCells="1"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1501"/>
  <sheetViews>
    <sheetView zoomScaleNormal="100" workbookViewId="0">
      <pane xSplit="1" ySplit="1" topLeftCell="AF2" activePane="bottomRight" state="frozen"/>
      <selection pane="topRight"/>
      <selection pane="bottomLeft" activeCell="A4" sqref="A4"/>
      <selection pane="bottomRight" activeCell="B2" sqref="B2"/>
    </sheetView>
  </sheetViews>
  <sheetFormatPr defaultColWidth="9.140625" defaultRowHeight="15"/>
  <cols>
    <col min="1" max="1" width="9.140625" style="2"/>
    <col min="2" max="2" width="19.140625" style="13" customWidth="1"/>
    <col min="3" max="3" width="11.85546875" style="2" customWidth="1"/>
    <col min="4" max="4" width="9.85546875" style="4" customWidth="1"/>
    <col min="5" max="5" width="14.140625" style="2" bestFit="1" customWidth="1"/>
    <col min="6" max="6" width="19.85546875" style="2" customWidth="1"/>
    <col min="7" max="7" width="9.140625" style="2" customWidth="1"/>
    <col min="8" max="8" width="11.140625" style="2" customWidth="1"/>
    <col min="9" max="9" width="9.140625" style="2" customWidth="1"/>
    <col min="10" max="10" width="9.140625" style="53" customWidth="1"/>
    <col min="11" max="11" width="9.85546875" customWidth="1"/>
    <col min="12" max="12" width="12" style="45" customWidth="1"/>
    <col min="13" max="14" width="9.85546875" style="4" customWidth="1"/>
    <col min="15" max="15" width="9.140625" style="2" customWidth="1"/>
    <col min="16" max="16" width="9.140625" customWidth="1"/>
    <col min="17" max="17" width="12" style="2" customWidth="1"/>
    <col min="18" max="18" width="13.42578125" style="2" customWidth="1"/>
    <col min="19" max="19" width="7.42578125" style="2" customWidth="1"/>
    <col min="20" max="20" width="10.140625" style="4" customWidth="1"/>
    <col min="21" max="21" width="11.85546875" style="2" customWidth="1"/>
    <col min="22" max="22" width="9.85546875" style="4" customWidth="1"/>
    <col min="23" max="23" width="10.140625" customWidth="1"/>
    <col min="24" max="24" width="9.140625" style="2" customWidth="1"/>
    <col min="25" max="25" width="17.85546875" style="2" bestFit="1" customWidth="1"/>
    <col min="26" max="26" width="14.85546875" customWidth="1"/>
    <col min="27" max="32" width="9.140625" style="2"/>
    <col min="33" max="33" width="17.140625" bestFit="1" customWidth="1"/>
    <col min="34" max="34" width="15.5703125" bestFit="1" customWidth="1"/>
    <col min="38" max="16384" width="9.140625" style="2"/>
  </cols>
  <sheetData>
    <row r="1" spans="1:44" customFormat="1" ht="31.5" customHeight="1">
      <c r="A1" s="73" t="s">
        <v>114</v>
      </c>
      <c r="B1" s="74" t="s">
        <v>115</v>
      </c>
      <c r="C1" s="73" t="s">
        <v>116</v>
      </c>
      <c r="D1" s="75" t="s">
        <v>117</v>
      </c>
      <c r="E1" s="73" t="s">
        <v>118</v>
      </c>
      <c r="F1" s="73" t="s">
        <v>39</v>
      </c>
      <c r="G1" s="73" t="s">
        <v>119</v>
      </c>
      <c r="H1" s="73" t="s">
        <v>120</v>
      </c>
      <c r="I1" s="73" t="s">
        <v>121</v>
      </c>
      <c r="J1" s="76" t="s">
        <v>122</v>
      </c>
      <c r="K1" s="77" t="s">
        <v>77</v>
      </c>
      <c r="L1" s="77" t="s">
        <v>123</v>
      </c>
      <c r="M1" s="75" t="s">
        <v>124</v>
      </c>
      <c r="N1" s="75" t="s">
        <v>125</v>
      </c>
      <c r="O1" s="73" t="s">
        <v>126</v>
      </c>
      <c r="P1" s="73" t="s">
        <v>127</v>
      </c>
      <c r="Q1" s="73" t="s">
        <v>38</v>
      </c>
      <c r="R1" s="73" t="s">
        <v>87</v>
      </c>
      <c r="S1" s="73" t="s">
        <v>128</v>
      </c>
      <c r="T1" s="75" t="s">
        <v>37</v>
      </c>
      <c r="U1" s="75" t="s">
        <v>129</v>
      </c>
      <c r="V1" s="75" t="s">
        <v>130</v>
      </c>
      <c r="W1" s="75" t="s">
        <v>131</v>
      </c>
      <c r="X1" s="75" t="s">
        <v>42</v>
      </c>
      <c r="Y1" s="73" t="s">
        <v>132</v>
      </c>
      <c r="Z1" s="75" t="s">
        <v>133</v>
      </c>
      <c r="AA1" s="75" t="s">
        <v>134</v>
      </c>
    </row>
    <row r="2" spans="1:44">
      <c r="A2" s="2" t="s">
        <v>135</v>
      </c>
      <c r="B2" s="13" t="s">
        <v>110</v>
      </c>
      <c r="C2" t="e">
        <f>IF(B2&lt;&gt;"",INDEX('Sales Orders'!C:C,MATCH('Booking Management'!B2,'Sales Orders'!A:A,0)),"")</f>
        <v>#N/A</v>
      </c>
      <c r="D2" s="4">
        <v>43888</v>
      </c>
      <c r="E2" s="2" t="s">
        <v>136</v>
      </c>
      <c r="F2" s="2" t="s">
        <v>137</v>
      </c>
      <c r="H2" s="2" t="s">
        <v>106</v>
      </c>
      <c r="I2" s="2">
        <v>0</v>
      </c>
      <c r="J2" s="53">
        <v>13000</v>
      </c>
      <c r="K2" s="31" t="str">
        <f t="shared" ref="K2:K36" ca="1" si="0">IF(B2&lt;&gt;"",IF(AND(OR(L2-TODAY()&lt;2,M2&lt;&gt;"yes",N2&lt;&gt;"yes",O2&lt;&gt;"yes"),S2&lt;&gt;"Used"),"Alert",""),"")</f>
        <v/>
      </c>
      <c r="L2" s="45">
        <v>43888</v>
      </c>
      <c r="M2" s="4" t="s">
        <v>43</v>
      </c>
      <c r="N2" s="4" t="s">
        <v>43</v>
      </c>
      <c r="O2" s="2" t="s">
        <v>43</v>
      </c>
      <c r="P2">
        <f t="shared" ref="P2:P38" si="1">IF(B2&lt;&gt;"",T2-L2,"")</f>
        <v>1</v>
      </c>
      <c r="Q2" t="str">
        <f>IFERROR((J2/SUMIFS('Sales Orders'!D:D,'Sales Orders'!A:A,B2))*SUMIFS('Sales Orders'!N:N,'Sales Orders'!A:A,B2),"")</f>
        <v/>
      </c>
      <c r="R2" s="2" t="s">
        <v>109</v>
      </c>
      <c r="S2" s="2" t="s">
        <v>138</v>
      </c>
      <c r="T2" s="4">
        <v>43889</v>
      </c>
      <c r="U2" s="4"/>
      <c r="V2" s="4">
        <v>43899</v>
      </c>
      <c r="W2" s="31" t="str">
        <f t="shared" ref="W2:W6" ca="1" si="2">IF(T2&lt;&gt;"",IF(X2="Yes","NO",IF((TODAY()-V2)&gt;6,"YES","NO")),"")</f>
        <v>NO</v>
      </c>
      <c r="X2" s="2" t="s">
        <v>15</v>
      </c>
      <c r="Y2" s="2">
        <v>13382</v>
      </c>
      <c r="Z2" s="31"/>
      <c r="AA2" s="2">
        <v>13500</v>
      </c>
      <c r="AG2" t="s">
        <v>139</v>
      </c>
      <c r="AH2" s="112">
        <v>44287.86246527778</v>
      </c>
      <c r="AP2" s="53"/>
      <c r="AQ2" s="53"/>
      <c r="AR2" s="53"/>
    </row>
    <row r="3" spans="1:44">
      <c r="A3" s="2" t="s">
        <v>140</v>
      </c>
      <c r="C3" t="str">
        <f>IF(B3&lt;&gt;"",INDEX('Sales Orders'!C:C,MATCH('Booking Management'!B3,'Sales Orders'!A:A,0)),"")</f>
        <v/>
      </c>
      <c r="K3" s="31" t="str">
        <f t="shared" ca="1" si="0"/>
        <v/>
      </c>
      <c r="P3" t="str">
        <f t="shared" si="1"/>
        <v/>
      </c>
      <c r="Q3" t="str">
        <f>IFERROR((J3/SUMIFS('Sales Orders'!D:D,'Sales Orders'!A:A,B3))*SUMIFS('Sales Orders'!N:N,'Sales Orders'!A:A,B3),"")</f>
        <v/>
      </c>
      <c r="U3" s="4"/>
      <c r="W3" s="31" t="str">
        <f t="shared" ca="1" si="2"/>
        <v/>
      </c>
      <c r="Z3" s="31"/>
      <c r="AG3" t="s">
        <v>141</v>
      </c>
      <c r="AH3" s="112">
        <v>44287.862500000003</v>
      </c>
      <c r="AP3" s="53"/>
      <c r="AQ3" s="53"/>
      <c r="AR3" s="53"/>
    </row>
    <row r="4" spans="1:44">
      <c r="A4" s="2" t="s">
        <v>142</v>
      </c>
      <c r="B4" s="2"/>
      <c r="C4" t="str">
        <f>IF(B4&lt;&gt;"",INDEX('Sales Orders'!C:C,MATCH('Booking Management'!B4,'Sales Orders'!A:A,0)),"")</f>
        <v/>
      </c>
      <c r="K4" s="31" t="str">
        <f t="shared" ca="1" si="0"/>
        <v/>
      </c>
      <c r="P4" t="str">
        <f t="shared" si="1"/>
        <v/>
      </c>
      <c r="Q4" t="str">
        <f>IFERROR((J4/SUMIFS('Sales Orders'!D:D,'Sales Orders'!A:A,B4))*SUMIFS('Sales Orders'!N:N,'Sales Orders'!A:A,B4),"")</f>
        <v/>
      </c>
      <c r="W4" s="31" t="str">
        <f t="shared" ca="1" si="2"/>
        <v/>
      </c>
      <c r="Z4" s="31"/>
      <c r="AG4" t="s">
        <v>139</v>
      </c>
      <c r="AH4" s="112">
        <v>44288.772465277776</v>
      </c>
      <c r="AP4" s="53"/>
      <c r="AQ4" s="53"/>
      <c r="AR4" s="53"/>
    </row>
    <row r="5" spans="1:44">
      <c r="A5" s="2" t="s">
        <v>143</v>
      </c>
      <c r="B5" s="2"/>
      <c r="C5" t="str">
        <f>IF(B5&lt;&gt;"",INDEX('Sales Orders'!C:C,MATCH('Booking Management'!B5,'Sales Orders'!A:A,0)),"")</f>
        <v/>
      </c>
      <c r="K5" s="31" t="str">
        <f t="shared" ca="1" si="0"/>
        <v/>
      </c>
      <c r="P5" t="str">
        <f t="shared" si="1"/>
        <v/>
      </c>
      <c r="Q5" t="str">
        <f>IFERROR((J5/SUMIFS('Sales Orders'!D:D,'Sales Orders'!A:A,B5))*SUMIFS('Sales Orders'!N:N,'Sales Orders'!A:A,B5),"")</f>
        <v/>
      </c>
      <c r="U5" s="14"/>
      <c r="W5" s="31" t="str">
        <f t="shared" ca="1" si="2"/>
        <v/>
      </c>
      <c r="Z5" s="31"/>
      <c r="AG5" t="s">
        <v>141</v>
      </c>
      <c r="AH5" s="112">
        <v>44288.772476851853</v>
      </c>
      <c r="AP5" s="53"/>
      <c r="AQ5" s="53"/>
      <c r="AR5" s="53"/>
    </row>
    <row r="6" spans="1:44">
      <c r="A6" s="2" t="s">
        <v>144</v>
      </c>
      <c r="B6" s="2"/>
      <c r="C6" t="str">
        <f>IF(B6&lt;&gt;"",INDEX('Sales Orders'!C:C,MATCH('Booking Management'!B6,'Sales Orders'!A:A,0)),"")</f>
        <v/>
      </c>
      <c r="K6" s="31" t="str">
        <f t="shared" ca="1" si="0"/>
        <v/>
      </c>
      <c r="P6" t="str">
        <f t="shared" si="1"/>
        <v/>
      </c>
      <c r="Q6" t="str">
        <f>IFERROR((J6/SUMIFS('Sales Orders'!D:D,'Sales Orders'!A:A,B6))*SUMIFS('Sales Orders'!N:N,'Sales Orders'!A:A,B6),"")</f>
        <v/>
      </c>
      <c r="W6" s="31" t="str">
        <f t="shared" ca="1" si="2"/>
        <v/>
      </c>
      <c r="Z6" s="31"/>
      <c r="AG6" t="s">
        <v>139</v>
      </c>
      <c r="AH6" s="112">
        <v>44288.93886574074</v>
      </c>
      <c r="AP6" s="53"/>
      <c r="AQ6" s="53"/>
      <c r="AR6" s="53"/>
    </row>
    <row r="7" spans="1:44">
      <c r="A7" s="2" t="s">
        <v>145</v>
      </c>
      <c r="B7" s="2"/>
      <c r="C7" t="str">
        <f>IF(B7&lt;&gt;"",INDEX('Sales Orders'!C:C,MATCH('Booking Management'!B7,'Sales Orders'!A:A,0)),"")</f>
        <v/>
      </c>
      <c r="K7" s="31" t="str">
        <f ca="1">IF(B7&lt;&gt;"",IF(AND(OR(L7-TODAY()&lt;2,M7&lt;&gt;"yes",N7&lt;&gt;"yes",O7&lt;&gt;"yes"),S7&lt;&gt;"Used"),"Alert",""),"")</f>
        <v/>
      </c>
      <c r="P7" t="str">
        <f t="shared" si="1"/>
        <v/>
      </c>
      <c r="Q7" t="str">
        <f>IFERROR((J7/SUMIFS('Sales Orders'!D:D,'Sales Orders'!A:A,B7))*SUMIFS('Sales Orders'!N:N,'Sales Orders'!A:A,B7),"")</f>
        <v/>
      </c>
      <c r="W7" s="31" t="str">
        <f t="shared" ref="W7:W70" ca="1" si="3">IF(T7&lt;&gt;"",IF(X7="Yes","NO",IF((TODAY()-V7)&gt;6,"YES","NO")),"")</f>
        <v/>
      </c>
      <c r="Y7" s="53"/>
      <c r="Z7" s="31"/>
      <c r="AG7" t="s">
        <v>146</v>
      </c>
      <c r="AH7" s="112">
        <v>44288.938888888886</v>
      </c>
      <c r="AP7" s="53"/>
      <c r="AQ7" s="53"/>
      <c r="AR7" s="53"/>
    </row>
    <row r="8" spans="1:44">
      <c r="A8" s="2" t="s">
        <v>147</v>
      </c>
      <c r="B8" s="2"/>
      <c r="C8" t="str">
        <f>IF(B8&lt;&gt;"",INDEX('Sales Orders'!C:C,MATCH('Booking Management'!B8,'Sales Orders'!A:A,0)),"")</f>
        <v/>
      </c>
      <c r="K8" s="31" t="str">
        <f t="shared" ca="1" si="0"/>
        <v/>
      </c>
      <c r="P8" t="str">
        <f t="shared" si="1"/>
        <v/>
      </c>
      <c r="Q8" t="str">
        <f>IFERROR((J8/SUMIFS('Sales Orders'!D:D,'Sales Orders'!A:A,B8))*SUMIFS('Sales Orders'!N:N,'Sales Orders'!A:A,B8),"")</f>
        <v/>
      </c>
      <c r="U8" s="4"/>
      <c r="W8" s="31" t="str">
        <f t="shared" ca="1" si="3"/>
        <v/>
      </c>
      <c r="Z8" s="31"/>
      <c r="AG8" t="s">
        <v>141</v>
      </c>
      <c r="AH8" s="112">
        <v>44288.93891203704</v>
      </c>
      <c r="AP8" s="53"/>
      <c r="AQ8" s="53"/>
      <c r="AR8" s="53"/>
    </row>
    <row r="9" spans="1:44">
      <c r="A9" s="2" t="s">
        <v>148</v>
      </c>
      <c r="B9" s="2"/>
      <c r="C9" t="str">
        <f>IF(B9&lt;&gt;"",INDEX('Sales Orders'!C:C,MATCH('Booking Management'!B9,'Sales Orders'!A:A,0)),"")</f>
        <v/>
      </c>
      <c r="K9" s="31" t="str">
        <f t="shared" ca="1" si="0"/>
        <v/>
      </c>
      <c r="P9" t="str">
        <f t="shared" si="1"/>
        <v/>
      </c>
      <c r="Q9" t="str">
        <f>IFERROR((J9/SUMIFS('Sales Orders'!D:D,'Sales Orders'!A:A,B9))*SUMIFS('Sales Orders'!N:N,'Sales Orders'!A:A,B9),"")</f>
        <v/>
      </c>
      <c r="W9" s="31" t="str">
        <f t="shared" ca="1" si="3"/>
        <v/>
      </c>
      <c r="Z9" s="31"/>
      <c r="AB9" s="2" t="s">
        <v>149</v>
      </c>
      <c r="AG9" t="s">
        <v>139</v>
      </c>
      <c r="AH9" s="112">
        <v>44288.996493055558</v>
      </c>
      <c r="AP9" s="53"/>
      <c r="AQ9" s="53"/>
      <c r="AR9" s="53"/>
    </row>
    <row r="10" spans="1:44">
      <c r="A10" s="2" t="s">
        <v>150</v>
      </c>
      <c r="B10" s="2"/>
      <c r="C10" t="str">
        <f>IF(B10&lt;&gt;"",INDEX('Sales Orders'!C:C,MATCH('Booking Management'!B10,'Sales Orders'!A:A,0)),"")</f>
        <v/>
      </c>
      <c r="K10" s="31" t="str">
        <f t="shared" ca="1" si="0"/>
        <v/>
      </c>
      <c r="P10" t="str">
        <f t="shared" si="1"/>
        <v/>
      </c>
      <c r="Q10" t="str">
        <f>IFERROR((J10/SUMIFS('Sales Orders'!D:D,'Sales Orders'!A:A,B10))*SUMIFS('Sales Orders'!N:N,'Sales Orders'!A:A,B10),"")</f>
        <v/>
      </c>
      <c r="U10" s="4"/>
      <c r="W10" s="31" t="str">
        <f t="shared" ca="1" si="3"/>
        <v/>
      </c>
      <c r="Z10" s="31"/>
      <c r="AG10" t="s">
        <v>141</v>
      </c>
      <c r="AH10" s="112">
        <v>44288.996516203704</v>
      </c>
      <c r="AP10" s="53"/>
      <c r="AQ10" s="53"/>
      <c r="AR10" s="53"/>
    </row>
    <row r="11" spans="1:44">
      <c r="A11" s="2" t="s">
        <v>151</v>
      </c>
      <c r="B11" s="2"/>
      <c r="C11" t="str">
        <f>IF(B11&lt;&gt;"",INDEX('Sales Orders'!C:C,MATCH('Booking Management'!B11,'Sales Orders'!A:A,0)),"")</f>
        <v/>
      </c>
      <c r="K11" s="31" t="str">
        <f t="shared" ca="1" si="0"/>
        <v/>
      </c>
      <c r="P11" t="str">
        <f t="shared" si="1"/>
        <v/>
      </c>
      <c r="Q11" t="str">
        <f>IFERROR((J11/SUMIFS('Sales Orders'!D:D,'Sales Orders'!A:A,B11))*SUMIFS('Sales Orders'!N:N,'Sales Orders'!A:A,B11),"")</f>
        <v/>
      </c>
      <c r="W11" s="31" t="str">
        <f t="shared" ca="1" si="3"/>
        <v/>
      </c>
      <c r="Z11" s="31"/>
      <c r="AG11" t="s">
        <v>139</v>
      </c>
      <c r="AH11" s="112">
        <v>44289.024699074071</v>
      </c>
      <c r="AP11" s="53"/>
      <c r="AQ11" s="53"/>
      <c r="AR11" s="53"/>
    </row>
    <row r="12" spans="1:44">
      <c r="A12" s="2" t="s">
        <v>152</v>
      </c>
      <c r="C12" t="str">
        <f>IF(B12&lt;&gt;"",INDEX('Sales Orders'!C:C,MATCH('Booking Management'!B12,'Sales Orders'!A:A,0)),"")</f>
        <v/>
      </c>
      <c r="K12" s="31" t="str">
        <f t="shared" ca="1" si="0"/>
        <v/>
      </c>
      <c r="P12" t="str">
        <f t="shared" si="1"/>
        <v/>
      </c>
      <c r="Q12" t="str">
        <f>IFERROR((J12/SUMIFS('Sales Orders'!D:D,'Sales Orders'!A:A,B12))*SUMIFS('Sales Orders'!N:N,'Sales Orders'!A:A,B12),"")</f>
        <v/>
      </c>
      <c r="W12" s="31" t="str">
        <f t="shared" ca="1" si="3"/>
        <v/>
      </c>
      <c r="Z12" s="31"/>
      <c r="AG12" t="s">
        <v>146</v>
      </c>
      <c r="AH12" s="112">
        <v>44289.024733796294</v>
      </c>
      <c r="AP12" s="53"/>
      <c r="AQ12" s="53"/>
      <c r="AR12" s="53"/>
    </row>
    <row r="13" spans="1:44">
      <c r="A13" s="2" t="s">
        <v>153</v>
      </c>
      <c r="B13" s="2"/>
      <c r="C13" t="str">
        <f>IF(B13&lt;&gt;"",INDEX('Sales Orders'!C:C,MATCH('Booking Management'!B13,'Sales Orders'!A:A,0)),"")</f>
        <v/>
      </c>
      <c r="K13" s="31" t="str">
        <f t="shared" ref="K13:K66" ca="1" si="4">IF(B13&lt;&gt;"",IF(AND(OR(L13-TODAY()&lt;2,M13&lt;&gt;"yes",N13&lt;&gt;"yes",O13&lt;&gt;"yes"),S13&lt;&gt;"Used"),"Alert",""),"")</f>
        <v/>
      </c>
      <c r="P13" t="str">
        <f t="shared" si="1"/>
        <v/>
      </c>
      <c r="Q13" t="str">
        <f>IFERROR((J13/SUMIFS('Sales Orders'!D:D,'Sales Orders'!A:A,B13))*SUMIFS('Sales Orders'!N:N,'Sales Orders'!A:A,B13),"")</f>
        <v/>
      </c>
      <c r="W13" s="31" t="str">
        <f t="shared" ca="1" si="3"/>
        <v/>
      </c>
      <c r="Z13" s="31"/>
      <c r="AG13" t="s">
        <v>141</v>
      </c>
      <c r="AH13" s="112">
        <v>44289.024733796294</v>
      </c>
      <c r="AP13" s="53"/>
      <c r="AQ13" s="53"/>
      <c r="AR13" s="53"/>
    </row>
    <row r="14" spans="1:44">
      <c r="A14" s="2" t="s">
        <v>154</v>
      </c>
      <c r="B14" s="2"/>
      <c r="C14" t="str">
        <f>IF(B14&lt;&gt;"",INDEX('Sales Orders'!C:C,MATCH('Booking Management'!B14,'Sales Orders'!A:A,0)),"")</f>
        <v/>
      </c>
      <c r="K14" s="31" t="str">
        <f t="shared" ca="1" si="0"/>
        <v/>
      </c>
      <c r="P14" t="str">
        <f t="shared" si="1"/>
        <v/>
      </c>
      <c r="Q14" t="str">
        <f>IFERROR((J14/SUMIFS('Sales Orders'!D:D,'Sales Orders'!A:A,B14))*SUMIFS('Sales Orders'!N:N,'Sales Orders'!A:A,B14),"")</f>
        <v/>
      </c>
      <c r="W14" s="31" t="str">
        <f t="shared" ca="1" si="3"/>
        <v/>
      </c>
      <c r="Z14" s="31"/>
      <c r="AG14" t="s">
        <v>139</v>
      </c>
      <c r="AH14" s="112">
        <v>44289.028645833336</v>
      </c>
      <c r="AP14" s="53"/>
      <c r="AQ14" s="53"/>
      <c r="AR14" s="53"/>
    </row>
    <row r="15" spans="1:44">
      <c r="A15" s="2" t="s">
        <v>155</v>
      </c>
      <c r="B15" s="2"/>
      <c r="C15" t="str">
        <f>IF(B15&lt;&gt;"",INDEX('Sales Orders'!C:C,MATCH('Booking Management'!B15,'Sales Orders'!A:A,0)),"")</f>
        <v/>
      </c>
      <c r="K15" s="31" t="str">
        <f t="shared" ca="1" si="0"/>
        <v/>
      </c>
      <c r="P15" t="str">
        <f t="shared" si="1"/>
        <v/>
      </c>
      <c r="Q15" t="str">
        <f>IFERROR((J15/SUMIFS('Sales Orders'!D:D,'Sales Orders'!A:A,B15))*SUMIFS('Sales Orders'!N:N,'Sales Orders'!A:A,B15),"")</f>
        <v/>
      </c>
      <c r="W15" s="31" t="str">
        <f t="shared" ca="1" si="3"/>
        <v/>
      </c>
      <c r="Z15" s="31"/>
      <c r="AG15" t="s">
        <v>141</v>
      </c>
      <c r="AH15" s="112">
        <v>44289.028668981482</v>
      </c>
      <c r="AP15" s="53"/>
      <c r="AQ15" s="53"/>
      <c r="AR15" s="53"/>
    </row>
    <row r="16" spans="1:44">
      <c r="A16" s="2" t="s">
        <v>156</v>
      </c>
      <c r="B16" s="2"/>
      <c r="C16" t="str">
        <f>IF(B16&lt;&gt;"",INDEX('Sales Orders'!C:C,MATCH('Booking Management'!B16,'Sales Orders'!A:A,0)),"")</f>
        <v/>
      </c>
      <c r="K16" s="31" t="str">
        <f t="shared" ca="1" si="0"/>
        <v/>
      </c>
      <c r="P16" t="str">
        <f t="shared" si="1"/>
        <v/>
      </c>
      <c r="Q16" t="str">
        <f>IFERROR((J16/SUMIFS('Sales Orders'!D:D,'Sales Orders'!A:A,B16))*SUMIFS('Sales Orders'!N:N,'Sales Orders'!A:A,B16),"")</f>
        <v/>
      </c>
      <c r="W16" s="31" t="str">
        <f t="shared" ca="1" si="3"/>
        <v/>
      </c>
      <c r="Z16" s="31"/>
      <c r="AG16" t="s">
        <v>157</v>
      </c>
      <c r="AH16" s="112">
        <v>44289.031759259262</v>
      </c>
      <c r="AP16" s="53"/>
      <c r="AQ16" s="53"/>
      <c r="AR16" s="53"/>
    </row>
    <row r="17" spans="1:44">
      <c r="A17" s="2" t="s">
        <v>158</v>
      </c>
      <c r="B17" s="2"/>
      <c r="C17" t="str">
        <f>IF(B17&lt;&gt;"",INDEX('Sales Orders'!C:C,MATCH('Booking Management'!B17,'Sales Orders'!A:A,0)),"")</f>
        <v/>
      </c>
      <c r="K17" s="31" t="str">
        <f t="shared" ca="1" si="0"/>
        <v/>
      </c>
      <c r="P17" t="str">
        <f t="shared" si="1"/>
        <v/>
      </c>
      <c r="Q17" t="str">
        <f>IFERROR((J17/SUMIFS('Sales Orders'!D:D,'Sales Orders'!A:A,B17))*SUMIFS('Sales Orders'!N:N,'Sales Orders'!A:A,B17),"")</f>
        <v/>
      </c>
      <c r="W17" s="31" t="str">
        <f t="shared" ca="1" si="3"/>
        <v/>
      </c>
      <c r="Z17" s="31"/>
      <c r="AG17" t="s">
        <v>157</v>
      </c>
      <c r="AH17" s="112">
        <v>44289.058553240742</v>
      </c>
      <c r="AP17" s="53"/>
      <c r="AQ17" s="53"/>
      <c r="AR17" s="53"/>
    </row>
    <row r="18" spans="1:44">
      <c r="A18" s="2" t="s">
        <v>159</v>
      </c>
      <c r="B18" s="2"/>
      <c r="C18" t="str">
        <f>IF(B18&lt;&gt;"",INDEX('Sales Orders'!C:C,MATCH('Booking Management'!B18,'Sales Orders'!A:A,0)),"")</f>
        <v/>
      </c>
      <c r="K18" s="31" t="str">
        <f t="shared" ca="1" si="0"/>
        <v/>
      </c>
      <c r="P18" t="str">
        <f t="shared" si="1"/>
        <v/>
      </c>
      <c r="Q18" t="str">
        <f>IFERROR((J18/SUMIFS('Sales Orders'!D:D,'Sales Orders'!A:A,B18))*SUMIFS('Sales Orders'!N:N,'Sales Orders'!A:A,B18),"")</f>
        <v/>
      </c>
      <c r="W18" s="31" t="str">
        <f t="shared" ca="1" si="3"/>
        <v/>
      </c>
      <c r="Z18" s="31"/>
      <c r="AG18" t="s">
        <v>157</v>
      </c>
      <c r="AH18" s="112">
        <v>44289.067372685182</v>
      </c>
      <c r="AP18" s="53"/>
      <c r="AQ18" s="53"/>
      <c r="AR18" s="53"/>
    </row>
    <row r="19" spans="1:44">
      <c r="A19" s="2" t="s">
        <v>160</v>
      </c>
      <c r="B19" s="2"/>
      <c r="C19" t="str">
        <f>IF(B19&lt;&gt;"",INDEX('Sales Orders'!C:C,MATCH('Booking Management'!B19,'Sales Orders'!A:A,0)),"")</f>
        <v/>
      </c>
      <c r="K19" s="31" t="str">
        <f t="shared" ca="1" si="4"/>
        <v/>
      </c>
      <c r="P19" t="str">
        <f t="shared" si="1"/>
        <v/>
      </c>
      <c r="Q19" t="str">
        <f>IFERROR((J19/SUMIFS('Sales Orders'!D:D,'Sales Orders'!A:A,B19))*SUMIFS('Sales Orders'!N:N,'Sales Orders'!A:A,B19),"")</f>
        <v/>
      </c>
      <c r="W19" s="31" t="str">
        <f t="shared" ca="1" si="3"/>
        <v/>
      </c>
      <c r="Z19" s="31"/>
      <c r="AG19" t="s">
        <v>157</v>
      </c>
      <c r="AH19" s="112">
        <v>44289.069699074076</v>
      </c>
      <c r="AP19" s="53"/>
      <c r="AQ19" s="53"/>
      <c r="AR19" s="53"/>
    </row>
    <row r="20" spans="1:44">
      <c r="A20" s="2" t="s">
        <v>161</v>
      </c>
      <c r="B20" s="2"/>
      <c r="C20" t="str">
        <f>IF(B20&lt;&gt;"",INDEX('Sales Orders'!C:C,MATCH('Booking Management'!B20,'Sales Orders'!A:A,0)),"")</f>
        <v/>
      </c>
      <c r="K20" s="31" t="str">
        <f t="shared" ca="1" si="0"/>
        <v/>
      </c>
      <c r="P20" t="str">
        <f t="shared" si="1"/>
        <v/>
      </c>
      <c r="Q20" t="str">
        <f>IFERROR((J20/SUMIFS('Sales Orders'!D:D,'Sales Orders'!A:A,B20))*SUMIFS('Sales Orders'!N:N,'Sales Orders'!A:A,B20),"")</f>
        <v/>
      </c>
      <c r="W20" s="31" t="str">
        <f t="shared" ca="1" si="3"/>
        <v/>
      </c>
      <c r="Z20" s="31"/>
      <c r="AG20" t="s">
        <v>139</v>
      </c>
      <c r="AH20" s="112">
        <v>44289.130289351851</v>
      </c>
      <c r="AP20" s="53"/>
      <c r="AQ20" s="53"/>
      <c r="AR20" s="53"/>
    </row>
    <row r="21" spans="1:44">
      <c r="A21" s="2" t="s">
        <v>162</v>
      </c>
      <c r="C21" t="str">
        <f>IF(B21&lt;&gt;"",INDEX('Sales Orders'!C:C,MATCH('Booking Management'!B21,'Sales Orders'!A:A,0)),"")</f>
        <v/>
      </c>
      <c r="J21" s="2"/>
      <c r="K21" s="31" t="str">
        <f t="shared" ca="1" si="0"/>
        <v/>
      </c>
      <c r="P21" t="str">
        <f t="shared" si="1"/>
        <v/>
      </c>
      <c r="Q21" t="str">
        <f>IFERROR((J21/SUMIFS('Sales Orders'!D:D,'Sales Orders'!A:A,B21))*SUMIFS('Sales Orders'!N:N,'Sales Orders'!A:A,B21),"")</f>
        <v/>
      </c>
      <c r="W21" s="31" t="str">
        <f t="shared" ca="1" si="3"/>
        <v/>
      </c>
      <c r="Z21" s="31"/>
      <c r="AG21" t="s">
        <v>146</v>
      </c>
      <c r="AH21" s="112">
        <v>44289.130312499998</v>
      </c>
      <c r="AP21" s="53"/>
      <c r="AQ21" s="53"/>
      <c r="AR21" s="53"/>
    </row>
    <row r="22" spans="1:44">
      <c r="A22" s="2" t="s">
        <v>163</v>
      </c>
      <c r="C22" t="str">
        <f>IF(B22&lt;&gt;"",INDEX('Sales Orders'!C:C,MATCH('Booking Management'!B22,'Sales Orders'!A:A,0)),"")</f>
        <v/>
      </c>
      <c r="K22" s="31" t="str">
        <f t="shared" ca="1" si="0"/>
        <v/>
      </c>
      <c r="P22" t="str">
        <f t="shared" si="1"/>
        <v/>
      </c>
      <c r="Q22" t="str">
        <f>IFERROR((J22/SUMIFS('Sales Orders'!D:D,'Sales Orders'!A:A,B22))*SUMIFS('Sales Orders'!N:N,'Sales Orders'!A:A,B22),"")</f>
        <v/>
      </c>
      <c r="W22" s="31" t="str">
        <f t="shared" ca="1" si="3"/>
        <v/>
      </c>
      <c r="Z22" s="31"/>
      <c r="AG22" t="s">
        <v>141</v>
      </c>
      <c r="AH22" s="112">
        <v>44289.130324074074</v>
      </c>
      <c r="AP22" s="53"/>
      <c r="AQ22" s="53"/>
      <c r="AR22" s="53"/>
    </row>
    <row r="23" spans="1:44">
      <c r="A23" s="2" t="s">
        <v>164</v>
      </c>
      <c r="C23" t="str">
        <f>IF(B23&lt;&gt;"",INDEX('Sales Orders'!C:C,MATCH('Booking Management'!B23,'Sales Orders'!A:A,0)),"")</f>
        <v/>
      </c>
      <c r="K23" s="31" t="str">
        <f t="shared" ca="1" si="0"/>
        <v/>
      </c>
      <c r="P23" t="str">
        <f t="shared" si="1"/>
        <v/>
      </c>
      <c r="Q23" t="str">
        <f>IFERROR((J23/SUMIFS('Sales Orders'!D:D,'Sales Orders'!A:A,B23))*SUMIFS('Sales Orders'!N:N,'Sales Orders'!A:A,B23),"")</f>
        <v/>
      </c>
      <c r="W23" s="31" t="str">
        <f t="shared" ca="1" si="3"/>
        <v/>
      </c>
      <c r="Z23" s="31"/>
      <c r="AG23" t="s">
        <v>157</v>
      </c>
      <c r="AH23" s="112">
        <v>44289.143483796295</v>
      </c>
      <c r="AP23" s="53"/>
      <c r="AQ23" s="53"/>
      <c r="AR23" s="53"/>
    </row>
    <row r="24" spans="1:44">
      <c r="A24" s="2" t="s">
        <v>165</v>
      </c>
      <c r="C24" t="str">
        <f>IF(B24&lt;&gt;"",INDEX('Sales Orders'!C:C,MATCH('Booking Management'!B24,'Sales Orders'!A:A,0)),"")</f>
        <v/>
      </c>
      <c r="K24" s="31" t="str">
        <f t="shared" ca="1" si="0"/>
        <v/>
      </c>
      <c r="P24" t="str">
        <f t="shared" si="1"/>
        <v/>
      </c>
      <c r="Q24" t="str">
        <f>IFERROR((J24/SUMIFS('Sales Orders'!D:D,'Sales Orders'!A:A,B24))*SUMIFS('Sales Orders'!N:N,'Sales Orders'!A:A,B24),"")</f>
        <v/>
      </c>
      <c r="W24" s="31" t="str">
        <f t="shared" ca="1" si="3"/>
        <v/>
      </c>
      <c r="Z24" s="31"/>
      <c r="AG24" t="s">
        <v>157</v>
      </c>
      <c r="AH24" s="112">
        <v>44291.784988425927</v>
      </c>
      <c r="AP24" s="53"/>
      <c r="AQ24" s="53"/>
      <c r="AR24" s="53"/>
    </row>
    <row r="25" spans="1:44">
      <c r="A25" s="2" t="s">
        <v>166</v>
      </c>
      <c r="B25" s="2"/>
      <c r="C25" t="str">
        <f>IF(B25&lt;&gt;"",INDEX('Sales Orders'!C:C,MATCH('Booking Management'!B25,'Sales Orders'!A:A,0)),"")</f>
        <v/>
      </c>
      <c r="F25" s="16"/>
      <c r="K25" s="31" t="str">
        <f t="shared" ca="1" si="4"/>
        <v/>
      </c>
      <c r="P25" t="str">
        <f t="shared" si="1"/>
        <v/>
      </c>
      <c r="Q25" t="str">
        <f>IFERROR((J25/SUMIFS('Sales Orders'!D:D,'Sales Orders'!A:A,B25))*SUMIFS('Sales Orders'!N:N,'Sales Orders'!A:A,B25),"")</f>
        <v/>
      </c>
      <c r="W25" s="31" t="str">
        <f t="shared" ca="1" si="3"/>
        <v/>
      </c>
      <c r="Z25" s="31"/>
      <c r="AG25" t="s">
        <v>157</v>
      </c>
      <c r="AH25" s="112">
        <v>44291.786145833335</v>
      </c>
      <c r="AP25" s="53"/>
      <c r="AQ25" s="53"/>
      <c r="AR25" s="53"/>
    </row>
    <row r="26" spans="1:44">
      <c r="A26" s="2" t="s">
        <v>167</v>
      </c>
      <c r="B26" s="2"/>
      <c r="C26" t="str">
        <f>IF(B26&lt;&gt;"",INDEX('Sales Orders'!C:C,MATCH('Booking Management'!B26,'Sales Orders'!A:A,0)),"")</f>
        <v/>
      </c>
      <c r="K26" s="31" t="str">
        <f t="shared" ca="1" si="0"/>
        <v/>
      </c>
      <c r="P26" t="str">
        <f t="shared" si="1"/>
        <v/>
      </c>
      <c r="Q26" t="str">
        <f>IFERROR((J26/SUMIFS('Sales Orders'!D:D,'Sales Orders'!A:A,B26))*SUMIFS('Sales Orders'!N:N,'Sales Orders'!A:A,B26),"")</f>
        <v/>
      </c>
      <c r="W26" s="31" t="str">
        <f t="shared" ca="1" si="3"/>
        <v/>
      </c>
      <c r="Z26" s="31"/>
      <c r="AG26" t="s">
        <v>157</v>
      </c>
      <c r="AH26" s="112">
        <v>44291.802789351852</v>
      </c>
      <c r="AP26" s="53"/>
      <c r="AQ26" s="53"/>
      <c r="AR26" s="53"/>
    </row>
    <row r="27" spans="1:44">
      <c r="A27" s="2" t="s">
        <v>168</v>
      </c>
      <c r="B27" s="2"/>
      <c r="C27" t="str">
        <f>IF(B27&lt;&gt;"",INDEX('Sales Orders'!C:C,MATCH('Booking Management'!B27,'Sales Orders'!A:A,0)),"")</f>
        <v/>
      </c>
      <c r="K27" s="31" t="str">
        <f t="shared" ca="1" si="0"/>
        <v/>
      </c>
      <c r="P27" t="str">
        <f t="shared" si="1"/>
        <v/>
      </c>
      <c r="Q27" t="str">
        <f>IFERROR((J27/SUMIFS('Sales Orders'!D:D,'Sales Orders'!A:A,B27))*SUMIFS('Sales Orders'!N:N,'Sales Orders'!A:A,B27),"")</f>
        <v/>
      </c>
      <c r="W27" s="31" t="str">
        <f t="shared" ca="1" si="3"/>
        <v/>
      </c>
      <c r="Z27" s="31"/>
      <c r="AG27" t="s">
        <v>157</v>
      </c>
      <c r="AH27" s="112">
        <v>44291.803668981483</v>
      </c>
      <c r="AP27" s="53"/>
      <c r="AQ27" s="53"/>
      <c r="AR27" s="53"/>
    </row>
    <row r="28" spans="1:44">
      <c r="A28" s="2" t="s">
        <v>169</v>
      </c>
      <c r="B28" s="2"/>
      <c r="C28" t="str">
        <f>IF(B28&lt;&gt;"",INDEX('Sales Orders'!C:C,MATCH('Booking Management'!B28,'Sales Orders'!A:A,0)),"")</f>
        <v/>
      </c>
      <c r="K28" s="31" t="str">
        <f t="shared" ca="1" si="0"/>
        <v/>
      </c>
      <c r="P28" t="str">
        <f t="shared" si="1"/>
        <v/>
      </c>
      <c r="Q28" t="str">
        <f>IFERROR((J28/SUMIFS('Sales Orders'!D:D,'Sales Orders'!A:A,B28))*SUMIFS('Sales Orders'!N:N,'Sales Orders'!A:A,B28),"")</f>
        <v/>
      </c>
      <c r="W28" s="31" t="str">
        <f t="shared" ca="1" si="3"/>
        <v/>
      </c>
      <c r="Z28" s="31"/>
      <c r="AG28" t="s">
        <v>139</v>
      </c>
      <c r="AH28" s="112">
        <v>44297.068518518521</v>
      </c>
      <c r="AP28" s="53"/>
      <c r="AQ28" s="53"/>
      <c r="AR28" s="53"/>
    </row>
    <row r="29" spans="1:44">
      <c r="A29" s="2" t="s">
        <v>170</v>
      </c>
      <c r="B29" s="2"/>
      <c r="C29" t="str">
        <f>IF(B29&lt;&gt;"",INDEX('Sales Orders'!C:C,MATCH('Booking Management'!B29,'Sales Orders'!A:A,0)),"")</f>
        <v/>
      </c>
      <c r="K29" s="31" t="str">
        <f t="shared" ca="1" si="0"/>
        <v/>
      </c>
      <c r="P29" t="str">
        <f t="shared" si="1"/>
        <v/>
      </c>
      <c r="Q29" t="str">
        <f>IFERROR((J29/SUMIFS('Sales Orders'!D:D,'Sales Orders'!A:A,B29))*SUMIFS('Sales Orders'!N:N,'Sales Orders'!A:A,B29),"")</f>
        <v/>
      </c>
      <c r="W29" s="31" t="str">
        <f t="shared" ca="1" si="3"/>
        <v/>
      </c>
      <c r="Z29" s="31"/>
      <c r="AG29" t="s">
        <v>146</v>
      </c>
      <c r="AH29" s="112">
        <v>44297.068541666667</v>
      </c>
      <c r="AP29" s="53"/>
      <c r="AQ29" s="53"/>
      <c r="AR29" s="53"/>
    </row>
    <row r="30" spans="1:44">
      <c r="A30" s="2" t="s">
        <v>171</v>
      </c>
      <c r="B30" s="2"/>
      <c r="C30" t="str">
        <f>IF(B30&lt;&gt;"",INDEX('Sales Orders'!C:C,MATCH('Booking Management'!B30,'Sales Orders'!A:A,0)),"")</f>
        <v/>
      </c>
      <c r="K30" s="31" t="str">
        <f t="shared" ca="1" si="0"/>
        <v/>
      </c>
      <c r="P30" t="str">
        <f t="shared" si="1"/>
        <v/>
      </c>
      <c r="Q30" t="str">
        <f>IFERROR((J30/SUMIFS('Sales Orders'!D:D,'Sales Orders'!A:A,B30))*SUMIFS('Sales Orders'!N:N,'Sales Orders'!A:A,B30),"")</f>
        <v/>
      </c>
      <c r="W30" s="31" t="str">
        <f t="shared" ca="1" si="3"/>
        <v/>
      </c>
      <c r="Z30" s="31"/>
      <c r="AG30" t="s">
        <v>141</v>
      </c>
      <c r="AH30" s="112">
        <v>44297.068576388891</v>
      </c>
      <c r="AP30" s="53"/>
      <c r="AQ30" s="53"/>
      <c r="AR30" s="53"/>
    </row>
    <row r="31" spans="1:44">
      <c r="A31" s="2" t="s">
        <v>172</v>
      </c>
      <c r="B31" s="2"/>
      <c r="C31" t="str">
        <f>IF(B31&lt;&gt;"",INDEX('Sales Orders'!C:C,MATCH('Booking Management'!B31,'Sales Orders'!A:A,0)),"")</f>
        <v/>
      </c>
      <c r="K31" s="31" t="str">
        <f t="shared" ca="1" si="4"/>
        <v/>
      </c>
      <c r="L31" s="4"/>
      <c r="P31" t="str">
        <f t="shared" si="1"/>
        <v/>
      </c>
      <c r="Q31" t="str">
        <f>IFERROR((J31/SUMIFS('Sales Orders'!D:D,'Sales Orders'!A:A,B31))*SUMIFS('Sales Orders'!N:N,'Sales Orders'!A:A,B31),"")</f>
        <v/>
      </c>
      <c r="W31" s="31" t="str">
        <f t="shared" ca="1" si="3"/>
        <v/>
      </c>
      <c r="Z31" s="31"/>
      <c r="AG31" t="s">
        <v>157</v>
      </c>
      <c r="AH31" s="112">
        <v>44297.070185185185</v>
      </c>
      <c r="AP31" s="53"/>
      <c r="AQ31" s="53"/>
      <c r="AR31" s="53"/>
    </row>
    <row r="32" spans="1:44">
      <c r="A32" s="2" t="s">
        <v>173</v>
      </c>
      <c r="C32" t="str">
        <f>IF(B32&lt;&gt;"",INDEX('Sales Orders'!C:C,MATCH('Booking Management'!B32,'Sales Orders'!A:A,0)),"")</f>
        <v/>
      </c>
      <c r="K32" s="31" t="str">
        <f t="shared" ca="1" si="0"/>
        <v/>
      </c>
      <c r="L32" s="4"/>
      <c r="P32" t="str">
        <f t="shared" si="1"/>
        <v/>
      </c>
      <c r="Q32" t="str">
        <f>IFERROR((J32/SUMIFS('Sales Orders'!D:D,'Sales Orders'!A:A,B32))*SUMIFS('Sales Orders'!N:N,'Sales Orders'!A:A,B32),"")</f>
        <v/>
      </c>
      <c r="W32" s="31" t="str">
        <f t="shared" ca="1" si="3"/>
        <v/>
      </c>
      <c r="Z32" s="31"/>
      <c r="AG32" t="s">
        <v>139</v>
      </c>
      <c r="AH32" s="112">
        <v>44297.071979166663</v>
      </c>
      <c r="AP32" s="53"/>
      <c r="AQ32" s="53"/>
      <c r="AR32" s="53"/>
    </row>
    <row r="33" spans="1:44">
      <c r="A33" s="2" t="s">
        <v>174</v>
      </c>
      <c r="C33" t="str">
        <f>IF(B33&lt;&gt;"",INDEX('Sales Orders'!C:C,MATCH('Booking Management'!B33,'Sales Orders'!A:A,0)),"")</f>
        <v/>
      </c>
      <c r="K33" s="31" t="str">
        <f t="shared" ca="1" si="0"/>
        <v/>
      </c>
      <c r="P33" t="str">
        <f t="shared" si="1"/>
        <v/>
      </c>
      <c r="Q33" t="str">
        <f>IFERROR((J33/SUMIFS('Sales Orders'!D:D,'Sales Orders'!A:A,B33))*SUMIFS('Sales Orders'!N:N,'Sales Orders'!A:A,B33),"")</f>
        <v/>
      </c>
      <c r="W33" s="31" t="str">
        <f t="shared" ca="1" si="3"/>
        <v/>
      </c>
      <c r="Z33" s="31"/>
      <c r="AG33" t="s">
        <v>141</v>
      </c>
      <c r="AH33" s="112">
        <v>44294</v>
      </c>
      <c r="AP33" s="53"/>
      <c r="AQ33" s="53"/>
      <c r="AR33" s="53"/>
    </row>
    <row r="34" spans="1:44">
      <c r="A34" s="2" t="s">
        <v>175</v>
      </c>
      <c r="B34" s="38"/>
      <c r="C34" t="str">
        <f>IF(B34&lt;&gt;"",INDEX('Sales Orders'!C:C,MATCH('Booking Management'!B34,'Sales Orders'!A:A,0)),"")</f>
        <v/>
      </c>
      <c r="K34" s="31" t="str">
        <f t="shared" ca="1" si="0"/>
        <v/>
      </c>
      <c r="L34" s="4"/>
      <c r="P34" t="str">
        <f t="shared" si="1"/>
        <v/>
      </c>
      <c r="Q34" t="str">
        <f>IFERROR((J34/SUMIFS('Sales Orders'!D:D,'Sales Orders'!A:A,B34))*SUMIFS('Sales Orders'!N:N,'Sales Orders'!A:A,B34),"")</f>
        <v/>
      </c>
      <c r="W34" s="31" t="str">
        <f t="shared" ca="1" si="3"/>
        <v/>
      </c>
      <c r="Z34" s="31"/>
      <c r="AG34" t="s">
        <v>139</v>
      </c>
      <c r="AH34" s="112">
        <v>44303.699386574073</v>
      </c>
      <c r="AP34" s="53"/>
      <c r="AQ34" s="53"/>
      <c r="AR34" s="53"/>
    </row>
    <row r="35" spans="1:44">
      <c r="A35" s="2" t="s">
        <v>176</v>
      </c>
      <c r="C35" t="str">
        <f>IF(B35&lt;&gt;"",INDEX('Sales Orders'!C:C,MATCH('Booking Management'!B35,'Sales Orders'!A:A,0)),"")</f>
        <v/>
      </c>
      <c r="K35" s="31" t="str">
        <f t="shared" ca="1" si="0"/>
        <v/>
      </c>
      <c r="L35" s="4"/>
      <c r="P35" t="str">
        <f t="shared" si="1"/>
        <v/>
      </c>
      <c r="Q35" t="str">
        <f>IFERROR((J35/SUMIFS('Sales Orders'!D:D,'Sales Orders'!A:A,B35))*SUMIFS('Sales Orders'!N:N,'Sales Orders'!A:A,B35),"")</f>
        <v/>
      </c>
      <c r="W35" s="31" t="str">
        <f t="shared" ca="1" si="3"/>
        <v/>
      </c>
      <c r="Z35" s="31"/>
      <c r="AG35" t="s">
        <v>141</v>
      </c>
      <c r="AH35" s="112">
        <v>44303.69939814815</v>
      </c>
      <c r="AP35" s="53"/>
      <c r="AQ35" s="53"/>
      <c r="AR35" s="53"/>
    </row>
    <row r="36" spans="1:44">
      <c r="A36" s="2" t="s">
        <v>177</v>
      </c>
      <c r="C36" t="str">
        <f>IF(B36&lt;&gt;"",INDEX('Sales Orders'!C:C,MATCH('Booking Management'!B36,'Sales Orders'!A:A,0)),"")</f>
        <v/>
      </c>
      <c r="K36" s="31" t="str">
        <f t="shared" ca="1" si="0"/>
        <v/>
      </c>
      <c r="P36" t="str">
        <f t="shared" si="1"/>
        <v/>
      </c>
      <c r="Q36" t="str">
        <f>IFERROR((J36/SUMIFS('Sales Orders'!D:D,'Sales Orders'!A:A,B36))*SUMIFS('Sales Orders'!N:N,'Sales Orders'!A:A,B36),"")</f>
        <v/>
      </c>
      <c r="W36" s="31" t="str">
        <f t="shared" ca="1" si="3"/>
        <v/>
      </c>
      <c r="Z36" s="31"/>
      <c r="AG36" t="s">
        <v>139</v>
      </c>
      <c r="AH36" s="112">
        <v>44320.7578587963</v>
      </c>
      <c r="AP36" s="53"/>
      <c r="AQ36" s="53"/>
      <c r="AR36" s="53"/>
    </row>
    <row r="37" spans="1:44">
      <c r="A37" s="2" t="s">
        <v>178</v>
      </c>
      <c r="B37" s="16"/>
      <c r="C37" t="str">
        <f>IF(B37&lt;&gt;"",INDEX('Sales Orders'!C:C,MATCH('Booking Management'!B37,'Sales Orders'!A:A,0)),"")</f>
        <v/>
      </c>
      <c r="K37" s="31" t="str">
        <f t="shared" ca="1" si="4"/>
        <v/>
      </c>
      <c r="P37" t="str">
        <f t="shared" si="1"/>
        <v/>
      </c>
      <c r="Q37" t="str">
        <f>IFERROR((J37/SUMIFS('Sales Orders'!D:D,'Sales Orders'!A:A,B37))*SUMIFS('Sales Orders'!N:N,'Sales Orders'!A:A,B37),"")</f>
        <v/>
      </c>
      <c r="U37" s="14"/>
      <c r="W37" s="31" t="str">
        <f t="shared" ca="1" si="3"/>
        <v/>
      </c>
      <c r="Z37" s="31"/>
      <c r="AG37" t="s">
        <v>141</v>
      </c>
      <c r="AH37" s="112">
        <v>44320.757870370369</v>
      </c>
      <c r="AP37" s="53"/>
      <c r="AQ37" s="53"/>
      <c r="AR37" s="53"/>
    </row>
    <row r="38" spans="1:44">
      <c r="A38" s="2" t="s">
        <v>179</v>
      </c>
      <c r="B38" s="2"/>
      <c r="C38" t="str">
        <f>IF(B38&lt;&gt;"",INDEX('Sales Orders'!C:C,MATCH('Booking Management'!B38,'Sales Orders'!A:A,0)),"")</f>
        <v/>
      </c>
      <c r="K38" s="31" t="str">
        <f t="shared" ca="1" si="4"/>
        <v/>
      </c>
      <c r="P38" t="str">
        <f t="shared" si="1"/>
        <v/>
      </c>
      <c r="Q38" t="str">
        <f>IFERROR((J38/SUMIFS('Sales Orders'!D:D,'Sales Orders'!A:A,B38))*SUMIFS('Sales Orders'!N:N,'Sales Orders'!A:A,B38),"")</f>
        <v/>
      </c>
      <c r="W38" s="31" t="str">
        <f t="shared" ca="1" si="3"/>
        <v/>
      </c>
      <c r="Z38" s="31"/>
      <c r="AG38" t="s">
        <v>139</v>
      </c>
      <c r="AH38" s="112">
        <v>44320.759027777778</v>
      </c>
      <c r="AP38" s="53"/>
      <c r="AQ38" s="53"/>
      <c r="AR38" s="53"/>
    </row>
    <row r="39" spans="1:44">
      <c r="A39" s="2" t="s">
        <v>180</v>
      </c>
      <c r="B39" s="15"/>
      <c r="C39" t="str">
        <f>IF(B39&lt;&gt;"",INDEX('Sales Orders'!C:C,MATCH('Booking Management'!B39,'Sales Orders'!A:A,0)),"")</f>
        <v/>
      </c>
      <c r="K39" s="31" t="str">
        <f t="shared" ca="1" si="4"/>
        <v/>
      </c>
      <c r="P39" t="str">
        <f t="shared" ref="P39:P96" si="5">IF(B39&lt;&gt;"",T39-L39,"")</f>
        <v/>
      </c>
      <c r="Q39" t="str">
        <f>IFERROR((J39/SUMIFS('Sales Orders'!D:D,'Sales Orders'!A:A,B39))*SUMIFS('Sales Orders'!N:N,'Sales Orders'!A:A,B39),"")</f>
        <v/>
      </c>
      <c r="W39" s="31" t="str">
        <f t="shared" ca="1" si="3"/>
        <v/>
      </c>
      <c r="Z39" s="31"/>
      <c r="AG39" t="s">
        <v>141</v>
      </c>
      <c r="AH39" s="112">
        <v>44320.759039351855</v>
      </c>
      <c r="AP39" s="53"/>
      <c r="AQ39" s="53"/>
      <c r="AR39" s="53"/>
    </row>
    <row r="40" spans="1:44">
      <c r="A40" s="2" t="s">
        <v>181</v>
      </c>
      <c r="B40" s="2"/>
      <c r="C40" t="str">
        <f>IF(B40&lt;&gt;"",INDEX('Sales Orders'!C:C,MATCH('Booking Management'!B40,'Sales Orders'!A:A,0)),"")</f>
        <v/>
      </c>
      <c r="K40" s="31" t="str">
        <f t="shared" ca="1" si="4"/>
        <v/>
      </c>
      <c r="P40" t="str">
        <f t="shared" si="5"/>
        <v/>
      </c>
      <c r="Q40" t="str">
        <f>IFERROR((J40/SUMIFS('Sales Orders'!D:D,'Sales Orders'!A:A,B40))*SUMIFS('Sales Orders'!N:N,'Sales Orders'!A:A,B40),"")</f>
        <v/>
      </c>
      <c r="W40" s="31" t="str">
        <f t="shared" ca="1" si="3"/>
        <v/>
      </c>
      <c r="Z40" s="31"/>
      <c r="AG40" t="s">
        <v>157</v>
      </c>
      <c r="AH40" s="112">
        <v>44320.81591435185</v>
      </c>
      <c r="AP40" s="53"/>
      <c r="AQ40" s="53"/>
      <c r="AR40" s="53"/>
    </row>
    <row r="41" spans="1:44">
      <c r="A41" s="2" t="s">
        <v>182</v>
      </c>
      <c r="B41" s="15"/>
      <c r="C41" t="str">
        <f>IF(B41&lt;&gt;"",INDEX('Sales Orders'!C:C,MATCH('Booking Management'!B41,'Sales Orders'!A:A,0)),"")</f>
        <v/>
      </c>
      <c r="K41" s="31" t="str">
        <f t="shared" ca="1" si="4"/>
        <v/>
      </c>
      <c r="P41" t="str">
        <f t="shared" si="5"/>
        <v/>
      </c>
      <c r="Q41" t="str">
        <f>IFERROR((J41/SUMIFS('Sales Orders'!D:D,'Sales Orders'!A:A,B41))*SUMIFS('Sales Orders'!N:N,'Sales Orders'!A:A,B41),"")</f>
        <v/>
      </c>
      <c r="W41" s="31" t="str">
        <f t="shared" ca="1" si="3"/>
        <v/>
      </c>
      <c r="Z41" s="31"/>
      <c r="AG41" t="s">
        <v>157</v>
      </c>
      <c r="AH41" s="112">
        <v>44320.820185185185</v>
      </c>
      <c r="AP41" s="53"/>
      <c r="AQ41" s="53"/>
      <c r="AR41" s="53"/>
    </row>
    <row r="42" spans="1:44">
      <c r="A42" s="2" t="s">
        <v>183</v>
      </c>
      <c r="C42" t="str">
        <f>IF(B42&lt;&gt;"",INDEX('Sales Orders'!C:C,MATCH('Booking Management'!B42,'Sales Orders'!A:A,0)),"")</f>
        <v/>
      </c>
      <c r="K42" s="31" t="str">
        <f t="shared" ca="1" si="4"/>
        <v/>
      </c>
      <c r="P42" t="str">
        <f t="shared" si="5"/>
        <v/>
      </c>
      <c r="Q42" t="str">
        <f>IFERROR((J42/SUMIFS('Sales Orders'!D:D,'Sales Orders'!A:A,B42))*SUMIFS('Sales Orders'!N:N,'Sales Orders'!A:A,B42),"")</f>
        <v/>
      </c>
      <c r="W42" s="31" t="str">
        <f t="shared" ca="1" si="3"/>
        <v/>
      </c>
      <c r="Z42" s="31"/>
      <c r="AG42" t="s">
        <v>157</v>
      </c>
      <c r="AH42" s="112">
        <v>44323.475416666668</v>
      </c>
      <c r="AP42" s="53"/>
      <c r="AQ42" s="53"/>
      <c r="AR42" s="53"/>
    </row>
    <row r="43" spans="1:44">
      <c r="A43" s="2" t="s">
        <v>184</v>
      </c>
      <c r="C43" t="str">
        <f>IF(B43&lt;&gt;"",INDEX('Sales Orders'!C:C,MATCH('Booking Management'!B43,'Sales Orders'!A:A,0)),"")</f>
        <v/>
      </c>
      <c r="K43" s="31" t="str">
        <f t="shared" ca="1" si="4"/>
        <v/>
      </c>
      <c r="P43" t="str">
        <f t="shared" si="5"/>
        <v/>
      </c>
      <c r="Q43" t="str">
        <f>IFERROR((J43/SUMIFS('Sales Orders'!D:D,'Sales Orders'!A:A,B43))*SUMIFS('Sales Orders'!N:N,'Sales Orders'!A:A,B43),"")</f>
        <v/>
      </c>
      <c r="W43" s="31" t="str">
        <f t="shared" ca="1" si="3"/>
        <v/>
      </c>
      <c r="Z43" s="31"/>
      <c r="AG43" t="s">
        <v>157</v>
      </c>
      <c r="AH43" s="112">
        <v>44324.509456018517</v>
      </c>
      <c r="AP43" s="53"/>
      <c r="AQ43" s="53"/>
      <c r="AR43" s="53"/>
    </row>
    <row r="44" spans="1:44">
      <c r="A44" s="2" t="s">
        <v>185</v>
      </c>
      <c r="C44" t="str">
        <f>IF(B44&lt;&gt;"",INDEX('Sales Orders'!C:C,MATCH('Booking Management'!B44,'Sales Orders'!A:A,0)),"")</f>
        <v/>
      </c>
      <c r="K44" s="31" t="str">
        <f t="shared" ca="1" si="4"/>
        <v/>
      </c>
      <c r="P44" t="str">
        <f t="shared" si="5"/>
        <v/>
      </c>
      <c r="Q44" t="str">
        <f>IFERROR((J44/SUMIFS('Sales Orders'!D:D,'Sales Orders'!A:A,B44))*SUMIFS('Sales Orders'!N:N,'Sales Orders'!A:A,B44),"")</f>
        <v/>
      </c>
      <c r="W44" s="31" t="str">
        <f t="shared" ca="1" si="3"/>
        <v/>
      </c>
      <c r="Z44" s="31"/>
      <c r="AG44" t="s">
        <v>157</v>
      </c>
      <c r="AH44" s="112">
        <v>44324.525011574071</v>
      </c>
      <c r="AP44" s="53"/>
      <c r="AQ44" s="53"/>
      <c r="AR44" s="53"/>
    </row>
    <row r="45" spans="1:44">
      <c r="A45" s="2" t="s">
        <v>186</v>
      </c>
      <c r="C45" t="str">
        <f>IF(B45&lt;&gt;"",INDEX('Sales Orders'!C:C,MATCH('Booking Management'!B45,'Sales Orders'!A:A,0)),"")</f>
        <v/>
      </c>
      <c r="K45" s="31" t="str">
        <f t="shared" ca="1" si="4"/>
        <v/>
      </c>
      <c r="P45" t="str">
        <f t="shared" si="5"/>
        <v/>
      </c>
      <c r="Q45" t="str">
        <f>IFERROR((J45/SUMIFS('Sales Orders'!D:D,'Sales Orders'!A:A,B45))*SUMIFS('Sales Orders'!N:N,'Sales Orders'!A:A,B45),"")</f>
        <v/>
      </c>
      <c r="W45" s="31" t="str">
        <f t="shared" ca="1" si="3"/>
        <v/>
      </c>
      <c r="Z45" s="31"/>
      <c r="AG45" t="s">
        <v>139</v>
      </c>
      <c r="AH45" s="112">
        <v>44324.552071759259</v>
      </c>
      <c r="AP45" s="53"/>
      <c r="AQ45" s="53"/>
      <c r="AR45" s="53"/>
    </row>
    <row r="46" spans="1:44">
      <c r="A46" s="2" t="s">
        <v>187</v>
      </c>
      <c r="C46" t="str">
        <f>IF(B46&lt;&gt;"",INDEX('Sales Orders'!C:C,MATCH('Booking Management'!B46,'Sales Orders'!A:A,0)),"")</f>
        <v/>
      </c>
      <c r="K46" s="31" t="str">
        <f t="shared" ca="1" si="4"/>
        <v/>
      </c>
      <c r="P46" t="str">
        <f t="shared" si="5"/>
        <v/>
      </c>
      <c r="Q46" t="str">
        <f>IFERROR((J46/SUMIFS('Sales Orders'!D:D,'Sales Orders'!A:A,B46))*SUMIFS('Sales Orders'!N:N,'Sales Orders'!A:A,B46),"")</f>
        <v/>
      </c>
      <c r="W46" s="31" t="str">
        <f t="shared" ca="1" si="3"/>
        <v/>
      </c>
      <c r="Z46" s="31"/>
      <c r="AG46" t="s">
        <v>146</v>
      </c>
      <c r="AH46" s="112">
        <v>44324.552094907405</v>
      </c>
      <c r="AP46" s="53"/>
      <c r="AQ46" s="53"/>
      <c r="AR46" s="53"/>
    </row>
    <row r="47" spans="1:44">
      <c r="A47" s="2" t="s">
        <v>188</v>
      </c>
      <c r="B47" s="2"/>
      <c r="C47" t="str">
        <f>IF(B47&lt;&gt;"",INDEX('Sales Orders'!C:C,MATCH('Booking Management'!B47,'Sales Orders'!A:A,0)),"")</f>
        <v/>
      </c>
      <c r="K47" s="31" t="str">
        <f t="shared" ca="1" si="4"/>
        <v/>
      </c>
      <c r="P47" t="str">
        <f t="shared" si="5"/>
        <v/>
      </c>
      <c r="Q47" t="str">
        <f>IFERROR((J47/SUMIFS('Sales Orders'!D:D,'Sales Orders'!A:A,B47))*SUMIFS('Sales Orders'!N:N,'Sales Orders'!A:A,B47),"")</f>
        <v/>
      </c>
      <c r="W47" s="31" t="str">
        <f t="shared" ca="1" si="3"/>
        <v/>
      </c>
      <c r="Z47" s="31"/>
      <c r="AG47" t="s">
        <v>141</v>
      </c>
      <c r="AH47" s="112">
        <v>44324.552118055559</v>
      </c>
      <c r="AP47" s="53"/>
      <c r="AQ47" s="53"/>
      <c r="AR47" s="53"/>
    </row>
    <row r="48" spans="1:44">
      <c r="A48" s="2" t="s">
        <v>189</v>
      </c>
      <c r="B48" s="2"/>
      <c r="C48" t="str">
        <f>IF(B48&lt;&gt;"",INDEX('Sales Orders'!C:C,MATCH('Booking Management'!B48,'Sales Orders'!A:A,0)),"")</f>
        <v/>
      </c>
      <c r="K48" s="31" t="str">
        <f t="shared" ca="1" si="4"/>
        <v/>
      </c>
      <c r="P48" t="str">
        <f t="shared" si="5"/>
        <v/>
      </c>
      <c r="Q48" t="str">
        <f>IFERROR((J48/SUMIFS('Sales Orders'!D:D,'Sales Orders'!A:A,B48))*SUMIFS('Sales Orders'!N:N,'Sales Orders'!A:A,B48),"")</f>
        <v/>
      </c>
      <c r="W48" s="31" t="str">
        <f t="shared" ca="1" si="3"/>
        <v/>
      </c>
      <c r="Z48" s="31"/>
      <c r="AG48" t="s">
        <v>139</v>
      </c>
      <c r="AH48" s="112">
        <v>44324.567743055559</v>
      </c>
      <c r="AP48" s="53"/>
      <c r="AQ48" s="53"/>
      <c r="AR48" s="53"/>
    </row>
    <row r="49" spans="1:44">
      <c r="A49" s="2" t="s">
        <v>190</v>
      </c>
      <c r="B49" s="2"/>
      <c r="C49" t="str">
        <f>IF(B49&lt;&gt;"",INDEX('Sales Orders'!C:C,MATCH('Booking Management'!B49,'Sales Orders'!A:A,0)),"")</f>
        <v/>
      </c>
      <c r="K49" s="31" t="str">
        <f t="shared" ca="1" si="4"/>
        <v/>
      </c>
      <c r="P49" t="str">
        <f t="shared" si="5"/>
        <v/>
      </c>
      <c r="Q49" t="str">
        <f>IFERROR((J49/SUMIFS('Sales Orders'!D:D,'Sales Orders'!A:A,B49))*SUMIFS('Sales Orders'!N:N,'Sales Orders'!A:A,B49),"")</f>
        <v/>
      </c>
      <c r="W49" s="31" t="str">
        <f t="shared" ca="1" si="3"/>
        <v/>
      </c>
      <c r="Z49" s="31"/>
      <c r="AG49" t="s">
        <v>141</v>
      </c>
      <c r="AH49" s="112">
        <v>44324.567754629628</v>
      </c>
      <c r="AP49" s="53"/>
      <c r="AQ49" s="53"/>
      <c r="AR49" s="53"/>
    </row>
    <row r="50" spans="1:44">
      <c r="A50" s="2" t="s">
        <v>191</v>
      </c>
      <c r="C50" t="str">
        <f>IF(B50&lt;&gt;"",INDEX('Sales Orders'!C:C,MATCH('Booking Management'!B50,'Sales Orders'!A:A,0)),"")</f>
        <v/>
      </c>
      <c r="K50" s="31" t="str">
        <f t="shared" ca="1" si="4"/>
        <v/>
      </c>
      <c r="P50" t="str">
        <f t="shared" si="5"/>
        <v/>
      </c>
      <c r="Q50" t="str">
        <f>IFERROR((J50/SUMIFS('Sales Orders'!D:D,'Sales Orders'!A:A,B50))*SUMIFS('Sales Orders'!N:N,'Sales Orders'!A:A,B50),"")</f>
        <v/>
      </c>
      <c r="W50" s="31" t="str">
        <f t="shared" ca="1" si="3"/>
        <v/>
      </c>
      <c r="Z50" s="31"/>
      <c r="AG50" t="s">
        <v>139</v>
      </c>
      <c r="AH50" s="112">
        <v>44324.570520833331</v>
      </c>
      <c r="AP50" s="53"/>
      <c r="AQ50" s="53"/>
      <c r="AR50" s="53"/>
    </row>
    <row r="51" spans="1:44">
      <c r="A51" s="2" t="s">
        <v>192</v>
      </c>
      <c r="B51" s="2"/>
      <c r="C51" t="str">
        <f>IF(B51&lt;&gt;"",INDEX('Sales Orders'!C:C,MATCH('Booking Management'!B51,'Sales Orders'!A:A,0)),"")</f>
        <v/>
      </c>
      <c r="K51" s="31" t="str">
        <f t="shared" ca="1" si="4"/>
        <v/>
      </c>
      <c r="P51" t="str">
        <f t="shared" si="5"/>
        <v/>
      </c>
      <c r="Q51" t="str">
        <f>IFERROR((J51/SUMIFS('Sales Orders'!D:D,'Sales Orders'!A:A,B51))*SUMIFS('Sales Orders'!N:N,'Sales Orders'!A:A,B51),"")</f>
        <v/>
      </c>
      <c r="W51" s="31" t="str">
        <f t="shared" ca="1" si="3"/>
        <v/>
      </c>
      <c r="Z51" s="31"/>
      <c r="AG51" t="s">
        <v>146</v>
      </c>
      <c r="AH51" s="112">
        <v>44324.570520833331</v>
      </c>
      <c r="AP51" s="53"/>
      <c r="AQ51" s="53"/>
      <c r="AR51" s="53"/>
    </row>
    <row r="52" spans="1:44">
      <c r="A52" s="2" t="s">
        <v>193</v>
      </c>
      <c r="C52" t="str">
        <f>IF(B52&lt;&gt;"",INDEX('Sales Orders'!C:C,MATCH('Booking Management'!B52,'Sales Orders'!A:A,0)),"")</f>
        <v/>
      </c>
      <c r="K52" s="31" t="str">
        <f t="shared" ca="1" si="4"/>
        <v/>
      </c>
      <c r="P52" t="str">
        <f t="shared" si="5"/>
        <v/>
      </c>
      <c r="Q52" t="str">
        <f>IFERROR((J52/SUMIFS('Sales Orders'!D:D,'Sales Orders'!A:A,B52))*SUMIFS('Sales Orders'!N:N,'Sales Orders'!A:A,B52),"")</f>
        <v/>
      </c>
      <c r="W52" s="31" t="str">
        <f t="shared" ca="1" si="3"/>
        <v/>
      </c>
      <c r="Z52" s="31"/>
      <c r="AG52" t="s">
        <v>141</v>
      </c>
      <c r="AH52" s="112">
        <v>44324.570532407408</v>
      </c>
      <c r="AP52" s="53"/>
      <c r="AQ52" s="53"/>
      <c r="AR52" s="53"/>
    </row>
    <row r="53" spans="1:44">
      <c r="A53" s="2" t="s">
        <v>194</v>
      </c>
      <c r="B53" s="2"/>
      <c r="C53" t="str">
        <f>IF(B53&lt;&gt;"",INDEX('Sales Orders'!C:C,MATCH('Booking Management'!B53,'Sales Orders'!A:A,0)),"")</f>
        <v/>
      </c>
      <c r="K53" s="31" t="str">
        <f t="shared" ca="1" si="4"/>
        <v/>
      </c>
      <c r="P53" t="str">
        <f t="shared" si="5"/>
        <v/>
      </c>
      <c r="Q53" t="str">
        <f>IFERROR((J53/SUMIFS('Sales Orders'!D:D,'Sales Orders'!A:A,B53))*SUMIFS('Sales Orders'!N:N,'Sales Orders'!A:A,B53),"")</f>
        <v/>
      </c>
      <c r="W53" s="31" t="str">
        <f t="shared" ca="1" si="3"/>
        <v/>
      </c>
      <c r="Z53" s="31"/>
      <c r="AG53" t="s">
        <v>139</v>
      </c>
      <c r="AH53" s="112">
        <v>44324.570671296293</v>
      </c>
      <c r="AP53" s="53"/>
      <c r="AQ53" s="53"/>
      <c r="AR53" s="53"/>
    </row>
    <row r="54" spans="1:44">
      <c r="A54" s="2" t="s">
        <v>195</v>
      </c>
      <c r="C54" t="str">
        <f>IF(B54&lt;&gt;"",INDEX('Sales Orders'!C:C,MATCH('Booking Management'!B54,'Sales Orders'!A:A,0)),"")</f>
        <v/>
      </c>
      <c r="K54" s="31" t="str">
        <f t="shared" ca="1" si="4"/>
        <v/>
      </c>
      <c r="P54" t="str">
        <f t="shared" si="5"/>
        <v/>
      </c>
      <c r="Q54" t="str">
        <f>IFERROR((J54/SUMIFS('Sales Orders'!D:D,'Sales Orders'!A:A,B54))*SUMIFS('Sales Orders'!N:N,'Sales Orders'!A:A,B54),"")</f>
        <v/>
      </c>
      <c r="W54" s="31" t="str">
        <f t="shared" ca="1" si="3"/>
        <v/>
      </c>
      <c r="Z54" s="31"/>
      <c r="AG54" t="s">
        <v>141</v>
      </c>
      <c r="AH54" s="112">
        <v>44324.570694444446</v>
      </c>
      <c r="AP54" s="53"/>
      <c r="AQ54" s="53"/>
      <c r="AR54" s="53"/>
    </row>
    <row r="55" spans="1:44">
      <c r="A55" s="2" t="s">
        <v>196</v>
      </c>
      <c r="C55" t="str">
        <f>IF(B55&lt;&gt;"",INDEX('Sales Orders'!C:C,MATCH('Booking Management'!B55,'Sales Orders'!A:A,0)),"")</f>
        <v/>
      </c>
      <c r="K55" s="31" t="str">
        <f t="shared" ca="1" si="4"/>
        <v/>
      </c>
      <c r="P55" t="str">
        <f t="shared" si="5"/>
        <v/>
      </c>
      <c r="Q55" t="str">
        <f>IFERROR((J55/SUMIFS('Sales Orders'!D:D,'Sales Orders'!A:A,B55))*SUMIFS('Sales Orders'!N:N,'Sales Orders'!A:A,B55),"")</f>
        <v/>
      </c>
      <c r="W55" s="31" t="str">
        <f t="shared" ca="1" si="3"/>
        <v/>
      </c>
      <c r="Z55" s="31"/>
      <c r="AG55" t="s">
        <v>139</v>
      </c>
      <c r="AH55" s="112">
        <v>44324.577314814815</v>
      </c>
      <c r="AP55" s="53"/>
      <c r="AQ55" s="53"/>
      <c r="AR55" s="53"/>
    </row>
    <row r="56" spans="1:44">
      <c r="A56" s="2" t="s">
        <v>197</v>
      </c>
      <c r="C56" t="str">
        <f>IF(B56&lt;&gt;"",INDEX('Sales Orders'!C:C,MATCH('Booking Management'!B56,'Sales Orders'!A:A,0)),"")</f>
        <v/>
      </c>
      <c r="K56" s="31" t="str">
        <f t="shared" ca="1" si="4"/>
        <v/>
      </c>
      <c r="P56" t="str">
        <f t="shared" si="5"/>
        <v/>
      </c>
      <c r="Q56" t="str">
        <f>IFERROR((J56/SUMIFS('Sales Orders'!D:D,'Sales Orders'!A:A,B56))*SUMIFS('Sales Orders'!N:N,'Sales Orders'!A:A,B56),"")</f>
        <v/>
      </c>
      <c r="W56" s="31" t="str">
        <f t="shared" ca="1" si="3"/>
        <v/>
      </c>
      <c r="Z56" s="31"/>
      <c r="AG56" t="s">
        <v>141</v>
      </c>
      <c r="AH56" s="112">
        <v>44324.577326388891</v>
      </c>
      <c r="AP56" s="53"/>
      <c r="AQ56" s="53"/>
      <c r="AR56" s="53"/>
    </row>
    <row r="57" spans="1:44">
      <c r="A57" s="2" t="s">
        <v>198</v>
      </c>
      <c r="C57" t="str">
        <f>IF(B57&lt;&gt;"",INDEX('Sales Orders'!C:C,MATCH('Booking Management'!B57,'Sales Orders'!A:A,0)),"")</f>
        <v/>
      </c>
      <c r="K57" s="31" t="str">
        <f t="shared" ca="1" si="4"/>
        <v/>
      </c>
      <c r="P57" t="str">
        <f t="shared" si="5"/>
        <v/>
      </c>
      <c r="Q57" t="str">
        <f>IFERROR((J57/SUMIFS('Sales Orders'!D:D,'Sales Orders'!A:A,B57))*SUMIFS('Sales Orders'!N:N,'Sales Orders'!A:A,B57),"")</f>
        <v/>
      </c>
      <c r="W57" s="31" t="str">
        <f t="shared" ca="1" si="3"/>
        <v/>
      </c>
      <c r="Z57" s="31"/>
      <c r="AG57" t="s">
        <v>139</v>
      </c>
      <c r="AH57" s="112">
        <v>44326.549050925925</v>
      </c>
      <c r="AP57" s="53"/>
      <c r="AQ57" s="53"/>
      <c r="AR57" s="53"/>
    </row>
    <row r="58" spans="1:44">
      <c r="A58" s="2" t="s">
        <v>199</v>
      </c>
      <c r="C58" t="str">
        <f>IF(B58&lt;&gt;"",INDEX('Sales Orders'!C:C,MATCH('Booking Management'!B58,'Sales Orders'!A:A,0)),"")</f>
        <v/>
      </c>
      <c r="K58" s="31" t="str">
        <f t="shared" ca="1" si="4"/>
        <v/>
      </c>
      <c r="P58" t="str">
        <f t="shared" si="5"/>
        <v/>
      </c>
      <c r="Q58" t="str">
        <f>IFERROR((J58/SUMIFS('Sales Orders'!D:D,'Sales Orders'!A:A,B58))*SUMIFS('Sales Orders'!N:N,'Sales Orders'!A:A,B58),"")</f>
        <v/>
      </c>
      <c r="W58" s="31" t="str">
        <f t="shared" ca="1" si="3"/>
        <v/>
      </c>
      <c r="Z58" s="31"/>
      <c r="AG58" t="s">
        <v>141</v>
      </c>
      <c r="AH58" s="112">
        <v>44326.549050925925</v>
      </c>
      <c r="AP58" s="53"/>
      <c r="AQ58" s="53"/>
      <c r="AR58" s="53"/>
    </row>
    <row r="59" spans="1:44">
      <c r="A59" s="2" t="s">
        <v>200</v>
      </c>
      <c r="C59" t="str">
        <f>IF(B59&lt;&gt;"",INDEX('Sales Orders'!C:C,MATCH('Booking Management'!B59,'Sales Orders'!A:A,0)),"")</f>
        <v/>
      </c>
      <c r="K59" s="31" t="str">
        <f t="shared" ca="1" si="4"/>
        <v/>
      </c>
      <c r="P59" t="str">
        <f t="shared" si="5"/>
        <v/>
      </c>
      <c r="Q59" t="str">
        <f>IFERROR((J59/SUMIFS('Sales Orders'!D:D,'Sales Orders'!A:A,B59))*SUMIFS('Sales Orders'!N:N,'Sales Orders'!A:A,B59),"")</f>
        <v/>
      </c>
      <c r="W59" s="31" t="str">
        <f t="shared" ca="1" si="3"/>
        <v/>
      </c>
      <c r="Z59" s="31"/>
      <c r="AG59" t="s">
        <v>139</v>
      </c>
      <c r="AH59" s="112">
        <v>44462.788773148146</v>
      </c>
      <c r="AP59" s="53"/>
      <c r="AQ59" s="53"/>
      <c r="AR59" s="53"/>
    </row>
    <row r="60" spans="1:44">
      <c r="A60" s="2" t="s">
        <v>201</v>
      </c>
      <c r="C60" t="str">
        <f>IF(B60&lt;&gt;"",INDEX('Sales Orders'!C:C,MATCH('Booking Management'!B60,'Sales Orders'!A:A,0)),"")</f>
        <v/>
      </c>
      <c r="K60" s="31" t="str">
        <f t="shared" ca="1" si="4"/>
        <v/>
      </c>
      <c r="P60" t="str">
        <f t="shared" si="5"/>
        <v/>
      </c>
      <c r="Q60" t="str">
        <f>IFERROR((J60/SUMIFS('Sales Orders'!D:D,'Sales Orders'!A:A,B60))*SUMIFS('Sales Orders'!N:N,'Sales Orders'!A:A,B60),"")</f>
        <v/>
      </c>
      <c r="W60" s="31" t="str">
        <f t="shared" ca="1" si="3"/>
        <v/>
      </c>
      <c r="Z60" s="31"/>
      <c r="AG60" t="s">
        <v>141</v>
      </c>
      <c r="AH60" s="112">
        <v>44462.788784722223</v>
      </c>
      <c r="AP60" s="53"/>
      <c r="AQ60" s="53"/>
      <c r="AR60" s="53"/>
    </row>
    <row r="61" spans="1:44">
      <c r="A61" s="2" t="s">
        <v>202</v>
      </c>
      <c r="C61" t="str">
        <f>IF(B61&lt;&gt;"",INDEX('Sales Orders'!C:C,MATCH('Booking Management'!B61,'Sales Orders'!A:A,0)),"")</f>
        <v/>
      </c>
      <c r="K61" s="31" t="str">
        <f t="shared" ca="1" si="4"/>
        <v/>
      </c>
      <c r="P61" t="str">
        <f t="shared" si="5"/>
        <v/>
      </c>
      <c r="Q61" t="str">
        <f>IFERROR((J61/SUMIFS('Sales Orders'!D:D,'Sales Orders'!A:A,B61))*SUMIFS('Sales Orders'!N:N,'Sales Orders'!A:A,B61),"")</f>
        <v/>
      </c>
      <c r="W61" s="31" t="str">
        <f t="shared" ca="1" si="3"/>
        <v/>
      </c>
      <c r="Z61" s="31"/>
      <c r="AG61" t="s">
        <v>139</v>
      </c>
      <c r="AH61" s="112">
        <v>44462.789814814816</v>
      </c>
      <c r="AP61" s="53"/>
      <c r="AQ61" s="53"/>
      <c r="AR61" s="53"/>
    </row>
    <row r="62" spans="1:44">
      <c r="A62" s="2" t="s">
        <v>203</v>
      </c>
      <c r="B62" s="2"/>
      <c r="C62" t="str">
        <f>IF(B62&lt;&gt;"",INDEX('Sales Orders'!C:C,MATCH('Booking Management'!B62,'Sales Orders'!A:A,0)),"")</f>
        <v/>
      </c>
      <c r="K62" s="31" t="str">
        <f t="shared" ca="1" si="4"/>
        <v/>
      </c>
      <c r="P62" t="str">
        <f t="shared" si="5"/>
        <v/>
      </c>
      <c r="Q62" t="str">
        <f>IFERROR((J62/SUMIFS('Sales Orders'!D:D,'Sales Orders'!A:A,B62))*SUMIFS('Sales Orders'!N:N,'Sales Orders'!A:A,B62),"")</f>
        <v/>
      </c>
      <c r="W62" s="31" t="str">
        <f t="shared" ca="1" si="3"/>
        <v/>
      </c>
      <c r="Z62" s="31"/>
      <c r="AG62" t="s">
        <v>141</v>
      </c>
      <c r="AH62" s="112">
        <v>44462.789849537039</v>
      </c>
      <c r="AP62" s="53"/>
      <c r="AQ62" s="53"/>
      <c r="AR62" s="53"/>
    </row>
    <row r="63" spans="1:44">
      <c r="A63" s="2" t="s">
        <v>204</v>
      </c>
      <c r="B63" s="2"/>
      <c r="C63" t="str">
        <f>IF(B63&lt;&gt;"",INDEX('Sales Orders'!C:C,MATCH('Booking Management'!B63,'Sales Orders'!A:A,0)),"")</f>
        <v/>
      </c>
      <c r="K63" s="31" t="str">
        <f t="shared" ca="1" si="4"/>
        <v/>
      </c>
      <c r="P63" t="str">
        <f t="shared" si="5"/>
        <v/>
      </c>
      <c r="Q63" t="str">
        <f>IFERROR((J63/SUMIFS('Sales Orders'!D:D,'Sales Orders'!A:A,B63))*SUMIFS('Sales Orders'!N:N,'Sales Orders'!A:A,B63),"")</f>
        <v/>
      </c>
      <c r="W63" s="31" t="str">
        <f t="shared" ca="1" si="3"/>
        <v/>
      </c>
      <c r="Z63" s="31"/>
      <c r="AG63" t="s">
        <v>157</v>
      </c>
      <c r="AH63" s="112">
        <v>44463.726168981484</v>
      </c>
      <c r="AP63" s="53"/>
      <c r="AQ63" s="53"/>
      <c r="AR63" s="53"/>
    </row>
    <row r="64" spans="1:44">
      <c r="A64" s="2" t="s">
        <v>205</v>
      </c>
      <c r="B64" s="2"/>
      <c r="C64" t="str">
        <f>IF(B64&lt;&gt;"",INDEX('Sales Orders'!C:C,MATCH('Booking Management'!B64,'Sales Orders'!A:A,0)),"")</f>
        <v/>
      </c>
      <c r="K64" s="31" t="str">
        <f t="shared" ca="1" si="4"/>
        <v/>
      </c>
      <c r="P64" t="str">
        <f t="shared" si="5"/>
        <v/>
      </c>
      <c r="Q64" t="str">
        <f>IFERROR((J64/SUMIFS('Sales Orders'!D:D,'Sales Orders'!A:A,B64))*SUMIFS('Sales Orders'!N:N,'Sales Orders'!A:A,B64),"")</f>
        <v/>
      </c>
      <c r="W64" s="31" t="str">
        <f t="shared" ca="1" si="3"/>
        <v/>
      </c>
      <c r="Z64" s="31"/>
      <c r="AG64" t="s">
        <v>157</v>
      </c>
      <c r="AH64" s="112">
        <v>44463.738935185182</v>
      </c>
      <c r="AP64" s="53"/>
      <c r="AQ64" s="53"/>
      <c r="AR64" s="53"/>
    </row>
    <row r="65" spans="1:44">
      <c r="A65" s="2" t="s">
        <v>206</v>
      </c>
      <c r="B65" s="2"/>
      <c r="C65" t="str">
        <f>IF(B65&lt;&gt;"",INDEX('Sales Orders'!C:C,MATCH('Booking Management'!B65,'Sales Orders'!A:A,0)),"")</f>
        <v/>
      </c>
      <c r="K65" s="31" t="str">
        <f t="shared" ca="1" si="4"/>
        <v/>
      </c>
      <c r="P65" t="str">
        <f t="shared" si="5"/>
        <v/>
      </c>
      <c r="Q65" t="str">
        <f>IFERROR((J65/SUMIFS('Sales Orders'!D:D,'Sales Orders'!A:A,B65))*SUMIFS('Sales Orders'!N:N,'Sales Orders'!A:A,B65),"")</f>
        <v/>
      </c>
      <c r="W65" s="31" t="str">
        <f t="shared" ca="1" si="3"/>
        <v/>
      </c>
      <c r="Z65" s="31"/>
      <c r="AG65" t="s">
        <v>139</v>
      </c>
      <c r="AH65" s="112">
        <v>44520.701226851852</v>
      </c>
      <c r="AP65" s="53"/>
      <c r="AQ65" s="53"/>
      <c r="AR65" s="53"/>
    </row>
    <row r="66" spans="1:44">
      <c r="A66" s="2" t="s">
        <v>207</v>
      </c>
      <c r="B66" s="2"/>
      <c r="C66" t="str">
        <f>IF(B66&lt;&gt;"",INDEX('Sales Orders'!C:C,MATCH('Booking Management'!B66,'Sales Orders'!A:A,0)),"")</f>
        <v/>
      </c>
      <c r="K66" s="31" t="str">
        <f t="shared" ca="1" si="4"/>
        <v/>
      </c>
      <c r="P66" t="str">
        <f t="shared" si="5"/>
        <v/>
      </c>
      <c r="Q66" t="str">
        <f>IFERROR((J66/SUMIFS('Sales Orders'!D:D,'Sales Orders'!A:A,B66))*SUMIFS('Sales Orders'!N:N,'Sales Orders'!A:A,B66),"")</f>
        <v/>
      </c>
      <c r="W66" s="31" t="str">
        <f t="shared" ca="1" si="3"/>
        <v/>
      </c>
      <c r="Z66" s="31"/>
      <c r="AC66" s="14"/>
      <c r="AG66" t="s">
        <v>141</v>
      </c>
      <c r="AH66" s="112">
        <v>44520.701238425929</v>
      </c>
      <c r="AP66" s="53"/>
      <c r="AQ66" s="53"/>
      <c r="AR66" s="53"/>
    </row>
    <row r="67" spans="1:44">
      <c r="A67" s="2" t="s">
        <v>208</v>
      </c>
      <c r="C67" t="str">
        <f>IF(B67&lt;&gt;"",INDEX('Sales Orders'!C:C,MATCH('Booking Management'!B67,'Sales Orders'!A:A,0)),"")</f>
        <v/>
      </c>
      <c r="K67" s="31" t="str">
        <f t="shared" ref="K67:K130" ca="1" si="6">IF(B67&lt;&gt;"",IF(AND(OR(L67-TODAY()&lt;2,M67&lt;&gt;"yes",N67&lt;&gt;"yes",O67&lt;&gt;"yes"),S67&lt;&gt;"Used"),"Alert",""),"")</f>
        <v/>
      </c>
      <c r="P67" t="str">
        <f t="shared" si="5"/>
        <v/>
      </c>
      <c r="Q67" t="str">
        <f>IFERROR((J67/SUMIFS('Sales Orders'!D:D,'Sales Orders'!A:A,B67))*SUMIFS('Sales Orders'!N:N,'Sales Orders'!A:A,B67),"")</f>
        <v/>
      </c>
      <c r="W67" s="31" t="str">
        <f t="shared" ca="1" si="3"/>
        <v/>
      </c>
      <c r="Z67" s="31"/>
      <c r="AG67" t="s">
        <v>139</v>
      </c>
      <c r="AH67" s="112">
        <v>44520.701747685183</v>
      </c>
      <c r="AP67" s="53"/>
      <c r="AQ67" s="53"/>
      <c r="AR67" s="53"/>
    </row>
    <row r="68" spans="1:44">
      <c r="A68" s="2" t="s">
        <v>209</v>
      </c>
      <c r="C68" t="str">
        <f>IF(B68&lt;&gt;"",INDEX('Sales Orders'!C:C,MATCH('Booking Management'!B68,'Sales Orders'!A:A,0)),"")</f>
        <v/>
      </c>
      <c r="K68" s="31" t="str">
        <f t="shared" ca="1" si="6"/>
        <v/>
      </c>
      <c r="P68" t="str">
        <f t="shared" si="5"/>
        <v/>
      </c>
      <c r="Q68" t="str">
        <f>IFERROR((J68/SUMIFS('Sales Orders'!D:D,'Sales Orders'!A:A,B68))*SUMIFS('Sales Orders'!N:N,'Sales Orders'!A:A,B68),"")</f>
        <v/>
      </c>
      <c r="W68" s="31" t="str">
        <f t="shared" ca="1" si="3"/>
        <v/>
      </c>
      <c r="Z68" s="31"/>
      <c r="AG68" t="s">
        <v>141</v>
      </c>
      <c r="AH68" s="112">
        <v>44520.701805555553</v>
      </c>
      <c r="AP68" s="53"/>
      <c r="AQ68" s="53"/>
      <c r="AR68" s="53"/>
    </row>
    <row r="69" spans="1:44">
      <c r="A69" s="2" t="s">
        <v>210</v>
      </c>
      <c r="B69" s="2"/>
      <c r="C69" t="str">
        <f>IF(B69&lt;&gt;"",INDEX('Sales Orders'!C:C,MATCH('Booking Management'!B69,'Sales Orders'!A:A,0)),"")</f>
        <v/>
      </c>
      <c r="K69" s="31" t="str">
        <f t="shared" ca="1" si="6"/>
        <v/>
      </c>
      <c r="P69" t="str">
        <f t="shared" si="5"/>
        <v/>
      </c>
      <c r="Q69" t="str">
        <f>IFERROR((J69/SUMIFS('Sales Orders'!D:D,'Sales Orders'!A:A,B69))*SUMIFS('Sales Orders'!N:N,'Sales Orders'!A:A,B69),"")</f>
        <v/>
      </c>
      <c r="W69" s="31" t="str">
        <f t="shared" ca="1" si="3"/>
        <v/>
      </c>
      <c r="Z69" s="31"/>
      <c r="AG69" t="s">
        <v>157</v>
      </c>
      <c r="AH69" s="112">
        <v>44724.752106481479</v>
      </c>
      <c r="AP69" s="53"/>
      <c r="AQ69" s="53"/>
      <c r="AR69" s="53"/>
    </row>
    <row r="70" spans="1:44">
      <c r="A70" s="2" t="s">
        <v>211</v>
      </c>
      <c r="C70" t="str">
        <f>IF(B70&lt;&gt;"",INDEX('Sales Orders'!C:C,MATCH('Booking Management'!B70,'Sales Orders'!A:A,0)),"")</f>
        <v/>
      </c>
      <c r="K70" s="31" t="str">
        <f t="shared" ca="1" si="6"/>
        <v/>
      </c>
      <c r="P70" t="str">
        <f t="shared" si="5"/>
        <v/>
      </c>
      <c r="Q70" t="str">
        <f>IFERROR((J70/SUMIFS('Sales Orders'!D:D,'Sales Orders'!A:A,B70))*SUMIFS('Sales Orders'!N:N,'Sales Orders'!A:A,B70),"")</f>
        <v/>
      </c>
      <c r="W70" s="31" t="str">
        <f t="shared" ca="1" si="3"/>
        <v/>
      </c>
      <c r="Z70" s="31"/>
      <c r="AG70" t="s">
        <v>157</v>
      </c>
      <c r="AH70" s="112">
        <v>44724.754247685189</v>
      </c>
      <c r="AP70" s="53"/>
      <c r="AQ70" s="53"/>
      <c r="AR70" s="53"/>
    </row>
    <row r="71" spans="1:44">
      <c r="A71" s="2" t="s">
        <v>212</v>
      </c>
      <c r="B71" s="2"/>
      <c r="C71" t="str">
        <f>IF(B71&lt;&gt;"",INDEX('Sales Orders'!C:C,MATCH('Booking Management'!B71,'Sales Orders'!A:A,0)),"")</f>
        <v/>
      </c>
      <c r="K71" s="31" t="str">
        <f t="shared" ca="1" si="6"/>
        <v/>
      </c>
      <c r="P71" t="str">
        <f t="shared" si="5"/>
        <v/>
      </c>
      <c r="Q71" t="str">
        <f>IFERROR((J71/SUMIFS('Sales Orders'!D:D,'Sales Orders'!A:A,B71))*SUMIFS('Sales Orders'!N:N,'Sales Orders'!A:A,B71),"")</f>
        <v/>
      </c>
      <c r="W71" s="31" t="str">
        <f t="shared" ref="W71:W134" ca="1" si="7">IF(T71&lt;&gt;"",IF(X71="Yes","NO",IF((TODAY()-V71)&gt;6,"YES","NO")),"")</f>
        <v/>
      </c>
      <c r="Z71" s="31"/>
      <c r="AG71" t="s">
        <v>139</v>
      </c>
      <c r="AH71" s="112">
        <v>44767.648009259261</v>
      </c>
      <c r="AP71" s="53"/>
      <c r="AQ71" s="53"/>
      <c r="AR71" s="53"/>
    </row>
    <row r="72" spans="1:44">
      <c r="A72" s="2" t="s">
        <v>213</v>
      </c>
      <c r="B72" s="2"/>
      <c r="C72" t="str">
        <f>IF(B72&lt;&gt;"",INDEX('Sales Orders'!C:C,MATCH('Booking Management'!B72,'Sales Orders'!A:A,0)),"")</f>
        <v/>
      </c>
      <c r="K72" s="31" t="str">
        <f t="shared" ca="1" si="6"/>
        <v/>
      </c>
      <c r="P72" t="str">
        <f t="shared" si="5"/>
        <v/>
      </c>
      <c r="Q72" t="str">
        <f>IFERROR((J72/SUMIFS('Sales Orders'!D:D,'Sales Orders'!A:A,B72))*SUMIFS('Sales Orders'!N:N,'Sales Orders'!A:A,B72),"")</f>
        <v/>
      </c>
      <c r="W72" s="31" t="str">
        <f t="shared" ca="1" si="7"/>
        <v/>
      </c>
      <c r="Z72" s="31"/>
      <c r="AG72" t="s">
        <v>141</v>
      </c>
      <c r="AH72" s="112">
        <v>44767.648009259261</v>
      </c>
      <c r="AP72" s="53"/>
      <c r="AQ72" s="53"/>
      <c r="AR72" s="53"/>
    </row>
    <row r="73" spans="1:44">
      <c r="A73" s="2" t="s">
        <v>214</v>
      </c>
      <c r="B73" s="2"/>
      <c r="C73" t="str">
        <f>IF(B73&lt;&gt;"",INDEX('Sales Orders'!C:C,MATCH('Booking Management'!B73,'Sales Orders'!A:A,0)),"")</f>
        <v/>
      </c>
      <c r="K73" s="31" t="str">
        <f t="shared" ca="1" si="6"/>
        <v/>
      </c>
      <c r="P73" t="str">
        <f t="shared" si="5"/>
        <v/>
      </c>
      <c r="Q73" t="str">
        <f>IFERROR((J73/SUMIFS('Sales Orders'!D:D,'Sales Orders'!A:A,B73))*SUMIFS('Sales Orders'!N:N,'Sales Orders'!A:A,B73),"")</f>
        <v/>
      </c>
      <c r="W73" s="31" t="str">
        <f t="shared" ca="1" si="7"/>
        <v/>
      </c>
      <c r="Z73" s="31"/>
      <c r="AG73" t="s">
        <v>139</v>
      </c>
      <c r="AH73" s="112">
        <v>44767.648182870369</v>
      </c>
      <c r="AP73" s="53"/>
      <c r="AQ73" s="53"/>
      <c r="AR73" s="53"/>
    </row>
    <row r="74" spans="1:44">
      <c r="A74" s="2" t="s">
        <v>215</v>
      </c>
      <c r="C74" t="str">
        <f>IF(B74&lt;&gt;"",INDEX('Sales Orders'!C:C,MATCH('Booking Management'!B74,'Sales Orders'!A:A,0)),"")</f>
        <v/>
      </c>
      <c r="K74" s="31" t="str">
        <f t="shared" ca="1" si="6"/>
        <v/>
      </c>
      <c r="P74" t="str">
        <f t="shared" si="5"/>
        <v/>
      </c>
      <c r="Q74" t="str">
        <f>IFERROR((J74/SUMIFS('Sales Orders'!D:D,'Sales Orders'!A:A,B74))*SUMIFS('Sales Orders'!N:N,'Sales Orders'!A:A,B74),"")</f>
        <v/>
      </c>
      <c r="W74" s="31" t="str">
        <f t="shared" ca="1" si="7"/>
        <v/>
      </c>
      <c r="Z74" s="31"/>
      <c r="AG74" t="s">
        <v>141</v>
      </c>
      <c r="AH74" s="112">
        <v>44767.648194444446</v>
      </c>
      <c r="AP74" s="53"/>
      <c r="AQ74" s="53"/>
      <c r="AR74" s="53"/>
    </row>
    <row r="75" spans="1:44">
      <c r="A75" s="2" t="s">
        <v>216</v>
      </c>
      <c r="C75" t="str">
        <f>IF(B75&lt;&gt;"",INDEX('Sales Orders'!C:C,MATCH('Booking Management'!B75,'Sales Orders'!A:A,0)),"")</f>
        <v/>
      </c>
      <c r="K75" s="31" t="str">
        <f t="shared" ca="1" si="6"/>
        <v/>
      </c>
      <c r="P75" t="str">
        <f t="shared" si="5"/>
        <v/>
      </c>
      <c r="Q75" t="str">
        <f>IFERROR((J75/SUMIFS('Sales Orders'!D:D,'Sales Orders'!A:A,B75))*SUMIFS('Sales Orders'!N:N,'Sales Orders'!A:A,B75),"")</f>
        <v/>
      </c>
      <c r="W75" s="31" t="str">
        <f t="shared" ca="1" si="7"/>
        <v/>
      </c>
      <c r="Z75" s="31"/>
      <c r="AG75" t="s">
        <v>157</v>
      </c>
      <c r="AH75" s="112">
        <v>44767.651620370372</v>
      </c>
      <c r="AP75" s="53"/>
      <c r="AQ75" s="53"/>
      <c r="AR75" s="53"/>
    </row>
    <row r="76" spans="1:44">
      <c r="A76" s="2" t="s">
        <v>217</v>
      </c>
      <c r="C76" t="str">
        <f>IF(B76&lt;&gt;"",INDEX('Sales Orders'!C:C,MATCH('Booking Management'!B76,'Sales Orders'!A:A,0)),"")</f>
        <v/>
      </c>
      <c r="K76" s="31" t="str">
        <f t="shared" ca="1" si="6"/>
        <v/>
      </c>
      <c r="P76" t="str">
        <f t="shared" si="5"/>
        <v/>
      </c>
      <c r="Q76" t="str">
        <f>IFERROR((J76/SUMIFS('Sales Orders'!D:D,'Sales Orders'!A:A,B76))*SUMIFS('Sales Orders'!N:N,'Sales Orders'!A:A,B76),"")</f>
        <v/>
      </c>
      <c r="W76" s="31" t="str">
        <f t="shared" ca="1" si="7"/>
        <v/>
      </c>
      <c r="Z76" s="31"/>
      <c r="AG76" t="s">
        <v>139</v>
      </c>
      <c r="AH76" s="112">
        <v>44767.65253472222</v>
      </c>
      <c r="AP76" s="53"/>
      <c r="AQ76" s="53"/>
      <c r="AR76" s="53"/>
    </row>
    <row r="77" spans="1:44">
      <c r="A77" s="2" t="s">
        <v>218</v>
      </c>
      <c r="C77" t="str">
        <f>IF(B77&lt;&gt;"",INDEX('Sales Orders'!C:C,MATCH('Booking Management'!B77,'Sales Orders'!A:A,0)),"")</f>
        <v/>
      </c>
      <c r="K77" s="31" t="str">
        <f t="shared" ca="1" si="6"/>
        <v/>
      </c>
      <c r="P77" t="str">
        <f t="shared" si="5"/>
        <v/>
      </c>
      <c r="Q77" t="str">
        <f>IFERROR((J77/SUMIFS('Sales Orders'!D:D,'Sales Orders'!A:A,B77))*SUMIFS('Sales Orders'!N:N,'Sales Orders'!A:A,B77),"")</f>
        <v/>
      </c>
      <c r="W77" s="31" t="str">
        <f t="shared" ca="1" si="7"/>
        <v/>
      </c>
      <c r="Z77" s="31"/>
      <c r="AG77" t="s">
        <v>141</v>
      </c>
      <c r="AH77" s="112">
        <v>44767.652557870373</v>
      </c>
      <c r="AP77" s="53"/>
      <c r="AQ77" s="53"/>
      <c r="AR77" s="53"/>
    </row>
    <row r="78" spans="1:44">
      <c r="A78" s="2" t="s">
        <v>219</v>
      </c>
      <c r="B78" s="2"/>
      <c r="C78" t="str">
        <f>IF(B78&lt;&gt;"",INDEX('Sales Orders'!C:C,MATCH('Booking Management'!B78,'Sales Orders'!A:A,0)),"")</f>
        <v/>
      </c>
      <c r="K78" s="31" t="str">
        <f t="shared" ca="1" si="6"/>
        <v/>
      </c>
      <c r="P78" t="str">
        <f t="shared" si="5"/>
        <v/>
      </c>
      <c r="Q78" t="str">
        <f>IFERROR((J78/SUMIFS('Sales Orders'!D:D,'Sales Orders'!A:A,B78))*SUMIFS('Sales Orders'!N:N,'Sales Orders'!A:A,B78),"")</f>
        <v/>
      </c>
      <c r="W78" s="31" t="str">
        <f t="shared" ca="1" si="7"/>
        <v/>
      </c>
      <c r="Z78" s="31"/>
      <c r="AG78" t="s">
        <v>157</v>
      </c>
      <c r="AH78" s="112">
        <v>44767.67386574074</v>
      </c>
      <c r="AP78" s="53"/>
      <c r="AQ78" s="53"/>
      <c r="AR78" s="53"/>
    </row>
    <row r="79" spans="1:44">
      <c r="A79" s="2" t="s">
        <v>220</v>
      </c>
      <c r="B79" s="2"/>
      <c r="C79" t="str">
        <f>IF(B79&lt;&gt;"",INDEX('Sales Orders'!C:C,MATCH('Booking Management'!B79,'Sales Orders'!A:A,0)),"")</f>
        <v/>
      </c>
      <c r="K79" s="31" t="str">
        <f t="shared" ca="1" si="6"/>
        <v/>
      </c>
      <c r="P79" t="str">
        <f t="shared" si="5"/>
        <v/>
      </c>
      <c r="Q79" t="str">
        <f>IFERROR((J79/SUMIFS('Sales Orders'!D:D,'Sales Orders'!A:A,B79))*SUMIFS('Sales Orders'!N:N,'Sales Orders'!A:A,B79),"")</f>
        <v/>
      </c>
      <c r="W79" s="31" t="str">
        <f t="shared" ca="1" si="7"/>
        <v/>
      </c>
      <c r="Z79" s="31"/>
      <c r="AG79" t="s">
        <v>139</v>
      </c>
      <c r="AH79" s="112">
        <v>44774.867488425924</v>
      </c>
      <c r="AP79" s="53"/>
      <c r="AQ79" s="53"/>
      <c r="AR79" s="53"/>
    </row>
    <row r="80" spans="1:44">
      <c r="A80" s="2" t="s">
        <v>221</v>
      </c>
      <c r="B80" s="2"/>
      <c r="C80" t="str">
        <f>IF(B80&lt;&gt;"",INDEX('Sales Orders'!C:C,MATCH('Booking Management'!B80,'Sales Orders'!A:A,0)),"")</f>
        <v/>
      </c>
      <c r="K80" s="31" t="str">
        <f t="shared" ca="1" si="6"/>
        <v/>
      </c>
      <c r="P80" t="str">
        <f t="shared" si="5"/>
        <v/>
      </c>
      <c r="Q80" t="str">
        <f>IFERROR((J80/SUMIFS('Sales Orders'!D:D,'Sales Orders'!A:A,B80))*SUMIFS('Sales Orders'!N:N,'Sales Orders'!A:A,B80),"")</f>
        <v/>
      </c>
      <c r="W80" s="31" t="str">
        <f t="shared" ca="1" si="7"/>
        <v/>
      </c>
      <c r="Z80" s="31"/>
      <c r="AG80" t="s">
        <v>141</v>
      </c>
      <c r="AH80" s="112">
        <v>44774.867523148147</v>
      </c>
      <c r="AP80" s="53"/>
      <c r="AQ80" s="53"/>
      <c r="AR80" s="53"/>
    </row>
    <row r="81" spans="1:44">
      <c r="A81" s="2" t="s">
        <v>222</v>
      </c>
      <c r="C81" t="str">
        <f>IF(B81&lt;&gt;"",INDEX('Sales Orders'!C:C,MATCH('Booking Management'!B81,'Sales Orders'!A:A,0)),"")</f>
        <v/>
      </c>
      <c r="K81" s="31" t="str">
        <f t="shared" ca="1" si="6"/>
        <v/>
      </c>
      <c r="P81" t="str">
        <f t="shared" si="5"/>
        <v/>
      </c>
      <c r="Q81" t="str">
        <f>IFERROR((J81/SUMIFS('Sales Orders'!D:D,'Sales Orders'!A:A,B81))*SUMIFS('Sales Orders'!N:N,'Sales Orders'!A:A,B81),"")</f>
        <v/>
      </c>
      <c r="W81" s="31" t="str">
        <f t="shared" ca="1" si="7"/>
        <v/>
      </c>
      <c r="Z81" s="31"/>
      <c r="AG81" t="s">
        <v>157</v>
      </c>
      <c r="AH81" s="112">
        <v>44774.873171296298</v>
      </c>
      <c r="AP81" s="53"/>
      <c r="AQ81" s="53"/>
      <c r="AR81" s="53"/>
    </row>
    <row r="82" spans="1:44">
      <c r="A82" s="2" t="s">
        <v>223</v>
      </c>
      <c r="B82" s="2"/>
      <c r="C82" t="str">
        <f>IF(B82&lt;&gt;"",INDEX('Sales Orders'!C:C,MATCH('Booking Management'!B82,'Sales Orders'!A:A,0)),"")</f>
        <v/>
      </c>
      <c r="K82" s="31" t="str">
        <f t="shared" ca="1" si="6"/>
        <v/>
      </c>
      <c r="P82" t="str">
        <f t="shared" si="5"/>
        <v/>
      </c>
      <c r="Q82" t="str">
        <f>IFERROR((J82/SUMIFS('Sales Orders'!D:D,'Sales Orders'!A:A,B82))*SUMIFS('Sales Orders'!N:N,'Sales Orders'!A:A,B82),"")</f>
        <v/>
      </c>
      <c r="W82" s="31" t="str">
        <f t="shared" ca="1" si="7"/>
        <v/>
      </c>
      <c r="Z82" s="31"/>
      <c r="AG82" t="s">
        <v>139</v>
      </c>
      <c r="AH82" s="112">
        <v>44778.441377314812</v>
      </c>
      <c r="AP82" s="53"/>
      <c r="AQ82" s="53"/>
      <c r="AR82" s="53"/>
    </row>
    <row r="83" spans="1:44">
      <c r="A83" s="2" t="s">
        <v>224</v>
      </c>
      <c r="B83" s="2"/>
      <c r="C83" t="str">
        <f>IF(B83&lt;&gt;"",INDEX('Sales Orders'!C:C,MATCH('Booking Management'!B83,'Sales Orders'!A:A,0)),"")</f>
        <v/>
      </c>
      <c r="K83" s="31" t="str">
        <f t="shared" ca="1" si="6"/>
        <v/>
      </c>
      <c r="P83" t="str">
        <f t="shared" si="5"/>
        <v/>
      </c>
      <c r="Q83" t="str">
        <f>IFERROR((J83/SUMIFS('Sales Orders'!D:D,'Sales Orders'!A:A,B83))*SUMIFS('Sales Orders'!N:N,'Sales Orders'!A:A,B83),"")</f>
        <v/>
      </c>
      <c r="W83" s="31" t="str">
        <f t="shared" ca="1" si="7"/>
        <v/>
      </c>
      <c r="Z83" s="31"/>
      <c r="AG83" t="s">
        <v>141</v>
      </c>
      <c r="AH83" s="112">
        <v>44778.441423611112</v>
      </c>
      <c r="AP83" s="53"/>
      <c r="AQ83" s="53"/>
      <c r="AR83" s="53"/>
    </row>
    <row r="84" spans="1:44">
      <c r="A84" s="2" t="s">
        <v>225</v>
      </c>
      <c r="B84" s="2"/>
      <c r="C84" t="str">
        <f>IF(B84&lt;&gt;"",INDEX('Sales Orders'!C:C,MATCH('Booking Management'!B84,'Sales Orders'!A:A,0)),"")</f>
        <v/>
      </c>
      <c r="K84" s="31" t="str">
        <f t="shared" ca="1" si="6"/>
        <v/>
      </c>
      <c r="P84" t="str">
        <f t="shared" si="5"/>
        <v/>
      </c>
      <c r="Q84" t="str">
        <f>IFERROR((J84/SUMIFS('Sales Orders'!D:D,'Sales Orders'!A:A,B84))*SUMIFS('Sales Orders'!N:N,'Sales Orders'!A:A,B84),"")</f>
        <v/>
      </c>
      <c r="W84" s="31" t="str">
        <f t="shared" ca="1" si="7"/>
        <v/>
      </c>
      <c r="Z84" s="31"/>
      <c r="AG84" t="s">
        <v>157</v>
      </c>
      <c r="AH84" s="112">
        <v>44798.956921296296</v>
      </c>
      <c r="AP84" s="53"/>
      <c r="AQ84" s="53"/>
      <c r="AR84" s="53"/>
    </row>
    <row r="85" spans="1:44">
      <c r="A85" s="2" t="s">
        <v>226</v>
      </c>
      <c r="B85" s="2"/>
      <c r="C85" t="str">
        <f>IF(B85&lt;&gt;"",INDEX('Sales Orders'!C:C,MATCH('Booking Management'!B85,'Sales Orders'!A:A,0)),"")</f>
        <v/>
      </c>
      <c r="K85" s="31" t="str">
        <f t="shared" ca="1" si="6"/>
        <v/>
      </c>
      <c r="M85" s="12"/>
      <c r="N85" s="12"/>
      <c r="P85" t="str">
        <f t="shared" si="5"/>
        <v/>
      </c>
      <c r="Q85" t="str">
        <f>IFERROR((J85/SUMIFS('Sales Orders'!D:D,'Sales Orders'!A:A,B85))*SUMIFS('Sales Orders'!N:N,'Sales Orders'!A:A,B85),"")</f>
        <v/>
      </c>
      <c r="U85" s="15"/>
      <c r="W85" s="31" t="str">
        <f t="shared" ca="1" si="7"/>
        <v/>
      </c>
      <c r="Z85" s="31"/>
      <c r="AG85" t="s">
        <v>157</v>
      </c>
      <c r="AH85" s="112">
        <v>44798.957280092596</v>
      </c>
      <c r="AP85" s="53"/>
      <c r="AQ85" s="53"/>
      <c r="AR85" s="53"/>
    </row>
    <row r="86" spans="1:44">
      <c r="A86" s="2" t="s">
        <v>227</v>
      </c>
      <c r="B86" s="2"/>
      <c r="C86" t="str">
        <f>IF(B86&lt;&gt;"",INDEX('Sales Orders'!C:C,MATCH('Booking Management'!B86,'Sales Orders'!A:A,0)),"")</f>
        <v/>
      </c>
      <c r="K86" s="31" t="str">
        <f t="shared" ca="1" si="6"/>
        <v/>
      </c>
      <c r="P86" t="str">
        <f t="shared" si="5"/>
        <v/>
      </c>
      <c r="Q86" t="str">
        <f>IFERROR((J86/SUMIFS('Sales Orders'!D:D,'Sales Orders'!A:A,B86))*SUMIFS('Sales Orders'!N:N,'Sales Orders'!A:A,B86),"")</f>
        <v/>
      </c>
      <c r="U86" s="15"/>
      <c r="W86" s="31" t="str">
        <f t="shared" ca="1" si="7"/>
        <v/>
      </c>
      <c r="Z86" s="31"/>
      <c r="AG86" t="s">
        <v>139</v>
      </c>
      <c r="AH86" s="112">
        <v>44817.660173611112</v>
      </c>
      <c r="AP86" s="53"/>
      <c r="AQ86" s="53"/>
      <c r="AR86" s="53"/>
    </row>
    <row r="87" spans="1:44">
      <c r="A87" s="2" t="s">
        <v>228</v>
      </c>
      <c r="B87" s="2"/>
      <c r="C87" t="str">
        <f>IF(B87&lt;&gt;"",INDEX('Sales Orders'!C:C,MATCH('Booking Management'!B87,'Sales Orders'!A:A,0)),"")</f>
        <v/>
      </c>
      <c r="K87" s="31" t="str">
        <f t="shared" ca="1" si="6"/>
        <v/>
      </c>
      <c r="P87" t="str">
        <f t="shared" si="5"/>
        <v/>
      </c>
      <c r="Q87" t="str">
        <f>IFERROR((J87/SUMIFS('Sales Orders'!D:D,'Sales Orders'!A:A,B87))*SUMIFS('Sales Orders'!N:N,'Sales Orders'!A:A,B87),"")</f>
        <v/>
      </c>
      <c r="U87" s="15"/>
      <c r="W87" s="31" t="str">
        <f t="shared" ca="1" si="7"/>
        <v/>
      </c>
      <c r="Z87" s="31"/>
      <c r="AG87" t="s">
        <v>141</v>
      </c>
      <c r="AH87" s="112">
        <v>44817.660185185188</v>
      </c>
      <c r="AP87" s="53"/>
      <c r="AQ87" s="53"/>
      <c r="AR87" s="53"/>
    </row>
    <row r="88" spans="1:44">
      <c r="A88" s="2" t="s">
        <v>229</v>
      </c>
      <c r="B88" s="2"/>
      <c r="C88" t="str">
        <f>IF(B88&lt;&gt;"",INDEX('Sales Orders'!C:C,MATCH('Booking Management'!B88,'Sales Orders'!A:A,0)),"")</f>
        <v/>
      </c>
      <c r="K88" s="31" t="str">
        <f t="shared" ca="1" si="6"/>
        <v/>
      </c>
      <c r="P88" t="str">
        <f t="shared" si="5"/>
        <v/>
      </c>
      <c r="Q88" t="str">
        <f>IFERROR((J88/SUMIFS('Sales Orders'!D:D,'Sales Orders'!A:A,B88))*SUMIFS('Sales Orders'!N:N,'Sales Orders'!A:A,B88),"")</f>
        <v/>
      </c>
      <c r="U88" s="15"/>
      <c r="W88" s="31" t="str">
        <f t="shared" ca="1" si="7"/>
        <v/>
      </c>
      <c r="Z88" s="31"/>
      <c r="AG88" t="s">
        <v>157</v>
      </c>
      <c r="AH88" s="112">
        <v>44817.788055555553</v>
      </c>
      <c r="AP88" s="53"/>
      <c r="AQ88" s="53"/>
      <c r="AR88" s="53"/>
    </row>
    <row r="89" spans="1:44">
      <c r="A89" s="2" t="s">
        <v>230</v>
      </c>
      <c r="B89" s="2"/>
      <c r="C89" t="str">
        <f>IF(B89&lt;&gt;"",INDEX('Sales Orders'!C:C,MATCH('Booking Management'!B89,'Sales Orders'!A:A,0)),"")</f>
        <v/>
      </c>
      <c r="K89" s="31" t="str">
        <f t="shared" ca="1" si="6"/>
        <v/>
      </c>
      <c r="P89" t="str">
        <f t="shared" si="5"/>
        <v/>
      </c>
      <c r="Q89" t="str">
        <f>IFERROR((J89/SUMIFS('Sales Orders'!D:D,'Sales Orders'!A:A,B89))*SUMIFS('Sales Orders'!N:N,'Sales Orders'!A:A,B89),"")</f>
        <v/>
      </c>
      <c r="U89" s="15"/>
      <c r="W89" s="31" t="str">
        <f t="shared" ca="1" si="7"/>
        <v/>
      </c>
      <c r="Z89" s="31"/>
      <c r="AG89" t="s">
        <v>139</v>
      </c>
      <c r="AH89" s="112">
        <v>44832.504548611112</v>
      </c>
      <c r="AP89" s="53"/>
      <c r="AQ89" s="53"/>
      <c r="AR89" s="53"/>
    </row>
    <row r="90" spans="1:44">
      <c r="A90" s="2" t="s">
        <v>231</v>
      </c>
      <c r="B90" s="2"/>
      <c r="C90" t="str">
        <f>IF(B90&lt;&gt;"",INDEX('Sales Orders'!C:C,MATCH('Booking Management'!B90,'Sales Orders'!A:A,0)),"")</f>
        <v/>
      </c>
      <c r="K90" s="31" t="str">
        <f t="shared" ca="1" si="6"/>
        <v/>
      </c>
      <c r="P90" t="str">
        <f t="shared" si="5"/>
        <v/>
      </c>
      <c r="Q90" t="str">
        <f>IFERROR((J90/SUMIFS('Sales Orders'!D:D,'Sales Orders'!A:A,B90))*SUMIFS('Sales Orders'!N:N,'Sales Orders'!A:A,B90),"")</f>
        <v/>
      </c>
      <c r="U90" s="15"/>
      <c r="W90" s="31" t="str">
        <f t="shared" ca="1" si="7"/>
        <v/>
      </c>
      <c r="Z90" s="31"/>
      <c r="AG90" t="s">
        <v>141</v>
      </c>
      <c r="AH90" s="112">
        <v>44832.504571759258</v>
      </c>
      <c r="AP90" s="53"/>
      <c r="AQ90" s="53"/>
      <c r="AR90" s="53"/>
    </row>
    <row r="91" spans="1:44">
      <c r="A91" s="2" t="s">
        <v>232</v>
      </c>
      <c r="B91" s="2"/>
      <c r="C91" t="str">
        <f>IF(B91&lt;&gt;"",INDEX('Sales Orders'!C:C,MATCH('Booking Management'!B91,'Sales Orders'!A:A,0)),"")</f>
        <v/>
      </c>
      <c r="K91" s="31" t="str">
        <f t="shared" ca="1" si="6"/>
        <v/>
      </c>
      <c r="P91" t="str">
        <f t="shared" si="5"/>
        <v/>
      </c>
      <c r="Q91" t="str">
        <f>IFERROR((J91/SUMIFS('Sales Orders'!D:D,'Sales Orders'!A:A,B91))*SUMIFS('Sales Orders'!N:N,'Sales Orders'!A:A,B91),"")</f>
        <v/>
      </c>
      <c r="U91" s="15"/>
      <c r="W91" s="31" t="str">
        <f t="shared" ca="1" si="7"/>
        <v/>
      </c>
      <c r="Z91" s="31"/>
      <c r="AG91" t="s">
        <v>139</v>
      </c>
      <c r="AH91" s="112">
        <v>44845.513020833336</v>
      </c>
      <c r="AP91" s="53"/>
      <c r="AQ91" s="53"/>
      <c r="AR91" s="53"/>
    </row>
    <row r="92" spans="1:44">
      <c r="A92" s="2" t="s">
        <v>233</v>
      </c>
      <c r="B92" s="2"/>
      <c r="C92" t="str">
        <f>IF(B92&lt;&gt;"",INDEX('Sales Orders'!C:C,MATCH('Booking Management'!B92,'Sales Orders'!A:A,0)),"")</f>
        <v/>
      </c>
      <c r="K92" s="31" t="str">
        <f t="shared" ca="1" si="6"/>
        <v/>
      </c>
      <c r="P92" t="str">
        <f t="shared" si="5"/>
        <v/>
      </c>
      <c r="Q92" t="str">
        <f>IFERROR((J92/SUMIFS('Sales Orders'!D:D,'Sales Orders'!A:A,B92))*SUMIFS('Sales Orders'!N:N,'Sales Orders'!A:A,B92),"")</f>
        <v/>
      </c>
      <c r="U92" s="15"/>
      <c r="W92" s="31" t="str">
        <f t="shared" ca="1" si="7"/>
        <v/>
      </c>
      <c r="Z92" s="31"/>
      <c r="AG92" t="s">
        <v>141</v>
      </c>
      <c r="AH92" s="112">
        <v>44845.513032407405</v>
      </c>
      <c r="AP92" s="53"/>
      <c r="AQ92" s="53"/>
      <c r="AR92" s="53"/>
    </row>
    <row r="93" spans="1:44">
      <c r="A93" s="2" t="s">
        <v>234</v>
      </c>
      <c r="B93" s="2"/>
      <c r="C93" t="str">
        <f>IF(B93&lt;&gt;"",INDEX('Sales Orders'!C:C,MATCH('Booking Management'!B93,'Sales Orders'!A:A,0)),"")</f>
        <v/>
      </c>
      <c r="K93" s="31" t="str">
        <f t="shared" ca="1" si="6"/>
        <v/>
      </c>
      <c r="P93" t="str">
        <f t="shared" si="5"/>
        <v/>
      </c>
      <c r="Q93" t="str">
        <f>IFERROR((J93/SUMIFS('Sales Orders'!D:D,'Sales Orders'!A:A,B93))*SUMIFS('Sales Orders'!N:N,'Sales Orders'!A:A,B93),"")</f>
        <v/>
      </c>
      <c r="U93" s="15"/>
      <c r="W93" s="31" t="str">
        <f t="shared" ca="1" si="7"/>
        <v/>
      </c>
      <c r="Z93" s="31"/>
      <c r="AG93" t="s">
        <v>139</v>
      </c>
      <c r="AH93" s="112">
        <v>44851.787314814814</v>
      </c>
      <c r="AP93" s="53"/>
      <c r="AQ93" s="53"/>
      <c r="AR93" s="53"/>
    </row>
    <row r="94" spans="1:44">
      <c r="A94" s="2" t="s">
        <v>235</v>
      </c>
      <c r="B94" s="2"/>
      <c r="C94" t="str">
        <f>IF(B94&lt;&gt;"",INDEX('Sales Orders'!C:C,MATCH('Booking Management'!B94,'Sales Orders'!A:A,0)),"")</f>
        <v/>
      </c>
      <c r="K94" s="31" t="str">
        <f t="shared" ca="1" si="6"/>
        <v/>
      </c>
      <c r="P94" t="str">
        <f t="shared" si="5"/>
        <v/>
      </c>
      <c r="Q94" t="str">
        <f>IFERROR((J94/SUMIFS('Sales Orders'!D:D,'Sales Orders'!A:A,B94))*SUMIFS('Sales Orders'!N:N,'Sales Orders'!A:A,B94),"")</f>
        <v/>
      </c>
      <c r="U94" s="15"/>
      <c r="W94" s="31" t="str">
        <f t="shared" ca="1" si="7"/>
        <v/>
      </c>
      <c r="Z94" s="31"/>
      <c r="AG94" t="s">
        <v>141</v>
      </c>
      <c r="AH94" s="112">
        <v>44851.787326388891</v>
      </c>
      <c r="AP94" s="53"/>
      <c r="AQ94" s="53"/>
      <c r="AR94" s="53"/>
    </row>
    <row r="95" spans="1:44">
      <c r="A95" s="2" t="s">
        <v>236</v>
      </c>
      <c r="B95" s="2"/>
      <c r="C95" t="str">
        <f>IF(B95&lt;&gt;"",INDEX('Sales Orders'!C:C,MATCH('Booking Management'!B95,'Sales Orders'!A:A,0)),"")</f>
        <v/>
      </c>
      <c r="K95" s="31" t="str">
        <f t="shared" ca="1" si="6"/>
        <v/>
      </c>
      <c r="P95" t="str">
        <f t="shared" si="5"/>
        <v/>
      </c>
      <c r="Q95" t="str">
        <f>IFERROR((J95/SUMIFS('Sales Orders'!D:D,'Sales Orders'!A:A,B95))*SUMIFS('Sales Orders'!N:N,'Sales Orders'!A:A,B95),"")</f>
        <v/>
      </c>
      <c r="U95" s="15"/>
      <c r="W95" s="31" t="str">
        <f t="shared" ca="1" si="7"/>
        <v/>
      </c>
      <c r="Z95" s="31"/>
      <c r="AG95" t="s">
        <v>157</v>
      </c>
      <c r="AH95" s="112">
        <v>44872.813344907408</v>
      </c>
      <c r="AP95" s="53"/>
      <c r="AQ95" s="53"/>
      <c r="AR95" s="53"/>
    </row>
    <row r="96" spans="1:44">
      <c r="A96" s="2" t="s">
        <v>237</v>
      </c>
      <c r="B96" s="2"/>
      <c r="C96" t="str">
        <f>IF(B96&lt;&gt;"",INDEX('Sales Orders'!C:C,MATCH('Booking Management'!B96,'Sales Orders'!A:A,0)),"")</f>
        <v/>
      </c>
      <c r="K96" s="31" t="str">
        <f t="shared" ca="1" si="6"/>
        <v/>
      </c>
      <c r="P96" t="str">
        <f t="shared" si="5"/>
        <v/>
      </c>
      <c r="Q96" t="str">
        <f>IFERROR((J96/SUMIFS('Sales Orders'!D:D,'Sales Orders'!A:A,B96))*SUMIFS('Sales Orders'!N:N,'Sales Orders'!A:A,B96),"")</f>
        <v/>
      </c>
      <c r="U96" s="15"/>
      <c r="W96" s="31" t="str">
        <f t="shared" ca="1" si="7"/>
        <v/>
      </c>
      <c r="Z96" s="31"/>
      <c r="AG96" t="s">
        <v>157</v>
      </c>
      <c r="AH96" s="112">
        <v>44875.512025462966</v>
      </c>
      <c r="AP96" s="53"/>
      <c r="AQ96" s="53"/>
      <c r="AR96" s="53"/>
    </row>
    <row r="97" spans="1:44">
      <c r="A97" s="2" t="s">
        <v>238</v>
      </c>
      <c r="B97" s="2"/>
      <c r="C97" t="str">
        <f>IF(B97&lt;&gt;"",INDEX('Sales Orders'!C:C,MATCH('Booking Management'!B97,'Sales Orders'!A:A,0)),"")</f>
        <v/>
      </c>
      <c r="K97" s="31" t="str">
        <f t="shared" ca="1" si="6"/>
        <v/>
      </c>
      <c r="P97" t="str">
        <f t="shared" ref="P97:P160" si="8">IF(B97&lt;&gt;"",T97-L97,"")</f>
        <v/>
      </c>
      <c r="Q97" t="str">
        <f>IFERROR((J97/SUMIFS('Sales Orders'!D:D,'Sales Orders'!A:A,B97))*SUMIFS('Sales Orders'!N:N,'Sales Orders'!A:A,B97),"")</f>
        <v/>
      </c>
      <c r="W97" s="31" t="str">
        <f t="shared" ca="1" si="7"/>
        <v/>
      </c>
      <c r="Z97" s="31"/>
      <c r="AG97" t="s">
        <v>157</v>
      </c>
      <c r="AH97" s="112">
        <v>44875.610659722224</v>
      </c>
      <c r="AP97" s="53"/>
      <c r="AQ97" s="53"/>
      <c r="AR97" s="53"/>
    </row>
    <row r="98" spans="1:44">
      <c r="A98" s="2" t="s">
        <v>239</v>
      </c>
      <c r="B98" s="2"/>
      <c r="C98" t="str">
        <f>IF(B98&lt;&gt;"",INDEX('Sales Orders'!C:C,MATCH('Booking Management'!B98,'Sales Orders'!A:A,0)),"")</f>
        <v/>
      </c>
      <c r="K98" s="31" t="str">
        <f t="shared" ca="1" si="6"/>
        <v/>
      </c>
      <c r="P98" t="str">
        <f t="shared" si="8"/>
        <v/>
      </c>
      <c r="Q98" t="str">
        <f>IFERROR((J98/SUMIFS('Sales Orders'!D:D,'Sales Orders'!A:A,B98))*SUMIFS('Sales Orders'!N:N,'Sales Orders'!A:A,B98),"")</f>
        <v/>
      </c>
      <c r="U98" s="15"/>
      <c r="W98" s="31" t="str">
        <f t="shared" ca="1" si="7"/>
        <v/>
      </c>
      <c r="Z98" s="31"/>
      <c r="AG98" t="s">
        <v>139</v>
      </c>
      <c r="AH98" s="112">
        <v>44879.80810185185</v>
      </c>
      <c r="AP98" s="53"/>
      <c r="AQ98" s="53"/>
      <c r="AR98" s="53"/>
    </row>
    <row r="99" spans="1:44">
      <c r="A99" s="2" t="s">
        <v>240</v>
      </c>
      <c r="B99" s="2"/>
      <c r="C99" t="str">
        <f>IF(B99&lt;&gt;"",INDEX('Sales Orders'!C:C,MATCH('Booking Management'!B99,'Sales Orders'!A:A,0)),"")</f>
        <v/>
      </c>
      <c r="K99" s="31" t="str">
        <f t="shared" ca="1" si="6"/>
        <v/>
      </c>
      <c r="P99" t="str">
        <f t="shared" si="8"/>
        <v/>
      </c>
      <c r="Q99" t="str">
        <f>IFERROR((J99/SUMIFS('Sales Orders'!D:D,'Sales Orders'!A:A,B99))*SUMIFS('Sales Orders'!N:N,'Sales Orders'!A:A,B99),"")</f>
        <v/>
      </c>
      <c r="U99" s="15"/>
      <c r="W99" s="31" t="str">
        <f t="shared" ca="1" si="7"/>
        <v/>
      </c>
      <c r="Z99" s="31"/>
      <c r="AG99" t="s">
        <v>141</v>
      </c>
      <c r="AH99" s="112">
        <v>44879.808113425926</v>
      </c>
      <c r="AP99" s="53"/>
      <c r="AQ99" s="53"/>
      <c r="AR99" s="53"/>
    </row>
    <row r="100" spans="1:44">
      <c r="A100" s="2" t="s">
        <v>241</v>
      </c>
      <c r="B100" s="2"/>
      <c r="C100" t="str">
        <f>IF(B100&lt;&gt;"",INDEX('Sales Orders'!C:C,MATCH('Booking Management'!B100,'Sales Orders'!A:A,0)),"")</f>
        <v/>
      </c>
      <c r="K100" s="31" t="str">
        <f t="shared" ca="1" si="6"/>
        <v/>
      </c>
      <c r="P100" t="str">
        <f t="shared" si="8"/>
        <v/>
      </c>
      <c r="Q100" t="str">
        <f>IFERROR((J100/SUMIFS('Sales Orders'!D:D,'Sales Orders'!A:A,B100))*SUMIFS('Sales Orders'!N:N,'Sales Orders'!A:A,B100),"")</f>
        <v/>
      </c>
      <c r="U100" s="15"/>
      <c r="W100" s="31" t="str">
        <f t="shared" ca="1" si="7"/>
        <v/>
      </c>
      <c r="Z100" s="31"/>
      <c r="AG100" t="s">
        <v>157</v>
      </c>
      <c r="AH100" s="112">
        <v>44880.970497685186</v>
      </c>
      <c r="AP100" s="53"/>
      <c r="AQ100" s="53"/>
      <c r="AR100" s="53"/>
    </row>
    <row r="101" spans="1:44">
      <c r="A101" s="2" t="s">
        <v>242</v>
      </c>
      <c r="B101" s="2"/>
      <c r="C101" t="str">
        <f>IF(B101&lt;&gt;"",INDEX('Sales Orders'!C:C,MATCH('Booking Management'!B101,'Sales Orders'!A:A,0)),"")</f>
        <v/>
      </c>
      <c r="K101" s="31" t="str">
        <f t="shared" ca="1" si="6"/>
        <v/>
      </c>
      <c r="P101" t="str">
        <f t="shared" si="8"/>
        <v/>
      </c>
      <c r="Q101" t="str">
        <f>IFERROR((J101/SUMIFS('Sales Orders'!D:D,'Sales Orders'!A:A,B101))*SUMIFS('Sales Orders'!N:N,'Sales Orders'!A:A,B101),"")</f>
        <v/>
      </c>
      <c r="U101" s="15"/>
      <c r="W101" s="31" t="str">
        <f t="shared" ca="1" si="7"/>
        <v/>
      </c>
      <c r="Z101" s="31"/>
      <c r="AG101" t="s">
        <v>157</v>
      </c>
      <c r="AH101" s="112">
        <v>44880.973506944443</v>
      </c>
      <c r="AP101" s="53"/>
      <c r="AQ101" s="53"/>
      <c r="AR101" s="53"/>
    </row>
    <row r="102" spans="1:44">
      <c r="A102" s="2" t="s">
        <v>243</v>
      </c>
      <c r="B102" s="2"/>
      <c r="C102" t="str">
        <f>IF(B102&lt;&gt;"",INDEX('Sales Orders'!C:C,MATCH('Booking Management'!B102,'Sales Orders'!A:A,0)),"")</f>
        <v/>
      </c>
      <c r="K102" s="31" t="str">
        <f t="shared" ca="1" si="6"/>
        <v/>
      </c>
      <c r="P102" t="str">
        <f t="shared" si="8"/>
        <v/>
      </c>
      <c r="Q102" t="str">
        <f>IFERROR((J102/SUMIFS('Sales Orders'!D:D,'Sales Orders'!A:A,B102))*SUMIFS('Sales Orders'!N:N,'Sales Orders'!A:A,B102),"")</f>
        <v/>
      </c>
      <c r="U102" s="15"/>
      <c r="W102" s="31" t="str">
        <f t="shared" ca="1" si="7"/>
        <v/>
      </c>
      <c r="Z102" s="31"/>
      <c r="AG102" t="s">
        <v>139</v>
      </c>
      <c r="AH102" s="112">
        <v>44888.775451388887</v>
      </c>
      <c r="AP102" s="53"/>
      <c r="AQ102" s="53"/>
      <c r="AR102" s="53"/>
    </row>
    <row r="103" spans="1:44">
      <c r="A103" s="2" t="s">
        <v>244</v>
      </c>
      <c r="B103" s="2"/>
      <c r="C103" t="str">
        <f>IF(B103&lt;&gt;"",INDEX('Sales Orders'!C:C,MATCH('Booking Management'!B103,'Sales Orders'!A:A,0)),"")</f>
        <v/>
      </c>
      <c r="K103" s="31" t="str">
        <f t="shared" ca="1" si="6"/>
        <v/>
      </c>
      <c r="P103" t="str">
        <f t="shared" si="8"/>
        <v/>
      </c>
      <c r="Q103" t="str">
        <f>IFERROR((J103/SUMIFS('Sales Orders'!D:D,'Sales Orders'!A:A,B103))*SUMIFS('Sales Orders'!N:N,'Sales Orders'!A:A,B103),"")</f>
        <v/>
      </c>
      <c r="U103" s="15"/>
      <c r="W103" s="31" t="str">
        <f t="shared" ca="1" si="7"/>
        <v/>
      </c>
      <c r="Z103" s="31"/>
      <c r="AG103" t="s">
        <v>141</v>
      </c>
      <c r="AH103" s="112">
        <v>44888.77547453704</v>
      </c>
      <c r="AP103" s="53"/>
      <c r="AQ103" s="53"/>
      <c r="AR103" s="53"/>
    </row>
    <row r="104" spans="1:44">
      <c r="A104" s="2" t="s">
        <v>245</v>
      </c>
      <c r="B104" s="2"/>
      <c r="C104" t="str">
        <f>IF(B104&lt;&gt;"",INDEX('Sales Orders'!C:C,MATCH('Booking Management'!B104,'Sales Orders'!A:A,0)),"")</f>
        <v/>
      </c>
      <c r="K104" s="31" t="str">
        <f t="shared" ca="1" si="6"/>
        <v/>
      </c>
      <c r="P104" t="str">
        <f t="shared" si="8"/>
        <v/>
      </c>
      <c r="Q104" t="str">
        <f>IFERROR((J104/SUMIFS('Sales Orders'!D:D,'Sales Orders'!A:A,B104))*SUMIFS('Sales Orders'!N:N,'Sales Orders'!A:A,B104),"")</f>
        <v/>
      </c>
      <c r="W104" s="31" t="str">
        <f t="shared" ca="1" si="7"/>
        <v/>
      </c>
      <c r="Z104" s="31"/>
      <c r="AG104" t="s">
        <v>139</v>
      </c>
      <c r="AH104" s="112">
        <v>44896.562719907408</v>
      </c>
      <c r="AP104" s="53"/>
      <c r="AQ104" s="53"/>
      <c r="AR104" s="53"/>
    </row>
    <row r="105" spans="1:44">
      <c r="A105" s="2" t="s">
        <v>246</v>
      </c>
      <c r="B105" s="2"/>
      <c r="C105" t="str">
        <f>IF(B105&lt;&gt;"",INDEX('Sales Orders'!C:C,MATCH('Booking Management'!B105,'Sales Orders'!A:A,0)),"")</f>
        <v/>
      </c>
      <c r="K105" s="31" t="str">
        <f t="shared" ca="1" si="6"/>
        <v/>
      </c>
      <c r="P105" t="str">
        <f t="shared" si="8"/>
        <v/>
      </c>
      <c r="Q105" t="str">
        <f>IFERROR((J105/SUMIFS('Sales Orders'!D:D,'Sales Orders'!A:A,B105))*SUMIFS('Sales Orders'!N:N,'Sales Orders'!A:A,B105),"")</f>
        <v/>
      </c>
      <c r="U105" s="15"/>
      <c r="W105" s="31" t="str">
        <f t="shared" ca="1" si="7"/>
        <v/>
      </c>
      <c r="Z105" s="31"/>
      <c r="AG105" t="s">
        <v>141</v>
      </c>
      <c r="AH105" s="112">
        <v>44896.5627662037</v>
      </c>
      <c r="AP105" s="53"/>
      <c r="AQ105" s="53"/>
      <c r="AR105" s="53"/>
    </row>
    <row r="106" spans="1:44">
      <c r="A106" s="2" t="s">
        <v>247</v>
      </c>
      <c r="B106" s="2"/>
      <c r="C106" t="str">
        <f>IF(B106&lt;&gt;"",INDEX('Sales Orders'!C:C,MATCH('Booking Management'!B106,'Sales Orders'!A:A,0)),"")</f>
        <v/>
      </c>
      <c r="K106" s="31" t="str">
        <f t="shared" ca="1" si="6"/>
        <v/>
      </c>
      <c r="P106" t="str">
        <f t="shared" si="8"/>
        <v/>
      </c>
      <c r="Q106" t="str">
        <f>IFERROR((J106/SUMIFS('Sales Orders'!D:D,'Sales Orders'!A:A,B106))*SUMIFS('Sales Orders'!N:N,'Sales Orders'!A:A,B106),"")</f>
        <v/>
      </c>
      <c r="U106" s="15"/>
      <c r="W106" s="31" t="str">
        <f t="shared" ca="1" si="7"/>
        <v/>
      </c>
      <c r="Z106" s="31"/>
      <c r="AG106" t="s">
        <v>157</v>
      </c>
      <c r="AH106" s="112">
        <v>44901.873819444445</v>
      </c>
      <c r="AP106" s="53"/>
      <c r="AQ106" s="53"/>
      <c r="AR106" s="53"/>
    </row>
    <row r="107" spans="1:44">
      <c r="A107" s="2" t="s">
        <v>248</v>
      </c>
      <c r="B107" s="2"/>
      <c r="C107" t="str">
        <f>IF(B107&lt;&gt;"",INDEX('Sales Orders'!C:C,MATCH('Booking Management'!B107,'Sales Orders'!A:A,0)),"")</f>
        <v/>
      </c>
      <c r="K107" s="31" t="str">
        <f t="shared" ca="1" si="6"/>
        <v/>
      </c>
      <c r="P107" t="str">
        <f t="shared" si="8"/>
        <v/>
      </c>
      <c r="Q107" t="str">
        <f>IFERROR((J107/SUMIFS('Sales Orders'!D:D,'Sales Orders'!A:A,B107))*SUMIFS('Sales Orders'!N:N,'Sales Orders'!A:A,B107),"")</f>
        <v/>
      </c>
      <c r="U107" s="15"/>
      <c r="W107" s="31" t="str">
        <f t="shared" ca="1" si="7"/>
        <v/>
      </c>
      <c r="Z107" s="31"/>
      <c r="AG107" t="s">
        <v>139</v>
      </c>
      <c r="AH107" s="112">
        <v>44905.464999999997</v>
      </c>
      <c r="AP107" s="53"/>
      <c r="AQ107" s="53"/>
      <c r="AR107" s="53"/>
    </row>
    <row r="108" spans="1:44">
      <c r="A108" s="2" t="s">
        <v>249</v>
      </c>
      <c r="B108" s="2"/>
      <c r="C108" t="str">
        <f>IF(B108&lt;&gt;"",INDEX('Sales Orders'!C:C,MATCH('Booking Management'!B108,'Sales Orders'!A:A,0)),"")</f>
        <v/>
      </c>
      <c r="K108" s="31" t="str">
        <f t="shared" ca="1" si="6"/>
        <v/>
      </c>
      <c r="P108" t="str">
        <f t="shared" si="8"/>
        <v/>
      </c>
      <c r="Q108" t="str">
        <f>IFERROR((J108/SUMIFS('Sales Orders'!D:D,'Sales Orders'!A:A,B108))*SUMIFS('Sales Orders'!N:N,'Sales Orders'!A:A,B108),"")</f>
        <v/>
      </c>
      <c r="U108" s="15"/>
      <c r="W108" s="31" t="str">
        <f t="shared" ca="1" si="7"/>
        <v/>
      </c>
      <c r="Z108" s="31"/>
      <c r="AG108" t="s">
        <v>141</v>
      </c>
      <c r="AH108" s="112">
        <v>44905.46502314815</v>
      </c>
      <c r="AP108" s="53"/>
      <c r="AQ108" s="53"/>
      <c r="AR108" s="53"/>
    </row>
    <row r="109" spans="1:44">
      <c r="A109" s="2" t="s">
        <v>250</v>
      </c>
      <c r="B109" s="2"/>
      <c r="C109" t="str">
        <f>IF(B109&lt;&gt;"",INDEX('Sales Orders'!C:C,MATCH('Booking Management'!B109,'Sales Orders'!A:A,0)),"")</f>
        <v/>
      </c>
      <c r="K109" s="31" t="str">
        <f t="shared" ca="1" si="6"/>
        <v/>
      </c>
      <c r="P109" t="str">
        <f t="shared" si="8"/>
        <v/>
      </c>
      <c r="Q109" t="str">
        <f>IFERROR((J109/SUMIFS('Sales Orders'!D:D,'Sales Orders'!A:A,B109))*SUMIFS('Sales Orders'!N:N,'Sales Orders'!A:A,B109),"")</f>
        <v/>
      </c>
      <c r="U109" s="15"/>
      <c r="W109" s="31" t="str">
        <f t="shared" ca="1" si="7"/>
        <v/>
      </c>
      <c r="Z109" s="31"/>
      <c r="AG109" t="s">
        <v>139</v>
      </c>
      <c r="AH109" s="112">
        <v>44905.467314814814</v>
      </c>
      <c r="AP109" s="53"/>
      <c r="AQ109" s="53"/>
      <c r="AR109" s="53"/>
    </row>
    <row r="110" spans="1:44">
      <c r="A110" s="2" t="s">
        <v>251</v>
      </c>
      <c r="B110" s="2"/>
      <c r="C110" t="str">
        <f>IF(B110&lt;&gt;"",INDEX('Sales Orders'!C:C,MATCH('Booking Management'!B110,'Sales Orders'!A:A,0)),"")</f>
        <v/>
      </c>
      <c r="K110" s="31" t="str">
        <f t="shared" ca="1" si="6"/>
        <v/>
      </c>
      <c r="P110" t="str">
        <f t="shared" si="8"/>
        <v/>
      </c>
      <c r="Q110" t="str">
        <f>IFERROR((J110/SUMIFS('Sales Orders'!D:D,'Sales Orders'!A:A,B110))*SUMIFS('Sales Orders'!N:N,'Sales Orders'!A:A,B110),"")</f>
        <v/>
      </c>
      <c r="W110" s="31" t="str">
        <f t="shared" ca="1" si="7"/>
        <v/>
      </c>
      <c r="Z110" s="31"/>
      <c r="AG110" t="s">
        <v>141</v>
      </c>
      <c r="AH110" s="112">
        <v>44905.467326388891</v>
      </c>
      <c r="AP110" s="53"/>
      <c r="AQ110" s="53"/>
      <c r="AR110" s="53"/>
    </row>
    <row r="111" spans="1:44">
      <c r="A111" s="2" t="s">
        <v>252</v>
      </c>
      <c r="B111" s="2"/>
      <c r="C111" t="str">
        <f>IF(B111&lt;&gt;"",INDEX('Sales Orders'!C:C,MATCH('Booking Management'!B111,'Sales Orders'!A:A,0)),"")</f>
        <v/>
      </c>
      <c r="K111" s="31" t="str">
        <f t="shared" ca="1" si="6"/>
        <v/>
      </c>
      <c r="P111" t="str">
        <f t="shared" si="8"/>
        <v/>
      </c>
      <c r="Q111" t="str">
        <f>IFERROR((J111/SUMIFS('Sales Orders'!D:D,'Sales Orders'!A:A,B111))*SUMIFS('Sales Orders'!N:N,'Sales Orders'!A:A,B111),"")</f>
        <v/>
      </c>
      <c r="W111" s="31" t="str">
        <f t="shared" ca="1" si="7"/>
        <v/>
      </c>
      <c r="Z111" s="31"/>
      <c r="AG111" t="s">
        <v>139</v>
      </c>
      <c r="AH111" s="112">
        <v>44907.788495370369</v>
      </c>
      <c r="AP111" s="53"/>
      <c r="AQ111" s="53"/>
      <c r="AR111" s="53"/>
    </row>
    <row r="112" spans="1:44">
      <c r="A112" s="2" t="s">
        <v>253</v>
      </c>
      <c r="B112" s="2"/>
      <c r="C112" t="str">
        <f>IF(B112&lt;&gt;"",INDEX('Sales Orders'!C:C,MATCH('Booking Management'!B112,'Sales Orders'!A:A,0)),"")</f>
        <v/>
      </c>
      <c r="K112" s="31" t="str">
        <f t="shared" ca="1" si="6"/>
        <v/>
      </c>
      <c r="P112" t="str">
        <f t="shared" si="8"/>
        <v/>
      </c>
      <c r="Q112" t="str">
        <f>IFERROR((J112/SUMIFS('Sales Orders'!D:D,'Sales Orders'!A:A,B112))*SUMIFS('Sales Orders'!N:N,'Sales Orders'!A:A,B112),"")</f>
        <v/>
      </c>
      <c r="U112" s="15"/>
      <c r="W112" s="31" t="str">
        <f t="shared" ca="1" si="7"/>
        <v/>
      </c>
      <c r="Z112" s="31"/>
      <c r="AG112" t="s">
        <v>141</v>
      </c>
      <c r="AH112" s="112">
        <v>44907.788530092592</v>
      </c>
      <c r="AP112" s="53"/>
      <c r="AQ112" s="53"/>
      <c r="AR112" s="53"/>
    </row>
    <row r="113" spans="1:44">
      <c r="A113" s="2" t="s">
        <v>254</v>
      </c>
      <c r="B113" s="2"/>
      <c r="C113" t="str">
        <f>IF(B113&lt;&gt;"",INDEX('Sales Orders'!C:C,MATCH('Booking Management'!B113,'Sales Orders'!A:A,0)),"")</f>
        <v/>
      </c>
      <c r="K113" s="31" t="str">
        <f t="shared" ca="1" si="6"/>
        <v/>
      </c>
      <c r="P113" t="str">
        <f t="shared" si="8"/>
        <v/>
      </c>
      <c r="Q113" t="str">
        <f>IFERROR((J113/SUMIFS('Sales Orders'!D:D,'Sales Orders'!A:A,B113))*SUMIFS('Sales Orders'!N:N,'Sales Orders'!A:A,B113),"")</f>
        <v/>
      </c>
      <c r="U113" s="15"/>
      <c r="W113" s="31" t="str">
        <f t="shared" ca="1" si="7"/>
        <v/>
      </c>
      <c r="Z113" s="31"/>
      <c r="AG113" t="s">
        <v>157</v>
      </c>
      <c r="AH113" s="112">
        <v>44910.929293981484</v>
      </c>
      <c r="AP113" s="53"/>
      <c r="AQ113" s="53"/>
      <c r="AR113" s="53"/>
    </row>
    <row r="114" spans="1:44">
      <c r="A114" s="2" t="s">
        <v>255</v>
      </c>
      <c r="B114" s="2"/>
      <c r="C114" t="str">
        <f>IF(B114&lt;&gt;"",INDEX('Sales Orders'!C:C,MATCH('Booking Management'!B114,'Sales Orders'!A:A,0)),"")</f>
        <v/>
      </c>
      <c r="K114" s="31" t="str">
        <f t="shared" ca="1" si="6"/>
        <v/>
      </c>
      <c r="P114" t="str">
        <f t="shared" si="8"/>
        <v/>
      </c>
      <c r="Q114" t="str">
        <f>IFERROR((J114/SUMIFS('Sales Orders'!D:D,'Sales Orders'!A:A,B114))*SUMIFS('Sales Orders'!N:N,'Sales Orders'!A:A,B114),"")</f>
        <v/>
      </c>
      <c r="U114" s="15"/>
      <c r="W114" s="31" t="str">
        <f t="shared" ca="1" si="7"/>
        <v/>
      </c>
      <c r="Z114" s="31"/>
      <c r="AG114" t="s">
        <v>139</v>
      </c>
      <c r="AH114" s="112">
        <v>44917.796840277777</v>
      </c>
      <c r="AP114" s="53"/>
      <c r="AQ114" s="53"/>
      <c r="AR114" s="53"/>
    </row>
    <row r="115" spans="1:44">
      <c r="A115" s="2" t="s">
        <v>256</v>
      </c>
      <c r="B115" s="2"/>
      <c r="C115" t="str">
        <f>IF(B115&lt;&gt;"",INDEX('Sales Orders'!C:C,MATCH('Booking Management'!B115,'Sales Orders'!A:A,0)),"")</f>
        <v/>
      </c>
      <c r="K115" s="31" t="str">
        <f t="shared" ca="1" si="6"/>
        <v/>
      </c>
      <c r="P115" t="str">
        <f t="shared" si="8"/>
        <v/>
      </c>
      <c r="Q115" t="str">
        <f>IFERROR((J115/SUMIFS('Sales Orders'!D:D,'Sales Orders'!A:A,B115))*SUMIFS('Sales Orders'!N:N,'Sales Orders'!A:A,B115),"")</f>
        <v/>
      </c>
      <c r="U115" s="15"/>
      <c r="W115" s="31" t="str">
        <f t="shared" ca="1" si="7"/>
        <v/>
      </c>
      <c r="Z115" s="31"/>
      <c r="AG115" t="s">
        <v>141</v>
      </c>
      <c r="AH115" s="112">
        <v>44917.796909722223</v>
      </c>
      <c r="AP115" s="53"/>
      <c r="AQ115" s="53"/>
      <c r="AR115" s="53"/>
    </row>
    <row r="116" spans="1:44">
      <c r="A116" s="2" t="s">
        <v>257</v>
      </c>
      <c r="B116" s="2"/>
      <c r="C116" t="str">
        <f>IF(B116&lt;&gt;"",INDEX('Sales Orders'!C:C,MATCH('Booking Management'!B116,'Sales Orders'!A:A,0)),"")</f>
        <v/>
      </c>
      <c r="K116" s="31" t="str">
        <f t="shared" ca="1" si="6"/>
        <v/>
      </c>
      <c r="P116" t="str">
        <f t="shared" si="8"/>
        <v/>
      </c>
      <c r="Q116" t="str">
        <f>IFERROR((J116/SUMIFS('Sales Orders'!D:D,'Sales Orders'!A:A,B116))*SUMIFS('Sales Orders'!N:N,'Sales Orders'!A:A,B116),"")</f>
        <v/>
      </c>
      <c r="W116" s="31" t="str">
        <f t="shared" ca="1" si="7"/>
        <v/>
      </c>
      <c r="Z116" s="31"/>
      <c r="AG116" t="s">
        <v>139</v>
      </c>
      <c r="AH116" s="112">
        <v>44917.813090277778</v>
      </c>
      <c r="AP116" s="53"/>
      <c r="AQ116" s="53"/>
      <c r="AR116" s="53"/>
    </row>
    <row r="117" spans="1:44">
      <c r="A117" s="2" t="s">
        <v>258</v>
      </c>
      <c r="B117" s="2"/>
      <c r="C117" t="str">
        <f>IF(B117&lt;&gt;"",INDEX('Sales Orders'!C:C,MATCH('Booking Management'!B117,'Sales Orders'!A:A,0)),"")</f>
        <v/>
      </c>
      <c r="K117" s="31" t="str">
        <f t="shared" ca="1" si="6"/>
        <v/>
      </c>
      <c r="P117" t="str">
        <f t="shared" si="8"/>
        <v/>
      </c>
      <c r="Q117" t="str">
        <f>IFERROR((J117/SUMIFS('Sales Orders'!D:D,'Sales Orders'!A:A,B117))*SUMIFS('Sales Orders'!N:N,'Sales Orders'!A:A,B117),"")</f>
        <v/>
      </c>
      <c r="U117" s="15"/>
      <c r="W117" s="31" t="str">
        <f t="shared" ca="1" si="7"/>
        <v/>
      </c>
      <c r="Z117" s="31"/>
      <c r="AG117" t="s">
        <v>141</v>
      </c>
      <c r="AH117" s="112">
        <v>44917.813101851854</v>
      </c>
      <c r="AP117" s="53"/>
      <c r="AQ117" s="53"/>
      <c r="AR117" s="53"/>
    </row>
    <row r="118" spans="1:44">
      <c r="A118" s="2" t="s">
        <v>259</v>
      </c>
      <c r="B118" s="2"/>
      <c r="C118" t="str">
        <f>IF(B118&lt;&gt;"",INDEX('Sales Orders'!C:C,MATCH('Booking Management'!B118,'Sales Orders'!A:A,0)),"")</f>
        <v/>
      </c>
      <c r="K118" s="31" t="str">
        <f t="shared" ca="1" si="6"/>
        <v/>
      </c>
      <c r="P118" t="str">
        <f t="shared" si="8"/>
        <v/>
      </c>
      <c r="Q118" t="str">
        <f>IFERROR((J118/SUMIFS('Sales Orders'!D:D,'Sales Orders'!A:A,B118))*SUMIFS('Sales Orders'!N:N,'Sales Orders'!A:A,B118),"")</f>
        <v/>
      </c>
      <c r="U118" s="15"/>
      <c r="W118" s="31" t="str">
        <f t="shared" ca="1" si="7"/>
        <v/>
      </c>
      <c r="Z118" s="31"/>
      <c r="AG118" t="s">
        <v>139</v>
      </c>
      <c r="AH118" s="112">
        <v>44917.813310185185</v>
      </c>
      <c r="AP118" s="53"/>
      <c r="AQ118" s="53"/>
      <c r="AR118" s="53"/>
    </row>
    <row r="119" spans="1:44">
      <c r="A119" s="2" t="s">
        <v>260</v>
      </c>
      <c r="B119" s="2"/>
      <c r="C119" t="str">
        <f>IF(B119&lt;&gt;"",INDEX('Sales Orders'!C:C,MATCH('Booking Management'!B119,'Sales Orders'!A:A,0)),"")</f>
        <v/>
      </c>
      <c r="K119" s="31" t="str">
        <f t="shared" ca="1" si="6"/>
        <v/>
      </c>
      <c r="P119" t="str">
        <f t="shared" si="8"/>
        <v/>
      </c>
      <c r="Q119" t="str">
        <f>IFERROR((J119/SUMIFS('Sales Orders'!D:D,'Sales Orders'!A:A,B119))*SUMIFS('Sales Orders'!N:N,'Sales Orders'!A:A,B119),"")</f>
        <v/>
      </c>
      <c r="W119" s="31" t="str">
        <f t="shared" ca="1" si="7"/>
        <v/>
      </c>
      <c r="Z119" s="31"/>
      <c r="AG119" t="s">
        <v>141</v>
      </c>
      <c r="AH119" s="112">
        <v>44917.813333333332</v>
      </c>
      <c r="AP119" s="53"/>
      <c r="AQ119" s="53"/>
      <c r="AR119" s="53"/>
    </row>
    <row r="120" spans="1:44">
      <c r="A120" s="2" t="s">
        <v>261</v>
      </c>
      <c r="B120" s="2"/>
      <c r="C120" t="str">
        <f>IF(B120&lt;&gt;"",INDEX('Sales Orders'!C:C,MATCH('Booking Management'!B120,'Sales Orders'!A:A,0)),"")</f>
        <v/>
      </c>
      <c r="K120" s="31" t="str">
        <f t="shared" ca="1" si="6"/>
        <v/>
      </c>
      <c r="P120" t="str">
        <f t="shared" si="8"/>
        <v/>
      </c>
      <c r="Q120" t="str">
        <f>IFERROR((J120/SUMIFS('Sales Orders'!D:D,'Sales Orders'!A:A,B120))*SUMIFS('Sales Orders'!N:N,'Sales Orders'!A:A,B120),"")</f>
        <v/>
      </c>
      <c r="W120" s="31" t="str">
        <f t="shared" ca="1" si="7"/>
        <v/>
      </c>
      <c r="Z120" s="31"/>
      <c r="AG120" t="s">
        <v>157</v>
      </c>
      <c r="AH120" s="112">
        <v>44917.835497685184</v>
      </c>
      <c r="AP120" s="53"/>
      <c r="AQ120" s="53"/>
      <c r="AR120" s="53"/>
    </row>
    <row r="121" spans="1:44">
      <c r="A121" s="2" t="s">
        <v>262</v>
      </c>
      <c r="B121" s="2"/>
      <c r="C121" t="str">
        <f>IF(B121&lt;&gt;"",INDEX('Sales Orders'!C:C,MATCH('Booking Management'!B121,'Sales Orders'!A:A,0)),"")</f>
        <v/>
      </c>
      <c r="K121" s="31" t="str">
        <f t="shared" ca="1" si="6"/>
        <v/>
      </c>
      <c r="P121" t="str">
        <f t="shared" si="8"/>
        <v/>
      </c>
      <c r="Q121" t="str">
        <f>IFERROR((J121/SUMIFS('Sales Orders'!D:D,'Sales Orders'!A:A,B121))*SUMIFS('Sales Orders'!N:N,'Sales Orders'!A:A,B121),"")</f>
        <v/>
      </c>
      <c r="W121" s="31" t="str">
        <f t="shared" ca="1" si="7"/>
        <v/>
      </c>
      <c r="Z121" s="31"/>
      <c r="AG121" t="s">
        <v>139</v>
      </c>
      <c r="AH121" s="112">
        <v>44933.494155092594</v>
      </c>
      <c r="AP121" s="53"/>
      <c r="AQ121" s="53"/>
      <c r="AR121" s="53"/>
    </row>
    <row r="122" spans="1:44">
      <c r="A122" s="2" t="s">
        <v>263</v>
      </c>
      <c r="B122" s="2"/>
      <c r="C122" t="str">
        <f>IF(B122&lt;&gt;"",INDEX('Sales Orders'!C:C,MATCH('Booking Management'!B122,'Sales Orders'!A:A,0)),"")</f>
        <v/>
      </c>
      <c r="K122" s="31" t="str">
        <f t="shared" ca="1" si="6"/>
        <v/>
      </c>
      <c r="P122" t="str">
        <f t="shared" si="8"/>
        <v/>
      </c>
      <c r="Q122" t="str">
        <f>IFERROR((J122/SUMIFS('Sales Orders'!D:D,'Sales Orders'!A:A,B122))*SUMIFS('Sales Orders'!N:N,'Sales Orders'!A:A,B122),"")</f>
        <v/>
      </c>
      <c r="W122" s="31" t="str">
        <f t="shared" ca="1" si="7"/>
        <v/>
      </c>
      <c r="Z122" s="31"/>
      <c r="AG122" t="s">
        <v>141</v>
      </c>
      <c r="AH122" s="112">
        <v>44933.494166666664</v>
      </c>
      <c r="AP122" s="53"/>
      <c r="AQ122" s="53"/>
      <c r="AR122" s="53"/>
    </row>
    <row r="123" spans="1:44">
      <c r="A123" s="2" t="s">
        <v>264</v>
      </c>
      <c r="B123" s="2"/>
      <c r="C123" t="str">
        <f>IF(B123&lt;&gt;"",INDEX('Sales Orders'!C:C,MATCH('Booking Management'!B123,'Sales Orders'!A:A,0)),"")</f>
        <v/>
      </c>
      <c r="K123" s="31" t="str">
        <f t="shared" ca="1" si="6"/>
        <v/>
      </c>
      <c r="P123" t="str">
        <f t="shared" si="8"/>
        <v/>
      </c>
      <c r="Q123" t="str">
        <f>IFERROR((J123/SUMIFS('Sales Orders'!D:D,'Sales Orders'!A:A,B123))*SUMIFS('Sales Orders'!N:N,'Sales Orders'!A:A,B123),"")</f>
        <v/>
      </c>
      <c r="W123" s="31" t="str">
        <f t="shared" ca="1" si="7"/>
        <v/>
      </c>
      <c r="Z123" s="31"/>
      <c r="AG123" t="s">
        <v>139</v>
      </c>
      <c r="AH123" s="112">
        <v>44945.488634259258</v>
      </c>
      <c r="AP123" s="53"/>
      <c r="AQ123" s="53"/>
      <c r="AR123" s="53"/>
    </row>
    <row r="124" spans="1:44">
      <c r="A124" s="2" t="s">
        <v>265</v>
      </c>
      <c r="B124" s="2"/>
      <c r="C124" t="str">
        <f>IF(B124&lt;&gt;"",INDEX('Sales Orders'!C:C,MATCH('Booking Management'!B124,'Sales Orders'!A:A,0)),"")</f>
        <v/>
      </c>
      <c r="F124" s="16"/>
      <c r="K124" s="31" t="str">
        <f t="shared" ca="1" si="6"/>
        <v/>
      </c>
      <c r="P124" t="str">
        <f t="shared" si="8"/>
        <v/>
      </c>
      <c r="Q124" t="str">
        <f>IFERROR((J124/SUMIFS('Sales Orders'!D:D,'Sales Orders'!A:A,B124))*SUMIFS('Sales Orders'!N:N,'Sales Orders'!A:A,B124),"")</f>
        <v/>
      </c>
      <c r="U124" s="15"/>
      <c r="W124" s="31" t="str">
        <f t="shared" ca="1" si="7"/>
        <v/>
      </c>
      <c r="Z124" s="31"/>
      <c r="AG124" t="s">
        <v>141</v>
      </c>
      <c r="AH124" s="112">
        <v>44945.488645833335</v>
      </c>
      <c r="AP124" s="53"/>
      <c r="AQ124" s="53"/>
      <c r="AR124" s="53"/>
    </row>
    <row r="125" spans="1:44">
      <c r="A125" s="2" t="s">
        <v>266</v>
      </c>
      <c r="B125" s="2"/>
      <c r="C125" t="str">
        <f>IF(B125&lt;&gt;"",INDEX('Sales Orders'!C:C,MATCH('Booking Management'!B125,'Sales Orders'!A:A,0)),"")</f>
        <v/>
      </c>
      <c r="K125" s="31" t="str">
        <f t="shared" ca="1" si="6"/>
        <v/>
      </c>
      <c r="P125" t="str">
        <f t="shared" si="8"/>
        <v/>
      </c>
      <c r="Q125" t="str">
        <f>IFERROR((J125/SUMIFS('Sales Orders'!D:D,'Sales Orders'!A:A,B125))*SUMIFS('Sales Orders'!N:N,'Sales Orders'!A:A,B125),"")</f>
        <v/>
      </c>
      <c r="U125" s="15"/>
      <c r="W125" s="31" t="str">
        <f t="shared" ca="1" si="7"/>
        <v/>
      </c>
      <c r="Z125" s="31"/>
      <c r="AG125" t="s">
        <v>139</v>
      </c>
      <c r="AH125" s="112">
        <v>44945.488958333335</v>
      </c>
      <c r="AP125" s="53"/>
      <c r="AQ125" s="53"/>
      <c r="AR125" s="53"/>
    </row>
    <row r="126" spans="1:44">
      <c r="A126" s="2" t="s">
        <v>267</v>
      </c>
      <c r="B126" s="2"/>
      <c r="C126" t="str">
        <f>IF(B126&lt;&gt;"",INDEX('Sales Orders'!C:C,MATCH('Booking Management'!B126,'Sales Orders'!A:A,0)),"")</f>
        <v/>
      </c>
      <c r="K126" s="31" t="str">
        <f t="shared" ca="1" si="6"/>
        <v/>
      </c>
      <c r="P126" t="str">
        <f t="shared" si="8"/>
        <v/>
      </c>
      <c r="Q126" t="str">
        <f>IFERROR((J126/SUMIFS('Sales Orders'!D:D,'Sales Orders'!A:A,B126))*SUMIFS('Sales Orders'!N:N,'Sales Orders'!A:A,B126),"")</f>
        <v/>
      </c>
      <c r="U126" s="15"/>
      <c r="W126" s="31" t="str">
        <f t="shared" ca="1" si="7"/>
        <v/>
      </c>
      <c r="Z126" s="31"/>
      <c r="AG126" t="s">
        <v>141</v>
      </c>
      <c r="AH126" s="112">
        <v>44945.488969907405</v>
      </c>
      <c r="AP126" s="53"/>
      <c r="AQ126" s="53"/>
      <c r="AR126" s="53"/>
    </row>
    <row r="127" spans="1:44">
      <c r="A127" s="2" t="s">
        <v>268</v>
      </c>
      <c r="B127" s="2"/>
      <c r="C127" t="str">
        <f>IF(B127&lt;&gt;"",INDEX('Sales Orders'!C:C,MATCH('Booking Management'!B127,'Sales Orders'!A:A,0)),"")</f>
        <v/>
      </c>
      <c r="F127"/>
      <c r="K127" s="31" t="str">
        <f t="shared" ca="1" si="6"/>
        <v/>
      </c>
      <c r="P127" t="str">
        <f t="shared" si="8"/>
        <v/>
      </c>
      <c r="Q127" t="str">
        <f>IFERROR((J127/SUMIFS('Sales Orders'!D:D,'Sales Orders'!A:A,B127))*SUMIFS('Sales Orders'!N:N,'Sales Orders'!A:A,B127),"")</f>
        <v/>
      </c>
      <c r="U127" s="15"/>
      <c r="W127" s="31" t="str">
        <f t="shared" ca="1" si="7"/>
        <v/>
      </c>
      <c r="Z127" s="31"/>
      <c r="AG127" t="s">
        <v>139</v>
      </c>
      <c r="AH127" s="112">
        <v>44945.491932870369</v>
      </c>
      <c r="AP127" s="53"/>
      <c r="AQ127" s="53"/>
      <c r="AR127" s="53"/>
    </row>
    <row r="128" spans="1:44">
      <c r="A128" s="2" t="s">
        <v>269</v>
      </c>
      <c r="B128" s="2"/>
      <c r="C128" t="str">
        <f>IF(B128&lt;&gt;"",INDEX('Sales Orders'!C:C,MATCH('Booking Management'!B128,'Sales Orders'!A:A,0)),"")</f>
        <v/>
      </c>
      <c r="K128" s="31" t="str">
        <f t="shared" ca="1" si="6"/>
        <v/>
      </c>
      <c r="P128" t="str">
        <f t="shared" si="8"/>
        <v/>
      </c>
      <c r="Q128" t="str">
        <f>IFERROR((J128/SUMIFS('Sales Orders'!D:D,'Sales Orders'!A:A,B128))*SUMIFS('Sales Orders'!N:N,'Sales Orders'!A:A,B128),"")</f>
        <v/>
      </c>
      <c r="W128" s="31" t="str">
        <f t="shared" ca="1" si="7"/>
        <v/>
      </c>
      <c r="Z128" s="31"/>
      <c r="AG128" t="s">
        <v>141</v>
      </c>
      <c r="AH128" s="112">
        <v>44945.491944444446</v>
      </c>
      <c r="AP128" s="53"/>
      <c r="AQ128" s="53"/>
      <c r="AR128" s="53"/>
    </row>
    <row r="129" spans="1:44">
      <c r="A129" s="2" t="s">
        <v>270</v>
      </c>
      <c r="B129" s="2"/>
      <c r="C129" t="str">
        <f>IF(B129&lt;&gt;"",INDEX('Sales Orders'!C:C,MATCH('Booking Management'!B129,'Sales Orders'!A:A,0)),"")</f>
        <v/>
      </c>
      <c r="K129" s="31" t="str">
        <f t="shared" ca="1" si="6"/>
        <v/>
      </c>
      <c r="P129" t="str">
        <f t="shared" si="8"/>
        <v/>
      </c>
      <c r="Q129" t="str">
        <f>IFERROR((J129/SUMIFS('Sales Orders'!D:D,'Sales Orders'!A:A,B129))*SUMIFS('Sales Orders'!N:N,'Sales Orders'!A:A,B129),"")</f>
        <v/>
      </c>
      <c r="U129" s="15"/>
      <c r="W129" s="31" t="str">
        <f t="shared" ca="1" si="7"/>
        <v/>
      </c>
      <c r="Z129" s="31"/>
      <c r="AG129" t="s">
        <v>139</v>
      </c>
      <c r="AH129" s="112">
        <v>44945.493310185186</v>
      </c>
      <c r="AP129" s="53"/>
      <c r="AQ129" s="53"/>
      <c r="AR129" s="53"/>
    </row>
    <row r="130" spans="1:44">
      <c r="A130" s="2" t="s">
        <v>271</v>
      </c>
      <c r="B130" s="2"/>
      <c r="C130" t="str">
        <f>IF(B130&lt;&gt;"",INDEX('Sales Orders'!C:C,MATCH('Booking Management'!B130,'Sales Orders'!A:A,0)),"")</f>
        <v/>
      </c>
      <c r="K130" s="31" t="str">
        <f t="shared" ca="1" si="6"/>
        <v/>
      </c>
      <c r="P130" t="str">
        <f t="shared" si="8"/>
        <v/>
      </c>
      <c r="Q130" t="str">
        <f>IFERROR((J130/SUMIFS('Sales Orders'!D:D,'Sales Orders'!A:A,B130))*SUMIFS('Sales Orders'!N:N,'Sales Orders'!A:A,B130),"")</f>
        <v/>
      </c>
      <c r="U130"/>
      <c r="W130" s="31" t="str">
        <f t="shared" ca="1" si="7"/>
        <v/>
      </c>
      <c r="Z130" s="31"/>
      <c r="AG130" t="s">
        <v>141</v>
      </c>
      <c r="AH130" s="112">
        <v>44945.493344907409</v>
      </c>
      <c r="AP130" s="53"/>
      <c r="AQ130" s="53"/>
      <c r="AR130" s="53"/>
    </row>
    <row r="131" spans="1:44">
      <c r="A131" s="2" t="s">
        <v>272</v>
      </c>
      <c r="C131" t="str">
        <f>IF(B131&lt;&gt;"",INDEX('Sales Orders'!C:C,MATCH('Booking Management'!B131,'Sales Orders'!A:A,0)),"")</f>
        <v/>
      </c>
      <c r="K131" s="31" t="str">
        <f t="shared" ref="K131:K194" ca="1" si="9">IF(B131&lt;&gt;"",IF(AND(OR(L131-TODAY()&lt;2,M131&lt;&gt;"yes",N131&lt;&gt;"yes",O131&lt;&gt;"yes"),S131&lt;&gt;"Used"),"Alert",""),"")</f>
        <v/>
      </c>
      <c r="P131" t="str">
        <f t="shared" si="8"/>
        <v/>
      </c>
      <c r="Q131" t="str">
        <f>IFERROR((J131/SUMIFS('Sales Orders'!D:D,'Sales Orders'!A:A,B131))*SUMIFS('Sales Orders'!N:N,'Sales Orders'!A:A,B131),"")</f>
        <v/>
      </c>
      <c r="U131" s="15"/>
      <c r="W131" s="31" t="str">
        <f t="shared" ca="1" si="7"/>
        <v/>
      </c>
      <c r="Z131" s="31"/>
      <c r="AG131" t="s">
        <v>139</v>
      </c>
      <c r="AH131" s="112">
        <v>44948.613807870373</v>
      </c>
      <c r="AP131" s="53"/>
      <c r="AQ131" s="53"/>
      <c r="AR131" s="53"/>
    </row>
    <row r="132" spans="1:44">
      <c r="A132" s="2" t="s">
        <v>273</v>
      </c>
      <c r="B132" s="2"/>
      <c r="C132" t="str">
        <f>IF(B132&lt;&gt;"",INDEX('Sales Orders'!C:C,MATCH('Booking Management'!B132,'Sales Orders'!A:A,0)),"")</f>
        <v/>
      </c>
      <c r="K132" s="31" t="str">
        <f t="shared" ca="1" si="9"/>
        <v/>
      </c>
      <c r="P132" t="str">
        <f t="shared" si="8"/>
        <v/>
      </c>
      <c r="Q132" t="str">
        <f>IFERROR((J132/SUMIFS('Sales Orders'!D:D,'Sales Orders'!A:A,B132))*SUMIFS('Sales Orders'!N:N,'Sales Orders'!A:A,B132),"")</f>
        <v/>
      </c>
      <c r="W132" s="31" t="str">
        <f t="shared" ca="1" si="7"/>
        <v/>
      </c>
      <c r="Z132" s="31"/>
      <c r="AG132" t="s">
        <v>141</v>
      </c>
      <c r="AH132" s="112">
        <v>44948.61383101852</v>
      </c>
      <c r="AP132" s="53"/>
      <c r="AQ132" s="53"/>
      <c r="AR132" s="53"/>
    </row>
    <row r="133" spans="1:44">
      <c r="A133" s="2" t="s">
        <v>274</v>
      </c>
      <c r="B133" s="2"/>
      <c r="C133" t="str">
        <f>IF(B133&lt;&gt;"",INDEX('Sales Orders'!C:C,MATCH('Booking Management'!B133,'Sales Orders'!A:A,0)),"")</f>
        <v/>
      </c>
      <c r="K133" s="31" t="str">
        <f t="shared" ca="1" si="9"/>
        <v/>
      </c>
      <c r="P133" t="str">
        <f t="shared" si="8"/>
        <v/>
      </c>
      <c r="Q133" t="str">
        <f>IFERROR((J133/SUMIFS('Sales Orders'!D:D,'Sales Orders'!A:A,B133))*SUMIFS('Sales Orders'!N:N,'Sales Orders'!A:A,B133),"")</f>
        <v/>
      </c>
      <c r="W133" s="31" t="str">
        <f t="shared" ca="1" si="7"/>
        <v/>
      </c>
      <c r="Z133" s="31"/>
      <c r="AG133" t="s">
        <v>139</v>
      </c>
      <c r="AH133" s="112">
        <v>44948.614236111112</v>
      </c>
      <c r="AP133" s="53"/>
      <c r="AQ133" s="53"/>
      <c r="AR133" s="53"/>
    </row>
    <row r="134" spans="1:44">
      <c r="A134" s="2" t="s">
        <v>275</v>
      </c>
      <c r="B134" s="2"/>
      <c r="C134" t="str">
        <f>IF(B134&lt;&gt;"",INDEX('Sales Orders'!C:C,MATCH('Booking Management'!B134,'Sales Orders'!A:A,0)),"")</f>
        <v/>
      </c>
      <c r="K134" s="31" t="str">
        <f t="shared" ca="1" si="9"/>
        <v/>
      </c>
      <c r="P134" t="str">
        <f t="shared" si="8"/>
        <v/>
      </c>
      <c r="Q134" t="str">
        <f>IFERROR((J134/SUMIFS('Sales Orders'!D:D,'Sales Orders'!A:A,B134))*SUMIFS('Sales Orders'!N:N,'Sales Orders'!A:A,B134),"")</f>
        <v/>
      </c>
      <c r="W134" s="31" t="str">
        <f t="shared" ca="1" si="7"/>
        <v/>
      </c>
      <c r="Z134" s="31"/>
      <c r="AG134" t="s">
        <v>141</v>
      </c>
      <c r="AH134" s="112">
        <v>44948.614259259259</v>
      </c>
      <c r="AP134" s="53"/>
      <c r="AQ134" s="53"/>
      <c r="AR134" s="53"/>
    </row>
    <row r="135" spans="1:44">
      <c r="A135" s="2" t="s">
        <v>276</v>
      </c>
      <c r="B135" s="2"/>
      <c r="C135" t="str">
        <f>IF(B135&lt;&gt;"",INDEX('Sales Orders'!C:C,MATCH('Booking Management'!B135,'Sales Orders'!A:A,0)),"")</f>
        <v/>
      </c>
      <c r="K135" s="31" t="str">
        <f t="shared" ca="1" si="9"/>
        <v/>
      </c>
      <c r="P135" t="str">
        <f t="shared" si="8"/>
        <v/>
      </c>
      <c r="Q135" t="str">
        <f>IFERROR((J135/SUMIFS('Sales Orders'!D:D,'Sales Orders'!A:A,B135))*SUMIFS('Sales Orders'!N:N,'Sales Orders'!A:A,B135),"")</f>
        <v/>
      </c>
      <c r="W135" s="31" t="str">
        <f t="shared" ref="W135:W198" ca="1" si="10">IF(T135&lt;&gt;"",IF(X135="Yes","NO",IF((TODAY()-V135)&gt;6,"YES","NO")),"")</f>
        <v/>
      </c>
      <c r="Z135" s="31"/>
      <c r="AG135" t="s">
        <v>157</v>
      </c>
      <c r="AH135" s="112">
        <v>44956.471238425926</v>
      </c>
      <c r="AP135" s="53"/>
      <c r="AQ135" s="53"/>
      <c r="AR135" s="53"/>
    </row>
    <row r="136" spans="1:44">
      <c r="A136" s="2" t="s">
        <v>277</v>
      </c>
      <c r="B136" s="2"/>
      <c r="C136" t="str">
        <f>IF(B136&lt;&gt;"",INDEX('Sales Orders'!C:C,MATCH('Booking Management'!B136,'Sales Orders'!A:A,0)),"")</f>
        <v/>
      </c>
      <c r="K136" s="31" t="str">
        <f t="shared" ca="1" si="9"/>
        <v/>
      </c>
      <c r="P136" t="str">
        <f t="shared" si="8"/>
        <v/>
      </c>
      <c r="Q136" t="str">
        <f>IFERROR((J136/SUMIFS('Sales Orders'!D:D,'Sales Orders'!A:A,B136))*SUMIFS('Sales Orders'!N:N,'Sales Orders'!A:A,B136),"")</f>
        <v/>
      </c>
      <c r="W136" s="31" t="str">
        <f t="shared" ca="1" si="10"/>
        <v/>
      </c>
      <c r="Z136" s="31"/>
      <c r="AG136" t="s">
        <v>157</v>
      </c>
      <c r="AH136" s="112">
        <v>44956.471979166665</v>
      </c>
      <c r="AP136" s="53"/>
      <c r="AQ136" s="53"/>
      <c r="AR136" s="53"/>
    </row>
    <row r="137" spans="1:44">
      <c r="A137" s="2" t="s">
        <v>278</v>
      </c>
      <c r="B137" s="2"/>
      <c r="C137" t="str">
        <f>IF(B137&lt;&gt;"",INDEX('Sales Orders'!C:C,MATCH('Booking Management'!B137,'Sales Orders'!A:A,0)),"")</f>
        <v/>
      </c>
      <c r="K137" s="31" t="str">
        <f t="shared" ca="1" si="9"/>
        <v/>
      </c>
      <c r="P137" t="str">
        <f t="shared" si="8"/>
        <v/>
      </c>
      <c r="Q137" t="str">
        <f>IFERROR((J137/SUMIFS('Sales Orders'!D:D,'Sales Orders'!A:A,B137))*SUMIFS('Sales Orders'!N:N,'Sales Orders'!A:A,B137),"")</f>
        <v/>
      </c>
      <c r="W137" s="31" t="str">
        <f t="shared" ca="1" si="10"/>
        <v/>
      </c>
      <c r="Z137" s="31"/>
      <c r="AG137" t="s">
        <v>139</v>
      </c>
      <c r="AH137" s="112">
        <v>44965.598425925928</v>
      </c>
      <c r="AP137" s="53"/>
      <c r="AQ137" s="53"/>
      <c r="AR137" s="53"/>
    </row>
    <row r="138" spans="1:44">
      <c r="A138" s="2" t="s">
        <v>279</v>
      </c>
      <c r="B138" s="2"/>
      <c r="C138" t="str">
        <f>IF(B138&lt;&gt;"",INDEX('Sales Orders'!C:C,MATCH('Booking Management'!B138,'Sales Orders'!A:A,0)),"")</f>
        <v/>
      </c>
      <c r="K138" s="31" t="str">
        <f t="shared" ca="1" si="9"/>
        <v/>
      </c>
      <c r="P138" t="str">
        <f t="shared" si="8"/>
        <v/>
      </c>
      <c r="Q138" t="str">
        <f>IFERROR((J138/SUMIFS('Sales Orders'!D:D,'Sales Orders'!A:A,B138))*SUMIFS('Sales Orders'!N:N,'Sales Orders'!A:A,B138),"")</f>
        <v/>
      </c>
      <c r="W138" s="31" t="str">
        <f t="shared" ca="1" si="10"/>
        <v/>
      </c>
      <c r="Z138" s="31"/>
      <c r="AG138" t="s">
        <v>141</v>
      </c>
      <c r="AH138" s="112">
        <v>44965.598449074074</v>
      </c>
      <c r="AP138" s="53"/>
      <c r="AQ138" s="53"/>
      <c r="AR138" s="53"/>
    </row>
    <row r="139" spans="1:44">
      <c r="A139" s="2" t="s">
        <v>280</v>
      </c>
      <c r="B139" s="2"/>
      <c r="C139" t="str">
        <f>IF(B139&lt;&gt;"",INDEX('Sales Orders'!C:C,MATCH('Booking Management'!B139,'Sales Orders'!A:A,0)),"")</f>
        <v/>
      </c>
      <c r="F139"/>
      <c r="K139" s="31" t="str">
        <f t="shared" ca="1" si="9"/>
        <v/>
      </c>
      <c r="P139" t="str">
        <f t="shared" si="8"/>
        <v/>
      </c>
      <c r="Q139" t="str">
        <f>IFERROR((J139/SUMIFS('Sales Orders'!D:D,'Sales Orders'!A:A,B139))*SUMIFS('Sales Orders'!N:N,'Sales Orders'!A:A,B139),"")</f>
        <v/>
      </c>
      <c r="W139" s="31" t="str">
        <f t="shared" ca="1" si="10"/>
        <v/>
      </c>
      <c r="Z139" s="31"/>
      <c r="AG139" t="s">
        <v>157</v>
      </c>
      <c r="AH139" s="112">
        <v>44966.846990740742</v>
      </c>
      <c r="AP139" s="53"/>
      <c r="AQ139" s="53"/>
      <c r="AR139" s="53"/>
    </row>
    <row r="140" spans="1:44">
      <c r="A140" s="2" t="s">
        <v>281</v>
      </c>
      <c r="B140" s="2"/>
      <c r="C140" t="str">
        <f>IF(B140&lt;&gt;"",INDEX('Sales Orders'!C:C,MATCH('Booking Management'!B140,'Sales Orders'!A:A,0)),"")</f>
        <v/>
      </c>
      <c r="K140" s="31" t="str">
        <f t="shared" ca="1" si="9"/>
        <v/>
      </c>
      <c r="P140" t="str">
        <f t="shared" si="8"/>
        <v/>
      </c>
      <c r="Q140" t="str">
        <f>IFERROR((J140/SUMIFS('Sales Orders'!D:D,'Sales Orders'!A:A,B140))*SUMIFS('Sales Orders'!N:N,'Sales Orders'!A:A,B140),"")</f>
        <v/>
      </c>
      <c r="W140" s="31" t="str">
        <f t="shared" ca="1" si="10"/>
        <v/>
      </c>
      <c r="Z140" s="31"/>
      <c r="AG140" t="s">
        <v>139</v>
      </c>
      <c r="AH140" s="112">
        <v>44971.885844907411</v>
      </c>
      <c r="AP140" s="53"/>
      <c r="AQ140" s="53"/>
      <c r="AR140" s="53"/>
    </row>
    <row r="141" spans="1:44">
      <c r="A141" s="2" t="s">
        <v>282</v>
      </c>
      <c r="B141" s="2"/>
      <c r="C141" t="str">
        <f>IF(B141&lt;&gt;"",INDEX('Sales Orders'!C:C,MATCH('Booking Management'!B141,'Sales Orders'!A:A,0)),"")</f>
        <v/>
      </c>
      <c r="K141" s="31" t="str">
        <f t="shared" ca="1" si="9"/>
        <v/>
      </c>
      <c r="P141" t="str">
        <f t="shared" si="8"/>
        <v/>
      </c>
      <c r="Q141" t="str">
        <f>IFERROR((J141/SUMIFS('Sales Orders'!D:D,'Sales Orders'!A:A,B141))*SUMIFS('Sales Orders'!N:N,'Sales Orders'!A:A,B141),"")</f>
        <v/>
      </c>
      <c r="W141" s="31" t="str">
        <f t="shared" ca="1" si="10"/>
        <v/>
      </c>
      <c r="Z141" s="31"/>
      <c r="AG141" t="s">
        <v>141</v>
      </c>
      <c r="AH141" s="112">
        <v>44971.88585648148</v>
      </c>
      <c r="AP141" s="53"/>
      <c r="AQ141" s="53"/>
      <c r="AR141" s="53"/>
    </row>
    <row r="142" spans="1:44">
      <c r="A142" s="2" t="s">
        <v>283</v>
      </c>
      <c r="B142" s="2"/>
      <c r="C142" t="str">
        <f>IF(B142&lt;&gt;"",INDEX('Sales Orders'!C:C,MATCH('Booking Management'!B142,'Sales Orders'!A:A,0)),"")</f>
        <v/>
      </c>
      <c r="K142" s="31" t="str">
        <f t="shared" ca="1" si="9"/>
        <v/>
      </c>
      <c r="P142" t="str">
        <f t="shared" si="8"/>
        <v/>
      </c>
      <c r="Q142" t="str">
        <f>IFERROR((J142/SUMIFS('Sales Orders'!D:D,'Sales Orders'!A:A,B142))*SUMIFS('Sales Orders'!N:N,'Sales Orders'!A:A,B142),"")</f>
        <v/>
      </c>
      <c r="W142" s="31" t="str">
        <f t="shared" ca="1" si="10"/>
        <v/>
      </c>
      <c r="Z142" s="31"/>
      <c r="AG142" t="s">
        <v>157</v>
      </c>
      <c r="AH142" s="112">
        <v>44973.753541666665</v>
      </c>
      <c r="AP142" s="53"/>
      <c r="AQ142" s="53"/>
      <c r="AR142" s="53"/>
    </row>
    <row r="143" spans="1:44">
      <c r="A143" s="2" t="s">
        <v>284</v>
      </c>
      <c r="B143" s="2"/>
      <c r="C143" t="str">
        <f>IF(B143&lt;&gt;"",INDEX('Sales Orders'!C:C,MATCH('Booking Management'!B143,'Sales Orders'!A:A,0)),"")</f>
        <v/>
      </c>
      <c r="K143" s="31" t="str">
        <f t="shared" ca="1" si="9"/>
        <v/>
      </c>
      <c r="P143" t="str">
        <f t="shared" si="8"/>
        <v/>
      </c>
      <c r="Q143" t="str">
        <f>IFERROR((J143/SUMIFS('Sales Orders'!D:D,'Sales Orders'!A:A,B143))*SUMIFS('Sales Orders'!N:N,'Sales Orders'!A:A,B143),"")</f>
        <v/>
      </c>
      <c r="W143" s="31" t="str">
        <f t="shared" ca="1" si="10"/>
        <v/>
      </c>
      <c r="Z143" s="31"/>
      <c r="AG143" t="s">
        <v>139</v>
      </c>
      <c r="AH143" s="112">
        <v>44981.798402777778</v>
      </c>
      <c r="AP143" s="53"/>
      <c r="AQ143" s="53"/>
      <c r="AR143" s="53"/>
    </row>
    <row r="144" spans="1:44">
      <c r="A144" s="2" t="s">
        <v>285</v>
      </c>
      <c r="B144" s="2"/>
      <c r="C144" t="str">
        <f>IF(B144&lt;&gt;"",INDEX('Sales Orders'!C:C,MATCH('Booking Management'!B144,'Sales Orders'!A:A,0)),"")</f>
        <v/>
      </c>
      <c r="K144" s="31" t="str">
        <f t="shared" ca="1" si="9"/>
        <v/>
      </c>
      <c r="P144" t="str">
        <f t="shared" si="8"/>
        <v/>
      </c>
      <c r="Q144" t="str">
        <f>IFERROR((J144/SUMIFS('Sales Orders'!D:D,'Sales Orders'!A:A,B144))*SUMIFS('Sales Orders'!N:N,'Sales Orders'!A:A,B144),"")</f>
        <v/>
      </c>
      <c r="W144" s="31" t="str">
        <f t="shared" ca="1" si="10"/>
        <v/>
      </c>
      <c r="Z144" s="31"/>
      <c r="AG144" t="s">
        <v>141</v>
      </c>
      <c r="AH144" s="112">
        <v>44981.798414351855</v>
      </c>
      <c r="AP144" s="53"/>
      <c r="AQ144" s="53"/>
      <c r="AR144" s="53"/>
    </row>
    <row r="145" spans="1:44">
      <c r="A145" s="2" t="s">
        <v>286</v>
      </c>
      <c r="B145" s="2"/>
      <c r="C145" t="str">
        <f>IF(B145&lt;&gt;"",INDEX('Sales Orders'!C:C,MATCH('Booking Management'!B145,'Sales Orders'!A:A,0)),"")</f>
        <v/>
      </c>
      <c r="K145" s="31" t="str">
        <f t="shared" ca="1" si="9"/>
        <v/>
      </c>
      <c r="P145" t="str">
        <f t="shared" si="8"/>
        <v/>
      </c>
      <c r="Q145" t="str">
        <f>IFERROR((J145/SUMIFS('Sales Orders'!D:D,'Sales Orders'!A:A,B145))*SUMIFS('Sales Orders'!N:N,'Sales Orders'!A:A,B145),"")</f>
        <v/>
      </c>
      <c r="W145" s="31" t="str">
        <f t="shared" ca="1" si="10"/>
        <v/>
      </c>
      <c r="Z145" s="31"/>
      <c r="AG145" t="s">
        <v>139</v>
      </c>
      <c r="AH145" s="112">
        <v>45016.905891203707</v>
      </c>
      <c r="AP145" s="53"/>
      <c r="AQ145" s="53"/>
      <c r="AR145" s="53"/>
    </row>
    <row r="146" spans="1:44">
      <c r="A146" s="2" t="s">
        <v>287</v>
      </c>
      <c r="B146" s="2"/>
      <c r="C146" t="str">
        <f>IF(B146&lt;&gt;"",INDEX('Sales Orders'!C:C,MATCH('Booking Management'!B146,'Sales Orders'!A:A,0)),"")</f>
        <v/>
      </c>
      <c r="K146" s="31" t="str">
        <f t="shared" ca="1" si="9"/>
        <v/>
      </c>
      <c r="P146" t="str">
        <f t="shared" si="8"/>
        <v/>
      </c>
      <c r="Q146" t="str">
        <f>IFERROR((J146/SUMIFS('Sales Orders'!D:D,'Sales Orders'!A:A,B146))*SUMIFS('Sales Orders'!N:N,'Sales Orders'!A:A,B146),"")</f>
        <v/>
      </c>
      <c r="W146" s="31" t="str">
        <f t="shared" ca="1" si="10"/>
        <v/>
      </c>
      <c r="Z146" s="31"/>
      <c r="AG146" t="s">
        <v>141</v>
      </c>
      <c r="AH146" s="112">
        <v>45016.905902777777</v>
      </c>
      <c r="AP146" s="53"/>
      <c r="AQ146" s="53"/>
      <c r="AR146" s="53"/>
    </row>
    <row r="147" spans="1:44">
      <c r="A147" s="2" t="s">
        <v>288</v>
      </c>
      <c r="B147" s="2"/>
      <c r="C147" t="str">
        <f>IF(B147&lt;&gt;"",INDEX('Sales Orders'!C:C,MATCH('Booking Management'!B147,'Sales Orders'!A:A,0)),"")</f>
        <v/>
      </c>
      <c r="K147" s="31" t="str">
        <f t="shared" ca="1" si="9"/>
        <v/>
      </c>
      <c r="P147" t="str">
        <f t="shared" si="8"/>
        <v/>
      </c>
      <c r="Q147" t="str">
        <f>IFERROR((J147/SUMIFS('Sales Orders'!D:D,'Sales Orders'!A:A,B147))*SUMIFS('Sales Orders'!N:N,'Sales Orders'!A:A,B147),"")</f>
        <v/>
      </c>
      <c r="W147" s="31" t="str">
        <f t="shared" ca="1" si="10"/>
        <v/>
      </c>
      <c r="Z147" s="31"/>
      <c r="AG147" t="s">
        <v>157</v>
      </c>
      <c r="AH147" s="112">
        <v>45016.911678240744</v>
      </c>
      <c r="AP147" s="53"/>
      <c r="AQ147" s="53"/>
      <c r="AR147" s="53"/>
    </row>
    <row r="148" spans="1:44">
      <c r="A148" s="2" t="s">
        <v>289</v>
      </c>
      <c r="B148" s="2"/>
      <c r="C148" t="str">
        <f>IF(B148&lt;&gt;"",INDEX('Sales Orders'!C:C,MATCH('Booking Management'!B148,'Sales Orders'!A:A,0)),"")</f>
        <v/>
      </c>
      <c r="K148" s="31" t="str">
        <f t="shared" ca="1" si="9"/>
        <v/>
      </c>
      <c r="P148" t="str">
        <f t="shared" si="8"/>
        <v/>
      </c>
      <c r="Q148" t="str">
        <f>IFERROR((J148/SUMIFS('Sales Orders'!D:D,'Sales Orders'!A:A,B148))*SUMIFS('Sales Orders'!N:N,'Sales Orders'!A:A,B148),"")</f>
        <v/>
      </c>
      <c r="W148" s="31" t="str">
        <f t="shared" ca="1" si="10"/>
        <v/>
      </c>
      <c r="Z148" s="31"/>
      <c r="AG148" t="s">
        <v>139</v>
      </c>
      <c r="AH148" s="112">
        <v>45028.789189814815</v>
      </c>
      <c r="AP148" s="53"/>
      <c r="AQ148" s="53"/>
      <c r="AR148" s="53"/>
    </row>
    <row r="149" spans="1:44">
      <c r="A149" s="2" t="s">
        <v>290</v>
      </c>
      <c r="B149" s="47"/>
      <c r="C149" t="str">
        <f>IF(B149&lt;&gt;"",INDEX('Sales Orders'!C:C,MATCH('Booking Management'!B149,'Sales Orders'!A:A,0)),"")</f>
        <v/>
      </c>
      <c r="F149" s="44"/>
      <c r="G149" s="44"/>
      <c r="H149" s="44"/>
      <c r="K149" s="31" t="str">
        <f t="shared" ca="1" si="9"/>
        <v/>
      </c>
      <c r="M149" s="45"/>
      <c r="P149" t="str">
        <f t="shared" si="8"/>
        <v/>
      </c>
      <c r="Q149" t="str">
        <f>IFERROR((J149/SUMIFS('Sales Orders'!D:D,'Sales Orders'!A:A,B149))*SUMIFS('Sales Orders'!N:N,'Sales Orders'!A:A,B149),"")</f>
        <v/>
      </c>
      <c r="W149" s="31" t="str">
        <f t="shared" ca="1" si="10"/>
        <v/>
      </c>
      <c r="Z149" s="31"/>
      <c r="AG149" t="s">
        <v>141</v>
      </c>
      <c r="AH149" s="112">
        <v>45028.789224537039</v>
      </c>
      <c r="AP149" s="53"/>
      <c r="AQ149" s="53"/>
      <c r="AR149" s="53"/>
    </row>
    <row r="150" spans="1:44">
      <c r="A150" s="2" t="s">
        <v>291</v>
      </c>
      <c r="B150" s="2"/>
      <c r="C150" t="str">
        <f>IF(B150&lt;&gt;"",INDEX('Sales Orders'!C:C,MATCH('Booking Management'!B150,'Sales Orders'!A:A,0)),"")</f>
        <v/>
      </c>
      <c r="K150" s="31" t="str">
        <f t="shared" ca="1" si="9"/>
        <v/>
      </c>
      <c r="P150" t="str">
        <f t="shared" si="8"/>
        <v/>
      </c>
      <c r="Q150" t="str">
        <f>IFERROR((J150/SUMIFS('Sales Orders'!D:D,'Sales Orders'!A:A,B150))*SUMIFS('Sales Orders'!N:N,'Sales Orders'!A:A,B150),"")</f>
        <v/>
      </c>
      <c r="W150" s="31" t="str">
        <f t="shared" ca="1" si="10"/>
        <v/>
      </c>
      <c r="Z150" s="31"/>
      <c r="AG150" t="s">
        <v>157</v>
      </c>
      <c r="AH150" s="112">
        <v>45043.774965277778</v>
      </c>
      <c r="AP150" s="53"/>
      <c r="AQ150" s="53"/>
      <c r="AR150" s="53"/>
    </row>
    <row r="151" spans="1:44">
      <c r="A151" s="2" t="s">
        <v>292</v>
      </c>
      <c r="B151" s="2"/>
      <c r="C151" t="str">
        <f>IF(B151&lt;&gt;"",INDEX('Sales Orders'!C:C,MATCH('Booking Management'!B151,'Sales Orders'!A:A,0)),"")</f>
        <v/>
      </c>
      <c r="K151" s="31" t="str">
        <f t="shared" ca="1" si="9"/>
        <v/>
      </c>
      <c r="P151" t="str">
        <f t="shared" si="8"/>
        <v/>
      </c>
      <c r="Q151" t="str">
        <f>IFERROR((J151/SUMIFS('Sales Orders'!D:D,'Sales Orders'!A:A,B151))*SUMIFS('Sales Orders'!N:N,'Sales Orders'!A:A,B151),"")</f>
        <v/>
      </c>
      <c r="W151" s="31" t="str">
        <f t="shared" ca="1" si="10"/>
        <v/>
      </c>
      <c r="Z151" s="31"/>
      <c r="AG151" t="s">
        <v>139</v>
      </c>
      <c r="AH151" s="112">
        <v>45056.706365740742</v>
      </c>
      <c r="AP151" s="53"/>
      <c r="AQ151" s="53"/>
      <c r="AR151" s="53"/>
    </row>
    <row r="152" spans="1:44">
      <c r="A152" s="2" t="s">
        <v>414</v>
      </c>
      <c r="B152" s="2"/>
      <c r="C152" t="str">
        <f>IF(B152&lt;&gt;"",INDEX('Sales Orders'!C:C,MATCH('Booking Management'!B152,'Sales Orders'!A:A,0)),"")</f>
        <v/>
      </c>
      <c r="K152" s="31" t="str">
        <f t="shared" ca="1" si="9"/>
        <v/>
      </c>
      <c r="P152" t="str">
        <f t="shared" si="8"/>
        <v/>
      </c>
      <c r="Q152" t="str">
        <f>IFERROR((J152/SUMIFS('Sales Orders'!D:D,'Sales Orders'!A:A,B152))*SUMIFS('Sales Orders'!N:N,'Sales Orders'!A:A,B152),"")</f>
        <v/>
      </c>
      <c r="W152" s="31" t="str">
        <f t="shared" ca="1" si="10"/>
        <v/>
      </c>
      <c r="Z152" s="31"/>
      <c r="AA152" s="4"/>
      <c r="AG152" t="s">
        <v>141</v>
      </c>
      <c r="AH152" s="112">
        <v>45056.706377314818</v>
      </c>
      <c r="AP152" s="53"/>
      <c r="AQ152" s="53"/>
      <c r="AR152" s="53"/>
    </row>
    <row r="153" spans="1:44">
      <c r="A153" s="2" t="s">
        <v>415</v>
      </c>
      <c r="B153" s="2"/>
      <c r="C153" t="str">
        <f>IF(B153&lt;&gt;"",INDEX('Sales Orders'!C:C,MATCH('Booking Management'!B153,'Sales Orders'!A:A,0)),"")</f>
        <v/>
      </c>
      <c r="K153" s="31" t="str">
        <f t="shared" ca="1" si="9"/>
        <v/>
      </c>
      <c r="P153" t="str">
        <f t="shared" si="8"/>
        <v/>
      </c>
      <c r="Q153" t="str">
        <f>IFERROR((J153/SUMIFS('Sales Orders'!D:D,'Sales Orders'!A:A,B153))*SUMIFS('Sales Orders'!N:N,'Sales Orders'!A:A,B153),"")</f>
        <v/>
      </c>
      <c r="U153"/>
      <c r="W153" s="31" t="str">
        <f t="shared" ca="1" si="10"/>
        <v/>
      </c>
      <c r="Z153" s="31"/>
      <c r="AG153" t="s">
        <v>157</v>
      </c>
      <c r="AH153" s="112">
        <v>45056.805231481485</v>
      </c>
      <c r="AP153" s="53"/>
      <c r="AQ153" s="53"/>
      <c r="AR153" s="53"/>
    </row>
    <row r="154" spans="1:44">
      <c r="A154" s="2" t="s">
        <v>416</v>
      </c>
      <c r="B154" s="2"/>
      <c r="C154" t="str">
        <f>IF(B154&lt;&gt;"",INDEX('Sales Orders'!C:C,MATCH('Booking Management'!B154,'Sales Orders'!A:A,0)),"")</f>
        <v/>
      </c>
      <c r="K154" s="31" t="str">
        <f t="shared" ca="1" si="9"/>
        <v/>
      </c>
      <c r="P154" t="str">
        <f t="shared" si="8"/>
        <v/>
      </c>
      <c r="Q154" t="str">
        <f>IFERROR((J154/SUMIFS('Sales Orders'!D:D,'Sales Orders'!A:A,B154))*SUMIFS('Sales Orders'!N:N,'Sales Orders'!A:A,B154),"")</f>
        <v/>
      </c>
      <c r="W154" s="31" t="str">
        <f t="shared" ca="1" si="10"/>
        <v/>
      </c>
      <c r="Z154" s="31"/>
      <c r="AG154" t="s">
        <v>139</v>
      </c>
      <c r="AH154" s="112">
        <v>45068.668113425927</v>
      </c>
      <c r="AP154" s="53"/>
      <c r="AQ154" s="53"/>
      <c r="AR154" s="53"/>
    </row>
    <row r="155" spans="1:44">
      <c r="A155" s="2" t="s">
        <v>417</v>
      </c>
      <c r="B155" s="2"/>
      <c r="C155" t="str">
        <f>IF(B155&lt;&gt;"",INDEX('Sales Orders'!C:C,MATCH('Booking Management'!B155,'Sales Orders'!A:A,0)),"")</f>
        <v/>
      </c>
      <c r="K155" s="31" t="str">
        <f t="shared" ca="1" si="9"/>
        <v/>
      </c>
      <c r="P155" t="str">
        <f t="shared" si="8"/>
        <v/>
      </c>
      <c r="Q155" t="str">
        <f>IFERROR((J155/SUMIFS('Sales Orders'!D:D,'Sales Orders'!A:A,B155))*SUMIFS('Sales Orders'!N:N,'Sales Orders'!A:A,B155),"")</f>
        <v/>
      </c>
      <c r="W155" s="31" t="str">
        <f t="shared" ca="1" si="10"/>
        <v/>
      </c>
      <c r="Z155" s="31"/>
      <c r="AG155" t="s">
        <v>141</v>
      </c>
      <c r="AH155" s="112">
        <v>45068.668124999997</v>
      </c>
      <c r="AP155" s="53"/>
      <c r="AQ155" s="53"/>
      <c r="AR155" s="53"/>
    </row>
    <row r="156" spans="1:44">
      <c r="A156" s="2" t="s">
        <v>418</v>
      </c>
      <c r="B156" s="2"/>
      <c r="C156" t="str">
        <f>IF(B156&lt;&gt;"",INDEX('Sales Orders'!C:C,MATCH('Booking Management'!B156,'Sales Orders'!A:A,0)),"")</f>
        <v/>
      </c>
      <c r="K156" s="31" t="str">
        <f t="shared" ca="1" si="9"/>
        <v/>
      </c>
      <c r="P156" t="str">
        <f t="shared" si="8"/>
        <v/>
      </c>
      <c r="Q156" t="str">
        <f>IFERROR((J156/SUMIFS('Sales Orders'!D:D,'Sales Orders'!A:A,B156))*SUMIFS('Sales Orders'!N:N,'Sales Orders'!A:A,B156),"")</f>
        <v/>
      </c>
      <c r="W156" s="31" t="str">
        <f t="shared" ca="1" si="10"/>
        <v/>
      </c>
      <c r="Z156" s="31"/>
      <c r="AG156" t="s">
        <v>139</v>
      </c>
      <c r="AH156" s="112">
        <v>45068.668368055558</v>
      </c>
      <c r="AP156" s="53"/>
      <c r="AQ156" s="53"/>
      <c r="AR156" s="53"/>
    </row>
    <row r="157" spans="1:44">
      <c r="A157" s="2" t="s">
        <v>419</v>
      </c>
      <c r="B157" s="2"/>
      <c r="C157" t="str">
        <f>IF(B157&lt;&gt;"",INDEX('Sales Orders'!C:C,MATCH('Booking Management'!B157,'Sales Orders'!A:A,0)),"")</f>
        <v/>
      </c>
      <c r="K157" s="31" t="str">
        <f t="shared" ca="1" si="9"/>
        <v/>
      </c>
      <c r="P157" t="str">
        <f t="shared" si="8"/>
        <v/>
      </c>
      <c r="Q157" t="str">
        <f>IFERROR((J157/SUMIFS('Sales Orders'!D:D,'Sales Orders'!A:A,B157))*SUMIFS('Sales Orders'!N:N,'Sales Orders'!A:A,B157),"")</f>
        <v/>
      </c>
      <c r="W157" s="31" t="str">
        <f t="shared" ca="1" si="10"/>
        <v/>
      </c>
      <c r="Z157" s="31"/>
      <c r="AG157" t="s">
        <v>141</v>
      </c>
      <c r="AH157" s="112">
        <v>45068.668368055558</v>
      </c>
      <c r="AP157" s="53"/>
      <c r="AQ157" s="53"/>
      <c r="AR157" s="53"/>
    </row>
    <row r="158" spans="1:44">
      <c r="A158" s="2" t="s">
        <v>420</v>
      </c>
      <c r="B158" s="2"/>
      <c r="C158" t="str">
        <f>IF(B158&lt;&gt;"",INDEX('Sales Orders'!C:C,MATCH('Booking Management'!B158,'Sales Orders'!A:A,0)),"")</f>
        <v/>
      </c>
      <c r="K158" s="31" t="str">
        <f t="shared" ca="1" si="9"/>
        <v/>
      </c>
      <c r="P158" t="str">
        <f t="shared" si="8"/>
        <v/>
      </c>
      <c r="Q158" t="str">
        <f>IFERROR((J158/SUMIFS('Sales Orders'!D:D,'Sales Orders'!A:A,B158))*SUMIFS('Sales Orders'!N:N,'Sales Orders'!A:A,B158),"")</f>
        <v/>
      </c>
      <c r="W158" s="31" t="str">
        <f t="shared" ca="1" si="10"/>
        <v/>
      </c>
      <c r="Z158" s="31"/>
      <c r="AG158" t="s">
        <v>157</v>
      </c>
      <c r="AH158" s="112">
        <v>45068.700138888889</v>
      </c>
      <c r="AP158" s="53"/>
      <c r="AQ158" s="53"/>
      <c r="AR158" s="53"/>
    </row>
    <row r="159" spans="1:44">
      <c r="A159" s="2" t="s">
        <v>421</v>
      </c>
      <c r="B159" s="2"/>
      <c r="C159" t="str">
        <f>IF(B159&lt;&gt;"",INDEX('Sales Orders'!C:C,MATCH('Booking Management'!B159,'Sales Orders'!A:A,0)),"")</f>
        <v/>
      </c>
      <c r="K159" s="31" t="str">
        <f t="shared" ca="1" si="9"/>
        <v/>
      </c>
      <c r="P159" t="str">
        <f t="shared" si="8"/>
        <v/>
      </c>
      <c r="Q159" t="str">
        <f>IFERROR((J159/SUMIFS('Sales Orders'!D:D,'Sales Orders'!A:A,B159))*SUMIFS('Sales Orders'!N:N,'Sales Orders'!A:A,B159),"")</f>
        <v/>
      </c>
      <c r="W159" s="31" t="str">
        <f t="shared" ca="1" si="10"/>
        <v/>
      </c>
      <c r="Z159" s="31"/>
      <c r="AG159" t="s">
        <v>157</v>
      </c>
      <c r="AH159" s="112">
        <v>45068.704363425924</v>
      </c>
      <c r="AP159" s="53"/>
      <c r="AQ159" s="53"/>
      <c r="AR159" s="53"/>
    </row>
    <row r="160" spans="1:44">
      <c r="A160" s="2" t="s">
        <v>422</v>
      </c>
      <c r="B160" s="2"/>
      <c r="C160" t="str">
        <f>IF(B160&lt;&gt;"",INDEX('Sales Orders'!C:C,MATCH('Booking Management'!B160,'Sales Orders'!A:A,0)),"")</f>
        <v/>
      </c>
      <c r="K160" s="31" t="str">
        <f t="shared" ca="1" si="9"/>
        <v/>
      </c>
      <c r="P160" t="str">
        <f t="shared" si="8"/>
        <v/>
      </c>
      <c r="Q160" t="str">
        <f>IFERROR((J160/SUMIFS('Sales Orders'!D:D,'Sales Orders'!A:A,B160))*SUMIFS('Sales Orders'!N:N,'Sales Orders'!A:A,B160),"")</f>
        <v/>
      </c>
      <c r="W160" s="31" t="str">
        <f t="shared" ca="1" si="10"/>
        <v/>
      </c>
      <c r="Z160" s="31"/>
      <c r="AG160" t="s">
        <v>139</v>
      </c>
      <c r="AH160" s="112">
        <v>45068.759652777779</v>
      </c>
      <c r="AP160" s="53"/>
      <c r="AQ160" s="53"/>
      <c r="AR160" s="53"/>
    </row>
    <row r="161" spans="1:44">
      <c r="A161" s="2" t="s">
        <v>423</v>
      </c>
      <c r="B161" s="2"/>
      <c r="C161" t="str">
        <f>IF(B161&lt;&gt;"",INDEX('Sales Orders'!C:C,MATCH('Booking Management'!B161,'Sales Orders'!A:A,0)),"")</f>
        <v/>
      </c>
      <c r="K161" s="31" t="str">
        <f t="shared" ca="1" si="9"/>
        <v/>
      </c>
      <c r="P161" t="str">
        <f t="shared" ref="P161:P224" si="11">IF(B161&lt;&gt;"",T161-L161,"")</f>
        <v/>
      </c>
      <c r="Q161" t="str">
        <f>IFERROR((J161/SUMIFS('Sales Orders'!D:D,'Sales Orders'!A:A,B161))*SUMIFS('Sales Orders'!N:N,'Sales Orders'!A:A,B161),"")</f>
        <v/>
      </c>
      <c r="W161" s="31" t="str">
        <f t="shared" ca="1" si="10"/>
        <v/>
      </c>
      <c r="Z161" s="31"/>
      <c r="AG161" t="s">
        <v>141</v>
      </c>
      <c r="AH161" s="112">
        <v>45068.759675925925</v>
      </c>
      <c r="AP161" s="53"/>
      <c r="AQ161" s="53"/>
      <c r="AR161" s="53"/>
    </row>
    <row r="162" spans="1:44">
      <c r="A162" s="2" t="s">
        <v>424</v>
      </c>
      <c r="B162" s="2"/>
      <c r="C162" t="str">
        <f>IF(B162&lt;&gt;"",INDEX('Sales Orders'!C:C,MATCH('Booking Management'!B162,'Sales Orders'!A:A,0)),"")</f>
        <v/>
      </c>
      <c r="K162" s="31" t="str">
        <f t="shared" ca="1" si="9"/>
        <v/>
      </c>
      <c r="P162" t="str">
        <f t="shared" si="11"/>
        <v/>
      </c>
      <c r="Q162" t="str">
        <f>IFERROR((J162/SUMIFS('Sales Orders'!D:D,'Sales Orders'!A:A,B162))*SUMIFS('Sales Orders'!N:N,'Sales Orders'!A:A,B162),"")</f>
        <v/>
      </c>
      <c r="W162" s="31" t="str">
        <f t="shared" ca="1" si="10"/>
        <v/>
      </c>
      <c r="Z162" s="31"/>
      <c r="AG162" t="s">
        <v>157</v>
      </c>
      <c r="AH162" s="112">
        <v>45072.670358796298</v>
      </c>
      <c r="AP162" s="53"/>
      <c r="AQ162" s="53"/>
      <c r="AR162" s="53"/>
    </row>
    <row r="163" spans="1:44">
      <c r="A163" s="2" t="s">
        <v>425</v>
      </c>
      <c r="B163" s="2"/>
      <c r="C163" t="str">
        <f>IF(B163&lt;&gt;"",INDEX('Sales Orders'!C:C,MATCH('Booking Management'!B163,'Sales Orders'!A:A,0)),"")</f>
        <v/>
      </c>
      <c r="K163" s="31" t="str">
        <f t="shared" ca="1" si="9"/>
        <v/>
      </c>
      <c r="P163" t="str">
        <f t="shared" si="11"/>
        <v/>
      </c>
      <c r="Q163" t="str">
        <f>IFERROR((J163/SUMIFS('Sales Orders'!D:D,'Sales Orders'!A:A,B163))*SUMIFS('Sales Orders'!N:N,'Sales Orders'!A:A,B163),"")</f>
        <v/>
      </c>
      <c r="W163" s="31" t="str">
        <f t="shared" ca="1" si="10"/>
        <v/>
      </c>
      <c r="Z163" s="31"/>
      <c r="AG163" t="s">
        <v>157</v>
      </c>
      <c r="AH163" s="112">
        <v>45072.6718287037</v>
      </c>
      <c r="AP163" s="53"/>
      <c r="AQ163" s="53"/>
      <c r="AR163" s="53"/>
    </row>
    <row r="164" spans="1:44">
      <c r="A164" s="2" t="s">
        <v>426</v>
      </c>
      <c r="B164" s="2"/>
      <c r="C164" t="str">
        <f>IF(B164&lt;&gt;"",INDEX('Sales Orders'!C:C,MATCH('Booking Management'!B164,'Sales Orders'!A:A,0)),"")</f>
        <v/>
      </c>
      <c r="K164" s="31" t="str">
        <f t="shared" ca="1" si="9"/>
        <v/>
      </c>
      <c r="P164" t="str">
        <f t="shared" si="11"/>
        <v/>
      </c>
      <c r="Q164" t="str">
        <f>IFERROR((J164/SUMIFS('Sales Orders'!D:D,'Sales Orders'!A:A,B164))*SUMIFS('Sales Orders'!N:N,'Sales Orders'!A:A,B164),"")</f>
        <v/>
      </c>
      <c r="W164" s="31" t="str">
        <f t="shared" ca="1" si="10"/>
        <v/>
      </c>
      <c r="Z164" s="31"/>
      <c r="AG164" t="s">
        <v>139</v>
      </c>
      <c r="AH164" s="112">
        <v>45080.821423611109</v>
      </c>
      <c r="AP164" s="53"/>
      <c r="AQ164" s="53"/>
      <c r="AR164" s="53"/>
    </row>
    <row r="165" spans="1:44">
      <c r="A165" s="2" t="s">
        <v>427</v>
      </c>
      <c r="B165" s="2"/>
      <c r="C165" t="str">
        <f>IF(B165&lt;&gt;"",INDEX('Sales Orders'!C:C,MATCH('Booking Management'!B165,'Sales Orders'!A:A,0)),"")</f>
        <v/>
      </c>
      <c r="K165" s="31" t="str">
        <f t="shared" ca="1" si="9"/>
        <v/>
      </c>
      <c r="P165" t="str">
        <f t="shared" si="11"/>
        <v/>
      </c>
      <c r="Q165" t="str">
        <f>IFERROR((J165/SUMIFS('Sales Orders'!D:D,'Sales Orders'!A:A,B165))*SUMIFS('Sales Orders'!N:N,'Sales Orders'!A:A,B165),"")</f>
        <v/>
      </c>
      <c r="W165" s="31" t="str">
        <f t="shared" ca="1" si="10"/>
        <v/>
      </c>
      <c r="Z165" s="31"/>
      <c r="AG165" t="s">
        <v>141</v>
      </c>
      <c r="AH165" s="112">
        <v>45080.821435185186</v>
      </c>
      <c r="AP165" s="53"/>
      <c r="AQ165" s="53"/>
      <c r="AR165" s="53"/>
    </row>
    <row r="166" spans="1:44">
      <c r="A166" s="2" t="s">
        <v>428</v>
      </c>
      <c r="B166" s="2"/>
      <c r="C166" t="str">
        <f>IF(B166&lt;&gt;"",INDEX('Sales Orders'!C:C,MATCH('Booking Management'!B166,'Sales Orders'!A:A,0)),"")</f>
        <v/>
      </c>
      <c r="K166" s="31" t="str">
        <f t="shared" ca="1" si="9"/>
        <v/>
      </c>
      <c r="P166" t="str">
        <f t="shared" si="11"/>
        <v/>
      </c>
      <c r="Q166" t="str">
        <f>IFERROR((J166/SUMIFS('Sales Orders'!D:D,'Sales Orders'!A:A,B166))*SUMIFS('Sales Orders'!N:N,'Sales Orders'!A:A,B166),"")</f>
        <v/>
      </c>
      <c r="W166" s="31" t="str">
        <f t="shared" ca="1" si="10"/>
        <v/>
      </c>
      <c r="Z166" s="31"/>
      <c r="AG166" t="s">
        <v>157</v>
      </c>
      <c r="AH166" s="112">
        <v>45080.828506944446</v>
      </c>
      <c r="AP166" s="53"/>
      <c r="AQ166" s="53"/>
      <c r="AR166" s="53"/>
    </row>
    <row r="167" spans="1:44">
      <c r="A167" s="2" t="s">
        <v>429</v>
      </c>
      <c r="B167" s="2"/>
      <c r="C167" t="str">
        <f>IF(B167&lt;&gt;"",INDEX('Sales Orders'!C:C,MATCH('Booking Management'!B167,'Sales Orders'!A:A,0)),"")</f>
        <v/>
      </c>
      <c r="K167" s="31" t="str">
        <f t="shared" ca="1" si="9"/>
        <v/>
      </c>
      <c r="P167" t="str">
        <f t="shared" si="11"/>
        <v/>
      </c>
      <c r="Q167" t="str">
        <f>IFERROR((J167/SUMIFS('Sales Orders'!D:D,'Sales Orders'!A:A,B167))*SUMIFS('Sales Orders'!N:N,'Sales Orders'!A:A,B167),"")</f>
        <v/>
      </c>
      <c r="W167" s="31" t="str">
        <f t="shared" ca="1" si="10"/>
        <v/>
      </c>
      <c r="Z167" s="31"/>
      <c r="AG167" t="s">
        <v>139</v>
      </c>
      <c r="AH167" s="112">
        <v>45082.878784722219</v>
      </c>
      <c r="AP167" s="53"/>
      <c r="AQ167" s="53"/>
      <c r="AR167" s="53"/>
    </row>
    <row r="168" spans="1:44">
      <c r="A168" s="2" t="s">
        <v>430</v>
      </c>
      <c r="B168" s="2"/>
      <c r="C168" t="str">
        <f>IF(B168&lt;&gt;"",INDEX('Sales Orders'!C:C,MATCH('Booking Management'!B168,'Sales Orders'!A:A,0)),"")</f>
        <v/>
      </c>
      <c r="K168" s="31" t="str">
        <f t="shared" ca="1" si="9"/>
        <v/>
      </c>
      <c r="P168" t="str">
        <f t="shared" si="11"/>
        <v/>
      </c>
      <c r="Q168" t="str">
        <f>IFERROR((J168/SUMIFS('Sales Orders'!D:D,'Sales Orders'!A:A,B168))*SUMIFS('Sales Orders'!N:N,'Sales Orders'!A:A,B168),"")</f>
        <v/>
      </c>
      <c r="W168" s="31" t="str">
        <f t="shared" ca="1" si="10"/>
        <v/>
      </c>
      <c r="Z168" s="31"/>
      <c r="AG168" t="s">
        <v>141</v>
      </c>
      <c r="AH168" s="112">
        <v>45082.878784722219</v>
      </c>
      <c r="AP168" s="53"/>
      <c r="AQ168" s="53"/>
      <c r="AR168" s="53"/>
    </row>
    <row r="169" spans="1:44">
      <c r="A169" s="2" t="s">
        <v>431</v>
      </c>
      <c r="B169" s="2"/>
      <c r="C169" t="str">
        <f>IF(B169&lt;&gt;"",INDEX('Sales Orders'!C:C,MATCH('Booking Management'!B169,'Sales Orders'!A:A,0)),"")</f>
        <v/>
      </c>
      <c r="K169" s="31" t="str">
        <f t="shared" ca="1" si="9"/>
        <v/>
      </c>
      <c r="P169" t="str">
        <f t="shared" si="11"/>
        <v/>
      </c>
      <c r="Q169" t="str">
        <f>IFERROR((J169/SUMIFS('Sales Orders'!D:D,'Sales Orders'!A:A,B169))*SUMIFS('Sales Orders'!N:N,'Sales Orders'!A:A,B169),"")</f>
        <v/>
      </c>
      <c r="U169"/>
      <c r="W169" s="31" t="str">
        <f t="shared" ca="1" si="10"/>
        <v/>
      </c>
      <c r="Z169" s="31"/>
      <c r="AG169" t="s">
        <v>139</v>
      </c>
      <c r="AH169" s="112">
        <v>45082.879351851851</v>
      </c>
      <c r="AP169" s="53"/>
      <c r="AQ169" s="53"/>
      <c r="AR169" s="53"/>
    </row>
    <row r="170" spans="1:44">
      <c r="A170" s="2" t="s">
        <v>432</v>
      </c>
      <c r="B170" s="2"/>
      <c r="C170" t="str">
        <f>IF(B170&lt;&gt;"",INDEX('Sales Orders'!C:C,MATCH('Booking Management'!B170,'Sales Orders'!A:A,0)),"")</f>
        <v/>
      </c>
      <c r="K170" s="31" t="str">
        <f t="shared" ca="1" si="9"/>
        <v/>
      </c>
      <c r="P170" t="str">
        <f t="shared" si="11"/>
        <v/>
      </c>
      <c r="Q170" t="str">
        <f>IFERROR((J170/SUMIFS('Sales Orders'!D:D,'Sales Orders'!A:A,B170))*SUMIFS('Sales Orders'!N:N,'Sales Orders'!A:A,B170),"")</f>
        <v/>
      </c>
      <c r="W170" s="31" t="str">
        <f t="shared" ca="1" si="10"/>
        <v/>
      </c>
      <c r="Z170" s="31"/>
      <c r="AG170" t="s">
        <v>141</v>
      </c>
      <c r="AH170" s="112">
        <v>45082.879363425927</v>
      </c>
      <c r="AP170" s="53"/>
      <c r="AQ170" s="53"/>
      <c r="AR170" s="53"/>
    </row>
    <row r="171" spans="1:44">
      <c r="A171" s="2" t="s">
        <v>433</v>
      </c>
      <c r="B171" s="2"/>
      <c r="C171" t="str">
        <f>IF(B171&lt;&gt;"",INDEX('Sales Orders'!C:C,MATCH('Booking Management'!B171,'Sales Orders'!A:A,0)),"")</f>
        <v/>
      </c>
      <c r="K171" s="31" t="str">
        <f t="shared" ca="1" si="9"/>
        <v/>
      </c>
      <c r="P171" t="str">
        <f t="shared" si="11"/>
        <v/>
      </c>
      <c r="Q171" t="str">
        <f>IFERROR((J171/SUMIFS('Sales Orders'!D:D,'Sales Orders'!A:A,B171))*SUMIFS('Sales Orders'!N:N,'Sales Orders'!A:A,B171),"")</f>
        <v/>
      </c>
      <c r="W171" s="31" t="str">
        <f t="shared" ca="1" si="10"/>
        <v/>
      </c>
      <c r="Z171" s="31"/>
      <c r="AG171" t="s">
        <v>139</v>
      </c>
      <c r="AH171" s="112">
        <v>45083.697256944448</v>
      </c>
      <c r="AP171" s="53"/>
      <c r="AQ171" s="53"/>
      <c r="AR171" s="53"/>
    </row>
    <row r="172" spans="1:44">
      <c r="A172" s="2" t="s">
        <v>434</v>
      </c>
      <c r="B172" s="2"/>
      <c r="C172" t="str">
        <f>IF(B172&lt;&gt;"",INDEX('Sales Orders'!C:C,MATCH('Booking Management'!B172,'Sales Orders'!A:A,0)),"")</f>
        <v/>
      </c>
      <c r="K172" s="31" t="str">
        <f t="shared" ca="1" si="9"/>
        <v/>
      </c>
      <c r="P172" t="str">
        <f t="shared" si="11"/>
        <v/>
      </c>
      <c r="Q172" t="str">
        <f>IFERROR((J172/SUMIFS('Sales Orders'!D:D,'Sales Orders'!A:A,B172))*SUMIFS('Sales Orders'!N:N,'Sales Orders'!A:A,B172),"")</f>
        <v/>
      </c>
      <c r="W172" s="31" t="str">
        <f t="shared" ca="1" si="10"/>
        <v/>
      </c>
      <c r="Z172" s="31"/>
      <c r="AG172" t="s">
        <v>141</v>
      </c>
      <c r="AH172" s="112">
        <v>45083.697268518517</v>
      </c>
      <c r="AP172" s="53"/>
      <c r="AQ172" s="53"/>
      <c r="AR172" s="53"/>
    </row>
    <row r="173" spans="1:44">
      <c r="A173" s="2" t="s">
        <v>435</v>
      </c>
      <c r="B173" s="2"/>
      <c r="C173" t="str">
        <f>IF(B173&lt;&gt;"",INDEX('Sales Orders'!C:C,MATCH('Booking Management'!B173,'Sales Orders'!A:A,0)),"")</f>
        <v/>
      </c>
      <c r="K173" s="31" t="str">
        <f t="shared" ca="1" si="9"/>
        <v/>
      </c>
      <c r="P173" t="str">
        <f t="shared" si="11"/>
        <v/>
      </c>
      <c r="Q173" t="str">
        <f>IFERROR((J173/SUMIFS('Sales Orders'!D:D,'Sales Orders'!A:A,B173))*SUMIFS('Sales Orders'!N:N,'Sales Orders'!A:A,B173),"")</f>
        <v/>
      </c>
      <c r="W173" s="31" t="str">
        <f t="shared" ca="1" si="10"/>
        <v/>
      </c>
      <c r="Z173" s="31"/>
      <c r="AG173" t="s">
        <v>157</v>
      </c>
      <c r="AH173" s="112">
        <v>45083.829467592594</v>
      </c>
      <c r="AP173" s="53"/>
      <c r="AQ173" s="53"/>
      <c r="AR173" s="53"/>
    </row>
    <row r="174" spans="1:44">
      <c r="A174" s="2" t="s">
        <v>436</v>
      </c>
      <c r="B174" s="2"/>
      <c r="C174" t="str">
        <f>IF(B174&lt;&gt;"",INDEX('Sales Orders'!C:C,MATCH('Booking Management'!B174,'Sales Orders'!A:A,0)),"")</f>
        <v/>
      </c>
      <c r="K174" s="31" t="str">
        <f t="shared" ca="1" si="9"/>
        <v/>
      </c>
      <c r="P174" t="str">
        <f t="shared" si="11"/>
        <v/>
      </c>
      <c r="Q174" t="str">
        <f>IFERROR((J174/SUMIFS('Sales Orders'!D:D,'Sales Orders'!A:A,B174))*SUMIFS('Sales Orders'!N:N,'Sales Orders'!A:A,B174),"")</f>
        <v/>
      </c>
      <c r="W174" s="31" t="str">
        <f t="shared" ca="1" si="10"/>
        <v/>
      </c>
      <c r="Z174" s="31"/>
      <c r="AG174" t="s">
        <v>139</v>
      </c>
      <c r="AH174" s="112">
        <v>45087.439212962963</v>
      </c>
      <c r="AP174" s="53"/>
      <c r="AQ174" s="53"/>
      <c r="AR174" s="53"/>
    </row>
    <row r="175" spans="1:44">
      <c r="A175" s="2" t="s">
        <v>437</v>
      </c>
      <c r="B175" s="2"/>
      <c r="C175" t="str">
        <f>IF(B175&lt;&gt;"",INDEX('Sales Orders'!C:C,MATCH('Booking Management'!B175,'Sales Orders'!A:A,0)),"")</f>
        <v/>
      </c>
      <c r="K175" s="31" t="str">
        <f t="shared" ca="1" si="9"/>
        <v/>
      </c>
      <c r="P175" t="str">
        <f t="shared" si="11"/>
        <v/>
      </c>
      <c r="Q175" t="str">
        <f>IFERROR((J175/SUMIFS('Sales Orders'!D:D,'Sales Orders'!A:A,B175))*SUMIFS('Sales Orders'!N:N,'Sales Orders'!A:A,B175),"")</f>
        <v/>
      </c>
      <c r="W175" s="31" t="str">
        <f t="shared" ca="1" si="10"/>
        <v/>
      </c>
      <c r="Z175" s="31"/>
      <c r="AG175" t="s">
        <v>141</v>
      </c>
      <c r="AH175" s="112">
        <v>45087.439259259256</v>
      </c>
      <c r="AP175" s="53"/>
      <c r="AQ175" s="53"/>
      <c r="AR175" s="53"/>
    </row>
    <row r="176" spans="1:44">
      <c r="A176" s="2" t="s">
        <v>438</v>
      </c>
      <c r="B176" s="2"/>
      <c r="C176" t="str">
        <f>IF(B176&lt;&gt;"",INDEX('Sales Orders'!C:C,MATCH('Booking Management'!B176,'Sales Orders'!A:A,0)),"")</f>
        <v/>
      </c>
      <c r="K176" s="31" t="str">
        <f t="shared" ca="1" si="9"/>
        <v/>
      </c>
      <c r="P176" t="str">
        <f t="shared" si="11"/>
        <v/>
      </c>
      <c r="Q176" t="str">
        <f>IFERROR((J176/SUMIFS('Sales Orders'!D:D,'Sales Orders'!A:A,B176))*SUMIFS('Sales Orders'!N:N,'Sales Orders'!A:A,B176),"")</f>
        <v/>
      </c>
      <c r="W176" s="31" t="str">
        <f t="shared" ca="1" si="10"/>
        <v/>
      </c>
      <c r="Z176" s="31"/>
      <c r="AG176" t="s">
        <v>139</v>
      </c>
      <c r="AH176" s="112">
        <v>45096.756018518521</v>
      </c>
      <c r="AP176" s="53"/>
      <c r="AQ176" s="53"/>
      <c r="AR176" s="53"/>
    </row>
    <row r="177" spans="1:44">
      <c r="A177" s="2" t="s">
        <v>439</v>
      </c>
      <c r="B177" s="2"/>
      <c r="C177" t="str">
        <f>IF(B177&lt;&gt;"",INDEX('Sales Orders'!C:C,MATCH('Booking Management'!B177,'Sales Orders'!A:A,0)),"")</f>
        <v/>
      </c>
      <c r="K177" s="31" t="str">
        <f t="shared" ca="1" si="9"/>
        <v/>
      </c>
      <c r="P177" t="str">
        <f t="shared" si="11"/>
        <v/>
      </c>
      <c r="Q177" t="str">
        <f>IFERROR((J177/SUMIFS('Sales Orders'!D:D,'Sales Orders'!A:A,B177))*SUMIFS('Sales Orders'!N:N,'Sales Orders'!A:A,B177),"")</f>
        <v/>
      </c>
      <c r="W177" s="31" t="str">
        <f t="shared" ca="1" si="10"/>
        <v/>
      </c>
      <c r="Z177" s="31"/>
      <c r="AG177" t="s">
        <v>141</v>
      </c>
      <c r="AH177" s="112">
        <v>45096.756064814814</v>
      </c>
      <c r="AP177" s="53"/>
      <c r="AQ177" s="53"/>
      <c r="AR177" s="53"/>
    </row>
    <row r="178" spans="1:44">
      <c r="A178" s="2" t="s">
        <v>440</v>
      </c>
      <c r="B178" s="2"/>
      <c r="C178" t="str">
        <f>IF(B178&lt;&gt;"",INDEX('Sales Orders'!C:C,MATCH('Booking Management'!B178,'Sales Orders'!A:A,0)),"")</f>
        <v/>
      </c>
      <c r="K178" s="31" t="str">
        <f t="shared" ca="1" si="9"/>
        <v/>
      </c>
      <c r="P178" t="str">
        <f t="shared" si="11"/>
        <v/>
      </c>
      <c r="Q178" t="str">
        <f>IFERROR((J178/SUMIFS('Sales Orders'!D:D,'Sales Orders'!A:A,B178))*SUMIFS('Sales Orders'!N:N,'Sales Orders'!A:A,B178),"")</f>
        <v/>
      </c>
      <c r="U178"/>
      <c r="W178" s="31" t="str">
        <f t="shared" ca="1" si="10"/>
        <v/>
      </c>
      <c r="Z178" s="31"/>
      <c r="AG178" t="s">
        <v>157</v>
      </c>
      <c r="AH178" s="112">
        <v>45102.701886574076</v>
      </c>
      <c r="AP178" s="53"/>
      <c r="AQ178" s="53"/>
      <c r="AR178" s="53"/>
    </row>
    <row r="179" spans="1:44">
      <c r="A179" s="2" t="s">
        <v>441</v>
      </c>
      <c r="B179" s="2"/>
      <c r="C179" t="str">
        <f>IF(B179&lt;&gt;"",INDEX('Sales Orders'!C:C,MATCH('Booking Management'!B179,'Sales Orders'!A:A,0)),"")</f>
        <v/>
      </c>
      <c r="K179" s="31" t="str">
        <f t="shared" ca="1" si="9"/>
        <v/>
      </c>
      <c r="P179" t="str">
        <f t="shared" si="11"/>
        <v/>
      </c>
      <c r="Q179" t="str">
        <f>IFERROR((J179/SUMIFS('Sales Orders'!D:D,'Sales Orders'!A:A,B179))*SUMIFS('Sales Orders'!N:N,'Sales Orders'!A:A,B179),"")</f>
        <v/>
      </c>
      <c r="U179"/>
      <c r="W179" s="31" t="str">
        <f t="shared" ca="1" si="10"/>
        <v/>
      </c>
      <c r="Z179" s="31"/>
      <c r="AG179" t="s">
        <v>139</v>
      </c>
      <c r="AH179" s="112">
        <v>45127.760717592595</v>
      </c>
      <c r="AP179" s="53"/>
      <c r="AQ179" s="53"/>
      <c r="AR179" s="53"/>
    </row>
    <row r="180" spans="1:44">
      <c r="A180" s="2" t="s">
        <v>442</v>
      </c>
      <c r="B180" s="2"/>
      <c r="C180" t="str">
        <f>IF(B180&lt;&gt;"",INDEX('Sales Orders'!C:C,MATCH('Booking Management'!B180,'Sales Orders'!A:A,0)),"")</f>
        <v/>
      </c>
      <c r="F180" s="44"/>
      <c r="K180" s="31" t="str">
        <f t="shared" ca="1" si="9"/>
        <v/>
      </c>
      <c r="P180" t="str">
        <f t="shared" si="11"/>
        <v/>
      </c>
      <c r="Q180" t="str">
        <f>IFERROR((J180/SUMIFS('Sales Orders'!D:D,'Sales Orders'!A:A,B180))*SUMIFS('Sales Orders'!N:N,'Sales Orders'!A:A,B180),"")</f>
        <v/>
      </c>
      <c r="W180" s="31" t="str">
        <f t="shared" ca="1" si="10"/>
        <v/>
      </c>
      <c r="Z180" s="31"/>
      <c r="AG180" t="s">
        <v>141</v>
      </c>
      <c r="AH180" s="112">
        <v>45127.760729166665</v>
      </c>
      <c r="AP180" s="53"/>
      <c r="AQ180" s="53"/>
      <c r="AR180" s="53"/>
    </row>
    <row r="181" spans="1:44">
      <c r="A181" s="2" t="s">
        <v>443</v>
      </c>
      <c r="C181" t="str">
        <f>IF(B181&lt;&gt;"",INDEX('Sales Orders'!C:C,MATCH('Booking Management'!B181,'Sales Orders'!A:A,0)),"")</f>
        <v/>
      </c>
      <c r="K181" s="31" t="str">
        <f t="shared" ca="1" si="9"/>
        <v/>
      </c>
      <c r="P181" t="str">
        <f t="shared" si="11"/>
        <v/>
      </c>
      <c r="Q181" t="str">
        <f>IFERROR((J181/SUMIFS('Sales Orders'!D:D,'Sales Orders'!A:A,B181))*SUMIFS('Sales Orders'!N:N,'Sales Orders'!A:A,B181),"")</f>
        <v/>
      </c>
      <c r="U181"/>
      <c r="W181" s="31" t="str">
        <f t="shared" ca="1" si="10"/>
        <v/>
      </c>
      <c r="Z181" s="31"/>
      <c r="AG181" t="s">
        <v>157</v>
      </c>
      <c r="AH181" s="112">
        <v>45169.030902777777</v>
      </c>
      <c r="AP181" s="53"/>
      <c r="AQ181" s="53"/>
      <c r="AR181" s="53"/>
    </row>
    <row r="182" spans="1:44">
      <c r="A182" s="2" t="s">
        <v>444</v>
      </c>
      <c r="B182" s="2"/>
      <c r="C182" t="str">
        <f>IF(B182&lt;&gt;"",INDEX('Sales Orders'!C:C,MATCH('Booking Management'!B182,'Sales Orders'!A:A,0)),"")</f>
        <v/>
      </c>
      <c r="K182" s="31" t="str">
        <f t="shared" ca="1" si="9"/>
        <v/>
      </c>
      <c r="P182" t="str">
        <f t="shared" si="11"/>
        <v/>
      </c>
      <c r="Q182" t="str">
        <f>IFERROR((J182/SUMIFS('Sales Orders'!D:D,'Sales Orders'!A:A,B182))*SUMIFS('Sales Orders'!N:N,'Sales Orders'!A:A,B182),"")</f>
        <v/>
      </c>
      <c r="W182" s="31" t="str">
        <f t="shared" ca="1" si="10"/>
        <v/>
      </c>
      <c r="Z182" s="31"/>
      <c r="AG182" t="s">
        <v>157</v>
      </c>
      <c r="AH182" s="112">
        <v>45169.810219907406</v>
      </c>
      <c r="AP182" s="53"/>
      <c r="AQ182" s="53"/>
      <c r="AR182" s="53"/>
    </row>
    <row r="183" spans="1:44">
      <c r="A183" s="2" t="s">
        <v>445</v>
      </c>
      <c r="B183" s="2"/>
      <c r="C183" t="str">
        <f>IF(B183&lt;&gt;"",INDEX('Sales Orders'!C:C,MATCH('Booking Management'!B183,'Sales Orders'!A:A,0)),"")</f>
        <v/>
      </c>
      <c r="K183" s="31" t="str">
        <f t="shared" ca="1" si="9"/>
        <v/>
      </c>
      <c r="P183" t="str">
        <f t="shared" si="11"/>
        <v/>
      </c>
      <c r="Q183" t="str">
        <f>IFERROR((J183/SUMIFS('Sales Orders'!D:D,'Sales Orders'!A:A,B183))*SUMIFS('Sales Orders'!N:N,'Sales Orders'!A:A,B183),"")</f>
        <v/>
      </c>
      <c r="W183" s="31" t="str">
        <f t="shared" ca="1" si="10"/>
        <v/>
      </c>
      <c r="Z183" s="31"/>
      <c r="AG183" t="s">
        <v>139</v>
      </c>
      <c r="AH183" s="112">
        <v>45206.826689814814</v>
      </c>
      <c r="AP183" s="53"/>
      <c r="AQ183" s="53"/>
      <c r="AR183" s="53"/>
    </row>
    <row r="184" spans="1:44">
      <c r="A184" s="2" t="s">
        <v>446</v>
      </c>
      <c r="B184" s="2"/>
      <c r="C184" t="str">
        <f>IF(B184&lt;&gt;"",INDEX('Sales Orders'!C:C,MATCH('Booking Management'!B184,'Sales Orders'!A:A,0)),"")</f>
        <v/>
      </c>
      <c r="K184" s="31" t="str">
        <f t="shared" ca="1" si="9"/>
        <v/>
      </c>
      <c r="P184" t="str">
        <f t="shared" si="11"/>
        <v/>
      </c>
      <c r="Q184" t="str">
        <f>IFERROR((J184/SUMIFS('Sales Orders'!D:D,'Sales Orders'!A:A,B184))*SUMIFS('Sales Orders'!N:N,'Sales Orders'!A:A,B184),"")</f>
        <v/>
      </c>
      <c r="U184"/>
      <c r="W184" s="31" t="str">
        <f t="shared" ca="1" si="10"/>
        <v/>
      </c>
      <c r="Z184" s="31"/>
      <c r="AG184" t="s">
        <v>141</v>
      </c>
      <c r="AH184" s="112">
        <v>45206.826724537037</v>
      </c>
      <c r="AP184" s="53"/>
      <c r="AQ184" s="53"/>
      <c r="AR184" s="53"/>
    </row>
    <row r="185" spans="1:44">
      <c r="A185" s="2" t="s">
        <v>447</v>
      </c>
      <c r="B185" s="2"/>
      <c r="C185" t="str">
        <f>IF(B185&lt;&gt;"",INDEX('Sales Orders'!C:C,MATCH('Booking Management'!B185,'Sales Orders'!A:A,0)),"")</f>
        <v/>
      </c>
      <c r="K185" s="31" t="str">
        <f t="shared" ca="1" si="9"/>
        <v/>
      </c>
      <c r="P185" t="str">
        <f t="shared" si="11"/>
        <v/>
      </c>
      <c r="Q185" t="str">
        <f>IFERROR((J185/SUMIFS('Sales Orders'!D:D,'Sales Orders'!A:A,B185))*SUMIFS('Sales Orders'!N:N,'Sales Orders'!A:A,B185),"")</f>
        <v/>
      </c>
      <c r="W185" s="31" t="str">
        <f t="shared" ca="1" si="10"/>
        <v/>
      </c>
      <c r="Z185" s="31"/>
      <c r="AG185" t="s">
        <v>157</v>
      </c>
      <c r="AH185" s="112">
        <v>45214.356354166666</v>
      </c>
      <c r="AP185" s="53"/>
      <c r="AQ185" s="53"/>
      <c r="AR185" s="53"/>
    </row>
    <row r="186" spans="1:44">
      <c r="A186" s="2" t="s">
        <v>448</v>
      </c>
      <c r="B186" s="47"/>
      <c r="C186" t="str">
        <f>IF(B186&lt;&gt;"",INDEX('Sales Orders'!C:C,MATCH('Booking Management'!B186,'Sales Orders'!A:A,0)),"")</f>
        <v/>
      </c>
      <c r="F186" s="44"/>
      <c r="K186" s="31" t="str">
        <f t="shared" ca="1" si="9"/>
        <v/>
      </c>
      <c r="P186" t="str">
        <f t="shared" si="11"/>
        <v/>
      </c>
      <c r="Q186" t="str">
        <f>IFERROR((J186/SUMIFS('Sales Orders'!D:D,'Sales Orders'!A:A,B186))*SUMIFS('Sales Orders'!N:N,'Sales Orders'!A:A,B186),"")</f>
        <v/>
      </c>
      <c r="U186"/>
      <c r="W186" s="31" t="str">
        <f t="shared" ca="1" si="10"/>
        <v/>
      </c>
      <c r="Z186" s="31"/>
      <c r="AG186" t="s">
        <v>157</v>
      </c>
      <c r="AH186" s="112">
        <v>45214.358148148145</v>
      </c>
      <c r="AP186" s="53"/>
      <c r="AQ186" s="53"/>
      <c r="AR186" s="53"/>
    </row>
    <row r="187" spans="1:44">
      <c r="A187" s="2" t="s">
        <v>449</v>
      </c>
      <c r="B187" s="2"/>
      <c r="C187" t="str">
        <f>IF(B187&lt;&gt;"",INDEX('Sales Orders'!C:C,MATCH('Booking Management'!B187,'Sales Orders'!A:A,0)),"")</f>
        <v/>
      </c>
      <c r="K187" s="31" t="str">
        <f t="shared" ca="1" si="9"/>
        <v/>
      </c>
      <c r="P187" t="str">
        <f t="shared" si="11"/>
        <v/>
      </c>
      <c r="Q187" t="str">
        <f>IFERROR((J187/SUMIFS('Sales Orders'!D:D,'Sales Orders'!A:A,B187))*SUMIFS('Sales Orders'!N:N,'Sales Orders'!A:A,B187),"")</f>
        <v/>
      </c>
      <c r="W187" s="31" t="str">
        <f t="shared" ca="1" si="10"/>
        <v/>
      </c>
      <c r="Z187" s="31"/>
      <c r="AG187" t="s">
        <v>157</v>
      </c>
      <c r="AH187" s="112">
        <v>45219.800069444442</v>
      </c>
      <c r="AP187" s="53"/>
      <c r="AQ187" s="53"/>
      <c r="AR187" s="53"/>
    </row>
    <row r="188" spans="1:44">
      <c r="A188" s="2" t="s">
        <v>450</v>
      </c>
      <c r="B188" s="2"/>
      <c r="C188" t="str">
        <f>IF(B188&lt;&gt;"",INDEX('Sales Orders'!C:C,MATCH('Booking Management'!B188,'Sales Orders'!A:A,0)),"")</f>
        <v/>
      </c>
      <c r="K188" s="31" t="str">
        <f t="shared" ca="1" si="9"/>
        <v/>
      </c>
      <c r="P188" t="str">
        <f t="shared" si="11"/>
        <v/>
      </c>
      <c r="Q188" t="str">
        <f>IFERROR((J188/SUMIFS('Sales Orders'!D:D,'Sales Orders'!A:A,B188))*SUMIFS('Sales Orders'!N:N,'Sales Orders'!A:A,B188),"")</f>
        <v/>
      </c>
      <c r="W188" s="31" t="str">
        <f t="shared" ca="1" si="10"/>
        <v/>
      </c>
      <c r="Z188" s="31"/>
      <c r="AG188" t="s">
        <v>157</v>
      </c>
      <c r="AH188" s="112">
        <v>45219.802685185183</v>
      </c>
      <c r="AP188" s="53"/>
      <c r="AQ188" s="53"/>
      <c r="AR188" s="53"/>
    </row>
    <row r="189" spans="1:44">
      <c r="A189" s="2" t="s">
        <v>451</v>
      </c>
      <c r="B189" s="2"/>
      <c r="C189" t="str">
        <f>IF(B189&lt;&gt;"",INDEX('Sales Orders'!C:C,MATCH('Booking Management'!B189,'Sales Orders'!A:A,0)),"")</f>
        <v/>
      </c>
      <c r="K189" s="31" t="str">
        <f t="shared" ca="1" si="9"/>
        <v/>
      </c>
      <c r="P189" t="str">
        <f t="shared" si="11"/>
        <v/>
      </c>
      <c r="Q189" t="str">
        <f>IFERROR((J189/SUMIFS('Sales Orders'!D:D,'Sales Orders'!A:A,B189))*SUMIFS('Sales Orders'!N:N,'Sales Orders'!A:A,B189),"")</f>
        <v/>
      </c>
      <c r="U189"/>
      <c r="W189" s="31" t="str">
        <f t="shared" ca="1" si="10"/>
        <v/>
      </c>
      <c r="Z189" s="31"/>
      <c r="AG189" t="s">
        <v>139</v>
      </c>
      <c r="AH189" s="112">
        <v>45224.803773148145</v>
      </c>
      <c r="AP189" s="53"/>
      <c r="AQ189" s="53"/>
      <c r="AR189" s="53"/>
    </row>
    <row r="190" spans="1:44">
      <c r="A190" s="2" t="s">
        <v>452</v>
      </c>
      <c r="B190" s="2"/>
      <c r="C190" t="str">
        <f>IF(B190&lt;&gt;"",INDEX('Sales Orders'!C:C,MATCH('Booking Management'!B190,'Sales Orders'!A:A,0)),"")</f>
        <v/>
      </c>
      <c r="K190" s="31" t="str">
        <f t="shared" ca="1" si="9"/>
        <v/>
      </c>
      <c r="P190" t="str">
        <f t="shared" si="11"/>
        <v/>
      </c>
      <c r="Q190" t="str">
        <f>IFERROR((J190/SUMIFS('Sales Orders'!D:D,'Sales Orders'!A:A,B190))*SUMIFS('Sales Orders'!N:N,'Sales Orders'!A:A,B190),"")</f>
        <v/>
      </c>
      <c r="W190" s="31" t="str">
        <f t="shared" ca="1" si="10"/>
        <v/>
      </c>
      <c r="Z190" s="31"/>
      <c r="AG190" t="s">
        <v>141</v>
      </c>
      <c r="AH190" s="112">
        <v>45224.803796296299</v>
      </c>
      <c r="AP190" s="53"/>
      <c r="AQ190" s="53"/>
      <c r="AR190" s="53"/>
    </row>
    <row r="191" spans="1:44">
      <c r="A191" s="2" t="s">
        <v>453</v>
      </c>
      <c r="B191" s="2"/>
      <c r="C191" t="str">
        <f>IF(B191&lt;&gt;"",INDEX('Sales Orders'!C:C,MATCH('Booking Management'!B191,'Sales Orders'!A:A,0)),"")</f>
        <v/>
      </c>
      <c r="K191" s="31" t="str">
        <f t="shared" ca="1" si="9"/>
        <v/>
      </c>
      <c r="P191" t="str">
        <f t="shared" si="11"/>
        <v/>
      </c>
      <c r="Q191" t="str">
        <f>IFERROR((J191/SUMIFS('Sales Orders'!D:D,'Sales Orders'!A:A,B191))*SUMIFS('Sales Orders'!N:N,'Sales Orders'!A:A,B191),"")</f>
        <v/>
      </c>
      <c r="W191" s="31" t="str">
        <f t="shared" ca="1" si="10"/>
        <v/>
      </c>
      <c r="Z191" s="31"/>
      <c r="AG191" t="s">
        <v>157</v>
      </c>
      <c r="AH191" s="112">
        <v>45246.799189814818</v>
      </c>
      <c r="AP191" s="53"/>
      <c r="AQ191" s="53"/>
      <c r="AR191" s="53"/>
    </row>
    <row r="192" spans="1:44">
      <c r="A192" s="2" t="s">
        <v>454</v>
      </c>
      <c r="B192" s="2"/>
      <c r="C192" t="str">
        <f>IF(B192&lt;&gt;"",INDEX('Sales Orders'!C:C,MATCH('Booking Management'!B192,'Sales Orders'!A:A,0)),"")</f>
        <v/>
      </c>
      <c r="F192" s="44"/>
      <c r="K192" s="31" t="str">
        <f t="shared" ca="1" si="9"/>
        <v/>
      </c>
      <c r="P192" t="str">
        <f t="shared" si="11"/>
        <v/>
      </c>
      <c r="Q192" t="str">
        <f>IFERROR((J192/SUMIFS('Sales Orders'!D:D,'Sales Orders'!A:A,B192))*SUMIFS('Sales Orders'!N:N,'Sales Orders'!A:A,B192),"")</f>
        <v/>
      </c>
      <c r="U192"/>
      <c r="W192" s="31" t="str">
        <f t="shared" ca="1" si="10"/>
        <v/>
      </c>
      <c r="Z192" s="31"/>
      <c r="AG192" t="s">
        <v>157</v>
      </c>
      <c r="AH192" s="112">
        <v>45246.799317129633</v>
      </c>
      <c r="AP192" s="53"/>
      <c r="AQ192" s="53"/>
      <c r="AR192" s="53"/>
    </row>
    <row r="193" spans="1:44">
      <c r="A193" s="2" t="s">
        <v>455</v>
      </c>
      <c r="B193" s="2"/>
      <c r="C193" t="str">
        <f>IF(B193&lt;&gt;"",INDEX('Sales Orders'!C:C,MATCH('Booking Management'!B193,'Sales Orders'!A:A,0)),"")</f>
        <v/>
      </c>
      <c r="K193" s="31" t="str">
        <f t="shared" ca="1" si="9"/>
        <v/>
      </c>
      <c r="P193" t="str">
        <f t="shared" si="11"/>
        <v/>
      </c>
      <c r="Q193" t="str">
        <f>IFERROR((J193/SUMIFS('Sales Orders'!D:D,'Sales Orders'!A:A,B193))*SUMIFS('Sales Orders'!N:N,'Sales Orders'!A:A,B193),"")</f>
        <v/>
      </c>
      <c r="U193"/>
      <c r="W193" s="31" t="str">
        <f t="shared" ca="1" si="10"/>
        <v/>
      </c>
      <c r="Z193" s="31"/>
      <c r="AG193" t="s">
        <v>157</v>
      </c>
      <c r="AH193" s="112">
        <v>45246.799895833334</v>
      </c>
      <c r="AP193" s="53"/>
      <c r="AQ193" s="53"/>
      <c r="AR193" s="53"/>
    </row>
    <row r="194" spans="1:44">
      <c r="A194" s="2" t="s">
        <v>456</v>
      </c>
      <c r="B194" s="2"/>
      <c r="C194" t="str">
        <f>IF(B194&lt;&gt;"",INDEX('Sales Orders'!C:C,MATCH('Booking Management'!B194,'Sales Orders'!A:A,0)),"")</f>
        <v/>
      </c>
      <c r="K194" s="31" t="str">
        <f t="shared" ca="1" si="9"/>
        <v/>
      </c>
      <c r="P194" t="str">
        <f t="shared" si="11"/>
        <v/>
      </c>
      <c r="Q194" t="str">
        <f>IFERROR((J194/SUMIFS('Sales Orders'!D:D,'Sales Orders'!A:A,B194))*SUMIFS('Sales Orders'!N:N,'Sales Orders'!A:A,B194),"")</f>
        <v/>
      </c>
      <c r="U194"/>
      <c r="W194" s="31" t="str">
        <f t="shared" ca="1" si="10"/>
        <v/>
      </c>
      <c r="Z194" s="31"/>
      <c r="AG194" t="s">
        <v>139</v>
      </c>
      <c r="AH194" s="112">
        <v>45246.800520833334</v>
      </c>
      <c r="AP194" s="53"/>
      <c r="AQ194" s="53"/>
      <c r="AR194" s="53"/>
    </row>
    <row r="195" spans="1:44">
      <c r="A195" s="2" t="s">
        <v>457</v>
      </c>
      <c r="B195" s="2"/>
      <c r="C195" t="str">
        <f>IF(B195&lt;&gt;"",INDEX('Sales Orders'!C:C,MATCH('Booking Management'!B195,'Sales Orders'!A:A,0)),"")</f>
        <v/>
      </c>
      <c r="K195" s="31" t="str">
        <f t="shared" ref="K195:K258" ca="1" si="12">IF(B195&lt;&gt;"",IF(AND(OR(L195-TODAY()&lt;2,M195&lt;&gt;"yes",N195&lt;&gt;"yes",O195&lt;&gt;"yes"),S195&lt;&gt;"Used"),"Alert",""),"")</f>
        <v/>
      </c>
      <c r="P195" t="str">
        <f t="shared" si="11"/>
        <v/>
      </c>
      <c r="Q195" t="str">
        <f>IFERROR((J195/SUMIFS('Sales Orders'!D:D,'Sales Orders'!A:A,B195))*SUMIFS('Sales Orders'!N:N,'Sales Orders'!A:A,B195),"")</f>
        <v/>
      </c>
      <c r="W195" s="31" t="str">
        <f t="shared" ca="1" si="10"/>
        <v/>
      </c>
      <c r="Z195" s="31"/>
      <c r="AG195" t="s">
        <v>141</v>
      </c>
      <c r="AH195" s="112">
        <v>45246.800625000003</v>
      </c>
      <c r="AP195" s="53"/>
      <c r="AQ195" s="53"/>
      <c r="AR195" s="53"/>
    </row>
    <row r="196" spans="1:44">
      <c r="A196" s="2" t="s">
        <v>458</v>
      </c>
      <c r="B196" s="2"/>
      <c r="C196" t="str">
        <f>IF(B196&lt;&gt;"",INDEX('Sales Orders'!C:C,MATCH('Booking Management'!B196,'Sales Orders'!A:A,0)),"")</f>
        <v/>
      </c>
      <c r="K196" s="31" t="str">
        <f t="shared" ca="1" si="12"/>
        <v/>
      </c>
      <c r="P196" t="str">
        <f t="shared" si="11"/>
        <v/>
      </c>
      <c r="Q196" t="str">
        <f>IFERROR((J196/SUMIFS('Sales Orders'!D:D,'Sales Orders'!A:A,B196))*SUMIFS('Sales Orders'!N:N,'Sales Orders'!A:A,B196),"")</f>
        <v/>
      </c>
      <c r="W196" s="31" t="str">
        <f t="shared" ca="1" si="10"/>
        <v/>
      </c>
      <c r="Z196" s="31"/>
      <c r="AG196" t="s">
        <v>157</v>
      </c>
      <c r="AH196" s="112">
        <v>45246.803611111114</v>
      </c>
      <c r="AP196" s="53"/>
      <c r="AQ196" s="53"/>
      <c r="AR196" s="53"/>
    </row>
    <row r="197" spans="1:44">
      <c r="A197" s="2" t="s">
        <v>459</v>
      </c>
      <c r="B197" s="2"/>
      <c r="C197" t="str">
        <f>IF(B197&lt;&gt;"",INDEX('Sales Orders'!C:C,MATCH('Booking Management'!B197,'Sales Orders'!A:A,0)),"")</f>
        <v/>
      </c>
      <c r="K197" s="31" t="str">
        <f t="shared" ca="1" si="12"/>
        <v/>
      </c>
      <c r="P197" t="str">
        <f t="shared" si="11"/>
        <v/>
      </c>
      <c r="Q197" t="str">
        <f>IFERROR((J197/SUMIFS('Sales Orders'!D:D,'Sales Orders'!A:A,B197))*SUMIFS('Sales Orders'!N:N,'Sales Orders'!A:A,B197),"")</f>
        <v/>
      </c>
      <c r="W197" s="31" t="str">
        <f t="shared" ca="1" si="10"/>
        <v/>
      </c>
      <c r="Z197" s="31"/>
      <c r="AG197" t="s">
        <v>139</v>
      </c>
      <c r="AH197" s="112">
        <v>45246.803923611114</v>
      </c>
      <c r="AP197" s="53"/>
      <c r="AQ197" s="53"/>
      <c r="AR197" s="53"/>
    </row>
    <row r="198" spans="1:44">
      <c r="A198" s="2" t="s">
        <v>460</v>
      </c>
      <c r="B198" s="48"/>
      <c r="C198" t="str">
        <f>IF(B198&lt;&gt;"",INDEX('Sales Orders'!C:C,MATCH('Booking Management'!B198,'Sales Orders'!A:A,0)),"")</f>
        <v/>
      </c>
      <c r="K198" s="31" t="str">
        <f t="shared" ca="1" si="12"/>
        <v/>
      </c>
      <c r="P198" t="str">
        <f t="shared" si="11"/>
        <v/>
      </c>
      <c r="Q198" t="str">
        <f>IFERROR((J198/SUMIFS('Sales Orders'!D:D,'Sales Orders'!A:A,B198))*SUMIFS('Sales Orders'!N:N,'Sales Orders'!A:A,B198),"")</f>
        <v/>
      </c>
      <c r="U198"/>
      <c r="W198" s="31" t="str">
        <f t="shared" ca="1" si="10"/>
        <v/>
      </c>
      <c r="Z198" s="31"/>
      <c r="AG198" t="s">
        <v>141</v>
      </c>
      <c r="AH198" s="112">
        <v>45246.803969907407</v>
      </c>
      <c r="AP198" s="53"/>
      <c r="AQ198" s="53"/>
      <c r="AR198" s="53"/>
    </row>
    <row r="199" spans="1:44">
      <c r="A199" s="2" t="s">
        <v>461</v>
      </c>
      <c r="B199" s="2"/>
      <c r="C199" t="str">
        <f>IF(B199&lt;&gt;"",INDEX('Sales Orders'!C:C,MATCH('Booking Management'!B199,'Sales Orders'!A:A,0)),"")</f>
        <v/>
      </c>
      <c r="F199" s="44"/>
      <c r="K199" s="31" t="str">
        <f t="shared" ca="1" si="12"/>
        <v/>
      </c>
      <c r="P199" t="str">
        <f t="shared" si="11"/>
        <v/>
      </c>
      <c r="Q199" t="str">
        <f>IFERROR((J199/SUMIFS('Sales Orders'!D:D,'Sales Orders'!A:A,B199))*SUMIFS('Sales Orders'!N:N,'Sales Orders'!A:A,B199),"")</f>
        <v/>
      </c>
      <c r="W199" s="31" t="str">
        <f t="shared" ref="W199:W262" ca="1" si="13">IF(T199&lt;&gt;"",IF(X199="Yes","NO",IF((TODAY()-V199)&gt;6,"YES","NO")),"")</f>
        <v/>
      </c>
      <c r="Z199" s="31"/>
      <c r="AG199" t="s">
        <v>157</v>
      </c>
      <c r="AH199" s="112">
        <v>45246.804398148146</v>
      </c>
      <c r="AP199" s="53"/>
      <c r="AQ199" s="53"/>
      <c r="AR199" s="53"/>
    </row>
    <row r="200" spans="1:44">
      <c r="A200" s="2" t="s">
        <v>462</v>
      </c>
      <c r="B200" s="2"/>
      <c r="C200" t="str">
        <f>IF(B200&lt;&gt;"",INDEX('Sales Orders'!C:C,MATCH('Booking Management'!B200,'Sales Orders'!A:A,0)),"")</f>
        <v/>
      </c>
      <c r="K200" s="31" t="str">
        <f t="shared" ca="1" si="12"/>
        <v/>
      </c>
      <c r="P200" t="str">
        <f t="shared" si="11"/>
        <v/>
      </c>
      <c r="Q200" t="str">
        <f>IFERROR((J200/SUMIFS('Sales Orders'!D:D,'Sales Orders'!A:A,B200))*SUMIFS('Sales Orders'!N:N,'Sales Orders'!A:A,B200),"")</f>
        <v/>
      </c>
      <c r="W200" s="31" t="str">
        <f t="shared" ca="1" si="13"/>
        <v/>
      </c>
      <c r="Z200" s="31"/>
      <c r="AG200" t="s">
        <v>139</v>
      </c>
      <c r="AH200" s="112">
        <v>45261.733749999999</v>
      </c>
      <c r="AP200" s="53"/>
      <c r="AQ200" s="53"/>
      <c r="AR200" s="53"/>
    </row>
    <row r="201" spans="1:44">
      <c r="A201" s="2" t="s">
        <v>463</v>
      </c>
      <c r="B201" s="2"/>
      <c r="C201" t="str">
        <f>IF(B201&lt;&gt;"",INDEX('Sales Orders'!C:C,MATCH('Booking Management'!B201,'Sales Orders'!A:A,0)),"")</f>
        <v/>
      </c>
      <c r="K201" s="31" t="str">
        <f t="shared" ca="1" si="12"/>
        <v/>
      </c>
      <c r="P201" t="str">
        <f t="shared" si="11"/>
        <v/>
      </c>
      <c r="Q201" t="str">
        <f>IFERROR((J201/SUMIFS('Sales Orders'!D:D,'Sales Orders'!A:A,B201))*SUMIFS('Sales Orders'!N:N,'Sales Orders'!A:A,B201),"")</f>
        <v/>
      </c>
      <c r="W201" s="31" t="str">
        <f t="shared" ca="1" si="13"/>
        <v/>
      </c>
      <c r="Z201" s="31"/>
      <c r="AG201" t="s">
        <v>141</v>
      </c>
      <c r="AH201" s="112">
        <v>45261.733784722222</v>
      </c>
      <c r="AP201" s="53"/>
      <c r="AQ201" s="53"/>
      <c r="AR201" s="53"/>
    </row>
    <row r="202" spans="1:44">
      <c r="B202" s="2"/>
      <c r="C202" t="str">
        <f>IF(B202&lt;&gt;"",INDEX('Sales Orders'!C:C,MATCH('Booking Management'!B202,'Sales Orders'!A:A,0)),"")</f>
        <v/>
      </c>
      <c r="K202" s="31" t="str">
        <f t="shared" ca="1" si="12"/>
        <v/>
      </c>
      <c r="P202" t="str">
        <f t="shared" si="11"/>
        <v/>
      </c>
      <c r="Q202" t="str">
        <f>IFERROR((J202/SUMIFS('Sales Orders'!D:D,'Sales Orders'!A:A,B202))*SUMIFS('Sales Orders'!N:N,'Sales Orders'!A:A,B202),"")</f>
        <v/>
      </c>
      <c r="U202"/>
      <c r="W202" s="31" t="str">
        <f t="shared" ca="1" si="13"/>
        <v/>
      </c>
      <c r="Z202" s="31"/>
      <c r="AG202" t="s">
        <v>157</v>
      </c>
      <c r="AH202" s="112">
        <v>45271.903240740743</v>
      </c>
      <c r="AP202" s="53"/>
      <c r="AQ202" s="53"/>
      <c r="AR202" s="53"/>
    </row>
    <row r="203" spans="1:44">
      <c r="B203" s="2"/>
      <c r="C203" t="str">
        <f>IF(B203&lt;&gt;"",INDEX('Sales Orders'!C:C,MATCH('Booking Management'!B203,'Sales Orders'!A:A,0)),"")</f>
        <v/>
      </c>
      <c r="K203" s="31" t="str">
        <f t="shared" ca="1" si="12"/>
        <v/>
      </c>
      <c r="P203" t="str">
        <f t="shared" si="11"/>
        <v/>
      </c>
      <c r="Q203" t="str">
        <f>IFERROR((J203/SUMIFS('Sales Orders'!D:D,'Sales Orders'!A:A,B203))*SUMIFS('Sales Orders'!N:N,'Sales Orders'!A:A,B203),"")</f>
        <v/>
      </c>
      <c r="U203"/>
      <c r="W203" s="31" t="str">
        <f t="shared" ca="1" si="13"/>
        <v/>
      </c>
      <c r="Z203" s="31"/>
      <c r="AG203" t="s">
        <v>157</v>
      </c>
      <c r="AH203" s="112">
        <v>45271.903622685182</v>
      </c>
      <c r="AP203" s="53"/>
      <c r="AQ203" s="53"/>
      <c r="AR203" s="53"/>
    </row>
    <row r="204" spans="1:44">
      <c r="B204" s="2"/>
      <c r="C204" t="str">
        <f>IF(B204&lt;&gt;"",INDEX('Sales Orders'!C:C,MATCH('Booking Management'!B204,'Sales Orders'!A:A,0)),"")</f>
        <v/>
      </c>
      <c r="K204" s="31" t="str">
        <f t="shared" ca="1" si="12"/>
        <v/>
      </c>
      <c r="P204" t="str">
        <f t="shared" si="11"/>
        <v/>
      </c>
      <c r="Q204" t="str">
        <f>IFERROR((J204/SUMIFS('Sales Orders'!D:D,'Sales Orders'!A:A,B204))*SUMIFS('Sales Orders'!N:N,'Sales Orders'!A:A,B204),"")</f>
        <v/>
      </c>
      <c r="W204" s="31" t="str">
        <f t="shared" ca="1" si="13"/>
        <v/>
      </c>
      <c r="Z204" s="31"/>
      <c r="AG204" t="s">
        <v>157</v>
      </c>
      <c r="AH204" s="112">
        <v>45271.904085648152</v>
      </c>
      <c r="AP204" s="53"/>
      <c r="AQ204" s="53"/>
      <c r="AR204" s="53"/>
    </row>
    <row r="205" spans="1:44">
      <c r="B205" s="2"/>
      <c r="C205" t="str">
        <f>IF(B205&lt;&gt;"",INDEX('Sales Orders'!C:C,MATCH('Booking Management'!B205,'Sales Orders'!A:A,0)),"")</f>
        <v/>
      </c>
      <c r="K205" s="31" t="str">
        <f t="shared" ca="1" si="12"/>
        <v/>
      </c>
      <c r="P205" t="str">
        <f t="shared" si="11"/>
        <v/>
      </c>
      <c r="Q205" t="str">
        <f>IFERROR((J205/SUMIFS('Sales Orders'!D:D,'Sales Orders'!A:A,B205))*SUMIFS('Sales Orders'!N:N,'Sales Orders'!A:A,B205),"")</f>
        <v/>
      </c>
      <c r="U205"/>
      <c r="W205" s="31" t="str">
        <f t="shared" ca="1" si="13"/>
        <v/>
      </c>
      <c r="Z205" s="31"/>
      <c r="AG205" t="s">
        <v>139</v>
      </c>
      <c r="AH205" s="112">
        <v>45271.904270833336</v>
      </c>
      <c r="AP205" s="53"/>
      <c r="AQ205" s="53"/>
      <c r="AR205" s="53"/>
    </row>
    <row r="206" spans="1:44">
      <c r="B206" s="44"/>
      <c r="C206" t="str">
        <f>IF(B206&lt;&gt;"",INDEX('Sales Orders'!C:C,MATCH('Booking Management'!B206,'Sales Orders'!A:A,0)),"")</f>
        <v/>
      </c>
      <c r="K206" s="31" t="str">
        <f t="shared" ca="1" si="12"/>
        <v/>
      </c>
      <c r="P206" t="str">
        <f t="shared" si="11"/>
        <v/>
      </c>
      <c r="Q206" t="str">
        <f>IFERROR((J206/SUMIFS('Sales Orders'!D:D,'Sales Orders'!A:A,B206))*SUMIFS('Sales Orders'!N:N,'Sales Orders'!A:A,B206),"")</f>
        <v/>
      </c>
      <c r="U206"/>
      <c r="W206" s="31" t="str">
        <f t="shared" ca="1" si="13"/>
        <v/>
      </c>
      <c r="Z206" s="31"/>
      <c r="AG206" t="s">
        <v>141</v>
      </c>
      <c r="AH206" s="112">
        <v>45271.904305555552</v>
      </c>
      <c r="AP206" s="53"/>
      <c r="AQ206" s="53"/>
      <c r="AR206" s="53"/>
    </row>
    <row r="207" spans="1:44">
      <c r="B207" s="2"/>
      <c r="C207" t="str">
        <f>IF(B207&lt;&gt;"",INDEX('Sales Orders'!C:C,MATCH('Booking Management'!B207,'Sales Orders'!A:A,0)),"")</f>
        <v/>
      </c>
      <c r="K207" s="31" t="str">
        <f t="shared" ca="1" si="12"/>
        <v/>
      </c>
      <c r="P207" t="str">
        <f t="shared" si="11"/>
        <v/>
      </c>
      <c r="Q207" t="str">
        <f>IFERROR((J207/SUMIFS('Sales Orders'!D:D,'Sales Orders'!A:A,B207))*SUMIFS('Sales Orders'!N:N,'Sales Orders'!A:A,B207),"")</f>
        <v/>
      </c>
      <c r="U207"/>
      <c r="W207" s="31" t="str">
        <f t="shared" ca="1" si="13"/>
        <v/>
      </c>
      <c r="Z207" s="31"/>
      <c r="AG207" t="s">
        <v>157</v>
      </c>
      <c r="AH207" s="112">
        <v>45271.905740740738</v>
      </c>
      <c r="AP207" s="53"/>
      <c r="AQ207" s="53"/>
      <c r="AR207" s="53"/>
    </row>
    <row r="208" spans="1:44">
      <c r="B208" s="2"/>
      <c r="C208" t="str">
        <f>IF(B208&lt;&gt;"",INDEX('Sales Orders'!C:C,MATCH('Booking Management'!B208,'Sales Orders'!A:A,0)),"")</f>
        <v/>
      </c>
      <c r="K208" s="31" t="str">
        <f t="shared" ca="1" si="12"/>
        <v/>
      </c>
      <c r="P208" t="str">
        <f t="shared" si="11"/>
        <v/>
      </c>
      <c r="Q208" t="str">
        <f>IFERROR((J208/SUMIFS('Sales Orders'!D:D,'Sales Orders'!A:A,B208))*SUMIFS('Sales Orders'!N:N,'Sales Orders'!A:A,B208),"")</f>
        <v/>
      </c>
      <c r="U208"/>
      <c r="W208" s="31" t="str">
        <f t="shared" ca="1" si="13"/>
        <v/>
      </c>
      <c r="Z208" s="31"/>
      <c r="AG208" t="s">
        <v>139</v>
      </c>
      <c r="AH208" s="112">
        <v>45271.906643518516</v>
      </c>
      <c r="AP208" s="53"/>
      <c r="AQ208" s="53"/>
      <c r="AR208" s="53"/>
    </row>
    <row r="209" spans="2:44">
      <c r="B209" s="2"/>
      <c r="C209" t="str">
        <f>IF(B209&lt;&gt;"",INDEX('Sales Orders'!C:C,MATCH('Booking Management'!B209,'Sales Orders'!A:A,0)),"")</f>
        <v/>
      </c>
      <c r="K209" s="31" t="str">
        <f t="shared" ca="1" si="12"/>
        <v/>
      </c>
      <c r="P209" t="str">
        <f t="shared" si="11"/>
        <v/>
      </c>
      <c r="Q209" t="str">
        <f>IFERROR((J209/SUMIFS('Sales Orders'!D:D,'Sales Orders'!A:A,B209))*SUMIFS('Sales Orders'!N:N,'Sales Orders'!A:A,B209),"")</f>
        <v/>
      </c>
      <c r="U209"/>
      <c r="W209" s="31" t="str">
        <f t="shared" ca="1" si="13"/>
        <v/>
      </c>
      <c r="Z209" s="31"/>
      <c r="AG209" t="s">
        <v>141</v>
      </c>
      <c r="AH209" s="112">
        <v>45271.906655092593</v>
      </c>
      <c r="AP209" s="53"/>
      <c r="AQ209" s="53"/>
      <c r="AR209" s="53"/>
    </row>
    <row r="210" spans="2:44">
      <c r="B210" s="2"/>
      <c r="C210" t="str">
        <f>IF(B210&lt;&gt;"",INDEX('Sales Orders'!C:C,MATCH('Booking Management'!B210,'Sales Orders'!A:A,0)),"")</f>
        <v/>
      </c>
      <c r="K210" s="31" t="str">
        <f t="shared" ca="1" si="12"/>
        <v/>
      </c>
      <c r="P210" t="str">
        <f t="shared" si="11"/>
        <v/>
      </c>
      <c r="Q210" t="str">
        <f>IFERROR((J210/SUMIFS('Sales Orders'!D:D,'Sales Orders'!A:A,B210))*SUMIFS('Sales Orders'!N:N,'Sales Orders'!A:A,B210),"")</f>
        <v/>
      </c>
      <c r="W210" s="31" t="str">
        <f t="shared" ca="1" si="13"/>
        <v/>
      </c>
      <c r="Z210" s="31"/>
      <c r="AG210" t="s">
        <v>157</v>
      </c>
      <c r="AH210" s="112">
        <v>45271.916122685187</v>
      </c>
      <c r="AP210" s="53"/>
      <c r="AQ210" s="53"/>
      <c r="AR210" s="53"/>
    </row>
    <row r="211" spans="2:44">
      <c r="B211" s="2"/>
      <c r="C211" t="str">
        <f>IF(B211&lt;&gt;"",INDEX('Sales Orders'!C:C,MATCH('Booking Management'!B211,'Sales Orders'!A:A,0)),"")</f>
        <v/>
      </c>
      <c r="K211" s="31" t="str">
        <f t="shared" ca="1" si="12"/>
        <v/>
      </c>
      <c r="P211" t="str">
        <f t="shared" si="11"/>
        <v/>
      </c>
      <c r="Q211" t="str">
        <f>IFERROR((J211/SUMIFS('Sales Orders'!D:D,'Sales Orders'!A:A,B211))*SUMIFS('Sales Orders'!N:N,'Sales Orders'!A:A,B211),"")</f>
        <v/>
      </c>
      <c r="U211"/>
      <c r="W211" s="31" t="str">
        <f t="shared" ca="1" si="13"/>
        <v/>
      </c>
      <c r="Z211" s="31"/>
      <c r="AG211" t="s">
        <v>157</v>
      </c>
      <c r="AH211" s="112">
        <v>45334.93173611111</v>
      </c>
      <c r="AP211" s="53"/>
      <c r="AQ211" s="53"/>
      <c r="AR211" s="53"/>
    </row>
    <row r="212" spans="2:44">
      <c r="B212" s="2"/>
      <c r="C212" t="str">
        <f>IF(B212&lt;&gt;"",INDEX('Sales Orders'!C:C,MATCH('Booking Management'!B212,'Sales Orders'!A:A,0)),"")</f>
        <v/>
      </c>
      <c r="K212" s="31" t="str">
        <f t="shared" ca="1" si="12"/>
        <v/>
      </c>
      <c r="P212" t="str">
        <f t="shared" si="11"/>
        <v/>
      </c>
      <c r="Q212" t="str">
        <f>IFERROR((J212/SUMIFS('Sales Orders'!D:D,'Sales Orders'!A:A,B212))*SUMIFS('Sales Orders'!N:N,'Sales Orders'!A:A,B212),"")</f>
        <v/>
      </c>
      <c r="U212"/>
      <c r="W212" s="31" t="str">
        <f t="shared" ca="1" si="13"/>
        <v/>
      </c>
      <c r="Z212" s="31"/>
      <c r="AG212" t="s">
        <v>139</v>
      </c>
      <c r="AH212" s="112">
        <v>45363.703460648147</v>
      </c>
      <c r="AP212" s="53"/>
      <c r="AQ212" s="53"/>
      <c r="AR212" s="53"/>
    </row>
    <row r="213" spans="2:44">
      <c r="B213" s="2"/>
      <c r="C213" t="str">
        <f>IF(B213&lt;&gt;"",INDEX('Sales Orders'!C:C,MATCH('Booking Management'!B213,'Sales Orders'!A:A,0)),"")</f>
        <v/>
      </c>
      <c r="K213" s="31" t="str">
        <f t="shared" ca="1" si="12"/>
        <v/>
      </c>
      <c r="P213" t="str">
        <f t="shared" si="11"/>
        <v/>
      </c>
      <c r="Q213" t="str">
        <f>IFERROR((J213/SUMIFS('Sales Orders'!D:D,'Sales Orders'!A:A,B213))*SUMIFS('Sales Orders'!N:N,'Sales Orders'!A:A,B213),"")</f>
        <v/>
      </c>
      <c r="U213"/>
      <c r="W213" s="31" t="str">
        <f t="shared" ca="1" si="13"/>
        <v/>
      </c>
      <c r="Z213" s="31"/>
      <c r="AG213" t="s">
        <v>141</v>
      </c>
      <c r="AH213" s="112">
        <v>45363.703622685185</v>
      </c>
      <c r="AP213" s="53"/>
      <c r="AQ213" s="53"/>
      <c r="AR213" s="53"/>
    </row>
    <row r="214" spans="2:44">
      <c r="B214" s="2"/>
      <c r="C214" t="str">
        <f>IF(B214&lt;&gt;"",INDEX('Sales Orders'!C:C,MATCH('Booking Management'!B214,'Sales Orders'!A:A,0)),"")</f>
        <v/>
      </c>
      <c r="K214" s="31" t="str">
        <f t="shared" ca="1" si="12"/>
        <v/>
      </c>
      <c r="P214" t="str">
        <f t="shared" si="11"/>
        <v/>
      </c>
      <c r="Q214" t="str">
        <f>IFERROR((J214/SUMIFS('Sales Orders'!D:D,'Sales Orders'!A:A,B214))*SUMIFS('Sales Orders'!N:N,'Sales Orders'!A:A,B214),"")</f>
        <v/>
      </c>
      <c r="W214" s="31" t="str">
        <f t="shared" ca="1" si="13"/>
        <v/>
      </c>
      <c r="Z214" s="31"/>
      <c r="AG214" t="s">
        <v>157</v>
      </c>
      <c r="AH214" s="112">
        <v>45365.796365740738</v>
      </c>
      <c r="AP214" s="53"/>
      <c r="AQ214" s="53"/>
      <c r="AR214" s="53"/>
    </row>
    <row r="215" spans="2:44">
      <c r="B215" s="2"/>
      <c r="C215" t="str">
        <f>IF(B215&lt;&gt;"",INDEX('Sales Orders'!C:C,MATCH('Booking Management'!B215,'Sales Orders'!A:A,0)),"")</f>
        <v/>
      </c>
      <c r="K215" s="31" t="str">
        <f t="shared" ca="1" si="12"/>
        <v/>
      </c>
      <c r="P215" t="str">
        <f t="shared" si="11"/>
        <v/>
      </c>
      <c r="Q215" t="str">
        <f>IFERROR((J215/SUMIFS('Sales Orders'!D:D,'Sales Orders'!A:A,B215))*SUMIFS('Sales Orders'!N:N,'Sales Orders'!A:A,B215),"")</f>
        <v/>
      </c>
      <c r="W215" s="31" t="str">
        <f t="shared" ca="1" si="13"/>
        <v/>
      </c>
      <c r="Z215" s="31"/>
      <c r="AG215" t="s">
        <v>157</v>
      </c>
      <c r="AH215" s="112">
        <v>45365.796585648146</v>
      </c>
      <c r="AP215" s="53"/>
      <c r="AQ215" s="53"/>
      <c r="AR215" s="53"/>
    </row>
    <row r="216" spans="2:44">
      <c r="B216" s="47"/>
      <c r="C216" t="str">
        <f>IF(B216&lt;&gt;"",INDEX('Sales Orders'!C:C,MATCH('Booking Management'!B216,'Sales Orders'!A:A,0)),"")</f>
        <v/>
      </c>
      <c r="K216" s="31" t="str">
        <f t="shared" ca="1" si="12"/>
        <v/>
      </c>
      <c r="P216" t="str">
        <f t="shared" si="11"/>
        <v/>
      </c>
      <c r="Q216" t="str">
        <f>IFERROR((J216/SUMIFS('Sales Orders'!D:D,'Sales Orders'!A:A,B216))*SUMIFS('Sales Orders'!N:N,'Sales Orders'!A:A,B216),"")</f>
        <v/>
      </c>
      <c r="U216"/>
      <c r="W216" s="31" t="str">
        <f t="shared" ca="1" si="13"/>
        <v/>
      </c>
      <c r="Z216" s="31"/>
      <c r="AG216" t="s">
        <v>157</v>
      </c>
      <c r="AH216" s="112">
        <v>45365.797650462962</v>
      </c>
      <c r="AP216" s="53"/>
      <c r="AQ216" s="53"/>
      <c r="AR216" s="53"/>
    </row>
    <row r="217" spans="2:44">
      <c r="B217" s="2"/>
      <c r="C217" t="str">
        <f>IF(B217&lt;&gt;"",INDEX('Sales Orders'!C:C,MATCH('Booking Management'!B217,'Sales Orders'!A:A,0)),"")</f>
        <v/>
      </c>
      <c r="K217" s="31" t="str">
        <f t="shared" ca="1" si="12"/>
        <v/>
      </c>
      <c r="P217" t="str">
        <f t="shared" si="11"/>
        <v/>
      </c>
      <c r="Q217" t="str">
        <f>IFERROR((J217/SUMIFS('Sales Orders'!D:D,'Sales Orders'!A:A,B217))*SUMIFS('Sales Orders'!N:N,'Sales Orders'!A:A,B217),"")</f>
        <v/>
      </c>
      <c r="U217"/>
      <c r="W217" s="31" t="str">
        <f t="shared" ca="1" si="13"/>
        <v/>
      </c>
      <c r="Z217" s="31"/>
      <c r="AG217" t="s">
        <v>139</v>
      </c>
      <c r="AH217" s="112">
        <v>45375.869803240741</v>
      </c>
      <c r="AP217" s="53"/>
      <c r="AQ217" s="53"/>
      <c r="AR217" s="53"/>
    </row>
    <row r="218" spans="2:44">
      <c r="B218" s="2"/>
      <c r="C218" t="str">
        <f>IF(B218&lt;&gt;"",INDEX('Sales Orders'!C:C,MATCH('Booking Management'!B218,'Sales Orders'!A:A,0)),"")</f>
        <v/>
      </c>
      <c r="K218" s="31" t="str">
        <f t="shared" ca="1" si="12"/>
        <v/>
      </c>
      <c r="P218" t="str">
        <f t="shared" si="11"/>
        <v/>
      </c>
      <c r="Q218" t="str">
        <f>IFERROR((J218/SUMIFS('Sales Orders'!D:D,'Sales Orders'!A:A,B218))*SUMIFS('Sales Orders'!N:N,'Sales Orders'!A:A,B218),"")</f>
        <v/>
      </c>
      <c r="U218"/>
      <c r="W218" s="31" t="str">
        <f t="shared" ca="1" si="13"/>
        <v/>
      </c>
      <c r="Z218" s="31"/>
      <c r="AG218" t="s">
        <v>141</v>
      </c>
      <c r="AH218" s="112">
        <v>45375.869872685187</v>
      </c>
      <c r="AP218" s="53"/>
      <c r="AQ218" s="53"/>
      <c r="AR218" s="53"/>
    </row>
    <row r="219" spans="2:44">
      <c r="B219" s="44"/>
      <c r="C219" t="str">
        <f>IF(B219&lt;&gt;"",INDEX('Sales Orders'!C:C,MATCH('Booking Management'!B219,'Sales Orders'!A:A,0)),"")</f>
        <v/>
      </c>
      <c r="K219" s="31" t="str">
        <f t="shared" ca="1" si="12"/>
        <v/>
      </c>
      <c r="P219" t="str">
        <f t="shared" si="11"/>
        <v/>
      </c>
      <c r="Q219" t="str">
        <f>IFERROR((J219/SUMIFS('Sales Orders'!D:D,'Sales Orders'!A:A,B219))*SUMIFS('Sales Orders'!N:N,'Sales Orders'!A:A,B219),"")</f>
        <v/>
      </c>
      <c r="U219"/>
      <c r="W219" s="31" t="str">
        <f t="shared" ca="1" si="13"/>
        <v/>
      </c>
      <c r="Z219" s="31"/>
      <c r="AG219" t="s">
        <v>157</v>
      </c>
      <c r="AH219" s="112">
        <v>45375.872384259259</v>
      </c>
      <c r="AP219" s="53"/>
      <c r="AQ219" s="53"/>
      <c r="AR219" s="53"/>
    </row>
    <row r="220" spans="2:44">
      <c r="B220" s="2"/>
      <c r="C220" t="str">
        <f>IF(B220&lt;&gt;"",INDEX('Sales Orders'!C:C,MATCH('Booking Management'!B220,'Sales Orders'!A:A,0)),"")</f>
        <v/>
      </c>
      <c r="K220" s="31" t="str">
        <f t="shared" ca="1" si="12"/>
        <v/>
      </c>
      <c r="P220" t="str">
        <f t="shared" si="11"/>
        <v/>
      </c>
      <c r="Q220" t="str">
        <f>IFERROR((J220/SUMIFS('Sales Orders'!D:D,'Sales Orders'!A:A,B220))*SUMIFS('Sales Orders'!N:N,'Sales Orders'!A:A,B220),"")</f>
        <v/>
      </c>
      <c r="U220"/>
      <c r="W220" s="31" t="str">
        <f t="shared" ca="1" si="13"/>
        <v/>
      </c>
      <c r="Z220" s="31"/>
      <c r="AG220" t="s">
        <v>157</v>
      </c>
      <c r="AH220" s="112">
        <v>45375.873113425929</v>
      </c>
      <c r="AP220" s="53"/>
      <c r="AQ220" s="53"/>
      <c r="AR220" s="53"/>
    </row>
    <row r="221" spans="2:44">
      <c r="B221" s="2"/>
      <c r="C221" t="str">
        <f>IF(B221&lt;&gt;"",INDEX('Sales Orders'!C:C,MATCH('Booking Management'!B221,'Sales Orders'!A:A,0)),"")</f>
        <v/>
      </c>
      <c r="K221" s="31" t="str">
        <f t="shared" ca="1" si="12"/>
        <v/>
      </c>
      <c r="P221" t="str">
        <f t="shared" si="11"/>
        <v/>
      </c>
      <c r="Q221" t="str">
        <f>IFERROR((J221/SUMIFS('Sales Orders'!D:D,'Sales Orders'!A:A,B221))*SUMIFS('Sales Orders'!N:N,'Sales Orders'!A:A,B221),"")</f>
        <v/>
      </c>
      <c r="U221"/>
      <c r="W221" s="31" t="str">
        <f t="shared" ca="1" si="13"/>
        <v/>
      </c>
      <c r="Z221" s="31"/>
      <c r="AG221" t="s">
        <v>157</v>
      </c>
      <c r="AH221" s="112">
        <v>45375.873877314814</v>
      </c>
      <c r="AP221" s="53"/>
      <c r="AQ221" s="53"/>
      <c r="AR221" s="53"/>
    </row>
    <row r="222" spans="2:44">
      <c r="B222" s="2"/>
      <c r="C222" t="str">
        <f>IF(B222&lt;&gt;"",INDEX('Sales Orders'!C:C,MATCH('Booking Management'!B222,'Sales Orders'!A:A,0)),"")</f>
        <v/>
      </c>
      <c r="K222" s="31" t="str">
        <f t="shared" ca="1" si="12"/>
        <v/>
      </c>
      <c r="P222" t="str">
        <f t="shared" si="11"/>
        <v/>
      </c>
      <c r="Q222" t="str">
        <f>IFERROR((J222/SUMIFS('Sales Orders'!D:D,'Sales Orders'!A:A,B222))*SUMIFS('Sales Orders'!N:N,'Sales Orders'!A:A,B222),"")</f>
        <v/>
      </c>
      <c r="W222" s="31" t="str">
        <f t="shared" ca="1" si="13"/>
        <v/>
      </c>
      <c r="Z222" s="31"/>
      <c r="AG222" t="s">
        <v>139</v>
      </c>
      <c r="AH222" s="112">
        <v>45383.879120370373</v>
      </c>
      <c r="AP222" s="53"/>
      <c r="AQ222" s="53"/>
      <c r="AR222" s="53"/>
    </row>
    <row r="223" spans="2:44">
      <c r="B223" s="2"/>
      <c r="C223" t="str">
        <f>IF(B223&lt;&gt;"",INDEX('Sales Orders'!C:C,MATCH('Booking Management'!B223,'Sales Orders'!A:A,0)),"")</f>
        <v/>
      </c>
      <c r="K223" s="31" t="str">
        <f t="shared" ca="1" si="12"/>
        <v/>
      </c>
      <c r="M223" s="45"/>
      <c r="N223" s="45"/>
      <c r="P223" t="str">
        <f t="shared" si="11"/>
        <v/>
      </c>
      <c r="Q223" t="str">
        <f>IFERROR((J223/SUMIFS('Sales Orders'!D:D,'Sales Orders'!A:A,B223))*SUMIFS('Sales Orders'!N:N,'Sales Orders'!A:A,B223),"")</f>
        <v/>
      </c>
      <c r="W223" s="31" t="str">
        <f t="shared" ca="1" si="13"/>
        <v/>
      </c>
      <c r="Z223" s="31"/>
      <c r="AG223" t="s">
        <v>141</v>
      </c>
      <c r="AH223" s="112">
        <v>45383.879143518519</v>
      </c>
      <c r="AP223" s="53"/>
      <c r="AQ223" s="53"/>
      <c r="AR223" s="53"/>
    </row>
    <row r="224" spans="2:44">
      <c r="B224" s="2"/>
      <c r="C224" t="str">
        <f>IF(B224&lt;&gt;"",INDEX('Sales Orders'!C:C,MATCH('Booking Management'!B224,'Sales Orders'!A:A,0)),"")</f>
        <v/>
      </c>
      <c r="K224" s="31" t="str">
        <f t="shared" ca="1" si="12"/>
        <v/>
      </c>
      <c r="P224" t="str">
        <f t="shared" si="11"/>
        <v/>
      </c>
      <c r="Q224" t="str">
        <f>IFERROR((J224/SUMIFS('Sales Orders'!D:D,'Sales Orders'!A:A,B224))*SUMIFS('Sales Orders'!N:N,'Sales Orders'!A:A,B224),"")</f>
        <v/>
      </c>
      <c r="U224"/>
      <c r="W224" s="31" t="str">
        <f t="shared" ca="1" si="13"/>
        <v/>
      </c>
      <c r="Z224" s="31"/>
      <c r="AG224" t="s">
        <v>157</v>
      </c>
      <c r="AH224" s="112">
        <v>45383.905069444445</v>
      </c>
      <c r="AP224" s="53"/>
      <c r="AQ224" s="53"/>
      <c r="AR224" s="53"/>
    </row>
    <row r="225" spans="2:44">
      <c r="B225" s="2"/>
      <c r="C225" t="str">
        <f>IF(B225&lt;&gt;"",INDEX('Sales Orders'!C:C,MATCH('Booking Management'!B225,'Sales Orders'!A:A,0)),"")</f>
        <v/>
      </c>
      <c r="K225" s="31" t="str">
        <f t="shared" ca="1" si="12"/>
        <v/>
      </c>
      <c r="P225" t="str">
        <f t="shared" ref="P225:P288" si="14">IF(B225&lt;&gt;"",T225-L225,"")</f>
        <v/>
      </c>
      <c r="Q225" t="str">
        <f>IFERROR((J225/SUMIFS('Sales Orders'!D:D,'Sales Orders'!A:A,B225))*SUMIFS('Sales Orders'!N:N,'Sales Orders'!A:A,B225),"")</f>
        <v/>
      </c>
      <c r="U225"/>
      <c r="W225" s="31" t="str">
        <f t="shared" ca="1" si="13"/>
        <v/>
      </c>
      <c r="Z225" s="31"/>
      <c r="AG225" t="s">
        <v>139</v>
      </c>
      <c r="AH225" s="112">
        <v>45383.916643518518</v>
      </c>
      <c r="AP225" s="53"/>
      <c r="AQ225" s="53"/>
      <c r="AR225" s="53"/>
    </row>
    <row r="226" spans="2:44">
      <c r="B226" s="2"/>
      <c r="C226" t="str">
        <f>IF(B226&lt;&gt;"",INDEX('Sales Orders'!C:C,MATCH('Booking Management'!B226,'Sales Orders'!A:A,0)),"")</f>
        <v/>
      </c>
      <c r="K226" s="31" t="str">
        <f t="shared" ca="1" si="12"/>
        <v/>
      </c>
      <c r="P226" t="str">
        <f t="shared" si="14"/>
        <v/>
      </c>
      <c r="Q226" t="str">
        <f>IFERROR((J226/SUMIFS('Sales Orders'!D:D,'Sales Orders'!A:A,B226))*SUMIFS('Sales Orders'!N:N,'Sales Orders'!A:A,B226),"")</f>
        <v/>
      </c>
      <c r="U226"/>
      <c r="W226" s="31" t="str">
        <f t="shared" ca="1" si="13"/>
        <v/>
      </c>
      <c r="Z226" s="31"/>
      <c r="AG226" t="s">
        <v>141</v>
      </c>
      <c r="AH226" s="112">
        <v>45383.916655092595</v>
      </c>
      <c r="AP226" s="53"/>
      <c r="AQ226" s="53"/>
      <c r="AR226" s="53"/>
    </row>
    <row r="227" spans="2:44">
      <c r="B227" s="2"/>
      <c r="C227" t="str">
        <f>IF(B227&lt;&gt;"",INDEX('Sales Orders'!C:C,MATCH('Booking Management'!B227,'Sales Orders'!A:A,0)),"")</f>
        <v/>
      </c>
      <c r="K227" s="31" t="str">
        <f t="shared" ca="1" si="12"/>
        <v/>
      </c>
      <c r="P227" t="str">
        <f t="shared" si="14"/>
        <v/>
      </c>
      <c r="Q227" t="str">
        <f>IFERROR((J227/SUMIFS('Sales Orders'!D:D,'Sales Orders'!A:A,B227))*SUMIFS('Sales Orders'!N:N,'Sales Orders'!A:A,B227),"")</f>
        <v/>
      </c>
      <c r="U227"/>
      <c r="W227" s="31" t="str">
        <f t="shared" ca="1" si="13"/>
        <v/>
      </c>
      <c r="Z227" s="31"/>
      <c r="AG227" t="s">
        <v>139</v>
      </c>
      <c r="AH227" s="112">
        <v>45383.917962962965</v>
      </c>
      <c r="AP227" s="53"/>
      <c r="AQ227" s="53"/>
      <c r="AR227" s="53"/>
    </row>
    <row r="228" spans="2:44">
      <c r="B228" s="2"/>
      <c r="C228" t="str">
        <f>IF(B228&lt;&gt;"",INDEX('Sales Orders'!C:C,MATCH('Booking Management'!B228,'Sales Orders'!A:A,0)),"")</f>
        <v/>
      </c>
      <c r="K228" s="31" t="str">
        <f t="shared" ca="1" si="12"/>
        <v/>
      </c>
      <c r="P228" t="str">
        <f t="shared" si="14"/>
        <v/>
      </c>
      <c r="Q228" t="str">
        <f>IFERROR((J228/SUMIFS('Sales Orders'!D:D,'Sales Orders'!A:A,B228))*SUMIFS('Sales Orders'!N:N,'Sales Orders'!A:A,B228),"")</f>
        <v/>
      </c>
      <c r="U228"/>
      <c r="W228" s="31" t="str">
        <f t="shared" ca="1" si="13"/>
        <v/>
      </c>
      <c r="Z228" s="31"/>
      <c r="AG228" t="s">
        <v>141</v>
      </c>
      <c r="AH228" s="112">
        <v>45383.917974537035</v>
      </c>
      <c r="AP228" s="53"/>
      <c r="AQ228" s="53"/>
      <c r="AR228" s="53"/>
    </row>
    <row r="229" spans="2:44">
      <c r="B229" s="47"/>
      <c r="C229" t="str">
        <f>IF(B229&lt;&gt;"",INDEX('Sales Orders'!C:C,MATCH('Booking Management'!B229,'Sales Orders'!A:A,0)),"")</f>
        <v/>
      </c>
      <c r="K229" s="31" t="str">
        <f t="shared" ca="1" si="12"/>
        <v/>
      </c>
      <c r="P229" t="str">
        <f t="shared" si="14"/>
        <v/>
      </c>
      <c r="Q229" t="str">
        <f>IFERROR((J229/SUMIFS('Sales Orders'!D:D,'Sales Orders'!A:A,B229))*SUMIFS('Sales Orders'!N:N,'Sales Orders'!A:A,B229),"")</f>
        <v/>
      </c>
      <c r="U229"/>
      <c r="W229" s="31" t="str">
        <f t="shared" ca="1" si="13"/>
        <v/>
      </c>
      <c r="Z229" s="31"/>
      <c r="AP229" s="53"/>
      <c r="AQ229" s="53"/>
      <c r="AR229" s="53"/>
    </row>
    <row r="230" spans="2:44">
      <c r="B230" s="2"/>
      <c r="C230" t="str">
        <f>IF(B230&lt;&gt;"",INDEX('Sales Orders'!C:C,MATCH('Booking Management'!B230,'Sales Orders'!A:A,0)),"")</f>
        <v/>
      </c>
      <c r="K230" s="31" t="str">
        <f t="shared" ca="1" si="12"/>
        <v/>
      </c>
      <c r="P230" t="str">
        <f t="shared" si="14"/>
        <v/>
      </c>
      <c r="Q230" t="str">
        <f>IFERROR((J230/SUMIFS('Sales Orders'!D:D,'Sales Orders'!A:A,B230))*SUMIFS('Sales Orders'!N:N,'Sales Orders'!A:A,B230),"")</f>
        <v/>
      </c>
      <c r="U230"/>
      <c r="W230" s="31" t="str">
        <f t="shared" ca="1" si="13"/>
        <v/>
      </c>
      <c r="Z230" s="31"/>
      <c r="AP230" s="53"/>
      <c r="AQ230" s="53"/>
      <c r="AR230" s="53"/>
    </row>
    <row r="231" spans="2:44">
      <c r="B231" s="2"/>
      <c r="C231" t="str">
        <f>IF(B231&lt;&gt;"",INDEX('Sales Orders'!C:C,MATCH('Booking Management'!B231,'Sales Orders'!A:A,0)),"")</f>
        <v/>
      </c>
      <c r="K231" s="31" t="str">
        <f t="shared" ca="1" si="12"/>
        <v/>
      </c>
      <c r="P231" t="str">
        <f t="shared" si="14"/>
        <v/>
      </c>
      <c r="Q231" t="str">
        <f>IFERROR((J231/SUMIFS('Sales Orders'!D:D,'Sales Orders'!A:A,B231))*SUMIFS('Sales Orders'!N:N,'Sales Orders'!A:A,B231),"")</f>
        <v/>
      </c>
      <c r="U231"/>
      <c r="W231" s="31" t="str">
        <f t="shared" ca="1" si="13"/>
        <v/>
      </c>
      <c r="Z231" s="31"/>
      <c r="AP231" s="53"/>
      <c r="AQ231" s="53"/>
      <c r="AR231" s="53"/>
    </row>
    <row r="232" spans="2:44">
      <c r="B232" s="2"/>
      <c r="C232" t="str">
        <f>IF(B232&lt;&gt;"",INDEX('Sales Orders'!C:C,MATCH('Booking Management'!B232,'Sales Orders'!A:A,0)),"")</f>
        <v/>
      </c>
      <c r="K232" s="31" t="str">
        <f t="shared" ca="1" si="12"/>
        <v/>
      </c>
      <c r="M232" s="45"/>
      <c r="N232" s="45"/>
      <c r="P232" t="str">
        <f t="shared" si="14"/>
        <v/>
      </c>
      <c r="Q232" t="str">
        <f>IFERROR((J232/SUMIFS('Sales Orders'!D:D,'Sales Orders'!A:A,B232))*SUMIFS('Sales Orders'!N:N,'Sales Orders'!A:A,B232),"")</f>
        <v/>
      </c>
      <c r="U232"/>
      <c r="W232" s="31" t="str">
        <f t="shared" ca="1" si="13"/>
        <v/>
      </c>
      <c r="Z232" s="31"/>
      <c r="AP232" s="53"/>
      <c r="AQ232" s="53"/>
      <c r="AR232" s="53"/>
    </row>
    <row r="233" spans="2:44">
      <c r="B233" s="2"/>
      <c r="C233" t="str">
        <f>IF(B233&lt;&gt;"",INDEX('Sales Orders'!C:C,MATCH('Booking Management'!B233,'Sales Orders'!A:A,0)),"")</f>
        <v/>
      </c>
      <c r="K233" s="31" t="str">
        <f t="shared" ca="1" si="12"/>
        <v/>
      </c>
      <c r="M233" s="45"/>
      <c r="N233" s="45"/>
      <c r="P233" t="str">
        <f t="shared" si="14"/>
        <v/>
      </c>
      <c r="Q233" t="str">
        <f>IFERROR((J233/SUMIFS('Sales Orders'!D:D,'Sales Orders'!A:A,B233))*SUMIFS('Sales Orders'!N:N,'Sales Orders'!A:A,B233),"")</f>
        <v/>
      </c>
      <c r="W233" s="31" t="str">
        <f t="shared" ca="1" si="13"/>
        <v/>
      </c>
      <c r="Z233" s="31"/>
      <c r="AP233" s="53"/>
      <c r="AQ233" s="53"/>
      <c r="AR233" s="53"/>
    </row>
    <row r="234" spans="2:44">
      <c r="B234" s="2"/>
      <c r="C234" t="str">
        <f>IF(B234&lt;&gt;"",INDEX('Sales Orders'!C:C,MATCH('Booking Management'!B234,'Sales Orders'!A:A,0)),"")</f>
        <v/>
      </c>
      <c r="K234" s="31" t="str">
        <f t="shared" ca="1" si="12"/>
        <v/>
      </c>
      <c r="P234" t="str">
        <f t="shared" si="14"/>
        <v/>
      </c>
      <c r="Q234" t="str">
        <f>IFERROR((J234/SUMIFS('Sales Orders'!D:D,'Sales Orders'!A:A,B234))*SUMIFS('Sales Orders'!N:N,'Sales Orders'!A:A,B234),"")</f>
        <v/>
      </c>
      <c r="U234"/>
      <c r="W234" s="31" t="str">
        <f t="shared" ca="1" si="13"/>
        <v/>
      </c>
      <c r="Z234" s="31"/>
      <c r="AP234" s="53"/>
      <c r="AQ234" s="53"/>
      <c r="AR234" s="53"/>
    </row>
    <row r="235" spans="2:44">
      <c r="B235" s="2"/>
      <c r="C235" t="str">
        <f>IF(B235&lt;&gt;"",INDEX('Sales Orders'!C:C,MATCH('Booking Management'!B235,'Sales Orders'!A:A,0)),"")</f>
        <v/>
      </c>
      <c r="K235" s="31" t="str">
        <f t="shared" ca="1" si="12"/>
        <v/>
      </c>
      <c r="P235" t="str">
        <f t="shared" si="14"/>
        <v/>
      </c>
      <c r="Q235" t="str">
        <f>IFERROR((J235/SUMIFS('Sales Orders'!D:D,'Sales Orders'!A:A,B235))*SUMIFS('Sales Orders'!N:N,'Sales Orders'!A:A,B235),"")</f>
        <v/>
      </c>
      <c r="W235" s="31" t="str">
        <f t="shared" ca="1" si="13"/>
        <v/>
      </c>
      <c r="Z235" s="31"/>
      <c r="AP235" s="53"/>
      <c r="AQ235" s="53"/>
      <c r="AR235" s="53"/>
    </row>
    <row r="236" spans="2:44">
      <c r="B236" s="2"/>
      <c r="C236" t="str">
        <f>IF(B236&lt;&gt;"",INDEX('Sales Orders'!C:C,MATCH('Booking Management'!B236,'Sales Orders'!A:A,0)),"")</f>
        <v/>
      </c>
      <c r="K236" s="31" t="str">
        <f t="shared" ca="1" si="12"/>
        <v/>
      </c>
      <c r="P236" t="str">
        <f t="shared" si="14"/>
        <v/>
      </c>
      <c r="Q236" t="str">
        <f>IFERROR((J236/SUMIFS('Sales Orders'!D:D,'Sales Orders'!A:A,B236))*SUMIFS('Sales Orders'!N:N,'Sales Orders'!A:A,B236),"")</f>
        <v/>
      </c>
      <c r="U236"/>
      <c r="W236" s="31" t="str">
        <f t="shared" ca="1" si="13"/>
        <v/>
      </c>
      <c r="Z236" s="31"/>
      <c r="AP236" s="53"/>
      <c r="AQ236" s="53"/>
      <c r="AR236" s="53"/>
    </row>
    <row r="237" spans="2:44">
      <c r="B237" s="2"/>
      <c r="C237" t="str">
        <f>IF(B237&lt;&gt;"",INDEX('Sales Orders'!C:C,MATCH('Booking Management'!B237,'Sales Orders'!A:A,0)),"")</f>
        <v/>
      </c>
      <c r="K237" s="31" t="str">
        <f t="shared" ca="1" si="12"/>
        <v/>
      </c>
      <c r="P237" t="str">
        <f t="shared" si="14"/>
        <v/>
      </c>
      <c r="Q237" t="str">
        <f>IFERROR((J237/SUMIFS('Sales Orders'!D:D,'Sales Orders'!A:A,B237))*SUMIFS('Sales Orders'!N:N,'Sales Orders'!A:A,B237),"")</f>
        <v/>
      </c>
      <c r="U237"/>
      <c r="W237" s="31" t="str">
        <f t="shared" ca="1" si="13"/>
        <v/>
      </c>
      <c r="Z237" s="31"/>
      <c r="AP237" s="53"/>
      <c r="AQ237" s="53"/>
      <c r="AR237" s="53"/>
    </row>
    <row r="238" spans="2:44">
      <c r="B238" s="2"/>
      <c r="C238" t="str">
        <f>IF(B238&lt;&gt;"",INDEX('Sales Orders'!C:C,MATCH('Booking Management'!B238,'Sales Orders'!A:A,0)),"")</f>
        <v/>
      </c>
      <c r="K238" s="31" t="str">
        <f t="shared" ca="1" si="12"/>
        <v/>
      </c>
      <c r="P238" t="str">
        <f t="shared" si="14"/>
        <v/>
      </c>
      <c r="Q238" t="str">
        <f>IFERROR((J238/SUMIFS('Sales Orders'!D:D,'Sales Orders'!A:A,B238))*SUMIFS('Sales Orders'!N:N,'Sales Orders'!A:A,B238),"")</f>
        <v/>
      </c>
      <c r="U238"/>
      <c r="W238" s="31" t="str">
        <f t="shared" ca="1" si="13"/>
        <v/>
      </c>
      <c r="Z238" s="31"/>
      <c r="AP238" s="53"/>
      <c r="AQ238" s="53"/>
      <c r="AR238" s="53"/>
    </row>
    <row r="239" spans="2:44">
      <c r="B239" s="2"/>
      <c r="C239" t="str">
        <f>IF(B239&lt;&gt;"",INDEX('Sales Orders'!C:C,MATCH('Booking Management'!B239,'Sales Orders'!A:A,0)),"")</f>
        <v/>
      </c>
      <c r="K239" s="31" t="str">
        <f t="shared" ca="1" si="12"/>
        <v/>
      </c>
      <c r="P239" t="str">
        <f t="shared" si="14"/>
        <v/>
      </c>
      <c r="Q239" t="str">
        <f>IFERROR((J239/SUMIFS('Sales Orders'!D:D,'Sales Orders'!A:A,B239))*SUMIFS('Sales Orders'!N:N,'Sales Orders'!A:A,B239),"")</f>
        <v/>
      </c>
      <c r="U239"/>
      <c r="W239" s="31" t="str">
        <f t="shared" ca="1" si="13"/>
        <v/>
      </c>
      <c r="Z239" s="31"/>
      <c r="AP239" s="53"/>
      <c r="AQ239" s="53"/>
      <c r="AR239" s="53"/>
    </row>
    <row r="240" spans="2:44">
      <c r="B240" s="2"/>
      <c r="C240" t="str">
        <f>IF(B240&lt;&gt;"",INDEX('Sales Orders'!C:C,MATCH('Booking Management'!B240,'Sales Orders'!A:A,0)),"")</f>
        <v/>
      </c>
      <c r="K240" s="31" t="str">
        <f t="shared" ca="1" si="12"/>
        <v/>
      </c>
      <c r="P240" t="str">
        <f t="shared" si="14"/>
        <v/>
      </c>
      <c r="Q240" t="str">
        <f>IFERROR((J240/SUMIFS('Sales Orders'!D:D,'Sales Orders'!A:A,B240))*SUMIFS('Sales Orders'!N:N,'Sales Orders'!A:A,B240),"")</f>
        <v/>
      </c>
      <c r="U240"/>
      <c r="W240" s="31" t="str">
        <f t="shared" ca="1" si="13"/>
        <v/>
      </c>
      <c r="Z240" s="31"/>
      <c r="AP240" s="53"/>
      <c r="AQ240" s="53"/>
      <c r="AR240" s="53"/>
    </row>
    <row r="241" spans="2:44">
      <c r="B241" s="47"/>
      <c r="C241" t="str">
        <f>IF(B241&lt;&gt;"",INDEX('Sales Orders'!C:C,MATCH('Booking Management'!B241,'Sales Orders'!A:A,0)),"")</f>
        <v/>
      </c>
      <c r="K241" s="31" t="str">
        <f t="shared" ca="1" si="12"/>
        <v/>
      </c>
      <c r="P241" t="str">
        <f t="shared" si="14"/>
        <v/>
      </c>
      <c r="Q241" t="str">
        <f>IFERROR((J241/SUMIFS('Sales Orders'!D:D,'Sales Orders'!A:A,B241))*SUMIFS('Sales Orders'!N:N,'Sales Orders'!A:A,B241),"")</f>
        <v/>
      </c>
      <c r="W241" s="31" t="str">
        <f t="shared" ca="1" si="13"/>
        <v/>
      </c>
      <c r="Z241" s="31"/>
      <c r="AP241" s="53"/>
      <c r="AQ241" s="53"/>
      <c r="AR241" s="53"/>
    </row>
    <row r="242" spans="2:44">
      <c r="B242" s="2"/>
      <c r="C242" t="str">
        <f>IF(B242&lt;&gt;"",INDEX('Sales Orders'!C:C,MATCH('Booking Management'!B242,'Sales Orders'!A:A,0)),"")</f>
        <v/>
      </c>
      <c r="K242" s="31" t="str">
        <f t="shared" ca="1" si="12"/>
        <v/>
      </c>
      <c r="P242" t="str">
        <f t="shared" si="14"/>
        <v/>
      </c>
      <c r="Q242" t="str">
        <f>IFERROR((J242/SUMIFS('Sales Orders'!D:D,'Sales Orders'!A:A,B242))*SUMIFS('Sales Orders'!N:N,'Sales Orders'!A:A,B242),"")</f>
        <v/>
      </c>
      <c r="W242" s="31" t="str">
        <f t="shared" ca="1" si="13"/>
        <v/>
      </c>
      <c r="Z242" s="31"/>
      <c r="AP242" s="53"/>
      <c r="AQ242" s="53"/>
      <c r="AR242" s="53"/>
    </row>
    <row r="243" spans="2:44">
      <c r="B243" s="2"/>
      <c r="C243" t="str">
        <f>IF(B243&lt;&gt;"",INDEX('Sales Orders'!C:C,MATCH('Booking Management'!B243,'Sales Orders'!A:A,0)),"")</f>
        <v/>
      </c>
      <c r="K243" s="31" t="str">
        <f t="shared" ca="1" si="12"/>
        <v/>
      </c>
      <c r="P243" t="str">
        <f t="shared" si="14"/>
        <v/>
      </c>
      <c r="Q243" t="str">
        <f>IFERROR((J243/SUMIFS('Sales Orders'!D:D,'Sales Orders'!A:A,B243))*SUMIFS('Sales Orders'!N:N,'Sales Orders'!A:A,B243),"")</f>
        <v/>
      </c>
      <c r="U243"/>
      <c r="W243" s="31" t="str">
        <f t="shared" ca="1" si="13"/>
        <v/>
      </c>
      <c r="Z243" s="31"/>
      <c r="AP243" s="53"/>
      <c r="AQ243" s="53"/>
      <c r="AR243" s="53"/>
    </row>
    <row r="244" spans="2:44">
      <c r="B244" s="2"/>
      <c r="C244" t="str">
        <f>IF(B244&lt;&gt;"",INDEX('Sales Orders'!C:C,MATCH('Booking Management'!B244,'Sales Orders'!A:A,0)),"")</f>
        <v/>
      </c>
      <c r="K244" s="31" t="str">
        <f t="shared" ca="1" si="12"/>
        <v/>
      </c>
      <c r="P244" t="str">
        <f t="shared" si="14"/>
        <v/>
      </c>
      <c r="Q244" t="str">
        <f>IFERROR((J244/SUMIFS('Sales Orders'!D:D,'Sales Orders'!A:A,B244))*SUMIFS('Sales Orders'!N:N,'Sales Orders'!A:A,B244),"")</f>
        <v/>
      </c>
      <c r="U244"/>
      <c r="W244" s="31" t="str">
        <f t="shared" ca="1" si="13"/>
        <v/>
      </c>
      <c r="Z244" s="31"/>
      <c r="AP244" s="53"/>
      <c r="AQ244" s="53"/>
      <c r="AR244" s="53"/>
    </row>
    <row r="245" spans="2:44">
      <c r="B245" s="2"/>
      <c r="C245" t="str">
        <f>IF(B245&lt;&gt;"",INDEX('Sales Orders'!C:C,MATCH('Booking Management'!B245,'Sales Orders'!A:A,0)),"")</f>
        <v/>
      </c>
      <c r="K245" s="31" t="str">
        <f t="shared" ca="1" si="12"/>
        <v/>
      </c>
      <c r="P245" t="str">
        <f t="shared" si="14"/>
        <v/>
      </c>
      <c r="Q245" t="str">
        <f>IFERROR((J245/SUMIFS('Sales Orders'!D:D,'Sales Orders'!A:A,B245))*SUMIFS('Sales Orders'!N:N,'Sales Orders'!A:A,B245),"")</f>
        <v/>
      </c>
      <c r="U245"/>
      <c r="W245" s="31" t="str">
        <f t="shared" ca="1" si="13"/>
        <v/>
      </c>
      <c r="Z245" s="31"/>
      <c r="AP245" s="53"/>
      <c r="AQ245" s="53"/>
      <c r="AR245" s="53"/>
    </row>
    <row r="246" spans="2:44">
      <c r="B246" s="2"/>
      <c r="C246" t="str">
        <f>IF(B246&lt;&gt;"",INDEX('Sales Orders'!C:C,MATCH('Booking Management'!B246,'Sales Orders'!A:A,0)),"")</f>
        <v/>
      </c>
      <c r="K246" s="31" t="str">
        <f t="shared" ca="1" si="12"/>
        <v/>
      </c>
      <c r="P246" t="str">
        <f t="shared" si="14"/>
        <v/>
      </c>
      <c r="Q246" t="str">
        <f>IFERROR((J246/SUMIFS('Sales Orders'!D:D,'Sales Orders'!A:A,B246))*SUMIFS('Sales Orders'!N:N,'Sales Orders'!A:A,B246),"")</f>
        <v/>
      </c>
      <c r="U246"/>
      <c r="W246" s="31" t="str">
        <f t="shared" ca="1" si="13"/>
        <v/>
      </c>
      <c r="Z246" s="31"/>
      <c r="AP246" s="53"/>
      <c r="AQ246" s="53"/>
      <c r="AR246" s="53"/>
    </row>
    <row r="247" spans="2:44">
      <c r="B247" s="2"/>
      <c r="C247" t="str">
        <f>IF(B247&lt;&gt;"",INDEX('Sales Orders'!C:C,MATCH('Booking Management'!B247,'Sales Orders'!A:A,0)),"")</f>
        <v/>
      </c>
      <c r="K247" s="31" t="str">
        <f t="shared" ca="1" si="12"/>
        <v/>
      </c>
      <c r="P247" t="str">
        <f t="shared" si="14"/>
        <v/>
      </c>
      <c r="Q247" t="str">
        <f>IFERROR((J247/SUMIFS('Sales Orders'!D:D,'Sales Orders'!A:A,B247))*SUMIFS('Sales Orders'!N:N,'Sales Orders'!A:A,B247),"")</f>
        <v/>
      </c>
      <c r="U247"/>
      <c r="W247" s="31" t="str">
        <f t="shared" ca="1" si="13"/>
        <v/>
      </c>
      <c r="Z247" s="31"/>
      <c r="AP247" s="53"/>
      <c r="AQ247" s="53"/>
      <c r="AR247" s="53"/>
    </row>
    <row r="248" spans="2:44">
      <c r="B248" s="2"/>
      <c r="C248" t="str">
        <f>IF(B248&lt;&gt;"",INDEX('Sales Orders'!C:C,MATCH('Booking Management'!B248,'Sales Orders'!A:A,0)),"")</f>
        <v/>
      </c>
      <c r="K248" s="31" t="str">
        <f t="shared" ca="1" si="12"/>
        <v/>
      </c>
      <c r="P248" t="str">
        <f t="shared" si="14"/>
        <v/>
      </c>
      <c r="Q248" t="str">
        <f>IFERROR((J248/SUMIFS('Sales Orders'!D:D,'Sales Orders'!A:A,B248))*SUMIFS('Sales Orders'!N:N,'Sales Orders'!A:A,B248),"")</f>
        <v/>
      </c>
      <c r="U248"/>
      <c r="W248" s="31" t="str">
        <f t="shared" ca="1" si="13"/>
        <v/>
      </c>
      <c r="Z248" s="31"/>
      <c r="AP248" s="53"/>
      <c r="AQ248" s="53"/>
      <c r="AR248" s="53"/>
    </row>
    <row r="249" spans="2:44">
      <c r="B249" s="2"/>
      <c r="C249" t="str">
        <f>IF(B249&lt;&gt;"",INDEX('Sales Orders'!C:C,MATCH('Booking Management'!B249,'Sales Orders'!A:A,0)),"")</f>
        <v/>
      </c>
      <c r="K249" s="31" t="str">
        <f t="shared" ca="1" si="12"/>
        <v/>
      </c>
      <c r="P249" t="str">
        <f t="shared" si="14"/>
        <v/>
      </c>
      <c r="Q249" t="str">
        <f>IFERROR((J249/SUMIFS('Sales Orders'!D:D,'Sales Orders'!A:A,B249))*SUMIFS('Sales Orders'!N:N,'Sales Orders'!A:A,B249),"")</f>
        <v/>
      </c>
      <c r="U249"/>
      <c r="W249" s="31" t="str">
        <f t="shared" ca="1" si="13"/>
        <v/>
      </c>
      <c r="Z249" s="31"/>
      <c r="AP249" s="53"/>
      <c r="AQ249" s="53"/>
      <c r="AR249" s="53"/>
    </row>
    <row r="250" spans="2:44">
      <c r="B250" s="2"/>
      <c r="C250" t="str">
        <f>IF(B250&lt;&gt;"",INDEX('Sales Orders'!C:C,MATCH('Booking Management'!B250,'Sales Orders'!A:A,0)),"")</f>
        <v/>
      </c>
      <c r="K250" s="31" t="str">
        <f t="shared" ca="1" si="12"/>
        <v/>
      </c>
      <c r="P250" t="str">
        <f t="shared" si="14"/>
        <v/>
      </c>
      <c r="Q250" t="str">
        <f>IFERROR((J250/SUMIFS('Sales Orders'!D:D,'Sales Orders'!A:A,B250))*SUMIFS('Sales Orders'!N:N,'Sales Orders'!A:A,B250),"")</f>
        <v/>
      </c>
      <c r="U250"/>
      <c r="W250" s="31" t="str">
        <f t="shared" ca="1" si="13"/>
        <v/>
      </c>
      <c r="Z250" s="31"/>
      <c r="AP250" s="53"/>
      <c r="AQ250" s="53"/>
      <c r="AR250" s="53"/>
    </row>
    <row r="251" spans="2:44">
      <c r="B251" s="2"/>
      <c r="C251" t="str">
        <f>IF(B251&lt;&gt;"",INDEX('Sales Orders'!C:C,MATCH('Booking Management'!B251,'Sales Orders'!A:A,0)),"")</f>
        <v/>
      </c>
      <c r="K251" s="31" t="str">
        <f t="shared" ca="1" si="12"/>
        <v/>
      </c>
      <c r="P251" t="str">
        <f t="shared" si="14"/>
        <v/>
      </c>
      <c r="Q251" t="str">
        <f>IFERROR((J251/SUMIFS('Sales Orders'!D:D,'Sales Orders'!A:A,B251))*SUMIFS('Sales Orders'!N:N,'Sales Orders'!A:A,B251),"")</f>
        <v/>
      </c>
      <c r="U251"/>
      <c r="W251" s="31" t="str">
        <f t="shared" ca="1" si="13"/>
        <v/>
      </c>
      <c r="Z251" s="31"/>
      <c r="AP251" s="53"/>
      <c r="AQ251" s="53"/>
      <c r="AR251" s="53"/>
    </row>
    <row r="252" spans="2:44">
      <c r="B252" s="2"/>
      <c r="C252" t="str">
        <f>IF(B252&lt;&gt;"",INDEX('Sales Orders'!C:C,MATCH('Booking Management'!B252,'Sales Orders'!A:A,0)),"")</f>
        <v/>
      </c>
      <c r="K252" s="31" t="str">
        <f t="shared" ca="1" si="12"/>
        <v/>
      </c>
      <c r="P252" t="str">
        <f t="shared" si="14"/>
        <v/>
      </c>
      <c r="Q252" t="str">
        <f>IFERROR((J252/SUMIFS('Sales Orders'!D:D,'Sales Orders'!A:A,B252))*SUMIFS('Sales Orders'!N:N,'Sales Orders'!A:A,B252),"")</f>
        <v/>
      </c>
      <c r="U252"/>
      <c r="W252" s="31" t="str">
        <f t="shared" ca="1" si="13"/>
        <v/>
      </c>
      <c r="Z252" s="31"/>
      <c r="AP252" s="53"/>
      <c r="AQ252" s="53"/>
      <c r="AR252" s="53"/>
    </row>
    <row r="253" spans="2:44">
      <c r="B253" s="47"/>
      <c r="C253" t="str">
        <f>IF(B253&lt;&gt;"",INDEX('Sales Orders'!C:C,MATCH('Booking Management'!B253,'Sales Orders'!A:A,0)),"")</f>
        <v/>
      </c>
      <c r="K253" s="31" t="str">
        <f t="shared" ca="1" si="12"/>
        <v/>
      </c>
      <c r="P253" t="str">
        <f t="shared" si="14"/>
        <v/>
      </c>
      <c r="Q253" t="str">
        <f>IFERROR((J253/SUMIFS('Sales Orders'!D:D,'Sales Orders'!A:A,B253))*SUMIFS('Sales Orders'!N:N,'Sales Orders'!A:A,B253),"")</f>
        <v/>
      </c>
      <c r="U253"/>
      <c r="W253" s="31" t="str">
        <f t="shared" ca="1" si="13"/>
        <v/>
      </c>
      <c r="Z253" s="31"/>
      <c r="AP253" s="53"/>
      <c r="AQ253" s="53"/>
      <c r="AR253" s="53"/>
    </row>
    <row r="254" spans="2:44">
      <c r="B254" s="2"/>
      <c r="C254" t="str">
        <f>IF(B254&lt;&gt;"",INDEX('Sales Orders'!C:C,MATCH('Booking Management'!B254,'Sales Orders'!A:A,0)),"")</f>
        <v/>
      </c>
      <c r="K254" s="31" t="str">
        <f t="shared" ca="1" si="12"/>
        <v/>
      </c>
      <c r="P254" t="str">
        <f t="shared" si="14"/>
        <v/>
      </c>
      <c r="Q254" t="str">
        <f>IFERROR((J254/SUMIFS('Sales Orders'!D:D,'Sales Orders'!A:A,B254))*SUMIFS('Sales Orders'!N:N,'Sales Orders'!A:A,B254),"")</f>
        <v/>
      </c>
      <c r="U254"/>
      <c r="W254" s="31" t="str">
        <f t="shared" ca="1" si="13"/>
        <v/>
      </c>
      <c r="Z254" s="31"/>
      <c r="AP254" s="53"/>
      <c r="AQ254" s="53"/>
      <c r="AR254" s="53"/>
    </row>
    <row r="255" spans="2:44">
      <c r="B255" s="2"/>
      <c r="C255" t="str">
        <f>IF(B255&lt;&gt;"",INDEX('Sales Orders'!C:C,MATCH('Booking Management'!B255,'Sales Orders'!A:A,0)),"")</f>
        <v/>
      </c>
      <c r="K255" s="31" t="str">
        <f t="shared" ca="1" si="12"/>
        <v/>
      </c>
      <c r="P255" t="str">
        <f t="shared" si="14"/>
        <v/>
      </c>
      <c r="Q255" t="str">
        <f>IFERROR((J255/SUMIFS('Sales Orders'!D:D,'Sales Orders'!A:A,B255))*SUMIFS('Sales Orders'!N:N,'Sales Orders'!A:A,B255),"")</f>
        <v/>
      </c>
      <c r="U255"/>
      <c r="W255" s="31" t="str">
        <f t="shared" ca="1" si="13"/>
        <v/>
      </c>
      <c r="Z255" s="31"/>
      <c r="AP255" s="53"/>
      <c r="AQ255" s="53"/>
      <c r="AR255" s="53"/>
    </row>
    <row r="256" spans="2:44">
      <c r="B256" s="47"/>
      <c r="C256" t="str">
        <f>IF(B256&lt;&gt;"",INDEX('Sales Orders'!C:C,MATCH('Booking Management'!B256,'Sales Orders'!A:A,0)),"")</f>
        <v/>
      </c>
      <c r="K256" s="31" t="str">
        <f t="shared" ca="1" si="12"/>
        <v/>
      </c>
      <c r="P256" t="str">
        <f t="shared" si="14"/>
        <v/>
      </c>
      <c r="Q256" t="str">
        <f>IFERROR((J256/SUMIFS('Sales Orders'!D:D,'Sales Orders'!A:A,B256))*SUMIFS('Sales Orders'!N:N,'Sales Orders'!A:A,B256),"")</f>
        <v/>
      </c>
      <c r="U256"/>
      <c r="W256" s="31" t="str">
        <f t="shared" ca="1" si="13"/>
        <v/>
      </c>
      <c r="Z256" s="31"/>
      <c r="AP256" s="53"/>
      <c r="AQ256" s="53"/>
      <c r="AR256" s="53"/>
    </row>
    <row r="257" spans="2:44">
      <c r="B257" s="2"/>
      <c r="C257" t="str">
        <f>IF(B257&lt;&gt;"",INDEX('Sales Orders'!C:C,MATCH('Booking Management'!B257,'Sales Orders'!A:A,0)),"")</f>
        <v/>
      </c>
      <c r="K257" s="31" t="str">
        <f t="shared" ca="1" si="12"/>
        <v/>
      </c>
      <c r="P257" t="str">
        <f t="shared" si="14"/>
        <v/>
      </c>
      <c r="Q257" t="str">
        <f>IFERROR((J257/SUMIFS('Sales Orders'!D:D,'Sales Orders'!A:A,B257))*SUMIFS('Sales Orders'!N:N,'Sales Orders'!A:A,B257),"")</f>
        <v/>
      </c>
      <c r="U257"/>
      <c r="W257" s="31" t="str">
        <f t="shared" ca="1" si="13"/>
        <v/>
      </c>
      <c r="Z257" s="31"/>
      <c r="AP257" s="53"/>
      <c r="AQ257" s="53"/>
      <c r="AR257" s="53"/>
    </row>
    <row r="258" spans="2:44">
      <c r="B258" s="47"/>
      <c r="C258" t="str">
        <f>IF(B258&lt;&gt;"",INDEX('Sales Orders'!C:C,MATCH('Booking Management'!B258,'Sales Orders'!A:A,0)),"")</f>
        <v/>
      </c>
      <c r="K258" s="31" t="str">
        <f t="shared" ca="1" si="12"/>
        <v/>
      </c>
      <c r="P258" t="str">
        <f t="shared" si="14"/>
        <v/>
      </c>
      <c r="Q258" t="str">
        <f>IFERROR((J258/SUMIFS('Sales Orders'!D:D,'Sales Orders'!A:A,B258))*SUMIFS('Sales Orders'!N:N,'Sales Orders'!A:A,B258),"")</f>
        <v/>
      </c>
      <c r="U258"/>
      <c r="W258" s="31" t="str">
        <f t="shared" ca="1" si="13"/>
        <v/>
      </c>
      <c r="Z258" s="31"/>
      <c r="AP258" s="53"/>
      <c r="AQ258" s="53"/>
      <c r="AR258" s="53"/>
    </row>
    <row r="259" spans="2:44">
      <c r="B259" s="52"/>
      <c r="C259" t="str">
        <f>IF(B259&lt;&gt;"",INDEX('Sales Orders'!C:C,MATCH('Booking Management'!B259,'Sales Orders'!A:A,0)),"")</f>
        <v/>
      </c>
      <c r="K259" s="31" t="str">
        <f t="shared" ref="K259:K322" ca="1" si="15">IF(B259&lt;&gt;"",IF(AND(OR(L259-TODAY()&lt;2,M259&lt;&gt;"yes",N259&lt;&gt;"yes",O259&lt;&gt;"yes"),S259&lt;&gt;"Used"),"Alert",""),"")</f>
        <v/>
      </c>
      <c r="P259" t="str">
        <f t="shared" si="14"/>
        <v/>
      </c>
      <c r="Q259" t="str">
        <f>IFERROR((J259/SUMIFS('Sales Orders'!D:D,'Sales Orders'!A:A,B259))*SUMIFS('Sales Orders'!N:N,'Sales Orders'!A:A,B259),"")</f>
        <v/>
      </c>
      <c r="U259"/>
      <c r="W259" s="31" t="str">
        <f t="shared" ca="1" si="13"/>
        <v/>
      </c>
      <c r="Z259" s="31"/>
      <c r="AP259" s="53"/>
      <c r="AQ259" s="53"/>
      <c r="AR259" s="53"/>
    </row>
    <row r="260" spans="2:44">
      <c r="B260" s="44"/>
      <c r="C260" t="str">
        <f>IF(B260&lt;&gt;"",INDEX('Sales Orders'!C:C,MATCH('Booking Management'!B260,'Sales Orders'!A:A,0)),"")</f>
        <v/>
      </c>
      <c r="K260" s="31" t="str">
        <f t="shared" ca="1" si="15"/>
        <v/>
      </c>
      <c r="P260" t="str">
        <f t="shared" si="14"/>
        <v/>
      </c>
      <c r="Q260" t="str">
        <f>IFERROR((J260/SUMIFS('Sales Orders'!D:D,'Sales Orders'!A:A,B260))*SUMIFS('Sales Orders'!N:N,'Sales Orders'!A:A,B260),"")</f>
        <v/>
      </c>
      <c r="U260"/>
      <c r="W260" s="31" t="str">
        <f t="shared" ca="1" si="13"/>
        <v/>
      </c>
      <c r="Z260" s="31"/>
      <c r="AP260" s="53"/>
      <c r="AQ260" s="53"/>
      <c r="AR260" s="53"/>
    </row>
    <row r="261" spans="2:44">
      <c r="B261" s="2"/>
      <c r="C261" t="str">
        <f>IF(B261&lt;&gt;"",INDEX('Sales Orders'!C:C,MATCH('Booking Management'!B261,'Sales Orders'!A:A,0)),"")</f>
        <v/>
      </c>
      <c r="K261" s="31" t="str">
        <f t="shared" ca="1" si="15"/>
        <v/>
      </c>
      <c r="P261" t="str">
        <f t="shared" si="14"/>
        <v/>
      </c>
      <c r="Q261" t="str">
        <f>IFERROR((J261/SUMIFS('Sales Orders'!D:D,'Sales Orders'!A:A,B261))*SUMIFS('Sales Orders'!N:N,'Sales Orders'!A:A,B261),"")</f>
        <v/>
      </c>
      <c r="U261"/>
      <c r="W261" s="31" t="str">
        <f t="shared" ca="1" si="13"/>
        <v/>
      </c>
      <c r="Z261" s="31"/>
      <c r="AP261" s="53"/>
      <c r="AQ261" s="53"/>
      <c r="AR261" s="53"/>
    </row>
    <row r="262" spans="2:44">
      <c r="B262" s="44"/>
      <c r="C262" t="str">
        <f>IF(B262&lt;&gt;"",INDEX('Sales Orders'!C:C,MATCH('Booking Management'!B262,'Sales Orders'!A:A,0)),"")</f>
        <v/>
      </c>
      <c r="K262" s="31" t="str">
        <f t="shared" ca="1" si="15"/>
        <v/>
      </c>
      <c r="P262" t="str">
        <f t="shared" si="14"/>
        <v/>
      </c>
      <c r="Q262" t="str">
        <f>IFERROR((J262/SUMIFS('Sales Orders'!D:D,'Sales Orders'!A:A,B262))*SUMIFS('Sales Orders'!N:N,'Sales Orders'!A:A,B262),"")</f>
        <v/>
      </c>
      <c r="U262"/>
      <c r="W262" s="31" t="str">
        <f t="shared" ca="1" si="13"/>
        <v/>
      </c>
      <c r="Z262" s="31"/>
      <c r="AP262" s="53"/>
      <c r="AQ262" s="53"/>
      <c r="AR262" s="53"/>
    </row>
    <row r="263" spans="2:44">
      <c r="B263" s="2"/>
      <c r="C263" t="str">
        <f>IF(B263&lt;&gt;"",INDEX('Sales Orders'!C:C,MATCH('Booking Management'!B263,'Sales Orders'!A:A,0)),"")</f>
        <v/>
      </c>
      <c r="K263" s="31" t="str">
        <f t="shared" ca="1" si="15"/>
        <v/>
      </c>
      <c r="P263" t="str">
        <f t="shared" si="14"/>
        <v/>
      </c>
      <c r="Q263" t="str">
        <f>IFERROR((J263/SUMIFS('Sales Orders'!D:D,'Sales Orders'!A:A,B263))*SUMIFS('Sales Orders'!N:N,'Sales Orders'!A:A,B263),"")</f>
        <v/>
      </c>
      <c r="U263"/>
      <c r="W263" s="31" t="str">
        <f t="shared" ref="W263:W326" ca="1" si="16">IF(T263&lt;&gt;"",IF(X263="Yes","NO",IF((TODAY()-V263)&gt;6,"YES","NO")),"")</f>
        <v/>
      </c>
      <c r="Z263" s="31"/>
      <c r="AP263" s="53"/>
      <c r="AQ263" s="53"/>
      <c r="AR263" s="53"/>
    </row>
    <row r="264" spans="2:44">
      <c r="B264" s="2"/>
      <c r="C264" t="str">
        <f>IF(B264&lt;&gt;"",INDEX('Sales Orders'!C:C,MATCH('Booking Management'!B264,'Sales Orders'!A:A,0)),"")</f>
        <v/>
      </c>
      <c r="K264" s="31" t="str">
        <f t="shared" ca="1" si="15"/>
        <v/>
      </c>
      <c r="P264" t="str">
        <f t="shared" si="14"/>
        <v/>
      </c>
      <c r="Q264" t="str">
        <f>IFERROR((J264/SUMIFS('Sales Orders'!D:D,'Sales Orders'!A:A,B264))*SUMIFS('Sales Orders'!N:N,'Sales Orders'!A:A,B264),"")</f>
        <v/>
      </c>
      <c r="U264"/>
      <c r="W264" s="31" t="str">
        <f t="shared" ca="1" si="16"/>
        <v/>
      </c>
      <c r="Z264" s="31"/>
      <c r="AP264" s="53"/>
      <c r="AQ264" s="53"/>
      <c r="AR264" s="53"/>
    </row>
    <row r="265" spans="2:44">
      <c r="B265" s="2"/>
      <c r="C265" t="str">
        <f>IF(B265&lt;&gt;"",INDEX('Sales Orders'!C:C,MATCH('Booking Management'!B265,'Sales Orders'!A:A,0)),"")</f>
        <v/>
      </c>
      <c r="K265" s="31" t="str">
        <f t="shared" ca="1" si="15"/>
        <v/>
      </c>
      <c r="P265" t="str">
        <f t="shared" si="14"/>
        <v/>
      </c>
      <c r="Q265" t="str">
        <f>IFERROR((J265/SUMIFS('Sales Orders'!D:D,'Sales Orders'!A:A,B265))*SUMIFS('Sales Orders'!N:N,'Sales Orders'!A:A,B265),"")</f>
        <v/>
      </c>
      <c r="U265"/>
      <c r="W265" s="31" t="str">
        <f t="shared" ca="1" si="16"/>
        <v/>
      </c>
      <c r="Z265" s="31"/>
      <c r="AP265" s="53"/>
      <c r="AQ265" s="53"/>
      <c r="AR265" s="53"/>
    </row>
    <row r="266" spans="2:44">
      <c r="B266" s="2"/>
      <c r="C266" t="str">
        <f>IF(B266&lt;&gt;"",INDEX('Sales Orders'!C:C,MATCH('Booking Management'!B266,'Sales Orders'!A:A,0)),"")</f>
        <v/>
      </c>
      <c r="K266" s="31" t="str">
        <f t="shared" ca="1" si="15"/>
        <v/>
      </c>
      <c r="P266" t="str">
        <f t="shared" si="14"/>
        <v/>
      </c>
      <c r="Q266" t="str">
        <f>IFERROR((J266/SUMIFS('Sales Orders'!D:D,'Sales Orders'!A:A,B266))*SUMIFS('Sales Orders'!N:N,'Sales Orders'!A:A,B266),"")</f>
        <v/>
      </c>
      <c r="U266"/>
      <c r="W266" s="31" t="str">
        <f t="shared" ca="1" si="16"/>
        <v/>
      </c>
      <c r="Z266" s="31"/>
      <c r="AP266" s="53"/>
      <c r="AQ266" s="53"/>
      <c r="AR266" s="53"/>
    </row>
    <row r="267" spans="2:44">
      <c r="B267" s="2"/>
      <c r="C267" t="str">
        <f>IF(B267&lt;&gt;"",INDEX('Sales Orders'!C:C,MATCH('Booking Management'!B267,'Sales Orders'!A:A,0)),"")</f>
        <v/>
      </c>
      <c r="K267" s="31" t="str">
        <f t="shared" ca="1" si="15"/>
        <v/>
      </c>
      <c r="P267" t="str">
        <f t="shared" si="14"/>
        <v/>
      </c>
      <c r="Q267" t="str">
        <f>IFERROR((J267/SUMIFS('Sales Orders'!D:D,'Sales Orders'!A:A,B267))*SUMIFS('Sales Orders'!N:N,'Sales Orders'!A:A,B267),"")</f>
        <v/>
      </c>
      <c r="U267"/>
      <c r="W267" s="31" t="str">
        <f t="shared" ca="1" si="16"/>
        <v/>
      </c>
      <c r="Z267" s="31"/>
      <c r="AP267" s="53"/>
      <c r="AQ267" s="53"/>
      <c r="AR267" s="53"/>
    </row>
    <row r="268" spans="2:44">
      <c r="B268" s="44"/>
      <c r="C268" t="str">
        <f>IF(B268&lt;&gt;"",INDEX('Sales Orders'!C:C,MATCH('Booking Management'!B268,'Sales Orders'!A:A,0)),"")</f>
        <v/>
      </c>
      <c r="K268" s="31" t="str">
        <f t="shared" ca="1" si="15"/>
        <v/>
      </c>
      <c r="P268" t="str">
        <f t="shared" si="14"/>
        <v/>
      </c>
      <c r="Q268" t="str">
        <f>IFERROR((J268/SUMIFS('Sales Orders'!D:D,'Sales Orders'!A:A,B268))*SUMIFS('Sales Orders'!N:N,'Sales Orders'!A:A,B268),"")</f>
        <v/>
      </c>
      <c r="U268"/>
      <c r="W268" s="31" t="str">
        <f t="shared" ca="1" si="16"/>
        <v/>
      </c>
      <c r="Z268" s="31"/>
      <c r="AP268" s="53"/>
      <c r="AQ268" s="53"/>
      <c r="AR268" s="53"/>
    </row>
    <row r="269" spans="2:44">
      <c r="B269" s="2"/>
      <c r="C269" t="str">
        <f>IF(B269&lt;&gt;"",INDEX('Sales Orders'!C:C,MATCH('Booking Management'!B269,'Sales Orders'!A:A,0)),"")</f>
        <v/>
      </c>
      <c r="K269" s="31" t="str">
        <f t="shared" ca="1" si="15"/>
        <v/>
      </c>
      <c r="P269" t="str">
        <f t="shared" si="14"/>
        <v/>
      </c>
      <c r="Q269" t="str">
        <f>IFERROR((J269/SUMIFS('Sales Orders'!D:D,'Sales Orders'!A:A,B269))*SUMIFS('Sales Orders'!N:N,'Sales Orders'!A:A,B269),"")</f>
        <v/>
      </c>
      <c r="U269"/>
      <c r="W269" s="31" t="str">
        <f t="shared" ca="1" si="16"/>
        <v/>
      </c>
      <c r="Z269" s="31"/>
      <c r="AP269" s="53"/>
      <c r="AQ269" s="53"/>
      <c r="AR269" s="53"/>
    </row>
    <row r="270" spans="2:44">
      <c r="B270" s="2"/>
      <c r="C270" t="str">
        <f>IF(B270&lt;&gt;"",INDEX('Sales Orders'!C:C,MATCH('Booking Management'!B270,'Sales Orders'!A:A,0)),"")</f>
        <v/>
      </c>
      <c r="K270" s="31" t="str">
        <f t="shared" ca="1" si="15"/>
        <v/>
      </c>
      <c r="P270" t="str">
        <f t="shared" si="14"/>
        <v/>
      </c>
      <c r="Q270" t="str">
        <f>IFERROR((J270/SUMIFS('Sales Orders'!D:D,'Sales Orders'!A:A,B270))*SUMIFS('Sales Orders'!N:N,'Sales Orders'!A:A,B270),"")</f>
        <v/>
      </c>
      <c r="U270"/>
      <c r="W270" s="31" t="str">
        <f t="shared" ca="1" si="16"/>
        <v/>
      </c>
      <c r="Z270" s="31"/>
      <c r="AP270" s="53"/>
      <c r="AQ270" s="53"/>
      <c r="AR270" s="53"/>
    </row>
    <row r="271" spans="2:44">
      <c r="B271" s="2"/>
      <c r="C271" t="str">
        <f>IF(B271&lt;&gt;"",INDEX('Sales Orders'!C:C,MATCH('Booking Management'!B271,'Sales Orders'!A:A,0)),"")</f>
        <v/>
      </c>
      <c r="K271" s="31" t="str">
        <f t="shared" ca="1" si="15"/>
        <v/>
      </c>
      <c r="P271" t="str">
        <f t="shared" si="14"/>
        <v/>
      </c>
      <c r="Q271" t="str">
        <f>IFERROR((J271/SUMIFS('Sales Orders'!D:D,'Sales Orders'!A:A,B271))*SUMIFS('Sales Orders'!N:N,'Sales Orders'!A:A,B271),"")</f>
        <v/>
      </c>
      <c r="U271"/>
      <c r="W271" s="31" t="str">
        <f t="shared" ca="1" si="16"/>
        <v/>
      </c>
      <c r="Z271" s="31"/>
      <c r="AP271" s="53"/>
      <c r="AQ271" s="53"/>
      <c r="AR271" s="53"/>
    </row>
    <row r="272" spans="2:44">
      <c r="B272" s="2"/>
      <c r="C272" t="str">
        <f>IF(B272&lt;&gt;"",INDEX('Sales Orders'!C:C,MATCH('Booking Management'!B272,'Sales Orders'!A:A,0)),"")</f>
        <v/>
      </c>
      <c r="K272" s="31" t="str">
        <f t="shared" ca="1" si="15"/>
        <v/>
      </c>
      <c r="P272" t="str">
        <f t="shared" si="14"/>
        <v/>
      </c>
      <c r="Q272" t="str">
        <f>IFERROR((J272/SUMIFS('Sales Orders'!D:D,'Sales Orders'!A:A,B272))*SUMIFS('Sales Orders'!N:N,'Sales Orders'!A:A,B272),"")</f>
        <v/>
      </c>
      <c r="U272"/>
      <c r="W272" s="31" t="str">
        <f t="shared" ca="1" si="16"/>
        <v/>
      </c>
      <c r="Z272" s="31"/>
      <c r="AP272" s="53"/>
      <c r="AQ272" s="53"/>
      <c r="AR272" s="53"/>
    </row>
    <row r="273" spans="2:44">
      <c r="B273" s="2"/>
      <c r="C273" t="str">
        <f>IF(B273&lt;&gt;"",INDEX('Sales Orders'!C:C,MATCH('Booking Management'!B273,'Sales Orders'!A:A,0)),"")</f>
        <v/>
      </c>
      <c r="K273" s="31" t="str">
        <f t="shared" ca="1" si="15"/>
        <v/>
      </c>
      <c r="P273" t="str">
        <f t="shared" si="14"/>
        <v/>
      </c>
      <c r="Q273" t="str">
        <f>IFERROR((J273/SUMIFS('Sales Orders'!D:D,'Sales Orders'!A:A,B273))*SUMIFS('Sales Orders'!N:N,'Sales Orders'!A:A,B273),"")</f>
        <v/>
      </c>
      <c r="U273"/>
      <c r="W273" s="31" t="str">
        <f t="shared" ca="1" si="16"/>
        <v/>
      </c>
      <c r="Z273" s="31"/>
      <c r="AP273" s="53"/>
      <c r="AQ273" s="53"/>
      <c r="AR273" s="53"/>
    </row>
    <row r="274" spans="2:44">
      <c r="B274" s="2"/>
      <c r="C274" t="str">
        <f>IF(B274&lt;&gt;"",INDEX('Sales Orders'!C:C,MATCH('Booking Management'!B274,'Sales Orders'!A:A,0)),"")</f>
        <v/>
      </c>
      <c r="K274" s="31" t="str">
        <f t="shared" ca="1" si="15"/>
        <v/>
      </c>
      <c r="P274" t="str">
        <f t="shared" si="14"/>
        <v/>
      </c>
      <c r="Q274" t="str">
        <f>IFERROR((J274/SUMIFS('Sales Orders'!D:D,'Sales Orders'!A:A,B274))*SUMIFS('Sales Orders'!N:N,'Sales Orders'!A:A,B274),"")</f>
        <v/>
      </c>
      <c r="U274"/>
      <c r="W274" s="31" t="str">
        <f t="shared" ca="1" si="16"/>
        <v/>
      </c>
      <c r="Z274" s="31"/>
      <c r="AP274" s="53"/>
      <c r="AQ274" s="53"/>
      <c r="AR274" s="53"/>
    </row>
    <row r="275" spans="2:44">
      <c r="B275" s="2"/>
      <c r="C275" t="str">
        <f>IF(B275&lt;&gt;"",INDEX('Sales Orders'!C:C,MATCH('Booking Management'!B275,'Sales Orders'!A:A,0)),"")</f>
        <v/>
      </c>
      <c r="K275" s="31" t="str">
        <f t="shared" ca="1" si="15"/>
        <v/>
      </c>
      <c r="P275" t="str">
        <f t="shared" si="14"/>
        <v/>
      </c>
      <c r="Q275" t="str">
        <f>IFERROR((J275/SUMIFS('Sales Orders'!D:D,'Sales Orders'!A:A,B275))*SUMIFS('Sales Orders'!N:N,'Sales Orders'!A:A,B275),"")</f>
        <v/>
      </c>
      <c r="U275"/>
      <c r="W275" s="31" t="str">
        <f t="shared" ca="1" si="16"/>
        <v/>
      </c>
      <c r="Z275" s="31"/>
      <c r="AP275" s="53"/>
      <c r="AQ275" s="53"/>
      <c r="AR275" s="53"/>
    </row>
    <row r="276" spans="2:44">
      <c r="B276" s="2"/>
      <c r="C276" t="str">
        <f>IF(B276&lt;&gt;"",INDEX('Sales Orders'!C:C,MATCH('Booking Management'!B276,'Sales Orders'!A:A,0)),"")</f>
        <v/>
      </c>
      <c r="K276" s="31" t="str">
        <f t="shared" ca="1" si="15"/>
        <v/>
      </c>
      <c r="P276" t="str">
        <f t="shared" si="14"/>
        <v/>
      </c>
      <c r="Q276" t="str">
        <f>IFERROR((J276/SUMIFS('Sales Orders'!D:D,'Sales Orders'!A:A,B276))*SUMIFS('Sales Orders'!N:N,'Sales Orders'!A:A,B276),"")</f>
        <v/>
      </c>
      <c r="U276"/>
      <c r="W276" s="31" t="str">
        <f t="shared" ca="1" si="16"/>
        <v/>
      </c>
      <c r="Z276" s="31"/>
      <c r="AP276" s="53"/>
      <c r="AQ276" s="53"/>
      <c r="AR276" s="53"/>
    </row>
    <row r="277" spans="2:44">
      <c r="B277" s="2"/>
      <c r="C277" t="str">
        <f>IF(B277&lt;&gt;"",INDEX('Sales Orders'!C:C,MATCH('Booking Management'!B277,'Sales Orders'!A:A,0)),"")</f>
        <v/>
      </c>
      <c r="K277" s="31" t="str">
        <f t="shared" ca="1" si="15"/>
        <v/>
      </c>
      <c r="P277" t="str">
        <f t="shared" si="14"/>
        <v/>
      </c>
      <c r="Q277" t="str">
        <f>IFERROR((J277/SUMIFS('Sales Orders'!D:D,'Sales Orders'!A:A,B277))*SUMIFS('Sales Orders'!N:N,'Sales Orders'!A:A,B277),"")</f>
        <v/>
      </c>
      <c r="W277" s="31" t="str">
        <f t="shared" ca="1" si="16"/>
        <v/>
      </c>
      <c r="Z277" s="31"/>
      <c r="AP277" s="53"/>
      <c r="AQ277" s="53"/>
      <c r="AR277" s="53"/>
    </row>
    <row r="278" spans="2:44">
      <c r="B278" s="2"/>
      <c r="C278" t="str">
        <f>IF(B278&lt;&gt;"",INDEX('Sales Orders'!C:C,MATCH('Booking Management'!B278,'Sales Orders'!A:A,0)),"")</f>
        <v/>
      </c>
      <c r="K278" s="31" t="str">
        <f t="shared" ca="1" si="15"/>
        <v/>
      </c>
      <c r="P278" t="str">
        <f t="shared" si="14"/>
        <v/>
      </c>
      <c r="Q278" t="str">
        <f>IFERROR((J278/SUMIFS('Sales Orders'!D:D,'Sales Orders'!A:A,B278))*SUMIFS('Sales Orders'!N:N,'Sales Orders'!A:A,B278),"")</f>
        <v/>
      </c>
      <c r="W278" s="31" t="str">
        <f t="shared" ca="1" si="16"/>
        <v/>
      </c>
      <c r="Z278" s="31"/>
      <c r="AP278" s="53"/>
      <c r="AQ278" s="53"/>
      <c r="AR278" s="53"/>
    </row>
    <row r="279" spans="2:44">
      <c r="B279" s="2"/>
      <c r="C279" t="str">
        <f>IF(B279&lt;&gt;"",INDEX('Sales Orders'!C:C,MATCH('Booking Management'!B279,'Sales Orders'!A:A,0)),"")</f>
        <v/>
      </c>
      <c r="K279" s="31" t="str">
        <f t="shared" ca="1" si="15"/>
        <v/>
      </c>
      <c r="P279" t="str">
        <f t="shared" si="14"/>
        <v/>
      </c>
      <c r="Q279" t="str">
        <f>IFERROR((J279/SUMIFS('Sales Orders'!D:D,'Sales Orders'!A:A,B279))*SUMIFS('Sales Orders'!N:N,'Sales Orders'!A:A,B279),"")</f>
        <v/>
      </c>
      <c r="W279" s="31" t="str">
        <f t="shared" ca="1" si="16"/>
        <v/>
      </c>
      <c r="Z279" s="31"/>
      <c r="AP279" s="53"/>
      <c r="AQ279" s="53"/>
      <c r="AR279" s="53"/>
    </row>
    <row r="280" spans="2:44">
      <c r="B280" s="2"/>
      <c r="C280" t="str">
        <f>IF(B280&lt;&gt;"",INDEX('Sales Orders'!C:C,MATCH('Booking Management'!B280,'Sales Orders'!A:A,0)),"")</f>
        <v/>
      </c>
      <c r="K280" s="31" t="str">
        <f t="shared" ca="1" si="15"/>
        <v/>
      </c>
      <c r="P280" t="str">
        <f t="shared" si="14"/>
        <v/>
      </c>
      <c r="Q280" t="str">
        <f>IFERROR((J280/SUMIFS('Sales Orders'!D:D,'Sales Orders'!A:A,B280))*SUMIFS('Sales Orders'!N:N,'Sales Orders'!A:A,B280),"")</f>
        <v/>
      </c>
      <c r="U280"/>
      <c r="W280" s="31" t="str">
        <f t="shared" ca="1" si="16"/>
        <v/>
      </c>
      <c r="Z280" s="31"/>
      <c r="AP280" s="53"/>
      <c r="AQ280" s="53"/>
      <c r="AR280" s="53"/>
    </row>
    <row r="281" spans="2:44">
      <c r="B281" s="2"/>
      <c r="C281" t="str">
        <f>IF(B281&lt;&gt;"",INDEX('Sales Orders'!C:C,MATCH('Booking Management'!B281,'Sales Orders'!A:A,0)),"")</f>
        <v/>
      </c>
      <c r="K281" s="31" t="str">
        <f t="shared" ca="1" si="15"/>
        <v/>
      </c>
      <c r="P281" t="str">
        <f t="shared" si="14"/>
        <v/>
      </c>
      <c r="Q281" t="str">
        <f>IFERROR((J281/SUMIFS('Sales Orders'!D:D,'Sales Orders'!A:A,B281))*SUMIFS('Sales Orders'!N:N,'Sales Orders'!A:A,B281),"")</f>
        <v/>
      </c>
      <c r="U281"/>
      <c r="W281" s="31" t="str">
        <f t="shared" ca="1" si="16"/>
        <v/>
      </c>
      <c r="Z281" s="31"/>
      <c r="AP281" s="53"/>
      <c r="AQ281" s="53"/>
      <c r="AR281" s="53"/>
    </row>
    <row r="282" spans="2:44">
      <c r="B282" s="2"/>
      <c r="C282" t="str">
        <f>IF(B282&lt;&gt;"",INDEX('Sales Orders'!C:C,MATCH('Booking Management'!B282,'Sales Orders'!A:A,0)),"")</f>
        <v/>
      </c>
      <c r="K282" s="31" t="str">
        <f t="shared" ca="1" si="15"/>
        <v/>
      </c>
      <c r="P282" t="str">
        <f t="shared" si="14"/>
        <v/>
      </c>
      <c r="Q282" t="str">
        <f>IFERROR((J282/SUMIFS('Sales Orders'!D:D,'Sales Orders'!A:A,B282))*SUMIFS('Sales Orders'!N:N,'Sales Orders'!A:A,B282),"")</f>
        <v/>
      </c>
      <c r="U282"/>
      <c r="W282" s="31" t="str">
        <f t="shared" ca="1" si="16"/>
        <v/>
      </c>
      <c r="Z282" s="31"/>
      <c r="AP282" s="53"/>
      <c r="AQ282" s="53"/>
      <c r="AR282" s="53"/>
    </row>
    <row r="283" spans="2:44">
      <c r="B283" s="49"/>
      <c r="C283" t="str">
        <f>IF(B283&lt;&gt;"",INDEX('Sales Orders'!C:C,MATCH('Booking Management'!B283,'Sales Orders'!A:A,0)),"")</f>
        <v/>
      </c>
      <c r="K283" s="31" t="str">
        <f t="shared" ca="1" si="15"/>
        <v/>
      </c>
      <c r="P283" t="str">
        <f t="shared" si="14"/>
        <v/>
      </c>
      <c r="Q283" t="str">
        <f>IFERROR((J283/SUMIFS('Sales Orders'!D:D,'Sales Orders'!A:A,B283))*SUMIFS('Sales Orders'!N:N,'Sales Orders'!A:A,B283),"")</f>
        <v/>
      </c>
      <c r="U283"/>
      <c r="W283" s="31" t="str">
        <f t="shared" ca="1" si="16"/>
        <v/>
      </c>
      <c r="Z283" s="31"/>
      <c r="AP283" s="53"/>
      <c r="AQ283" s="53"/>
      <c r="AR283" s="53"/>
    </row>
    <row r="284" spans="2:44">
      <c r="B284" s="2"/>
      <c r="C284" t="str">
        <f>IF(B284&lt;&gt;"",INDEX('Sales Orders'!C:C,MATCH('Booking Management'!B284,'Sales Orders'!A:A,0)),"")</f>
        <v/>
      </c>
      <c r="K284" s="31" t="str">
        <f t="shared" ca="1" si="15"/>
        <v/>
      </c>
      <c r="P284" t="str">
        <f t="shared" si="14"/>
        <v/>
      </c>
      <c r="Q284" t="str">
        <f>IFERROR((J284/SUMIFS('Sales Orders'!D:D,'Sales Orders'!A:A,B284))*SUMIFS('Sales Orders'!N:N,'Sales Orders'!A:A,B284),"")</f>
        <v/>
      </c>
      <c r="U284"/>
      <c r="W284" s="31" t="str">
        <f t="shared" ca="1" si="16"/>
        <v/>
      </c>
      <c r="Z284" s="31"/>
      <c r="AP284" s="53"/>
      <c r="AQ284" s="53"/>
      <c r="AR284" s="53"/>
    </row>
    <row r="285" spans="2:44">
      <c r="B285" s="50"/>
      <c r="C285" t="str">
        <f>IF(B285&lt;&gt;"",INDEX('Sales Orders'!C:C,MATCH('Booking Management'!B285,'Sales Orders'!A:A,0)),"")</f>
        <v/>
      </c>
      <c r="K285" s="31" t="str">
        <f t="shared" ca="1" si="15"/>
        <v/>
      </c>
      <c r="P285" t="str">
        <f t="shared" si="14"/>
        <v/>
      </c>
      <c r="Q285" t="str">
        <f>IFERROR((J285/SUMIFS('Sales Orders'!D:D,'Sales Orders'!A:A,B285))*SUMIFS('Sales Orders'!N:N,'Sales Orders'!A:A,B285),"")</f>
        <v/>
      </c>
      <c r="U285"/>
      <c r="W285" s="31" t="str">
        <f t="shared" ca="1" si="16"/>
        <v/>
      </c>
      <c r="Z285" s="31"/>
      <c r="AP285" s="53"/>
      <c r="AQ285" s="53"/>
      <c r="AR285" s="53"/>
    </row>
    <row r="286" spans="2:44">
      <c r="B286" s="2"/>
      <c r="C286" t="str">
        <f>IF(B286&lt;&gt;"",INDEX('Sales Orders'!C:C,MATCH('Booking Management'!B286,'Sales Orders'!A:A,0)),"")</f>
        <v/>
      </c>
      <c r="K286" s="31" t="str">
        <f t="shared" ca="1" si="15"/>
        <v/>
      </c>
      <c r="P286" t="str">
        <f t="shared" si="14"/>
        <v/>
      </c>
      <c r="Q286" t="str">
        <f>IFERROR((J286/SUMIFS('Sales Orders'!D:D,'Sales Orders'!A:A,B286))*SUMIFS('Sales Orders'!N:N,'Sales Orders'!A:A,B286),"")</f>
        <v/>
      </c>
      <c r="U286"/>
      <c r="W286" s="31" t="str">
        <f t="shared" ca="1" si="16"/>
        <v/>
      </c>
      <c r="Z286" s="31"/>
      <c r="AP286" s="53"/>
      <c r="AQ286" s="53"/>
      <c r="AR286" s="53"/>
    </row>
    <row r="287" spans="2:44">
      <c r="B287" s="2"/>
      <c r="C287" t="str">
        <f>IF(B287&lt;&gt;"",INDEX('Sales Orders'!C:C,MATCH('Booking Management'!B287,'Sales Orders'!A:A,0)),"")</f>
        <v/>
      </c>
      <c r="K287" s="31" t="str">
        <f t="shared" ca="1" si="15"/>
        <v/>
      </c>
      <c r="P287" t="str">
        <f t="shared" si="14"/>
        <v/>
      </c>
      <c r="Q287" t="str">
        <f>IFERROR((J287/SUMIFS('Sales Orders'!D:D,'Sales Orders'!A:A,B287))*SUMIFS('Sales Orders'!N:N,'Sales Orders'!A:A,B287),"")</f>
        <v/>
      </c>
      <c r="U287"/>
      <c r="W287" s="31" t="str">
        <f t="shared" ca="1" si="16"/>
        <v/>
      </c>
      <c r="Z287" s="31"/>
      <c r="AP287" s="53"/>
      <c r="AQ287" s="53"/>
      <c r="AR287" s="53"/>
    </row>
    <row r="288" spans="2:44">
      <c r="B288" s="44"/>
      <c r="C288" t="str">
        <f>IF(B288&lt;&gt;"",INDEX('Sales Orders'!C:C,MATCH('Booking Management'!B288,'Sales Orders'!A:A,0)),"")</f>
        <v/>
      </c>
      <c r="F288" s="44"/>
      <c r="K288" s="31" t="str">
        <f t="shared" ca="1" si="15"/>
        <v/>
      </c>
      <c r="P288" t="str">
        <f t="shared" si="14"/>
        <v/>
      </c>
      <c r="Q288" t="str">
        <f>IFERROR((J288/SUMIFS('Sales Orders'!D:D,'Sales Orders'!A:A,B288))*SUMIFS('Sales Orders'!N:N,'Sales Orders'!A:A,B288),"")</f>
        <v/>
      </c>
      <c r="U288"/>
      <c r="W288" s="31" t="str">
        <f t="shared" ca="1" si="16"/>
        <v/>
      </c>
      <c r="Z288" s="31"/>
      <c r="AP288" s="53"/>
      <c r="AQ288" s="53"/>
      <c r="AR288" s="53"/>
    </row>
    <row r="289" spans="2:44">
      <c r="B289" s="2"/>
      <c r="C289" t="str">
        <f>IF(B289&lt;&gt;"",INDEX('Sales Orders'!C:C,MATCH('Booking Management'!B289,'Sales Orders'!A:A,0)),"")</f>
        <v/>
      </c>
      <c r="K289" s="31" t="str">
        <f t="shared" ca="1" si="15"/>
        <v/>
      </c>
      <c r="P289" t="str">
        <f t="shared" ref="P289:P352" si="17">IF(B289&lt;&gt;"",T289-L289,"")</f>
        <v/>
      </c>
      <c r="Q289" t="str">
        <f>IFERROR((J289/SUMIFS('Sales Orders'!D:D,'Sales Orders'!A:A,B289))*SUMIFS('Sales Orders'!N:N,'Sales Orders'!A:A,B289),"")</f>
        <v/>
      </c>
      <c r="U289"/>
      <c r="W289" s="31" t="str">
        <f t="shared" ca="1" si="16"/>
        <v/>
      </c>
      <c r="Z289" s="31"/>
      <c r="AP289" s="53"/>
      <c r="AQ289" s="53"/>
      <c r="AR289" s="53"/>
    </row>
    <row r="290" spans="2:44">
      <c r="B290" s="2"/>
      <c r="C290" t="str">
        <f>IF(B290&lt;&gt;"",INDEX('Sales Orders'!C:C,MATCH('Booking Management'!B290,'Sales Orders'!A:A,0)),"")</f>
        <v/>
      </c>
      <c r="K290" s="31" t="str">
        <f t="shared" ca="1" si="15"/>
        <v/>
      </c>
      <c r="P290" t="str">
        <f t="shared" si="17"/>
        <v/>
      </c>
      <c r="Q290" t="str">
        <f>IFERROR((J290/SUMIFS('Sales Orders'!D:D,'Sales Orders'!A:A,B290))*SUMIFS('Sales Orders'!N:N,'Sales Orders'!A:A,B290),"")</f>
        <v/>
      </c>
      <c r="U290"/>
      <c r="W290" s="31" t="str">
        <f t="shared" ca="1" si="16"/>
        <v/>
      </c>
      <c r="Z290" s="31"/>
      <c r="AP290" s="53"/>
      <c r="AQ290" s="53"/>
      <c r="AR290" s="53"/>
    </row>
    <row r="291" spans="2:44">
      <c r="B291" s="2"/>
      <c r="C291" t="str">
        <f>IF(B291&lt;&gt;"",INDEX('Sales Orders'!C:C,MATCH('Booking Management'!B291,'Sales Orders'!A:A,0)),"")</f>
        <v/>
      </c>
      <c r="K291" s="31" t="str">
        <f t="shared" ca="1" si="15"/>
        <v/>
      </c>
      <c r="P291" t="str">
        <f t="shared" si="17"/>
        <v/>
      </c>
      <c r="Q291" t="str">
        <f>IFERROR((J291/SUMIFS('Sales Orders'!D:D,'Sales Orders'!A:A,B291))*SUMIFS('Sales Orders'!N:N,'Sales Orders'!A:A,B291),"")</f>
        <v/>
      </c>
      <c r="U291"/>
      <c r="W291" s="31" t="str">
        <f t="shared" ca="1" si="16"/>
        <v/>
      </c>
      <c r="Z291" s="31"/>
      <c r="AP291" s="53"/>
      <c r="AQ291" s="53"/>
      <c r="AR291" s="53"/>
    </row>
    <row r="292" spans="2:44">
      <c r="B292" s="2"/>
      <c r="C292" t="str">
        <f>IF(B292&lt;&gt;"",INDEX('Sales Orders'!C:C,MATCH('Booking Management'!B292,'Sales Orders'!A:A,0)),"")</f>
        <v/>
      </c>
      <c r="K292" s="31" t="str">
        <f t="shared" ca="1" si="15"/>
        <v/>
      </c>
      <c r="P292" t="str">
        <f t="shared" si="17"/>
        <v/>
      </c>
      <c r="Q292" t="str">
        <f>IFERROR((J292/SUMIFS('Sales Orders'!D:D,'Sales Orders'!A:A,B292))*SUMIFS('Sales Orders'!N:N,'Sales Orders'!A:A,B292),"")</f>
        <v/>
      </c>
      <c r="U292"/>
      <c r="W292" s="31" t="str">
        <f t="shared" ca="1" si="16"/>
        <v/>
      </c>
      <c r="Z292" s="31"/>
      <c r="AP292" s="53"/>
      <c r="AQ292" s="53"/>
      <c r="AR292" s="53"/>
    </row>
    <row r="293" spans="2:44">
      <c r="B293" s="2"/>
      <c r="C293" t="str">
        <f>IF(B293&lt;&gt;"",INDEX('Sales Orders'!C:C,MATCH('Booking Management'!B293,'Sales Orders'!A:A,0)),"")</f>
        <v/>
      </c>
      <c r="K293" s="31" t="str">
        <f t="shared" ca="1" si="15"/>
        <v/>
      </c>
      <c r="P293" t="str">
        <f t="shared" si="17"/>
        <v/>
      </c>
      <c r="Q293" t="str">
        <f>IFERROR((J293/SUMIFS('Sales Orders'!D:D,'Sales Orders'!A:A,B293))*SUMIFS('Sales Orders'!N:N,'Sales Orders'!A:A,B293),"")</f>
        <v/>
      </c>
      <c r="U293"/>
      <c r="W293" s="31" t="str">
        <f t="shared" ca="1" si="16"/>
        <v/>
      </c>
      <c r="Z293" s="31"/>
      <c r="AP293" s="53"/>
      <c r="AQ293" s="53"/>
      <c r="AR293" s="53"/>
    </row>
    <row r="294" spans="2:44">
      <c r="B294" s="2"/>
      <c r="C294" t="str">
        <f>IF(B294&lt;&gt;"",INDEX('Sales Orders'!C:C,MATCH('Booking Management'!B294,'Sales Orders'!A:A,0)),"")</f>
        <v/>
      </c>
      <c r="K294" s="31" t="str">
        <f t="shared" ca="1" si="15"/>
        <v/>
      </c>
      <c r="P294" t="str">
        <f t="shared" si="17"/>
        <v/>
      </c>
      <c r="Q294" t="str">
        <f>IFERROR((J294/SUMIFS('Sales Orders'!D:D,'Sales Orders'!A:A,B294))*SUMIFS('Sales Orders'!N:N,'Sales Orders'!A:A,B294),"")</f>
        <v/>
      </c>
      <c r="U294"/>
      <c r="W294" s="31" t="str">
        <f t="shared" ca="1" si="16"/>
        <v/>
      </c>
      <c r="Z294" s="31"/>
      <c r="AP294" s="53"/>
      <c r="AQ294" s="53"/>
      <c r="AR294" s="53"/>
    </row>
    <row r="295" spans="2:44">
      <c r="B295" s="2"/>
      <c r="C295" t="str">
        <f>IF(B295&lt;&gt;"",INDEX('Sales Orders'!C:C,MATCH('Booking Management'!B295,'Sales Orders'!A:A,0)),"")</f>
        <v/>
      </c>
      <c r="K295" s="31" t="str">
        <f t="shared" ca="1" si="15"/>
        <v/>
      </c>
      <c r="P295" t="str">
        <f t="shared" si="17"/>
        <v/>
      </c>
      <c r="Q295" t="str">
        <f>IFERROR((J295/SUMIFS('Sales Orders'!D:D,'Sales Orders'!A:A,B295))*SUMIFS('Sales Orders'!N:N,'Sales Orders'!A:A,B295),"")</f>
        <v/>
      </c>
      <c r="U295"/>
      <c r="W295" s="31" t="str">
        <f t="shared" ca="1" si="16"/>
        <v/>
      </c>
      <c r="Z295" s="31"/>
      <c r="AP295" s="53"/>
      <c r="AQ295" s="53"/>
      <c r="AR295" s="53"/>
    </row>
    <row r="296" spans="2:44">
      <c r="B296" s="2"/>
      <c r="C296" t="str">
        <f>IF(B296&lt;&gt;"",INDEX('Sales Orders'!C:C,MATCH('Booking Management'!B296,'Sales Orders'!A:A,0)),"")</f>
        <v/>
      </c>
      <c r="K296" s="31" t="str">
        <f t="shared" ca="1" si="15"/>
        <v/>
      </c>
      <c r="P296" t="str">
        <f t="shared" si="17"/>
        <v/>
      </c>
      <c r="Q296" t="str">
        <f>IFERROR((J296/SUMIFS('Sales Orders'!D:D,'Sales Orders'!A:A,B296))*SUMIFS('Sales Orders'!N:N,'Sales Orders'!A:A,B296),"")</f>
        <v/>
      </c>
      <c r="U296"/>
      <c r="W296" s="31" t="str">
        <f t="shared" ca="1" si="16"/>
        <v/>
      </c>
      <c r="Z296" s="31"/>
      <c r="AP296" s="53"/>
      <c r="AQ296" s="53"/>
      <c r="AR296" s="53"/>
    </row>
    <row r="297" spans="2:44">
      <c r="B297" s="2"/>
      <c r="C297" t="str">
        <f>IF(B297&lt;&gt;"",INDEX('Sales Orders'!C:C,MATCH('Booking Management'!B297,'Sales Orders'!A:A,0)),"")</f>
        <v/>
      </c>
      <c r="K297" s="31" t="str">
        <f t="shared" ca="1" si="15"/>
        <v/>
      </c>
      <c r="P297" t="str">
        <f t="shared" si="17"/>
        <v/>
      </c>
      <c r="Q297" t="str">
        <f>IFERROR((J297/SUMIFS('Sales Orders'!D:D,'Sales Orders'!A:A,B297))*SUMIFS('Sales Orders'!N:N,'Sales Orders'!A:A,B297),"")</f>
        <v/>
      </c>
      <c r="U297"/>
      <c r="W297" s="31" t="str">
        <f t="shared" ca="1" si="16"/>
        <v/>
      </c>
      <c r="Z297" s="31"/>
      <c r="AP297" s="53"/>
      <c r="AQ297" s="53"/>
      <c r="AR297" s="53"/>
    </row>
    <row r="298" spans="2:44">
      <c r="B298" s="2"/>
      <c r="C298" t="str">
        <f>IF(B298&lt;&gt;"",INDEX('Sales Orders'!C:C,MATCH('Booking Management'!B298,'Sales Orders'!A:A,0)),"")</f>
        <v/>
      </c>
      <c r="K298" s="31" t="str">
        <f t="shared" ca="1" si="15"/>
        <v/>
      </c>
      <c r="P298" t="str">
        <f t="shared" si="17"/>
        <v/>
      </c>
      <c r="Q298" t="str">
        <f>IFERROR((J298/SUMIFS('Sales Orders'!D:D,'Sales Orders'!A:A,B298))*SUMIFS('Sales Orders'!N:N,'Sales Orders'!A:A,B298),"")</f>
        <v/>
      </c>
      <c r="U298"/>
      <c r="W298" s="31" t="str">
        <f t="shared" ca="1" si="16"/>
        <v/>
      </c>
      <c r="Z298" s="31"/>
      <c r="AP298" s="53"/>
      <c r="AQ298" s="53"/>
      <c r="AR298" s="53"/>
    </row>
    <row r="299" spans="2:44">
      <c r="B299" s="2"/>
      <c r="C299" t="str">
        <f>IF(B299&lt;&gt;"",INDEX('Sales Orders'!C:C,MATCH('Booking Management'!B299,'Sales Orders'!A:A,0)),"")</f>
        <v/>
      </c>
      <c r="K299" s="31" t="str">
        <f t="shared" ca="1" si="15"/>
        <v/>
      </c>
      <c r="P299" t="str">
        <f t="shared" si="17"/>
        <v/>
      </c>
      <c r="Q299" t="str">
        <f>IFERROR((J299/SUMIFS('Sales Orders'!D:D,'Sales Orders'!A:A,B299))*SUMIFS('Sales Orders'!N:N,'Sales Orders'!A:A,B299),"")</f>
        <v/>
      </c>
      <c r="U299"/>
      <c r="W299" s="31" t="str">
        <f t="shared" ca="1" si="16"/>
        <v/>
      </c>
      <c r="Z299" s="31"/>
      <c r="AP299" s="53"/>
      <c r="AQ299" s="53"/>
      <c r="AR299" s="53"/>
    </row>
    <row r="300" spans="2:44">
      <c r="B300" s="44"/>
      <c r="C300" t="str">
        <f>IF(B300&lt;&gt;"",INDEX('Sales Orders'!C:C,MATCH('Booking Management'!B300,'Sales Orders'!A:A,0)),"")</f>
        <v/>
      </c>
      <c r="K300" s="31" t="str">
        <f t="shared" ca="1" si="15"/>
        <v/>
      </c>
      <c r="P300" t="str">
        <f t="shared" si="17"/>
        <v/>
      </c>
      <c r="Q300" t="str">
        <f>IFERROR((J300/SUMIFS('Sales Orders'!D:D,'Sales Orders'!A:A,B300))*SUMIFS('Sales Orders'!N:N,'Sales Orders'!A:A,B300),"")</f>
        <v/>
      </c>
      <c r="U300"/>
      <c r="W300" s="31" t="str">
        <f t="shared" ca="1" si="16"/>
        <v/>
      </c>
      <c r="Z300" s="31"/>
      <c r="AP300" s="53"/>
      <c r="AQ300" s="53"/>
      <c r="AR300" s="53"/>
    </row>
    <row r="301" spans="2:44">
      <c r="B301" s="2"/>
      <c r="C301" t="str">
        <f>IF(B301&lt;&gt;"",INDEX('Sales Orders'!C:C,MATCH('Booking Management'!B301,'Sales Orders'!A:A,0)),"")</f>
        <v/>
      </c>
      <c r="K301" s="31" t="str">
        <f t="shared" ca="1" si="15"/>
        <v/>
      </c>
      <c r="P301" t="str">
        <f t="shared" si="17"/>
        <v/>
      </c>
      <c r="Q301" t="str">
        <f>IFERROR((J301/SUMIFS('Sales Orders'!D:D,'Sales Orders'!A:A,B301))*SUMIFS('Sales Orders'!N:N,'Sales Orders'!A:A,B301),"")</f>
        <v/>
      </c>
      <c r="U301"/>
      <c r="W301" s="31" t="str">
        <f t="shared" ca="1" si="16"/>
        <v/>
      </c>
      <c r="Z301" s="31"/>
      <c r="AP301" s="53"/>
      <c r="AQ301" s="53"/>
      <c r="AR301" s="53"/>
    </row>
    <row r="302" spans="2:44">
      <c r="B302" s="2"/>
      <c r="C302" t="str">
        <f>IF(B302&lt;&gt;"",INDEX('Sales Orders'!C:C,MATCH('Booking Management'!B302,'Sales Orders'!A:A,0)),"")</f>
        <v/>
      </c>
      <c r="K302" s="31" t="str">
        <f t="shared" ca="1" si="15"/>
        <v/>
      </c>
      <c r="P302" t="str">
        <f t="shared" si="17"/>
        <v/>
      </c>
      <c r="Q302" t="str">
        <f>IFERROR((J302/SUMIFS('Sales Orders'!D:D,'Sales Orders'!A:A,B302))*SUMIFS('Sales Orders'!N:N,'Sales Orders'!A:A,B302),"")</f>
        <v/>
      </c>
      <c r="U302"/>
      <c r="W302" s="31" t="str">
        <f t="shared" ca="1" si="16"/>
        <v/>
      </c>
      <c r="Z302" s="31"/>
      <c r="AP302" s="53"/>
      <c r="AQ302" s="53"/>
      <c r="AR302" s="53"/>
    </row>
    <row r="303" spans="2:44">
      <c r="B303" s="2"/>
      <c r="C303" t="str">
        <f>IF(B303&lt;&gt;"",INDEX('Sales Orders'!C:C,MATCH('Booking Management'!B303,'Sales Orders'!A:A,0)),"")</f>
        <v/>
      </c>
      <c r="K303" s="31" t="str">
        <f t="shared" ca="1" si="15"/>
        <v/>
      </c>
      <c r="P303" t="str">
        <f t="shared" si="17"/>
        <v/>
      </c>
      <c r="Q303" t="str">
        <f>IFERROR((J303/SUMIFS('Sales Orders'!D:D,'Sales Orders'!A:A,B303))*SUMIFS('Sales Orders'!N:N,'Sales Orders'!A:A,B303),"")</f>
        <v/>
      </c>
      <c r="U303"/>
      <c r="W303" s="31" t="str">
        <f t="shared" ca="1" si="16"/>
        <v/>
      </c>
      <c r="Z303" s="31"/>
      <c r="AP303" s="53"/>
      <c r="AQ303" s="53"/>
      <c r="AR303" s="53"/>
    </row>
    <row r="304" spans="2:44">
      <c r="B304" s="2"/>
      <c r="C304" t="str">
        <f>IF(B304&lt;&gt;"",INDEX('Sales Orders'!C:C,MATCH('Booking Management'!B304,'Sales Orders'!A:A,0)),"")</f>
        <v/>
      </c>
      <c r="K304" s="31" t="str">
        <f t="shared" ca="1" si="15"/>
        <v/>
      </c>
      <c r="P304" t="str">
        <f t="shared" si="17"/>
        <v/>
      </c>
      <c r="Q304" t="str">
        <f>IFERROR((J304/SUMIFS('Sales Orders'!D:D,'Sales Orders'!A:A,B304))*SUMIFS('Sales Orders'!N:N,'Sales Orders'!A:A,B304),"")</f>
        <v/>
      </c>
      <c r="U304"/>
      <c r="W304" s="31" t="str">
        <f t="shared" ca="1" si="16"/>
        <v/>
      </c>
      <c r="Z304" s="31"/>
      <c r="AP304" s="53"/>
      <c r="AQ304" s="53"/>
      <c r="AR304" s="53"/>
    </row>
    <row r="305" spans="2:44">
      <c r="B305" s="2"/>
      <c r="C305" t="str">
        <f>IF(B305&lt;&gt;"",INDEX('Sales Orders'!C:C,MATCH('Booking Management'!B305,'Sales Orders'!A:A,0)),"")</f>
        <v/>
      </c>
      <c r="K305" s="31" t="str">
        <f t="shared" ca="1" si="15"/>
        <v/>
      </c>
      <c r="P305" t="str">
        <f t="shared" si="17"/>
        <v/>
      </c>
      <c r="Q305" t="str">
        <f>IFERROR((J305/SUMIFS('Sales Orders'!D:D,'Sales Orders'!A:A,B305))*SUMIFS('Sales Orders'!N:N,'Sales Orders'!A:A,B305),"")</f>
        <v/>
      </c>
      <c r="U305"/>
      <c r="W305" s="31" t="str">
        <f t="shared" ca="1" si="16"/>
        <v/>
      </c>
      <c r="Z305" s="31"/>
      <c r="AP305" s="53"/>
      <c r="AQ305" s="53"/>
      <c r="AR305" s="53"/>
    </row>
    <row r="306" spans="2:44">
      <c r="B306" s="2"/>
      <c r="C306" t="str">
        <f>IF(B306&lt;&gt;"",INDEX('Sales Orders'!C:C,MATCH('Booking Management'!B306,'Sales Orders'!A:A,0)),"")</f>
        <v/>
      </c>
      <c r="K306" s="31" t="str">
        <f t="shared" ca="1" si="15"/>
        <v/>
      </c>
      <c r="P306" t="str">
        <f t="shared" si="17"/>
        <v/>
      </c>
      <c r="Q306" t="str">
        <f>IFERROR((J306/SUMIFS('Sales Orders'!D:D,'Sales Orders'!A:A,B306))*SUMIFS('Sales Orders'!N:N,'Sales Orders'!A:A,B306),"")</f>
        <v/>
      </c>
      <c r="U306"/>
      <c r="W306" s="31" t="str">
        <f t="shared" ca="1" si="16"/>
        <v/>
      </c>
      <c r="Z306" s="31"/>
      <c r="AP306" s="53"/>
      <c r="AQ306" s="53"/>
      <c r="AR306" s="53"/>
    </row>
    <row r="307" spans="2:44">
      <c r="B307" s="2"/>
      <c r="C307" t="str">
        <f>IF(B307&lt;&gt;"",INDEX('Sales Orders'!C:C,MATCH('Booking Management'!B307,'Sales Orders'!A:A,0)),"")</f>
        <v/>
      </c>
      <c r="K307" s="31" t="str">
        <f t="shared" ca="1" si="15"/>
        <v/>
      </c>
      <c r="P307" t="str">
        <f t="shared" si="17"/>
        <v/>
      </c>
      <c r="Q307" t="str">
        <f>IFERROR((J307/SUMIFS('Sales Orders'!D:D,'Sales Orders'!A:A,B307))*SUMIFS('Sales Orders'!N:N,'Sales Orders'!A:A,B307),"")</f>
        <v/>
      </c>
      <c r="U307"/>
      <c r="W307" s="31" t="str">
        <f t="shared" ca="1" si="16"/>
        <v/>
      </c>
      <c r="Z307" s="31"/>
      <c r="AP307" s="53"/>
      <c r="AQ307" s="53"/>
      <c r="AR307" s="53"/>
    </row>
    <row r="308" spans="2:44">
      <c r="B308" s="2"/>
      <c r="C308" t="str">
        <f>IF(B308&lt;&gt;"",INDEX('Sales Orders'!C:C,MATCH('Booking Management'!B308,'Sales Orders'!A:A,0)),"")</f>
        <v/>
      </c>
      <c r="K308" s="31" t="str">
        <f t="shared" ca="1" si="15"/>
        <v/>
      </c>
      <c r="P308" t="str">
        <f t="shared" si="17"/>
        <v/>
      </c>
      <c r="Q308" t="str">
        <f>IFERROR((J308/SUMIFS('Sales Orders'!D:D,'Sales Orders'!A:A,B308))*SUMIFS('Sales Orders'!N:N,'Sales Orders'!A:A,B308),"")</f>
        <v/>
      </c>
      <c r="W308" s="31" t="str">
        <f t="shared" ca="1" si="16"/>
        <v/>
      </c>
      <c r="Z308" s="31"/>
      <c r="AP308" s="53"/>
      <c r="AQ308" s="53"/>
      <c r="AR308" s="53"/>
    </row>
    <row r="309" spans="2:44">
      <c r="B309" s="2"/>
      <c r="C309" t="str">
        <f>IF(B309&lt;&gt;"",INDEX('Sales Orders'!C:C,MATCH('Booking Management'!B309,'Sales Orders'!A:A,0)),"")</f>
        <v/>
      </c>
      <c r="K309" s="31" t="str">
        <f t="shared" ca="1" si="15"/>
        <v/>
      </c>
      <c r="P309" t="str">
        <f t="shared" si="17"/>
        <v/>
      </c>
      <c r="Q309" t="str">
        <f>IFERROR((J309/SUMIFS('Sales Orders'!D:D,'Sales Orders'!A:A,B309))*SUMIFS('Sales Orders'!N:N,'Sales Orders'!A:A,B309),"")</f>
        <v/>
      </c>
      <c r="U309"/>
      <c r="W309" s="31" t="str">
        <f t="shared" ca="1" si="16"/>
        <v/>
      </c>
      <c r="Z309" s="31"/>
      <c r="AP309" s="53"/>
      <c r="AQ309" s="53"/>
      <c r="AR309" s="53"/>
    </row>
    <row r="310" spans="2:44">
      <c r="B310" s="2"/>
      <c r="C310" t="str">
        <f>IF(B310&lt;&gt;"",INDEX('Sales Orders'!C:C,MATCH('Booking Management'!B310,'Sales Orders'!A:A,0)),"")</f>
        <v/>
      </c>
      <c r="K310" s="31" t="str">
        <f t="shared" ca="1" si="15"/>
        <v/>
      </c>
      <c r="P310" t="str">
        <f t="shared" si="17"/>
        <v/>
      </c>
      <c r="Q310" t="str">
        <f>IFERROR((J310/SUMIFS('Sales Orders'!D:D,'Sales Orders'!A:A,B310))*SUMIFS('Sales Orders'!N:N,'Sales Orders'!A:A,B310),"")</f>
        <v/>
      </c>
      <c r="U310"/>
      <c r="W310" s="31" t="str">
        <f t="shared" ca="1" si="16"/>
        <v/>
      </c>
      <c r="Z310" s="31"/>
      <c r="AP310" s="53"/>
      <c r="AQ310" s="53"/>
      <c r="AR310" s="53"/>
    </row>
    <row r="311" spans="2:44">
      <c r="B311" s="2"/>
      <c r="C311" t="str">
        <f>IF(B311&lt;&gt;"",INDEX('Sales Orders'!C:C,MATCH('Booking Management'!B311,'Sales Orders'!A:A,0)),"")</f>
        <v/>
      </c>
      <c r="K311" s="31" t="str">
        <f t="shared" ca="1" si="15"/>
        <v/>
      </c>
      <c r="P311" t="str">
        <f t="shared" si="17"/>
        <v/>
      </c>
      <c r="Q311" t="str">
        <f>IFERROR((J311/SUMIFS('Sales Orders'!D:D,'Sales Orders'!A:A,B311))*SUMIFS('Sales Orders'!N:N,'Sales Orders'!A:A,B311),"")</f>
        <v/>
      </c>
      <c r="U311"/>
      <c r="W311" s="31" t="str">
        <f t="shared" ca="1" si="16"/>
        <v/>
      </c>
      <c r="Z311" s="31"/>
      <c r="AP311" s="53"/>
      <c r="AQ311" s="53"/>
      <c r="AR311" s="53"/>
    </row>
    <row r="312" spans="2:44">
      <c r="B312" s="2"/>
      <c r="C312" t="str">
        <f>IF(B312&lt;&gt;"",INDEX('Sales Orders'!C:C,MATCH('Booking Management'!B312,'Sales Orders'!A:A,0)),"")</f>
        <v/>
      </c>
      <c r="K312" s="31" t="str">
        <f t="shared" ca="1" si="15"/>
        <v/>
      </c>
      <c r="P312" t="str">
        <f t="shared" si="17"/>
        <v/>
      </c>
      <c r="Q312" t="str">
        <f>IFERROR((J312/SUMIFS('Sales Orders'!D:D,'Sales Orders'!A:A,B312))*SUMIFS('Sales Orders'!N:N,'Sales Orders'!A:A,B312),"")</f>
        <v/>
      </c>
      <c r="U312"/>
      <c r="W312" s="31" t="str">
        <f t="shared" ca="1" si="16"/>
        <v/>
      </c>
      <c r="Z312" s="31"/>
      <c r="AP312" s="53"/>
      <c r="AQ312" s="53"/>
      <c r="AR312" s="53"/>
    </row>
    <row r="313" spans="2:44">
      <c r="B313" s="2"/>
      <c r="C313" t="str">
        <f>IF(B313&lt;&gt;"",INDEX('Sales Orders'!C:C,MATCH('Booking Management'!B313,'Sales Orders'!A:A,0)),"")</f>
        <v/>
      </c>
      <c r="K313" s="31" t="str">
        <f t="shared" ca="1" si="15"/>
        <v/>
      </c>
      <c r="P313" t="str">
        <f t="shared" si="17"/>
        <v/>
      </c>
      <c r="Q313" t="str">
        <f>IFERROR((J313/SUMIFS('Sales Orders'!D:D,'Sales Orders'!A:A,B313))*SUMIFS('Sales Orders'!N:N,'Sales Orders'!A:A,B313),"")</f>
        <v/>
      </c>
      <c r="U313"/>
      <c r="W313" s="31" t="str">
        <f t="shared" ca="1" si="16"/>
        <v/>
      </c>
      <c r="Z313" s="31"/>
      <c r="AP313" s="53"/>
      <c r="AQ313" s="53"/>
      <c r="AR313" s="53"/>
    </row>
    <row r="314" spans="2:44">
      <c r="B314" s="2"/>
      <c r="C314" t="str">
        <f>IF(B314&lt;&gt;"",INDEX('Sales Orders'!C:C,MATCH('Booking Management'!B314,'Sales Orders'!A:A,0)),"")</f>
        <v/>
      </c>
      <c r="K314" s="31" t="str">
        <f t="shared" ca="1" si="15"/>
        <v/>
      </c>
      <c r="P314" t="str">
        <f t="shared" si="17"/>
        <v/>
      </c>
      <c r="Q314" t="str">
        <f>IFERROR((J314/SUMIFS('Sales Orders'!D:D,'Sales Orders'!A:A,B314))*SUMIFS('Sales Orders'!N:N,'Sales Orders'!A:A,B314),"")</f>
        <v/>
      </c>
      <c r="U314"/>
      <c r="W314" s="31" t="str">
        <f t="shared" ca="1" si="16"/>
        <v/>
      </c>
      <c r="Z314" s="31"/>
      <c r="AP314" s="53"/>
      <c r="AQ314" s="53"/>
      <c r="AR314" s="53"/>
    </row>
    <row r="315" spans="2:44">
      <c r="B315" s="2"/>
      <c r="C315" t="str">
        <f>IF(B315&lt;&gt;"",INDEX('Sales Orders'!C:C,MATCH('Booking Management'!B315,'Sales Orders'!A:A,0)),"")</f>
        <v/>
      </c>
      <c r="K315" s="31" t="str">
        <f t="shared" ca="1" si="15"/>
        <v/>
      </c>
      <c r="P315" t="str">
        <f t="shared" si="17"/>
        <v/>
      </c>
      <c r="Q315" t="str">
        <f>IFERROR((J315/SUMIFS('Sales Orders'!D:D,'Sales Orders'!A:A,B315))*SUMIFS('Sales Orders'!N:N,'Sales Orders'!A:A,B315),"")</f>
        <v/>
      </c>
      <c r="U315"/>
      <c r="W315" s="31" t="str">
        <f t="shared" ca="1" si="16"/>
        <v/>
      </c>
      <c r="Z315" s="31"/>
      <c r="AP315" s="53"/>
      <c r="AQ315" s="53"/>
      <c r="AR315" s="53"/>
    </row>
    <row r="316" spans="2:44">
      <c r="B316" s="2"/>
      <c r="C316" t="str">
        <f>IF(B316&lt;&gt;"",INDEX('Sales Orders'!C:C,MATCH('Booking Management'!B316,'Sales Orders'!A:A,0)),"")</f>
        <v/>
      </c>
      <c r="K316" s="31" t="str">
        <f t="shared" ca="1" si="15"/>
        <v/>
      </c>
      <c r="P316" t="str">
        <f t="shared" si="17"/>
        <v/>
      </c>
      <c r="Q316" t="str">
        <f>IFERROR((J316/SUMIFS('Sales Orders'!D:D,'Sales Orders'!A:A,B316))*SUMIFS('Sales Orders'!N:N,'Sales Orders'!A:A,B316),"")</f>
        <v/>
      </c>
      <c r="U316"/>
      <c r="W316" s="31" t="str">
        <f t="shared" ca="1" si="16"/>
        <v/>
      </c>
      <c r="Z316" s="31"/>
      <c r="AP316" s="53"/>
      <c r="AQ316" s="53"/>
      <c r="AR316" s="53"/>
    </row>
    <row r="317" spans="2:44">
      <c r="B317" s="50"/>
      <c r="C317" t="str">
        <f>IF(B317&lt;&gt;"",INDEX('Sales Orders'!C:C,MATCH('Booking Management'!B317,'Sales Orders'!A:A,0)),"")</f>
        <v/>
      </c>
      <c r="K317" s="31" t="str">
        <f t="shared" ca="1" si="15"/>
        <v/>
      </c>
      <c r="P317" t="str">
        <f t="shared" si="17"/>
        <v/>
      </c>
      <c r="Q317" t="str">
        <f>IFERROR((J317/SUMIFS('Sales Orders'!D:D,'Sales Orders'!A:A,B317))*SUMIFS('Sales Orders'!N:N,'Sales Orders'!A:A,B317),"")</f>
        <v/>
      </c>
      <c r="U317"/>
      <c r="W317" s="31" t="str">
        <f t="shared" ca="1" si="16"/>
        <v/>
      </c>
      <c r="Z317" s="31"/>
      <c r="AP317" s="53"/>
      <c r="AQ317" s="53"/>
      <c r="AR317" s="53"/>
    </row>
    <row r="318" spans="2:44">
      <c r="B318" s="50"/>
      <c r="C318" t="str">
        <f>IF(B318&lt;&gt;"",INDEX('Sales Orders'!C:C,MATCH('Booking Management'!B318,'Sales Orders'!A:A,0)),"")</f>
        <v/>
      </c>
      <c r="K318" s="31" t="str">
        <f t="shared" ca="1" si="15"/>
        <v/>
      </c>
      <c r="P318" t="str">
        <f t="shared" si="17"/>
        <v/>
      </c>
      <c r="Q318" t="str">
        <f>IFERROR((J318/SUMIFS('Sales Orders'!D:D,'Sales Orders'!A:A,B318))*SUMIFS('Sales Orders'!N:N,'Sales Orders'!A:A,B318),"")</f>
        <v/>
      </c>
      <c r="U318"/>
      <c r="W318" s="31" t="str">
        <f t="shared" ca="1" si="16"/>
        <v/>
      </c>
      <c r="Z318" s="31"/>
      <c r="AP318" s="53"/>
      <c r="AQ318" s="53"/>
      <c r="AR318" s="53"/>
    </row>
    <row r="319" spans="2:44">
      <c r="B319" s="2"/>
      <c r="C319" t="str">
        <f>IF(B319&lt;&gt;"",INDEX('Sales Orders'!C:C,MATCH('Booking Management'!B319,'Sales Orders'!A:A,0)),"")</f>
        <v/>
      </c>
      <c r="K319" s="31" t="str">
        <f t="shared" ca="1" si="15"/>
        <v/>
      </c>
      <c r="P319" t="str">
        <f t="shared" si="17"/>
        <v/>
      </c>
      <c r="Q319" t="str">
        <f>IFERROR((J319/SUMIFS('Sales Orders'!D:D,'Sales Orders'!A:A,B319))*SUMIFS('Sales Orders'!N:N,'Sales Orders'!A:A,B319),"")</f>
        <v/>
      </c>
      <c r="W319" s="31" t="str">
        <f t="shared" ca="1" si="16"/>
        <v/>
      </c>
      <c r="Z319" s="31"/>
      <c r="AP319" s="53"/>
      <c r="AQ319" s="53"/>
      <c r="AR319" s="53"/>
    </row>
    <row r="320" spans="2:44">
      <c r="B320" s="2"/>
      <c r="C320" t="str">
        <f>IF(B320&lt;&gt;"",INDEX('Sales Orders'!C:C,MATCH('Booking Management'!B320,'Sales Orders'!A:A,0)),"")</f>
        <v/>
      </c>
      <c r="K320" s="31" t="str">
        <f t="shared" ca="1" si="15"/>
        <v/>
      </c>
      <c r="P320" t="str">
        <f t="shared" si="17"/>
        <v/>
      </c>
      <c r="Q320" t="str">
        <f>IFERROR((J320/SUMIFS('Sales Orders'!D:D,'Sales Orders'!A:A,B320))*SUMIFS('Sales Orders'!N:N,'Sales Orders'!A:A,B320),"")</f>
        <v/>
      </c>
      <c r="U320"/>
      <c r="W320" s="31" t="str">
        <f t="shared" ca="1" si="16"/>
        <v/>
      </c>
      <c r="Z320" s="31"/>
      <c r="AP320" s="53"/>
      <c r="AQ320" s="53"/>
      <c r="AR320" s="53"/>
    </row>
    <row r="321" spans="2:44">
      <c r="B321" s="2"/>
      <c r="C321" t="str">
        <f>IF(B321&lt;&gt;"",INDEX('Sales Orders'!C:C,MATCH('Booking Management'!B321,'Sales Orders'!A:A,0)),"")</f>
        <v/>
      </c>
      <c r="K321" s="31" t="str">
        <f t="shared" ca="1" si="15"/>
        <v/>
      </c>
      <c r="P321" t="str">
        <f t="shared" si="17"/>
        <v/>
      </c>
      <c r="Q321" t="str">
        <f>IFERROR((J321/SUMIFS('Sales Orders'!D:D,'Sales Orders'!A:A,B321))*SUMIFS('Sales Orders'!N:N,'Sales Orders'!A:A,B321),"")</f>
        <v/>
      </c>
      <c r="U321" s="12"/>
      <c r="W321" s="31" t="str">
        <f t="shared" ca="1" si="16"/>
        <v/>
      </c>
      <c r="Z321" s="31"/>
      <c r="AP321" s="53"/>
      <c r="AQ321" s="53"/>
      <c r="AR321" s="53"/>
    </row>
    <row r="322" spans="2:44">
      <c r="B322" s="2"/>
      <c r="C322" t="str">
        <f>IF(B322&lt;&gt;"",INDEX('Sales Orders'!C:C,MATCH('Booking Management'!B322,'Sales Orders'!A:A,0)),"")</f>
        <v/>
      </c>
      <c r="K322" s="31" t="str">
        <f t="shared" ca="1" si="15"/>
        <v/>
      </c>
      <c r="P322" t="str">
        <f t="shared" si="17"/>
        <v/>
      </c>
      <c r="Q322" t="str">
        <f>IFERROR((J322/SUMIFS('Sales Orders'!D:D,'Sales Orders'!A:A,B322))*SUMIFS('Sales Orders'!N:N,'Sales Orders'!A:A,B322),"")</f>
        <v/>
      </c>
      <c r="U322"/>
      <c r="W322" s="31" t="str">
        <f t="shared" ca="1" si="16"/>
        <v/>
      </c>
      <c r="Z322" s="31"/>
      <c r="AP322" s="53"/>
      <c r="AQ322" s="53"/>
      <c r="AR322" s="53"/>
    </row>
    <row r="323" spans="2:44">
      <c r="B323" s="2"/>
      <c r="C323" t="str">
        <f>IF(B323&lt;&gt;"",INDEX('Sales Orders'!C:C,MATCH('Booking Management'!B323,'Sales Orders'!A:A,0)),"")</f>
        <v/>
      </c>
      <c r="K323" s="31" t="str">
        <f t="shared" ref="K323:K386" ca="1" si="18">IF(B323&lt;&gt;"",IF(AND(OR(L323-TODAY()&lt;2,M323&lt;&gt;"yes",N323&lt;&gt;"yes",O323&lt;&gt;"yes"),S323&lt;&gt;"Used"),"Alert",""),"")</f>
        <v/>
      </c>
      <c r="P323" t="str">
        <f t="shared" si="17"/>
        <v/>
      </c>
      <c r="Q323" t="str">
        <f>IFERROR((J323/SUMIFS('Sales Orders'!D:D,'Sales Orders'!A:A,B323))*SUMIFS('Sales Orders'!N:N,'Sales Orders'!A:A,B323),"")</f>
        <v/>
      </c>
      <c r="U323"/>
      <c r="W323" s="31" t="str">
        <f t="shared" ca="1" si="16"/>
        <v/>
      </c>
      <c r="Z323" s="31"/>
      <c r="AP323" s="53"/>
      <c r="AQ323" s="53"/>
      <c r="AR323" s="53"/>
    </row>
    <row r="324" spans="2:44">
      <c r="B324" s="2"/>
      <c r="C324" t="str">
        <f>IF(B324&lt;&gt;"",INDEX('Sales Orders'!C:C,MATCH('Booking Management'!B324,'Sales Orders'!A:A,0)),"")</f>
        <v/>
      </c>
      <c r="K324" s="31" t="str">
        <f t="shared" ca="1" si="18"/>
        <v/>
      </c>
      <c r="P324" t="str">
        <f t="shared" si="17"/>
        <v/>
      </c>
      <c r="Q324" t="str">
        <f>IFERROR((J324/SUMIFS('Sales Orders'!D:D,'Sales Orders'!A:A,B324))*SUMIFS('Sales Orders'!N:N,'Sales Orders'!A:A,B324),"")</f>
        <v/>
      </c>
      <c r="U324"/>
      <c r="W324" s="31" t="str">
        <f t="shared" ca="1" si="16"/>
        <v/>
      </c>
      <c r="Z324" s="31"/>
      <c r="AP324" s="53"/>
      <c r="AQ324" s="53"/>
      <c r="AR324" s="53"/>
    </row>
    <row r="325" spans="2:44">
      <c r="B325" s="2"/>
      <c r="C325" t="str">
        <f>IF(B325&lt;&gt;"",INDEX('Sales Orders'!C:C,MATCH('Booking Management'!B325,'Sales Orders'!A:A,0)),"")</f>
        <v/>
      </c>
      <c r="K325" s="31" t="str">
        <f t="shared" ca="1" si="18"/>
        <v/>
      </c>
      <c r="P325" t="str">
        <f t="shared" si="17"/>
        <v/>
      </c>
      <c r="Q325" t="str">
        <f>IFERROR((J325/SUMIFS('Sales Orders'!D:D,'Sales Orders'!A:A,B325))*SUMIFS('Sales Orders'!N:N,'Sales Orders'!A:A,B325),"")</f>
        <v/>
      </c>
      <c r="U325"/>
      <c r="W325" s="31" t="str">
        <f t="shared" ca="1" si="16"/>
        <v/>
      </c>
      <c r="Z325" s="31"/>
      <c r="AP325" s="53"/>
      <c r="AQ325" s="53"/>
      <c r="AR325" s="53"/>
    </row>
    <row r="326" spans="2:44">
      <c r="B326" s="2"/>
      <c r="C326" t="str">
        <f>IF(B326&lt;&gt;"",INDEX('Sales Orders'!C:C,MATCH('Booking Management'!B326,'Sales Orders'!A:A,0)),"")</f>
        <v/>
      </c>
      <c r="K326" s="31" t="str">
        <f t="shared" ca="1" si="18"/>
        <v/>
      </c>
      <c r="P326" t="str">
        <f t="shared" si="17"/>
        <v/>
      </c>
      <c r="Q326" t="str">
        <f>IFERROR((J326/SUMIFS('Sales Orders'!D:D,'Sales Orders'!A:A,B326))*SUMIFS('Sales Orders'!N:N,'Sales Orders'!A:A,B326),"")</f>
        <v/>
      </c>
      <c r="U326"/>
      <c r="W326" s="31" t="str">
        <f t="shared" ca="1" si="16"/>
        <v/>
      </c>
      <c r="Z326" s="31"/>
      <c r="AP326" s="53"/>
      <c r="AQ326" s="53"/>
      <c r="AR326" s="53"/>
    </row>
    <row r="327" spans="2:44">
      <c r="B327" s="2"/>
      <c r="C327" t="str">
        <f>IF(B327&lt;&gt;"",INDEX('Sales Orders'!C:C,MATCH('Booking Management'!B327,'Sales Orders'!A:A,0)),"")</f>
        <v/>
      </c>
      <c r="K327" s="31" t="str">
        <f t="shared" ca="1" si="18"/>
        <v/>
      </c>
      <c r="P327" t="str">
        <f t="shared" si="17"/>
        <v/>
      </c>
      <c r="Q327" t="str">
        <f>IFERROR((J327/SUMIFS('Sales Orders'!D:D,'Sales Orders'!A:A,B327))*SUMIFS('Sales Orders'!N:N,'Sales Orders'!A:A,B327),"")</f>
        <v/>
      </c>
      <c r="U327"/>
      <c r="W327" s="31" t="str">
        <f t="shared" ref="W327:W390" ca="1" si="19">IF(T327&lt;&gt;"",IF(X327="Yes","NO",IF((TODAY()-V327)&gt;6,"YES","NO")),"")</f>
        <v/>
      </c>
      <c r="Z327" s="31"/>
      <c r="AP327" s="53"/>
      <c r="AQ327" s="53"/>
      <c r="AR327" s="53"/>
    </row>
    <row r="328" spans="2:44">
      <c r="B328" s="2"/>
      <c r="C328" t="str">
        <f>IF(B328&lt;&gt;"",INDEX('Sales Orders'!C:C,MATCH('Booking Management'!B328,'Sales Orders'!A:A,0)),"")</f>
        <v/>
      </c>
      <c r="K328" s="31" t="str">
        <f t="shared" ca="1" si="18"/>
        <v/>
      </c>
      <c r="P328" t="str">
        <f t="shared" si="17"/>
        <v/>
      </c>
      <c r="Q328" t="str">
        <f>IFERROR((J328/SUMIFS('Sales Orders'!D:D,'Sales Orders'!A:A,B328))*SUMIFS('Sales Orders'!N:N,'Sales Orders'!A:A,B328),"")</f>
        <v/>
      </c>
      <c r="W328" s="31" t="str">
        <f t="shared" ca="1" si="19"/>
        <v/>
      </c>
      <c r="Z328" s="31"/>
      <c r="AP328" s="53"/>
      <c r="AQ328" s="53"/>
      <c r="AR328" s="53"/>
    </row>
    <row r="329" spans="2:44">
      <c r="B329" s="2"/>
      <c r="C329" t="str">
        <f>IF(B329&lt;&gt;"",INDEX('Sales Orders'!C:C,MATCH('Booking Management'!B329,'Sales Orders'!A:A,0)),"")</f>
        <v/>
      </c>
      <c r="K329" s="31" t="str">
        <f t="shared" ca="1" si="18"/>
        <v/>
      </c>
      <c r="P329" t="str">
        <f t="shared" si="17"/>
        <v/>
      </c>
      <c r="Q329" t="str">
        <f>IFERROR((J329/SUMIFS('Sales Orders'!D:D,'Sales Orders'!A:A,B329))*SUMIFS('Sales Orders'!N:N,'Sales Orders'!A:A,B329),"")</f>
        <v/>
      </c>
      <c r="W329" s="31" t="str">
        <f t="shared" ca="1" si="19"/>
        <v/>
      </c>
      <c r="Z329" s="31"/>
      <c r="AP329" s="53"/>
      <c r="AQ329" s="53"/>
      <c r="AR329" s="53"/>
    </row>
    <row r="330" spans="2:44">
      <c r="B330" s="2"/>
      <c r="C330" t="str">
        <f>IF(B330&lt;&gt;"",INDEX('Sales Orders'!C:C,MATCH('Booking Management'!B330,'Sales Orders'!A:A,0)),"")</f>
        <v/>
      </c>
      <c r="K330" s="31" t="str">
        <f t="shared" ca="1" si="18"/>
        <v/>
      </c>
      <c r="P330" t="str">
        <f t="shared" si="17"/>
        <v/>
      </c>
      <c r="Q330" t="str">
        <f>IFERROR((J330/SUMIFS('Sales Orders'!D:D,'Sales Orders'!A:A,B330))*SUMIFS('Sales Orders'!N:N,'Sales Orders'!A:A,B330),"")</f>
        <v/>
      </c>
      <c r="U330"/>
      <c r="W330" s="31" t="str">
        <f t="shared" ca="1" si="19"/>
        <v/>
      </c>
      <c r="Z330" s="31"/>
      <c r="AP330" s="53"/>
      <c r="AQ330" s="53"/>
      <c r="AR330" s="53"/>
    </row>
    <row r="331" spans="2:44">
      <c r="B331" s="2"/>
      <c r="C331" t="str">
        <f>IF(B331&lt;&gt;"",INDEX('Sales Orders'!C:C,MATCH('Booking Management'!B331,'Sales Orders'!A:A,0)),"")</f>
        <v/>
      </c>
      <c r="K331" s="31" t="str">
        <f t="shared" ca="1" si="18"/>
        <v/>
      </c>
      <c r="P331" t="str">
        <f t="shared" si="17"/>
        <v/>
      </c>
      <c r="Q331" t="str">
        <f>IFERROR((J331/SUMIFS('Sales Orders'!D:D,'Sales Orders'!A:A,B331))*SUMIFS('Sales Orders'!N:N,'Sales Orders'!A:A,B331),"")</f>
        <v/>
      </c>
      <c r="W331" s="31" t="str">
        <f t="shared" ca="1" si="19"/>
        <v/>
      </c>
      <c r="Z331" s="31"/>
      <c r="AP331" s="53"/>
      <c r="AQ331" s="53"/>
      <c r="AR331" s="53"/>
    </row>
    <row r="332" spans="2:44">
      <c r="B332" s="2"/>
      <c r="C332" t="str">
        <f>IF(B332&lt;&gt;"",INDEX('Sales Orders'!C:C,MATCH('Booking Management'!B332,'Sales Orders'!A:A,0)),"")</f>
        <v/>
      </c>
      <c r="K332" s="31" t="str">
        <f t="shared" ca="1" si="18"/>
        <v/>
      </c>
      <c r="P332" t="str">
        <f t="shared" si="17"/>
        <v/>
      </c>
      <c r="Q332" t="str">
        <f>IFERROR((J332/SUMIFS('Sales Orders'!D:D,'Sales Orders'!A:A,B332))*SUMIFS('Sales Orders'!N:N,'Sales Orders'!A:A,B332),"")</f>
        <v/>
      </c>
      <c r="U332"/>
      <c r="W332" s="31" t="str">
        <f t="shared" ca="1" si="19"/>
        <v/>
      </c>
      <c r="Z332" s="31"/>
      <c r="AP332" s="53"/>
      <c r="AQ332" s="53"/>
      <c r="AR332" s="53"/>
    </row>
    <row r="333" spans="2:44">
      <c r="B333" s="2"/>
      <c r="C333" t="str">
        <f>IF(B333&lt;&gt;"",INDEX('Sales Orders'!C:C,MATCH('Booking Management'!B333,'Sales Orders'!A:A,0)),"")</f>
        <v/>
      </c>
      <c r="K333" s="31" t="str">
        <f t="shared" ca="1" si="18"/>
        <v/>
      </c>
      <c r="P333" t="str">
        <f t="shared" si="17"/>
        <v/>
      </c>
      <c r="Q333" t="str">
        <f>IFERROR((J333/SUMIFS('Sales Orders'!D:D,'Sales Orders'!A:A,B333))*SUMIFS('Sales Orders'!N:N,'Sales Orders'!A:A,B333),"")</f>
        <v/>
      </c>
      <c r="W333" s="31" t="str">
        <f t="shared" ca="1" si="19"/>
        <v/>
      </c>
      <c r="Z333" s="31"/>
      <c r="AP333" s="53"/>
      <c r="AQ333" s="53"/>
      <c r="AR333" s="53"/>
    </row>
    <row r="334" spans="2:44">
      <c r="B334" s="2"/>
      <c r="C334" t="str">
        <f>IF(B334&lt;&gt;"",INDEX('Sales Orders'!C:C,MATCH('Booking Management'!B334,'Sales Orders'!A:A,0)),"")</f>
        <v/>
      </c>
      <c r="K334" s="31" t="str">
        <f t="shared" ca="1" si="18"/>
        <v/>
      </c>
      <c r="P334" t="str">
        <f t="shared" si="17"/>
        <v/>
      </c>
      <c r="Q334" t="str">
        <f>IFERROR((J334/SUMIFS('Sales Orders'!D:D,'Sales Orders'!A:A,B334))*SUMIFS('Sales Orders'!N:N,'Sales Orders'!A:A,B334),"")</f>
        <v/>
      </c>
      <c r="U334"/>
      <c r="W334" s="31" t="str">
        <f t="shared" ca="1" si="19"/>
        <v/>
      </c>
      <c r="Z334" s="31"/>
      <c r="AP334" s="53"/>
      <c r="AQ334" s="53"/>
      <c r="AR334" s="53"/>
    </row>
    <row r="335" spans="2:44">
      <c r="B335" s="44"/>
      <c r="C335" t="str">
        <f>IF(B335&lt;&gt;"",INDEX('Sales Orders'!C:C,MATCH('Booking Management'!B335,'Sales Orders'!A:A,0)),"")</f>
        <v/>
      </c>
      <c r="K335" s="31" t="str">
        <f t="shared" ca="1" si="18"/>
        <v/>
      </c>
      <c r="P335" t="str">
        <f t="shared" si="17"/>
        <v/>
      </c>
      <c r="Q335" t="str">
        <f>IFERROR((J335/SUMIFS('Sales Orders'!D:D,'Sales Orders'!A:A,B335))*SUMIFS('Sales Orders'!N:N,'Sales Orders'!A:A,B335),"")</f>
        <v/>
      </c>
      <c r="U335"/>
      <c r="W335" s="31" t="str">
        <f t="shared" ca="1" si="19"/>
        <v/>
      </c>
      <c r="Z335" s="31"/>
      <c r="AP335" s="53"/>
      <c r="AQ335" s="53"/>
      <c r="AR335" s="53"/>
    </row>
    <row r="336" spans="2:44">
      <c r="B336" s="44"/>
      <c r="C336" t="str">
        <f>IF(B336&lt;&gt;"",INDEX('Sales Orders'!C:C,MATCH('Booking Management'!B336,'Sales Orders'!A:A,0)),"")</f>
        <v/>
      </c>
      <c r="K336" s="31" t="str">
        <f t="shared" ca="1" si="18"/>
        <v/>
      </c>
      <c r="P336" t="str">
        <f t="shared" si="17"/>
        <v/>
      </c>
      <c r="Q336" t="str">
        <f>IFERROR((J336/SUMIFS('Sales Orders'!D:D,'Sales Orders'!A:A,B336))*SUMIFS('Sales Orders'!N:N,'Sales Orders'!A:A,B336),"")</f>
        <v/>
      </c>
      <c r="U336"/>
      <c r="W336" s="31" t="str">
        <f t="shared" ca="1" si="19"/>
        <v/>
      </c>
      <c r="Z336" s="31"/>
      <c r="AP336" s="53"/>
      <c r="AQ336" s="53"/>
      <c r="AR336" s="53"/>
    </row>
    <row r="337" spans="2:44">
      <c r="B337" s="44"/>
      <c r="C337" t="str">
        <f>IF(B337&lt;&gt;"",INDEX('Sales Orders'!C:C,MATCH('Booking Management'!B337,'Sales Orders'!A:A,0)),"")</f>
        <v/>
      </c>
      <c r="K337" s="31" t="str">
        <f t="shared" ca="1" si="18"/>
        <v/>
      </c>
      <c r="P337" t="str">
        <f t="shared" si="17"/>
        <v/>
      </c>
      <c r="Q337" t="str">
        <f>IFERROR((J337/SUMIFS('Sales Orders'!D:D,'Sales Orders'!A:A,B337))*SUMIFS('Sales Orders'!N:N,'Sales Orders'!A:A,B337),"")</f>
        <v/>
      </c>
      <c r="U337"/>
      <c r="W337" s="31" t="str">
        <f t="shared" ca="1" si="19"/>
        <v/>
      </c>
      <c r="Z337" s="31"/>
      <c r="AP337" s="53"/>
      <c r="AQ337" s="53"/>
      <c r="AR337" s="53"/>
    </row>
    <row r="338" spans="2:44">
      <c r="B338" s="2"/>
      <c r="C338" t="str">
        <f>IF(B338&lt;&gt;"",INDEX('Sales Orders'!C:C,MATCH('Booking Management'!B338,'Sales Orders'!A:A,0)),"")</f>
        <v/>
      </c>
      <c r="K338" s="31" t="str">
        <f t="shared" ca="1" si="18"/>
        <v/>
      </c>
      <c r="P338" t="str">
        <f t="shared" si="17"/>
        <v/>
      </c>
      <c r="Q338" t="str">
        <f>IFERROR((J338/SUMIFS('Sales Orders'!D:D,'Sales Orders'!A:A,B338))*SUMIFS('Sales Orders'!N:N,'Sales Orders'!A:A,B338),"")</f>
        <v/>
      </c>
      <c r="U338"/>
      <c r="W338" s="31" t="str">
        <f t="shared" ca="1" si="19"/>
        <v/>
      </c>
      <c r="Z338" s="31"/>
      <c r="AP338" s="53"/>
      <c r="AQ338" s="53"/>
      <c r="AR338" s="53"/>
    </row>
    <row r="339" spans="2:44">
      <c r="B339" s="44"/>
      <c r="C339" t="str">
        <f>IF(B339&lt;&gt;"",INDEX('Sales Orders'!C:C,MATCH('Booking Management'!B339,'Sales Orders'!A:A,0)),"")</f>
        <v/>
      </c>
      <c r="K339" s="31" t="str">
        <f t="shared" ca="1" si="18"/>
        <v/>
      </c>
      <c r="P339" t="str">
        <f t="shared" si="17"/>
        <v/>
      </c>
      <c r="Q339" t="str">
        <f>IFERROR((J339/SUMIFS('Sales Orders'!D:D,'Sales Orders'!A:A,B339))*SUMIFS('Sales Orders'!N:N,'Sales Orders'!A:A,B339),"")</f>
        <v/>
      </c>
      <c r="U339"/>
      <c r="W339" s="31" t="str">
        <f t="shared" ca="1" si="19"/>
        <v/>
      </c>
      <c r="Z339" s="31"/>
      <c r="AP339" s="53"/>
      <c r="AQ339" s="53"/>
      <c r="AR339" s="53"/>
    </row>
    <row r="340" spans="2:44">
      <c r="B340" s="44"/>
      <c r="C340" t="str">
        <f>IF(B340&lt;&gt;"",INDEX('Sales Orders'!C:C,MATCH('Booking Management'!B340,'Sales Orders'!A:A,0)),"")</f>
        <v/>
      </c>
      <c r="K340" s="31" t="str">
        <f t="shared" ca="1" si="18"/>
        <v/>
      </c>
      <c r="P340" t="str">
        <f t="shared" si="17"/>
        <v/>
      </c>
      <c r="Q340" t="str">
        <f>IFERROR((J340/SUMIFS('Sales Orders'!D:D,'Sales Orders'!A:A,B340))*SUMIFS('Sales Orders'!N:N,'Sales Orders'!A:A,B340),"")</f>
        <v/>
      </c>
      <c r="U340"/>
      <c r="W340" s="31" t="str">
        <f t="shared" ca="1" si="19"/>
        <v/>
      </c>
      <c r="Z340" s="31"/>
      <c r="AP340" s="53"/>
      <c r="AQ340" s="53"/>
      <c r="AR340" s="53"/>
    </row>
    <row r="341" spans="2:44">
      <c r="B341" s="44"/>
      <c r="C341" t="str">
        <f>IF(B341&lt;&gt;"",INDEX('Sales Orders'!C:C,MATCH('Booking Management'!B341,'Sales Orders'!A:A,0)),"")</f>
        <v/>
      </c>
      <c r="K341" s="31" t="str">
        <f t="shared" ca="1" si="18"/>
        <v/>
      </c>
      <c r="P341" t="str">
        <f t="shared" si="17"/>
        <v/>
      </c>
      <c r="Q341" t="str">
        <f>IFERROR((J341/SUMIFS('Sales Orders'!D:D,'Sales Orders'!A:A,B341))*SUMIFS('Sales Orders'!N:N,'Sales Orders'!A:A,B341),"")</f>
        <v/>
      </c>
      <c r="U341"/>
      <c r="W341" s="31" t="str">
        <f t="shared" ca="1" si="19"/>
        <v/>
      </c>
      <c r="Z341" s="31"/>
      <c r="AP341" s="53"/>
      <c r="AQ341" s="53"/>
      <c r="AR341" s="53"/>
    </row>
    <row r="342" spans="2:44">
      <c r="B342" s="2"/>
      <c r="C342" t="str">
        <f>IF(B342&lt;&gt;"",INDEX('Sales Orders'!C:C,MATCH('Booking Management'!B342,'Sales Orders'!A:A,0)),"")</f>
        <v/>
      </c>
      <c r="K342" s="31" t="str">
        <f t="shared" ca="1" si="18"/>
        <v/>
      </c>
      <c r="P342" t="str">
        <f t="shared" si="17"/>
        <v/>
      </c>
      <c r="Q342" t="str">
        <f>IFERROR((J342/SUMIFS('Sales Orders'!D:D,'Sales Orders'!A:A,B342))*SUMIFS('Sales Orders'!N:N,'Sales Orders'!A:A,B342),"")</f>
        <v/>
      </c>
      <c r="U342"/>
      <c r="W342" s="31" t="str">
        <f t="shared" ca="1" si="19"/>
        <v/>
      </c>
      <c r="Z342" s="31"/>
      <c r="AP342" s="53"/>
      <c r="AQ342" s="53"/>
      <c r="AR342" s="53"/>
    </row>
    <row r="343" spans="2:44">
      <c r="B343" s="44"/>
      <c r="C343" t="str">
        <f>IF(B343&lt;&gt;"",INDEX('Sales Orders'!C:C,MATCH('Booking Management'!B343,'Sales Orders'!A:A,0)),"")</f>
        <v/>
      </c>
      <c r="K343" s="31" t="str">
        <f t="shared" ca="1" si="18"/>
        <v/>
      </c>
      <c r="P343" t="str">
        <f t="shared" si="17"/>
        <v/>
      </c>
      <c r="Q343" t="str">
        <f>IFERROR((J343/SUMIFS('Sales Orders'!D:D,'Sales Orders'!A:A,B343))*SUMIFS('Sales Orders'!N:N,'Sales Orders'!A:A,B343),"")</f>
        <v/>
      </c>
      <c r="U343"/>
      <c r="W343" s="31" t="str">
        <f t="shared" ca="1" si="19"/>
        <v/>
      </c>
      <c r="Z343" s="31"/>
      <c r="AP343" s="53"/>
      <c r="AQ343" s="53"/>
      <c r="AR343" s="53"/>
    </row>
    <row r="344" spans="2:44">
      <c r="B344" s="44"/>
      <c r="C344" t="str">
        <f>IF(B344&lt;&gt;"",INDEX('Sales Orders'!C:C,MATCH('Booking Management'!B344,'Sales Orders'!A:A,0)),"")</f>
        <v/>
      </c>
      <c r="K344" s="31" t="str">
        <f t="shared" ca="1" si="18"/>
        <v/>
      </c>
      <c r="P344" t="str">
        <f t="shared" si="17"/>
        <v/>
      </c>
      <c r="Q344" t="str">
        <f>IFERROR((J344/SUMIFS('Sales Orders'!D:D,'Sales Orders'!A:A,B344))*SUMIFS('Sales Orders'!N:N,'Sales Orders'!A:A,B344),"")</f>
        <v/>
      </c>
      <c r="U344"/>
      <c r="W344" s="31" t="str">
        <f t="shared" ca="1" si="19"/>
        <v/>
      </c>
      <c r="Z344" s="31"/>
      <c r="AP344" s="53"/>
      <c r="AQ344" s="53"/>
      <c r="AR344" s="53"/>
    </row>
    <row r="345" spans="2:44">
      <c r="B345" s="50"/>
      <c r="C345" t="str">
        <f>IF(B345&lt;&gt;"",INDEX('Sales Orders'!C:C,MATCH('Booking Management'!B345,'Sales Orders'!A:A,0)),"")</f>
        <v/>
      </c>
      <c r="K345" s="31" t="str">
        <f t="shared" ca="1" si="18"/>
        <v/>
      </c>
      <c r="P345" t="str">
        <f t="shared" si="17"/>
        <v/>
      </c>
      <c r="Q345" t="str">
        <f>IFERROR((J345/SUMIFS('Sales Orders'!D:D,'Sales Orders'!A:A,B345))*SUMIFS('Sales Orders'!N:N,'Sales Orders'!A:A,B345),"")</f>
        <v/>
      </c>
      <c r="U345"/>
      <c r="W345" s="31" t="str">
        <f t="shared" ca="1" si="19"/>
        <v/>
      </c>
      <c r="Z345" s="31"/>
      <c r="AP345" s="53"/>
      <c r="AQ345" s="53"/>
      <c r="AR345" s="53"/>
    </row>
    <row r="346" spans="2:44">
      <c r="B346" s="2"/>
      <c r="C346" t="str">
        <f>IF(B346&lt;&gt;"",INDEX('Sales Orders'!C:C,MATCH('Booking Management'!B346,'Sales Orders'!A:A,0)),"")</f>
        <v/>
      </c>
      <c r="K346" s="31" t="str">
        <f t="shared" ca="1" si="18"/>
        <v/>
      </c>
      <c r="P346" t="str">
        <f t="shared" si="17"/>
        <v/>
      </c>
      <c r="Q346" t="str">
        <f>IFERROR((J346/SUMIFS('Sales Orders'!D:D,'Sales Orders'!A:A,B346))*SUMIFS('Sales Orders'!N:N,'Sales Orders'!A:A,B346),"")</f>
        <v/>
      </c>
      <c r="W346" s="31" t="str">
        <f t="shared" ca="1" si="19"/>
        <v/>
      </c>
      <c r="Z346" s="31"/>
      <c r="AP346" s="53"/>
      <c r="AQ346" s="53"/>
      <c r="AR346" s="53"/>
    </row>
    <row r="347" spans="2:44">
      <c r="B347" s="44"/>
      <c r="C347" t="str">
        <f>IF(B347&lt;&gt;"",INDEX('Sales Orders'!C:C,MATCH('Booking Management'!B347,'Sales Orders'!A:A,0)),"")</f>
        <v/>
      </c>
      <c r="K347" s="31" t="str">
        <f t="shared" ca="1" si="18"/>
        <v/>
      </c>
      <c r="P347" t="str">
        <f t="shared" si="17"/>
        <v/>
      </c>
      <c r="Q347" t="str">
        <f>IFERROR((J347/SUMIFS('Sales Orders'!D:D,'Sales Orders'!A:A,B347))*SUMIFS('Sales Orders'!N:N,'Sales Orders'!A:A,B347),"")</f>
        <v/>
      </c>
      <c r="U347"/>
      <c r="W347" s="31" t="str">
        <f t="shared" ca="1" si="19"/>
        <v/>
      </c>
      <c r="Z347" s="31"/>
      <c r="AP347" s="53"/>
      <c r="AQ347" s="53"/>
      <c r="AR347" s="53"/>
    </row>
    <row r="348" spans="2:44">
      <c r="B348" s="2"/>
      <c r="C348" t="str">
        <f>IF(B348&lt;&gt;"",INDEX('Sales Orders'!C:C,MATCH('Booking Management'!B348,'Sales Orders'!A:A,0)),"")</f>
        <v/>
      </c>
      <c r="K348" s="31" t="str">
        <f t="shared" ca="1" si="18"/>
        <v/>
      </c>
      <c r="P348" t="str">
        <f t="shared" si="17"/>
        <v/>
      </c>
      <c r="Q348" t="str">
        <f>IFERROR((J348/SUMIFS('Sales Orders'!D:D,'Sales Orders'!A:A,B348))*SUMIFS('Sales Orders'!N:N,'Sales Orders'!A:A,B348),"")</f>
        <v/>
      </c>
      <c r="U348"/>
      <c r="W348" s="31" t="str">
        <f t="shared" ca="1" si="19"/>
        <v/>
      </c>
      <c r="Z348" s="31"/>
      <c r="AP348" s="53"/>
      <c r="AQ348" s="53"/>
      <c r="AR348" s="53"/>
    </row>
    <row r="349" spans="2:44">
      <c r="B349" s="2"/>
      <c r="C349" t="str">
        <f>IF(B349&lt;&gt;"",INDEX('Sales Orders'!C:C,MATCH('Booking Management'!B349,'Sales Orders'!A:A,0)),"")</f>
        <v/>
      </c>
      <c r="K349" s="31" t="str">
        <f t="shared" ca="1" si="18"/>
        <v/>
      </c>
      <c r="P349" t="str">
        <f t="shared" si="17"/>
        <v/>
      </c>
      <c r="Q349" t="str">
        <f>IFERROR((J349/SUMIFS('Sales Orders'!D:D,'Sales Orders'!A:A,B349))*SUMIFS('Sales Orders'!N:N,'Sales Orders'!A:A,B349),"")</f>
        <v/>
      </c>
      <c r="W349" s="31" t="str">
        <f t="shared" ca="1" si="19"/>
        <v/>
      </c>
      <c r="Z349" s="31"/>
      <c r="AP349" s="53"/>
      <c r="AQ349" s="53"/>
      <c r="AR349" s="53"/>
    </row>
    <row r="350" spans="2:44">
      <c r="B350" s="44"/>
      <c r="C350" t="str">
        <f>IF(B350&lt;&gt;"",INDEX('Sales Orders'!C:C,MATCH('Booking Management'!B350,'Sales Orders'!A:A,0)),"")</f>
        <v/>
      </c>
      <c r="K350" s="31" t="str">
        <f t="shared" ca="1" si="18"/>
        <v/>
      </c>
      <c r="P350" t="str">
        <f t="shared" si="17"/>
        <v/>
      </c>
      <c r="Q350" t="str">
        <f>IFERROR((J350/SUMIFS('Sales Orders'!D:D,'Sales Orders'!A:A,B350))*SUMIFS('Sales Orders'!N:N,'Sales Orders'!A:A,B350),"")</f>
        <v/>
      </c>
      <c r="U350"/>
      <c r="W350" s="31" t="str">
        <f t="shared" ca="1" si="19"/>
        <v/>
      </c>
      <c r="Z350" s="31"/>
      <c r="AP350" s="53"/>
      <c r="AQ350" s="53"/>
      <c r="AR350" s="53"/>
    </row>
    <row r="351" spans="2:44">
      <c r="B351" s="2"/>
      <c r="C351" t="str">
        <f>IF(B351&lt;&gt;"",INDEX('Sales Orders'!C:C,MATCH('Booking Management'!B351,'Sales Orders'!A:A,0)),"")</f>
        <v/>
      </c>
      <c r="K351" s="31" t="str">
        <f t="shared" ca="1" si="18"/>
        <v/>
      </c>
      <c r="P351" t="str">
        <f t="shared" si="17"/>
        <v/>
      </c>
      <c r="Q351" t="str">
        <f>IFERROR((J351/SUMIFS('Sales Orders'!D:D,'Sales Orders'!A:A,B351))*SUMIFS('Sales Orders'!N:N,'Sales Orders'!A:A,B351),"")</f>
        <v/>
      </c>
      <c r="U351"/>
      <c r="W351" s="31" t="str">
        <f t="shared" ca="1" si="19"/>
        <v/>
      </c>
      <c r="Z351" s="31"/>
      <c r="AP351" s="53"/>
      <c r="AQ351" s="53"/>
      <c r="AR351" s="53"/>
    </row>
    <row r="352" spans="2:44">
      <c r="B352" s="44"/>
      <c r="C352" t="str">
        <f>IF(B352&lt;&gt;"",INDEX('Sales Orders'!C:C,MATCH('Booking Management'!B352,'Sales Orders'!A:A,0)),"")</f>
        <v/>
      </c>
      <c r="K352" s="31" t="str">
        <f t="shared" ca="1" si="18"/>
        <v/>
      </c>
      <c r="P352" t="str">
        <f t="shared" si="17"/>
        <v/>
      </c>
      <c r="Q352" t="str">
        <f>IFERROR((J352/SUMIFS('Sales Orders'!D:D,'Sales Orders'!A:A,B352))*SUMIFS('Sales Orders'!N:N,'Sales Orders'!A:A,B352),"")</f>
        <v/>
      </c>
      <c r="U352"/>
      <c r="W352" s="31" t="str">
        <f t="shared" ca="1" si="19"/>
        <v/>
      </c>
      <c r="Z352" s="31"/>
      <c r="AP352" s="53"/>
      <c r="AQ352" s="53"/>
      <c r="AR352" s="53"/>
    </row>
    <row r="353" spans="2:44">
      <c r="B353" s="2"/>
      <c r="C353" t="str">
        <f>IF(B353&lt;&gt;"",INDEX('Sales Orders'!C:C,MATCH('Booking Management'!B353,'Sales Orders'!A:A,0)),"")</f>
        <v/>
      </c>
      <c r="K353" s="31" t="str">
        <f t="shared" ca="1" si="18"/>
        <v/>
      </c>
      <c r="P353" t="str">
        <f t="shared" ref="P353:P416" si="20">IF(B353&lt;&gt;"",T353-L353,"")</f>
        <v/>
      </c>
      <c r="Q353" t="str">
        <f>IFERROR((J353/SUMIFS('Sales Orders'!D:D,'Sales Orders'!A:A,B353))*SUMIFS('Sales Orders'!N:N,'Sales Orders'!A:A,B353),"")</f>
        <v/>
      </c>
      <c r="W353" s="31" t="str">
        <f t="shared" ca="1" si="19"/>
        <v/>
      </c>
      <c r="Z353" s="31"/>
      <c r="AP353" s="53"/>
      <c r="AQ353" s="53"/>
      <c r="AR353" s="53"/>
    </row>
    <row r="354" spans="2:44">
      <c r="B354" s="2"/>
      <c r="C354" t="str">
        <f>IF(B354&lt;&gt;"",INDEX('Sales Orders'!C:C,MATCH('Booking Management'!B354,'Sales Orders'!A:A,0)),"")</f>
        <v/>
      </c>
      <c r="K354" s="31" t="str">
        <f t="shared" ca="1" si="18"/>
        <v/>
      </c>
      <c r="P354" t="str">
        <f t="shared" si="20"/>
        <v/>
      </c>
      <c r="Q354" t="str">
        <f>IFERROR((J354/SUMIFS('Sales Orders'!D:D,'Sales Orders'!A:A,B354))*SUMIFS('Sales Orders'!N:N,'Sales Orders'!A:A,B354),"")</f>
        <v/>
      </c>
      <c r="U354"/>
      <c r="W354" s="31" t="str">
        <f t="shared" ca="1" si="19"/>
        <v/>
      </c>
      <c r="Z354" s="31"/>
      <c r="AP354" s="53"/>
      <c r="AQ354" s="53"/>
      <c r="AR354" s="53"/>
    </row>
    <row r="355" spans="2:44">
      <c r="B355" s="2"/>
      <c r="C355" t="str">
        <f>IF(B355&lt;&gt;"",INDEX('Sales Orders'!C:C,MATCH('Booking Management'!B355,'Sales Orders'!A:A,0)),"")</f>
        <v/>
      </c>
      <c r="K355" s="31" t="str">
        <f t="shared" ca="1" si="18"/>
        <v/>
      </c>
      <c r="P355" t="str">
        <f t="shared" si="20"/>
        <v/>
      </c>
      <c r="Q355" t="str">
        <f>IFERROR((J355/SUMIFS('Sales Orders'!D:D,'Sales Orders'!A:A,B355))*SUMIFS('Sales Orders'!N:N,'Sales Orders'!A:A,B355),"")</f>
        <v/>
      </c>
      <c r="U355"/>
      <c r="W355" s="31" t="str">
        <f t="shared" ca="1" si="19"/>
        <v/>
      </c>
      <c r="Z355" s="31"/>
      <c r="AP355" s="53"/>
      <c r="AQ355" s="53"/>
      <c r="AR355" s="53"/>
    </row>
    <row r="356" spans="2:44">
      <c r="B356" s="2"/>
      <c r="C356" t="str">
        <f>IF(B356&lt;&gt;"",INDEX('Sales Orders'!C:C,MATCH('Booking Management'!B356,'Sales Orders'!A:A,0)),"")</f>
        <v/>
      </c>
      <c r="K356" s="31" t="str">
        <f t="shared" ca="1" si="18"/>
        <v/>
      </c>
      <c r="P356" t="str">
        <f t="shared" si="20"/>
        <v/>
      </c>
      <c r="Q356" t="str">
        <f>IFERROR((J356/SUMIFS('Sales Orders'!D:D,'Sales Orders'!A:A,B356))*SUMIFS('Sales Orders'!N:N,'Sales Orders'!A:A,B356),"")</f>
        <v/>
      </c>
      <c r="U356"/>
      <c r="W356" s="31" t="str">
        <f t="shared" ca="1" si="19"/>
        <v/>
      </c>
      <c r="Z356" s="31"/>
      <c r="AP356" s="53"/>
      <c r="AQ356" s="53"/>
      <c r="AR356" s="53"/>
    </row>
    <row r="357" spans="2:44">
      <c r="B357" s="2"/>
      <c r="C357" t="str">
        <f>IF(B357&lt;&gt;"",INDEX('Sales Orders'!C:C,MATCH('Booking Management'!B357,'Sales Orders'!A:A,0)),"")</f>
        <v/>
      </c>
      <c r="K357" s="31" t="str">
        <f t="shared" ca="1" si="18"/>
        <v/>
      </c>
      <c r="P357" t="str">
        <f t="shared" si="20"/>
        <v/>
      </c>
      <c r="Q357" t="str">
        <f>IFERROR((J357/SUMIFS('Sales Orders'!D:D,'Sales Orders'!A:A,B357))*SUMIFS('Sales Orders'!N:N,'Sales Orders'!A:A,B357),"")</f>
        <v/>
      </c>
      <c r="U357"/>
      <c r="W357" s="31" t="str">
        <f t="shared" ca="1" si="19"/>
        <v/>
      </c>
      <c r="Z357" s="31"/>
      <c r="AP357" s="53"/>
      <c r="AQ357" s="53"/>
      <c r="AR357" s="53"/>
    </row>
    <row r="358" spans="2:44">
      <c r="B358" s="44"/>
      <c r="C358" t="str">
        <f>IF(B358&lt;&gt;"",INDEX('Sales Orders'!C:C,MATCH('Booking Management'!B358,'Sales Orders'!A:A,0)),"")</f>
        <v/>
      </c>
      <c r="K358" s="31" t="str">
        <f t="shared" ca="1" si="18"/>
        <v/>
      </c>
      <c r="P358" t="str">
        <f t="shared" si="20"/>
        <v/>
      </c>
      <c r="Q358" t="str">
        <f>IFERROR((J358/SUMIFS('Sales Orders'!D:D,'Sales Orders'!A:A,B358))*SUMIFS('Sales Orders'!N:N,'Sales Orders'!A:A,B358),"")</f>
        <v/>
      </c>
      <c r="U358"/>
      <c r="W358" s="31" t="str">
        <f t="shared" ca="1" si="19"/>
        <v/>
      </c>
      <c r="Z358" s="31"/>
      <c r="AP358" s="53"/>
      <c r="AQ358" s="53"/>
      <c r="AR358" s="53"/>
    </row>
    <row r="359" spans="2:44">
      <c r="B359" s="2"/>
      <c r="C359" t="str">
        <f>IF(B359&lt;&gt;"",INDEX('Sales Orders'!C:C,MATCH('Booking Management'!B359,'Sales Orders'!A:A,0)),"")</f>
        <v/>
      </c>
      <c r="K359" s="31" t="str">
        <f t="shared" ca="1" si="18"/>
        <v/>
      </c>
      <c r="P359" t="str">
        <f t="shared" si="20"/>
        <v/>
      </c>
      <c r="Q359" t="str">
        <f>IFERROR((J359/SUMIFS('Sales Orders'!D:D,'Sales Orders'!A:A,B359))*SUMIFS('Sales Orders'!N:N,'Sales Orders'!A:A,B359),"")</f>
        <v/>
      </c>
      <c r="U359"/>
      <c r="W359" s="31" t="str">
        <f t="shared" ca="1" si="19"/>
        <v/>
      </c>
      <c r="Z359" s="31"/>
      <c r="AP359" s="53"/>
      <c r="AQ359" s="53"/>
      <c r="AR359" s="53"/>
    </row>
    <row r="360" spans="2:44">
      <c r="B360" s="2"/>
      <c r="C360" t="str">
        <f>IF(B360&lt;&gt;"",INDEX('Sales Orders'!C:C,MATCH('Booking Management'!B360,'Sales Orders'!A:A,0)),"")</f>
        <v/>
      </c>
      <c r="K360" s="31" t="str">
        <f t="shared" ca="1" si="18"/>
        <v/>
      </c>
      <c r="P360" t="str">
        <f t="shared" si="20"/>
        <v/>
      </c>
      <c r="Q360" t="str">
        <f>IFERROR((J360/SUMIFS('Sales Orders'!D:D,'Sales Orders'!A:A,B360))*SUMIFS('Sales Orders'!N:N,'Sales Orders'!A:A,B360),"")</f>
        <v/>
      </c>
      <c r="U360"/>
      <c r="W360" s="31" t="str">
        <f t="shared" ca="1" si="19"/>
        <v/>
      </c>
      <c r="Z360" s="31"/>
      <c r="AP360" s="53"/>
      <c r="AQ360" s="53"/>
      <c r="AR360" s="53"/>
    </row>
    <row r="361" spans="2:44">
      <c r="B361" s="2"/>
      <c r="C361" t="str">
        <f>IF(B361&lt;&gt;"",INDEX('Sales Orders'!C:C,MATCH('Booking Management'!B361,'Sales Orders'!A:A,0)),"")</f>
        <v/>
      </c>
      <c r="K361" s="31" t="str">
        <f t="shared" ca="1" si="18"/>
        <v/>
      </c>
      <c r="P361" t="str">
        <f t="shared" si="20"/>
        <v/>
      </c>
      <c r="Q361" t="str">
        <f>IFERROR((J361/SUMIFS('Sales Orders'!D:D,'Sales Orders'!A:A,B361))*SUMIFS('Sales Orders'!N:N,'Sales Orders'!A:A,B361),"")</f>
        <v/>
      </c>
      <c r="U361"/>
      <c r="W361" s="31" t="str">
        <f t="shared" ca="1" si="19"/>
        <v/>
      </c>
      <c r="Z361" s="31"/>
      <c r="AP361" s="53"/>
      <c r="AQ361" s="53"/>
      <c r="AR361" s="53"/>
    </row>
    <row r="362" spans="2:44">
      <c r="B362" s="50"/>
      <c r="C362" t="str">
        <f>IF(B362&lt;&gt;"",INDEX('Sales Orders'!C:C,MATCH('Booking Management'!B362,'Sales Orders'!A:A,0)),"")</f>
        <v/>
      </c>
      <c r="F362" s="50"/>
      <c r="K362" s="31" t="str">
        <f t="shared" ca="1" si="18"/>
        <v/>
      </c>
      <c r="P362" t="str">
        <f t="shared" si="20"/>
        <v/>
      </c>
      <c r="Q362" t="str">
        <f>IFERROR((J362/SUMIFS('Sales Orders'!D:D,'Sales Orders'!A:A,B362))*SUMIFS('Sales Orders'!N:N,'Sales Orders'!A:A,B362),"")</f>
        <v/>
      </c>
      <c r="U362"/>
      <c r="W362" s="31" t="str">
        <f t="shared" ca="1" si="19"/>
        <v/>
      </c>
      <c r="Z362" s="31"/>
      <c r="AP362" s="53"/>
      <c r="AQ362" s="53"/>
      <c r="AR362" s="53"/>
    </row>
    <row r="363" spans="2:44">
      <c r="B363" s="44"/>
      <c r="C363" t="str">
        <f>IF(B363&lt;&gt;"",INDEX('Sales Orders'!C:C,MATCH('Booking Management'!B363,'Sales Orders'!A:A,0)),"")</f>
        <v/>
      </c>
      <c r="K363" s="31" t="str">
        <f t="shared" ca="1" si="18"/>
        <v/>
      </c>
      <c r="P363" t="str">
        <f t="shared" si="20"/>
        <v/>
      </c>
      <c r="Q363" t="str">
        <f>IFERROR((J363/SUMIFS('Sales Orders'!D:D,'Sales Orders'!A:A,B363))*SUMIFS('Sales Orders'!N:N,'Sales Orders'!A:A,B363),"")</f>
        <v/>
      </c>
      <c r="U363"/>
      <c r="W363" s="31" t="str">
        <f t="shared" ca="1" si="19"/>
        <v/>
      </c>
      <c r="Z363" s="31"/>
      <c r="AP363" s="53"/>
      <c r="AQ363" s="53"/>
      <c r="AR363" s="53"/>
    </row>
    <row r="364" spans="2:44">
      <c r="B364" s="44"/>
      <c r="C364" t="str">
        <f>IF(B364&lt;&gt;"",INDEX('Sales Orders'!C:C,MATCH('Booking Management'!B364,'Sales Orders'!A:A,0)),"")</f>
        <v/>
      </c>
      <c r="K364" s="31" t="str">
        <f t="shared" ca="1" si="18"/>
        <v/>
      </c>
      <c r="P364" t="str">
        <f t="shared" si="20"/>
        <v/>
      </c>
      <c r="Q364" t="str">
        <f>IFERROR((J364/SUMIFS('Sales Orders'!D:D,'Sales Orders'!A:A,B364))*SUMIFS('Sales Orders'!N:N,'Sales Orders'!A:A,B364),"")</f>
        <v/>
      </c>
      <c r="U364"/>
      <c r="W364" s="31" t="str">
        <f t="shared" ca="1" si="19"/>
        <v/>
      </c>
      <c r="Z364" s="31"/>
      <c r="AP364" s="53"/>
      <c r="AQ364" s="53"/>
      <c r="AR364" s="53"/>
    </row>
    <row r="365" spans="2:44">
      <c r="B365" s="44"/>
      <c r="C365" t="str">
        <f>IF(B365&lt;&gt;"",INDEX('Sales Orders'!C:C,MATCH('Booking Management'!B365,'Sales Orders'!A:A,0)),"")</f>
        <v/>
      </c>
      <c r="K365" s="31" t="str">
        <f t="shared" ca="1" si="18"/>
        <v/>
      </c>
      <c r="P365" t="str">
        <f t="shared" si="20"/>
        <v/>
      </c>
      <c r="Q365" t="str">
        <f>IFERROR((J365/SUMIFS('Sales Orders'!D:D,'Sales Orders'!A:A,B365))*SUMIFS('Sales Orders'!N:N,'Sales Orders'!A:A,B365),"")</f>
        <v/>
      </c>
      <c r="U365"/>
      <c r="W365" s="31" t="str">
        <f t="shared" ca="1" si="19"/>
        <v/>
      </c>
      <c r="Z365" s="31"/>
      <c r="AP365" s="53"/>
      <c r="AQ365" s="53"/>
      <c r="AR365" s="53"/>
    </row>
    <row r="366" spans="2:44">
      <c r="B366" s="50"/>
      <c r="C366" t="str">
        <f>IF(B366&lt;&gt;"",INDEX('Sales Orders'!C:C,MATCH('Booking Management'!B366,'Sales Orders'!A:A,0)),"")</f>
        <v/>
      </c>
      <c r="K366" s="31" t="str">
        <f t="shared" ca="1" si="18"/>
        <v/>
      </c>
      <c r="P366" t="str">
        <f t="shared" si="20"/>
        <v/>
      </c>
      <c r="Q366" t="str">
        <f>IFERROR((J366/SUMIFS('Sales Orders'!D:D,'Sales Orders'!A:A,B366))*SUMIFS('Sales Orders'!N:N,'Sales Orders'!A:A,B366),"")</f>
        <v/>
      </c>
      <c r="U366"/>
      <c r="W366" s="31" t="str">
        <f t="shared" ca="1" si="19"/>
        <v/>
      </c>
      <c r="Z366" s="31"/>
      <c r="AP366" s="53"/>
      <c r="AQ366" s="53"/>
      <c r="AR366" s="53"/>
    </row>
    <row r="367" spans="2:44">
      <c r="B367" s="50"/>
      <c r="C367" t="str">
        <f>IF(B367&lt;&gt;"",INDEX('Sales Orders'!C:C,MATCH('Booking Management'!B367,'Sales Orders'!A:A,0)),"")</f>
        <v/>
      </c>
      <c r="K367" s="31" t="str">
        <f t="shared" ca="1" si="18"/>
        <v/>
      </c>
      <c r="P367" t="str">
        <f t="shared" si="20"/>
        <v/>
      </c>
      <c r="Q367" t="str">
        <f>IFERROR((J367/SUMIFS('Sales Orders'!D:D,'Sales Orders'!A:A,B367))*SUMIFS('Sales Orders'!N:N,'Sales Orders'!A:A,B367),"")</f>
        <v/>
      </c>
      <c r="U367"/>
      <c r="W367" s="31" t="str">
        <f t="shared" ca="1" si="19"/>
        <v/>
      </c>
      <c r="Z367" s="31"/>
      <c r="AP367" s="53"/>
      <c r="AQ367" s="53"/>
      <c r="AR367" s="53"/>
    </row>
    <row r="368" spans="2:44">
      <c r="B368" s="50"/>
      <c r="C368" t="str">
        <f>IF(B368&lt;&gt;"",INDEX('Sales Orders'!C:C,MATCH('Booking Management'!B368,'Sales Orders'!A:A,0)),"")</f>
        <v/>
      </c>
      <c r="K368" s="31" t="str">
        <f t="shared" ca="1" si="18"/>
        <v/>
      </c>
      <c r="P368" t="str">
        <f t="shared" si="20"/>
        <v/>
      </c>
      <c r="Q368" t="str">
        <f>IFERROR((J368/SUMIFS('Sales Orders'!D:D,'Sales Orders'!A:A,B368))*SUMIFS('Sales Orders'!N:N,'Sales Orders'!A:A,B368),"")</f>
        <v/>
      </c>
      <c r="U368"/>
      <c r="W368" s="31" t="str">
        <f t="shared" ca="1" si="19"/>
        <v/>
      </c>
      <c r="Z368" s="31"/>
      <c r="AP368" s="53"/>
      <c r="AQ368" s="53"/>
      <c r="AR368" s="53"/>
    </row>
    <row r="369" spans="2:44">
      <c r="B369" s="50"/>
      <c r="C369" t="str">
        <f>IF(B369&lt;&gt;"",INDEX('Sales Orders'!C:C,MATCH('Booking Management'!B369,'Sales Orders'!A:A,0)),"")</f>
        <v/>
      </c>
      <c r="K369" s="31" t="str">
        <f t="shared" ca="1" si="18"/>
        <v/>
      </c>
      <c r="P369" t="str">
        <f t="shared" si="20"/>
        <v/>
      </c>
      <c r="Q369" t="str">
        <f>IFERROR((J369/SUMIFS('Sales Orders'!D:D,'Sales Orders'!A:A,B369))*SUMIFS('Sales Orders'!N:N,'Sales Orders'!A:A,B369),"")</f>
        <v/>
      </c>
      <c r="W369" s="31" t="str">
        <f t="shared" ca="1" si="19"/>
        <v/>
      </c>
      <c r="Z369" s="31"/>
      <c r="AP369" s="53"/>
      <c r="AQ369" s="53"/>
      <c r="AR369" s="53"/>
    </row>
    <row r="370" spans="2:44">
      <c r="B370" s="50"/>
      <c r="C370" t="str">
        <f>IF(B370&lt;&gt;"",INDEX('Sales Orders'!C:C,MATCH('Booking Management'!B370,'Sales Orders'!A:A,0)),"")</f>
        <v/>
      </c>
      <c r="K370" s="31" t="str">
        <f t="shared" ca="1" si="18"/>
        <v/>
      </c>
      <c r="P370" t="str">
        <f t="shared" si="20"/>
        <v/>
      </c>
      <c r="Q370" t="str">
        <f>IFERROR((J370/SUMIFS('Sales Orders'!D:D,'Sales Orders'!A:A,B370))*SUMIFS('Sales Orders'!N:N,'Sales Orders'!A:A,B370),"")</f>
        <v/>
      </c>
      <c r="U370"/>
      <c r="W370" s="31" t="str">
        <f t="shared" ca="1" si="19"/>
        <v/>
      </c>
      <c r="Z370" s="31"/>
      <c r="AP370" s="53"/>
      <c r="AQ370" s="53"/>
      <c r="AR370" s="53"/>
    </row>
    <row r="371" spans="2:44">
      <c r="B371" s="50"/>
      <c r="C371" t="str">
        <f>IF(B371&lt;&gt;"",INDEX('Sales Orders'!C:C,MATCH('Booking Management'!B371,'Sales Orders'!A:A,0)),"")</f>
        <v/>
      </c>
      <c r="K371" s="31" t="str">
        <f t="shared" ca="1" si="18"/>
        <v/>
      </c>
      <c r="P371" t="str">
        <f t="shared" si="20"/>
        <v/>
      </c>
      <c r="Q371" t="str">
        <f>IFERROR((J371/SUMIFS('Sales Orders'!D:D,'Sales Orders'!A:A,B371))*SUMIFS('Sales Orders'!N:N,'Sales Orders'!A:A,B371),"")</f>
        <v/>
      </c>
      <c r="W371" s="31" t="str">
        <f t="shared" ca="1" si="19"/>
        <v/>
      </c>
      <c r="Z371" s="31"/>
      <c r="AP371" s="53"/>
      <c r="AQ371" s="53"/>
      <c r="AR371" s="53"/>
    </row>
    <row r="372" spans="2:44">
      <c r="B372" s="50"/>
      <c r="C372" t="str">
        <f>IF(B372&lt;&gt;"",INDEX('Sales Orders'!C:C,MATCH('Booking Management'!B372,'Sales Orders'!A:A,0)),"")</f>
        <v/>
      </c>
      <c r="K372" s="31" t="str">
        <f t="shared" ca="1" si="18"/>
        <v/>
      </c>
      <c r="P372" t="str">
        <f t="shared" si="20"/>
        <v/>
      </c>
      <c r="Q372" t="str">
        <f>IFERROR((J372/SUMIFS('Sales Orders'!D:D,'Sales Orders'!A:A,B372))*SUMIFS('Sales Orders'!N:N,'Sales Orders'!A:A,B372),"")</f>
        <v/>
      </c>
      <c r="U372"/>
      <c r="W372" s="31" t="str">
        <f t="shared" ca="1" si="19"/>
        <v/>
      </c>
      <c r="Z372" s="31"/>
      <c r="AP372" s="53"/>
      <c r="AQ372" s="53"/>
      <c r="AR372" s="53"/>
    </row>
    <row r="373" spans="2:44">
      <c r="B373" s="50"/>
      <c r="C373" t="str">
        <f>IF(B373&lt;&gt;"",INDEX('Sales Orders'!C:C,MATCH('Booking Management'!B373,'Sales Orders'!A:A,0)),"")</f>
        <v/>
      </c>
      <c r="K373" s="31" t="str">
        <f t="shared" ca="1" si="18"/>
        <v/>
      </c>
      <c r="P373" t="str">
        <f t="shared" si="20"/>
        <v/>
      </c>
      <c r="Q373" t="str">
        <f>IFERROR((J373/SUMIFS('Sales Orders'!D:D,'Sales Orders'!A:A,B373))*SUMIFS('Sales Orders'!N:N,'Sales Orders'!A:A,B373),"")</f>
        <v/>
      </c>
      <c r="U373"/>
      <c r="W373" s="31" t="str">
        <f t="shared" ca="1" si="19"/>
        <v/>
      </c>
      <c r="Z373" s="31"/>
      <c r="AP373" s="53"/>
      <c r="AQ373" s="53"/>
      <c r="AR373" s="53"/>
    </row>
    <row r="374" spans="2:44">
      <c r="B374" s="50"/>
      <c r="C374" t="str">
        <f>IF(B374&lt;&gt;"",INDEX('Sales Orders'!C:C,MATCH('Booking Management'!B374,'Sales Orders'!A:A,0)),"")</f>
        <v/>
      </c>
      <c r="K374" s="31" t="str">
        <f t="shared" ca="1" si="18"/>
        <v/>
      </c>
      <c r="P374" t="str">
        <f t="shared" si="20"/>
        <v/>
      </c>
      <c r="Q374" t="str">
        <f>IFERROR((J374/SUMIFS('Sales Orders'!D:D,'Sales Orders'!A:A,B374))*SUMIFS('Sales Orders'!N:N,'Sales Orders'!A:A,B374),"")</f>
        <v/>
      </c>
      <c r="U374"/>
      <c r="W374" s="31" t="str">
        <f t="shared" ca="1" si="19"/>
        <v/>
      </c>
      <c r="Z374" s="31"/>
      <c r="AP374" s="53"/>
      <c r="AQ374" s="53"/>
      <c r="AR374" s="53"/>
    </row>
    <row r="375" spans="2:44">
      <c r="B375" s="50"/>
      <c r="C375" t="str">
        <f>IF(B375&lt;&gt;"",INDEX('Sales Orders'!C:C,MATCH('Booking Management'!B375,'Sales Orders'!A:A,0)),"")</f>
        <v/>
      </c>
      <c r="K375" s="31" t="str">
        <f t="shared" ca="1" si="18"/>
        <v/>
      </c>
      <c r="P375" t="str">
        <f t="shared" si="20"/>
        <v/>
      </c>
      <c r="Q375" t="str">
        <f>IFERROR((J375/SUMIFS('Sales Orders'!D:D,'Sales Orders'!A:A,B375))*SUMIFS('Sales Orders'!N:N,'Sales Orders'!A:A,B375),"")</f>
        <v/>
      </c>
      <c r="W375" s="31" t="str">
        <f t="shared" ca="1" si="19"/>
        <v/>
      </c>
      <c r="Z375" s="31"/>
      <c r="AP375" s="53"/>
      <c r="AQ375" s="53"/>
      <c r="AR375" s="53"/>
    </row>
    <row r="376" spans="2:44">
      <c r="B376" s="50"/>
      <c r="C376" t="str">
        <f>IF(B376&lt;&gt;"",INDEX('Sales Orders'!C:C,MATCH('Booking Management'!B376,'Sales Orders'!A:A,0)),"")</f>
        <v/>
      </c>
      <c r="K376" s="31" t="str">
        <f t="shared" ca="1" si="18"/>
        <v/>
      </c>
      <c r="P376" t="str">
        <f t="shared" si="20"/>
        <v/>
      </c>
      <c r="Q376" t="str">
        <f>IFERROR((J376/SUMIFS('Sales Orders'!D:D,'Sales Orders'!A:A,B376))*SUMIFS('Sales Orders'!N:N,'Sales Orders'!A:A,B376),"")</f>
        <v/>
      </c>
      <c r="W376" s="31" t="str">
        <f t="shared" ca="1" si="19"/>
        <v/>
      </c>
      <c r="Z376" s="31"/>
      <c r="AP376" s="53"/>
      <c r="AQ376" s="53"/>
      <c r="AR376" s="53"/>
    </row>
    <row r="377" spans="2:44">
      <c r="B377" s="50"/>
      <c r="C377" t="str">
        <f>IF(B377&lt;&gt;"",INDEX('Sales Orders'!C:C,MATCH('Booking Management'!B377,'Sales Orders'!A:A,0)),"")</f>
        <v/>
      </c>
      <c r="K377" s="31" t="str">
        <f t="shared" ca="1" si="18"/>
        <v/>
      </c>
      <c r="P377" t="str">
        <f t="shared" si="20"/>
        <v/>
      </c>
      <c r="Q377" t="str">
        <f>IFERROR((J377/SUMIFS('Sales Orders'!D:D,'Sales Orders'!A:A,B377))*SUMIFS('Sales Orders'!N:N,'Sales Orders'!A:A,B377),"")</f>
        <v/>
      </c>
      <c r="W377" s="31" t="str">
        <f t="shared" ca="1" si="19"/>
        <v/>
      </c>
      <c r="Z377" s="31"/>
      <c r="AP377" s="53"/>
      <c r="AQ377" s="53"/>
      <c r="AR377" s="53"/>
    </row>
    <row r="378" spans="2:44">
      <c r="B378" s="50"/>
      <c r="C378" t="str">
        <f>IF(B378&lt;&gt;"",INDEX('Sales Orders'!C:C,MATCH('Booking Management'!B378,'Sales Orders'!A:A,0)),"")</f>
        <v/>
      </c>
      <c r="K378" s="31" t="str">
        <f t="shared" ca="1" si="18"/>
        <v/>
      </c>
      <c r="P378" t="str">
        <f t="shared" si="20"/>
        <v/>
      </c>
      <c r="Q378" t="str">
        <f>IFERROR((J378/SUMIFS('Sales Orders'!D:D,'Sales Orders'!A:A,B378))*SUMIFS('Sales Orders'!N:N,'Sales Orders'!A:A,B378),"")</f>
        <v/>
      </c>
      <c r="W378" s="31" t="str">
        <f t="shared" ca="1" si="19"/>
        <v/>
      </c>
      <c r="Z378" s="31"/>
      <c r="AP378" s="53"/>
      <c r="AQ378" s="53"/>
      <c r="AR378" s="53"/>
    </row>
    <row r="379" spans="2:44">
      <c r="B379" s="50"/>
      <c r="C379" t="str">
        <f>IF(B379&lt;&gt;"",INDEX('Sales Orders'!C:C,MATCH('Booking Management'!B379,'Sales Orders'!A:A,0)),"")</f>
        <v/>
      </c>
      <c r="K379" s="31" t="str">
        <f t="shared" ca="1" si="18"/>
        <v/>
      </c>
      <c r="P379" t="str">
        <f t="shared" si="20"/>
        <v/>
      </c>
      <c r="Q379" t="str">
        <f>IFERROR((J379/SUMIFS('Sales Orders'!D:D,'Sales Orders'!A:A,B379))*SUMIFS('Sales Orders'!N:N,'Sales Orders'!A:A,B379),"")</f>
        <v/>
      </c>
      <c r="W379" s="31" t="str">
        <f t="shared" ca="1" si="19"/>
        <v/>
      </c>
      <c r="Z379" s="31"/>
      <c r="AP379" s="53"/>
      <c r="AQ379" s="53"/>
      <c r="AR379" s="53"/>
    </row>
    <row r="380" spans="2:44">
      <c r="B380" s="50"/>
      <c r="C380" t="str">
        <f>IF(B380&lt;&gt;"",INDEX('Sales Orders'!C:C,MATCH('Booking Management'!B380,'Sales Orders'!A:A,0)),"")</f>
        <v/>
      </c>
      <c r="K380" s="31" t="str">
        <f t="shared" ca="1" si="18"/>
        <v/>
      </c>
      <c r="P380" t="str">
        <f t="shared" si="20"/>
        <v/>
      </c>
      <c r="Q380" t="str">
        <f>IFERROR((J380/SUMIFS('Sales Orders'!D:D,'Sales Orders'!A:A,B380))*SUMIFS('Sales Orders'!N:N,'Sales Orders'!A:A,B380),"")</f>
        <v/>
      </c>
      <c r="W380" s="31" t="str">
        <f t="shared" ca="1" si="19"/>
        <v/>
      </c>
      <c r="Z380" s="31"/>
      <c r="AP380" s="53"/>
      <c r="AQ380" s="53"/>
      <c r="AR380" s="53"/>
    </row>
    <row r="381" spans="2:44">
      <c r="B381" s="50"/>
      <c r="C381" t="str">
        <f>IF(B381&lt;&gt;"",INDEX('Sales Orders'!C:C,MATCH('Booking Management'!B381,'Sales Orders'!A:A,0)),"")</f>
        <v/>
      </c>
      <c r="K381" s="31" t="str">
        <f t="shared" ca="1" si="18"/>
        <v/>
      </c>
      <c r="P381" t="str">
        <f t="shared" si="20"/>
        <v/>
      </c>
      <c r="Q381" t="str">
        <f>IFERROR((J381/SUMIFS('Sales Orders'!D:D,'Sales Orders'!A:A,B381))*SUMIFS('Sales Orders'!N:N,'Sales Orders'!A:A,B381),"")</f>
        <v/>
      </c>
      <c r="W381" s="31" t="str">
        <f t="shared" ca="1" si="19"/>
        <v/>
      </c>
      <c r="Z381" s="31"/>
      <c r="AP381" s="53"/>
      <c r="AQ381" s="53"/>
      <c r="AR381" s="53"/>
    </row>
    <row r="382" spans="2:44">
      <c r="B382" s="50"/>
      <c r="C382" t="str">
        <f>IF(B382&lt;&gt;"",INDEX('Sales Orders'!C:C,MATCH('Booking Management'!B382,'Sales Orders'!A:A,0)),"")</f>
        <v/>
      </c>
      <c r="K382" s="31" t="str">
        <f t="shared" ca="1" si="18"/>
        <v/>
      </c>
      <c r="P382" t="str">
        <f t="shared" si="20"/>
        <v/>
      </c>
      <c r="Q382" t="str">
        <f>IFERROR((J382/SUMIFS('Sales Orders'!D:D,'Sales Orders'!A:A,B382))*SUMIFS('Sales Orders'!N:N,'Sales Orders'!A:A,B382),"")</f>
        <v/>
      </c>
      <c r="W382" s="31" t="str">
        <f t="shared" ca="1" si="19"/>
        <v/>
      </c>
      <c r="Z382" s="31"/>
      <c r="AP382" s="53"/>
      <c r="AQ382" s="53"/>
      <c r="AR382" s="53"/>
    </row>
    <row r="383" spans="2:44">
      <c r="B383" s="50"/>
      <c r="C383" t="str">
        <f>IF(B383&lt;&gt;"",INDEX('Sales Orders'!C:C,MATCH('Booking Management'!B383,'Sales Orders'!A:A,0)),"")</f>
        <v/>
      </c>
      <c r="K383" s="31" t="str">
        <f t="shared" ca="1" si="18"/>
        <v/>
      </c>
      <c r="P383" t="str">
        <f t="shared" si="20"/>
        <v/>
      </c>
      <c r="Q383" t="str">
        <f>IFERROR((J383/SUMIFS('Sales Orders'!D:D,'Sales Orders'!A:A,B383))*SUMIFS('Sales Orders'!N:N,'Sales Orders'!A:A,B383),"")</f>
        <v/>
      </c>
      <c r="W383" s="31" t="str">
        <f t="shared" ca="1" si="19"/>
        <v/>
      </c>
      <c r="Z383" s="31"/>
      <c r="AP383" s="53"/>
      <c r="AQ383" s="53"/>
      <c r="AR383" s="53"/>
    </row>
    <row r="384" spans="2:44">
      <c r="B384" s="50"/>
      <c r="C384" t="str">
        <f>IF(B384&lt;&gt;"",INDEX('Sales Orders'!C:C,MATCH('Booking Management'!B384,'Sales Orders'!A:A,0)),"")</f>
        <v/>
      </c>
      <c r="K384" s="31" t="str">
        <f t="shared" ca="1" si="18"/>
        <v/>
      </c>
      <c r="P384" t="str">
        <f t="shared" si="20"/>
        <v/>
      </c>
      <c r="Q384" t="str">
        <f>IFERROR((J384/SUMIFS('Sales Orders'!D:D,'Sales Orders'!A:A,B384))*SUMIFS('Sales Orders'!N:N,'Sales Orders'!A:A,B384),"")</f>
        <v/>
      </c>
      <c r="W384" s="31" t="str">
        <f t="shared" ca="1" si="19"/>
        <v/>
      </c>
      <c r="Z384" s="31"/>
      <c r="AP384" s="53"/>
      <c r="AQ384" s="53"/>
      <c r="AR384" s="53"/>
    </row>
    <row r="385" spans="2:44">
      <c r="B385" s="50"/>
      <c r="C385" t="str">
        <f>IF(B385&lt;&gt;"",INDEX('Sales Orders'!C:C,MATCH('Booking Management'!B385,'Sales Orders'!A:A,0)),"")</f>
        <v/>
      </c>
      <c r="K385" s="31" t="str">
        <f t="shared" ca="1" si="18"/>
        <v/>
      </c>
      <c r="P385" t="str">
        <f t="shared" si="20"/>
        <v/>
      </c>
      <c r="Q385" t="str">
        <f>IFERROR((J385/SUMIFS('Sales Orders'!D:D,'Sales Orders'!A:A,B385))*SUMIFS('Sales Orders'!N:N,'Sales Orders'!A:A,B385),"")</f>
        <v/>
      </c>
      <c r="U385"/>
      <c r="W385" s="31" t="str">
        <f t="shared" ca="1" si="19"/>
        <v/>
      </c>
      <c r="Z385" s="31"/>
      <c r="AP385" s="53"/>
      <c r="AQ385" s="53"/>
      <c r="AR385" s="53"/>
    </row>
    <row r="386" spans="2:44">
      <c r="B386" s="50"/>
      <c r="C386" t="str">
        <f>IF(B386&lt;&gt;"",INDEX('Sales Orders'!C:C,MATCH('Booking Management'!B386,'Sales Orders'!A:A,0)),"")</f>
        <v/>
      </c>
      <c r="K386" s="31" t="str">
        <f t="shared" ca="1" si="18"/>
        <v/>
      </c>
      <c r="P386" t="str">
        <f t="shared" si="20"/>
        <v/>
      </c>
      <c r="Q386" t="str">
        <f>IFERROR((J386/SUMIFS('Sales Orders'!D:D,'Sales Orders'!A:A,B386))*SUMIFS('Sales Orders'!N:N,'Sales Orders'!A:A,B386),"")</f>
        <v/>
      </c>
      <c r="W386" s="31" t="str">
        <f t="shared" ca="1" si="19"/>
        <v/>
      </c>
      <c r="Z386" s="31"/>
      <c r="AP386" s="53"/>
      <c r="AQ386" s="53"/>
      <c r="AR386" s="53"/>
    </row>
    <row r="387" spans="2:44">
      <c r="B387" s="2"/>
      <c r="C387" t="str">
        <f>IF(B387&lt;&gt;"",INDEX('Sales Orders'!C:C,MATCH('Booking Management'!B387,'Sales Orders'!A:A,0)),"")</f>
        <v/>
      </c>
      <c r="K387" s="31" t="str">
        <f t="shared" ref="K387:K450" ca="1" si="21">IF(B387&lt;&gt;"",IF(AND(OR(L387-TODAY()&lt;2,M387&lt;&gt;"yes",N387&lt;&gt;"yes",O387&lt;&gt;"yes"),S387&lt;&gt;"Used"),"Alert",""),"")</f>
        <v/>
      </c>
      <c r="P387" t="str">
        <f t="shared" si="20"/>
        <v/>
      </c>
      <c r="Q387" t="str">
        <f>IFERROR((J387/SUMIFS('Sales Orders'!D:D,'Sales Orders'!A:A,B387))*SUMIFS('Sales Orders'!N:N,'Sales Orders'!A:A,B387),"")</f>
        <v/>
      </c>
      <c r="W387" s="31" t="str">
        <f t="shared" ca="1" si="19"/>
        <v/>
      </c>
      <c r="Z387" s="31"/>
      <c r="AP387" s="53"/>
      <c r="AQ387" s="53"/>
      <c r="AR387" s="53"/>
    </row>
    <row r="388" spans="2:44">
      <c r="B388" s="2"/>
      <c r="C388" t="str">
        <f>IF(B388&lt;&gt;"",INDEX('Sales Orders'!C:C,MATCH('Booking Management'!B388,'Sales Orders'!A:A,0)),"")</f>
        <v/>
      </c>
      <c r="K388" s="31" t="str">
        <f t="shared" ca="1" si="21"/>
        <v/>
      </c>
      <c r="P388" t="str">
        <f t="shared" si="20"/>
        <v/>
      </c>
      <c r="Q388" t="str">
        <f>IFERROR((J388/SUMIFS('Sales Orders'!D:D,'Sales Orders'!A:A,B388))*SUMIFS('Sales Orders'!N:N,'Sales Orders'!A:A,B388),"")</f>
        <v/>
      </c>
      <c r="W388" s="31" t="str">
        <f t="shared" ca="1" si="19"/>
        <v/>
      </c>
      <c r="Z388" s="31"/>
      <c r="AP388" s="53"/>
      <c r="AQ388" s="53"/>
      <c r="AR388" s="53"/>
    </row>
    <row r="389" spans="2:44">
      <c r="B389" s="44"/>
      <c r="C389" t="str">
        <f>IF(B389&lt;&gt;"",INDEX('Sales Orders'!C:C,MATCH('Booking Management'!B389,'Sales Orders'!A:A,0)),"")</f>
        <v/>
      </c>
      <c r="K389" s="31" t="str">
        <f t="shared" ca="1" si="21"/>
        <v/>
      </c>
      <c r="P389" t="str">
        <f t="shared" si="20"/>
        <v/>
      </c>
      <c r="Q389" t="str">
        <f>IFERROR((J389/SUMIFS('Sales Orders'!D:D,'Sales Orders'!A:A,B389))*SUMIFS('Sales Orders'!N:N,'Sales Orders'!A:A,B389),"")</f>
        <v/>
      </c>
      <c r="W389" s="31" t="str">
        <f t="shared" ca="1" si="19"/>
        <v/>
      </c>
      <c r="Z389" s="31"/>
      <c r="AP389" s="53"/>
      <c r="AQ389" s="53"/>
      <c r="AR389" s="53"/>
    </row>
    <row r="390" spans="2:44">
      <c r="B390" s="2"/>
      <c r="C390" t="str">
        <f>IF(B390&lt;&gt;"",INDEX('Sales Orders'!C:C,MATCH('Booking Management'!B390,'Sales Orders'!A:A,0)),"")</f>
        <v/>
      </c>
      <c r="K390" s="31" t="str">
        <f t="shared" ca="1" si="21"/>
        <v/>
      </c>
      <c r="P390" t="str">
        <f t="shared" si="20"/>
        <v/>
      </c>
      <c r="Q390" t="str">
        <f>IFERROR((J390/SUMIFS('Sales Orders'!D:D,'Sales Orders'!A:A,B390))*SUMIFS('Sales Orders'!N:N,'Sales Orders'!A:A,B390),"")</f>
        <v/>
      </c>
      <c r="W390" s="31" t="str">
        <f t="shared" ca="1" si="19"/>
        <v/>
      </c>
      <c r="Z390" s="31"/>
      <c r="AP390" s="53"/>
      <c r="AQ390" s="53"/>
      <c r="AR390" s="53"/>
    </row>
    <row r="391" spans="2:44">
      <c r="B391" s="2"/>
      <c r="C391" t="str">
        <f>IF(B391&lt;&gt;"",INDEX('Sales Orders'!C:C,MATCH('Booking Management'!B391,'Sales Orders'!A:A,0)),"")</f>
        <v/>
      </c>
      <c r="K391" s="31" t="str">
        <f t="shared" ca="1" si="21"/>
        <v/>
      </c>
      <c r="P391" t="str">
        <f t="shared" si="20"/>
        <v/>
      </c>
      <c r="Q391" t="str">
        <f>IFERROR((J391/SUMIFS('Sales Orders'!D:D,'Sales Orders'!A:A,B391))*SUMIFS('Sales Orders'!N:N,'Sales Orders'!A:A,B391),"")</f>
        <v/>
      </c>
      <c r="W391" s="31" t="str">
        <f t="shared" ref="W391:W454" ca="1" si="22">IF(T391&lt;&gt;"",IF(X391="Yes","NO",IF((TODAY()-V391)&gt;6,"YES","NO")),"")</f>
        <v/>
      </c>
      <c r="Z391" s="31"/>
      <c r="AP391" s="53"/>
      <c r="AQ391" s="53"/>
      <c r="AR391" s="53"/>
    </row>
    <row r="392" spans="2:44">
      <c r="B392" s="2"/>
      <c r="C392" t="str">
        <f>IF(B392&lt;&gt;"",INDEX('Sales Orders'!C:C,MATCH('Booking Management'!B392,'Sales Orders'!A:A,0)),"")</f>
        <v/>
      </c>
      <c r="K392" s="31" t="str">
        <f t="shared" ca="1" si="21"/>
        <v/>
      </c>
      <c r="P392" t="str">
        <f t="shared" si="20"/>
        <v/>
      </c>
      <c r="Q392" t="str">
        <f>IFERROR((J392/SUMIFS('Sales Orders'!D:D,'Sales Orders'!A:A,B392))*SUMIFS('Sales Orders'!N:N,'Sales Orders'!A:A,B392),"")</f>
        <v/>
      </c>
      <c r="W392" s="31" t="str">
        <f t="shared" ca="1" si="22"/>
        <v/>
      </c>
      <c r="Z392" s="31"/>
      <c r="AP392" s="53"/>
      <c r="AQ392" s="53"/>
      <c r="AR392" s="53"/>
    </row>
    <row r="393" spans="2:44">
      <c r="B393" s="2"/>
      <c r="C393" t="str">
        <f>IF(B393&lt;&gt;"",INDEX('Sales Orders'!C:C,MATCH('Booking Management'!B393,'Sales Orders'!A:A,0)),"")</f>
        <v/>
      </c>
      <c r="K393" s="31" t="str">
        <f t="shared" ca="1" si="21"/>
        <v/>
      </c>
      <c r="P393" t="str">
        <f t="shared" si="20"/>
        <v/>
      </c>
      <c r="Q393" t="str">
        <f>IFERROR((J393/SUMIFS('Sales Orders'!D:D,'Sales Orders'!A:A,B393))*SUMIFS('Sales Orders'!N:N,'Sales Orders'!A:A,B393),"")</f>
        <v/>
      </c>
      <c r="W393" s="31" t="str">
        <f t="shared" ca="1" si="22"/>
        <v/>
      </c>
      <c r="Z393" s="31"/>
      <c r="AP393" s="53"/>
      <c r="AQ393" s="53"/>
      <c r="AR393" s="53"/>
    </row>
    <row r="394" spans="2:44">
      <c r="B394" s="2"/>
      <c r="C394" t="str">
        <f>IF(B394&lt;&gt;"",INDEX('Sales Orders'!C:C,MATCH('Booking Management'!B394,'Sales Orders'!A:A,0)),"")</f>
        <v/>
      </c>
      <c r="K394" s="31" t="str">
        <f t="shared" ca="1" si="21"/>
        <v/>
      </c>
      <c r="P394" t="str">
        <f t="shared" si="20"/>
        <v/>
      </c>
      <c r="Q394" t="str">
        <f>IFERROR((J394/SUMIFS('Sales Orders'!D:D,'Sales Orders'!A:A,B394))*SUMIFS('Sales Orders'!N:N,'Sales Orders'!A:A,B394),"")</f>
        <v/>
      </c>
      <c r="W394" s="31" t="str">
        <f t="shared" ca="1" si="22"/>
        <v/>
      </c>
      <c r="Z394" s="31"/>
      <c r="AP394" s="53"/>
      <c r="AQ394" s="53"/>
      <c r="AR394" s="53"/>
    </row>
    <row r="395" spans="2:44">
      <c r="B395" s="2"/>
      <c r="C395" t="str">
        <f>IF(B395&lt;&gt;"",INDEX('Sales Orders'!C:C,MATCH('Booking Management'!B395,'Sales Orders'!A:A,0)),"")</f>
        <v/>
      </c>
      <c r="K395" s="31" t="str">
        <f t="shared" ca="1" si="21"/>
        <v/>
      </c>
      <c r="P395" t="str">
        <f t="shared" si="20"/>
        <v/>
      </c>
      <c r="Q395" t="str">
        <f>IFERROR((J395/SUMIFS('Sales Orders'!D:D,'Sales Orders'!A:A,B395))*SUMIFS('Sales Orders'!N:N,'Sales Orders'!A:A,B395),"")</f>
        <v/>
      </c>
      <c r="W395" s="31" t="str">
        <f t="shared" ca="1" si="22"/>
        <v/>
      </c>
      <c r="Z395" s="31"/>
      <c r="AP395" s="53"/>
      <c r="AQ395" s="53"/>
      <c r="AR395" s="53"/>
    </row>
    <row r="396" spans="2:44">
      <c r="B396" s="2"/>
      <c r="C396" t="str">
        <f>IF(B396&lt;&gt;"",INDEX('Sales Orders'!C:C,MATCH('Booking Management'!B396,'Sales Orders'!A:A,0)),"")</f>
        <v/>
      </c>
      <c r="K396" s="31" t="str">
        <f t="shared" ca="1" si="21"/>
        <v/>
      </c>
      <c r="P396" t="str">
        <f t="shared" si="20"/>
        <v/>
      </c>
      <c r="Q396" t="str">
        <f>IFERROR((J396/SUMIFS('Sales Orders'!D:D,'Sales Orders'!A:A,B396))*SUMIFS('Sales Orders'!N:N,'Sales Orders'!A:A,B396),"")</f>
        <v/>
      </c>
      <c r="W396" s="31" t="str">
        <f t="shared" ca="1" si="22"/>
        <v/>
      </c>
      <c r="Z396" s="31"/>
      <c r="AP396" s="53"/>
      <c r="AQ396" s="53"/>
      <c r="AR396" s="53"/>
    </row>
    <row r="397" spans="2:44">
      <c r="B397" s="50"/>
      <c r="C397" t="str">
        <f>IF(B397&lt;&gt;"",INDEX('Sales Orders'!C:C,MATCH('Booking Management'!B397,'Sales Orders'!A:A,0)),"")</f>
        <v/>
      </c>
      <c r="K397" s="31" t="str">
        <f t="shared" ca="1" si="21"/>
        <v/>
      </c>
      <c r="P397" t="str">
        <f t="shared" si="20"/>
        <v/>
      </c>
      <c r="Q397" t="str">
        <f>IFERROR((J397/SUMIFS('Sales Orders'!D:D,'Sales Orders'!A:A,B397))*SUMIFS('Sales Orders'!N:N,'Sales Orders'!A:A,B397),"")</f>
        <v/>
      </c>
      <c r="W397" s="31" t="str">
        <f t="shared" ca="1" si="22"/>
        <v/>
      </c>
      <c r="Z397" s="31"/>
      <c r="AP397" s="53"/>
      <c r="AQ397" s="53"/>
      <c r="AR397" s="53"/>
    </row>
    <row r="398" spans="2:44">
      <c r="B398" s="2"/>
      <c r="C398" t="str">
        <f>IF(B398&lt;&gt;"",INDEX('Sales Orders'!C:C,MATCH('Booking Management'!B398,'Sales Orders'!A:A,0)),"")</f>
        <v/>
      </c>
      <c r="K398" s="31" t="str">
        <f t="shared" ca="1" si="21"/>
        <v/>
      </c>
      <c r="P398" t="str">
        <f t="shared" si="20"/>
        <v/>
      </c>
      <c r="Q398" t="str">
        <f>IFERROR((J398/SUMIFS('Sales Orders'!D:D,'Sales Orders'!A:A,B398))*SUMIFS('Sales Orders'!N:N,'Sales Orders'!A:A,B398),"")</f>
        <v/>
      </c>
      <c r="W398" s="31" t="str">
        <f t="shared" ca="1" si="22"/>
        <v/>
      </c>
      <c r="Z398" s="31"/>
      <c r="AP398" s="53"/>
      <c r="AQ398" s="53"/>
      <c r="AR398" s="53"/>
    </row>
    <row r="399" spans="2:44">
      <c r="B399" s="2"/>
      <c r="C399" t="str">
        <f>IF(B399&lt;&gt;"",INDEX('Sales Orders'!C:C,MATCH('Booking Management'!B399,'Sales Orders'!A:A,0)),"")</f>
        <v/>
      </c>
      <c r="K399" s="31" t="str">
        <f t="shared" ca="1" si="21"/>
        <v/>
      </c>
      <c r="P399" t="str">
        <f t="shared" si="20"/>
        <v/>
      </c>
      <c r="Q399" t="str">
        <f>IFERROR((J399/SUMIFS('Sales Orders'!D:D,'Sales Orders'!A:A,B399))*SUMIFS('Sales Orders'!N:N,'Sales Orders'!A:A,B399),"")</f>
        <v/>
      </c>
      <c r="W399" s="31" t="str">
        <f t="shared" ca="1" si="22"/>
        <v/>
      </c>
      <c r="Z399" s="31"/>
      <c r="AP399" s="53"/>
      <c r="AQ399" s="53"/>
      <c r="AR399" s="53"/>
    </row>
    <row r="400" spans="2:44">
      <c r="B400" s="50"/>
      <c r="C400" t="str">
        <f>IF(B400&lt;&gt;"",INDEX('Sales Orders'!C:C,MATCH('Booking Management'!B400,'Sales Orders'!A:A,0)),"")</f>
        <v/>
      </c>
      <c r="K400" s="31" t="str">
        <f t="shared" ca="1" si="21"/>
        <v/>
      </c>
      <c r="P400" t="str">
        <f t="shared" si="20"/>
        <v/>
      </c>
      <c r="Q400" t="str">
        <f>IFERROR((J400/SUMIFS('Sales Orders'!D:D,'Sales Orders'!A:A,B400))*SUMIFS('Sales Orders'!N:N,'Sales Orders'!A:A,B400),"")</f>
        <v/>
      </c>
      <c r="W400" s="31" t="str">
        <f t="shared" ca="1" si="22"/>
        <v/>
      </c>
      <c r="Z400" s="31"/>
      <c r="AP400" s="53"/>
      <c r="AQ400" s="53"/>
      <c r="AR400" s="53"/>
    </row>
    <row r="401" spans="2:44">
      <c r="B401" s="50"/>
      <c r="C401" t="str">
        <f>IF(B401&lt;&gt;"",INDEX('Sales Orders'!C:C,MATCH('Booking Management'!B401,'Sales Orders'!A:A,0)),"")</f>
        <v/>
      </c>
      <c r="K401" s="31" t="str">
        <f t="shared" ca="1" si="21"/>
        <v/>
      </c>
      <c r="P401" t="str">
        <f t="shared" si="20"/>
        <v/>
      </c>
      <c r="Q401" t="str">
        <f>IFERROR((J401/SUMIFS('Sales Orders'!D:D,'Sales Orders'!A:A,B401))*SUMIFS('Sales Orders'!N:N,'Sales Orders'!A:A,B401),"")</f>
        <v/>
      </c>
      <c r="W401" s="31" t="str">
        <f t="shared" ca="1" si="22"/>
        <v/>
      </c>
      <c r="Z401" s="31"/>
      <c r="AP401" s="53"/>
      <c r="AQ401" s="53"/>
      <c r="AR401" s="53"/>
    </row>
    <row r="402" spans="2:44">
      <c r="B402" s="2"/>
      <c r="C402" t="str">
        <f>IF(B402&lt;&gt;"",INDEX('Sales Orders'!C:C,MATCH('Booking Management'!B402,'Sales Orders'!A:A,0)),"")</f>
        <v/>
      </c>
      <c r="K402" s="31" t="str">
        <f t="shared" ca="1" si="21"/>
        <v/>
      </c>
      <c r="P402" t="str">
        <f t="shared" si="20"/>
        <v/>
      </c>
      <c r="Q402" t="str">
        <f>IFERROR((J402/SUMIFS('Sales Orders'!D:D,'Sales Orders'!A:A,B402))*SUMIFS('Sales Orders'!N:N,'Sales Orders'!A:A,B402),"")</f>
        <v/>
      </c>
      <c r="W402" s="31" t="str">
        <f t="shared" ca="1" si="22"/>
        <v/>
      </c>
      <c r="Z402" s="31"/>
      <c r="AP402" s="53"/>
      <c r="AQ402" s="53"/>
      <c r="AR402" s="53"/>
    </row>
    <row r="403" spans="2:44">
      <c r="B403" s="2"/>
      <c r="C403" t="str">
        <f>IF(B403&lt;&gt;"",INDEX('Sales Orders'!C:C,MATCH('Booking Management'!B403,'Sales Orders'!A:A,0)),"")</f>
        <v/>
      </c>
      <c r="K403" s="31" t="str">
        <f t="shared" ca="1" si="21"/>
        <v/>
      </c>
      <c r="P403" t="str">
        <f t="shared" si="20"/>
        <v/>
      </c>
      <c r="Q403" t="str">
        <f>IFERROR((J403/SUMIFS('Sales Orders'!D:D,'Sales Orders'!A:A,B403))*SUMIFS('Sales Orders'!N:N,'Sales Orders'!A:A,B403),"")</f>
        <v/>
      </c>
      <c r="W403" s="31" t="str">
        <f t="shared" ca="1" si="22"/>
        <v/>
      </c>
      <c r="Z403" s="31"/>
      <c r="AP403" s="53"/>
      <c r="AQ403" s="53"/>
      <c r="AR403" s="53"/>
    </row>
    <row r="404" spans="2:44">
      <c r="B404" s="2"/>
      <c r="C404" t="str">
        <f>IF(B404&lt;&gt;"",INDEX('Sales Orders'!C:C,MATCH('Booking Management'!B404,'Sales Orders'!A:A,0)),"")</f>
        <v/>
      </c>
      <c r="K404" s="31" t="str">
        <f t="shared" ca="1" si="21"/>
        <v/>
      </c>
      <c r="P404" t="str">
        <f t="shared" si="20"/>
        <v/>
      </c>
      <c r="Q404" t="str">
        <f>IFERROR((J404/SUMIFS('Sales Orders'!D:D,'Sales Orders'!A:A,B404))*SUMIFS('Sales Orders'!N:N,'Sales Orders'!A:A,B404),"")</f>
        <v/>
      </c>
      <c r="W404" s="31" t="str">
        <f t="shared" ca="1" si="22"/>
        <v/>
      </c>
      <c r="Z404" s="31"/>
      <c r="AP404" s="53"/>
      <c r="AQ404" s="53"/>
      <c r="AR404" s="53"/>
    </row>
    <row r="405" spans="2:44">
      <c r="B405" s="2"/>
      <c r="C405" t="str">
        <f>IF(B405&lt;&gt;"",INDEX('Sales Orders'!C:C,MATCH('Booking Management'!B405,'Sales Orders'!A:A,0)),"")</f>
        <v/>
      </c>
      <c r="K405" s="31" t="str">
        <f t="shared" ca="1" si="21"/>
        <v/>
      </c>
      <c r="P405" t="str">
        <f t="shared" si="20"/>
        <v/>
      </c>
      <c r="Q405" t="str">
        <f>IFERROR((J405/SUMIFS('Sales Orders'!D:D,'Sales Orders'!A:A,B405))*SUMIFS('Sales Orders'!N:N,'Sales Orders'!A:A,B405),"")</f>
        <v/>
      </c>
      <c r="W405" s="31" t="str">
        <f t="shared" ca="1" si="22"/>
        <v/>
      </c>
      <c r="Z405" s="31"/>
      <c r="AP405" s="53"/>
      <c r="AQ405" s="53"/>
      <c r="AR405" s="53"/>
    </row>
    <row r="406" spans="2:44">
      <c r="B406" s="2"/>
      <c r="C406" t="str">
        <f>IF(B406&lt;&gt;"",INDEX('Sales Orders'!C:C,MATCH('Booking Management'!B406,'Sales Orders'!A:A,0)),"")</f>
        <v/>
      </c>
      <c r="K406" s="31" t="str">
        <f t="shared" ca="1" si="21"/>
        <v/>
      </c>
      <c r="P406" t="str">
        <f t="shared" si="20"/>
        <v/>
      </c>
      <c r="Q406" t="str">
        <f>IFERROR((J406/SUMIFS('Sales Orders'!D:D,'Sales Orders'!A:A,B406))*SUMIFS('Sales Orders'!N:N,'Sales Orders'!A:A,B406),"")</f>
        <v/>
      </c>
      <c r="W406" s="31" t="str">
        <f t="shared" ca="1" si="22"/>
        <v/>
      </c>
      <c r="Z406" s="31"/>
      <c r="AP406" s="53"/>
      <c r="AQ406" s="53"/>
      <c r="AR406" s="53"/>
    </row>
    <row r="407" spans="2:44">
      <c r="B407" s="2"/>
      <c r="C407" t="str">
        <f>IF(B407&lt;&gt;"",INDEX('Sales Orders'!C:C,MATCH('Booking Management'!B407,'Sales Orders'!A:A,0)),"")</f>
        <v/>
      </c>
      <c r="K407" s="31" t="str">
        <f t="shared" ca="1" si="21"/>
        <v/>
      </c>
      <c r="P407" t="str">
        <f t="shared" si="20"/>
        <v/>
      </c>
      <c r="Q407" t="str">
        <f>IFERROR((J407/SUMIFS('Sales Orders'!D:D,'Sales Orders'!A:A,B407))*SUMIFS('Sales Orders'!N:N,'Sales Orders'!A:A,B407),"")</f>
        <v/>
      </c>
      <c r="W407" s="31" t="str">
        <f t="shared" ca="1" si="22"/>
        <v/>
      </c>
      <c r="Z407" s="31"/>
      <c r="AP407" s="53"/>
      <c r="AQ407" s="53"/>
      <c r="AR407" s="53"/>
    </row>
    <row r="408" spans="2:44">
      <c r="B408" s="2"/>
      <c r="C408" t="str">
        <f>IF(B408&lt;&gt;"",INDEX('Sales Orders'!C:C,MATCH('Booking Management'!B408,'Sales Orders'!A:A,0)),"")</f>
        <v/>
      </c>
      <c r="K408" s="31" t="str">
        <f t="shared" ca="1" si="21"/>
        <v/>
      </c>
      <c r="P408" t="str">
        <f t="shared" si="20"/>
        <v/>
      </c>
      <c r="Q408" t="str">
        <f>IFERROR((J408/SUMIFS('Sales Orders'!D:D,'Sales Orders'!A:A,B408))*SUMIFS('Sales Orders'!N:N,'Sales Orders'!A:A,B408),"")</f>
        <v/>
      </c>
      <c r="W408" s="31" t="str">
        <f t="shared" ca="1" si="22"/>
        <v/>
      </c>
      <c r="Z408" s="31"/>
      <c r="AP408" s="53"/>
      <c r="AQ408" s="53"/>
      <c r="AR408" s="53"/>
    </row>
    <row r="409" spans="2:44">
      <c r="B409" s="2"/>
      <c r="C409" t="str">
        <f>IF(B409&lt;&gt;"",INDEX('Sales Orders'!C:C,MATCH('Booking Management'!B409,'Sales Orders'!A:A,0)),"")</f>
        <v/>
      </c>
      <c r="K409" s="31" t="str">
        <f t="shared" ca="1" si="21"/>
        <v/>
      </c>
      <c r="P409" t="str">
        <f t="shared" si="20"/>
        <v/>
      </c>
      <c r="Q409" t="str">
        <f>IFERROR((J409/SUMIFS('Sales Orders'!D:D,'Sales Orders'!A:A,B409))*SUMIFS('Sales Orders'!N:N,'Sales Orders'!A:A,B409),"")</f>
        <v/>
      </c>
      <c r="W409" s="31" t="str">
        <f t="shared" ca="1" si="22"/>
        <v/>
      </c>
      <c r="Z409" s="31"/>
      <c r="AP409" s="53"/>
      <c r="AQ409" s="53"/>
      <c r="AR409" s="53"/>
    </row>
    <row r="410" spans="2:44">
      <c r="B410" s="2"/>
      <c r="C410" t="str">
        <f>IF(B410&lt;&gt;"",INDEX('Sales Orders'!C:C,MATCH('Booking Management'!B410,'Sales Orders'!A:A,0)),"")</f>
        <v/>
      </c>
      <c r="K410" s="31" t="str">
        <f t="shared" ca="1" si="21"/>
        <v/>
      </c>
      <c r="P410" t="str">
        <f t="shared" si="20"/>
        <v/>
      </c>
      <c r="Q410" t="str">
        <f>IFERROR((J410/SUMIFS('Sales Orders'!D:D,'Sales Orders'!A:A,B410))*SUMIFS('Sales Orders'!N:N,'Sales Orders'!A:A,B410),"")</f>
        <v/>
      </c>
      <c r="W410" s="31" t="str">
        <f t="shared" ca="1" si="22"/>
        <v/>
      </c>
      <c r="Z410" s="31"/>
      <c r="AP410" s="53"/>
      <c r="AQ410" s="53"/>
      <c r="AR410" s="53"/>
    </row>
    <row r="411" spans="2:44">
      <c r="B411" s="2"/>
      <c r="C411" t="str">
        <f>IF(B411&lt;&gt;"",INDEX('Sales Orders'!C:C,MATCH('Booking Management'!B411,'Sales Orders'!A:A,0)),"")</f>
        <v/>
      </c>
      <c r="K411" s="31" t="str">
        <f t="shared" ca="1" si="21"/>
        <v/>
      </c>
      <c r="P411" t="str">
        <f t="shared" si="20"/>
        <v/>
      </c>
      <c r="Q411" t="str">
        <f>IFERROR((J411/SUMIFS('Sales Orders'!D:D,'Sales Orders'!A:A,B411))*SUMIFS('Sales Orders'!N:N,'Sales Orders'!A:A,B411),"")</f>
        <v/>
      </c>
      <c r="W411" s="31" t="str">
        <f t="shared" ca="1" si="22"/>
        <v/>
      </c>
      <c r="Z411" s="31"/>
      <c r="AP411" s="53"/>
      <c r="AQ411" s="53"/>
      <c r="AR411" s="53"/>
    </row>
    <row r="412" spans="2:44">
      <c r="B412" s="2"/>
      <c r="C412" t="str">
        <f>IF(B412&lt;&gt;"",INDEX('Sales Orders'!C:C,MATCH('Booking Management'!B412,'Sales Orders'!A:A,0)),"")</f>
        <v/>
      </c>
      <c r="K412" s="31" t="str">
        <f t="shared" ca="1" si="21"/>
        <v/>
      </c>
      <c r="P412" t="str">
        <f t="shared" si="20"/>
        <v/>
      </c>
      <c r="Q412" t="str">
        <f>IFERROR((J412/SUMIFS('Sales Orders'!D:D,'Sales Orders'!A:A,B412))*SUMIFS('Sales Orders'!N:N,'Sales Orders'!A:A,B412),"")</f>
        <v/>
      </c>
      <c r="W412" s="31" t="str">
        <f t="shared" ca="1" si="22"/>
        <v/>
      </c>
      <c r="Z412" s="31"/>
      <c r="AP412" s="53"/>
      <c r="AQ412" s="53"/>
      <c r="AR412" s="53"/>
    </row>
    <row r="413" spans="2:44">
      <c r="B413" s="2"/>
      <c r="C413" t="str">
        <f>IF(B413&lt;&gt;"",INDEX('Sales Orders'!C:C,MATCH('Booking Management'!B413,'Sales Orders'!A:A,0)),"")</f>
        <v/>
      </c>
      <c r="K413" s="31" t="str">
        <f t="shared" ca="1" si="21"/>
        <v/>
      </c>
      <c r="P413" t="str">
        <f t="shared" si="20"/>
        <v/>
      </c>
      <c r="Q413" t="str">
        <f>IFERROR((J413/SUMIFS('Sales Orders'!D:D,'Sales Orders'!A:A,B413))*SUMIFS('Sales Orders'!N:N,'Sales Orders'!A:A,B413),"")</f>
        <v/>
      </c>
      <c r="W413" s="31" t="str">
        <f t="shared" ca="1" si="22"/>
        <v/>
      </c>
      <c r="Z413" s="31"/>
      <c r="AP413" s="53"/>
      <c r="AQ413" s="53"/>
      <c r="AR413" s="53"/>
    </row>
    <row r="414" spans="2:44">
      <c r="B414" s="2"/>
      <c r="C414" t="str">
        <f>IF(B414&lt;&gt;"",INDEX('Sales Orders'!C:C,MATCH('Booking Management'!B414,'Sales Orders'!A:A,0)),"")</f>
        <v/>
      </c>
      <c r="K414" s="31" t="str">
        <f t="shared" ca="1" si="21"/>
        <v/>
      </c>
      <c r="P414" t="str">
        <f t="shared" si="20"/>
        <v/>
      </c>
      <c r="Q414" t="str">
        <f>IFERROR((J414/SUMIFS('Sales Orders'!D:D,'Sales Orders'!A:A,B414))*SUMIFS('Sales Orders'!N:N,'Sales Orders'!A:A,B414),"")</f>
        <v/>
      </c>
      <c r="W414" s="31" t="str">
        <f t="shared" ca="1" si="22"/>
        <v/>
      </c>
      <c r="Z414" s="31"/>
      <c r="AP414" s="53"/>
      <c r="AQ414" s="53"/>
      <c r="AR414" s="53"/>
    </row>
    <row r="415" spans="2:44">
      <c r="B415" s="2"/>
      <c r="C415" t="str">
        <f>IF(B415&lt;&gt;"",INDEX('Sales Orders'!C:C,MATCH('Booking Management'!B415,'Sales Orders'!A:A,0)),"")</f>
        <v/>
      </c>
      <c r="K415" s="31" t="str">
        <f t="shared" ca="1" si="21"/>
        <v/>
      </c>
      <c r="P415" t="str">
        <f t="shared" si="20"/>
        <v/>
      </c>
      <c r="Q415" t="str">
        <f>IFERROR((J415/SUMIFS('Sales Orders'!D:D,'Sales Orders'!A:A,B415))*SUMIFS('Sales Orders'!N:N,'Sales Orders'!A:A,B415),"")</f>
        <v/>
      </c>
      <c r="W415" s="31" t="str">
        <f t="shared" ca="1" si="22"/>
        <v/>
      </c>
      <c r="Z415" s="31"/>
      <c r="AP415" s="53"/>
      <c r="AQ415" s="53"/>
      <c r="AR415" s="53"/>
    </row>
    <row r="416" spans="2:44">
      <c r="B416" s="2"/>
      <c r="C416" t="str">
        <f>IF(B416&lt;&gt;"",INDEX('Sales Orders'!C:C,MATCH('Booking Management'!B416,'Sales Orders'!A:A,0)),"")</f>
        <v/>
      </c>
      <c r="K416" s="31" t="str">
        <f t="shared" ca="1" si="21"/>
        <v/>
      </c>
      <c r="P416" t="str">
        <f t="shared" si="20"/>
        <v/>
      </c>
      <c r="Q416" t="str">
        <f>IFERROR((J416/SUMIFS('Sales Orders'!D:D,'Sales Orders'!A:A,B416))*SUMIFS('Sales Orders'!N:N,'Sales Orders'!A:A,B416),"")</f>
        <v/>
      </c>
      <c r="W416" s="31" t="str">
        <f t="shared" ca="1" si="22"/>
        <v/>
      </c>
      <c r="Z416" s="31"/>
      <c r="AP416" s="53"/>
      <c r="AQ416" s="53"/>
      <c r="AR416" s="53"/>
    </row>
    <row r="417" spans="2:44">
      <c r="B417" s="2"/>
      <c r="C417" t="str">
        <f>IF(B417&lt;&gt;"",INDEX('Sales Orders'!C:C,MATCH('Booking Management'!B417,'Sales Orders'!A:A,0)),"")</f>
        <v/>
      </c>
      <c r="K417" s="31" t="str">
        <f t="shared" ca="1" si="21"/>
        <v/>
      </c>
      <c r="P417" t="str">
        <f t="shared" ref="P417:P480" si="23">IF(B417&lt;&gt;"",T417-L417,"")</f>
        <v/>
      </c>
      <c r="Q417" t="str">
        <f>IFERROR((J417/SUMIFS('Sales Orders'!D:D,'Sales Orders'!A:A,B417))*SUMIFS('Sales Orders'!N:N,'Sales Orders'!A:A,B417),"")</f>
        <v/>
      </c>
      <c r="W417" s="31" t="str">
        <f t="shared" ca="1" si="22"/>
        <v/>
      </c>
      <c r="Z417" s="31"/>
      <c r="AP417" s="53"/>
      <c r="AQ417" s="53"/>
      <c r="AR417" s="53"/>
    </row>
    <row r="418" spans="2:44">
      <c r="B418" s="2"/>
      <c r="C418" t="str">
        <f>IF(B418&lt;&gt;"",INDEX('Sales Orders'!C:C,MATCH('Booking Management'!B418,'Sales Orders'!A:A,0)),"")</f>
        <v/>
      </c>
      <c r="K418" s="31" t="str">
        <f t="shared" ca="1" si="21"/>
        <v/>
      </c>
      <c r="P418" t="str">
        <f t="shared" si="23"/>
        <v/>
      </c>
      <c r="Q418" t="str">
        <f>IFERROR((J418/SUMIFS('Sales Orders'!D:D,'Sales Orders'!A:A,B418))*SUMIFS('Sales Orders'!N:N,'Sales Orders'!A:A,B418),"")</f>
        <v/>
      </c>
      <c r="W418" s="31" t="str">
        <f t="shared" ca="1" si="22"/>
        <v/>
      </c>
      <c r="Z418" s="31"/>
      <c r="AP418" s="53"/>
      <c r="AQ418" s="53"/>
      <c r="AR418" s="53"/>
    </row>
    <row r="419" spans="2:44">
      <c r="B419" s="2"/>
      <c r="C419" t="str">
        <f>IF(B419&lt;&gt;"",INDEX('Sales Orders'!C:C,MATCH('Booking Management'!B419,'Sales Orders'!A:A,0)),"")</f>
        <v/>
      </c>
      <c r="K419" s="31" t="str">
        <f t="shared" ca="1" si="21"/>
        <v/>
      </c>
      <c r="P419" t="str">
        <f t="shared" si="23"/>
        <v/>
      </c>
      <c r="Q419" t="str">
        <f>IFERROR((J419/SUMIFS('Sales Orders'!D:D,'Sales Orders'!A:A,B419))*SUMIFS('Sales Orders'!N:N,'Sales Orders'!A:A,B419),"")</f>
        <v/>
      </c>
      <c r="W419" s="31" t="str">
        <f t="shared" ca="1" si="22"/>
        <v/>
      </c>
      <c r="Z419" s="31"/>
      <c r="AP419" s="53"/>
      <c r="AQ419" s="53"/>
      <c r="AR419" s="53"/>
    </row>
    <row r="420" spans="2:44">
      <c r="B420" s="2"/>
      <c r="C420" t="str">
        <f>IF(B420&lt;&gt;"",INDEX('Sales Orders'!C:C,MATCH('Booking Management'!B420,'Sales Orders'!A:A,0)),"")</f>
        <v/>
      </c>
      <c r="K420" s="31" t="str">
        <f t="shared" ca="1" si="21"/>
        <v/>
      </c>
      <c r="P420" t="str">
        <f t="shared" si="23"/>
        <v/>
      </c>
      <c r="Q420" t="str">
        <f>IFERROR((J420/SUMIFS('Sales Orders'!D:D,'Sales Orders'!A:A,B420))*SUMIFS('Sales Orders'!N:N,'Sales Orders'!A:A,B420),"")</f>
        <v/>
      </c>
      <c r="W420" s="31" t="str">
        <f t="shared" ca="1" si="22"/>
        <v/>
      </c>
      <c r="Z420" s="31"/>
      <c r="AP420" s="53"/>
      <c r="AQ420" s="53"/>
      <c r="AR420" s="53"/>
    </row>
    <row r="421" spans="2:44">
      <c r="B421" s="2"/>
      <c r="C421" t="str">
        <f>IF(B421&lt;&gt;"",INDEX('Sales Orders'!C:C,MATCH('Booking Management'!B421,'Sales Orders'!A:A,0)),"")</f>
        <v/>
      </c>
      <c r="K421" s="31" t="str">
        <f t="shared" ca="1" si="21"/>
        <v/>
      </c>
      <c r="P421" t="str">
        <f t="shared" si="23"/>
        <v/>
      </c>
      <c r="Q421" t="str">
        <f>IFERROR((J421/SUMIFS('Sales Orders'!D:D,'Sales Orders'!A:A,B421))*SUMIFS('Sales Orders'!N:N,'Sales Orders'!A:A,B421),"")</f>
        <v/>
      </c>
      <c r="W421" s="31" t="str">
        <f t="shared" ca="1" si="22"/>
        <v/>
      </c>
      <c r="Z421" s="31"/>
      <c r="AP421" s="53"/>
      <c r="AQ421" s="53"/>
      <c r="AR421" s="53"/>
    </row>
    <row r="422" spans="2:44">
      <c r="B422" s="2"/>
      <c r="C422" t="str">
        <f>IF(B422&lt;&gt;"",INDEX('Sales Orders'!C:C,MATCH('Booking Management'!B422,'Sales Orders'!A:A,0)),"")</f>
        <v/>
      </c>
      <c r="K422" s="31" t="str">
        <f t="shared" ca="1" si="21"/>
        <v/>
      </c>
      <c r="P422" t="str">
        <f t="shared" si="23"/>
        <v/>
      </c>
      <c r="Q422" t="str">
        <f>IFERROR((J422/SUMIFS('Sales Orders'!D:D,'Sales Orders'!A:A,B422))*SUMIFS('Sales Orders'!N:N,'Sales Orders'!A:A,B422),"")</f>
        <v/>
      </c>
      <c r="W422" s="31" t="str">
        <f t="shared" ca="1" si="22"/>
        <v/>
      </c>
      <c r="Z422" s="31"/>
      <c r="AP422" s="53"/>
      <c r="AQ422" s="53"/>
      <c r="AR422" s="53"/>
    </row>
    <row r="423" spans="2:44">
      <c r="B423" s="2"/>
      <c r="C423" t="str">
        <f>IF(B423&lt;&gt;"",INDEX('Sales Orders'!C:C,MATCH('Booking Management'!B423,'Sales Orders'!A:A,0)),"")</f>
        <v/>
      </c>
      <c r="K423" s="31" t="str">
        <f t="shared" ca="1" si="21"/>
        <v/>
      </c>
      <c r="P423" t="str">
        <f t="shared" si="23"/>
        <v/>
      </c>
      <c r="Q423" t="str">
        <f>IFERROR((J423/SUMIFS('Sales Orders'!D:D,'Sales Orders'!A:A,B423))*SUMIFS('Sales Orders'!N:N,'Sales Orders'!A:A,B423),"")</f>
        <v/>
      </c>
      <c r="W423" s="31" t="str">
        <f t="shared" ca="1" si="22"/>
        <v/>
      </c>
      <c r="Z423" s="31"/>
      <c r="AP423" s="53"/>
      <c r="AQ423" s="53"/>
      <c r="AR423" s="53"/>
    </row>
    <row r="424" spans="2:44">
      <c r="B424" s="2"/>
      <c r="C424" t="str">
        <f>IF(B424&lt;&gt;"",INDEX('Sales Orders'!C:C,MATCH('Booking Management'!B424,'Sales Orders'!A:A,0)),"")</f>
        <v/>
      </c>
      <c r="K424" s="31" t="str">
        <f t="shared" ca="1" si="21"/>
        <v/>
      </c>
      <c r="P424" t="str">
        <f t="shared" si="23"/>
        <v/>
      </c>
      <c r="Q424" t="str">
        <f>IFERROR((J424/SUMIFS('Sales Orders'!D:D,'Sales Orders'!A:A,B424))*SUMIFS('Sales Orders'!N:N,'Sales Orders'!A:A,B424),"")</f>
        <v/>
      </c>
      <c r="W424" s="31" t="str">
        <f t="shared" ca="1" si="22"/>
        <v/>
      </c>
      <c r="Z424" s="31"/>
      <c r="AP424" s="53"/>
      <c r="AQ424" s="53"/>
      <c r="AR424" s="53"/>
    </row>
    <row r="425" spans="2:44">
      <c r="B425" s="2"/>
      <c r="C425" t="str">
        <f>IF(B425&lt;&gt;"",INDEX('Sales Orders'!C:C,MATCH('Booking Management'!B425,'Sales Orders'!A:A,0)),"")</f>
        <v/>
      </c>
      <c r="K425" s="31" t="str">
        <f t="shared" ca="1" si="21"/>
        <v/>
      </c>
      <c r="P425" t="str">
        <f t="shared" si="23"/>
        <v/>
      </c>
      <c r="Q425" t="str">
        <f>IFERROR((J425/SUMIFS('Sales Orders'!D:D,'Sales Orders'!A:A,B425))*SUMIFS('Sales Orders'!N:N,'Sales Orders'!A:A,B425),"")</f>
        <v/>
      </c>
      <c r="W425" s="31" t="str">
        <f t="shared" ca="1" si="22"/>
        <v/>
      </c>
      <c r="Z425" s="31"/>
      <c r="AP425" s="53"/>
      <c r="AQ425" s="53"/>
      <c r="AR425" s="53"/>
    </row>
    <row r="426" spans="2:44">
      <c r="B426" s="2"/>
      <c r="C426" t="str">
        <f>IF(B426&lt;&gt;"",INDEX('Sales Orders'!C:C,MATCH('Booking Management'!B426,'Sales Orders'!A:A,0)),"")</f>
        <v/>
      </c>
      <c r="K426" s="31" t="str">
        <f t="shared" ca="1" si="21"/>
        <v/>
      </c>
      <c r="P426" t="str">
        <f t="shared" si="23"/>
        <v/>
      </c>
      <c r="Q426" t="str">
        <f>IFERROR((J426/SUMIFS('Sales Orders'!D:D,'Sales Orders'!A:A,B426))*SUMIFS('Sales Orders'!N:N,'Sales Orders'!A:A,B426),"")</f>
        <v/>
      </c>
      <c r="W426" s="31" t="str">
        <f t="shared" ca="1" si="22"/>
        <v/>
      </c>
      <c r="Z426" s="31"/>
      <c r="AP426" s="53"/>
      <c r="AQ426" s="53"/>
      <c r="AR426" s="53"/>
    </row>
    <row r="427" spans="2:44">
      <c r="B427" s="2"/>
      <c r="C427" t="str">
        <f>IF(B427&lt;&gt;"",INDEX('Sales Orders'!C:C,MATCH('Booking Management'!B427,'Sales Orders'!A:A,0)),"")</f>
        <v/>
      </c>
      <c r="K427" s="31" t="str">
        <f t="shared" ca="1" si="21"/>
        <v/>
      </c>
      <c r="P427" t="str">
        <f t="shared" si="23"/>
        <v/>
      </c>
      <c r="Q427" t="str">
        <f>IFERROR((J427/SUMIFS('Sales Orders'!D:D,'Sales Orders'!A:A,B427))*SUMIFS('Sales Orders'!N:N,'Sales Orders'!A:A,B427),"")</f>
        <v/>
      </c>
      <c r="W427" s="31" t="str">
        <f t="shared" ca="1" si="22"/>
        <v/>
      </c>
      <c r="Z427" s="31"/>
      <c r="AP427" s="53"/>
      <c r="AQ427" s="53"/>
      <c r="AR427" s="53"/>
    </row>
    <row r="428" spans="2:44">
      <c r="B428" s="2"/>
      <c r="C428" t="str">
        <f>IF(B428&lt;&gt;"",INDEX('Sales Orders'!C:C,MATCH('Booking Management'!B428,'Sales Orders'!A:A,0)),"")</f>
        <v/>
      </c>
      <c r="K428" s="31" t="str">
        <f t="shared" ca="1" si="21"/>
        <v/>
      </c>
      <c r="P428" t="str">
        <f t="shared" si="23"/>
        <v/>
      </c>
      <c r="Q428" t="str">
        <f>IFERROR((J428/SUMIFS('Sales Orders'!D:D,'Sales Orders'!A:A,B428))*SUMIFS('Sales Orders'!N:N,'Sales Orders'!A:A,B428),"")</f>
        <v/>
      </c>
      <c r="W428" s="31" t="str">
        <f t="shared" ca="1" si="22"/>
        <v/>
      </c>
      <c r="Z428" s="31"/>
      <c r="AP428" s="53"/>
      <c r="AQ428" s="53"/>
      <c r="AR428" s="53"/>
    </row>
    <row r="429" spans="2:44">
      <c r="B429" s="2"/>
      <c r="C429" t="str">
        <f>IF(B429&lt;&gt;"",INDEX('Sales Orders'!C:C,MATCH('Booking Management'!B429,'Sales Orders'!A:A,0)),"")</f>
        <v/>
      </c>
      <c r="K429" s="31" t="str">
        <f t="shared" ca="1" si="21"/>
        <v/>
      </c>
      <c r="P429" t="str">
        <f t="shared" si="23"/>
        <v/>
      </c>
      <c r="Q429" t="str">
        <f>IFERROR((J429/SUMIFS('Sales Orders'!D:D,'Sales Orders'!A:A,B429))*SUMIFS('Sales Orders'!N:N,'Sales Orders'!A:A,B429),"")</f>
        <v/>
      </c>
      <c r="W429" s="31" t="str">
        <f t="shared" ca="1" si="22"/>
        <v/>
      </c>
      <c r="Z429" s="31"/>
      <c r="AP429" s="53"/>
      <c r="AQ429" s="53"/>
      <c r="AR429" s="53"/>
    </row>
    <row r="430" spans="2:44">
      <c r="B430" s="2"/>
      <c r="C430" t="str">
        <f>IF(B430&lt;&gt;"",INDEX('Sales Orders'!C:C,MATCH('Booking Management'!B430,'Sales Orders'!A:A,0)),"")</f>
        <v/>
      </c>
      <c r="K430" s="31" t="str">
        <f t="shared" ca="1" si="21"/>
        <v/>
      </c>
      <c r="P430" t="str">
        <f t="shared" si="23"/>
        <v/>
      </c>
      <c r="Q430" t="str">
        <f>IFERROR((J430/SUMIFS('Sales Orders'!D:D,'Sales Orders'!A:A,B430))*SUMIFS('Sales Orders'!N:N,'Sales Orders'!A:A,B430),"")</f>
        <v/>
      </c>
      <c r="W430" s="31" t="str">
        <f t="shared" ca="1" si="22"/>
        <v/>
      </c>
      <c r="Z430" s="31"/>
      <c r="AP430" s="53"/>
      <c r="AQ430" s="53"/>
      <c r="AR430" s="53"/>
    </row>
    <row r="431" spans="2:44">
      <c r="B431" s="2"/>
      <c r="C431" t="str">
        <f>IF(B431&lt;&gt;"",INDEX('Sales Orders'!C:C,MATCH('Booking Management'!B431,'Sales Orders'!A:A,0)),"")</f>
        <v/>
      </c>
      <c r="K431" s="31" t="str">
        <f t="shared" ca="1" si="21"/>
        <v/>
      </c>
      <c r="P431" t="str">
        <f t="shared" si="23"/>
        <v/>
      </c>
      <c r="Q431" t="str">
        <f>IFERROR((J431/SUMIFS('Sales Orders'!D:D,'Sales Orders'!A:A,B431))*SUMIFS('Sales Orders'!N:N,'Sales Orders'!A:A,B431),"")</f>
        <v/>
      </c>
      <c r="W431" s="31" t="str">
        <f t="shared" ca="1" si="22"/>
        <v/>
      </c>
      <c r="Z431" s="31"/>
      <c r="AP431" s="53"/>
      <c r="AQ431" s="53"/>
      <c r="AR431" s="53"/>
    </row>
    <row r="432" spans="2:44">
      <c r="B432" s="2"/>
      <c r="C432" t="str">
        <f>IF(B432&lt;&gt;"",INDEX('Sales Orders'!C:C,MATCH('Booking Management'!B432,'Sales Orders'!A:A,0)),"")</f>
        <v/>
      </c>
      <c r="K432" s="31" t="str">
        <f t="shared" ca="1" si="21"/>
        <v/>
      </c>
      <c r="P432" t="str">
        <f t="shared" si="23"/>
        <v/>
      </c>
      <c r="Q432" t="str">
        <f>IFERROR((J432/SUMIFS('Sales Orders'!D:D,'Sales Orders'!A:A,B432))*SUMIFS('Sales Orders'!N:N,'Sales Orders'!A:A,B432),"")</f>
        <v/>
      </c>
      <c r="W432" s="31" t="str">
        <f t="shared" ca="1" si="22"/>
        <v/>
      </c>
      <c r="Z432" s="31"/>
      <c r="AP432" s="53"/>
      <c r="AQ432" s="53"/>
      <c r="AR432" s="53"/>
    </row>
    <row r="433" spans="2:44">
      <c r="B433" s="2"/>
      <c r="C433" t="str">
        <f>IF(B433&lt;&gt;"",INDEX('Sales Orders'!C:C,MATCH('Booking Management'!B433,'Sales Orders'!A:A,0)),"")</f>
        <v/>
      </c>
      <c r="K433" s="31" t="str">
        <f t="shared" ca="1" si="21"/>
        <v/>
      </c>
      <c r="P433" t="str">
        <f t="shared" si="23"/>
        <v/>
      </c>
      <c r="Q433" t="str">
        <f>IFERROR((J433/SUMIFS('Sales Orders'!D:D,'Sales Orders'!A:A,B433))*SUMIFS('Sales Orders'!N:N,'Sales Orders'!A:A,B433),"")</f>
        <v/>
      </c>
      <c r="W433" s="31" t="str">
        <f t="shared" ca="1" si="22"/>
        <v/>
      </c>
      <c r="Z433" s="31"/>
      <c r="AP433" s="53"/>
      <c r="AQ433" s="53"/>
      <c r="AR433" s="53"/>
    </row>
    <row r="434" spans="2:44">
      <c r="B434" s="2"/>
      <c r="C434" t="str">
        <f>IF(B434&lt;&gt;"",INDEX('Sales Orders'!C:C,MATCH('Booking Management'!B434,'Sales Orders'!A:A,0)),"")</f>
        <v/>
      </c>
      <c r="K434" s="31" t="str">
        <f t="shared" ca="1" si="21"/>
        <v/>
      </c>
      <c r="P434" t="str">
        <f t="shared" si="23"/>
        <v/>
      </c>
      <c r="Q434" t="str">
        <f>IFERROR((J434/SUMIFS('Sales Orders'!D:D,'Sales Orders'!A:A,B434))*SUMIFS('Sales Orders'!N:N,'Sales Orders'!A:A,B434),"")</f>
        <v/>
      </c>
      <c r="W434" s="31" t="str">
        <f t="shared" ca="1" si="22"/>
        <v/>
      </c>
      <c r="Z434" s="31"/>
      <c r="AP434" s="53"/>
      <c r="AQ434" s="53"/>
      <c r="AR434" s="53"/>
    </row>
    <row r="435" spans="2:44">
      <c r="B435" s="2"/>
      <c r="C435" t="str">
        <f>IF(B435&lt;&gt;"",INDEX('Sales Orders'!C:C,MATCH('Booking Management'!B435,'Sales Orders'!A:A,0)),"")</f>
        <v/>
      </c>
      <c r="K435" s="31" t="str">
        <f t="shared" ca="1" si="21"/>
        <v/>
      </c>
      <c r="P435" t="str">
        <f t="shared" si="23"/>
        <v/>
      </c>
      <c r="Q435" t="str">
        <f>IFERROR((J435/SUMIFS('Sales Orders'!D:D,'Sales Orders'!A:A,B435))*SUMIFS('Sales Orders'!N:N,'Sales Orders'!A:A,B435),"")</f>
        <v/>
      </c>
      <c r="W435" s="31" t="str">
        <f t="shared" ca="1" si="22"/>
        <v/>
      </c>
      <c r="Z435" s="31"/>
      <c r="AP435" s="53"/>
      <c r="AQ435" s="53"/>
      <c r="AR435" s="53"/>
    </row>
    <row r="436" spans="2:44">
      <c r="B436" s="2"/>
      <c r="C436" t="str">
        <f>IF(B436&lt;&gt;"",INDEX('Sales Orders'!C:C,MATCH('Booking Management'!B436,'Sales Orders'!A:A,0)),"")</f>
        <v/>
      </c>
      <c r="K436" s="31" t="str">
        <f t="shared" ca="1" si="21"/>
        <v/>
      </c>
      <c r="P436" t="str">
        <f t="shared" si="23"/>
        <v/>
      </c>
      <c r="Q436" t="str">
        <f>IFERROR((J436/SUMIFS('Sales Orders'!D:D,'Sales Orders'!A:A,B436))*SUMIFS('Sales Orders'!N:N,'Sales Orders'!A:A,B436),"")</f>
        <v/>
      </c>
      <c r="W436" s="31" t="str">
        <f t="shared" ca="1" si="22"/>
        <v/>
      </c>
      <c r="Z436" s="31"/>
      <c r="AP436" s="53"/>
      <c r="AQ436" s="53"/>
      <c r="AR436" s="53"/>
    </row>
    <row r="437" spans="2:44">
      <c r="B437" s="2"/>
      <c r="C437" t="str">
        <f>IF(B437&lt;&gt;"",INDEX('Sales Orders'!C:C,MATCH('Booking Management'!B437,'Sales Orders'!A:A,0)),"")</f>
        <v/>
      </c>
      <c r="K437" s="31" t="str">
        <f t="shared" ca="1" si="21"/>
        <v/>
      </c>
      <c r="P437" t="str">
        <f t="shared" si="23"/>
        <v/>
      </c>
      <c r="Q437" t="str">
        <f>IFERROR((J437/SUMIFS('Sales Orders'!D:D,'Sales Orders'!A:A,B437))*SUMIFS('Sales Orders'!N:N,'Sales Orders'!A:A,B437),"")</f>
        <v/>
      </c>
      <c r="W437" s="31" t="str">
        <f t="shared" ca="1" si="22"/>
        <v/>
      </c>
      <c r="Z437" s="31"/>
      <c r="AP437" s="53"/>
      <c r="AQ437" s="53"/>
      <c r="AR437" s="53"/>
    </row>
    <row r="438" spans="2:44">
      <c r="B438" s="2"/>
      <c r="C438" t="str">
        <f>IF(B438&lt;&gt;"",INDEX('Sales Orders'!C:C,MATCH('Booking Management'!B438,'Sales Orders'!A:A,0)),"")</f>
        <v/>
      </c>
      <c r="K438" s="31" t="str">
        <f t="shared" ca="1" si="21"/>
        <v/>
      </c>
      <c r="P438" t="str">
        <f t="shared" si="23"/>
        <v/>
      </c>
      <c r="Q438" t="str">
        <f>IFERROR((J438/SUMIFS('Sales Orders'!D:D,'Sales Orders'!A:A,B438))*SUMIFS('Sales Orders'!N:N,'Sales Orders'!A:A,B438),"")</f>
        <v/>
      </c>
      <c r="W438" s="31" t="str">
        <f t="shared" ca="1" si="22"/>
        <v/>
      </c>
      <c r="Z438" s="31"/>
      <c r="AP438" s="53"/>
      <c r="AQ438" s="53"/>
      <c r="AR438" s="53"/>
    </row>
    <row r="439" spans="2:44">
      <c r="B439" s="2"/>
      <c r="C439" t="str">
        <f>IF(B439&lt;&gt;"",INDEX('Sales Orders'!C:C,MATCH('Booking Management'!B439,'Sales Orders'!A:A,0)),"")</f>
        <v/>
      </c>
      <c r="K439" s="31" t="str">
        <f t="shared" ca="1" si="21"/>
        <v/>
      </c>
      <c r="P439" t="str">
        <f t="shared" si="23"/>
        <v/>
      </c>
      <c r="Q439" t="str">
        <f>IFERROR((J439/SUMIFS('Sales Orders'!D:D,'Sales Orders'!A:A,B439))*SUMIFS('Sales Orders'!N:N,'Sales Orders'!A:A,B439),"")</f>
        <v/>
      </c>
      <c r="W439" s="31" t="str">
        <f t="shared" ca="1" si="22"/>
        <v/>
      </c>
      <c r="Z439" s="31"/>
      <c r="AP439" s="53"/>
      <c r="AQ439" s="53"/>
      <c r="AR439" s="53"/>
    </row>
    <row r="440" spans="2:44">
      <c r="B440" s="2"/>
      <c r="C440" t="str">
        <f>IF(B440&lt;&gt;"",INDEX('Sales Orders'!C:C,MATCH('Booking Management'!B440,'Sales Orders'!A:A,0)),"")</f>
        <v/>
      </c>
      <c r="K440" s="31" t="str">
        <f t="shared" ca="1" si="21"/>
        <v/>
      </c>
      <c r="P440" t="str">
        <f t="shared" si="23"/>
        <v/>
      </c>
      <c r="Q440" t="str">
        <f>IFERROR((J440/SUMIFS('Sales Orders'!D:D,'Sales Orders'!A:A,B440))*SUMIFS('Sales Orders'!N:N,'Sales Orders'!A:A,B440),"")</f>
        <v/>
      </c>
      <c r="W440" s="31" t="str">
        <f t="shared" ca="1" si="22"/>
        <v/>
      </c>
      <c r="Z440" s="31"/>
      <c r="AP440" s="53"/>
      <c r="AQ440" s="53"/>
      <c r="AR440" s="53"/>
    </row>
    <row r="441" spans="2:44">
      <c r="B441" s="2"/>
      <c r="C441" t="str">
        <f>IF(B441&lt;&gt;"",INDEX('Sales Orders'!C:C,MATCH('Booking Management'!B441,'Sales Orders'!A:A,0)),"")</f>
        <v/>
      </c>
      <c r="K441" s="31" t="str">
        <f t="shared" ca="1" si="21"/>
        <v/>
      </c>
      <c r="P441" t="str">
        <f t="shared" si="23"/>
        <v/>
      </c>
      <c r="Q441" t="str">
        <f>IFERROR((J441/SUMIFS('Sales Orders'!D:D,'Sales Orders'!A:A,B441))*SUMIFS('Sales Orders'!N:N,'Sales Orders'!A:A,B441),"")</f>
        <v/>
      </c>
      <c r="W441" s="31" t="str">
        <f t="shared" ca="1" si="22"/>
        <v/>
      </c>
      <c r="Z441" s="31"/>
      <c r="AP441" s="53"/>
      <c r="AQ441" s="53"/>
      <c r="AR441" s="53"/>
    </row>
    <row r="442" spans="2:44">
      <c r="B442" s="2"/>
      <c r="C442" t="str">
        <f>IF(B442&lt;&gt;"",INDEX('Sales Orders'!C:C,MATCH('Booking Management'!B442,'Sales Orders'!A:A,0)),"")</f>
        <v/>
      </c>
      <c r="K442" s="31" t="str">
        <f t="shared" ca="1" si="21"/>
        <v/>
      </c>
      <c r="P442" t="str">
        <f t="shared" si="23"/>
        <v/>
      </c>
      <c r="Q442" t="str">
        <f>IFERROR((J442/SUMIFS('Sales Orders'!D:D,'Sales Orders'!A:A,B442))*SUMIFS('Sales Orders'!N:N,'Sales Orders'!A:A,B442),"")</f>
        <v/>
      </c>
      <c r="W442" s="31" t="str">
        <f t="shared" ca="1" si="22"/>
        <v/>
      </c>
      <c r="Z442" s="31"/>
      <c r="AP442" s="53"/>
      <c r="AQ442" s="53"/>
      <c r="AR442" s="53"/>
    </row>
    <row r="443" spans="2:44">
      <c r="B443" s="2"/>
      <c r="C443" t="str">
        <f>IF(B443&lt;&gt;"",INDEX('Sales Orders'!C:C,MATCH('Booking Management'!B443,'Sales Orders'!A:A,0)),"")</f>
        <v/>
      </c>
      <c r="K443" s="31" t="str">
        <f t="shared" ca="1" si="21"/>
        <v/>
      </c>
      <c r="P443" t="str">
        <f t="shared" si="23"/>
        <v/>
      </c>
      <c r="Q443" t="str">
        <f>IFERROR((J443/SUMIFS('Sales Orders'!D:D,'Sales Orders'!A:A,B443))*SUMIFS('Sales Orders'!N:N,'Sales Orders'!A:A,B443),"")</f>
        <v/>
      </c>
      <c r="W443" s="31" t="str">
        <f t="shared" ca="1" si="22"/>
        <v/>
      </c>
      <c r="Z443" s="31"/>
      <c r="AP443" s="53"/>
      <c r="AQ443" s="53"/>
      <c r="AR443" s="53"/>
    </row>
    <row r="444" spans="2:44">
      <c r="B444" s="2"/>
      <c r="C444" t="str">
        <f>IF(B444&lt;&gt;"",INDEX('Sales Orders'!C:C,MATCH('Booking Management'!B444,'Sales Orders'!A:A,0)),"")</f>
        <v/>
      </c>
      <c r="K444" s="31" t="str">
        <f t="shared" ca="1" si="21"/>
        <v/>
      </c>
      <c r="P444" t="str">
        <f t="shared" si="23"/>
        <v/>
      </c>
      <c r="Q444" t="str">
        <f>IFERROR((J444/SUMIFS('Sales Orders'!D:D,'Sales Orders'!A:A,B444))*SUMIFS('Sales Orders'!N:N,'Sales Orders'!A:A,B444),"")</f>
        <v/>
      </c>
      <c r="W444" s="31" t="str">
        <f t="shared" ca="1" si="22"/>
        <v/>
      </c>
      <c r="Z444" s="31"/>
      <c r="AP444" s="53"/>
      <c r="AQ444" s="53"/>
      <c r="AR444" s="53"/>
    </row>
    <row r="445" spans="2:44">
      <c r="B445" s="2"/>
      <c r="C445" t="str">
        <f>IF(B445&lt;&gt;"",INDEX('Sales Orders'!C:C,MATCH('Booking Management'!B445,'Sales Orders'!A:A,0)),"")</f>
        <v/>
      </c>
      <c r="K445" s="31" t="str">
        <f t="shared" ca="1" si="21"/>
        <v/>
      </c>
      <c r="P445" t="str">
        <f t="shared" si="23"/>
        <v/>
      </c>
      <c r="Q445" t="str">
        <f>IFERROR((J445/SUMIFS('Sales Orders'!D:D,'Sales Orders'!A:A,B445))*SUMIFS('Sales Orders'!N:N,'Sales Orders'!A:A,B445),"")</f>
        <v/>
      </c>
      <c r="W445" s="31" t="str">
        <f t="shared" ca="1" si="22"/>
        <v/>
      </c>
      <c r="Z445" s="31"/>
      <c r="AP445" s="53"/>
      <c r="AQ445" s="53"/>
      <c r="AR445" s="53"/>
    </row>
    <row r="446" spans="2:44">
      <c r="B446" s="2"/>
      <c r="C446" t="str">
        <f>IF(B446&lt;&gt;"",INDEX('Sales Orders'!C:C,MATCH('Booking Management'!B446,'Sales Orders'!A:A,0)),"")</f>
        <v/>
      </c>
      <c r="K446" s="31" t="str">
        <f t="shared" ca="1" si="21"/>
        <v/>
      </c>
      <c r="P446" t="str">
        <f t="shared" si="23"/>
        <v/>
      </c>
      <c r="Q446" t="str">
        <f>IFERROR((J446/SUMIFS('Sales Orders'!D:D,'Sales Orders'!A:A,B446))*SUMIFS('Sales Orders'!N:N,'Sales Orders'!A:A,B446),"")</f>
        <v/>
      </c>
      <c r="W446" s="31" t="str">
        <f t="shared" ca="1" si="22"/>
        <v/>
      </c>
      <c r="Z446" s="31"/>
      <c r="AP446" s="53"/>
      <c r="AQ446" s="53"/>
      <c r="AR446" s="53"/>
    </row>
    <row r="447" spans="2:44">
      <c r="B447" s="2"/>
      <c r="C447" t="str">
        <f>IF(B447&lt;&gt;"",INDEX('Sales Orders'!C:C,MATCH('Booking Management'!B447,'Sales Orders'!A:A,0)),"")</f>
        <v/>
      </c>
      <c r="K447" s="31" t="str">
        <f t="shared" ca="1" si="21"/>
        <v/>
      </c>
      <c r="P447" t="str">
        <f t="shared" si="23"/>
        <v/>
      </c>
      <c r="Q447" t="str">
        <f>IFERROR((J447/SUMIFS('Sales Orders'!D:D,'Sales Orders'!A:A,B447))*SUMIFS('Sales Orders'!N:N,'Sales Orders'!A:A,B447),"")</f>
        <v/>
      </c>
      <c r="W447" s="31" t="str">
        <f t="shared" ca="1" si="22"/>
        <v/>
      </c>
      <c r="Z447" s="31"/>
      <c r="AP447" s="53"/>
      <c r="AQ447" s="53"/>
      <c r="AR447" s="53"/>
    </row>
    <row r="448" spans="2:44">
      <c r="B448" s="2"/>
      <c r="C448" t="str">
        <f>IF(B448&lt;&gt;"",INDEX('Sales Orders'!C:C,MATCH('Booking Management'!B448,'Sales Orders'!A:A,0)),"")</f>
        <v/>
      </c>
      <c r="K448" s="31" t="str">
        <f t="shared" ca="1" si="21"/>
        <v/>
      </c>
      <c r="P448" t="str">
        <f t="shared" si="23"/>
        <v/>
      </c>
      <c r="Q448" t="str">
        <f>IFERROR((J448/SUMIFS('Sales Orders'!D:D,'Sales Orders'!A:A,B448))*SUMIFS('Sales Orders'!N:N,'Sales Orders'!A:A,B448),"")</f>
        <v/>
      </c>
      <c r="W448" s="31" t="str">
        <f t="shared" ca="1" si="22"/>
        <v/>
      </c>
      <c r="Z448" s="31"/>
      <c r="AP448" s="53"/>
      <c r="AQ448" s="53"/>
      <c r="AR448" s="53"/>
    </row>
    <row r="449" spans="2:44">
      <c r="B449" s="2"/>
      <c r="C449" t="str">
        <f>IF(B449&lt;&gt;"",INDEX('Sales Orders'!C:C,MATCH('Booking Management'!B449,'Sales Orders'!A:A,0)),"")</f>
        <v/>
      </c>
      <c r="K449" s="31" t="str">
        <f t="shared" ca="1" si="21"/>
        <v/>
      </c>
      <c r="P449" t="str">
        <f t="shared" si="23"/>
        <v/>
      </c>
      <c r="Q449" t="str">
        <f>IFERROR((J449/SUMIFS('Sales Orders'!D:D,'Sales Orders'!A:A,B449))*SUMIFS('Sales Orders'!N:N,'Sales Orders'!A:A,B449),"")</f>
        <v/>
      </c>
      <c r="W449" s="31" t="str">
        <f t="shared" ca="1" si="22"/>
        <v/>
      </c>
      <c r="Z449" s="31"/>
      <c r="AP449" s="53"/>
      <c r="AQ449" s="53"/>
      <c r="AR449" s="53"/>
    </row>
    <row r="450" spans="2:44">
      <c r="B450" s="2"/>
      <c r="C450" t="str">
        <f>IF(B450&lt;&gt;"",INDEX('Sales Orders'!C:C,MATCH('Booking Management'!B450,'Sales Orders'!A:A,0)),"")</f>
        <v/>
      </c>
      <c r="K450" s="31" t="str">
        <f t="shared" ca="1" si="21"/>
        <v/>
      </c>
      <c r="P450" t="str">
        <f t="shared" si="23"/>
        <v/>
      </c>
      <c r="Q450" t="str">
        <f>IFERROR((J450/SUMIFS('Sales Orders'!D:D,'Sales Orders'!A:A,B450))*SUMIFS('Sales Orders'!N:N,'Sales Orders'!A:A,B450),"")</f>
        <v/>
      </c>
      <c r="W450" s="31" t="str">
        <f t="shared" ca="1" si="22"/>
        <v/>
      </c>
      <c r="Z450" s="31"/>
      <c r="AP450" s="53"/>
      <c r="AQ450" s="53"/>
      <c r="AR450" s="53"/>
    </row>
    <row r="451" spans="2:44">
      <c r="B451" s="2"/>
      <c r="C451" t="str">
        <f>IF(B451&lt;&gt;"",INDEX('Sales Orders'!C:C,MATCH('Booking Management'!B451,'Sales Orders'!A:A,0)),"")</f>
        <v/>
      </c>
      <c r="K451" s="31" t="str">
        <f t="shared" ref="K451:K514" ca="1" si="24">IF(B451&lt;&gt;"",IF(AND(OR(L451-TODAY()&lt;2,M451&lt;&gt;"yes",N451&lt;&gt;"yes",O451&lt;&gt;"yes"),S451&lt;&gt;"Used"),"Alert",""),"")</f>
        <v/>
      </c>
      <c r="P451" t="str">
        <f t="shared" si="23"/>
        <v/>
      </c>
      <c r="Q451" t="str">
        <f>IFERROR((J451/SUMIFS('Sales Orders'!D:D,'Sales Orders'!A:A,B451))*SUMIFS('Sales Orders'!N:N,'Sales Orders'!A:A,B451),"")</f>
        <v/>
      </c>
      <c r="W451" s="31" t="str">
        <f t="shared" ca="1" si="22"/>
        <v/>
      </c>
      <c r="Z451" s="31"/>
      <c r="AP451" s="53"/>
      <c r="AQ451" s="53"/>
      <c r="AR451" s="53"/>
    </row>
    <row r="452" spans="2:44">
      <c r="B452" s="2"/>
      <c r="C452" t="str">
        <f>IF(B452&lt;&gt;"",INDEX('Sales Orders'!C:C,MATCH('Booking Management'!B452,'Sales Orders'!A:A,0)),"")</f>
        <v/>
      </c>
      <c r="K452" s="31" t="str">
        <f t="shared" ca="1" si="24"/>
        <v/>
      </c>
      <c r="P452" t="str">
        <f t="shared" si="23"/>
        <v/>
      </c>
      <c r="Q452" t="str">
        <f>IFERROR((J452/SUMIFS('Sales Orders'!D:D,'Sales Orders'!A:A,B452))*SUMIFS('Sales Orders'!N:N,'Sales Orders'!A:A,B452),"")</f>
        <v/>
      </c>
      <c r="W452" s="31" t="str">
        <f t="shared" ca="1" si="22"/>
        <v/>
      </c>
      <c r="Z452" s="31"/>
      <c r="AP452" s="53"/>
      <c r="AQ452" s="53"/>
      <c r="AR452" s="53"/>
    </row>
    <row r="453" spans="2:44">
      <c r="B453" s="2"/>
      <c r="C453" t="str">
        <f>IF(B453&lt;&gt;"",INDEX('Sales Orders'!C:C,MATCH('Booking Management'!B453,'Sales Orders'!A:A,0)),"")</f>
        <v/>
      </c>
      <c r="K453" s="31" t="str">
        <f t="shared" ca="1" si="24"/>
        <v/>
      </c>
      <c r="P453" t="str">
        <f t="shared" si="23"/>
        <v/>
      </c>
      <c r="Q453" t="str">
        <f>IFERROR((J453/SUMIFS('Sales Orders'!D:D,'Sales Orders'!A:A,B453))*SUMIFS('Sales Orders'!N:N,'Sales Orders'!A:A,B453),"")</f>
        <v/>
      </c>
      <c r="W453" s="31" t="str">
        <f t="shared" ca="1" si="22"/>
        <v/>
      </c>
      <c r="Z453" s="31"/>
      <c r="AP453" s="53"/>
      <c r="AQ453" s="53"/>
      <c r="AR453" s="53"/>
    </row>
    <row r="454" spans="2:44">
      <c r="B454" s="2"/>
      <c r="C454" t="str">
        <f>IF(B454&lt;&gt;"",INDEX('Sales Orders'!C:C,MATCH('Booking Management'!B454,'Sales Orders'!A:A,0)),"")</f>
        <v/>
      </c>
      <c r="K454" s="31" t="str">
        <f t="shared" ca="1" si="24"/>
        <v/>
      </c>
      <c r="P454" t="str">
        <f t="shared" si="23"/>
        <v/>
      </c>
      <c r="Q454" t="str">
        <f>IFERROR((J454/SUMIFS('Sales Orders'!D:D,'Sales Orders'!A:A,B454))*SUMIFS('Sales Orders'!N:N,'Sales Orders'!A:A,B454),"")</f>
        <v/>
      </c>
      <c r="W454" s="31" t="str">
        <f t="shared" ca="1" si="22"/>
        <v/>
      </c>
      <c r="Z454" s="31"/>
      <c r="AP454" s="53"/>
      <c r="AQ454" s="53"/>
      <c r="AR454" s="53"/>
    </row>
    <row r="455" spans="2:44">
      <c r="B455" s="2"/>
      <c r="C455" t="str">
        <f>IF(B455&lt;&gt;"",INDEX('Sales Orders'!C:C,MATCH('Booking Management'!B455,'Sales Orders'!A:A,0)),"")</f>
        <v/>
      </c>
      <c r="K455" s="31" t="str">
        <f t="shared" ca="1" si="24"/>
        <v/>
      </c>
      <c r="P455" t="str">
        <f t="shared" si="23"/>
        <v/>
      </c>
      <c r="Q455" t="str">
        <f>IFERROR((J455/SUMIFS('Sales Orders'!D:D,'Sales Orders'!A:A,B455))*SUMIFS('Sales Orders'!N:N,'Sales Orders'!A:A,B455),"")</f>
        <v/>
      </c>
      <c r="W455" s="31" t="str">
        <f t="shared" ref="W455:W518" ca="1" si="25">IF(T455&lt;&gt;"",IF(X455="Yes","NO",IF((TODAY()-V455)&gt;6,"YES","NO")),"")</f>
        <v/>
      </c>
      <c r="Z455" s="31"/>
      <c r="AP455" s="53"/>
      <c r="AQ455" s="53"/>
      <c r="AR455" s="53"/>
    </row>
    <row r="456" spans="2:44">
      <c r="B456" s="2"/>
      <c r="C456" t="str">
        <f>IF(B456&lt;&gt;"",INDEX('Sales Orders'!C:C,MATCH('Booking Management'!B456,'Sales Orders'!A:A,0)),"")</f>
        <v/>
      </c>
      <c r="K456" s="31" t="str">
        <f t="shared" ca="1" si="24"/>
        <v/>
      </c>
      <c r="P456" t="str">
        <f t="shared" si="23"/>
        <v/>
      </c>
      <c r="Q456" t="str">
        <f>IFERROR((J456/SUMIFS('Sales Orders'!D:D,'Sales Orders'!A:A,B456))*SUMIFS('Sales Orders'!N:N,'Sales Orders'!A:A,B456),"")</f>
        <v/>
      </c>
      <c r="W456" s="31" t="str">
        <f t="shared" ca="1" si="25"/>
        <v/>
      </c>
      <c r="Z456" s="31"/>
      <c r="AP456" s="53"/>
      <c r="AQ456" s="53"/>
      <c r="AR456" s="53"/>
    </row>
    <row r="457" spans="2:44">
      <c r="B457" s="2"/>
      <c r="C457" t="str">
        <f>IF(B457&lt;&gt;"",INDEX('Sales Orders'!C:C,MATCH('Booking Management'!B457,'Sales Orders'!A:A,0)),"")</f>
        <v/>
      </c>
      <c r="K457" s="31" t="str">
        <f t="shared" ca="1" si="24"/>
        <v/>
      </c>
      <c r="P457" t="str">
        <f t="shared" si="23"/>
        <v/>
      </c>
      <c r="Q457" t="str">
        <f>IFERROR((J457/SUMIFS('Sales Orders'!D:D,'Sales Orders'!A:A,B457))*SUMIFS('Sales Orders'!N:N,'Sales Orders'!A:A,B457),"")</f>
        <v/>
      </c>
      <c r="W457" s="31" t="str">
        <f t="shared" ca="1" si="25"/>
        <v/>
      </c>
      <c r="Z457" s="31"/>
      <c r="AP457" s="53"/>
      <c r="AQ457" s="53"/>
      <c r="AR457" s="53"/>
    </row>
    <row r="458" spans="2:44">
      <c r="B458" s="2"/>
      <c r="C458" t="str">
        <f>IF(B458&lt;&gt;"",INDEX('Sales Orders'!C:C,MATCH('Booking Management'!B458,'Sales Orders'!A:A,0)),"")</f>
        <v/>
      </c>
      <c r="K458" s="31" t="str">
        <f t="shared" ca="1" si="24"/>
        <v/>
      </c>
      <c r="P458" t="str">
        <f t="shared" si="23"/>
        <v/>
      </c>
      <c r="Q458" t="str">
        <f>IFERROR((J458/SUMIFS('Sales Orders'!D:D,'Sales Orders'!A:A,B458))*SUMIFS('Sales Orders'!N:N,'Sales Orders'!A:A,B458),"")</f>
        <v/>
      </c>
      <c r="W458" s="31" t="str">
        <f t="shared" ca="1" si="25"/>
        <v/>
      </c>
      <c r="Z458" s="31"/>
      <c r="AP458" s="53"/>
      <c r="AQ458" s="53"/>
      <c r="AR458" s="53"/>
    </row>
    <row r="459" spans="2:44">
      <c r="B459" s="2"/>
      <c r="C459" t="str">
        <f>IF(B459&lt;&gt;"",INDEX('Sales Orders'!C:C,MATCH('Booking Management'!B459,'Sales Orders'!A:A,0)),"")</f>
        <v/>
      </c>
      <c r="K459" s="31" t="str">
        <f t="shared" ca="1" si="24"/>
        <v/>
      </c>
      <c r="P459" t="str">
        <f t="shared" si="23"/>
        <v/>
      </c>
      <c r="Q459" t="str">
        <f>IFERROR((J459/SUMIFS('Sales Orders'!D:D,'Sales Orders'!A:A,B459))*SUMIFS('Sales Orders'!N:N,'Sales Orders'!A:A,B459),"")</f>
        <v/>
      </c>
      <c r="W459" s="31" t="str">
        <f t="shared" ca="1" si="25"/>
        <v/>
      </c>
      <c r="Z459" s="31"/>
      <c r="AP459" s="53"/>
      <c r="AQ459" s="53"/>
      <c r="AR459" s="53"/>
    </row>
    <row r="460" spans="2:44">
      <c r="B460" s="2"/>
      <c r="C460" t="str">
        <f>IF(B460&lt;&gt;"",INDEX('Sales Orders'!C:C,MATCH('Booking Management'!B460,'Sales Orders'!A:A,0)),"")</f>
        <v/>
      </c>
      <c r="K460" s="31" t="str">
        <f t="shared" ca="1" si="24"/>
        <v/>
      </c>
      <c r="P460" t="str">
        <f t="shared" si="23"/>
        <v/>
      </c>
      <c r="Q460" t="str">
        <f>IFERROR((J460/SUMIFS('Sales Orders'!D:D,'Sales Orders'!A:A,B460))*SUMIFS('Sales Orders'!N:N,'Sales Orders'!A:A,B460),"")</f>
        <v/>
      </c>
      <c r="W460" s="31" t="str">
        <f t="shared" ca="1" si="25"/>
        <v/>
      </c>
      <c r="Z460" s="31"/>
      <c r="AP460" s="53"/>
      <c r="AQ460" s="53"/>
      <c r="AR460" s="53"/>
    </row>
    <row r="461" spans="2:44">
      <c r="B461" s="2"/>
      <c r="C461" t="str">
        <f>IF(B461&lt;&gt;"",INDEX('Sales Orders'!C:C,MATCH('Booking Management'!B461,'Sales Orders'!A:A,0)),"")</f>
        <v/>
      </c>
      <c r="K461" s="31" t="str">
        <f t="shared" ca="1" si="24"/>
        <v/>
      </c>
      <c r="P461" t="str">
        <f t="shared" si="23"/>
        <v/>
      </c>
      <c r="Q461" t="str">
        <f>IFERROR((J461/SUMIFS('Sales Orders'!D:D,'Sales Orders'!A:A,B461))*SUMIFS('Sales Orders'!N:N,'Sales Orders'!A:A,B461),"")</f>
        <v/>
      </c>
      <c r="W461" s="31" t="str">
        <f t="shared" ca="1" si="25"/>
        <v/>
      </c>
      <c r="Z461" s="31"/>
      <c r="AP461" s="53"/>
      <c r="AQ461" s="53"/>
      <c r="AR461" s="53"/>
    </row>
    <row r="462" spans="2:44">
      <c r="B462" s="2"/>
      <c r="C462" t="str">
        <f>IF(B462&lt;&gt;"",INDEX('Sales Orders'!C:C,MATCH('Booking Management'!B462,'Sales Orders'!A:A,0)),"")</f>
        <v/>
      </c>
      <c r="K462" s="31" t="str">
        <f t="shared" ca="1" si="24"/>
        <v/>
      </c>
      <c r="P462" t="str">
        <f t="shared" si="23"/>
        <v/>
      </c>
      <c r="Q462" t="str">
        <f>IFERROR((J462/SUMIFS('Sales Orders'!D:D,'Sales Orders'!A:A,B462))*SUMIFS('Sales Orders'!N:N,'Sales Orders'!A:A,B462),"")</f>
        <v/>
      </c>
      <c r="W462" s="31" t="str">
        <f t="shared" ca="1" si="25"/>
        <v/>
      </c>
      <c r="Z462" s="31"/>
      <c r="AP462" s="53"/>
      <c r="AQ462" s="53"/>
      <c r="AR462" s="53"/>
    </row>
    <row r="463" spans="2:44">
      <c r="B463" s="2"/>
      <c r="C463" t="str">
        <f>IF(B463&lt;&gt;"",INDEX('Sales Orders'!C:C,MATCH('Booking Management'!B463,'Sales Orders'!A:A,0)),"")</f>
        <v/>
      </c>
      <c r="K463" s="31" t="str">
        <f t="shared" ca="1" si="24"/>
        <v/>
      </c>
      <c r="P463" t="str">
        <f t="shared" si="23"/>
        <v/>
      </c>
      <c r="Q463" t="str">
        <f>IFERROR((J463/SUMIFS('Sales Orders'!D:D,'Sales Orders'!A:A,B463))*SUMIFS('Sales Orders'!N:N,'Sales Orders'!A:A,B463),"")</f>
        <v/>
      </c>
      <c r="W463" s="31" t="str">
        <f t="shared" ca="1" si="25"/>
        <v/>
      </c>
      <c r="Z463" s="31"/>
      <c r="AP463" s="53"/>
      <c r="AQ463" s="53"/>
      <c r="AR463" s="53"/>
    </row>
    <row r="464" spans="2:44">
      <c r="B464" s="2"/>
      <c r="C464" t="str">
        <f>IF(B464&lt;&gt;"",INDEX('Sales Orders'!C:C,MATCH('Booking Management'!B464,'Sales Orders'!A:A,0)),"")</f>
        <v/>
      </c>
      <c r="K464" s="31" t="str">
        <f t="shared" ca="1" si="24"/>
        <v/>
      </c>
      <c r="P464" t="str">
        <f t="shared" si="23"/>
        <v/>
      </c>
      <c r="Q464" t="str">
        <f>IFERROR((J464/SUMIFS('Sales Orders'!D:D,'Sales Orders'!A:A,B464))*SUMIFS('Sales Orders'!N:N,'Sales Orders'!A:A,B464),"")</f>
        <v/>
      </c>
      <c r="W464" s="31" t="str">
        <f t="shared" ca="1" si="25"/>
        <v/>
      </c>
      <c r="Z464" s="31"/>
      <c r="AP464" s="53"/>
      <c r="AQ464" s="53"/>
      <c r="AR464" s="53"/>
    </row>
    <row r="465" spans="2:44">
      <c r="B465" s="2"/>
      <c r="C465" t="str">
        <f>IF(B465&lt;&gt;"",INDEX('Sales Orders'!C:C,MATCH('Booking Management'!B465,'Sales Orders'!A:A,0)),"")</f>
        <v/>
      </c>
      <c r="K465" s="31" t="str">
        <f t="shared" ca="1" si="24"/>
        <v/>
      </c>
      <c r="P465" t="str">
        <f t="shared" si="23"/>
        <v/>
      </c>
      <c r="Q465" t="str">
        <f>IFERROR((J465/SUMIFS('Sales Orders'!D:D,'Sales Orders'!A:A,B465))*SUMIFS('Sales Orders'!N:N,'Sales Orders'!A:A,B465),"")</f>
        <v/>
      </c>
      <c r="W465" s="31" t="str">
        <f t="shared" ca="1" si="25"/>
        <v/>
      </c>
      <c r="Z465" s="31"/>
      <c r="AP465" s="53"/>
      <c r="AQ465" s="53"/>
      <c r="AR465" s="53"/>
    </row>
    <row r="466" spans="2:44">
      <c r="B466" s="2"/>
      <c r="C466" t="str">
        <f>IF(B466&lt;&gt;"",INDEX('Sales Orders'!C:C,MATCH('Booking Management'!B466,'Sales Orders'!A:A,0)),"")</f>
        <v/>
      </c>
      <c r="K466" s="31" t="str">
        <f t="shared" ca="1" si="24"/>
        <v/>
      </c>
      <c r="P466" t="str">
        <f t="shared" si="23"/>
        <v/>
      </c>
      <c r="Q466" t="str">
        <f>IFERROR((J466/SUMIFS('Sales Orders'!D:D,'Sales Orders'!A:A,B466))*SUMIFS('Sales Orders'!N:N,'Sales Orders'!A:A,B466),"")</f>
        <v/>
      </c>
      <c r="W466" s="31" t="str">
        <f t="shared" ca="1" si="25"/>
        <v/>
      </c>
      <c r="Z466" s="31"/>
      <c r="AP466" s="53"/>
      <c r="AQ466" s="53"/>
      <c r="AR466" s="53"/>
    </row>
    <row r="467" spans="2:44">
      <c r="B467" s="2"/>
      <c r="C467" t="str">
        <f>IF(B467&lt;&gt;"",INDEX('Sales Orders'!C:C,MATCH('Booking Management'!B467,'Sales Orders'!A:A,0)),"")</f>
        <v/>
      </c>
      <c r="K467" s="31" t="str">
        <f t="shared" ca="1" si="24"/>
        <v/>
      </c>
      <c r="P467" t="str">
        <f t="shared" si="23"/>
        <v/>
      </c>
      <c r="Q467" t="str">
        <f>IFERROR((J467/SUMIFS('Sales Orders'!D:D,'Sales Orders'!A:A,B467))*SUMIFS('Sales Orders'!N:N,'Sales Orders'!A:A,B467),"")</f>
        <v/>
      </c>
      <c r="W467" s="31" t="str">
        <f t="shared" ca="1" si="25"/>
        <v/>
      </c>
      <c r="Z467" s="31"/>
      <c r="AP467" s="53"/>
      <c r="AQ467" s="53"/>
      <c r="AR467" s="53"/>
    </row>
    <row r="468" spans="2:44">
      <c r="B468" s="2"/>
      <c r="C468" t="str">
        <f>IF(B468&lt;&gt;"",INDEX('Sales Orders'!C:C,MATCH('Booking Management'!B468,'Sales Orders'!A:A,0)),"")</f>
        <v/>
      </c>
      <c r="K468" s="31" t="str">
        <f t="shared" ca="1" si="24"/>
        <v/>
      </c>
      <c r="P468" t="str">
        <f t="shared" si="23"/>
        <v/>
      </c>
      <c r="Q468" t="str">
        <f>IFERROR((J468/SUMIFS('Sales Orders'!D:D,'Sales Orders'!A:A,B468))*SUMIFS('Sales Orders'!N:N,'Sales Orders'!A:A,B468),"")</f>
        <v/>
      </c>
      <c r="W468" s="31" t="str">
        <f t="shared" ca="1" si="25"/>
        <v/>
      </c>
      <c r="Z468" s="31"/>
      <c r="AP468" s="53"/>
      <c r="AQ468" s="53"/>
      <c r="AR468" s="53"/>
    </row>
    <row r="469" spans="2:44">
      <c r="B469" s="2"/>
      <c r="C469" t="str">
        <f>IF(B469&lt;&gt;"",INDEX('Sales Orders'!C:C,MATCH('Booking Management'!B469,'Sales Orders'!A:A,0)),"")</f>
        <v/>
      </c>
      <c r="K469" s="31" t="str">
        <f t="shared" ca="1" si="24"/>
        <v/>
      </c>
      <c r="P469" t="str">
        <f t="shared" si="23"/>
        <v/>
      </c>
      <c r="Q469" t="str">
        <f>IFERROR((J469/SUMIFS('Sales Orders'!D:D,'Sales Orders'!A:A,B469))*SUMIFS('Sales Orders'!N:N,'Sales Orders'!A:A,B469),"")</f>
        <v/>
      </c>
      <c r="W469" s="31" t="str">
        <f t="shared" ca="1" si="25"/>
        <v/>
      </c>
      <c r="Z469" s="31"/>
      <c r="AP469" s="53"/>
      <c r="AQ469" s="53"/>
      <c r="AR469" s="53"/>
    </row>
    <row r="470" spans="2:44">
      <c r="B470" s="2"/>
      <c r="C470" t="str">
        <f>IF(B470&lt;&gt;"",INDEX('Sales Orders'!C:C,MATCH('Booking Management'!B470,'Sales Orders'!A:A,0)),"")</f>
        <v/>
      </c>
      <c r="K470" s="31" t="str">
        <f t="shared" ca="1" si="24"/>
        <v/>
      </c>
      <c r="P470" t="str">
        <f t="shared" si="23"/>
        <v/>
      </c>
      <c r="Q470" t="str">
        <f>IFERROR((J470/SUMIFS('Sales Orders'!D:D,'Sales Orders'!A:A,B470))*SUMIFS('Sales Orders'!N:N,'Sales Orders'!A:A,B470),"")</f>
        <v/>
      </c>
      <c r="W470" s="31" t="str">
        <f t="shared" ca="1" si="25"/>
        <v/>
      </c>
      <c r="Z470" s="31"/>
      <c r="AP470" s="53"/>
      <c r="AQ470" s="53"/>
      <c r="AR470" s="53"/>
    </row>
    <row r="471" spans="2:44">
      <c r="B471" s="2"/>
      <c r="C471" t="str">
        <f>IF(B471&lt;&gt;"",INDEX('Sales Orders'!C:C,MATCH('Booking Management'!B471,'Sales Orders'!A:A,0)),"")</f>
        <v/>
      </c>
      <c r="K471" s="31" t="str">
        <f t="shared" ca="1" si="24"/>
        <v/>
      </c>
      <c r="P471" t="str">
        <f t="shared" si="23"/>
        <v/>
      </c>
      <c r="Q471" t="str">
        <f>IFERROR((J471/SUMIFS('Sales Orders'!D:D,'Sales Orders'!A:A,B471))*SUMIFS('Sales Orders'!N:N,'Sales Orders'!A:A,B471),"")</f>
        <v/>
      </c>
      <c r="W471" s="31" t="str">
        <f t="shared" ca="1" si="25"/>
        <v/>
      </c>
      <c r="Z471" s="31"/>
      <c r="AP471" s="53"/>
      <c r="AQ471" s="53"/>
      <c r="AR471" s="53"/>
    </row>
    <row r="472" spans="2:44">
      <c r="B472" s="2"/>
      <c r="C472" t="str">
        <f>IF(B472&lt;&gt;"",INDEX('Sales Orders'!C:C,MATCH('Booking Management'!B472,'Sales Orders'!A:A,0)),"")</f>
        <v/>
      </c>
      <c r="K472" s="31" t="str">
        <f t="shared" ca="1" si="24"/>
        <v/>
      </c>
      <c r="P472" t="str">
        <f t="shared" si="23"/>
        <v/>
      </c>
      <c r="Q472" t="str">
        <f>IFERROR((J472/SUMIFS('Sales Orders'!D:D,'Sales Orders'!A:A,B472))*SUMIFS('Sales Orders'!N:N,'Sales Orders'!A:A,B472),"")</f>
        <v/>
      </c>
      <c r="W472" s="31" t="str">
        <f t="shared" ca="1" si="25"/>
        <v/>
      </c>
      <c r="Z472" s="31"/>
      <c r="AP472" s="53"/>
      <c r="AQ472" s="53"/>
      <c r="AR472" s="53"/>
    </row>
    <row r="473" spans="2:44">
      <c r="B473" s="2"/>
      <c r="C473" t="str">
        <f>IF(B473&lt;&gt;"",INDEX('Sales Orders'!C:C,MATCH('Booking Management'!B473,'Sales Orders'!A:A,0)),"")</f>
        <v/>
      </c>
      <c r="K473" s="31" t="str">
        <f t="shared" ca="1" si="24"/>
        <v/>
      </c>
      <c r="P473" t="str">
        <f t="shared" si="23"/>
        <v/>
      </c>
      <c r="Q473" t="str">
        <f>IFERROR((J473/SUMIFS('Sales Orders'!D:D,'Sales Orders'!A:A,B473))*SUMIFS('Sales Orders'!N:N,'Sales Orders'!A:A,B473),"")</f>
        <v/>
      </c>
      <c r="W473" s="31" t="str">
        <f t="shared" ca="1" si="25"/>
        <v/>
      </c>
      <c r="Z473" s="31"/>
      <c r="AP473" s="53"/>
      <c r="AQ473" s="53"/>
      <c r="AR473" s="53"/>
    </row>
    <row r="474" spans="2:44">
      <c r="B474" s="2"/>
      <c r="C474" t="str">
        <f>IF(B474&lt;&gt;"",INDEX('Sales Orders'!C:C,MATCH('Booking Management'!B474,'Sales Orders'!A:A,0)),"")</f>
        <v/>
      </c>
      <c r="K474" s="31" t="str">
        <f t="shared" ca="1" si="24"/>
        <v/>
      </c>
      <c r="P474" t="str">
        <f t="shared" si="23"/>
        <v/>
      </c>
      <c r="Q474" t="str">
        <f>IFERROR((J474/SUMIFS('Sales Orders'!D:D,'Sales Orders'!A:A,B474))*SUMIFS('Sales Orders'!N:N,'Sales Orders'!A:A,B474),"")</f>
        <v/>
      </c>
      <c r="W474" s="31" t="str">
        <f t="shared" ca="1" si="25"/>
        <v/>
      </c>
      <c r="Z474" s="31"/>
      <c r="AP474" s="53"/>
      <c r="AQ474" s="53"/>
      <c r="AR474" s="53"/>
    </row>
    <row r="475" spans="2:44">
      <c r="B475" s="2"/>
      <c r="C475" t="str">
        <f>IF(B475&lt;&gt;"",INDEX('Sales Orders'!C:C,MATCH('Booking Management'!B475,'Sales Orders'!A:A,0)),"")</f>
        <v/>
      </c>
      <c r="K475" s="31" t="str">
        <f t="shared" ca="1" si="24"/>
        <v/>
      </c>
      <c r="P475" t="str">
        <f t="shared" si="23"/>
        <v/>
      </c>
      <c r="Q475" t="str">
        <f>IFERROR((J475/SUMIFS('Sales Orders'!D:D,'Sales Orders'!A:A,B475))*SUMIFS('Sales Orders'!N:N,'Sales Orders'!A:A,B475),"")</f>
        <v/>
      </c>
      <c r="W475" s="31" t="str">
        <f t="shared" ca="1" si="25"/>
        <v/>
      </c>
      <c r="Z475" s="31"/>
      <c r="AP475" s="53"/>
      <c r="AQ475" s="53"/>
      <c r="AR475" s="53"/>
    </row>
    <row r="476" spans="2:44">
      <c r="B476" s="2"/>
      <c r="C476" t="str">
        <f>IF(B476&lt;&gt;"",INDEX('Sales Orders'!C:C,MATCH('Booking Management'!B476,'Sales Orders'!A:A,0)),"")</f>
        <v/>
      </c>
      <c r="K476" s="31" t="str">
        <f t="shared" ca="1" si="24"/>
        <v/>
      </c>
      <c r="P476" t="str">
        <f t="shared" si="23"/>
        <v/>
      </c>
      <c r="Q476" t="str">
        <f>IFERROR((J476/SUMIFS('Sales Orders'!D:D,'Sales Orders'!A:A,B476))*SUMIFS('Sales Orders'!N:N,'Sales Orders'!A:A,B476),"")</f>
        <v/>
      </c>
      <c r="W476" s="31" t="str">
        <f t="shared" ca="1" si="25"/>
        <v/>
      </c>
      <c r="Z476" s="31"/>
      <c r="AP476" s="53"/>
      <c r="AQ476" s="53"/>
      <c r="AR476" s="53"/>
    </row>
    <row r="477" spans="2:44">
      <c r="B477" s="2"/>
      <c r="C477" t="str">
        <f>IF(B477&lt;&gt;"",INDEX('Sales Orders'!C:C,MATCH('Booking Management'!B477,'Sales Orders'!A:A,0)),"")</f>
        <v/>
      </c>
      <c r="K477" s="31" t="str">
        <f t="shared" ca="1" si="24"/>
        <v/>
      </c>
      <c r="P477" t="str">
        <f t="shared" si="23"/>
        <v/>
      </c>
      <c r="Q477" t="str">
        <f>IFERROR((J477/SUMIFS('Sales Orders'!D:D,'Sales Orders'!A:A,B477))*SUMIFS('Sales Orders'!N:N,'Sales Orders'!A:A,B477),"")</f>
        <v/>
      </c>
      <c r="W477" s="31" t="str">
        <f t="shared" ca="1" si="25"/>
        <v/>
      </c>
      <c r="Z477" s="31"/>
      <c r="AP477" s="53"/>
      <c r="AQ477" s="53"/>
      <c r="AR477" s="53"/>
    </row>
    <row r="478" spans="2:44">
      <c r="B478" s="2"/>
      <c r="C478" t="str">
        <f>IF(B478&lt;&gt;"",INDEX('Sales Orders'!C:C,MATCH('Booking Management'!B478,'Sales Orders'!A:A,0)),"")</f>
        <v/>
      </c>
      <c r="K478" s="31" t="str">
        <f t="shared" ca="1" si="24"/>
        <v/>
      </c>
      <c r="P478" t="str">
        <f t="shared" si="23"/>
        <v/>
      </c>
      <c r="Q478" t="str">
        <f>IFERROR((J478/SUMIFS('Sales Orders'!D:D,'Sales Orders'!A:A,B478))*SUMIFS('Sales Orders'!N:N,'Sales Orders'!A:A,B478),"")</f>
        <v/>
      </c>
      <c r="W478" s="31" t="str">
        <f t="shared" ca="1" si="25"/>
        <v/>
      </c>
      <c r="Z478" s="31"/>
      <c r="AP478" s="53"/>
      <c r="AQ478" s="53"/>
      <c r="AR478" s="53"/>
    </row>
    <row r="479" spans="2:44">
      <c r="B479" s="2"/>
      <c r="C479" t="str">
        <f>IF(B479&lt;&gt;"",INDEX('Sales Orders'!C:C,MATCH('Booking Management'!B479,'Sales Orders'!A:A,0)),"")</f>
        <v/>
      </c>
      <c r="K479" s="31" t="str">
        <f t="shared" ca="1" si="24"/>
        <v/>
      </c>
      <c r="P479" t="str">
        <f t="shared" si="23"/>
        <v/>
      </c>
      <c r="Q479" t="str">
        <f>IFERROR((J479/SUMIFS('Sales Orders'!D:D,'Sales Orders'!A:A,B479))*SUMIFS('Sales Orders'!N:N,'Sales Orders'!A:A,B479),"")</f>
        <v/>
      </c>
      <c r="W479" s="31" t="str">
        <f t="shared" ca="1" si="25"/>
        <v/>
      </c>
      <c r="Z479" s="31"/>
      <c r="AP479" s="53"/>
      <c r="AQ479" s="53"/>
      <c r="AR479" s="53"/>
    </row>
    <row r="480" spans="2:44">
      <c r="B480" s="2"/>
      <c r="C480" t="str">
        <f>IF(B480&lt;&gt;"",INDEX('Sales Orders'!C:C,MATCH('Booking Management'!B480,'Sales Orders'!A:A,0)),"")</f>
        <v/>
      </c>
      <c r="K480" s="31" t="str">
        <f t="shared" ca="1" si="24"/>
        <v/>
      </c>
      <c r="P480" t="str">
        <f t="shared" si="23"/>
        <v/>
      </c>
      <c r="Q480" t="str">
        <f>IFERROR((J480/SUMIFS('Sales Orders'!D:D,'Sales Orders'!A:A,B480))*SUMIFS('Sales Orders'!N:N,'Sales Orders'!A:A,B480),"")</f>
        <v/>
      </c>
      <c r="W480" s="31" t="str">
        <f t="shared" ca="1" si="25"/>
        <v/>
      </c>
      <c r="Z480" s="31"/>
      <c r="AP480" s="53"/>
      <c r="AQ480" s="53"/>
      <c r="AR480" s="53"/>
    </row>
    <row r="481" spans="2:44">
      <c r="B481" s="2"/>
      <c r="C481" t="str">
        <f>IF(B481&lt;&gt;"",INDEX('Sales Orders'!C:C,MATCH('Booking Management'!B481,'Sales Orders'!A:A,0)),"")</f>
        <v/>
      </c>
      <c r="K481" s="31" t="str">
        <f t="shared" ca="1" si="24"/>
        <v/>
      </c>
      <c r="P481" t="str">
        <f t="shared" ref="P481:P544" si="26">IF(B481&lt;&gt;"",T481-L481,"")</f>
        <v/>
      </c>
      <c r="Q481" t="str">
        <f>IFERROR((J481/SUMIFS('Sales Orders'!D:D,'Sales Orders'!A:A,B481))*SUMIFS('Sales Orders'!N:N,'Sales Orders'!A:A,B481),"")</f>
        <v/>
      </c>
      <c r="W481" s="31" t="str">
        <f t="shared" ca="1" si="25"/>
        <v/>
      </c>
      <c r="Z481" s="31"/>
      <c r="AP481" s="53"/>
      <c r="AQ481" s="53"/>
      <c r="AR481" s="53"/>
    </row>
    <row r="482" spans="2:44">
      <c r="B482" s="2"/>
      <c r="C482" t="str">
        <f>IF(B482&lt;&gt;"",INDEX('Sales Orders'!C:C,MATCH('Booking Management'!B482,'Sales Orders'!A:A,0)),"")</f>
        <v/>
      </c>
      <c r="K482" s="31" t="str">
        <f t="shared" ca="1" si="24"/>
        <v/>
      </c>
      <c r="P482" t="str">
        <f t="shared" si="26"/>
        <v/>
      </c>
      <c r="Q482" t="str">
        <f>IFERROR((J482/SUMIFS('Sales Orders'!D:D,'Sales Orders'!A:A,B482))*SUMIFS('Sales Orders'!N:N,'Sales Orders'!A:A,B482),"")</f>
        <v/>
      </c>
      <c r="W482" s="31" t="str">
        <f t="shared" ca="1" si="25"/>
        <v/>
      </c>
      <c r="Z482" s="31"/>
      <c r="AP482" s="53"/>
      <c r="AQ482" s="53"/>
      <c r="AR482" s="53"/>
    </row>
    <row r="483" spans="2:44">
      <c r="B483" s="2"/>
      <c r="C483" t="str">
        <f>IF(B483&lt;&gt;"",INDEX('Sales Orders'!C:C,MATCH('Booking Management'!B483,'Sales Orders'!A:A,0)),"")</f>
        <v/>
      </c>
      <c r="K483" s="31" t="str">
        <f t="shared" ca="1" si="24"/>
        <v/>
      </c>
      <c r="P483" t="str">
        <f t="shared" si="26"/>
        <v/>
      </c>
      <c r="Q483" t="str">
        <f>IFERROR((J483/SUMIFS('Sales Orders'!D:D,'Sales Orders'!A:A,B483))*SUMIFS('Sales Orders'!N:N,'Sales Orders'!A:A,B483),"")</f>
        <v/>
      </c>
      <c r="W483" s="31" t="str">
        <f t="shared" ca="1" si="25"/>
        <v/>
      </c>
      <c r="Z483" s="31"/>
      <c r="AP483" s="53"/>
      <c r="AQ483" s="53"/>
      <c r="AR483" s="53"/>
    </row>
    <row r="484" spans="2:44">
      <c r="B484" s="2"/>
      <c r="C484" t="str">
        <f>IF(B484&lt;&gt;"",INDEX('Sales Orders'!C:C,MATCH('Booking Management'!B484,'Sales Orders'!A:A,0)),"")</f>
        <v/>
      </c>
      <c r="K484" s="31" t="str">
        <f t="shared" ca="1" si="24"/>
        <v/>
      </c>
      <c r="P484" t="str">
        <f t="shared" si="26"/>
        <v/>
      </c>
      <c r="Q484" t="str">
        <f>IFERROR((J484/SUMIFS('Sales Orders'!D:D,'Sales Orders'!A:A,B484))*SUMIFS('Sales Orders'!N:N,'Sales Orders'!A:A,B484),"")</f>
        <v/>
      </c>
      <c r="W484" s="31" t="str">
        <f t="shared" ca="1" si="25"/>
        <v/>
      </c>
      <c r="Z484" s="31"/>
      <c r="AP484" s="53"/>
      <c r="AQ484" s="53"/>
      <c r="AR484" s="53"/>
    </row>
    <row r="485" spans="2:44">
      <c r="B485" s="2"/>
      <c r="C485" t="str">
        <f>IF(B485&lt;&gt;"",INDEX('Sales Orders'!C:C,MATCH('Booking Management'!B485,'Sales Orders'!A:A,0)),"")</f>
        <v/>
      </c>
      <c r="K485" s="31" t="str">
        <f t="shared" ca="1" si="24"/>
        <v/>
      </c>
      <c r="P485" t="str">
        <f t="shared" si="26"/>
        <v/>
      </c>
      <c r="Q485" t="str">
        <f>IFERROR((J485/SUMIFS('Sales Orders'!D:D,'Sales Orders'!A:A,B485))*SUMIFS('Sales Orders'!N:N,'Sales Orders'!A:A,B485),"")</f>
        <v/>
      </c>
      <c r="W485" s="31" t="str">
        <f t="shared" ca="1" si="25"/>
        <v/>
      </c>
      <c r="Z485" s="31"/>
      <c r="AP485" s="53"/>
      <c r="AQ485" s="53"/>
      <c r="AR485" s="53"/>
    </row>
    <row r="486" spans="2:44">
      <c r="B486" s="2"/>
      <c r="C486" t="str">
        <f>IF(B486&lt;&gt;"",INDEX('Sales Orders'!C:C,MATCH('Booking Management'!B486,'Sales Orders'!A:A,0)),"")</f>
        <v/>
      </c>
      <c r="K486" s="31" t="str">
        <f t="shared" ca="1" si="24"/>
        <v/>
      </c>
      <c r="P486" t="str">
        <f t="shared" si="26"/>
        <v/>
      </c>
      <c r="Q486" t="str">
        <f>IFERROR((J486/SUMIFS('Sales Orders'!D:D,'Sales Orders'!A:A,B486))*SUMIFS('Sales Orders'!N:N,'Sales Orders'!A:A,B486),"")</f>
        <v/>
      </c>
      <c r="W486" s="31" t="str">
        <f t="shared" ca="1" si="25"/>
        <v/>
      </c>
      <c r="Z486" s="31"/>
      <c r="AP486" s="53"/>
      <c r="AQ486" s="53"/>
      <c r="AR486" s="53"/>
    </row>
    <row r="487" spans="2:44">
      <c r="B487" s="2"/>
      <c r="C487" t="str">
        <f>IF(B487&lt;&gt;"",INDEX('Sales Orders'!C:C,MATCH('Booking Management'!B487,'Sales Orders'!A:A,0)),"")</f>
        <v/>
      </c>
      <c r="K487" s="31" t="str">
        <f t="shared" ca="1" si="24"/>
        <v/>
      </c>
      <c r="P487" t="str">
        <f t="shared" si="26"/>
        <v/>
      </c>
      <c r="Q487" t="str">
        <f>IFERROR((J487/SUMIFS('Sales Orders'!D:D,'Sales Orders'!A:A,B487))*SUMIFS('Sales Orders'!N:N,'Sales Orders'!A:A,B487),"")</f>
        <v/>
      </c>
      <c r="W487" s="31" t="str">
        <f t="shared" ca="1" si="25"/>
        <v/>
      </c>
      <c r="Z487" s="31"/>
      <c r="AP487" s="53"/>
      <c r="AQ487" s="53"/>
      <c r="AR487" s="53"/>
    </row>
    <row r="488" spans="2:44">
      <c r="B488" s="2"/>
      <c r="C488" t="str">
        <f>IF(B488&lt;&gt;"",INDEX('Sales Orders'!C:C,MATCH('Booking Management'!B488,'Sales Orders'!A:A,0)),"")</f>
        <v/>
      </c>
      <c r="K488" s="31" t="str">
        <f t="shared" ca="1" si="24"/>
        <v/>
      </c>
      <c r="P488" t="str">
        <f t="shared" si="26"/>
        <v/>
      </c>
      <c r="Q488" t="str">
        <f>IFERROR((J488/SUMIFS('Sales Orders'!D:D,'Sales Orders'!A:A,B488))*SUMIFS('Sales Orders'!N:N,'Sales Orders'!A:A,B488),"")</f>
        <v/>
      </c>
      <c r="W488" s="31" t="str">
        <f t="shared" ca="1" si="25"/>
        <v/>
      </c>
      <c r="Z488" s="31"/>
      <c r="AP488" s="53"/>
      <c r="AQ488" s="53"/>
      <c r="AR488" s="53"/>
    </row>
    <row r="489" spans="2:44">
      <c r="B489" s="2"/>
      <c r="C489" t="str">
        <f>IF(B489&lt;&gt;"",INDEX('Sales Orders'!C:C,MATCH('Booking Management'!B489,'Sales Orders'!A:A,0)),"")</f>
        <v/>
      </c>
      <c r="K489" s="31" t="str">
        <f t="shared" ca="1" si="24"/>
        <v/>
      </c>
      <c r="P489" t="str">
        <f t="shared" si="26"/>
        <v/>
      </c>
      <c r="Q489" t="str">
        <f>IFERROR((J489/SUMIFS('Sales Orders'!D:D,'Sales Orders'!A:A,B489))*SUMIFS('Sales Orders'!N:N,'Sales Orders'!A:A,B489),"")</f>
        <v/>
      </c>
      <c r="W489" s="31" t="str">
        <f t="shared" ca="1" si="25"/>
        <v/>
      </c>
      <c r="Z489" s="31"/>
      <c r="AP489" s="53"/>
      <c r="AQ489" s="53"/>
      <c r="AR489" s="53"/>
    </row>
    <row r="490" spans="2:44">
      <c r="B490" s="2"/>
      <c r="C490" t="str">
        <f>IF(B490&lt;&gt;"",INDEX('Sales Orders'!C:C,MATCH('Booking Management'!B490,'Sales Orders'!A:A,0)),"")</f>
        <v/>
      </c>
      <c r="K490" s="31" t="str">
        <f t="shared" ca="1" si="24"/>
        <v/>
      </c>
      <c r="P490" t="str">
        <f t="shared" si="26"/>
        <v/>
      </c>
      <c r="Q490" t="str">
        <f>IFERROR((J490/SUMIFS('Sales Orders'!D:D,'Sales Orders'!A:A,B490))*SUMIFS('Sales Orders'!N:N,'Sales Orders'!A:A,B490),"")</f>
        <v/>
      </c>
      <c r="W490" s="31" t="str">
        <f t="shared" ca="1" si="25"/>
        <v/>
      </c>
      <c r="Z490" s="31"/>
      <c r="AP490" s="53"/>
      <c r="AQ490" s="53"/>
      <c r="AR490" s="53"/>
    </row>
    <row r="491" spans="2:44">
      <c r="B491" s="2"/>
      <c r="C491" t="str">
        <f>IF(B491&lt;&gt;"",INDEX('Sales Orders'!C:C,MATCH('Booking Management'!B491,'Sales Orders'!A:A,0)),"")</f>
        <v/>
      </c>
      <c r="K491" s="31" t="str">
        <f t="shared" ca="1" si="24"/>
        <v/>
      </c>
      <c r="P491" t="str">
        <f t="shared" si="26"/>
        <v/>
      </c>
      <c r="Q491" t="str">
        <f>IFERROR((J491/SUMIFS('Sales Orders'!D:D,'Sales Orders'!A:A,B491))*SUMIFS('Sales Orders'!N:N,'Sales Orders'!A:A,B491),"")</f>
        <v/>
      </c>
      <c r="W491" s="31" t="str">
        <f t="shared" ca="1" si="25"/>
        <v/>
      </c>
      <c r="Z491" s="31"/>
      <c r="AP491" s="53"/>
      <c r="AQ491" s="53"/>
      <c r="AR491" s="53"/>
    </row>
    <row r="492" spans="2:44">
      <c r="B492" s="2"/>
      <c r="C492" t="str">
        <f>IF(B492&lt;&gt;"",INDEX('Sales Orders'!C:C,MATCH('Booking Management'!B492,'Sales Orders'!A:A,0)),"")</f>
        <v/>
      </c>
      <c r="K492" s="31" t="str">
        <f t="shared" ca="1" si="24"/>
        <v/>
      </c>
      <c r="P492" t="str">
        <f t="shared" si="26"/>
        <v/>
      </c>
      <c r="Q492" t="str">
        <f>IFERROR((J492/SUMIFS('Sales Orders'!D:D,'Sales Orders'!A:A,B492))*SUMIFS('Sales Orders'!N:N,'Sales Orders'!A:A,B492),"")</f>
        <v/>
      </c>
      <c r="W492" s="31" t="str">
        <f t="shared" ca="1" si="25"/>
        <v/>
      </c>
      <c r="Z492" s="31"/>
      <c r="AP492" s="53"/>
      <c r="AQ492" s="53"/>
      <c r="AR492" s="53"/>
    </row>
    <row r="493" spans="2:44">
      <c r="B493" s="2"/>
      <c r="C493" t="str">
        <f>IF(B493&lt;&gt;"",INDEX('Sales Orders'!C:C,MATCH('Booking Management'!B493,'Sales Orders'!A:A,0)),"")</f>
        <v/>
      </c>
      <c r="K493" s="31" t="str">
        <f t="shared" ca="1" si="24"/>
        <v/>
      </c>
      <c r="P493" t="str">
        <f t="shared" si="26"/>
        <v/>
      </c>
      <c r="Q493" t="str">
        <f>IFERROR((J493/SUMIFS('Sales Orders'!D:D,'Sales Orders'!A:A,B493))*SUMIFS('Sales Orders'!N:N,'Sales Orders'!A:A,B493),"")</f>
        <v/>
      </c>
      <c r="W493" s="31" t="str">
        <f t="shared" ca="1" si="25"/>
        <v/>
      </c>
      <c r="Z493" s="31"/>
      <c r="AP493" s="53"/>
      <c r="AQ493" s="53"/>
      <c r="AR493" s="53"/>
    </row>
    <row r="494" spans="2:44">
      <c r="B494" s="2"/>
      <c r="C494" t="str">
        <f>IF(B494&lt;&gt;"",INDEX('Sales Orders'!C:C,MATCH('Booking Management'!B494,'Sales Orders'!A:A,0)),"")</f>
        <v/>
      </c>
      <c r="K494" s="31" t="str">
        <f t="shared" ca="1" si="24"/>
        <v/>
      </c>
      <c r="P494" t="str">
        <f t="shared" si="26"/>
        <v/>
      </c>
      <c r="Q494" t="str">
        <f>IFERROR((J494/SUMIFS('Sales Orders'!D:D,'Sales Orders'!A:A,B494))*SUMIFS('Sales Orders'!N:N,'Sales Orders'!A:A,B494),"")</f>
        <v/>
      </c>
      <c r="W494" s="31" t="str">
        <f t="shared" ca="1" si="25"/>
        <v/>
      </c>
      <c r="Z494" s="31"/>
      <c r="AP494" s="53"/>
      <c r="AQ494" s="53"/>
      <c r="AR494" s="53"/>
    </row>
    <row r="495" spans="2:44">
      <c r="B495" s="2"/>
      <c r="C495" t="str">
        <f>IF(B495&lt;&gt;"",INDEX('Sales Orders'!C:C,MATCH('Booking Management'!B495,'Sales Orders'!A:A,0)),"")</f>
        <v/>
      </c>
      <c r="K495" s="31" t="str">
        <f t="shared" ca="1" si="24"/>
        <v/>
      </c>
      <c r="P495" t="str">
        <f t="shared" si="26"/>
        <v/>
      </c>
      <c r="Q495" t="str">
        <f>IFERROR((J495/SUMIFS('Sales Orders'!D:D,'Sales Orders'!A:A,B495))*SUMIFS('Sales Orders'!N:N,'Sales Orders'!A:A,B495),"")</f>
        <v/>
      </c>
      <c r="W495" s="31" t="str">
        <f t="shared" ca="1" si="25"/>
        <v/>
      </c>
      <c r="Z495" s="31"/>
      <c r="AP495" s="53"/>
      <c r="AQ495" s="53"/>
      <c r="AR495" s="53"/>
    </row>
    <row r="496" spans="2:44">
      <c r="B496" s="2"/>
      <c r="C496" t="str">
        <f>IF(B496&lt;&gt;"",INDEX('Sales Orders'!C:C,MATCH('Booking Management'!B496,'Sales Orders'!A:A,0)),"")</f>
        <v/>
      </c>
      <c r="K496" s="31" t="str">
        <f t="shared" ca="1" si="24"/>
        <v/>
      </c>
      <c r="P496" t="str">
        <f t="shared" si="26"/>
        <v/>
      </c>
      <c r="Q496" t="str">
        <f>IFERROR((J496/SUMIFS('Sales Orders'!D:D,'Sales Orders'!A:A,B496))*SUMIFS('Sales Orders'!N:N,'Sales Orders'!A:A,B496),"")</f>
        <v/>
      </c>
      <c r="W496" s="31" t="str">
        <f t="shared" ca="1" si="25"/>
        <v/>
      </c>
      <c r="Z496" s="31"/>
      <c r="AP496" s="53"/>
      <c r="AQ496" s="53"/>
      <c r="AR496" s="53"/>
    </row>
    <row r="497" spans="2:44">
      <c r="B497" s="2"/>
      <c r="C497" t="str">
        <f>IF(B497&lt;&gt;"",INDEX('Sales Orders'!C:C,MATCH('Booking Management'!B497,'Sales Orders'!A:A,0)),"")</f>
        <v/>
      </c>
      <c r="K497" s="31" t="str">
        <f t="shared" ca="1" si="24"/>
        <v/>
      </c>
      <c r="P497" t="str">
        <f t="shared" si="26"/>
        <v/>
      </c>
      <c r="Q497" t="str">
        <f>IFERROR((J497/SUMIFS('Sales Orders'!D:D,'Sales Orders'!A:A,B497))*SUMIFS('Sales Orders'!N:N,'Sales Orders'!A:A,B497),"")</f>
        <v/>
      </c>
      <c r="W497" s="31" t="str">
        <f t="shared" ca="1" si="25"/>
        <v/>
      </c>
      <c r="Z497" s="31"/>
      <c r="AP497" s="53"/>
      <c r="AQ497" s="53"/>
      <c r="AR497" s="53"/>
    </row>
    <row r="498" spans="2:44">
      <c r="B498" s="2"/>
      <c r="C498" t="str">
        <f>IF(B498&lt;&gt;"",INDEX('Sales Orders'!C:C,MATCH('Booking Management'!B498,'Sales Orders'!A:A,0)),"")</f>
        <v/>
      </c>
      <c r="K498" s="31" t="str">
        <f t="shared" ca="1" si="24"/>
        <v/>
      </c>
      <c r="P498" t="str">
        <f t="shared" si="26"/>
        <v/>
      </c>
      <c r="Q498" t="str">
        <f>IFERROR((J498/SUMIFS('Sales Orders'!D:D,'Sales Orders'!A:A,B498))*SUMIFS('Sales Orders'!N:N,'Sales Orders'!A:A,B498),"")</f>
        <v/>
      </c>
      <c r="W498" s="31" t="str">
        <f t="shared" ca="1" si="25"/>
        <v/>
      </c>
      <c r="Z498" s="31"/>
      <c r="AP498" s="53"/>
      <c r="AQ498" s="53"/>
      <c r="AR498" s="53"/>
    </row>
    <row r="499" spans="2:44">
      <c r="B499" s="2"/>
      <c r="C499" t="str">
        <f>IF(B499&lt;&gt;"",INDEX('Sales Orders'!C:C,MATCH('Booking Management'!B499,'Sales Orders'!A:A,0)),"")</f>
        <v/>
      </c>
      <c r="K499" s="31" t="str">
        <f t="shared" ca="1" si="24"/>
        <v/>
      </c>
      <c r="P499" t="str">
        <f t="shared" si="26"/>
        <v/>
      </c>
      <c r="Q499" t="str">
        <f>IFERROR((J499/SUMIFS('Sales Orders'!D:D,'Sales Orders'!A:A,B499))*SUMIFS('Sales Orders'!N:N,'Sales Orders'!A:A,B499),"")</f>
        <v/>
      </c>
      <c r="W499" s="31" t="str">
        <f t="shared" ca="1" si="25"/>
        <v/>
      </c>
      <c r="Z499" s="31"/>
      <c r="AP499" s="53"/>
      <c r="AQ499" s="53"/>
      <c r="AR499" s="53"/>
    </row>
    <row r="500" spans="2:44">
      <c r="B500" s="2"/>
      <c r="C500" t="str">
        <f>IF(B500&lt;&gt;"",INDEX('Sales Orders'!C:C,MATCH('Booking Management'!B500,'Sales Orders'!A:A,0)),"")</f>
        <v/>
      </c>
      <c r="K500" s="31" t="str">
        <f t="shared" ca="1" si="24"/>
        <v/>
      </c>
      <c r="P500" t="str">
        <f t="shared" si="26"/>
        <v/>
      </c>
      <c r="Q500" t="str">
        <f>IFERROR((J500/SUMIFS('Sales Orders'!D:D,'Sales Orders'!A:A,B500))*SUMIFS('Sales Orders'!N:N,'Sales Orders'!A:A,B500),"")</f>
        <v/>
      </c>
      <c r="W500" s="31" t="str">
        <f t="shared" ca="1" si="25"/>
        <v/>
      </c>
      <c r="Z500" s="31"/>
      <c r="AP500" s="53"/>
      <c r="AQ500" s="53"/>
      <c r="AR500" s="53"/>
    </row>
    <row r="501" spans="2:44">
      <c r="B501" s="2"/>
      <c r="C501" t="str">
        <f>IF(B501&lt;&gt;"",INDEX('Sales Orders'!C:C,MATCH('Booking Management'!B501,'Sales Orders'!A:A,0)),"")</f>
        <v/>
      </c>
      <c r="K501" s="31" t="str">
        <f t="shared" ca="1" si="24"/>
        <v/>
      </c>
      <c r="P501" t="str">
        <f t="shared" si="26"/>
        <v/>
      </c>
      <c r="Q501" t="str">
        <f>IFERROR((J501/SUMIFS('Sales Orders'!D:D,'Sales Orders'!A:A,B501))*SUMIFS('Sales Orders'!N:N,'Sales Orders'!A:A,B501),"")</f>
        <v/>
      </c>
      <c r="W501" s="31" t="str">
        <f t="shared" ca="1" si="25"/>
        <v/>
      </c>
      <c r="Z501" s="31"/>
      <c r="AP501" s="53"/>
      <c r="AQ501" s="53"/>
      <c r="AR501" s="53"/>
    </row>
    <row r="502" spans="2:44">
      <c r="B502" s="2"/>
      <c r="C502" t="str">
        <f>IF(B502&lt;&gt;"",INDEX('Sales Orders'!C:C,MATCH('Booking Management'!B502,'Sales Orders'!A:A,0)),"")</f>
        <v/>
      </c>
      <c r="K502" s="31" t="str">
        <f t="shared" ca="1" si="24"/>
        <v/>
      </c>
      <c r="P502" t="str">
        <f t="shared" si="26"/>
        <v/>
      </c>
      <c r="Q502" t="str">
        <f>IFERROR((J502/SUMIFS('Sales Orders'!D:D,'Sales Orders'!A:A,B502))*SUMIFS('Sales Orders'!N:N,'Sales Orders'!A:A,B502),"")</f>
        <v/>
      </c>
      <c r="W502" s="31" t="str">
        <f t="shared" ca="1" si="25"/>
        <v/>
      </c>
      <c r="Z502" s="31"/>
      <c r="AP502" s="53"/>
      <c r="AQ502" s="53"/>
      <c r="AR502" s="53"/>
    </row>
    <row r="503" spans="2:44">
      <c r="B503" s="2"/>
      <c r="C503" t="str">
        <f>IF(B503&lt;&gt;"",INDEX('Sales Orders'!C:C,MATCH('Booking Management'!B503,'Sales Orders'!A:A,0)),"")</f>
        <v/>
      </c>
      <c r="K503" s="31" t="str">
        <f t="shared" ca="1" si="24"/>
        <v/>
      </c>
      <c r="P503" t="str">
        <f t="shared" si="26"/>
        <v/>
      </c>
      <c r="Q503" t="str">
        <f>IFERROR((J503/SUMIFS('Sales Orders'!D:D,'Sales Orders'!A:A,B503))*SUMIFS('Sales Orders'!N:N,'Sales Orders'!A:A,B503),"")</f>
        <v/>
      </c>
      <c r="W503" s="31" t="str">
        <f t="shared" ca="1" si="25"/>
        <v/>
      </c>
      <c r="Z503" s="31"/>
      <c r="AP503" s="53"/>
      <c r="AQ503" s="53"/>
      <c r="AR503" s="53"/>
    </row>
    <row r="504" spans="2:44">
      <c r="B504" s="2"/>
      <c r="C504" t="str">
        <f>IF(B504&lt;&gt;"",INDEX('Sales Orders'!C:C,MATCH('Booking Management'!B504,'Sales Orders'!A:A,0)),"")</f>
        <v/>
      </c>
      <c r="K504" s="31" t="str">
        <f t="shared" ca="1" si="24"/>
        <v/>
      </c>
      <c r="P504" t="str">
        <f t="shared" si="26"/>
        <v/>
      </c>
      <c r="Q504" t="str">
        <f>IFERROR((J504/SUMIFS('Sales Orders'!D:D,'Sales Orders'!A:A,B504))*SUMIFS('Sales Orders'!N:N,'Sales Orders'!A:A,B504),"")</f>
        <v/>
      </c>
      <c r="W504" s="31" t="str">
        <f t="shared" ca="1" si="25"/>
        <v/>
      </c>
      <c r="Z504" s="31"/>
      <c r="AP504" s="53"/>
      <c r="AQ504" s="53"/>
      <c r="AR504" s="53"/>
    </row>
    <row r="505" spans="2:44">
      <c r="B505" s="2"/>
      <c r="C505" t="str">
        <f>IF(B505&lt;&gt;"",INDEX('Sales Orders'!C:C,MATCH('Booking Management'!B505,'Sales Orders'!A:A,0)),"")</f>
        <v/>
      </c>
      <c r="K505" s="31" t="str">
        <f t="shared" ca="1" si="24"/>
        <v/>
      </c>
      <c r="P505" t="str">
        <f t="shared" si="26"/>
        <v/>
      </c>
      <c r="Q505" t="str">
        <f>IFERROR((J505/SUMIFS('Sales Orders'!D:D,'Sales Orders'!A:A,B505))*SUMIFS('Sales Orders'!N:N,'Sales Orders'!A:A,B505),"")</f>
        <v/>
      </c>
      <c r="W505" s="31" t="str">
        <f t="shared" ca="1" si="25"/>
        <v/>
      </c>
      <c r="Z505" s="31"/>
      <c r="AP505" s="53"/>
      <c r="AQ505" s="53"/>
      <c r="AR505" s="53"/>
    </row>
    <row r="506" spans="2:44">
      <c r="B506" s="2"/>
      <c r="C506" t="str">
        <f>IF(B506&lt;&gt;"",INDEX('Sales Orders'!C:C,MATCH('Booking Management'!B506,'Sales Orders'!A:A,0)),"")</f>
        <v/>
      </c>
      <c r="K506" s="31" t="str">
        <f t="shared" ca="1" si="24"/>
        <v/>
      </c>
      <c r="P506" t="str">
        <f t="shared" si="26"/>
        <v/>
      </c>
      <c r="Q506" t="str">
        <f>IFERROR((J506/SUMIFS('Sales Orders'!D:D,'Sales Orders'!A:A,B506))*SUMIFS('Sales Orders'!N:N,'Sales Orders'!A:A,B506),"")</f>
        <v/>
      </c>
      <c r="W506" s="31" t="str">
        <f t="shared" ca="1" si="25"/>
        <v/>
      </c>
      <c r="Z506" s="31"/>
      <c r="AP506" s="53"/>
      <c r="AQ506" s="53"/>
      <c r="AR506" s="53"/>
    </row>
    <row r="507" spans="2:44">
      <c r="B507" s="2"/>
      <c r="C507" t="str">
        <f>IF(B507&lt;&gt;"",INDEX('Sales Orders'!C:C,MATCH('Booking Management'!B507,'Sales Orders'!A:A,0)),"")</f>
        <v/>
      </c>
      <c r="K507" s="31" t="str">
        <f t="shared" ca="1" si="24"/>
        <v/>
      </c>
      <c r="P507" t="str">
        <f t="shared" si="26"/>
        <v/>
      </c>
      <c r="Q507" t="str">
        <f>IFERROR((J507/SUMIFS('Sales Orders'!D:D,'Sales Orders'!A:A,B507))*SUMIFS('Sales Orders'!N:N,'Sales Orders'!A:A,B507),"")</f>
        <v/>
      </c>
      <c r="W507" s="31" t="str">
        <f t="shared" ca="1" si="25"/>
        <v/>
      </c>
      <c r="Z507" s="31"/>
      <c r="AP507" s="53"/>
      <c r="AQ507" s="53"/>
      <c r="AR507" s="53"/>
    </row>
    <row r="508" spans="2:44">
      <c r="B508" s="2"/>
      <c r="C508" t="str">
        <f>IF(B508&lt;&gt;"",INDEX('Sales Orders'!C:C,MATCH('Booking Management'!B508,'Sales Orders'!A:A,0)),"")</f>
        <v/>
      </c>
      <c r="K508" s="31" t="str">
        <f t="shared" ca="1" si="24"/>
        <v/>
      </c>
      <c r="P508" t="str">
        <f t="shared" si="26"/>
        <v/>
      </c>
      <c r="Q508" t="str">
        <f>IFERROR((J508/SUMIFS('Sales Orders'!D:D,'Sales Orders'!A:A,B508))*SUMIFS('Sales Orders'!N:N,'Sales Orders'!A:A,B508),"")</f>
        <v/>
      </c>
      <c r="W508" s="31" t="str">
        <f t="shared" ca="1" si="25"/>
        <v/>
      </c>
      <c r="Z508" s="31"/>
      <c r="AP508" s="53"/>
      <c r="AQ508" s="53"/>
      <c r="AR508" s="53"/>
    </row>
    <row r="509" spans="2:44">
      <c r="B509" s="2"/>
      <c r="C509" t="str">
        <f>IF(B509&lt;&gt;"",INDEX('Sales Orders'!C:C,MATCH('Booking Management'!B509,'Sales Orders'!A:A,0)),"")</f>
        <v/>
      </c>
      <c r="K509" s="31" t="str">
        <f t="shared" ca="1" si="24"/>
        <v/>
      </c>
      <c r="P509" t="str">
        <f t="shared" si="26"/>
        <v/>
      </c>
      <c r="Q509" t="str">
        <f>IFERROR((J509/SUMIFS('Sales Orders'!D:D,'Sales Orders'!A:A,B509))*SUMIFS('Sales Orders'!N:N,'Sales Orders'!A:A,B509),"")</f>
        <v/>
      </c>
      <c r="W509" s="31" t="str">
        <f t="shared" ca="1" si="25"/>
        <v/>
      </c>
      <c r="Z509" s="31"/>
      <c r="AP509" s="53"/>
      <c r="AQ509" s="53"/>
      <c r="AR509" s="53"/>
    </row>
    <row r="510" spans="2:44">
      <c r="B510" s="2"/>
      <c r="C510" t="str">
        <f>IF(B510&lt;&gt;"",INDEX('Sales Orders'!C:C,MATCH('Booking Management'!B510,'Sales Orders'!A:A,0)),"")</f>
        <v/>
      </c>
      <c r="K510" s="31" t="str">
        <f t="shared" ca="1" si="24"/>
        <v/>
      </c>
      <c r="P510" t="str">
        <f t="shared" si="26"/>
        <v/>
      </c>
      <c r="Q510" t="str">
        <f>IFERROR((J510/SUMIFS('Sales Orders'!D:D,'Sales Orders'!A:A,B510))*SUMIFS('Sales Orders'!N:N,'Sales Orders'!A:A,B510),"")</f>
        <v/>
      </c>
      <c r="W510" s="31" t="str">
        <f t="shared" ca="1" si="25"/>
        <v/>
      </c>
      <c r="Z510" s="31"/>
      <c r="AP510" s="53"/>
      <c r="AQ510" s="53"/>
      <c r="AR510" s="53"/>
    </row>
    <row r="511" spans="2:44">
      <c r="B511" s="2"/>
      <c r="C511" t="str">
        <f>IF(B511&lt;&gt;"",INDEX('Sales Orders'!C:C,MATCH('Booking Management'!B511,'Sales Orders'!A:A,0)),"")</f>
        <v/>
      </c>
      <c r="K511" s="31" t="str">
        <f t="shared" ca="1" si="24"/>
        <v/>
      </c>
      <c r="P511" t="str">
        <f t="shared" si="26"/>
        <v/>
      </c>
      <c r="Q511" t="str">
        <f>IFERROR((J511/SUMIFS('Sales Orders'!D:D,'Sales Orders'!A:A,B511))*SUMIFS('Sales Orders'!N:N,'Sales Orders'!A:A,B511),"")</f>
        <v/>
      </c>
      <c r="W511" s="31" t="str">
        <f t="shared" ca="1" si="25"/>
        <v/>
      </c>
      <c r="Z511" s="31"/>
      <c r="AP511" s="53"/>
      <c r="AQ511" s="53"/>
      <c r="AR511" s="53"/>
    </row>
    <row r="512" spans="2:44">
      <c r="B512" s="2"/>
      <c r="C512" t="str">
        <f>IF(B512&lt;&gt;"",INDEX('Sales Orders'!C:C,MATCH('Booking Management'!B512,'Sales Orders'!A:A,0)),"")</f>
        <v/>
      </c>
      <c r="K512" s="31" t="str">
        <f t="shared" ca="1" si="24"/>
        <v/>
      </c>
      <c r="P512" t="str">
        <f t="shared" si="26"/>
        <v/>
      </c>
      <c r="Q512" t="str">
        <f>IFERROR((J512/SUMIFS('Sales Orders'!D:D,'Sales Orders'!A:A,B512))*SUMIFS('Sales Orders'!N:N,'Sales Orders'!A:A,B512),"")</f>
        <v/>
      </c>
      <c r="W512" s="31" t="str">
        <f t="shared" ca="1" si="25"/>
        <v/>
      </c>
      <c r="Z512" s="31"/>
      <c r="AP512" s="53"/>
      <c r="AQ512" s="53"/>
      <c r="AR512" s="53"/>
    </row>
    <row r="513" spans="2:44">
      <c r="B513" s="2"/>
      <c r="C513" t="str">
        <f>IF(B513&lt;&gt;"",INDEX('Sales Orders'!C:C,MATCH('Booking Management'!B513,'Sales Orders'!A:A,0)),"")</f>
        <v/>
      </c>
      <c r="K513" s="31" t="str">
        <f t="shared" ca="1" si="24"/>
        <v/>
      </c>
      <c r="P513" t="str">
        <f t="shared" si="26"/>
        <v/>
      </c>
      <c r="Q513" t="str">
        <f>IFERROR((J513/SUMIFS('Sales Orders'!D:D,'Sales Orders'!A:A,B513))*SUMIFS('Sales Orders'!N:N,'Sales Orders'!A:A,B513),"")</f>
        <v/>
      </c>
      <c r="W513" s="31" t="str">
        <f t="shared" ca="1" si="25"/>
        <v/>
      </c>
      <c r="Z513" s="31"/>
      <c r="AP513" s="53"/>
      <c r="AQ513" s="53"/>
      <c r="AR513" s="53"/>
    </row>
    <row r="514" spans="2:44">
      <c r="B514" s="2"/>
      <c r="C514" t="str">
        <f>IF(B514&lt;&gt;"",INDEX('Sales Orders'!C:C,MATCH('Booking Management'!B514,'Sales Orders'!A:A,0)),"")</f>
        <v/>
      </c>
      <c r="K514" s="31" t="str">
        <f t="shared" ca="1" si="24"/>
        <v/>
      </c>
      <c r="P514" t="str">
        <f t="shared" si="26"/>
        <v/>
      </c>
      <c r="Q514" t="str">
        <f>IFERROR((J514/SUMIFS('Sales Orders'!D:D,'Sales Orders'!A:A,B514))*SUMIFS('Sales Orders'!N:N,'Sales Orders'!A:A,B514),"")</f>
        <v/>
      </c>
      <c r="W514" s="31" t="str">
        <f t="shared" ca="1" si="25"/>
        <v/>
      </c>
      <c r="Z514" s="31"/>
      <c r="AP514" s="53"/>
      <c r="AQ514" s="53"/>
      <c r="AR514" s="53"/>
    </row>
    <row r="515" spans="2:44">
      <c r="B515" s="2"/>
      <c r="C515" t="str">
        <f>IF(B515&lt;&gt;"",INDEX('Sales Orders'!C:C,MATCH('Booking Management'!B515,'Sales Orders'!A:A,0)),"")</f>
        <v/>
      </c>
      <c r="K515" s="31" t="str">
        <f t="shared" ref="K515:K578" ca="1" si="27">IF(B515&lt;&gt;"",IF(AND(OR(L515-TODAY()&lt;2,M515&lt;&gt;"yes",N515&lt;&gt;"yes",O515&lt;&gt;"yes"),S515&lt;&gt;"Used"),"Alert",""),"")</f>
        <v/>
      </c>
      <c r="P515" t="str">
        <f t="shared" si="26"/>
        <v/>
      </c>
      <c r="Q515" t="str">
        <f>IFERROR((J515/SUMIFS('Sales Orders'!D:D,'Sales Orders'!A:A,B515))*SUMIFS('Sales Orders'!N:N,'Sales Orders'!A:A,B515),"")</f>
        <v/>
      </c>
      <c r="W515" s="31" t="str">
        <f t="shared" ca="1" si="25"/>
        <v/>
      </c>
      <c r="Z515" s="31"/>
      <c r="AP515" s="53"/>
      <c r="AQ515" s="53"/>
      <c r="AR515" s="53"/>
    </row>
    <row r="516" spans="2:44">
      <c r="B516" s="2"/>
      <c r="C516" t="str">
        <f>IF(B516&lt;&gt;"",INDEX('Sales Orders'!C:C,MATCH('Booking Management'!B516,'Sales Orders'!A:A,0)),"")</f>
        <v/>
      </c>
      <c r="K516" s="31" t="str">
        <f t="shared" ca="1" si="27"/>
        <v/>
      </c>
      <c r="P516" t="str">
        <f t="shared" si="26"/>
        <v/>
      </c>
      <c r="Q516" t="str">
        <f>IFERROR((J516/SUMIFS('Sales Orders'!D:D,'Sales Orders'!A:A,B516))*SUMIFS('Sales Orders'!N:N,'Sales Orders'!A:A,B516),"")</f>
        <v/>
      </c>
      <c r="W516" s="31" t="str">
        <f t="shared" ca="1" si="25"/>
        <v/>
      </c>
      <c r="Z516" s="31"/>
      <c r="AP516" s="53"/>
      <c r="AQ516" s="53"/>
      <c r="AR516" s="53"/>
    </row>
    <row r="517" spans="2:44">
      <c r="B517" s="2"/>
      <c r="C517" t="str">
        <f>IF(B517&lt;&gt;"",INDEX('Sales Orders'!C:C,MATCH('Booking Management'!B517,'Sales Orders'!A:A,0)),"")</f>
        <v/>
      </c>
      <c r="K517" s="31" t="str">
        <f t="shared" ca="1" si="27"/>
        <v/>
      </c>
      <c r="P517" t="str">
        <f t="shared" si="26"/>
        <v/>
      </c>
      <c r="Q517" t="str">
        <f>IFERROR((J517/SUMIFS('Sales Orders'!D:D,'Sales Orders'!A:A,B517))*SUMIFS('Sales Orders'!N:N,'Sales Orders'!A:A,B517),"")</f>
        <v/>
      </c>
      <c r="W517" s="31" t="str">
        <f t="shared" ca="1" si="25"/>
        <v/>
      </c>
      <c r="Z517" s="31"/>
      <c r="AP517" s="53"/>
      <c r="AQ517" s="53"/>
      <c r="AR517" s="53"/>
    </row>
    <row r="518" spans="2:44">
      <c r="B518" s="2"/>
      <c r="C518" t="str">
        <f>IF(B518&lt;&gt;"",INDEX('Sales Orders'!C:C,MATCH('Booking Management'!B518,'Sales Orders'!A:A,0)),"")</f>
        <v/>
      </c>
      <c r="K518" s="31" t="str">
        <f t="shared" ca="1" si="27"/>
        <v/>
      </c>
      <c r="P518" t="str">
        <f t="shared" si="26"/>
        <v/>
      </c>
      <c r="Q518" t="str">
        <f>IFERROR((J518/SUMIFS('Sales Orders'!D:D,'Sales Orders'!A:A,B518))*SUMIFS('Sales Orders'!N:N,'Sales Orders'!A:A,B518),"")</f>
        <v/>
      </c>
      <c r="W518" s="31" t="str">
        <f t="shared" ca="1" si="25"/>
        <v/>
      </c>
      <c r="Z518" s="31"/>
      <c r="AP518" s="53"/>
      <c r="AQ518" s="53"/>
      <c r="AR518" s="53"/>
    </row>
    <row r="519" spans="2:44">
      <c r="B519" s="2"/>
      <c r="C519" t="str">
        <f>IF(B519&lt;&gt;"",INDEX('Sales Orders'!C:C,MATCH('Booking Management'!B519,'Sales Orders'!A:A,0)),"")</f>
        <v/>
      </c>
      <c r="K519" s="31" t="str">
        <f t="shared" ca="1" si="27"/>
        <v/>
      </c>
      <c r="P519" t="str">
        <f t="shared" si="26"/>
        <v/>
      </c>
      <c r="Q519" t="str">
        <f>IFERROR((J519/SUMIFS('Sales Orders'!D:D,'Sales Orders'!A:A,B519))*SUMIFS('Sales Orders'!N:N,'Sales Orders'!A:A,B519),"")</f>
        <v/>
      </c>
      <c r="W519" s="31" t="str">
        <f t="shared" ref="W519:W582" ca="1" si="28">IF(T519&lt;&gt;"",IF(X519="Yes","NO",IF((TODAY()-V519)&gt;6,"YES","NO")),"")</f>
        <v/>
      </c>
      <c r="Z519" s="31"/>
      <c r="AP519" s="53"/>
      <c r="AQ519" s="53"/>
      <c r="AR519" s="53"/>
    </row>
    <row r="520" spans="2:44">
      <c r="B520" s="2"/>
      <c r="C520" t="str">
        <f>IF(B520&lt;&gt;"",INDEX('Sales Orders'!C:C,MATCH('Booking Management'!B520,'Sales Orders'!A:A,0)),"")</f>
        <v/>
      </c>
      <c r="K520" s="31" t="str">
        <f t="shared" ca="1" si="27"/>
        <v/>
      </c>
      <c r="P520" t="str">
        <f t="shared" si="26"/>
        <v/>
      </c>
      <c r="Q520" t="str">
        <f>IFERROR((J520/SUMIFS('Sales Orders'!D:D,'Sales Orders'!A:A,B520))*SUMIFS('Sales Orders'!N:N,'Sales Orders'!A:A,B520),"")</f>
        <v/>
      </c>
      <c r="W520" s="31" t="str">
        <f t="shared" ca="1" si="28"/>
        <v/>
      </c>
      <c r="Z520" s="31"/>
      <c r="AP520" s="53"/>
      <c r="AQ520" s="53"/>
      <c r="AR520" s="53"/>
    </row>
    <row r="521" spans="2:44">
      <c r="B521" s="2"/>
      <c r="C521" t="str">
        <f>IF(B521&lt;&gt;"",INDEX('Sales Orders'!C:C,MATCH('Booking Management'!B521,'Sales Orders'!A:A,0)),"")</f>
        <v/>
      </c>
      <c r="K521" s="31" t="str">
        <f t="shared" ca="1" si="27"/>
        <v/>
      </c>
      <c r="P521" t="str">
        <f t="shared" si="26"/>
        <v/>
      </c>
      <c r="Q521" t="str">
        <f>IFERROR((J521/SUMIFS('Sales Orders'!D:D,'Sales Orders'!A:A,B521))*SUMIFS('Sales Orders'!N:N,'Sales Orders'!A:A,B521),"")</f>
        <v/>
      </c>
      <c r="W521" s="31" t="str">
        <f t="shared" ca="1" si="28"/>
        <v/>
      </c>
      <c r="Z521" s="31"/>
      <c r="AP521" s="53"/>
      <c r="AQ521" s="53"/>
      <c r="AR521" s="53"/>
    </row>
    <row r="522" spans="2:44">
      <c r="B522" s="2"/>
      <c r="C522" t="str">
        <f>IF(B522&lt;&gt;"",INDEX('Sales Orders'!C:C,MATCH('Booking Management'!B522,'Sales Orders'!A:A,0)),"")</f>
        <v/>
      </c>
      <c r="K522" s="31" t="str">
        <f t="shared" ca="1" si="27"/>
        <v/>
      </c>
      <c r="P522" t="str">
        <f t="shared" si="26"/>
        <v/>
      </c>
      <c r="Q522" t="str">
        <f>IFERROR((J522/SUMIFS('Sales Orders'!D:D,'Sales Orders'!A:A,B522))*SUMIFS('Sales Orders'!N:N,'Sales Orders'!A:A,B522),"")</f>
        <v/>
      </c>
      <c r="W522" s="31" t="str">
        <f t="shared" ca="1" si="28"/>
        <v/>
      </c>
      <c r="Z522" s="31"/>
      <c r="AP522" s="53"/>
      <c r="AQ522" s="53"/>
      <c r="AR522" s="53"/>
    </row>
    <row r="523" spans="2:44">
      <c r="B523" s="2"/>
      <c r="C523" t="str">
        <f>IF(B523&lt;&gt;"",INDEX('Sales Orders'!C:C,MATCH('Booking Management'!B523,'Sales Orders'!A:A,0)),"")</f>
        <v/>
      </c>
      <c r="K523" s="31" t="str">
        <f t="shared" ca="1" si="27"/>
        <v/>
      </c>
      <c r="P523" t="str">
        <f t="shared" si="26"/>
        <v/>
      </c>
      <c r="Q523" t="str">
        <f>IFERROR((J523/SUMIFS('Sales Orders'!D:D,'Sales Orders'!A:A,B523))*SUMIFS('Sales Orders'!N:N,'Sales Orders'!A:A,B523),"")</f>
        <v/>
      </c>
      <c r="W523" s="31" t="str">
        <f t="shared" ca="1" si="28"/>
        <v/>
      </c>
      <c r="Z523" s="31"/>
      <c r="AP523" s="53"/>
      <c r="AQ523" s="53"/>
      <c r="AR523" s="53"/>
    </row>
    <row r="524" spans="2:44">
      <c r="B524" s="2"/>
      <c r="C524" t="str">
        <f>IF(B524&lt;&gt;"",INDEX('Sales Orders'!C:C,MATCH('Booking Management'!B524,'Sales Orders'!A:A,0)),"")</f>
        <v/>
      </c>
      <c r="K524" s="31" t="str">
        <f t="shared" ca="1" si="27"/>
        <v/>
      </c>
      <c r="P524" t="str">
        <f t="shared" si="26"/>
        <v/>
      </c>
      <c r="Q524" t="str">
        <f>IFERROR((J524/SUMIFS('Sales Orders'!D:D,'Sales Orders'!A:A,B524))*SUMIFS('Sales Orders'!N:N,'Sales Orders'!A:A,B524),"")</f>
        <v/>
      </c>
      <c r="W524" s="31" t="str">
        <f t="shared" ca="1" si="28"/>
        <v/>
      </c>
      <c r="Z524" s="31"/>
      <c r="AP524" s="53"/>
      <c r="AQ524" s="53"/>
      <c r="AR524" s="53"/>
    </row>
    <row r="525" spans="2:44">
      <c r="B525" s="2"/>
      <c r="C525" t="str">
        <f>IF(B525&lt;&gt;"",INDEX('Sales Orders'!C:C,MATCH('Booking Management'!B525,'Sales Orders'!A:A,0)),"")</f>
        <v/>
      </c>
      <c r="K525" s="31" t="str">
        <f t="shared" ca="1" si="27"/>
        <v/>
      </c>
      <c r="P525" t="str">
        <f t="shared" si="26"/>
        <v/>
      </c>
      <c r="Q525" t="str">
        <f>IFERROR((J525/SUMIFS('Sales Orders'!D:D,'Sales Orders'!A:A,B525))*SUMIFS('Sales Orders'!N:N,'Sales Orders'!A:A,B525),"")</f>
        <v/>
      </c>
      <c r="W525" s="31" t="str">
        <f t="shared" ca="1" si="28"/>
        <v/>
      </c>
      <c r="Z525" s="31"/>
      <c r="AP525" s="53"/>
      <c r="AQ525" s="53"/>
      <c r="AR525" s="53"/>
    </row>
    <row r="526" spans="2:44">
      <c r="B526" s="2"/>
      <c r="C526" t="str">
        <f>IF(B526&lt;&gt;"",INDEX('Sales Orders'!C:C,MATCH('Booking Management'!B526,'Sales Orders'!A:A,0)),"")</f>
        <v/>
      </c>
      <c r="K526" s="31" t="str">
        <f t="shared" ca="1" si="27"/>
        <v/>
      </c>
      <c r="P526" t="str">
        <f t="shared" si="26"/>
        <v/>
      </c>
      <c r="Q526" t="str">
        <f>IFERROR((J526/SUMIFS('Sales Orders'!D:D,'Sales Orders'!A:A,B526))*SUMIFS('Sales Orders'!N:N,'Sales Orders'!A:A,B526),"")</f>
        <v/>
      </c>
      <c r="W526" s="31" t="str">
        <f t="shared" ca="1" si="28"/>
        <v/>
      </c>
      <c r="Z526" s="31"/>
      <c r="AP526" s="53"/>
      <c r="AQ526" s="53"/>
      <c r="AR526" s="53"/>
    </row>
    <row r="527" spans="2:44">
      <c r="B527" s="2"/>
      <c r="C527" t="str">
        <f>IF(B527&lt;&gt;"",INDEX('Sales Orders'!C:C,MATCH('Booking Management'!B527,'Sales Orders'!A:A,0)),"")</f>
        <v/>
      </c>
      <c r="K527" s="31" t="str">
        <f t="shared" ca="1" si="27"/>
        <v/>
      </c>
      <c r="P527" t="str">
        <f t="shared" si="26"/>
        <v/>
      </c>
      <c r="Q527" t="str">
        <f>IFERROR((J527/SUMIFS('Sales Orders'!D:D,'Sales Orders'!A:A,B527))*SUMIFS('Sales Orders'!N:N,'Sales Orders'!A:A,B527),"")</f>
        <v/>
      </c>
      <c r="W527" s="31" t="str">
        <f t="shared" ca="1" si="28"/>
        <v/>
      </c>
      <c r="Z527" s="31"/>
      <c r="AP527" s="53"/>
      <c r="AQ527" s="53"/>
      <c r="AR527" s="53"/>
    </row>
    <row r="528" spans="2:44">
      <c r="B528" s="2"/>
      <c r="C528" t="str">
        <f>IF(B528&lt;&gt;"",INDEX('Sales Orders'!C:C,MATCH('Booking Management'!B528,'Sales Orders'!A:A,0)),"")</f>
        <v/>
      </c>
      <c r="K528" s="31" t="str">
        <f t="shared" ca="1" si="27"/>
        <v/>
      </c>
      <c r="P528" t="str">
        <f t="shared" si="26"/>
        <v/>
      </c>
      <c r="Q528" t="str">
        <f>IFERROR((J528/SUMIFS('Sales Orders'!D:D,'Sales Orders'!A:A,B528))*SUMIFS('Sales Orders'!N:N,'Sales Orders'!A:A,B528),"")</f>
        <v/>
      </c>
      <c r="W528" s="31" t="str">
        <f t="shared" ca="1" si="28"/>
        <v/>
      </c>
      <c r="Z528" s="31"/>
      <c r="AP528" s="53"/>
      <c r="AQ528" s="53"/>
      <c r="AR528" s="53"/>
    </row>
    <row r="529" spans="2:44">
      <c r="B529" s="2"/>
      <c r="C529" t="str">
        <f>IF(B529&lt;&gt;"",INDEX('Sales Orders'!C:C,MATCH('Booking Management'!B529,'Sales Orders'!A:A,0)),"")</f>
        <v/>
      </c>
      <c r="K529" s="31" t="str">
        <f t="shared" ca="1" si="27"/>
        <v/>
      </c>
      <c r="P529" t="str">
        <f t="shared" si="26"/>
        <v/>
      </c>
      <c r="Q529" t="str">
        <f>IFERROR((J529/SUMIFS('Sales Orders'!D:D,'Sales Orders'!A:A,B529))*SUMIFS('Sales Orders'!N:N,'Sales Orders'!A:A,B529),"")</f>
        <v/>
      </c>
      <c r="W529" s="31" t="str">
        <f t="shared" ca="1" si="28"/>
        <v/>
      </c>
      <c r="Z529" s="31"/>
      <c r="AP529" s="53"/>
      <c r="AQ529" s="53"/>
      <c r="AR529" s="53"/>
    </row>
    <row r="530" spans="2:44">
      <c r="B530" s="2"/>
      <c r="C530" t="str">
        <f>IF(B530&lt;&gt;"",INDEX('Sales Orders'!C:C,MATCH('Booking Management'!B530,'Sales Orders'!A:A,0)),"")</f>
        <v/>
      </c>
      <c r="K530" s="31" t="str">
        <f t="shared" ca="1" si="27"/>
        <v/>
      </c>
      <c r="P530" t="str">
        <f t="shared" si="26"/>
        <v/>
      </c>
      <c r="Q530" t="str">
        <f>IFERROR((J530/SUMIFS('Sales Orders'!D:D,'Sales Orders'!A:A,B530))*SUMIFS('Sales Orders'!N:N,'Sales Orders'!A:A,B530),"")</f>
        <v/>
      </c>
      <c r="W530" s="31" t="str">
        <f t="shared" ca="1" si="28"/>
        <v/>
      </c>
      <c r="Z530" s="31"/>
      <c r="AP530" s="53"/>
      <c r="AQ530" s="53"/>
      <c r="AR530" s="53"/>
    </row>
    <row r="531" spans="2:44">
      <c r="B531" s="2"/>
      <c r="C531" t="str">
        <f>IF(B531&lt;&gt;"",INDEX('Sales Orders'!C:C,MATCH('Booking Management'!B531,'Sales Orders'!A:A,0)),"")</f>
        <v/>
      </c>
      <c r="K531" s="31" t="str">
        <f t="shared" ca="1" si="27"/>
        <v/>
      </c>
      <c r="P531" t="str">
        <f t="shared" si="26"/>
        <v/>
      </c>
      <c r="Q531" t="str">
        <f>IFERROR((J531/SUMIFS('Sales Orders'!D:D,'Sales Orders'!A:A,B531))*SUMIFS('Sales Orders'!N:N,'Sales Orders'!A:A,B531),"")</f>
        <v/>
      </c>
      <c r="W531" s="31" t="str">
        <f t="shared" ca="1" si="28"/>
        <v/>
      </c>
      <c r="Z531" s="31"/>
      <c r="AP531" s="53"/>
      <c r="AQ531" s="53"/>
      <c r="AR531" s="53"/>
    </row>
    <row r="532" spans="2:44">
      <c r="B532" s="2"/>
      <c r="C532" t="str">
        <f>IF(B532&lt;&gt;"",INDEX('Sales Orders'!C:C,MATCH('Booking Management'!B532,'Sales Orders'!A:A,0)),"")</f>
        <v/>
      </c>
      <c r="K532" s="31" t="str">
        <f t="shared" ca="1" si="27"/>
        <v/>
      </c>
      <c r="P532" t="str">
        <f t="shared" si="26"/>
        <v/>
      </c>
      <c r="Q532" t="str">
        <f>IFERROR((J532/SUMIFS('Sales Orders'!D:D,'Sales Orders'!A:A,B532))*SUMIFS('Sales Orders'!N:N,'Sales Orders'!A:A,B532),"")</f>
        <v/>
      </c>
      <c r="W532" s="31" t="str">
        <f t="shared" ca="1" si="28"/>
        <v/>
      </c>
      <c r="Z532" s="31"/>
      <c r="AP532" s="53"/>
      <c r="AQ532" s="53"/>
      <c r="AR532" s="53"/>
    </row>
    <row r="533" spans="2:44">
      <c r="B533" s="2"/>
      <c r="C533" t="str">
        <f>IF(B533&lt;&gt;"",INDEX('Sales Orders'!C:C,MATCH('Booking Management'!B533,'Sales Orders'!A:A,0)),"")</f>
        <v/>
      </c>
      <c r="K533" s="31" t="str">
        <f t="shared" ca="1" si="27"/>
        <v/>
      </c>
      <c r="P533" t="str">
        <f t="shared" si="26"/>
        <v/>
      </c>
      <c r="Q533" t="str">
        <f>IFERROR((J533/SUMIFS('Sales Orders'!D:D,'Sales Orders'!A:A,B533))*SUMIFS('Sales Orders'!N:N,'Sales Orders'!A:A,B533),"")</f>
        <v/>
      </c>
      <c r="W533" s="31" t="str">
        <f t="shared" ca="1" si="28"/>
        <v/>
      </c>
      <c r="Z533" s="31"/>
      <c r="AP533" s="53"/>
      <c r="AQ533" s="53"/>
      <c r="AR533" s="53"/>
    </row>
    <row r="534" spans="2:44">
      <c r="B534" s="2"/>
      <c r="C534" t="str">
        <f>IF(B534&lt;&gt;"",INDEX('Sales Orders'!C:C,MATCH('Booking Management'!B534,'Sales Orders'!A:A,0)),"")</f>
        <v/>
      </c>
      <c r="K534" s="31" t="str">
        <f t="shared" ca="1" si="27"/>
        <v/>
      </c>
      <c r="P534" t="str">
        <f t="shared" si="26"/>
        <v/>
      </c>
      <c r="Q534" t="str">
        <f>IFERROR((J534/SUMIFS('Sales Orders'!D:D,'Sales Orders'!A:A,B534))*SUMIFS('Sales Orders'!N:N,'Sales Orders'!A:A,B534),"")</f>
        <v/>
      </c>
      <c r="W534" s="31" t="str">
        <f t="shared" ca="1" si="28"/>
        <v/>
      </c>
      <c r="Z534" s="31"/>
      <c r="AP534" s="53"/>
      <c r="AQ534" s="53"/>
      <c r="AR534" s="53"/>
    </row>
    <row r="535" spans="2:44">
      <c r="B535" s="2"/>
      <c r="C535" t="str">
        <f>IF(B535&lt;&gt;"",INDEX('Sales Orders'!C:C,MATCH('Booking Management'!B535,'Sales Orders'!A:A,0)),"")</f>
        <v/>
      </c>
      <c r="K535" s="31" t="str">
        <f t="shared" ca="1" si="27"/>
        <v/>
      </c>
      <c r="P535" t="str">
        <f t="shared" si="26"/>
        <v/>
      </c>
      <c r="Q535" t="str">
        <f>IFERROR((J535/SUMIFS('Sales Orders'!D:D,'Sales Orders'!A:A,B535))*SUMIFS('Sales Orders'!N:N,'Sales Orders'!A:A,B535),"")</f>
        <v/>
      </c>
      <c r="W535" s="31" t="str">
        <f t="shared" ca="1" si="28"/>
        <v/>
      </c>
      <c r="Z535" s="31"/>
      <c r="AP535" s="53"/>
      <c r="AQ535" s="53"/>
      <c r="AR535" s="53"/>
    </row>
    <row r="536" spans="2:44">
      <c r="B536" s="2"/>
      <c r="C536" t="str">
        <f>IF(B536&lt;&gt;"",INDEX('Sales Orders'!C:C,MATCH('Booking Management'!B536,'Sales Orders'!A:A,0)),"")</f>
        <v/>
      </c>
      <c r="K536" s="31" t="str">
        <f t="shared" ca="1" si="27"/>
        <v/>
      </c>
      <c r="P536" t="str">
        <f t="shared" si="26"/>
        <v/>
      </c>
      <c r="Q536" t="str">
        <f>IFERROR((J536/SUMIFS('Sales Orders'!D:D,'Sales Orders'!A:A,B536))*SUMIFS('Sales Orders'!N:N,'Sales Orders'!A:A,B536),"")</f>
        <v/>
      </c>
      <c r="W536" s="31" t="str">
        <f t="shared" ca="1" si="28"/>
        <v/>
      </c>
      <c r="Z536" s="31"/>
      <c r="AP536" s="53"/>
      <c r="AQ536" s="53"/>
      <c r="AR536" s="53"/>
    </row>
    <row r="537" spans="2:44">
      <c r="B537" s="2"/>
      <c r="C537" t="str">
        <f>IF(B537&lt;&gt;"",INDEX('Sales Orders'!C:C,MATCH('Booking Management'!B537,'Sales Orders'!A:A,0)),"")</f>
        <v/>
      </c>
      <c r="K537" s="31" t="str">
        <f t="shared" ca="1" si="27"/>
        <v/>
      </c>
      <c r="P537" t="str">
        <f t="shared" si="26"/>
        <v/>
      </c>
      <c r="Q537" t="str">
        <f>IFERROR((J537/SUMIFS('Sales Orders'!D:D,'Sales Orders'!A:A,B537))*SUMIFS('Sales Orders'!N:N,'Sales Orders'!A:A,B537),"")</f>
        <v/>
      </c>
      <c r="W537" s="31" t="str">
        <f t="shared" ca="1" si="28"/>
        <v/>
      </c>
      <c r="Z537" s="31"/>
      <c r="AP537" s="53"/>
      <c r="AQ537" s="53"/>
      <c r="AR537" s="53"/>
    </row>
    <row r="538" spans="2:44">
      <c r="B538" s="2"/>
      <c r="C538" t="str">
        <f>IF(B538&lt;&gt;"",INDEX('Sales Orders'!C:C,MATCH('Booking Management'!B538,'Sales Orders'!A:A,0)),"")</f>
        <v/>
      </c>
      <c r="K538" s="31" t="str">
        <f t="shared" ca="1" si="27"/>
        <v/>
      </c>
      <c r="P538" t="str">
        <f t="shared" si="26"/>
        <v/>
      </c>
      <c r="Q538" t="str">
        <f>IFERROR((J538/SUMIFS('Sales Orders'!D:D,'Sales Orders'!A:A,B538))*SUMIFS('Sales Orders'!N:N,'Sales Orders'!A:A,B538),"")</f>
        <v/>
      </c>
      <c r="W538" s="31" t="str">
        <f t="shared" ca="1" si="28"/>
        <v/>
      </c>
      <c r="Z538" s="31"/>
      <c r="AP538" s="53"/>
      <c r="AQ538" s="53"/>
      <c r="AR538" s="53"/>
    </row>
    <row r="539" spans="2:44">
      <c r="B539" s="2"/>
      <c r="C539" t="str">
        <f>IF(B539&lt;&gt;"",INDEX('Sales Orders'!C:C,MATCH('Booking Management'!B539,'Sales Orders'!A:A,0)),"")</f>
        <v/>
      </c>
      <c r="K539" s="31" t="str">
        <f t="shared" ca="1" si="27"/>
        <v/>
      </c>
      <c r="P539" t="str">
        <f t="shared" si="26"/>
        <v/>
      </c>
      <c r="Q539" t="str">
        <f>IFERROR((J539/SUMIFS('Sales Orders'!D:D,'Sales Orders'!A:A,B539))*SUMIFS('Sales Orders'!N:N,'Sales Orders'!A:A,B539),"")</f>
        <v/>
      </c>
      <c r="W539" s="31" t="str">
        <f t="shared" ca="1" si="28"/>
        <v/>
      </c>
      <c r="Z539" s="31"/>
      <c r="AP539" s="53"/>
      <c r="AQ539" s="53"/>
      <c r="AR539" s="53"/>
    </row>
    <row r="540" spans="2:44">
      <c r="B540" s="2"/>
      <c r="C540" t="str">
        <f>IF(B540&lt;&gt;"",INDEX('Sales Orders'!C:C,MATCH('Booking Management'!B540,'Sales Orders'!A:A,0)),"")</f>
        <v/>
      </c>
      <c r="K540" s="31" t="str">
        <f t="shared" ca="1" si="27"/>
        <v/>
      </c>
      <c r="P540" t="str">
        <f t="shared" si="26"/>
        <v/>
      </c>
      <c r="Q540" t="str">
        <f>IFERROR((J540/SUMIFS('Sales Orders'!D:D,'Sales Orders'!A:A,B540))*SUMIFS('Sales Orders'!N:N,'Sales Orders'!A:A,B540),"")</f>
        <v/>
      </c>
      <c r="W540" s="31" t="str">
        <f t="shared" ca="1" si="28"/>
        <v/>
      </c>
      <c r="Z540" s="31"/>
      <c r="AP540" s="53"/>
      <c r="AQ540" s="53"/>
      <c r="AR540" s="53"/>
    </row>
    <row r="541" spans="2:44">
      <c r="B541" s="2"/>
      <c r="C541" t="str">
        <f>IF(B541&lt;&gt;"",INDEX('Sales Orders'!C:C,MATCH('Booking Management'!B541,'Sales Orders'!A:A,0)),"")</f>
        <v/>
      </c>
      <c r="K541" s="31" t="str">
        <f t="shared" ca="1" si="27"/>
        <v/>
      </c>
      <c r="P541" t="str">
        <f t="shared" si="26"/>
        <v/>
      </c>
      <c r="Q541" t="str">
        <f>IFERROR((J541/SUMIFS('Sales Orders'!D:D,'Sales Orders'!A:A,B541))*SUMIFS('Sales Orders'!N:N,'Sales Orders'!A:A,B541),"")</f>
        <v/>
      </c>
      <c r="W541" s="31" t="str">
        <f t="shared" ca="1" si="28"/>
        <v/>
      </c>
      <c r="Z541" s="31"/>
      <c r="AP541" s="53"/>
      <c r="AQ541" s="53"/>
      <c r="AR541" s="53"/>
    </row>
    <row r="542" spans="2:44">
      <c r="B542" s="2"/>
      <c r="C542" t="str">
        <f>IF(B542&lt;&gt;"",INDEX('Sales Orders'!C:C,MATCH('Booking Management'!B542,'Sales Orders'!A:A,0)),"")</f>
        <v/>
      </c>
      <c r="K542" s="31" t="str">
        <f t="shared" ca="1" si="27"/>
        <v/>
      </c>
      <c r="P542" t="str">
        <f t="shared" si="26"/>
        <v/>
      </c>
      <c r="Q542" t="str">
        <f>IFERROR((J542/SUMIFS('Sales Orders'!D:D,'Sales Orders'!A:A,B542))*SUMIFS('Sales Orders'!N:N,'Sales Orders'!A:A,B542),"")</f>
        <v/>
      </c>
      <c r="W542" s="31" t="str">
        <f t="shared" ca="1" si="28"/>
        <v/>
      </c>
      <c r="Z542" s="31"/>
      <c r="AP542" s="53"/>
      <c r="AQ542" s="53"/>
      <c r="AR542" s="53"/>
    </row>
    <row r="543" spans="2:44">
      <c r="B543" s="2"/>
      <c r="C543" t="str">
        <f>IF(B543&lt;&gt;"",INDEX('Sales Orders'!C:C,MATCH('Booking Management'!B543,'Sales Orders'!A:A,0)),"")</f>
        <v/>
      </c>
      <c r="K543" s="31" t="str">
        <f t="shared" ca="1" si="27"/>
        <v/>
      </c>
      <c r="P543" t="str">
        <f t="shared" si="26"/>
        <v/>
      </c>
      <c r="Q543" t="str">
        <f>IFERROR((J543/SUMIFS('Sales Orders'!D:D,'Sales Orders'!A:A,B543))*SUMIFS('Sales Orders'!N:N,'Sales Orders'!A:A,B543),"")</f>
        <v/>
      </c>
      <c r="W543" s="31" t="str">
        <f t="shared" ca="1" si="28"/>
        <v/>
      </c>
      <c r="Z543" s="31"/>
      <c r="AP543" s="53"/>
      <c r="AQ543" s="53"/>
      <c r="AR543" s="53"/>
    </row>
    <row r="544" spans="2:44">
      <c r="B544" s="2"/>
      <c r="C544" t="str">
        <f>IF(B544&lt;&gt;"",INDEX('Sales Orders'!C:C,MATCH('Booking Management'!B544,'Sales Orders'!A:A,0)),"")</f>
        <v/>
      </c>
      <c r="K544" s="31" t="str">
        <f t="shared" ca="1" si="27"/>
        <v/>
      </c>
      <c r="P544" t="str">
        <f t="shared" si="26"/>
        <v/>
      </c>
      <c r="Q544" t="str">
        <f>IFERROR((J544/SUMIFS('Sales Orders'!D:D,'Sales Orders'!A:A,B544))*SUMIFS('Sales Orders'!N:N,'Sales Orders'!A:A,B544),"")</f>
        <v/>
      </c>
      <c r="W544" s="31" t="str">
        <f t="shared" ca="1" si="28"/>
        <v/>
      </c>
      <c r="Z544" s="31"/>
      <c r="AP544" s="53"/>
      <c r="AQ544" s="53"/>
      <c r="AR544" s="53"/>
    </row>
    <row r="545" spans="2:44">
      <c r="B545" s="2"/>
      <c r="C545" t="str">
        <f>IF(B545&lt;&gt;"",INDEX('Sales Orders'!C:C,MATCH('Booking Management'!B545,'Sales Orders'!A:A,0)),"")</f>
        <v/>
      </c>
      <c r="K545" s="31" t="str">
        <f t="shared" ca="1" si="27"/>
        <v/>
      </c>
      <c r="P545" t="str">
        <f t="shared" ref="P545:P608" si="29">IF(B545&lt;&gt;"",T545-L545,"")</f>
        <v/>
      </c>
      <c r="Q545" t="str">
        <f>IFERROR((J545/SUMIFS('Sales Orders'!D:D,'Sales Orders'!A:A,B545))*SUMIFS('Sales Orders'!N:N,'Sales Orders'!A:A,B545),"")</f>
        <v/>
      </c>
      <c r="W545" s="31" t="str">
        <f t="shared" ca="1" si="28"/>
        <v/>
      </c>
      <c r="Z545" s="31"/>
      <c r="AP545" s="53"/>
      <c r="AQ545" s="53"/>
      <c r="AR545" s="53"/>
    </row>
    <row r="546" spans="2:44">
      <c r="B546" s="2"/>
      <c r="C546" t="str">
        <f>IF(B546&lt;&gt;"",INDEX('Sales Orders'!C:C,MATCH('Booking Management'!B546,'Sales Orders'!A:A,0)),"")</f>
        <v/>
      </c>
      <c r="K546" s="31" t="str">
        <f t="shared" ca="1" si="27"/>
        <v/>
      </c>
      <c r="P546" t="str">
        <f t="shared" si="29"/>
        <v/>
      </c>
      <c r="Q546" t="str">
        <f>IFERROR((J546/SUMIFS('Sales Orders'!D:D,'Sales Orders'!A:A,B546))*SUMIFS('Sales Orders'!N:N,'Sales Orders'!A:A,B546),"")</f>
        <v/>
      </c>
      <c r="W546" s="31" t="str">
        <f t="shared" ca="1" si="28"/>
        <v/>
      </c>
      <c r="Z546" s="31"/>
      <c r="AP546" s="53"/>
      <c r="AQ546" s="53"/>
      <c r="AR546" s="53"/>
    </row>
    <row r="547" spans="2:44">
      <c r="B547" s="2"/>
      <c r="C547" t="str">
        <f>IF(B547&lt;&gt;"",INDEX('Sales Orders'!C:C,MATCH('Booking Management'!B547,'Sales Orders'!A:A,0)),"")</f>
        <v/>
      </c>
      <c r="K547" s="31" t="str">
        <f t="shared" ca="1" si="27"/>
        <v/>
      </c>
      <c r="P547" t="str">
        <f t="shared" si="29"/>
        <v/>
      </c>
      <c r="Q547" t="str">
        <f>IFERROR((J547/SUMIFS('Sales Orders'!D:D,'Sales Orders'!A:A,B547))*SUMIFS('Sales Orders'!N:N,'Sales Orders'!A:A,B547),"")</f>
        <v/>
      </c>
      <c r="W547" s="31" t="str">
        <f t="shared" ca="1" si="28"/>
        <v/>
      </c>
      <c r="Z547" s="31"/>
    </row>
    <row r="548" spans="2:44">
      <c r="B548" s="2"/>
      <c r="C548" t="str">
        <f>IF(B548&lt;&gt;"",INDEX('Sales Orders'!C:C,MATCH('Booking Management'!B548,'Sales Orders'!A:A,0)),"")</f>
        <v/>
      </c>
      <c r="K548" s="31" t="str">
        <f t="shared" ca="1" si="27"/>
        <v/>
      </c>
      <c r="P548" t="str">
        <f t="shared" si="29"/>
        <v/>
      </c>
      <c r="Q548" t="str">
        <f>IFERROR((J548/SUMIFS('Sales Orders'!D:D,'Sales Orders'!A:A,B548))*SUMIFS('Sales Orders'!N:N,'Sales Orders'!A:A,B548),"")</f>
        <v/>
      </c>
      <c r="W548" s="31" t="str">
        <f t="shared" ca="1" si="28"/>
        <v/>
      </c>
      <c r="Z548" s="31"/>
    </row>
    <row r="549" spans="2:44">
      <c r="B549" s="2"/>
      <c r="C549" t="str">
        <f>IF(B549&lt;&gt;"",INDEX('Sales Orders'!C:C,MATCH('Booking Management'!B549,'Sales Orders'!A:A,0)),"")</f>
        <v/>
      </c>
      <c r="K549" s="31" t="str">
        <f t="shared" ca="1" si="27"/>
        <v/>
      </c>
      <c r="P549" t="str">
        <f t="shared" si="29"/>
        <v/>
      </c>
      <c r="Q549" t="str">
        <f>IFERROR((J549/SUMIFS('Sales Orders'!D:D,'Sales Orders'!A:A,B549))*SUMIFS('Sales Orders'!N:N,'Sales Orders'!A:A,B549),"")</f>
        <v/>
      </c>
      <c r="W549" s="31" t="str">
        <f t="shared" ca="1" si="28"/>
        <v/>
      </c>
      <c r="Z549" s="31"/>
    </row>
    <row r="550" spans="2:44">
      <c r="B550" s="2"/>
      <c r="C550" t="str">
        <f>IF(B550&lt;&gt;"",INDEX('Sales Orders'!C:C,MATCH('Booking Management'!B550,'Sales Orders'!A:A,0)),"")</f>
        <v/>
      </c>
      <c r="K550" s="31" t="str">
        <f t="shared" ca="1" si="27"/>
        <v/>
      </c>
      <c r="P550" t="str">
        <f t="shared" si="29"/>
        <v/>
      </c>
      <c r="Q550" t="str">
        <f>IFERROR((J550/SUMIFS('Sales Orders'!D:D,'Sales Orders'!A:A,B550))*SUMIFS('Sales Orders'!N:N,'Sales Orders'!A:A,B550),"")</f>
        <v/>
      </c>
      <c r="W550" s="31" t="str">
        <f t="shared" ca="1" si="28"/>
        <v/>
      </c>
      <c r="Z550" s="31"/>
    </row>
    <row r="551" spans="2:44">
      <c r="B551" s="2"/>
      <c r="C551" t="str">
        <f>IF(B551&lt;&gt;"",INDEX('Sales Orders'!C:C,MATCH('Booking Management'!B551,'Sales Orders'!A:A,0)),"")</f>
        <v/>
      </c>
      <c r="K551" s="31" t="str">
        <f t="shared" ca="1" si="27"/>
        <v/>
      </c>
      <c r="P551" t="str">
        <f t="shared" si="29"/>
        <v/>
      </c>
      <c r="Q551" t="str">
        <f>IFERROR((J551/SUMIFS('Sales Orders'!D:D,'Sales Orders'!A:A,B551))*SUMIFS('Sales Orders'!N:N,'Sales Orders'!A:A,B551),"")</f>
        <v/>
      </c>
      <c r="W551" s="31" t="str">
        <f t="shared" ca="1" si="28"/>
        <v/>
      </c>
      <c r="Z551" s="31"/>
    </row>
    <row r="552" spans="2:44">
      <c r="B552" s="2"/>
      <c r="C552" t="str">
        <f>IF(B552&lt;&gt;"",INDEX('Sales Orders'!C:C,MATCH('Booking Management'!B552,'Sales Orders'!A:A,0)),"")</f>
        <v/>
      </c>
      <c r="K552" s="31" t="str">
        <f t="shared" ca="1" si="27"/>
        <v/>
      </c>
      <c r="P552" t="str">
        <f t="shared" si="29"/>
        <v/>
      </c>
      <c r="Q552" t="str">
        <f>IFERROR((J552/SUMIFS('Sales Orders'!D:D,'Sales Orders'!A:A,B552))*SUMIFS('Sales Orders'!N:N,'Sales Orders'!A:A,B552),"")</f>
        <v/>
      </c>
      <c r="W552" s="31" t="str">
        <f t="shared" ca="1" si="28"/>
        <v/>
      </c>
      <c r="Z552" s="31"/>
    </row>
    <row r="553" spans="2:44">
      <c r="B553" s="2"/>
      <c r="C553" t="str">
        <f>IF(B553&lt;&gt;"",INDEX('Sales Orders'!C:C,MATCH('Booking Management'!B553,'Sales Orders'!A:A,0)),"")</f>
        <v/>
      </c>
      <c r="K553" s="31" t="str">
        <f t="shared" ca="1" si="27"/>
        <v/>
      </c>
      <c r="P553" t="str">
        <f t="shared" si="29"/>
        <v/>
      </c>
      <c r="Q553" t="str">
        <f>IFERROR((J553/SUMIFS('Sales Orders'!D:D,'Sales Orders'!A:A,B553))*SUMIFS('Sales Orders'!N:N,'Sales Orders'!A:A,B553),"")</f>
        <v/>
      </c>
      <c r="W553" s="31" t="str">
        <f t="shared" ca="1" si="28"/>
        <v/>
      </c>
      <c r="Z553" s="31"/>
    </row>
    <row r="554" spans="2:44">
      <c r="B554" s="2"/>
      <c r="C554" t="str">
        <f>IF(B554&lt;&gt;"",INDEX('Sales Orders'!C:C,MATCH('Booking Management'!B554,'Sales Orders'!A:A,0)),"")</f>
        <v/>
      </c>
      <c r="K554" s="31" t="str">
        <f t="shared" ca="1" si="27"/>
        <v/>
      </c>
      <c r="P554" t="str">
        <f t="shared" si="29"/>
        <v/>
      </c>
      <c r="Q554" t="str">
        <f>IFERROR((J554/SUMIFS('Sales Orders'!D:D,'Sales Orders'!A:A,B554))*SUMIFS('Sales Orders'!N:N,'Sales Orders'!A:A,B554),"")</f>
        <v/>
      </c>
      <c r="W554" s="31" t="str">
        <f t="shared" ca="1" si="28"/>
        <v/>
      </c>
      <c r="Z554" s="31"/>
    </row>
    <row r="555" spans="2:44">
      <c r="B555" s="2"/>
      <c r="C555" t="str">
        <f>IF(B555&lt;&gt;"",INDEX('Sales Orders'!C:C,MATCH('Booking Management'!B555,'Sales Orders'!A:A,0)),"")</f>
        <v/>
      </c>
      <c r="K555" s="31" t="str">
        <f t="shared" ca="1" si="27"/>
        <v/>
      </c>
      <c r="P555" t="str">
        <f t="shared" si="29"/>
        <v/>
      </c>
      <c r="Q555" t="str">
        <f>IFERROR((J555/SUMIFS('Sales Orders'!D:D,'Sales Orders'!A:A,B555))*SUMIFS('Sales Orders'!N:N,'Sales Orders'!A:A,B555),"")</f>
        <v/>
      </c>
      <c r="W555" s="31" t="str">
        <f t="shared" ca="1" si="28"/>
        <v/>
      </c>
      <c r="Z555" s="31"/>
    </row>
    <row r="556" spans="2:44">
      <c r="B556" s="2"/>
      <c r="C556" t="str">
        <f>IF(B556&lt;&gt;"",INDEX('Sales Orders'!C:C,MATCH('Booking Management'!B556,'Sales Orders'!A:A,0)),"")</f>
        <v/>
      </c>
      <c r="K556" s="31" t="str">
        <f t="shared" ca="1" si="27"/>
        <v/>
      </c>
      <c r="P556" t="str">
        <f t="shared" si="29"/>
        <v/>
      </c>
      <c r="Q556" t="str">
        <f>IFERROR((J556/SUMIFS('Sales Orders'!D:D,'Sales Orders'!A:A,B556))*SUMIFS('Sales Orders'!N:N,'Sales Orders'!A:A,B556),"")</f>
        <v/>
      </c>
      <c r="W556" s="31" t="str">
        <f t="shared" ca="1" si="28"/>
        <v/>
      </c>
      <c r="Z556" s="31"/>
    </row>
    <row r="557" spans="2:44">
      <c r="B557" s="2"/>
      <c r="C557" t="str">
        <f>IF(B557&lt;&gt;"",INDEX('Sales Orders'!C:C,MATCH('Booking Management'!B557,'Sales Orders'!A:A,0)),"")</f>
        <v/>
      </c>
      <c r="K557" s="31" t="str">
        <f t="shared" ca="1" si="27"/>
        <v/>
      </c>
      <c r="P557" t="str">
        <f t="shared" si="29"/>
        <v/>
      </c>
      <c r="Q557" t="str">
        <f>IFERROR((J557/SUMIFS('Sales Orders'!D:D,'Sales Orders'!A:A,B557))*SUMIFS('Sales Orders'!N:N,'Sales Orders'!A:A,B557),"")</f>
        <v/>
      </c>
      <c r="W557" s="31" t="str">
        <f t="shared" ca="1" si="28"/>
        <v/>
      </c>
      <c r="Z557" s="31"/>
    </row>
    <row r="558" spans="2:44">
      <c r="B558" s="2"/>
      <c r="C558" t="str">
        <f>IF(B558&lt;&gt;"",INDEX('Sales Orders'!C:C,MATCH('Booking Management'!B558,'Sales Orders'!A:A,0)),"")</f>
        <v/>
      </c>
      <c r="K558" s="31" t="str">
        <f t="shared" ca="1" si="27"/>
        <v/>
      </c>
      <c r="P558" t="str">
        <f t="shared" si="29"/>
        <v/>
      </c>
      <c r="Q558" t="str">
        <f>IFERROR((J558/SUMIFS('Sales Orders'!D:D,'Sales Orders'!A:A,B558))*SUMIFS('Sales Orders'!N:N,'Sales Orders'!A:A,B558),"")</f>
        <v/>
      </c>
      <c r="W558" s="31" t="str">
        <f t="shared" ca="1" si="28"/>
        <v/>
      </c>
      <c r="Z558" s="31"/>
    </row>
    <row r="559" spans="2:44">
      <c r="B559" s="2"/>
      <c r="C559" t="str">
        <f>IF(B559&lt;&gt;"",INDEX('Sales Orders'!C:C,MATCH('Booking Management'!B559,'Sales Orders'!A:A,0)),"")</f>
        <v/>
      </c>
      <c r="K559" s="31" t="str">
        <f t="shared" ca="1" si="27"/>
        <v/>
      </c>
      <c r="P559" t="str">
        <f t="shared" si="29"/>
        <v/>
      </c>
      <c r="Q559" t="str">
        <f>IFERROR((J559/SUMIFS('Sales Orders'!D:D,'Sales Orders'!A:A,B559))*SUMIFS('Sales Orders'!N:N,'Sales Orders'!A:A,B559),"")</f>
        <v/>
      </c>
      <c r="W559" s="31" t="str">
        <f t="shared" ca="1" si="28"/>
        <v/>
      </c>
      <c r="Z559" s="31"/>
    </row>
    <row r="560" spans="2:44">
      <c r="B560" s="2"/>
      <c r="C560" t="str">
        <f>IF(B560&lt;&gt;"",INDEX('Sales Orders'!C:C,MATCH('Booking Management'!B560,'Sales Orders'!A:A,0)),"")</f>
        <v/>
      </c>
      <c r="K560" s="31" t="str">
        <f t="shared" ca="1" si="27"/>
        <v/>
      </c>
      <c r="P560" t="str">
        <f t="shared" si="29"/>
        <v/>
      </c>
      <c r="Q560" t="str">
        <f>IFERROR((J560/SUMIFS('Sales Orders'!D:D,'Sales Orders'!A:A,B560))*SUMIFS('Sales Orders'!N:N,'Sales Orders'!A:A,B560),"")</f>
        <v/>
      </c>
      <c r="W560" s="31" t="str">
        <f t="shared" ca="1" si="28"/>
        <v/>
      </c>
      <c r="Z560" s="31"/>
    </row>
    <row r="561" spans="2:26">
      <c r="B561" s="2"/>
      <c r="C561" t="str">
        <f>IF(B561&lt;&gt;"",INDEX('Sales Orders'!C:C,MATCH('Booking Management'!B561,'Sales Orders'!A:A,0)),"")</f>
        <v/>
      </c>
      <c r="K561" s="31" t="str">
        <f t="shared" ca="1" si="27"/>
        <v/>
      </c>
      <c r="P561" t="str">
        <f t="shared" si="29"/>
        <v/>
      </c>
      <c r="Q561" t="str">
        <f>IFERROR((J561/SUMIFS('Sales Orders'!D:D,'Sales Orders'!A:A,B561))*SUMIFS('Sales Orders'!N:N,'Sales Orders'!A:A,B561),"")</f>
        <v/>
      </c>
      <c r="W561" s="31" t="str">
        <f t="shared" ca="1" si="28"/>
        <v/>
      </c>
      <c r="Z561" s="31"/>
    </row>
    <row r="562" spans="2:26">
      <c r="B562" s="2"/>
      <c r="C562" t="str">
        <f>IF(B562&lt;&gt;"",INDEX('Sales Orders'!C:C,MATCH('Booking Management'!B562,'Sales Orders'!A:A,0)),"")</f>
        <v/>
      </c>
      <c r="K562" s="31" t="str">
        <f t="shared" ca="1" si="27"/>
        <v/>
      </c>
      <c r="P562" t="str">
        <f t="shared" si="29"/>
        <v/>
      </c>
      <c r="Q562" t="str">
        <f>IFERROR((J562/SUMIFS('Sales Orders'!D:D,'Sales Orders'!A:A,B562))*SUMIFS('Sales Orders'!N:N,'Sales Orders'!A:A,B562),"")</f>
        <v/>
      </c>
      <c r="W562" s="31" t="str">
        <f t="shared" ca="1" si="28"/>
        <v/>
      </c>
      <c r="Z562" s="31"/>
    </row>
    <row r="563" spans="2:26">
      <c r="B563" s="2"/>
      <c r="C563" t="str">
        <f>IF(B563&lt;&gt;"",INDEX('Sales Orders'!C:C,MATCH('Booking Management'!B563,'Sales Orders'!A:A,0)),"")</f>
        <v/>
      </c>
      <c r="K563" s="31" t="str">
        <f t="shared" ca="1" si="27"/>
        <v/>
      </c>
      <c r="P563" t="str">
        <f t="shared" si="29"/>
        <v/>
      </c>
      <c r="Q563" t="str">
        <f>IFERROR((J563/SUMIFS('Sales Orders'!D:D,'Sales Orders'!A:A,B563))*SUMIFS('Sales Orders'!N:N,'Sales Orders'!A:A,B563),"")</f>
        <v/>
      </c>
      <c r="W563" s="31" t="str">
        <f t="shared" ca="1" si="28"/>
        <v/>
      </c>
      <c r="Z563" s="31"/>
    </row>
    <row r="564" spans="2:26">
      <c r="B564" s="2"/>
      <c r="C564" t="str">
        <f>IF(B564&lt;&gt;"",INDEX('Sales Orders'!C:C,MATCH('Booking Management'!B564,'Sales Orders'!A:A,0)),"")</f>
        <v/>
      </c>
      <c r="K564" s="31" t="str">
        <f t="shared" ca="1" si="27"/>
        <v/>
      </c>
      <c r="P564" t="str">
        <f t="shared" si="29"/>
        <v/>
      </c>
      <c r="Q564" t="str">
        <f>IFERROR((J564/SUMIFS('Sales Orders'!D:D,'Sales Orders'!A:A,B564))*SUMIFS('Sales Orders'!N:N,'Sales Orders'!A:A,B564),"")</f>
        <v/>
      </c>
      <c r="W564" s="31" t="str">
        <f t="shared" ca="1" si="28"/>
        <v/>
      </c>
      <c r="Z564" s="31"/>
    </row>
    <row r="565" spans="2:26">
      <c r="B565" s="2"/>
      <c r="C565" t="str">
        <f>IF(B565&lt;&gt;"",INDEX('Sales Orders'!C:C,MATCH('Booking Management'!B565,'Sales Orders'!A:A,0)),"")</f>
        <v/>
      </c>
      <c r="K565" s="31" t="str">
        <f t="shared" ca="1" si="27"/>
        <v/>
      </c>
      <c r="P565" t="str">
        <f t="shared" si="29"/>
        <v/>
      </c>
      <c r="Q565" t="str">
        <f>IFERROR((J565/SUMIFS('Sales Orders'!D:D,'Sales Orders'!A:A,B565))*SUMIFS('Sales Orders'!N:N,'Sales Orders'!A:A,B565),"")</f>
        <v/>
      </c>
      <c r="W565" s="31" t="str">
        <f t="shared" ca="1" si="28"/>
        <v/>
      </c>
      <c r="Z565" s="31"/>
    </row>
    <row r="566" spans="2:26">
      <c r="B566" s="2"/>
      <c r="C566" t="str">
        <f>IF(B566&lt;&gt;"",INDEX('Sales Orders'!C:C,MATCH('Booking Management'!B566,'Sales Orders'!A:A,0)),"")</f>
        <v/>
      </c>
      <c r="K566" s="31" t="str">
        <f t="shared" ca="1" si="27"/>
        <v/>
      </c>
      <c r="P566" t="str">
        <f t="shared" si="29"/>
        <v/>
      </c>
      <c r="Q566" t="str">
        <f>IFERROR((J566/SUMIFS('Sales Orders'!D:D,'Sales Orders'!A:A,B566))*SUMIFS('Sales Orders'!N:N,'Sales Orders'!A:A,B566),"")</f>
        <v/>
      </c>
      <c r="W566" s="31" t="str">
        <f t="shared" ca="1" si="28"/>
        <v/>
      </c>
      <c r="Z566" s="31"/>
    </row>
    <row r="567" spans="2:26">
      <c r="B567" s="2"/>
      <c r="C567" t="str">
        <f>IF(B567&lt;&gt;"",INDEX('Sales Orders'!C:C,MATCH('Booking Management'!B567,'Sales Orders'!A:A,0)),"")</f>
        <v/>
      </c>
      <c r="K567" s="31" t="str">
        <f t="shared" ca="1" si="27"/>
        <v/>
      </c>
      <c r="P567" t="str">
        <f t="shared" si="29"/>
        <v/>
      </c>
      <c r="Q567" t="str">
        <f>IFERROR((J567/SUMIFS('Sales Orders'!D:D,'Sales Orders'!A:A,B567))*SUMIFS('Sales Orders'!N:N,'Sales Orders'!A:A,B567),"")</f>
        <v/>
      </c>
      <c r="W567" s="31" t="str">
        <f t="shared" ca="1" si="28"/>
        <v/>
      </c>
      <c r="Z567" s="31"/>
    </row>
    <row r="568" spans="2:26">
      <c r="B568" s="2"/>
      <c r="C568" t="str">
        <f>IF(B568&lt;&gt;"",INDEX('Sales Orders'!C:C,MATCH('Booking Management'!B568,'Sales Orders'!A:A,0)),"")</f>
        <v/>
      </c>
      <c r="K568" s="31" t="str">
        <f t="shared" ca="1" si="27"/>
        <v/>
      </c>
      <c r="P568" t="str">
        <f t="shared" si="29"/>
        <v/>
      </c>
      <c r="Q568" t="str">
        <f>IFERROR((J568/SUMIFS('Sales Orders'!D:D,'Sales Orders'!A:A,B568))*SUMIFS('Sales Orders'!N:N,'Sales Orders'!A:A,B568),"")</f>
        <v/>
      </c>
      <c r="W568" s="31" t="str">
        <f t="shared" ca="1" si="28"/>
        <v/>
      </c>
      <c r="Z568" s="31"/>
    </row>
    <row r="569" spans="2:26">
      <c r="B569" s="2"/>
      <c r="C569" t="str">
        <f>IF(B569&lt;&gt;"",INDEX('Sales Orders'!C:C,MATCH('Booking Management'!B569,'Sales Orders'!A:A,0)),"")</f>
        <v/>
      </c>
      <c r="K569" s="31" t="str">
        <f t="shared" ca="1" si="27"/>
        <v/>
      </c>
      <c r="P569" t="str">
        <f t="shared" si="29"/>
        <v/>
      </c>
      <c r="Q569" t="str">
        <f>IFERROR((J569/SUMIFS('Sales Orders'!D:D,'Sales Orders'!A:A,B569))*SUMIFS('Sales Orders'!N:N,'Sales Orders'!A:A,B569),"")</f>
        <v/>
      </c>
      <c r="W569" s="31" t="str">
        <f t="shared" ca="1" si="28"/>
        <v/>
      </c>
      <c r="Z569" s="31"/>
    </row>
    <row r="570" spans="2:26">
      <c r="B570" s="2"/>
      <c r="C570" t="str">
        <f>IF(B570&lt;&gt;"",INDEX('Sales Orders'!C:C,MATCH('Booking Management'!B570,'Sales Orders'!A:A,0)),"")</f>
        <v/>
      </c>
      <c r="K570" s="31" t="str">
        <f t="shared" ca="1" si="27"/>
        <v/>
      </c>
      <c r="P570" t="str">
        <f t="shared" si="29"/>
        <v/>
      </c>
      <c r="Q570" t="str">
        <f>IFERROR((J570/SUMIFS('Sales Orders'!D:D,'Sales Orders'!A:A,B570))*SUMIFS('Sales Orders'!N:N,'Sales Orders'!A:A,B570),"")</f>
        <v/>
      </c>
      <c r="W570" s="31" t="str">
        <f t="shared" ca="1" si="28"/>
        <v/>
      </c>
      <c r="Z570" s="31"/>
    </row>
    <row r="571" spans="2:26">
      <c r="B571" s="2"/>
      <c r="C571" t="str">
        <f>IF(B571&lt;&gt;"",INDEX('Sales Orders'!C:C,MATCH('Booking Management'!B571,'Sales Orders'!A:A,0)),"")</f>
        <v/>
      </c>
      <c r="K571" s="31" t="str">
        <f t="shared" ca="1" si="27"/>
        <v/>
      </c>
      <c r="P571" t="str">
        <f t="shared" si="29"/>
        <v/>
      </c>
      <c r="Q571" t="str">
        <f>IFERROR((J571/SUMIFS('Sales Orders'!D:D,'Sales Orders'!A:A,B571))*SUMIFS('Sales Orders'!N:N,'Sales Orders'!A:A,B571),"")</f>
        <v/>
      </c>
      <c r="W571" s="31" t="str">
        <f t="shared" ca="1" si="28"/>
        <v/>
      </c>
      <c r="Z571" s="31"/>
    </row>
    <row r="572" spans="2:26">
      <c r="B572" s="2"/>
      <c r="C572" t="str">
        <f>IF(B572&lt;&gt;"",INDEX('Sales Orders'!C:C,MATCH('Booking Management'!B572,'Sales Orders'!A:A,0)),"")</f>
        <v/>
      </c>
      <c r="K572" s="31" t="str">
        <f t="shared" ca="1" si="27"/>
        <v/>
      </c>
      <c r="P572" t="str">
        <f t="shared" si="29"/>
        <v/>
      </c>
      <c r="Q572" t="str">
        <f>IFERROR((J572/SUMIFS('Sales Orders'!D:D,'Sales Orders'!A:A,B572))*SUMIFS('Sales Orders'!N:N,'Sales Orders'!A:A,B572),"")</f>
        <v/>
      </c>
      <c r="W572" s="31" t="str">
        <f t="shared" ca="1" si="28"/>
        <v/>
      </c>
      <c r="Z572" s="31"/>
    </row>
    <row r="573" spans="2:26">
      <c r="B573" s="2"/>
      <c r="C573" t="str">
        <f>IF(B573&lt;&gt;"",INDEX('Sales Orders'!C:C,MATCH('Booking Management'!B573,'Sales Orders'!A:A,0)),"")</f>
        <v/>
      </c>
      <c r="K573" s="31" t="str">
        <f t="shared" ca="1" si="27"/>
        <v/>
      </c>
      <c r="P573" t="str">
        <f t="shared" si="29"/>
        <v/>
      </c>
      <c r="Q573" t="str">
        <f>IFERROR((J573/SUMIFS('Sales Orders'!D:D,'Sales Orders'!A:A,B573))*SUMIFS('Sales Orders'!N:N,'Sales Orders'!A:A,B573),"")</f>
        <v/>
      </c>
      <c r="W573" s="31" t="str">
        <f t="shared" ca="1" si="28"/>
        <v/>
      </c>
      <c r="Z573" s="31"/>
    </row>
    <row r="574" spans="2:26">
      <c r="B574" s="2"/>
      <c r="C574" t="str">
        <f>IF(B574&lt;&gt;"",INDEX('Sales Orders'!C:C,MATCH('Booking Management'!B574,'Sales Orders'!A:A,0)),"")</f>
        <v/>
      </c>
      <c r="K574" s="31" t="str">
        <f t="shared" ca="1" si="27"/>
        <v/>
      </c>
      <c r="P574" t="str">
        <f t="shared" si="29"/>
        <v/>
      </c>
      <c r="Q574" t="str">
        <f>IFERROR((J574/SUMIFS('Sales Orders'!D:D,'Sales Orders'!A:A,B574))*SUMIFS('Sales Orders'!N:N,'Sales Orders'!A:A,B574),"")</f>
        <v/>
      </c>
      <c r="W574" s="31" t="str">
        <f t="shared" ca="1" si="28"/>
        <v/>
      </c>
      <c r="Z574" s="31"/>
    </row>
    <row r="575" spans="2:26">
      <c r="B575" s="2"/>
      <c r="C575" t="str">
        <f>IF(B575&lt;&gt;"",INDEX('Sales Orders'!C:C,MATCH('Booking Management'!B575,'Sales Orders'!A:A,0)),"")</f>
        <v/>
      </c>
      <c r="K575" s="31" t="str">
        <f t="shared" ca="1" si="27"/>
        <v/>
      </c>
      <c r="P575" t="str">
        <f t="shared" si="29"/>
        <v/>
      </c>
      <c r="Q575" t="str">
        <f>IFERROR((J575/SUMIFS('Sales Orders'!D:D,'Sales Orders'!A:A,B575))*SUMIFS('Sales Orders'!N:N,'Sales Orders'!A:A,B575),"")</f>
        <v/>
      </c>
      <c r="W575" s="31" t="str">
        <f t="shared" ca="1" si="28"/>
        <v/>
      </c>
      <c r="Z575" s="31"/>
    </row>
    <row r="576" spans="2:26">
      <c r="B576" s="2"/>
      <c r="C576" t="str">
        <f>IF(B576&lt;&gt;"",INDEX('Sales Orders'!C:C,MATCH('Booking Management'!B576,'Sales Orders'!A:A,0)),"")</f>
        <v/>
      </c>
      <c r="K576" s="31" t="str">
        <f t="shared" ca="1" si="27"/>
        <v/>
      </c>
      <c r="P576" t="str">
        <f t="shared" si="29"/>
        <v/>
      </c>
      <c r="Q576" t="str">
        <f>IFERROR((J576/SUMIFS('Sales Orders'!D:D,'Sales Orders'!A:A,B576))*SUMIFS('Sales Orders'!N:N,'Sales Orders'!A:A,B576),"")</f>
        <v/>
      </c>
      <c r="W576" s="31" t="str">
        <f t="shared" ca="1" si="28"/>
        <v/>
      </c>
      <c r="Z576" s="31"/>
    </row>
    <row r="577" spans="2:26">
      <c r="B577" s="2"/>
      <c r="C577" t="str">
        <f>IF(B577&lt;&gt;"",INDEX('Sales Orders'!C:C,MATCH('Booking Management'!B577,'Sales Orders'!A:A,0)),"")</f>
        <v/>
      </c>
      <c r="K577" s="31" t="str">
        <f t="shared" ca="1" si="27"/>
        <v/>
      </c>
      <c r="P577" t="str">
        <f t="shared" si="29"/>
        <v/>
      </c>
      <c r="Q577" t="str">
        <f>IFERROR((J577/SUMIFS('Sales Orders'!D:D,'Sales Orders'!A:A,B577))*SUMIFS('Sales Orders'!N:N,'Sales Orders'!A:A,B577),"")</f>
        <v/>
      </c>
      <c r="W577" s="31" t="str">
        <f t="shared" ca="1" si="28"/>
        <v/>
      </c>
      <c r="Z577" s="31"/>
    </row>
    <row r="578" spans="2:26">
      <c r="B578" s="2"/>
      <c r="C578" t="str">
        <f>IF(B578&lt;&gt;"",INDEX('Sales Orders'!C:C,MATCH('Booking Management'!B578,'Sales Orders'!A:A,0)),"")</f>
        <v/>
      </c>
      <c r="K578" s="31" t="str">
        <f t="shared" ca="1" si="27"/>
        <v/>
      </c>
      <c r="P578" t="str">
        <f t="shared" si="29"/>
        <v/>
      </c>
      <c r="Q578" t="str">
        <f>IFERROR((J578/SUMIFS('Sales Orders'!D:D,'Sales Orders'!A:A,B578))*SUMIFS('Sales Orders'!N:N,'Sales Orders'!A:A,B578),"")</f>
        <v/>
      </c>
      <c r="W578" s="31" t="str">
        <f t="shared" ca="1" si="28"/>
        <v/>
      </c>
      <c r="Z578" s="31"/>
    </row>
    <row r="579" spans="2:26">
      <c r="B579" s="2"/>
      <c r="C579" t="str">
        <f>IF(B579&lt;&gt;"",INDEX('Sales Orders'!C:C,MATCH('Booking Management'!B579,'Sales Orders'!A:A,0)),"")</f>
        <v/>
      </c>
      <c r="K579" s="31" t="str">
        <f t="shared" ref="K579:K642" ca="1" si="30">IF(B579&lt;&gt;"",IF(AND(OR(L579-TODAY()&lt;2,M579&lt;&gt;"yes",N579&lt;&gt;"yes",O579&lt;&gt;"yes"),S579&lt;&gt;"Used"),"Alert",""),"")</f>
        <v/>
      </c>
      <c r="P579" t="str">
        <f t="shared" si="29"/>
        <v/>
      </c>
      <c r="Q579" t="str">
        <f>IFERROR((J579/SUMIFS('Sales Orders'!D:D,'Sales Orders'!A:A,B579))*SUMIFS('Sales Orders'!N:N,'Sales Orders'!A:A,B579),"")</f>
        <v/>
      </c>
      <c r="W579" s="31" t="str">
        <f t="shared" ca="1" si="28"/>
        <v/>
      </c>
      <c r="Z579" s="31"/>
    </row>
    <row r="580" spans="2:26">
      <c r="B580" s="2"/>
      <c r="C580" t="str">
        <f>IF(B580&lt;&gt;"",INDEX('Sales Orders'!C:C,MATCH('Booking Management'!B580,'Sales Orders'!A:A,0)),"")</f>
        <v/>
      </c>
      <c r="K580" s="31" t="str">
        <f t="shared" ca="1" si="30"/>
        <v/>
      </c>
      <c r="P580" t="str">
        <f t="shared" si="29"/>
        <v/>
      </c>
      <c r="Q580" t="str">
        <f>IFERROR((J580/SUMIFS('Sales Orders'!D:D,'Sales Orders'!A:A,B580))*SUMIFS('Sales Orders'!N:N,'Sales Orders'!A:A,B580),"")</f>
        <v/>
      </c>
      <c r="W580" s="31" t="str">
        <f t="shared" ca="1" si="28"/>
        <v/>
      </c>
      <c r="Z580" s="31"/>
    </row>
    <row r="581" spans="2:26">
      <c r="B581" s="2"/>
      <c r="C581" t="str">
        <f>IF(B581&lt;&gt;"",INDEX('Sales Orders'!C:C,MATCH('Booking Management'!B581,'Sales Orders'!A:A,0)),"")</f>
        <v/>
      </c>
      <c r="K581" s="31" t="str">
        <f t="shared" ca="1" si="30"/>
        <v/>
      </c>
      <c r="P581" t="str">
        <f t="shared" si="29"/>
        <v/>
      </c>
      <c r="Q581" t="str">
        <f>IFERROR((J581/SUMIFS('Sales Orders'!D:D,'Sales Orders'!A:A,B581))*SUMIFS('Sales Orders'!N:N,'Sales Orders'!A:A,B581),"")</f>
        <v/>
      </c>
      <c r="W581" s="31" t="str">
        <f t="shared" ca="1" si="28"/>
        <v/>
      </c>
      <c r="Z581" s="31"/>
    </row>
    <row r="582" spans="2:26">
      <c r="B582" s="2"/>
      <c r="C582" t="str">
        <f>IF(B582&lt;&gt;"",INDEX('Sales Orders'!C:C,MATCH('Booking Management'!B582,'Sales Orders'!A:A,0)),"")</f>
        <v/>
      </c>
      <c r="K582" s="31" t="str">
        <f t="shared" ca="1" si="30"/>
        <v/>
      </c>
      <c r="P582" t="str">
        <f t="shared" si="29"/>
        <v/>
      </c>
      <c r="Q582" t="str">
        <f>IFERROR((J582/SUMIFS('Sales Orders'!D:D,'Sales Orders'!A:A,B582))*SUMIFS('Sales Orders'!N:N,'Sales Orders'!A:A,B582),"")</f>
        <v/>
      </c>
      <c r="W582" s="31" t="str">
        <f t="shared" ca="1" si="28"/>
        <v/>
      </c>
      <c r="Z582" s="31"/>
    </row>
    <row r="583" spans="2:26">
      <c r="B583" s="2"/>
      <c r="C583" t="str">
        <f>IF(B583&lt;&gt;"",INDEX('Sales Orders'!C:C,MATCH('Booking Management'!B583,'Sales Orders'!A:A,0)),"")</f>
        <v/>
      </c>
      <c r="K583" s="31" t="str">
        <f t="shared" ca="1" si="30"/>
        <v/>
      </c>
      <c r="P583" t="str">
        <f t="shared" si="29"/>
        <v/>
      </c>
      <c r="Q583" t="str">
        <f>IFERROR((J583/SUMIFS('Sales Orders'!D:D,'Sales Orders'!A:A,B583))*SUMIFS('Sales Orders'!N:N,'Sales Orders'!A:A,B583),"")</f>
        <v/>
      </c>
      <c r="W583" s="31" t="str">
        <f t="shared" ref="W583:W646" ca="1" si="31">IF(T583&lt;&gt;"",IF(X583="Yes","NO",IF((TODAY()-V583)&gt;6,"YES","NO")),"")</f>
        <v/>
      </c>
      <c r="Z583" s="31"/>
    </row>
    <row r="584" spans="2:26">
      <c r="B584" s="2"/>
      <c r="C584" t="str">
        <f>IF(B584&lt;&gt;"",INDEX('Sales Orders'!C:C,MATCH('Booking Management'!B584,'Sales Orders'!A:A,0)),"")</f>
        <v/>
      </c>
      <c r="K584" s="31" t="str">
        <f t="shared" ca="1" si="30"/>
        <v/>
      </c>
      <c r="P584" t="str">
        <f t="shared" si="29"/>
        <v/>
      </c>
      <c r="Q584" t="str">
        <f>IFERROR((J584/SUMIFS('Sales Orders'!D:D,'Sales Orders'!A:A,B584))*SUMIFS('Sales Orders'!N:N,'Sales Orders'!A:A,B584),"")</f>
        <v/>
      </c>
      <c r="W584" s="31" t="str">
        <f t="shared" ca="1" si="31"/>
        <v/>
      </c>
      <c r="Z584" s="31"/>
    </row>
    <row r="585" spans="2:26">
      <c r="B585" s="2"/>
      <c r="C585" t="str">
        <f>IF(B585&lt;&gt;"",INDEX('Sales Orders'!C:C,MATCH('Booking Management'!B585,'Sales Orders'!A:A,0)),"")</f>
        <v/>
      </c>
      <c r="K585" s="31" t="str">
        <f t="shared" ca="1" si="30"/>
        <v/>
      </c>
      <c r="P585" t="str">
        <f t="shared" si="29"/>
        <v/>
      </c>
      <c r="Q585" t="str">
        <f>IFERROR((J585/SUMIFS('Sales Orders'!D:D,'Sales Orders'!A:A,B585))*SUMIFS('Sales Orders'!N:N,'Sales Orders'!A:A,B585),"")</f>
        <v/>
      </c>
      <c r="W585" s="31" t="str">
        <f t="shared" ca="1" si="31"/>
        <v/>
      </c>
      <c r="Z585" s="31"/>
    </row>
    <row r="586" spans="2:26">
      <c r="B586" s="2"/>
      <c r="C586" t="str">
        <f>IF(B586&lt;&gt;"",INDEX('Sales Orders'!C:C,MATCH('Booking Management'!B586,'Sales Orders'!A:A,0)),"")</f>
        <v/>
      </c>
      <c r="K586" s="31" t="str">
        <f t="shared" ca="1" si="30"/>
        <v/>
      </c>
      <c r="P586" t="str">
        <f t="shared" si="29"/>
        <v/>
      </c>
      <c r="Q586" t="str">
        <f>IFERROR((J586/SUMIFS('Sales Orders'!D:D,'Sales Orders'!A:A,B586))*SUMIFS('Sales Orders'!N:N,'Sales Orders'!A:A,B586),"")</f>
        <v/>
      </c>
      <c r="W586" s="31" t="str">
        <f t="shared" ca="1" si="31"/>
        <v/>
      </c>
      <c r="Z586" s="31"/>
    </row>
    <row r="587" spans="2:26">
      <c r="B587" s="2"/>
      <c r="C587" t="str">
        <f>IF(B587&lt;&gt;"",INDEX('Sales Orders'!C:C,MATCH('Booking Management'!B587,'Sales Orders'!A:A,0)),"")</f>
        <v/>
      </c>
      <c r="K587" s="31" t="str">
        <f t="shared" ca="1" si="30"/>
        <v/>
      </c>
      <c r="P587" t="str">
        <f t="shared" si="29"/>
        <v/>
      </c>
      <c r="Q587" t="str">
        <f>IFERROR((J587/SUMIFS('Sales Orders'!D:D,'Sales Orders'!A:A,B587))*SUMIFS('Sales Orders'!N:N,'Sales Orders'!A:A,B587),"")</f>
        <v/>
      </c>
      <c r="W587" s="31" t="str">
        <f t="shared" ca="1" si="31"/>
        <v/>
      </c>
      <c r="Z587" s="31"/>
    </row>
    <row r="588" spans="2:26">
      <c r="B588" s="2"/>
      <c r="C588" t="str">
        <f>IF(B588&lt;&gt;"",INDEX('Sales Orders'!C:C,MATCH('Booking Management'!B588,'Sales Orders'!A:A,0)),"")</f>
        <v/>
      </c>
      <c r="K588" s="31" t="str">
        <f t="shared" ca="1" si="30"/>
        <v/>
      </c>
      <c r="P588" t="str">
        <f t="shared" si="29"/>
        <v/>
      </c>
      <c r="Q588" t="str">
        <f>IFERROR((J588/SUMIFS('Sales Orders'!D:D,'Sales Orders'!A:A,B588))*SUMIFS('Sales Orders'!N:N,'Sales Orders'!A:A,B588),"")</f>
        <v/>
      </c>
      <c r="W588" s="31" t="str">
        <f t="shared" ca="1" si="31"/>
        <v/>
      </c>
      <c r="Z588" s="31"/>
    </row>
    <row r="589" spans="2:26">
      <c r="B589" s="2"/>
      <c r="C589" t="str">
        <f>IF(B589&lt;&gt;"",INDEX('Sales Orders'!C:C,MATCH('Booking Management'!B589,'Sales Orders'!A:A,0)),"")</f>
        <v/>
      </c>
      <c r="K589" s="31" t="str">
        <f t="shared" ca="1" si="30"/>
        <v/>
      </c>
      <c r="P589" t="str">
        <f t="shared" si="29"/>
        <v/>
      </c>
      <c r="Q589" t="str">
        <f>IFERROR((J589/SUMIFS('Sales Orders'!D:D,'Sales Orders'!A:A,B589))*SUMIFS('Sales Orders'!N:N,'Sales Orders'!A:A,B589),"")</f>
        <v/>
      </c>
      <c r="W589" s="31" t="str">
        <f t="shared" ca="1" si="31"/>
        <v/>
      </c>
      <c r="Z589" s="31"/>
    </row>
    <row r="590" spans="2:26">
      <c r="B590" s="2"/>
      <c r="C590" t="str">
        <f>IF(B590&lt;&gt;"",INDEX('Sales Orders'!C:C,MATCH('Booking Management'!B590,'Sales Orders'!A:A,0)),"")</f>
        <v/>
      </c>
      <c r="K590" s="31" t="str">
        <f t="shared" ca="1" si="30"/>
        <v/>
      </c>
      <c r="P590" t="str">
        <f t="shared" si="29"/>
        <v/>
      </c>
      <c r="Q590" t="str">
        <f>IFERROR((J590/SUMIFS('Sales Orders'!D:D,'Sales Orders'!A:A,B590))*SUMIFS('Sales Orders'!N:N,'Sales Orders'!A:A,B590),"")</f>
        <v/>
      </c>
      <c r="W590" s="31" t="str">
        <f t="shared" ca="1" si="31"/>
        <v/>
      </c>
      <c r="Z590" s="31"/>
    </row>
    <row r="591" spans="2:26">
      <c r="B591" s="2"/>
      <c r="C591" t="str">
        <f>IF(B591&lt;&gt;"",INDEX('Sales Orders'!C:C,MATCH('Booking Management'!B591,'Sales Orders'!A:A,0)),"")</f>
        <v/>
      </c>
      <c r="K591" s="31" t="str">
        <f t="shared" ca="1" si="30"/>
        <v/>
      </c>
      <c r="P591" t="str">
        <f t="shared" si="29"/>
        <v/>
      </c>
      <c r="Q591" t="str">
        <f>IFERROR((J591/SUMIFS('Sales Orders'!D:D,'Sales Orders'!A:A,B591))*SUMIFS('Sales Orders'!N:N,'Sales Orders'!A:A,B591),"")</f>
        <v/>
      </c>
      <c r="W591" s="31" t="str">
        <f t="shared" ca="1" si="31"/>
        <v/>
      </c>
      <c r="Z591" s="31"/>
    </row>
    <row r="592" spans="2:26">
      <c r="B592" s="2"/>
      <c r="C592" t="str">
        <f>IF(B592&lt;&gt;"",INDEX('Sales Orders'!C:C,MATCH('Booking Management'!B592,'Sales Orders'!A:A,0)),"")</f>
        <v/>
      </c>
      <c r="K592" s="31" t="str">
        <f t="shared" ca="1" si="30"/>
        <v/>
      </c>
      <c r="P592" t="str">
        <f t="shared" si="29"/>
        <v/>
      </c>
      <c r="Q592" t="str">
        <f>IFERROR((J592/SUMIFS('Sales Orders'!D:D,'Sales Orders'!A:A,B592))*SUMIFS('Sales Orders'!N:N,'Sales Orders'!A:A,B592),"")</f>
        <v/>
      </c>
      <c r="W592" s="31" t="str">
        <f t="shared" ca="1" si="31"/>
        <v/>
      </c>
      <c r="Z592" s="31"/>
    </row>
    <row r="593" spans="2:26">
      <c r="B593" s="2"/>
      <c r="C593" t="str">
        <f>IF(B593&lt;&gt;"",INDEX('Sales Orders'!C:C,MATCH('Booking Management'!B593,'Sales Orders'!A:A,0)),"")</f>
        <v/>
      </c>
      <c r="K593" s="31" t="str">
        <f t="shared" ca="1" si="30"/>
        <v/>
      </c>
      <c r="P593" t="str">
        <f t="shared" si="29"/>
        <v/>
      </c>
      <c r="Q593" t="str">
        <f>IFERROR((J593/SUMIFS('Sales Orders'!D:D,'Sales Orders'!A:A,B593))*SUMIFS('Sales Orders'!N:N,'Sales Orders'!A:A,B593),"")</f>
        <v/>
      </c>
      <c r="W593" s="31" t="str">
        <f t="shared" ca="1" si="31"/>
        <v/>
      </c>
      <c r="Z593" s="31"/>
    </row>
    <row r="594" spans="2:26">
      <c r="B594" s="2"/>
      <c r="C594" t="str">
        <f>IF(B594&lt;&gt;"",INDEX('Sales Orders'!C:C,MATCH('Booking Management'!B594,'Sales Orders'!A:A,0)),"")</f>
        <v/>
      </c>
      <c r="K594" s="31" t="str">
        <f t="shared" ca="1" si="30"/>
        <v/>
      </c>
      <c r="P594" t="str">
        <f t="shared" si="29"/>
        <v/>
      </c>
      <c r="Q594" t="str">
        <f>IFERROR((J594/SUMIFS('Sales Orders'!D:D,'Sales Orders'!A:A,B594))*SUMIFS('Sales Orders'!N:N,'Sales Orders'!A:A,B594),"")</f>
        <v/>
      </c>
      <c r="W594" s="31" t="str">
        <f t="shared" ca="1" si="31"/>
        <v/>
      </c>
      <c r="Z594" s="31"/>
    </row>
    <row r="595" spans="2:26">
      <c r="B595" s="2"/>
      <c r="C595" t="str">
        <f>IF(B595&lt;&gt;"",INDEX('Sales Orders'!C:C,MATCH('Booking Management'!B595,'Sales Orders'!A:A,0)),"")</f>
        <v/>
      </c>
      <c r="K595" s="31" t="str">
        <f t="shared" ca="1" si="30"/>
        <v/>
      </c>
      <c r="P595" t="str">
        <f t="shared" si="29"/>
        <v/>
      </c>
      <c r="Q595" t="str">
        <f>IFERROR((J595/SUMIFS('Sales Orders'!D:D,'Sales Orders'!A:A,B595))*SUMIFS('Sales Orders'!N:N,'Sales Orders'!A:A,B595),"")</f>
        <v/>
      </c>
      <c r="W595" s="31" t="str">
        <f t="shared" ca="1" si="31"/>
        <v/>
      </c>
      <c r="Z595" s="31"/>
    </row>
    <row r="596" spans="2:26">
      <c r="B596" s="2"/>
      <c r="C596" t="str">
        <f>IF(B596&lt;&gt;"",INDEX('Sales Orders'!C:C,MATCH('Booking Management'!B596,'Sales Orders'!A:A,0)),"")</f>
        <v/>
      </c>
      <c r="K596" s="31" t="str">
        <f t="shared" ca="1" si="30"/>
        <v/>
      </c>
      <c r="P596" t="str">
        <f t="shared" si="29"/>
        <v/>
      </c>
      <c r="Q596" t="str">
        <f>IFERROR((J596/SUMIFS('Sales Orders'!D:D,'Sales Orders'!A:A,B596))*SUMIFS('Sales Orders'!N:N,'Sales Orders'!A:A,B596),"")</f>
        <v/>
      </c>
      <c r="W596" s="31" t="str">
        <f t="shared" ca="1" si="31"/>
        <v/>
      </c>
      <c r="Z596" s="31"/>
    </row>
    <row r="597" spans="2:26">
      <c r="B597" s="2"/>
      <c r="C597" t="str">
        <f>IF(B597&lt;&gt;"",INDEX('Sales Orders'!C:C,MATCH('Booking Management'!B597,'Sales Orders'!A:A,0)),"")</f>
        <v/>
      </c>
      <c r="K597" s="31" t="str">
        <f t="shared" ca="1" si="30"/>
        <v/>
      </c>
      <c r="P597" t="str">
        <f t="shared" si="29"/>
        <v/>
      </c>
      <c r="Q597" t="str">
        <f>IFERROR((J597/SUMIFS('Sales Orders'!D:D,'Sales Orders'!A:A,B597))*SUMIFS('Sales Orders'!N:N,'Sales Orders'!A:A,B597),"")</f>
        <v/>
      </c>
      <c r="W597" s="31" t="str">
        <f t="shared" ca="1" si="31"/>
        <v/>
      </c>
      <c r="Z597" s="31"/>
    </row>
    <row r="598" spans="2:26">
      <c r="B598" s="2"/>
      <c r="C598" t="str">
        <f>IF(B598&lt;&gt;"",INDEX('Sales Orders'!C:C,MATCH('Booking Management'!B598,'Sales Orders'!A:A,0)),"")</f>
        <v/>
      </c>
      <c r="K598" s="31" t="str">
        <f t="shared" ca="1" si="30"/>
        <v/>
      </c>
      <c r="P598" t="str">
        <f t="shared" si="29"/>
        <v/>
      </c>
      <c r="Q598" t="str">
        <f>IFERROR((J598/SUMIFS('Sales Orders'!D:D,'Sales Orders'!A:A,B598))*SUMIFS('Sales Orders'!N:N,'Sales Orders'!A:A,B598),"")</f>
        <v/>
      </c>
      <c r="W598" s="31" t="str">
        <f t="shared" ca="1" si="31"/>
        <v/>
      </c>
      <c r="Z598" s="31"/>
    </row>
    <row r="599" spans="2:26">
      <c r="B599" s="2"/>
      <c r="C599" t="str">
        <f>IF(B599&lt;&gt;"",INDEX('Sales Orders'!C:C,MATCH('Booking Management'!B599,'Sales Orders'!A:A,0)),"")</f>
        <v/>
      </c>
      <c r="K599" s="31" t="str">
        <f t="shared" ca="1" si="30"/>
        <v/>
      </c>
      <c r="P599" t="str">
        <f t="shared" si="29"/>
        <v/>
      </c>
      <c r="Q599" t="str">
        <f>IFERROR((J599/SUMIFS('Sales Orders'!D:D,'Sales Orders'!A:A,B599))*SUMIFS('Sales Orders'!N:N,'Sales Orders'!A:A,B599),"")</f>
        <v/>
      </c>
      <c r="W599" s="31" t="str">
        <f t="shared" ca="1" si="31"/>
        <v/>
      </c>
      <c r="Z599" s="31"/>
    </row>
    <row r="600" spans="2:26">
      <c r="B600" s="2"/>
      <c r="C600" t="str">
        <f>IF(B600&lt;&gt;"",INDEX('Sales Orders'!C:C,MATCH('Booking Management'!B600,'Sales Orders'!A:A,0)),"")</f>
        <v/>
      </c>
      <c r="K600" s="31" t="str">
        <f t="shared" ca="1" si="30"/>
        <v/>
      </c>
      <c r="P600" t="str">
        <f t="shared" si="29"/>
        <v/>
      </c>
      <c r="Q600" t="str">
        <f>IFERROR((J600/SUMIFS('Sales Orders'!D:D,'Sales Orders'!A:A,B600))*SUMIFS('Sales Orders'!N:N,'Sales Orders'!A:A,B600),"")</f>
        <v/>
      </c>
      <c r="W600" s="31" t="str">
        <f t="shared" ca="1" si="31"/>
        <v/>
      </c>
      <c r="Z600" s="31"/>
    </row>
    <row r="601" spans="2:26">
      <c r="B601" s="2"/>
      <c r="C601" t="str">
        <f>IF(B601&lt;&gt;"",INDEX('Sales Orders'!C:C,MATCH('Booking Management'!B601,'Sales Orders'!A:A,0)),"")</f>
        <v/>
      </c>
      <c r="K601" s="31" t="str">
        <f t="shared" ca="1" si="30"/>
        <v/>
      </c>
      <c r="P601" t="str">
        <f t="shared" si="29"/>
        <v/>
      </c>
      <c r="Q601" t="str">
        <f>IFERROR((J601/SUMIFS('Sales Orders'!D:D,'Sales Orders'!A:A,B601))*SUMIFS('Sales Orders'!N:N,'Sales Orders'!A:A,B601),"")</f>
        <v/>
      </c>
      <c r="W601" s="31" t="str">
        <f t="shared" ca="1" si="31"/>
        <v/>
      </c>
      <c r="Z601" s="31"/>
    </row>
    <row r="602" spans="2:26">
      <c r="B602" s="2"/>
      <c r="C602" t="str">
        <f>IF(B602&lt;&gt;"",INDEX('Sales Orders'!C:C,MATCH('Booking Management'!B602,'Sales Orders'!A:A,0)),"")</f>
        <v/>
      </c>
      <c r="K602" s="31" t="str">
        <f t="shared" ca="1" si="30"/>
        <v/>
      </c>
      <c r="P602" t="str">
        <f t="shared" si="29"/>
        <v/>
      </c>
      <c r="Q602" t="str">
        <f>IFERROR((J602/SUMIFS('Sales Orders'!D:D,'Sales Orders'!A:A,B602))*SUMIFS('Sales Orders'!N:N,'Sales Orders'!A:A,B602),"")</f>
        <v/>
      </c>
      <c r="W602" s="31" t="str">
        <f t="shared" ca="1" si="31"/>
        <v/>
      </c>
      <c r="Z602" s="31"/>
    </row>
    <row r="603" spans="2:26">
      <c r="B603" s="2"/>
      <c r="C603" t="str">
        <f>IF(B603&lt;&gt;"",INDEX('Sales Orders'!C:C,MATCH('Booking Management'!B603,'Sales Orders'!A:A,0)),"")</f>
        <v/>
      </c>
      <c r="K603" s="31" t="str">
        <f t="shared" ca="1" si="30"/>
        <v/>
      </c>
      <c r="P603" t="str">
        <f t="shared" si="29"/>
        <v/>
      </c>
      <c r="Q603" t="str">
        <f>IFERROR((J603/SUMIFS('Sales Orders'!D:D,'Sales Orders'!A:A,B603))*SUMIFS('Sales Orders'!N:N,'Sales Orders'!A:A,B603),"")</f>
        <v/>
      </c>
      <c r="W603" s="31" t="str">
        <f t="shared" ca="1" si="31"/>
        <v/>
      </c>
      <c r="Z603" s="31"/>
    </row>
    <row r="604" spans="2:26">
      <c r="B604" s="2"/>
      <c r="C604" t="str">
        <f>IF(B604&lt;&gt;"",INDEX('Sales Orders'!C:C,MATCH('Booking Management'!B604,'Sales Orders'!A:A,0)),"")</f>
        <v/>
      </c>
      <c r="K604" s="31" t="str">
        <f t="shared" ca="1" si="30"/>
        <v/>
      </c>
      <c r="P604" t="str">
        <f t="shared" si="29"/>
        <v/>
      </c>
      <c r="Q604" t="str">
        <f>IFERROR((J604/SUMIFS('Sales Orders'!D:D,'Sales Orders'!A:A,B604))*SUMIFS('Sales Orders'!N:N,'Sales Orders'!A:A,B604),"")</f>
        <v/>
      </c>
      <c r="W604" s="31" t="str">
        <f t="shared" ca="1" si="31"/>
        <v/>
      </c>
      <c r="Z604" s="31"/>
    </row>
    <row r="605" spans="2:26">
      <c r="B605" s="2"/>
      <c r="C605" t="str">
        <f>IF(B605&lt;&gt;"",INDEX('Sales Orders'!C:C,MATCH('Booking Management'!B605,'Sales Orders'!A:A,0)),"")</f>
        <v/>
      </c>
      <c r="K605" s="31" t="str">
        <f t="shared" ca="1" si="30"/>
        <v/>
      </c>
      <c r="P605" t="str">
        <f t="shared" si="29"/>
        <v/>
      </c>
      <c r="Q605" t="str">
        <f>IFERROR((J605/SUMIFS('Sales Orders'!D:D,'Sales Orders'!A:A,B605))*SUMIFS('Sales Orders'!N:N,'Sales Orders'!A:A,B605),"")</f>
        <v/>
      </c>
      <c r="W605" s="31" t="str">
        <f t="shared" ca="1" si="31"/>
        <v/>
      </c>
      <c r="Z605" s="31"/>
    </row>
    <row r="606" spans="2:26">
      <c r="B606" s="2"/>
      <c r="C606" t="str">
        <f>IF(B606&lt;&gt;"",INDEX('Sales Orders'!C:C,MATCH('Booking Management'!B606,'Sales Orders'!A:A,0)),"")</f>
        <v/>
      </c>
      <c r="K606" s="31" t="str">
        <f t="shared" ca="1" si="30"/>
        <v/>
      </c>
      <c r="P606" t="str">
        <f t="shared" si="29"/>
        <v/>
      </c>
      <c r="Q606" t="str">
        <f>IFERROR((J606/SUMIFS('Sales Orders'!D:D,'Sales Orders'!A:A,B606))*SUMIFS('Sales Orders'!N:N,'Sales Orders'!A:A,B606),"")</f>
        <v/>
      </c>
      <c r="W606" s="31" t="str">
        <f t="shared" ca="1" si="31"/>
        <v/>
      </c>
      <c r="Z606" s="31"/>
    </row>
    <row r="607" spans="2:26">
      <c r="B607" s="2"/>
      <c r="C607" t="str">
        <f>IF(B607&lt;&gt;"",INDEX('Sales Orders'!C:C,MATCH('Booking Management'!B607,'Sales Orders'!A:A,0)),"")</f>
        <v/>
      </c>
      <c r="K607" s="31" t="str">
        <f t="shared" ca="1" si="30"/>
        <v/>
      </c>
      <c r="P607" t="str">
        <f t="shared" si="29"/>
        <v/>
      </c>
      <c r="Q607" t="str">
        <f>IFERROR((J607/SUMIFS('Sales Orders'!D:D,'Sales Orders'!A:A,B607))*SUMIFS('Sales Orders'!N:N,'Sales Orders'!A:A,B607),"")</f>
        <v/>
      </c>
      <c r="W607" s="31" t="str">
        <f t="shared" ca="1" si="31"/>
        <v/>
      </c>
      <c r="Z607" s="31"/>
    </row>
    <row r="608" spans="2:26">
      <c r="B608" s="2"/>
      <c r="C608" t="str">
        <f>IF(B608&lt;&gt;"",INDEX('Sales Orders'!C:C,MATCH('Booking Management'!B608,'Sales Orders'!A:A,0)),"")</f>
        <v/>
      </c>
      <c r="K608" s="31" t="str">
        <f t="shared" ca="1" si="30"/>
        <v/>
      </c>
      <c r="P608" t="str">
        <f t="shared" si="29"/>
        <v/>
      </c>
      <c r="Q608" t="str">
        <f>IFERROR((J608/SUMIFS('Sales Orders'!D:D,'Sales Orders'!A:A,B608))*SUMIFS('Sales Orders'!N:N,'Sales Orders'!A:A,B608),"")</f>
        <v/>
      </c>
      <c r="W608" s="31" t="str">
        <f t="shared" ca="1" si="31"/>
        <v/>
      </c>
      <c r="Z608" s="31"/>
    </row>
    <row r="609" spans="2:26">
      <c r="B609" s="2"/>
      <c r="C609" t="str">
        <f>IF(B609&lt;&gt;"",INDEX('Sales Orders'!C:C,MATCH('Booking Management'!B609,'Sales Orders'!A:A,0)),"")</f>
        <v/>
      </c>
      <c r="K609" s="31" t="str">
        <f t="shared" ca="1" si="30"/>
        <v/>
      </c>
      <c r="P609" t="str">
        <f t="shared" ref="P609:P672" si="32">IF(B609&lt;&gt;"",T609-L609,"")</f>
        <v/>
      </c>
      <c r="Q609" t="str">
        <f>IFERROR((J609/SUMIFS('Sales Orders'!D:D,'Sales Orders'!A:A,B609))*SUMIFS('Sales Orders'!N:N,'Sales Orders'!A:A,B609),"")</f>
        <v/>
      </c>
      <c r="W609" s="31" t="str">
        <f t="shared" ca="1" si="31"/>
        <v/>
      </c>
      <c r="Z609" s="31"/>
    </row>
    <row r="610" spans="2:26">
      <c r="B610" s="2"/>
      <c r="C610" t="str">
        <f>IF(B610&lt;&gt;"",INDEX('Sales Orders'!C:C,MATCH('Booking Management'!B610,'Sales Orders'!A:A,0)),"")</f>
        <v/>
      </c>
      <c r="K610" s="31" t="str">
        <f t="shared" ca="1" si="30"/>
        <v/>
      </c>
      <c r="P610" t="str">
        <f t="shared" si="32"/>
        <v/>
      </c>
      <c r="Q610" t="str">
        <f>IFERROR((J610/SUMIFS('Sales Orders'!D:D,'Sales Orders'!A:A,B610))*SUMIFS('Sales Orders'!N:N,'Sales Orders'!A:A,B610),"")</f>
        <v/>
      </c>
      <c r="W610" s="31" t="str">
        <f t="shared" ca="1" si="31"/>
        <v/>
      </c>
      <c r="Z610" s="31"/>
    </row>
    <row r="611" spans="2:26">
      <c r="B611" s="2"/>
      <c r="C611" t="str">
        <f>IF(B611&lt;&gt;"",INDEX('Sales Orders'!C:C,MATCH('Booking Management'!B611,'Sales Orders'!A:A,0)),"")</f>
        <v/>
      </c>
      <c r="K611" s="31" t="str">
        <f t="shared" ca="1" si="30"/>
        <v/>
      </c>
      <c r="P611" t="str">
        <f t="shared" si="32"/>
        <v/>
      </c>
      <c r="Q611" t="str">
        <f>IFERROR((J611/SUMIFS('Sales Orders'!D:D,'Sales Orders'!A:A,B611))*SUMIFS('Sales Orders'!N:N,'Sales Orders'!A:A,B611),"")</f>
        <v/>
      </c>
      <c r="W611" s="31" t="str">
        <f t="shared" ca="1" si="31"/>
        <v/>
      </c>
      <c r="Z611" s="31"/>
    </row>
    <row r="612" spans="2:26">
      <c r="B612" s="2"/>
      <c r="C612" t="str">
        <f>IF(B612&lt;&gt;"",INDEX('Sales Orders'!C:C,MATCH('Booking Management'!B612,'Sales Orders'!A:A,0)),"")</f>
        <v/>
      </c>
      <c r="K612" s="31" t="str">
        <f t="shared" ca="1" si="30"/>
        <v/>
      </c>
      <c r="P612" t="str">
        <f t="shared" si="32"/>
        <v/>
      </c>
      <c r="Q612" t="str">
        <f>IFERROR((J612/SUMIFS('Sales Orders'!D:D,'Sales Orders'!A:A,B612))*SUMIFS('Sales Orders'!N:N,'Sales Orders'!A:A,B612),"")</f>
        <v/>
      </c>
      <c r="W612" s="31" t="str">
        <f t="shared" ca="1" si="31"/>
        <v/>
      </c>
      <c r="Z612" s="31"/>
    </row>
    <row r="613" spans="2:26">
      <c r="B613" s="2"/>
      <c r="C613" t="str">
        <f>IF(B613&lt;&gt;"",INDEX('Sales Orders'!C:C,MATCH('Booking Management'!B613,'Sales Orders'!A:A,0)),"")</f>
        <v/>
      </c>
      <c r="K613" s="31" t="str">
        <f t="shared" ca="1" si="30"/>
        <v/>
      </c>
      <c r="P613" t="str">
        <f t="shared" si="32"/>
        <v/>
      </c>
      <c r="Q613" t="str">
        <f>IFERROR((J613/SUMIFS('Sales Orders'!D:D,'Sales Orders'!A:A,B613))*SUMIFS('Sales Orders'!N:N,'Sales Orders'!A:A,B613),"")</f>
        <v/>
      </c>
      <c r="W613" s="31" t="str">
        <f t="shared" ca="1" si="31"/>
        <v/>
      </c>
      <c r="Z613" s="31"/>
    </row>
    <row r="614" spans="2:26">
      <c r="B614" s="2"/>
      <c r="C614" t="str">
        <f>IF(B614&lt;&gt;"",INDEX('Sales Orders'!C:C,MATCH('Booking Management'!B614,'Sales Orders'!A:A,0)),"")</f>
        <v/>
      </c>
      <c r="K614" s="31" t="str">
        <f t="shared" ca="1" si="30"/>
        <v/>
      </c>
      <c r="P614" t="str">
        <f t="shared" si="32"/>
        <v/>
      </c>
      <c r="Q614" t="str">
        <f>IFERROR((J614/SUMIFS('Sales Orders'!D:D,'Sales Orders'!A:A,B614))*SUMIFS('Sales Orders'!N:N,'Sales Orders'!A:A,B614),"")</f>
        <v/>
      </c>
      <c r="W614" s="31" t="str">
        <f t="shared" ca="1" si="31"/>
        <v/>
      </c>
      <c r="Z614" s="31"/>
    </row>
    <row r="615" spans="2:26">
      <c r="B615" s="2"/>
      <c r="C615" t="str">
        <f>IF(B615&lt;&gt;"",INDEX('Sales Orders'!C:C,MATCH('Booking Management'!B615,'Sales Orders'!A:A,0)),"")</f>
        <v/>
      </c>
      <c r="K615" s="31" t="str">
        <f t="shared" ca="1" si="30"/>
        <v/>
      </c>
      <c r="P615" t="str">
        <f t="shared" si="32"/>
        <v/>
      </c>
      <c r="Q615" t="str">
        <f>IFERROR((J615/SUMIFS('Sales Orders'!D:D,'Sales Orders'!A:A,B615))*SUMIFS('Sales Orders'!N:N,'Sales Orders'!A:A,B615),"")</f>
        <v/>
      </c>
      <c r="W615" s="31" t="str">
        <f t="shared" ca="1" si="31"/>
        <v/>
      </c>
      <c r="Z615" s="31"/>
    </row>
    <row r="616" spans="2:26">
      <c r="B616" s="2"/>
      <c r="C616" t="str">
        <f>IF(B616&lt;&gt;"",INDEX('Sales Orders'!C:C,MATCH('Booking Management'!B616,'Sales Orders'!A:A,0)),"")</f>
        <v/>
      </c>
      <c r="K616" s="31" t="str">
        <f t="shared" ca="1" si="30"/>
        <v/>
      </c>
      <c r="P616" t="str">
        <f t="shared" si="32"/>
        <v/>
      </c>
      <c r="Q616" t="str">
        <f>IFERROR((J616/SUMIFS('Sales Orders'!D:D,'Sales Orders'!A:A,B616))*SUMIFS('Sales Orders'!N:N,'Sales Orders'!A:A,B616),"")</f>
        <v/>
      </c>
      <c r="W616" s="31" t="str">
        <f t="shared" ca="1" si="31"/>
        <v/>
      </c>
      <c r="Z616" s="31"/>
    </row>
    <row r="617" spans="2:26">
      <c r="B617" s="2"/>
      <c r="C617" t="str">
        <f>IF(B617&lt;&gt;"",INDEX('Sales Orders'!C:C,MATCH('Booking Management'!B617,'Sales Orders'!A:A,0)),"")</f>
        <v/>
      </c>
      <c r="K617" s="31" t="str">
        <f t="shared" ca="1" si="30"/>
        <v/>
      </c>
      <c r="P617" t="str">
        <f t="shared" si="32"/>
        <v/>
      </c>
      <c r="Q617" t="str">
        <f>IFERROR((J617/SUMIFS('Sales Orders'!D:D,'Sales Orders'!A:A,B617))*SUMIFS('Sales Orders'!N:N,'Sales Orders'!A:A,B617),"")</f>
        <v/>
      </c>
      <c r="W617" s="31" t="str">
        <f t="shared" ca="1" si="31"/>
        <v/>
      </c>
      <c r="Z617" s="31"/>
    </row>
    <row r="618" spans="2:26">
      <c r="B618" s="2"/>
      <c r="C618" t="str">
        <f>IF(B618&lt;&gt;"",INDEX('Sales Orders'!C:C,MATCH('Booking Management'!B618,'Sales Orders'!A:A,0)),"")</f>
        <v/>
      </c>
      <c r="K618" s="31" t="str">
        <f t="shared" ca="1" si="30"/>
        <v/>
      </c>
      <c r="P618" t="str">
        <f t="shared" si="32"/>
        <v/>
      </c>
      <c r="Q618" t="str">
        <f>IFERROR((J618/SUMIFS('Sales Orders'!D:D,'Sales Orders'!A:A,B618))*SUMIFS('Sales Orders'!N:N,'Sales Orders'!A:A,B618),"")</f>
        <v/>
      </c>
      <c r="W618" s="31" t="str">
        <f t="shared" ca="1" si="31"/>
        <v/>
      </c>
      <c r="Z618" s="31"/>
    </row>
    <row r="619" spans="2:26">
      <c r="B619" s="2"/>
      <c r="C619" t="str">
        <f>IF(B619&lt;&gt;"",INDEX('Sales Orders'!C:C,MATCH('Booking Management'!B619,'Sales Orders'!A:A,0)),"")</f>
        <v/>
      </c>
      <c r="K619" s="31" t="str">
        <f t="shared" ca="1" si="30"/>
        <v/>
      </c>
      <c r="P619" t="str">
        <f t="shared" si="32"/>
        <v/>
      </c>
      <c r="Q619" t="str">
        <f>IFERROR((J619/SUMIFS('Sales Orders'!D:D,'Sales Orders'!A:A,B619))*SUMIFS('Sales Orders'!N:N,'Sales Orders'!A:A,B619),"")</f>
        <v/>
      </c>
      <c r="W619" s="31" t="str">
        <f t="shared" ca="1" si="31"/>
        <v/>
      </c>
      <c r="Z619" s="31"/>
    </row>
    <row r="620" spans="2:26">
      <c r="B620" s="2"/>
      <c r="C620" t="str">
        <f>IF(B620&lt;&gt;"",INDEX('Sales Orders'!C:C,MATCH('Booking Management'!B620,'Sales Orders'!A:A,0)),"")</f>
        <v/>
      </c>
      <c r="K620" s="31" t="str">
        <f t="shared" ca="1" si="30"/>
        <v/>
      </c>
      <c r="P620" t="str">
        <f t="shared" si="32"/>
        <v/>
      </c>
      <c r="Q620" t="str">
        <f>IFERROR((J620/SUMIFS('Sales Orders'!D:D,'Sales Orders'!A:A,B620))*SUMIFS('Sales Orders'!N:N,'Sales Orders'!A:A,B620),"")</f>
        <v/>
      </c>
      <c r="W620" s="31" t="str">
        <f t="shared" ca="1" si="31"/>
        <v/>
      </c>
      <c r="Z620" s="31"/>
    </row>
    <row r="621" spans="2:26">
      <c r="B621" s="2"/>
      <c r="C621" t="str">
        <f>IF(B621&lt;&gt;"",INDEX('Sales Orders'!C:C,MATCH('Booking Management'!B621,'Sales Orders'!A:A,0)),"")</f>
        <v/>
      </c>
      <c r="K621" s="31" t="str">
        <f t="shared" ca="1" si="30"/>
        <v/>
      </c>
      <c r="P621" t="str">
        <f t="shared" si="32"/>
        <v/>
      </c>
      <c r="Q621" t="str">
        <f>IFERROR((J621/SUMIFS('Sales Orders'!D:D,'Sales Orders'!A:A,B621))*SUMIFS('Sales Orders'!N:N,'Sales Orders'!A:A,B621),"")</f>
        <v/>
      </c>
      <c r="W621" s="31" t="str">
        <f t="shared" ca="1" si="31"/>
        <v/>
      </c>
      <c r="Z621" s="31"/>
    </row>
    <row r="622" spans="2:26">
      <c r="B622" s="2"/>
      <c r="C622" t="str">
        <f>IF(B622&lt;&gt;"",INDEX('Sales Orders'!C:C,MATCH('Booking Management'!B622,'Sales Orders'!A:A,0)),"")</f>
        <v/>
      </c>
      <c r="K622" s="31" t="str">
        <f t="shared" ca="1" si="30"/>
        <v/>
      </c>
      <c r="P622" t="str">
        <f t="shared" si="32"/>
        <v/>
      </c>
      <c r="Q622" t="str">
        <f>IFERROR((J622/SUMIFS('Sales Orders'!D:D,'Sales Orders'!A:A,B622))*SUMIFS('Sales Orders'!N:N,'Sales Orders'!A:A,B622),"")</f>
        <v/>
      </c>
      <c r="W622" s="31" t="str">
        <f t="shared" ca="1" si="31"/>
        <v/>
      </c>
      <c r="Z622" s="31"/>
    </row>
    <row r="623" spans="2:26">
      <c r="B623" s="2"/>
      <c r="C623" t="str">
        <f>IF(B623&lt;&gt;"",INDEX('Sales Orders'!C:C,MATCH('Booking Management'!B623,'Sales Orders'!A:A,0)),"")</f>
        <v/>
      </c>
      <c r="K623" s="31" t="str">
        <f t="shared" ca="1" si="30"/>
        <v/>
      </c>
      <c r="P623" t="str">
        <f t="shared" si="32"/>
        <v/>
      </c>
      <c r="Q623" t="str">
        <f>IFERROR((J623/SUMIFS('Sales Orders'!D:D,'Sales Orders'!A:A,B623))*SUMIFS('Sales Orders'!N:N,'Sales Orders'!A:A,B623),"")</f>
        <v/>
      </c>
      <c r="W623" s="31" t="str">
        <f t="shared" ca="1" si="31"/>
        <v/>
      </c>
      <c r="Z623" s="31"/>
    </row>
    <row r="624" spans="2:26">
      <c r="B624" s="2"/>
      <c r="C624" t="str">
        <f>IF(B624&lt;&gt;"",INDEX('Sales Orders'!C:C,MATCH('Booking Management'!B624,'Sales Orders'!A:A,0)),"")</f>
        <v/>
      </c>
      <c r="K624" s="31" t="str">
        <f t="shared" ca="1" si="30"/>
        <v/>
      </c>
      <c r="P624" t="str">
        <f t="shared" si="32"/>
        <v/>
      </c>
      <c r="Q624" t="str">
        <f>IFERROR((J624/SUMIFS('Sales Orders'!D:D,'Sales Orders'!A:A,B624))*SUMIFS('Sales Orders'!N:N,'Sales Orders'!A:A,B624),"")</f>
        <v/>
      </c>
      <c r="W624" s="31" t="str">
        <f t="shared" ca="1" si="31"/>
        <v/>
      </c>
      <c r="Z624" s="31"/>
    </row>
    <row r="625" spans="2:26">
      <c r="B625" s="2"/>
      <c r="C625" t="str">
        <f>IF(B625&lt;&gt;"",INDEX('Sales Orders'!C:C,MATCH('Booking Management'!B625,'Sales Orders'!A:A,0)),"")</f>
        <v/>
      </c>
      <c r="K625" s="31" t="str">
        <f t="shared" ca="1" si="30"/>
        <v/>
      </c>
      <c r="P625" t="str">
        <f t="shared" si="32"/>
        <v/>
      </c>
      <c r="Q625" t="str">
        <f>IFERROR((J625/SUMIFS('Sales Orders'!D:D,'Sales Orders'!A:A,B625))*SUMIFS('Sales Orders'!N:N,'Sales Orders'!A:A,B625),"")</f>
        <v/>
      </c>
      <c r="W625" s="31" t="str">
        <f t="shared" ca="1" si="31"/>
        <v/>
      </c>
      <c r="Z625" s="31"/>
    </row>
    <row r="626" spans="2:26">
      <c r="B626" s="2"/>
      <c r="C626" t="str">
        <f>IF(B626&lt;&gt;"",INDEX('Sales Orders'!C:C,MATCH('Booking Management'!B626,'Sales Orders'!A:A,0)),"")</f>
        <v/>
      </c>
      <c r="K626" s="31" t="str">
        <f t="shared" ca="1" si="30"/>
        <v/>
      </c>
      <c r="P626" t="str">
        <f t="shared" si="32"/>
        <v/>
      </c>
      <c r="Q626" t="str">
        <f>IFERROR((J626/SUMIFS('Sales Orders'!D:D,'Sales Orders'!A:A,B626))*SUMIFS('Sales Orders'!N:N,'Sales Orders'!A:A,B626),"")</f>
        <v/>
      </c>
      <c r="W626" s="31" t="str">
        <f t="shared" ca="1" si="31"/>
        <v/>
      </c>
      <c r="Z626" s="31"/>
    </row>
    <row r="627" spans="2:26">
      <c r="B627" s="2"/>
      <c r="C627" t="str">
        <f>IF(B627&lt;&gt;"",INDEX('Sales Orders'!C:C,MATCH('Booking Management'!B627,'Sales Orders'!A:A,0)),"")</f>
        <v/>
      </c>
      <c r="K627" s="31" t="str">
        <f t="shared" ca="1" si="30"/>
        <v/>
      </c>
      <c r="P627" t="str">
        <f t="shared" si="32"/>
        <v/>
      </c>
      <c r="Q627" t="str">
        <f>IFERROR((J627/SUMIFS('Sales Orders'!D:D,'Sales Orders'!A:A,B627))*SUMIFS('Sales Orders'!N:N,'Sales Orders'!A:A,B627),"")</f>
        <v/>
      </c>
      <c r="W627" s="31" t="str">
        <f t="shared" ca="1" si="31"/>
        <v/>
      </c>
      <c r="Z627" s="31"/>
    </row>
    <row r="628" spans="2:26">
      <c r="B628" s="2"/>
      <c r="C628" t="str">
        <f>IF(B628&lt;&gt;"",INDEX('Sales Orders'!C:C,MATCH('Booking Management'!B628,'Sales Orders'!A:A,0)),"")</f>
        <v/>
      </c>
      <c r="K628" s="31" t="str">
        <f t="shared" ca="1" si="30"/>
        <v/>
      </c>
      <c r="P628" t="str">
        <f t="shared" si="32"/>
        <v/>
      </c>
      <c r="Q628" t="str">
        <f>IFERROR((J628/SUMIFS('Sales Orders'!D:D,'Sales Orders'!A:A,B628))*SUMIFS('Sales Orders'!N:N,'Sales Orders'!A:A,B628),"")</f>
        <v/>
      </c>
      <c r="W628" s="31" t="str">
        <f t="shared" ca="1" si="31"/>
        <v/>
      </c>
      <c r="Z628" s="31"/>
    </row>
    <row r="629" spans="2:26">
      <c r="B629" s="2"/>
      <c r="C629" t="str">
        <f>IF(B629&lt;&gt;"",INDEX('Sales Orders'!C:C,MATCH('Booking Management'!B629,'Sales Orders'!A:A,0)),"")</f>
        <v/>
      </c>
      <c r="K629" s="31" t="str">
        <f t="shared" ca="1" si="30"/>
        <v/>
      </c>
      <c r="P629" t="str">
        <f t="shared" si="32"/>
        <v/>
      </c>
      <c r="Q629" t="str">
        <f>IFERROR((J629/SUMIFS('Sales Orders'!D:D,'Sales Orders'!A:A,B629))*SUMIFS('Sales Orders'!N:N,'Sales Orders'!A:A,B629),"")</f>
        <v/>
      </c>
      <c r="W629" s="31" t="str">
        <f t="shared" ca="1" si="31"/>
        <v/>
      </c>
      <c r="Z629" s="31"/>
    </row>
    <row r="630" spans="2:26">
      <c r="B630" s="2"/>
      <c r="C630" t="str">
        <f>IF(B630&lt;&gt;"",INDEX('Sales Orders'!C:C,MATCH('Booking Management'!B630,'Sales Orders'!A:A,0)),"")</f>
        <v/>
      </c>
      <c r="K630" s="31" t="str">
        <f t="shared" ca="1" si="30"/>
        <v/>
      </c>
      <c r="P630" t="str">
        <f t="shared" si="32"/>
        <v/>
      </c>
      <c r="Q630" t="str">
        <f>IFERROR((J630/SUMIFS('Sales Orders'!D:D,'Sales Orders'!A:A,B630))*SUMIFS('Sales Orders'!N:N,'Sales Orders'!A:A,B630),"")</f>
        <v/>
      </c>
      <c r="W630" s="31" t="str">
        <f t="shared" ca="1" si="31"/>
        <v/>
      </c>
      <c r="Z630" s="31"/>
    </row>
    <row r="631" spans="2:26">
      <c r="B631" s="2"/>
      <c r="C631" t="str">
        <f>IF(B631&lt;&gt;"",INDEX('Sales Orders'!C:C,MATCH('Booking Management'!B631,'Sales Orders'!A:A,0)),"")</f>
        <v/>
      </c>
      <c r="K631" s="31" t="str">
        <f t="shared" ca="1" si="30"/>
        <v/>
      </c>
      <c r="P631" t="str">
        <f t="shared" si="32"/>
        <v/>
      </c>
      <c r="Q631" t="str">
        <f>IFERROR((J631/SUMIFS('Sales Orders'!D:D,'Sales Orders'!A:A,B631))*SUMIFS('Sales Orders'!N:N,'Sales Orders'!A:A,B631),"")</f>
        <v/>
      </c>
      <c r="W631" s="31" t="str">
        <f t="shared" ca="1" si="31"/>
        <v/>
      </c>
      <c r="Z631" s="31"/>
    </row>
    <row r="632" spans="2:26">
      <c r="B632" s="2"/>
      <c r="C632" t="str">
        <f>IF(B632&lt;&gt;"",INDEX('Sales Orders'!C:C,MATCH('Booking Management'!B632,'Sales Orders'!A:A,0)),"")</f>
        <v/>
      </c>
      <c r="K632" s="31" t="str">
        <f t="shared" ca="1" si="30"/>
        <v/>
      </c>
      <c r="P632" t="str">
        <f t="shared" si="32"/>
        <v/>
      </c>
      <c r="Q632" t="str">
        <f>IFERROR((J632/SUMIFS('Sales Orders'!D:D,'Sales Orders'!A:A,B632))*SUMIFS('Sales Orders'!N:N,'Sales Orders'!A:A,B632),"")</f>
        <v/>
      </c>
      <c r="W632" s="31" t="str">
        <f t="shared" ca="1" si="31"/>
        <v/>
      </c>
      <c r="Z632" s="31"/>
    </row>
    <row r="633" spans="2:26">
      <c r="B633" s="2"/>
      <c r="C633" t="str">
        <f>IF(B633&lt;&gt;"",INDEX('Sales Orders'!C:C,MATCH('Booking Management'!B633,'Sales Orders'!A:A,0)),"")</f>
        <v/>
      </c>
      <c r="K633" s="31" t="str">
        <f t="shared" ca="1" si="30"/>
        <v/>
      </c>
      <c r="P633" t="str">
        <f t="shared" si="32"/>
        <v/>
      </c>
      <c r="Q633" t="str">
        <f>IFERROR((J633/SUMIFS('Sales Orders'!D:D,'Sales Orders'!A:A,B633))*SUMIFS('Sales Orders'!N:N,'Sales Orders'!A:A,B633),"")</f>
        <v/>
      </c>
      <c r="W633" s="31" t="str">
        <f t="shared" ca="1" si="31"/>
        <v/>
      </c>
      <c r="Z633" s="31"/>
    </row>
    <row r="634" spans="2:26">
      <c r="B634" s="2"/>
      <c r="C634" t="str">
        <f>IF(B634&lt;&gt;"",INDEX('Sales Orders'!C:C,MATCH('Booking Management'!B634,'Sales Orders'!A:A,0)),"")</f>
        <v/>
      </c>
      <c r="K634" s="31" t="str">
        <f t="shared" ca="1" si="30"/>
        <v/>
      </c>
      <c r="P634" t="str">
        <f t="shared" si="32"/>
        <v/>
      </c>
      <c r="Q634" t="str">
        <f>IFERROR((J634/SUMIFS('Sales Orders'!D:D,'Sales Orders'!A:A,B634))*SUMIFS('Sales Orders'!N:N,'Sales Orders'!A:A,B634),"")</f>
        <v/>
      </c>
      <c r="W634" s="31" t="str">
        <f t="shared" ca="1" si="31"/>
        <v/>
      </c>
      <c r="Z634" s="31"/>
    </row>
    <row r="635" spans="2:26">
      <c r="B635" s="2"/>
      <c r="C635" t="str">
        <f>IF(B635&lt;&gt;"",INDEX('Sales Orders'!C:C,MATCH('Booking Management'!B635,'Sales Orders'!A:A,0)),"")</f>
        <v/>
      </c>
      <c r="K635" s="31" t="str">
        <f t="shared" ca="1" si="30"/>
        <v/>
      </c>
      <c r="P635" t="str">
        <f t="shared" si="32"/>
        <v/>
      </c>
      <c r="Q635" t="str">
        <f>IFERROR((J635/SUMIFS('Sales Orders'!D:D,'Sales Orders'!A:A,B635))*SUMIFS('Sales Orders'!N:N,'Sales Orders'!A:A,B635),"")</f>
        <v/>
      </c>
      <c r="W635" s="31" t="str">
        <f t="shared" ca="1" si="31"/>
        <v/>
      </c>
      <c r="Z635" s="31"/>
    </row>
    <row r="636" spans="2:26">
      <c r="B636" s="2"/>
      <c r="C636" t="str">
        <f>IF(B636&lt;&gt;"",INDEX('Sales Orders'!C:C,MATCH('Booking Management'!B636,'Sales Orders'!A:A,0)),"")</f>
        <v/>
      </c>
      <c r="K636" s="31" t="str">
        <f t="shared" ca="1" si="30"/>
        <v/>
      </c>
      <c r="P636" t="str">
        <f t="shared" si="32"/>
        <v/>
      </c>
      <c r="Q636" t="str">
        <f>IFERROR((J636/SUMIFS('Sales Orders'!D:D,'Sales Orders'!A:A,B636))*SUMIFS('Sales Orders'!N:N,'Sales Orders'!A:A,B636),"")</f>
        <v/>
      </c>
      <c r="W636" s="31" t="str">
        <f t="shared" ca="1" si="31"/>
        <v/>
      </c>
      <c r="Z636" s="31"/>
    </row>
    <row r="637" spans="2:26">
      <c r="B637" s="2"/>
      <c r="C637" t="str">
        <f>IF(B637&lt;&gt;"",INDEX('Sales Orders'!C:C,MATCH('Booking Management'!B637,'Sales Orders'!A:A,0)),"")</f>
        <v/>
      </c>
      <c r="K637" s="31" t="str">
        <f t="shared" ca="1" si="30"/>
        <v/>
      </c>
      <c r="P637" t="str">
        <f t="shared" si="32"/>
        <v/>
      </c>
      <c r="Q637" t="str">
        <f>IFERROR((J637/SUMIFS('Sales Orders'!D:D,'Sales Orders'!A:A,B637))*SUMIFS('Sales Orders'!N:N,'Sales Orders'!A:A,B637),"")</f>
        <v/>
      </c>
      <c r="W637" s="31" t="str">
        <f t="shared" ca="1" si="31"/>
        <v/>
      </c>
      <c r="Z637" s="31"/>
    </row>
    <row r="638" spans="2:26">
      <c r="B638" s="2"/>
      <c r="C638" t="str">
        <f>IF(B638&lt;&gt;"",INDEX('Sales Orders'!C:C,MATCH('Booking Management'!B638,'Sales Orders'!A:A,0)),"")</f>
        <v/>
      </c>
      <c r="K638" s="31" t="str">
        <f t="shared" ca="1" si="30"/>
        <v/>
      </c>
      <c r="P638" t="str">
        <f t="shared" si="32"/>
        <v/>
      </c>
      <c r="Q638" t="str">
        <f>IFERROR((J638/SUMIFS('Sales Orders'!D:D,'Sales Orders'!A:A,B638))*SUMIFS('Sales Orders'!N:N,'Sales Orders'!A:A,B638),"")</f>
        <v/>
      </c>
      <c r="W638" s="31" t="str">
        <f t="shared" ca="1" si="31"/>
        <v/>
      </c>
      <c r="Z638" s="31"/>
    </row>
    <row r="639" spans="2:26">
      <c r="B639" s="2"/>
      <c r="C639" t="str">
        <f>IF(B639&lt;&gt;"",INDEX('Sales Orders'!C:C,MATCH('Booking Management'!B639,'Sales Orders'!A:A,0)),"")</f>
        <v/>
      </c>
      <c r="K639" s="31" t="str">
        <f t="shared" ca="1" si="30"/>
        <v/>
      </c>
      <c r="P639" t="str">
        <f t="shared" si="32"/>
        <v/>
      </c>
      <c r="Q639" t="str">
        <f>IFERROR((J639/SUMIFS('Sales Orders'!D:D,'Sales Orders'!A:A,B639))*SUMIFS('Sales Orders'!N:N,'Sales Orders'!A:A,B639),"")</f>
        <v/>
      </c>
      <c r="W639" s="31" t="str">
        <f t="shared" ca="1" si="31"/>
        <v/>
      </c>
      <c r="Z639" s="31"/>
    </row>
    <row r="640" spans="2:26">
      <c r="B640" s="2"/>
      <c r="C640" t="str">
        <f>IF(B640&lt;&gt;"",INDEX('Sales Orders'!C:C,MATCH('Booking Management'!B640,'Sales Orders'!A:A,0)),"")</f>
        <v/>
      </c>
      <c r="K640" s="31" t="str">
        <f t="shared" ca="1" si="30"/>
        <v/>
      </c>
      <c r="P640" t="str">
        <f t="shared" si="32"/>
        <v/>
      </c>
      <c r="Q640" t="str">
        <f>IFERROR((J640/SUMIFS('Sales Orders'!D:D,'Sales Orders'!A:A,B640))*SUMIFS('Sales Orders'!N:N,'Sales Orders'!A:A,B640),"")</f>
        <v/>
      </c>
      <c r="W640" s="31" t="str">
        <f t="shared" ca="1" si="31"/>
        <v/>
      </c>
      <c r="Z640" s="31"/>
    </row>
    <row r="641" spans="2:26">
      <c r="B641" s="2"/>
      <c r="C641" t="str">
        <f>IF(B641&lt;&gt;"",INDEX('Sales Orders'!C:C,MATCH('Booking Management'!B641,'Sales Orders'!A:A,0)),"")</f>
        <v/>
      </c>
      <c r="K641" s="31" t="str">
        <f t="shared" ca="1" si="30"/>
        <v/>
      </c>
      <c r="P641" t="str">
        <f t="shared" si="32"/>
        <v/>
      </c>
      <c r="Q641" t="str">
        <f>IFERROR((J641/SUMIFS('Sales Orders'!D:D,'Sales Orders'!A:A,B641))*SUMIFS('Sales Orders'!N:N,'Sales Orders'!A:A,B641),"")</f>
        <v/>
      </c>
      <c r="W641" s="31" t="str">
        <f t="shared" ca="1" si="31"/>
        <v/>
      </c>
      <c r="Z641" s="31"/>
    </row>
    <row r="642" spans="2:26">
      <c r="B642" s="2"/>
      <c r="C642" t="str">
        <f>IF(B642&lt;&gt;"",INDEX('Sales Orders'!C:C,MATCH('Booking Management'!B642,'Sales Orders'!A:A,0)),"")</f>
        <v/>
      </c>
      <c r="K642" s="31" t="str">
        <f t="shared" ca="1" si="30"/>
        <v/>
      </c>
      <c r="P642" t="str">
        <f t="shared" si="32"/>
        <v/>
      </c>
      <c r="Q642" t="str">
        <f>IFERROR((J642/SUMIFS('Sales Orders'!D:D,'Sales Orders'!A:A,B642))*SUMIFS('Sales Orders'!N:N,'Sales Orders'!A:A,B642),"")</f>
        <v/>
      </c>
      <c r="W642" s="31" t="str">
        <f t="shared" ca="1" si="31"/>
        <v/>
      </c>
      <c r="Z642" s="31"/>
    </row>
    <row r="643" spans="2:26">
      <c r="B643" s="2"/>
      <c r="C643" t="str">
        <f>IF(B643&lt;&gt;"",INDEX('Sales Orders'!C:C,MATCH('Booking Management'!B643,'Sales Orders'!A:A,0)),"")</f>
        <v/>
      </c>
      <c r="K643" s="31" t="str">
        <f t="shared" ref="K643:K706" ca="1" si="33">IF(B643&lt;&gt;"",IF(AND(OR(L643-TODAY()&lt;2,M643&lt;&gt;"yes",N643&lt;&gt;"yes",O643&lt;&gt;"yes"),S643&lt;&gt;"Used"),"Alert",""),"")</f>
        <v/>
      </c>
      <c r="P643" t="str">
        <f t="shared" si="32"/>
        <v/>
      </c>
      <c r="Q643" t="str">
        <f>IFERROR((J643/SUMIFS('Sales Orders'!D:D,'Sales Orders'!A:A,B643))*SUMIFS('Sales Orders'!N:N,'Sales Orders'!A:A,B643),"")</f>
        <v/>
      </c>
      <c r="W643" s="31" t="str">
        <f t="shared" ca="1" si="31"/>
        <v/>
      </c>
      <c r="Z643" s="31"/>
    </row>
    <row r="644" spans="2:26">
      <c r="B644" s="2"/>
      <c r="C644" t="str">
        <f>IF(B644&lt;&gt;"",INDEX('Sales Orders'!C:C,MATCH('Booking Management'!B644,'Sales Orders'!A:A,0)),"")</f>
        <v/>
      </c>
      <c r="K644" s="31" t="str">
        <f t="shared" ca="1" si="33"/>
        <v/>
      </c>
      <c r="P644" t="str">
        <f t="shared" si="32"/>
        <v/>
      </c>
      <c r="Q644" t="str">
        <f>IFERROR((J644/SUMIFS('Sales Orders'!D:D,'Sales Orders'!A:A,B644))*SUMIFS('Sales Orders'!N:N,'Sales Orders'!A:A,B644),"")</f>
        <v/>
      </c>
      <c r="W644" s="31" t="str">
        <f t="shared" ca="1" si="31"/>
        <v/>
      </c>
      <c r="Z644" s="31"/>
    </row>
    <row r="645" spans="2:26">
      <c r="B645" s="2"/>
      <c r="C645" t="str">
        <f>IF(B645&lt;&gt;"",INDEX('Sales Orders'!C:C,MATCH('Booking Management'!B645,'Sales Orders'!A:A,0)),"")</f>
        <v/>
      </c>
      <c r="K645" s="31" t="str">
        <f t="shared" ca="1" si="33"/>
        <v/>
      </c>
      <c r="P645" t="str">
        <f t="shared" si="32"/>
        <v/>
      </c>
      <c r="Q645" t="str">
        <f>IFERROR((J645/SUMIFS('Sales Orders'!D:D,'Sales Orders'!A:A,B645))*SUMIFS('Sales Orders'!N:N,'Sales Orders'!A:A,B645),"")</f>
        <v/>
      </c>
      <c r="W645" s="31" t="str">
        <f t="shared" ca="1" si="31"/>
        <v/>
      </c>
      <c r="Z645" s="31"/>
    </row>
    <row r="646" spans="2:26">
      <c r="B646" s="2"/>
      <c r="C646" t="str">
        <f>IF(B646&lt;&gt;"",INDEX('Sales Orders'!C:C,MATCH('Booking Management'!B646,'Sales Orders'!A:A,0)),"")</f>
        <v/>
      </c>
      <c r="K646" s="31" t="str">
        <f t="shared" ca="1" si="33"/>
        <v/>
      </c>
      <c r="P646" t="str">
        <f t="shared" si="32"/>
        <v/>
      </c>
      <c r="Q646" t="str">
        <f>IFERROR((J646/SUMIFS('Sales Orders'!D:D,'Sales Orders'!A:A,B646))*SUMIFS('Sales Orders'!N:N,'Sales Orders'!A:A,B646),"")</f>
        <v/>
      </c>
      <c r="W646" s="31" t="str">
        <f t="shared" ca="1" si="31"/>
        <v/>
      </c>
      <c r="Z646" s="31"/>
    </row>
    <row r="647" spans="2:26">
      <c r="B647" s="2"/>
      <c r="C647" t="str">
        <f>IF(B647&lt;&gt;"",INDEX('Sales Orders'!C:C,MATCH('Booking Management'!B647,'Sales Orders'!A:A,0)),"")</f>
        <v/>
      </c>
      <c r="K647" s="31" t="str">
        <f t="shared" ca="1" si="33"/>
        <v/>
      </c>
      <c r="P647" t="str">
        <f t="shared" si="32"/>
        <v/>
      </c>
      <c r="Q647" t="str">
        <f>IFERROR((J647/SUMIFS('Sales Orders'!D:D,'Sales Orders'!A:A,B647))*SUMIFS('Sales Orders'!N:N,'Sales Orders'!A:A,B647),"")</f>
        <v/>
      </c>
      <c r="W647" s="31" t="str">
        <f t="shared" ref="W647:W710" ca="1" si="34">IF(T647&lt;&gt;"",IF(X647="Yes","NO",IF((TODAY()-V647)&gt;6,"YES","NO")),"")</f>
        <v/>
      </c>
      <c r="Z647" s="31"/>
    </row>
    <row r="648" spans="2:26">
      <c r="B648" s="2"/>
      <c r="C648" t="str">
        <f>IF(B648&lt;&gt;"",INDEX('Sales Orders'!C:C,MATCH('Booking Management'!B648,'Sales Orders'!A:A,0)),"")</f>
        <v/>
      </c>
      <c r="K648" s="31" t="str">
        <f t="shared" ca="1" si="33"/>
        <v/>
      </c>
      <c r="P648" t="str">
        <f t="shared" si="32"/>
        <v/>
      </c>
      <c r="Q648" t="str">
        <f>IFERROR((J648/SUMIFS('Sales Orders'!D:D,'Sales Orders'!A:A,B648))*SUMIFS('Sales Orders'!N:N,'Sales Orders'!A:A,B648),"")</f>
        <v/>
      </c>
      <c r="W648" s="31" t="str">
        <f t="shared" ca="1" si="34"/>
        <v/>
      </c>
      <c r="Z648" s="31"/>
    </row>
    <row r="649" spans="2:26">
      <c r="B649" s="2"/>
      <c r="C649" t="str">
        <f>IF(B649&lt;&gt;"",INDEX('Sales Orders'!C:C,MATCH('Booking Management'!B649,'Sales Orders'!A:A,0)),"")</f>
        <v/>
      </c>
      <c r="K649" s="31" t="str">
        <f t="shared" ca="1" si="33"/>
        <v/>
      </c>
      <c r="P649" t="str">
        <f t="shared" si="32"/>
        <v/>
      </c>
      <c r="Q649" t="str">
        <f>IFERROR((J649/SUMIFS('Sales Orders'!D:D,'Sales Orders'!A:A,B649))*SUMIFS('Sales Orders'!N:N,'Sales Orders'!A:A,B649),"")</f>
        <v/>
      </c>
      <c r="W649" s="31" t="str">
        <f t="shared" ca="1" si="34"/>
        <v/>
      </c>
      <c r="Z649" s="31"/>
    </row>
    <row r="650" spans="2:26">
      <c r="B650" s="2"/>
      <c r="C650" t="str">
        <f>IF(B650&lt;&gt;"",INDEX('Sales Orders'!C:C,MATCH('Booking Management'!B650,'Sales Orders'!A:A,0)),"")</f>
        <v/>
      </c>
      <c r="K650" s="31" t="str">
        <f t="shared" ca="1" si="33"/>
        <v/>
      </c>
      <c r="P650" t="str">
        <f t="shared" si="32"/>
        <v/>
      </c>
      <c r="Q650" t="str">
        <f>IFERROR((J650/SUMIFS('Sales Orders'!D:D,'Sales Orders'!A:A,B650))*SUMIFS('Sales Orders'!N:N,'Sales Orders'!A:A,B650),"")</f>
        <v/>
      </c>
      <c r="W650" s="31" t="str">
        <f t="shared" ca="1" si="34"/>
        <v/>
      </c>
      <c r="Z650" s="31"/>
    </row>
    <row r="651" spans="2:26">
      <c r="B651" s="2"/>
      <c r="C651" t="str">
        <f>IF(B651&lt;&gt;"",INDEX('Sales Orders'!C:C,MATCH('Booking Management'!B651,'Sales Orders'!A:A,0)),"")</f>
        <v/>
      </c>
      <c r="K651" s="31" t="str">
        <f t="shared" ca="1" si="33"/>
        <v/>
      </c>
      <c r="P651" t="str">
        <f t="shared" si="32"/>
        <v/>
      </c>
      <c r="Q651" t="str">
        <f>IFERROR((J651/SUMIFS('Sales Orders'!D:D,'Sales Orders'!A:A,B651))*SUMIFS('Sales Orders'!N:N,'Sales Orders'!A:A,B651),"")</f>
        <v/>
      </c>
      <c r="W651" s="31" t="str">
        <f t="shared" ca="1" si="34"/>
        <v/>
      </c>
      <c r="Z651" s="31"/>
    </row>
    <row r="652" spans="2:26">
      <c r="B652" s="2"/>
      <c r="C652" t="str">
        <f>IF(B652&lt;&gt;"",INDEX('Sales Orders'!C:C,MATCH('Booking Management'!B652,'Sales Orders'!A:A,0)),"")</f>
        <v/>
      </c>
      <c r="K652" s="31" t="str">
        <f t="shared" ca="1" si="33"/>
        <v/>
      </c>
      <c r="P652" t="str">
        <f t="shared" si="32"/>
        <v/>
      </c>
      <c r="Q652" t="str">
        <f>IFERROR((J652/SUMIFS('Sales Orders'!D:D,'Sales Orders'!A:A,B652))*SUMIFS('Sales Orders'!N:N,'Sales Orders'!A:A,B652),"")</f>
        <v/>
      </c>
      <c r="W652" s="31" t="str">
        <f t="shared" ca="1" si="34"/>
        <v/>
      </c>
      <c r="Z652" s="31"/>
    </row>
    <row r="653" spans="2:26">
      <c r="B653" s="2"/>
      <c r="C653" t="str">
        <f>IF(B653&lt;&gt;"",INDEX('Sales Orders'!C:C,MATCH('Booking Management'!B653,'Sales Orders'!A:A,0)),"")</f>
        <v/>
      </c>
      <c r="K653" s="31" t="str">
        <f t="shared" ca="1" si="33"/>
        <v/>
      </c>
      <c r="P653" t="str">
        <f t="shared" si="32"/>
        <v/>
      </c>
      <c r="Q653" t="str">
        <f>IFERROR((J653/SUMIFS('Sales Orders'!D:D,'Sales Orders'!A:A,B653))*SUMIFS('Sales Orders'!N:N,'Sales Orders'!A:A,B653),"")</f>
        <v/>
      </c>
      <c r="W653" s="31" t="str">
        <f t="shared" ca="1" si="34"/>
        <v/>
      </c>
      <c r="Z653" s="31"/>
    </row>
    <row r="654" spans="2:26">
      <c r="B654" s="2"/>
      <c r="C654" t="str">
        <f>IF(B654&lt;&gt;"",INDEX('Sales Orders'!C:C,MATCH('Booking Management'!B654,'Sales Orders'!A:A,0)),"")</f>
        <v/>
      </c>
      <c r="K654" s="31" t="str">
        <f t="shared" ca="1" si="33"/>
        <v/>
      </c>
      <c r="P654" t="str">
        <f t="shared" si="32"/>
        <v/>
      </c>
      <c r="Q654" t="str">
        <f>IFERROR((J654/SUMIFS('Sales Orders'!D:D,'Sales Orders'!A:A,B654))*SUMIFS('Sales Orders'!N:N,'Sales Orders'!A:A,B654),"")</f>
        <v/>
      </c>
      <c r="W654" s="31" t="str">
        <f t="shared" ca="1" si="34"/>
        <v/>
      </c>
      <c r="Z654" s="31"/>
    </row>
    <row r="655" spans="2:26">
      <c r="B655" s="2"/>
      <c r="C655" t="str">
        <f>IF(B655&lt;&gt;"",INDEX('Sales Orders'!C:C,MATCH('Booking Management'!B655,'Sales Orders'!A:A,0)),"")</f>
        <v/>
      </c>
      <c r="K655" s="31" t="str">
        <f t="shared" ca="1" si="33"/>
        <v/>
      </c>
      <c r="P655" t="str">
        <f t="shared" si="32"/>
        <v/>
      </c>
      <c r="Q655" t="str">
        <f>IFERROR((J655/SUMIFS('Sales Orders'!D:D,'Sales Orders'!A:A,B655))*SUMIFS('Sales Orders'!N:N,'Sales Orders'!A:A,B655),"")</f>
        <v/>
      </c>
      <c r="W655" s="31" t="str">
        <f t="shared" ca="1" si="34"/>
        <v/>
      </c>
      <c r="Z655" s="31"/>
    </row>
    <row r="656" spans="2:26">
      <c r="B656" s="2"/>
      <c r="C656" t="str">
        <f>IF(B656&lt;&gt;"",INDEX('Sales Orders'!C:C,MATCH('Booking Management'!B656,'Sales Orders'!A:A,0)),"")</f>
        <v/>
      </c>
      <c r="K656" s="31" t="str">
        <f t="shared" ca="1" si="33"/>
        <v/>
      </c>
      <c r="P656" t="str">
        <f t="shared" si="32"/>
        <v/>
      </c>
      <c r="Q656" t="str">
        <f>IFERROR((J656/SUMIFS('Sales Orders'!D:D,'Sales Orders'!A:A,B656))*SUMIFS('Sales Orders'!N:N,'Sales Orders'!A:A,B656),"")</f>
        <v/>
      </c>
      <c r="W656" s="31" t="str">
        <f t="shared" ca="1" si="34"/>
        <v/>
      </c>
      <c r="Z656" s="31"/>
    </row>
    <row r="657" spans="2:26">
      <c r="B657" s="2"/>
      <c r="C657" t="str">
        <f>IF(B657&lt;&gt;"",INDEX('Sales Orders'!C:C,MATCH('Booking Management'!B657,'Sales Orders'!A:A,0)),"")</f>
        <v/>
      </c>
      <c r="K657" s="31" t="str">
        <f t="shared" ca="1" si="33"/>
        <v/>
      </c>
      <c r="P657" t="str">
        <f t="shared" si="32"/>
        <v/>
      </c>
      <c r="Q657" t="str">
        <f>IFERROR((J657/SUMIFS('Sales Orders'!D:D,'Sales Orders'!A:A,B657))*SUMIFS('Sales Orders'!N:N,'Sales Orders'!A:A,B657),"")</f>
        <v/>
      </c>
      <c r="W657" s="31" t="str">
        <f t="shared" ca="1" si="34"/>
        <v/>
      </c>
      <c r="Z657" s="31"/>
    </row>
    <row r="658" spans="2:26">
      <c r="B658" s="2"/>
      <c r="C658" t="str">
        <f>IF(B658&lt;&gt;"",INDEX('Sales Orders'!C:C,MATCH('Booking Management'!B658,'Sales Orders'!A:A,0)),"")</f>
        <v/>
      </c>
      <c r="K658" s="31" t="str">
        <f t="shared" ca="1" si="33"/>
        <v/>
      </c>
      <c r="P658" t="str">
        <f t="shared" si="32"/>
        <v/>
      </c>
      <c r="Q658" t="str">
        <f>IFERROR((J658/SUMIFS('Sales Orders'!D:D,'Sales Orders'!A:A,B658))*SUMIFS('Sales Orders'!N:N,'Sales Orders'!A:A,B658),"")</f>
        <v/>
      </c>
      <c r="W658" s="31" t="str">
        <f t="shared" ca="1" si="34"/>
        <v/>
      </c>
      <c r="Z658" s="31"/>
    </row>
    <row r="659" spans="2:26">
      <c r="B659" s="2"/>
      <c r="C659" t="str">
        <f>IF(B659&lt;&gt;"",INDEX('Sales Orders'!C:C,MATCH('Booking Management'!B659,'Sales Orders'!A:A,0)),"")</f>
        <v/>
      </c>
      <c r="K659" s="31" t="str">
        <f t="shared" ca="1" si="33"/>
        <v/>
      </c>
      <c r="P659" t="str">
        <f t="shared" si="32"/>
        <v/>
      </c>
      <c r="Q659" t="str">
        <f>IFERROR((J659/SUMIFS('Sales Orders'!D:D,'Sales Orders'!A:A,B659))*SUMIFS('Sales Orders'!N:N,'Sales Orders'!A:A,B659),"")</f>
        <v/>
      </c>
      <c r="W659" s="31" t="str">
        <f t="shared" ca="1" si="34"/>
        <v/>
      </c>
      <c r="Z659" s="31"/>
    </row>
    <row r="660" spans="2:26">
      <c r="B660" s="2"/>
      <c r="C660" t="str">
        <f>IF(B660&lt;&gt;"",INDEX('Sales Orders'!C:C,MATCH('Booking Management'!B660,'Sales Orders'!A:A,0)),"")</f>
        <v/>
      </c>
      <c r="K660" s="31" t="str">
        <f t="shared" ca="1" si="33"/>
        <v/>
      </c>
      <c r="P660" t="str">
        <f t="shared" si="32"/>
        <v/>
      </c>
      <c r="Q660" t="str">
        <f>IFERROR((J660/SUMIFS('Sales Orders'!D:D,'Sales Orders'!A:A,B660))*SUMIFS('Sales Orders'!N:N,'Sales Orders'!A:A,B660),"")</f>
        <v/>
      </c>
      <c r="W660" s="31" t="str">
        <f t="shared" ca="1" si="34"/>
        <v/>
      </c>
      <c r="Z660" s="31"/>
    </row>
    <row r="661" spans="2:26">
      <c r="B661" s="2"/>
      <c r="C661" t="str">
        <f>IF(B661&lt;&gt;"",INDEX('Sales Orders'!C:C,MATCH('Booking Management'!B661,'Sales Orders'!A:A,0)),"")</f>
        <v/>
      </c>
      <c r="K661" s="31" t="str">
        <f t="shared" ca="1" si="33"/>
        <v/>
      </c>
      <c r="P661" t="str">
        <f t="shared" si="32"/>
        <v/>
      </c>
      <c r="Q661" t="str">
        <f>IFERROR((J661/SUMIFS('Sales Orders'!D:D,'Sales Orders'!A:A,B661))*SUMIFS('Sales Orders'!N:N,'Sales Orders'!A:A,B661),"")</f>
        <v/>
      </c>
      <c r="W661" s="31" t="str">
        <f t="shared" ca="1" si="34"/>
        <v/>
      </c>
      <c r="Z661" s="31"/>
    </row>
    <row r="662" spans="2:26">
      <c r="B662" s="2"/>
      <c r="C662" t="str">
        <f>IF(B662&lt;&gt;"",INDEX('Sales Orders'!C:C,MATCH('Booking Management'!B662,'Sales Orders'!A:A,0)),"")</f>
        <v/>
      </c>
      <c r="K662" s="31" t="str">
        <f t="shared" ca="1" si="33"/>
        <v/>
      </c>
      <c r="P662" t="str">
        <f t="shared" si="32"/>
        <v/>
      </c>
      <c r="Q662" t="str">
        <f>IFERROR((J662/SUMIFS('Sales Orders'!D:D,'Sales Orders'!A:A,B662))*SUMIFS('Sales Orders'!N:N,'Sales Orders'!A:A,B662),"")</f>
        <v/>
      </c>
      <c r="W662" s="31" t="str">
        <f t="shared" ca="1" si="34"/>
        <v/>
      </c>
      <c r="Z662" s="31"/>
    </row>
    <row r="663" spans="2:26">
      <c r="B663" s="2"/>
      <c r="C663" t="str">
        <f>IF(B663&lt;&gt;"",INDEX('Sales Orders'!C:C,MATCH('Booking Management'!B663,'Sales Orders'!A:A,0)),"")</f>
        <v/>
      </c>
      <c r="K663" s="31" t="str">
        <f t="shared" ca="1" si="33"/>
        <v/>
      </c>
      <c r="P663" t="str">
        <f t="shared" si="32"/>
        <v/>
      </c>
      <c r="Q663" t="str">
        <f>IFERROR((J663/SUMIFS('Sales Orders'!D:D,'Sales Orders'!A:A,B663))*SUMIFS('Sales Orders'!N:N,'Sales Orders'!A:A,B663),"")</f>
        <v/>
      </c>
      <c r="W663" s="31" t="str">
        <f t="shared" ca="1" si="34"/>
        <v/>
      </c>
      <c r="Z663" s="31"/>
    </row>
    <row r="664" spans="2:26">
      <c r="B664" s="2"/>
      <c r="C664" t="str">
        <f>IF(B664&lt;&gt;"",INDEX('Sales Orders'!C:C,MATCH('Booking Management'!B664,'Sales Orders'!A:A,0)),"")</f>
        <v/>
      </c>
      <c r="K664" s="31" t="str">
        <f t="shared" ca="1" si="33"/>
        <v/>
      </c>
      <c r="P664" t="str">
        <f t="shared" si="32"/>
        <v/>
      </c>
      <c r="Q664" t="str">
        <f>IFERROR((J664/SUMIFS('Sales Orders'!D:D,'Sales Orders'!A:A,B664))*SUMIFS('Sales Orders'!N:N,'Sales Orders'!A:A,B664),"")</f>
        <v/>
      </c>
      <c r="W664" s="31" t="str">
        <f t="shared" ca="1" si="34"/>
        <v/>
      </c>
      <c r="Z664" s="31"/>
    </row>
    <row r="665" spans="2:26">
      <c r="B665" s="2"/>
      <c r="C665" t="str">
        <f>IF(B665&lt;&gt;"",INDEX('Sales Orders'!C:C,MATCH('Booking Management'!B665,'Sales Orders'!A:A,0)),"")</f>
        <v/>
      </c>
      <c r="K665" s="31" t="str">
        <f t="shared" ca="1" si="33"/>
        <v/>
      </c>
      <c r="P665" t="str">
        <f t="shared" si="32"/>
        <v/>
      </c>
      <c r="Q665" t="str">
        <f>IFERROR((J665/SUMIFS('Sales Orders'!D:D,'Sales Orders'!A:A,B665))*SUMIFS('Sales Orders'!N:N,'Sales Orders'!A:A,B665),"")</f>
        <v/>
      </c>
      <c r="W665" s="31" t="str">
        <f t="shared" ca="1" si="34"/>
        <v/>
      </c>
      <c r="Z665" s="31"/>
    </row>
    <row r="666" spans="2:26">
      <c r="B666" s="2"/>
      <c r="C666" t="str">
        <f>IF(B666&lt;&gt;"",INDEX('Sales Orders'!C:C,MATCH('Booking Management'!B666,'Sales Orders'!A:A,0)),"")</f>
        <v/>
      </c>
      <c r="K666" s="31" t="str">
        <f t="shared" ca="1" si="33"/>
        <v/>
      </c>
      <c r="P666" t="str">
        <f t="shared" si="32"/>
        <v/>
      </c>
      <c r="Q666" t="str">
        <f>IFERROR((J666/SUMIFS('Sales Orders'!D:D,'Sales Orders'!A:A,B666))*SUMIFS('Sales Orders'!N:N,'Sales Orders'!A:A,B666),"")</f>
        <v/>
      </c>
      <c r="W666" s="31" t="str">
        <f t="shared" ca="1" si="34"/>
        <v/>
      </c>
      <c r="Z666" s="31"/>
    </row>
    <row r="667" spans="2:26">
      <c r="B667" s="2"/>
      <c r="C667" t="str">
        <f>IF(B667&lt;&gt;"",INDEX('Sales Orders'!C:C,MATCH('Booking Management'!B667,'Sales Orders'!A:A,0)),"")</f>
        <v/>
      </c>
      <c r="K667" s="31" t="str">
        <f t="shared" ca="1" si="33"/>
        <v/>
      </c>
      <c r="P667" t="str">
        <f t="shared" si="32"/>
        <v/>
      </c>
      <c r="Q667" t="str">
        <f>IFERROR((J667/SUMIFS('Sales Orders'!D:D,'Sales Orders'!A:A,B667))*SUMIFS('Sales Orders'!N:N,'Sales Orders'!A:A,B667),"")</f>
        <v/>
      </c>
      <c r="W667" s="31" t="str">
        <f t="shared" ca="1" si="34"/>
        <v/>
      </c>
      <c r="Z667" s="31"/>
    </row>
    <row r="668" spans="2:26">
      <c r="B668" s="2"/>
      <c r="C668" t="str">
        <f>IF(B668&lt;&gt;"",INDEX('Sales Orders'!C:C,MATCH('Booking Management'!B668,'Sales Orders'!A:A,0)),"")</f>
        <v/>
      </c>
      <c r="K668" s="31" t="str">
        <f t="shared" ca="1" si="33"/>
        <v/>
      </c>
      <c r="P668" t="str">
        <f t="shared" si="32"/>
        <v/>
      </c>
      <c r="Q668" t="str">
        <f>IFERROR((J668/SUMIFS('Sales Orders'!D:D,'Sales Orders'!A:A,B668))*SUMIFS('Sales Orders'!N:N,'Sales Orders'!A:A,B668),"")</f>
        <v/>
      </c>
      <c r="W668" s="31" t="str">
        <f t="shared" ca="1" si="34"/>
        <v/>
      </c>
      <c r="Z668" s="31"/>
    </row>
    <row r="669" spans="2:26">
      <c r="B669" s="2"/>
      <c r="C669" t="str">
        <f>IF(B669&lt;&gt;"",INDEX('Sales Orders'!C:C,MATCH('Booking Management'!B669,'Sales Orders'!A:A,0)),"")</f>
        <v/>
      </c>
      <c r="K669" s="31" t="str">
        <f t="shared" ca="1" si="33"/>
        <v/>
      </c>
      <c r="P669" t="str">
        <f t="shared" si="32"/>
        <v/>
      </c>
      <c r="Q669" t="str">
        <f>IFERROR((J669/SUMIFS('Sales Orders'!D:D,'Sales Orders'!A:A,B669))*SUMIFS('Sales Orders'!N:N,'Sales Orders'!A:A,B669),"")</f>
        <v/>
      </c>
      <c r="W669" s="31" t="str">
        <f t="shared" ca="1" si="34"/>
        <v/>
      </c>
      <c r="Z669" s="31"/>
    </row>
    <row r="670" spans="2:26">
      <c r="B670" s="2"/>
      <c r="C670" t="str">
        <f>IF(B670&lt;&gt;"",INDEX('Sales Orders'!C:C,MATCH('Booking Management'!B670,'Sales Orders'!A:A,0)),"")</f>
        <v/>
      </c>
      <c r="K670" s="31" t="str">
        <f t="shared" ca="1" si="33"/>
        <v/>
      </c>
      <c r="P670" t="str">
        <f t="shared" si="32"/>
        <v/>
      </c>
      <c r="Q670" t="str">
        <f>IFERROR((J670/SUMIFS('Sales Orders'!D:D,'Sales Orders'!A:A,B670))*SUMIFS('Sales Orders'!N:N,'Sales Orders'!A:A,B670),"")</f>
        <v/>
      </c>
      <c r="W670" s="31" t="str">
        <f t="shared" ca="1" si="34"/>
        <v/>
      </c>
      <c r="Z670" s="31"/>
    </row>
    <row r="671" spans="2:26">
      <c r="B671" s="2"/>
      <c r="C671" t="str">
        <f>IF(B671&lt;&gt;"",INDEX('Sales Orders'!C:C,MATCH('Booking Management'!B671,'Sales Orders'!A:A,0)),"")</f>
        <v/>
      </c>
      <c r="K671" s="31" t="str">
        <f t="shared" ca="1" si="33"/>
        <v/>
      </c>
      <c r="P671" t="str">
        <f t="shared" si="32"/>
        <v/>
      </c>
      <c r="Q671" t="str">
        <f>IFERROR((J671/SUMIFS('Sales Orders'!D:D,'Sales Orders'!A:A,B671))*SUMIFS('Sales Orders'!N:N,'Sales Orders'!A:A,B671),"")</f>
        <v/>
      </c>
      <c r="W671" s="31" t="str">
        <f t="shared" ca="1" si="34"/>
        <v/>
      </c>
      <c r="Z671" s="31"/>
    </row>
    <row r="672" spans="2:26">
      <c r="B672" s="2"/>
      <c r="C672" t="str">
        <f>IF(B672&lt;&gt;"",INDEX('Sales Orders'!C:C,MATCH('Booking Management'!B672,'Sales Orders'!A:A,0)),"")</f>
        <v/>
      </c>
      <c r="K672" s="31" t="str">
        <f t="shared" ca="1" si="33"/>
        <v/>
      </c>
      <c r="P672" t="str">
        <f t="shared" si="32"/>
        <v/>
      </c>
      <c r="Q672" t="str">
        <f>IFERROR((J672/SUMIFS('Sales Orders'!D:D,'Sales Orders'!A:A,B672))*SUMIFS('Sales Orders'!N:N,'Sales Orders'!A:A,B672),"")</f>
        <v/>
      </c>
      <c r="W672" s="31" t="str">
        <f t="shared" ca="1" si="34"/>
        <v/>
      </c>
      <c r="Z672" s="31"/>
    </row>
    <row r="673" spans="2:26">
      <c r="B673" s="2"/>
      <c r="C673" t="str">
        <f>IF(B673&lt;&gt;"",INDEX('Sales Orders'!C:C,MATCH('Booking Management'!B673,'Sales Orders'!A:A,0)),"")</f>
        <v/>
      </c>
      <c r="K673" s="31" t="str">
        <f t="shared" ca="1" si="33"/>
        <v/>
      </c>
      <c r="P673" t="str">
        <f t="shared" ref="P673:P736" si="35">IF(B673&lt;&gt;"",T673-L673,"")</f>
        <v/>
      </c>
      <c r="Q673" t="str">
        <f>IFERROR((J673/SUMIFS('Sales Orders'!D:D,'Sales Orders'!A:A,B673))*SUMIFS('Sales Orders'!N:N,'Sales Orders'!A:A,B673),"")</f>
        <v/>
      </c>
      <c r="W673" s="31" t="str">
        <f t="shared" ca="1" si="34"/>
        <v/>
      </c>
      <c r="Z673" s="31"/>
    </row>
    <row r="674" spans="2:26">
      <c r="B674" s="2"/>
      <c r="C674" t="str">
        <f>IF(B674&lt;&gt;"",INDEX('Sales Orders'!C:C,MATCH('Booking Management'!B674,'Sales Orders'!A:A,0)),"")</f>
        <v/>
      </c>
      <c r="K674" s="31" t="str">
        <f t="shared" ca="1" si="33"/>
        <v/>
      </c>
      <c r="P674" t="str">
        <f t="shared" si="35"/>
        <v/>
      </c>
      <c r="Q674" t="str">
        <f>IFERROR((J674/SUMIFS('Sales Orders'!D:D,'Sales Orders'!A:A,B674))*SUMIFS('Sales Orders'!N:N,'Sales Orders'!A:A,B674),"")</f>
        <v/>
      </c>
      <c r="W674" s="31" t="str">
        <f t="shared" ca="1" si="34"/>
        <v/>
      </c>
      <c r="Z674" s="31"/>
    </row>
    <row r="675" spans="2:26">
      <c r="B675" s="2"/>
      <c r="C675" t="str">
        <f>IF(B675&lt;&gt;"",INDEX('Sales Orders'!C:C,MATCH('Booking Management'!B675,'Sales Orders'!A:A,0)),"")</f>
        <v/>
      </c>
      <c r="K675" s="31" t="str">
        <f t="shared" ca="1" si="33"/>
        <v/>
      </c>
      <c r="P675" t="str">
        <f t="shared" si="35"/>
        <v/>
      </c>
      <c r="Q675" t="str">
        <f>IFERROR((J675/SUMIFS('Sales Orders'!D:D,'Sales Orders'!A:A,B675))*SUMIFS('Sales Orders'!N:N,'Sales Orders'!A:A,B675),"")</f>
        <v/>
      </c>
      <c r="W675" s="31" t="str">
        <f t="shared" ca="1" si="34"/>
        <v/>
      </c>
      <c r="Z675" s="31"/>
    </row>
    <row r="676" spans="2:26">
      <c r="B676" s="2"/>
      <c r="C676" t="str">
        <f>IF(B676&lt;&gt;"",INDEX('Sales Orders'!C:C,MATCH('Booking Management'!B676,'Sales Orders'!A:A,0)),"")</f>
        <v/>
      </c>
      <c r="K676" s="31" t="str">
        <f t="shared" ca="1" si="33"/>
        <v/>
      </c>
      <c r="P676" t="str">
        <f t="shared" si="35"/>
        <v/>
      </c>
      <c r="Q676" t="str">
        <f>IFERROR((J676/SUMIFS('Sales Orders'!D:D,'Sales Orders'!A:A,B676))*SUMIFS('Sales Orders'!N:N,'Sales Orders'!A:A,B676),"")</f>
        <v/>
      </c>
      <c r="W676" s="31" t="str">
        <f t="shared" ca="1" si="34"/>
        <v/>
      </c>
      <c r="Z676" s="31"/>
    </row>
    <row r="677" spans="2:26">
      <c r="B677" s="2"/>
      <c r="C677" t="str">
        <f>IF(B677&lt;&gt;"",INDEX('Sales Orders'!C:C,MATCH('Booking Management'!B677,'Sales Orders'!A:A,0)),"")</f>
        <v/>
      </c>
      <c r="K677" s="31" t="str">
        <f t="shared" ca="1" si="33"/>
        <v/>
      </c>
      <c r="P677" t="str">
        <f t="shared" si="35"/>
        <v/>
      </c>
      <c r="Q677" t="str">
        <f>IFERROR((J677/SUMIFS('Sales Orders'!D:D,'Sales Orders'!A:A,B677))*SUMIFS('Sales Orders'!N:N,'Sales Orders'!A:A,B677),"")</f>
        <v/>
      </c>
      <c r="W677" s="31" t="str">
        <f t="shared" ca="1" si="34"/>
        <v/>
      </c>
      <c r="Z677" s="31"/>
    </row>
    <row r="678" spans="2:26">
      <c r="B678" s="2"/>
      <c r="C678" t="str">
        <f>IF(B678&lt;&gt;"",INDEX('Sales Orders'!C:C,MATCH('Booking Management'!B678,'Sales Orders'!A:A,0)),"")</f>
        <v/>
      </c>
      <c r="K678" s="31" t="str">
        <f t="shared" ca="1" si="33"/>
        <v/>
      </c>
      <c r="P678" t="str">
        <f t="shared" si="35"/>
        <v/>
      </c>
      <c r="Q678" t="str">
        <f>IFERROR((J678/SUMIFS('Sales Orders'!D:D,'Sales Orders'!A:A,B678))*SUMIFS('Sales Orders'!N:N,'Sales Orders'!A:A,B678),"")</f>
        <v/>
      </c>
      <c r="W678" s="31" t="str">
        <f t="shared" ca="1" si="34"/>
        <v/>
      </c>
      <c r="Z678" s="31"/>
    </row>
    <row r="679" spans="2:26">
      <c r="B679" s="2"/>
      <c r="C679" t="str">
        <f>IF(B679&lt;&gt;"",INDEX('Sales Orders'!C:C,MATCH('Booking Management'!B679,'Sales Orders'!A:A,0)),"")</f>
        <v/>
      </c>
      <c r="K679" s="31" t="str">
        <f t="shared" ca="1" si="33"/>
        <v/>
      </c>
      <c r="P679" t="str">
        <f t="shared" si="35"/>
        <v/>
      </c>
      <c r="Q679" t="str">
        <f>IFERROR((J679/SUMIFS('Sales Orders'!D:D,'Sales Orders'!A:A,B679))*SUMIFS('Sales Orders'!N:N,'Sales Orders'!A:A,B679),"")</f>
        <v/>
      </c>
      <c r="W679" s="31" t="str">
        <f t="shared" ca="1" si="34"/>
        <v/>
      </c>
      <c r="Z679" s="31"/>
    </row>
    <row r="680" spans="2:26">
      <c r="B680" s="2"/>
      <c r="C680" t="str">
        <f>IF(B680&lt;&gt;"",INDEX('Sales Orders'!C:C,MATCH('Booking Management'!B680,'Sales Orders'!A:A,0)),"")</f>
        <v/>
      </c>
      <c r="K680" s="31" t="str">
        <f t="shared" ca="1" si="33"/>
        <v/>
      </c>
      <c r="P680" t="str">
        <f t="shared" si="35"/>
        <v/>
      </c>
      <c r="Q680" t="str">
        <f>IFERROR((J680/SUMIFS('Sales Orders'!D:D,'Sales Orders'!A:A,B680))*SUMIFS('Sales Orders'!N:N,'Sales Orders'!A:A,B680),"")</f>
        <v/>
      </c>
      <c r="W680" s="31" t="str">
        <f t="shared" ca="1" si="34"/>
        <v/>
      </c>
      <c r="Z680" s="31"/>
    </row>
    <row r="681" spans="2:26">
      <c r="B681" s="2"/>
      <c r="C681" t="str">
        <f>IF(B681&lt;&gt;"",INDEX('Sales Orders'!C:C,MATCH('Booking Management'!B681,'Sales Orders'!A:A,0)),"")</f>
        <v/>
      </c>
      <c r="K681" s="31" t="str">
        <f t="shared" ca="1" si="33"/>
        <v/>
      </c>
      <c r="P681" t="str">
        <f t="shared" si="35"/>
        <v/>
      </c>
      <c r="Q681" t="str">
        <f>IFERROR((J681/SUMIFS('Sales Orders'!D:D,'Sales Orders'!A:A,B681))*SUMIFS('Sales Orders'!N:N,'Sales Orders'!A:A,B681),"")</f>
        <v/>
      </c>
      <c r="W681" s="31" t="str">
        <f t="shared" ca="1" si="34"/>
        <v/>
      </c>
      <c r="Z681" s="31"/>
    </row>
    <row r="682" spans="2:26">
      <c r="B682" s="2"/>
      <c r="C682" t="str">
        <f>IF(B682&lt;&gt;"",INDEX('Sales Orders'!C:C,MATCH('Booking Management'!B682,'Sales Orders'!A:A,0)),"")</f>
        <v/>
      </c>
      <c r="K682" s="31" t="str">
        <f t="shared" ca="1" si="33"/>
        <v/>
      </c>
      <c r="P682" t="str">
        <f t="shared" si="35"/>
        <v/>
      </c>
      <c r="Q682" t="str">
        <f>IFERROR((J682/SUMIFS('Sales Orders'!D:D,'Sales Orders'!A:A,B682))*SUMIFS('Sales Orders'!N:N,'Sales Orders'!A:A,B682),"")</f>
        <v/>
      </c>
      <c r="W682" s="31" t="str">
        <f t="shared" ca="1" si="34"/>
        <v/>
      </c>
      <c r="Z682" s="31"/>
    </row>
    <row r="683" spans="2:26">
      <c r="B683" s="2"/>
      <c r="C683" t="str">
        <f>IF(B683&lt;&gt;"",INDEX('Sales Orders'!C:C,MATCH('Booking Management'!B683,'Sales Orders'!A:A,0)),"")</f>
        <v/>
      </c>
      <c r="K683" s="31" t="str">
        <f t="shared" ca="1" si="33"/>
        <v/>
      </c>
      <c r="P683" t="str">
        <f t="shared" si="35"/>
        <v/>
      </c>
      <c r="Q683" t="str">
        <f>IFERROR((J683/SUMIFS('Sales Orders'!D:D,'Sales Orders'!A:A,B683))*SUMIFS('Sales Orders'!N:N,'Sales Orders'!A:A,B683),"")</f>
        <v/>
      </c>
      <c r="W683" s="31" t="str">
        <f t="shared" ca="1" si="34"/>
        <v/>
      </c>
      <c r="Z683" s="31"/>
    </row>
    <row r="684" spans="2:26">
      <c r="B684" s="2"/>
      <c r="C684" t="str">
        <f>IF(B684&lt;&gt;"",INDEX('Sales Orders'!C:C,MATCH('Booking Management'!B684,'Sales Orders'!A:A,0)),"")</f>
        <v/>
      </c>
      <c r="K684" s="31" t="str">
        <f t="shared" ca="1" si="33"/>
        <v/>
      </c>
      <c r="P684" t="str">
        <f t="shared" si="35"/>
        <v/>
      </c>
      <c r="Q684" t="str">
        <f>IFERROR((J684/SUMIFS('Sales Orders'!D:D,'Sales Orders'!A:A,B684))*SUMIFS('Sales Orders'!N:N,'Sales Orders'!A:A,B684),"")</f>
        <v/>
      </c>
      <c r="W684" s="31" t="str">
        <f t="shared" ca="1" si="34"/>
        <v/>
      </c>
      <c r="Z684" s="31"/>
    </row>
    <row r="685" spans="2:26">
      <c r="B685" s="2"/>
      <c r="C685" t="str">
        <f>IF(B685&lt;&gt;"",INDEX('Sales Orders'!C:C,MATCH('Booking Management'!B685,'Sales Orders'!A:A,0)),"")</f>
        <v/>
      </c>
      <c r="K685" s="31" t="str">
        <f t="shared" ca="1" si="33"/>
        <v/>
      </c>
      <c r="P685" t="str">
        <f t="shared" si="35"/>
        <v/>
      </c>
      <c r="Q685" t="str">
        <f>IFERROR((J685/SUMIFS('Sales Orders'!D:D,'Sales Orders'!A:A,B685))*SUMIFS('Sales Orders'!N:N,'Sales Orders'!A:A,B685),"")</f>
        <v/>
      </c>
      <c r="W685" s="31" t="str">
        <f t="shared" ca="1" si="34"/>
        <v/>
      </c>
      <c r="Z685" s="31"/>
    </row>
    <row r="686" spans="2:26">
      <c r="B686" s="2"/>
      <c r="C686" t="str">
        <f>IF(B686&lt;&gt;"",INDEX('Sales Orders'!C:C,MATCH('Booking Management'!B686,'Sales Orders'!A:A,0)),"")</f>
        <v/>
      </c>
      <c r="K686" s="31" t="str">
        <f t="shared" ca="1" si="33"/>
        <v/>
      </c>
      <c r="P686" t="str">
        <f t="shared" si="35"/>
        <v/>
      </c>
      <c r="Q686" t="str">
        <f>IFERROR((J686/SUMIFS('Sales Orders'!D:D,'Sales Orders'!A:A,B686))*SUMIFS('Sales Orders'!N:N,'Sales Orders'!A:A,B686),"")</f>
        <v/>
      </c>
      <c r="W686" s="31" t="str">
        <f t="shared" ca="1" si="34"/>
        <v/>
      </c>
      <c r="Z686" s="31"/>
    </row>
    <row r="687" spans="2:26">
      <c r="B687" s="2"/>
      <c r="C687" t="str">
        <f>IF(B687&lt;&gt;"",INDEX('Sales Orders'!C:C,MATCH('Booking Management'!B687,'Sales Orders'!A:A,0)),"")</f>
        <v/>
      </c>
      <c r="K687" s="31" t="str">
        <f t="shared" ca="1" si="33"/>
        <v/>
      </c>
      <c r="P687" t="str">
        <f t="shared" si="35"/>
        <v/>
      </c>
      <c r="Q687" t="str">
        <f>IFERROR((J687/SUMIFS('Sales Orders'!D:D,'Sales Orders'!A:A,B687))*SUMIFS('Sales Orders'!N:N,'Sales Orders'!A:A,B687),"")</f>
        <v/>
      </c>
      <c r="W687" s="31" t="str">
        <f t="shared" ca="1" si="34"/>
        <v/>
      </c>
      <c r="Z687" s="31"/>
    </row>
    <row r="688" spans="2:26">
      <c r="B688" s="2"/>
      <c r="C688" t="str">
        <f>IF(B688&lt;&gt;"",INDEX('Sales Orders'!C:C,MATCH('Booking Management'!B688,'Sales Orders'!A:A,0)),"")</f>
        <v/>
      </c>
      <c r="K688" s="31" t="str">
        <f t="shared" ca="1" si="33"/>
        <v/>
      </c>
      <c r="P688" t="str">
        <f t="shared" si="35"/>
        <v/>
      </c>
      <c r="Q688" t="str">
        <f>IFERROR((J688/SUMIFS('Sales Orders'!D:D,'Sales Orders'!A:A,B688))*SUMIFS('Sales Orders'!N:N,'Sales Orders'!A:A,B688),"")</f>
        <v/>
      </c>
      <c r="W688" s="31" t="str">
        <f t="shared" ca="1" si="34"/>
        <v/>
      </c>
      <c r="Z688" s="31"/>
    </row>
    <row r="689" spans="2:26">
      <c r="B689" s="2"/>
      <c r="C689" t="str">
        <f>IF(B689&lt;&gt;"",INDEX('Sales Orders'!C:C,MATCH('Booking Management'!B689,'Sales Orders'!A:A,0)),"")</f>
        <v/>
      </c>
      <c r="K689" s="31" t="str">
        <f t="shared" ca="1" si="33"/>
        <v/>
      </c>
      <c r="P689" t="str">
        <f t="shared" si="35"/>
        <v/>
      </c>
      <c r="Q689" t="str">
        <f>IFERROR((J689/SUMIFS('Sales Orders'!D:D,'Sales Orders'!A:A,B689))*SUMIFS('Sales Orders'!N:N,'Sales Orders'!A:A,B689),"")</f>
        <v/>
      </c>
      <c r="W689" s="31" t="str">
        <f t="shared" ca="1" si="34"/>
        <v/>
      </c>
      <c r="Z689" s="31"/>
    </row>
    <row r="690" spans="2:26">
      <c r="B690" s="2"/>
      <c r="C690" t="str">
        <f>IF(B690&lt;&gt;"",INDEX('Sales Orders'!C:C,MATCH('Booking Management'!B690,'Sales Orders'!A:A,0)),"")</f>
        <v/>
      </c>
      <c r="K690" s="31" t="str">
        <f t="shared" ca="1" si="33"/>
        <v/>
      </c>
      <c r="P690" t="str">
        <f t="shared" si="35"/>
        <v/>
      </c>
      <c r="Q690" t="str">
        <f>IFERROR((J690/SUMIFS('Sales Orders'!D:D,'Sales Orders'!A:A,B690))*SUMIFS('Sales Orders'!N:N,'Sales Orders'!A:A,B690),"")</f>
        <v/>
      </c>
      <c r="W690" s="31" t="str">
        <f t="shared" ca="1" si="34"/>
        <v/>
      </c>
      <c r="Z690" s="31"/>
    </row>
    <row r="691" spans="2:26">
      <c r="B691" s="2"/>
      <c r="C691" t="str">
        <f>IF(B691&lt;&gt;"",INDEX('Sales Orders'!C:C,MATCH('Booking Management'!B691,'Sales Orders'!A:A,0)),"")</f>
        <v/>
      </c>
      <c r="K691" s="31" t="str">
        <f t="shared" ca="1" si="33"/>
        <v/>
      </c>
      <c r="P691" t="str">
        <f t="shared" si="35"/>
        <v/>
      </c>
      <c r="Q691" t="str">
        <f>IFERROR((J691/SUMIFS('Sales Orders'!D:D,'Sales Orders'!A:A,B691))*SUMIFS('Sales Orders'!N:N,'Sales Orders'!A:A,B691),"")</f>
        <v/>
      </c>
      <c r="W691" s="31" t="str">
        <f t="shared" ca="1" si="34"/>
        <v/>
      </c>
      <c r="Z691" s="31"/>
    </row>
    <row r="692" spans="2:26">
      <c r="B692" s="2"/>
      <c r="C692" t="str">
        <f>IF(B692&lt;&gt;"",INDEX('Sales Orders'!C:C,MATCH('Booking Management'!B692,'Sales Orders'!A:A,0)),"")</f>
        <v/>
      </c>
      <c r="K692" s="31" t="str">
        <f t="shared" ca="1" si="33"/>
        <v/>
      </c>
      <c r="P692" t="str">
        <f t="shared" si="35"/>
        <v/>
      </c>
      <c r="Q692" t="str">
        <f>IFERROR((J692/SUMIFS('Sales Orders'!D:D,'Sales Orders'!A:A,B692))*SUMIFS('Sales Orders'!N:N,'Sales Orders'!A:A,B692),"")</f>
        <v/>
      </c>
      <c r="W692" s="31" t="str">
        <f t="shared" ca="1" si="34"/>
        <v/>
      </c>
      <c r="Z692" s="31"/>
    </row>
    <row r="693" spans="2:26">
      <c r="B693" s="2"/>
      <c r="C693" t="str">
        <f>IF(B693&lt;&gt;"",INDEX('Sales Orders'!C:C,MATCH('Booking Management'!B693,'Sales Orders'!A:A,0)),"")</f>
        <v/>
      </c>
      <c r="K693" s="31" t="str">
        <f t="shared" ca="1" si="33"/>
        <v/>
      </c>
      <c r="P693" t="str">
        <f t="shared" si="35"/>
        <v/>
      </c>
      <c r="Q693" t="str">
        <f>IFERROR((J693/SUMIFS('Sales Orders'!D:D,'Sales Orders'!A:A,B693))*SUMIFS('Sales Orders'!N:N,'Sales Orders'!A:A,B693),"")</f>
        <v/>
      </c>
      <c r="W693" s="31" t="str">
        <f t="shared" ca="1" si="34"/>
        <v/>
      </c>
      <c r="Z693" s="31"/>
    </row>
    <row r="694" spans="2:26">
      <c r="B694" s="2"/>
      <c r="C694" t="str">
        <f>IF(B694&lt;&gt;"",INDEX('Sales Orders'!C:C,MATCH('Booking Management'!B694,'Sales Orders'!A:A,0)),"")</f>
        <v/>
      </c>
      <c r="K694" s="31" t="str">
        <f t="shared" ca="1" si="33"/>
        <v/>
      </c>
      <c r="P694" t="str">
        <f t="shared" si="35"/>
        <v/>
      </c>
      <c r="Q694" t="str">
        <f>IFERROR((J694/SUMIFS('Sales Orders'!D:D,'Sales Orders'!A:A,B694))*SUMIFS('Sales Orders'!N:N,'Sales Orders'!A:A,B694),"")</f>
        <v/>
      </c>
      <c r="W694" s="31" t="str">
        <f t="shared" ca="1" si="34"/>
        <v/>
      </c>
      <c r="Z694" s="31"/>
    </row>
    <row r="695" spans="2:26">
      <c r="B695" s="2"/>
      <c r="C695" t="str">
        <f>IF(B695&lt;&gt;"",INDEX('Sales Orders'!C:C,MATCH('Booking Management'!B695,'Sales Orders'!A:A,0)),"")</f>
        <v/>
      </c>
      <c r="K695" s="31" t="str">
        <f t="shared" ca="1" si="33"/>
        <v/>
      </c>
      <c r="P695" t="str">
        <f t="shared" si="35"/>
        <v/>
      </c>
      <c r="Q695" t="str">
        <f>IFERROR((J695/SUMIFS('Sales Orders'!D:D,'Sales Orders'!A:A,B695))*SUMIFS('Sales Orders'!N:N,'Sales Orders'!A:A,B695),"")</f>
        <v/>
      </c>
      <c r="W695" s="31" t="str">
        <f t="shared" ca="1" si="34"/>
        <v/>
      </c>
      <c r="Z695" s="31"/>
    </row>
    <row r="696" spans="2:26">
      <c r="B696" s="2"/>
      <c r="C696" t="str">
        <f>IF(B696&lt;&gt;"",INDEX('Sales Orders'!C:C,MATCH('Booking Management'!B696,'Sales Orders'!A:A,0)),"")</f>
        <v/>
      </c>
      <c r="K696" s="31" t="str">
        <f t="shared" ca="1" si="33"/>
        <v/>
      </c>
      <c r="P696" t="str">
        <f t="shared" si="35"/>
        <v/>
      </c>
      <c r="Q696" t="str">
        <f>IFERROR((J696/SUMIFS('Sales Orders'!D:D,'Sales Orders'!A:A,B696))*SUMIFS('Sales Orders'!N:N,'Sales Orders'!A:A,B696),"")</f>
        <v/>
      </c>
      <c r="W696" s="31" t="str">
        <f t="shared" ca="1" si="34"/>
        <v/>
      </c>
      <c r="Z696" s="31"/>
    </row>
    <row r="697" spans="2:26">
      <c r="B697" s="2"/>
      <c r="C697" t="str">
        <f>IF(B697&lt;&gt;"",INDEX('Sales Orders'!C:C,MATCH('Booking Management'!B697,'Sales Orders'!A:A,0)),"")</f>
        <v/>
      </c>
      <c r="K697" s="31" t="str">
        <f t="shared" ca="1" si="33"/>
        <v/>
      </c>
      <c r="P697" t="str">
        <f t="shared" si="35"/>
        <v/>
      </c>
      <c r="Q697" t="str">
        <f>IFERROR((J697/SUMIFS('Sales Orders'!D:D,'Sales Orders'!A:A,B697))*SUMIFS('Sales Orders'!N:N,'Sales Orders'!A:A,B697),"")</f>
        <v/>
      </c>
      <c r="W697" s="31" t="str">
        <f t="shared" ca="1" si="34"/>
        <v/>
      </c>
      <c r="Z697" s="31"/>
    </row>
    <row r="698" spans="2:26">
      <c r="B698" s="2"/>
      <c r="C698" t="str">
        <f>IF(B698&lt;&gt;"",INDEX('Sales Orders'!C:C,MATCH('Booking Management'!B698,'Sales Orders'!A:A,0)),"")</f>
        <v/>
      </c>
      <c r="K698" s="31" t="str">
        <f t="shared" ca="1" si="33"/>
        <v/>
      </c>
      <c r="P698" t="str">
        <f t="shared" si="35"/>
        <v/>
      </c>
      <c r="Q698" t="str">
        <f>IFERROR((J698/SUMIFS('Sales Orders'!D:D,'Sales Orders'!A:A,B698))*SUMIFS('Sales Orders'!N:N,'Sales Orders'!A:A,B698),"")</f>
        <v/>
      </c>
      <c r="W698" s="31" t="str">
        <f t="shared" ca="1" si="34"/>
        <v/>
      </c>
      <c r="Z698" s="31"/>
    </row>
    <row r="699" spans="2:26">
      <c r="B699" s="2"/>
      <c r="C699" t="str">
        <f>IF(B699&lt;&gt;"",INDEX('Sales Orders'!C:C,MATCH('Booking Management'!B699,'Sales Orders'!A:A,0)),"")</f>
        <v/>
      </c>
      <c r="K699" s="31" t="str">
        <f t="shared" ca="1" si="33"/>
        <v/>
      </c>
      <c r="P699" t="str">
        <f t="shared" si="35"/>
        <v/>
      </c>
      <c r="Q699" t="str">
        <f>IFERROR((J699/SUMIFS('Sales Orders'!D:D,'Sales Orders'!A:A,B699))*SUMIFS('Sales Orders'!N:N,'Sales Orders'!A:A,B699),"")</f>
        <v/>
      </c>
      <c r="W699" s="31" t="str">
        <f t="shared" ca="1" si="34"/>
        <v/>
      </c>
      <c r="Z699" s="31"/>
    </row>
    <row r="700" spans="2:26">
      <c r="B700" s="2"/>
      <c r="C700" t="str">
        <f>IF(B700&lt;&gt;"",INDEX('Sales Orders'!C:C,MATCH('Booking Management'!B700,'Sales Orders'!A:A,0)),"")</f>
        <v/>
      </c>
      <c r="K700" s="31" t="str">
        <f t="shared" ca="1" si="33"/>
        <v/>
      </c>
      <c r="P700" t="str">
        <f t="shared" si="35"/>
        <v/>
      </c>
      <c r="Q700" t="str">
        <f>IFERROR((J700/SUMIFS('Sales Orders'!D:D,'Sales Orders'!A:A,B700))*SUMIFS('Sales Orders'!N:N,'Sales Orders'!A:A,B700),"")</f>
        <v/>
      </c>
      <c r="W700" s="31" t="str">
        <f t="shared" ca="1" si="34"/>
        <v/>
      </c>
      <c r="Z700" s="31"/>
    </row>
    <row r="701" spans="2:26">
      <c r="B701" s="2"/>
      <c r="C701" t="str">
        <f>IF(B701&lt;&gt;"",INDEX('Sales Orders'!C:C,MATCH('Booking Management'!B701,'Sales Orders'!A:A,0)),"")</f>
        <v/>
      </c>
      <c r="K701" s="31" t="str">
        <f t="shared" ca="1" si="33"/>
        <v/>
      </c>
      <c r="P701" t="str">
        <f t="shared" si="35"/>
        <v/>
      </c>
      <c r="Q701" t="str">
        <f>IFERROR((J701/SUMIFS('Sales Orders'!D:D,'Sales Orders'!A:A,B701))*SUMIFS('Sales Orders'!N:N,'Sales Orders'!A:A,B701),"")</f>
        <v/>
      </c>
      <c r="W701" s="31" t="str">
        <f t="shared" ca="1" si="34"/>
        <v/>
      </c>
      <c r="Z701" s="31"/>
    </row>
    <row r="702" spans="2:26">
      <c r="B702" s="2"/>
      <c r="C702" t="str">
        <f>IF(B702&lt;&gt;"",INDEX('Sales Orders'!C:C,MATCH('Booking Management'!B702,'Sales Orders'!A:A,0)),"")</f>
        <v/>
      </c>
      <c r="K702" s="31" t="str">
        <f t="shared" ca="1" si="33"/>
        <v/>
      </c>
      <c r="P702" t="str">
        <f t="shared" si="35"/>
        <v/>
      </c>
      <c r="Q702" t="str">
        <f>IFERROR((J702/SUMIFS('Sales Orders'!D:D,'Sales Orders'!A:A,B702))*SUMIFS('Sales Orders'!N:N,'Sales Orders'!A:A,B702),"")</f>
        <v/>
      </c>
      <c r="W702" s="31" t="str">
        <f t="shared" ca="1" si="34"/>
        <v/>
      </c>
      <c r="Z702" s="31"/>
    </row>
    <row r="703" spans="2:26">
      <c r="B703" s="2"/>
      <c r="C703" t="str">
        <f>IF(B703&lt;&gt;"",INDEX('Sales Orders'!C:C,MATCH('Booking Management'!B703,'Sales Orders'!A:A,0)),"")</f>
        <v/>
      </c>
      <c r="K703" s="31" t="str">
        <f t="shared" ca="1" si="33"/>
        <v/>
      </c>
      <c r="P703" t="str">
        <f t="shared" si="35"/>
        <v/>
      </c>
      <c r="Q703" t="str">
        <f>IFERROR((J703/SUMIFS('Sales Orders'!D:D,'Sales Orders'!A:A,B703))*SUMIFS('Sales Orders'!N:N,'Sales Orders'!A:A,B703),"")</f>
        <v/>
      </c>
      <c r="W703" s="31" t="str">
        <f t="shared" ca="1" si="34"/>
        <v/>
      </c>
      <c r="Z703" s="31"/>
    </row>
    <row r="704" spans="2:26">
      <c r="B704" s="2"/>
      <c r="C704" t="str">
        <f>IF(B704&lt;&gt;"",INDEX('Sales Orders'!C:C,MATCH('Booking Management'!B704,'Sales Orders'!A:A,0)),"")</f>
        <v/>
      </c>
      <c r="K704" s="31" t="str">
        <f t="shared" ca="1" si="33"/>
        <v/>
      </c>
      <c r="P704" t="str">
        <f t="shared" si="35"/>
        <v/>
      </c>
      <c r="Q704" t="str">
        <f>IFERROR((J704/SUMIFS('Sales Orders'!D:D,'Sales Orders'!A:A,B704))*SUMIFS('Sales Orders'!N:N,'Sales Orders'!A:A,B704),"")</f>
        <v/>
      </c>
      <c r="W704" s="31" t="str">
        <f t="shared" ca="1" si="34"/>
        <v/>
      </c>
      <c r="Z704" s="31"/>
    </row>
    <row r="705" spans="2:26">
      <c r="B705" s="2"/>
      <c r="C705" t="str">
        <f>IF(B705&lt;&gt;"",INDEX('Sales Orders'!C:C,MATCH('Booking Management'!B705,'Sales Orders'!A:A,0)),"")</f>
        <v/>
      </c>
      <c r="K705" s="31" t="str">
        <f t="shared" ca="1" si="33"/>
        <v/>
      </c>
      <c r="P705" t="str">
        <f t="shared" si="35"/>
        <v/>
      </c>
      <c r="Q705" t="str">
        <f>IFERROR((J705/SUMIFS('Sales Orders'!D:D,'Sales Orders'!A:A,B705))*SUMIFS('Sales Orders'!N:N,'Sales Orders'!A:A,B705),"")</f>
        <v/>
      </c>
      <c r="W705" s="31" t="str">
        <f t="shared" ca="1" si="34"/>
        <v/>
      </c>
      <c r="Z705" s="31"/>
    </row>
    <row r="706" spans="2:26">
      <c r="B706" s="2"/>
      <c r="C706" t="str">
        <f>IF(B706&lt;&gt;"",INDEX('Sales Orders'!C:C,MATCH('Booking Management'!B706,'Sales Orders'!A:A,0)),"")</f>
        <v/>
      </c>
      <c r="K706" s="31" t="str">
        <f t="shared" ca="1" si="33"/>
        <v/>
      </c>
      <c r="P706" t="str">
        <f t="shared" si="35"/>
        <v/>
      </c>
      <c r="Q706" t="str">
        <f>IFERROR((J706/SUMIFS('Sales Orders'!D:D,'Sales Orders'!A:A,B706))*SUMIFS('Sales Orders'!N:N,'Sales Orders'!A:A,B706),"")</f>
        <v/>
      </c>
      <c r="W706" s="31" t="str">
        <f t="shared" ca="1" si="34"/>
        <v/>
      </c>
      <c r="Z706" s="31"/>
    </row>
    <row r="707" spans="2:26">
      <c r="B707" s="2"/>
      <c r="C707" t="str">
        <f>IF(B707&lt;&gt;"",INDEX('Sales Orders'!C:C,MATCH('Booking Management'!B707,'Sales Orders'!A:A,0)),"")</f>
        <v/>
      </c>
      <c r="K707" s="31" t="str">
        <f t="shared" ref="K707:K770" ca="1" si="36">IF(B707&lt;&gt;"",IF(AND(OR(L707-TODAY()&lt;2,M707&lt;&gt;"yes",N707&lt;&gt;"yes",O707&lt;&gt;"yes"),S707&lt;&gt;"Used"),"Alert",""),"")</f>
        <v/>
      </c>
      <c r="P707" t="str">
        <f t="shared" si="35"/>
        <v/>
      </c>
      <c r="Q707" t="str">
        <f>IFERROR((J707/SUMIFS('Sales Orders'!D:D,'Sales Orders'!A:A,B707))*SUMIFS('Sales Orders'!N:N,'Sales Orders'!A:A,B707),"")</f>
        <v/>
      </c>
      <c r="W707" s="31" t="str">
        <f t="shared" ca="1" si="34"/>
        <v/>
      </c>
      <c r="Z707" s="31"/>
    </row>
    <row r="708" spans="2:26">
      <c r="B708" s="2"/>
      <c r="C708" t="str">
        <f>IF(B708&lt;&gt;"",INDEX('Sales Orders'!C:C,MATCH('Booking Management'!B708,'Sales Orders'!A:A,0)),"")</f>
        <v/>
      </c>
      <c r="K708" s="31" t="str">
        <f t="shared" ca="1" si="36"/>
        <v/>
      </c>
      <c r="P708" t="str">
        <f t="shared" si="35"/>
        <v/>
      </c>
      <c r="Q708" t="str">
        <f>IFERROR((J708/SUMIFS('Sales Orders'!D:D,'Sales Orders'!A:A,B708))*SUMIFS('Sales Orders'!N:N,'Sales Orders'!A:A,B708),"")</f>
        <v/>
      </c>
      <c r="W708" s="31" t="str">
        <f t="shared" ca="1" si="34"/>
        <v/>
      </c>
      <c r="Z708" s="31"/>
    </row>
    <row r="709" spans="2:26">
      <c r="B709" s="2"/>
      <c r="C709" t="str">
        <f>IF(B709&lt;&gt;"",INDEX('Sales Orders'!C:C,MATCH('Booking Management'!B709,'Sales Orders'!A:A,0)),"")</f>
        <v/>
      </c>
      <c r="K709" s="31" t="str">
        <f t="shared" ca="1" si="36"/>
        <v/>
      </c>
      <c r="P709" t="str">
        <f t="shared" si="35"/>
        <v/>
      </c>
      <c r="Q709" t="str">
        <f>IFERROR((J709/SUMIFS('Sales Orders'!D:D,'Sales Orders'!A:A,B709))*SUMIFS('Sales Orders'!N:N,'Sales Orders'!A:A,B709),"")</f>
        <v/>
      </c>
      <c r="W709" s="31" t="str">
        <f t="shared" ca="1" si="34"/>
        <v/>
      </c>
      <c r="Z709" s="31"/>
    </row>
    <row r="710" spans="2:26">
      <c r="B710" s="2"/>
      <c r="C710" t="str">
        <f>IF(B710&lt;&gt;"",INDEX('Sales Orders'!C:C,MATCH('Booking Management'!B710,'Sales Orders'!A:A,0)),"")</f>
        <v/>
      </c>
      <c r="K710" s="31" t="str">
        <f t="shared" ca="1" si="36"/>
        <v/>
      </c>
      <c r="P710" t="str">
        <f t="shared" si="35"/>
        <v/>
      </c>
      <c r="Q710" t="str">
        <f>IFERROR((J710/SUMIFS('Sales Orders'!D:D,'Sales Orders'!A:A,B710))*SUMIFS('Sales Orders'!N:N,'Sales Orders'!A:A,B710),"")</f>
        <v/>
      </c>
      <c r="W710" s="31" t="str">
        <f t="shared" ca="1" si="34"/>
        <v/>
      </c>
      <c r="Z710" s="31"/>
    </row>
    <row r="711" spans="2:26">
      <c r="B711" s="2"/>
      <c r="C711" t="str">
        <f>IF(B711&lt;&gt;"",INDEX('Sales Orders'!C:C,MATCH('Booking Management'!B711,'Sales Orders'!A:A,0)),"")</f>
        <v/>
      </c>
      <c r="K711" s="31" t="str">
        <f t="shared" ca="1" si="36"/>
        <v/>
      </c>
      <c r="P711" t="str">
        <f t="shared" si="35"/>
        <v/>
      </c>
      <c r="Q711" t="str">
        <f>IFERROR((J711/SUMIFS('Sales Orders'!D:D,'Sales Orders'!A:A,B711))*SUMIFS('Sales Orders'!N:N,'Sales Orders'!A:A,B711),"")</f>
        <v/>
      </c>
      <c r="W711" s="31" t="str">
        <f t="shared" ref="W711:W774" ca="1" si="37">IF(T711&lt;&gt;"",IF(X711="Yes","NO",IF((TODAY()-V711)&gt;6,"YES","NO")),"")</f>
        <v/>
      </c>
      <c r="Z711" s="31"/>
    </row>
    <row r="712" spans="2:26">
      <c r="B712" s="2"/>
      <c r="C712" t="str">
        <f>IF(B712&lt;&gt;"",INDEX('Sales Orders'!C:C,MATCH('Booking Management'!B712,'Sales Orders'!A:A,0)),"")</f>
        <v/>
      </c>
      <c r="K712" s="31" t="str">
        <f t="shared" ca="1" si="36"/>
        <v/>
      </c>
      <c r="P712" t="str">
        <f t="shared" si="35"/>
        <v/>
      </c>
      <c r="Q712" t="str">
        <f>IFERROR((J712/SUMIFS('Sales Orders'!D:D,'Sales Orders'!A:A,B712))*SUMIFS('Sales Orders'!N:N,'Sales Orders'!A:A,B712),"")</f>
        <v/>
      </c>
      <c r="W712" s="31" t="str">
        <f t="shared" ca="1" si="37"/>
        <v/>
      </c>
      <c r="Z712" s="31"/>
    </row>
    <row r="713" spans="2:26">
      <c r="B713" s="2"/>
      <c r="C713" t="str">
        <f>IF(B713&lt;&gt;"",INDEX('Sales Orders'!C:C,MATCH('Booking Management'!B713,'Sales Orders'!A:A,0)),"")</f>
        <v/>
      </c>
      <c r="K713" s="31" t="str">
        <f t="shared" ca="1" si="36"/>
        <v/>
      </c>
      <c r="P713" t="str">
        <f t="shared" si="35"/>
        <v/>
      </c>
      <c r="Q713" t="str">
        <f>IFERROR((J713/SUMIFS('Sales Orders'!D:D,'Sales Orders'!A:A,B713))*SUMIFS('Sales Orders'!N:N,'Sales Orders'!A:A,B713),"")</f>
        <v/>
      </c>
      <c r="W713" s="31" t="str">
        <f t="shared" ca="1" si="37"/>
        <v/>
      </c>
      <c r="Z713" s="31"/>
    </row>
    <row r="714" spans="2:26">
      <c r="B714" s="2"/>
      <c r="C714" t="str">
        <f>IF(B714&lt;&gt;"",INDEX('Sales Orders'!C:C,MATCH('Booking Management'!B714,'Sales Orders'!A:A,0)),"")</f>
        <v/>
      </c>
      <c r="K714" s="31" t="str">
        <f t="shared" ca="1" si="36"/>
        <v/>
      </c>
      <c r="P714" t="str">
        <f t="shared" si="35"/>
        <v/>
      </c>
      <c r="Q714" t="str">
        <f>IFERROR((J714/SUMIFS('Sales Orders'!D:D,'Sales Orders'!A:A,B714))*SUMIFS('Sales Orders'!N:N,'Sales Orders'!A:A,B714),"")</f>
        <v/>
      </c>
      <c r="W714" s="31" t="str">
        <f t="shared" ca="1" si="37"/>
        <v/>
      </c>
      <c r="Z714" s="31"/>
    </row>
    <row r="715" spans="2:26">
      <c r="B715" s="2"/>
      <c r="C715" t="str">
        <f>IF(B715&lt;&gt;"",INDEX('Sales Orders'!C:C,MATCH('Booking Management'!B715,'Sales Orders'!A:A,0)),"")</f>
        <v/>
      </c>
      <c r="K715" s="31" t="str">
        <f t="shared" ca="1" si="36"/>
        <v/>
      </c>
      <c r="P715" t="str">
        <f t="shared" si="35"/>
        <v/>
      </c>
      <c r="Q715" t="str">
        <f>IFERROR((J715/SUMIFS('Sales Orders'!D:D,'Sales Orders'!A:A,B715))*SUMIFS('Sales Orders'!N:N,'Sales Orders'!A:A,B715),"")</f>
        <v/>
      </c>
      <c r="W715" s="31" t="str">
        <f t="shared" ca="1" si="37"/>
        <v/>
      </c>
      <c r="Z715" s="31"/>
    </row>
    <row r="716" spans="2:26">
      <c r="B716" s="2"/>
      <c r="C716" t="str">
        <f>IF(B716&lt;&gt;"",INDEX('Sales Orders'!C:C,MATCH('Booking Management'!B716,'Sales Orders'!A:A,0)),"")</f>
        <v/>
      </c>
      <c r="K716" s="31" t="str">
        <f t="shared" ca="1" si="36"/>
        <v/>
      </c>
      <c r="P716" t="str">
        <f t="shared" si="35"/>
        <v/>
      </c>
      <c r="Q716" t="str">
        <f>IFERROR((J716/SUMIFS('Sales Orders'!D:D,'Sales Orders'!A:A,B716))*SUMIFS('Sales Orders'!N:N,'Sales Orders'!A:A,B716),"")</f>
        <v/>
      </c>
      <c r="W716" s="31" t="str">
        <f t="shared" ca="1" si="37"/>
        <v/>
      </c>
      <c r="Z716" s="31"/>
    </row>
    <row r="717" spans="2:26">
      <c r="B717" s="2"/>
      <c r="C717" t="str">
        <f>IF(B717&lt;&gt;"",INDEX('Sales Orders'!C:C,MATCH('Booking Management'!B717,'Sales Orders'!A:A,0)),"")</f>
        <v/>
      </c>
      <c r="K717" s="31" t="str">
        <f t="shared" ca="1" si="36"/>
        <v/>
      </c>
      <c r="P717" t="str">
        <f t="shared" si="35"/>
        <v/>
      </c>
      <c r="Q717" t="str">
        <f>IFERROR((J717/SUMIFS('Sales Orders'!D:D,'Sales Orders'!A:A,B717))*SUMIFS('Sales Orders'!N:N,'Sales Orders'!A:A,B717),"")</f>
        <v/>
      </c>
      <c r="W717" s="31" t="str">
        <f t="shared" ca="1" si="37"/>
        <v/>
      </c>
      <c r="Z717" s="31"/>
    </row>
    <row r="718" spans="2:26">
      <c r="B718" s="2"/>
      <c r="C718" t="str">
        <f>IF(B718&lt;&gt;"",INDEX('Sales Orders'!C:C,MATCH('Booking Management'!B718,'Sales Orders'!A:A,0)),"")</f>
        <v/>
      </c>
      <c r="K718" s="31" t="str">
        <f t="shared" ca="1" si="36"/>
        <v/>
      </c>
      <c r="P718" t="str">
        <f t="shared" si="35"/>
        <v/>
      </c>
      <c r="Q718" t="str">
        <f>IFERROR((J718/SUMIFS('Sales Orders'!D:D,'Sales Orders'!A:A,B718))*SUMIFS('Sales Orders'!N:N,'Sales Orders'!A:A,B718),"")</f>
        <v/>
      </c>
      <c r="W718" s="31" t="str">
        <f t="shared" ca="1" si="37"/>
        <v/>
      </c>
      <c r="Z718" s="31"/>
    </row>
    <row r="719" spans="2:26">
      <c r="B719" s="2"/>
      <c r="C719" t="str">
        <f>IF(B719&lt;&gt;"",INDEX('Sales Orders'!C:C,MATCH('Booking Management'!B719,'Sales Orders'!A:A,0)),"")</f>
        <v/>
      </c>
      <c r="K719" s="31" t="str">
        <f t="shared" ca="1" si="36"/>
        <v/>
      </c>
      <c r="P719" t="str">
        <f t="shared" si="35"/>
        <v/>
      </c>
      <c r="Q719" t="str">
        <f>IFERROR((J719/SUMIFS('Sales Orders'!D:D,'Sales Orders'!A:A,B719))*SUMIFS('Sales Orders'!N:N,'Sales Orders'!A:A,B719),"")</f>
        <v/>
      </c>
      <c r="W719" s="31" t="str">
        <f t="shared" ca="1" si="37"/>
        <v/>
      </c>
      <c r="Z719" s="31"/>
    </row>
    <row r="720" spans="2:26">
      <c r="B720" s="2"/>
      <c r="C720" t="str">
        <f>IF(B720&lt;&gt;"",INDEX('Sales Orders'!C:C,MATCH('Booking Management'!B720,'Sales Orders'!A:A,0)),"")</f>
        <v/>
      </c>
      <c r="K720" s="31" t="str">
        <f t="shared" ca="1" si="36"/>
        <v/>
      </c>
      <c r="P720" t="str">
        <f t="shared" si="35"/>
        <v/>
      </c>
      <c r="Q720" t="str">
        <f>IFERROR((J720/SUMIFS('Sales Orders'!D:D,'Sales Orders'!A:A,B720))*SUMIFS('Sales Orders'!N:N,'Sales Orders'!A:A,B720),"")</f>
        <v/>
      </c>
      <c r="W720" s="31" t="str">
        <f t="shared" ca="1" si="37"/>
        <v/>
      </c>
      <c r="Z720" s="31"/>
    </row>
    <row r="721" spans="2:26">
      <c r="B721" s="2"/>
      <c r="C721" t="str">
        <f>IF(B721&lt;&gt;"",INDEX('Sales Orders'!C:C,MATCH('Booking Management'!B721,'Sales Orders'!A:A,0)),"")</f>
        <v/>
      </c>
      <c r="K721" s="31" t="str">
        <f t="shared" ca="1" si="36"/>
        <v/>
      </c>
      <c r="P721" t="str">
        <f t="shared" si="35"/>
        <v/>
      </c>
      <c r="Q721" t="str">
        <f>IFERROR((J721/SUMIFS('Sales Orders'!D:D,'Sales Orders'!A:A,B721))*SUMIFS('Sales Orders'!N:N,'Sales Orders'!A:A,B721),"")</f>
        <v/>
      </c>
      <c r="W721" s="31" t="str">
        <f t="shared" ca="1" si="37"/>
        <v/>
      </c>
      <c r="Z721" s="31"/>
    </row>
    <row r="722" spans="2:26">
      <c r="B722" s="2"/>
      <c r="C722" t="str">
        <f>IF(B722&lt;&gt;"",INDEX('Sales Orders'!C:C,MATCH('Booking Management'!B722,'Sales Orders'!A:A,0)),"")</f>
        <v/>
      </c>
      <c r="K722" s="31" t="str">
        <f t="shared" ca="1" si="36"/>
        <v/>
      </c>
      <c r="P722" t="str">
        <f t="shared" si="35"/>
        <v/>
      </c>
      <c r="Q722" t="str">
        <f>IFERROR((J722/SUMIFS('Sales Orders'!D:D,'Sales Orders'!A:A,B722))*SUMIFS('Sales Orders'!N:N,'Sales Orders'!A:A,B722),"")</f>
        <v/>
      </c>
      <c r="W722" s="31" t="str">
        <f t="shared" ca="1" si="37"/>
        <v/>
      </c>
      <c r="Z722" s="31"/>
    </row>
    <row r="723" spans="2:26">
      <c r="B723" s="2"/>
      <c r="C723" t="str">
        <f>IF(B723&lt;&gt;"",INDEX('Sales Orders'!C:C,MATCH('Booking Management'!B723,'Sales Orders'!A:A,0)),"")</f>
        <v/>
      </c>
      <c r="K723" s="31" t="str">
        <f t="shared" ca="1" si="36"/>
        <v/>
      </c>
      <c r="P723" t="str">
        <f t="shared" si="35"/>
        <v/>
      </c>
      <c r="Q723" t="str">
        <f>IFERROR((J723/SUMIFS('Sales Orders'!D:D,'Sales Orders'!A:A,B723))*SUMIFS('Sales Orders'!N:N,'Sales Orders'!A:A,B723),"")</f>
        <v/>
      </c>
      <c r="W723" s="31" t="str">
        <f t="shared" ca="1" si="37"/>
        <v/>
      </c>
      <c r="Z723" s="31"/>
    </row>
    <row r="724" spans="2:26">
      <c r="B724" s="2"/>
      <c r="C724" t="str">
        <f>IF(B724&lt;&gt;"",INDEX('Sales Orders'!C:C,MATCH('Booking Management'!B724,'Sales Orders'!A:A,0)),"")</f>
        <v/>
      </c>
      <c r="K724" s="31" t="str">
        <f t="shared" ca="1" si="36"/>
        <v/>
      </c>
      <c r="P724" t="str">
        <f t="shared" si="35"/>
        <v/>
      </c>
      <c r="Q724" t="str">
        <f>IFERROR((J724/SUMIFS('Sales Orders'!D:D,'Sales Orders'!A:A,B724))*SUMIFS('Sales Orders'!N:N,'Sales Orders'!A:A,B724),"")</f>
        <v/>
      </c>
      <c r="W724" s="31" t="str">
        <f t="shared" ca="1" si="37"/>
        <v/>
      </c>
      <c r="Z724" s="31"/>
    </row>
    <row r="725" spans="2:26">
      <c r="B725" s="2"/>
      <c r="C725" t="str">
        <f>IF(B725&lt;&gt;"",INDEX('Sales Orders'!C:C,MATCH('Booking Management'!B725,'Sales Orders'!A:A,0)),"")</f>
        <v/>
      </c>
      <c r="K725" s="31" t="str">
        <f t="shared" ca="1" si="36"/>
        <v/>
      </c>
      <c r="P725" t="str">
        <f t="shared" si="35"/>
        <v/>
      </c>
      <c r="Q725" t="str">
        <f>IFERROR((J725/SUMIFS('Sales Orders'!D:D,'Sales Orders'!A:A,B725))*SUMIFS('Sales Orders'!N:N,'Sales Orders'!A:A,B725),"")</f>
        <v/>
      </c>
      <c r="W725" s="31" t="str">
        <f t="shared" ca="1" si="37"/>
        <v/>
      </c>
      <c r="Z725" s="31"/>
    </row>
    <row r="726" spans="2:26">
      <c r="B726" s="2"/>
      <c r="C726" t="str">
        <f>IF(B726&lt;&gt;"",INDEX('Sales Orders'!C:C,MATCH('Booking Management'!B726,'Sales Orders'!A:A,0)),"")</f>
        <v/>
      </c>
      <c r="K726" s="31" t="str">
        <f t="shared" ca="1" si="36"/>
        <v/>
      </c>
      <c r="P726" t="str">
        <f t="shared" si="35"/>
        <v/>
      </c>
      <c r="Q726" t="str">
        <f>IFERROR((J726/SUMIFS('Sales Orders'!D:D,'Sales Orders'!A:A,B726))*SUMIFS('Sales Orders'!N:N,'Sales Orders'!A:A,B726),"")</f>
        <v/>
      </c>
      <c r="W726" s="31" t="str">
        <f t="shared" ca="1" si="37"/>
        <v/>
      </c>
      <c r="Z726" s="31"/>
    </row>
    <row r="727" spans="2:26">
      <c r="B727" s="2"/>
      <c r="C727" t="str">
        <f>IF(B727&lt;&gt;"",INDEX('Sales Orders'!C:C,MATCH('Booking Management'!B727,'Sales Orders'!A:A,0)),"")</f>
        <v/>
      </c>
      <c r="K727" s="31" t="str">
        <f t="shared" ca="1" si="36"/>
        <v/>
      </c>
      <c r="P727" t="str">
        <f t="shared" si="35"/>
        <v/>
      </c>
      <c r="Q727" t="str">
        <f>IFERROR((J727/SUMIFS('Sales Orders'!D:D,'Sales Orders'!A:A,B727))*SUMIFS('Sales Orders'!N:N,'Sales Orders'!A:A,B727),"")</f>
        <v/>
      </c>
      <c r="W727" s="31" t="str">
        <f t="shared" ca="1" si="37"/>
        <v/>
      </c>
      <c r="Z727" s="31"/>
    </row>
    <row r="728" spans="2:26">
      <c r="B728" s="2"/>
      <c r="C728" t="str">
        <f>IF(B728&lt;&gt;"",INDEX('Sales Orders'!C:C,MATCH('Booking Management'!B728,'Sales Orders'!A:A,0)),"")</f>
        <v/>
      </c>
      <c r="K728" s="31" t="str">
        <f t="shared" ca="1" si="36"/>
        <v/>
      </c>
      <c r="P728" t="str">
        <f t="shared" si="35"/>
        <v/>
      </c>
      <c r="Q728" t="str">
        <f>IFERROR((J728/SUMIFS('Sales Orders'!D:D,'Sales Orders'!A:A,B728))*SUMIFS('Sales Orders'!N:N,'Sales Orders'!A:A,B728),"")</f>
        <v/>
      </c>
      <c r="W728" s="31" t="str">
        <f t="shared" ca="1" si="37"/>
        <v/>
      </c>
      <c r="Z728" s="31"/>
    </row>
    <row r="729" spans="2:26">
      <c r="B729" s="2"/>
      <c r="C729" t="str">
        <f>IF(B729&lt;&gt;"",INDEX('Sales Orders'!C:C,MATCH('Booking Management'!B729,'Sales Orders'!A:A,0)),"")</f>
        <v/>
      </c>
      <c r="K729" s="31" t="str">
        <f t="shared" ca="1" si="36"/>
        <v/>
      </c>
      <c r="P729" t="str">
        <f t="shared" si="35"/>
        <v/>
      </c>
      <c r="Q729" t="str">
        <f>IFERROR((J729/SUMIFS('Sales Orders'!D:D,'Sales Orders'!A:A,B729))*SUMIFS('Sales Orders'!N:N,'Sales Orders'!A:A,B729),"")</f>
        <v/>
      </c>
      <c r="W729" s="31" t="str">
        <f t="shared" ca="1" si="37"/>
        <v/>
      </c>
      <c r="Z729" s="31"/>
    </row>
    <row r="730" spans="2:26">
      <c r="B730" s="2"/>
      <c r="C730" t="str">
        <f>IF(B730&lt;&gt;"",INDEX('Sales Orders'!C:C,MATCH('Booking Management'!B730,'Sales Orders'!A:A,0)),"")</f>
        <v/>
      </c>
      <c r="K730" s="31" t="str">
        <f t="shared" ca="1" si="36"/>
        <v/>
      </c>
      <c r="P730" t="str">
        <f t="shared" si="35"/>
        <v/>
      </c>
      <c r="Q730" t="str">
        <f>IFERROR((J730/SUMIFS('Sales Orders'!D:D,'Sales Orders'!A:A,B730))*SUMIFS('Sales Orders'!N:N,'Sales Orders'!A:A,B730),"")</f>
        <v/>
      </c>
      <c r="W730" s="31" t="str">
        <f t="shared" ca="1" si="37"/>
        <v/>
      </c>
      <c r="Z730" s="31"/>
    </row>
    <row r="731" spans="2:26">
      <c r="B731" s="2"/>
      <c r="C731" t="str">
        <f>IF(B731&lt;&gt;"",INDEX('Sales Orders'!C:C,MATCH('Booking Management'!B731,'Sales Orders'!A:A,0)),"")</f>
        <v/>
      </c>
      <c r="K731" s="31" t="str">
        <f t="shared" ca="1" si="36"/>
        <v/>
      </c>
      <c r="P731" t="str">
        <f t="shared" si="35"/>
        <v/>
      </c>
      <c r="Q731" t="str">
        <f>IFERROR((J731/SUMIFS('Sales Orders'!D:D,'Sales Orders'!A:A,B731))*SUMIFS('Sales Orders'!N:N,'Sales Orders'!A:A,B731),"")</f>
        <v/>
      </c>
      <c r="W731" s="31" t="str">
        <f t="shared" ca="1" si="37"/>
        <v/>
      </c>
      <c r="Z731" s="31"/>
    </row>
    <row r="732" spans="2:26">
      <c r="B732" s="2"/>
      <c r="C732" t="str">
        <f>IF(B732&lt;&gt;"",INDEX('Sales Orders'!C:C,MATCH('Booking Management'!B732,'Sales Orders'!A:A,0)),"")</f>
        <v/>
      </c>
      <c r="K732" s="31" t="str">
        <f t="shared" ca="1" si="36"/>
        <v/>
      </c>
      <c r="P732" t="str">
        <f t="shared" si="35"/>
        <v/>
      </c>
      <c r="Q732" t="str">
        <f>IFERROR((J732/SUMIFS('Sales Orders'!D:D,'Sales Orders'!A:A,B732))*SUMIFS('Sales Orders'!N:N,'Sales Orders'!A:A,B732),"")</f>
        <v/>
      </c>
      <c r="W732" s="31" t="str">
        <f t="shared" ca="1" si="37"/>
        <v/>
      </c>
      <c r="Z732" s="31"/>
    </row>
    <row r="733" spans="2:26">
      <c r="B733" s="2"/>
      <c r="C733" t="str">
        <f>IF(B733&lt;&gt;"",INDEX('Sales Orders'!C:C,MATCH('Booking Management'!B733,'Sales Orders'!A:A,0)),"")</f>
        <v/>
      </c>
      <c r="K733" s="31" t="str">
        <f t="shared" ca="1" si="36"/>
        <v/>
      </c>
      <c r="P733" t="str">
        <f t="shared" si="35"/>
        <v/>
      </c>
      <c r="Q733" t="str">
        <f>IFERROR((J733/SUMIFS('Sales Orders'!D:D,'Sales Orders'!A:A,B733))*SUMIFS('Sales Orders'!N:N,'Sales Orders'!A:A,B733),"")</f>
        <v/>
      </c>
      <c r="W733" s="31" t="str">
        <f t="shared" ca="1" si="37"/>
        <v/>
      </c>
      <c r="Z733" s="31"/>
    </row>
    <row r="734" spans="2:26">
      <c r="B734" s="2"/>
      <c r="C734" t="str">
        <f>IF(B734&lt;&gt;"",INDEX('Sales Orders'!C:C,MATCH('Booking Management'!B734,'Sales Orders'!A:A,0)),"")</f>
        <v/>
      </c>
      <c r="K734" s="31" t="str">
        <f t="shared" ca="1" si="36"/>
        <v/>
      </c>
      <c r="P734" t="str">
        <f t="shared" si="35"/>
        <v/>
      </c>
      <c r="Q734" t="str">
        <f>IFERROR((J734/SUMIFS('Sales Orders'!D:D,'Sales Orders'!A:A,B734))*SUMIFS('Sales Orders'!N:N,'Sales Orders'!A:A,B734),"")</f>
        <v/>
      </c>
      <c r="W734" s="31" t="str">
        <f t="shared" ca="1" si="37"/>
        <v/>
      </c>
      <c r="Z734" s="31"/>
    </row>
    <row r="735" spans="2:26">
      <c r="B735" s="2"/>
      <c r="C735" t="str">
        <f>IF(B735&lt;&gt;"",INDEX('Sales Orders'!C:C,MATCH('Booking Management'!B735,'Sales Orders'!A:A,0)),"")</f>
        <v/>
      </c>
      <c r="K735" s="31" t="str">
        <f t="shared" ca="1" si="36"/>
        <v/>
      </c>
      <c r="P735" t="str">
        <f t="shared" si="35"/>
        <v/>
      </c>
      <c r="Q735" t="str">
        <f>IFERROR((J735/SUMIFS('Sales Orders'!D:D,'Sales Orders'!A:A,B735))*SUMIFS('Sales Orders'!N:N,'Sales Orders'!A:A,B735),"")</f>
        <v/>
      </c>
      <c r="W735" s="31" t="str">
        <f t="shared" ca="1" si="37"/>
        <v/>
      </c>
      <c r="Z735" s="31"/>
    </row>
    <row r="736" spans="2:26">
      <c r="B736" s="2"/>
      <c r="C736" t="str">
        <f>IF(B736&lt;&gt;"",INDEX('Sales Orders'!C:C,MATCH('Booking Management'!B736,'Sales Orders'!A:A,0)),"")</f>
        <v/>
      </c>
      <c r="K736" s="31" t="str">
        <f t="shared" ca="1" si="36"/>
        <v/>
      </c>
      <c r="P736" t="str">
        <f t="shared" si="35"/>
        <v/>
      </c>
      <c r="Q736" t="str">
        <f>IFERROR((J736/SUMIFS('Sales Orders'!D:D,'Sales Orders'!A:A,B736))*SUMIFS('Sales Orders'!N:N,'Sales Orders'!A:A,B736),"")</f>
        <v/>
      </c>
      <c r="W736" s="31" t="str">
        <f t="shared" ca="1" si="37"/>
        <v/>
      </c>
      <c r="Z736" s="31"/>
    </row>
    <row r="737" spans="2:26">
      <c r="B737" s="2"/>
      <c r="C737" t="str">
        <f>IF(B737&lt;&gt;"",INDEX('Sales Orders'!C:C,MATCH('Booking Management'!B737,'Sales Orders'!A:A,0)),"")</f>
        <v/>
      </c>
      <c r="K737" s="31" t="str">
        <f t="shared" ca="1" si="36"/>
        <v/>
      </c>
      <c r="P737" t="str">
        <f t="shared" ref="P737:P800" si="38">IF(B737&lt;&gt;"",T737-L737,"")</f>
        <v/>
      </c>
      <c r="Q737" t="str">
        <f>IFERROR((J737/SUMIFS('Sales Orders'!D:D,'Sales Orders'!A:A,B737))*SUMIFS('Sales Orders'!N:N,'Sales Orders'!A:A,B737),"")</f>
        <v/>
      </c>
      <c r="W737" s="31" t="str">
        <f t="shared" ca="1" si="37"/>
        <v/>
      </c>
      <c r="Z737" s="31"/>
    </row>
    <row r="738" spans="2:26">
      <c r="B738" s="2"/>
      <c r="C738" t="str">
        <f>IF(B738&lt;&gt;"",INDEX('Sales Orders'!C:C,MATCH('Booking Management'!B738,'Sales Orders'!A:A,0)),"")</f>
        <v/>
      </c>
      <c r="K738" s="31" t="str">
        <f t="shared" ca="1" si="36"/>
        <v/>
      </c>
      <c r="P738" t="str">
        <f t="shared" si="38"/>
        <v/>
      </c>
      <c r="Q738" t="str">
        <f>IFERROR((J738/SUMIFS('Sales Orders'!D:D,'Sales Orders'!A:A,B738))*SUMIFS('Sales Orders'!N:N,'Sales Orders'!A:A,B738),"")</f>
        <v/>
      </c>
      <c r="W738" s="31" t="str">
        <f t="shared" ca="1" si="37"/>
        <v/>
      </c>
      <c r="Z738" s="31"/>
    </row>
    <row r="739" spans="2:26">
      <c r="B739" s="2"/>
      <c r="C739" t="str">
        <f>IF(B739&lt;&gt;"",INDEX('Sales Orders'!C:C,MATCH('Booking Management'!B739,'Sales Orders'!A:A,0)),"")</f>
        <v/>
      </c>
      <c r="K739" s="31" t="str">
        <f t="shared" ca="1" si="36"/>
        <v/>
      </c>
      <c r="P739" t="str">
        <f t="shared" si="38"/>
        <v/>
      </c>
      <c r="Q739" t="str">
        <f>IFERROR((J739/SUMIFS('Sales Orders'!D:D,'Sales Orders'!A:A,B739))*SUMIFS('Sales Orders'!N:N,'Sales Orders'!A:A,B739),"")</f>
        <v/>
      </c>
      <c r="W739" s="31" t="str">
        <f t="shared" ca="1" si="37"/>
        <v/>
      </c>
      <c r="Z739" s="31"/>
    </row>
    <row r="740" spans="2:26">
      <c r="B740" s="2"/>
      <c r="C740" t="str">
        <f>IF(B740&lt;&gt;"",INDEX('Sales Orders'!C:C,MATCH('Booking Management'!B740,'Sales Orders'!A:A,0)),"")</f>
        <v/>
      </c>
      <c r="K740" s="31" t="str">
        <f t="shared" ca="1" si="36"/>
        <v/>
      </c>
      <c r="P740" t="str">
        <f t="shared" si="38"/>
        <v/>
      </c>
      <c r="Q740" t="str">
        <f>IFERROR((J740/SUMIFS('Sales Orders'!D:D,'Sales Orders'!A:A,B740))*SUMIFS('Sales Orders'!N:N,'Sales Orders'!A:A,B740),"")</f>
        <v/>
      </c>
      <c r="W740" s="31" t="str">
        <f t="shared" ca="1" si="37"/>
        <v/>
      </c>
      <c r="Z740" s="31"/>
    </row>
    <row r="741" spans="2:26">
      <c r="B741" s="2"/>
      <c r="C741" t="str">
        <f>IF(B741&lt;&gt;"",INDEX('Sales Orders'!C:C,MATCH('Booking Management'!B741,'Sales Orders'!A:A,0)),"")</f>
        <v/>
      </c>
      <c r="K741" s="31" t="str">
        <f t="shared" ca="1" si="36"/>
        <v/>
      </c>
      <c r="P741" t="str">
        <f t="shared" si="38"/>
        <v/>
      </c>
      <c r="Q741" t="str">
        <f>IFERROR((J741/SUMIFS('Sales Orders'!D:D,'Sales Orders'!A:A,B741))*SUMIFS('Sales Orders'!N:N,'Sales Orders'!A:A,B741),"")</f>
        <v/>
      </c>
      <c r="W741" s="31" t="str">
        <f t="shared" ca="1" si="37"/>
        <v/>
      </c>
      <c r="Z741" s="31"/>
    </row>
    <row r="742" spans="2:26">
      <c r="B742" s="2"/>
      <c r="C742" t="str">
        <f>IF(B742&lt;&gt;"",INDEX('Sales Orders'!C:C,MATCH('Booking Management'!B742,'Sales Orders'!A:A,0)),"")</f>
        <v/>
      </c>
      <c r="K742" s="31" t="str">
        <f t="shared" ca="1" si="36"/>
        <v/>
      </c>
      <c r="P742" t="str">
        <f t="shared" si="38"/>
        <v/>
      </c>
      <c r="Q742" t="str">
        <f>IFERROR((J742/SUMIFS('Sales Orders'!D:D,'Sales Orders'!A:A,B742))*SUMIFS('Sales Orders'!N:N,'Sales Orders'!A:A,B742),"")</f>
        <v/>
      </c>
      <c r="W742" s="31" t="str">
        <f t="shared" ca="1" si="37"/>
        <v/>
      </c>
      <c r="Z742" s="31"/>
    </row>
    <row r="743" spans="2:26">
      <c r="B743" s="2"/>
      <c r="C743" t="str">
        <f>IF(B743&lt;&gt;"",INDEX('Sales Orders'!C:C,MATCH('Booking Management'!B743,'Sales Orders'!A:A,0)),"")</f>
        <v/>
      </c>
      <c r="K743" s="31" t="str">
        <f t="shared" ca="1" si="36"/>
        <v/>
      </c>
      <c r="P743" t="str">
        <f t="shared" si="38"/>
        <v/>
      </c>
      <c r="Q743" t="str">
        <f>IFERROR((J743/SUMIFS('Sales Orders'!D:D,'Sales Orders'!A:A,B743))*SUMIFS('Sales Orders'!N:N,'Sales Orders'!A:A,B743),"")</f>
        <v/>
      </c>
      <c r="W743" s="31" t="str">
        <f t="shared" ca="1" si="37"/>
        <v/>
      </c>
      <c r="Z743" s="31"/>
    </row>
    <row r="744" spans="2:26">
      <c r="B744" s="2"/>
      <c r="C744" t="str">
        <f>IF(B744&lt;&gt;"",INDEX('Sales Orders'!C:C,MATCH('Booking Management'!B744,'Sales Orders'!A:A,0)),"")</f>
        <v/>
      </c>
      <c r="K744" s="31" t="str">
        <f t="shared" ca="1" si="36"/>
        <v/>
      </c>
      <c r="P744" t="str">
        <f t="shared" si="38"/>
        <v/>
      </c>
      <c r="Q744" t="str">
        <f>IFERROR((J744/SUMIFS('Sales Orders'!D:D,'Sales Orders'!A:A,B744))*SUMIFS('Sales Orders'!N:N,'Sales Orders'!A:A,B744),"")</f>
        <v/>
      </c>
      <c r="W744" s="31" t="str">
        <f t="shared" ca="1" si="37"/>
        <v/>
      </c>
      <c r="Z744" s="31"/>
    </row>
    <row r="745" spans="2:26">
      <c r="B745" s="2"/>
      <c r="C745" t="str">
        <f>IF(B745&lt;&gt;"",INDEX('Sales Orders'!C:C,MATCH('Booking Management'!B745,'Sales Orders'!A:A,0)),"")</f>
        <v/>
      </c>
      <c r="K745" s="31" t="str">
        <f t="shared" ca="1" si="36"/>
        <v/>
      </c>
      <c r="P745" t="str">
        <f t="shared" si="38"/>
        <v/>
      </c>
      <c r="Q745" t="str">
        <f>IFERROR((J745/SUMIFS('Sales Orders'!D:D,'Sales Orders'!A:A,B745))*SUMIFS('Sales Orders'!N:N,'Sales Orders'!A:A,B745),"")</f>
        <v/>
      </c>
      <c r="W745" s="31" t="str">
        <f t="shared" ca="1" si="37"/>
        <v/>
      </c>
      <c r="Z745" s="31"/>
    </row>
    <row r="746" spans="2:26">
      <c r="B746" s="2"/>
      <c r="C746" t="str">
        <f>IF(B746&lt;&gt;"",INDEX('Sales Orders'!C:C,MATCH('Booking Management'!B746,'Sales Orders'!A:A,0)),"")</f>
        <v/>
      </c>
      <c r="K746" s="31" t="str">
        <f t="shared" ca="1" si="36"/>
        <v/>
      </c>
      <c r="P746" t="str">
        <f t="shared" si="38"/>
        <v/>
      </c>
      <c r="Q746" t="str">
        <f>IFERROR((J746/SUMIFS('Sales Orders'!D:D,'Sales Orders'!A:A,B746))*SUMIFS('Sales Orders'!N:N,'Sales Orders'!A:A,B746),"")</f>
        <v/>
      </c>
      <c r="W746" s="31" t="str">
        <f t="shared" ca="1" si="37"/>
        <v/>
      </c>
      <c r="Z746" s="31"/>
    </row>
    <row r="747" spans="2:26">
      <c r="B747" s="2"/>
      <c r="C747" t="str">
        <f>IF(B747&lt;&gt;"",INDEX('Sales Orders'!C:C,MATCH('Booking Management'!B747,'Sales Orders'!A:A,0)),"")</f>
        <v/>
      </c>
      <c r="K747" s="31" t="str">
        <f t="shared" ca="1" si="36"/>
        <v/>
      </c>
      <c r="P747" t="str">
        <f t="shared" si="38"/>
        <v/>
      </c>
      <c r="Q747" t="str">
        <f>IFERROR((J747/SUMIFS('Sales Orders'!D:D,'Sales Orders'!A:A,B747))*SUMIFS('Sales Orders'!N:N,'Sales Orders'!A:A,B747),"")</f>
        <v/>
      </c>
      <c r="W747" s="31" t="str">
        <f t="shared" ca="1" si="37"/>
        <v/>
      </c>
      <c r="Z747" s="31"/>
    </row>
    <row r="748" spans="2:26">
      <c r="B748" s="2"/>
      <c r="C748" t="str">
        <f>IF(B748&lt;&gt;"",INDEX('Sales Orders'!C:C,MATCH('Booking Management'!B748,'Sales Orders'!A:A,0)),"")</f>
        <v/>
      </c>
      <c r="K748" s="31" t="str">
        <f t="shared" ca="1" si="36"/>
        <v/>
      </c>
      <c r="P748" t="str">
        <f t="shared" si="38"/>
        <v/>
      </c>
      <c r="Q748" t="str">
        <f>IFERROR((J748/SUMIFS('Sales Orders'!D:D,'Sales Orders'!A:A,B748))*SUMIFS('Sales Orders'!N:N,'Sales Orders'!A:A,B748),"")</f>
        <v/>
      </c>
      <c r="W748" s="31" t="str">
        <f t="shared" ca="1" si="37"/>
        <v/>
      </c>
      <c r="Z748" s="31"/>
    </row>
    <row r="749" spans="2:26">
      <c r="B749" s="2"/>
      <c r="C749" t="str">
        <f>IF(B749&lt;&gt;"",INDEX('Sales Orders'!C:C,MATCH('Booking Management'!B749,'Sales Orders'!A:A,0)),"")</f>
        <v/>
      </c>
      <c r="K749" s="31" t="str">
        <f t="shared" ca="1" si="36"/>
        <v/>
      </c>
      <c r="P749" t="str">
        <f t="shared" si="38"/>
        <v/>
      </c>
      <c r="Q749" t="str">
        <f>IFERROR((J749/SUMIFS('Sales Orders'!D:D,'Sales Orders'!A:A,B749))*SUMIFS('Sales Orders'!N:N,'Sales Orders'!A:A,B749),"")</f>
        <v/>
      </c>
      <c r="W749" s="31" t="str">
        <f t="shared" ca="1" si="37"/>
        <v/>
      </c>
      <c r="Z749" s="31"/>
    </row>
    <row r="750" spans="2:26">
      <c r="B750" s="2"/>
      <c r="C750" t="str">
        <f>IF(B750&lt;&gt;"",INDEX('Sales Orders'!C:C,MATCH('Booking Management'!B750,'Sales Orders'!A:A,0)),"")</f>
        <v/>
      </c>
      <c r="K750" s="31" t="str">
        <f t="shared" ca="1" si="36"/>
        <v/>
      </c>
      <c r="P750" t="str">
        <f t="shared" si="38"/>
        <v/>
      </c>
      <c r="Q750" t="str">
        <f>IFERROR((J750/SUMIFS('Sales Orders'!D:D,'Sales Orders'!A:A,B750))*SUMIFS('Sales Orders'!N:N,'Sales Orders'!A:A,B750),"")</f>
        <v/>
      </c>
      <c r="W750" s="31" t="str">
        <f t="shared" ca="1" si="37"/>
        <v/>
      </c>
      <c r="Z750" s="31"/>
    </row>
    <row r="751" spans="2:26">
      <c r="B751" s="2"/>
      <c r="C751" t="str">
        <f>IF(B751&lt;&gt;"",INDEX('Sales Orders'!C:C,MATCH('Booking Management'!B751,'Sales Orders'!A:A,0)),"")</f>
        <v/>
      </c>
      <c r="K751" s="31" t="str">
        <f t="shared" ca="1" si="36"/>
        <v/>
      </c>
      <c r="P751" t="str">
        <f t="shared" si="38"/>
        <v/>
      </c>
      <c r="Q751" t="str">
        <f>IFERROR((J751/SUMIFS('Sales Orders'!D:D,'Sales Orders'!A:A,B751))*SUMIFS('Sales Orders'!N:N,'Sales Orders'!A:A,B751),"")</f>
        <v/>
      </c>
      <c r="W751" s="31" t="str">
        <f t="shared" ca="1" si="37"/>
        <v/>
      </c>
      <c r="Z751" s="31"/>
    </row>
    <row r="752" spans="2:26">
      <c r="B752" s="2"/>
      <c r="C752" t="str">
        <f>IF(B752&lt;&gt;"",INDEX('Sales Orders'!C:C,MATCH('Booking Management'!B752,'Sales Orders'!A:A,0)),"")</f>
        <v/>
      </c>
      <c r="K752" s="31" t="str">
        <f t="shared" ca="1" si="36"/>
        <v/>
      </c>
      <c r="P752" t="str">
        <f t="shared" si="38"/>
        <v/>
      </c>
      <c r="Q752" t="str">
        <f>IFERROR((J752/SUMIFS('Sales Orders'!D:D,'Sales Orders'!A:A,B752))*SUMIFS('Sales Orders'!N:N,'Sales Orders'!A:A,B752),"")</f>
        <v/>
      </c>
      <c r="W752" s="31" t="str">
        <f t="shared" ca="1" si="37"/>
        <v/>
      </c>
      <c r="Z752" s="31"/>
    </row>
    <row r="753" spans="2:26">
      <c r="B753" s="2"/>
      <c r="C753" t="str">
        <f>IF(B753&lt;&gt;"",INDEX('Sales Orders'!C:C,MATCH('Booking Management'!B753,'Sales Orders'!A:A,0)),"")</f>
        <v/>
      </c>
      <c r="K753" s="31" t="str">
        <f t="shared" ca="1" si="36"/>
        <v/>
      </c>
      <c r="P753" t="str">
        <f t="shared" si="38"/>
        <v/>
      </c>
      <c r="Q753" t="str">
        <f>IFERROR((J753/SUMIFS('Sales Orders'!D:D,'Sales Orders'!A:A,B753))*SUMIFS('Sales Orders'!N:N,'Sales Orders'!A:A,B753),"")</f>
        <v/>
      </c>
      <c r="W753" s="31" t="str">
        <f t="shared" ca="1" si="37"/>
        <v/>
      </c>
      <c r="Z753" s="31"/>
    </row>
    <row r="754" spans="2:26">
      <c r="B754" s="2"/>
      <c r="C754" t="str">
        <f>IF(B754&lt;&gt;"",INDEX('Sales Orders'!C:C,MATCH('Booking Management'!B754,'Sales Orders'!A:A,0)),"")</f>
        <v/>
      </c>
      <c r="K754" s="31" t="str">
        <f t="shared" ca="1" si="36"/>
        <v/>
      </c>
      <c r="P754" t="str">
        <f t="shared" si="38"/>
        <v/>
      </c>
      <c r="Q754" t="str">
        <f>IFERROR((J754/SUMIFS('Sales Orders'!D:D,'Sales Orders'!A:A,B754))*SUMIFS('Sales Orders'!N:N,'Sales Orders'!A:A,B754),"")</f>
        <v/>
      </c>
      <c r="W754" s="31" t="str">
        <f t="shared" ca="1" si="37"/>
        <v/>
      </c>
      <c r="Z754" s="31"/>
    </row>
    <row r="755" spans="2:26">
      <c r="B755" s="2"/>
      <c r="C755" t="str">
        <f>IF(B755&lt;&gt;"",INDEX('Sales Orders'!C:C,MATCH('Booking Management'!B755,'Sales Orders'!A:A,0)),"")</f>
        <v/>
      </c>
      <c r="K755" s="31" t="str">
        <f t="shared" ca="1" si="36"/>
        <v/>
      </c>
      <c r="P755" t="str">
        <f t="shared" si="38"/>
        <v/>
      </c>
      <c r="Q755" t="str">
        <f>IFERROR((J755/SUMIFS('Sales Orders'!D:D,'Sales Orders'!A:A,B755))*SUMIFS('Sales Orders'!N:N,'Sales Orders'!A:A,B755),"")</f>
        <v/>
      </c>
      <c r="W755" s="31" t="str">
        <f t="shared" ca="1" si="37"/>
        <v/>
      </c>
      <c r="Z755" s="31"/>
    </row>
    <row r="756" spans="2:26">
      <c r="B756" s="2"/>
      <c r="C756" t="str">
        <f>IF(B756&lt;&gt;"",INDEX('Sales Orders'!C:C,MATCH('Booking Management'!B756,'Sales Orders'!A:A,0)),"")</f>
        <v/>
      </c>
      <c r="K756" s="31" t="str">
        <f t="shared" ca="1" si="36"/>
        <v/>
      </c>
      <c r="P756" t="str">
        <f t="shared" si="38"/>
        <v/>
      </c>
      <c r="Q756" t="str">
        <f>IFERROR((J756/SUMIFS('Sales Orders'!D:D,'Sales Orders'!A:A,B756))*SUMIFS('Sales Orders'!N:N,'Sales Orders'!A:A,B756),"")</f>
        <v/>
      </c>
      <c r="W756" s="31" t="str">
        <f t="shared" ca="1" si="37"/>
        <v/>
      </c>
      <c r="Z756" s="31"/>
    </row>
    <row r="757" spans="2:26">
      <c r="B757" s="2"/>
      <c r="C757" t="str">
        <f>IF(B757&lt;&gt;"",INDEX('Sales Orders'!C:C,MATCH('Booking Management'!B757,'Sales Orders'!A:A,0)),"")</f>
        <v/>
      </c>
      <c r="K757" s="31" t="str">
        <f t="shared" ca="1" si="36"/>
        <v/>
      </c>
      <c r="P757" t="str">
        <f t="shared" si="38"/>
        <v/>
      </c>
      <c r="Q757" t="str">
        <f>IFERROR((J757/SUMIFS('Sales Orders'!D:D,'Sales Orders'!A:A,B757))*SUMIFS('Sales Orders'!N:N,'Sales Orders'!A:A,B757),"")</f>
        <v/>
      </c>
      <c r="W757" s="31" t="str">
        <f t="shared" ca="1" si="37"/>
        <v/>
      </c>
      <c r="Z757" s="31"/>
    </row>
    <row r="758" spans="2:26">
      <c r="B758" s="2"/>
      <c r="C758" t="str">
        <f>IF(B758&lt;&gt;"",INDEX('Sales Orders'!C:C,MATCH('Booking Management'!B758,'Sales Orders'!A:A,0)),"")</f>
        <v/>
      </c>
      <c r="K758" s="31" t="str">
        <f t="shared" ca="1" si="36"/>
        <v/>
      </c>
      <c r="P758" t="str">
        <f t="shared" si="38"/>
        <v/>
      </c>
      <c r="Q758" t="str">
        <f>IFERROR((J758/SUMIFS('Sales Orders'!D:D,'Sales Orders'!A:A,B758))*SUMIFS('Sales Orders'!N:N,'Sales Orders'!A:A,B758),"")</f>
        <v/>
      </c>
      <c r="W758" s="31" t="str">
        <f t="shared" ca="1" si="37"/>
        <v/>
      </c>
      <c r="Z758" s="31"/>
    </row>
    <row r="759" spans="2:26">
      <c r="B759" s="2"/>
      <c r="C759" t="str">
        <f>IF(B759&lt;&gt;"",INDEX('Sales Orders'!C:C,MATCH('Booking Management'!B759,'Sales Orders'!A:A,0)),"")</f>
        <v/>
      </c>
      <c r="K759" s="31" t="str">
        <f t="shared" ca="1" si="36"/>
        <v/>
      </c>
      <c r="P759" t="str">
        <f t="shared" si="38"/>
        <v/>
      </c>
      <c r="Q759" t="str">
        <f>IFERROR((J759/SUMIFS('Sales Orders'!D:D,'Sales Orders'!A:A,B759))*SUMIFS('Sales Orders'!N:N,'Sales Orders'!A:A,B759),"")</f>
        <v/>
      </c>
      <c r="W759" s="31" t="str">
        <f t="shared" ca="1" si="37"/>
        <v/>
      </c>
      <c r="Z759" s="31"/>
    </row>
    <row r="760" spans="2:26">
      <c r="B760" s="2"/>
      <c r="C760" t="str">
        <f>IF(B760&lt;&gt;"",INDEX('Sales Orders'!C:C,MATCH('Booking Management'!B760,'Sales Orders'!A:A,0)),"")</f>
        <v/>
      </c>
      <c r="K760" s="31" t="str">
        <f t="shared" ca="1" si="36"/>
        <v/>
      </c>
      <c r="P760" t="str">
        <f t="shared" si="38"/>
        <v/>
      </c>
      <c r="Q760" t="str">
        <f>IFERROR((J760/SUMIFS('Sales Orders'!D:D,'Sales Orders'!A:A,B760))*SUMIFS('Sales Orders'!N:N,'Sales Orders'!A:A,B760),"")</f>
        <v/>
      </c>
      <c r="W760" s="31" t="str">
        <f t="shared" ca="1" si="37"/>
        <v/>
      </c>
      <c r="Z760" s="31"/>
    </row>
    <row r="761" spans="2:26">
      <c r="B761" s="2"/>
      <c r="C761" t="str">
        <f>IF(B761&lt;&gt;"",INDEX('Sales Orders'!C:C,MATCH('Booking Management'!B761,'Sales Orders'!A:A,0)),"")</f>
        <v/>
      </c>
      <c r="K761" s="31" t="str">
        <f t="shared" ca="1" si="36"/>
        <v/>
      </c>
      <c r="P761" t="str">
        <f t="shared" si="38"/>
        <v/>
      </c>
      <c r="Q761" t="str">
        <f>IFERROR((J761/SUMIFS('Sales Orders'!D:D,'Sales Orders'!A:A,B761))*SUMIFS('Sales Orders'!N:N,'Sales Orders'!A:A,B761),"")</f>
        <v/>
      </c>
      <c r="W761" s="31" t="str">
        <f t="shared" ca="1" si="37"/>
        <v/>
      </c>
      <c r="Z761" s="31"/>
    </row>
    <row r="762" spans="2:26">
      <c r="B762" s="2"/>
      <c r="C762" t="str">
        <f>IF(B762&lt;&gt;"",INDEX('Sales Orders'!C:C,MATCH('Booking Management'!B762,'Sales Orders'!A:A,0)),"")</f>
        <v/>
      </c>
      <c r="K762" s="31" t="str">
        <f t="shared" ca="1" si="36"/>
        <v/>
      </c>
      <c r="P762" t="str">
        <f t="shared" si="38"/>
        <v/>
      </c>
      <c r="Q762" t="str">
        <f>IFERROR((J762/SUMIFS('Sales Orders'!D:D,'Sales Orders'!A:A,B762))*SUMIFS('Sales Orders'!N:N,'Sales Orders'!A:A,B762),"")</f>
        <v/>
      </c>
      <c r="W762" s="31" t="str">
        <f t="shared" ca="1" si="37"/>
        <v/>
      </c>
      <c r="Z762" s="31"/>
    </row>
    <row r="763" spans="2:26">
      <c r="B763" s="2"/>
      <c r="C763" t="str">
        <f>IF(B763&lt;&gt;"",INDEX('Sales Orders'!C:C,MATCH('Booking Management'!B763,'Sales Orders'!A:A,0)),"")</f>
        <v/>
      </c>
      <c r="K763" s="31" t="str">
        <f t="shared" ca="1" si="36"/>
        <v/>
      </c>
      <c r="P763" t="str">
        <f t="shared" si="38"/>
        <v/>
      </c>
      <c r="Q763" t="str">
        <f>IFERROR((J763/SUMIFS('Sales Orders'!D:D,'Sales Orders'!A:A,B763))*SUMIFS('Sales Orders'!N:N,'Sales Orders'!A:A,B763),"")</f>
        <v/>
      </c>
      <c r="W763" s="31" t="str">
        <f t="shared" ca="1" si="37"/>
        <v/>
      </c>
      <c r="Z763" s="31"/>
    </row>
    <row r="764" spans="2:26">
      <c r="B764" s="2"/>
      <c r="C764" t="str">
        <f>IF(B764&lt;&gt;"",INDEX('Sales Orders'!C:C,MATCH('Booking Management'!B764,'Sales Orders'!A:A,0)),"")</f>
        <v/>
      </c>
      <c r="K764" s="31" t="str">
        <f t="shared" ca="1" si="36"/>
        <v/>
      </c>
      <c r="P764" t="str">
        <f t="shared" si="38"/>
        <v/>
      </c>
      <c r="Q764" t="str">
        <f>IFERROR((J764/SUMIFS('Sales Orders'!D:D,'Sales Orders'!A:A,B764))*SUMIFS('Sales Orders'!N:N,'Sales Orders'!A:A,B764),"")</f>
        <v/>
      </c>
      <c r="W764" s="31" t="str">
        <f t="shared" ca="1" si="37"/>
        <v/>
      </c>
      <c r="Z764" s="31"/>
    </row>
    <row r="765" spans="2:26">
      <c r="B765" s="2"/>
      <c r="C765" t="str">
        <f>IF(B765&lt;&gt;"",INDEX('Sales Orders'!C:C,MATCH('Booking Management'!B765,'Sales Orders'!A:A,0)),"")</f>
        <v/>
      </c>
      <c r="K765" s="31" t="str">
        <f t="shared" ca="1" si="36"/>
        <v/>
      </c>
      <c r="P765" t="str">
        <f t="shared" si="38"/>
        <v/>
      </c>
      <c r="Q765" t="str">
        <f>IFERROR((J765/SUMIFS('Sales Orders'!D:D,'Sales Orders'!A:A,B765))*SUMIFS('Sales Orders'!N:N,'Sales Orders'!A:A,B765),"")</f>
        <v/>
      </c>
      <c r="W765" s="31" t="str">
        <f t="shared" ca="1" si="37"/>
        <v/>
      </c>
      <c r="Z765" s="31"/>
    </row>
    <row r="766" spans="2:26">
      <c r="B766" s="2"/>
      <c r="C766" t="str">
        <f>IF(B766&lt;&gt;"",INDEX('Sales Orders'!C:C,MATCH('Booking Management'!B766,'Sales Orders'!A:A,0)),"")</f>
        <v/>
      </c>
      <c r="K766" s="31" t="str">
        <f t="shared" ca="1" si="36"/>
        <v/>
      </c>
      <c r="P766" t="str">
        <f t="shared" si="38"/>
        <v/>
      </c>
      <c r="Q766" t="str">
        <f>IFERROR((J766/SUMIFS('Sales Orders'!D:D,'Sales Orders'!A:A,B766))*SUMIFS('Sales Orders'!N:N,'Sales Orders'!A:A,B766),"")</f>
        <v/>
      </c>
      <c r="W766" s="31" t="str">
        <f t="shared" ca="1" si="37"/>
        <v/>
      </c>
      <c r="Z766" s="31"/>
    </row>
    <row r="767" spans="2:26">
      <c r="B767" s="2"/>
      <c r="C767" t="str">
        <f>IF(B767&lt;&gt;"",INDEX('Sales Orders'!C:C,MATCH('Booking Management'!B767,'Sales Orders'!A:A,0)),"")</f>
        <v/>
      </c>
      <c r="K767" s="31" t="str">
        <f t="shared" ca="1" si="36"/>
        <v/>
      </c>
      <c r="P767" t="str">
        <f t="shared" si="38"/>
        <v/>
      </c>
      <c r="Q767" t="str">
        <f>IFERROR((J767/SUMIFS('Sales Orders'!D:D,'Sales Orders'!A:A,B767))*SUMIFS('Sales Orders'!N:N,'Sales Orders'!A:A,B767),"")</f>
        <v/>
      </c>
      <c r="W767" s="31" t="str">
        <f t="shared" ca="1" si="37"/>
        <v/>
      </c>
      <c r="Z767" s="31"/>
    </row>
    <row r="768" spans="2:26">
      <c r="B768" s="2"/>
      <c r="C768" t="str">
        <f>IF(B768&lt;&gt;"",INDEX('Sales Orders'!C:C,MATCH('Booking Management'!B768,'Sales Orders'!A:A,0)),"")</f>
        <v/>
      </c>
      <c r="K768" s="31" t="str">
        <f t="shared" ca="1" si="36"/>
        <v/>
      </c>
      <c r="P768" t="str">
        <f t="shared" si="38"/>
        <v/>
      </c>
      <c r="Q768" t="str">
        <f>IFERROR((J768/SUMIFS('Sales Orders'!D:D,'Sales Orders'!A:A,B768))*SUMIFS('Sales Orders'!N:N,'Sales Orders'!A:A,B768),"")</f>
        <v/>
      </c>
      <c r="W768" s="31" t="str">
        <f t="shared" ca="1" si="37"/>
        <v/>
      </c>
      <c r="Z768" s="31"/>
    </row>
    <row r="769" spans="2:26">
      <c r="B769" s="2"/>
      <c r="C769" t="str">
        <f>IF(B769&lt;&gt;"",INDEX('Sales Orders'!C:C,MATCH('Booking Management'!B769,'Sales Orders'!A:A,0)),"")</f>
        <v/>
      </c>
      <c r="K769" s="31" t="str">
        <f t="shared" ca="1" si="36"/>
        <v/>
      </c>
      <c r="P769" t="str">
        <f t="shared" si="38"/>
        <v/>
      </c>
      <c r="Q769" t="str">
        <f>IFERROR((J769/SUMIFS('Sales Orders'!D:D,'Sales Orders'!A:A,B769))*SUMIFS('Sales Orders'!N:N,'Sales Orders'!A:A,B769),"")</f>
        <v/>
      </c>
      <c r="W769" s="31" t="str">
        <f t="shared" ca="1" si="37"/>
        <v/>
      </c>
      <c r="Z769" s="31"/>
    </row>
    <row r="770" spans="2:26">
      <c r="B770" s="2"/>
      <c r="C770" t="str">
        <f>IF(B770&lt;&gt;"",INDEX('Sales Orders'!C:C,MATCH('Booking Management'!B770,'Sales Orders'!A:A,0)),"")</f>
        <v/>
      </c>
      <c r="K770" s="31" t="str">
        <f t="shared" ca="1" si="36"/>
        <v/>
      </c>
      <c r="P770" t="str">
        <f t="shared" si="38"/>
        <v/>
      </c>
      <c r="Q770" t="str">
        <f>IFERROR((J770/SUMIFS('Sales Orders'!D:D,'Sales Orders'!A:A,B770))*SUMIFS('Sales Orders'!N:N,'Sales Orders'!A:A,B770),"")</f>
        <v/>
      </c>
      <c r="W770" s="31" t="str">
        <f t="shared" ca="1" si="37"/>
        <v/>
      </c>
      <c r="Z770" s="31"/>
    </row>
    <row r="771" spans="2:26">
      <c r="B771" s="2"/>
      <c r="C771" t="str">
        <f>IF(B771&lt;&gt;"",INDEX('Sales Orders'!C:C,MATCH('Booking Management'!B771,'Sales Orders'!A:A,0)),"")</f>
        <v/>
      </c>
      <c r="K771" s="31" t="str">
        <f t="shared" ref="K771:K834" ca="1" si="39">IF(B771&lt;&gt;"",IF(AND(OR(L771-TODAY()&lt;2,M771&lt;&gt;"yes",N771&lt;&gt;"yes",O771&lt;&gt;"yes"),S771&lt;&gt;"Used"),"Alert",""),"")</f>
        <v/>
      </c>
      <c r="P771" t="str">
        <f t="shared" si="38"/>
        <v/>
      </c>
      <c r="Q771" t="str">
        <f>IFERROR((J771/SUMIFS('Sales Orders'!D:D,'Sales Orders'!A:A,B771))*SUMIFS('Sales Orders'!N:N,'Sales Orders'!A:A,B771),"")</f>
        <v/>
      </c>
      <c r="W771" s="31" t="str">
        <f t="shared" ca="1" si="37"/>
        <v/>
      </c>
      <c r="Z771" s="31"/>
    </row>
    <row r="772" spans="2:26">
      <c r="B772" s="2"/>
      <c r="C772" t="str">
        <f>IF(B772&lt;&gt;"",INDEX('Sales Orders'!C:C,MATCH('Booking Management'!B772,'Sales Orders'!A:A,0)),"")</f>
        <v/>
      </c>
      <c r="K772" s="31" t="str">
        <f t="shared" ca="1" si="39"/>
        <v/>
      </c>
      <c r="P772" t="str">
        <f t="shared" si="38"/>
        <v/>
      </c>
      <c r="Q772" t="str">
        <f>IFERROR((J772/SUMIFS('Sales Orders'!D:D,'Sales Orders'!A:A,B772))*SUMIFS('Sales Orders'!N:N,'Sales Orders'!A:A,B772),"")</f>
        <v/>
      </c>
      <c r="W772" s="31" t="str">
        <f t="shared" ca="1" si="37"/>
        <v/>
      </c>
      <c r="Z772" s="31"/>
    </row>
    <row r="773" spans="2:26">
      <c r="B773" s="2"/>
      <c r="C773" t="str">
        <f>IF(B773&lt;&gt;"",INDEX('Sales Orders'!C:C,MATCH('Booking Management'!B773,'Sales Orders'!A:A,0)),"")</f>
        <v/>
      </c>
      <c r="K773" s="31" t="str">
        <f t="shared" ca="1" si="39"/>
        <v/>
      </c>
      <c r="P773" t="str">
        <f t="shared" si="38"/>
        <v/>
      </c>
      <c r="Q773" t="str">
        <f>IFERROR((J773/SUMIFS('Sales Orders'!D:D,'Sales Orders'!A:A,B773))*SUMIFS('Sales Orders'!N:N,'Sales Orders'!A:A,B773),"")</f>
        <v/>
      </c>
      <c r="W773" s="31" t="str">
        <f t="shared" ca="1" si="37"/>
        <v/>
      </c>
      <c r="Z773" s="31"/>
    </row>
    <row r="774" spans="2:26">
      <c r="B774" s="2"/>
      <c r="C774" t="str">
        <f>IF(B774&lt;&gt;"",INDEX('Sales Orders'!C:C,MATCH('Booking Management'!B774,'Sales Orders'!A:A,0)),"")</f>
        <v/>
      </c>
      <c r="K774" s="31" t="str">
        <f t="shared" ca="1" si="39"/>
        <v/>
      </c>
      <c r="P774" t="str">
        <f t="shared" si="38"/>
        <v/>
      </c>
      <c r="Q774" t="str">
        <f>IFERROR((J774/SUMIFS('Sales Orders'!D:D,'Sales Orders'!A:A,B774))*SUMIFS('Sales Orders'!N:N,'Sales Orders'!A:A,B774),"")</f>
        <v/>
      </c>
      <c r="W774" s="31" t="str">
        <f t="shared" ca="1" si="37"/>
        <v/>
      </c>
      <c r="Z774" s="31"/>
    </row>
    <row r="775" spans="2:26">
      <c r="B775" s="2"/>
      <c r="C775" t="str">
        <f>IF(B775&lt;&gt;"",INDEX('Sales Orders'!C:C,MATCH('Booking Management'!B775,'Sales Orders'!A:A,0)),"")</f>
        <v/>
      </c>
      <c r="K775" s="31" t="str">
        <f t="shared" ca="1" si="39"/>
        <v/>
      </c>
      <c r="P775" t="str">
        <f t="shared" si="38"/>
        <v/>
      </c>
      <c r="Q775" t="str">
        <f>IFERROR((J775/SUMIFS('Sales Orders'!D:D,'Sales Orders'!A:A,B775))*SUMIFS('Sales Orders'!N:N,'Sales Orders'!A:A,B775),"")</f>
        <v/>
      </c>
      <c r="W775" s="31" t="str">
        <f t="shared" ref="W775:W838" ca="1" si="40">IF(T775&lt;&gt;"",IF(X775="Yes","NO",IF((TODAY()-V775)&gt;6,"YES","NO")),"")</f>
        <v/>
      </c>
      <c r="Z775" s="31"/>
    </row>
    <row r="776" spans="2:26">
      <c r="B776" s="2"/>
      <c r="C776" t="str">
        <f>IF(B776&lt;&gt;"",INDEX('Sales Orders'!C:C,MATCH('Booking Management'!B776,'Sales Orders'!A:A,0)),"")</f>
        <v/>
      </c>
      <c r="K776" s="31" t="str">
        <f t="shared" ca="1" si="39"/>
        <v/>
      </c>
      <c r="P776" t="str">
        <f t="shared" si="38"/>
        <v/>
      </c>
      <c r="Q776" t="str">
        <f>IFERROR((J776/SUMIFS('Sales Orders'!D:D,'Sales Orders'!A:A,B776))*SUMIFS('Sales Orders'!N:N,'Sales Orders'!A:A,B776),"")</f>
        <v/>
      </c>
      <c r="W776" s="31" t="str">
        <f t="shared" ca="1" si="40"/>
        <v/>
      </c>
      <c r="Z776" s="31"/>
    </row>
    <row r="777" spans="2:26">
      <c r="B777" s="2"/>
      <c r="C777" t="str">
        <f>IF(B777&lt;&gt;"",INDEX('Sales Orders'!C:C,MATCH('Booking Management'!B777,'Sales Orders'!A:A,0)),"")</f>
        <v/>
      </c>
      <c r="K777" s="31" t="str">
        <f t="shared" ca="1" si="39"/>
        <v/>
      </c>
      <c r="P777" t="str">
        <f t="shared" si="38"/>
        <v/>
      </c>
      <c r="Q777" t="str">
        <f>IFERROR((J777/SUMIFS('Sales Orders'!D:D,'Sales Orders'!A:A,B777))*SUMIFS('Sales Orders'!N:N,'Sales Orders'!A:A,B777),"")</f>
        <v/>
      </c>
      <c r="W777" s="31" t="str">
        <f t="shared" ca="1" si="40"/>
        <v/>
      </c>
      <c r="Z777" s="31"/>
    </row>
    <row r="778" spans="2:26">
      <c r="B778" s="2"/>
      <c r="C778" t="str">
        <f>IF(B778&lt;&gt;"",INDEX('Sales Orders'!C:C,MATCH('Booking Management'!B778,'Sales Orders'!A:A,0)),"")</f>
        <v/>
      </c>
      <c r="K778" s="31" t="str">
        <f t="shared" ca="1" si="39"/>
        <v/>
      </c>
      <c r="P778" t="str">
        <f t="shared" si="38"/>
        <v/>
      </c>
      <c r="Q778" t="str">
        <f>IFERROR((J778/SUMIFS('Sales Orders'!D:D,'Sales Orders'!A:A,B778))*SUMIFS('Sales Orders'!N:N,'Sales Orders'!A:A,B778),"")</f>
        <v/>
      </c>
      <c r="W778" s="31" t="str">
        <f t="shared" ca="1" si="40"/>
        <v/>
      </c>
      <c r="Z778" s="31"/>
    </row>
    <row r="779" spans="2:26">
      <c r="B779" s="2"/>
      <c r="C779" t="str">
        <f>IF(B779&lt;&gt;"",INDEX('Sales Orders'!C:C,MATCH('Booking Management'!B779,'Sales Orders'!A:A,0)),"")</f>
        <v/>
      </c>
      <c r="K779" s="31" t="str">
        <f t="shared" ca="1" si="39"/>
        <v/>
      </c>
      <c r="P779" t="str">
        <f t="shared" si="38"/>
        <v/>
      </c>
      <c r="Q779" t="str">
        <f>IFERROR((J779/SUMIFS('Sales Orders'!D:D,'Sales Orders'!A:A,B779))*SUMIFS('Sales Orders'!N:N,'Sales Orders'!A:A,B779),"")</f>
        <v/>
      </c>
      <c r="W779" s="31" t="str">
        <f t="shared" ca="1" si="40"/>
        <v/>
      </c>
      <c r="Z779" s="31"/>
    </row>
    <row r="780" spans="2:26">
      <c r="B780" s="2"/>
      <c r="C780" t="str">
        <f>IF(B780&lt;&gt;"",INDEX('Sales Orders'!C:C,MATCH('Booking Management'!B780,'Sales Orders'!A:A,0)),"")</f>
        <v/>
      </c>
      <c r="K780" s="31" t="str">
        <f t="shared" ca="1" si="39"/>
        <v/>
      </c>
      <c r="P780" t="str">
        <f t="shared" si="38"/>
        <v/>
      </c>
      <c r="Q780" t="str">
        <f>IFERROR((J780/SUMIFS('Sales Orders'!D:D,'Sales Orders'!A:A,B780))*SUMIFS('Sales Orders'!N:N,'Sales Orders'!A:A,B780),"")</f>
        <v/>
      </c>
      <c r="W780" s="31" t="str">
        <f t="shared" ca="1" si="40"/>
        <v/>
      </c>
      <c r="Z780" s="31"/>
    </row>
    <row r="781" spans="2:26">
      <c r="B781" s="2"/>
      <c r="C781" t="str">
        <f>IF(B781&lt;&gt;"",INDEX('Sales Orders'!C:C,MATCH('Booking Management'!B781,'Sales Orders'!A:A,0)),"")</f>
        <v/>
      </c>
      <c r="K781" s="31" t="str">
        <f t="shared" ca="1" si="39"/>
        <v/>
      </c>
      <c r="P781" t="str">
        <f t="shared" si="38"/>
        <v/>
      </c>
      <c r="Q781" t="str">
        <f>IFERROR((J781/SUMIFS('Sales Orders'!D:D,'Sales Orders'!A:A,B781))*SUMIFS('Sales Orders'!N:N,'Sales Orders'!A:A,B781),"")</f>
        <v/>
      </c>
      <c r="W781" s="31" t="str">
        <f t="shared" ca="1" si="40"/>
        <v/>
      </c>
      <c r="Z781" s="31"/>
    </row>
    <row r="782" spans="2:26">
      <c r="B782" s="2"/>
      <c r="C782" t="str">
        <f>IF(B782&lt;&gt;"",INDEX('Sales Orders'!C:C,MATCH('Booking Management'!B782,'Sales Orders'!A:A,0)),"")</f>
        <v/>
      </c>
      <c r="K782" s="31" t="str">
        <f t="shared" ca="1" si="39"/>
        <v/>
      </c>
      <c r="P782" t="str">
        <f t="shared" si="38"/>
        <v/>
      </c>
      <c r="Q782" t="str">
        <f>IFERROR((J782/SUMIFS('Sales Orders'!D:D,'Sales Orders'!A:A,B782))*SUMIFS('Sales Orders'!N:N,'Sales Orders'!A:A,B782),"")</f>
        <v/>
      </c>
      <c r="W782" s="31" t="str">
        <f t="shared" ca="1" si="40"/>
        <v/>
      </c>
      <c r="Z782" s="31"/>
    </row>
    <row r="783" spans="2:26">
      <c r="B783" s="2"/>
      <c r="C783" t="str">
        <f>IF(B783&lt;&gt;"",INDEX('Sales Orders'!C:C,MATCH('Booking Management'!B783,'Sales Orders'!A:A,0)),"")</f>
        <v/>
      </c>
      <c r="K783" s="31" t="str">
        <f t="shared" ca="1" si="39"/>
        <v/>
      </c>
      <c r="P783" t="str">
        <f t="shared" si="38"/>
        <v/>
      </c>
      <c r="Q783" t="str">
        <f>IFERROR((J783/SUMIFS('Sales Orders'!D:D,'Sales Orders'!A:A,B783))*SUMIFS('Sales Orders'!N:N,'Sales Orders'!A:A,B783),"")</f>
        <v/>
      </c>
      <c r="W783" s="31" t="str">
        <f t="shared" ca="1" si="40"/>
        <v/>
      </c>
      <c r="Z783" s="31"/>
    </row>
    <row r="784" spans="2:26">
      <c r="B784" s="2"/>
      <c r="C784" t="str">
        <f>IF(B784&lt;&gt;"",INDEX('Sales Orders'!C:C,MATCH('Booking Management'!B784,'Sales Orders'!A:A,0)),"")</f>
        <v/>
      </c>
      <c r="K784" s="31" t="str">
        <f t="shared" ca="1" si="39"/>
        <v/>
      </c>
      <c r="P784" t="str">
        <f t="shared" si="38"/>
        <v/>
      </c>
      <c r="Q784" t="str">
        <f>IFERROR((J784/SUMIFS('Sales Orders'!D:D,'Sales Orders'!A:A,B784))*SUMIFS('Sales Orders'!N:N,'Sales Orders'!A:A,B784),"")</f>
        <v/>
      </c>
      <c r="W784" s="31" t="str">
        <f t="shared" ca="1" si="40"/>
        <v/>
      </c>
      <c r="Z784" s="31"/>
    </row>
    <row r="785" spans="2:26">
      <c r="B785" s="2"/>
      <c r="C785" t="str">
        <f>IF(B785&lt;&gt;"",INDEX('Sales Orders'!C:C,MATCH('Booking Management'!B785,'Sales Orders'!A:A,0)),"")</f>
        <v/>
      </c>
      <c r="K785" s="31" t="str">
        <f t="shared" ca="1" si="39"/>
        <v/>
      </c>
      <c r="P785" t="str">
        <f t="shared" si="38"/>
        <v/>
      </c>
      <c r="Q785" t="str">
        <f>IFERROR((J785/SUMIFS('Sales Orders'!D:D,'Sales Orders'!A:A,B785))*SUMIFS('Sales Orders'!N:N,'Sales Orders'!A:A,B785),"")</f>
        <v/>
      </c>
      <c r="W785" s="31" t="str">
        <f t="shared" ca="1" si="40"/>
        <v/>
      </c>
      <c r="Z785" s="31"/>
    </row>
    <row r="786" spans="2:26">
      <c r="B786" s="2"/>
      <c r="C786" t="str">
        <f>IF(B786&lt;&gt;"",INDEX('Sales Orders'!C:C,MATCH('Booking Management'!B786,'Sales Orders'!A:A,0)),"")</f>
        <v/>
      </c>
      <c r="K786" s="31" t="str">
        <f t="shared" ca="1" si="39"/>
        <v/>
      </c>
      <c r="P786" t="str">
        <f t="shared" si="38"/>
        <v/>
      </c>
      <c r="Q786" t="str">
        <f>IFERROR((J786/SUMIFS('Sales Orders'!D:D,'Sales Orders'!A:A,B786))*SUMIFS('Sales Orders'!N:N,'Sales Orders'!A:A,B786),"")</f>
        <v/>
      </c>
      <c r="W786" s="31" t="str">
        <f t="shared" ca="1" si="40"/>
        <v/>
      </c>
      <c r="Z786" s="31"/>
    </row>
    <row r="787" spans="2:26">
      <c r="B787" s="2"/>
      <c r="C787" t="str">
        <f>IF(B787&lt;&gt;"",INDEX('Sales Orders'!C:C,MATCH('Booking Management'!B787,'Sales Orders'!A:A,0)),"")</f>
        <v/>
      </c>
      <c r="K787" s="31" t="str">
        <f t="shared" ca="1" si="39"/>
        <v/>
      </c>
      <c r="P787" t="str">
        <f t="shared" si="38"/>
        <v/>
      </c>
      <c r="Q787" t="str">
        <f>IFERROR((J787/SUMIFS('Sales Orders'!D:D,'Sales Orders'!A:A,B787))*SUMIFS('Sales Orders'!N:N,'Sales Orders'!A:A,B787),"")</f>
        <v/>
      </c>
      <c r="W787" s="31" t="str">
        <f t="shared" ca="1" si="40"/>
        <v/>
      </c>
      <c r="Z787" s="31"/>
    </row>
    <row r="788" spans="2:26">
      <c r="B788" s="2"/>
      <c r="C788" t="str">
        <f>IF(B788&lt;&gt;"",INDEX('Sales Orders'!C:C,MATCH('Booking Management'!B788,'Sales Orders'!A:A,0)),"")</f>
        <v/>
      </c>
      <c r="K788" s="31" t="str">
        <f t="shared" ca="1" si="39"/>
        <v/>
      </c>
      <c r="P788" t="str">
        <f t="shared" si="38"/>
        <v/>
      </c>
      <c r="Q788" t="str">
        <f>IFERROR((J788/SUMIFS('Sales Orders'!D:D,'Sales Orders'!A:A,B788))*SUMIFS('Sales Orders'!N:N,'Sales Orders'!A:A,B788),"")</f>
        <v/>
      </c>
      <c r="W788" s="31" t="str">
        <f t="shared" ca="1" si="40"/>
        <v/>
      </c>
      <c r="Z788" s="31"/>
    </row>
    <row r="789" spans="2:26">
      <c r="B789" s="2"/>
      <c r="C789" t="str">
        <f>IF(B789&lt;&gt;"",INDEX('Sales Orders'!C:C,MATCH('Booking Management'!B789,'Sales Orders'!A:A,0)),"")</f>
        <v/>
      </c>
      <c r="K789" s="31" t="str">
        <f t="shared" ca="1" si="39"/>
        <v/>
      </c>
      <c r="P789" t="str">
        <f t="shared" si="38"/>
        <v/>
      </c>
      <c r="Q789" t="str">
        <f>IFERROR((J789/SUMIFS('Sales Orders'!D:D,'Sales Orders'!A:A,B789))*SUMIFS('Sales Orders'!N:N,'Sales Orders'!A:A,B789),"")</f>
        <v/>
      </c>
      <c r="W789" s="31" t="str">
        <f t="shared" ca="1" si="40"/>
        <v/>
      </c>
      <c r="Z789" s="31"/>
    </row>
    <row r="790" spans="2:26">
      <c r="B790" s="2"/>
      <c r="C790" t="str">
        <f>IF(B790&lt;&gt;"",INDEX('Sales Orders'!C:C,MATCH('Booking Management'!B790,'Sales Orders'!A:A,0)),"")</f>
        <v/>
      </c>
      <c r="K790" s="31" t="str">
        <f t="shared" ca="1" si="39"/>
        <v/>
      </c>
      <c r="P790" t="str">
        <f t="shared" si="38"/>
        <v/>
      </c>
      <c r="Q790" t="str">
        <f>IFERROR((J790/SUMIFS('Sales Orders'!D:D,'Sales Orders'!A:A,B790))*SUMIFS('Sales Orders'!N:N,'Sales Orders'!A:A,B790),"")</f>
        <v/>
      </c>
      <c r="W790" s="31" t="str">
        <f t="shared" ca="1" si="40"/>
        <v/>
      </c>
      <c r="Z790" s="31"/>
    </row>
    <row r="791" spans="2:26">
      <c r="B791" s="2"/>
      <c r="C791" t="str">
        <f>IF(B791&lt;&gt;"",INDEX('Sales Orders'!C:C,MATCH('Booking Management'!B791,'Sales Orders'!A:A,0)),"")</f>
        <v/>
      </c>
      <c r="K791" s="31" t="str">
        <f t="shared" ca="1" si="39"/>
        <v/>
      </c>
      <c r="P791" t="str">
        <f t="shared" si="38"/>
        <v/>
      </c>
      <c r="Q791" t="str">
        <f>IFERROR((J791/SUMIFS('Sales Orders'!D:D,'Sales Orders'!A:A,B791))*SUMIFS('Sales Orders'!N:N,'Sales Orders'!A:A,B791),"")</f>
        <v/>
      </c>
      <c r="W791" s="31" t="str">
        <f t="shared" ca="1" si="40"/>
        <v/>
      </c>
      <c r="Z791" s="31"/>
    </row>
    <row r="792" spans="2:26">
      <c r="B792" s="2"/>
      <c r="C792" t="str">
        <f>IF(B792&lt;&gt;"",INDEX('Sales Orders'!C:C,MATCH('Booking Management'!B792,'Sales Orders'!A:A,0)),"")</f>
        <v/>
      </c>
      <c r="K792" s="31" t="str">
        <f t="shared" ca="1" si="39"/>
        <v/>
      </c>
      <c r="P792" t="str">
        <f t="shared" si="38"/>
        <v/>
      </c>
      <c r="Q792" t="str">
        <f>IFERROR((J792/SUMIFS('Sales Orders'!D:D,'Sales Orders'!A:A,B792))*SUMIFS('Sales Orders'!N:N,'Sales Orders'!A:A,B792),"")</f>
        <v/>
      </c>
      <c r="W792" s="31" t="str">
        <f t="shared" ca="1" si="40"/>
        <v/>
      </c>
      <c r="Z792" s="31"/>
    </row>
    <row r="793" spans="2:26">
      <c r="B793" s="2"/>
      <c r="C793" t="str">
        <f>IF(B793&lt;&gt;"",INDEX('Sales Orders'!C:C,MATCH('Booking Management'!B793,'Sales Orders'!A:A,0)),"")</f>
        <v/>
      </c>
      <c r="K793" s="31" t="str">
        <f t="shared" ca="1" si="39"/>
        <v/>
      </c>
      <c r="P793" t="str">
        <f t="shared" si="38"/>
        <v/>
      </c>
      <c r="Q793" t="str">
        <f>IFERROR((J793/SUMIFS('Sales Orders'!D:D,'Sales Orders'!A:A,B793))*SUMIFS('Sales Orders'!N:N,'Sales Orders'!A:A,B793),"")</f>
        <v/>
      </c>
      <c r="W793" s="31" t="str">
        <f t="shared" ca="1" si="40"/>
        <v/>
      </c>
      <c r="Z793" s="31"/>
    </row>
    <row r="794" spans="2:26">
      <c r="B794" s="2"/>
      <c r="C794" t="str">
        <f>IF(B794&lt;&gt;"",INDEX('Sales Orders'!C:C,MATCH('Booking Management'!B794,'Sales Orders'!A:A,0)),"")</f>
        <v/>
      </c>
      <c r="K794" s="31" t="str">
        <f t="shared" ca="1" si="39"/>
        <v/>
      </c>
      <c r="P794" t="str">
        <f t="shared" si="38"/>
        <v/>
      </c>
      <c r="Q794" t="str">
        <f>IFERROR((J794/SUMIFS('Sales Orders'!D:D,'Sales Orders'!A:A,B794))*SUMIFS('Sales Orders'!N:N,'Sales Orders'!A:A,B794),"")</f>
        <v/>
      </c>
      <c r="W794" s="31" t="str">
        <f t="shared" ca="1" si="40"/>
        <v/>
      </c>
      <c r="Z794" s="31"/>
    </row>
    <row r="795" spans="2:26">
      <c r="B795" s="2"/>
      <c r="C795" t="str">
        <f>IF(B795&lt;&gt;"",INDEX('Sales Orders'!C:C,MATCH('Booking Management'!B795,'Sales Orders'!A:A,0)),"")</f>
        <v/>
      </c>
      <c r="K795" s="31" t="str">
        <f t="shared" ca="1" si="39"/>
        <v/>
      </c>
      <c r="P795" t="str">
        <f t="shared" si="38"/>
        <v/>
      </c>
      <c r="Q795" t="str">
        <f>IFERROR((J795/SUMIFS('Sales Orders'!D:D,'Sales Orders'!A:A,B795))*SUMIFS('Sales Orders'!N:N,'Sales Orders'!A:A,B795),"")</f>
        <v/>
      </c>
      <c r="W795" s="31" t="str">
        <f t="shared" ca="1" si="40"/>
        <v/>
      </c>
      <c r="Z795" s="31"/>
    </row>
    <row r="796" spans="2:26">
      <c r="B796" s="2"/>
      <c r="C796" t="str">
        <f>IF(B796&lt;&gt;"",INDEX('Sales Orders'!C:C,MATCH('Booking Management'!B796,'Sales Orders'!A:A,0)),"")</f>
        <v/>
      </c>
      <c r="K796" s="31" t="str">
        <f t="shared" ca="1" si="39"/>
        <v/>
      </c>
      <c r="P796" t="str">
        <f t="shared" si="38"/>
        <v/>
      </c>
      <c r="Q796" t="str">
        <f>IFERROR((J796/SUMIFS('Sales Orders'!D:D,'Sales Orders'!A:A,B796))*SUMIFS('Sales Orders'!N:N,'Sales Orders'!A:A,B796),"")</f>
        <v/>
      </c>
      <c r="W796" s="31" t="str">
        <f t="shared" ca="1" si="40"/>
        <v/>
      </c>
      <c r="Z796" s="31"/>
    </row>
    <row r="797" spans="2:26">
      <c r="B797" s="2"/>
      <c r="C797" t="str">
        <f>IF(B797&lt;&gt;"",INDEX('Sales Orders'!C:C,MATCH('Booking Management'!B797,'Sales Orders'!A:A,0)),"")</f>
        <v/>
      </c>
      <c r="K797" s="31" t="str">
        <f t="shared" ca="1" si="39"/>
        <v/>
      </c>
      <c r="P797" t="str">
        <f t="shared" si="38"/>
        <v/>
      </c>
      <c r="Q797" t="str">
        <f>IFERROR((J797/SUMIFS('Sales Orders'!D:D,'Sales Orders'!A:A,B797))*SUMIFS('Sales Orders'!N:N,'Sales Orders'!A:A,B797),"")</f>
        <v/>
      </c>
      <c r="W797" s="31" t="str">
        <f t="shared" ca="1" si="40"/>
        <v/>
      </c>
      <c r="Z797" s="31"/>
    </row>
    <row r="798" spans="2:26">
      <c r="B798" s="2"/>
      <c r="C798" t="str">
        <f>IF(B798&lt;&gt;"",INDEX('Sales Orders'!C:C,MATCH('Booking Management'!B798,'Sales Orders'!A:A,0)),"")</f>
        <v/>
      </c>
      <c r="K798" s="31" t="str">
        <f t="shared" ca="1" si="39"/>
        <v/>
      </c>
      <c r="P798" t="str">
        <f t="shared" si="38"/>
        <v/>
      </c>
      <c r="Q798" t="str">
        <f>IFERROR((J798/SUMIFS('Sales Orders'!D:D,'Sales Orders'!A:A,B798))*SUMIFS('Sales Orders'!N:N,'Sales Orders'!A:A,B798),"")</f>
        <v/>
      </c>
      <c r="W798" s="31" t="str">
        <f t="shared" ca="1" si="40"/>
        <v/>
      </c>
      <c r="Z798" s="31"/>
    </row>
    <row r="799" spans="2:26">
      <c r="B799" s="2"/>
      <c r="C799" t="str">
        <f>IF(B799&lt;&gt;"",INDEX('Sales Orders'!C:C,MATCH('Booking Management'!B799,'Sales Orders'!A:A,0)),"")</f>
        <v/>
      </c>
      <c r="K799" s="31" t="str">
        <f t="shared" ca="1" si="39"/>
        <v/>
      </c>
      <c r="P799" t="str">
        <f t="shared" si="38"/>
        <v/>
      </c>
      <c r="Q799" t="str">
        <f>IFERROR((J799/SUMIFS('Sales Orders'!D:D,'Sales Orders'!A:A,B799))*SUMIFS('Sales Orders'!N:N,'Sales Orders'!A:A,B799),"")</f>
        <v/>
      </c>
      <c r="W799" s="31" t="str">
        <f t="shared" ca="1" si="40"/>
        <v/>
      </c>
      <c r="Z799" s="31"/>
    </row>
    <row r="800" spans="2:26">
      <c r="B800" s="2"/>
      <c r="C800" t="str">
        <f>IF(B800&lt;&gt;"",INDEX('Sales Orders'!C:C,MATCH('Booking Management'!B800,'Sales Orders'!A:A,0)),"")</f>
        <v/>
      </c>
      <c r="K800" s="31" t="str">
        <f t="shared" ca="1" si="39"/>
        <v/>
      </c>
      <c r="P800" t="str">
        <f t="shared" si="38"/>
        <v/>
      </c>
      <c r="Q800" t="str">
        <f>IFERROR((J800/SUMIFS('Sales Orders'!D:D,'Sales Orders'!A:A,B800))*SUMIFS('Sales Orders'!N:N,'Sales Orders'!A:A,B800),"")</f>
        <v/>
      </c>
      <c r="W800" s="31" t="str">
        <f t="shared" ca="1" si="40"/>
        <v/>
      </c>
      <c r="Z800" s="31"/>
    </row>
    <row r="801" spans="2:26">
      <c r="B801" s="2"/>
      <c r="C801" t="str">
        <f>IF(B801&lt;&gt;"",INDEX('Sales Orders'!C:C,MATCH('Booking Management'!B801,'Sales Orders'!A:A,0)),"")</f>
        <v/>
      </c>
      <c r="K801" s="31" t="str">
        <f t="shared" ca="1" si="39"/>
        <v/>
      </c>
      <c r="P801" t="str">
        <f t="shared" ref="P801:P864" si="41">IF(B801&lt;&gt;"",T801-L801,"")</f>
        <v/>
      </c>
      <c r="Q801" t="str">
        <f>IFERROR((J801/SUMIFS('Sales Orders'!D:D,'Sales Orders'!A:A,B801))*SUMIFS('Sales Orders'!N:N,'Sales Orders'!A:A,B801),"")</f>
        <v/>
      </c>
      <c r="W801" s="31" t="str">
        <f t="shared" ca="1" si="40"/>
        <v/>
      </c>
      <c r="Z801" s="31"/>
    </row>
    <row r="802" spans="2:26">
      <c r="B802" s="2"/>
      <c r="C802" t="str">
        <f>IF(B802&lt;&gt;"",INDEX('Sales Orders'!C:C,MATCH('Booking Management'!B802,'Sales Orders'!A:A,0)),"")</f>
        <v/>
      </c>
      <c r="K802" s="31" t="str">
        <f t="shared" ca="1" si="39"/>
        <v/>
      </c>
      <c r="P802" t="str">
        <f t="shared" si="41"/>
        <v/>
      </c>
      <c r="Q802" t="str">
        <f>IFERROR((J802/SUMIFS('Sales Orders'!D:D,'Sales Orders'!A:A,B802))*SUMIFS('Sales Orders'!N:N,'Sales Orders'!A:A,B802),"")</f>
        <v/>
      </c>
      <c r="W802" s="31" t="str">
        <f t="shared" ca="1" si="40"/>
        <v/>
      </c>
      <c r="Z802" s="31"/>
    </row>
    <row r="803" spans="2:26">
      <c r="B803" s="2"/>
      <c r="C803" t="str">
        <f>IF(B803&lt;&gt;"",INDEX('Sales Orders'!C:C,MATCH('Booking Management'!B803,'Sales Orders'!A:A,0)),"")</f>
        <v/>
      </c>
      <c r="K803" s="31" t="str">
        <f t="shared" ca="1" si="39"/>
        <v/>
      </c>
      <c r="P803" t="str">
        <f t="shared" si="41"/>
        <v/>
      </c>
      <c r="Q803" t="str">
        <f>IFERROR((J803/SUMIFS('Sales Orders'!D:D,'Sales Orders'!A:A,B803))*SUMIFS('Sales Orders'!N:N,'Sales Orders'!A:A,B803),"")</f>
        <v/>
      </c>
      <c r="W803" s="31" t="str">
        <f t="shared" ca="1" si="40"/>
        <v/>
      </c>
      <c r="Z803" s="31"/>
    </row>
    <row r="804" spans="2:26">
      <c r="B804" s="2"/>
      <c r="C804" t="str">
        <f>IF(B804&lt;&gt;"",INDEX('Sales Orders'!C:C,MATCH('Booking Management'!B804,'Sales Orders'!A:A,0)),"")</f>
        <v/>
      </c>
      <c r="K804" s="31" t="str">
        <f t="shared" ca="1" si="39"/>
        <v/>
      </c>
      <c r="P804" t="str">
        <f t="shared" si="41"/>
        <v/>
      </c>
      <c r="Q804" t="str">
        <f>IFERROR((J804/SUMIFS('Sales Orders'!D:D,'Sales Orders'!A:A,B804))*SUMIFS('Sales Orders'!N:N,'Sales Orders'!A:A,B804),"")</f>
        <v/>
      </c>
      <c r="W804" s="31" t="str">
        <f t="shared" ca="1" si="40"/>
        <v/>
      </c>
      <c r="Z804" s="31"/>
    </row>
    <row r="805" spans="2:26">
      <c r="B805" s="2"/>
      <c r="C805" t="str">
        <f>IF(B805&lt;&gt;"",INDEX('Sales Orders'!C:C,MATCH('Booking Management'!B805,'Sales Orders'!A:A,0)),"")</f>
        <v/>
      </c>
      <c r="K805" s="31" t="str">
        <f t="shared" ca="1" si="39"/>
        <v/>
      </c>
      <c r="P805" t="str">
        <f t="shared" si="41"/>
        <v/>
      </c>
      <c r="Q805" t="str">
        <f>IFERROR((J805/SUMIFS('Sales Orders'!D:D,'Sales Orders'!A:A,B805))*SUMIFS('Sales Orders'!N:N,'Sales Orders'!A:A,B805),"")</f>
        <v/>
      </c>
      <c r="W805" s="31" t="str">
        <f t="shared" ca="1" si="40"/>
        <v/>
      </c>
      <c r="Z805" s="31"/>
    </row>
    <row r="806" spans="2:26">
      <c r="B806" s="2"/>
      <c r="C806" t="str">
        <f>IF(B806&lt;&gt;"",INDEX('Sales Orders'!C:C,MATCH('Booking Management'!B806,'Sales Orders'!A:A,0)),"")</f>
        <v/>
      </c>
      <c r="K806" s="31" t="str">
        <f t="shared" ca="1" si="39"/>
        <v/>
      </c>
      <c r="P806" t="str">
        <f t="shared" si="41"/>
        <v/>
      </c>
      <c r="Q806" t="str">
        <f>IFERROR((J806/SUMIFS('Sales Orders'!D:D,'Sales Orders'!A:A,B806))*SUMIFS('Sales Orders'!N:N,'Sales Orders'!A:A,B806),"")</f>
        <v/>
      </c>
      <c r="W806" s="31" t="str">
        <f t="shared" ca="1" si="40"/>
        <v/>
      </c>
      <c r="Z806" s="31"/>
    </row>
    <row r="807" spans="2:26">
      <c r="B807" s="2"/>
      <c r="C807" t="str">
        <f>IF(B807&lt;&gt;"",INDEX('Sales Orders'!C:C,MATCH('Booking Management'!B807,'Sales Orders'!A:A,0)),"")</f>
        <v/>
      </c>
      <c r="K807" s="31" t="str">
        <f t="shared" ca="1" si="39"/>
        <v/>
      </c>
      <c r="P807" t="str">
        <f t="shared" si="41"/>
        <v/>
      </c>
      <c r="Q807" t="str">
        <f>IFERROR((J807/SUMIFS('Sales Orders'!D:D,'Sales Orders'!A:A,B807))*SUMIFS('Sales Orders'!N:N,'Sales Orders'!A:A,B807),"")</f>
        <v/>
      </c>
      <c r="W807" s="31" t="str">
        <f t="shared" ca="1" si="40"/>
        <v/>
      </c>
      <c r="Z807" s="31"/>
    </row>
    <row r="808" spans="2:26">
      <c r="B808" s="2"/>
      <c r="C808" t="str">
        <f>IF(B808&lt;&gt;"",INDEX('Sales Orders'!C:C,MATCH('Booking Management'!B808,'Sales Orders'!A:A,0)),"")</f>
        <v/>
      </c>
      <c r="K808" s="31" t="str">
        <f t="shared" ca="1" si="39"/>
        <v/>
      </c>
      <c r="P808" t="str">
        <f t="shared" si="41"/>
        <v/>
      </c>
      <c r="Q808" t="str">
        <f>IFERROR((J808/SUMIFS('Sales Orders'!D:D,'Sales Orders'!A:A,B808))*SUMIFS('Sales Orders'!N:N,'Sales Orders'!A:A,B808),"")</f>
        <v/>
      </c>
      <c r="W808" s="31" t="str">
        <f t="shared" ca="1" si="40"/>
        <v/>
      </c>
      <c r="Z808" s="31"/>
    </row>
    <row r="809" spans="2:26">
      <c r="B809" s="2"/>
      <c r="C809" t="str">
        <f>IF(B809&lt;&gt;"",INDEX('Sales Orders'!C:C,MATCH('Booking Management'!B809,'Sales Orders'!A:A,0)),"")</f>
        <v/>
      </c>
      <c r="K809" s="31" t="str">
        <f t="shared" ca="1" si="39"/>
        <v/>
      </c>
      <c r="P809" t="str">
        <f t="shared" si="41"/>
        <v/>
      </c>
      <c r="Q809" t="str">
        <f>IFERROR((J809/SUMIFS('Sales Orders'!D:D,'Sales Orders'!A:A,B809))*SUMIFS('Sales Orders'!N:N,'Sales Orders'!A:A,B809),"")</f>
        <v/>
      </c>
      <c r="W809" s="31" t="str">
        <f t="shared" ca="1" si="40"/>
        <v/>
      </c>
      <c r="Z809" s="31"/>
    </row>
    <row r="810" spans="2:26">
      <c r="B810" s="2"/>
      <c r="C810" t="str">
        <f>IF(B810&lt;&gt;"",INDEX('Sales Orders'!C:C,MATCH('Booking Management'!B810,'Sales Orders'!A:A,0)),"")</f>
        <v/>
      </c>
      <c r="K810" s="31" t="str">
        <f t="shared" ca="1" si="39"/>
        <v/>
      </c>
      <c r="P810" t="str">
        <f t="shared" si="41"/>
        <v/>
      </c>
      <c r="Q810" t="str">
        <f>IFERROR((J810/SUMIFS('Sales Orders'!D:D,'Sales Orders'!A:A,B810))*SUMIFS('Sales Orders'!N:N,'Sales Orders'!A:A,B810),"")</f>
        <v/>
      </c>
      <c r="W810" s="31" t="str">
        <f t="shared" ca="1" si="40"/>
        <v/>
      </c>
      <c r="Z810" s="31"/>
    </row>
    <row r="811" spans="2:26">
      <c r="B811" s="2"/>
      <c r="C811" t="str">
        <f>IF(B811&lt;&gt;"",INDEX('Sales Orders'!C:C,MATCH('Booking Management'!B811,'Sales Orders'!A:A,0)),"")</f>
        <v/>
      </c>
      <c r="K811" s="31" t="str">
        <f t="shared" ca="1" si="39"/>
        <v/>
      </c>
      <c r="P811" t="str">
        <f t="shared" si="41"/>
        <v/>
      </c>
      <c r="Q811" t="str">
        <f>IFERROR((J811/SUMIFS('Sales Orders'!D:D,'Sales Orders'!A:A,B811))*SUMIFS('Sales Orders'!N:N,'Sales Orders'!A:A,B811),"")</f>
        <v/>
      </c>
      <c r="W811" s="31" t="str">
        <f t="shared" ca="1" si="40"/>
        <v/>
      </c>
      <c r="Z811" s="31"/>
    </row>
    <row r="812" spans="2:26">
      <c r="B812" s="2"/>
      <c r="C812" t="str">
        <f>IF(B812&lt;&gt;"",INDEX('Sales Orders'!C:C,MATCH('Booking Management'!B812,'Sales Orders'!A:A,0)),"")</f>
        <v/>
      </c>
      <c r="K812" s="31" t="str">
        <f t="shared" ca="1" si="39"/>
        <v/>
      </c>
      <c r="P812" t="str">
        <f t="shared" si="41"/>
        <v/>
      </c>
      <c r="Q812" t="str">
        <f>IFERROR((J812/SUMIFS('Sales Orders'!D:D,'Sales Orders'!A:A,B812))*SUMIFS('Sales Orders'!N:N,'Sales Orders'!A:A,B812),"")</f>
        <v/>
      </c>
      <c r="W812" s="31" t="str">
        <f t="shared" ca="1" si="40"/>
        <v/>
      </c>
      <c r="Z812" s="31"/>
    </row>
    <row r="813" spans="2:26">
      <c r="B813" s="2"/>
      <c r="C813" t="str">
        <f>IF(B813&lt;&gt;"",INDEX('Sales Orders'!C:C,MATCH('Booking Management'!B813,'Sales Orders'!A:A,0)),"")</f>
        <v/>
      </c>
      <c r="K813" s="31" t="str">
        <f t="shared" ca="1" si="39"/>
        <v/>
      </c>
      <c r="P813" t="str">
        <f t="shared" si="41"/>
        <v/>
      </c>
      <c r="Q813" t="str">
        <f>IFERROR((J813/SUMIFS('Sales Orders'!D:D,'Sales Orders'!A:A,B813))*SUMIFS('Sales Orders'!N:N,'Sales Orders'!A:A,B813),"")</f>
        <v/>
      </c>
      <c r="W813" s="31" t="str">
        <f t="shared" ca="1" si="40"/>
        <v/>
      </c>
      <c r="Z813" s="31"/>
    </row>
    <row r="814" spans="2:26">
      <c r="B814" s="2"/>
      <c r="C814" t="str">
        <f>IF(B814&lt;&gt;"",INDEX('Sales Orders'!C:C,MATCH('Booking Management'!B814,'Sales Orders'!A:A,0)),"")</f>
        <v/>
      </c>
      <c r="K814" s="31" t="str">
        <f t="shared" ca="1" si="39"/>
        <v/>
      </c>
      <c r="P814" t="str">
        <f t="shared" si="41"/>
        <v/>
      </c>
      <c r="Q814" t="str">
        <f>IFERROR((J814/SUMIFS('Sales Orders'!D:D,'Sales Orders'!A:A,B814))*SUMIFS('Sales Orders'!N:N,'Sales Orders'!A:A,B814),"")</f>
        <v/>
      </c>
      <c r="W814" s="31" t="str">
        <f t="shared" ca="1" si="40"/>
        <v/>
      </c>
      <c r="Z814" s="31"/>
    </row>
    <row r="815" spans="2:26">
      <c r="B815" s="2"/>
      <c r="C815" t="str">
        <f>IF(B815&lt;&gt;"",INDEX('Sales Orders'!C:C,MATCH('Booking Management'!B815,'Sales Orders'!A:A,0)),"")</f>
        <v/>
      </c>
      <c r="K815" s="31" t="str">
        <f t="shared" ca="1" si="39"/>
        <v/>
      </c>
      <c r="P815" t="str">
        <f t="shared" si="41"/>
        <v/>
      </c>
      <c r="Q815" t="str">
        <f>IFERROR((J815/SUMIFS('Sales Orders'!D:D,'Sales Orders'!A:A,B815))*SUMIFS('Sales Orders'!N:N,'Sales Orders'!A:A,B815),"")</f>
        <v/>
      </c>
      <c r="W815" s="31" t="str">
        <f t="shared" ca="1" si="40"/>
        <v/>
      </c>
      <c r="Z815" s="31"/>
    </row>
    <row r="816" spans="2:26">
      <c r="B816" s="2"/>
      <c r="C816" t="str">
        <f>IF(B816&lt;&gt;"",INDEX('Sales Orders'!C:C,MATCH('Booking Management'!B816,'Sales Orders'!A:A,0)),"")</f>
        <v/>
      </c>
      <c r="K816" s="31" t="str">
        <f t="shared" ca="1" si="39"/>
        <v/>
      </c>
      <c r="P816" t="str">
        <f t="shared" si="41"/>
        <v/>
      </c>
      <c r="Q816" t="str">
        <f>IFERROR((J816/SUMIFS('Sales Orders'!D:D,'Sales Orders'!A:A,B816))*SUMIFS('Sales Orders'!N:N,'Sales Orders'!A:A,B816),"")</f>
        <v/>
      </c>
      <c r="W816" s="31" t="str">
        <f t="shared" ca="1" si="40"/>
        <v/>
      </c>
      <c r="Z816" s="31"/>
    </row>
    <row r="817" spans="2:26">
      <c r="B817" s="2"/>
      <c r="C817" t="str">
        <f>IF(B817&lt;&gt;"",INDEX('Sales Orders'!C:C,MATCH('Booking Management'!B817,'Sales Orders'!A:A,0)),"")</f>
        <v/>
      </c>
      <c r="K817" s="31" t="str">
        <f t="shared" ca="1" si="39"/>
        <v/>
      </c>
      <c r="P817" t="str">
        <f t="shared" si="41"/>
        <v/>
      </c>
      <c r="Q817" t="str">
        <f>IFERROR((J817/SUMIFS('Sales Orders'!D:D,'Sales Orders'!A:A,B817))*SUMIFS('Sales Orders'!N:N,'Sales Orders'!A:A,B817),"")</f>
        <v/>
      </c>
      <c r="W817" s="31" t="str">
        <f t="shared" ca="1" si="40"/>
        <v/>
      </c>
      <c r="Z817" s="31"/>
    </row>
    <row r="818" spans="2:26">
      <c r="B818" s="2"/>
      <c r="C818" t="str">
        <f>IF(B818&lt;&gt;"",INDEX('Sales Orders'!C:C,MATCH('Booking Management'!B818,'Sales Orders'!A:A,0)),"")</f>
        <v/>
      </c>
      <c r="K818" s="31" t="str">
        <f t="shared" ca="1" si="39"/>
        <v/>
      </c>
      <c r="P818" t="str">
        <f t="shared" si="41"/>
        <v/>
      </c>
      <c r="Q818" t="str">
        <f>IFERROR((J818/SUMIFS('Sales Orders'!D:D,'Sales Orders'!A:A,B818))*SUMIFS('Sales Orders'!N:N,'Sales Orders'!A:A,B818),"")</f>
        <v/>
      </c>
      <c r="W818" s="31" t="str">
        <f t="shared" ca="1" si="40"/>
        <v/>
      </c>
      <c r="Z818" s="31"/>
    </row>
    <row r="819" spans="2:26">
      <c r="B819" s="2"/>
      <c r="C819" t="str">
        <f>IF(B819&lt;&gt;"",INDEX('Sales Orders'!C:C,MATCH('Booking Management'!B819,'Sales Orders'!A:A,0)),"")</f>
        <v/>
      </c>
      <c r="K819" s="31" t="str">
        <f t="shared" ca="1" si="39"/>
        <v/>
      </c>
      <c r="P819" t="str">
        <f t="shared" si="41"/>
        <v/>
      </c>
      <c r="Q819" t="str">
        <f>IFERROR((J819/SUMIFS('Sales Orders'!D:D,'Sales Orders'!A:A,B819))*SUMIFS('Sales Orders'!N:N,'Sales Orders'!A:A,B819),"")</f>
        <v/>
      </c>
      <c r="W819" s="31" t="str">
        <f t="shared" ca="1" si="40"/>
        <v/>
      </c>
      <c r="Z819" s="31"/>
    </row>
    <row r="820" spans="2:26">
      <c r="B820" s="2"/>
      <c r="C820" t="str">
        <f>IF(B820&lt;&gt;"",INDEX('Sales Orders'!C:C,MATCH('Booking Management'!B820,'Sales Orders'!A:A,0)),"")</f>
        <v/>
      </c>
      <c r="K820" s="31" t="str">
        <f t="shared" ca="1" si="39"/>
        <v/>
      </c>
      <c r="P820" t="str">
        <f t="shared" si="41"/>
        <v/>
      </c>
      <c r="Q820" t="str">
        <f>IFERROR((J820/SUMIFS('Sales Orders'!D:D,'Sales Orders'!A:A,B820))*SUMIFS('Sales Orders'!N:N,'Sales Orders'!A:A,B820),"")</f>
        <v/>
      </c>
      <c r="W820" s="31" t="str">
        <f t="shared" ca="1" si="40"/>
        <v/>
      </c>
      <c r="Z820" s="31"/>
    </row>
    <row r="821" spans="2:26">
      <c r="B821" s="2"/>
      <c r="C821" t="str">
        <f>IF(B821&lt;&gt;"",INDEX('Sales Orders'!C:C,MATCH('Booking Management'!B821,'Sales Orders'!A:A,0)),"")</f>
        <v/>
      </c>
      <c r="K821" s="31" t="str">
        <f t="shared" ca="1" si="39"/>
        <v/>
      </c>
      <c r="P821" t="str">
        <f t="shared" si="41"/>
        <v/>
      </c>
      <c r="Q821" t="str">
        <f>IFERROR((J821/SUMIFS('Sales Orders'!D:D,'Sales Orders'!A:A,B821))*SUMIFS('Sales Orders'!N:N,'Sales Orders'!A:A,B821),"")</f>
        <v/>
      </c>
      <c r="W821" s="31" t="str">
        <f t="shared" ca="1" si="40"/>
        <v/>
      </c>
      <c r="Z821" s="31"/>
    </row>
    <row r="822" spans="2:26">
      <c r="B822" s="2"/>
      <c r="C822" t="str">
        <f>IF(B822&lt;&gt;"",INDEX('Sales Orders'!C:C,MATCH('Booking Management'!B822,'Sales Orders'!A:A,0)),"")</f>
        <v/>
      </c>
      <c r="K822" s="31" t="str">
        <f t="shared" ca="1" si="39"/>
        <v/>
      </c>
      <c r="P822" t="str">
        <f t="shared" si="41"/>
        <v/>
      </c>
      <c r="Q822" t="str">
        <f>IFERROR((J822/SUMIFS('Sales Orders'!D:D,'Sales Orders'!A:A,B822))*SUMIFS('Sales Orders'!N:N,'Sales Orders'!A:A,B822),"")</f>
        <v/>
      </c>
      <c r="W822" s="31" t="str">
        <f t="shared" ca="1" si="40"/>
        <v/>
      </c>
      <c r="Z822" s="31"/>
    </row>
    <row r="823" spans="2:26">
      <c r="B823" s="2"/>
      <c r="C823" t="str">
        <f>IF(B823&lt;&gt;"",INDEX('Sales Orders'!C:C,MATCH('Booking Management'!B823,'Sales Orders'!A:A,0)),"")</f>
        <v/>
      </c>
      <c r="K823" s="31" t="str">
        <f t="shared" ca="1" si="39"/>
        <v/>
      </c>
      <c r="P823" t="str">
        <f t="shared" si="41"/>
        <v/>
      </c>
      <c r="Q823" t="str">
        <f>IFERROR((J823/SUMIFS('Sales Orders'!D:D,'Sales Orders'!A:A,B823))*SUMIFS('Sales Orders'!N:N,'Sales Orders'!A:A,B823),"")</f>
        <v/>
      </c>
      <c r="W823" s="31" t="str">
        <f t="shared" ca="1" si="40"/>
        <v/>
      </c>
      <c r="Z823" s="31"/>
    </row>
    <row r="824" spans="2:26">
      <c r="B824" s="2"/>
      <c r="C824" t="str">
        <f>IF(B824&lt;&gt;"",INDEX('Sales Orders'!C:C,MATCH('Booking Management'!B824,'Sales Orders'!A:A,0)),"")</f>
        <v/>
      </c>
      <c r="K824" s="31" t="str">
        <f t="shared" ca="1" si="39"/>
        <v/>
      </c>
      <c r="P824" t="str">
        <f t="shared" si="41"/>
        <v/>
      </c>
      <c r="Q824" t="str">
        <f>IFERROR((J824/SUMIFS('Sales Orders'!D:D,'Sales Orders'!A:A,B824))*SUMIFS('Sales Orders'!N:N,'Sales Orders'!A:A,B824),"")</f>
        <v/>
      </c>
      <c r="W824" s="31" t="str">
        <f t="shared" ca="1" si="40"/>
        <v/>
      </c>
      <c r="Z824" s="31"/>
    </row>
    <row r="825" spans="2:26">
      <c r="B825" s="2"/>
      <c r="C825" t="str">
        <f>IF(B825&lt;&gt;"",INDEX('Sales Orders'!C:C,MATCH('Booking Management'!B825,'Sales Orders'!A:A,0)),"")</f>
        <v/>
      </c>
      <c r="K825" s="31" t="str">
        <f t="shared" ca="1" si="39"/>
        <v/>
      </c>
      <c r="P825" t="str">
        <f t="shared" si="41"/>
        <v/>
      </c>
      <c r="Q825" t="str">
        <f>IFERROR((J825/SUMIFS('Sales Orders'!D:D,'Sales Orders'!A:A,B825))*SUMIFS('Sales Orders'!N:N,'Sales Orders'!A:A,B825),"")</f>
        <v/>
      </c>
      <c r="W825" s="31" t="str">
        <f t="shared" ca="1" si="40"/>
        <v/>
      </c>
      <c r="Z825" s="31"/>
    </row>
    <row r="826" spans="2:26">
      <c r="B826" s="2"/>
      <c r="C826" t="str">
        <f>IF(B826&lt;&gt;"",INDEX('Sales Orders'!C:C,MATCH('Booking Management'!B826,'Sales Orders'!A:A,0)),"")</f>
        <v/>
      </c>
      <c r="K826" s="31" t="str">
        <f t="shared" ca="1" si="39"/>
        <v/>
      </c>
      <c r="P826" t="str">
        <f t="shared" si="41"/>
        <v/>
      </c>
      <c r="Q826" t="str">
        <f>IFERROR((J826/SUMIFS('Sales Orders'!D:D,'Sales Orders'!A:A,B826))*SUMIFS('Sales Orders'!N:N,'Sales Orders'!A:A,B826),"")</f>
        <v/>
      </c>
      <c r="W826" s="31" t="str">
        <f t="shared" ca="1" si="40"/>
        <v/>
      </c>
      <c r="Z826" s="31"/>
    </row>
    <row r="827" spans="2:26">
      <c r="B827" s="2"/>
      <c r="C827" t="str">
        <f>IF(B827&lt;&gt;"",INDEX('Sales Orders'!C:C,MATCH('Booking Management'!B827,'Sales Orders'!A:A,0)),"")</f>
        <v/>
      </c>
      <c r="K827" s="31" t="str">
        <f t="shared" ca="1" si="39"/>
        <v/>
      </c>
      <c r="P827" t="str">
        <f t="shared" si="41"/>
        <v/>
      </c>
      <c r="Q827" t="str">
        <f>IFERROR((J827/SUMIFS('Sales Orders'!D:D,'Sales Orders'!A:A,B827))*SUMIFS('Sales Orders'!N:N,'Sales Orders'!A:A,B827),"")</f>
        <v/>
      </c>
      <c r="W827" s="31" t="str">
        <f t="shared" ca="1" si="40"/>
        <v/>
      </c>
      <c r="Z827" s="31"/>
    </row>
    <row r="828" spans="2:26">
      <c r="B828" s="2"/>
      <c r="C828" t="str">
        <f>IF(B828&lt;&gt;"",INDEX('Sales Orders'!C:C,MATCH('Booking Management'!B828,'Sales Orders'!A:A,0)),"")</f>
        <v/>
      </c>
      <c r="K828" s="31" t="str">
        <f t="shared" ca="1" si="39"/>
        <v/>
      </c>
      <c r="P828" t="str">
        <f t="shared" si="41"/>
        <v/>
      </c>
      <c r="Q828" t="str">
        <f>IFERROR((J828/SUMIFS('Sales Orders'!D:D,'Sales Orders'!A:A,B828))*SUMIFS('Sales Orders'!N:N,'Sales Orders'!A:A,B828),"")</f>
        <v/>
      </c>
      <c r="W828" s="31" t="str">
        <f t="shared" ca="1" si="40"/>
        <v/>
      </c>
      <c r="Z828" s="31"/>
    </row>
    <row r="829" spans="2:26">
      <c r="B829" s="2"/>
      <c r="C829" t="str">
        <f>IF(B829&lt;&gt;"",INDEX('Sales Orders'!C:C,MATCH('Booking Management'!B829,'Sales Orders'!A:A,0)),"")</f>
        <v/>
      </c>
      <c r="K829" s="31" t="str">
        <f t="shared" ca="1" si="39"/>
        <v/>
      </c>
      <c r="P829" t="str">
        <f t="shared" si="41"/>
        <v/>
      </c>
      <c r="Q829" t="str">
        <f>IFERROR((J829/SUMIFS('Sales Orders'!D:D,'Sales Orders'!A:A,B829))*SUMIFS('Sales Orders'!N:N,'Sales Orders'!A:A,B829),"")</f>
        <v/>
      </c>
      <c r="W829" s="31" t="str">
        <f t="shared" ca="1" si="40"/>
        <v/>
      </c>
      <c r="Z829" s="31"/>
    </row>
    <row r="830" spans="2:26">
      <c r="B830" s="2"/>
      <c r="C830" t="str">
        <f>IF(B830&lt;&gt;"",INDEX('Sales Orders'!C:C,MATCH('Booking Management'!B830,'Sales Orders'!A:A,0)),"")</f>
        <v/>
      </c>
      <c r="K830" s="31" t="str">
        <f t="shared" ca="1" si="39"/>
        <v/>
      </c>
      <c r="P830" t="str">
        <f t="shared" si="41"/>
        <v/>
      </c>
      <c r="Q830" t="str">
        <f>IFERROR((J830/SUMIFS('Sales Orders'!D:D,'Sales Orders'!A:A,B830))*SUMIFS('Sales Orders'!N:N,'Sales Orders'!A:A,B830),"")</f>
        <v/>
      </c>
      <c r="W830" s="31" t="str">
        <f t="shared" ca="1" si="40"/>
        <v/>
      </c>
      <c r="Z830" s="31"/>
    </row>
    <row r="831" spans="2:26">
      <c r="B831" s="2"/>
      <c r="C831" t="str">
        <f>IF(B831&lt;&gt;"",INDEX('Sales Orders'!C:C,MATCH('Booking Management'!B831,'Sales Orders'!A:A,0)),"")</f>
        <v/>
      </c>
      <c r="K831" s="31" t="str">
        <f t="shared" ca="1" si="39"/>
        <v/>
      </c>
      <c r="P831" t="str">
        <f t="shared" si="41"/>
        <v/>
      </c>
      <c r="Q831" t="str">
        <f>IFERROR((J831/SUMIFS('Sales Orders'!D:D,'Sales Orders'!A:A,B831))*SUMIFS('Sales Orders'!N:N,'Sales Orders'!A:A,B831),"")</f>
        <v/>
      </c>
      <c r="W831" s="31" t="str">
        <f t="shared" ca="1" si="40"/>
        <v/>
      </c>
      <c r="Z831" s="31"/>
    </row>
    <row r="832" spans="2:26">
      <c r="B832" s="2"/>
      <c r="C832" t="str">
        <f>IF(B832&lt;&gt;"",INDEX('Sales Orders'!C:C,MATCH('Booking Management'!B832,'Sales Orders'!A:A,0)),"")</f>
        <v/>
      </c>
      <c r="K832" s="31" t="str">
        <f t="shared" ca="1" si="39"/>
        <v/>
      </c>
      <c r="P832" t="str">
        <f t="shared" si="41"/>
        <v/>
      </c>
      <c r="Q832" t="str">
        <f>IFERROR((J832/SUMIFS('Sales Orders'!D:D,'Sales Orders'!A:A,B832))*SUMIFS('Sales Orders'!N:N,'Sales Orders'!A:A,B832),"")</f>
        <v/>
      </c>
      <c r="W832" s="31" t="str">
        <f t="shared" ca="1" si="40"/>
        <v/>
      </c>
      <c r="Z832" s="31"/>
    </row>
    <row r="833" spans="2:26">
      <c r="B833" s="2"/>
      <c r="C833" t="str">
        <f>IF(B833&lt;&gt;"",INDEX('Sales Orders'!C:C,MATCH('Booking Management'!B833,'Sales Orders'!A:A,0)),"")</f>
        <v/>
      </c>
      <c r="K833" s="31" t="str">
        <f t="shared" ca="1" si="39"/>
        <v/>
      </c>
      <c r="P833" t="str">
        <f t="shared" si="41"/>
        <v/>
      </c>
      <c r="Q833" t="str">
        <f>IFERROR((J833/SUMIFS('Sales Orders'!D:D,'Sales Orders'!A:A,B833))*SUMIFS('Sales Orders'!N:N,'Sales Orders'!A:A,B833),"")</f>
        <v/>
      </c>
      <c r="W833" s="31" t="str">
        <f t="shared" ca="1" si="40"/>
        <v/>
      </c>
      <c r="Z833" s="31"/>
    </row>
    <row r="834" spans="2:26">
      <c r="B834" s="2"/>
      <c r="C834" t="str">
        <f>IF(B834&lt;&gt;"",INDEX('Sales Orders'!C:C,MATCH('Booking Management'!B834,'Sales Orders'!A:A,0)),"")</f>
        <v/>
      </c>
      <c r="K834" s="31" t="str">
        <f t="shared" ca="1" si="39"/>
        <v/>
      </c>
      <c r="P834" t="str">
        <f t="shared" si="41"/>
        <v/>
      </c>
      <c r="Q834" t="str">
        <f>IFERROR((J834/SUMIFS('Sales Orders'!D:D,'Sales Orders'!A:A,B834))*SUMIFS('Sales Orders'!N:N,'Sales Orders'!A:A,B834),"")</f>
        <v/>
      </c>
      <c r="W834" s="31" t="str">
        <f t="shared" ca="1" si="40"/>
        <v/>
      </c>
      <c r="Z834" s="31"/>
    </row>
    <row r="835" spans="2:26">
      <c r="B835" s="2"/>
      <c r="C835" t="str">
        <f>IF(B835&lt;&gt;"",INDEX('Sales Orders'!C:C,MATCH('Booking Management'!B835,'Sales Orders'!A:A,0)),"")</f>
        <v/>
      </c>
      <c r="K835" s="31" t="str">
        <f t="shared" ref="K835:K898" ca="1" si="42">IF(B835&lt;&gt;"",IF(AND(OR(L835-TODAY()&lt;2,M835&lt;&gt;"yes",N835&lt;&gt;"yes",O835&lt;&gt;"yes"),S835&lt;&gt;"Used"),"Alert",""),"")</f>
        <v/>
      </c>
      <c r="P835" t="str">
        <f t="shared" si="41"/>
        <v/>
      </c>
      <c r="Q835" t="str">
        <f>IFERROR((J835/SUMIFS('Sales Orders'!D:D,'Sales Orders'!A:A,B835))*SUMIFS('Sales Orders'!N:N,'Sales Orders'!A:A,B835),"")</f>
        <v/>
      </c>
      <c r="W835" s="31" t="str">
        <f t="shared" ca="1" si="40"/>
        <v/>
      </c>
      <c r="Z835" s="31"/>
    </row>
    <row r="836" spans="2:26">
      <c r="B836" s="2"/>
      <c r="C836" t="str">
        <f>IF(B836&lt;&gt;"",INDEX('Sales Orders'!C:C,MATCH('Booking Management'!B836,'Sales Orders'!A:A,0)),"")</f>
        <v/>
      </c>
      <c r="K836" s="31" t="str">
        <f t="shared" ca="1" si="42"/>
        <v/>
      </c>
      <c r="P836" t="str">
        <f t="shared" si="41"/>
        <v/>
      </c>
      <c r="Q836" t="str">
        <f>IFERROR((J836/SUMIFS('Sales Orders'!D:D,'Sales Orders'!A:A,B836))*SUMIFS('Sales Orders'!N:N,'Sales Orders'!A:A,B836),"")</f>
        <v/>
      </c>
      <c r="W836" s="31" t="str">
        <f t="shared" ca="1" si="40"/>
        <v/>
      </c>
      <c r="Z836" s="31"/>
    </row>
    <row r="837" spans="2:26">
      <c r="B837" s="2"/>
      <c r="C837" t="str">
        <f>IF(B837&lt;&gt;"",INDEX('Sales Orders'!C:C,MATCH('Booking Management'!B837,'Sales Orders'!A:A,0)),"")</f>
        <v/>
      </c>
      <c r="K837" s="31" t="str">
        <f t="shared" ca="1" si="42"/>
        <v/>
      </c>
      <c r="P837" t="str">
        <f t="shared" si="41"/>
        <v/>
      </c>
      <c r="Q837" t="str">
        <f>IFERROR((J837/SUMIFS('Sales Orders'!D:D,'Sales Orders'!A:A,B837))*SUMIFS('Sales Orders'!N:N,'Sales Orders'!A:A,B837),"")</f>
        <v/>
      </c>
      <c r="W837" s="31" t="str">
        <f t="shared" ca="1" si="40"/>
        <v/>
      </c>
      <c r="Z837" s="31"/>
    </row>
    <row r="838" spans="2:26">
      <c r="B838" s="2"/>
      <c r="C838" t="str">
        <f>IF(B838&lt;&gt;"",INDEX('Sales Orders'!C:C,MATCH('Booking Management'!B838,'Sales Orders'!A:A,0)),"")</f>
        <v/>
      </c>
      <c r="K838" s="31" t="str">
        <f t="shared" ca="1" si="42"/>
        <v/>
      </c>
      <c r="P838" t="str">
        <f t="shared" si="41"/>
        <v/>
      </c>
      <c r="Q838" t="str">
        <f>IFERROR((J838/SUMIFS('Sales Orders'!D:D,'Sales Orders'!A:A,B838))*SUMIFS('Sales Orders'!N:N,'Sales Orders'!A:A,B838),"")</f>
        <v/>
      </c>
      <c r="W838" s="31" t="str">
        <f t="shared" ca="1" si="40"/>
        <v/>
      </c>
      <c r="Z838" s="31"/>
    </row>
    <row r="839" spans="2:26">
      <c r="B839" s="2"/>
      <c r="C839" t="str">
        <f>IF(B839&lt;&gt;"",INDEX('Sales Orders'!C:C,MATCH('Booking Management'!B839,'Sales Orders'!A:A,0)),"")</f>
        <v/>
      </c>
      <c r="K839" s="31" t="str">
        <f t="shared" ca="1" si="42"/>
        <v/>
      </c>
      <c r="P839" t="str">
        <f t="shared" si="41"/>
        <v/>
      </c>
      <c r="Q839" t="str">
        <f>IFERROR((J839/SUMIFS('Sales Orders'!D:D,'Sales Orders'!A:A,B839))*SUMIFS('Sales Orders'!N:N,'Sales Orders'!A:A,B839),"")</f>
        <v/>
      </c>
      <c r="W839" s="31" t="str">
        <f t="shared" ref="W839:W902" ca="1" si="43">IF(T839&lt;&gt;"",IF(X839="Yes","NO",IF((TODAY()-V839)&gt;6,"YES","NO")),"")</f>
        <v/>
      </c>
      <c r="Z839" s="31"/>
    </row>
    <row r="840" spans="2:26">
      <c r="B840" s="2"/>
      <c r="C840" t="str">
        <f>IF(B840&lt;&gt;"",INDEX('Sales Orders'!C:C,MATCH('Booking Management'!B840,'Sales Orders'!A:A,0)),"")</f>
        <v/>
      </c>
      <c r="K840" s="31" t="str">
        <f t="shared" ca="1" si="42"/>
        <v/>
      </c>
      <c r="P840" t="str">
        <f t="shared" si="41"/>
        <v/>
      </c>
      <c r="Q840" t="str">
        <f>IFERROR((J840/SUMIFS('Sales Orders'!D:D,'Sales Orders'!A:A,B840))*SUMIFS('Sales Orders'!N:N,'Sales Orders'!A:A,B840),"")</f>
        <v/>
      </c>
      <c r="W840" s="31" t="str">
        <f t="shared" ca="1" si="43"/>
        <v/>
      </c>
      <c r="Z840" s="31"/>
    </row>
    <row r="841" spans="2:26">
      <c r="B841" s="2"/>
      <c r="C841" t="str">
        <f>IF(B841&lt;&gt;"",INDEX('Sales Orders'!C:C,MATCH('Booking Management'!B841,'Sales Orders'!A:A,0)),"")</f>
        <v/>
      </c>
      <c r="K841" s="31" t="str">
        <f t="shared" ca="1" si="42"/>
        <v/>
      </c>
      <c r="P841" t="str">
        <f t="shared" si="41"/>
        <v/>
      </c>
      <c r="Q841" t="str">
        <f>IFERROR((J841/SUMIFS('Sales Orders'!D:D,'Sales Orders'!A:A,B841))*SUMIFS('Sales Orders'!N:N,'Sales Orders'!A:A,B841),"")</f>
        <v/>
      </c>
      <c r="W841" s="31" t="str">
        <f t="shared" ca="1" si="43"/>
        <v/>
      </c>
      <c r="Z841" s="31"/>
    </row>
    <row r="842" spans="2:26">
      <c r="B842" s="2"/>
      <c r="C842" t="str">
        <f>IF(B842&lt;&gt;"",INDEX('Sales Orders'!C:C,MATCH('Booking Management'!B842,'Sales Orders'!A:A,0)),"")</f>
        <v/>
      </c>
      <c r="K842" s="31" t="str">
        <f t="shared" ca="1" si="42"/>
        <v/>
      </c>
      <c r="P842" t="str">
        <f t="shared" si="41"/>
        <v/>
      </c>
      <c r="Q842" t="str">
        <f>IFERROR((J842/SUMIFS('Sales Orders'!D:D,'Sales Orders'!A:A,B842))*SUMIFS('Sales Orders'!N:N,'Sales Orders'!A:A,B842),"")</f>
        <v/>
      </c>
      <c r="W842" s="31" t="str">
        <f t="shared" ca="1" si="43"/>
        <v/>
      </c>
      <c r="Z842" s="31"/>
    </row>
    <row r="843" spans="2:26">
      <c r="B843" s="2"/>
      <c r="C843" t="str">
        <f>IF(B843&lt;&gt;"",INDEX('Sales Orders'!C:C,MATCH('Booking Management'!B843,'Sales Orders'!A:A,0)),"")</f>
        <v/>
      </c>
      <c r="K843" s="31" t="str">
        <f t="shared" ca="1" si="42"/>
        <v/>
      </c>
      <c r="P843" t="str">
        <f t="shared" si="41"/>
        <v/>
      </c>
      <c r="Q843" t="str">
        <f>IFERROR((J843/SUMIFS('Sales Orders'!D:D,'Sales Orders'!A:A,B843))*SUMIFS('Sales Orders'!N:N,'Sales Orders'!A:A,B843),"")</f>
        <v/>
      </c>
      <c r="W843" s="31" t="str">
        <f t="shared" ca="1" si="43"/>
        <v/>
      </c>
      <c r="Z843" s="31"/>
    </row>
    <row r="844" spans="2:26">
      <c r="B844" s="2"/>
      <c r="C844" t="str">
        <f>IF(B844&lt;&gt;"",INDEX('Sales Orders'!C:C,MATCH('Booking Management'!B844,'Sales Orders'!A:A,0)),"")</f>
        <v/>
      </c>
      <c r="K844" s="31" t="str">
        <f t="shared" ca="1" si="42"/>
        <v/>
      </c>
      <c r="P844" t="str">
        <f t="shared" si="41"/>
        <v/>
      </c>
      <c r="Q844" t="str">
        <f>IFERROR((J844/SUMIFS('Sales Orders'!D:D,'Sales Orders'!A:A,B844))*SUMIFS('Sales Orders'!N:N,'Sales Orders'!A:A,B844),"")</f>
        <v/>
      </c>
      <c r="W844" s="31" t="str">
        <f t="shared" ca="1" si="43"/>
        <v/>
      </c>
      <c r="Z844" s="31"/>
    </row>
    <row r="845" spans="2:26">
      <c r="B845" s="2"/>
      <c r="C845" t="str">
        <f>IF(B845&lt;&gt;"",INDEX('Sales Orders'!C:C,MATCH('Booking Management'!B845,'Sales Orders'!A:A,0)),"")</f>
        <v/>
      </c>
      <c r="K845" s="31" t="str">
        <f t="shared" ca="1" si="42"/>
        <v/>
      </c>
      <c r="P845" t="str">
        <f t="shared" si="41"/>
        <v/>
      </c>
      <c r="Q845" t="str">
        <f>IFERROR((J845/SUMIFS('Sales Orders'!D:D,'Sales Orders'!A:A,B845))*SUMIFS('Sales Orders'!N:N,'Sales Orders'!A:A,B845),"")</f>
        <v/>
      </c>
      <c r="W845" s="31" t="str">
        <f t="shared" ca="1" si="43"/>
        <v/>
      </c>
      <c r="Z845" s="31"/>
    </row>
    <row r="846" spans="2:26">
      <c r="B846" s="2"/>
      <c r="C846" t="str">
        <f>IF(B846&lt;&gt;"",INDEX('Sales Orders'!C:C,MATCH('Booking Management'!B846,'Sales Orders'!A:A,0)),"")</f>
        <v/>
      </c>
      <c r="K846" s="31" t="str">
        <f t="shared" ca="1" si="42"/>
        <v/>
      </c>
      <c r="P846" t="str">
        <f t="shared" si="41"/>
        <v/>
      </c>
      <c r="Q846" t="str">
        <f>IFERROR((J846/SUMIFS('Sales Orders'!D:D,'Sales Orders'!A:A,B846))*SUMIFS('Sales Orders'!N:N,'Sales Orders'!A:A,B846),"")</f>
        <v/>
      </c>
      <c r="W846" s="31" t="str">
        <f t="shared" ca="1" si="43"/>
        <v/>
      </c>
      <c r="Z846" s="31"/>
    </row>
    <row r="847" spans="2:26">
      <c r="B847" s="2"/>
      <c r="C847" t="str">
        <f>IF(B847&lt;&gt;"",INDEX('Sales Orders'!C:C,MATCH('Booking Management'!B847,'Sales Orders'!A:A,0)),"")</f>
        <v/>
      </c>
      <c r="K847" s="31" t="str">
        <f t="shared" ca="1" si="42"/>
        <v/>
      </c>
      <c r="P847" t="str">
        <f t="shared" si="41"/>
        <v/>
      </c>
      <c r="Q847" t="str">
        <f>IFERROR((J847/SUMIFS('Sales Orders'!D:D,'Sales Orders'!A:A,B847))*SUMIFS('Sales Orders'!N:N,'Sales Orders'!A:A,B847),"")</f>
        <v/>
      </c>
      <c r="W847" s="31" t="str">
        <f t="shared" ca="1" si="43"/>
        <v/>
      </c>
      <c r="Z847" s="31"/>
    </row>
    <row r="848" spans="2:26">
      <c r="B848" s="2"/>
      <c r="C848" t="str">
        <f>IF(B848&lt;&gt;"",INDEX('Sales Orders'!C:C,MATCH('Booking Management'!B848,'Sales Orders'!A:A,0)),"")</f>
        <v/>
      </c>
      <c r="K848" s="31" t="str">
        <f t="shared" ca="1" si="42"/>
        <v/>
      </c>
      <c r="P848" t="str">
        <f t="shared" si="41"/>
        <v/>
      </c>
      <c r="Q848" t="str">
        <f>IFERROR((J848/SUMIFS('Sales Orders'!D:D,'Sales Orders'!A:A,B848))*SUMIFS('Sales Orders'!N:N,'Sales Orders'!A:A,B848),"")</f>
        <v/>
      </c>
      <c r="W848" s="31" t="str">
        <f t="shared" ca="1" si="43"/>
        <v/>
      </c>
      <c r="Z848" s="31"/>
    </row>
    <row r="849" spans="2:26">
      <c r="B849" s="2"/>
      <c r="C849" t="str">
        <f>IF(B849&lt;&gt;"",INDEX('Sales Orders'!C:C,MATCH('Booking Management'!B849,'Sales Orders'!A:A,0)),"")</f>
        <v/>
      </c>
      <c r="K849" s="31" t="str">
        <f t="shared" ca="1" si="42"/>
        <v/>
      </c>
      <c r="P849" t="str">
        <f t="shared" si="41"/>
        <v/>
      </c>
      <c r="Q849" t="str">
        <f>IFERROR((J849/SUMIFS('Sales Orders'!D:D,'Sales Orders'!A:A,B849))*SUMIFS('Sales Orders'!N:N,'Sales Orders'!A:A,B849),"")</f>
        <v/>
      </c>
      <c r="W849" s="31" t="str">
        <f t="shared" ca="1" si="43"/>
        <v/>
      </c>
      <c r="Z849" s="31"/>
    </row>
    <row r="850" spans="2:26">
      <c r="B850" s="2"/>
      <c r="C850" t="str">
        <f>IF(B850&lt;&gt;"",INDEX('Sales Orders'!C:C,MATCH('Booking Management'!B850,'Sales Orders'!A:A,0)),"")</f>
        <v/>
      </c>
      <c r="K850" s="31" t="str">
        <f t="shared" ca="1" si="42"/>
        <v/>
      </c>
      <c r="P850" t="str">
        <f t="shared" si="41"/>
        <v/>
      </c>
      <c r="Q850" t="str">
        <f>IFERROR((J850/SUMIFS('Sales Orders'!D:D,'Sales Orders'!A:A,B850))*SUMIFS('Sales Orders'!N:N,'Sales Orders'!A:A,B850),"")</f>
        <v/>
      </c>
      <c r="W850" s="31" t="str">
        <f t="shared" ca="1" si="43"/>
        <v/>
      </c>
      <c r="Z850" s="31"/>
    </row>
    <row r="851" spans="2:26">
      <c r="B851" s="2"/>
      <c r="C851" t="str">
        <f>IF(B851&lt;&gt;"",INDEX('Sales Orders'!C:C,MATCH('Booking Management'!B851,'Sales Orders'!A:A,0)),"")</f>
        <v/>
      </c>
      <c r="K851" s="31" t="str">
        <f t="shared" ca="1" si="42"/>
        <v/>
      </c>
      <c r="P851" t="str">
        <f t="shared" si="41"/>
        <v/>
      </c>
      <c r="Q851" t="str">
        <f>IFERROR((J851/SUMIFS('Sales Orders'!D:D,'Sales Orders'!A:A,B851))*SUMIFS('Sales Orders'!N:N,'Sales Orders'!A:A,B851),"")</f>
        <v/>
      </c>
      <c r="W851" s="31" t="str">
        <f t="shared" ca="1" si="43"/>
        <v/>
      </c>
      <c r="Z851" s="31"/>
    </row>
    <row r="852" spans="2:26">
      <c r="B852" s="2"/>
      <c r="C852" t="str">
        <f>IF(B852&lt;&gt;"",INDEX('Sales Orders'!C:C,MATCH('Booking Management'!B852,'Sales Orders'!A:A,0)),"")</f>
        <v/>
      </c>
      <c r="K852" s="31" t="str">
        <f t="shared" ca="1" si="42"/>
        <v/>
      </c>
      <c r="P852" t="str">
        <f t="shared" si="41"/>
        <v/>
      </c>
      <c r="Q852" t="str">
        <f>IFERROR((J852/SUMIFS('Sales Orders'!D:D,'Sales Orders'!A:A,B852))*SUMIFS('Sales Orders'!N:N,'Sales Orders'!A:A,B852),"")</f>
        <v/>
      </c>
      <c r="W852" s="31" t="str">
        <f t="shared" ca="1" si="43"/>
        <v/>
      </c>
      <c r="Z852" s="31"/>
    </row>
    <row r="853" spans="2:26">
      <c r="B853" s="2"/>
      <c r="C853" t="str">
        <f>IF(B853&lt;&gt;"",INDEX('Sales Orders'!C:C,MATCH('Booking Management'!B853,'Sales Orders'!A:A,0)),"")</f>
        <v/>
      </c>
      <c r="K853" s="31" t="str">
        <f t="shared" ca="1" si="42"/>
        <v/>
      </c>
      <c r="P853" t="str">
        <f t="shared" si="41"/>
        <v/>
      </c>
      <c r="Q853" t="str">
        <f>IFERROR((J853/SUMIFS('Sales Orders'!D:D,'Sales Orders'!A:A,B853))*SUMIFS('Sales Orders'!N:N,'Sales Orders'!A:A,B853),"")</f>
        <v/>
      </c>
      <c r="W853" s="31" t="str">
        <f t="shared" ca="1" si="43"/>
        <v/>
      </c>
      <c r="Z853" s="31"/>
    </row>
    <row r="854" spans="2:26">
      <c r="B854" s="2"/>
      <c r="C854" t="str">
        <f>IF(B854&lt;&gt;"",INDEX('Sales Orders'!C:C,MATCH('Booking Management'!B854,'Sales Orders'!A:A,0)),"")</f>
        <v/>
      </c>
      <c r="K854" s="31" t="str">
        <f t="shared" ca="1" si="42"/>
        <v/>
      </c>
      <c r="P854" t="str">
        <f t="shared" si="41"/>
        <v/>
      </c>
      <c r="Q854" t="str">
        <f>IFERROR((J854/SUMIFS('Sales Orders'!D:D,'Sales Orders'!A:A,B854))*SUMIFS('Sales Orders'!N:N,'Sales Orders'!A:A,B854),"")</f>
        <v/>
      </c>
      <c r="W854" s="31" t="str">
        <f t="shared" ca="1" si="43"/>
        <v/>
      </c>
      <c r="Z854" s="31"/>
    </row>
    <row r="855" spans="2:26">
      <c r="B855" s="2"/>
      <c r="C855" t="str">
        <f>IF(B855&lt;&gt;"",INDEX('Sales Orders'!C:C,MATCH('Booking Management'!B855,'Sales Orders'!A:A,0)),"")</f>
        <v/>
      </c>
      <c r="K855" s="31" t="str">
        <f t="shared" ca="1" si="42"/>
        <v/>
      </c>
      <c r="P855" t="str">
        <f t="shared" si="41"/>
        <v/>
      </c>
      <c r="Q855" t="str">
        <f>IFERROR((J855/SUMIFS('Sales Orders'!D:D,'Sales Orders'!A:A,B855))*SUMIFS('Sales Orders'!N:N,'Sales Orders'!A:A,B855),"")</f>
        <v/>
      </c>
      <c r="W855" s="31" t="str">
        <f t="shared" ca="1" si="43"/>
        <v/>
      </c>
      <c r="Z855" s="31"/>
    </row>
    <row r="856" spans="2:26">
      <c r="B856" s="2"/>
      <c r="C856" t="str">
        <f>IF(B856&lt;&gt;"",INDEX('Sales Orders'!C:C,MATCH('Booking Management'!B856,'Sales Orders'!A:A,0)),"")</f>
        <v/>
      </c>
      <c r="K856" s="31" t="str">
        <f t="shared" ca="1" si="42"/>
        <v/>
      </c>
      <c r="P856" t="str">
        <f t="shared" si="41"/>
        <v/>
      </c>
      <c r="Q856" t="str">
        <f>IFERROR((J856/SUMIFS('Sales Orders'!D:D,'Sales Orders'!A:A,B856))*SUMIFS('Sales Orders'!N:N,'Sales Orders'!A:A,B856),"")</f>
        <v/>
      </c>
      <c r="W856" s="31" t="str">
        <f t="shared" ca="1" si="43"/>
        <v/>
      </c>
      <c r="Z856" s="31"/>
    </row>
    <row r="857" spans="2:26">
      <c r="B857" s="2"/>
      <c r="C857" t="str">
        <f>IF(B857&lt;&gt;"",INDEX('Sales Orders'!C:C,MATCH('Booking Management'!B857,'Sales Orders'!A:A,0)),"")</f>
        <v/>
      </c>
      <c r="K857" s="31" t="str">
        <f t="shared" ca="1" si="42"/>
        <v/>
      </c>
      <c r="P857" t="str">
        <f t="shared" si="41"/>
        <v/>
      </c>
      <c r="Q857" t="str">
        <f>IFERROR((J857/SUMIFS('Sales Orders'!D:D,'Sales Orders'!A:A,B857))*SUMIFS('Sales Orders'!N:N,'Sales Orders'!A:A,B857),"")</f>
        <v/>
      </c>
      <c r="W857" s="31" t="str">
        <f t="shared" ca="1" si="43"/>
        <v/>
      </c>
      <c r="Z857" s="31"/>
    </row>
    <row r="858" spans="2:26">
      <c r="B858" s="2"/>
      <c r="C858" t="str">
        <f>IF(B858&lt;&gt;"",INDEX('Sales Orders'!C:C,MATCH('Booking Management'!B858,'Sales Orders'!A:A,0)),"")</f>
        <v/>
      </c>
      <c r="K858" s="31" t="str">
        <f t="shared" ca="1" si="42"/>
        <v/>
      </c>
      <c r="P858" t="str">
        <f t="shared" si="41"/>
        <v/>
      </c>
      <c r="Q858" t="str">
        <f>IFERROR((J858/SUMIFS('Sales Orders'!D:D,'Sales Orders'!A:A,B858))*SUMIFS('Sales Orders'!N:N,'Sales Orders'!A:A,B858),"")</f>
        <v/>
      </c>
      <c r="W858" s="31" t="str">
        <f t="shared" ca="1" si="43"/>
        <v/>
      </c>
      <c r="Z858" s="31"/>
    </row>
    <row r="859" spans="2:26">
      <c r="B859" s="2"/>
      <c r="C859" t="str">
        <f>IF(B859&lt;&gt;"",INDEX('Sales Orders'!C:C,MATCH('Booking Management'!B859,'Sales Orders'!A:A,0)),"")</f>
        <v/>
      </c>
      <c r="K859" s="31" t="str">
        <f t="shared" ca="1" si="42"/>
        <v/>
      </c>
      <c r="P859" t="str">
        <f t="shared" si="41"/>
        <v/>
      </c>
      <c r="Q859" t="str">
        <f>IFERROR((J859/SUMIFS('Sales Orders'!D:D,'Sales Orders'!A:A,B859))*SUMIFS('Sales Orders'!N:N,'Sales Orders'!A:A,B859),"")</f>
        <v/>
      </c>
      <c r="W859" s="31" t="str">
        <f t="shared" ca="1" si="43"/>
        <v/>
      </c>
      <c r="Z859" s="31"/>
    </row>
    <row r="860" spans="2:26">
      <c r="B860" s="2"/>
      <c r="C860" t="str">
        <f>IF(B860&lt;&gt;"",INDEX('Sales Orders'!C:C,MATCH('Booking Management'!B860,'Sales Orders'!A:A,0)),"")</f>
        <v/>
      </c>
      <c r="K860" s="31" t="str">
        <f t="shared" ca="1" si="42"/>
        <v/>
      </c>
      <c r="P860" t="str">
        <f t="shared" si="41"/>
        <v/>
      </c>
      <c r="Q860" t="str">
        <f>IFERROR((J860/SUMIFS('Sales Orders'!D:D,'Sales Orders'!A:A,B860))*SUMIFS('Sales Orders'!N:N,'Sales Orders'!A:A,B860),"")</f>
        <v/>
      </c>
      <c r="W860" s="31" t="str">
        <f t="shared" ca="1" si="43"/>
        <v/>
      </c>
      <c r="Z860" s="31"/>
    </row>
    <row r="861" spans="2:26">
      <c r="B861" s="2"/>
      <c r="C861" t="str">
        <f>IF(B861&lt;&gt;"",INDEX('Sales Orders'!C:C,MATCH('Booking Management'!B861,'Sales Orders'!A:A,0)),"")</f>
        <v/>
      </c>
      <c r="K861" s="31" t="str">
        <f t="shared" ca="1" si="42"/>
        <v/>
      </c>
      <c r="P861" t="str">
        <f t="shared" si="41"/>
        <v/>
      </c>
      <c r="Q861" t="str">
        <f>IFERROR((J861/SUMIFS('Sales Orders'!D:D,'Sales Orders'!A:A,B861))*SUMIFS('Sales Orders'!N:N,'Sales Orders'!A:A,B861),"")</f>
        <v/>
      </c>
      <c r="W861" s="31" t="str">
        <f t="shared" ca="1" si="43"/>
        <v/>
      </c>
      <c r="Z861" s="31"/>
    </row>
    <row r="862" spans="2:26">
      <c r="B862" s="2"/>
      <c r="C862" t="str">
        <f>IF(B862&lt;&gt;"",INDEX('Sales Orders'!C:C,MATCH('Booking Management'!B862,'Sales Orders'!A:A,0)),"")</f>
        <v/>
      </c>
      <c r="K862" s="31" t="str">
        <f t="shared" ca="1" si="42"/>
        <v/>
      </c>
      <c r="P862" t="str">
        <f t="shared" si="41"/>
        <v/>
      </c>
      <c r="Q862" t="str">
        <f>IFERROR((J862/SUMIFS('Sales Orders'!D:D,'Sales Orders'!A:A,B862))*SUMIFS('Sales Orders'!N:N,'Sales Orders'!A:A,B862),"")</f>
        <v/>
      </c>
      <c r="W862" s="31" t="str">
        <f t="shared" ca="1" si="43"/>
        <v/>
      </c>
      <c r="Z862" s="31"/>
    </row>
    <row r="863" spans="2:26">
      <c r="B863" s="2"/>
      <c r="C863" t="str">
        <f>IF(B863&lt;&gt;"",INDEX('Sales Orders'!C:C,MATCH('Booking Management'!B863,'Sales Orders'!A:A,0)),"")</f>
        <v/>
      </c>
      <c r="K863" s="31" t="str">
        <f t="shared" ca="1" si="42"/>
        <v/>
      </c>
      <c r="P863" t="str">
        <f t="shared" si="41"/>
        <v/>
      </c>
      <c r="Q863" t="str">
        <f>IFERROR((J863/SUMIFS('Sales Orders'!D:D,'Sales Orders'!A:A,B863))*SUMIFS('Sales Orders'!N:N,'Sales Orders'!A:A,B863),"")</f>
        <v/>
      </c>
      <c r="W863" s="31" t="str">
        <f t="shared" ca="1" si="43"/>
        <v/>
      </c>
      <c r="Z863" s="31"/>
    </row>
    <row r="864" spans="2:26">
      <c r="B864" s="2"/>
      <c r="C864" t="str">
        <f>IF(B864&lt;&gt;"",INDEX('Sales Orders'!C:C,MATCH('Booking Management'!B864,'Sales Orders'!A:A,0)),"")</f>
        <v/>
      </c>
      <c r="K864" s="31" t="str">
        <f t="shared" ca="1" si="42"/>
        <v/>
      </c>
      <c r="P864" t="str">
        <f t="shared" si="41"/>
        <v/>
      </c>
      <c r="Q864" t="str">
        <f>IFERROR((J864/SUMIFS('Sales Orders'!D:D,'Sales Orders'!A:A,B864))*SUMIFS('Sales Orders'!N:N,'Sales Orders'!A:A,B864),"")</f>
        <v/>
      </c>
      <c r="W864" s="31" t="str">
        <f t="shared" ca="1" si="43"/>
        <v/>
      </c>
      <c r="Z864" s="31"/>
    </row>
    <row r="865" spans="2:26">
      <c r="B865" s="2"/>
      <c r="C865" t="str">
        <f>IF(B865&lt;&gt;"",INDEX('Sales Orders'!C:C,MATCH('Booking Management'!B865,'Sales Orders'!A:A,0)),"")</f>
        <v/>
      </c>
      <c r="K865" s="31" t="str">
        <f t="shared" ca="1" si="42"/>
        <v/>
      </c>
      <c r="P865" t="str">
        <f t="shared" ref="P865:P928" si="44">IF(B865&lt;&gt;"",T865-L865,"")</f>
        <v/>
      </c>
      <c r="Q865" t="str">
        <f>IFERROR((J865/SUMIFS('Sales Orders'!D:D,'Sales Orders'!A:A,B865))*SUMIFS('Sales Orders'!N:N,'Sales Orders'!A:A,B865),"")</f>
        <v/>
      </c>
      <c r="W865" s="31" t="str">
        <f t="shared" ca="1" si="43"/>
        <v/>
      </c>
      <c r="Z865" s="31"/>
    </row>
    <row r="866" spans="2:26">
      <c r="B866" s="2"/>
      <c r="C866" t="str">
        <f>IF(B866&lt;&gt;"",INDEX('Sales Orders'!C:C,MATCH('Booking Management'!B866,'Sales Orders'!A:A,0)),"")</f>
        <v/>
      </c>
      <c r="K866" s="31" t="str">
        <f t="shared" ca="1" si="42"/>
        <v/>
      </c>
      <c r="P866" t="str">
        <f t="shared" si="44"/>
        <v/>
      </c>
      <c r="Q866" t="str">
        <f>IFERROR((J866/SUMIFS('Sales Orders'!D:D,'Sales Orders'!A:A,B866))*SUMIFS('Sales Orders'!N:N,'Sales Orders'!A:A,B866),"")</f>
        <v/>
      </c>
      <c r="W866" s="31" t="str">
        <f t="shared" ca="1" si="43"/>
        <v/>
      </c>
      <c r="Z866" s="31"/>
    </row>
    <row r="867" spans="2:26">
      <c r="B867" s="2"/>
      <c r="C867" t="str">
        <f>IF(B867&lt;&gt;"",INDEX('Sales Orders'!C:C,MATCH('Booking Management'!B867,'Sales Orders'!A:A,0)),"")</f>
        <v/>
      </c>
      <c r="K867" s="31" t="str">
        <f t="shared" ca="1" si="42"/>
        <v/>
      </c>
      <c r="P867" t="str">
        <f t="shared" si="44"/>
        <v/>
      </c>
      <c r="Q867" t="str">
        <f>IFERROR((J867/SUMIFS('Sales Orders'!D:D,'Sales Orders'!A:A,B867))*SUMIFS('Sales Orders'!N:N,'Sales Orders'!A:A,B867),"")</f>
        <v/>
      </c>
      <c r="W867" s="31" t="str">
        <f t="shared" ca="1" si="43"/>
        <v/>
      </c>
      <c r="Z867" s="31"/>
    </row>
    <row r="868" spans="2:26">
      <c r="B868" s="2"/>
      <c r="C868" t="str">
        <f>IF(B868&lt;&gt;"",INDEX('Sales Orders'!C:C,MATCH('Booking Management'!B868,'Sales Orders'!A:A,0)),"")</f>
        <v/>
      </c>
      <c r="K868" s="31" t="str">
        <f t="shared" ca="1" si="42"/>
        <v/>
      </c>
      <c r="P868" t="str">
        <f t="shared" si="44"/>
        <v/>
      </c>
      <c r="Q868" t="str">
        <f>IFERROR((J868/SUMIFS('Sales Orders'!D:D,'Sales Orders'!A:A,B868))*SUMIFS('Sales Orders'!N:N,'Sales Orders'!A:A,B868),"")</f>
        <v/>
      </c>
      <c r="W868" s="31" t="str">
        <f t="shared" ca="1" si="43"/>
        <v/>
      </c>
      <c r="Z868" s="31"/>
    </row>
    <row r="869" spans="2:26">
      <c r="B869" s="2"/>
      <c r="C869" t="str">
        <f>IF(B869&lt;&gt;"",INDEX('Sales Orders'!C:C,MATCH('Booking Management'!B869,'Sales Orders'!A:A,0)),"")</f>
        <v/>
      </c>
      <c r="K869" s="31" t="str">
        <f t="shared" ca="1" si="42"/>
        <v/>
      </c>
      <c r="P869" t="str">
        <f t="shared" si="44"/>
        <v/>
      </c>
      <c r="Q869" t="str">
        <f>IFERROR((J869/SUMIFS('Sales Orders'!D:D,'Sales Orders'!A:A,B869))*SUMIFS('Sales Orders'!N:N,'Sales Orders'!A:A,B869),"")</f>
        <v/>
      </c>
      <c r="W869" s="31" t="str">
        <f t="shared" ca="1" si="43"/>
        <v/>
      </c>
      <c r="Z869" s="31"/>
    </row>
    <row r="870" spans="2:26">
      <c r="B870" s="2"/>
      <c r="C870" t="str">
        <f>IF(B870&lt;&gt;"",INDEX('Sales Orders'!C:C,MATCH('Booking Management'!B870,'Sales Orders'!A:A,0)),"")</f>
        <v/>
      </c>
      <c r="K870" s="31" t="str">
        <f t="shared" ca="1" si="42"/>
        <v/>
      </c>
      <c r="P870" t="str">
        <f t="shared" si="44"/>
        <v/>
      </c>
      <c r="Q870" t="str">
        <f>IFERROR((J870/SUMIFS('Sales Orders'!D:D,'Sales Orders'!A:A,B870))*SUMIFS('Sales Orders'!N:N,'Sales Orders'!A:A,B870),"")</f>
        <v/>
      </c>
      <c r="W870" s="31" t="str">
        <f t="shared" ca="1" si="43"/>
        <v/>
      </c>
      <c r="Z870" s="31"/>
    </row>
    <row r="871" spans="2:26">
      <c r="B871" s="2"/>
      <c r="C871" t="str">
        <f>IF(B871&lt;&gt;"",INDEX('Sales Orders'!C:C,MATCH('Booking Management'!B871,'Sales Orders'!A:A,0)),"")</f>
        <v/>
      </c>
      <c r="K871" s="31" t="str">
        <f t="shared" ca="1" si="42"/>
        <v/>
      </c>
      <c r="P871" t="str">
        <f t="shared" si="44"/>
        <v/>
      </c>
      <c r="Q871" t="str">
        <f>IFERROR((J871/SUMIFS('Sales Orders'!D:D,'Sales Orders'!A:A,B871))*SUMIFS('Sales Orders'!N:N,'Sales Orders'!A:A,B871),"")</f>
        <v/>
      </c>
      <c r="W871" s="31" t="str">
        <f t="shared" ca="1" si="43"/>
        <v/>
      </c>
      <c r="Z871" s="31"/>
    </row>
    <row r="872" spans="2:26">
      <c r="B872" s="2"/>
      <c r="C872" t="str">
        <f>IF(B872&lt;&gt;"",INDEX('Sales Orders'!C:C,MATCH('Booking Management'!B872,'Sales Orders'!A:A,0)),"")</f>
        <v/>
      </c>
      <c r="K872" s="31" t="str">
        <f t="shared" ca="1" si="42"/>
        <v/>
      </c>
      <c r="P872" t="str">
        <f t="shared" si="44"/>
        <v/>
      </c>
      <c r="Q872" t="str">
        <f>IFERROR((J872/SUMIFS('Sales Orders'!D:D,'Sales Orders'!A:A,B872))*SUMIFS('Sales Orders'!N:N,'Sales Orders'!A:A,B872),"")</f>
        <v/>
      </c>
      <c r="W872" s="31" t="str">
        <f t="shared" ca="1" si="43"/>
        <v/>
      </c>
      <c r="Z872" s="31"/>
    </row>
    <row r="873" spans="2:26">
      <c r="B873" s="2"/>
      <c r="C873" t="str">
        <f>IF(B873&lt;&gt;"",INDEX('Sales Orders'!C:C,MATCH('Booking Management'!B873,'Sales Orders'!A:A,0)),"")</f>
        <v/>
      </c>
      <c r="K873" s="31" t="str">
        <f t="shared" ca="1" si="42"/>
        <v/>
      </c>
      <c r="P873" t="str">
        <f t="shared" si="44"/>
        <v/>
      </c>
      <c r="Q873" t="str">
        <f>IFERROR((J873/SUMIFS('Sales Orders'!D:D,'Sales Orders'!A:A,B873))*SUMIFS('Sales Orders'!N:N,'Sales Orders'!A:A,B873),"")</f>
        <v/>
      </c>
      <c r="W873" s="31" t="str">
        <f t="shared" ca="1" si="43"/>
        <v/>
      </c>
      <c r="Z873" s="31"/>
    </row>
    <row r="874" spans="2:26">
      <c r="B874" s="2"/>
      <c r="C874" t="str">
        <f>IF(B874&lt;&gt;"",INDEX('Sales Orders'!C:C,MATCH('Booking Management'!B874,'Sales Orders'!A:A,0)),"")</f>
        <v/>
      </c>
      <c r="K874" s="31" t="str">
        <f t="shared" ca="1" si="42"/>
        <v/>
      </c>
      <c r="P874" t="str">
        <f t="shared" si="44"/>
        <v/>
      </c>
      <c r="Q874" t="str">
        <f>IFERROR((J874/SUMIFS('Sales Orders'!D:D,'Sales Orders'!A:A,B874))*SUMIFS('Sales Orders'!N:N,'Sales Orders'!A:A,B874),"")</f>
        <v/>
      </c>
      <c r="W874" s="31" t="str">
        <f t="shared" ca="1" si="43"/>
        <v/>
      </c>
      <c r="Z874" s="31"/>
    </row>
    <row r="875" spans="2:26">
      <c r="B875" s="2"/>
      <c r="C875" t="str">
        <f>IF(B875&lt;&gt;"",INDEX('Sales Orders'!C:C,MATCH('Booking Management'!B875,'Sales Orders'!A:A,0)),"")</f>
        <v/>
      </c>
      <c r="K875" s="31" t="str">
        <f t="shared" ca="1" si="42"/>
        <v/>
      </c>
      <c r="P875" t="str">
        <f t="shared" si="44"/>
        <v/>
      </c>
      <c r="Q875" t="str">
        <f>IFERROR((J875/SUMIFS('Sales Orders'!D:D,'Sales Orders'!A:A,B875))*SUMIFS('Sales Orders'!N:N,'Sales Orders'!A:A,B875),"")</f>
        <v/>
      </c>
      <c r="W875" s="31" t="str">
        <f t="shared" ca="1" si="43"/>
        <v/>
      </c>
      <c r="Z875" s="31"/>
    </row>
    <row r="876" spans="2:26">
      <c r="B876" s="2"/>
      <c r="C876" t="str">
        <f>IF(B876&lt;&gt;"",INDEX('Sales Orders'!C:C,MATCH('Booking Management'!B876,'Sales Orders'!A:A,0)),"")</f>
        <v/>
      </c>
      <c r="K876" s="31" t="str">
        <f t="shared" ca="1" si="42"/>
        <v/>
      </c>
      <c r="P876" t="str">
        <f t="shared" si="44"/>
        <v/>
      </c>
      <c r="Q876" t="str">
        <f>IFERROR((J876/SUMIFS('Sales Orders'!D:D,'Sales Orders'!A:A,B876))*SUMIFS('Sales Orders'!N:N,'Sales Orders'!A:A,B876),"")</f>
        <v/>
      </c>
      <c r="W876" s="31" t="str">
        <f t="shared" ca="1" si="43"/>
        <v/>
      </c>
      <c r="Z876" s="31"/>
    </row>
    <row r="877" spans="2:26">
      <c r="B877" s="2"/>
      <c r="C877" t="str">
        <f>IF(B877&lt;&gt;"",INDEX('Sales Orders'!C:C,MATCH('Booking Management'!B877,'Sales Orders'!A:A,0)),"")</f>
        <v/>
      </c>
      <c r="K877" s="31" t="str">
        <f t="shared" ca="1" si="42"/>
        <v/>
      </c>
      <c r="P877" t="str">
        <f t="shared" si="44"/>
        <v/>
      </c>
      <c r="Q877" t="str">
        <f>IFERROR((J877/SUMIFS('Sales Orders'!D:D,'Sales Orders'!A:A,B877))*SUMIFS('Sales Orders'!N:N,'Sales Orders'!A:A,B877),"")</f>
        <v/>
      </c>
      <c r="W877" s="31" t="str">
        <f t="shared" ca="1" si="43"/>
        <v/>
      </c>
      <c r="Z877" s="31"/>
    </row>
    <row r="878" spans="2:26">
      <c r="B878" s="2"/>
      <c r="C878" t="str">
        <f>IF(B878&lt;&gt;"",INDEX('Sales Orders'!C:C,MATCH('Booking Management'!B878,'Sales Orders'!A:A,0)),"")</f>
        <v/>
      </c>
      <c r="K878" s="31" t="str">
        <f t="shared" ca="1" si="42"/>
        <v/>
      </c>
      <c r="P878" t="str">
        <f t="shared" si="44"/>
        <v/>
      </c>
      <c r="Q878" t="str">
        <f>IFERROR((J878/SUMIFS('Sales Orders'!D:D,'Sales Orders'!A:A,B878))*SUMIFS('Sales Orders'!N:N,'Sales Orders'!A:A,B878),"")</f>
        <v/>
      </c>
      <c r="W878" s="31" t="str">
        <f t="shared" ca="1" si="43"/>
        <v/>
      </c>
      <c r="Z878" s="31"/>
    </row>
    <row r="879" spans="2:26">
      <c r="B879" s="2"/>
      <c r="C879" t="str">
        <f>IF(B879&lt;&gt;"",INDEX('Sales Orders'!C:C,MATCH('Booking Management'!B879,'Sales Orders'!A:A,0)),"")</f>
        <v/>
      </c>
      <c r="K879" s="31" t="str">
        <f t="shared" ca="1" si="42"/>
        <v/>
      </c>
      <c r="P879" t="str">
        <f t="shared" si="44"/>
        <v/>
      </c>
      <c r="Q879" t="str">
        <f>IFERROR((J879/SUMIFS('Sales Orders'!D:D,'Sales Orders'!A:A,B879))*SUMIFS('Sales Orders'!N:N,'Sales Orders'!A:A,B879),"")</f>
        <v/>
      </c>
      <c r="W879" s="31" t="str">
        <f t="shared" ca="1" si="43"/>
        <v/>
      </c>
      <c r="Z879" s="31"/>
    </row>
    <row r="880" spans="2:26">
      <c r="B880" s="2"/>
      <c r="C880" t="str">
        <f>IF(B880&lt;&gt;"",INDEX('Sales Orders'!C:C,MATCH('Booking Management'!B880,'Sales Orders'!A:A,0)),"")</f>
        <v/>
      </c>
      <c r="K880" s="31" t="str">
        <f t="shared" ca="1" si="42"/>
        <v/>
      </c>
      <c r="P880" t="str">
        <f t="shared" si="44"/>
        <v/>
      </c>
      <c r="Q880" t="str">
        <f>IFERROR((J880/SUMIFS('Sales Orders'!D:D,'Sales Orders'!A:A,B880))*SUMIFS('Sales Orders'!N:N,'Sales Orders'!A:A,B880),"")</f>
        <v/>
      </c>
      <c r="W880" s="31" t="str">
        <f t="shared" ca="1" si="43"/>
        <v/>
      </c>
      <c r="Z880" s="31"/>
    </row>
    <row r="881" spans="2:26">
      <c r="B881" s="2"/>
      <c r="C881" t="str">
        <f>IF(B881&lt;&gt;"",INDEX('Sales Orders'!C:C,MATCH('Booking Management'!B881,'Sales Orders'!A:A,0)),"")</f>
        <v/>
      </c>
      <c r="K881" s="31" t="str">
        <f t="shared" ca="1" si="42"/>
        <v/>
      </c>
      <c r="P881" t="str">
        <f t="shared" si="44"/>
        <v/>
      </c>
      <c r="Q881" t="str">
        <f>IFERROR((J881/SUMIFS('Sales Orders'!D:D,'Sales Orders'!A:A,B881))*SUMIFS('Sales Orders'!N:N,'Sales Orders'!A:A,B881),"")</f>
        <v/>
      </c>
      <c r="W881" s="31" t="str">
        <f t="shared" ca="1" si="43"/>
        <v/>
      </c>
      <c r="Z881" s="31"/>
    </row>
    <row r="882" spans="2:26">
      <c r="B882" s="2"/>
      <c r="C882" t="str">
        <f>IF(B882&lt;&gt;"",INDEX('Sales Orders'!C:C,MATCH('Booking Management'!B882,'Sales Orders'!A:A,0)),"")</f>
        <v/>
      </c>
      <c r="K882" s="31" t="str">
        <f t="shared" ca="1" si="42"/>
        <v/>
      </c>
      <c r="P882" t="str">
        <f t="shared" si="44"/>
        <v/>
      </c>
      <c r="Q882" t="str">
        <f>IFERROR((J882/SUMIFS('Sales Orders'!D:D,'Sales Orders'!A:A,B882))*SUMIFS('Sales Orders'!N:N,'Sales Orders'!A:A,B882),"")</f>
        <v/>
      </c>
      <c r="W882" s="31" t="str">
        <f t="shared" ca="1" si="43"/>
        <v/>
      </c>
      <c r="Z882" s="31"/>
    </row>
    <row r="883" spans="2:26">
      <c r="B883" s="2"/>
      <c r="C883" t="str">
        <f>IF(B883&lt;&gt;"",INDEX('Sales Orders'!C:C,MATCH('Booking Management'!B883,'Sales Orders'!A:A,0)),"")</f>
        <v/>
      </c>
      <c r="K883" s="31" t="str">
        <f t="shared" ca="1" si="42"/>
        <v/>
      </c>
      <c r="P883" t="str">
        <f t="shared" si="44"/>
        <v/>
      </c>
      <c r="Q883" t="str">
        <f>IFERROR((J883/SUMIFS('Sales Orders'!D:D,'Sales Orders'!A:A,B883))*SUMIFS('Sales Orders'!N:N,'Sales Orders'!A:A,B883),"")</f>
        <v/>
      </c>
      <c r="W883" s="31" t="str">
        <f t="shared" ca="1" si="43"/>
        <v/>
      </c>
      <c r="Z883" s="31"/>
    </row>
    <row r="884" spans="2:26">
      <c r="B884" s="2"/>
      <c r="C884" t="str">
        <f>IF(B884&lt;&gt;"",INDEX('Sales Orders'!C:C,MATCH('Booking Management'!B884,'Sales Orders'!A:A,0)),"")</f>
        <v/>
      </c>
      <c r="K884" s="31" t="str">
        <f t="shared" ca="1" si="42"/>
        <v/>
      </c>
      <c r="P884" t="str">
        <f t="shared" si="44"/>
        <v/>
      </c>
      <c r="Q884" t="str">
        <f>IFERROR((J884/SUMIFS('Sales Orders'!D:D,'Sales Orders'!A:A,B884))*SUMIFS('Sales Orders'!N:N,'Sales Orders'!A:A,B884),"")</f>
        <v/>
      </c>
      <c r="W884" s="31" t="str">
        <f t="shared" ca="1" si="43"/>
        <v/>
      </c>
      <c r="Z884" s="31"/>
    </row>
    <row r="885" spans="2:26">
      <c r="B885" s="2"/>
      <c r="C885" t="str">
        <f>IF(B885&lt;&gt;"",INDEX('Sales Orders'!C:C,MATCH('Booking Management'!B885,'Sales Orders'!A:A,0)),"")</f>
        <v/>
      </c>
      <c r="K885" s="31" t="str">
        <f t="shared" ca="1" si="42"/>
        <v/>
      </c>
      <c r="P885" t="str">
        <f t="shared" si="44"/>
        <v/>
      </c>
      <c r="Q885" t="str">
        <f>IFERROR((J885/SUMIFS('Sales Orders'!D:D,'Sales Orders'!A:A,B885))*SUMIFS('Sales Orders'!N:N,'Sales Orders'!A:A,B885),"")</f>
        <v/>
      </c>
      <c r="W885" s="31" t="str">
        <f t="shared" ca="1" si="43"/>
        <v/>
      </c>
      <c r="Z885" s="31"/>
    </row>
    <row r="886" spans="2:26">
      <c r="B886" s="2"/>
      <c r="C886" t="str">
        <f>IF(B886&lt;&gt;"",INDEX('Sales Orders'!C:C,MATCH('Booking Management'!B886,'Sales Orders'!A:A,0)),"")</f>
        <v/>
      </c>
      <c r="K886" s="31" t="str">
        <f t="shared" ca="1" si="42"/>
        <v/>
      </c>
      <c r="P886" t="str">
        <f t="shared" si="44"/>
        <v/>
      </c>
      <c r="Q886" t="str">
        <f>IFERROR((J886/SUMIFS('Sales Orders'!D:D,'Sales Orders'!A:A,B886))*SUMIFS('Sales Orders'!N:N,'Sales Orders'!A:A,B886),"")</f>
        <v/>
      </c>
      <c r="W886" s="31" t="str">
        <f t="shared" ca="1" si="43"/>
        <v/>
      </c>
      <c r="Z886" s="31"/>
    </row>
    <row r="887" spans="2:26">
      <c r="B887" s="2"/>
      <c r="C887" t="str">
        <f>IF(B887&lt;&gt;"",INDEX('Sales Orders'!C:C,MATCH('Booking Management'!B887,'Sales Orders'!A:A,0)),"")</f>
        <v/>
      </c>
      <c r="K887" s="31" t="str">
        <f t="shared" ca="1" si="42"/>
        <v/>
      </c>
      <c r="P887" t="str">
        <f t="shared" si="44"/>
        <v/>
      </c>
      <c r="Q887" t="str">
        <f>IFERROR((J887/SUMIFS('Sales Orders'!D:D,'Sales Orders'!A:A,B887))*SUMIFS('Sales Orders'!N:N,'Sales Orders'!A:A,B887),"")</f>
        <v/>
      </c>
      <c r="W887" s="31" t="str">
        <f t="shared" ca="1" si="43"/>
        <v/>
      </c>
      <c r="Z887" s="31"/>
    </row>
    <row r="888" spans="2:26">
      <c r="B888" s="2"/>
      <c r="C888" t="str">
        <f>IF(B888&lt;&gt;"",INDEX('Sales Orders'!C:C,MATCH('Booking Management'!B888,'Sales Orders'!A:A,0)),"")</f>
        <v/>
      </c>
      <c r="K888" s="31" t="str">
        <f t="shared" ca="1" si="42"/>
        <v/>
      </c>
      <c r="P888" t="str">
        <f t="shared" si="44"/>
        <v/>
      </c>
      <c r="Q888" t="str">
        <f>IFERROR((J888/SUMIFS('Sales Orders'!D:D,'Sales Orders'!A:A,B888))*SUMIFS('Sales Orders'!N:N,'Sales Orders'!A:A,B888),"")</f>
        <v/>
      </c>
      <c r="W888" s="31" t="str">
        <f t="shared" ca="1" si="43"/>
        <v/>
      </c>
      <c r="Z888" s="31"/>
    </row>
    <row r="889" spans="2:26">
      <c r="B889" s="2"/>
      <c r="C889" t="str">
        <f>IF(B889&lt;&gt;"",INDEX('Sales Orders'!C:C,MATCH('Booking Management'!B889,'Sales Orders'!A:A,0)),"")</f>
        <v/>
      </c>
      <c r="K889" s="31" t="str">
        <f t="shared" ca="1" si="42"/>
        <v/>
      </c>
      <c r="P889" t="str">
        <f t="shared" si="44"/>
        <v/>
      </c>
      <c r="Q889" t="str">
        <f>IFERROR((J889/SUMIFS('Sales Orders'!D:D,'Sales Orders'!A:A,B889))*SUMIFS('Sales Orders'!N:N,'Sales Orders'!A:A,B889),"")</f>
        <v/>
      </c>
      <c r="W889" s="31" t="str">
        <f t="shared" ca="1" si="43"/>
        <v/>
      </c>
      <c r="Z889" s="31"/>
    </row>
    <row r="890" spans="2:26">
      <c r="B890" s="2"/>
      <c r="C890" t="str">
        <f>IF(B890&lt;&gt;"",INDEX('Sales Orders'!C:C,MATCH('Booking Management'!B890,'Sales Orders'!A:A,0)),"")</f>
        <v/>
      </c>
      <c r="K890" s="31" t="str">
        <f t="shared" ca="1" si="42"/>
        <v/>
      </c>
      <c r="P890" t="str">
        <f t="shared" si="44"/>
        <v/>
      </c>
      <c r="Q890" t="str">
        <f>IFERROR((J890/SUMIFS('Sales Orders'!D:D,'Sales Orders'!A:A,B890))*SUMIFS('Sales Orders'!N:N,'Sales Orders'!A:A,B890),"")</f>
        <v/>
      </c>
      <c r="W890" s="31" t="str">
        <f t="shared" ca="1" si="43"/>
        <v/>
      </c>
      <c r="Z890" s="31"/>
    </row>
    <row r="891" spans="2:26">
      <c r="B891" s="2"/>
      <c r="C891" t="str">
        <f>IF(B891&lt;&gt;"",INDEX('Sales Orders'!C:C,MATCH('Booking Management'!B891,'Sales Orders'!A:A,0)),"")</f>
        <v/>
      </c>
      <c r="K891" s="31" t="str">
        <f t="shared" ca="1" si="42"/>
        <v/>
      </c>
      <c r="P891" t="str">
        <f t="shared" si="44"/>
        <v/>
      </c>
      <c r="Q891" t="str">
        <f>IFERROR((J891/SUMIFS('Sales Orders'!D:D,'Sales Orders'!A:A,B891))*SUMIFS('Sales Orders'!N:N,'Sales Orders'!A:A,B891),"")</f>
        <v/>
      </c>
      <c r="W891" s="31" t="str">
        <f t="shared" ca="1" si="43"/>
        <v/>
      </c>
      <c r="Z891" s="31"/>
    </row>
    <row r="892" spans="2:26">
      <c r="B892" s="2"/>
      <c r="C892" t="str">
        <f>IF(B892&lt;&gt;"",INDEX('Sales Orders'!C:C,MATCH('Booking Management'!B892,'Sales Orders'!A:A,0)),"")</f>
        <v/>
      </c>
      <c r="K892" s="31" t="str">
        <f t="shared" ca="1" si="42"/>
        <v/>
      </c>
      <c r="P892" t="str">
        <f t="shared" si="44"/>
        <v/>
      </c>
      <c r="Q892" t="str">
        <f>IFERROR((J892/SUMIFS('Sales Orders'!D:D,'Sales Orders'!A:A,B892))*SUMIFS('Sales Orders'!N:N,'Sales Orders'!A:A,B892),"")</f>
        <v/>
      </c>
      <c r="W892" s="31" t="str">
        <f t="shared" ca="1" si="43"/>
        <v/>
      </c>
      <c r="Z892" s="31"/>
    </row>
    <row r="893" spans="2:26">
      <c r="B893" s="2"/>
      <c r="C893" t="str">
        <f>IF(B893&lt;&gt;"",INDEX('Sales Orders'!C:C,MATCH('Booking Management'!B893,'Sales Orders'!A:A,0)),"")</f>
        <v/>
      </c>
      <c r="K893" s="31" t="str">
        <f t="shared" ca="1" si="42"/>
        <v/>
      </c>
      <c r="P893" t="str">
        <f t="shared" si="44"/>
        <v/>
      </c>
      <c r="Q893" t="str">
        <f>IFERROR((J893/SUMIFS('Sales Orders'!D:D,'Sales Orders'!A:A,B893))*SUMIFS('Sales Orders'!N:N,'Sales Orders'!A:A,B893),"")</f>
        <v/>
      </c>
      <c r="W893" s="31" t="str">
        <f t="shared" ca="1" si="43"/>
        <v/>
      </c>
      <c r="Z893" s="31"/>
    </row>
    <row r="894" spans="2:26">
      <c r="B894" s="2"/>
      <c r="C894" t="str">
        <f>IF(B894&lt;&gt;"",INDEX('Sales Orders'!C:C,MATCH('Booking Management'!B894,'Sales Orders'!A:A,0)),"")</f>
        <v/>
      </c>
      <c r="K894" s="31" t="str">
        <f t="shared" ca="1" si="42"/>
        <v/>
      </c>
      <c r="P894" t="str">
        <f t="shared" si="44"/>
        <v/>
      </c>
      <c r="Q894" t="str">
        <f>IFERROR((J894/SUMIFS('Sales Orders'!D:D,'Sales Orders'!A:A,B894))*SUMIFS('Sales Orders'!N:N,'Sales Orders'!A:A,B894),"")</f>
        <v/>
      </c>
      <c r="W894" s="31" t="str">
        <f t="shared" ca="1" si="43"/>
        <v/>
      </c>
      <c r="Z894" s="31"/>
    </row>
    <row r="895" spans="2:26">
      <c r="B895" s="2"/>
      <c r="C895" t="str">
        <f>IF(B895&lt;&gt;"",INDEX('Sales Orders'!C:C,MATCH('Booking Management'!B895,'Sales Orders'!A:A,0)),"")</f>
        <v/>
      </c>
      <c r="K895" s="31" t="str">
        <f t="shared" ca="1" si="42"/>
        <v/>
      </c>
      <c r="P895" t="str">
        <f t="shared" si="44"/>
        <v/>
      </c>
      <c r="Q895" t="str">
        <f>IFERROR((J895/SUMIFS('Sales Orders'!D:D,'Sales Orders'!A:A,B895))*SUMIFS('Sales Orders'!N:N,'Sales Orders'!A:A,B895),"")</f>
        <v/>
      </c>
      <c r="W895" s="31" t="str">
        <f t="shared" ca="1" si="43"/>
        <v/>
      </c>
      <c r="Z895" s="31"/>
    </row>
    <row r="896" spans="2:26">
      <c r="B896" s="2"/>
      <c r="C896" t="str">
        <f>IF(B896&lt;&gt;"",INDEX('Sales Orders'!C:C,MATCH('Booking Management'!B896,'Sales Orders'!A:A,0)),"")</f>
        <v/>
      </c>
      <c r="K896" s="31" t="str">
        <f t="shared" ca="1" si="42"/>
        <v/>
      </c>
      <c r="P896" t="str">
        <f t="shared" si="44"/>
        <v/>
      </c>
      <c r="Q896" t="str">
        <f>IFERROR((J896/SUMIFS('Sales Orders'!D:D,'Sales Orders'!A:A,B896))*SUMIFS('Sales Orders'!N:N,'Sales Orders'!A:A,B896),"")</f>
        <v/>
      </c>
      <c r="W896" s="31" t="str">
        <f t="shared" ca="1" si="43"/>
        <v/>
      </c>
      <c r="Z896" s="31"/>
    </row>
    <row r="897" spans="2:26">
      <c r="B897" s="2"/>
      <c r="C897" t="str">
        <f>IF(B897&lt;&gt;"",INDEX('Sales Orders'!C:C,MATCH('Booking Management'!B897,'Sales Orders'!A:A,0)),"")</f>
        <v/>
      </c>
      <c r="K897" s="31" t="str">
        <f t="shared" ca="1" si="42"/>
        <v/>
      </c>
      <c r="P897" t="str">
        <f t="shared" si="44"/>
        <v/>
      </c>
      <c r="Q897" t="str">
        <f>IFERROR((J897/SUMIFS('Sales Orders'!D:D,'Sales Orders'!A:A,B897))*SUMIFS('Sales Orders'!N:N,'Sales Orders'!A:A,B897),"")</f>
        <v/>
      </c>
      <c r="W897" s="31" t="str">
        <f t="shared" ca="1" si="43"/>
        <v/>
      </c>
      <c r="Z897" s="31"/>
    </row>
    <row r="898" spans="2:26">
      <c r="B898" s="2"/>
      <c r="C898" t="str">
        <f>IF(B898&lt;&gt;"",INDEX('Sales Orders'!C:C,MATCH('Booking Management'!B898,'Sales Orders'!A:A,0)),"")</f>
        <v/>
      </c>
      <c r="K898" s="31" t="str">
        <f t="shared" ca="1" si="42"/>
        <v/>
      </c>
      <c r="P898" t="str">
        <f t="shared" si="44"/>
        <v/>
      </c>
      <c r="Q898" t="str">
        <f>IFERROR((J898/SUMIFS('Sales Orders'!D:D,'Sales Orders'!A:A,B898))*SUMIFS('Sales Orders'!N:N,'Sales Orders'!A:A,B898),"")</f>
        <v/>
      </c>
      <c r="W898" s="31" t="str">
        <f t="shared" ca="1" si="43"/>
        <v/>
      </c>
      <c r="Z898" s="31"/>
    </row>
    <row r="899" spans="2:26">
      <c r="B899" s="2"/>
      <c r="C899" t="str">
        <f>IF(B899&lt;&gt;"",INDEX('Sales Orders'!C:C,MATCH('Booking Management'!B899,'Sales Orders'!A:A,0)),"")</f>
        <v/>
      </c>
      <c r="K899" s="31" t="str">
        <f t="shared" ref="K899:K962" ca="1" si="45">IF(B899&lt;&gt;"",IF(AND(OR(L899-TODAY()&lt;2,M899&lt;&gt;"yes",N899&lt;&gt;"yes",O899&lt;&gt;"yes"),S899&lt;&gt;"Used"),"Alert",""),"")</f>
        <v/>
      </c>
      <c r="P899" t="str">
        <f t="shared" si="44"/>
        <v/>
      </c>
      <c r="Q899" t="str">
        <f>IFERROR((J899/SUMIFS('Sales Orders'!D:D,'Sales Orders'!A:A,B899))*SUMIFS('Sales Orders'!N:N,'Sales Orders'!A:A,B899),"")</f>
        <v/>
      </c>
      <c r="W899" s="31" t="str">
        <f t="shared" ca="1" si="43"/>
        <v/>
      </c>
      <c r="Z899" s="31"/>
    </row>
    <row r="900" spans="2:26">
      <c r="B900" s="2"/>
      <c r="C900" t="str">
        <f>IF(B900&lt;&gt;"",INDEX('Sales Orders'!C:C,MATCH('Booking Management'!B900,'Sales Orders'!A:A,0)),"")</f>
        <v/>
      </c>
      <c r="K900" s="31" t="str">
        <f t="shared" ca="1" si="45"/>
        <v/>
      </c>
      <c r="P900" t="str">
        <f t="shared" si="44"/>
        <v/>
      </c>
      <c r="Q900" t="str">
        <f>IFERROR((J900/SUMIFS('Sales Orders'!D:D,'Sales Orders'!A:A,B900))*SUMIFS('Sales Orders'!N:N,'Sales Orders'!A:A,B900),"")</f>
        <v/>
      </c>
      <c r="W900" s="31" t="str">
        <f t="shared" ca="1" si="43"/>
        <v/>
      </c>
      <c r="Z900" s="31"/>
    </row>
    <row r="901" spans="2:26">
      <c r="B901" s="2"/>
      <c r="C901" t="str">
        <f>IF(B901&lt;&gt;"",INDEX('Sales Orders'!C:C,MATCH('Booking Management'!B901,'Sales Orders'!A:A,0)),"")</f>
        <v/>
      </c>
      <c r="K901" s="31" t="str">
        <f t="shared" ca="1" si="45"/>
        <v/>
      </c>
      <c r="P901" t="str">
        <f t="shared" si="44"/>
        <v/>
      </c>
      <c r="Q901" t="str">
        <f>IFERROR((J901/SUMIFS('Sales Orders'!D:D,'Sales Orders'!A:A,B901))*SUMIFS('Sales Orders'!N:N,'Sales Orders'!A:A,B901),"")</f>
        <v/>
      </c>
      <c r="W901" s="31" t="str">
        <f t="shared" ca="1" si="43"/>
        <v/>
      </c>
      <c r="Z901" s="31"/>
    </row>
    <row r="902" spans="2:26">
      <c r="B902" s="2"/>
      <c r="C902" t="str">
        <f>IF(B902&lt;&gt;"",INDEX('Sales Orders'!C:C,MATCH('Booking Management'!B902,'Sales Orders'!A:A,0)),"")</f>
        <v/>
      </c>
      <c r="K902" s="31" t="str">
        <f t="shared" ca="1" si="45"/>
        <v/>
      </c>
      <c r="P902" t="str">
        <f t="shared" si="44"/>
        <v/>
      </c>
      <c r="Q902" t="str">
        <f>IFERROR((J902/SUMIFS('Sales Orders'!D:D,'Sales Orders'!A:A,B902))*SUMIFS('Sales Orders'!N:N,'Sales Orders'!A:A,B902),"")</f>
        <v/>
      </c>
      <c r="W902" s="31" t="str">
        <f t="shared" ca="1" si="43"/>
        <v/>
      </c>
      <c r="Z902" s="31"/>
    </row>
    <row r="903" spans="2:26">
      <c r="B903" s="2"/>
      <c r="C903" t="str">
        <f>IF(B903&lt;&gt;"",INDEX('Sales Orders'!C:C,MATCH('Booking Management'!B903,'Sales Orders'!A:A,0)),"")</f>
        <v/>
      </c>
      <c r="K903" s="31" t="str">
        <f t="shared" ca="1" si="45"/>
        <v/>
      </c>
      <c r="P903" t="str">
        <f t="shared" si="44"/>
        <v/>
      </c>
      <c r="Q903" t="str">
        <f>IFERROR((J903/SUMIFS('Sales Orders'!D:D,'Sales Orders'!A:A,B903))*SUMIFS('Sales Orders'!N:N,'Sales Orders'!A:A,B903),"")</f>
        <v/>
      </c>
      <c r="W903" s="31" t="str">
        <f t="shared" ref="W903:W966" ca="1" si="46">IF(T903&lt;&gt;"",IF(X903="Yes","NO",IF((TODAY()-V903)&gt;6,"YES","NO")),"")</f>
        <v/>
      </c>
      <c r="Z903" s="31"/>
    </row>
    <row r="904" spans="2:26">
      <c r="B904" s="2"/>
      <c r="C904" t="str">
        <f>IF(B904&lt;&gt;"",INDEX('Sales Orders'!C:C,MATCH('Booking Management'!B904,'Sales Orders'!A:A,0)),"")</f>
        <v/>
      </c>
      <c r="K904" s="31" t="str">
        <f t="shared" ca="1" si="45"/>
        <v/>
      </c>
      <c r="P904" t="str">
        <f t="shared" si="44"/>
        <v/>
      </c>
      <c r="Q904" t="str">
        <f>IFERROR((J904/SUMIFS('Sales Orders'!D:D,'Sales Orders'!A:A,B904))*SUMIFS('Sales Orders'!N:N,'Sales Orders'!A:A,B904),"")</f>
        <v/>
      </c>
      <c r="W904" s="31" t="str">
        <f t="shared" ca="1" si="46"/>
        <v/>
      </c>
      <c r="Z904" s="31"/>
    </row>
    <row r="905" spans="2:26">
      <c r="B905" s="2"/>
      <c r="C905" t="str">
        <f>IF(B905&lt;&gt;"",INDEX('Sales Orders'!C:C,MATCH('Booking Management'!B905,'Sales Orders'!A:A,0)),"")</f>
        <v/>
      </c>
      <c r="K905" s="31" t="str">
        <f t="shared" ca="1" si="45"/>
        <v/>
      </c>
      <c r="P905" t="str">
        <f t="shared" si="44"/>
        <v/>
      </c>
      <c r="Q905" t="str">
        <f>IFERROR((J905/SUMIFS('Sales Orders'!D:D,'Sales Orders'!A:A,B905))*SUMIFS('Sales Orders'!N:N,'Sales Orders'!A:A,B905),"")</f>
        <v/>
      </c>
      <c r="W905" s="31" t="str">
        <f t="shared" ca="1" si="46"/>
        <v/>
      </c>
      <c r="Z905" s="31"/>
    </row>
    <row r="906" spans="2:26">
      <c r="B906" s="2"/>
      <c r="C906" t="str">
        <f>IF(B906&lt;&gt;"",INDEX('Sales Orders'!C:C,MATCH('Booking Management'!B906,'Sales Orders'!A:A,0)),"")</f>
        <v/>
      </c>
      <c r="K906" s="31" t="str">
        <f t="shared" ca="1" si="45"/>
        <v/>
      </c>
      <c r="P906" t="str">
        <f t="shared" si="44"/>
        <v/>
      </c>
      <c r="Q906" t="str">
        <f>IFERROR((J906/SUMIFS('Sales Orders'!D:D,'Sales Orders'!A:A,B906))*SUMIFS('Sales Orders'!N:N,'Sales Orders'!A:A,B906),"")</f>
        <v/>
      </c>
      <c r="W906" s="31" t="str">
        <f t="shared" ca="1" si="46"/>
        <v/>
      </c>
      <c r="Z906" s="31"/>
    </row>
    <row r="907" spans="2:26">
      <c r="B907" s="2"/>
      <c r="C907" t="str">
        <f>IF(B907&lt;&gt;"",INDEX('Sales Orders'!C:C,MATCH('Booking Management'!B907,'Sales Orders'!A:A,0)),"")</f>
        <v/>
      </c>
      <c r="K907" s="31" t="str">
        <f t="shared" ca="1" si="45"/>
        <v/>
      </c>
      <c r="P907" t="str">
        <f t="shared" si="44"/>
        <v/>
      </c>
      <c r="Q907" t="str">
        <f>IFERROR((J907/SUMIFS('Sales Orders'!D:D,'Sales Orders'!A:A,B907))*SUMIFS('Sales Orders'!N:N,'Sales Orders'!A:A,B907),"")</f>
        <v/>
      </c>
      <c r="W907" s="31" t="str">
        <f t="shared" ca="1" si="46"/>
        <v/>
      </c>
      <c r="Z907" s="31"/>
    </row>
    <row r="908" spans="2:26">
      <c r="B908" s="2"/>
      <c r="C908" t="str">
        <f>IF(B908&lt;&gt;"",INDEX('Sales Orders'!C:C,MATCH('Booking Management'!B908,'Sales Orders'!A:A,0)),"")</f>
        <v/>
      </c>
      <c r="K908" s="31" t="str">
        <f t="shared" ca="1" si="45"/>
        <v/>
      </c>
      <c r="P908" t="str">
        <f t="shared" si="44"/>
        <v/>
      </c>
      <c r="Q908" t="str">
        <f>IFERROR((J908/SUMIFS('Sales Orders'!D:D,'Sales Orders'!A:A,B908))*SUMIFS('Sales Orders'!N:N,'Sales Orders'!A:A,B908),"")</f>
        <v/>
      </c>
      <c r="W908" s="31" t="str">
        <f t="shared" ca="1" si="46"/>
        <v/>
      </c>
      <c r="Z908" s="31"/>
    </row>
    <row r="909" spans="2:26">
      <c r="B909" s="2"/>
      <c r="C909" t="str">
        <f>IF(B909&lt;&gt;"",INDEX('Sales Orders'!C:C,MATCH('Booking Management'!B909,'Sales Orders'!A:A,0)),"")</f>
        <v/>
      </c>
      <c r="K909" s="31" t="str">
        <f t="shared" ca="1" si="45"/>
        <v/>
      </c>
      <c r="P909" t="str">
        <f t="shared" si="44"/>
        <v/>
      </c>
      <c r="Q909" t="str">
        <f>IFERROR((J909/SUMIFS('Sales Orders'!D:D,'Sales Orders'!A:A,B909))*SUMIFS('Sales Orders'!N:N,'Sales Orders'!A:A,B909),"")</f>
        <v/>
      </c>
      <c r="W909" s="31" t="str">
        <f t="shared" ca="1" si="46"/>
        <v/>
      </c>
      <c r="Z909" s="31"/>
    </row>
    <row r="910" spans="2:26">
      <c r="B910" s="2"/>
      <c r="C910" t="str">
        <f>IF(B910&lt;&gt;"",INDEX('Sales Orders'!C:C,MATCH('Booking Management'!B910,'Sales Orders'!A:A,0)),"")</f>
        <v/>
      </c>
      <c r="K910" s="31" t="str">
        <f t="shared" ca="1" si="45"/>
        <v/>
      </c>
      <c r="P910" t="str">
        <f t="shared" si="44"/>
        <v/>
      </c>
      <c r="Q910" t="str">
        <f>IFERROR((J910/SUMIFS('Sales Orders'!D:D,'Sales Orders'!A:A,B910))*SUMIFS('Sales Orders'!N:N,'Sales Orders'!A:A,B910),"")</f>
        <v/>
      </c>
      <c r="W910" s="31" t="str">
        <f t="shared" ca="1" si="46"/>
        <v/>
      </c>
      <c r="Z910" s="31"/>
    </row>
    <row r="911" spans="2:26">
      <c r="B911" s="2"/>
      <c r="C911" t="str">
        <f>IF(B911&lt;&gt;"",INDEX('Sales Orders'!C:C,MATCH('Booking Management'!B911,'Sales Orders'!A:A,0)),"")</f>
        <v/>
      </c>
      <c r="K911" s="31" t="str">
        <f t="shared" ca="1" si="45"/>
        <v/>
      </c>
      <c r="P911" t="str">
        <f t="shared" si="44"/>
        <v/>
      </c>
      <c r="Q911" t="str">
        <f>IFERROR((J911/SUMIFS('Sales Orders'!D:D,'Sales Orders'!A:A,B911))*SUMIFS('Sales Orders'!N:N,'Sales Orders'!A:A,B911),"")</f>
        <v/>
      </c>
      <c r="W911" s="31" t="str">
        <f t="shared" ca="1" si="46"/>
        <v/>
      </c>
      <c r="Z911" s="31"/>
    </row>
    <row r="912" spans="2:26">
      <c r="B912" s="2"/>
      <c r="C912" t="str">
        <f>IF(B912&lt;&gt;"",INDEX('Sales Orders'!C:C,MATCH('Booking Management'!B912,'Sales Orders'!A:A,0)),"")</f>
        <v/>
      </c>
      <c r="K912" s="31" t="str">
        <f t="shared" ca="1" si="45"/>
        <v/>
      </c>
      <c r="P912" t="str">
        <f t="shared" si="44"/>
        <v/>
      </c>
      <c r="Q912" t="str">
        <f>IFERROR((J912/SUMIFS('Sales Orders'!D:D,'Sales Orders'!A:A,B912))*SUMIFS('Sales Orders'!N:N,'Sales Orders'!A:A,B912),"")</f>
        <v/>
      </c>
      <c r="W912" s="31" t="str">
        <f t="shared" ca="1" si="46"/>
        <v/>
      </c>
      <c r="Z912" s="31"/>
    </row>
    <row r="913" spans="2:26">
      <c r="B913" s="2"/>
      <c r="C913" t="str">
        <f>IF(B913&lt;&gt;"",INDEX('Sales Orders'!C:C,MATCH('Booking Management'!B913,'Sales Orders'!A:A,0)),"")</f>
        <v/>
      </c>
      <c r="K913" s="31" t="str">
        <f t="shared" ca="1" si="45"/>
        <v/>
      </c>
      <c r="P913" t="str">
        <f t="shared" si="44"/>
        <v/>
      </c>
      <c r="Q913" t="str">
        <f>IFERROR((J913/SUMIFS('Sales Orders'!D:D,'Sales Orders'!A:A,B913))*SUMIFS('Sales Orders'!N:N,'Sales Orders'!A:A,B913),"")</f>
        <v/>
      </c>
      <c r="W913" s="31" t="str">
        <f t="shared" ca="1" si="46"/>
        <v/>
      </c>
      <c r="Z913" s="31"/>
    </row>
    <row r="914" spans="2:26">
      <c r="B914" s="2"/>
      <c r="C914" t="str">
        <f>IF(B914&lt;&gt;"",INDEX('Sales Orders'!C:C,MATCH('Booking Management'!B914,'Sales Orders'!A:A,0)),"")</f>
        <v/>
      </c>
      <c r="K914" s="31" t="str">
        <f t="shared" ca="1" si="45"/>
        <v/>
      </c>
      <c r="P914" t="str">
        <f t="shared" si="44"/>
        <v/>
      </c>
      <c r="Q914" t="str">
        <f>IFERROR((J914/SUMIFS('Sales Orders'!D:D,'Sales Orders'!A:A,B914))*SUMIFS('Sales Orders'!N:N,'Sales Orders'!A:A,B914),"")</f>
        <v/>
      </c>
      <c r="W914" s="31" t="str">
        <f t="shared" ca="1" si="46"/>
        <v/>
      </c>
      <c r="Z914" s="31"/>
    </row>
    <row r="915" spans="2:26">
      <c r="B915" s="2"/>
      <c r="C915" t="str">
        <f>IF(B915&lt;&gt;"",INDEX('Sales Orders'!C:C,MATCH('Booking Management'!B915,'Sales Orders'!A:A,0)),"")</f>
        <v/>
      </c>
      <c r="K915" s="31" t="str">
        <f t="shared" ca="1" si="45"/>
        <v/>
      </c>
      <c r="P915" t="str">
        <f t="shared" si="44"/>
        <v/>
      </c>
      <c r="Q915" t="str">
        <f>IFERROR((J915/SUMIFS('Sales Orders'!D:D,'Sales Orders'!A:A,B915))*SUMIFS('Sales Orders'!N:N,'Sales Orders'!A:A,B915),"")</f>
        <v/>
      </c>
      <c r="W915" s="31" t="str">
        <f t="shared" ca="1" si="46"/>
        <v/>
      </c>
      <c r="Z915" s="31"/>
    </row>
    <row r="916" spans="2:26">
      <c r="B916" s="2"/>
      <c r="C916" t="str">
        <f>IF(B916&lt;&gt;"",INDEX('Sales Orders'!C:C,MATCH('Booking Management'!B916,'Sales Orders'!A:A,0)),"")</f>
        <v/>
      </c>
      <c r="K916" s="31" t="str">
        <f t="shared" ca="1" si="45"/>
        <v/>
      </c>
      <c r="P916" t="str">
        <f t="shared" si="44"/>
        <v/>
      </c>
      <c r="Q916" t="str">
        <f>IFERROR((J916/SUMIFS('Sales Orders'!D:D,'Sales Orders'!A:A,B916))*SUMIFS('Sales Orders'!N:N,'Sales Orders'!A:A,B916),"")</f>
        <v/>
      </c>
      <c r="W916" s="31" t="str">
        <f t="shared" ca="1" si="46"/>
        <v/>
      </c>
      <c r="Z916" s="31"/>
    </row>
    <row r="917" spans="2:26">
      <c r="B917" s="2"/>
      <c r="C917" t="str">
        <f>IF(B917&lt;&gt;"",INDEX('Sales Orders'!C:C,MATCH('Booking Management'!B917,'Sales Orders'!A:A,0)),"")</f>
        <v/>
      </c>
      <c r="K917" s="31" t="str">
        <f t="shared" ca="1" si="45"/>
        <v/>
      </c>
      <c r="P917" t="str">
        <f t="shared" si="44"/>
        <v/>
      </c>
      <c r="Q917" t="str">
        <f>IFERROR((J917/SUMIFS('Sales Orders'!D:D,'Sales Orders'!A:A,B917))*SUMIFS('Sales Orders'!N:N,'Sales Orders'!A:A,B917),"")</f>
        <v/>
      </c>
      <c r="W917" s="31" t="str">
        <f t="shared" ca="1" si="46"/>
        <v/>
      </c>
      <c r="Z917" s="31"/>
    </row>
    <row r="918" spans="2:26">
      <c r="B918" s="2"/>
      <c r="C918" t="str">
        <f>IF(B918&lt;&gt;"",INDEX('Sales Orders'!C:C,MATCH('Booking Management'!B918,'Sales Orders'!A:A,0)),"")</f>
        <v/>
      </c>
      <c r="K918" s="31" t="str">
        <f t="shared" ca="1" si="45"/>
        <v/>
      </c>
      <c r="P918" t="str">
        <f t="shared" si="44"/>
        <v/>
      </c>
      <c r="Q918" t="str">
        <f>IFERROR((J918/SUMIFS('Sales Orders'!D:D,'Sales Orders'!A:A,B918))*SUMIFS('Sales Orders'!N:N,'Sales Orders'!A:A,B918),"")</f>
        <v/>
      </c>
      <c r="W918" s="31" t="str">
        <f t="shared" ca="1" si="46"/>
        <v/>
      </c>
      <c r="Z918" s="31"/>
    </row>
    <row r="919" spans="2:26">
      <c r="B919" s="2"/>
      <c r="C919" t="str">
        <f>IF(B919&lt;&gt;"",INDEX('Sales Orders'!C:C,MATCH('Booking Management'!B919,'Sales Orders'!A:A,0)),"")</f>
        <v/>
      </c>
      <c r="K919" s="31" t="str">
        <f t="shared" ca="1" si="45"/>
        <v/>
      </c>
      <c r="P919" t="str">
        <f t="shared" si="44"/>
        <v/>
      </c>
      <c r="Q919" t="str">
        <f>IFERROR((J919/SUMIFS('Sales Orders'!D:D,'Sales Orders'!A:A,B919))*SUMIFS('Sales Orders'!N:N,'Sales Orders'!A:A,B919),"")</f>
        <v/>
      </c>
      <c r="W919" s="31" t="str">
        <f t="shared" ca="1" si="46"/>
        <v/>
      </c>
      <c r="Z919" s="31"/>
    </row>
    <row r="920" spans="2:26">
      <c r="B920" s="2"/>
      <c r="C920" t="str">
        <f>IF(B920&lt;&gt;"",INDEX('Sales Orders'!C:C,MATCH('Booking Management'!B920,'Sales Orders'!A:A,0)),"")</f>
        <v/>
      </c>
      <c r="K920" s="31" t="str">
        <f t="shared" ca="1" si="45"/>
        <v/>
      </c>
      <c r="P920" t="str">
        <f t="shared" si="44"/>
        <v/>
      </c>
      <c r="Q920" t="str">
        <f>IFERROR((J920/SUMIFS('Sales Orders'!D:D,'Sales Orders'!A:A,B920))*SUMIFS('Sales Orders'!N:N,'Sales Orders'!A:A,B920),"")</f>
        <v/>
      </c>
      <c r="W920" s="31" t="str">
        <f t="shared" ca="1" si="46"/>
        <v/>
      </c>
      <c r="Z920" s="31"/>
    </row>
    <row r="921" spans="2:26">
      <c r="B921" s="2"/>
      <c r="C921" t="str">
        <f>IF(B921&lt;&gt;"",INDEX('Sales Orders'!C:C,MATCH('Booking Management'!B921,'Sales Orders'!A:A,0)),"")</f>
        <v/>
      </c>
      <c r="K921" s="31" t="str">
        <f t="shared" ca="1" si="45"/>
        <v/>
      </c>
      <c r="P921" t="str">
        <f t="shared" si="44"/>
        <v/>
      </c>
      <c r="Q921" t="str">
        <f>IFERROR((J921/SUMIFS('Sales Orders'!D:D,'Sales Orders'!A:A,B921))*SUMIFS('Sales Orders'!N:N,'Sales Orders'!A:A,B921),"")</f>
        <v/>
      </c>
      <c r="W921" s="31" t="str">
        <f t="shared" ca="1" si="46"/>
        <v/>
      </c>
      <c r="Z921" s="31"/>
    </row>
    <row r="922" spans="2:26">
      <c r="B922" s="2"/>
      <c r="C922" t="str">
        <f>IF(B922&lt;&gt;"",INDEX('Sales Orders'!C:C,MATCH('Booking Management'!B922,'Sales Orders'!A:A,0)),"")</f>
        <v/>
      </c>
      <c r="K922" s="31" t="str">
        <f t="shared" ca="1" si="45"/>
        <v/>
      </c>
      <c r="P922" t="str">
        <f t="shared" si="44"/>
        <v/>
      </c>
      <c r="Q922" t="str">
        <f>IFERROR((J922/SUMIFS('Sales Orders'!D:D,'Sales Orders'!A:A,B922))*SUMIFS('Sales Orders'!N:N,'Sales Orders'!A:A,B922),"")</f>
        <v/>
      </c>
      <c r="W922" s="31" t="str">
        <f t="shared" ca="1" si="46"/>
        <v/>
      </c>
      <c r="Z922" s="31"/>
    </row>
    <row r="923" spans="2:26">
      <c r="B923" s="2"/>
      <c r="C923" t="str">
        <f>IF(B923&lt;&gt;"",INDEX('Sales Orders'!C:C,MATCH('Booking Management'!B923,'Sales Orders'!A:A,0)),"")</f>
        <v/>
      </c>
      <c r="K923" s="31" t="str">
        <f t="shared" ca="1" si="45"/>
        <v/>
      </c>
      <c r="P923" t="str">
        <f t="shared" si="44"/>
        <v/>
      </c>
      <c r="Q923" t="str">
        <f>IFERROR((J923/SUMIFS('Sales Orders'!D:D,'Sales Orders'!A:A,B923))*SUMIFS('Sales Orders'!N:N,'Sales Orders'!A:A,B923),"")</f>
        <v/>
      </c>
      <c r="W923" s="31" t="str">
        <f t="shared" ca="1" si="46"/>
        <v/>
      </c>
      <c r="Z923" s="31"/>
    </row>
    <row r="924" spans="2:26">
      <c r="B924" s="2"/>
      <c r="C924" t="str">
        <f>IF(B924&lt;&gt;"",INDEX('Sales Orders'!C:C,MATCH('Booking Management'!B924,'Sales Orders'!A:A,0)),"")</f>
        <v/>
      </c>
      <c r="K924" s="31" t="str">
        <f t="shared" ca="1" si="45"/>
        <v/>
      </c>
      <c r="P924" t="str">
        <f t="shared" si="44"/>
        <v/>
      </c>
      <c r="Q924" t="str">
        <f>IFERROR((J924/SUMIFS('Sales Orders'!D:D,'Sales Orders'!A:A,B924))*SUMIFS('Sales Orders'!N:N,'Sales Orders'!A:A,B924),"")</f>
        <v/>
      </c>
      <c r="W924" s="31" t="str">
        <f t="shared" ca="1" si="46"/>
        <v/>
      </c>
      <c r="Z924" s="31"/>
    </row>
    <row r="925" spans="2:26">
      <c r="B925" s="2"/>
      <c r="C925" t="str">
        <f>IF(B925&lt;&gt;"",INDEX('Sales Orders'!C:C,MATCH('Booking Management'!B925,'Sales Orders'!A:A,0)),"")</f>
        <v/>
      </c>
      <c r="K925" s="31" t="str">
        <f t="shared" ca="1" si="45"/>
        <v/>
      </c>
      <c r="P925" t="str">
        <f t="shared" si="44"/>
        <v/>
      </c>
      <c r="Q925" t="str">
        <f>IFERROR((J925/SUMIFS('Sales Orders'!D:D,'Sales Orders'!A:A,B925))*SUMIFS('Sales Orders'!N:N,'Sales Orders'!A:A,B925),"")</f>
        <v/>
      </c>
      <c r="W925" s="31" t="str">
        <f t="shared" ca="1" si="46"/>
        <v/>
      </c>
      <c r="Z925" s="31"/>
    </row>
    <row r="926" spans="2:26">
      <c r="B926" s="2"/>
      <c r="C926" t="str">
        <f>IF(B926&lt;&gt;"",INDEX('Sales Orders'!C:C,MATCH('Booking Management'!B926,'Sales Orders'!A:A,0)),"")</f>
        <v/>
      </c>
      <c r="K926" s="31" t="str">
        <f t="shared" ca="1" si="45"/>
        <v/>
      </c>
      <c r="P926" t="str">
        <f t="shared" si="44"/>
        <v/>
      </c>
      <c r="Q926" t="str">
        <f>IFERROR((J926/SUMIFS('Sales Orders'!D:D,'Sales Orders'!A:A,B926))*SUMIFS('Sales Orders'!N:N,'Sales Orders'!A:A,B926),"")</f>
        <v/>
      </c>
      <c r="W926" s="31" t="str">
        <f t="shared" ca="1" si="46"/>
        <v/>
      </c>
      <c r="Z926" s="31"/>
    </row>
    <row r="927" spans="2:26">
      <c r="B927" s="2"/>
      <c r="C927" t="str">
        <f>IF(B927&lt;&gt;"",INDEX('Sales Orders'!C:C,MATCH('Booking Management'!B927,'Sales Orders'!A:A,0)),"")</f>
        <v/>
      </c>
      <c r="K927" s="31" t="str">
        <f t="shared" ca="1" si="45"/>
        <v/>
      </c>
      <c r="P927" t="str">
        <f t="shared" si="44"/>
        <v/>
      </c>
      <c r="Q927" t="str">
        <f>IFERROR((J927/SUMIFS('Sales Orders'!D:D,'Sales Orders'!A:A,B927))*SUMIFS('Sales Orders'!N:N,'Sales Orders'!A:A,B927),"")</f>
        <v/>
      </c>
      <c r="W927" s="31" t="str">
        <f t="shared" ca="1" si="46"/>
        <v/>
      </c>
      <c r="Z927" s="31"/>
    </row>
    <row r="928" spans="2:26">
      <c r="B928" s="2"/>
      <c r="C928" t="str">
        <f>IF(B928&lt;&gt;"",INDEX('Sales Orders'!C:C,MATCH('Booking Management'!B928,'Sales Orders'!A:A,0)),"")</f>
        <v/>
      </c>
      <c r="K928" s="31" t="str">
        <f t="shared" ca="1" si="45"/>
        <v/>
      </c>
      <c r="P928" t="str">
        <f t="shared" si="44"/>
        <v/>
      </c>
      <c r="Q928" t="str">
        <f>IFERROR((J928/SUMIFS('Sales Orders'!D:D,'Sales Orders'!A:A,B928))*SUMIFS('Sales Orders'!N:N,'Sales Orders'!A:A,B928),"")</f>
        <v/>
      </c>
      <c r="W928" s="31" t="str">
        <f t="shared" ca="1" si="46"/>
        <v/>
      </c>
      <c r="Z928" s="31"/>
    </row>
    <row r="929" spans="2:26">
      <c r="B929" s="2"/>
      <c r="C929" t="str">
        <f>IF(B929&lt;&gt;"",INDEX('Sales Orders'!C:C,MATCH('Booking Management'!B929,'Sales Orders'!A:A,0)),"")</f>
        <v/>
      </c>
      <c r="K929" s="31" t="str">
        <f t="shared" ca="1" si="45"/>
        <v/>
      </c>
      <c r="P929" t="str">
        <f t="shared" ref="P929:P992" si="47">IF(B929&lt;&gt;"",T929-L929,"")</f>
        <v/>
      </c>
      <c r="Q929" t="str">
        <f>IFERROR((J929/SUMIFS('Sales Orders'!D:D,'Sales Orders'!A:A,B929))*SUMIFS('Sales Orders'!N:N,'Sales Orders'!A:A,B929),"")</f>
        <v/>
      </c>
      <c r="W929" s="31" t="str">
        <f t="shared" ca="1" si="46"/>
        <v/>
      </c>
      <c r="Z929" s="31"/>
    </row>
    <row r="930" spans="2:26">
      <c r="B930" s="2"/>
      <c r="C930" t="str">
        <f>IF(B930&lt;&gt;"",INDEX('Sales Orders'!C:C,MATCH('Booking Management'!B930,'Sales Orders'!A:A,0)),"")</f>
        <v/>
      </c>
      <c r="K930" s="31" t="str">
        <f t="shared" ca="1" si="45"/>
        <v/>
      </c>
      <c r="P930" t="str">
        <f t="shared" si="47"/>
        <v/>
      </c>
      <c r="Q930" t="str">
        <f>IFERROR((J930/SUMIFS('Sales Orders'!D:D,'Sales Orders'!A:A,B930))*SUMIFS('Sales Orders'!N:N,'Sales Orders'!A:A,B930),"")</f>
        <v/>
      </c>
      <c r="W930" s="31" t="str">
        <f t="shared" ca="1" si="46"/>
        <v/>
      </c>
      <c r="Z930" s="31"/>
    </row>
    <row r="931" spans="2:26">
      <c r="B931" s="2"/>
      <c r="C931" t="str">
        <f>IF(B931&lt;&gt;"",INDEX('Sales Orders'!C:C,MATCH('Booking Management'!B931,'Sales Orders'!A:A,0)),"")</f>
        <v/>
      </c>
      <c r="K931" s="31" t="str">
        <f t="shared" ca="1" si="45"/>
        <v/>
      </c>
      <c r="P931" t="str">
        <f t="shared" si="47"/>
        <v/>
      </c>
      <c r="Q931" t="str">
        <f>IFERROR((J931/SUMIFS('Sales Orders'!D:D,'Sales Orders'!A:A,B931))*SUMIFS('Sales Orders'!N:N,'Sales Orders'!A:A,B931),"")</f>
        <v/>
      </c>
      <c r="W931" s="31" t="str">
        <f t="shared" ca="1" si="46"/>
        <v/>
      </c>
      <c r="Z931" s="31"/>
    </row>
    <row r="932" spans="2:26">
      <c r="B932" s="2"/>
      <c r="C932" t="str">
        <f>IF(B932&lt;&gt;"",INDEX('Sales Orders'!C:C,MATCH('Booking Management'!B932,'Sales Orders'!A:A,0)),"")</f>
        <v/>
      </c>
      <c r="K932" s="31" t="str">
        <f t="shared" ca="1" si="45"/>
        <v/>
      </c>
      <c r="P932" t="str">
        <f t="shared" si="47"/>
        <v/>
      </c>
      <c r="Q932" t="str">
        <f>IFERROR((J932/SUMIFS('Sales Orders'!D:D,'Sales Orders'!A:A,B932))*SUMIFS('Sales Orders'!N:N,'Sales Orders'!A:A,B932),"")</f>
        <v/>
      </c>
      <c r="W932" s="31" t="str">
        <f t="shared" ca="1" si="46"/>
        <v/>
      </c>
      <c r="Z932" s="31"/>
    </row>
    <row r="933" spans="2:26">
      <c r="B933" s="2"/>
      <c r="C933" t="str">
        <f>IF(B933&lt;&gt;"",INDEX('Sales Orders'!C:C,MATCH('Booking Management'!B933,'Sales Orders'!A:A,0)),"")</f>
        <v/>
      </c>
      <c r="K933" s="31" t="str">
        <f t="shared" ca="1" si="45"/>
        <v/>
      </c>
      <c r="P933" t="str">
        <f t="shared" si="47"/>
        <v/>
      </c>
      <c r="Q933" t="str">
        <f>IFERROR((J933/SUMIFS('Sales Orders'!D:D,'Sales Orders'!A:A,B933))*SUMIFS('Sales Orders'!N:N,'Sales Orders'!A:A,B933),"")</f>
        <v/>
      </c>
      <c r="W933" s="31" t="str">
        <f t="shared" ca="1" si="46"/>
        <v/>
      </c>
      <c r="Z933" s="31"/>
    </row>
    <row r="934" spans="2:26">
      <c r="B934" s="2"/>
      <c r="C934" t="str">
        <f>IF(B934&lt;&gt;"",INDEX('Sales Orders'!C:C,MATCH('Booking Management'!B934,'Sales Orders'!A:A,0)),"")</f>
        <v/>
      </c>
      <c r="K934" s="31" t="str">
        <f t="shared" ca="1" si="45"/>
        <v/>
      </c>
      <c r="P934" t="str">
        <f t="shared" si="47"/>
        <v/>
      </c>
      <c r="Q934" t="str">
        <f>IFERROR((J934/SUMIFS('Sales Orders'!D:D,'Sales Orders'!A:A,B934))*SUMIFS('Sales Orders'!N:N,'Sales Orders'!A:A,B934),"")</f>
        <v/>
      </c>
      <c r="W934" s="31" t="str">
        <f t="shared" ca="1" si="46"/>
        <v/>
      </c>
      <c r="Z934" s="31"/>
    </row>
    <row r="935" spans="2:26">
      <c r="B935" s="2"/>
      <c r="C935" t="str">
        <f>IF(B935&lt;&gt;"",INDEX('Sales Orders'!C:C,MATCH('Booking Management'!B935,'Sales Orders'!A:A,0)),"")</f>
        <v/>
      </c>
      <c r="K935" s="31" t="str">
        <f t="shared" ca="1" si="45"/>
        <v/>
      </c>
      <c r="P935" t="str">
        <f t="shared" si="47"/>
        <v/>
      </c>
      <c r="Q935" t="str">
        <f>IFERROR((J935/SUMIFS('Sales Orders'!D:D,'Sales Orders'!A:A,B935))*SUMIFS('Sales Orders'!N:N,'Sales Orders'!A:A,B935),"")</f>
        <v/>
      </c>
      <c r="W935" s="31" t="str">
        <f t="shared" ca="1" si="46"/>
        <v/>
      </c>
      <c r="Z935" s="31"/>
    </row>
    <row r="936" spans="2:26">
      <c r="B936" s="2"/>
      <c r="C936" t="str">
        <f>IF(B936&lt;&gt;"",INDEX('Sales Orders'!C:C,MATCH('Booking Management'!B936,'Sales Orders'!A:A,0)),"")</f>
        <v/>
      </c>
      <c r="K936" s="31" t="str">
        <f t="shared" ca="1" si="45"/>
        <v/>
      </c>
      <c r="P936" t="str">
        <f t="shared" si="47"/>
        <v/>
      </c>
      <c r="Q936" t="str">
        <f>IFERROR((J936/SUMIFS('Sales Orders'!D:D,'Sales Orders'!A:A,B936))*SUMIFS('Sales Orders'!N:N,'Sales Orders'!A:A,B936),"")</f>
        <v/>
      </c>
      <c r="W936" s="31" t="str">
        <f t="shared" ca="1" si="46"/>
        <v/>
      </c>
      <c r="Z936" s="31"/>
    </row>
    <row r="937" spans="2:26">
      <c r="B937" s="2"/>
      <c r="C937" t="str">
        <f>IF(B937&lt;&gt;"",INDEX('Sales Orders'!C:C,MATCH('Booking Management'!B937,'Sales Orders'!A:A,0)),"")</f>
        <v/>
      </c>
      <c r="K937" s="31" t="str">
        <f t="shared" ca="1" si="45"/>
        <v/>
      </c>
      <c r="P937" t="str">
        <f t="shared" si="47"/>
        <v/>
      </c>
      <c r="Q937" t="str">
        <f>IFERROR((J937/SUMIFS('Sales Orders'!D:D,'Sales Orders'!A:A,B937))*SUMIFS('Sales Orders'!N:N,'Sales Orders'!A:A,B937),"")</f>
        <v/>
      </c>
      <c r="W937" s="31" t="str">
        <f t="shared" ca="1" si="46"/>
        <v/>
      </c>
      <c r="Z937" s="31"/>
    </row>
    <row r="938" spans="2:26">
      <c r="B938" s="2"/>
      <c r="C938" t="str">
        <f>IF(B938&lt;&gt;"",INDEX('Sales Orders'!C:C,MATCH('Booking Management'!B938,'Sales Orders'!A:A,0)),"")</f>
        <v/>
      </c>
      <c r="K938" s="31" t="str">
        <f t="shared" ca="1" si="45"/>
        <v/>
      </c>
      <c r="P938" t="str">
        <f t="shared" si="47"/>
        <v/>
      </c>
      <c r="Q938" t="str">
        <f>IFERROR((J938/SUMIFS('Sales Orders'!D:D,'Sales Orders'!A:A,B938))*SUMIFS('Sales Orders'!N:N,'Sales Orders'!A:A,B938),"")</f>
        <v/>
      </c>
      <c r="W938" s="31" t="str">
        <f t="shared" ca="1" si="46"/>
        <v/>
      </c>
      <c r="Z938" s="31"/>
    </row>
    <row r="939" spans="2:26">
      <c r="B939" s="2"/>
      <c r="C939" t="str">
        <f>IF(B939&lt;&gt;"",INDEX('Sales Orders'!C:C,MATCH('Booking Management'!B939,'Sales Orders'!A:A,0)),"")</f>
        <v/>
      </c>
      <c r="K939" s="31" t="str">
        <f t="shared" ca="1" si="45"/>
        <v/>
      </c>
      <c r="P939" t="str">
        <f t="shared" si="47"/>
        <v/>
      </c>
      <c r="Q939" t="str">
        <f>IFERROR((J939/SUMIFS('Sales Orders'!D:D,'Sales Orders'!A:A,B939))*SUMIFS('Sales Orders'!N:N,'Sales Orders'!A:A,B939),"")</f>
        <v/>
      </c>
      <c r="W939" s="31" t="str">
        <f t="shared" ca="1" si="46"/>
        <v/>
      </c>
      <c r="Z939" s="31"/>
    </row>
    <row r="940" spans="2:26">
      <c r="B940" s="2"/>
      <c r="C940" t="str">
        <f>IF(B940&lt;&gt;"",INDEX('Sales Orders'!C:C,MATCH('Booking Management'!B940,'Sales Orders'!A:A,0)),"")</f>
        <v/>
      </c>
      <c r="K940" s="31" t="str">
        <f t="shared" ca="1" si="45"/>
        <v/>
      </c>
      <c r="P940" t="str">
        <f t="shared" si="47"/>
        <v/>
      </c>
      <c r="Q940" t="str">
        <f>IFERROR((J940/SUMIFS('Sales Orders'!D:D,'Sales Orders'!A:A,B940))*SUMIFS('Sales Orders'!N:N,'Sales Orders'!A:A,B940),"")</f>
        <v/>
      </c>
      <c r="W940" s="31" t="str">
        <f t="shared" ca="1" si="46"/>
        <v/>
      </c>
      <c r="Z940" s="31"/>
    </row>
    <row r="941" spans="2:26">
      <c r="B941" s="2"/>
      <c r="C941" t="str">
        <f>IF(B941&lt;&gt;"",INDEX('Sales Orders'!C:C,MATCH('Booking Management'!B941,'Sales Orders'!A:A,0)),"")</f>
        <v/>
      </c>
      <c r="K941" s="31" t="str">
        <f t="shared" ca="1" si="45"/>
        <v/>
      </c>
      <c r="P941" t="str">
        <f t="shared" si="47"/>
        <v/>
      </c>
      <c r="Q941" t="str">
        <f>IFERROR((J941/SUMIFS('Sales Orders'!D:D,'Sales Orders'!A:A,B941))*SUMIFS('Sales Orders'!N:N,'Sales Orders'!A:A,B941),"")</f>
        <v/>
      </c>
      <c r="W941" s="31" t="str">
        <f t="shared" ca="1" si="46"/>
        <v/>
      </c>
      <c r="Z941" s="31"/>
    </row>
    <row r="942" spans="2:26">
      <c r="B942" s="2"/>
      <c r="C942" t="str">
        <f>IF(B942&lt;&gt;"",INDEX('Sales Orders'!C:C,MATCH('Booking Management'!B942,'Sales Orders'!A:A,0)),"")</f>
        <v/>
      </c>
      <c r="K942" s="31" t="str">
        <f t="shared" ca="1" si="45"/>
        <v/>
      </c>
      <c r="P942" t="str">
        <f t="shared" si="47"/>
        <v/>
      </c>
      <c r="Q942" t="str">
        <f>IFERROR((J942/SUMIFS('Sales Orders'!D:D,'Sales Orders'!A:A,B942))*SUMIFS('Sales Orders'!N:N,'Sales Orders'!A:A,B942),"")</f>
        <v/>
      </c>
      <c r="W942" s="31" t="str">
        <f t="shared" ca="1" si="46"/>
        <v/>
      </c>
      <c r="Z942" s="31"/>
    </row>
    <row r="943" spans="2:26">
      <c r="B943" s="2"/>
      <c r="C943" t="str">
        <f>IF(B943&lt;&gt;"",INDEX('Sales Orders'!C:C,MATCH('Booking Management'!B943,'Sales Orders'!A:A,0)),"")</f>
        <v/>
      </c>
      <c r="K943" s="31" t="str">
        <f t="shared" ca="1" si="45"/>
        <v/>
      </c>
      <c r="P943" t="str">
        <f t="shared" si="47"/>
        <v/>
      </c>
      <c r="Q943" t="str">
        <f>IFERROR((J943/SUMIFS('Sales Orders'!D:D,'Sales Orders'!A:A,B943))*SUMIFS('Sales Orders'!N:N,'Sales Orders'!A:A,B943),"")</f>
        <v/>
      </c>
      <c r="W943" s="31" t="str">
        <f t="shared" ca="1" si="46"/>
        <v/>
      </c>
      <c r="Z943" s="31"/>
    </row>
    <row r="944" spans="2:26">
      <c r="B944" s="2"/>
      <c r="C944" t="str">
        <f>IF(B944&lt;&gt;"",INDEX('Sales Orders'!C:C,MATCH('Booking Management'!B944,'Sales Orders'!A:A,0)),"")</f>
        <v/>
      </c>
      <c r="K944" s="31" t="str">
        <f t="shared" ca="1" si="45"/>
        <v/>
      </c>
      <c r="P944" t="str">
        <f t="shared" si="47"/>
        <v/>
      </c>
      <c r="Q944" t="str">
        <f>IFERROR((J944/SUMIFS('Sales Orders'!D:D,'Sales Orders'!A:A,B944))*SUMIFS('Sales Orders'!N:N,'Sales Orders'!A:A,B944),"")</f>
        <v/>
      </c>
      <c r="W944" s="31" t="str">
        <f t="shared" ca="1" si="46"/>
        <v/>
      </c>
      <c r="Z944" s="31"/>
    </row>
    <row r="945" spans="2:26">
      <c r="B945" s="2"/>
      <c r="C945" t="str">
        <f>IF(B945&lt;&gt;"",INDEX('Sales Orders'!C:C,MATCH('Booking Management'!B945,'Sales Orders'!A:A,0)),"")</f>
        <v/>
      </c>
      <c r="K945" s="31" t="str">
        <f t="shared" ca="1" si="45"/>
        <v/>
      </c>
      <c r="P945" t="str">
        <f t="shared" si="47"/>
        <v/>
      </c>
      <c r="Q945" t="str">
        <f>IFERROR((J945/SUMIFS('Sales Orders'!D:D,'Sales Orders'!A:A,B945))*SUMIFS('Sales Orders'!N:N,'Sales Orders'!A:A,B945),"")</f>
        <v/>
      </c>
      <c r="W945" s="31" t="str">
        <f t="shared" ca="1" si="46"/>
        <v/>
      </c>
      <c r="Z945" s="31"/>
    </row>
    <row r="946" spans="2:26">
      <c r="B946" s="2"/>
      <c r="C946" t="str">
        <f>IF(B946&lt;&gt;"",INDEX('Sales Orders'!C:C,MATCH('Booking Management'!B946,'Sales Orders'!A:A,0)),"")</f>
        <v/>
      </c>
      <c r="K946" s="31" t="str">
        <f t="shared" ca="1" si="45"/>
        <v/>
      </c>
      <c r="P946" t="str">
        <f t="shared" si="47"/>
        <v/>
      </c>
      <c r="Q946" t="str">
        <f>IFERROR((J946/SUMIFS('Sales Orders'!D:D,'Sales Orders'!A:A,B946))*SUMIFS('Sales Orders'!N:N,'Sales Orders'!A:A,B946),"")</f>
        <v/>
      </c>
      <c r="W946" s="31" t="str">
        <f t="shared" ca="1" si="46"/>
        <v/>
      </c>
      <c r="Z946" s="31"/>
    </row>
    <row r="947" spans="2:26">
      <c r="B947" s="2"/>
      <c r="C947" t="str">
        <f>IF(B947&lt;&gt;"",INDEX('Sales Orders'!C:C,MATCH('Booking Management'!B947,'Sales Orders'!A:A,0)),"")</f>
        <v/>
      </c>
      <c r="K947" s="31" t="str">
        <f t="shared" ca="1" si="45"/>
        <v/>
      </c>
      <c r="P947" t="str">
        <f t="shared" si="47"/>
        <v/>
      </c>
      <c r="Q947" t="str">
        <f>IFERROR((J947/SUMIFS('Sales Orders'!D:D,'Sales Orders'!A:A,B947))*SUMIFS('Sales Orders'!N:N,'Sales Orders'!A:A,B947),"")</f>
        <v/>
      </c>
      <c r="W947" s="31" t="str">
        <f t="shared" ca="1" si="46"/>
        <v/>
      </c>
      <c r="Z947" s="31"/>
    </row>
    <row r="948" spans="2:26">
      <c r="B948" s="2"/>
      <c r="C948" t="str">
        <f>IF(B948&lt;&gt;"",INDEX('Sales Orders'!C:C,MATCH('Booking Management'!B948,'Sales Orders'!A:A,0)),"")</f>
        <v/>
      </c>
      <c r="K948" s="31" t="str">
        <f t="shared" ca="1" si="45"/>
        <v/>
      </c>
      <c r="P948" t="str">
        <f t="shared" si="47"/>
        <v/>
      </c>
      <c r="Q948" t="str">
        <f>IFERROR((J948/SUMIFS('Sales Orders'!D:D,'Sales Orders'!A:A,B948))*SUMIFS('Sales Orders'!N:N,'Sales Orders'!A:A,B948),"")</f>
        <v/>
      </c>
      <c r="W948" s="31" t="str">
        <f t="shared" ca="1" si="46"/>
        <v/>
      </c>
      <c r="Z948" s="31"/>
    </row>
    <row r="949" spans="2:26">
      <c r="B949" s="2"/>
      <c r="C949" t="str">
        <f>IF(B949&lt;&gt;"",INDEX('Sales Orders'!C:C,MATCH('Booking Management'!B949,'Sales Orders'!A:A,0)),"")</f>
        <v/>
      </c>
      <c r="K949" s="31" t="str">
        <f t="shared" ca="1" si="45"/>
        <v/>
      </c>
      <c r="P949" t="str">
        <f t="shared" si="47"/>
        <v/>
      </c>
      <c r="Q949" t="str">
        <f>IFERROR((J949/SUMIFS('Sales Orders'!D:D,'Sales Orders'!A:A,B949))*SUMIFS('Sales Orders'!N:N,'Sales Orders'!A:A,B949),"")</f>
        <v/>
      </c>
      <c r="W949" s="31" t="str">
        <f t="shared" ca="1" si="46"/>
        <v/>
      </c>
      <c r="Z949" s="31"/>
    </row>
    <row r="950" spans="2:26">
      <c r="B950" s="2"/>
      <c r="C950" t="str">
        <f>IF(B950&lt;&gt;"",INDEX('Sales Orders'!C:C,MATCH('Booking Management'!B950,'Sales Orders'!A:A,0)),"")</f>
        <v/>
      </c>
      <c r="K950" s="31" t="str">
        <f t="shared" ca="1" si="45"/>
        <v/>
      </c>
      <c r="P950" t="str">
        <f t="shared" si="47"/>
        <v/>
      </c>
      <c r="Q950" t="str">
        <f>IFERROR((J950/SUMIFS('Sales Orders'!D:D,'Sales Orders'!A:A,B950))*SUMIFS('Sales Orders'!N:N,'Sales Orders'!A:A,B950),"")</f>
        <v/>
      </c>
      <c r="W950" s="31" t="str">
        <f t="shared" ca="1" si="46"/>
        <v/>
      </c>
      <c r="Z950" s="31"/>
    </row>
    <row r="951" spans="2:26">
      <c r="B951" s="2"/>
      <c r="C951" t="str">
        <f>IF(B951&lt;&gt;"",INDEX('Sales Orders'!C:C,MATCH('Booking Management'!B951,'Sales Orders'!A:A,0)),"")</f>
        <v/>
      </c>
      <c r="K951" s="31" t="str">
        <f t="shared" ca="1" si="45"/>
        <v/>
      </c>
      <c r="P951" t="str">
        <f t="shared" si="47"/>
        <v/>
      </c>
      <c r="Q951" t="str">
        <f>IFERROR((J951/SUMIFS('Sales Orders'!D:D,'Sales Orders'!A:A,B951))*SUMIFS('Sales Orders'!N:N,'Sales Orders'!A:A,B951),"")</f>
        <v/>
      </c>
      <c r="W951" s="31" t="str">
        <f t="shared" ca="1" si="46"/>
        <v/>
      </c>
      <c r="Z951" s="31"/>
    </row>
    <row r="952" spans="2:26">
      <c r="B952" s="2"/>
      <c r="C952" t="str">
        <f>IF(B952&lt;&gt;"",INDEX('Sales Orders'!C:C,MATCH('Booking Management'!B952,'Sales Orders'!A:A,0)),"")</f>
        <v/>
      </c>
      <c r="K952" s="31" t="str">
        <f t="shared" ca="1" si="45"/>
        <v/>
      </c>
      <c r="P952" t="str">
        <f t="shared" si="47"/>
        <v/>
      </c>
      <c r="Q952" t="str">
        <f>IFERROR((J952/SUMIFS('Sales Orders'!D:D,'Sales Orders'!A:A,B952))*SUMIFS('Sales Orders'!N:N,'Sales Orders'!A:A,B952),"")</f>
        <v/>
      </c>
      <c r="W952" s="31" t="str">
        <f t="shared" ca="1" si="46"/>
        <v/>
      </c>
      <c r="Z952" s="31"/>
    </row>
    <row r="953" spans="2:26">
      <c r="B953" s="2"/>
      <c r="C953" t="str">
        <f>IF(B953&lt;&gt;"",INDEX('Sales Orders'!C:C,MATCH('Booking Management'!B953,'Sales Orders'!A:A,0)),"")</f>
        <v/>
      </c>
      <c r="K953" s="31" t="str">
        <f t="shared" ca="1" si="45"/>
        <v/>
      </c>
      <c r="P953" t="str">
        <f t="shared" si="47"/>
        <v/>
      </c>
      <c r="Q953" t="str">
        <f>IFERROR((J953/SUMIFS('Sales Orders'!D:D,'Sales Orders'!A:A,B953))*SUMIFS('Sales Orders'!N:N,'Sales Orders'!A:A,B953),"")</f>
        <v/>
      </c>
      <c r="W953" s="31" t="str">
        <f t="shared" ca="1" si="46"/>
        <v/>
      </c>
      <c r="Z953" s="31"/>
    </row>
    <row r="954" spans="2:26">
      <c r="B954" s="2"/>
      <c r="C954" t="str">
        <f>IF(B954&lt;&gt;"",INDEX('Sales Orders'!C:C,MATCH('Booking Management'!B954,'Sales Orders'!A:A,0)),"")</f>
        <v/>
      </c>
      <c r="K954" s="31" t="str">
        <f t="shared" ca="1" si="45"/>
        <v/>
      </c>
      <c r="P954" t="str">
        <f t="shared" si="47"/>
        <v/>
      </c>
      <c r="Q954" t="str">
        <f>IFERROR((J954/SUMIFS('Sales Orders'!D:D,'Sales Orders'!A:A,B954))*SUMIFS('Sales Orders'!N:N,'Sales Orders'!A:A,B954),"")</f>
        <v/>
      </c>
      <c r="W954" s="31" t="str">
        <f t="shared" ca="1" si="46"/>
        <v/>
      </c>
      <c r="Z954" s="31"/>
    </row>
    <row r="955" spans="2:26">
      <c r="B955" s="2"/>
      <c r="C955" t="str">
        <f>IF(B955&lt;&gt;"",INDEX('Sales Orders'!C:C,MATCH('Booking Management'!B955,'Sales Orders'!A:A,0)),"")</f>
        <v/>
      </c>
      <c r="K955" s="31" t="str">
        <f t="shared" ca="1" si="45"/>
        <v/>
      </c>
      <c r="P955" t="str">
        <f t="shared" si="47"/>
        <v/>
      </c>
      <c r="Q955" t="str">
        <f>IFERROR((J955/SUMIFS('Sales Orders'!D:D,'Sales Orders'!A:A,B955))*SUMIFS('Sales Orders'!N:N,'Sales Orders'!A:A,B955),"")</f>
        <v/>
      </c>
      <c r="W955" s="31" t="str">
        <f t="shared" ca="1" si="46"/>
        <v/>
      </c>
      <c r="Z955" s="31"/>
    </row>
    <row r="956" spans="2:26">
      <c r="B956" s="2"/>
      <c r="C956" t="str">
        <f>IF(B956&lt;&gt;"",INDEX('Sales Orders'!C:C,MATCH('Booking Management'!B956,'Sales Orders'!A:A,0)),"")</f>
        <v/>
      </c>
      <c r="K956" s="31" t="str">
        <f t="shared" ca="1" si="45"/>
        <v/>
      </c>
      <c r="P956" t="str">
        <f t="shared" si="47"/>
        <v/>
      </c>
      <c r="Q956" t="str">
        <f>IFERROR((J956/SUMIFS('Sales Orders'!D:D,'Sales Orders'!A:A,B956))*SUMIFS('Sales Orders'!N:N,'Sales Orders'!A:A,B956),"")</f>
        <v/>
      </c>
      <c r="W956" s="31" t="str">
        <f t="shared" ca="1" si="46"/>
        <v/>
      </c>
      <c r="Z956" s="31"/>
    </row>
    <row r="957" spans="2:26">
      <c r="B957" s="2"/>
      <c r="C957" t="str">
        <f>IF(B957&lt;&gt;"",INDEX('Sales Orders'!C:C,MATCH('Booking Management'!B957,'Sales Orders'!A:A,0)),"")</f>
        <v/>
      </c>
      <c r="K957" s="31" t="str">
        <f t="shared" ca="1" si="45"/>
        <v/>
      </c>
      <c r="P957" t="str">
        <f t="shared" si="47"/>
        <v/>
      </c>
      <c r="Q957" t="str">
        <f>IFERROR((J957/SUMIFS('Sales Orders'!D:D,'Sales Orders'!A:A,B957))*SUMIFS('Sales Orders'!N:N,'Sales Orders'!A:A,B957),"")</f>
        <v/>
      </c>
      <c r="W957" s="31" t="str">
        <f t="shared" ca="1" si="46"/>
        <v/>
      </c>
      <c r="Z957" s="31"/>
    </row>
    <row r="958" spans="2:26">
      <c r="B958" s="2"/>
      <c r="C958" t="str">
        <f>IF(B958&lt;&gt;"",INDEX('Sales Orders'!C:C,MATCH('Booking Management'!B958,'Sales Orders'!A:A,0)),"")</f>
        <v/>
      </c>
      <c r="K958" s="31" t="str">
        <f t="shared" ca="1" si="45"/>
        <v/>
      </c>
      <c r="P958" t="str">
        <f t="shared" si="47"/>
        <v/>
      </c>
      <c r="Q958" t="str">
        <f>IFERROR((J958/SUMIFS('Sales Orders'!D:D,'Sales Orders'!A:A,B958))*SUMIFS('Sales Orders'!N:N,'Sales Orders'!A:A,B958),"")</f>
        <v/>
      </c>
      <c r="W958" s="31" t="str">
        <f t="shared" ca="1" si="46"/>
        <v/>
      </c>
      <c r="Z958" s="31"/>
    </row>
    <row r="959" spans="2:26">
      <c r="B959" s="2"/>
      <c r="C959" t="str">
        <f>IF(B959&lt;&gt;"",INDEX('Sales Orders'!C:C,MATCH('Booking Management'!B959,'Sales Orders'!A:A,0)),"")</f>
        <v/>
      </c>
      <c r="K959" s="31" t="str">
        <f t="shared" ca="1" si="45"/>
        <v/>
      </c>
      <c r="P959" t="str">
        <f t="shared" si="47"/>
        <v/>
      </c>
      <c r="Q959" t="str">
        <f>IFERROR((J959/SUMIFS('Sales Orders'!D:D,'Sales Orders'!A:A,B959))*SUMIFS('Sales Orders'!N:N,'Sales Orders'!A:A,B959),"")</f>
        <v/>
      </c>
      <c r="W959" s="31" t="str">
        <f t="shared" ca="1" si="46"/>
        <v/>
      </c>
      <c r="Z959" s="31"/>
    </row>
    <row r="960" spans="2:26">
      <c r="B960" s="2"/>
      <c r="C960" t="str">
        <f>IF(B960&lt;&gt;"",INDEX('Sales Orders'!C:C,MATCH('Booking Management'!B960,'Sales Orders'!A:A,0)),"")</f>
        <v/>
      </c>
      <c r="K960" s="31" t="str">
        <f t="shared" ca="1" si="45"/>
        <v/>
      </c>
      <c r="P960" t="str">
        <f t="shared" si="47"/>
        <v/>
      </c>
      <c r="Q960" t="str">
        <f>IFERROR((J960/SUMIFS('Sales Orders'!D:D,'Sales Orders'!A:A,B960))*SUMIFS('Sales Orders'!N:N,'Sales Orders'!A:A,B960),"")</f>
        <v/>
      </c>
      <c r="W960" s="31" t="str">
        <f t="shared" ca="1" si="46"/>
        <v/>
      </c>
      <c r="Z960" s="31"/>
    </row>
    <row r="961" spans="2:26">
      <c r="B961" s="2"/>
      <c r="C961" t="str">
        <f>IF(B961&lt;&gt;"",INDEX('Sales Orders'!C:C,MATCH('Booking Management'!B961,'Sales Orders'!A:A,0)),"")</f>
        <v/>
      </c>
      <c r="K961" s="31" t="str">
        <f t="shared" ca="1" si="45"/>
        <v/>
      </c>
      <c r="P961" t="str">
        <f t="shared" si="47"/>
        <v/>
      </c>
      <c r="Q961" t="str">
        <f>IFERROR((J961/SUMIFS('Sales Orders'!D:D,'Sales Orders'!A:A,B961))*SUMIFS('Sales Orders'!N:N,'Sales Orders'!A:A,B961),"")</f>
        <v/>
      </c>
      <c r="W961" s="31" t="str">
        <f t="shared" ca="1" si="46"/>
        <v/>
      </c>
      <c r="Z961" s="31"/>
    </row>
    <row r="962" spans="2:26">
      <c r="B962" s="2"/>
      <c r="C962" t="str">
        <f>IF(B962&lt;&gt;"",INDEX('Sales Orders'!C:C,MATCH('Booking Management'!B962,'Sales Orders'!A:A,0)),"")</f>
        <v/>
      </c>
      <c r="K962" s="31" t="str">
        <f t="shared" ca="1" si="45"/>
        <v/>
      </c>
      <c r="P962" t="str">
        <f t="shared" si="47"/>
        <v/>
      </c>
      <c r="Q962" t="str">
        <f>IFERROR((J962/SUMIFS('Sales Orders'!D:D,'Sales Orders'!A:A,B962))*SUMIFS('Sales Orders'!N:N,'Sales Orders'!A:A,B962),"")</f>
        <v/>
      </c>
      <c r="W962" s="31" t="str">
        <f t="shared" ca="1" si="46"/>
        <v/>
      </c>
      <c r="Z962" s="31"/>
    </row>
    <row r="963" spans="2:26">
      <c r="B963" s="2"/>
      <c r="C963" t="str">
        <f>IF(B963&lt;&gt;"",INDEX('Sales Orders'!C:C,MATCH('Booking Management'!B963,'Sales Orders'!A:A,0)),"")</f>
        <v/>
      </c>
      <c r="K963" s="31" t="str">
        <f t="shared" ref="K963:K1026" ca="1" si="48">IF(B963&lt;&gt;"",IF(AND(OR(L963-TODAY()&lt;2,M963&lt;&gt;"yes",N963&lt;&gt;"yes",O963&lt;&gt;"yes"),S963&lt;&gt;"Used"),"Alert",""),"")</f>
        <v/>
      </c>
      <c r="P963" t="str">
        <f t="shared" si="47"/>
        <v/>
      </c>
      <c r="Q963" t="str">
        <f>IFERROR((J963/SUMIFS('Sales Orders'!D:D,'Sales Orders'!A:A,B963))*SUMIFS('Sales Orders'!N:N,'Sales Orders'!A:A,B963),"")</f>
        <v/>
      </c>
      <c r="W963" s="31" t="str">
        <f t="shared" ca="1" si="46"/>
        <v/>
      </c>
      <c r="Z963" s="31"/>
    </row>
    <row r="964" spans="2:26">
      <c r="B964" s="2"/>
      <c r="C964" t="str">
        <f>IF(B964&lt;&gt;"",INDEX('Sales Orders'!C:C,MATCH('Booking Management'!B964,'Sales Orders'!A:A,0)),"")</f>
        <v/>
      </c>
      <c r="K964" s="31" t="str">
        <f t="shared" ca="1" si="48"/>
        <v/>
      </c>
      <c r="P964" t="str">
        <f t="shared" si="47"/>
        <v/>
      </c>
      <c r="Q964" t="str">
        <f>IFERROR((J964/SUMIFS('Sales Orders'!D:D,'Sales Orders'!A:A,B964))*SUMIFS('Sales Orders'!N:N,'Sales Orders'!A:A,B964),"")</f>
        <v/>
      </c>
      <c r="W964" s="31" t="str">
        <f t="shared" ca="1" si="46"/>
        <v/>
      </c>
      <c r="Z964" s="31"/>
    </row>
    <row r="965" spans="2:26">
      <c r="B965" s="2"/>
      <c r="C965" t="str">
        <f>IF(B965&lt;&gt;"",INDEX('Sales Orders'!C:C,MATCH('Booking Management'!B965,'Sales Orders'!A:A,0)),"")</f>
        <v/>
      </c>
      <c r="K965" s="31" t="str">
        <f t="shared" ca="1" si="48"/>
        <v/>
      </c>
      <c r="P965" t="str">
        <f t="shared" si="47"/>
        <v/>
      </c>
      <c r="Q965" t="str">
        <f>IFERROR((J965/SUMIFS('Sales Orders'!D:D,'Sales Orders'!A:A,B965))*SUMIFS('Sales Orders'!N:N,'Sales Orders'!A:A,B965),"")</f>
        <v/>
      </c>
      <c r="W965" s="31" t="str">
        <f t="shared" ca="1" si="46"/>
        <v/>
      </c>
      <c r="Z965" s="31"/>
    </row>
    <row r="966" spans="2:26">
      <c r="B966" s="2"/>
      <c r="C966" t="str">
        <f>IF(B966&lt;&gt;"",INDEX('Sales Orders'!C:C,MATCH('Booking Management'!B966,'Sales Orders'!A:A,0)),"")</f>
        <v/>
      </c>
      <c r="K966" s="31" t="str">
        <f t="shared" ca="1" si="48"/>
        <v/>
      </c>
      <c r="P966" t="str">
        <f t="shared" si="47"/>
        <v/>
      </c>
      <c r="Q966" t="str">
        <f>IFERROR((J966/SUMIFS('Sales Orders'!D:D,'Sales Orders'!A:A,B966))*SUMIFS('Sales Orders'!N:N,'Sales Orders'!A:A,B966),"")</f>
        <v/>
      </c>
      <c r="W966" s="31" t="str">
        <f t="shared" ca="1" si="46"/>
        <v/>
      </c>
      <c r="Z966" s="31"/>
    </row>
    <row r="967" spans="2:26">
      <c r="B967" s="2"/>
      <c r="C967" t="str">
        <f>IF(B967&lt;&gt;"",INDEX('Sales Orders'!C:C,MATCH('Booking Management'!B967,'Sales Orders'!A:A,0)),"")</f>
        <v/>
      </c>
      <c r="K967" s="31" t="str">
        <f t="shared" ca="1" si="48"/>
        <v/>
      </c>
      <c r="P967" t="str">
        <f t="shared" si="47"/>
        <v/>
      </c>
      <c r="Q967" t="str">
        <f>IFERROR((J967/SUMIFS('Sales Orders'!D:D,'Sales Orders'!A:A,B967))*SUMIFS('Sales Orders'!N:N,'Sales Orders'!A:A,B967),"")</f>
        <v/>
      </c>
      <c r="W967" s="31" t="str">
        <f t="shared" ref="W967:W1030" ca="1" si="49">IF(T967&lt;&gt;"",IF(X967="Yes","NO",IF((TODAY()-V967)&gt;6,"YES","NO")),"")</f>
        <v/>
      </c>
      <c r="Z967" s="31"/>
    </row>
    <row r="968" spans="2:26">
      <c r="B968" s="2"/>
      <c r="C968" t="str">
        <f>IF(B968&lt;&gt;"",INDEX('Sales Orders'!C:C,MATCH('Booking Management'!B968,'Sales Orders'!A:A,0)),"")</f>
        <v/>
      </c>
      <c r="K968" s="31" t="str">
        <f t="shared" ca="1" si="48"/>
        <v/>
      </c>
      <c r="P968" t="str">
        <f t="shared" si="47"/>
        <v/>
      </c>
      <c r="Q968" t="str">
        <f>IFERROR((J968/SUMIFS('Sales Orders'!D:D,'Sales Orders'!A:A,B968))*SUMIFS('Sales Orders'!N:N,'Sales Orders'!A:A,B968),"")</f>
        <v/>
      </c>
      <c r="W968" s="31" t="str">
        <f t="shared" ca="1" si="49"/>
        <v/>
      </c>
      <c r="Z968" s="31"/>
    </row>
    <row r="969" spans="2:26">
      <c r="B969" s="2"/>
      <c r="C969" t="str">
        <f>IF(B969&lt;&gt;"",INDEX('Sales Orders'!C:C,MATCH('Booking Management'!B969,'Sales Orders'!A:A,0)),"")</f>
        <v/>
      </c>
      <c r="K969" s="31" t="str">
        <f t="shared" ca="1" si="48"/>
        <v/>
      </c>
      <c r="P969" t="str">
        <f t="shared" si="47"/>
        <v/>
      </c>
      <c r="Q969" t="str">
        <f>IFERROR((J969/SUMIFS('Sales Orders'!D:D,'Sales Orders'!A:A,B969))*SUMIFS('Sales Orders'!N:N,'Sales Orders'!A:A,B969),"")</f>
        <v/>
      </c>
      <c r="W969" s="31" t="str">
        <f t="shared" ca="1" si="49"/>
        <v/>
      </c>
      <c r="Z969" s="31"/>
    </row>
    <row r="970" spans="2:26">
      <c r="B970" s="2"/>
      <c r="C970" t="str">
        <f>IF(B970&lt;&gt;"",INDEX('Sales Orders'!C:C,MATCH('Booking Management'!B970,'Sales Orders'!A:A,0)),"")</f>
        <v/>
      </c>
      <c r="K970" s="31" t="str">
        <f t="shared" ca="1" si="48"/>
        <v/>
      </c>
      <c r="P970" t="str">
        <f t="shared" si="47"/>
        <v/>
      </c>
      <c r="Q970" t="str">
        <f>IFERROR((J970/SUMIFS('Sales Orders'!D:D,'Sales Orders'!A:A,B970))*SUMIFS('Sales Orders'!N:N,'Sales Orders'!A:A,B970),"")</f>
        <v/>
      </c>
      <c r="W970" s="31" t="str">
        <f t="shared" ca="1" si="49"/>
        <v/>
      </c>
      <c r="Z970" s="31"/>
    </row>
    <row r="971" spans="2:26">
      <c r="B971" s="2"/>
      <c r="C971" t="str">
        <f>IF(B971&lt;&gt;"",INDEX('Sales Orders'!C:C,MATCH('Booking Management'!B971,'Sales Orders'!A:A,0)),"")</f>
        <v/>
      </c>
      <c r="K971" s="31" t="str">
        <f t="shared" ca="1" si="48"/>
        <v/>
      </c>
      <c r="P971" t="str">
        <f t="shared" si="47"/>
        <v/>
      </c>
      <c r="Q971" t="str">
        <f>IFERROR((J971/SUMIFS('Sales Orders'!D:D,'Sales Orders'!A:A,B971))*SUMIFS('Sales Orders'!N:N,'Sales Orders'!A:A,B971),"")</f>
        <v/>
      </c>
      <c r="W971" s="31" t="str">
        <f t="shared" ca="1" si="49"/>
        <v/>
      </c>
      <c r="Z971" s="31"/>
    </row>
    <row r="972" spans="2:26">
      <c r="B972" s="2"/>
      <c r="C972" t="str">
        <f>IF(B972&lt;&gt;"",INDEX('Sales Orders'!C:C,MATCH('Booking Management'!B972,'Sales Orders'!A:A,0)),"")</f>
        <v/>
      </c>
      <c r="K972" s="31" t="str">
        <f t="shared" ca="1" si="48"/>
        <v/>
      </c>
      <c r="P972" t="str">
        <f t="shared" si="47"/>
        <v/>
      </c>
      <c r="Q972" t="str">
        <f>IFERROR((J972/SUMIFS('Sales Orders'!D:D,'Sales Orders'!A:A,B972))*SUMIFS('Sales Orders'!N:N,'Sales Orders'!A:A,B972),"")</f>
        <v/>
      </c>
      <c r="W972" s="31" t="str">
        <f t="shared" ca="1" si="49"/>
        <v/>
      </c>
      <c r="Z972" s="31"/>
    </row>
    <row r="973" spans="2:26">
      <c r="B973" s="2"/>
      <c r="C973" t="str">
        <f>IF(B973&lt;&gt;"",INDEX('Sales Orders'!C:C,MATCH('Booking Management'!B973,'Sales Orders'!A:A,0)),"")</f>
        <v/>
      </c>
      <c r="K973" s="31" t="str">
        <f t="shared" ca="1" si="48"/>
        <v/>
      </c>
      <c r="P973" t="str">
        <f t="shared" si="47"/>
        <v/>
      </c>
      <c r="Q973" t="str">
        <f>IFERROR((J973/SUMIFS('Sales Orders'!D:D,'Sales Orders'!A:A,B973))*SUMIFS('Sales Orders'!N:N,'Sales Orders'!A:A,B973),"")</f>
        <v/>
      </c>
      <c r="W973" s="31" t="str">
        <f t="shared" ca="1" si="49"/>
        <v/>
      </c>
      <c r="Z973" s="31"/>
    </row>
    <row r="974" spans="2:26">
      <c r="B974" s="2"/>
      <c r="C974" t="str">
        <f>IF(B974&lt;&gt;"",INDEX('Sales Orders'!C:C,MATCH('Booking Management'!B974,'Sales Orders'!A:A,0)),"")</f>
        <v/>
      </c>
      <c r="K974" s="31" t="str">
        <f t="shared" ca="1" si="48"/>
        <v/>
      </c>
      <c r="P974" t="str">
        <f t="shared" si="47"/>
        <v/>
      </c>
      <c r="Q974" t="str">
        <f>IFERROR((J974/SUMIFS('Sales Orders'!D:D,'Sales Orders'!A:A,B974))*SUMIFS('Sales Orders'!N:N,'Sales Orders'!A:A,B974),"")</f>
        <v/>
      </c>
      <c r="W974" s="31" t="str">
        <f t="shared" ca="1" si="49"/>
        <v/>
      </c>
      <c r="Z974" s="31"/>
    </row>
    <row r="975" spans="2:26">
      <c r="B975" s="2"/>
      <c r="C975" t="str">
        <f>IF(B975&lt;&gt;"",INDEX('Sales Orders'!C:C,MATCH('Booking Management'!B975,'Sales Orders'!A:A,0)),"")</f>
        <v/>
      </c>
      <c r="K975" s="31" t="str">
        <f t="shared" ca="1" si="48"/>
        <v/>
      </c>
      <c r="P975" t="str">
        <f t="shared" si="47"/>
        <v/>
      </c>
      <c r="Q975" t="str">
        <f>IFERROR((J975/SUMIFS('Sales Orders'!D:D,'Sales Orders'!A:A,B975))*SUMIFS('Sales Orders'!N:N,'Sales Orders'!A:A,B975),"")</f>
        <v/>
      </c>
      <c r="W975" s="31" t="str">
        <f t="shared" ca="1" si="49"/>
        <v/>
      </c>
      <c r="Z975" s="31"/>
    </row>
    <row r="976" spans="2:26">
      <c r="B976" s="2"/>
      <c r="C976" t="str">
        <f>IF(B976&lt;&gt;"",INDEX('Sales Orders'!C:C,MATCH('Booking Management'!B976,'Sales Orders'!A:A,0)),"")</f>
        <v/>
      </c>
      <c r="K976" s="31" t="str">
        <f t="shared" ca="1" si="48"/>
        <v/>
      </c>
      <c r="P976" t="str">
        <f t="shared" si="47"/>
        <v/>
      </c>
      <c r="Q976" t="str">
        <f>IFERROR((J976/SUMIFS('Sales Orders'!D:D,'Sales Orders'!A:A,B976))*SUMIFS('Sales Orders'!N:N,'Sales Orders'!A:A,B976),"")</f>
        <v/>
      </c>
      <c r="W976" s="31" t="str">
        <f t="shared" ca="1" si="49"/>
        <v/>
      </c>
      <c r="Z976" s="31"/>
    </row>
    <row r="977" spans="2:26">
      <c r="B977" s="2"/>
      <c r="C977" t="str">
        <f>IF(B977&lt;&gt;"",INDEX('Sales Orders'!C:C,MATCH('Booking Management'!B977,'Sales Orders'!A:A,0)),"")</f>
        <v/>
      </c>
      <c r="K977" s="31" t="str">
        <f t="shared" ca="1" si="48"/>
        <v/>
      </c>
      <c r="P977" t="str">
        <f t="shared" si="47"/>
        <v/>
      </c>
      <c r="Q977" t="str">
        <f>IFERROR((J977/SUMIFS('Sales Orders'!D:D,'Sales Orders'!A:A,B977))*SUMIFS('Sales Orders'!N:N,'Sales Orders'!A:A,B977),"")</f>
        <v/>
      </c>
      <c r="W977" s="31" t="str">
        <f t="shared" ca="1" si="49"/>
        <v/>
      </c>
      <c r="Z977" s="31"/>
    </row>
    <row r="978" spans="2:26">
      <c r="B978" s="2"/>
      <c r="C978" t="str">
        <f>IF(B978&lt;&gt;"",INDEX('Sales Orders'!C:C,MATCH('Booking Management'!B978,'Sales Orders'!A:A,0)),"")</f>
        <v/>
      </c>
      <c r="K978" s="31" t="str">
        <f t="shared" ca="1" si="48"/>
        <v/>
      </c>
      <c r="P978" t="str">
        <f t="shared" si="47"/>
        <v/>
      </c>
      <c r="Q978" t="str">
        <f>IFERROR((J978/SUMIFS('Sales Orders'!D:D,'Sales Orders'!A:A,B978))*SUMIFS('Sales Orders'!N:N,'Sales Orders'!A:A,B978),"")</f>
        <v/>
      </c>
      <c r="W978" s="31" t="str">
        <f t="shared" ca="1" si="49"/>
        <v/>
      </c>
      <c r="Z978" s="31"/>
    </row>
    <row r="979" spans="2:26">
      <c r="B979" s="2"/>
      <c r="C979" t="str">
        <f>IF(B979&lt;&gt;"",INDEX('Sales Orders'!C:C,MATCH('Booking Management'!B979,'Sales Orders'!A:A,0)),"")</f>
        <v/>
      </c>
      <c r="K979" s="31" t="str">
        <f t="shared" ca="1" si="48"/>
        <v/>
      </c>
      <c r="P979" t="str">
        <f t="shared" si="47"/>
        <v/>
      </c>
      <c r="Q979" t="str">
        <f>IFERROR((J979/SUMIFS('Sales Orders'!D:D,'Sales Orders'!A:A,B979))*SUMIFS('Sales Orders'!N:N,'Sales Orders'!A:A,B979),"")</f>
        <v/>
      </c>
      <c r="W979" s="31" t="str">
        <f t="shared" ca="1" si="49"/>
        <v/>
      </c>
      <c r="Z979" s="31"/>
    </row>
    <row r="980" spans="2:26">
      <c r="B980" s="2"/>
      <c r="C980" t="str">
        <f>IF(B980&lt;&gt;"",INDEX('Sales Orders'!C:C,MATCH('Booking Management'!B980,'Sales Orders'!A:A,0)),"")</f>
        <v/>
      </c>
      <c r="K980" s="31" t="str">
        <f t="shared" ca="1" si="48"/>
        <v/>
      </c>
      <c r="P980" t="str">
        <f t="shared" si="47"/>
        <v/>
      </c>
      <c r="Q980" t="str">
        <f>IFERROR((J980/SUMIFS('Sales Orders'!D:D,'Sales Orders'!A:A,B980))*SUMIFS('Sales Orders'!N:N,'Sales Orders'!A:A,B980),"")</f>
        <v/>
      </c>
      <c r="W980" s="31" t="str">
        <f t="shared" ca="1" si="49"/>
        <v/>
      </c>
      <c r="Z980" s="31"/>
    </row>
    <row r="981" spans="2:26">
      <c r="B981" s="2"/>
      <c r="C981" t="str">
        <f>IF(B981&lt;&gt;"",INDEX('Sales Orders'!C:C,MATCH('Booking Management'!B981,'Sales Orders'!A:A,0)),"")</f>
        <v/>
      </c>
      <c r="K981" s="31" t="str">
        <f t="shared" ca="1" si="48"/>
        <v/>
      </c>
      <c r="P981" t="str">
        <f t="shared" si="47"/>
        <v/>
      </c>
      <c r="Q981" t="str">
        <f>IFERROR((J981/SUMIFS('Sales Orders'!D:D,'Sales Orders'!A:A,B981))*SUMIFS('Sales Orders'!N:N,'Sales Orders'!A:A,B981),"")</f>
        <v/>
      </c>
      <c r="W981" s="31" t="str">
        <f t="shared" ca="1" si="49"/>
        <v/>
      </c>
      <c r="Z981" s="31"/>
    </row>
    <row r="982" spans="2:26">
      <c r="B982" s="2"/>
      <c r="C982" t="str">
        <f>IF(B982&lt;&gt;"",INDEX('Sales Orders'!C:C,MATCH('Booking Management'!B982,'Sales Orders'!A:A,0)),"")</f>
        <v/>
      </c>
      <c r="K982" s="31" t="str">
        <f t="shared" ca="1" si="48"/>
        <v/>
      </c>
      <c r="P982" t="str">
        <f t="shared" si="47"/>
        <v/>
      </c>
      <c r="Q982" t="str">
        <f>IFERROR((J982/SUMIFS('Sales Orders'!D:D,'Sales Orders'!A:A,B982))*SUMIFS('Sales Orders'!N:N,'Sales Orders'!A:A,B982),"")</f>
        <v/>
      </c>
      <c r="W982" s="31" t="str">
        <f t="shared" ca="1" si="49"/>
        <v/>
      </c>
      <c r="Z982" s="31"/>
    </row>
    <row r="983" spans="2:26">
      <c r="B983" s="2"/>
      <c r="C983" t="str">
        <f>IF(B983&lt;&gt;"",INDEX('Sales Orders'!C:C,MATCH('Booking Management'!B983,'Sales Orders'!A:A,0)),"")</f>
        <v/>
      </c>
      <c r="K983" s="31" t="str">
        <f t="shared" ca="1" si="48"/>
        <v/>
      </c>
      <c r="P983" t="str">
        <f t="shared" si="47"/>
        <v/>
      </c>
      <c r="Q983" t="str">
        <f>IFERROR((J983/SUMIFS('Sales Orders'!D:D,'Sales Orders'!A:A,B983))*SUMIFS('Sales Orders'!N:N,'Sales Orders'!A:A,B983),"")</f>
        <v/>
      </c>
      <c r="W983" s="31" t="str">
        <f t="shared" ca="1" si="49"/>
        <v/>
      </c>
      <c r="Z983" s="31"/>
    </row>
    <row r="984" spans="2:26">
      <c r="B984" s="2"/>
      <c r="C984" t="str">
        <f>IF(B984&lt;&gt;"",INDEX('Sales Orders'!C:C,MATCH('Booking Management'!B984,'Sales Orders'!A:A,0)),"")</f>
        <v/>
      </c>
      <c r="K984" s="31" t="str">
        <f t="shared" ca="1" si="48"/>
        <v/>
      </c>
      <c r="P984" t="str">
        <f t="shared" si="47"/>
        <v/>
      </c>
      <c r="Q984" t="str">
        <f>IFERROR((J984/SUMIFS('Sales Orders'!D:D,'Sales Orders'!A:A,B984))*SUMIFS('Sales Orders'!N:N,'Sales Orders'!A:A,B984),"")</f>
        <v/>
      </c>
      <c r="W984" s="31" t="str">
        <f t="shared" ca="1" si="49"/>
        <v/>
      </c>
      <c r="Z984" s="31"/>
    </row>
    <row r="985" spans="2:26">
      <c r="B985" s="2"/>
      <c r="C985" t="str">
        <f>IF(B985&lt;&gt;"",INDEX('Sales Orders'!C:C,MATCH('Booking Management'!B985,'Sales Orders'!A:A,0)),"")</f>
        <v/>
      </c>
      <c r="K985" s="31" t="str">
        <f t="shared" ca="1" si="48"/>
        <v/>
      </c>
      <c r="P985" t="str">
        <f t="shared" si="47"/>
        <v/>
      </c>
      <c r="Q985" t="str">
        <f>IFERROR((J985/SUMIFS('Sales Orders'!D:D,'Sales Orders'!A:A,B985))*SUMIFS('Sales Orders'!N:N,'Sales Orders'!A:A,B985),"")</f>
        <v/>
      </c>
      <c r="W985" s="31" t="str">
        <f t="shared" ca="1" si="49"/>
        <v/>
      </c>
      <c r="Z985" s="31"/>
    </row>
    <row r="986" spans="2:26">
      <c r="B986" s="2"/>
      <c r="C986" t="str">
        <f>IF(B986&lt;&gt;"",INDEX('Sales Orders'!C:C,MATCH('Booking Management'!B986,'Sales Orders'!A:A,0)),"")</f>
        <v/>
      </c>
      <c r="K986" s="31" t="str">
        <f t="shared" ca="1" si="48"/>
        <v/>
      </c>
      <c r="P986" t="str">
        <f t="shared" si="47"/>
        <v/>
      </c>
      <c r="Q986" t="str">
        <f>IFERROR((J986/SUMIFS('Sales Orders'!D:D,'Sales Orders'!A:A,B986))*SUMIFS('Sales Orders'!N:N,'Sales Orders'!A:A,B986),"")</f>
        <v/>
      </c>
      <c r="W986" s="31" t="str">
        <f t="shared" ca="1" si="49"/>
        <v/>
      </c>
      <c r="Z986" s="31"/>
    </row>
    <row r="987" spans="2:26">
      <c r="B987" s="2"/>
      <c r="C987" t="str">
        <f>IF(B987&lt;&gt;"",INDEX('Sales Orders'!C:C,MATCH('Booking Management'!B987,'Sales Orders'!A:A,0)),"")</f>
        <v/>
      </c>
      <c r="K987" s="31" t="str">
        <f t="shared" ca="1" si="48"/>
        <v/>
      </c>
      <c r="P987" t="str">
        <f t="shared" si="47"/>
        <v/>
      </c>
      <c r="Q987" t="str">
        <f>IFERROR((J987/SUMIFS('Sales Orders'!D:D,'Sales Orders'!A:A,B987))*SUMIFS('Sales Orders'!N:N,'Sales Orders'!A:A,B987),"")</f>
        <v/>
      </c>
      <c r="W987" s="31" t="str">
        <f t="shared" ca="1" si="49"/>
        <v/>
      </c>
      <c r="Z987" s="31"/>
    </row>
    <row r="988" spans="2:26">
      <c r="B988" s="2"/>
      <c r="C988" t="str">
        <f>IF(B988&lt;&gt;"",INDEX('Sales Orders'!C:C,MATCH('Booking Management'!B988,'Sales Orders'!A:A,0)),"")</f>
        <v/>
      </c>
      <c r="K988" s="31" t="str">
        <f t="shared" ca="1" si="48"/>
        <v/>
      </c>
      <c r="P988" t="str">
        <f t="shared" si="47"/>
        <v/>
      </c>
      <c r="Q988" t="str">
        <f>IFERROR((J988/SUMIFS('Sales Orders'!D:D,'Sales Orders'!A:A,B988))*SUMIFS('Sales Orders'!N:N,'Sales Orders'!A:A,B988),"")</f>
        <v/>
      </c>
      <c r="W988" s="31" t="str">
        <f t="shared" ca="1" si="49"/>
        <v/>
      </c>
      <c r="Z988" s="31"/>
    </row>
    <row r="989" spans="2:26">
      <c r="B989" s="2"/>
      <c r="C989" t="str">
        <f>IF(B989&lt;&gt;"",INDEX('Sales Orders'!C:C,MATCH('Booking Management'!B989,'Sales Orders'!A:A,0)),"")</f>
        <v/>
      </c>
      <c r="K989" s="31" t="str">
        <f t="shared" ca="1" si="48"/>
        <v/>
      </c>
      <c r="P989" t="str">
        <f t="shared" si="47"/>
        <v/>
      </c>
      <c r="Q989" t="str">
        <f>IFERROR((J989/SUMIFS('Sales Orders'!D:D,'Sales Orders'!A:A,B989))*SUMIFS('Sales Orders'!N:N,'Sales Orders'!A:A,B989),"")</f>
        <v/>
      </c>
      <c r="W989" s="31" t="str">
        <f t="shared" ca="1" si="49"/>
        <v/>
      </c>
      <c r="Z989" s="31"/>
    </row>
    <row r="990" spans="2:26">
      <c r="B990" s="2"/>
      <c r="C990" t="str">
        <f>IF(B990&lt;&gt;"",INDEX('Sales Orders'!C:C,MATCH('Booking Management'!B990,'Sales Orders'!A:A,0)),"")</f>
        <v/>
      </c>
      <c r="K990" s="31" t="str">
        <f t="shared" ca="1" si="48"/>
        <v/>
      </c>
      <c r="P990" t="str">
        <f t="shared" si="47"/>
        <v/>
      </c>
      <c r="Q990" t="str">
        <f>IFERROR((J990/SUMIFS('Sales Orders'!D:D,'Sales Orders'!A:A,B990))*SUMIFS('Sales Orders'!N:N,'Sales Orders'!A:A,B990),"")</f>
        <v/>
      </c>
      <c r="W990" s="31" t="str">
        <f t="shared" ca="1" si="49"/>
        <v/>
      </c>
      <c r="Z990" s="31"/>
    </row>
    <row r="991" spans="2:26">
      <c r="B991" s="2"/>
      <c r="C991" t="str">
        <f>IF(B991&lt;&gt;"",INDEX('Sales Orders'!C:C,MATCH('Booking Management'!B991,'Sales Orders'!A:A,0)),"")</f>
        <v/>
      </c>
      <c r="K991" s="31" t="str">
        <f t="shared" ca="1" si="48"/>
        <v/>
      </c>
      <c r="P991" t="str">
        <f t="shared" si="47"/>
        <v/>
      </c>
      <c r="Q991" t="str">
        <f>IFERROR((J991/SUMIFS('Sales Orders'!D:D,'Sales Orders'!A:A,B991))*SUMIFS('Sales Orders'!N:N,'Sales Orders'!A:A,B991),"")</f>
        <v/>
      </c>
      <c r="W991" s="31" t="str">
        <f t="shared" ca="1" si="49"/>
        <v/>
      </c>
      <c r="Z991" s="31"/>
    </row>
    <row r="992" spans="2:26">
      <c r="B992" s="2"/>
      <c r="C992" t="str">
        <f>IF(B992&lt;&gt;"",INDEX('Sales Orders'!C:C,MATCH('Booking Management'!B992,'Sales Orders'!A:A,0)),"")</f>
        <v/>
      </c>
      <c r="K992" s="31" t="str">
        <f t="shared" ca="1" si="48"/>
        <v/>
      </c>
      <c r="P992" t="str">
        <f t="shared" si="47"/>
        <v/>
      </c>
      <c r="Q992" t="str">
        <f>IFERROR((J992/SUMIFS('Sales Orders'!D:D,'Sales Orders'!A:A,B992))*SUMIFS('Sales Orders'!N:N,'Sales Orders'!A:A,B992),"")</f>
        <v/>
      </c>
      <c r="W992" s="31" t="str">
        <f t="shared" ca="1" si="49"/>
        <v/>
      </c>
      <c r="Z992" s="31"/>
    </row>
    <row r="993" spans="2:26">
      <c r="B993" s="2"/>
      <c r="C993" t="str">
        <f>IF(B993&lt;&gt;"",INDEX('Sales Orders'!C:C,MATCH('Booking Management'!B993,'Sales Orders'!A:A,0)),"")</f>
        <v/>
      </c>
      <c r="K993" s="31" t="str">
        <f t="shared" ca="1" si="48"/>
        <v/>
      </c>
      <c r="P993" t="str">
        <f t="shared" ref="P993:P1056" si="50">IF(B993&lt;&gt;"",T993-L993,"")</f>
        <v/>
      </c>
      <c r="Q993" t="str">
        <f>IFERROR((J993/SUMIFS('Sales Orders'!D:D,'Sales Orders'!A:A,B993))*SUMIFS('Sales Orders'!N:N,'Sales Orders'!A:A,B993),"")</f>
        <v/>
      </c>
      <c r="W993" s="31" t="str">
        <f t="shared" ca="1" si="49"/>
        <v/>
      </c>
      <c r="Z993" s="31"/>
    </row>
    <row r="994" spans="2:26">
      <c r="B994" s="2"/>
      <c r="C994" t="str">
        <f>IF(B994&lt;&gt;"",INDEX('Sales Orders'!C:C,MATCH('Booking Management'!B994,'Sales Orders'!A:A,0)),"")</f>
        <v/>
      </c>
      <c r="K994" s="31" t="str">
        <f t="shared" ca="1" si="48"/>
        <v/>
      </c>
      <c r="P994" t="str">
        <f t="shared" si="50"/>
        <v/>
      </c>
      <c r="Q994" t="str">
        <f>IFERROR((J994/SUMIFS('Sales Orders'!D:D,'Sales Orders'!A:A,B994))*SUMIFS('Sales Orders'!N:N,'Sales Orders'!A:A,B994),"")</f>
        <v/>
      </c>
      <c r="W994" s="31" t="str">
        <f t="shared" ca="1" si="49"/>
        <v/>
      </c>
      <c r="Z994" s="31"/>
    </row>
    <row r="995" spans="2:26">
      <c r="B995" s="2"/>
      <c r="C995" t="str">
        <f>IF(B995&lt;&gt;"",INDEX('Sales Orders'!C:C,MATCH('Booking Management'!B995,'Sales Orders'!A:A,0)),"")</f>
        <v/>
      </c>
      <c r="K995" s="31" t="str">
        <f t="shared" ca="1" si="48"/>
        <v/>
      </c>
      <c r="P995" t="str">
        <f t="shared" si="50"/>
        <v/>
      </c>
      <c r="Q995" t="str">
        <f>IFERROR((J995/SUMIFS('Sales Orders'!D:D,'Sales Orders'!A:A,B995))*SUMIFS('Sales Orders'!N:N,'Sales Orders'!A:A,B995),"")</f>
        <v/>
      </c>
      <c r="W995" s="31" t="str">
        <f t="shared" ca="1" si="49"/>
        <v/>
      </c>
      <c r="Z995" s="31"/>
    </row>
    <row r="996" spans="2:26">
      <c r="B996" s="2"/>
      <c r="C996" t="str">
        <f>IF(B996&lt;&gt;"",INDEX('Sales Orders'!C:C,MATCH('Booking Management'!B996,'Sales Orders'!A:A,0)),"")</f>
        <v/>
      </c>
      <c r="K996" s="31" t="str">
        <f t="shared" ca="1" si="48"/>
        <v/>
      </c>
      <c r="P996" t="str">
        <f t="shared" si="50"/>
        <v/>
      </c>
      <c r="Q996" t="str">
        <f>IFERROR((J996/SUMIFS('Sales Orders'!D:D,'Sales Orders'!A:A,B996))*SUMIFS('Sales Orders'!N:N,'Sales Orders'!A:A,B996),"")</f>
        <v/>
      </c>
      <c r="W996" s="31" t="str">
        <f t="shared" ca="1" si="49"/>
        <v/>
      </c>
      <c r="Z996" s="31"/>
    </row>
    <row r="997" spans="2:26">
      <c r="B997" s="2"/>
      <c r="C997" t="str">
        <f>IF(B997&lt;&gt;"",INDEX('Sales Orders'!C:C,MATCH('Booking Management'!B997,'Sales Orders'!A:A,0)),"")</f>
        <v/>
      </c>
      <c r="K997" s="31" t="str">
        <f t="shared" ca="1" si="48"/>
        <v/>
      </c>
      <c r="P997" t="str">
        <f t="shared" si="50"/>
        <v/>
      </c>
      <c r="Q997" t="str">
        <f>IFERROR((J997/SUMIFS('Sales Orders'!D:D,'Sales Orders'!A:A,B997))*SUMIFS('Sales Orders'!N:N,'Sales Orders'!A:A,B997),"")</f>
        <v/>
      </c>
      <c r="W997" s="31" t="str">
        <f t="shared" ca="1" si="49"/>
        <v/>
      </c>
      <c r="Z997" s="31"/>
    </row>
    <row r="998" spans="2:26">
      <c r="B998" s="2"/>
      <c r="C998" t="str">
        <f>IF(B998&lt;&gt;"",INDEX('Sales Orders'!C:C,MATCH('Booking Management'!B998,'Sales Orders'!A:A,0)),"")</f>
        <v/>
      </c>
      <c r="K998" s="31" t="str">
        <f t="shared" ca="1" si="48"/>
        <v/>
      </c>
      <c r="P998" t="str">
        <f t="shared" si="50"/>
        <v/>
      </c>
      <c r="Q998" t="str">
        <f>IFERROR((J998/SUMIFS('Sales Orders'!D:D,'Sales Orders'!A:A,B998))*SUMIFS('Sales Orders'!N:N,'Sales Orders'!A:A,B998),"")</f>
        <v/>
      </c>
      <c r="W998" s="31" t="str">
        <f t="shared" ca="1" si="49"/>
        <v/>
      </c>
      <c r="Z998" s="31"/>
    </row>
    <row r="999" spans="2:26">
      <c r="B999" s="2"/>
      <c r="C999" t="str">
        <f>IF(B999&lt;&gt;"",INDEX('Sales Orders'!C:C,MATCH('Booking Management'!B999,'Sales Orders'!A:A,0)),"")</f>
        <v/>
      </c>
      <c r="K999" s="31" t="str">
        <f t="shared" ca="1" si="48"/>
        <v/>
      </c>
      <c r="P999" t="str">
        <f t="shared" si="50"/>
        <v/>
      </c>
      <c r="Q999" t="str">
        <f>IFERROR((J999/SUMIFS('Sales Orders'!D:D,'Sales Orders'!A:A,B999))*SUMIFS('Sales Orders'!N:N,'Sales Orders'!A:A,B999),"")</f>
        <v/>
      </c>
      <c r="W999" s="31" t="str">
        <f t="shared" ca="1" si="49"/>
        <v/>
      </c>
      <c r="Z999" s="31"/>
    </row>
    <row r="1000" spans="2:26">
      <c r="B1000" s="2"/>
      <c r="C1000" t="str">
        <f>IF(B1000&lt;&gt;"",INDEX('Sales Orders'!C:C,MATCH('Booking Management'!B1000,'Sales Orders'!A:A,0)),"")</f>
        <v/>
      </c>
      <c r="K1000" s="31" t="str">
        <f t="shared" ca="1" si="48"/>
        <v/>
      </c>
      <c r="P1000" t="str">
        <f t="shared" si="50"/>
        <v/>
      </c>
      <c r="Q1000" t="str">
        <f>IFERROR((J1000/SUMIFS('Sales Orders'!D:D,'Sales Orders'!A:A,B1000))*SUMIFS('Sales Orders'!N:N,'Sales Orders'!A:A,B1000),"")</f>
        <v/>
      </c>
      <c r="W1000" s="31" t="str">
        <f t="shared" ca="1" si="49"/>
        <v/>
      </c>
      <c r="Z1000" s="31"/>
    </row>
    <row r="1001" spans="2:26">
      <c r="B1001" s="2"/>
      <c r="C1001" t="str">
        <f>IF(B1001&lt;&gt;"",INDEX('Sales Orders'!C:C,MATCH('Booking Management'!B1001,'Sales Orders'!A:A,0)),"")</f>
        <v/>
      </c>
      <c r="K1001" s="31" t="str">
        <f t="shared" ca="1" si="48"/>
        <v/>
      </c>
      <c r="P1001" t="str">
        <f t="shared" si="50"/>
        <v/>
      </c>
      <c r="Q1001" t="str">
        <f>IFERROR((J1001/SUMIFS('Sales Orders'!D:D,'Sales Orders'!A:A,B1001))*SUMIFS('Sales Orders'!N:N,'Sales Orders'!A:A,B1001),"")</f>
        <v/>
      </c>
      <c r="W1001" s="31" t="str">
        <f t="shared" ca="1" si="49"/>
        <v/>
      </c>
      <c r="Z1001" s="31"/>
    </row>
    <row r="1002" spans="2:26">
      <c r="B1002" s="2"/>
      <c r="C1002" t="str">
        <f>IF(B1002&lt;&gt;"",INDEX('Sales Orders'!C:C,MATCH('Booking Management'!B1002,'Sales Orders'!A:A,0)),"")</f>
        <v/>
      </c>
      <c r="K1002" s="31" t="str">
        <f t="shared" ca="1" si="48"/>
        <v/>
      </c>
      <c r="P1002" t="str">
        <f t="shared" si="50"/>
        <v/>
      </c>
      <c r="Q1002" t="str">
        <f>IFERROR((J1002/SUMIFS('Sales Orders'!D:D,'Sales Orders'!A:A,B1002))*SUMIFS('Sales Orders'!N:N,'Sales Orders'!A:A,B1002),"")</f>
        <v/>
      </c>
      <c r="W1002" s="31" t="str">
        <f t="shared" ca="1" si="49"/>
        <v/>
      </c>
      <c r="Z1002" s="31"/>
    </row>
    <row r="1003" spans="2:26">
      <c r="B1003" s="2"/>
      <c r="C1003" t="str">
        <f>IF(B1003&lt;&gt;"",INDEX('Sales Orders'!C:C,MATCH('Booking Management'!B1003,'Sales Orders'!A:A,0)),"")</f>
        <v/>
      </c>
      <c r="K1003" s="31" t="str">
        <f t="shared" ca="1" si="48"/>
        <v/>
      </c>
      <c r="P1003" t="str">
        <f t="shared" si="50"/>
        <v/>
      </c>
      <c r="Q1003" t="str">
        <f>IFERROR((J1003/SUMIFS('Sales Orders'!D:D,'Sales Orders'!A:A,B1003))*SUMIFS('Sales Orders'!N:N,'Sales Orders'!A:A,B1003),"")</f>
        <v/>
      </c>
      <c r="W1003" s="31" t="str">
        <f t="shared" ca="1" si="49"/>
        <v/>
      </c>
      <c r="Z1003" s="31"/>
    </row>
    <row r="1004" spans="2:26">
      <c r="B1004" s="2"/>
      <c r="C1004" t="str">
        <f>IF(B1004&lt;&gt;"",INDEX('Sales Orders'!C:C,MATCH('Booking Management'!B1004,'Sales Orders'!A:A,0)),"")</f>
        <v/>
      </c>
      <c r="K1004" s="31" t="str">
        <f t="shared" ca="1" si="48"/>
        <v/>
      </c>
      <c r="P1004" t="str">
        <f t="shared" si="50"/>
        <v/>
      </c>
      <c r="Q1004" t="str">
        <f>IFERROR((J1004/SUMIFS('Sales Orders'!D:D,'Sales Orders'!A:A,B1004))*SUMIFS('Sales Orders'!N:N,'Sales Orders'!A:A,B1004),"")</f>
        <v/>
      </c>
      <c r="W1004" s="31" t="str">
        <f t="shared" ca="1" si="49"/>
        <v/>
      </c>
      <c r="Z1004" s="31"/>
    </row>
    <row r="1005" spans="2:26">
      <c r="B1005" s="2"/>
      <c r="C1005" t="str">
        <f>IF(B1005&lt;&gt;"",INDEX('Sales Orders'!C:C,MATCH('Booking Management'!B1005,'Sales Orders'!A:A,0)),"")</f>
        <v/>
      </c>
      <c r="K1005" s="31" t="str">
        <f t="shared" ca="1" si="48"/>
        <v/>
      </c>
      <c r="P1005" t="str">
        <f t="shared" si="50"/>
        <v/>
      </c>
      <c r="Q1005" t="str">
        <f>IFERROR((J1005/SUMIFS('Sales Orders'!D:D,'Sales Orders'!A:A,B1005))*SUMIFS('Sales Orders'!N:N,'Sales Orders'!A:A,B1005),"")</f>
        <v/>
      </c>
      <c r="W1005" s="31" t="str">
        <f t="shared" ca="1" si="49"/>
        <v/>
      </c>
      <c r="Z1005" s="31"/>
    </row>
    <row r="1006" spans="2:26">
      <c r="B1006" s="2"/>
      <c r="C1006" t="str">
        <f>IF(B1006&lt;&gt;"",INDEX('Sales Orders'!C:C,MATCH('Booking Management'!B1006,'Sales Orders'!A:A,0)),"")</f>
        <v/>
      </c>
      <c r="K1006" s="31" t="str">
        <f t="shared" ca="1" si="48"/>
        <v/>
      </c>
      <c r="P1006" t="str">
        <f t="shared" si="50"/>
        <v/>
      </c>
      <c r="Q1006" t="str">
        <f>IFERROR((J1006/SUMIFS('Sales Orders'!D:D,'Sales Orders'!A:A,B1006))*SUMIFS('Sales Orders'!N:N,'Sales Orders'!A:A,B1006),"")</f>
        <v/>
      </c>
      <c r="W1006" s="31" t="str">
        <f t="shared" ca="1" si="49"/>
        <v/>
      </c>
      <c r="Z1006" s="31"/>
    </row>
    <row r="1007" spans="2:26">
      <c r="B1007" s="2"/>
      <c r="C1007" t="str">
        <f>IF(B1007&lt;&gt;"",INDEX('Sales Orders'!C:C,MATCH('Booking Management'!B1007,'Sales Orders'!A:A,0)),"")</f>
        <v/>
      </c>
      <c r="K1007" s="31" t="str">
        <f t="shared" ca="1" si="48"/>
        <v/>
      </c>
      <c r="P1007" t="str">
        <f t="shared" si="50"/>
        <v/>
      </c>
      <c r="Q1007" t="str">
        <f>IFERROR((J1007/SUMIFS('Sales Orders'!D:D,'Sales Orders'!A:A,B1007))*SUMIFS('Sales Orders'!N:N,'Sales Orders'!A:A,B1007),"")</f>
        <v/>
      </c>
      <c r="W1007" s="31" t="str">
        <f t="shared" ca="1" si="49"/>
        <v/>
      </c>
      <c r="Z1007" s="31"/>
    </row>
    <row r="1008" spans="2:26">
      <c r="B1008" s="2"/>
      <c r="C1008" t="str">
        <f>IF(B1008&lt;&gt;"",INDEX('Sales Orders'!C:C,MATCH('Booking Management'!B1008,'Sales Orders'!A:A,0)),"")</f>
        <v/>
      </c>
      <c r="K1008" s="31" t="str">
        <f t="shared" ca="1" si="48"/>
        <v/>
      </c>
      <c r="P1008" t="str">
        <f t="shared" si="50"/>
        <v/>
      </c>
      <c r="Q1008" t="str">
        <f>IFERROR((J1008/SUMIFS('Sales Orders'!D:D,'Sales Orders'!A:A,B1008))*SUMIFS('Sales Orders'!N:N,'Sales Orders'!A:A,B1008),"")</f>
        <v/>
      </c>
      <c r="W1008" s="31" t="str">
        <f t="shared" ca="1" si="49"/>
        <v/>
      </c>
      <c r="Z1008" s="31"/>
    </row>
    <row r="1009" spans="2:26">
      <c r="B1009" s="2"/>
      <c r="C1009" t="str">
        <f>IF(B1009&lt;&gt;"",INDEX('Sales Orders'!C:C,MATCH('Booking Management'!B1009,'Sales Orders'!A:A,0)),"")</f>
        <v/>
      </c>
      <c r="K1009" s="31" t="str">
        <f t="shared" ca="1" si="48"/>
        <v/>
      </c>
      <c r="P1009" t="str">
        <f t="shared" si="50"/>
        <v/>
      </c>
      <c r="Q1009" t="str">
        <f>IFERROR((J1009/SUMIFS('Sales Orders'!D:D,'Sales Orders'!A:A,B1009))*SUMIFS('Sales Orders'!N:N,'Sales Orders'!A:A,B1009),"")</f>
        <v/>
      </c>
      <c r="W1009" s="31" t="str">
        <f t="shared" ca="1" si="49"/>
        <v/>
      </c>
      <c r="Z1009" s="31"/>
    </row>
    <row r="1010" spans="2:26">
      <c r="B1010" s="2"/>
      <c r="C1010" t="str">
        <f>IF(B1010&lt;&gt;"",INDEX('Sales Orders'!C:C,MATCH('Booking Management'!B1010,'Sales Orders'!A:A,0)),"")</f>
        <v/>
      </c>
      <c r="K1010" s="31" t="str">
        <f t="shared" ca="1" si="48"/>
        <v/>
      </c>
      <c r="P1010" t="str">
        <f t="shared" si="50"/>
        <v/>
      </c>
      <c r="Q1010" t="str">
        <f>IFERROR((J1010/SUMIFS('Sales Orders'!D:D,'Sales Orders'!A:A,B1010))*SUMIFS('Sales Orders'!N:N,'Sales Orders'!A:A,B1010),"")</f>
        <v/>
      </c>
      <c r="W1010" s="31" t="str">
        <f t="shared" ca="1" si="49"/>
        <v/>
      </c>
      <c r="Z1010" s="31"/>
    </row>
    <row r="1011" spans="2:26">
      <c r="B1011" s="2"/>
      <c r="C1011" t="str">
        <f>IF(B1011&lt;&gt;"",INDEX('Sales Orders'!C:C,MATCH('Booking Management'!B1011,'Sales Orders'!A:A,0)),"")</f>
        <v/>
      </c>
      <c r="K1011" s="31" t="str">
        <f t="shared" ca="1" si="48"/>
        <v/>
      </c>
      <c r="P1011" t="str">
        <f t="shared" si="50"/>
        <v/>
      </c>
      <c r="Q1011" t="str">
        <f>IFERROR((J1011/SUMIFS('Sales Orders'!D:D,'Sales Orders'!A:A,B1011))*SUMIFS('Sales Orders'!N:N,'Sales Orders'!A:A,B1011),"")</f>
        <v/>
      </c>
      <c r="W1011" s="31" t="str">
        <f t="shared" ca="1" si="49"/>
        <v/>
      </c>
      <c r="Z1011" s="31"/>
    </row>
    <row r="1012" spans="2:26">
      <c r="B1012" s="2"/>
      <c r="C1012" t="str">
        <f>IF(B1012&lt;&gt;"",INDEX('Sales Orders'!C:C,MATCH('Booking Management'!B1012,'Sales Orders'!A:A,0)),"")</f>
        <v/>
      </c>
      <c r="K1012" s="31" t="str">
        <f t="shared" ca="1" si="48"/>
        <v/>
      </c>
      <c r="P1012" t="str">
        <f t="shared" si="50"/>
        <v/>
      </c>
      <c r="Q1012" t="str">
        <f>IFERROR((J1012/SUMIFS('Sales Orders'!D:D,'Sales Orders'!A:A,B1012))*SUMIFS('Sales Orders'!N:N,'Sales Orders'!A:A,B1012),"")</f>
        <v/>
      </c>
      <c r="W1012" s="31" t="str">
        <f t="shared" ca="1" si="49"/>
        <v/>
      </c>
      <c r="Z1012" s="31"/>
    </row>
    <row r="1013" spans="2:26">
      <c r="B1013" s="2"/>
      <c r="C1013" t="str">
        <f>IF(B1013&lt;&gt;"",INDEX('Sales Orders'!C:C,MATCH('Booking Management'!B1013,'Sales Orders'!A:A,0)),"")</f>
        <v/>
      </c>
      <c r="K1013" s="31" t="str">
        <f t="shared" ca="1" si="48"/>
        <v/>
      </c>
      <c r="P1013" t="str">
        <f t="shared" si="50"/>
        <v/>
      </c>
      <c r="Q1013" t="str">
        <f>IFERROR((J1013/SUMIFS('Sales Orders'!D:D,'Sales Orders'!A:A,B1013))*SUMIFS('Sales Orders'!N:N,'Sales Orders'!A:A,B1013),"")</f>
        <v/>
      </c>
      <c r="W1013" s="31" t="str">
        <f t="shared" ca="1" si="49"/>
        <v/>
      </c>
      <c r="Z1013" s="31"/>
    </row>
    <row r="1014" spans="2:26">
      <c r="B1014" s="2"/>
      <c r="C1014" t="str">
        <f>IF(B1014&lt;&gt;"",INDEX('Sales Orders'!C:C,MATCH('Booking Management'!B1014,'Sales Orders'!A:A,0)),"")</f>
        <v/>
      </c>
      <c r="K1014" s="31" t="str">
        <f t="shared" ca="1" si="48"/>
        <v/>
      </c>
      <c r="P1014" t="str">
        <f t="shared" si="50"/>
        <v/>
      </c>
      <c r="Q1014" t="str">
        <f>IFERROR((J1014/SUMIFS('Sales Orders'!D:D,'Sales Orders'!A:A,B1014))*SUMIFS('Sales Orders'!N:N,'Sales Orders'!A:A,B1014),"")</f>
        <v/>
      </c>
      <c r="W1014" s="31" t="str">
        <f t="shared" ca="1" si="49"/>
        <v/>
      </c>
      <c r="Z1014" s="31"/>
    </row>
    <row r="1015" spans="2:26">
      <c r="B1015" s="2"/>
      <c r="C1015" t="str">
        <f>IF(B1015&lt;&gt;"",INDEX('Sales Orders'!C:C,MATCH('Booking Management'!B1015,'Sales Orders'!A:A,0)),"")</f>
        <v/>
      </c>
      <c r="K1015" s="31" t="str">
        <f t="shared" ca="1" si="48"/>
        <v/>
      </c>
      <c r="P1015" t="str">
        <f t="shared" si="50"/>
        <v/>
      </c>
      <c r="Q1015" t="str">
        <f>IFERROR((J1015/SUMIFS('Sales Orders'!D:D,'Sales Orders'!A:A,B1015))*SUMIFS('Sales Orders'!N:N,'Sales Orders'!A:A,B1015),"")</f>
        <v/>
      </c>
      <c r="W1015" s="31" t="str">
        <f t="shared" ca="1" si="49"/>
        <v/>
      </c>
      <c r="Z1015" s="31"/>
    </row>
    <row r="1016" spans="2:26">
      <c r="B1016" s="2"/>
      <c r="C1016" t="str">
        <f>IF(B1016&lt;&gt;"",INDEX('Sales Orders'!C:C,MATCH('Booking Management'!B1016,'Sales Orders'!A:A,0)),"")</f>
        <v/>
      </c>
      <c r="K1016" s="31" t="str">
        <f t="shared" ca="1" si="48"/>
        <v/>
      </c>
      <c r="P1016" t="str">
        <f t="shared" si="50"/>
        <v/>
      </c>
      <c r="Q1016" t="str">
        <f>IFERROR((J1016/SUMIFS('Sales Orders'!D:D,'Sales Orders'!A:A,B1016))*SUMIFS('Sales Orders'!N:N,'Sales Orders'!A:A,B1016),"")</f>
        <v/>
      </c>
      <c r="W1016" s="31" t="str">
        <f t="shared" ca="1" si="49"/>
        <v/>
      </c>
      <c r="Z1016" s="31"/>
    </row>
    <row r="1017" spans="2:26">
      <c r="B1017" s="2"/>
      <c r="C1017" t="str">
        <f>IF(B1017&lt;&gt;"",INDEX('Sales Orders'!C:C,MATCH('Booking Management'!B1017,'Sales Orders'!A:A,0)),"")</f>
        <v/>
      </c>
      <c r="K1017" s="31" t="str">
        <f t="shared" ca="1" si="48"/>
        <v/>
      </c>
      <c r="P1017" t="str">
        <f t="shared" si="50"/>
        <v/>
      </c>
      <c r="Q1017" t="str">
        <f>IFERROR((J1017/SUMIFS('Sales Orders'!D:D,'Sales Orders'!A:A,B1017))*SUMIFS('Sales Orders'!N:N,'Sales Orders'!A:A,B1017),"")</f>
        <v/>
      </c>
      <c r="W1017" s="31" t="str">
        <f t="shared" ca="1" si="49"/>
        <v/>
      </c>
      <c r="Z1017" s="31"/>
    </row>
    <row r="1018" spans="2:26">
      <c r="B1018" s="2"/>
      <c r="C1018" t="str">
        <f>IF(B1018&lt;&gt;"",INDEX('Sales Orders'!C:C,MATCH('Booking Management'!B1018,'Sales Orders'!A:A,0)),"")</f>
        <v/>
      </c>
      <c r="K1018" s="31" t="str">
        <f t="shared" ca="1" si="48"/>
        <v/>
      </c>
      <c r="P1018" t="str">
        <f t="shared" si="50"/>
        <v/>
      </c>
      <c r="Q1018" t="str">
        <f>IFERROR((J1018/SUMIFS('Sales Orders'!D:D,'Sales Orders'!A:A,B1018))*SUMIFS('Sales Orders'!N:N,'Sales Orders'!A:A,B1018),"")</f>
        <v/>
      </c>
      <c r="W1018" s="31" t="str">
        <f t="shared" ca="1" si="49"/>
        <v/>
      </c>
      <c r="Z1018" s="31"/>
    </row>
    <row r="1019" spans="2:26">
      <c r="B1019" s="2"/>
      <c r="C1019" t="str">
        <f>IF(B1019&lt;&gt;"",INDEX('Sales Orders'!C:C,MATCH('Booking Management'!B1019,'Sales Orders'!A:A,0)),"")</f>
        <v/>
      </c>
      <c r="K1019" s="31" t="str">
        <f t="shared" ca="1" si="48"/>
        <v/>
      </c>
      <c r="P1019" t="str">
        <f t="shared" si="50"/>
        <v/>
      </c>
      <c r="Q1019" t="str">
        <f>IFERROR((J1019/SUMIFS('Sales Orders'!D:D,'Sales Orders'!A:A,B1019))*SUMIFS('Sales Orders'!N:N,'Sales Orders'!A:A,B1019),"")</f>
        <v/>
      </c>
      <c r="W1019" s="31" t="str">
        <f t="shared" ca="1" si="49"/>
        <v/>
      </c>
      <c r="Z1019" s="31"/>
    </row>
    <row r="1020" spans="2:26">
      <c r="B1020" s="2"/>
      <c r="C1020" t="str">
        <f>IF(B1020&lt;&gt;"",INDEX('Sales Orders'!C:C,MATCH('Booking Management'!B1020,'Sales Orders'!A:A,0)),"")</f>
        <v/>
      </c>
      <c r="K1020" s="31" t="str">
        <f t="shared" ca="1" si="48"/>
        <v/>
      </c>
      <c r="P1020" t="str">
        <f t="shared" si="50"/>
        <v/>
      </c>
      <c r="Q1020" t="str">
        <f>IFERROR((J1020/SUMIFS('Sales Orders'!D:D,'Sales Orders'!A:A,B1020))*SUMIFS('Sales Orders'!N:N,'Sales Orders'!A:A,B1020),"")</f>
        <v/>
      </c>
      <c r="W1020" s="31" t="str">
        <f t="shared" ca="1" si="49"/>
        <v/>
      </c>
      <c r="Z1020" s="31"/>
    </row>
    <row r="1021" spans="2:26">
      <c r="B1021" s="2"/>
      <c r="C1021" t="str">
        <f>IF(B1021&lt;&gt;"",INDEX('Sales Orders'!C:C,MATCH('Booking Management'!B1021,'Sales Orders'!A:A,0)),"")</f>
        <v/>
      </c>
      <c r="K1021" s="31" t="str">
        <f t="shared" ca="1" si="48"/>
        <v/>
      </c>
      <c r="P1021" t="str">
        <f t="shared" si="50"/>
        <v/>
      </c>
      <c r="Q1021" t="str">
        <f>IFERROR((J1021/SUMIFS('Sales Orders'!D:D,'Sales Orders'!A:A,B1021))*SUMIFS('Sales Orders'!N:N,'Sales Orders'!A:A,B1021),"")</f>
        <v/>
      </c>
      <c r="W1021" s="31" t="str">
        <f t="shared" ca="1" si="49"/>
        <v/>
      </c>
      <c r="Z1021" s="31"/>
    </row>
    <row r="1022" spans="2:26">
      <c r="B1022" s="2"/>
      <c r="C1022" t="str">
        <f>IF(B1022&lt;&gt;"",INDEX('Sales Orders'!C:C,MATCH('Booking Management'!B1022,'Sales Orders'!A:A,0)),"")</f>
        <v/>
      </c>
      <c r="K1022" s="31" t="str">
        <f t="shared" ca="1" si="48"/>
        <v/>
      </c>
      <c r="P1022" t="str">
        <f t="shared" si="50"/>
        <v/>
      </c>
      <c r="Q1022" t="str">
        <f>IFERROR((J1022/SUMIFS('Sales Orders'!D:D,'Sales Orders'!A:A,B1022))*SUMIFS('Sales Orders'!N:N,'Sales Orders'!A:A,B1022),"")</f>
        <v/>
      </c>
      <c r="W1022" s="31" t="str">
        <f t="shared" ca="1" si="49"/>
        <v/>
      </c>
      <c r="Z1022" s="31"/>
    </row>
    <row r="1023" spans="2:26">
      <c r="B1023" s="2"/>
      <c r="C1023" t="str">
        <f>IF(B1023&lt;&gt;"",INDEX('Sales Orders'!C:C,MATCH('Booking Management'!B1023,'Sales Orders'!A:A,0)),"")</f>
        <v/>
      </c>
      <c r="K1023" s="31" t="str">
        <f t="shared" ca="1" si="48"/>
        <v/>
      </c>
      <c r="P1023" t="str">
        <f t="shared" si="50"/>
        <v/>
      </c>
      <c r="Q1023" t="str">
        <f>IFERROR((J1023/SUMIFS('Sales Orders'!D:D,'Sales Orders'!A:A,B1023))*SUMIFS('Sales Orders'!N:N,'Sales Orders'!A:A,B1023),"")</f>
        <v/>
      </c>
      <c r="W1023" s="31" t="str">
        <f t="shared" ca="1" si="49"/>
        <v/>
      </c>
      <c r="Z1023" s="31"/>
    </row>
    <row r="1024" spans="2:26">
      <c r="B1024" s="2"/>
      <c r="C1024" t="str">
        <f>IF(B1024&lt;&gt;"",INDEX('Sales Orders'!C:C,MATCH('Booking Management'!B1024,'Sales Orders'!A:A,0)),"")</f>
        <v/>
      </c>
      <c r="K1024" s="31" t="str">
        <f t="shared" ca="1" si="48"/>
        <v/>
      </c>
      <c r="P1024" t="str">
        <f t="shared" si="50"/>
        <v/>
      </c>
      <c r="Q1024" t="str">
        <f>IFERROR((J1024/SUMIFS('Sales Orders'!D:D,'Sales Orders'!A:A,B1024))*SUMIFS('Sales Orders'!N:N,'Sales Orders'!A:A,B1024),"")</f>
        <v/>
      </c>
      <c r="W1024" s="31" t="str">
        <f t="shared" ca="1" si="49"/>
        <v/>
      </c>
      <c r="Z1024" s="31"/>
    </row>
    <row r="1025" spans="2:26">
      <c r="B1025" s="2"/>
      <c r="C1025" t="str">
        <f>IF(B1025&lt;&gt;"",INDEX('Sales Orders'!C:C,MATCH('Booking Management'!B1025,'Sales Orders'!A:A,0)),"")</f>
        <v/>
      </c>
      <c r="K1025" s="31" t="str">
        <f t="shared" ca="1" si="48"/>
        <v/>
      </c>
      <c r="P1025" t="str">
        <f t="shared" si="50"/>
        <v/>
      </c>
      <c r="Q1025" t="str">
        <f>IFERROR((J1025/SUMIFS('Sales Orders'!D:D,'Sales Orders'!A:A,B1025))*SUMIFS('Sales Orders'!N:N,'Sales Orders'!A:A,B1025),"")</f>
        <v/>
      </c>
      <c r="W1025" s="31" t="str">
        <f t="shared" ca="1" si="49"/>
        <v/>
      </c>
      <c r="Z1025" s="31"/>
    </row>
    <row r="1026" spans="2:26">
      <c r="B1026" s="2"/>
      <c r="C1026" t="str">
        <f>IF(B1026&lt;&gt;"",INDEX('Sales Orders'!C:C,MATCH('Booking Management'!B1026,'Sales Orders'!A:A,0)),"")</f>
        <v/>
      </c>
      <c r="K1026" s="31" t="str">
        <f t="shared" ca="1" si="48"/>
        <v/>
      </c>
      <c r="P1026" t="str">
        <f t="shared" si="50"/>
        <v/>
      </c>
      <c r="Q1026" t="str">
        <f>IFERROR((J1026/SUMIFS('Sales Orders'!D:D,'Sales Orders'!A:A,B1026))*SUMIFS('Sales Orders'!N:N,'Sales Orders'!A:A,B1026),"")</f>
        <v/>
      </c>
      <c r="W1026" s="31" t="str">
        <f t="shared" ca="1" si="49"/>
        <v/>
      </c>
      <c r="Z1026" s="31"/>
    </row>
    <row r="1027" spans="2:26">
      <c r="B1027" s="2"/>
      <c r="C1027" t="str">
        <f>IF(B1027&lt;&gt;"",INDEX('Sales Orders'!C:C,MATCH('Booking Management'!B1027,'Sales Orders'!A:A,0)),"")</f>
        <v/>
      </c>
      <c r="K1027" s="31" t="str">
        <f t="shared" ref="K1027:K1090" ca="1" si="51">IF(B1027&lt;&gt;"",IF(AND(OR(L1027-TODAY()&lt;2,M1027&lt;&gt;"yes",N1027&lt;&gt;"yes",O1027&lt;&gt;"yes"),S1027&lt;&gt;"Used"),"Alert",""),"")</f>
        <v/>
      </c>
      <c r="P1027" t="str">
        <f t="shared" si="50"/>
        <v/>
      </c>
      <c r="Q1027" t="str">
        <f>IFERROR((J1027/SUMIFS('Sales Orders'!D:D,'Sales Orders'!A:A,B1027))*SUMIFS('Sales Orders'!N:N,'Sales Orders'!A:A,B1027),"")</f>
        <v/>
      </c>
      <c r="W1027" s="31" t="str">
        <f t="shared" ca="1" si="49"/>
        <v/>
      </c>
      <c r="Z1027" s="31"/>
    </row>
    <row r="1028" spans="2:26">
      <c r="B1028" s="2"/>
      <c r="C1028" t="str">
        <f>IF(B1028&lt;&gt;"",INDEX('Sales Orders'!C:C,MATCH('Booking Management'!B1028,'Sales Orders'!A:A,0)),"")</f>
        <v/>
      </c>
      <c r="K1028" s="31" t="str">
        <f t="shared" ca="1" si="51"/>
        <v/>
      </c>
      <c r="P1028" t="str">
        <f t="shared" si="50"/>
        <v/>
      </c>
      <c r="Q1028" t="str">
        <f>IFERROR((J1028/SUMIFS('Sales Orders'!D:D,'Sales Orders'!A:A,B1028))*SUMIFS('Sales Orders'!N:N,'Sales Orders'!A:A,B1028),"")</f>
        <v/>
      </c>
      <c r="W1028" s="31" t="str">
        <f t="shared" ca="1" si="49"/>
        <v/>
      </c>
      <c r="Z1028" s="31"/>
    </row>
    <row r="1029" spans="2:26">
      <c r="B1029" s="2"/>
      <c r="C1029" t="str">
        <f>IF(B1029&lt;&gt;"",INDEX('Sales Orders'!C:C,MATCH('Booking Management'!B1029,'Sales Orders'!A:A,0)),"")</f>
        <v/>
      </c>
      <c r="K1029" s="31" t="str">
        <f t="shared" ca="1" si="51"/>
        <v/>
      </c>
      <c r="P1029" t="str">
        <f t="shared" si="50"/>
        <v/>
      </c>
      <c r="Q1029" t="str">
        <f>IFERROR((J1029/SUMIFS('Sales Orders'!D:D,'Sales Orders'!A:A,B1029))*SUMIFS('Sales Orders'!N:N,'Sales Orders'!A:A,B1029),"")</f>
        <v/>
      </c>
      <c r="W1029" s="31" t="str">
        <f t="shared" ca="1" si="49"/>
        <v/>
      </c>
      <c r="Z1029" s="31"/>
    </row>
    <row r="1030" spans="2:26">
      <c r="B1030" s="2"/>
      <c r="C1030" t="str">
        <f>IF(B1030&lt;&gt;"",INDEX('Sales Orders'!C:C,MATCH('Booking Management'!B1030,'Sales Orders'!A:A,0)),"")</f>
        <v/>
      </c>
      <c r="K1030" s="31" t="str">
        <f t="shared" ca="1" si="51"/>
        <v/>
      </c>
      <c r="P1030" t="str">
        <f t="shared" si="50"/>
        <v/>
      </c>
      <c r="Q1030" t="str">
        <f>IFERROR((J1030/SUMIFS('Sales Orders'!D:D,'Sales Orders'!A:A,B1030))*SUMIFS('Sales Orders'!N:N,'Sales Orders'!A:A,B1030),"")</f>
        <v/>
      </c>
      <c r="W1030" s="31" t="str">
        <f t="shared" ca="1" si="49"/>
        <v/>
      </c>
      <c r="Z1030" s="31"/>
    </row>
    <row r="1031" spans="2:26">
      <c r="B1031" s="2"/>
      <c r="C1031" t="str">
        <f>IF(B1031&lt;&gt;"",INDEX('Sales Orders'!C:C,MATCH('Booking Management'!B1031,'Sales Orders'!A:A,0)),"")</f>
        <v/>
      </c>
      <c r="K1031" s="31" t="str">
        <f t="shared" ca="1" si="51"/>
        <v/>
      </c>
      <c r="P1031" t="str">
        <f t="shared" si="50"/>
        <v/>
      </c>
      <c r="Q1031" t="str">
        <f>IFERROR((J1031/SUMIFS('Sales Orders'!D:D,'Sales Orders'!A:A,B1031))*SUMIFS('Sales Orders'!N:N,'Sales Orders'!A:A,B1031),"")</f>
        <v/>
      </c>
      <c r="W1031" s="31" t="str">
        <f t="shared" ref="W1031:W1094" ca="1" si="52">IF(T1031&lt;&gt;"",IF(X1031="Yes","NO",IF((TODAY()-V1031)&gt;6,"YES","NO")),"")</f>
        <v/>
      </c>
      <c r="Z1031" s="31"/>
    </row>
    <row r="1032" spans="2:26">
      <c r="B1032" s="2"/>
      <c r="C1032" t="str">
        <f>IF(B1032&lt;&gt;"",INDEX('Sales Orders'!C:C,MATCH('Booking Management'!B1032,'Sales Orders'!A:A,0)),"")</f>
        <v/>
      </c>
      <c r="K1032" s="31" t="str">
        <f t="shared" ca="1" si="51"/>
        <v/>
      </c>
      <c r="P1032" t="str">
        <f t="shared" si="50"/>
        <v/>
      </c>
      <c r="Q1032" t="str">
        <f>IFERROR((J1032/SUMIFS('Sales Orders'!D:D,'Sales Orders'!A:A,B1032))*SUMIFS('Sales Orders'!N:N,'Sales Orders'!A:A,B1032),"")</f>
        <v/>
      </c>
      <c r="W1032" s="31" t="str">
        <f t="shared" ca="1" si="52"/>
        <v/>
      </c>
      <c r="Z1032" s="31"/>
    </row>
    <row r="1033" spans="2:26">
      <c r="B1033" s="2"/>
      <c r="C1033" t="str">
        <f>IF(B1033&lt;&gt;"",INDEX('Sales Orders'!C:C,MATCH('Booking Management'!B1033,'Sales Orders'!A:A,0)),"")</f>
        <v/>
      </c>
      <c r="K1033" s="31" t="str">
        <f t="shared" ca="1" si="51"/>
        <v/>
      </c>
      <c r="P1033" t="str">
        <f t="shared" si="50"/>
        <v/>
      </c>
      <c r="Q1033" t="str">
        <f>IFERROR((J1033/SUMIFS('Sales Orders'!D:D,'Sales Orders'!A:A,B1033))*SUMIFS('Sales Orders'!N:N,'Sales Orders'!A:A,B1033),"")</f>
        <v/>
      </c>
      <c r="W1033" s="31" t="str">
        <f t="shared" ca="1" si="52"/>
        <v/>
      </c>
      <c r="Z1033" s="31"/>
    </row>
    <row r="1034" spans="2:26">
      <c r="B1034" s="2"/>
      <c r="C1034" t="str">
        <f>IF(B1034&lt;&gt;"",INDEX('Sales Orders'!C:C,MATCH('Booking Management'!B1034,'Sales Orders'!A:A,0)),"")</f>
        <v/>
      </c>
      <c r="K1034" s="31" t="str">
        <f t="shared" ca="1" si="51"/>
        <v/>
      </c>
      <c r="P1034" t="str">
        <f t="shared" si="50"/>
        <v/>
      </c>
      <c r="Q1034" t="str">
        <f>IFERROR((J1034/SUMIFS('Sales Orders'!D:D,'Sales Orders'!A:A,B1034))*SUMIFS('Sales Orders'!N:N,'Sales Orders'!A:A,B1034),"")</f>
        <v/>
      </c>
      <c r="W1034" s="31" t="str">
        <f t="shared" ca="1" si="52"/>
        <v/>
      </c>
      <c r="Z1034" s="31"/>
    </row>
    <row r="1035" spans="2:26">
      <c r="B1035" s="2"/>
      <c r="C1035" t="str">
        <f>IF(B1035&lt;&gt;"",INDEX('Sales Orders'!C:C,MATCH('Booking Management'!B1035,'Sales Orders'!A:A,0)),"")</f>
        <v/>
      </c>
      <c r="K1035" s="31" t="str">
        <f t="shared" ca="1" si="51"/>
        <v/>
      </c>
      <c r="P1035" t="str">
        <f t="shared" si="50"/>
        <v/>
      </c>
      <c r="Q1035" t="str">
        <f>IFERROR((J1035/SUMIFS('Sales Orders'!D:D,'Sales Orders'!A:A,B1035))*SUMIFS('Sales Orders'!N:N,'Sales Orders'!A:A,B1035),"")</f>
        <v/>
      </c>
      <c r="W1035" s="31" t="str">
        <f t="shared" ca="1" si="52"/>
        <v/>
      </c>
      <c r="Z1035" s="31"/>
    </row>
    <row r="1036" spans="2:26">
      <c r="B1036" s="2"/>
      <c r="C1036" t="str">
        <f>IF(B1036&lt;&gt;"",INDEX('Sales Orders'!C:C,MATCH('Booking Management'!B1036,'Sales Orders'!A:A,0)),"")</f>
        <v/>
      </c>
      <c r="K1036" s="31" t="str">
        <f t="shared" ca="1" si="51"/>
        <v/>
      </c>
      <c r="P1036" t="str">
        <f t="shared" si="50"/>
        <v/>
      </c>
      <c r="Q1036" t="str">
        <f>IFERROR((J1036/SUMIFS('Sales Orders'!D:D,'Sales Orders'!A:A,B1036))*SUMIFS('Sales Orders'!N:N,'Sales Orders'!A:A,B1036),"")</f>
        <v/>
      </c>
      <c r="W1036" s="31" t="str">
        <f t="shared" ca="1" si="52"/>
        <v/>
      </c>
      <c r="Z1036" s="31"/>
    </row>
    <row r="1037" spans="2:26">
      <c r="B1037" s="2"/>
      <c r="C1037" t="str">
        <f>IF(B1037&lt;&gt;"",INDEX('Sales Orders'!C:C,MATCH('Booking Management'!B1037,'Sales Orders'!A:A,0)),"")</f>
        <v/>
      </c>
      <c r="K1037" s="31" t="str">
        <f t="shared" ca="1" si="51"/>
        <v/>
      </c>
      <c r="P1037" t="str">
        <f t="shared" si="50"/>
        <v/>
      </c>
      <c r="Q1037" t="str">
        <f>IFERROR((J1037/SUMIFS('Sales Orders'!D:D,'Sales Orders'!A:A,B1037))*SUMIFS('Sales Orders'!N:N,'Sales Orders'!A:A,B1037),"")</f>
        <v/>
      </c>
      <c r="W1037" s="31" t="str">
        <f t="shared" ca="1" si="52"/>
        <v/>
      </c>
      <c r="Z1037" s="31"/>
    </row>
    <row r="1038" spans="2:26">
      <c r="B1038" s="2"/>
      <c r="C1038" t="str">
        <f>IF(B1038&lt;&gt;"",INDEX('Sales Orders'!C:C,MATCH('Booking Management'!B1038,'Sales Orders'!A:A,0)),"")</f>
        <v/>
      </c>
      <c r="K1038" s="31" t="str">
        <f t="shared" ca="1" si="51"/>
        <v/>
      </c>
      <c r="P1038" t="str">
        <f t="shared" si="50"/>
        <v/>
      </c>
      <c r="Q1038" t="str">
        <f>IFERROR((J1038/SUMIFS('Sales Orders'!D:D,'Sales Orders'!A:A,B1038))*SUMIFS('Sales Orders'!N:N,'Sales Orders'!A:A,B1038),"")</f>
        <v/>
      </c>
      <c r="W1038" s="31" t="str">
        <f t="shared" ca="1" si="52"/>
        <v/>
      </c>
      <c r="Z1038" s="31"/>
    </row>
    <row r="1039" spans="2:26">
      <c r="B1039" s="2"/>
      <c r="C1039" t="str">
        <f>IF(B1039&lt;&gt;"",INDEX('Sales Orders'!C:C,MATCH('Booking Management'!B1039,'Sales Orders'!A:A,0)),"")</f>
        <v/>
      </c>
      <c r="K1039" s="31" t="str">
        <f t="shared" ca="1" si="51"/>
        <v/>
      </c>
      <c r="P1039" t="str">
        <f t="shared" si="50"/>
        <v/>
      </c>
      <c r="Q1039" t="str">
        <f>IFERROR((J1039/SUMIFS('Sales Orders'!D:D,'Sales Orders'!A:A,B1039))*SUMIFS('Sales Orders'!N:N,'Sales Orders'!A:A,B1039),"")</f>
        <v/>
      </c>
      <c r="W1039" s="31" t="str">
        <f t="shared" ca="1" si="52"/>
        <v/>
      </c>
      <c r="Z1039" s="31"/>
    </row>
    <row r="1040" spans="2:26">
      <c r="B1040" s="2"/>
      <c r="C1040" t="str">
        <f>IF(B1040&lt;&gt;"",INDEX('Sales Orders'!C:C,MATCH('Booking Management'!B1040,'Sales Orders'!A:A,0)),"")</f>
        <v/>
      </c>
      <c r="K1040" s="31" t="str">
        <f t="shared" ca="1" si="51"/>
        <v/>
      </c>
      <c r="P1040" t="str">
        <f t="shared" si="50"/>
        <v/>
      </c>
      <c r="Q1040" t="str">
        <f>IFERROR((J1040/SUMIFS('Sales Orders'!D:D,'Sales Orders'!A:A,B1040))*SUMIFS('Sales Orders'!N:N,'Sales Orders'!A:A,B1040),"")</f>
        <v/>
      </c>
      <c r="W1040" s="31" t="str">
        <f t="shared" ca="1" si="52"/>
        <v/>
      </c>
      <c r="Z1040" s="31"/>
    </row>
    <row r="1041" spans="2:26">
      <c r="B1041" s="2"/>
      <c r="C1041" t="str">
        <f>IF(B1041&lt;&gt;"",INDEX('Sales Orders'!C:C,MATCH('Booking Management'!B1041,'Sales Orders'!A:A,0)),"")</f>
        <v/>
      </c>
      <c r="K1041" s="31" t="str">
        <f t="shared" ca="1" si="51"/>
        <v/>
      </c>
      <c r="P1041" t="str">
        <f t="shared" si="50"/>
        <v/>
      </c>
      <c r="Q1041" t="str">
        <f>IFERROR((J1041/SUMIFS('Sales Orders'!D:D,'Sales Orders'!A:A,B1041))*SUMIFS('Sales Orders'!N:N,'Sales Orders'!A:A,B1041),"")</f>
        <v/>
      </c>
      <c r="W1041" s="31" t="str">
        <f t="shared" ca="1" si="52"/>
        <v/>
      </c>
      <c r="Z1041" s="31"/>
    </row>
    <row r="1042" spans="2:26">
      <c r="B1042" s="2"/>
      <c r="C1042" t="str">
        <f>IF(B1042&lt;&gt;"",INDEX('Sales Orders'!C:C,MATCH('Booking Management'!B1042,'Sales Orders'!A:A,0)),"")</f>
        <v/>
      </c>
      <c r="K1042" s="31" t="str">
        <f t="shared" ca="1" si="51"/>
        <v/>
      </c>
      <c r="P1042" t="str">
        <f t="shared" si="50"/>
        <v/>
      </c>
      <c r="Q1042" t="str">
        <f>IFERROR((J1042/SUMIFS('Sales Orders'!D:D,'Sales Orders'!A:A,B1042))*SUMIFS('Sales Orders'!N:N,'Sales Orders'!A:A,B1042),"")</f>
        <v/>
      </c>
      <c r="W1042" s="31" t="str">
        <f t="shared" ca="1" si="52"/>
        <v/>
      </c>
      <c r="Z1042" s="31"/>
    </row>
    <row r="1043" spans="2:26">
      <c r="B1043" s="2"/>
      <c r="C1043" t="str">
        <f>IF(B1043&lt;&gt;"",INDEX('Sales Orders'!C:C,MATCH('Booking Management'!B1043,'Sales Orders'!A:A,0)),"")</f>
        <v/>
      </c>
      <c r="K1043" s="31" t="str">
        <f t="shared" ca="1" si="51"/>
        <v/>
      </c>
      <c r="P1043" t="str">
        <f t="shared" si="50"/>
        <v/>
      </c>
      <c r="Q1043" t="str">
        <f>IFERROR((J1043/SUMIFS('Sales Orders'!D:D,'Sales Orders'!A:A,B1043))*SUMIFS('Sales Orders'!N:N,'Sales Orders'!A:A,B1043),"")</f>
        <v/>
      </c>
      <c r="W1043" s="31" t="str">
        <f t="shared" ca="1" si="52"/>
        <v/>
      </c>
      <c r="Z1043" s="31"/>
    </row>
    <row r="1044" spans="2:26">
      <c r="B1044" s="2"/>
      <c r="C1044" t="str">
        <f>IF(B1044&lt;&gt;"",INDEX('Sales Orders'!C:C,MATCH('Booking Management'!B1044,'Sales Orders'!A:A,0)),"")</f>
        <v/>
      </c>
      <c r="K1044" s="31" t="str">
        <f t="shared" ca="1" si="51"/>
        <v/>
      </c>
      <c r="P1044" t="str">
        <f t="shared" si="50"/>
        <v/>
      </c>
      <c r="Q1044" t="str">
        <f>IFERROR((J1044/SUMIFS('Sales Orders'!D:D,'Sales Orders'!A:A,B1044))*SUMIFS('Sales Orders'!N:N,'Sales Orders'!A:A,B1044),"")</f>
        <v/>
      </c>
      <c r="W1044" s="31" t="str">
        <f t="shared" ca="1" si="52"/>
        <v/>
      </c>
      <c r="Z1044" s="31"/>
    </row>
    <row r="1045" spans="2:26">
      <c r="B1045" s="2"/>
      <c r="C1045" t="str">
        <f>IF(B1045&lt;&gt;"",INDEX('Sales Orders'!C:C,MATCH('Booking Management'!B1045,'Sales Orders'!A:A,0)),"")</f>
        <v/>
      </c>
      <c r="K1045" s="31" t="str">
        <f t="shared" ca="1" si="51"/>
        <v/>
      </c>
      <c r="P1045" t="str">
        <f t="shared" si="50"/>
        <v/>
      </c>
      <c r="Q1045" t="str">
        <f>IFERROR((J1045/SUMIFS('Sales Orders'!D:D,'Sales Orders'!A:A,B1045))*SUMIFS('Sales Orders'!N:N,'Sales Orders'!A:A,B1045),"")</f>
        <v/>
      </c>
      <c r="W1045" s="31" t="str">
        <f t="shared" ca="1" si="52"/>
        <v/>
      </c>
      <c r="Z1045" s="31"/>
    </row>
    <row r="1046" spans="2:26">
      <c r="B1046" s="2"/>
      <c r="C1046" t="str">
        <f>IF(B1046&lt;&gt;"",INDEX('Sales Orders'!C:C,MATCH('Booking Management'!B1046,'Sales Orders'!A:A,0)),"")</f>
        <v/>
      </c>
      <c r="K1046" s="31" t="str">
        <f t="shared" ca="1" si="51"/>
        <v/>
      </c>
      <c r="P1046" t="str">
        <f t="shared" si="50"/>
        <v/>
      </c>
      <c r="Q1046" t="str">
        <f>IFERROR((J1046/SUMIFS('Sales Orders'!D:D,'Sales Orders'!A:A,B1046))*SUMIFS('Sales Orders'!N:N,'Sales Orders'!A:A,B1046),"")</f>
        <v/>
      </c>
      <c r="W1046" s="31" t="str">
        <f t="shared" ca="1" si="52"/>
        <v/>
      </c>
      <c r="Z1046" s="31"/>
    </row>
    <row r="1047" spans="2:26">
      <c r="B1047" s="2"/>
      <c r="C1047" t="str">
        <f>IF(B1047&lt;&gt;"",INDEX('Sales Orders'!C:C,MATCH('Booking Management'!B1047,'Sales Orders'!A:A,0)),"")</f>
        <v/>
      </c>
      <c r="K1047" s="31" t="str">
        <f t="shared" ca="1" si="51"/>
        <v/>
      </c>
      <c r="P1047" t="str">
        <f t="shared" si="50"/>
        <v/>
      </c>
      <c r="Q1047" t="str">
        <f>IFERROR((J1047/SUMIFS('Sales Orders'!D:D,'Sales Orders'!A:A,B1047))*SUMIFS('Sales Orders'!N:N,'Sales Orders'!A:A,B1047),"")</f>
        <v/>
      </c>
      <c r="W1047" s="31" t="str">
        <f t="shared" ca="1" si="52"/>
        <v/>
      </c>
      <c r="Z1047" s="31"/>
    </row>
    <row r="1048" spans="2:26">
      <c r="B1048" s="2"/>
      <c r="C1048" t="str">
        <f>IF(B1048&lt;&gt;"",INDEX('Sales Orders'!C:C,MATCH('Booking Management'!B1048,'Sales Orders'!A:A,0)),"")</f>
        <v/>
      </c>
      <c r="K1048" s="31" t="str">
        <f t="shared" ca="1" si="51"/>
        <v/>
      </c>
      <c r="P1048" t="str">
        <f t="shared" si="50"/>
        <v/>
      </c>
      <c r="Q1048" t="str">
        <f>IFERROR((J1048/SUMIFS('Sales Orders'!D:D,'Sales Orders'!A:A,B1048))*SUMIFS('Sales Orders'!N:N,'Sales Orders'!A:A,B1048),"")</f>
        <v/>
      </c>
      <c r="W1048" s="31" t="str">
        <f t="shared" ca="1" si="52"/>
        <v/>
      </c>
      <c r="Z1048" s="31"/>
    </row>
    <row r="1049" spans="2:26">
      <c r="B1049" s="2"/>
      <c r="C1049" t="str">
        <f>IF(B1049&lt;&gt;"",INDEX('Sales Orders'!C:C,MATCH('Booking Management'!B1049,'Sales Orders'!A:A,0)),"")</f>
        <v/>
      </c>
      <c r="K1049" s="31" t="str">
        <f t="shared" ca="1" si="51"/>
        <v/>
      </c>
      <c r="P1049" t="str">
        <f t="shared" si="50"/>
        <v/>
      </c>
      <c r="Q1049" t="str">
        <f>IFERROR((J1049/SUMIFS('Sales Orders'!D:D,'Sales Orders'!A:A,B1049))*SUMIFS('Sales Orders'!N:N,'Sales Orders'!A:A,B1049),"")</f>
        <v/>
      </c>
      <c r="W1049" s="31" t="str">
        <f t="shared" ca="1" si="52"/>
        <v/>
      </c>
      <c r="Z1049" s="31"/>
    </row>
    <row r="1050" spans="2:26">
      <c r="B1050" s="2"/>
      <c r="C1050" t="str">
        <f>IF(B1050&lt;&gt;"",INDEX('Sales Orders'!C:C,MATCH('Booking Management'!B1050,'Sales Orders'!A:A,0)),"")</f>
        <v/>
      </c>
      <c r="K1050" s="31" t="str">
        <f t="shared" ca="1" si="51"/>
        <v/>
      </c>
      <c r="P1050" t="str">
        <f t="shared" si="50"/>
        <v/>
      </c>
      <c r="Q1050" t="str">
        <f>IFERROR((J1050/SUMIFS('Sales Orders'!D:D,'Sales Orders'!A:A,B1050))*SUMIFS('Sales Orders'!N:N,'Sales Orders'!A:A,B1050),"")</f>
        <v/>
      </c>
      <c r="W1050" s="31" t="str">
        <f t="shared" ca="1" si="52"/>
        <v/>
      </c>
      <c r="Z1050" s="31"/>
    </row>
    <row r="1051" spans="2:26">
      <c r="B1051" s="2"/>
      <c r="C1051" t="str">
        <f>IF(B1051&lt;&gt;"",INDEX('Sales Orders'!C:C,MATCH('Booking Management'!B1051,'Sales Orders'!A:A,0)),"")</f>
        <v/>
      </c>
      <c r="K1051" s="31" t="str">
        <f t="shared" ca="1" si="51"/>
        <v/>
      </c>
      <c r="P1051" t="str">
        <f t="shared" si="50"/>
        <v/>
      </c>
      <c r="Q1051" t="str">
        <f>IFERROR((J1051/SUMIFS('Sales Orders'!D:D,'Sales Orders'!A:A,B1051))*SUMIFS('Sales Orders'!N:N,'Sales Orders'!A:A,B1051),"")</f>
        <v/>
      </c>
      <c r="W1051" s="31" t="str">
        <f t="shared" ca="1" si="52"/>
        <v/>
      </c>
      <c r="Z1051" s="31"/>
    </row>
    <row r="1052" spans="2:26">
      <c r="B1052" s="2"/>
      <c r="C1052" t="str">
        <f>IF(B1052&lt;&gt;"",INDEX('Sales Orders'!C:C,MATCH('Booking Management'!B1052,'Sales Orders'!A:A,0)),"")</f>
        <v/>
      </c>
      <c r="K1052" s="31" t="str">
        <f t="shared" ca="1" si="51"/>
        <v/>
      </c>
      <c r="P1052" t="str">
        <f t="shared" si="50"/>
        <v/>
      </c>
      <c r="Q1052" t="str">
        <f>IFERROR((J1052/SUMIFS('Sales Orders'!D:D,'Sales Orders'!A:A,B1052))*SUMIFS('Sales Orders'!N:N,'Sales Orders'!A:A,B1052),"")</f>
        <v/>
      </c>
      <c r="W1052" s="31" t="str">
        <f t="shared" ca="1" si="52"/>
        <v/>
      </c>
      <c r="Z1052" s="31"/>
    </row>
    <row r="1053" spans="2:26">
      <c r="B1053" s="2"/>
      <c r="C1053" t="str">
        <f>IF(B1053&lt;&gt;"",INDEX('Sales Orders'!C:C,MATCH('Booking Management'!B1053,'Sales Orders'!A:A,0)),"")</f>
        <v/>
      </c>
      <c r="K1053" s="31" t="str">
        <f t="shared" ca="1" si="51"/>
        <v/>
      </c>
      <c r="P1053" t="str">
        <f t="shared" si="50"/>
        <v/>
      </c>
      <c r="Q1053" t="str">
        <f>IFERROR((J1053/SUMIFS('Sales Orders'!D:D,'Sales Orders'!A:A,B1053))*SUMIFS('Sales Orders'!N:N,'Sales Orders'!A:A,B1053),"")</f>
        <v/>
      </c>
      <c r="W1053" s="31" t="str">
        <f t="shared" ca="1" si="52"/>
        <v/>
      </c>
      <c r="Z1053" s="31"/>
    </row>
    <row r="1054" spans="2:26">
      <c r="B1054" s="2"/>
      <c r="C1054" t="str">
        <f>IF(B1054&lt;&gt;"",INDEX('Sales Orders'!C:C,MATCH('Booking Management'!B1054,'Sales Orders'!A:A,0)),"")</f>
        <v/>
      </c>
      <c r="K1054" s="31" t="str">
        <f t="shared" ca="1" si="51"/>
        <v/>
      </c>
      <c r="P1054" t="str">
        <f t="shared" si="50"/>
        <v/>
      </c>
      <c r="Q1054" t="str">
        <f>IFERROR((J1054/SUMIFS('Sales Orders'!D:D,'Sales Orders'!A:A,B1054))*SUMIFS('Sales Orders'!N:N,'Sales Orders'!A:A,B1054),"")</f>
        <v/>
      </c>
      <c r="W1054" s="31" t="str">
        <f t="shared" ca="1" si="52"/>
        <v/>
      </c>
      <c r="Z1054" s="31"/>
    </row>
    <row r="1055" spans="2:26">
      <c r="B1055" s="2"/>
      <c r="C1055" t="str">
        <f>IF(B1055&lt;&gt;"",INDEX('Sales Orders'!C:C,MATCH('Booking Management'!B1055,'Sales Orders'!A:A,0)),"")</f>
        <v/>
      </c>
      <c r="K1055" s="31" t="str">
        <f t="shared" ca="1" si="51"/>
        <v/>
      </c>
      <c r="P1055" t="str">
        <f t="shared" si="50"/>
        <v/>
      </c>
      <c r="Q1055" t="str">
        <f>IFERROR((J1055/SUMIFS('Sales Orders'!D:D,'Sales Orders'!A:A,B1055))*SUMIFS('Sales Orders'!N:N,'Sales Orders'!A:A,B1055),"")</f>
        <v/>
      </c>
      <c r="W1055" s="31" t="str">
        <f t="shared" ca="1" si="52"/>
        <v/>
      </c>
      <c r="Z1055" s="31"/>
    </row>
    <row r="1056" spans="2:26">
      <c r="B1056" s="2"/>
      <c r="C1056" t="str">
        <f>IF(B1056&lt;&gt;"",INDEX('Sales Orders'!C:C,MATCH('Booking Management'!B1056,'Sales Orders'!A:A,0)),"")</f>
        <v/>
      </c>
      <c r="K1056" s="31" t="str">
        <f t="shared" ca="1" si="51"/>
        <v/>
      </c>
      <c r="P1056" t="str">
        <f t="shared" si="50"/>
        <v/>
      </c>
      <c r="Q1056" t="str">
        <f>IFERROR((J1056/SUMIFS('Sales Orders'!D:D,'Sales Orders'!A:A,B1056))*SUMIFS('Sales Orders'!N:N,'Sales Orders'!A:A,B1056),"")</f>
        <v/>
      </c>
      <c r="W1056" s="31" t="str">
        <f t="shared" ca="1" si="52"/>
        <v/>
      </c>
      <c r="Z1056" s="31"/>
    </row>
    <row r="1057" spans="2:26">
      <c r="B1057" s="2"/>
      <c r="C1057" t="str">
        <f>IF(B1057&lt;&gt;"",INDEX('Sales Orders'!C:C,MATCH('Booking Management'!B1057,'Sales Orders'!A:A,0)),"")</f>
        <v/>
      </c>
      <c r="K1057" s="31" t="str">
        <f t="shared" ca="1" si="51"/>
        <v/>
      </c>
      <c r="P1057" t="str">
        <f t="shared" ref="P1057:P1120" si="53">IF(B1057&lt;&gt;"",T1057-L1057,"")</f>
        <v/>
      </c>
      <c r="Q1057" t="str">
        <f>IFERROR((J1057/SUMIFS('Sales Orders'!D:D,'Sales Orders'!A:A,B1057))*SUMIFS('Sales Orders'!N:N,'Sales Orders'!A:A,B1057),"")</f>
        <v/>
      </c>
      <c r="W1057" s="31" t="str">
        <f t="shared" ca="1" si="52"/>
        <v/>
      </c>
      <c r="Z1057" s="31"/>
    </row>
    <row r="1058" spans="2:26">
      <c r="B1058" s="2"/>
      <c r="C1058" t="str">
        <f>IF(B1058&lt;&gt;"",INDEX('Sales Orders'!C:C,MATCH('Booking Management'!B1058,'Sales Orders'!A:A,0)),"")</f>
        <v/>
      </c>
      <c r="K1058" s="31" t="str">
        <f t="shared" ca="1" si="51"/>
        <v/>
      </c>
      <c r="P1058" t="str">
        <f t="shared" si="53"/>
        <v/>
      </c>
      <c r="Q1058" t="str">
        <f>IFERROR((J1058/SUMIFS('Sales Orders'!D:D,'Sales Orders'!A:A,B1058))*SUMIFS('Sales Orders'!N:N,'Sales Orders'!A:A,B1058),"")</f>
        <v/>
      </c>
      <c r="W1058" s="31" t="str">
        <f t="shared" ca="1" si="52"/>
        <v/>
      </c>
      <c r="Z1058" s="31"/>
    </row>
    <row r="1059" spans="2:26">
      <c r="B1059" s="2"/>
      <c r="C1059" t="str">
        <f>IF(B1059&lt;&gt;"",INDEX('Sales Orders'!C:C,MATCH('Booking Management'!B1059,'Sales Orders'!A:A,0)),"")</f>
        <v/>
      </c>
      <c r="K1059" s="31" t="str">
        <f t="shared" ca="1" si="51"/>
        <v/>
      </c>
      <c r="P1059" t="str">
        <f t="shared" si="53"/>
        <v/>
      </c>
      <c r="Q1059" t="str">
        <f>IFERROR((J1059/SUMIFS('Sales Orders'!D:D,'Sales Orders'!A:A,B1059))*SUMIFS('Sales Orders'!N:N,'Sales Orders'!A:A,B1059),"")</f>
        <v/>
      </c>
      <c r="W1059" s="31" t="str">
        <f t="shared" ca="1" si="52"/>
        <v/>
      </c>
      <c r="Z1059" s="31"/>
    </row>
    <row r="1060" spans="2:26">
      <c r="B1060" s="2"/>
      <c r="C1060" t="str">
        <f>IF(B1060&lt;&gt;"",INDEX('Sales Orders'!C:C,MATCH('Booking Management'!B1060,'Sales Orders'!A:A,0)),"")</f>
        <v/>
      </c>
      <c r="K1060" s="31" t="str">
        <f t="shared" ca="1" si="51"/>
        <v/>
      </c>
      <c r="P1060" t="str">
        <f t="shared" si="53"/>
        <v/>
      </c>
      <c r="Q1060" t="str">
        <f>IFERROR((J1060/SUMIFS('Sales Orders'!D:D,'Sales Orders'!A:A,B1060))*SUMIFS('Sales Orders'!N:N,'Sales Orders'!A:A,B1060),"")</f>
        <v/>
      </c>
      <c r="W1060" s="31" t="str">
        <f t="shared" ca="1" si="52"/>
        <v/>
      </c>
      <c r="Z1060" s="31"/>
    </row>
    <row r="1061" spans="2:26">
      <c r="B1061" s="2"/>
      <c r="C1061" t="str">
        <f>IF(B1061&lt;&gt;"",INDEX('Sales Orders'!C:C,MATCH('Booking Management'!B1061,'Sales Orders'!A:A,0)),"")</f>
        <v/>
      </c>
      <c r="K1061" s="31" t="str">
        <f t="shared" ca="1" si="51"/>
        <v/>
      </c>
      <c r="P1061" t="str">
        <f t="shared" si="53"/>
        <v/>
      </c>
      <c r="Q1061" t="str">
        <f>IFERROR((J1061/SUMIFS('Sales Orders'!D:D,'Sales Orders'!A:A,B1061))*SUMIFS('Sales Orders'!N:N,'Sales Orders'!A:A,B1061),"")</f>
        <v/>
      </c>
      <c r="W1061" s="31" t="str">
        <f t="shared" ca="1" si="52"/>
        <v/>
      </c>
      <c r="Z1061" s="31"/>
    </row>
    <row r="1062" spans="2:26">
      <c r="B1062" s="2"/>
      <c r="C1062" t="str">
        <f>IF(B1062&lt;&gt;"",INDEX('Sales Orders'!C:C,MATCH('Booking Management'!B1062,'Sales Orders'!A:A,0)),"")</f>
        <v/>
      </c>
      <c r="K1062" s="31" t="str">
        <f t="shared" ca="1" si="51"/>
        <v/>
      </c>
      <c r="P1062" t="str">
        <f t="shared" si="53"/>
        <v/>
      </c>
      <c r="Q1062" t="str">
        <f>IFERROR((J1062/SUMIFS('Sales Orders'!D:D,'Sales Orders'!A:A,B1062))*SUMIFS('Sales Orders'!N:N,'Sales Orders'!A:A,B1062),"")</f>
        <v/>
      </c>
      <c r="W1062" s="31" t="str">
        <f t="shared" ca="1" si="52"/>
        <v/>
      </c>
      <c r="Z1062" s="31"/>
    </row>
    <row r="1063" spans="2:26">
      <c r="B1063" s="2"/>
      <c r="C1063" t="str">
        <f>IF(B1063&lt;&gt;"",INDEX('Sales Orders'!C:C,MATCH('Booking Management'!B1063,'Sales Orders'!A:A,0)),"")</f>
        <v/>
      </c>
      <c r="K1063" s="31" t="str">
        <f t="shared" ca="1" si="51"/>
        <v/>
      </c>
      <c r="P1063" t="str">
        <f t="shared" si="53"/>
        <v/>
      </c>
      <c r="Q1063" t="str">
        <f>IFERROR((J1063/SUMIFS('Sales Orders'!D:D,'Sales Orders'!A:A,B1063))*SUMIFS('Sales Orders'!N:N,'Sales Orders'!A:A,B1063),"")</f>
        <v/>
      </c>
      <c r="W1063" s="31" t="str">
        <f t="shared" ca="1" si="52"/>
        <v/>
      </c>
      <c r="Z1063" s="31"/>
    </row>
    <row r="1064" spans="2:26">
      <c r="B1064" s="2"/>
      <c r="C1064" t="str">
        <f>IF(B1064&lt;&gt;"",INDEX('Sales Orders'!C:C,MATCH('Booking Management'!B1064,'Sales Orders'!A:A,0)),"")</f>
        <v/>
      </c>
      <c r="K1064" s="31" t="str">
        <f t="shared" ca="1" si="51"/>
        <v/>
      </c>
      <c r="P1064" t="str">
        <f t="shared" si="53"/>
        <v/>
      </c>
      <c r="Q1064" t="str">
        <f>IFERROR((J1064/SUMIFS('Sales Orders'!D:D,'Sales Orders'!A:A,B1064))*SUMIFS('Sales Orders'!N:N,'Sales Orders'!A:A,B1064),"")</f>
        <v/>
      </c>
      <c r="W1064" s="31" t="str">
        <f t="shared" ca="1" si="52"/>
        <v/>
      </c>
      <c r="Z1064" s="31"/>
    </row>
    <row r="1065" spans="2:26">
      <c r="B1065" s="2"/>
      <c r="C1065" t="str">
        <f>IF(B1065&lt;&gt;"",INDEX('Sales Orders'!C:C,MATCH('Booking Management'!B1065,'Sales Orders'!A:A,0)),"")</f>
        <v/>
      </c>
      <c r="K1065" s="31" t="str">
        <f t="shared" ca="1" si="51"/>
        <v/>
      </c>
      <c r="P1065" t="str">
        <f t="shared" si="53"/>
        <v/>
      </c>
      <c r="Q1065" t="str">
        <f>IFERROR((J1065/SUMIFS('Sales Orders'!D:D,'Sales Orders'!A:A,B1065))*SUMIFS('Sales Orders'!N:N,'Sales Orders'!A:A,B1065),"")</f>
        <v/>
      </c>
      <c r="W1065" s="31" t="str">
        <f t="shared" ca="1" si="52"/>
        <v/>
      </c>
      <c r="Z1065" s="31"/>
    </row>
    <row r="1066" spans="2:26">
      <c r="B1066" s="2"/>
      <c r="C1066" t="str">
        <f>IF(B1066&lt;&gt;"",INDEX('Sales Orders'!C:C,MATCH('Booking Management'!B1066,'Sales Orders'!A:A,0)),"")</f>
        <v/>
      </c>
      <c r="K1066" s="31" t="str">
        <f t="shared" ca="1" si="51"/>
        <v/>
      </c>
      <c r="P1066" t="str">
        <f t="shared" si="53"/>
        <v/>
      </c>
      <c r="Q1066" t="str">
        <f>IFERROR((J1066/SUMIFS('Sales Orders'!D:D,'Sales Orders'!A:A,B1066))*SUMIFS('Sales Orders'!N:N,'Sales Orders'!A:A,B1066),"")</f>
        <v/>
      </c>
      <c r="W1066" s="31" t="str">
        <f t="shared" ca="1" si="52"/>
        <v/>
      </c>
      <c r="Z1066" s="31"/>
    </row>
    <row r="1067" spans="2:26">
      <c r="B1067" s="2"/>
      <c r="C1067" t="str">
        <f>IF(B1067&lt;&gt;"",INDEX('Sales Orders'!C:C,MATCH('Booking Management'!B1067,'Sales Orders'!A:A,0)),"")</f>
        <v/>
      </c>
      <c r="K1067" s="31" t="str">
        <f t="shared" ca="1" si="51"/>
        <v/>
      </c>
      <c r="P1067" t="str">
        <f t="shared" si="53"/>
        <v/>
      </c>
      <c r="Q1067" t="str">
        <f>IFERROR((J1067/SUMIFS('Sales Orders'!D:D,'Sales Orders'!A:A,B1067))*SUMIFS('Sales Orders'!N:N,'Sales Orders'!A:A,B1067),"")</f>
        <v/>
      </c>
      <c r="W1067" s="31" t="str">
        <f t="shared" ca="1" si="52"/>
        <v/>
      </c>
      <c r="Z1067" s="31"/>
    </row>
    <row r="1068" spans="2:26">
      <c r="B1068" s="2"/>
      <c r="C1068" t="str">
        <f>IF(B1068&lt;&gt;"",INDEX('Sales Orders'!C:C,MATCH('Booking Management'!B1068,'Sales Orders'!A:A,0)),"")</f>
        <v/>
      </c>
      <c r="K1068" s="31" t="str">
        <f t="shared" ca="1" si="51"/>
        <v/>
      </c>
      <c r="P1068" t="str">
        <f t="shared" si="53"/>
        <v/>
      </c>
      <c r="Q1068" t="str">
        <f>IFERROR((J1068/SUMIFS('Sales Orders'!D:D,'Sales Orders'!A:A,B1068))*SUMIFS('Sales Orders'!N:N,'Sales Orders'!A:A,B1068),"")</f>
        <v/>
      </c>
      <c r="W1068" s="31" t="str">
        <f t="shared" ca="1" si="52"/>
        <v/>
      </c>
      <c r="Z1068" s="31"/>
    </row>
    <row r="1069" spans="2:26">
      <c r="B1069" s="2"/>
      <c r="C1069" t="str">
        <f>IF(B1069&lt;&gt;"",INDEX('Sales Orders'!C:C,MATCH('Booking Management'!B1069,'Sales Orders'!A:A,0)),"")</f>
        <v/>
      </c>
      <c r="K1069" s="31" t="str">
        <f t="shared" ca="1" si="51"/>
        <v/>
      </c>
      <c r="P1069" t="str">
        <f t="shared" si="53"/>
        <v/>
      </c>
      <c r="Q1069" t="str">
        <f>IFERROR((J1069/SUMIFS('Sales Orders'!D:D,'Sales Orders'!A:A,B1069))*SUMIFS('Sales Orders'!N:N,'Sales Orders'!A:A,B1069),"")</f>
        <v/>
      </c>
      <c r="W1069" s="31" t="str">
        <f t="shared" ca="1" si="52"/>
        <v/>
      </c>
      <c r="Z1069" s="31"/>
    </row>
    <row r="1070" spans="2:26">
      <c r="B1070" s="2"/>
      <c r="C1070" t="str">
        <f>IF(B1070&lt;&gt;"",INDEX('Sales Orders'!C:C,MATCH('Booking Management'!B1070,'Sales Orders'!A:A,0)),"")</f>
        <v/>
      </c>
      <c r="K1070" s="31" t="str">
        <f t="shared" ca="1" si="51"/>
        <v/>
      </c>
      <c r="P1070" t="str">
        <f t="shared" si="53"/>
        <v/>
      </c>
      <c r="Q1070" t="str">
        <f>IFERROR((J1070/SUMIFS('Sales Orders'!D:D,'Sales Orders'!A:A,B1070))*SUMIFS('Sales Orders'!N:N,'Sales Orders'!A:A,B1070),"")</f>
        <v/>
      </c>
      <c r="W1070" s="31" t="str">
        <f t="shared" ca="1" si="52"/>
        <v/>
      </c>
      <c r="Z1070" s="31"/>
    </row>
    <row r="1071" spans="2:26">
      <c r="B1071" s="2"/>
      <c r="C1071" t="str">
        <f>IF(B1071&lt;&gt;"",INDEX('Sales Orders'!C:C,MATCH('Booking Management'!B1071,'Sales Orders'!A:A,0)),"")</f>
        <v/>
      </c>
      <c r="K1071" s="31" t="str">
        <f t="shared" ca="1" si="51"/>
        <v/>
      </c>
      <c r="P1071" t="str">
        <f t="shared" si="53"/>
        <v/>
      </c>
      <c r="Q1071" t="str">
        <f>IFERROR((J1071/SUMIFS('Sales Orders'!D:D,'Sales Orders'!A:A,B1071))*SUMIFS('Sales Orders'!N:N,'Sales Orders'!A:A,B1071),"")</f>
        <v/>
      </c>
      <c r="W1071" s="31" t="str">
        <f t="shared" ca="1" si="52"/>
        <v/>
      </c>
      <c r="Z1071" s="31"/>
    </row>
    <row r="1072" spans="2:26">
      <c r="B1072" s="2"/>
      <c r="C1072" t="str">
        <f>IF(B1072&lt;&gt;"",INDEX('Sales Orders'!C:C,MATCH('Booking Management'!B1072,'Sales Orders'!A:A,0)),"")</f>
        <v/>
      </c>
      <c r="K1072" s="31" t="str">
        <f t="shared" ca="1" si="51"/>
        <v/>
      </c>
      <c r="P1072" t="str">
        <f t="shared" si="53"/>
        <v/>
      </c>
      <c r="Q1072" t="str">
        <f>IFERROR((J1072/SUMIFS('Sales Orders'!D:D,'Sales Orders'!A:A,B1072))*SUMIFS('Sales Orders'!N:N,'Sales Orders'!A:A,B1072),"")</f>
        <v/>
      </c>
      <c r="W1072" s="31" t="str">
        <f t="shared" ca="1" si="52"/>
        <v/>
      </c>
      <c r="Z1072" s="31"/>
    </row>
    <row r="1073" spans="2:26">
      <c r="B1073" s="2"/>
      <c r="C1073" t="str">
        <f>IF(B1073&lt;&gt;"",INDEX('Sales Orders'!C:C,MATCH('Booking Management'!B1073,'Sales Orders'!A:A,0)),"")</f>
        <v/>
      </c>
      <c r="K1073" s="31" t="str">
        <f t="shared" ca="1" si="51"/>
        <v/>
      </c>
      <c r="P1073" t="str">
        <f t="shared" si="53"/>
        <v/>
      </c>
      <c r="Q1073" t="str">
        <f>IFERROR((J1073/SUMIFS('Sales Orders'!D:D,'Sales Orders'!A:A,B1073))*SUMIFS('Sales Orders'!N:N,'Sales Orders'!A:A,B1073),"")</f>
        <v/>
      </c>
      <c r="W1073" s="31" t="str">
        <f t="shared" ca="1" si="52"/>
        <v/>
      </c>
      <c r="Z1073" s="31"/>
    </row>
    <row r="1074" spans="2:26">
      <c r="B1074" s="2"/>
      <c r="C1074" t="str">
        <f>IF(B1074&lt;&gt;"",INDEX('Sales Orders'!C:C,MATCH('Booking Management'!B1074,'Sales Orders'!A:A,0)),"")</f>
        <v/>
      </c>
      <c r="K1074" s="31" t="str">
        <f t="shared" ca="1" si="51"/>
        <v/>
      </c>
      <c r="P1074" t="str">
        <f t="shared" si="53"/>
        <v/>
      </c>
      <c r="Q1074" t="str">
        <f>IFERROR((J1074/SUMIFS('Sales Orders'!D:D,'Sales Orders'!A:A,B1074))*SUMIFS('Sales Orders'!N:N,'Sales Orders'!A:A,B1074),"")</f>
        <v/>
      </c>
      <c r="W1074" s="31" t="str">
        <f t="shared" ca="1" si="52"/>
        <v/>
      </c>
      <c r="Z1074" s="31"/>
    </row>
    <row r="1075" spans="2:26">
      <c r="B1075" s="2"/>
      <c r="C1075" t="str">
        <f>IF(B1075&lt;&gt;"",INDEX('Sales Orders'!C:C,MATCH('Booking Management'!B1075,'Sales Orders'!A:A,0)),"")</f>
        <v/>
      </c>
      <c r="K1075" s="31" t="str">
        <f t="shared" ca="1" si="51"/>
        <v/>
      </c>
      <c r="P1075" t="str">
        <f t="shared" si="53"/>
        <v/>
      </c>
      <c r="Q1075" t="str">
        <f>IFERROR((J1075/SUMIFS('Sales Orders'!D:D,'Sales Orders'!A:A,B1075))*SUMIFS('Sales Orders'!N:N,'Sales Orders'!A:A,B1075),"")</f>
        <v/>
      </c>
      <c r="W1075" s="31" t="str">
        <f t="shared" ca="1" si="52"/>
        <v/>
      </c>
      <c r="Z1075" s="31"/>
    </row>
    <row r="1076" spans="2:26">
      <c r="B1076" s="2"/>
      <c r="C1076" t="str">
        <f>IF(B1076&lt;&gt;"",INDEX('Sales Orders'!C:C,MATCH('Booking Management'!B1076,'Sales Orders'!A:A,0)),"")</f>
        <v/>
      </c>
      <c r="K1076" s="31" t="str">
        <f t="shared" ca="1" si="51"/>
        <v/>
      </c>
      <c r="P1076" t="str">
        <f t="shared" si="53"/>
        <v/>
      </c>
      <c r="Q1076" t="str">
        <f>IFERROR((J1076/SUMIFS('Sales Orders'!D:D,'Sales Orders'!A:A,B1076))*SUMIFS('Sales Orders'!N:N,'Sales Orders'!A:A,B1076),"")</f>
        <v/>
      </c>
      <c r="W1076" s="31" t="str">
        <f t="shared" ca="1" si="52"/>
        <v/>
      </c>
      <c r="Z1076" s="31"/>
    </row>
    <row r="1077" spans="2:26">
      <c r="B1077" s="2"/>
      <c r="C1077" t="str">
        <f>IF(B1077&lt;&gt;"",INDEX('Sales Orders'!C:C,MATCH('Booking Management'!B1077,'Sales Orders'!A:A,0)),"")</f>
        <v/>
      </c>
      <c r="K1077" s="31" t="str">
        <f t="shared" ca="1" si="51"/>
        <v/>
      </c>
      <c r="P1077" t="str">
        <f t="shared" si="53"/>
        <v/>
      </c>
      <c r="Q1077" t="str">
        <f>IFERROR((J1077/SUMIFS('Sales Orders'!D:D,'Sales Orders'!A:A,B1077))*SUMIFS('Sales Orders'!N:N,'Sales Orders'!A:A,B1077),"")</f>
        <v/>
      </c>
      <c r="W1077" s="31" t="str">
        <f t="shared" ca="1" si="52"/>
        <v/>
      </c>
      <c r="Z1077" s="31"/>
    </row>
    <row r="1078" spans="2:26">
      <c r="B1078" s="2"/>
      <c r="C1078" t="str">
        <f>IF(B1078&lt;&gt;"",INDEX('Sales Orders'!C:C,MATCH('Booking Management'!B1078,'Sales Orders'!A:A,0)),"")</f>
        <v/>
      </c>
      <c r="K1078" s="31" t="str">
        <f t="shared" ca="1" si="51"/>
        <v/>
      </c>
      <c r="P1078" t="str">
        <f t="shared" si="53"/>
        <v/>
      </c>
      <c r="Q1078" t="str">
        <f>IFERROR((J1078/SUMIFS('Sales Orders'!D:D,'Sales Orders'!A:A,B1078))*SUMIFS('Sales Orders'!N:N,'Sales Orders'!A:A,B1078),"")</f>
        <v/>
      </c>
      <c r="W1078" s="31" t="str">
        <f t="shared" ca="1" si="52"/>
        <v/>
      </c>
      <c r="Z1078" s="31"/>
    </row>
    <row r="1079" spans="2:26">
      <c r="B1079" s="2"/>
      <c r="C1079" t="str">
        <f>IF(B1079&lt;&gt;"",INDEX('Sales Orders'!C:C,MATCH('Booking Management'!B1079,'Sales Orders'!A:A,0)),"")</f>
        <v/>
      </c>
      <c r="K1079" s="31" t="str">
        <f t="shared" ca="1" si="51"/>
        <v/>
      </c>
      <c r="P1079" t="str">
        <f t="shared" si="53"/>
        <v/>
      </c>
      <c r="Q1079" t="str">
        <f>IFERROR((J1079/SUMIFS('Sales Orders'!D:D,'Sales Orders'!A:A,B1079))*SUMIFS('Sales Orders'!N:N,'Sales Orders'!A:A,B1079),"")</f>
        <v/>
      </c>
      <c r="W1079" s="31" t="str">
        <f t="shared" ca="1" si="52"/>
        <v/>
      </c>
      <c r="Z1079" s="31"/>
    </row>
    <row r="1080" spans="2:26">
      <c r="B1080" s="2"/>
      <c r="C1080" t="str">
        <f>IF(B1080&lt;&gt;"",INDEX('Sales Orders'!C:C,MATCH('Booking Management'!B1080,'Sales Orders'!A:A,0)),"")</f>
        <v/>
      </c>
      <c r="K1080" s="31" t="str">
        <f t="shared" ca="1" si="51"/>
        <v/>
      </c>
      <c r="P1080" t="str">
        <f t="shared" si="53"/>
        <v/>
      </c>
      <c r="Q1080" t="str">
        <f>IFERROR((J1080/SUMIFS('Sales Orders'!D:D,'Sales Orders'!A:A,B1080))*SUMIFS('Sales Orders'!N:N,'Sales Orders'!A:A,B1080),"")</f>
        <v/>
      </c>
      <c r="W1080" s="31" t="str">
        <f t="shared" ca="1" si="52"/>
        <v/>
      </c>
      <c r="Z1080" s="31"/>
    </row>
    <row r="1081" spans="2:26">
      <c r="B1081" s="2"/>
      <c r="C1081" t="str">
        <f>IF(B1081&lt;&gt;"",INDEX('Sales Orders'!C:C,MATCH('Booking Management'!B1081,'Sales Orders'!A:A,0)),"")</f>
        <v/>
      </c>
      <c r="K1081" s="31" t="str">
        <f t="shared" ca="1" si="51"/>
        <v/>
      </c>
      <c r="P1081" t="str">
        <f t="shared" si="53"/>
        <v/>
      </c>
      <c r="Q1081" t="str">
        <f>IFERROR((J1081/SUMIFS('Sales Orders'!D:D,'Sales Orders'!A:A,B1081))*SUMIFS('Sales Orders'!N:N,'Sales Orders'!A:A,B1081),"")</f>
        <v/>
      </c>
      <c r="W1081" s="31" t="str">
        <f t="shared" ca="1" si="52"/>
        <v/>
      </c>
      <c r="Z1081" s="31"/>
    </row>
    <row r="1082" spans="2:26">
      <c r="B1082" s="2"/>
      <c r="C1082" t="str">
        <f>IF(B1082&lt;&gt;"",INDEX('Sales Orders'!C:C,MATCH('Booking Management'!B1082,'Sales Orders'!A:A,0)),"")</f>
        <v/>
      </c>
      <c r="K1082" s="31" t="str">
        <f t="shared" ca="1" si="51"/>
        <v/>
      </c>
      <c r="P1082" t="str">
        <f t="shared" si="53"/>
        <v/>
      </c>
      <c r="Q1082" t="str">
        <f>IFERROR((J1082/SUMIFS('Sales Orders'!D:D,'Sales Orders'!A:A,B1082))*SUMIFS('Sales Orders'!N:N,'Sales Orders'!A:A,B1082),"")</f>
        <v/>
      </c>
      <c r="W1082" s="31" t="str">
        <f t="shared" ca="1" si="52"/>
        <v/>
      </c>
      <c r="Z1082" s="31"/>
    </row>
    <row r="1083" spans="2:26">
      <c r="B1083" s="2"/>
      <c r="C1083" t="str">
        <f>IF(B1083&lt;&gt;"",INDEX('Sales Orders'!C:C,MATCH('Booking Management'!B1083,'Sales Orders'!A:A,0)),"")</f>
        <v/>
      </c>
      <c r="K1083" s="31" t="str">
        <f t="shared" ca="1" si="51"/>
        <v/>
      </c>
      <c r="P1083" t="str">
        <f t="shared" si="53"/>
        <v/>
      </c>
      <c r="Q1083" t="str">
        <f>IFERROR((J1083/SUMIFS('Sales Orders'!D:D,'Sales Orders'!A:A,B1083))*SUMIFS('Sales Orders'!N:N,'Sales Orders'!A:A,B1083),"")</f>
        <v/>
      </c>
      <c r="W1083" s="31" t="str">
        <f t="shared" ca="1" si="52"/>
        <v/>
      </c>
      <c r="Z1083" s="31"/>
    </row>
    <row r="1084" spans="2:26">
      <c r="B1084" s="2"/>
      <c r="C1084" t="str">
        <f>IF(B1084&lt;&gt;"",INDEX('Sales Orders'!C:C,MATCH('Booking Management'!B1084,'Sales Orders'!A:A,0)),"")</f>
        <v/>
      </c>
      <c r="K1084" s="31" t="str">
        <f t="shared" ca="1" si="51"/>
        <v/>
      </c>
      <c r="P1084" t="str">
        <f t="shared" si="53"/>
        <v/>
      </c>
      <c r="Q1084" t="str">
        <f>IFERROR((J1084/SUMIFS('Sales Orders'!D:D,'Sales Orders'!A:A,B1084))*SUMIFS('Sales Orders'!N:N,'Sales Orders'!A:A,B1084),"")</f>
        <v/>
      </c>
      <c r="W1084" s="31" t="str">
        <f t="shared" ca="1" si="52"/>
        <v/>
      </c>
      <c r="Z1084" s="31"/>
    </row>
    <row r="1085" spans="2:26">
      <c r="B1085" s="2"/>
      <c r="C1085" t="str">
        <f>IF(B1085&lt;&gt;"",INDEX('Sales Orders'!C:C,MATCH('Booking Management'!B1085,'Sales Orders'!A:A,0)),"")</f>
        <v/>
      </c>
      <c r="K1085" s="31" t="str">
        <f t="shared" ca="1" si="51"/>
        <v/>
      </c>
      <c r="P1085" t="str">
        <f t="shared" si="53"/>
        <v/>
      </c>
      <c r="Q1085" t="str">
        <f>IFERROR((J1085/SUMIFS('Sales Orders'!D:D,'Sales Orders'!A:A,B1085))*SUMIFS('Sales Orders'!N:N,'Sales Orders'!A:A,B1085),"")</f>
        <v/>
      </c>
      <c r="W1085" s="31" t="str">
        <f t="shared" ca="1" si="52"/>
        <v/>
      </c>
      <c r="Z1085" s="31"/>
    </row>
    <row r="1086" spans="2:26">
      <c r="B1086" s="2"/>
      <c r="C1086" t="str">
        <f>IF(B1086&lt;&gt;"",INDEX('Sales Orders'!C:C,MATCH('Booking Management'!B1086,'Sales Orders'!A:A,0)),"")</f>
        <v/>
      </c>
      <c r="K1086" s="31" t="str">
        <f t="shared" ca="1" si="51"/>
        <v/>
      </c>
      <c r="P1086" t="str">
        <f t="shared" si="53"/>
        <v/>
      </c>
      <c r="Q1086" t="str">
        <f>IFERROR((J1086/SUMIFS('Sales Orders'!D:D,'Sales Orders'!A:A,B1086))*SUMIFS('Sales Orders'!N:N,'Sales Orders'!A:A,B1086),"")</f>
        <v/>
      </c>
      <c r="W1086" s="31" t="str">
        <f t="shared" ca="1" si="52"/>
        <v/>
      </c>
      <c r="Z1086" s="31"/>
    </row>
    <row r="1087" spans="2:26">
      <c r="B1087" s="2"/>
      <c r="C1087" t="str">
        <f>IF(B1087&lt;&gt;"",INDEX('Sales Orders'!C:C,MATCH('Booking Management'!B1087,'Sales Orders'!A:A,0)),"")</f>
        <v/>
      </c>
      <c r="K1087" s="31" t="str">
        <f t="shared" ca="1" si="51"/>
        <v/>
      </c>
      <c r="P1087" t="str">
        <f t="shared" si="53"/>
        <v/>
      </c>
      <c r="Q1087" t="str">
        <f>IFERROR((J1087/SUMIFS('Sales Orders'!D:D,'Sales Orders'!A:A,B1087))*SUMIFS('Sales Orders'!N:N,'Sales Orders'!A:A,B1087),"")</f>
        <v/>
      </c>
      <c r="W1087" s="31" t="str">
        <f t="shared" ca="1" si="52"/>
        <v/>
      </c>
      <c r="Z1087" s="31"/>
    </row>
    <row r="1088" spans="2:26">
      <c r="B1088" s="2"/>
      <c r="C1088" t="str">
        <f>IF(B1088&lt;&gt;"",INDEX('Sales Orders'!C:C,MATCH('Booking Management'!B1088,'Sales Orders'!A:A,0)),"")</f>
        <v/>
      </c>
      <c r="K1088" s="31" t="str">
        <f t="shared" ca="1" si="51"/>
        <v/>
      </c>
      <c r="P1088" t="str">
        <f t="shared" si="53"/>
        <v/>
      </c>
      <c r="Q1088" t="str">
        <f>IFERROR((J1088/SUMIFS('Sales Orders'!D:D,'Sales Orders'!A:A,B1088))*SUMIFS('Sales Orders'!N:N,'Sales Orders'!A:A,B1088),"")</f>
        <v/>
      </c>
      <c r="W1088" s="31" t="str">
        <f t="shared" ca="1" si="52"/>
        <v/>
      </c>
      <c r="Z1088" s="31"/>
    </row>
    <row r="1089" spans="2:26">
      <c r="B1089" s="2"/>
      <c r="C1089" t="str">
        <f>IF(B1089&lt;&gt;"",INDEX('Sales Orders'!C:C,MATCH('Booking Management'!B1089,'Sales Orders'!A:A,0)),"")</f>
        <v/>
      </c>
      <c r="K1089" s="31" t="str">
        <f t="shared" ca="1" si="51"/>
        <v/>
      </c>
      <c r="P1089" t="str">
        <f t="shared" si="53"/>
        <v/>
      </c>
      <c r="Q1089" t="str">
        <f>IFERROR((J1089/SUMIFS('Sales Orders'!D:D,'Sales Orders'!A:A,B1089))*SUMIFS('Sales Orders'!N:N,'Sales Orders'!A:A,B1089),"")</f>
        <v/>
      </c>
      <c r="W1089" s="31" t="str">
        <f t="shared" ca="1" si="52"/>
        <v/>
      </c>
      <c r="Z1089" s="31"/>
    </row>
    <row r="1090" spans="2:26">
      <c r="B1090" s="2"/>
      <c r="C1090" t="str">
        <f>IF(B1090&lt;&gt;"",INDEX('Sales Orders'!C:C,MATCH('Booking Management'!B1090,'Sales Orders'!A:A,0)),"")</f>
        <v/>
      </c>
      <c r="K1090" s="31" t="str">
        <f t="shared" ca="1" si="51"/>
        <v/>
      </c>
      <c r="P1090" t="str">
        <f t="shared" si="53"/>
        <v/>
      </c>
      <c r="Q1090" t="str">
        <f>IFERROR((J1090/SUMIFS('Sales Orders'!D:D,'Sales Orders'!A:A,B1090))*SUMIFS('Sales Orders'!N:N,'Sales Orders'!A:A,B1090),"")</f>
        <v/>
      </c>
      <c r="W1090" s="31" t="str">
        <f t="shared" ca="1" si="52"/>
        <v/>
      </c>
      <c r="Z1090" s="31"/>
    </row>
    <row r="1091" spans="2:26">
      <c r="B1091" s="2"/>
      <c r="C1091" t="str">
        <f>IF(B1091&lt;&gt;"",INDEX('Sales Orders'!C:C,MATCH('Booking Management'!B1091,'Sales Orders'!A:A,0)),"")</f>
        <v/>
      </c>
      <c r="K1091" s="31" t="str">
        <f t="shared" ref="K1091:K1154" ca="1" si="54">IF(B1091&lt;&gt;"",IF(AND(OR(L1091-TODAY()&lt;2,M1091&lt;&gt;"yes",N1091&lt;&gt;"yes",O1091&lt;&gt;"yes"),S1091&lt;&gt;"Used"),"Alert",""),"")</f>
        <v/>
      </c>
      <c r="P1091" t="str">
        <f t="shared" si="53"/>
        <v/>
      </c>
      <c r="Q1091" t="str">
        <f>IFERROR((J1091/SUMIFS('Sales Orders'!D:D,'Sales Orders'!A:A,B1091))*SUMIFS('Sales Orders'!N:N,'Sales Orders'!A:A,B1091),"")</f>
        <v/>
      </c>
      <c r="W1091" s="31" t="str">
        <f t="shared" ca="1" si="52"/>
        <v/>
      </c>
      <c r="Z1091" s="31"/>
    </row>
    <row r="1092" spans="2:26">
      <c r="B1092" s="2"/>
      <c r="C1092" t="str">
        <f>IF(B1092&lt;&gt;"",INDEX('Sales Orders'!C:C,MATCH('Booking Management'!B1092,'Sales Orders'!A:A,0)),"")</f>
        <v/>
      </c>
      <c r="K1092" s="31" t="str">
        <f t="shared" ca="1" si="54"/>
        <v/>
      </c>
      <c r="P1092" t="str">
        <f t="shared" si="53"/>
        <v/>
      </c>
      <c r="Q1092" t="str">
        <f>IFERROR((J1092/SUMIFS('Sales Orders'!D:D,'Sales Orders'!A:A,B1092))*SUMIFS('Sales Orders'!N:N,'Sales Orders'!A:A,B1092),"")</f>
        <v/>
      </c>
      <c r="W1092" s="31" t="str">
        <f t="shared" ca="1" si="52"/>
        <v/>
      </c>
      <c r="Z1092" s="31"/>
    </row>
    <row r="1093" spans="2:26">
      <c r="B1093" s="2"/>
      <c r="C1093" t="str">
        <f>IF(B1093&lt;&gt;"",INDEX('Sales Orders'!C:C,MATCH('Booking Management'!B1093,'Sales Orders'!A:A,0)),"")</f>
        <v/>
      </c>
      <c r="K1093" s="31" t="str">
        <f t="shared" ca="1" si="54"/>
        <v/>
      </c>
      <c r="P1093" t="str">
        <f t="shared" si="53"/>
        <v/>
      </c>
      <c r="Q1093" t="str">
        <f>IFERROR((J1093/SUMIFS('Sales Orders'!D:D,'Sales Orders'!A:A,B1093))*SUMIFS('Sales Orders'!N:N,'Sales Orders'!A:A,B1093),"")</f>
        <v/>
      </c>
      <c r="W1093" s="31" t="str">
        <f t="shared" ca="1" si="52"/>
        <v/>
      </c>
      <c r="Z1093" s="31"/>
    </row>
    <row r="1094" spans="2:26">
      <c r="B1094" s="2"/>
      <c r="C1094" t="str">
        <f>IF(B1094&lt;&gt;"",INDEX('Sales Orders'!C:C,MATCH('Booking Management'!B1094,'Sales Orders'!A:A,0)),"")</f>
        <v/>
      </c>
      <c r="K1094" s="31" t="str">
        <f t="shared" ca="1" si="54"/>
        <v/>
      </c>
      <c r="P1094" t="str">
        <f t="shared" si="53"/>
        <v/>
      </c>
      <c r="Q1094" t="str">
        <f>IFERROR((J1094/SUMIFS('Sales Orders'!D:D,'Sales Orders'!A:A,B1094))*SUMIFS('Sales Orders'!N:N,'Sales Orders'!A:A,B1094),"")</f>
        <v/>
      </c>
      <c r="W1094" s="31" t="str">
        <f t="shared" ca="1" si="52"/>
        <v/>
      </c>
      <c r="Z1094" s="31"/>
    </row>
    <row r="1095" spans="2:26">
      <c r="B1095" s="2"/>
      <c r="C1095" t="str">
        <f>IF(B1095&lt;&gt;"",INDEX('Sales Orders'!C:C,MATCH('Booking Management'!B1095,'Sales Orders'!A:A,0)),"")</f>
        <v/>
      </c>
      <c r="K1095" s="31" t="str">
        <f t="shared" ca="1" si="54"/>
        <v/>
      </c>
      <c r="P1095" t="str">
        <f t="shared" si="53"/>
        <v/>
      </c>
      <c r="Q1095" t="str">
        <f>IFERROR((J1095/SUMIFS('Sales Orders'!D:D,'Sales Orders'!A:A,B1095))*SUMIFS('Sales Orders'!N:N,'Sales Orders'!A:A,B1095),"")</f>
        <v/>
      </c>
      <c r="W1095" s="31" t="str">
        <f t="shared" ref="W1095:W1158" ca="1" si="55">IF(T1095&lt;&gt;"",IF(X1095="Yes","NO",IF((TODAY()-V1095)&gt;6,"YES","NO")),"")</f>
        <v/>
      </c>
      <c r="Z1095" s="31"/>
    </row>
    <row r="1096" spans="2:26">
      <c r="B1096" s="2"/>
      <c r="C1096" t="str">
        <f>IF(B1096&lt;&gt;"",INDEX('Sales Orders'!C:C,MATCH('Booking Management'!B1096,'Sales Orders'!A:A,0)),"")</f>
        <v/>
      </c>
      <c r="K1096" s="31" t="str">
        <f t="shared" ca="1" si="54"/>
        <v/>
      </c>
      <c r="P1096" t="str">
        <f t="shared" si="53"/>
        <v/>
      </c>
      <c r="Q1096" t="str">
        <f>IFERROR((J1096/SUMIFS('Sales Orders'!D:D,'Sales Orders'!A:A,B1096))*SUMIFS('Sales Orders'!N:N,'Sales Orders'!A:A,B1096),"")</f>
        <v/>
      </c>
      <c r="W1096" s="31" t="str">
        <f t="shared" ca="1" si="55"/>
        <v/>
      </c>
      <c r="Z1096" s="31"/>
    </row>
    <row r="1097" spans="2:26">
      <c r="B1097" s="2"/>
      <c r="C1097" t="str">
        <f>IF(B1097&lt;&gt;"",INDEX('Sales Orders'!C:C,MATCH('Booking Management'!B1097,'Sales Orders'!A:A,0)),"")</f>
        <v/>
      </c>
      <c r="K1097" s="31" t="str">
        <f t="shared" ca="1" si="54"/>
        <v/>
      </c>
      <c r="P1097" t="str">
        <f t="shared" si="53"/>
        <v/>
      </c>
      <c r="Q1097" t="str">
        <f>IFERROR((J1097/SUMIFS('Sales Orders'!D:D,'Sales Orders'!A:A,B1097))*SUMIFS('Sales Orders'!N:N,'Sales Orders'!A:A,B1097),"")</f>
        <v/>
      </c>
      <c r="W1097" s="31" t="str">
        <f t="shared" ca="1" si="55"/>
        <v/>
      </c>
      <c r="Z1097" s="31"/>
    </row>
    <row r="1098" spans="2:26">
      <c r="B1098" s="2"/>
      <c r="C1098" t="str">
        <f>IF(B1098&lt;&gt;"",INDEX('Sales Orders'!C:C,MATCH('Booking Management'!B1098,'Sales Orders'!A:A,0)),"")</f>
        <v/>
      </c>
      <c r="K1098" s="31" t="str">
        <f t="shared" ca="1" si="54"/>
        <v/>
      </c>
      <c r="P1098" t="str">
        <f t="shared" si="53"/>
        <v/>
      </c>
      <c r="Q1098" t="str">
        <f>IFERROR((J1098/SUMIFS('Sales Orders'!D:D,'Sales Orders'!A:A,B1098))*SUMIFS('Sales Orders'!N:N,'Sales Orders'!A:A,B1098),"")</f>
        <v/>
      </c>
      <c r="W1098" s="31" t="str">
        <f t="shared" ca="1" si="55"/>
        <v/>
      </c>
      <c r="Z1098" s="31"/>
    </row>
    <row r="1099" spans="2:26">
      <c r="B1099" s="2"/>
      <c r="C1099" t="str">
        <f>IF(B1099&lt;&gt;"",INDEX('Sales Orders'!C:C,MATCH('Booking Management'!B1099,'Sales Orders'!A:A,0)),"")</f>
        <v/>
      </c>
      <c r="K1099" s="31" t="str">
        <f t="shared" ca="1" si="54"/>
        <v/>
      </c>
      <c r="P1099" t="str">
        <f t="shared" si="53"/>
        <v/>
      </c>
      <c r="Q1099" t="str">
        <f>IFERROR((J1099/SUMIFS('Sales Orders'!D:D,'Sales Orders'!A:A,B1099))*SUMIFS('Sales Orders'!N:N,'Sales Orders'!A:A,B1099),"")</f>
        <v/>
      </c>
      <c r="W1099" s="31" t="str">
        <f t="shared" ca="1" si="55"/>
        <v/>
      </c>
      <c r="Z1099" s="31"/>
    </row>
    <row r="1100" spans="2:26">
      <c r="B1100" s="2"/>
      <c r="C1100" t="str">
        <f>IF(B1100&lt;&gt;"",INDEX('Sales Orders'!C:C,MATCH('Booking Management'!B1100,'Sales Orders'!A:A,0)),"")</f>
        <v/>
      </c>
      <c r="K1100" s="31" t="str">
        <f t="shared" ca="1" si="54"/>
        <v/>
      </c>
      <c r="P1100" t="str">
        <f t="shared" si="53"/>
        <v/>
      </c>
      <c r="Q1100" t="str">
        <f>IFERROR((J1100/SUMIFS('Sales Orders'!D:D,'Sales Orders'!A:A,B1100))*SUMIFS('Sales Orders'!N:N,'Sales Orders'!A:A,B1100),"")</f>
        <v/>
      </c>
      <c r="W1100" s="31" t="str">
        <f t="shared" ca="1" si="55"/>
        <v/>
      </c>
      <c r="Z1100" s="31"/>
    </row>
    <row r="1101" spans="2:26">
      <c r="B1101" s="2"/>
      <c r="C1101" t="str">
        <f>IF(B1101&lt;&gt;"",INDEX('Sales Orders'!C:C,MATCH('Booking Management'!B1101,'Sales Orders'!A:A,0)),"")</f>
        <v/>
      </c>
      <c r="K1101" s="31" t="str">
        <f t="shared" ca="1" si="54"/>
        <v/>
      </c>
      <c r="P1101" t="str">
        <f t="shared" si="53"/>
        <v/>
      </c>
      <c r="Q1101" t="str">
        <f>IFERROR((J1101/SUMIFS('Sales Orders'!D:D,'Sales Orders'!A:A,B1101))*SUMIFS('Sales Orders'!N:N,'Sales Orders'!A:A,B1101),"")</f>
        <v/>
      </c>
      <c r="W1101" s="31" t="str">
        <f t="shared" ca="1" si="55"/>
        <v/>
      </c>
      <c r="Z1101" s="31"/>
    </row>
    <row r="1102" spans="2:26">
      <c r="B1102" s="2"/>
      <c r="C1102" t="str">
        <f>IF(B1102&lt;&gt;"",INDEX('Sales Orders'!C:C,MATCH('Booking Management'!B1102,'Sales Orders'!A:A,0)),"")</f>
        <v/>
      </c>
      <c r="K1102" s="31" t="str">
        <f t="shared" ca="1" si="54"/>
        <v/>
      </c>
      <c r="P1102" t="str">
        <f t="shared" si="53"/>
        <v/>
      </c>
      <c r="Q1102" t="str">
        <f>IFERROR((J1102/SUMIFS('Sales Orders'!D:D,'Sales Orders'!A:A,B1102))*SUMIFS('Sales Orders'!N:N,'Sales Orders'!A:A,B1102),"")</f>
        <v/>
      </c>
      <c r="W1102" s="31" t="str">
        <f t="shared" ca="1" si="55"/>
        <v/>
      </c>
      <c r="Z1102" s="31"/>
    </row>
    <row r="1103" spans="2:26">
      <c r="B1103" s="2"/>
      <c r="C1103" t="str">
        <f>IF(B1103&lt;&gt;"",INDEX('Sales Orders'!C:C,MATCH('Booking Management'!B1103,'Sales Orders'!A:A,0)),"")</f>
        <v/>
      </c>
      <c r="K1103" s="31" t="str">
        <f t="shared" ca="1" si="54"/>
        <v/>
      </c>
      <c r="P1103" t="str">
        <f t="shared" si="53"/>
        <v/>
      </c>
      <c r="Q1103" t="str">
        <f>IFERROR((J1103/SUMIFS('Sales Orders'!D:D,'Sales Orders'!A:A,B1103))*SUMIFS('Sales Orders'!N:N,'Sales Orders'!A:A,B1103),"")</f>
        <v/>
      </c>
      <c r="W1103" s="31" t="str">
        <f t="shared" ca="1" si="55"/>
        <v/>
      </c>
      <c r="Z1103" s="31"/>
    </row>
    <row r="1104" spans="2:26">
      <c r="B1104" s="2"/>
      <c r="C1104" t="str">
        <f>IF(B1104&lt;&gt;"",INDEX('Sales Orders'!C:C,MATCH('Booking Management'!B1104,'Sales Orders'!A:A,0)),"")</f>
        <v/>
      </c>
      <c r="K1104" s="31" t="str">
        <f t="shared" ca="1" si="54"/>
        <v/>
      </c>
      <c r="P1104" t="str">
        <f t="shared" si="53"/>
        <v/>
      </c>
      <c r="Q1104" t="str">
        <f>IFERROR((J1104/SUMIFS('Sales Orders'!D:D,'Sales Orders'!A:A,B1104))*SUMIFS('Sales Orders'!N:N,'Sales Orders'!A:A,B1104),"")</f>
        <v/>
      </c>
      <c r="W1104" s="31" t="str">
        <f t="shared" ca="1" si="55"/>
        <v/>
      </c>
      <c r="Z1104" s="31"/>
    </row>
    <row r="1105" spans="2:26">
      <c r="B1105" s="2"/>
      <c r="C1105" t="str">
        <f>IF(B1105&lt;&gt;"",INDEX('Sales Orders'!C:C,MATCH('Booking Management'!B1105,'Sales Orders'!A:A,0)),"")</f>
        <v/>
      </c>
      <c r="K1105" s="31" t="str">
        <f t="shared" ca="1" si="54"/>
        <v/>
      </c>
      <c r="P1105" t="str">
        <f t="shared" si="53"/>
        <v/>
      </c>
      <c r="Q1105" t="str">
        <f>IFERROR((J1105/SUMIFS('Sales Orders'!D:D,'Sales Orders'!A:A,B1105))*SUMIFS('Sales Orders'!N:N,'Sales Orders'!A:A,B1105),"")</f>
        <v/>
      </c>
      <c r="W1105" s="31" t="str">
        <f t="shared" ca="1" si="55"/>
        <v/>
      </c>
      <c r="Z1105" s="31"/>
    </row>
    <row r="1106" spans="2:26">
      <c r="B1106" s="2"/>
      <c r="C1106" t="str">
        <f>IF(B1106&lt;&gt;"",INDEX('Sales Orders'!C:C,MATCH('Booking Management'!B1106,'Sales Orders'!A:A,0)),"")</f>
        <v/>
      </c>
      <c r="K1106" s="31" t="str">
        <f t="shared" ca="1" si="54"/>
        <v/>
      </c>
      <c r="P1106" t="str">
        <f t="shared" si="53"/>
        <v/>
      </c>
      <c r="Q1106" t="str">
        <f>IFERROR((J1106/SUMIFS('Sales Orders'!D:D,'Sales Orders'!A:A,B1106))*SUMIFS('Sales Orders'!N:N,'Sales Orders'!A:A,B1106),"")</f>
        <v/>
      </c>
      <c r="W1106" s="31" t="str">
        <f t="shared" ca="1" si="55"/>
        <v/>
      </c>
      <c r="Z1106" s="31"/>
    </row>
    <row r="1107" spans="2:26">
      <c r="B1107" s="2"/>
      <c r="C1107" t="str">
        <f>IF(B1107&lt;&gt;"",INDEX('Sales Orders'!C:C,MATCH('Booking Management'!B1107,'Sales Orders'!A:A,0)),"")</f>
        <v/>
      </c>
      <c r="K1107" s="31" t="str">
        <f t="shared" ca="1" si="54"/>
        <v/>
      </c>
      <c r="P1107" t="str">
        <f t="shared" si="53"/>
        <v/>
      </c>
      <c r="Q1107" t="str">
        <f>IFERROR((J1107/SUMIFS('Sales Orders'!D:D,'Sales Orders'!A:A,B1107))*SUMIFS('Sales Orders'!N:N,'Sales Orders'!A:A,B1107),"")</f>
        <v/>
      </c>
      <c r="W1107" s="31" t="str">
        <f t="shared" ca="1" si="55"/>
        <v/>
      </c>
      <c r="Z1107" s="31"/>
    </row>
    <row r="1108" spans="2:26">
      <c r="B1108" s="2"/>
      <c r="C1108" t="str">
        <f>IF(B1108&lt;&gt;"",INDEX('Sales Orders'!C:C,MATCH('Booking Management'!B1108,'Sales Orders'!A:A,0)),"")</f>
        <v/>
      </c>
      <c r="K1108" s="31" t="str">
        <f t="shared" ca="1" si="54"/>
        <v/>
      </c>
      <c r="P1108" t="str">
        <f t="shared" si="53"/>
        <v/>
      </c>
      <c r="Q1108" t="str">
        <f>IFERROR((J1108/SUMIFS('Sales Orders'!D:D,'Sales Orders'!A:A,B1108))*SUMIFS('Sales Orders'!N:N,'Sales Orders'!A:A,B1108),"")</f>
        <v/>
      </c>
      <c r="W1108" s="31" t="str">
        <f t="shared" ca="1" si="55"/>
        <v/>
      </c>
      <c r="Z1108" s="31"/>
    </row>
    <row r="1109" spans="2:26">
      <c r="B1109" s="2"/>
      <c r="C1109" t="str">
        <f>IF(B1109&lt;&gt;"",INDEX('Sales Orders'!C:C,MATCH('Booking Management'!B1109,'Sales Orders'!A:A,0)),"")</f>
        <v/>
      </c>
      <c r="K1109" s="31" t="str">
        <f t="shared" ca="1" si="54"/>
        <v/>
      </c>
      <c r="P1109" t="str">
        <f t="shared" si="53"/>
        <v/>
      </c>
      <c r="Q1109" t="str">
        <f>IFERROR((J1109/SUMIFS('Sales Orders'!D:D,'Sales Orders'!A:A,B1109))*SUMIFS('Sales Orders'!N:N,'Sales Orders'!A:A,B1109),"")</f>
        <v/>
      </c>
      <c r="W1109" s="31" t="str">
        <f t="shared" ca="1" si="55"/>
        <v/>
      </c>
      <c r="Z1109" s="31"/>
    </row>
    <row r="1110" spans="2:26">
      <c r="B1110" s="2"/>
      <c r="C1110" t="str">
        <f>IF(B1110&lt;&gt;"",INDEX('Sales Orders'!C:C,MATCH('Booking Management'!B1110,'Sales Orders'!A:A,0)),"")</f>
        <v/>
      </c>
      <c r="K1110" s="31" t="str">
        <f t="shared" ca="1" si="54"/>
        <v/>
      </c>
      <c r="P1110" t="str">
        <f t="shared" si="53"/>
        <v/>
      </c>
      <c r="Q1110" t="str">
        <f>IFERROR((J1110/SUMIFS('Sales Orders'!D:D,'Sales Orders'!A:A,B1110))*SUMIFS('Sales Orders'!N:N,'Sales Orders'!A:A,B1110),"")</f>
        <v/>
      </c>
      <c r="W1110" s="31" t="str">
        <f t="shared" ca="1" si="55"/>
        <v/>
      </c>
      <c r="Z1110" s="31"/>
    </row>
    <row r="1111" spans="2:26">
      <c r="B1111" s="2"/>
      <c r="C1111" t="str">
        <f>IF(B1111&lt;&gt;"",INDEX('Sales Orders'!C:C,MATCH('Booking Management'!B1111,'Sales Orders'!A:A,0)),"")</f>
        <v/>
      </c>
      <c r="K1111" s="31" t="str">
        <f t="shared" ca="1" si="54"/>
        <v/>
      </c>
      <c r="P1111" t="str">
        <f t="shared" si="53"/>
        <v/>
      </c>
      <c r="Q1111" t="str">
        <f>IFERROR((J1111/SUMIFS('Sales Orders'!D:D,'Sales Orders'!A:A,B1111))*SUMIFS('Sales Orders'!N:N,'Sales Orders'!A:A,B1111),"")</f>
        <v/>
      </c>
      <c r="W1111" s="31" t="str">
        <f t="shared" ca="1" si="55"/>
        <v/>
      </c>
      <c r="Z1111" s="31"/>
    </row>
    <row r="1112" spans="2:26">
      <c r="B1112" s="2"/>
      <c r="C1112" t="str">
        <f>IF(B1112&lt;&gt;"",INDEX('Sales Orders'!C:C,MATCH('Booking Management'!B1112,'Sales Orders'!A:A,0)),"")</f>
        <v/>
      </c>
      <c r="K1112" s="31" t="str">
        <f t="shared" ca="1" si="54"/>
        <v/>
      </c>
      <c r="P1112" t="str">
        <f t="shared" si="53"/>
        <v/>
      </c>
      <c r="Q1112" t="str">
        <f>IFERROR((J1112/SUMIFS('Sales Orders'!D:D,'Sales Orders'!A:A,B1112))*SUMIFS('Sales Orders'!N:N,'Sales Orders'!A:A,B1112),"")</f>
        <v/>
      </c>
      <c r="W1112" s="31" t="str">
        <f t="shared" ca="1" si="55"/>
        <v/>
      </c>
      <c r="Z1112" s="31"/>
    </row>
    <row r="1113" spans="2:26">
      <c r="B1113" s="2"/>
      <c r="C1113" t="str">
        <f>IF(B1113&lt;&gt;"",INDEX('Sales Orders'!C:C,MATCH('Booking Management'!B1113,'Sales Orders'!A:A,0)),"")</f>
        <v/>
      </c>
      <c r="K1113" s="31" t="str">
        <f t="shared" ca="1" si="54"/>
        <v/>
      </c>
      <c r="P1113" t="str">
        <f t="shared" si="53"/>
        <v/>
      </c>
      <c r="Q1113" t="str">
        <f>IFERROR((J1113/SUMIFS('Sales Orders'!D:D,'Sales Orders'!A:A,B1113))*SUMIFS('Sales Orders'!N:N,'Sales Orders'!A:A,B1113),"")</f>
        <v/>
      </c>
      <c r="W1113" s="31" t="str">
        <f t="shared" ca="1" si="55"/>
        <v/>
      </c>
      <c r="Z1113" s="31"/>
    </row>
    <row r="1114" spans="2:26">
      <c r="B1114" s="2"/>
      <c r="C1114" t="str">
        <f>IF(B1114&lt;&gt;"",INDEX('Sales Orders'!C:C,MATCH('Booking Management'!B1114,'Sales Orders'!A:A,0)),"")</f>
        <v/>
      </c>
      <c r="K1114" s="31" t="str">
        <f t="shared" ca="1" si="54"/>
        <v/>
      </c>
      <c r="P1114" t="str">
        <f t="shared" si="53"/>
        <v/>
      </c>
      <c r="Q1114" t="str">
        <f>IFERROR((J1114/SUMIFS('Sales Orders'!D:D,'Sales Orders'!A:A,B1114))*SUMIFS('Sales Orders'!N:N,'Sales Orders'!A:A,B1114),"")</f>
        <v/>
      </c>
      <c r="W1114" s="31" t="str">
        <f t="shared" ca="1" si="55"/>
        <v/>
      </c>
      <c r="Z1114" s="31"/>
    </row>
    <row r="1115" spans="2:26">
      <c r="B1115" s="2"/>
      <c r="C1115" t="str">
        <f>IF(B1115&lt;&gt;"",INDEX('Sales Orders'!C:C,MATCH('Booking Management'!B1115,'Sales Orders'!A:A,0)),"")</f>
        <v/>
      </c>
      <c r="K1115" s="31" t="str">
        <f t="shared" ca="1" si="54"/>
        <v/>
      </c>
      <c r="P1115" t="str">
        <f t="shared" si="53"/>
        <v/>
      </c>
      <c r="Q1115" t="str">
        <f>IFERROR((J1115/SUMIFS('Sales Orders'!D:D,'Sales Orders'!A:A,B1115))*SUMIFS('Sales Orders'!N:N,'Sales Orders'!A:A,B1115),"")</f>
        <v/>
      </c>
      <c r="W1115" s="31" t="str">
        <f t="shared" ca="1" si="55"/>
        <v/>
      </c>
      <c r="Z1115" s="31"/>
    </row>
    <row r="1116" spans="2:26">
      <c r="B1116" s="2"/>
      <c r="C1116" t="str">
        <f>IF(B1116&lt;&gt;"",INDEX('Sales Orders'!C:C,MATCH('Booking Management'!B1116,'Sales Orders'!A:A,0)),"")</f>
        <v/>
      </c>
      <c r="K1116" s="31" t="str">
        <f t="shared" ca="1" si="54"/>
        <v/>
      </c>
      <c r="P1116" t="str">
        <f t="shared" si="53"/>
        <v/>
      </c>
      <c r="Q1116" t="str">
        <f>IFERROR((J1116/SUMIFS('Sales Orders'!D:D,'Sales Orders'!A:A,B1116))*SUMIFS('Sales Orders'!N:N,'Sales Orders'!A:A,B1116),"")</f>
        <v/>
      </c>
      <c r="W1116" s="31" t="str">
        <f t="shared" ca="1" si="55"/>
        <v/>
      </c>
      <c r="Z1116" s="31"/>
    </row>
    <row r="1117" spans="2:26">
      <c r="B1117" s="2"/>
      <c r="C1117" t="str">
        <f>IF(B1117&lt;&gt;"",INDEX('Sales Orders'!C:C,MATCH('Booking Management'!B1117,'Sales Orders'!A:A,0)),"")</f>
        <v/>
      </c>
      <c r="K1117" s="31" t="str">
        <f t="shared" ca="1" si="54"/>
        <v/>
      </c>
      <c r="P1117" t="str">
        <f t="shared" si="53"/>
        <v/>
      </c>
      <c r="Q1117" t="str">
        <f>IFERROR((J1117/SUMIFS('Sales Orders'!D:D,'Sales Orders'!A:A,B1117))*SUMIFS('Sales Orders'!N:N,'Sales Orders'!A:A,B1117),"")</f>
        <v/>
      </c>
      <c r="W1117" s="31" t="str">
        <f t="shared" ca="1" si="55"/>
        <v/>
      </c>
      <c r="Z1117" s="31"/>
    </row>
    <row r="1118" spans="2:26">
      <c r="B1118" s="2"/>
      <c r="C1118" t="str">
        <f>IF(B1118&lt;&gt;"",INDEX('Sales Orders'!C:C,MATCH('Booking Management'!B1118,'Sales Orders'!A:A,0)),"")</f>
        <v/>
      </c>
      <c r="K1118" s="31" t="str">
        <f t="shared" ca="1" si="54"/>
        <v/>
      </c>
      <c r="P1118" t="str">
        <f t="shared" si="53"/>
        <v/>
      </c>
      <c r="Q1118" t="str">
        <f>IFERROR((J1118/SUMIFS('Sales Orders'!D:D,'Sales Orders'!A:A,B1118))*SUMIFS('Sales Orders'!N:N,'Sales Orders'!A:A,B1118),"")</f>
        <v/>
      </c>
      <c r="W1118" s="31" t="str">
        <f t="shared" ca="1" si="55"/>
        <v/>
      </c>
      <c r="Z1118" s="31"/>
    </row>
    <row r="1119" spans="2:26">
      <c r="B1119" s="2"/>
      <c r="C1119" t="str">
        <f>IF(B1119&lt;&gt;"",INDEX('Sales Orders'!C:C,MATCH('Booking Management'!B1119,'Sales Orders'!A:A,0)),"")</f>
        <v/>
      </c>
      <c r="K1119" s="31" t="str">
        <f t="shared" ca="1" si="54"/>
        <v/>
      </c>
      <c r="P1119" t="str">
        <f t="shared" si="53"/>
        <v/>
      </c>
      <c r="Q1119" t="str">
        <f>IFERROR((J1119/SUMIFS('Sales Orders'!D:D,'Sales Orders'!A:A,B1119))*SUMIFS('Sales Orders'!N:N,'Sales Orders'!A:A,B1119),"")</f>
        <v/>
      </c>
      <c r="W1119" s="31" t="str">
        <f t="shared" ca="1" si="55"/>
        <v/>
      </c>
      <c r="Z1119" s="31"/>
    </row>
    <row r="1120" spans="2:26">
      <c r="B1120" s="2"/>
      <c r="C1120" t="str">
        <f>IF(B1120&lt;&gt;"",INDEX('Sales Orders'!C:C,MATCH('Booking Management'!B1120,'Sales Orders'!A:A,0)),"")</f>
        <v/>
      </c>
      <c r="K1120" s="31" t="str">
        <f t="shared" ca="1" si="54"/>
        <v/>
      </c>
      <c r="P1120" t="str">
        <f t="shared" si="53"/>
        <v/>
      </c>
      <c r="Q1120" t="str">
        <f>IFERROR((J1120/SUMIFS('Sales Orders'!D:D,'Sales Orders'!A:A,B1120))*SUMIFS('Sales Orders'!N:N,'Sales Orders'!A:A,B1120),"")</f>
        <v/>
      </c>
      <c r="W1120" s="31" t="str">
        <f t="shared" ca="1" si="55"/>
        <v/>
      </c>
      <c r="Z1120" s="31"/>
    </row>
    <row r="1121" spans="2:26">
      <c r="B1121" s="2"/>
      <c r="C1121" t="str">
        <f>IF(B1121&lt;&gt;"",INDEX('Sales Orders'!C:C,MATCH('Booking Management'!B1121,'Sales Orders'!A:A,0)),"")</f>
        <v/>
      </c>
      <c r="K1121" s="31" t="str">
        <f t="shared" ca="1" si="54"/>
        <v/>
      </c>
      <c r="P1121" t="str">
        <f t="shared" ref="P1121:P1184" si="56">IF(B1121&lt;&gt;"",T1121-L1121,"")</f>
        <v/>
      </c>
      <c r="Q1121" t="str">
        <f>IFERROR((J1121/SUMIFS('Sales Orders'!D:D,'Sales Orders'!A:A,B1121))*SUMIFS('Sales Orders'!N:N,'Sales Orders'!A:A,B1121),"")</f>
        <v/>
      </c>
      <c r="W1121" s="31" t="str">
        <f t="shared" ca="1" si="55"/>
        <v/>
      </c>
      <c r="Z1121" s="31"/>
    </row>
    <row r="1122" spans="2:26">
      <c r="B1122" s="2"/>
      <c r="C1122" t="str">
        <f>IF(B1122&lt;&gt;"",INDEX('Sales Orders'!C:C,MATCH('Booking Management'!B1122,'Sales Orders'!A:A,0)),"")</f>
        <v/>
      </c>
      <c r="K1122" s="31" t="str">
        <f t="shared" ca="1" si="54"/>
        <v/>
      </c>
      <c r="P1122" t="str">
        <f t="shared" si="56"/>
        <v/>
      </c>
      <c r="Q1122" t="str">
        <f>IFERROR((J1122/SUMIFS('Sales Orders'!D:D,'Sales Orders'!A:A,B1122))*SUMIFS('Sales Orders'!N:N,'Sales Orders'!A:A,B1122),"")</f>
        <v/>
      </c>
      <c r="W1122" s="31" t="str">
        <f t="shared" ca="1" si="55"/>
        <v/>
      </c>
      <c r="Z1122" s="31"/>
    </row>
    <row r="1123" spans="2:26">
      <c r="B1123" s="2"/>
      <c r="C1123" t="str">
        <f>IF(B1123&lt;&gt;"",INDEX('Sales Orders'!C:C,MATCH('Booking Management'!B1123,'Sales Orders'!A:A,0)),"")</f>
        <v/>
      </c>
      <c r="K1123" s="31" t="str">
        <f t="shared" ca="1" si="54"/>
        <v/>
      </c>
      <c r="P1123" t="str">
        <f t="shared" si="56"/>
        <v/>
      </c>
      <c r="Q1123" t="str">
        <f>IFERROR((J1123/SUMIFS('Sales Orders'!D:D,'Sales Orders'!A:A,B1123))*SUMIFS('Sales Orders'!N:N,'Sales Orders'!A:A,B1123),"")</f>
        <v/>
      </c>
      <c r="W1123" s="31" t="str">
        <f t="shared" ca="1" si="55"/>
        <v/>
      </c>
      <c r="Z1123" s="31"/>
    </row>
    <row r="1124" spans="2:26">
      <c r="B1124" s="2"/>
      <c r="C1124" t="str">
        <f>IF(B1124&lt;&gt;"",INDEX('Sales Orders'!C:C,MATCH('Booking Management'!B1124,'Sales Orders'!A:A,0)),"")</f>
        <v/>
      </c>
      <c r="K1124" s="31" t="str">
        <f t="shared" ca="1" si="54"/>
        <v/>
      </c>
      <c r="P1124" t="str">
        <f t="shared" si="56"/>
        <v/>
      </c>
      <c r="Q1124" t="str">
        <f>IFERROR((J1124/SUMIFS('Sales Orders'!D:D,'Sales Orders'!A:A,B1124))*SUMIFS('Sales Orders'!N:N,'Sales Orders'!A:A,B1124),"")</f>
        <v/>
      </c>
      <c r="W1124" s="31" t="str">
        <f t="shared" ca="1" si="55"/>
        <v/>
      </c>
      <c r="Z1124" s="31"/>
    </row>
    <row r="1125" spans="2:26">
      <c r="B1125" s="2"/>
      <c r="C1125" t="str">
        <f>IF(B1125&lt;&gt;"",INDEX('Sales Orders'!C:C,MATCH('Booking Management'!B1125,'Sales Orders'!A:A,0)),"")</f>
        <v/>
      </c>
      <c r="K1125" s="31" t="str">
        <f t="shared" ca="1" si="54"/>
        <v/>
      </c>
      <c r="P1125" t="str">
        <f t="shared" si="56"/>
        <v/>
      </c>
      <c r="Q1125" t="str">
        <f>IFERROR((J1125/SUMIFS('Sales Orders'!D:D,'Sales Orders'!A:A,B1125))*SUMIFS('Sales Orders'!N:N,'Sales Orders'!A:A,B1125),"")</f>
        <v/>
      </c>
      <c r="W1125" s="31" t="str">
        <f t="shared" ca="1" si="55"/>
        <v/>
      </c>
      <c r="Z1125" s="31"/>
    </row>
    <row r="1126" spans="2:26">
      <c r="B1126" s="2"/>
      <c r="C1126" t="str">
        <f>IF(B1126&lt;&gt;"",INDEX('Sales Orders'!C:C,MATCH('Booking Management'!B1126,'Sales Orders'!A:A,0)),"")</f>
        <v/>
      </c>
      <c r="K1126" s="31" t="str">
        <f t="shared" ca="1" si="54"/>
        <v/>
      </c>
      <c r="P1126" t="str">
        <f t="shared" si="56"/>
        <v/>
      </c>
      <c r="Q1126" t="str">
        <f>IFERROR((J1126/SUMIFS('Sales Orders'!D:D,'Sales Orders'!A:A,B1126))*SUMIFS('Sales Orders'!N:N,'Sales Orders'!A:A,B1126),"")</f>
        <v/>
      </c>
      <c r="W1126" s="31" t="str">
        <f t="shared" ca="1" si="55"/>
        <v/>
      </c>
      <c r="Z1126" s="31"/>
    </row>
    <row r="1127" spans="2:26">
      <c r="B1127" s="2"/>
      <c r="C1127" t="str">
        <f>IF(B1127&lt;&gt;"",INDEX('Sales Orders'!C:C,MATCH('Booking Management'!B1127,'Sales Orders'!A:A,0)),"")</f>
        <v/>
      </c>
      <c r="K1127" s="31" t="str">
        <f t="shared" ca="1" si="54"/>
        <v/>
      </c>
      <c r="P1127" t="str">
        <f t="shared" si="56"/>
        <v/>
      </c>
      <c r="Q1127" t="str">
        <f>IFERROR((J1127/SUMIFS('Sales Orders'!D:D,'Sales Orders'!A:A,B1127))*SUMIFS('Sales Orders'!N:N,'Sales Orders'!A:A,B1127),"")</f>
        <v/>
      </c>
      <c r="W1127" s="31" t="str">
        <f t="shared" ca="1" si="55"/>
        <v/>
      </c>
      <c r="Z1127" s="31"/>
    </row>
    <row r="1128" spans="2:26">
      <c r="B1128" s="2"/>
      <c r="C1128" t="str">
        <f>IF(B1128&lt;&gt;"",INDEX('Sales Orders'!C:C,MATCH('Booking Management'!B1128,'Sales Orders'!A:A,0)),"")</f>
        <v/>
      </c>
      <c r="K1128" s="31" t="str">
        <f t="shared" ca="1" si="54"/>
        <v/>
      </c>
      <c r="P1128" t="str">
        <f t="shared" si="56"/>
        <v/>
      </c>
      <c r="Q1128" t="str">
        <f>IFERROR((J1128/SUMIFS('Sales Orders'!D:D,'Sales Orders'!A:A,B1128))*SUMIFS('Sales Orders'!N:N,'Sales Orders'!A:A,B1128),"")</f>
        <v/>
      </c>
      <c r="W1128" s="31" t="str">
        <f t="shared" ca="1" si="55"/>
        <v/>
      </c>
      <c r="Z1128" s="31"/>
    </row>
    <row r="1129" spans="2:26">
      <c r="B1129" s="2"/>
      <c r="C1129" t="str">
        <f>IF(B1129&lt;&gt;"",INDEX('Sales Orders'!C:C,MATCH('Booking Management'!B1129,'Sales Orders'!A:A,0)),"")</f>
        <v/>
      </c>
      <c r="K1129" s="31" t="str">
        <f t="shared" ca="1" si="54"/>
        <v/>
      </c>
      <c r="P1129" t="str">
        <f t="shared" si="56"/>
        <v/>
      </c>
      <c r="Q1129" t="str">
        <f>IFERROR((J1129/SUMIFS('Sales Orders'!D:D,'Sales Orders'!A:A,B1129))*SUMIFS('Sales Orders'!N:N,'Sales Orders'!A:A,B1129),"")</f>
        <v/>
      </c>
      <c r="W1129" s="31" t="str">
        <f t="shared" ca="1" si="55"/>
        <v/>
      </c>
      <c r="Z1129" s="31"/>
    </row>
    <row r="1130" spans="2:26">
      <c r="B1130" s="2"/>
      <c r="C1130" t="str">
        <f>IF(B1130&lt;&gt;"",INDEX('Sales Orders'!C:C,MATCH('Booking Management'!B1130,'Sales Orders'!A:A,0)),"")</f>
        <v/>
      </c>
      <c r="K1130" s="31" t="str">
        <f t="shared" ca="1" si="54"/>
        <v/>
      </c>
      <c r="P1130" t="str">
        <f t="shared" si="56"/>
        <v/>
      </c>
      <c r="Q1130" t="str">
        <f>IFERROR((J1130/SUMIFS('Sales Orders'!D:D,'Sales Orders'!A:A,B1130))*SUMIFS('Sales Orders'!N:N,'Sales Orders'!A:A,B1130),"")</f>
        <v/>
      </c>
      <c r="W1130" s="31" t="str">
        <f t="shared" ca="1" si="55"/>
        <v/>
      </c>
      <c r="Z1130" s="31"/>
    </row>
    <row r="1131" spans="2:26">
      <c r="B1131" s="2"/>
      <c r="C1131" t="str">
        <f>IF(B1131&lt;&gt;"",INDEX('Sales Orders'!C:C,MATCH('Booking Management'!B1131,'Sales Orders'!A:A,0)),"")</f>
        <v/>
      </c>
      <c r="K1131" s="31" t="str">
        <f t="shared" ca="1" si="54"/>
        <v/>
      </c>
      <c r="P1131" t="str">
        <f t="shared" si="56"/>
        <v/>
      </c>
      <c r="Q1131" t="str">
        <f>IFERROR((J1131/SUMIFS('Sales Orders'!D:D,'Sales Orders'!A:A,B1131))*SUMIFS('Sales Orders'!N:N,'Sales Orders'!A:A,B1131),"")</f>
        <v/>
      </c>
      <c r="W1131" s="31" t="str">
        <f t="shared" ca="1" si="55"/>
        <v/>
      </c>
      <c r="Z1131" s="31"/>
    </row>
    <row r="1132" spans="2:26">
      <c r="B1132" s="2"/>
      <c r="C1132" t="str">
        <f>IF(B1132&lt;&gt;"",INDEX('Sales Orders'!C:C,MATCH('Booking Management'!B1132,'Sales Orders'!A:A,0)),"")</f>
        <v/>
      </c>
      <c r="K1132" s="31" t="str">
        <f t="shared" ca="1" si="54"/>
        <v/>
      </c>
      <c r="P1132" t="str">
        <f t="shared" si="56"/>
        <v/>
      </c>
      <c r="Q1132" t="str">
        <f>IFERROR((J1132/SUMIFS('Sales Orders'!D:D,'Sales Orders'!A:A,B1132))*SUMIFS('Sales Orders'!N:N,'Sales Orders'!A:A,B1132),"")</f>
        <v/>
      </c>
      <c r="W1132" s="31" t="str">
        <f t="shared" ca="1" si="55"/>
        <v/>
      </c>
      <c r="Z1132" s="31"/>
    </row>
    <row r="1133" spans="2:26">
      <c r="B1133" s="2"/>
      <c r="C1133" t="str">
        <f>IF(B1133&lt;&gt;"",INDEX('Sales Orders'!C:C,MATCH('Booking Management'!B1133,'Sales Orders'!A:A,0)),"")</f>
        <v/>
      </c>
      <c r="K1133" s="31" t="str">
        <f t="shared" ca="1" si="54"/>
        <v/>
      </c>
      <c r="P1133" t="str">
        <f t="shared" si="56"/>
        <v/>
      </c>
      <c r="Q1133" t="str">
        <f>IFERROR((J1133/SUMIFS('Sales Orders'!D:D,'Sales Orders'!A:A,B1133))*SUMIFS('Sales Orders'!N:N,'Sales Orders'!A:A,B1133),"")</f>
        <v/>
      </c>
      <c r="W1133" s="31" t="str">
        <f t="shared" ca="1" si="55"/>
        <v/>
      </c>
      <c r="Z1133" s="31"/>
    </row>
    <row r="1134" spans="2:26">
      <c r="B1134" s="2"/>
      <c r="C1134" t="str">
        <f>IF(B1134&lt;&gt;"",INDEX('Sales Orders'!C:C,MATCH('Booking Management'!B1134,'Sales Orders'!A:A,0)),"")</f>
        <v/>
      </c>
      <c r="K1134" s="31" t="str">
        <f t="shared" ca="1" si="54"/>
        <v/>
      </c>
      <c r="P1134" t="str">
        <f t="shared" si="56"/>
        <v/>
      </c>
      <c r="Q1134" t="str">
        <f>IFERROR((J1134/SUMIFS('Sales Orders'!D:D,'Sales Orders'!A:A,B1134))*SUMIFS('Sales Orders'!N:N,'Sales Orders'!A:A,B1134),"")</f>
        <v/>
      </c>
      <c r="W1134" s="31" t="str">
        <f t="shared" ca="1" si="55"/>
        <v/>
      </c>
      <c r="Z1134" s="31"/>
    </row>
    <row r="1135" spans="2:26">
      <c r="B1135" s="2"/>
      <c r="C1135" t="str">
        <f>IF(B1135&lt;&gt;"",INDEX('Sales Orders'!C:C,MATCH('Booking Management'!B1135,'Sales Orders'!A:A,0)),"")</f>
        <v/>
      </c>
      <c r="K1135" s="31" t="str">
        <f t="shared" ca="1" si="54"/>
        <v/>
      </c>
      <c r="P1135" t="str">
        <f t="shared" si="56"/>
        <v/>
      </c>
      <c r="Q1135" t="str">
        <f>IFERROR((J1135/SUMIFS('Sales Orders'!D:D,'Sales Orders'!A:A,B1135))*SUMIFS('Sales Orders'!N:N,'Sales Orders'!A:A,B1135),"")</f>
        <v/>
      </c>
      <c r="W1135" s="31" t="str">
        <f t="shared" ca="1" si="55"/>
        <v/>
      </c>
      <c r="Z1135" s="31"/>
    </row>
    <row r="1136" spans="2:26">
      <c r="B1136" s="2"/>
      <c r="C1136" t="str">
        <f>IF(B1136&lt;&gt;"",INDEX('Sales Orders'!C:C,MATCH('Booking Management'!B1136,'Sales Orders'!A:A,0)),"")</f>
        <v/>
      </c>
      <c r="K1136" s="31" t="str">
        <f t="shared" ca="1" si="54"/>
        <v/>
      </c>
      <c r="P1136" t="str">
        <f t="shared" si="56"/>
        <v/>
      </c>
      <c r="Q1136" t="str">
        <f>IFERROR((J1136/SUMIFS('Sales Orders'!D:D,'Sales Orders'!A:A,B1136))*SUMIFS('Sales Orders'!N:N,'Sales Orders'!A:A,B1136),"")</f>
        <v/>
      </c>
      <c r="W1136" s="31" t="str">
        <f t="shared" ca="1" si="55"/>
        <v/>
      </c>
      <c r="Z1136" s="31"/>
    </row>
    <row r="1137" spans="2:26">
      <c r="B1137" s="2"/>
      <c r="C1137" t="str">
        <f>IF(B1137&lt;&gt;"",INDEX('Sales Orders'!C:C,MATCH('Booking Management'!B1137,'Sales Orders'!A:A,0)),"")</f>
        <v/>
      </c>
      <c r="K1137" s="31" t="str">
        <f t="shared" ca="1" si="54"/>
        <v/>
      </c>
      <c r="P1137" t="str">
        <f t="shared" si="56"/>
        <v/>
      </c>
      <c r="Q1137" t="str">
        <f>IFERROR((J1137/SUMIFS('Sales Orders'!D:D,'Sales Orders'!A:A,B1137))*SUMIFS('Sales Orders'!N:N,'Sales Orders'!A:A,B1137),"")</f>
        <v/>
      </c>
      <c r="W1137" s="31" t="str">
        <f t="shared" ca="1" si="55"/>
        <v/>
      </c>
      <c r="Z1137" s="31"/>
    </row>
    <row r="1138" spans="2:26">
      <c r="B1138" s="2"/>
      <c r="C1138" t="str">
        <f>IF(B1138&lt;&gt;"",INDEX('Sales Orders'!C:C,MATCH('Booking Management'!B1138,'Sales Orders'!A:A,0)),"")</f>
        <v/>
      </c>
      <c r="K1138" s="31" t="str">
        <f t="shared" ca="1" si="54"/>
        <v/>
      </c>
      <c r="P1138" t="str">
        <f t="shared" si="56"/>
        <v/>
      </c>
      <c r="Q1138" t="str">
        <f>IFERROR((J1138/SUMIFS('Sales Orders'!D:D,'Sales Orders'!A:A,B1138))*SUMIFS('Sales Orders'!N:N,'Sales Orders'!A:A,B1138),"")</f>
        <v/>
      </c>
      <c r="W1138" s="31" t="str">
        <f t="shared" ca="1" si="55"/>
        <v/>
      </c>
      <c r="Z1138" s="31"/>
    </row>
    <row r="1139" spans="2:26">
      <c r="B1139" s="2"/>
      <c r="C1139" t="str">
        <f>IF(B1139&lt;&gt;"",INDEX('Sales Orders'!C:C,MATCH('Booking Management'!B1139,'Sales Orders'!A:A,0)),"")</f>
        <v/>
      </c>
      <c r="K1139" s="31" t="str">
        <f t="shared" ca="1" si="54"/>
        <v/>
      </c>
      <c r="P1139" t="str">
        <f t="shared" si="56"/>
        <v/>
      </c>
      <c r="Q1139" t="str">
        <f>IFERROR((J1139/SUMIFS('Sales Orders'!D:D,'Sales Orders'!A:A,B1139))*SUMIFS('Sales Orders'!N:N,'Sales Orders'!A:A,B1139),"")</f>
        <v/>
      </c>
      <c r="W1139" s="31" t="str">
        <f t="shared" ca="1" si="55"/>
        <v/>
      </c>
      <c r="Z1139" s="31"/>
    </row>
    <row r="1140" spans="2:26">
      <c r="B1140" s="2"/>
      <c r="C1140" t="str">
        <f>IF(B1140&lt;&gt;"",INDEX('Sales Orders'!C:C,MATCH('Booking Management'!B1140,'Sales Orders'!A:A,0)),"")</f>
        <v/>
      </c>
      <c r="K1140" s="31" t="str">
        <f t="shared" ca="1" si="54"/>
        <v/>
      </c>
      <c r="P1140" t="str">
        <f t="shared" si="56"/>
        <v/>
      </c>
      <c r="Q1140" t="str">
        <f>IFERROR((J1140/SUMIFS('Sales Orders'!D:D,'Sales Orders'!A:A,B1140))*SUMIFS('Sales Orders'!N:N,'Sales Orders'!A:A,B1140),"")</f>
        <v/>
      </c>
      <c r="W1140" s="31" t="str">
        <f t="shared" ca="1" si="55"/>
        <v/>
      </c>
      <c r="Z1140" s="31"/>
    </row>
    <row r="1141" spans="2:26">
      <c r="B1141" s="2"/>
      <c r="C1141" t="str">
        <f>IF(B1141&lt;&gt;"",INDEX('Sales Orders'!C:C,MATCH('Booking Management'!B1141,'Sales Orders'!A:A,0)),"")</f>
        <v/>
      </c>
      <c r="K1141" s="31" t="str">
        <f t="shared" ca="1" si="54"/>
        <v/>
      </c>
      <c r="P1141" t="str">
        <f t="shared" si="56"/>
        <v/>
      </c>
      <c r="Q1141" t="str">
        <f>IFERROR((J1141/SUMIFS('Sales Orders'!D:D,'Sales Orders'!A:A,B1141))*SUMIFS('Sales Orders'!N:N,'Sales Orders'!A:A,B1141),"")</f>
        <v/>
      </c>
      <c r="W1141" s="31" t="str">
        <f t="shared" ca="1" si="55"/>
        <v/>
      </c>
      <c r="Z1141" s="31"/>
    </row>
    <row r="1142" spans="2:26">
      <c r="B1142" s="2"/>
      <c r="C1142" t="str">
        <f>IF(B1142&lt;&gt;"",INDEX('Sales Orders'!C:C,MATCH('Booking Management'!B1142,'Sales Orders'!A:A,0)),"")</f>
        <v/>
      </c>
      <c r="K1142" s="31" t="str">
        <f t="shared" ca="1" si="54"/>
        <v/>
      </c>
      <c r="P1142" t="str">
        <f t="shared" si="56"/>
        <v/>
      </c>
      <c r="Q1142" t="str">
        <f>IFERROR((J1142/SUMIFS('Sales Orders'!D:D,'Sales Orders'!A:A,B1142))*SUMIFS('Sales Orders'!N:N,'Sales Orders'!A:A,B1142),"")</f>
        <v/>
      </c>
      <c r="W1142" s="31" t="str">
        <f t="shared" ca="1" si="55"/>
        <v/>
      </c>
      <c r="Z1142" s="31"/>
    </row>
    <row r="1143" spans="2:26">
      <c r="B1143" s="2"/>
      <c r="C1143" t="str">
        <f>IF(B1143&lt;&gt;"",INDEX('Sales Orders'!C:C,MATCH('Booking Management'!B1143,'Sales Orders'!A:A,0)),"")</f>
        <v/>
      </c>
      <c r="K1143" s="31" t="str">
        <f t="shared" ca="1" si="54"/>
        <v/>
      </c>
      <c r="P1143" t="str">
        <f t="shared" si="56"/>
        <v/>
      </c>
      <c r="Q1143" t="str">
        <f>IFERROR((J1143/SUMIFS('Sales Orders'!D:D,'Sales Orders'!A:A,B1143))*SUMIFS('Sales Orders'!N:N,'Sales Orders'!A:A,B1143),"")</f>
        <v/>
      </c>
      <c r="W1143" s="31" t="str">
        <f t="shared" ca="1" si="55"/>
        <v/>
      </c>
      <c r="Z1143" s="31"/>
    </row>
    <row r="1144" spans="2:26">
      <c r="B1144" s="2"/>
      <c r="C1144" t="str">
        <f>IF(B1144&lt;&gt;"",INDEX('Sales Orders'!C:C,MATCH('Booking Management'!B1144,'Sales Orders'!A:A,0)),"")</f>
        <v/>
      </c>
      <c r="K1144" s="31" t="str">
        <f t="shared" ca="1" si="54"/>
        <v/>
      </c>
      <c r="P1144" t="str">
        <f t="shared" si="56"/>
        <v/>
      </c>
      <c r="Q1144" t="str">
        <f>IFERROR((J1144/SUMIFS('Sales Orders'!D:D,'Sales Orders'!A:A,B1144))*SUMIFS('Sales Orders'!N:N,'Sales Orders'!A:A,B1144),"")</f>
        <v/>
      </c>
      <c r="W1144" s="31" t="str">
        <f t="shared" ca="1" si="55"/>
        <v/>
      </c>
      <c r="Z1144" s="31"/>
    </row>
    <row r="1145" spans="2:26">
      <c r="B1145" s="2"/>
      <c r="C1145" t="str">
        <f>IF(B1145&lt;&gt;"",INDEX('Sales Orders'!C:C,MATCH('Booking Management'!B1145,'Sales Orders'!A:A,0)),"")</f>
        <v/>
      </c>
      <c r="K1145" s="31" t="str">
        <f t="shared" ca="1" si="54"/>
        <v/>
      </c>
      <c r="P1145" t="str">
        <f t="shared" si="56"/>
        <v/>
      </c>
      <c r="Q1145" t="str">
        <f>IFERROR((J1145/SUMIFS('Sales Orders'!D:D,'Sales Orders'!A:A,B1145))*SUMIFS('Sales Orders'!N:N,'Sales Orders'!A:A,B1145),"")</f>
        <v/>
      </c>
      <c r="W1145" s="31" t="str">
        <f t="shared" ca="1" si="55"/>
        <v/>
      </c>
      <c r="Z1145" s="31"/>
    </row>
    <row r="1146" spans="2:26">
      <c r="B1146" s="2"/>
      <c r="C1146" t="str">
        <f>IF(B1146&lt;&gt;"",INDEX('Sales Orders'!C:C,MATCH('Booking Management'!B1146,'Sales Orders'!A:A,0)),"")</f>
        <v/>
      </c>
      <c r="K1146" s="31" t="str">
        <f t="shared" ca="1" si="54"/>
        <v/>
      </c>
      <c r="P1146" t="str">
        <f t="shared" si="56"/>
        <v/>
      </c>
      <c r="Q1146" t="str">
        <f>IFERROR((J1146/SUMIFS('Sales Orders'!D:D,'Sales Orders'!A:A,B1146))*SUMIFS('Sales Orders'!N:N,'Sales Orders'!A:A,B1146),"")</f>
        <v/>
      </c>
      <c r="W1146" s="31" t="str">
        <f t="shared" ca="1" si="55"/>
        <v/>
      </c>
      <c r="Z1146" s="31"/>
    </row>
    <row r="1147" spans="2:26">
      <c r="B1147" s="2"/>
      <c r="C1147" t="str">
        <f>IF(B1147&lt;&gt;"",INDEX('Sales Orders'!C:C,MATCH('Booking Management'!B1147,'Sales Orders'!A:A,0)),"")</f>
        <v/>
      </c>
      <c r="K1147" s="31" t="str">
        <f t="shared" ca="1" si="54"/>
        <v/>
      </c>
      <c r="P1147" t="str">
        <f t="shared" si="56"/>
        <v/>
      </c>
      <c r="Q1147" t="str">
        <f>IFERROR((J1147/SUMIFS('Sales Orders'!D:D,'Sales Orders'!A:A,B1147))*SUMIFS('Sales Orders'!N:N,'Sales Orders'!A:A,B1147),"")</f>
        <v/>
      </c>
      <c r="W1147" s="31" t="str">
        <f t="shared" ca="1" si="55"/>
        <v/>
      </c>
      <c r="Z1147" s="31"/>
    </row>
    <row r="1148" spans="2:26">
      <c r="B1148" s="2"/>
      <c r="C1148" t="str">
        <f>IF(B1148&lt;&gt;"",INDEX('Sales Orders'!C:C,MATCH('Booking Management'!B1148,'Sales Orders'!A:A,0)),"")</f>
        <v/>
      </c>
      <c r="K1148" s="31" t="str">
        <f t="shared" ca="1" si="54"/>
        <v/>
      </c>
      <c r="P1148" t="str">
        <f t="shared" si="56"/>
        <v/>
      </c>
      <c r="Q1148" t="str">
        <f>IFERROR((J1148/SUMIFS('Sales Orders'!D:D,'Sales Orders'!A:A,B1148))*SUMIFS('Sales Orders'!N:N,'Sales Orders'!A:A,B1148),"")</f>
        <v/>
      </c>
      <c r="W1148" s="31" t="str">
        <f t="shared" ca="1" si="55"/>
        <v/>
      </c>
      <c r="Z1148" s="31"/>
    </row>
    <row r="1149" spans="2:26">
      <c r="B1149" s="2"/>
      <c r="C1149" t="str">
        <f>IF(B1149&lt;&gt;"",INDEX('Sales Orders'!C:C,MATCH('Booking Management'!B1149,'Sales Orders'!A:A,0)),"")</f>
        <v/>
      </c>
      <c r="K1149" s="31" t="str">
        <f t="shared" ca="1" si="54"/>
        <v/>
      </c>
      <c r="P1149" t="str">
        <f t="shared" si="56"/>
        <v/>
      </c>
      <c r="Q1149" t="str">
        <f>IFERROR((J1149/SUMIFS('Sales Orders'!D:D,'Sales Orders'!A:A,B1149))*SUMIFS('Sales Orders'!N:N,'Sales Orders'!A:A,B1149),"")</f>
        <v/>
      </c>
      <c r="W1149" s="31" t="str">
        <f t="shared" ca="1" si="55"/>
        <v/>
      </c>
      <c r="Z1149" s="31"/>
    </row>
    <row r="1150" spans="2:26">
      <c r="B1150" s="2"/>
      <c r="C1150" t="str">
        <f>IF(B1150&lt;&gt;"",INDEX('Sales Orders'!C:C,MATCH('Booking Management'!B1150,'Sales Orders'!A:A,0)),"")</f>
        <v/>
      </c>
      <c r="K1150" s="31" t="str">
        <f t="shared" ca="1" si="54"/>
        <v/>
      </c>
      <c r="P1150" t="str">
        <f t="shared" si="56"/>
        <v/>
      </c>
      <c r="Q1150" t="str">
        <f>IFERROR((J1150/SUMIFS('Sales Orders'!D:D,'Sales Orders'!A:A,B1150))*SUMIFS('Sales Orders'!N:N,'Sales Orders'!A:A,B1150),"")</f>
        <v/>
      </c>
      <c r="W1150" s="31" t="str">
        <f t="shared" ca="1" si="55"/>
        <v/>
      </c>
      <c r="Z1150" s="31"/>
    </row>
    <row r="1151" spans="2:26">
      <c r="B1151" s="2"/>
      <c r="C1151" t="str">
        <f>IF(B1151&lt;&gt;"",INDEX('Sales Orders'!C:C,MATCH('Booking Management'!B1151,'Sales Orders'!A:A,0)),"")</f>
        <v/>
      </c>
      <c r="K1151" s="31" t="str">
        <f t="shared" ca="1" si="54"/>
        <v/>
      </c>
      <c r="P1151" t="str">
        <f t="shared" si="56"/>
        <v/>
      </c>
      <c r="Q1151" t="str">
        <f>IFERROR((J1151/SUMIFS('Sales Orders'!D:D,'Sales Orders'!A:A,B1151))*SUMIFS('Sales Orders'!N:N,'Sales Orders'!A:A,B1151),"")</f>
        <v/>
      </c>
      <c r="W1151" s="31" t="str">
        <f t="shared" ca="1" si="55"/>
        <v/>
      </c>
      <c r="Z1151" s="31"/>
    </row>
    <row r="1152" spans="2:26">
      <c r="B1152" s="2"/>
      <c r="C1152" t="str">
        <f>IF(B1152&lt;&gt;"",INDEX('Sales Orders'!C:C,MATCH('Booking Management'!B1152,'Sales Orders'!A:A,0)),"")</f>
        <v/>
      </c>
      <c r="K1152" s="31" t="str">
        <f t="shared" ca="1" si="54"/>
        <v/>
      </c>
      <c r="P1152" t="str">
        <f t="shared" si="56"/>
        <v/>
      </c>
      <c r="Q1152" t="str">
        <f>IFERROR((J1152/SUMIFS('Sales Orders'!D:D,'Sales Orders'!A:A,B1152))*SUMIFS('Sales Orders'!N:N,'Sales Orders'!A:A,B1152),"")</f>
        <v/>
      </c>
      <c r="W1152" s="31" t="str">
        <f t="shared" ca="1" si="55"/>
        <v/>
      </c>
      <c r="Z1152" s="31"/>
    </row>
    <row r="1153" spans="2:26">
      <c r="B1153" s="2"/>
      <c r="C1153" t="str">
        <f>IF(B1153&lt;&gt;"",INDEX('Sales Orders'!C:C,MATCH('Booking Management'!B1153,'Sales Orders'!A:A,0)),"")</f>
        <v/>
      </c>
      <c r="K1153" s="31" t="str">
        <f t="shared" ca="1" si="54"/>
        <v/>
      </c>
      <c r="P1153" t="str">
        <f t="shared" si="56"/>
        <v/>
      </c>
      <c r="Q1153" t="str">
        <f>IFERROR((J1153/SUMIFS('Sales Orders'!D:D,'Sales Orders'!A:A,B1153))*SUMIFS('Sales Orders'!N:N,'Sales Orders'!A:A,B1153),"")</f>
        <v/>
      </c>
      <c r="W1153" s="31" t="str">
        <f t="shared" ca="1" si="55"/>
        <v/>
      </c>
      <c r="Z1153" s="31"/>
    </row>
    <row r="1154" spans="2:26">
      <c r="B1154" s="2"/>
      <c r="C1154" t="str">
        <f>IF(B1154&lt;&gt;"",INDEX('Sales Orders'!C:C,MATCH('Booking Management'!B1154,'Sales Orders'!A:A,0)),"")</f>
        <v/>
      </c>
      <c r="K1154" s="31" t="str">
        <f t="shared" ca="1" si="54"/>
        <v/>
      </c>
      <c r="P1154" t="str">
        <f t="shared" si="56"/>
        <v/>
      </c>
      <c r="Q1154" t="str">
        <f>IFERROR((J1154/SUMIFS('Sales Orders'!D:D,'Sales Orders'!A:A,B1154))*SUMIFS('Sales Orders'!N:N,'Sales Orders'!A:A,B1154),"")</f>
        <v/>
      </c>
      <c r="W1154" s="31" t="str">
        <f t="shared" ca="1" si="55"/>
        <v/>
      </c>
      <c r="Z1154" s="31"/>
    </row>
    <row r="1155" spans="2:26">
      <c r="B1155" s="2"/>
      <c r="C1155" t="str">
        <f>IF(B1155&lt;&gt;"",INDEX('Sales Orders'!C:C,MATCH('Booking Management'!B1155,'Sales Orders'!A:A,0)),"")</f>
        <v/>
      </c>
      <c r="K1155" s="31" t="str">
        <f t="shared" ref="K1155:K1218" ca="1" si="57">IF(B1155&lt;&gt;"",IF(AND(OR(L1155-TODAY()&lt;2,M1155&lt;&gt;"yes",N1155&lt;&gt;"yes",O1155&lt;&gt;"yes"),S1155&lt;&gt;"Used"),"Alert",""),"")</f>
        <v/>
      </c>
      <c r="P1155" t="str">
        <f t="shared" si="56"/>
        <v/>
      </c>
      <c r="Q1155" t="str">
        <f>IFERROR((J1155/SUMIFS('Sales Orders'!D:D,'Sales Orders'!A:A,B1155))*SUMIFS('Sales Orders'!N:N,'Sales Orders'!A:A,B1155),"")</f>
        <v/>
      </c>
      <c r="W1155" s="31" t="str">
        <f t="shared" ca="1" si="55"/>
        <v/>
      </c>
      <c r="Z1155" s="31"/>
    </row>
    <row r="1156" spans="2:26">
      <c r="B1156" s="2"/>
      <c r="C1156" t="str">
        <f>IF(B1156&lt;&gt;"",INDEX('Sales Orders'!C:C,MATCH('Booking Management'!B1156,'Sales Orders'!A:A,0)),"")</f>
        <v/>
      </c>
      <c r="K1156" s="31" t="str">
        <f t="shared" ca="1" si="57"/>
        <v/>
      </c>
      <c r="P1156" t="str">
        <f t="shared" si="56"/>
        <v/>
      </c>
      <c r="Q1156" t="str">
        <f>IFERROR((J1156/SUMIFS('Sales Orders'!D:D,'Sales Orders'!A:A,B1156))*SUMIFS('Sales Orders'!N:N,'Sales Orders'!A:A,B1156),"")</f>
        <v/>
      </c>
      <c r="W1156" s="31" t="str">
        <f t="shared" ca="1" si="55"/>
        <v/>
      </c>
      <c r="Z1156" s="31"/>
    </row>
    <row r="1157" spans="2:26">
      <c r="B1157" s="2"/>
      <c r="C1157" t="str">
        <f>IF(B1157&lt;&gt;"",INDEX('Sales Orders'!C:C,MATCH('Booking Management'!B1157,'Sales Orders'!A:A,0)),"")</f>
        <v/>
      </c>
      <c r="K1157" s="31" t="str">
        <f t="shared" ca="1" si="57"/>
        <v/>
      </c>
      <c r="P1157" t="str">
        <f t="shared" si="56"/>
        <v/>
      </c>
      <c r="Q1157" t="str">
        <f>IFERROR((J1157/SUMIFS('Sales Orders'!D:D,'Sales Orders'!A:A,B1157))*SUMIFS('Sales Orders'!N:N,'Sales Orders'!A:A,B1157),"")</f>
        <v/>
      </c>
      <c r="W1157" s="31" t="str">
        <f t="shared" ca="1" si="55"/>
        <v/>
      </c>
      <c r="Z1157" s="31"/>
    </row>
    <row r="1158" spans="2:26">
      <c r="B1158" s="2"/>
      <c r="C1158" t="str">
        <f>IF(B1158&lt;&gt;"",INDEX('Sales Orders'!C:C,MATCH('Booking Management'!B1158,'Sales Orders'!A:A,0)),"")</f>
        <v/>
      </c>
      <c r="K1158" s="31" t="str">
        <f t="shared" ca="1" si="57"/>
        <v/>
      </c>
      <c r="P1158" t="str">
        <f t="shared" si="56"/>
        <v/>
      </c>
      <c r="Q1158" t="str">
        <f>IFERROR((J1158/SUMIFS('Sales Orders'!D:D,'Sales Orders'!A:A,B1158))*SUMIFS('Sales Orders'!N:N,'Sales Orders'!A:A,B1158),"")</f>
        <v/>
      </c>
      <c r="W1158" s="31" t="str">
        <f t="shared" ca="1" si="55"/>
        <v/>
      </c>
      <c r="Z1158" s="31"/>
    </row>
    <row r="1159" spans="2:26">
      <c r="B1159" s="2"/>
      <c r="C1159" t="str">
        <f>IF(B1159&lt;&gt;"",INDEX('Sales Orders'!C:C,MATCH('Booking Management'!B1159,'Sales Orders'!A:A,0)),"")</f>
        <v/>
      </c>
      <c r="K1159" s="31" t="str">
        <f t="shared" ca="1" si="57"/>
        <v/>
      </c>
      <c r="P1159" t="str">
        <f t="shared" si="56"/>
        <v/>
      </c>
      <c r="Q1159" t="str">
        <f>IFERROR((J1159/SUMIFS('Sales Orders'!D:D,'Sales Orders'!A:A,B1159))*SUMIFS('Sales Orders'!N:N,'Sales Orders'!A:A,B1159),"")</f>
        <v/>
      </c>
      <c r="W1159" s="31" t="str">
        <f t="shared" ref="W1159:W1222" ca="1" si="58">IF(T1159&lt;&gt;"",IF(X1159="Yes","NO",IF((TODAY()-V1159)&gt;6,"YES","NO")),"")</f>
        <v/>
      </c>
      <c r="Z1159" s="31"/>
    </row>
    <row r="1160" spans="2:26">
      <c r="B1160" s="2"/>
      <c r="C1160" t="str">
        <f>IF(B1160&lt;&gt;"",INDEX('Sales Orders'!C:C,MATCH('Booking Management'!B1160,'Sales Orders'!A:A,0)),"")</f>
        <v/>
      </c>
      <c r="K1160" s="31" t="str">
        <f t="shared" ca="1" si="57"/>
        <v/>
      </c>
      <c r="P1160" t="str">
        <f t="shared" si="56"/>
        <v/>
      </c>
      <c r="Q1160" t="str">
        <f>IFERROR((J1160/SUMIFS('Sales Orders'!D:D,'Sales Orders'!A:A,B1160))*SUMIFS('Sales Orders'!N:N,'Sales Orders'!A:A,B1160),"")</f>
        <v/>
      </c>
      <c r="W1160" s="31" t="str">
        <f t="shared" ca="1" si="58"/>
        <v/>
      </c>
      <c r="Z1160" s="31"/>
    </row>
    <row r="1161" spans="2:26">
      <c r="B1161" s="2"/>
      <c r="C1161" t="str">
        <f>IF(B1161&lt;&gt;"",INDEX('Sales Orders'!C:C,MATCH('Booking Management'!B1161,'Sales Orders'!A:A,0)),"")</f>
        <v/>
      </c>
      <c r="K1161" s="31" t="str">
        <f t="shared" ca="1" si="57"/>
        <v/>
      </c>
      <c r="P1161" t="str">
        <f t="shared" si="56"/>
        <v/>
      </c>
      <c r="Q1161" t="str">
        <f>IFERROR((J1161/SUMIFS('Sales Orders'!D:D,'Sales Orders'!A:A,B1161))*SUMIFS('Sales Orders'!N:N,'Sales Orders'!A:A,B1161),"")</f>
        <v/>
      </c>
      <c r="W1161" s="31" t="str">
        <f t="shared" ca="1" si="58"/>
        <v/>
      </c>
      <c r="Z1161" s="31"/>
    </row>
    <row r="1162" spans="2:26">
      <c r="B1162" s="2"/>
      <c r="C1162" t="str">
        <f>IF(B1162&lt;&gt;"",INDEX('Sales Orders'!C:C,MATCH('Booking Management'!B1162,'Sales Orders'!A:A,0)),"")</f>
        <v/>
      </c>
      <c r="K1162" s="31" t="str">
        <f t="shared" ca="1" si="57"/>
        <v/>
      </c>
      <c r="P1162" t="str">
        <f t="shared" si="56"/>
        <v/>
      </c>
      <c r="Q1162" t="str">
        <f>IFERROR((J1162/SUMIFS('Sales Orders'!D:D,'Sales Orders'!A:A,B1162))*SUMIFS('Sales Orders'!N:N,'Sales Orders'!A:A,B1162),"")</f>
        <v/>
      </c>
      <c r="W1162" s="31" t="str">
        <f t="shared" ca="1" si="58"/>
        <v/>
      </c>
      <c r="Z1162" s="31"/>
    </row>
    <row r="1163" spans="2:26">
      <c r="B1163" s="2"/>
      <c r="C1163" t="str">
        <f>IF(B1163&lt;&gt;"",INDEX('Sales Orders'!C:C,MATCH('Booking Management'!B1163,'Sales Orders'!A:A,0)),"")</f>
        <v/>
      </c>
      <c r="K1163" s="31" t="str">
        <f t="shared" ca="1" si="57"/>
        <v/>
      </c>
      <c r="P1163" t="str">
        <f t="shared" si="56"/>
        <v/>
      </c>
      <c r="Q1163" t="str">
        <f>IFERROR((J1163/SUMIFS('Sales Orders'!D:D,'Sales Orders'!A:A,B1163))*SUMIFS('Sales Orders'!N:N,'Sales Orders'!A:A,B1163),"")</f>
        <v/>
      </c>
      <c r="W1163" s="31" t="str">
        <f t="shared" ca="1" si="58"/>
        <v/>
      </c>
      <c r="Z1163" s="31"/>
    </row>
    <row r="1164" spans="2:26">
      <c r="B1164" s="2"/>
      <c r="C1164" t="str">
        <f>IF(B1164&lt;&gt;"",INDEX('Sales Orders'!C:C,MATCH('Booking Management'!B1164,'Sales Orders'!A:A,0)),"")</f>
        <v/>
      </c>
      <c r="K1164" s="31" t="str">
        <f t="shared" ca="1" si="57"/>
        <v/>
      </c>
      <c r="P1164" t="str">
        <f t="shared" si="56"/>
        <v/>
      </c>
      <c r="Q1164" t="str">
        <f>IFERROR((J1164/SUMIFS('Sales Orders'!D:D,'Sales Orders'!A:A,B1164))*SUMIFS('Sales Orders'!N:N,'Sales Orders'!A:A,B1164),"")</f>
        <v/>
      </c>
      <c r="W1164" s="31" t="str">
        <f t="shared" ca="1" si="58"/>
        <v/>
      </c>
      <c r="Z1164" s="31"/>
    </row>
    <row r="1165" spans="2:26">
      <c r="B1165" s="2"/>
      <c r="C1165" t="str">
        <f>IF(B1165&lt;&gt;"",INDEX('Sales Orders'!C:C,MATCH('Booking Management'!B1165,'Sales Orders'!A:A,0)),"")</f>
        <v/>
      </c>
      <c r="K1165" s="31" t="str">
        <f t="shared" ca="1" si="57"/>
        <v/>
      </c>
      <c r="P1165" t="str">
        <f t="shared" si="56"/>
        <v/>
      </c>
      <c r="Q1165" t="str">
        <f>IFERROR((J1165/SUMIFS('Sales Orders'!D:D,'Sales Orders'!A:A,B1165))*SUMIFS('Sales Orders'!N:N,'Sales Orders'!A:A,B1165),"")</f>
        <v/>
      </c>
      <c r="W1165" s="31" t="str">
        <f t="shared" ca="1" si="58"/>
        <v/>
      </c>
      <c r="Z1165" s="31"/>
    </row>
    <row r="1166" spans="2:26">
      <c r="B1166" s="2"/>
      <c r="C1166" t="str">
        <f>IF(B1166&lt;&gt;"",INDEX('Sales Orders'!C:C,MATCH('Booking Management'!B1166,'Sales Orders'!A:A,0)),"")</f>
        <v/>
      </c>
      <c r="K1166" s="31" t="str">
        <f t="shared" ca="1" si="57"/>
        <v/>
      </c>
      <c r="P1166" t="str">
        <f t="shared" si="56"/>
        <v/>
      </c>
      <c r="Q1166" t="str">
        <f>IFERROR((J1166/SUMIFS('Sales Orders'!D:D,'Sales Orders'!A:A,B1166))*SUMIFS('Sales Orders'!N:N,'Sales Orders'!A:A,B1166),"")</f>
        <v/>
      </c>
      <c r="W1166" s="31" t="str">
        <f t="shared" ca="1" si="58"/>
        <v/>
      </c>
      <c r="Z1166" s="31"/>
    </row>
    <row r="1167" spans="2:26">
      <c r="B1167" s="2"/>
      <c r="C1167" t="str">
        <f>IF(B1167&lt;&gt;"",INDEX('Sales Orders'!C:C,MATCH('Booking Management'!B1167,'Sales Orders'!A:A,0)),"")</f>
        <v/>
      </c>
      <c r="K1167" s="31" t="str">
        <f t="shared" ca="1" si="57"/>
        <v/>
      </c>
      <c r="P1167" t="str">
        <f t="shared" si="56"/>
        <v/>
      </c>
      <c r="Q1167" t="str">
        <f>IFERROR((J1167/SUMIFS('Sales Orders'!D:D,'Sales Orders'!A:A,B1167))*SUMIFS('Sales Orders'!N:N,'Sales Orders'!A:A,B1167),"")</f>
        <v/>
      </c>
      <c r="W1167" s="31" t="str">
        <f t="shared" ca="1" si="58"/>
        <v/>
      </c>
      <c r="Z1167" s="31"/>
    </row>
    <row r="1168" spans="2:26">
      <c r="B1168" s="2"/>
      <c r="C1168" t="str">
        <f>IF(B1168&lt;&gt;"",INDEX('Sales Orders'!C:C,MATCH('Booking Management'!B1168,'Sales Orders'!A:A,0)),"")</f>
        <v/>
      </c>
      <c r="K1168" s="31" t="str">
        <f t="shared" ca="1" si="57"/>
        <v/>
      </c>
      <c r="P1168" t="str">
        <f t="shared" si="56"/>
        <v/>
      </c>
      <c r="Q1168" t="str">
        <f>IFERROR((J1168/SUMIFS('Sales Orders'!D:D,'Sales Orders'!A:A,B1168))*SUMIFS('Sales Orders'!N:N,'Sales Orders'!A:A,B1168),"")</f>
        <v/>
      </c>
      <c r="W1168" s="31" t="str">
        <f t="shared" ca="1" si="58"/>
        <v/>
      </c>
      <c r="Z1168" s="31"/>
    </row>
    <row r="1169" spans="2:26">
      <c r="B1169" s="2"/>
      <c r="C1169" t="str">
        <f>IF(B1169&lt;&gt;"",INDEX('Sales Orders'!C:C,MATCH('Booking Management'!B1169,'Sales Orders'!A:A,0)),"")</f>
        <v/>
      </c>
      <c r="K1169" s="31" t="str">
        <f t="shared" ca="1" si="57"/>
        <v/>
      </c>
      <c r="P1169" t="str">
        <f t="shared" si="56"/>
        <v/>
      </c>
      <c r="Q1169" t="str">
        <f>IFERROR((J1169/SUMIFS('Sales Orders'!D:D,'Sales Orders'!A:A,B1169))*SUMIFS('Sales Orders'!N:N,'Sales Orders'!A:A,B1169),"")</f>
        <v/>
      </c>
      <c r="W1169" s="31" t="str">
        <f t="shared" ca="1" si="58"/>
        <v/>
      </c>
      <c r="Z1169" s="31"/>
    </row>
    <row r="1170" spans="2:26">
      <c r="B1170" s="2"/>
      <c r="C1170" t="str">
        <f>IF(B1170&lt;&gt;"",INDEX('Sales Orders'!C:C,MATCH('Booking Management'!B1170,'Sales Orders'!A:A,0)),"")</f>
        <v/>
      </c>
      <c r="K1170" s="31" t="str">
        <f t="shared" ca="1" si="57"/>
        <v/>
      </c>
      <c r="P1170" t="str">
        <f t="shared" si="56"/>
        <v/>
      </c>
      <c r="Q1170" t="str">
        <f>IFERROR((J1170/SUMIFS('Sales Orders'!D:D,'Sales Orders'!A:A,B1170))*SUMIFS('Sales Orders'!N:N,'Sales Orders'!A:A,B1170),"")</f>
        <v/>
      </c>
      <c r="W1170" s="31" t="str">
        <f t="shared" ca="1" si="58"/>
        <v/>
      </c>
      <c r="Z1170" s="31"/>
    </row>
    <row r="1171" spans="2:26">
      <c r="B1171" s="2"/>
      <c r="C1171" t="str">
        <f>IF(B1171&lt;&gt;"",INDEX('Sales Orders'!C:C,MATCH('Booking Management'!B1171,'Sales Orders'!A:A,0)),"")</f>
        <v/>
      </c>
      <c r="K1171" s="31" t="str">
        <f t="shared" ca="1" si="57"/>
        <v/>
      </c>
      <c r="P1171" t="str">
        <f t="shared" si="56"/>
        <v/>
      </c>
      <c r="Q1171" t="str">
        <f>IFERROR((J1171/SUMIFS('Sales Orders'!D:D,'Sales Orders'!A:A,B1171))*SUMIFS('Sales Orders'!N:N,'Sales Orders'!A:A,B1171),"")</f>
        <v/>
      </c>
      <c r="W1171" s="31" t="str">
        <f t="shared" ca="1" si="58"/>
        <v/>
      </c>
      <c r="Z1171" s="31"/>
    </row>
    <row r="1172" spans="2:26">
      <c r="B1172" s="2"/>
      <c r="C1172" t="str">
        <f>IF(B1172&lt;&gt;"",INDEX('Sales Orders'!C:C,MATCH('Booking Management'!B1172,'Sales Orders'!A:A,0)),"")</f>
        <v/>
      </c>
      <c r="K1172" s="31" t="str">
        <f t="shared" ca="1" si="57"/>
        <v/>
      </c>
      <c r="P1172" t="str">
        <f t="shared" si="56"/>
        <v/>
      </c>
      <c r="Q1172" t="str">
        <f>IFERROR((J1172/SUMIFS('Sales Orders'!D:D,'Sales Orders'!A:A,B1172))*SUMIFS('Sales Orders'!N:N,'Sales Orders'!A:A,B1172),"")</f>
        <v/>
      </c>
      <c r="W1172" s="31" t="str">
        <f t="shared" ca="1" si="58"/>
        <v/>
      </c>
      <c r="Z1172" s="31"/>
    </row>
    <row r="1173" spans="2:26">
      <c r="B1173" s="2"/>
      <c r="C1173" t="str">
        <f>IF(B1173&lt;&gt;"",INDEX('Sales Orders'!C:C,MATCH('Booking Management'!B1173,'Sales Orders'!A:A,0)),"")</f>
        <v/>
      </c>
      <c r="K1173" s="31" t="str">
        <f t="shared" ca="1" si="57"/>
        <v/>
      </c>
      <c r="P1173" t="str">
        <f t="shared" si="56"/>
        <v/>
      </c>
      <c r="Q1173" t="str">
        <f>IFERROR((J1173/SUMIFS('Sales Orders'!D:D,'Sales Orders'!A:A,B1173))*SUMIFS('Sales Orders'!N:N,'Sales Orders'!A:A,B1173),"")</f>
        <v/>
      </c>
      <c r="W1173" s="31" t="str">
        <f t="shared" ca="1" si="58"/>
        <v/>
      </c>
      <c r="Z1173" s="31"/>
    </row>
    <row r="1174" spans="2:26">
      <c r="B1174" s="2"/>
      <c r="C1174" t="str">
        <f>IF(B1174&lt;&gt;"",INDEX('Sales Orders'!C:C,MATCH('Booking Management'!B1174,'Sales Orders'!A:A,0)),"")</f>
        <v/>
      </c>
      <c r="K1174" s="31" t="str">
        <f t="shared" ca="1" si="57"/>
        <v/>
      </c>
      <c r="P1174" t="str">
        <f t="shared" si="56"/>
        <v/>
      </c>
      <c r="Q1174" t="str">
        <f>IFERROR((J1174/SUMIFS('Sales Orders'!D:D,'Sales Orders'!A:A,B1174))*SUMIFS('Sales Orders'!N:N,'Sales Orders'!A:A,B1174),"")</f>
        <v/>
      </c>
      <c r="W1174" s="31" t="str">
        <f t="shared" ca="1" si="58"/>
        <v/>
      </c>
      <c r="Z1174" s="31"/>
    </row>
    <row r="1175" spans="2:26">
      <c r="B1175" s="2"/>
      <c r="C1175" t="str">
        <f>IF(B1175&lt;&gt;"",INDEX('Sales Orders'!C:C,MATCH('Booking Management'!B1175,'Sales Orders'!A:A,0)),"")</f>
        <v/>
      </c>
      <c r="K1175" s="31" t="str">
        <f t="shared" ca="1" si="57"/>
        <v/>
      </c>
      <c r="P1175" t="str">
        <f t="shared" si="56"/>
        <v/>
      </c>
      <c r="Q1175" t="str">
        <f>IFERROR((J1175/SUMIFS('Sales Orders'!D:D,'Sales Orders'!A:A,B1175))*SUMIFS('Sales Orders'!N:N,'Sales Orders'!A:A,B1175),"")</f>
        <v/>
      </c>
      <c r="W1175" s="31" t="str">
        <f t="shared" ca="1" si="58"/>
        <v/>
      </c>
      <c r="Z1175" s="31"/>
    </row>
    <row r="1176" spans="2:26">
      <c r="B1176" s="2"/>
      <c r="C1176" t="str">
        <f>IF(B1176&lt;&gt;"",INDEX('Sales Orders'!C:C,MATCH('Booking Management'!B1176,'Sales Orders'!A:A,0)),"")</f>
        <v/>
      </c>
      <c r="K1176" s="31" t="str">
        <f t="shared" ca="1" si="57"/>
        <v/>
      </c>
      <c r="P1176" t="str">
        <f t="shared" si="56"/>
        <v/>
      </c>
      <c r="Q1176" t="str">
        <f>IFERROR((J1176/SUMIFS('Sales Orders'!D:D,'Sales Orders'!A:A,B1176))*SUMIFS('Sales Orders'!N:N,'Sales Orders'!A:A,B1176),"")</f>
        <v/>
      </c>
      <c r="W1176" s="31" t="str">
        <f t="shared" ca="1" si="58"/>
        <v/>
      </c>
      <c r="Z1176" s="31"/>
    </row>
    <row r="1177" spans="2:26">
      <c r="B1177" s="2"/>
      <c r="C1177" t="str">
        <f>IF(B1177&lt;&gt;"",INDEX('Sales Orders'!C:C,MATCH('Booking Management'!B1177,'Sales Orders'!A:A,0)),"")</f>
        <v/>
      </c>
      <c r="K1177" s="31" t="str">
        <f t="shared" ca="1" si="57"/>
        <v/>
      </c>
      <c r="P1177" t="str">
        <f t="shared" si="56"/>
        <v/>
      </c>
      <c r="Q1177" t="str">
        <f>IFERROR((J1177/SUMIFS('Sales Orders'!D:D,'Sales Orders'!A:A,B1177))*SUMIFS('Sales Orders'!N:N,'Sales Orders'!A:A,B1177),"")</f>
        <v/>
      </c>
      <c r="W1177" s="31" t="str">
        <f t="shared" ca="1" si="58"/>
        <v/>
      </c>
      <c r="Z1177" s="31"/>
    </row>
    <row r="1178" spans="2:26">
      <c r="B1178" s="2"/>
      <c r="C1178" t="str">
        <f>IF(B1178&lt;&gt;"",INDEX('Sales Orders'!C:C,MATCH('Booking Management'!B1178,'Sales Orders'!A:A,0)),"")</f>
        <v/>
      </c>
      <c r="K1178" s="31" t="str">
        <f t="shared" ca="1" si="57"/>
        <v/>
      </c>
      <c r="P1178" t="str">
        <f t="shared" si="56"/>
        <v/>
      </c>
      <c r="Q1178" t="str">
        <f>IFERROR((J1178/SUMIFS('Sales Orders'!D:D,'Sales Orders'!A:A,B1178))*SUMIFS('Sales Orders'!N:N,'Sales Orders'!A:A,B1178),"")</f>
        <v/>
      </c>
      <c r="W1178" s="31" t="str">
        <f t="shared" ca="1" si="58"/>
        <v/>
      </c>
      <c r="Z1178" s="31"/>
    </row>
    <row r="1179" spans="2:26">
      <c r="B1179" s="2"/>
      <c r="C1179" t="str">
        <f>IF(B1179&lt;&gt;"",INDEX('Sales Orders'!C:C,MATCH('Booking Management'!B1179,'Sales Orders'!A:A,0)),"")</f>
        <v/>
      </c>
      <c r="K1179" s="31" t="str">
        <f t="shared" ca="1" si="57"/>
        <v/>
      </c>
      <c r="P1179" t="str">
        <f t="shared" si="56"/>
        <v/>
      </c>
      <c r="Q1179" t="str">
        <f>IFERROR((J1179/SUMIFS('Sales Orders'!D:D,'Sales Orders'!A:A,B1179))*SUMIFS('Sales Orders'!N:N,'Sales Orders'!A:A,B1179),"")</f>
        <v/>
      </c>
      <c r="W1179" s="31" t="str">
        <f t="shared" ca="1" si="58"/>
        <v/>
      </c>
      <c r="Z1179" s="31"/>
    </row>
    <row r="1180" spans="2:26">
      <c r="B1180" s="2"/>
      <c r="C1180" t="str">
        <f>IF(B1180&lt;&gt;"",INDEX('Sales Orders'!C:C,MATCH('Booking Management'!B1180,'Sales Orders'!A:A,0)),"")</f>
        <v/>
      </c>
      <c r="K1180" s="31" t="str">
        <f t="shared" ca="1" si="57"/>
        <v/>
      </c>
      <c r="P1180" t="str">
        <f t="shared" si="56"/>
        <v/>
      </c>
      <c r="Q1180" t="str">
        <f>IFERROR((J1180/SUMIFS('Sales Orders'!D:D,'Sales Orders'!A:A,B1180))*SUMIFS('Sales Orders'!N:N,'Sales Orders'!A:A,B1180),"")</f>
        <v/>
      </c>
      <c r="W1180" s="31" t="str">
        <f t="shared" ca="1" si="58"/>
        <v/>
      </c>
      <c r="Z1180" s="31"/>
    </row>
    <row r="1181" spans="2:26">
      <c r="B1181" s="2"/>
      <c r="C1181" t="str">
        <f>IF(B1181&lt;&gt;"",INDEX('Sales Orders'!C:C,MATCH('Booking Management'!B1181,'Sales Orders'!A:A,0)),"")</f>
        <v/>
      </c>
      <c r="K1181" s="31" t="str">
        <f t="shared" ca="1" si="57"/>
        <v/>
      </c>
      <c r="P1181" t="str">
        <f t="shared" si="56"/>
        <v/>
      </c>
      <c r="Q1181" t="str">
        <f>IFERROR((J1181/SUMIFS('Sales Orders'!D:D,'Sales Orders'!A:A,B1181))*SUMIFS('Sales Orders'!N:N,'Sales Orders'!A:A,B1181),"")</f>
        <v/>
      </c>
      <c r="W1181" s="31" t="str">
        <f t="shared" ca="1" si="58"/>
        <v/>
      </c>
      <c r="Z1181" s="31"/>
    </row>
    <row r="1182" spans="2:26">
      <c r="B1182" s="2"/>
      <c r="C1182" t="str">
        <f>IF(B1182&lt;&gt;"",INDEX('Sales Orders'!C:C,MATCH('Booking Management'!B1182,'Sales Orders'!A:A,0)),"")</f>
        <v/>
      </c>
      <c r="K1182" s="31" t="str">
        <f t="shared" ca="1" si="57"/>
        <v/>
      </c>
      <c r="P1182" t="str">
        <f t="shared" si="56"/>
        <v/>
      </c>
      <c r="Q1182" t="str">
        <f>IFERROR((J1182/SUMIFS('Sales Orders'!D:D,'Sales Orders'!A:A,B1182))*SUMIFS('Sales Orders'!N:N,'Sales Orders'!A:A,B1182),"")</f>
        <v/>
      </c>
      <c r="W1182" s="31" t="str">
        <f t="shared" ca="1" si="58"/>
        <v/>
      </c>
      <c r="Z1182" s="31"/>
    </row>
    <row r="1183" spans="2:26">
      <c r="B1183" s="2"/>
      <c r="C1183" t="str">
        <f>IF(B1183&lt;&gt;"",INDEX('Sales Orders'!C:C,MATCH('Booking Management'!B1183,'Sales Orders'!A:A,0)),"")</f>
        <v/>
      </c>
      <c r="K1183" s="31" t="str">
        <f t="shared" ca="1" si="57"/>
        <v/>
      </c>
      <c r="P1183" t="str">
        <f t="shared" si="56"/>
        <v/>
      </c>
      <c r="Q1183" t="str">
        <f>IFERROR((J1183/SUMIFS('Sales Orders'!D:D,'Sales Orders'!A:A,B1183))*SUMIFS('Sales Orders'!N:N,'Sales Orders'!A:A,B1183),"")</f>
        <v/>
      </c>
      <c r="W1183" s="31" t="str">
        <f t="shared" ca="1" si="58"/>
        <v/>
      </c>
      <c r="Z1183" s="31"/>
    </row>
    <row r="1184" spans="2:26">
      <c r="B1184" s="2"/>
      <c r="C1184" t="str">
        <f>IF(B1184&lt;&gt;"",INDEX('Sales Orders'!C:C,MATCH('Booking Management'!B1184,'Sales Orders'!A:A,0)),"")</f>
        <v/>
      </c>
      <c r="K1184" s="31" t="str">
        <f t="shared" ca="1" si="57"/>
        <v/>
      </c>
      <c r="P1184" t="str">
        <f t="shared" si="56"/>
        <v/>
      </c>
      <c r="Q1184" t="str">
        <f>IFERROR((J1184/SUMIFS('Sales Orders'!D:D,'Sales Orders'!A:A,B1184))*SUMIFS('Sales Orders'!N:N,'Sales Orders'!A:A,B1184),"")</f>
        <v/>
      </c>
      <c r="W1184" s="31" t="str">
        <f t="shared" ca="1" si="58"/>
        <v/>
      </c>
      <c r="Z1184" s="31"/>
    </row>
    <row r="1185" spans="2:26">
      <c r="B1185" s="2"/>
      <c r="C1185" t="str">
        <f>IF(B1185&lt;&gt;"",INDEX('Sales Orders'!C:C,MATCH('Booking Management'!B1185,'Sales Orders'!A:A,0)),"")</f>
        <v/>
      </c>
      <c r="K1185" s="31" t="str">
        <f t="shared" ca="1" si="57"/>
        <v/>
      </c>
      <c r="P1185" t="str">
        <f t="shared" ref="P1185:P1248" si="59">IF(B1185&lt;&gt;"",T1185-L1185,"")</f>
        <v/>
      </c>
      <c r="Q1185" t="str">
        <f>IFERROR((J1185/SUMIFS('Sales Orders'!D:D,'Sales Orders'!A:A,B1185))*SUMIFS('Sales Orders'!N:N,'Sales Orders'!A:A,B1185),"")</f>
        <v/>
      </c>
      <c r="W1185" s="31" t="str">
        <f t="shared" ca="1" si="58"/>
        <v/>
      </c>
      <c r="Z1185" s="31"/>
    </row>
    <row r="1186" spans="2:26">
      <c r="B1186" s="2"/>
      <c r="C1186" t="str">
        <f>IF(B1186&lt;&gt;"",INDEX('Sales Orders'!C:C,MATCH('Booking Management'!B1186,'Sales Orders'!A:A,0)),"")</f>
        <v/>
      </c>
      <c r="K1186" s="31" t="str">
        <f t="shared" ca="1" si="57"/>
        <v/>
      </c>
      <c r="P1186" t="str">
        <f t="shared" si="59"/>
        <v/>
      </c>
      <c r="Q1186" t="str">
        <f>IFERROR((J1186/SUMIFS('Sales Orders'!D:D,'Sales Orders'!A:A,B1186))*SUMIFS('Sales Orders'!N:N,'Sales Orders'!A:A,B1186),"")</f>
        <v/>
      </c>
      <c r="W1186" s="31" t="str">
        <f t="shared" ca="1" si="58"/>
        <v/>
      </c>
      <c r="Z1186" s="31"/>
    </row>
    <row r="1187" spans="2:26">
      <c r="B1187" s="2"/>
      <c r="C1187" t="str">
        <f>IF(B1187&lt;&gt;"",INDEX('Sales Orders'!C:C,MATCH('Booking Management'!B1187,'Sales Orders'!A:A,0)),"")</f>
        <v/>
      </c>
      <c r="K1187" s="31" t="str">
        <f t="shared" ca="1" si="57"/>
        <v/>
      </c>
      <c r="P1187" t="str">
        <f t="shared" si="59"/>
        <v/>
      </c>
      <c r="Q1187" t="str">
        <f>IFERROR((J1187/SUMIFS('Sales Orders'!D:D,'Sales Orders'!A:A,B1187))*SUMIFS('Sales Orders'!N:N,'Sales Orders'!A:A,B1187),"")</f>
        <v/>
      </c>
      <c r="W1187" s="31" t="str">
        <f t="shared" ca="1" si="58"/>
        <v/>
      </c>
      <c r="Z1187" s="31"/>
    </row>
    <row r="1188" spans="2:26">
      <c r="B1188" s="2"/>
      <c r="C1188" t="str">
        <f>IF(B1188&lt;&gt;"",INDEX('Sales Orders'!C:C,MATCH('Booking Management'!B1188,'Sales Orders'!A:A,0)),"")</f>
        <v/>
      </c>
      <c r="K1188" s="31" t="str">
        <f t="shared" ca="1" si="57"/>
        <v/>
      </c>
      <c r="P1188" t="str">
        <f t="shared" si="59"/>
        <v/>
      </c>
      <c r="Q1188" t="str">
        <f>IFERROR((J1188/SUMIFS('Sales Orders'!D:D,'Sales Orders'!A:A,B1188))*SUMIFS('Sales Orders'!N:N,'Sales Orders'!A:A,B1188),"")</f>
        <v/>
      </c>
      <c r="W1188" s="31" t="str">
        <f t="shared" ca="1" si="58"/>
        <v/>
      </c>
      <c r="Z1188" s="31"/>
    </row>
    <row r="1189" spans="2:26">
      <c r="B1189" s="2"/>
      <c r="C1189" t="str">
        <f>IF(B1189&lt;&gt;"",INDEX('Sales Orders'!C:C,MATCH('Booking Management'!B1189,'Sales Orders'!A:A,0)),"")</f>
        <v/>
      </c>
      <c r="K1189" s="31" t="str">
        <f t="shared" ca="1" si="57"/>
        <v/>
      </c>
      <c r="P1189" t="str">
        <f t="shared" si="59"/>
        <v/>
      </c>
      <c r="Q1189" t="str">
        <f>IFERROR((J1189/SUMIFS('Sales Orders'!D:D,'Sales Orders'!A:A,B1189))*SUMIFS('Sales Orders'!N:N,'Sales Orders'!A:A,B1189),"")</f>
        <v/>
      </c>
      <c r="W1189" s="31" t="str">
        <f t="shared" ca="1" si="58"/>
        <v/>
      </c>
      <c r="Z1189" s="31"/>
    </row>
    <row r="1190" spans="2:26">
      <c r="B1190" s="2"/>
      <c r="C1190" t="str">
        <f>IF(B1190&lt;&gt;"",INDEX('Sales Orders'!C:C,MATCH('Booking Management'!B1190,'Sales Orders'!A:A,0)),"")</f>
        <v/>
      </c>
      <c r="K1190" s="31" t="str">
        <f t="shared" ca="1" si="57"/>
        <v/>
      </c>
      <c r="P1190" t="str">
        <f t="shared" si="59"/>
        <v/>
      </c>
      <c r="Q1190" t="str">
        <f>IFERROR((J1190/SUMIFS('Sales Orders'!D:D,'Sales Orders'!A:A,B1190))*SUMIFS('Sales Orders'!N:N,'Sales Orders'!A:A,B1190),"")</f>
        <v/>
      </c>
      <c r="W1190" s="31" t="str">
        <f t="shared" ca="1" si="58"/>
        <v/>
      </c>
      <c r="Z1190" s="31"/>
    </row>
    <row r="1191" spans="2:26">
      <c r="B1191" s="2"/>
      <c r="C1191" t="str">
        <f>IF(B1191&lt;&gt;"",INDEX('Sales Orders'!C:C,MATCH('Booking Management'!B1191,'Sales Orders'!A:A,0)),"")</f>
        <v/>
      </c>
      <c r="K1191" s="31" t="str">
        <f t="shared" ca="1" si="57"/>
        <v/>
      </c>
      <c r="P1191" t="str">
        <f t="shared" si="59"/>
        <v/>
      </c>
      <c r="Q1191" t="str">
        <f>IFERROR((J1191/SUMIFS('Sales Orders'!D:D,'Sales Orders'!A:A,B1191))*SUMIFS('Sales Orders'!N:N,'Sales Orders'!A:A,B1191),"")</f>
        <v/>
      </c>
      <c r="W1191" s="31" t="str">
        <f t="shared" ca="1" si="58"/>
        <v/>
      </c>
      <c r="Z1191" s="31"/>
    </row>
    <row r="1192" spans="2:26">
      <c r="B1192" s="2"/>
      <c r="C1192" t="str">
        <f>IF(B1192&lt;&gt;"",INDEX('Sales Orders'!C:C,MATCH('Booking Management'!B1192,'Sales Orders'!A:A,0)),"")</f>
        <v/>
      </c>
      <c r="K1192" s="31" t="str">
        <f t="shared" ca="1" si="57"/>
        <v/>
      </c>
      <c r="P1192" t="str">
        <f t="shared" si="59"/>
        <v/>
      </c>
      <c r="Q1192" t="str">
        <f>IFERROR((J1192/SUMIFS('Sales Orders'!D:D,'Sales Orders'!A:A,B1192))*SUMIFS('Sales Orders'!N:N,'Sales Orders'!A:A,B1192),"")</f>
        <v/>
      </c>
      <c r="W1192" s="31" t="str">
        <f t="shared" ca="1" si="58"/>
        <v/>
      </c>
      <c r="Z1192" s="31"/>
    </row>
    <row r="1193" spans="2:26">
      <c r="B1193" s="2"/>
      <c r="C1193" t="str">
        <f>IF(B1193&lt;&gt;"",INDEX('Sales Orders'!C:C,MATCH('Booking Management'!B1193,'Sales Orders'!A:A,0)),"")</f>
        <v/>
      </c>
      <c r="K1193" s="31" t="str">
        <f t="shared" ca="1" si="57"/>
        <v/>
      </c>
      <c r="P1193" t="str">
        <f t="shared" si="59"/>
        <v/>
      </c>
      <c r="Q1193" t="str">
        <f>IFERROR((J1193/SUMIFS('Sales Orders'!D:D,'Sales Orders'!A:A,B1193))*SUMIFS('Sales Orders'!N:N,'Sales Orders'!A:A,B1193),"")</f>
        <v/>
      </c>
      <c r="W1193" s="31" t="str">
        <f t="shared" ca="1" si="58"/>
        <v/>
      </c>
      <c r="Z1193" s="31"/>
    </row>
    <row r="1194" spans="2:26">
      <c r="B1194" s="2"/>
      <c r="C1194" t="str">
        <f>IF(B1194&lt;&gt;"",INDEX('Sales Orders'!C:C,MATCH('Booking Management'!B1194,'Sales Orders'!A:A,0)),"")</f>
        <v/>
      </c>
      <c r="K1194" s="31" t="str">
        <f t="shared" ca="1" si="57"/>
        <v/>
      </c>
      <c r="P1194" t="str">
        <f t="shared" si="59"/>
        <v/>
      </c>
      <c r="Q1194" t="str">
        <f>IFERROR((J1194/SUMIFS('Sales Orders'!D:D,'Sales Orders'!A:A,B1194))*SUMIFS('Sales Orders'!N:N,'Sales Orders'!A:A,B1194),"")</f>
        <v/>
      </c>
      <c r="W1194" s="31" t="str">
        <f t="shared" ca="1" si="58"/>
        <v/>
      </c>
      <c r="Z1194" s="31"/>
    </row>
    <row r="1195" spans="2:26">
      <c r="B1195" s="2"/>
      <c r="C1195" t="str">
        <f>IF(B1195&lt;&gt;"",INDEX('Sales Orders'!C:C,MATCH('Booking Management'!B1195,'Sales Orders'!A:A,0)),"")</f>
        <v/>
      </c>
      <c r="K1195" s="31" t="str">
        <f t="shared" ca="1" si="57"/>
        <v/>
      </c>
      <c r="P1195" t="str">
        <f t="shared" si="59"/>
        <v/>
      </c>
      <c r="Q1195" t="str">
        <f>IFERROR((J1195/SUMIFS('Sales Orders'!D:D,'Sales Orders'!A:A,B1195))*SUMIFS('Sales Orders'!N:N,'Sales Orders'!A:A,B1195),"")</f>
        <v/>
      </c>
      <c r="W1195" s="31" t="str">
        <f t="shared" ca="1" si="58"/>
        <v/>
      </c>
      <c r="Z1195" s="31"/>
    </row>
    <row r="1196" spans="2:26">
      <c r="B1196" s="2"/>
      <c r="C1196" t="str">
        <f>IF(B1196&lt;&gt;"",INDEX('Sales Orders'!C:C,MATCH('Booking Management'!B1196,'Sales Orders'!A:A,0)),"")</f>
        <v/>
      </c>
      <c r="K1196" s="31" t="str">
        <f t="shared" ca="1" si="57"/>
        <v/>
      </c>
      <c r="P1196" t="str">
        <f t="shared" si="59"/>
        <v/>
      </c>
      <c r="Q1196" t="str">
        <f>IFERROR((J1196/SUMIFS('Sales Orders'!D:D,'Sales Orders'!A:A,B1196))*SUMIFS('Sales Orders'!N:N,'Sales Orders'!A:A,B1196),"")</f>
        <v/>
      </c>
      <c r="W1196" s="31" t="str">
        <f t="shared" ca="1" si="58"/>
        <v/>
      </c>
      <c r="Z1196" s="31"/>
    </row>
    <row r="1197" spans="2:26">
      <c r="B1197" s="2"/>
      <c r="C1197" t="str">
        <f>IF(B1197&lt;&gt;"",INDEX('Sales Orders'!C:C,MATCH('Booking Management'!B1197,'Sales Orders'!A:A,0)),"")</f>
        <v/>
      </c>
      <c r="K1197" s="31" t="str">
        <f t="shared" ca="1" si="57"/>
        <v/>
      </c>
      <c r="P1197" t="str">
        <f t="shared" si="59"/>
        <v/>
      </c>
      <c r="Q1197" t="str">
        <f>IFERROR((J1197/SUMIFS('Sales Orders'!D:D,'Sales Orders'!A:A,B1197))*SUMIFS('Sales Orders'!N:N,'Sales Orders'!A:A,B1197),"")</f>
        <v/>
      </c>
      <c r="W1197" s="31" t="str">
        <f t="shared" ca="1" si="58"/>
        <v/>
      </c>
      <c r="Z1197" s="31"/>
    </row>
    <row r="1198" spans="2:26">
      <c r="B1198" s="2"/>
      <c r="C1198" t="str">
        <f>IF(B1198&lt;&gt;"",INDEX('Sales Orders'!C:C,MATCH('Booking Management'!B1198,'Sales Orders'!A:A,0)),"")</f>
        <v/>
      </c>
      <c r="K1198" s="31" t="str">
        <f t="shared" ca="1" si="57"/>
        <v/>
      </c>
      <c r="P1198" t="str">
        <f t="shared" si="59"/>
        <v/>
      </c>
      <c r="Q1198" t="str">
        <f>IFERROR((J1198/SUMIFS('Sales Orders'!D:D,'Sales Orders'!A:A,B1198))*SUMIFS('Sales Orders'!N:N,'Sales Orders'!A:A,B1198),"")</f>
        <v/>
      </c>
      <c r="W1198" s="31" t="str">
        <f t="shared" ca="1" si="58"/>
        <v/>
      </c>
      <c r="Z1198" s="31"/>
    </row>
    <row r="1199" spans="2:26">
      <c r="B1199" s="2"/>
      <c r="C1199" t="str">
        <f>IF(B1199&lt;&gt;"",INDEX('Sales Orders'!C:C,MATCH('Booking Management'!B1199,'Sales Orders'!A:A,0)),"")</f>
        <v/>
      </c>
      <c r="K1199" s="31" t="str">
        <f t="shared" ca="1" si="57"/>
        <v/>
      </c>
      <c r="P1199" t="str">
        <f t="shared" si="59"/>
        <v/>
      </c>
      <c r="Q1199" t="str">
        <f>IFERROR((J1199/SUMIFS('Sales Orders'!D:D,'Sales Orders'!A:A,B1199))*SUMIFS('Sales Orders'!N:N,'Sales Orders'!A:A,B1199),"")</f>
        <v/>
      </c>
      <c r="W1199" s="31" t="str">
        <f t="shared" ca="1" si="58"/>
        <v/>
      </c>
      <c r="Z1199" s="31"/>
    </row>
    <row r="1200" spans="2:26">
      <c r="B1200" s="2"/>
      <c r="C1200" t="str">
        <f>IF(B1200&lt;&gt;"",INDEX('Sales Orders'!C:C,MATCH('Booking Management'!B1200,'Sales Orders'!A:A,0)),"")</f>
        <v/>
      </c>
      <c r="K1200" s="31" t="str">
        <f t="shared" ca="1" si="57"/>
        <v/>
      </c>
      <c r="P1200" t="str">
        <f t="shared" si="59"/>
        <v/>
      </c>
      <c r="Q1200" t="str">
        <f>IFERROR((J1200/SUMIFS('Sales Orders'!D:D,'Sales Orders'!A:A,B1200))*SUMIFS('Sales Orders'!N:N,'Sales Orders'!A:A,B1200),"")</f>
        <v/>
      </c>
      <c r="W1200" s="31" t="str">
        <f t="shared" ca="1" si="58"/>
        <v/>
      </c>
      <c r="Z1200" s="31"/>
    </row>
    <row r="1201" spans="2:26">
      <c r="B1201" s="2"/>
      <c r="C1201" t="str">
        <f>IF(B1201&lt;&gt;"",INDEX('Sales Orders'!C:C,MATCH('Booking Management'!B1201,'Sales Orders'!A:A,0)),"")</f>
        <v/>
      </c>
      <c r="K1201" s="31" t="str">
        <f t="shared" ca="1" si="57"/>
        <v/>
      </c>
      <c r="P1201" t="str">
        <f t="shared" si="59"/>
        <v/>
      </c>
      <c r="Q1201" t="str">
        <f>IFERROR((J1201/SUMIFS('Sales Orders'!D:D,'Sales Orders'!A:A,B1201))*SUMIFS('Sales Orders'!N:N,'Sales Orders'!A:A,B1201),"")</f>
        <v/>
      </c>
      <c r="W1201" s="31" t="str">
        <f t="shared" ca="1" si="58"/>
        <v/>
      </c>
      <c r="Z1201" s="31"/>
    </row>
    <row r="1202" spans="2:26">
      <c r="B1202" s="2"/>
      <c r="C1202" t="str">
        <f>IF(B1202&lt;&gt;"",INDEX('Sales Orders'!C:C,MATCH('Booking Management'!B1202,'Sales Orders'!A:A,0)),"")</f>
        <v/>
      </c>
      <c r="K1202" s="31" t="str">
        <f t="shared" ca="1" si="57"/>
        <v/>
      </c>
      <c r="P1202" t="str">
        <f t="shared" si="59"/>
        <v/>
      </c>
      <c r="Q1202" t="str">
        <f>IFERROR((J1202/SUMIFS('Sales Orders'!D:D,'Sales Orders'!A:A,B1202))*SUMIFS('Sales Orders'!N:N,'Sales Orders'!A:A,B1202),"")</f>
        <v/>
      </c>
      <c r="W1202" s="31" t="str">
        <f t="shared" ca="1" si="58"/>
        <v/>
      </c>
      <c r="Z1202" s="31"/>
    </row>
    <row r="1203" spans="2:26">
      <c r="B1203" s="2"/>
      <c r="C1203" t="str">
        <f>IF(B1203&lt;&gt;"",INDEX('Sales Orders'!C:C,MATCH('Booking Management'!B1203,'Sales Orders'!A:A,0)),"")</f>
        <v/>
      </c>
      <c r="K1203" s="31" t="str">
        <f t="shared" ca="1" si="57"/>
        <v/>
      </c>
      <c r="P1203" t="str">
        <f t="shared" si="59"/>
        <v/>
      </c>
      <c r="Q1203" t="str">
        <f>IFERROR((J1203/SUMIFS('Sales Orders'!D:D,'Sales Orders'!A:A,B1203))*SUMIFS('Sales Orders'!N:N,'Sales Orders'!A:A,B1203),"")</f>
        <v/>
      </c>
      <c r="W1203" s="31" t="str">
        <f t="shared" ca="1" si="58"/>
        <v/>
      </c>
      <c r="Z1203" s="31"/>
    </row>
    <row r="1204" spans="2:26">
      <c r="B1204" s="2"/>
      <c r="C1204" t="str">
        <f>IF(B1204&lt;&gt;"",INDEX('Sales Orders'!C:C,MATCH('Booking Management'!B1204,'Sales Orders'!A:A,0)),"")</f>
        <v/>
      </c>
      <c r="K1204" s="31" t="str">
        <f t="shared" ca="1" si="57"/>
        <v/>
      </c>
      <c r="P1204" t="str">
        <f t="shared" si="59"/>
        <v/>
      </c>
      <c r="Q1204" t="str">
        <f>IFERROR((J1204/SUMIFS('Sales Orders'!D:D,'Sales Orders'!A:A,B1204))*SUMIFS('Sales Orders'!N:N,'Sales Orders'!A:A,B1204),"")</f>
        <v/>
      </c>
      <c r="W1204" s="31" t="str">
        <f t="shared" ca="1" si="58"/>
        <v/>
      </c>
      <c r="Z1204" s="31"/>
    </row>
    <row r="1205" spans="2:26">
      <c r="B1205" s="2"/>
      <c r="C1205" t="str">
        <f>IF(B1205&lt;&gt;"",INDEX('Sales Orders'!C:C,MATCH('Booking Management'!B1205,'Sales Orders'!A:A,0)),"")</f>
        <v/>
      </c>
      <c r="K1205" s="31" t="str">
        <f t="shared" ca="1" si="57"/>
        <v/>
      </c>
      <c r="P1205" t="str">
        <f t="shared" si="59"/>
        <v/>
      </c>
      <c r="Q1205" t="str">
        <f>IFERROR((J1205/SUMIFS('Sales Orders'!D:D,'Sales Orders'!A:A,B1205))*SUMIFS('Sales Orders'!N:N,'Sales Orders'!A:A,B1205),"")</f>
        <v/>
      </c>
      <c r="W1205" s="31" t="str">
        <f t="shared" ca="1" si="58"/>
        <v/>
      </c>
      <c r="Z1205" s="31"/>
    </row>
    <row r="1206" spans="2:26">
      <c r="B1206" s="2"/>
      <c r="C1206" t="str">
        <f>IF(B1206&lt;&gt;"",INDEX('Sales Orders'!C:C,MATCH('Booking Management'!B1206,'Sales Orders'!A:A,0)),"")</f>
        <v/>
      </c>
      <c r="K1206" s="31" t="str">
        <f t="shared" ca="1" si="57"/>
        <v/>
      </c>
      <c r="P1206" t="str">
        <f t="shared" si="59"/>
        <v/>
      </c>
      <c r="Q1206" t="str">
        <f>IFERROR((J1206/SUMIFS('Sales Orders'!D:D,'Sales Orders'!A:A,B1206))*SUMIFS('Sales Orders'!N:N,'Sales Orders'!A:A,B1206),"")</f>
        <v/>
      </c>
      <c r="W1206" s="31" t="str">
        <f t="shared" ca="1" si="58"/>
        <v/>
      </c>
      <c r="Z1206" s="31"/>
    </row>
    <row r="1207" spans="2:26">
      <c r="B1207" s="2"/>
      <c r="C1207" t="str">
        <f>IF(B1207&lt;&gt;"",INDEX('Sales Orders'!C:C,MATCH('Booking Management'!B1207,'Sales Orders'!A:A,0)),"")</f>
        <v/>
      </c>
      <c r="K1207" s="31" t="str">
        <f t="shared" ca="1" si="57"/>
        <v/>
      </c>
      <c r="P1207" t="str">
        <f t="shared" si="59"/>
        <v/>
      </c>
      <c r="Q1207" t="str">
        <f>IFERROR((J1207/SUMIFS('Sales Orders'!D:D,'Sales Orders'!A:A,B1207))*SUMIFS('Sales Orders'!N:N,'Sales Orders'!A:A,B1207),"")</f>
        <v/>
      </c>
      <c r="W1207" s="31" t="str">
        <f t="shared" ca="1" si="58"/>
        <v/>
      </c>
      <c r="Z1207" s="31"/>
    </row>
    <row r="1208" spans="2:26">
      <c r="B1208" s="2"/>
      <c r="C1208" t="str">
        <f>IF(B1208&lt;&gt;"",INDEX('Sales Orders'!C:C,MATCH('Booking Management'!B1208,'Sales Orders'!A:A,0)),"")</f>
        <v/>
      </c>
      <c r="K1208" s="31" t="str">
        <f t="shared" ca="1" si="57"/>
        <v/>
      </c>
      <c r="P1208" t="str">
        <f t="shared" si="59"/>
        <v/>
      </c>
      <c r="Q1208" t="str">
        <f>IFERROR((J1208/SUMIFS('Sales Orders'!D:D,'Sales Orders'!A:A,B1208))*SUMIFS('Sales Orders'!N:N,'Sales Orders'!A:A,B1208),"")</f>
        <v/>
      </c>
      <c r="W1208" s="31" t="str">
        <f t="shared" ca="1" si="58"/>
        <v/>
      </c>
      <c r="Z1208" s="31"/>
    </row>
    <row r="1209" spans="2:26">
      <c r="B1209" s="2"/>
      <c r="C1209" t="str">
        <f>IF(B1209&lt;&gt;"",INDEX('Sales Orders'!C:C,MATCH('Booking Management'!B1209,'Sales Orders'!A:A,0)),"")</f>
        <v/>
      </c>
      <c r="K1209" s="31" t="str">
        <f t="shared" ca="1" si="57"/>
        <v/>
      </c>
      <c r="P1209" t="str">
        <f t="shared" si="59"/>
        <v/>
      </c>
      <c r="Q1209" t="str">
        <f>IFERROR((J1209/SUMIFS('Sales Orders'!D:D,'Sales Orders'!A:A,B1209))*SUMIFS('Sales Orders'!N:N,'Sales Orders'!A:A,B1209),"")</f>
        <v/>
      </c>
      <c r="W1209" s="31" t="str">
        <f t="shared" ca="1" si="58"/>
        <v/>
      </c>
      <c r="Z1209" s="31"/>
    </row>
    <row r="1210" spans="2:26">
      <c r="B1210" s="2"/>
      <c r="C1210" t="str">
        <f>IF(B1210&lt;&gt;"",INDEX('Sales Orders'!C:C,MATCH('Booking Management'!B1210,'Sales Orders'!A:A,0)),"")</f>
        <v/>
      </c>
      <c r="K1210" s="31" t="str">
        <f t="shared" ca="1" si="57"/>
        <v/>
      </c>
      <c r="P1210" t="str">
        <f t="shared" si="59"/>
        <v/>
      </c>
      <c r="Q1210" t="str">
        <f>IFERROR((J1210/SUMIFS('Sales Orders'!D:D,'Sales Orders'!A:A,B1210))*SUMIFS('Sales Orders'!N:N,'Sales Orders'!A:A,B1210),"")</f>
        <v/>
      </c>
      <c r="W1210" s="31" t="str">
        <f t="shared" ca="1" si="58"/>
        <v/>
      </c>
      <c r="Z1210" s="31"/>
    </row>
    <row r="1211" spans="2:26">
      <c r="B1211" s="2"/>
      <c r="C1211" t="str">
        <f>IF(B1211&lt;&gt;"",INDEX('Sales Orders'!C:C,MATCH('Booking Management'!B1211,'Sales Orders'!A:A,0)),"")</f>
        <v/>
      </c>
      <c r="K1211" s="31" t="str">
        <f t="shared" ca="1" si="57"/>
        <v/>
      </c>
      <c r="P1211" t="str">
        <f t="shared" si="59"/>
        <v/>
      </c>
      <c r="Q1211" t="str">
        <f>IFERROR((J1211/SUMIFS('Sales Orders'!D:D,'Sales Orders'!A:A,B1211))*SUMIFS('Sales Orders'!N:N,'Sales Orders'!A:A,B1211),"")</f>
        <v/>
      </c>
      <c r="W1211" s="31" t="str">
        <f t="shared" ca="1" si="58"/>
        <v/>
      </c>
      <c r="Z1211" s="31"/>
    </row>
    <row r="1212" spans="2:26">
      <c r="B1212" s="2"/>
      <c r="C1212" t="str">
        <f>IF(B1212&lt;&gt;"",INDEX('Sales Orders'!C:C,MATCH('Booking Management'!B1212,'Sales Orders'!A:A,0)),"")</f>
        <v/>
      </c>
      <c r="K1212" s="31" t="str">
        <f t="shared" ca="1" si="57"/>
        <v/>
      </c>
      <c r="P1212" t="str">
        <f t="shared" si="59"/>
        <v/>
      </c>
      <c r="Q1212" t="str">
        <f>IFERROR((J1212/SUMIFS('Sales Orders'!D:D,'Sales Orders'!A:A,B1212))*SUMIFS('Sales Orders'!N:N,'Sales Orders'!A:A,B1212),"")</f>
        <v/>
      </c>
      <c r="W1212" s="31" t="str">
        <f t="shared" ca="1" si="58"/>
        <v/>
      </c>
      <c r="Z1212" s="31"/>
    </row>
    <row r="1213" spans="2:26">
      <c r="B1213" s="2"/>
      <c r="C1213" t="str">
        <f>IF(B1213&lt;&gt;"",INDEX('Sales Orders'!C:C,MATCH('Booking Management'!B1213,'Sales Orders'!A:A,0)),"")</f>
        <v/>
      </c>
      <c r="K1213" s="31" t="str">
        <f t="shared" ca="1" si="57"/>
        <v/>
      </c>
      <c r="P1213" t="str">
        <f t="shared" si="59"/>
        <v/>
      </c>
      <c r="Q1213" t="str">
        <f>IFERROR((J1213/SUMIFS('Sales Orders'!D:D,'Sales Orders'!A:A,B1213))*SUMIFS('Sales Orders'!N:N,'Sales Orders'!A:A,B1213),"")</f>
        <v/>
      </c>
      <c r="W1213" s="31" t="str">
        <f t="shared" ca="1" si="58"/>
        <v/>
      </c>
      <c r="Z1213" s="31"/>
    </row>
    <row r="1214" spans="2:26">
      <c r="B1214" s="2"/>
      <c r="C1214" t="str">
        <f>IF(B1214&lt;&gt;"",INDEX('Sales Orders'!C:C,MATCH('Booking Management'!B1214,'Sales Orders'!A:A,0)),"")</f>
        <v/>
      </c>
      <c r="K1214" s="31" t="str">
        <f t="shared" ca="1" si="57"/>
        <v/>
      </c>
      <c r="P1214" t="str">
        <f t="shared" si="59"/>
        <v/>
      </c>
      <c r="Q1214" t="str">
        <f>IFERROR((J1214/SUMIFS('Sales Orders'!D:D,'Sales Orders'!A:A,B1214))*SUMIFS('Sales Orders'!N:N,'Sales Orders'!A:A,B1214),"")</f>
        <v/>
      </c>
      <c r="W1214" s="31" t="str">
        <f t="shared" ca="1" si="58"/>
        <v/>
      </c>
      <c r="Z1214" s="31"/>
    </row>
    <row r="1215" spans="2:26">
      <c r="B1215" s="2"/>
      <c r="C1215" t="str">
        <f>IF(B1215&lt;&gt;"",INDEX('Sales Orders'!C:C,MATCH('Booking Management'!B1215,'Sales Orders'!A:A,0)),"")</f>
        <v/>
      </c>
      <c r="K1215" s="31" t="str">
        <f t="shared" ca="1" si="57"/>
        <v/>
      </c>
      <c r="P1215" t="str">
        <f t="shared" si="59"/>
        <v/>
      </c>
      <c r="Q1215" t="str">
        <f>IFERROR((J1215/SUMIFS('Sales Orders'!D:D,'Sales Orders'!A:A,B1215))*SUMIFS('Sales Orders'!N:N,'Sales Orders'!A:A,B1215),"")</f>
        <v/>
      </c>
      <c r="W1215" s="31" t="str">
        <f t="shared" ca="1" si="58"/>
        <v/>
      </c>
      <c r="Z1215" s="31"/>
    </row>
    <row r="1216" spans="2:26">
      <c r="B1216" s="2"/>
      <c r="C1216" t="str">
        <f>IF(B1216&lt;&gt;"",INDEX('Sales Orders'!C:C,MATCH('Booking Management'!B1216,'Sales Orders'!A:A,0)),"")</f>
        <v/>
      </c>
      <c r="K1216" s="31" t="str">
        <f t="shared" ca="1" si="57"/>
        <v/>
      </c>
      <c r="P1216" t="str">
        <f t="shared" si="59"/>
        <v/>
      </c>
      <c r="Q1216" t="str">
        <f>IFERROR((J1216/SUMIFS('Sales Orders'!D:D,'Sales Orders'!A:A,B1216))*SUMIFS('Sales Orders'!N:N,'Sales Orders'!A:A,B1216),"")</f>
        <v/>
      </c>
      <c r="W1216" s="31" t="str">
        <f t="shared" ca="1" si="58"/>
        <v/>
      </c>
      <c r="Z1216" s="31"/>
    </row>
    <row r="1217" spans="2:26">
      <c r="B1217" s="2"/>
      <c r="C1217" t="str">
        <f>IF(B1217&lt;&gt;"",INDEX('Sales Orders'!C:C,MATCH('Booking Management'!B1217,'Sales Orders'!A:A,0)),"")</f>
        <v/>
      </c>
      <c r="K1217" s="31" t="str">
        <f t="shared" ca="1" si="57"/>
        <v/>
      </c>
      <c r="P1217" t="str">
        <f t="shared" si="59"/>
        <v/>
      </c>
      <c r="Q1217" t="str">
        <f>IFERROR((J1217/SUMIFS('Sales Orders'!D:D,'Sales Orders'!A:A,B1217))*SUMIFS('Sales Orders'!N:N,'Sales Orders'!A:A,B1217),"")</f>
        <v/>
      </c>
      <c r="W1217" s="31" t="str">
        <f t="shared" ca="1" si="58"/>
        <v/>
      </c>
      <c r="Z1217" s="31"/>
    </row>
    <row r="1218" spans="2:26">
      <c r="B1218" s="2"/>
      <c r="C1218" t="str">
        <f>IF(B1218&lt;&gt;"",INDEX('Sales Orders'!C:C,MATCH('Booking Management'!B1218,'Sales Orders'!A:A,0)),"")</f>
        <v/>
      </c>
      <c r="K1218" s="31" t="str">
        <f t="shared" ca="1" si="57"/>
        <v/>
      </c>
      <c r="P1218" t="str">
        <f t="shared" si="59"/>
        <v/>
      </c>
      <c r="Q1218" t="str">
        <f>IFERROR((J1218/SUMIFS('Sales Orders'!D:D,'Sales Orders'!A:A,B1218))*SUMIFS('Sales Orders'!N:N,'Sales Orders'!A:A,B1218),"")</f>
        <v/>
      </c>
      <c r="W1218" s="31" t="str">
        <f t="shared" ca="1" si="58"/>
        <v/>
      </c>
      <c r="Z1218" s="31"/>
    </row>
    <row r="1219" spans="2:26">
      <c r="B1219" s="2"/>
      <c r="C1219" t="str">
        <f>IF(B1219&lt;&gt;"",INDEX('Sales Orders'!C:C,MATCH('Booking Management'!B1219,'Sales Orders'!A:A,0)),"")</f>
        <v/>
      </c>
      <c r="K1219" s="31" t="str">
        <f t="shared" ref="K1219:K1282" ca="1" si="60">IF(B1219&lt;&gt;"",IF(AND(OR(L1219-TODAY()&lt;2,M1219&lt;&gt;"yes",N1219&lt;&gt;"yes",O1219&lt;&gt;"yes"),S1219&lt;&gt;"Used"),"Alert",""),"")</f>
        <v/>
      </c>
      <c r="P1219" t="str">
        <f t="shared" si="59"/>
        <v/>
      </c>
      <c r="Q1219" t="str">
        <f>IFERROR((J1219/SUMIFS('Sales Orders'!D:D,'Sales Orders'!A:A,B1219))*SUMIFS('Sales Orders'!N:N,'Sales Orders'!A:A,B1219),"")</f>
        <v/>
      </c>
      <c r="W1219" s="31" t="str">
        <f t="shared" ca="1" si="58"/>
        <v/>
      </c>
      <c r="Z1219" s="31"/>
    </row>
    <row r="1220" spans="2:26">
      <c r="B1220" s="2"/>
      <c r="C1220" t="str">
        <f>IF(B1220&lt;&gt;"",INDEX('Sales Orders'!C:C,MATCH('Booking Management'!B1220,'Sales Orders'!A:A,0)),"")</f>
        <v/>
      </c>
      <c r="K1220" s="31" t="str">
        <f t="shared" ca="1" si="60"/>
        <v/>
      </c>
      <c r="P1220" t="str">
        <f t="shared" si="59"/>
        <v/>
      </c>
      <c r="Q1220" t="str">
        <f>IFERROR((J1220/SUMIFS('Sales Orders'!D:D,'Sales Orders'!A:A,B1220))*SUMIFS('Sales Orders'!N:N,'Sales Orders'!A:A,B1220),"")</f>
        <v/>
      </c>
      <c r="W1220" s="31" t="str">
        <f t="shared" ca="1" si="58"/>
        <v/>
      </c>
      <c r="Z1220" s="31"/>
    </row>
    <row r="1221" spans="2:26">
      <c r="B1221" s="2"/>
      <c r="C1221" t="str">
        <f>IF(B1221&lt;&gt;"",INDEX('Sales Orders'!C:C,MATCH('Booking Management'!B1221,'Sales Orders'!A:A,0)),"")</f>
        <v/>
      </c>
      <c r="K1221" s="31" t="str">
        <f t="shared" ca="1" si="60"/>
        <v/>
      </c>
      <c r="P1221" t="str">
        <f t="shared" si="59"/>
        <v/>
      </c>
      <c r="Q1221" t="str">
        <f>IFERROR((J1221/SUMIFS('Sales Orders'!D:D,'Sales Orders'!A:A,B1221))*SUMIFS('Sales Orders'!N:N,'Sales Orders'!A:A,B1221),"")</f>
        <v/>
      </c>
      <c r="W1221" s="31" t="str">
        <f t="shared" ca="1" si="58"/>
        <v/>
      </c>
      <c r="Z1221" s="31"/>
    </row>
    <row r="1222" spans="2:26">
      <c r="B1222" s="2"/>
      <c r="C1222" t="str">
        <f>IF(B1222&lt;&gt;"",INDEX('Sales Orders'!C:C,MATCH('Booking Management'!B1222,'Sales Orders'!A:A,0)),"")</f>
        <v/>
      </c>
      <c r="K1222" s="31" t="str">
        <f t="shared" ca="1" si="60"/>
        <v/>
      </c>
      <c r="P1222" t="str">
        <f t="shared" si="59"/>
        <v/>
      </c>
      <c r="Q1222" t="str">
        <f>IFERROR((J1222/SUMIFS('Sales Orders'!D:D,'Sales Orders'!A:A,B1222))*SUMIFS('Sales Orders'!N:N,'Sales Orders'!A:A,B1222),"")</f>
        <v/>
      </c>
      <c r="W1222" s="31" t="str">
        <f t="shared" ca="1" si="58"/>
        <v/>
      </c>
      <c r="Z1222" s="31"/>
    </row>
    <row r="1223" spans="2:26">
      <c r="B1223" s="2"/>
      <c r="C1223" t="str">
        <f>IF(B1223&lt;&gt;"",INDEX('Sales Orders'!C:C,MATCH('Booking Management'!B1223,'Sales Orders'!A:A,0)),"")</f>
        <v/>
      </c>
      <c r="K1223" s="31" t="str">
        <f t="shared" ca="1" si="60"/>
        <v/>
      </c>
      <c r="P1223" t="str">
        <f t="shared" si="59"/>
        <v/>
      </c>
      <c r="Q1223" t="str">
        <f>IFERROR((J1223/SUMIFS('Sales Orders'!D:D,'Sales Orders'!A:A,B1223))*SUMIFS('Sales Orders'!N:N,'Sales Orders'!A:A,B1223),"")</f>
        <v/>
      </c>
      <c r="W1223" s="31" t="str">
        <f t="shared" ref="W1223:W1286" ca="1" si="61">IF(T1223&lt;&gt;"",IF(X1223="Yes","NO",IF((TODAY()-V1223)&gt;6,"YES","NO")),"")</f>
        <v/>
      </c>
      <c r="Z1223" s="31"/>
    </row>
    <row r="1224" spans="2:26">
      <c r="B1224" s="2"/>
      <c r="C1224" t="str">
        <f>IF(B1224&lt;&gt;"",INDEX('Sales Orders'!C:C,MATCH('Booking Management'!B1224,'Sales Orders'!A:A,0)),"")</f>
        <v/>
      </c>
      <c r="K1224" s="31" t="str">
        <f t="shared" ca="1" si="60"/>
        <v/>
      </c>
      <c r="P1224" t="str">
        <f t="shared" si="59"/>
        <v/>
      </c>
      <c r="Q1224" t="str">
        <f>IFERROR((J1224/SUMIFS('Sales Orders'!D:D,'Sales Orders'!A:A,B1224))*SUMIFS('Sales Orders'!N:N,'Sales Orders'!A:A,B1224),"")</f>
        <v/>
      </c>
      <c r="W1224" s="31" t="str">
        <f t="shared" ca="1" si="61"/>
        <v/>
      </c>
      <c r="Z1224" s="31"/>
    </row>
    <row r="1225" spans="2:26">
      <c r="B1225" s="2"/>
      <c r="C1225" t="str">
        <f>IF(B1225&lt;&gt;"",INDEX('Sales Orders'!C:C,MATCH('Booking Management'!B1225,'Sales Orders'!A:A,0)),"")</f>
        <v/>
      </c>
      <c r="K1225" s="31" t="str">
        <f t="shared" ca="1" si="60"/>
        <v/>
      </c>
      <c r="P1225" t="str">
        <f t="shared" si="59"/>
        <v/>
      </c>
      <c r="Q1225" t="str">
        <f>IFERROR((J1225/SUMIFS('Sales Orders'!D:D,'Sales Orders'!A:A,B1225))*SUMIFS('Sales Orders'!N:N,'Sales Orders'!A:A,B1225),"")</f>
        <v/>
      </c>
      <c r="W1225" s="31" t="str">
        <f t="shared" ca="1" si="61"/>
        <v/>
      </c>
      <c r="Z1225" s="31"/>
    </row>
    <row r="1226" spans="2:26">
      <c r="B1226" s="2"/>
      <c r="C1226" t="str">
        <f>IF(B1226&lt;&gt;"",INDEX('Sales Orders'!C:C,MATCH('Booking Management'!B1226,'Sales Orders'!A:A,0)),"")</f>
        <v/>
      </c>
      <c r="K1226" s="31" t="str">
        <f t="shared" ca="1" si="60"/>
        <v/>
      </c>
      <c r="P1226" t="str">
        <f t="shared" si="59"/>
        <v/>
      </c>
      <c r="Q1226" t="str">
        <f>IFERROR((J1226/SUMIFS('Sales Orders'!D:D,'Sales Orders'!A:A,B1226))*SUMIFS('Sales Orders'!N:N,'Sales Orders'!A:A,B1226),"")</f>
        <v/>
      </c>
      <c r="W1226" s="31" t="str">
        <f t="shared" ca="1" si="61"/>
        <v/>
      </c>
      <c r="Z1226" s="31"/>
    </row>
    <row r="1227" spans="2:26">
      <c r="B1227" s="2"/>
      <c r="C1227" t="str">
        <f>IF(B1227&lt;&gt;"",INDEX('Sales Orders'!C:C,MATCH('Booking Management'!B1227,'Sales Orders'!A:A,0)),"")</f>
        <v/>
      </c>
      <c r="K1227" s="31" t="str">
        <f t="shared" ca="1" si="60"/>
        <v/>
      </c>
      <c r="P1227" t="str">
        <f t="shared" si="59"/>
        <v/>
      </c>
      <c r="Q1227" t="str">
        <f>IFERROR((J1227/SUMIFS('Sales Orders'!D:D,'Sales Orders'!A:A,B1227))*SUMIFS('Sales Orders'!N:N,'Sales Orders'!A:A,B1227),"")</f>
        <v/>
      </c>
      <c r="W1227" s="31" t="str">
        <f t="shared" ca="1" si="61"/>
        <v/>
      </c>
      <c r="Z1227" s="31"/>
    </row>
    <row r="1228" spans="2:26">
      <c r="B1228" s="2"/>
      <c r="C1228" t="str">
        <f>IF(B1228&lt;&gt;"",INDEX('Sales Orders'!C:C,MATCH('Booking Management'!B1228,'Sales Orders'!A:A,0)),"")</f>
        <v/>
      </c>
      <c r="K1228" s="31" t="str">
        <f t="shared" ca="1" si="60"/>
        <v/>
      </c>
      <c r="P1228" t="str">
        <f t="shared" si="59"/>
        <v/>
      </c>
      <c r="Q1228" t="str">
        <f>IFERROR((J1228/SUMIFS('Sales Orders'!D:D,'Sales Orders'!A:A,B1228))*SUMIFS('Sales Orders'!N:N,'Sales Orders'!A:A,B1228),"")</f>
        <v/>
      </c>
      <c r="W1228" s="31" t="str">
        <f t="shared" ca="1" si="61"/>
        <v/>
      </c>
      <c r="Z1228" s="31"/>
    </row>
    <row r="1229" spans="2:26">
      <c r="B1229" s="2"/>
      <c r="C1229" t="str">
        <f>IF(B1229&lt;&gt;"",INDEX('Sales Orders'!C:C,MATCH('Booking Management'!B1229,'Sales Orders'!A:A,0)),"")</f>
        <v/>
      </c>
      <c r="K1229" s="31" t="str">
        <f t="shared" ca="1" si="60"/>
        <v/>
      </c>
      <c r="P1229" t="str">
        <f t="shared" si="59"/>
        <v/>
      </c>
      <c r="Q1229" t="str">
        <f>IFERROR((J1229/SUMIFS('Sales Orders'!D:D,'Sales Orders'!A:A,B1229))*SUMIFS('Sales Orders'!N:N,'Sales Orders'!A:A,B1229),"")</f>
        <v/>
      </c>
      <c r="W1229" s="31" t="str">
        <f t="shared" ca="1" si="61"/>
        <v/>
      </c>
      <c r="Z1229" s="31"/>
    </row>
    <row r="1230" spans="2:26">
      <c r="B1230" s="2"/>
      <c r="C1230" t="str">
        <f>IF(B1230&lt;&gt;"",INDEX('Sales Orders'!C:C,MATCH('Booking Management'!B1230,'Sales Orders'!A:A,0)),"")</f>
        <v/>
      </c>
      <c r="K1230" s="31" t="str">
        <f t="shared" ca="1" si="60"/>
        <v/>
      </c>
      <c r="P1230" t="str">
        <f t="shared" si="59"/>
        <v/>
      </c>
      <c r="Q1230" t="str">
        <f>IFERROR((J1230/SUMIFS('Sales Orders'!D:D,'Sales Orders'!A:A,B1230))*SUMIFS('Sales Orders'!N:N,'Sales Orders'!A:A,B1230),"")</f>
        <v/>
      </c>
      <c r="W1230" s="31" t="str">
        <f t="shared" ca="1" si="61"/>
        <v/>
      </c>
      <c r="Z1230" s="31"/>
    </row>
    <row r="1231" spans="2:26">
      <c r="B1231" s="2"/>
      <c r="C1231" t="str">
        <f>IF(B1231&lt;&gt;"",INDEX('Sales Orders'!C:C,MATCH('Booking Management'!B1231,'Sales Orders'!A:A,0)),"")</f>
        <v/>
      </c>
      <c r="K1231" s="31" t="str">
        <f t="shared" ca="1" si="60"/>
        <v/>
      </c>
      <c r="P1231" t="str">
        <f t="shared" si="59"/>
        <v/>
      </c>
      <c r="Q1231" t="str">
        <f>IFERROR((J1231/SUMIFS('Sales Orders'!D:D,'Sales Orders'!A:A,B1231))*SUMIFS('Sales Orders'!N:N,'Sales Orders'!A:A,B1231),"")</f>
        <v/>
      </c>
      <c r="W1231" s="31" t="str">
        <f t="shared" ca="1" si="61"/>
        <v/>
      </c>
      <c r="Z1231" s="31"/>
    </row>
    <row r="1232" spans="2:26">
      <c r="B1232" s="2"/>
      <c r="C1232" t="str">
        <f>IF(B1232&lt;&gt;"",INDEX('Sales Orders'!C:C,MATCH('Booking Management'!B1232,'Sales Orders'!A:A,0)),"")</f>
        <v/>
      </c>
      <c r="K1232" s="31" t="str">
        <f t="shared" ca="1" si="60"/>
        <v/>
      </c>
      <c r="P1232" t="str">
        <f t="shared" si="59"/>
        <v/>
      </c>
      <c r="Q1232" t="str">
        <f>IFERROR((J1232/SUMIFS('Sales Orders'!D:D,'Sales Orders'!A:A,B1232))*SUMIFS('Sales Orders'!N:N,'Sales Orders'!A:A,B1232),"")</f>
        <v/>
      </c>
      <c r="W1232" s="31" t="str">
        <f t="shared" ca="1" si="61"/>
        <v/>
      </c>
      <c r="Z1232" s="31"/>
    </row>
    <row r="1233" spans="2:26">
      <c r="B1233" s="2"/>
      <c r="C1233" t="str">
        <f>IF(B1233&lt;&gt;"",INDEX('Sales Orders'!C:C,MATCH('Booking Management'!B1233,'Sales Orders'!A:A,0)),"")</f>
        <v/>
      </c>
      <c r="K1233" s="31" t="str">
        <f t="shared" ca="1" si="60"/>
        <v/>
      </c>
      <c r="P1233" t="str">
        <f t="shared" si="59"/>
        <v/>
      </c>
      <c r="Q1233" t="str">
        <f>IFERROR((J1233/SUMIFS('Sales Orders'!D:D,'Sales Orders'!A:A,B1233))*SUMIFS('Sales Orders'!N:N,'Sales Orders'!A:A,B1233),"")</f>
        <v/>
      </c>
      <c r="W1233" s="31" t="str">
        <f t="shared" ca="1" si="61"/>
        <v/>
      </c>
      <c r="Z1233" s="31"/>
    </row>
    <row r="1234" spans="2:26">
      <c r="B1234" s="2"/>
      <c r="C1234" t="str">
        <f>IF(B1234&lt;&gt;"",INDEX('Sales Orders'!C:C,MATCH('Booking Management'!B1234,'Sales Orders'!A:A,0)),"")</f>
        <v/>
      </c>
      <c r="K1234" s="31" t="str">
        <f t="shared" ca="1" si="60"/>
        <v/>
      </c>
      <c r="P1234" t="str">
        <f t="shared" si="59"/>
        <v/>
      </c>
      <c r="Q1234" t="str">
        <f>IFERROR((J1234/SUMIFS('Sales Orders'!D:D,'Sales Orders'!A:A,B1234))*SUMIFS('Sales Orders'!N:N,'Sales Orders'!A:A,B1234),"")</f>
        <v/>
      </c>
      <c r="W1234" s="31" t="str">
        <f t="shared" ca="1" si="61"/>
        <v/>
      </c>
      <c r="Z1234" s="31"/>
    </row>
    <row r="1235" spans="2:26">
      <c r="B1235" s="2"/>
      <c r="C1235" t="str">
        <f>IF(B1235&lt;&gt;"",INDEX('Sales Orders'!C:C,MATCH('Booking Management'!B1235,'Sales Orders'!A:A,0)),"")</f>
        <v/>
      </c>
      <c r="K1235" s="31" t="str">
        <f t="shared" ca="1" si="60"/>
        <v/>
      </c>
      <c r="P1235" t="str">
        <f t="shared" si="59"/>
        <v/>
      </c>
      <c r="Q1235" t="str">
        <f>IFERROR((J1235/SUMIFS('Sales Orders'!D:D,'Sales Orders'!A:A,B1235))*SUMIFS('Sales Orders'!N:N,'Sales Orders'!A:A,B1235),"")</f>
        <v/>
      </c>
      <c r="W1235" s="31" t="str">
        <f t="shared" ca="1" si="61"/>
        <v/>
      </c>
      <c r="Z1235" s="31"/>
    </row>
    <row r="1236" spans="2:26">
      <c r="B1236" s="2"/>
      <c r="C1236" t="str">
        <f>IF(B1236&lt;&gt;"",INDEX('Sales Orders'!C:C,MATCH('Booking Management'!B1236,'Sales Orders'!A:A,0)),"")</f>
        <v/>
      </c>
      <c r="K1236" s="31" t="str">
        <f t="shared" ca="1" si="60"/>
        <v/>
      </c>
      <c r="P1236" t="str">
        <f t="shared" si="59"/>
        <v/>
      </c>
      <c r="Q1236" t="str">
        <f>IFERROR((J1236/SUMIFS('Sales Orders'!D:D,'Sales Orders'!A:A,B1236))*SUMIFS('Sales Orders'!N:N,'Sales Orders'!A:A,B1236),"")</f>
        <v/>
      </c>
      <c r="W1236" s="31" t="str">
        <f t="shared" ca="1" si="61"/>
        <v/>
      </c>
      <c r="Z1236" s="31"/>
    </row>
    <row r="1237" spans="2:26">
      <c r="B1237" s="2"/>
      <c r="C1237" t="str">
        <f>IF(B1237&lt;&gt;"",INDEX('Sales Orders'!C:C,MATCH('Booking Management'!B1237,'Sales Orders'!A:A,0)),"")</f>
        <v/>
      </c>
      <c r="K1237" s="31" t="str">
        <f t="shared" ca="1" si="60"/>
        <v/>
      </c>
      <c r="P1237" t="str">
        <f t="shared" si="59"/>
        <v/>
      </c>
      <c r="Q1237" t="str">
        <f>IFERROR((J1237/SUMIFS('Sales Orders'!D:D,'Sales Orders'!A:A,B1237))*SUMIFS('Sales Orders'!N:N,'Sales Orders'!A:A,B1237),"")</f>
        <v/>
      </c>
      <c r="W1237" s="31" t="str">
        <f t="shared" ca="1" si="61"/>
        <v/>
      </c>
      <c r="Z1237" s="31"/>
    </row>
    <row r="1238" spans="2:26">
      <c r="B1238" s="2"/>
      <c r="C1238" t="str">
        <f>IF(B1238&lt;&gt;"",INDEX('Sales Orders'!C:C,MATCH('Booking Management'!B1238,'Sales Orders'!A:A,0)),"")</f>
        <v/>
      </c>
      <c r="K1238" s="31" t="str">
        <f t="shared" ca="1" si="60"/>
        <v/>
      </c>
      <c r="P1238" t="str">
        <f t="shared" si="59"/>
        <v/>
      </c>
      <c r="Q1238" t="str">
        <f>IFERROR((J1238/SUMIFS('Sales Orders'!D:D,'Sales Orders'!A:A,B1238))*SUMIFS('Sales Orders'!N:N,'Sales Orders'!A:A,B1238),"")</f>
        <v/>
      </c>
      <c r="W1238" s="31" t="str">
        <f t="shared" ca="1" si="61"/>
        <v/>
      </c>
      <c r="Z1238" s="31"/>
    </row>
    <row r="1239" spans="2:26">
      <c r="B1239" s="2"/>
      <c r="C1239" t="str">
        <f>IF(B1239&lt;&gt;"",INDEX('Sales Orders'!C:C,MATCH('Booking Management'!B1239,'Sales Orders'!A:A,0)),"")</f>
        <v/>
      </c>
      <c r="K1239" s="31" t="str">
        <f t="shared" ca="1" si="60"/>
        <v/>
      </c>
      <c r="P1239" t="str">
        <f t="shared" si="59"/>
        <v/>
      </c>
      <c r="Q1239" t="str">
        <f>IFERROR((J1239/SUMIFS('Sales Orders'!D:D,'Sales Orders'!A:A,B1239))*SUMIFS('Sales Orders'!N:N,'Sales Orders'!A:A,B1239),"")</f>
        <v/>
      </c>
      <c r="W1239" s="31" t="str">
        <f t="shared" ca="1" si="61"/>
        <v/>
      </c>
      <c r="Z1239" s="31"/>
    </row>
    <row r="1240" spans="2:26">
      <c r="B1240" s="2"/>
      <c r="C1240" t="str">
        <f>IF(B1240&lt;&gt;"",INDEX('Sales Orders'!C:C,MATCH('Booking Management'!B1240,'Sales Orders'!A:A,0)),"")</f>
        <v/>
      </c>
      <c r="K1240" s="31" t="str">
        <f t="shared" ca="1" si="60"/>
        <v/>
      </c>
      <c r="P1240" t="str">
        <f t="shared" si="59"/>
        <v/>
      </c>
      <c r="Q1240" t="str">
        <f>IFERROR((J1240/SUMIFS('Sales Orders'!D:D,'Sales Orders'!A:A,B1240))*SUMIFS('Sales Orders'!N:N,'Sales Orders'!A:A,B1240),"")</f>
        <v/>
      </c>
      <c r="W1240" s="31" t="str">
        <f t="shared" ca="1" si="61"/>
        <v/>
      </c>
      <c r="Z1240" s="31"/>
    </row>
    <row r="1241" spans="2:26">
      <c r="B1241" s="2"/>
      <c r="C1241" t="str">
        <f>IF(B1241&lt;&gt;"",INDEX('Sales Orders'!C:C,MATCH('Booking Management'!B1241,'Sales Orders'!A:A,0)),"")</f>
        <v/>
      </c>
      <c r="K1241" s="31" t="str">
        <f t="shared" ca="1" si="60"/>
        <v/>
      </c>
      <c r="P1241" t="str">
        <f t="shared" si="59"/>
        <v/>
      </c>
      <c r="Q1241" t="str">
        <f>IFERROR((J1241/SUMIFS('Sales Orders'!D:D,'Sales Orders'!A:A,B1241))*SUMIFS('Sales Orders'!N:N,'Sales Orders'!A:A,B1241),"")</f>
        <v/>
      </c>
      <c r="W1241" s="31" t="str">
        <f t="shared" ca="1" si="61"/>
        <v/>
      </c>
      <c r="Z1241" s="31"/>
    </row>
    <row r="1242" spans="2:26">
      <c r="B1242" s="2"/>
      <c r="C1242" t="str">
        <f>IF(B1242&lt;&gt;"",INDEX('Sales Orders'!C:C,MATCH('Booking Management'!B1242,'Sales Orders'!A:A,0)),"")</f>
        <v/>
      </c>
      <c r="K1242" s="31" t="str">
        <f t="shared" ca="1" si="60"/>
        <v/>
      </c>
      <c r="P1242" t="str">
        <f t="shared" si="59"/>
        <v/>
      </c>
      <c r="Q1242" t="str">
        <f>IFERROR((J1242/SUMIFS('Sales Orders'!D:D,'Sales Orders'!A:A,B1242))*SUMIFS('Sales Orders'!N:N,'Sales Orders'!A:A,B1242),"")</f>
        <v/>
      </c>
      <c r="W1242" s="31" t="str">
        <f t="shared" ca="1" si="61"/>
        <v/>
      </c>
      <c r="Z1242" s="31"/>
    </row>
    <row r="1243" spans="2:26">
      <c r="B1243" s="2"/>
      <c r="C1243" t="str">
        <f>IF(B1243&lt;&gt;"",INDEX('Sales Orders'!C:C,MATCH('Booking Management'!B1243,'Sales Orders'!A:A,0)),"")</f>
        <v/>
      </c>
      <c r="K1243" s="31" t="str">
        <f t="shared" ca="1" si="60"/>
        <v/>
      </c>
      <c r="P1243" t="str">
        <f t="shared" si="59"/>
        <v/>
      </c>
      <c r="Q1243" t="str">
        <f>IFERROR((J1243/SUMIFS('Sales Orders'!D:D,'Sales Orders'!A:A,B1243))*SUMIFS('Sales Orders'!N:N,'Sales Orders'!A:A,B1243),"")</f>
        <v/>
      </c>
      <c r="W1243" s="31" t="str">
        <f t="shared" ca="1" si="61"/>
        <v/>
      </c>
      <c r="Z1243" s="31"/>
    </row>
    <row r="1244" spans="2:26">
      <c r="B1244" s="2"/>
      <c r="C1244" t="str">
        <f>IF(B1244&lt;&gt;"",INDEX('Sales Orders'!C:C,MATCH('Booking Management'!B1244,'Sales Orders'!A:A,0)),"")</f>
        <v/>
      </c>
      <c r="K1244" s="31" t="str">
        <f t="shared" ca="1" si="60"/>
        <v/>
      </c>
      <c r="P1244" t="str">
        <f t="shared" si="59"/>
        <v/>
      </c>
      <c r="Q1244" t="str">
        <f>IFERROR((J1244/SUMIFS('Sales Orders'!D:D,'Sales Orders'!A:A,B1244))*SUMIFS('Sales Orders'!N:N,'Sales Orders'!A:A,B1244),"")</f>
        <v/>
      </c>
      <c r="W1244" s="31" t="str">
        <f t="shared" ca="1" si="61"/>
        <v/>
      </c>
      <c r="Z1244" s="31"/>
    </row>
    <row r="1245" spans="2:26">
      <c r="B1245" s="2"/>
      <c r="C1245" t="str">
        <f>IF(B1245&lt;&gt;"",INDEX('Sales Orders'!C:C,MATCH('Booking Management'!B1245,'Sales Orders'!A:A,0)),"")</f>
        <v/>
      </c>
      <c r="K1245" s="31" t="str">
        <f t="shared" ca="1" si="60"/>
        <v/>
      </c>
      <c r="P1245" t="str">
        <f t="shared" si="59"/>
        <v/>
      </c>
      <c r="Q1245" t="str">
        <f>IFERROR((J1245/SUMIFS('Sales Orders'!D:D,'Sales Orders'!A:A,B1245))*SUMIFS('Sales Orders'!N:N,'Sales Orders'!A:A,B1245),"")</f>
        <v/>
      </c>
      <c r="W1245" s="31" t="str">
        <f t="shared" ca="1" si="61"/>
        <v/>
      </c>
      <c r="Z1245" s="31"/>
    </row>
    <row r="1246" spans="2:26">
      <c r="B1246" s="2"/>
      <c r="C1246" t="str">
        <f>IF(B1246&lt;&gt;"",INDEX('Sales Orders'!C:C,MATCH('Booking Management'!B1246,'Sales Orders'!A:A,0)),"")</f>
        <v/>
      </c>
      <c r="K1246" s="31" t="str">
        <f t="shared" ca="1" si="60"/>
        <v/>
      </c>
      <c r="P1246" t="str">
        <f t="shared" si="59"/>
        <v/>
      </c>
      <c r="Q1246" t="str">
        <f>IFERROR((J1246/SUMIFS('Sales Orders'!D:D,'Sales Orders'!A:A,B1246))*SUMIFS('Sales Orders'!N:N,'Sales Orders'!A:A,B1246),"")</f>
        <v/>
      </c>
      <c r="W1246" s="31" t="str">
        <f t="shared" ca="1" si="61"/>
        <v/>
      </c>
      <c r="Z1246" s="31"/>
    </row>
    <row r="1247" spans="2:26">
      <c r="B1247" s="2"/>
      <c r="C1247" t="str">
        <f>IF(B1247&lt;&gt;"",INDEX('Sales Orders'!C:C,MATCH('Booking Management'!B1247,'Sales Orders'!A:A,0)),"")</f>
        <v/>
      </c>
      <c r="K1247" s="31" t="str">
        <f t="shared" ca="1" si="60"/>
        <v/>
      </c>
      <c r="P1247" t="str">
        <f t="shared" si="59"/>
        <v/>
      </c>
      <c r="Q1247" t="str">
        <f>IFERROR((J1247/SUMIFS('Sales Orders'!D:D,'Sales Orders'!A:A,B1247))*SUMIFS('Sales Orders'!N:N,'Sales Orders'!A:A,B1247),"")</f>
        <v/>
      </c>
      <c r="W1247" s="31" t="str">
        <f t="shared" ca="1" si="61"/>
        <v/>
      </c>
      <c r="Z1247" s="31"/>
    </row>
    <row r="1248" spans="2:26">
      <c r="B1248" s="2"/>
      <c r="C1248" t="str">
        <f>IF(B1248&lt;&gt;"",INDEX('Sales Orders'!C:C,MATCH('Booking Management'!B1248,'Sales Orders'!A:A,0)),"")</f>
        <v/>
      </c>
      <c r="K1248" s="31" t="str">
        <f t="shared" ca="1" si="60"/>
        <v/>
      </c>
      <c r="P1248" t="str">
        <f t="shared" si="59"/>
        <v/>
      </c>
      <c r="Q1248" t="str">
        <f>IFERROR((J1248/SUMIFS('Sales Orders'!D:D,'Sales Orders'!A:A,B1248))*SUMIFS('Sales Orders'!N:N,'Sales Orders'!A:A,B1248),"")</f>
        <v/>
      </c>
      <c r="W1248" s="31" t="str">
        <f t="shared" ca="1" si="61"/>
        <v/>
      </c>
      <c r="Z1248" s="31"/>
    </row>
    <row r="1249" spans="2:26">
      <c r="B1249" s="2"/>
      <c r="C1249" t="str">
        <f>IF(B1249&lt;&gt;"",INDEX('Sales Orders'!C:C,MATCH('Booking Management'!B1249,'Sales Orders'!A:A,0)),"")</f>
        <v/>
      </c>
      <c r="K1249" s="31" t="str">
        <f t="shared" ca="1" si="60"/>
        <v/>
      </c>
      <c r="P1249" t="str">
        <f t="shared" ref="P1249:P1312" si="62">IF(B1249&lt;&gt;"",T1249-L1249,"")</f>
        <v/>
      </c>
      <c r="Q1249" t="str">
        <f>IFERROR((J1249/SUMIFS('Sales Orders'!D:D,'Sales Orders'!A:A,B1249))*SUMIFS('Sales Orders'!N:N,'Sales Orders'!A:A,B1249),"")</f>
        <v/>
      </c>
      <c r="W1249" s="31" t="str">
        <f t="shared" ca="1" si="61"/>
        <v/>
      </c>
      <c r="Z1249" s="31"/>
    </row>
    <row r="1250" spans="2:26">
      <c r="B1250" s="2"/>
      <c r="C1250" t="str">
        <f>IF(B1250&lt;&gt;"",INDEX('Sales Orders'!C:C,MATCH('Booking Management'!B1250,'Sales Orders'!A:A,0)),"")</f>
        <v/>
      </c>
      <c r="K1250" s="31" t="str">
        <f t="shared" ca="1" si="60"/>
        <v/>
      </c>
      <c r="P1250" t="str">
        <f t="shared" si="62"/>
        <v/>
      </c>
      <c r="Q1250" t="str">
        <f>IFERROR((J1250/SUMIFS('Sales Orders'!D:D,'Sales Orders'!A:A,B1250))*SUMIFS('Sales Orders'!N:N,'Sales Orders'!A:A,B1250),"")</f>
        <v/>
      </c>
      <c r="W1250" s="31" t="str">
        <f t="shared" ca="1" si="61"/>
        <v/>
      </c>
      <c r="Z1250" s="31"/>
    </row>
    <row r="1251" spans="2:26">
      <c r="B1251" s="2"/>
      <c r="C1251" t="str">
        <f>IF(B1251&lt;&gt;"",INDEX('Sales Orders'!C:C,MATCH('Booking Management'!B1251,'Sales Orders'!A:A,0)),"")</f>
        <v/>
      </c>
      <c r="K1251" s="31" t="str">
        <f t="shared" ca="1" si="60"/>
        <v/>
      </c>
      <c r="P1251" t="str">
        <f t="shared" si="62"/>
        <v/>
      </c>
      <c r="Q1251" t="str">
        <f>IFERROR((J1251/SUMIFS('Sales Orders'!D:D,'Sales Orders'!A:A,B1251))*SUMIFS('Sales Orders'!N:N,'Sales Orders'!A:A,B1251),"")</f>
        <v/>
      </c>
      <c r="W1251" s="31" t="str">
        <f t="shared" ca="1" si="61"/>
        <v/>
      </c>
      <c r="Z1251" s="31"/>
    </row>
    <row r="1252" spans="2:26">
      <c r="B1252" s="2"/>
      <c r="C1252" t="str">
        <f>IF(B1252&lt;&gt;"",INDEX('Sales Orders'!C:C,MATCH('Booking Management'!B1252,'Sales Orders'!A:A,0)),"")</f>
        <v/>
      </c>
      <c r="K1252" s="31" t="str">
        <f t="shared" ca="1" si="60"/>
        <v/>
      </c>
      <c r="P1252" t="str">
        <f t="shared" si="62"/>
        <v/>
      </c>
      <c r="Q1252" t="str">
        <f>IFERROR((J1252/SUMIFS('Sales Orders'!D:D,'Sales Orders'!A:A,B1252))*SUMIFS('Sales Orders'!N:N,'Sales Orders'!A:A,B1252),"")</f>
        <v/>
      </c>
      <c r="W1252" s="31" t="str">
        <f t="shared" ca="1" si="61"/>
        <v/>
      </c>
      <c r="Z1252" s="31"/>
    </row>
    <row r="1253" spans="2:26">
      <c r="B1253" s="2"/>
      <c r="C1253" t="str">
        <f>IF(B1253&lt;&gt;"",INDEX('Sales Orders'!C:C,MATCH('Booking Management'!B1253,'Sales Orders'!A:A,0)),"")</f>
        <v/>
      </c>
      <c r="K1253" s="31" t="str">
        <f t="shared" ca="1" si="60"/>
        <v/>
      </c>
      <c r="P1253" t="str">
        <f t="shared" si="62"/>
        <v/>
      </c>
      <c r="Q1253" t="str">
        <f>IFERROR((J1253/SUMIFS('Sales Orders'!D:D,'Sales Orders'!A:A,B1253))*SUMIFS('Sales Orders'!N:N,'Sales Orders'!A:A,B1253),"")</f>
        <v/>
      </c>
      <c r="W1253" s="31" t="str">
        <f t="shared" ca="1" si="61"/>
        <v/>
      </c>
      <c r="Z1253" s="31"/>
    </row>
    <row r="1254" spans="2:26">
      <c r="B1254" s="2"/>
      <c r="C1254" t="str">
        <f>IF(B1254&lt;&gt;"",INDEX('Sales Orders'!C:C,MATCH('Booking Management'!B1254,'Sales Orders'!A:A,0)),"")</f>
        <v/>
      </c>
      <c r="K1254" s="31" t="str">
        <f t="shared" ca="1" si="60"/>
        <v/>
      </c>
      <c r="P1254" t="str">
        <f t="shared" si="62"/>
        <v/>
      </c>
      <c r="Q1254" t="str">
        <f>IFERROR((J1254/SUMIFS('Sales Orders'!D:D,'Sales Orders'!A:A,B1254))*SUMIFS('Sales Orders'!N:N,'Sales Orders'!A:A,B1254),"")</f>
        <v/>
      </c>
      <c r="W1254" s="31" t="str">
        <f t="shared" ca="1" si="61"/>
        <v/>
      </c>
      <c r="Z1254" s="31"/>
    </row>
    <row r="1255" spans="2:26">
      <c r="B1255" s="2"/>
      <c r="C1255" t="str">
        <f>IF(B1255&lt;&gt;"",INDEX('Sales Orders'!C:C,MATCH('Booking Management'!B1255,'Sales Orders'!A:A,0)),"")</f>
        <v/>
      </c>
      <c r="K1255" s="31" t="str">
        <f t="shared" ca="1" si="60"/>
        <v/>
      </c>
      <c r="P1255" t="str">
        <f t="shared" si="62"/>
        <v/>
      </c>
      <c r="Q1255" t="str">
        <f>IFERROR((J1255/SUMIFS('Sales Orders'!D:D,'Sales Orders'!A:A,B1255))*SUMIFS('Sales Orders'!N:N,'Sales Orders'!A:A,B1255),"")</f>
        <v/>
      </c>
      <c r="W1255" s="31" t="str">
        <f t="shared" ca="1" si="61"/>
        <v/>
      </c>
      <c r="Z1255" s="31"/>
    </row>
    <row r="1256" spans="2:26">
      <c r="B1256" s="2"/>
      <c r="C1256" t="str">
        <f>IF(B1256&lt;&gt;"",INDEX('Sales Orders'!C:C,MATCH('Booking Management'!B1256,'Sales Orders'!A:A,0)),"")</f>
        <v/>
      </c>
      <c r="K1256" s="31" t="str">
        <f t="shared" ca="1" si="60"/>
        <v/>
      </c>
      <c r="P1256" t="str">
        <f t="shared" si="62"/>
        <v/>
      </c>
      <c r="Q1256" t="str">
        <f>IFERROR((J1256/SUMIFS('Sales Orders'!D:D,'Sales Orders'!A:A,B1256))*SUMIFS('Sales Orders'!N:N,'Sales Orders'!A:A,B1256),"")</f>
        <v/>
      </c>
      <c r="W1256" s="31" t="str">
        <f t="shared" ca="1" si="61"/>
        <v/>
      </c>
      <c r="Z1256" s="31"/>
    </row>
    <row r="1257" spans="2:26">
      <c r="B1257" s="2"/>
      <c r="C1257" t="str">
        <f>IF(B1257&lt;&gt;"",INDEX('Sales Orders'!C:C,MATCH('Booking Management'!B1257,'Sales Orders'!A:A,0)),"")</f>
        <v/>
      </c>
      <c r="K1257" s="31" t="str">
        <f t="shared" ca="1" si="60"/>
        <v/>
      </c>
      <c r="P1257" t="str">
        <f t="shared" si="62"/>
        <v/>
      </c>
      <c r="Q1257" t="str">
        <f>IFERROR((J1257/SUMIFS('Sales Orders'!D:D,'Sales Orders'!A:A,B1257))*SUMIFS('Sales Orders'!N:N,'Sales Orders'!A:A,B1257),"")</f>
        <v/>
      </c>
      <c r="W1257" s="31" t="str">
        <f t="shared" ca="1" si="61"/>
        <v/>
      </c>
      <c r="Z1257" s="31"/>
    </row>
    <row r="1258" spans="2:26">
      <c r="B1258" s="2"/>
      <c r="C1258" t="str">
        <f>IF(B1258&lt;&gt;"",INDEX('Sales Orders'!C:C,MATCH('Booking Management'!B1258,'Sales Orders'!A:A,0)),"")</f>
        <v/>
      </c>
      <c r="K1258" s="31" t="str">
        <f t="shared" ca="1" si="60"/>
        <v/>
      </c>
      <c r="P1258" t="str">
        <f t="shared" si="62"/>
        <v/>
      </c>
      <c r="Q1258" t="str">
        <f>IFERROR((J1258/SUMIFS('Sales Orders'!D:D,'Sales Orders'!A:A,B1258))*SUMIFS('Sales Orders'!N:N,'Sales Orders'!A:A,B1258),"")</f>
        <v/>
      </c>
      <c r="W1258" s="31" t="str">
        <f t="shared" ca="1" si="61"/>
        <v/>
      </c>
      <c r="Z1258" s="31"/>
    </row>
    <row r="1259" spans="2:26">
      <c r="B1259" s="2"/>
      <c r="C1259" t="str">
        <f>IF(B1259&lt;&gt;"",INDEX('Sales Orders'!C:C,MATCH('Booking Management'!B1259,'Sales Orders'!A:A,0)),"")</f>
        <v/>
      </c>
      <c r="K1259" s="31" t="str">
        <f t="shared" ca="1" si="60"/>
        <v/>
      </c>
      <c r="P1259" t="str">
        <f t="shared" si="62"/>
        <v/>
      </c>
      <c r="Q1259" t="str">
        <f>IFERROR((J1259/SUMIFS('Sales Orders'!D:D,'Sales Orders'!A:A,B1259))*SUMIFS('Sales Orders'!N:N,'Sales Orders'!A:A,B1259),"")</f>
        <v/>
      </c>
      <c r="W1259" s="31" t="str">
        <f t="shared" ca="1" si="61"/>
        <v/>
      </c>
      <c r="Z1259" s="31"/>
    </row>
    <row r="1260" spans="2:26">
      <c r="B1260" s="2"/>
      <c r="C1260" t="str">
        <f>IF(B1260&lt;&gt;"",INDEX('Sales Orders'!C:C,MATCH('Booking Management'!B1260,'Sales Orders'!A:A,0)),"")</f>
        <v/>
      </c>
      <c r="K1260" s="31" t="str">
        <f t="shared" ca="1" si="60"/>
        <v/>
      </c>
      <c r="P1260" t="str">
        <f t="shared" si="62"/>
        <v/>
      </c>
      <c r="Q1260" t="str">
        <f>IFERROR((J1260/SUMIFS('Sales Orders'!D:D,'Sales Orders'!A:A,B1260))*SUMIFS('Sales Orders'!N:N,'Sales Orders'!A:A,B1260),"")</f>
        <v/>
      </c>
      <c r="W1260" s="31" t="str">
        <f t="shared" ca="1" si="61"/>
        <v/>
      </c>
      <c r="Z1260" s="31"/>
    </row>
    <row r="1261" spans="2:26">
      <c r="B1261" s="2"/>
      <c r="C1261" t="str">
        <f>IF(B1261&lt;&gt;"",INDEX('Sales Orders'!C:C,MATCH('Booking Management'!B1261,'Sales Orders'!A:A,0)),"")</f>
        <v/>
      </c>
      <c r="K1261" s="31" t="str">
        <f t="shared" ca="1" si="60"/>
        <v/>
      </c>
      <c r="P1261" t="str">
        <f t="shared" si="62"/>
        <v/>
      </c>
      <c r="Q1261" t="str">
        <f>IFERROR((J1261/SUMIFS('Sales Orders'!D:D,'Sales Orders'!A:A,B1261))*SUMIFS('Sales Orders'!N:N,'Sales Orders'!A:A,B1261),"")</f>
        <v/>
      </c>
      <c r="W1261" s="31" t="str">
        <f t="shared" ca="1" si="61"/>
        <v/>
      </c>
      <c r="Z1261" s="31"/>
    </row>
    <row r="1262" spans="2:26">
      <c r="B1262" s="2"/>
      <c r="C1262" t="str">
        <f>IF(B1262&lt;&gt;"",INDEX('Sales Orders'!C:C,MATCH('Booking Management'!B1262,'Sales Orders'!A:A,0)),"")</f>
        <v/>
      </c>
      <c r="K1262" s="31" t="str">
        <f t="shared" ca="1" si="60"/>
        <v/>
      </c>
      <c r="P1262" t="str">
        <f t="shared" si="62"/>
        <v/>
      </c>
      <c r="Q1262" t="str">
        <f>IFERROR((J1262/SUMIFS('Sales Orders'!D:D,'Sales Orders'!A:A,B1262))*SUMIFS('Sales Orders'!N:N,'Sales Orders'!A:A,B1262),"")</f>
        <v/>
      </c>
      <c r="W1262" s="31" t="str">
        <f t="shared" ca="1" si="61"/>
        <v/>
      </c>
      <c r="Z1262" s="31"/>
    </row>
    <row r="1263" spans="2:26">
      <c r="B1263" s="2"/>
      <c r="C1263" t="str">
        <f>IF(B1263&lt;&gt;"",INDEX('Sales Orders'!C:C,MATCH('Booking Management'!B1263,'Sales Orders'!A:A,0)),"")</f>
        <v/>
      </c>
      <c r="K1263" s="31" t="str">
        <f t="shared" ca="1" si="60"/>
        <v/>
      </c>
      <c r="P1263" t="str">
        <f t="shared" si="62"/>
        <v/>
      </c>
      <c r="Q1263" t="str">
        <f>IFERROR((J1263/SUMIFS('Sales Orders'!D:D,'Sales Orders'!A:A,B1263))*SUMIFS('Sales Orders'!N:N,'Sales Orders'!A:A,B1263),"")</f>
        <v/>
      </c>
      <c r="W1263" s="31" t="str">
        <f t="shared" ca="1" si="61"/>
        <v/>
      </c>
      <c r="Z1263" s="31"/>
    </row>
    <row r="1264" spans="2:26">
      <c r="B1264" s="2"/>
      <c r="C1264" t="str">
        <f>IF(B1264&lt;&gt;"",INDEX('Sales Orders'!C:C,MATCH('Booking Management'!B1264,'Sales Orders'!A:A,0)),"")</f>
        <v/>
      </c>
      <c r="K1264" s="31" t="str">
        <f t="shared" ca="1" si="60"/>
        <v/>
      </c>
      <c r="P1264" t="str">
        <f t="shared" si="62"/>
        <v/>
      </c>
      <c r="Q1264" t="str">
        <f>IFERROR((J1264/SUMIFS('Sales Orders'!D:D,'Sales Orders'!A:A,B1264))*SUMIFS('Sales Orders'!N:N,'Sales Orders'!A:A,B1264),"")</f>
        <v/>
      </c>
      <c r="W1264" s="31" t="str">
        <f t="shared" ca="1" si="61"/>
        <v/>
      </c>
      <c r="Z1264" s="31"/>
    </row>
    <row r="1265" spans="2:26">
      <c r="B1265" s="2"/>
      <c r="C1265" t="str">
        <f>IF(B1265&lt;&gt;"",INDEX('Sales Orders'!C:C,MATCH('Booking Management'!B1265,'Sales Orders'!A:A,0)),"")</f>
        <v/>
      </c>
      <c r="K1265" s="31" t="str">
        <f t="shared" ca="1" si="60"/>
        <v/>
      </c>
      <c r="P1265" t="str">
        <f t="shared" si="62"/>
        <v/>
      </c>
      <c r="Q1265" t="str">
        <f>IFERROR((J1265/SUMIFS('Sales Orders'!D:D,'Sales Orders'!A:A,B1265))*SUMIFS('Sales Orders'!N:N,'Sales Orders'!A:A,B1265),"")</f>
        <v/>
      </c>
      <c r="W1265" s="31" t="str">
        <f t="shared" ca="1" si="61"/>
        <v/>
      </c>
      <c r="Z1265" s="31"/>
    </row>
    <row r="1266" spans="2:26">
      <c r="B1266" s="2"/>
      <c r="C1266" t="str">
        <f>IF(B1266&lt;&gt;"",INDEX('Sales Orders'!C:C,MATCH('Booking Management'!B1266,'Sales Orders'!A:A,0)),"")</f>
        <v/>
      </c>
      <c r="K1266" s="31" t="str">
        <f t="shared" ca="1" si="60"/>
        <v/>
      </c>
      <c r="P1266" t="str">
        <f t="shared" si="62"/>
        <v/>
      </c>
      <c r="Q1266" t="str">
        <f>IFERROR((J1266/SUMIFS('Sales Orders'!D:D,'Sales Orders'!A:A,B1266))*SUMIFS('Sales Orders'!N:N,'Sales Orders'!A:A,B1266),"")</f>
        <v/>
      </c>
      <c r="W1266" s="31" t="str">
        <f t="shared" ca="1" si="61"/>
        <v/>
      </c>
      <c r="Z1266" s="31"/>
    </row>
    <row r="1267" spans="2:26">
      <c r="B1267" s="2"/>
      <c r="C1267" t="str">
        <f>IF(B1267&lt;&gt;"",INDEX('Sales Orders'!C:C,MATCH('Booking Management'!B1267,'Sales Orders'!A:A,0)),"")</f>
        <v/>
      </c>
      <c r="K1267" s="31" t="str">
        <f t="shared" ca="1" si="60"/>
        <v/>
      </c>
      <c r="P1267" t="str">
        <f t="shared" si="62"/>
        <v/>
      </c>
      <c r="Q1267" t="str">
        <f>IFERROR((J1267/SUMIFS('Sales Orders'!D:D,'Sales Orders'!A:A,B1267))*SUMIFS('Sales Orders'!N:N,'Sales Orders'!A:A,B1267),"")</f>
        <v/>
      </c>
      <c r="W1267" s="31" t="str">
        <f t="shared" ca="1" si="61"/>
        <v/>
      </c>
      <c r="Z1267" s="31"/>
    </row>
    <row r="1268" spans="2:26">
      <c r="B1268" s="2"/>
      <c r="C1268" t="str">
        <f>IF(B1268&lt;&gt;"",INDEX('Sales Orders'!C:C,MATCH('Booking Management'!B1268,'Sales Orders'!A:A,0)),"")</f>
        <v/>
      </c>
      <c r="K1268" s="31" t="str">
        <f t="shared" ca="1" si="60"/>
        <v/>
      </c>
      <c r="P1268" t="str">
        <f t="shared" si="62"/>
        <v/>
      </c>
      <c r="Q1268" t="str">
        <f>IFERROR((J1268/SUMIFS('Sales Orders'!D:D,'Sales Orders'!A:A,B1268))*SUMIFS('Sales Orders'!N:N,'Sales Orders'!A:A,B1268),"")</f>
        <v/>
      </c>
      <c r="W1268" s="31" t="str">
        <f t="shared" ca="1" si="61"/>
        <v/>
      </c>
      <c r="Z1268" s="31"/>
    </row>
    <row r="1269" spans="2:26">
      <c r="B1269" s="2"/>
      <c r="C1269" t="str">
        <f>IF(B1269&lt;&gt;"",INDEX('Sales Orders'!C:C,MATCH('Booking Management'!B1269,'Sales Orders'!A:A,0)),"")</f>
        <v/>
      </c>
      <c r="K1269" s="31" t="str">
        <f t="shared" ca="1" si="60"/>
        <v/>
      </c>
      <c r="P1269" t="str">
        <f t="shared" si="62"/>
        <v/>
      </c>
      <c r="Q1269" t="str">
        <f>IFERROR((J1269/SUMIFS('Sales Orders'!D:D,'Sales Orders'!A:A,B1269))*SUMIFS('Sales Orders'!N:N,'Sales Orders'!A:A,B1269),"")</f>
        <v/>
      </c>
      <c r="W1269" s="31" t="str">
        <f t="shared" ca="1" si="61"/>
        <v/>
      </c>
      <c r="Z1269" s="31"/>
    </row>
    <row r="1270" spans="2:26">
      <c r="B1270" s="2"/>
      <c r="C1270" t="str">
        <f>IF(B1270&lt;&gt;"",INDEX('Sales Orders'!C:C,MATCH('Booking Management'!B1270,'Sales Orders'!A:A,0)),"")</f>
        <v/>
      </c>
      <c r="K1270" s="31" t="str">
        <f t="shared" ca="1" si="60"/>
        <v/>
      </c>
      <c r="P1270" t="str">
        <f t="shared" si="62"/>
        <v/>
      </c>
      <c r="Q1270" t="str">
        <f>IFERROR((J1270/SUMIFS('Sales Orders'!D:D,'Sales Orders'!A:A,B1270))*SUMIFS('Sales Orders'!N:N,'Sales Orders'!A:A,B1270),"")</f>
        <v/>
      </c>
      <c r="W1270" s="31" t="str">
        <f t="shared" ca="1" si="61"/>
        <v/>
      </c>
      <c r="Z1270" s="31"/>
    </row>
    <row r="1271" spans="2:26">
      <c r="B1271" s="2"/>
      <c r="C1271" t="str">
        <f>IF(B1271&lt;&gt;"",INDEX('Sales Orders'!C:C,MATCH('Booking Management'!B1271,'Sales Orders'!A:A,0)),"")</f>
        <v/>
      </c>
      <c r="K1271" s="31" t="str">
        <f t="shared" ca="1" si="60"/>
        <v/>
      </c>
      <c r="P1271" t="str">
        <f t="shared" si="62"/>
        <v/>
      </c>
      <c r="Q1271" t="str">
        <f>IFERROR((J1271/SUMIFS('Sales Orders'!D:D,'Sales Orders'!A:A,B1271))*SUMIFS('Sales Orders'!N:N,'Sales Orders'!A:A,B1271),"")</f>
        <v/>
      </c>
      <c r="W1271" s="31" t="str">
        <f t="shared" ca="1" si="61"/>
        <v/>
      </c>
      <c r="Z1271" s="31"/>
    </row>
    <row r="1272" spans="2:26">
      <c r="B1272" s="2"/>
      <c r="C1272" t="str">
        <f>IF(B1272&lt;&gt;"",INDEX('Sales Orders'!C:C,MATCH('Booking Management'!B1272,'Sales Orders'!A:A,0)),"")</f>
        <v/>
      </c>
      <c r="K1272" s="31" t="str">
        <f t="shared" ca="1" si="60"/>
        <v/>
      </c>
      <c r="P1272" t="str">
        <f t="shared" si="62"/>
        <v/>
      </c>
      <c r="Q1272" t="str">
        <f>IFERROR((J1272/SUMIFS('Sales Orders'!D:D,'Sales Orders'!A:A,B1272))*SUMIFS('Sales Orders'!N:N,'Sales Orders'!A:A,B1272),"")</f>
        <v/>
      </c>
      <c r="W1272" s="31" t="str">
        <f t="shared" ca="1" si="61"/>
        <v/>
      </c>
      <c r="Z1272" s="31"/>
    </row>
    <row r="1273" spans="2:26">
      <c r="B1273" s="2"/>
      <c r="C1273" t="str">
        <f>IF(B1273&lt;&gt;"",INDEX('Sales Orders'!C:C,MATCH('Booking Management'!B1273,'Sales Orders'!A:A,0)),"")</f>
        <v/>
      </c>
      <c r="K1273" s="31" t="str">
        <f t="shared" ca="1" si="60"/>
        <v/>
      </c>
      <c r="P1273" t="str">
        <f t="shared" si="62"/>
        <v/>
      </c>
      <c r="Q1273" t="str">
        <f>IFERROR((J1273/SUMIFS('Sales Orders'!D:D,'Sales Orders'!A:A,B1273))*SUMIFS('Sales Orders'!N:N,'Sales Orders'!A:A,B1273),"")</f>
        <v/>
      </c>
      <c r="W1273" s="31" t="str">
        <f t="shared" ca="1" si="61"/>
        <v/>
      </c>
      <c r="Z1273" s="31"/>
    </row>
    <row r="1274" spans="2:26">
      <c r="B1274" s="2"/>
      <c r="C1274" t="str">
        <f>IF(B1274&lt;&gt;"",INDEX('Sales Orders'!C:C,MATCH('Booking Management'!B1274,'Sales Orders'!A:A,0)),"")</f>
        <v/>
      </c>
      <c r="K1274" s="31" t="str">
        <f t="shared" ca="1" si="60"/>
        <v/>
      </c>
      <c r="P1274" t="str">
        <f t="shared" si="62"/>
        <v/>
      </c>
      <c r="Q1274" t="str">
        <f>IFERROR((J1274/SUMIFS('Sales Orders'!D:D,'Sales Orders'!A:A,B1274))*SUMIFS('Sales Orders'!N:N,'Sales Orders'!A:A,B1274),"")</f>
        <v/>
      </c>
      <c r="W1274" s="31" t="str">
        <f t="shared" ca="1" si="61"/>
        <v/>
      </c>
      <c r="Z1274" s="31"/>
    </row>
    <row r="1275" spans="2:26">
      <c r="B1275" s="2"/>
      <c r="C1275" t="str">
        <f>IF(B1275&lt;&gt;"",INDEX('Sales Orders'!C:C,MATCH('Booking Management'!B1275,'Sales Orders'!A:A,0)),"")</f>
        <v/>
      </c>
      <c r="K1275" s="31" t="str">
        <f t="shared" ca="1" si="60"/>
        <v/>
      </c>
      <c r="P1275" t="str">
        <f t="shared" si="62"/>
        <v/>
      </c>
      <c r="Q1275" t="str">
        <f>IFERROR((J1275/SUMIFS('Sales Orders'!D:D,'Sales Orders'!A:A,B1275))*SUMIFS('Sales Orders'!N:N,'Sales Orders'!A:A,B1275),"")</f>
        <v/>
      </c>
      <c r="W1275" s="31" t="str">
        <f t="shared" ca="1" si="61"/>
        <v/>
      </c>
      <c r="Z1275" s="31"/>
    </row>
    <row r="1276" spans="2:26">
      <c r="B1276" s="2"/>
      <c r="C1276" t="str">
        <f>IF(B1276&lt;&gt;"",INDEX('Sales Orders'!C:C,MATCH('Booking Management'!B1276,'Sales Orders'!A:A,0)),"")</f>
        <v/>
      </c>
      <c r="K1276" s="31" t="str">
        <f t="shared" ca="1" si="60"/>
        <v/>
      </c>
      <c r="P1276" t="str">
        <f t="shared" si="62"/>
        <v/>
      </c>
      <c r="Q1276" t="str">
        <f>IFERROR((J1276/SUMIFS('Sales Orders'!D:D,'Sales Orders'!A:A,B1276))*SUMIFS('Sales Orders'!N:N,'Sales Orders'!A:A,B1276),"")</f>
        <v/>
      </c>
      <c r="W1276" s="31" t="str">
        <f t="shared" ca="1" si="61"/>
        <v/>
      </c>
      <c r="Z1276" s="31"/>
    </row>
    <row r="1277" spans="2:26">
      <c r="B1277" s="2"/>
      <c r="C1277" t="str">
        <f>IF(B1277&lt;&gt;"",INDEX('Sales Orders'!C:C,MATCH('Booking Management'!B1277,'Sales Orders'!A:A,0)),"")</f>
        <v/>
      </c>
      <c r="K1277" s="31" t="str">
        <f t="shared" ca="1" si="60"/>
        <v/>
      </c>
      <c r="P1277" t="str">
        <f t="shared" si="62"/>
        <v/>
      </c>
      <c r="Q1277" t="str">
        <f>IFERROR((J1277/SUMIFS('Sales Orders'!D:D,'Sales Orders'!A:A,B1277))*SUMIFS('Sales Orders'!N:N,'Sales Orders'!A:A,B1277),"")</f>
        <v/>
      </c>
      <c r="W1277" s="31" t="str">
        <f t="shared" ca="1" si="61"/>
        <v/>
      </c>
      <c r="Z1277" s="31"/>
    </row>
    <row r="1278" spans="2:26">
      <c r="B1278" s="2"/>
      <c r="C1278" t="str">
        <f>IF(B1278&lt;&gt;"",INDEX('Sales Orders'!C:C,MATCH('Booking Management'!B1278,'Sales Orders'!A:A,0)),"")</f>
        <v/>
      </c>
      <c r="K1278" s="31" t="str">
        <f t="shared" ca="1" si="60"/>
        <v/>
      </c>
      <c r="P1278" t="str">
        <f t="shared" si="62"/>
        <v/>
      </c>
      <c r="Q1278" t="str">
        <f>IFERROR((J1278/SUMIFS('Sales Orders'!D:D,'Sales Orders'!A:A,B1278))*SUMIFS('Sales Orders'!N:N,'Sales Orders'!A:A,B1278),"")</f>
        <v/>
      </c>
      <c r="W1278" s="31" t="str">
        <f t="shared" ca="1" si="61"/>
        <v/>
      </c>
      <c r="Z1278" s="31"/>
    </row>
    <row r="1279" spans="2:26">
      <c r="B1279" s="2"/>
      <c r="C1279" t="str">
        <f>IF(B1279&lt;&gt;"",INDEX('Sales Orders'!C:C,MATCH('Booking Management'!B1279,'Sales Orders'!A:A,0)),"")</f>
        <v/>
      </c>
      <c r="K1279" s="31" t="str">
        <f t="shared" ca="1" si="60"/>
        <v/>
      </c>
      <c r="P1279" t="str">
        <f t="shared" si="62"/>
        <v/>
      </c>
      <c r="Q1279" t="str">
        <f>IFERROR((J1279/SUMIFS('Sales Orders'!D:D,'Sales Orders'!A:A,B1279))*SUMIFS('Sales Orders'!N:N,'Sales Orders'!A:A,B1279),"")</f>
        <v/>
      </c>
      <c r="W1279" s="31" t="str">
        <f t="shared" ca="1" si="61"/>
        <v/>
      </c>
      <c r="Z1279" s="31"/>
    </row>
    <row r="1280" spans="2:26">
      <c r="B1280" s="2"/>
      <c r="C1280" t="str">
        <f>IF(B1280&lt;&gt;"",INDEX('Sales Orders'!C:C,MATCH('Booking Management'!B1280,'Sales Orders'!A:A,0)),"")</f>
        <v/>
      </c>
      <c r="K1280" s="31" t="str">
        <f t="shared" ca="1" si="60"/>
        <v/>
      </c>
      <c r="P1280" t="str">
        <f t="shared" si="62"/>
        <v/>
      </c>
      <c r="Q1280" t="str">
        <f>IFERROR((J1280/SUMIFS('Sales Orders'!D:D,'Sales Orders'!A:A,B1280))*SUMIFS('Sales Orders'!N:N,'Sales Orders'!A:A,B1280),"")</f>
        <v/>
      </c>
      <c r="W1280" s="31" t="str">
        <f t="shared" ca="1" si="61"/>
        <v/>
      </c>
      <c r="Z1280" s="31"/>
    </row>
    <row r="1281" spans="2:26">
      <c r="B1281" s="2"/>
      <c r="C1281" t="str">
        <f>IF(B1281&lt;&gt;"",INDEX('Sales Orders'!C:C,MATCH('Booking Management'!B1281,'Sales Orders'!A:A,0)),"")</f>
        <v/>
      </c>
      <c r="K1281" s="31" t="str">
        <f t="shared" ca="1" si="60"/>
        <v/>
      </c>
      <c r="P1281" t="str">
        <f t="shared" si="62"/>
        <v/>
      </c>
      <c r="Q1281" t="str">
        <f>IFERROR((J1281/SUMIFS('Sales Orders'!D:D,'Sales Orders'!A:A,B1281))*SUMIFS('Sales Orders'!N:N,'Sales Orders'!A:A,B1281),"")</f>
        <v/>
      </c>
      <c r="W1281" s="31" t="str">
        <f t="shared" ca="1" si="61"/>
        <v/>
      </c>
      <c r="Z1281" s="31"/>
    </row>
    <row r="1282" spans="2:26">
      <c r="B1282" s="2"/>
      <c r="C1282" t="str">
        <f>IF(B1282&lt;&gt;"",INDEX('Sales Orders'!C:C,MATCH('Booking Management'!B1282,'Sales Orders'!A:A,0)),"")</f>
        <v/>
      </c>
      <c r="K1282" s="31" t="str">
        <f t="shared" ca="1" si="60"/>
        <v/>
      </c>
      <c r="P1282" t="str">
        <f t="shared" si="62"/>
        <v/>
      </c>
      <c r="Q1282" t="str">
        <f>IFERROR((J1282/SUMIFS('Sales Orders'!D:D,'Sales Orders'!A:A,B1282))*SUMIFS('Sales Orders'!N:N,'Sales Orders'!A:A,B1282),"")</f>
        <v/>
      </c>
      <c r="W1282" s="31" t="str">
        <f t="shared" ca="1" si="61"/>
        <v/>
      </c>
      <c r="Z1282" s="31"/>
    </row>
    <row r="1283" spans="2:26">
      <c r="B1283" s="2"/>
      <c r="C1283" t="str">
        <f>IF(B1283&lt;&gt;"",INDEX('Sales Orders'!C:C,MATCH('Booking Management'!B1283,'Sales Orders'!A:A,0)),"")</f>
        <v/>
      </c>
      <c r="K1283" s="31" t="str">
        <f t="shared" ref="K1283:K1346" ca="1" si="63">IF(B1283&lt;&gt;"",IF(AND(OR(L1283-TODAY()&lt;2,M1283&lt;&gt;"yes",N1283&lt;&gt;"yes",O1283&lt;&gt;"yes"),S1283&lt;&gt;"Used"),"Alert",""),"")</f>
        <v/>
      </c>
      <c r="P1283" t="str">
        <f t="shared" si="62"/>
        <v/>
      </c>
      <c r="Q1283" t="str">
        <f>IFERROR((J1283/SUMIFS('Sales Orders'!D:D,'Sales Orders'!A:A,B1283))*SUMIFS('Sales Orders'!N:N,'Sales Orders'!A:A,B1283),"")</f>
        <v/>
      </c>
      <c r="W1283" s="31" t="str">
        <f t="shared" ca="1" si="61"/>
        <v/>
      </c>
      <c r="Z1283" s="31"/>
    </row>
    <row r="1284" spans="2:26">
      <c r="B1284" s="2"/>
      <c r="C1284" t="str">
        <f>IF(B1284&lt;&gt;"",INDEX('Sales Orders'!C:C,MATCH('Booking Management'!B1284,'Sales Orders'!A:A,0)),"")</f>
        <v/>
      </c>
      <c r="K1284" s="31" t="str">
        <f t="shared" ca="1" si="63"/>
        <v/>
      </c>
      <c r="P1284" t="str">
        <f t="shared" si="62"/>
        <v/>
      </c>
      <c r="Q1284" t="str">
        <f>IFERROR((J1284/SUMIFS('Sales Orders'!D:D,'Sales Orders'!A:A,B1284))*SUMIFS('Sales Orders'!N:N,'Sales Orders'!A:A,B1284),"")</f>
        <v/>
      </c>
      <c r="W1284" s="31" t="str">
        <f t="shared" ca="1" si="61"/>
        <v/>
      </c>
      <c r="Z1284" s="31"/>
    </row>
    <row r="1285" spans="2:26">
      <c r="B1285" s="2"/>
      <c r="C1285" t="str">
        <f>IF(B1285&lt;&gt;"",INDEX('Sales Orders'!C:C,MATCH('Booking Management'!B1285,'Sales Orders'!A:A,0)),"")</f>
        <v/>
      </c>
      <c r="K1285" s="31" t="str">
        <f t="shared" ca="1" si="63"/>
        <v/>
      </c>
      <c r="P1285" t="str">
        <f t="shared" si="62"/>
        <v/>
      </c>
      <c r="Q1285" t="str">
        <f>IFERROR((J1285/SUMIFS('Sales Orders'!D:D,'Sales Orders'!A:A,B1285))*SUMIFS('Sales Orders'!N:N,'Sales Orders'!A:A,B1285),"")</f>
        <v/>
      </c>
      <c r="W1285" s="31" t="str">
        <f t="shared" ca="1" si="61"/>
        <v/>
      </c>
      <c r="Z1285" s="31"/>
    </row>
    <row r="1286" spans="2:26">
      <c r="B1286" s="2"/>
      <c r="C1286" t="str">
        <f>IF(B1286&lt;&gt;"",INDEX('Sales Orders'!C:C,MATCH('Booking Management'!B1286,'Sales Orders'!A:A,0)),"")</f>
        <v/>
      </c>
      <c r="K1286" s="31" t="str">
        <f t="shared" ca="1" si="63"/>
        <v/>
      </c>
      <c r="P1286" t="str">
        <f t="shared" si="62"/>
        <v/>
      </c>
      <c r="Q1286" t="str">
        <f>IFERROR((J1286/SUMIFS('Sales Orders'!D:D,'Sales Orders'!A:A,B1286))*SUMIFS('Sales Orders'!N:N,'Sales Orders'!A:A,B1286),"")</f>
        <v/>
      </c>
      <c r="W1286" s="31" t="str">
        <f t="shared" ca="1" si="61"/>
        <v/>
      </c>
      <c r="Z1286" s="31"/>
    </row>
    <row r="1287" spans="2:26">
      <c r="B1287" s="2"/>
      <c r="C1287" t="str">
        <f>IF(B1287&lt;&gt;"",INDEX('Sales Orders'!C:C,MATCH('Booking Management'!B1287,'Sales Orders'!A:A,0)),"")</f>
        <v/>
      </c>
      <c r="K1287" s="31" t="str">
        <f t="shared" ca="1" si="63"/>
        <v/>
      </c>
      <c r="P1287" t="str">
        <f t="shared" si="62"/>
        <v/>
      </c>
      <c r="Q1287" t="str">
        <f>IFERROR((J1287/SUMIFS('Sales Orders'!D:D,'Sales Orders'!A:A,B1287))*SUMIFS('Sales Orders'!N:N,'Sales Orders'!A:A,B1287),"")</f>
        <v/>
      </c>
      <c r="W1287" s="31" t="str">
        <f t="shared" ref="W1287:W1350" ca="1" si="64">IF(T1287&lt;&gt;"",IF(X1287="Yes","NO",IF((TODAY()-V1287)&gt;6,"YES","NO")),"")</f>
        <v/>
      </c>
      <c r="Z1287" s="31"/>
    </row>
    <row r="1288" spans="2:26">
      <c r="B1288" s="2"/>
      <c r="C1288" t="str">
        <f>IF(B1288&lt;&gt;"",INDEX('Sales Orders'!C:C,MATCH('Booking Management'!B1288,'Sales Orders'!A:A,0)),"")</f>
        <v/>
      </c>
      <c r="K1288" s="31" t="str">
        <f t="shared" ca="1" si="63"/>
        <v/>
      </c>
      <c r="P1288" t="str">
        <f t="shared" si="62"/>
        <v/>
      </c>
      <c r="Q1288" t="str">
        <f>IFERROR((J1288/SUMIFS('Sales Orders'!D:D,'Sales Orders'!A:A,B1288))*SUMIFS('Sales Orders'!N:N,'Sales Orders'!A:A,B1288),"")</f>
        <v/>
      </c>
      <c r="W1288" s="31" t="str">
        <f t="shared" ca="1" si="64"/>
        <v/>
      </c>
      <c r="Z1288" s="31"/>
    </row>
    <row r="1289" spans="2:26">
      <c r="B1289" s="2"/>
      <c r="C1289" t="str">
        <f>IF(B1289&lt;&gt;"",INDEX('Sales Orders'!C:C,MATCH('Booking Management'!B1289,'Sales Orders'!A:A,0)),"")</f>
        <v/>
      </c>
      <c r="K1289" s="31" t="str">
        <f t="shared" ca="1" si="63"/>
        <v/>
      </c>
      <c r="P1289" t="str">
        <f t="shared" si="62"/>
        <v/>
      </c>
      <c r="Q1289" t="str">
        <f>IFERROR((J1289/SUMIFS('Sales Orders'!D:D,'Sales Orders'!A:A,B1289))*SUMIFS('Sales Orders'!N:N,'Sales Orders'!A:A,B1289),"")</f>
        <v/>
      </c>
      <c r="W1289" s="31" t="str">
        <f t="shared" ca="1" si="64"/>
        <v/>
      </c>
      <c r="Z1289" s="31"/>
    </row>
    <row r="1290" spans="2:26">
      <c r="B1290" s="2"/>
      <c r="C1290" t="str">
        <f>IF(B1290&lt;&gt;"",INDEX('Sales Orders'!C:C,MATCH('Booking Management'!B1290,'Sales Orders'!A:A,0)),"")</f>
        <v/>
      </c>
      <c r="K1290" s="31" t="str">
        <f t="shared" ca="1" si="63"/>
        <v/>
      </c>
      <c r="P1290" t="str">
        <f t="shared" si="62"/>
        <v/>
      </c>
      <c r="Q1290" t="str">
        <f>IFERROR((J1290/SUMIFS('Sales Orders'!D:D,'Sales Orders'!A:A,B1290))*SUMIFS('Sales Orders'!N:N,'Sales Orders'!A:A,B1290),"")</f>
        <v/>
      </c>
      <c r="W1290" s="31" t="str">
        <f t="shared" ca="1" si="64"/>
        <v/>
      </c>
      <c r="Z1290" s="31"/>
    </row>
    <row r="1291" spans="2:26">
      <c r="B1291" s="2"/>
      <c r="C1291" t="str">
        <f>IF(B1291&lt;&gt;"",INDEX('Sales Orders'!C:C,MATCH('Booking Management'!B1291,'Sales Orders'!A:A,0)),"")</f>
        <v/>
      </c>
      <c r="K1291" s="31" t="str">
        <f t="shared" ca="1" si="63"/>
        <v/>
      </c>
      <c r="P1291" t="str">
        <f t="shared" si="62"/>
        <v/>
      </c>
      <c r="Q1291" t="str">
        <f>IFERROR((J1291/SUMIFS('Sales Orders'!D:D,'Sales Orders'!A:A,B1291))*SUMIFS('Sales Orders'!N:N,'Sales Orders'!A:A,B1291),"")</f>
        <v/>
      </c>
      <c r="W1291" s="31" t="str">
        <f t="shared" ca="1" si="64"/>
        <v/>
      </c>
      <c r="Z1291" s="31"/>
    </row>
    <row r="1292" spans="2:26">
      <c r="B1292" s="2"/>
      <c r="C1292" t="str">
        <f>IF(B1292&lt;&gt;"",INDEX('Sales Orders'!C:C,MATCH('Booking Management'!B1292,'Sales Orders'!A:A,0)),"")</f>
        <v/>
      </c>
      <c r="K1292" s="31" t="str">
        <f t="shared" ca="1" si="63"/>
        <v/>
      </c>
      <c r="P1292" t="str">
        <f t="shared" si="62"/>
        <v/>
      </c>
      <c r="Q1292" t="str">
        <f>IFERROR((J1292/SUMIFS('Sales Orders'!D:D,'Sales Orders'!A:A,B1292))*SUMIFS('Sales Orders'!N:N,'Sales Orders'!A:A,B1292),"")</f>
        <v/>
      </c>
      <c r="W1292" s="31" t="str">
        <f t="shared" ca="1" si="64"/>
        <v/>
      </c>
      <c r="Z1292" s="31"/>
    </row>
    <row r="1293" spans="2:26">
      <c r="B1293" s="2"/>
      <c r="C1293" t="str">
        <f>IF(B1293&lt;&gt;"",INDEX('Sales Orders'!C:C,MATCH('Booking Management'!B1293,'Sales Orders'!A:A,0)),"")</f>
        <v/>
      </c>
      <c r="K1293" s="31" t="str">
        <f t="shared" ca="1" si="63"/>
        <v/>
      </c>
      <c r="P1293" t="str">
        <f t="shared" si="62"/>
        <v/>
      </c>
      <c r="Q1293" t="str">
        <f>IFERROR((J1293/SUMIFS('Sales Orders'!D:D,'Sales Orders'!A:A,B1293))*SUMIFS('Sales Orders'!N:N,'Sales Orders'!A:A,B1293),"")</f>
        <v/>
      </c>
      <c r="W1293" s="31" t="str">
        <f t="shared" ca="1" si="64"/>
        <v/>
      </c>
      <c r="Z1293" s="31"/>
    </row>
    <row r="1294" spans="2:26">
      <c r="B1294" s="2"/>
      <c r="C1294" t="str">
        <f>IF(B1294&lt;&gt;"",INDEX('Sales Orders'!C:C,MATCH('Booking Management'!B1294,'Sales Orders'!A:A,0)),"")</f>
        <v/>
      </c>
      <c r="K1294" s="31" t="str">
        <f t="shared" ca="1" si="63"/>
        <v/>
      </c>
      <c r="P1294" t="str">
        <f t="shared" si="62"/>
        <v/>
      </c>
      <c r="Q1294" t="str">
        <f>IFERROR((J1294/SUMIFS('Sales Orders'!D:D,'Sales Orders'!A:A,B1294))*SUMIFS('Sales Orders'!N:N,'Sales Orders'!A:A,B1294),"")</f>
        <v/>
      </c>
      <c r="W1294" s="31" t="str">
        <f t="shared" ca="1" si="64"/>
        <v/>
      </c>
      <c r="Z1294" s="31"/>
    </row>
    <row r="1295" spans="2:26">
      <c r="B1295" s="2"/>
      <c r="C1295" t="str">
        <f>IF(B1295&lt;&gt;"",INDEX('Sales Orders'!C:C,MATCH('Booking Management'!B1295,'Sales Orders'!A:A,0)),"")</f>
        <v/>
      </c>
      <c r="K1295" s="31" t="str">
        <f t="shared" ca="1" si="63"/>
        <v/>
      </c>
      <c r="P1295" t="str">
        <f t="shared" si="62"/>
        <v/>
      </c>
      <c r="Q1295" t="str">
        <f>IFERROR((J1295/SUMIFS('Sales Orders'!D:D,'Sales Orders'!A:A,B1295))*SUMIFS('Sales Orders'!N:N,'Sales Orders'!A:A,B1295),"")</f>
        <v/>
      </c>
      <c r="W1295" s="31" t="str">
        <f t="shared" ca="1" si="64"/>
        <v/>
      </c>
      <c r="Z1295" s="31"/>
    </row>
    <row r="1296" spans="2:26">
      <c r="B1296" s="2"/>
      <c r="C1296" t="str">
        <f>IF(B1296&lt;&gt;"",INDEX('Sales Orders'!C:C,MATCH('Booking Management'!B1296,'Sales Orders'!A:A,0)),"")</f>
        <v/>
      </c>
      <c r="K1296" s="31" t="str">
        <f t="shared" ca="1" si="63"/>
        <v/>
      </c>
      <c r="P1296" t="str">
        <f t="shared" si="62"/>
        <v/>
      </c>
      <c r="Q1296" t="str">
        <f>IFERROR((J1296/SUMIFS('Sales Orders'!D:D,'Sales Orders'!A:A,B1296))*SUMIFS('Sales Orders'!N:N,'Sales Orders'!A:A,B1296),"")</f>
        <v/>
      </c>
      <c r="W1296" s="31" t="str">
        <f t="shared" ca="1" si="64"/>
        <v/>
      </c>
      <c r="Z1296" s="31"/>
    </row>
    <row r="1297" spans="2:26">
      <c r="B1297" s="2"/>
      <c r="C1297" t="str">
        <f>IF(B1297&lt;&gt;"",INDEX('Sales Orders'!C:C,MATCH('Booking Management'!B1297,'Sales Orders'!A:A,0)),"")</f>
        <v/>
      </c>
      <c r="K1297" s="31" t="str">
        <f t="shared" ca="1" si="63"/>
        <v/>
      </c>
      <c r="P1297" t="str">
        <f t="shared" si="62"/>
        <v/>
      </c>
      <c r="Q1297" t="str">
        <f>IFERROR((J1297/SUMIFS('Sales Orders'!D:D,'Sales Orders'!A:A,B1297))*SUMIFS('Sales Orders'!N:N,'Sales Orders'!A:A,B1297),"")</f>
        <v/>
      </c>
      <c r="W1297" s="31" t="str">
        <f t="shared" ca="1" si="64"/>
        <v/>
      </c>
      <c r="Z1297" s="31"/>
    </row>
    <row r="1298" spans="2:26">
      <c r="B1298" s="2"/>
      <c r="C1298" t="str">
        <f>IF(B1298&lt;&gt;"",INDEX('Sales Orders'!C:C,MATCH('Booking Management'!B1298,'Sales Orders'!A:A,0)),"")</f>
        <v/>
      </c>
      <c r="K1298" s="31" t="str">
        <f t="shared" ca="1" si="63"/>
        <v/>
      </c>
      <c r="P1298" t="str">
        <f t="shared" si="62"/>
        <v/>
      </c>
      <c r="Q1298" t="str">
        <f>IFERROR((J1298/SUMIFS('Sales Orders'!D:D,'Sales Orders'!A:A,B1298))*SUMIFS('Sales Orders'!N:N,'Sales Orders'!A:A,B1298),"")</f>
        <v/>
      </c>
      <c r="W1298" s="31" t="str">
        <f t="shared" ca="1" si="64"/>
        <v/>
      </c>
      <c r="Z1298" s="31"/>
    </row>
    <row r="1299" spans="2:26">
      <c r="B1299" s="2"/>
      <c r="C1299" t="str">
        <f>IF(B1299&lt;&gt;"",INDEX('Sales Orders'!C:C,MATCH('Booking Management'!B1299,'Sales Orders'!A:A,0)),"")</f>
        <v/>
      </c>
      <c r="K1299" s="31" t="str">
        <f t="shared" ca="1" si="63"/>
        <v/>
      </c>
      <c r="P1299" t="str">
        <f t="shared" si="62"/>
        <v/>
      </c>
      <c r="Q1299" t="str">
        <f>IFERROR((J1299/SUMIFS('Sales Orders'!D:D,'Sales Orders'!A:A,B1299))*SUMIFS('Sales Orders'!N:N,'Sales Orders'!A:A,B1299),"")</f>
        <v/>
      </c>
      <c r="W1299" s="31" t="str">
        <f t="shared" ca="1" si="64"/>
        <v/>
      </c>
      <c r="Z1299" s="31"/>
    </row>
    <row r="1300" spans="2:26">
      <c r="B1300" s="2"/>
      <c r="C1300" t="str">
        <f>IF(B1300&lt;&gt;"",INDEX('Sales Orders'!C:C,MATCH('Booking Management'!B1300,'Sales Orders'!A:A,0)),"")</f>
        <v/>
      </c>
      <c r="K1300" s="31" t="str">
        <f t="shared" ca="1" si="63"/>
        <v/>
      </c>
      <c r="P1300" t="str">
        <f t="shared" si="62"/>
        <v/>
      </c>
      <c r="Q1300" t="str">
        <f>IFERROR((J1300/SUMIFS('Sales Orders'!D:D,'Sales Orders'!A:A,B1300))*SUMIFS('Sales Orders'!N:N,'Sales Orders'!A:A,B1300),"")</f>
        <v/>
      </c>
      <c r="W1300" s="31" t="str">
        <f t="shared" ca="1" si="64"/>
        <v/>
      </c>
      <c r="Z1300" s="31"/>
    </row>
    <row r="1301" spans="2:26">
      <c r="B1301" s="2"/>
      <c r="C1301" t="str">
        <f>IF(B1301&lt;&gt;"",INDEX('Sales Orders'!C:C,MATCH('Booking Management'!B1301,'Sales Orders'!A:A,0)),"")</f>
        <v/>
      </c>
      <c r="K1301" s="31" t="str">
        <f t="shared" ca="1" si="63"/>
        <v/>
      </c>
      <c r="P1301" t="str">
        <f t="shared" si="62"/>
        <v/>
      </c>
      <c r="Q1301" t="str">
        <f>IFERROR((J1301/SUMIFS('Sales Orders'!D:D,'Sales Orders'!A:A,B1301))*SUMIFS('Sales Orders'!N:N,'Sales Orders'!A:A,B1301),"")</f>
        <v/>
      </c>
      <c r="W1301" s="31" t="str">
        <f t="shared" ca="1" si="64"/>
        <v/>
      </c>
      <c r="Z1301" s="31"/>
    </row>
    <row r="1302" spans="2:26">
      <c r="B1302" s="2"/>
      <c r="C1302" t="str">
        <f>IF(B1302&lt;&gt;"",INDEX('Sales Orders'!C:C,MATCH('Booking Management'!B1302,'Sales Orders'!A:A,0)),"")</f>
        <v/>
      </c>
      <c r="K1302" s="31" t="str">
        <f t="shared" ca="1" si="63"/>
        <v/>
      </c>
      <c r="P1302" t="str">
        <f t="shared" si="62"/>
        <v/>
      </c>
      <c r="Q1302" t="str">
        <f>IFERROR((J1302/SUMIFS('Sales Orders'!D:D,'Sales Orders'!A:A,B1302))*SUMIFS('Sales Orders'!N:N,'Sales Orders'!A:A,B1302),"")</f>
        <v/>
      </c>
      <c r="W1302" s="31" t="str">
        <f t="shared" ca="1" si="64"/>
        <v/>
      </c>
      <c r="Z1302" s="31"/>
    </row>
    <row r="1303" spans="2:26">
      <c r="B1303" s="2"/>
      <c r="C1303" t="str">
        <f>IF(B1303&lt;&gt;"",INDEX('Sales Orders'!C:C,MATCH('Booking Management'!B1303,'Sales Orders'!A:A,0)),"")</f>
        <v/>
      </c>
      <c r="K1303" s="31" t="str">
        <f t="shared" ca="1" si="63"/>
        <v/>
      </c>
      <c r="P1303" t="str">
        <f t="shared" si="62"/>
        <v/>
      </c>
      <c r="Q1303" t="str">
        <f>IFERROR((J1303/SUMIFS('Sales Orders'!D:D,'Sales Orders'!A:A,B1303))*SUMIFS('Sales Orders'!N:N,'Sales Orders'!A:A,B1303),"")</f>
        <v/>
      </c>
      <c r="W1303" s="31" t="str">
        <f t="shared" ca="1" si="64"/>
        <v/>
      </c>
      <c r="Z1303" s="31"/>
    </row>
    <row r="1304" spans="2:26">
      <c r="B1304" s="2"/>
      <c r="C1304" t="str">
        <f>IF(B1304&lt;&gt;"",INDEX('Sales Orders'!C:C,MATCH('Booking Management'!B1304,'Sales Orders'!A:A,0)),"")</f>
        <v/>
      </c>
      <c r="K1304" s="31" t="str">
        <f t="shared" ca="1" si="63"/>
        <v/>
      </c>
      <c r="P1304" t="str">
        <f t="shared" si="62"/>
        <v/>
      </c>
      <c r="Q1304" t="str">
        <f>IFERROR((J1304/SUMIFS('Sales Orders'!D:D,'Sales Orders'!A:A,B1304))*SUMIFS('Sales Orders'!N:N,'Sales Orders'!A:A,B1304),"")</f>
        <v/>
      </c>
      <c r="W1304" s="31" t="str">
        <f t="shared" ca="1" si="64"/>
        <v/>
      </c>
      <c r="Z1304" s="31"/>
    </row>
    <row r="1305" spans="2:26">
      <c r="B1305" s="2"/>
      <c r="C1305" t="str">
        <f>IF(B1305&lt;&gt;"",INDEX('Sales Orders'!C:C,MATCH('Booking Management'!B1305,'Sales Orders'!A:A,0)),"")</f>
        <v/>
      </c>
      <c r="K1305" s="31" t="str">
        <f t="shared" ca="1" si="63"/>
        <v/>
      </c>
      <c r="P1305" t="str">
        <f t="shared" si="62"/>
        <v/>
      </c>
      <c r="Q1305" t="str">
        <f>IFERROR((J1305/SUMIFS('Sales Orders'!D:D,'Sales Orders'!A:A,B1305))*SUMIFS('Sales Orders'!N:N,'Sales Orders'!A:A,B1305),"")</f>
        <v/>
      </c>
      <c r="W1305" s="31" t="str">
        <f t="shared" ca="1" si="64"/>
        <v/>
      </c>
      <c r="Z1305" s="31"/>
    </row>
    <row r="1306" spans="2:26">
      <c r="B1306" s="2"/>
      <c r="C1306" t="str">
        <f>IF(B1306&lt;&gt;"",INDEX('Sales Orders'!C:C,MATCH('Booking Management'!B1306,'Sales Orders'!A:A,0)),"")</f>
        <v/>
      </c>
      <c r="K1306" s="31" t="str">
        <f t="shared" ca="1" si="63"/>
        <v/>
      </c>
      <c r="P1306" t="str">
        <f t="shared" si="62"/>
        <v/>
      </c>
      <c r="Q1306" t="str">
        <f>IFERROR((J1306/SUMIFS('Sales Orders'!D:D,'Sales Orders'!A:A,B1306))*SUMIFS('Sales Orders'!N:N,'Sales Orders'!A:A,B1306),"")</f>
        <v/>
      </c>
      <c r="W1306" s="31" t="str">
        <f t="shared" ca="1" si="64"/>
        <v/>
      </c>
      <c r="Z1306" s="31"/>
    </row>
    <row r="1307" spans="2:26">
      <c r="B1307" s="2"/>
      <c r="C1307" t="str">
        <f>IF(B1307&lt;&gt;"",INDEX('Sales Orders'!C:C,MATCH('Booking Management'!B1307,'Sales Orders'!A:A,0)),"")</f>
        <v/>
      </c>
      <c r="K1307" s="31" t="str">
        <f t="shared" ca="1" si="63"/>
        <v/>
      </c>
      <c r="P1307" t="str">
        <f t="shared" si="62"/>
        <v/>
      </c>
      <c r="Q1307" t="str">
        <f>IFERROR((J1307/SUMIFS('Sales Orders'!D:D,'Sales Orders'!A:A,B1307))*SUMIFS('Sales Orders'!N:N,'Sales Orders'!A:A,B1307),"")</f>
        <v/>
      </c>
      <c r="W1307" s="31" t="str">
        <f t="shared" ca="1" si="64"/>
        <v/>
      </c>
      <c r="Z1307" s="31"/>
    </row>
    <row r="1308" spans="2:26">
      <c r="B1308" s="2"/>
      <c r="C1308" t="str">
        <f>IF(B1308&lt;&gt;"",INDEX('Sales Orders'!C:C,MATCH('Booking Management'!B1308,'Sales Orders'!A:A,0)),"")</f>
        <v/>
      </c>
      <c r="K1308" s="31" t="str">
        <f t="shared" ca="1" si="63"/>
        <v/>
      </c>
      <c r="P1308" t="str">
        <f t="shared" si="62"/>
        <v/>
      </c>
      <c r="Q1308" t="str">
        <f>IFERROR((J1308/SUMIFS('Sales Orders'!D:D,'Sales Orders'!A:A,B1308))*SUMIFS('Sales Orders'!N:N,'Sales Orders'!A:A,B1308),"")</f>
        <v/>
      </c>
      <c r="W1308" s="31" t="str">
        <f t="shared" ca="1" si="64"/>
        <v/>
      </c>
      <c r="Z1308" s="31"/>
    </row>
    <row r="1309" spans="2:26">
      <c r="B1309" s="2"/>
      <c r="C1309" t="str">
        <f>IF(B1309&lt;&gt;"",INDEX('Sales Orders'!C:C,MATCH('Booking Management'!B1309,'Sales Orders'!A:A,0)),"")</f>
        <v/>
      </c>
      <c r="K1309" s="31" t="str">
        <f t="shared" ca="1" si="63"/>
        <v/>
      </c>
      <c r="P1309" t="str">
        <f t="shared" si="62"/>
        <v/>
      </c>
      <c r="Q1309" t="str">
        <f>IFERROR((J1309/SUMIFS('Sales Orders'!D:D,'Sales Orders'!A:A,B1309))*SUMIFS('Sales Orders'!N:N,'Sales Orders'!A:A,B1309),"")</f>
        <v/>
      </c>
      <c r="W1309" s="31" t="str">
        <f t="shared" ca="1" si="64"/>
        <v/>
      </c>
      <c r="Z1309" s="31"/>
    </row>
    <row r="1310" spans="2:26">
      <c r="B1310" s="2"/>
      <c r="C1310" t="str">
        <f>IF(B1310&lt;&gt;"",INDEX('Sales Orders'!C:C,MATCH('Booking Management'!B1310,'Sales Orders'!A:A,0)),"")</f>
        <v/>
      </c>
      <c r="K1310" s="31" t="str">
        <f t="shared" ca="1" si="63"/>
        <v/>
      </c>
      <c r="P1310" t="str">
        <f t="shared" si="62"/>
        <v/>
      </c>
      <c r="Q1310" t="str">
        <f>IFERROR((J1310/SUMIFS('Sales Orders'!D:D,'Sales Orders'!A:A,B1310))*SUMIFS('Sales Orders'!N:N,'Sales Orders'!A:A,B1310),"")</f>
        <v/>
      </c>
      <c r="W1310" s="31" t="str">
        <f t="shared" ca="1" si="64"/>
        <v/>
      </c>
      <c r="Z1310" s="31"/>
    </row>
    <row r="1311" spans="2:26">
      <c r="B1311" s="2"/>
      <c r="C1311" t="str">
        <f>IF(B1311&lt;&gt;"",INDEX('Sales Orders'!C:C,MATCH('Booking Management'!B1311,'Sales Orders'!A:A,0)),"")</f>
        <v/>
      </c>
      <c r="K1311" s="31" t="str">
        <f t="shared" ca="1" si="63"/>
        <v/>
      </c>
      <c r="P1311" t="str">
        <f t="shared" si="62"/>
        <v/>
      </c>
      <c r="Q1311" t="str">
        <f>IFERROR((J1311/SUMIFS('Sales Orders'!D:D,'Sales Orders'!A:A,B1311))*SUMIFS('Sales Orders'!N:N,'Sales Orders'!A:A,B1311),"")</f>
        <v/>
      </c>
      <c r="W1311" s="31" t="str">
        <f t="shared" ca="1" si="64"/>
        <v/>
      </c>
      <c r="Z1311" s="31"/>
    </row>
    <row r="1312" spans="2:26">
      <c r="B1312" s="2"/>
      <c r="C1312" t="str">
        <f>IF(B1312&lt;&gt;"",INDEX('Sales Orders'!C:C,MATCH('Booking Management'!B1312,'Sales Orders'!A:A,0)),"")</f>
        <v/>
      </c>
      <c r="K1312" s="31" t="str">
        <f t="shared" ca="1" si="63"/>
        <v/>
      </c>
      <c r="P1312" t="str">
        <f t="shared" si="62"/>
        <v/>
      </c>
      <c r="Q1312" t="str">
        <f>IFERROR((J1312/SUMIFS('Sales Orders'!D:D,'Sales Orders'!A:A,B1312))*SUMIFS('Sales Orders'!N:N,'Sales Orders'!A:A,B1312),"")</f>
        <v/>
      </c>
      <c r="W1312" s="31" t="str">
        <f t="shared" ca="1" si="64"/>
        <v/>
      </c>
      <c r="Z1312" s="31"/>
    </row>
    <row r="1313" spans="2:26">
      <c r="B1313" s="2"/>
      <c r="C1313" t="str">
        <f>IF(B1313&lt;&gt;"",INDEX('Sales Orders'!C:C,MATCH('Booking Management'!B1313,'Sales Orders'!A:A,0)),"")</f>
        <v/>
      </c>
      <c r="K1313" s="31" t="str">
        <f t="shared" ca="1" si="63"/>
        <v/>
      </c>
      <c r="P1313" t="str">
        <f t="shared" ref="P1313:P1376" si="65">IF(B1313&lt;&gt;"",T1313-L1313,"")</f>
        <v/>
      </c>
      <c r="Q1313" t="str">
        <f>IFERROR((J1313/SUMIFS('Sales Orders'!D:D,'Sales Orders'!A:A,B1313))*SUMIFS('Sales Orders'!N:N,'Sales Orders'!A:A,B1313),"")</f>
        <v/>
      </c>
      <c r="W1313" s="31" t="str">
        <f t="shared" ca="1" si="64"/>
        <v/>
      </c>
      <c r="Z1313" s="31"/>
    </row>
    <row r="1314" spans="2:26">
      <c r="B1314" s="2"/>
      <c r="C1314" t="str">
        <f>IF(B1314&lt;&gt;"",INDEX('Sales Orders'!C:C,MATCH('Booking Management'!B1314,'Sales Orders'!A:A,0)),"")</f>
        <v/>
      </c>
      <c r="K1314" s="31" t="str">
        <f t="shared" ca="1" si="63"/>
        <v/>
      </c>
      <c r="P1314" t="str">
        <f t="shared" si="65"/>
        <v/>
      </c>
      <c r="Q1314" t="str">
        <f>IFERROR((J1314/SUMIFS('Sales Orders'!D:D,'Sales Orders'!A:A,B1314))*SUMIFS('Sales Orders'!N:N,'Sales Orders'!A:A,B1314),"")</f>
        <v/>
      </c>
      <c r="W1314" s="31" t="str">
        <f t="shared" ca="1" si="64"/>
        <v/>
      </c>
      <c r="Z1314" s="31"/>
    </row>
    <row r="1315" spans="2:26">
      <c r="B1315" s="2"/>
      <c r="C1315" t="str">
        <f>IF(B1315&lt;&gt;"",INDEX('Sales Orders'!C:C,MATCH('Booking Management'!B1315,'Sales Orders'!A:A,0)),"")</f>
        <v/>
      </c>
      <c r="K1315" s="31" t="str">
        <f t="shared" ca="1" si="63"/>
        <v/>
      </c>
      <c r="P1315" t="str">
        <f t="shared" si="65"/>
        <v/>
      </c>
      <c r="Q1315" t="str">
        <f>IFERROR((J1315/SUMIFS('Sales Orders'!D:D,'Sales Orders'!A:A,B1315))*SUMIFS('Sales Orders'!N:N,'Sales Orders'!A:A,B1315),"")</f>
        <v/>
      </c>
      <c r="W1315" s="31" t="str">
        <f t="shared" ca="1" si="64"/>
        <v/>
      </c>
      <c r="Z1315" s="31"/>
    </row>
    <row r="1316" spans="2:26">
      <c r="B1316" s="2"/>
      <c r="C1316" t="str">
        <f>IF(B1316&lt;&gt;"",INDEX('Sales Orders'!C:C,MATCH('Booking Management'!B1316,'Sales Orders'!A:A,0)),"")</f>
        <v/>
      </c>
      <c r="K1316" s="31" t="str">
        <f t="shared" ca="1" si="63"/>
        <v/>
      </c>
      <c r="P1316" t="str">
        <f t="shared" si="65"/>
        <v/>
      </c>
      <c r="Q1316" t="str">
        <f>IFERROR((J1316/SUMIFS('Sales Orders'!D:D,'Sales Orders'!A:A,B1316))*SUMIFS('Sales Orders'!N:N,'Sales Orders'!A:A,B1316),"")</f>
        <v/>
      </c>
      <c r="W1316" s="31" t="str">
        <f t="shared" ca="1" si="64"/>
        <v/>
      </c>
      <c r="Z1316" s="31"/>
    </row>
    <row r="1317" spans="2:26">
      <c r="B1317" s="2"/>
      <c r="C1317" t="str">
        <f>IF(B1317&lt;&gt;"",INDEX('Sales Orders'!C:C,MATCH('Booking Management'!B1317,'Sales Orders'!A:A,0)),"")</f>
        <v/>
      </c>
      <c r="K1317" s="31" t="str">
        <f t="shared" ca="1" si="63"/>
        <v/>
      </c>
      <c r="P1317" t="str">
        <f t="shared" si="65"/>
        <v/>
      </c>
      <c r="Q1317" t="str">
        <f>IFERROR((J1317/SUMIFS('Sales Orders'!D:D,'Sales Orders'!A:A,B1317))*SUMIFS('Sales Orders'!N:N,'Sales Orders'!A:A,B1317),"")</f>
        <v/>
      </c>
      <c r="W1317" s="31" t="str">
        <f t="shared" ca="1" si="64"/>
        <v/>
      </c>
      <c r="Z1317" s="31"/>
    </row>
    <row r="1318" spans="2:26">
      <c r="B1318" s="2"/>
      <c r="C1318" t="str">
        <f>IF(B1318&lt;&gt;"",INDEX('Sales Orders'!C:C,MATCH('Booking Management'!B1318,'Sales Orders'!A:A,0)),"")</f>
        <v/>
      </c>
      <c r="K1318" s="31" t="str">
        <f t="shared" ca="1" si="63"/>
        <v/>
      </c>
      <c r="P1318" t="str">
        <f t="shared" si="65"/>
        <v/>
      </c>
      <c r="Q1318" t="str">
        <f>IFERROR((J1318/SUMIFS('Sales Orders'!D:D,'Sales Orders'!A:A,B1318))*SUMIFS('Sales Orders'!N:N,'Sales Orders'!A:A,B1318),"")</f>
        <v/>
      </c>
      <c r="W1318" s="31" t="str">
        <f t="shared" ca="1" si="64"/>
        <v/>
      </c>
      <c r="Z1318" s="31"/>
    </row>
    <row r="1319" spans="2:26">
      <c r="B1319" s="2"/>
      <c r="C1319" t="str">
        <f>IF(B1319&lt;&gt;"",INDEX('Sales Orders'!C:C,MATCH('Booking Management'!B1319,'Sales Orders'!A:A,0)),"")</f>
        <v/>
      </c>
      <c r="K1319" s="31" t="str">
        <f t="shared" ca="1" si="63"/>
        <v/>
      </c>
      <c r="P1319" t="str">
        <f t="shared" si="65"/>
        <v/>
      </c>
      <c r="Q1319" t="str">
        <f>IFERROR((J1319/SUMIFS('Sales Orders'!D:D,'Sales Orders'!A:A,B1319))*SUMIFS('Sales Orders'!N:N,'Sales Orders'!A:A,B1319),"")</f>
        <v/>
      </c>
      <c r="W1319" s="31" t="str">
        <f t="shared" ca="1" si="64"/>
        <v/>
      </c>
      <c r="Z1319" s="31"/>
    </row>
    <row r="1320" spans="2:26">
      <c r="B1320" s="2"/>
      <c r="C1320" t="str">
        <f>IF(B1320&lt;&gt;"",INDEX('Sales Orders'!C:C,MATCH('Booking Management'!B1320,'Sales Orders'!A:A,0)),"")</f>
        <v/>
      </c>
      <c r="K1320" s="31" t="str">
        <f t="shared" ca="1" si="63"/>
        <v/>
      </c>
      <c r="P1320" t="str">
        <f t="shared" si="65"/>
        <v/>
      </c>
      <c r="Q1320" t="str">
        <f>IFERROR((J1320/SUMIFS('Sales Orders'!D:D,'Sales Orders'!A:A,B1320))*SUMIFS('Sales Orders'!N:N,'Sales Orders'!A:A,B1320),"")</f>
        <v/>
      </c>
      <c r="W1320" s="31" t="str">
        <f t="shared" ca="1" si="64"/>
        <v/>
      </c>
      <c r="Z1320" s="31"/>
    </row>
    <row r="1321" spans="2:26">
      <c r="B1321" s="2"/>
      <c r="C1321" t="str">
        <f>IF(B1321&lt;&gt;"",INDEX('Sales Orders'!C:C,MATCH('Booking Management'!B1321,'Sales Orders'!A:A,0)),"")</f>
        <v/>
      </c>
      <c r="K1321" s="31" t="str">
        <f t="shared" ca="1" si="63"/>
        <v/>
      </c>
      <c r="P1321" t="str">
        <f t="shared" si="65"/>
        <v/>
      </c>
      <c r="Q1321" t="str">
        <f>IFERROR((J1321/SUMIFS('Sales Orders'!D:D,'Sales Orders'!A:A,B1321))*SUMIFS('Sales Orders'!N:N,'Sales Orders'!A:A,B1321),"")</f>
        <v/>
      </c>
      <c r="W1321" s="31" t="str">
        <f t="shared" ca="1" si="64"/>
        <v/>
      </c>
      <c r="Z1321" s="31"/>
    </row>
    <row r="1322" spans="2:26">
      <c r="B1322" s="2"/>
      <c r="C1322" t="str">
        <f>IF(B1322&lt;&gt;"",INDEX('Sales Orders'!C:C,MATCH('Booking Management'!B1322,'Sales Orders'!A:A,0)),"")</f>
        <v/>
      </c>
      <c r="K1322" s="31" t="str">
        <f t="shared" ca="1" si="63"/>
        <v/>
      </c>
      <c r="P1322" t="str">
        <f t="shared" si="65"/>
        <v/>
      </c>
      <c r="Q1322" t="str">
        <f>IFERROR((J1322/SUMIFS('Sales Orders'!D:D,'Sales Orders'!A:A,B1322))*SUMIFS('Sales Orders'!N:N,'Sales Orders'!A:A,B1322),"")</f>
        <v/>
      </c>
      <c r="W1322" s="31" t="str">
        <f t="shared" ca="1" si="64"/>
        <v/>
      </c>
      <c r="Z1322" s="31"/>
    </row>
    <row r="1323" spans="2:26">
      <c r="B1323" s="2"/>
      <c r="C1323" t="str">
        <f>IF(B1323&lt;&gt;"",INDEX('Sales Orders'!C:C,MATCH('Booking Management'!B1323,'Sales Orders'!A:A,0)),"")</f>
        <v/>
      </c>
      <c r="K1323" s="31" t="str">
        <f t="shared" ca="1" si="63"/>
        <v/>
      </c>
      <c r="P1323" t="str">
        <f t="shared" si="65"/>
        <v/>
      </c>
      <c r="Q1323" t="str">
        <f>IFERROR((J1323/SUMIFS('Sales Orders'!D:D,'Sales Orders'!A:A,B1323))*SUMIFS('Sales Orders'!N:N,'Sales Orders'!A:A,B1323),"")</f>
        <v/>
      </c>
      <c r="W1323" s="31" t="str">
        <f t="shared" ca="1" si="64"/>
        <v/>
      </c>
      <c r="Z1323" s="31"/>
    </row>
    <row r="1324" spans="2:26">
      <c r="B1324" s="2"/>
      <c r="C1324" t="str">
        <f>IF(B1324&lt;&gt;"",INDEX('Sales Orders'!C:C,MATCH('Booking Management'!B1324,'Sales Orders'!A:A,0)),"")</f>
        <v/>
      </c>
      <c r="K1324" s="31" t="str">
        <f t="shared" ca="1" si="63"/>
        <v/>
      </c>
      <c r="P1324" t="str">
        <f t="shared" si="65"/>
        <v/>
      </c>
      <c r="Q1324" t="str">
        <f>IFERROR((J1324/SUMIFS('Sales Orders'!D:D,'Sales Orders'!A:A,B1324))*SUMIFS('Sales Orders'!N:N,'Sales Orders'!A:A,B1324),"")</f>
        <v/>
      </c>
      <c r="W1324" s="31" t="str">
        <f t="shared" ca="1" si="64"/>
        <v/>
      </c>
      <c r="Z1324" s="31"/>
    </row>
    <row r="1325" spans="2:26">
      <c r="B1325" s="2"/>
      <c r="C1325" t="str">
        <f>IF(B1325&lt;&gt;"",INDEX('Sales Orders'!C:C,MATCH('Booking Management'!B1325,'Sales Orders'!A:A,0)),"")</f>
        <v/>
      </c>
      <c r="K1325" s="31" t="str">
        <f t="shared" ca="1" si="63"/>
        <v/>
      </c>
      <c r="P1325" t="str">
        <f t="shared" si="65"/>
        <v/>
      </c>
      <c r="Q1325" t="str">
        <f>IFERROR((J1325/SUMIFS('Sales Orders'!D:D,'Sales Orders'!A:A,B1325))*SUMIFS('Sales Orders'!N:N,'Sales Orders'!A:A,B1325),"")</f>
        <v/>
      </c>
      <c r="W1325" s="31" t="str">
        <f t="shared" ca="1" si="64"/>
        <v/>
      </c>
      <c r="Z1325" s="31"/>
    </row>
    <row r="1326" spans="2:26">
      <c r="B1326" s="2"/>
      <c r="C1326" t="str">
        <f>IF(B1326&lt;&gt;"",INDEX('Sales Orders'!C:C,MATCH('Booking Management'!B1326,'Sales Orders'!A:A,0)),"")</f>
        <v/>
      </c>
      <c r="K1326" s="31" t="str">
        <f t="shared" ca="1" si="63"/>
        <v/>
      </c>
      <c r="P1326" t="str">
        <f t="shared" si="65"/>
        <v/>
      </c>
      <c r="Q1326" t="str">
        <f>IFERROR((J1326/SUMIFS('Sales Orders'!D:D,'Sales Orders'!A:A,B1326))*SUMIFS('Sales Orders'!N:N,'Sales Orders'!A:A,B1326),"")</f>
        <v/>
      </c>
      <c r="W1326" s="31" t="str">
        <f t="shared" ca="1" si="64"/>
        <v/>
      </c>
      <c r="Z1326" s="31"/>
    </row>
    <row r="1327" spans="2:26">
      <c r="B1327" s="2"/>
      <c r="C1327" t="str">
        <f>IF(B1327&lt;&gt;"",INDEX('Sales Orders'!C:C,MATCH('Booking Management'!B1327,'Sales Orders'!A:A,0)),"")</f>
        <v/>
      </c>
      <c r="K1327" s="31" t="str">
        <f t="shared" ca="1" si="63"/>
        <v/>
      </c>
      <c r="P1327" t="str">
        <f t="shared" si="65"/>
        <v/>
      </c>
      <c r="Q1327" t="str">
        <f>IFERROR((J1327/SUMIFS('Sales Orders'!D:D,'Sales Orders'!A:A,B1327))*SUMIFS('Sales Orders'!N:N,'Sales Orders'!A:A,B1327),"")</f>
        <v/>
      </c>
      <c r="W1327" s="31" t="str">
        <f t="shared" ca="1" si="64"/>
        <v/>
      </c>
      <c r="Z1327" s="31"/>
    </row>
    <row r="1328" spans="2:26">
      <c r="B1328" s="2"/>
      <c r="C1328" t="str">
        <f>IF(B1328&lt;&gt;"",INDEX('Sales Orders'!C:C,MATCH('Booking Management'!B1328,'Sales Orders'!A:A,0)),"")</f>
        <v/>
      </c>
      <c r="K1328" s="31" t="str">
        <f t="shared" ca="1" si="63"/>
        <v/>
      </c>
      <c r="P1328" t="str">
        <f t="shared" si="65"/>
        <v/>
      </c>
      <c r="Q1328" t="str">
        <f>IFERROR((J1328/SUMIFS('Sales Orders'!D:D,'Sales Orders'!A:A,B1328))*SUMIFS('Sales Orders'!N:N,'Sales Orders'!A:A,B1328),"")</f>
        <v/>
      </c>
      <c r="W1328" s="31" t="str">
        <f t="shared" ca="1" si="64"/>
        <v/>
      </c>
      <c r="Z1328" s="31"/>
    </row>
    <row r="1329" spans="2:26">
      <c r="B1329" s="2"/>
      <c r="C1329" t="str">
        <f>IF(B1329&lt;&gt;"",INDEX('Sales Orders'!C:C,MATCH('Booking Management'!B1329,'Sales Orders'!A:A,0)),"")</f>
        <v/>
      </c>
      <c r="K1329" s="31" t="str">
        <f t="shared" ca="1" si="63"/>
        <v/>
      </c>
      <c r="P1329" t="str">
        <f t="shared" si="65"/>
        <v/>
      </c>
      <c r="Q1329" t="str">
        <f>IFERROR((J1329/SUMIFS('Sales Orders'!D:D,'Sales Orders'!A:A,B1329))*SUMIFS('Sales Orders'!N:N,'Sales Orders'!A:A,B1329),"")</f>
        <v/>
      </c>
      <c r="W1329" s="31" t="str">
        <f t="shared" ca="1" si="64"/>
        <v/>
      </c>
      <c r="Z1329" s="31"/>
    </row>
    <row r="1330" spans="2:26">
      <c r="B1330" s="2"/>
      <c r="C1330" t="str">
        <f>IF(B1330&lt;&gt;"",INDEX('Sales Orders'!C:C,MATCH('Booking Management'!B1330,'Sales Orders'!A:A,0)),"")</f>
        <v/>
      </c>
      <c r="K1330" s="31" t="str">
        <f t="shared" ca="1" si="63"/>
        <v/>
      </c>
      <c r="P1330" t="str">
        <f t="shared" si="65"/>
        <v/>
      </c>
      <c r="Q1330" t="str">
        <f>IFERROR((J1330/SUMIFS('Sales Orders'!D:D,'Sales Orders'!A:A,B1330))*SUMIFS('Sales Orders'!N:N,'Sales Orders'!A:A,B1330),"")</f>
        <v/>
      </c>
      <c r="W1330" s="31" t="str">
        <f t="shared" ca="1" si="64"/>
        <v/>
      </c>
      <c r="Z1330" s="31"/>
    </row>
    <row r="1331" spans="2:26">
      <c r="B1331" s="2"/>
      <c r="C1331" t="str">
        <f>IF(B1331&lt;&gt;"",INDEX('Sales Orders'!C:C,MATCH('Booking Management'!B1331,'Sales Orders'!A:A,0)),"")</f>
        <v/>
      </c>
      <c r="K1331" s="31" t="str">
        <f t="shared" ca="1" si="63"/>
        <v/>
      </c>
      <c r="P1331" t="str">
        <f t="shared" si="65"/>
        <v/>
      </c>
      <c r="Q1331" t="str">
        <f>IFERROR((J1331/SUMIFS('Sales Orders'!D:D,'Sales Orders'!A:A,B1331))*SUMIFS('Sales Orders'!N:N,'Sales Orders'!A:A,B1331),"")</f>
        <v/>
      </c>
      <c r="W1331" s="31" t="str">
        <f t="shared" ca="1" si="64"/>
        <v/>
      </c>
      <c r="Z1331" s="31"/>
    </row>
    <row r="1332" spans="2:26">
      <c r="B1332" s="2"/>
      <c r="C1332" t="str">
        <f>IF(B1332&lt;&gt;"",INDEX('Sales Orders'!C:C,MATCH('Booking Management'!B1332,'Sales Orders'!A:A,0)),"")</f>
        <v/>
      </c>
      <c r="K1332" s="31" t="str">
        <f t="shared" ca="1" si="63"/>
        <v/>
      </c>
      <c r="P1332" t="str">
        <f t="shared" si="65"/>
        <v/>
      </c>
      <c r="Q1332" t="str">
        <f>IFERROR((J1332/SUMIFS('Sales Orders'!D:D,'Sales Orders'!A:A,B1332))*SUMIFS('Sales Orders'!N:N,'Sales Orders'!A:A,B1332),"")</f>
        <v/>
      </c>
      <c r="W1332" s="31" t="str">
        <f t="shared" ca="1" si="64"/>
        <v/>
      </c>
      <c r="Z1332" s="31"/>
    </row>
    <row r="1333" spans="2:26">
      <c r="B1333" s="2"/>
      <c r="C1333" t="str">
        <f>IF(B1333&lt;&gt;"",INDEX('Sales Orders'!C:C,MATCH('Booking Management'!B1333,'Sales Orders'!A:A,0)),"")</f>
        <v/>
      </c>
      <c r="K1333" s="31" t="str">
        <f t="shared" ca="1" si="63"/>
        <v/>
      </c>
      <c r="P1333" t="str">
        <f t="shared" si="65"/>
        <v/>
      </c>
      <c r="Q1333" t="str">
        <f>IFERROR((J1333/SUMIFS('Sales Orders'!D:D,'Sales Orders'!A:A,B1333))*SUMIFS('Sales Orders'!N:N,'Sales Orders'!A:A,B1333),"")</f>
        <v/>
      </c>
      <c r="W1333" s="31" t="str">
        <f t="shared" ca="1" si="64"/>
        <v/>
      </c>
      <c r="Z1333" s="31"/>
    </row>
    <row r="1334" spans="2:26">
      <c r="B1334" s="2"/>
      <c r="C1334" t="str">
        <f>IF(B1334&lt;&gt;"",INDEX('Sales Orders'!C:C,MATCH('Booking Management'!B1334,'Sales Orders'!A:A,0)),"")</f>
        <v/>
      </c>
      <c r="K1334" s="31" t="str">
        <f t="shared" ca="1" si="63"/>
        <v/>
      </c>
      <c r="P1334" t="str">
        <f t="shared" si="65"/>
        <v/>
      </c>
      <c r="Q1334" t="str">
        <f>IFERROR((J1334/SUMIFS('Sales Orders'!D:D,'Sales Orders'!A:A,B1334))*SUMIFS('Sales Orders'!N:N,'Sales Orders'!A:A,B1334),"")</f>
        <v/>
      </c>
      <c r="W1334" s="31" t="str">
        <f t="shared" ca="1" si="64"/>
        <v/>
      </c>
      <c r="Z1334" s="31"/>
    </row>
    <row r="1335" spans="2:26">
      <c r="B1335" s="2"/>
      <c r="C1335" t="str">
        <f>IF(B1335&lt;&gt;"",INDEX('Sales Orders'!C:C,MATCH('Booking Management'!B1335,'Sales Orders'!A:A,0)),"")</f>
        <v/>
      </c>
      <c r="K1335" s="31" t="str">
        <f t="shared" ca="1" si="63"/>
        <v/>
      </c>
      <c r="P1335" t="str">
        <f t="shared" si="65"/>
        <v/>
      </c>
      <c r="Q1335" t="str">
        <f>IFERROR((J1335/SUMIFS('Sales Orders'!D:D,'Sales Orders'!A:A,B1335))*SUMIFS('Sales Orders'!N:N,'Sales Orders'!A:A,B1335),"")</f>
        <v/>
      </c>
      <c r="W1335" s="31" t="str">
        <f t="shared" ca="1" si="64"/>
        <v/>
      </c>
      <c r="Z1335" s="31"/>
    </row>
    <row r="1336" spans="2:26">
      <c r="B1336" s="2"/>
      <c r="C1336" t="str">
        <f>IF(B1336&lt;&gt;"",INDEX('Sales Orders'!C:C,MATCH('Booking Management'!B1336,'Sales Orders'!A:A,0)),"")</f>
        <v/>
      </c>
      <c r="K1336" s="31" t="str">
        <f t="shared" ca="1" si="63"/>
        <v/>
      </c>
      <c r="P1336" t="str">
        <f t="shared" si="65"/>
        <v/>
      </c>
      <c r="Q1336" t="str">
        <f>IFERROR((J1336/SUMIFS('Sales Orders'!D:D,'Sales Orders'!A:A,B1336))*SUMIFS('Sales Orders'!N:N,'Sales Orders'!A:A,B1336),"")</f>
        <v/>
      </c>
      <c r="W1336" s="31" t="str">
        <f t="shared" ca="1" si="64"/>
        <v/>
      </c>
      <c r="Z1336" s="31"/>
    </row>
    <row r="1337" spans="2:26">
      <c r="B1337" s="2"/>
      <c r="C1337" t="str">
        <f>IF(B1337&lt;&gt;"",INDEX('Sales Orders'!C:C,MATCH('Booking Management'!B1337,'Sales Orders'!A:A,0)),"")</f>
        <v/>
      </c>
      <c r="K1337" s="31" t="str">
        <f t="shared" ca="1" si="63"/>
        <v/>
      </c>
      <c r="P1337" t="str">
        <f t="shared" si="65"/>
        <v/>
      </c>
      <c r="Q1337" t="str">
        <f>IFERROR((J1337/SUMIFS('Sales Orders'!D:D,'Sales Orders'!A:A,B1337))*SUMIFS('Sales Orders'!N:N,'Sales Orders'!A:A,B1337),"")</f>
        <v/>
      </c>
      <c r="W1337" s="31" t="str">
        <f t="shared" ca="1" si="64"/>
        <v/>
      </c>
      <c r="Z1337" s="31"/>
    </row>
    <row r="1338" spans="2:26">
      <c r="B1338" s="2"/>
      <c r="C1338" t="str">
        <f>IF(B1338&lt;&gt;"",INDEX('Sales Orders'!C:C,MATCH('Booking Management'!B1338,'Sales Orders'!A:A,0)),"")</f>
        <v/>
      </c>
      <c r="K1338" s="31" t="str">
        <f t="shared" ca="1" si="63"/>
        <v/>
      </c>
      <c r="P1338" t="str">
        <f t="shared" si="65"/>
        <v/>
      </c>
      <c r="Q1338" t="str">
        <f>IFERROR((J1338/SUMIFS('Sales Orders'!D:D,'Sales Orders'!A:A,B1338))*SUMIFS('Sales Orders'!N:N,'Sales Orders'!A:A,B1338),"")</f>
        <v/>
      </c>
      <c r="W1338" s="31" t="str">
        <f t="shared" ca="1" si="64"/>
        <v/>
      </c>
      <c r="Z1338" s="31"/>
    </row>
    <row r="1339" spans="2:26">
      <c r="B1339" s="2"/>
      <c r="C1339" t="str">
        <f>IF(B1339&lt;&gt;"",INDEX('Sales Orders'!C:C,MATCH('Booking Management'!B1339,'Sales Orders'!A:A,0)),"")</f>
        <v/>
      </c>
      <c r="K1339" s="31" t="str">
        <f t="shared" ca="1" si="63"/>
        <v/>
      </c>
      <c r="P1339" t="str">
        <f t="shared" si="65"/>
        <v/>
      </c>
      <c r="Q1339" t="str">
        <f>IFERROR((J1339/SUMIFS('Sales Orders'!D:D,'Sales Orders'!A:A,B1339))*SUMIFS('Sales Orders'!N:N,'Sales Orders'!A:A,B1339),"")</f>
        <v/>
      </c>
      <c r="W1339" s="31" t="str">
        <f t="shared" ca="1" si="64"/>
        <v/>
      </c>
      <c r="Z1339" s="31"/>
    </row>
    <row r="1340" spans="2:26">
      <c r="B1340" s="2"/>
      <c r="C1340" t="str">
        <f>IF(B1340&lt;&gt;"",INDEX('Sales Orders'!C:C,MATCH('Booking Management'!B1340,'Sales Orders'!A:A,0)),"")</f>
        <v/>
      </c>
      <c r="K1340" s="31" t="str">
        <f t="shared" ca="1" si="63"/>
        <v/>
      </c>
      <c r="P1340" t="str">
        <f t="shared" si="65"/>
        <v/>
      </c>
      <c r="Q1340" t="str">
        <f>IFERROR((J1340/SUMIFS('Sales Orders'!D:D,'Sales Orders'!A:A,B1340))*SUMIFS('Sales Orders'!N:N,'Sales Orders'!A:A,B1340),"")</f>
        <v/>
      </c>
      <c r="W1340" s="31" t="str">
        <f t="shared" ca="1" si="64"/>
        <v/>
      </c>
      <c r="Z1340" s="31"/>
    </row>
    <row r="1341" spans="2:26">
      <c r="B1341" s="2"/>
      <c r="C1341" t="str">
        <f>IF(B1341&lt;&gt;"",INDEX('Sales Orders'!C:C,MATCH('Booking Management'!B1341,'Sales Orders'!A:A,0)),"")</f>
        <v/>
      </c>
      <c r="K1341" s="31" t="str">
        <f t="shared" ca="1" si="63"/>
        <v/>
      </c>
      <c r="P1341" t="str">
        <f t="shared" si="65"/>
        <v/>
      </c>
      <c r="Q1341" t="str">
        <f>IFERROR((J1341/SUMIFS('Sales Orders'!D:D,'Sales Orders'!A:A,B1341))*SUMIFS('Sales Orders'!N:N,'Sales Orders'!A:A,B1341),"")</f>
        <v/>
      </c>
      <c r="W1341" s="31" t="str">
        <f t="shared" ca="1" si="64"/>
        <v/>
      </c>
      <c r="Z1341" s="31"/>
    </row>
    <row r="1342" spans="2:26">
      <c r="B1342" s="2"/>
      <c r="C1342" t="str">
        <f>IF(B1342&lt;&gt;"",INDEX('Sales Orders'!C:C,MATCH('Booking Management'!B1342,'Sales Orders'!A:A,0)),"")</f>
        <v/>
      </c>
      <c r="K1342" s="31" t="str">
        <f t="shared" ca="1" si="63"/>
        <v/>
      </c>
      <c r="P1342" t="str">
        <f t="shared" si="65"/>
        <v/>
      </c>
      <c r="Q1342" t="str">
        <f>IFERROR((J1342/SUMIFS('Sales Orders'!D:D,'Sales Orders'!A:A,B1342))*SUMIFS('Sales Orders'!N:N,'Sales Orders'!A:A,B1342),"")</f>
        <v/>
      </c>
      <c r="W1342" s="31" t="str">
        <f t="shared" ca="1" si="64"/>
        <v/>
      </c>
      <c r="Z1342" s="31"/>
    </row>
    <row r="1343" spans="2:26">
      <c r="B1343" s="2"/>
      <c r="C1343" t="str">
        <f>IF(B1343&lt;&gt;"",INDEX('Sales Orders'!C:C,MATCH('Booking Management'!B1343,'Sales Orders'!A:A,0)),"")</f>
        <v/>
      </c>
      <c r="K1343" s="31" t="str">
        <f t="shared" ca="1" si="63"/>
        <v/>
      </c>
      <c r="P1343" t="str">
        <f t="shared" si="65"/>
        <v/>
      </c>
      <c r="Q1343" t="str">
        <f>IFERROR((J1343/SUMIFS('Sales Orders'!D:D,'Sales Orders'!A:A,B1343))*SUMIFS('Sales Orders'!N:N,'Sales Orders'!A:A,B1343),"")</f>
        <v/>
      </c>
      <c r="W1343" s="31" t="str">
        <f t="shared" ca="1" si="64"/>
        <v/>
      </c>
      <c r="Z1343" s="31"/>
    </row>
    <row r="1344" spans="2:26">
      <c r="B1344" s="2"/>
      <c r="C1344" t="str">
        <f>IF(B1344&lt;&gt;"",INDEX('Sales Orders'!C:C,MATCH('Booking Management'!B1344,'Sales Orders'!A:A,0)),"")</f>
        <v/>
      </c>
      <c r="K1344" s="31" t="str">
        <f t="shared" ca="1" si="63"/>
        <v/>
      </c>
      <c r="P1344" t="str">
        <f t="shared" si="65"/>
        <v/>
      </c>
      <c r="Q1344" t="str">
        <f>IFERROR((J1344/SUMIFS('Sales Orders'!D:D,'Sales Orders'!A:A,B1344))*SUMIFS('Sales Orders'!N:N,'Sales Orders'!A:A,B1344),"")</f>
        <v/>
      </c>
      <c r="W1344" s="31" t="str">
        <f t="shared" ca="1" si="64"/>
        <v/>
      </c>
      <c r="Z1344" s="31"/>
    </row>
    <row r="1345" spans="2:26">
      <c r="B1345" s="2"/>
      <c r="C1345" t="str">
        <f>IF(B1345&lt;&gt;"",INDEX('Sales Orders'!C:C,MATCH('Booking Management'!B1345,'Sales Orders'!A:A,0)),"")</f>
        <v/>
      </c>
      <c r="K1345" s="31" t="str">
        <f t="shared" ca="1" si="63"/>
        <v/>
      </c>
      <c r="P1345" t="str">
        <f t="shared" si="65"/>
        <v/>
      </c>
      <c r="Q1345" t="str">
        <f>IFERROR((J1345/SUMIFS('Sales Orders'!D:D,'Sales Orders'!A:A,B1345))*SUMIFS('Sales Orders'!N:N,'Sales Orders'!A:A,B1345),"")</f>
        <v/>
      </c>
      <c r="W1345" s="31" t="str">
        <f t="shared" ca="1" si="64"/>
        <v/>
      </c>
      <c r="Z1345" s="31"/>
    </row>
    <row r="1346" spans="2:26">
      <c r="B1346" s="2"/>
      <c r="C1346" t="str">
        <f>IF(B1346&lt;&gt;"",INDEX('Sales Orders'!C:C,MATCH('Booking Management'!B1346,'Sales Orders'!A:A,0)),"")</f>
        <v/>
      </c>
      <c r="K1346" s="31" t="str">
        <f t="shared" ca="1" si="63"/>
        <v/>
      </c>
      <c r="P1346" t="str">
        <f t="shared" si="65"/>
        <v/>
      </c>
      <c r="Q1346" t="str">
        <f>IFERROR((J1346/SUMIFS('Sales Orders'!D:D,'Sales Orders'!A:A,B1346))*SUMIFS('Sales Orders'!N:N,'Sales Orders'!A:A,B1346),"")</f>
        <v/>
      </c>
      <c r="W1346" s="31" t="str">
        <f t="shared" ca="1" si="64"/>
        <v/>
      </c>
      <c r="Z1346" s="31"/>
    </row>
    <row r="1347" spans="2:26">
      <c r="B1347" s="2"/>
      <c r="C1347" t="str">
        <f>IF(B1347&lt;&gt;"",INDEX('Sales Orders'!C:C,MATCH('Booking Management'!B1347,'Sales Orders'!A:A,0)),"")</f>
        <v/>
      </c>
      <c r="K1347" s="31" t="str">
        <f t="shared" ref="K1347:K1410" ca="1" si="66">IF(B1347&lt;&gt;"",IF(AND(OR(L1347-TODAY()&lt;2,M1347&lt;&gt;"yes",N1347&lt;&gt;"yes",O1347&lt;&gt;"yes"),S1347&lt;&gt;"Used"),"Alert",""),"")</f>
        <v/>
      </c>
      <c r="P1347" t="str">
        <f t="shared" si="65"/>
        <v/>
      </c>
      <c r="Q1347" t="str">
        <f>IFERROR((J1347/SUMIFS('Sales Orders'!D:D,'Sales Orders'!A:A,B1347))*SUMIFS('Sales Orders'!N:N,'Sales Orders'!A:A,B1347),"")</f>
        <v/>
      </c>
      <c r="W1347" s="31" t="str">
        <f t="shared" ca="1" si="64"/>
        <v/>
      </c>
      <c r="Z1347" s="31"/>
    </row>
    <row r="1348" spans="2:26">
      <c r="B1348" s="2"/>
      <c r="C1348" t="str">
        <f>IF(B1348&lt;&gt;"",INDEX('Sales Orders'!C:C,MATCH('Booking Management'!B1348,'Sales Orders'!A:A,0)),"")</f>
        <v/>
      </c>
      <c r="K1348" s="31" t="str">
        <f t="shared" ca="1" si="66"/>
        <v/>
      </c>
      <c r="P1348" t="str">
        <f t="shared" si="65"/>
        <v/>
      </c>
      <c r="Q1348" t="str">
        <f>IFERROR((J1348/SUMIFS('Sales Orders'!D:D,'Sales Orders'!A:A,B1348))*SUMIFS('Sales Orders'!N:N,'Sales Orders'!A:A,B1348),"")</f>
        <v/>
      </c>
      <c r="W1348" s="31" t="str">
        <f t="shared" ca="1" si="64"/>
        <v/>
      </c>
      <c r="Z1348" s="31"/>
    </row>
    <row r="1349" spans="2:26">
      <c r="B1349" s="2"/>
      <c r="C1349" t="str">
        <f>IF(B1349&lt;&gt;"",INDEX('Sales Orders'!C:C,MATCH('Booking Management'!B1349,'Sales Orders'!A:A,0)),"")</f>
        <v/>
      </c>
      <c r="K1349" s="31" t="str">
        <f t="shared" ca="1" si="66"/>
        <v/>
      </c>
      <c r="P1349" t="str">
        <f t="shared" si="65"/>
        <v/>
      </c>
      <c r="Q1349" t="str">
        <f>IFERROR((J1349/SUMIFS('Sales Orders'!D:D,'Sales Orders'!A:A,B1349))*SUMIFS('Sales Orders'!N:N,'Sales Orders'!A:A,B1349),"")</f>
        <v/>
      </c>
      <c r="W1349" s="31" t="str">
        <f t="shared" ca="1" si="64"/>
        <v/>
      </c>
      <c r="Z1349" s="31"/>
    </row>
    <row r="1350" spans="2:26">
      <c r="B1350" s="2"/>
      <c r="C1350" t="str">
        <f>IF(B1350&lt;&gt;"",INDEX('Sales Orders'!C:C,MATCH('Booking Management'!B1350,'Sales Orders'!A:A,0)),"")</f>
        <v/>
      </c>
      <c r="K1350" s="31" t="str">
        <f t="shared" ca="1" si="66"/>
        <v/>
      </c>
      <c r="P1350" t="str">
        <f t="shared" si="65"/>
        <v/>
      </c>
      <c r="Q1350" t="str">
        <f>IFERROR((J1350/SUMIFS('Sales Orders'!D:D,'Sales Orders'!A:A,B1350))*SUMIFS('Sales Orders'!N:N,'Sales Orders'!A:A,B1350),"")</f>
        <v/>
      </c>
      <c r="W1350" s="31" t="str">
        <f t="shared" ca="1" si="64"/>
        <v/>
      </c>
      <c r="Z1350" s="31"/>
    </row>
    <row r="1351" spans="2:26">
      <c r="B1351" s="2"/>
      <c r="C1351" t="str">
        <f>IF(B1351&lt;&gt;"",INDEX('Sales Orders'!C:C,MATCH('Booking Management'!B1351,'Sales Orders'!A:A,0)),"")</f>
        <v/>
      </c>
      <c r="K1351" s="31" t="str">
        <f t="shared" ca="1" si="66"/>
        <v/>
      </c>
      <c r="P1351" t="str">
        <f t="shared" si="65"/>
        <v/>
      </c>
      <c r="Q1351" t="str">
        <f>IFERROR((J1351/SUMIFS('Sales Orders'!D:D,'Sales Orders'!A:A,B1351))*SUMIFS('Sales Orders'!N:N,'Sales Orders'!A:A,B1351),"")</f>
        <v/>
      </c>
      <c r="W1351" s="31" t="str">
        <f t="shared" ref="W1351:W1414" ca="1" si="67">IF(T1351&lt;&gt;"",IF(X1351="Yes","NO",IF((TODAY()-V1351)&gt;6,"YES","NO")),"")</f>
        <v/>
      </c>
      <c r="Z1351" s="31"/>
    </row>
    <row r="1352" spans="2:26">
      <c r="B1352" s="2"/>
      <c r="C1352" t="str">
        <f>IF(B1352&lt;&gt;"",INDEX('Sales Orders'!C:C,MATCH('Booking Management'!B1352,'Sales Orders'!A:A,0)),"")</f>
        <v/>
      </c>
      <c r="K1352" s="31" t="str">
        <f t="shared" ca="1" si="66"/>
        <v/>
      </c>
      <c r="P1352" t="str">
        <f t="shared" si="65"/>
        <v/>
      </c>
      <c r="Q1352" t="str">
        <f>IFERROR((J1352/SUMIFS('Sales Orders'!D:D,'Sales Orders'!A:A,B1352))*SUMIFS('Sales Orders'!N:N,'Sales Orders'!A:A,B1352),"")</f>
        <v/>
      </c>
      <c r="W1352" s="31" t="str">
        <f t="shared" ca="1" si="67"/>
        <v/>
      </c>
      <c r="Z1352" s="31"/>
    </row>
    <row r="1353" spans="2:26">
      <c r="B1353" s="2"/>
      <c r="C1353" t="str">
        <f>IF(B1353&lt;&gt;"",INDEX('Sales Orders'!C:C,MATCH('Booking Management'!B1353,'Sales Orders'!A:A,0)),"")</f>
        <v/>
      </c>
      <c r="K1353" s="31" t="str">
        <f t="shared" ca="1" si="66"/>
        <v/>
      </c>
      <c r="P1353" t="str">
        <f t="shared" si="65"/>
        <v/>
      </c>
      <c r="Q1353" t="str">
        <f>IFERROR((J1353/SUMIFS('Sales Orders'!D:D,'Sales Orders'!A:A,B1353))*SUMIFS('Sales Orders'!N:N,'Sales Orders'!A:A,B1353),"")</f>
        <v/>
      </c>
      <c r="W1353" s="31" t="str">
        <f t="shared" ca="1" si="67"/>
        <v/>
      </c>
      <c r="Z1353" s="31"/>
    </row>
    <row r="1354" spans="2:26">
      <c r="B1354" s="2"/>
      <c r="C1354" t="str">
        <f>IF(B1354&lt;&gt;"",INDEX('Sales Orders'!C:C,MATCH('Booking Management'!B1354,'Sales Orders'!A:A,0)),"")</f>
        <v/>
      </c>
      <c r="K1354" s="31" t="str">
        <f t="shared" ca="1" si="66"/>
        <v/>
      </c>
      <c r="P1354" t="str">
        <f t="shared" si="65"/>
        <v/>
      </c>
      <c r="Q1354" t="str">
        <f>IFERROR((J1354/SUMIFS('Sales Orders'!D:D,'Sales Orders'!A:A,B1354))*SUMIFS('Sales Orders'!N:N,'Sales Orders'!A:A,B1354),"")</f>
        <v/>
      </c>
      <c r="W1354" s="31" t="str">
        <f t="shared" ca="1" si="67"/>
        <v/>
      </c>
      <c r="Z1354" s="31"/>
    </row>
    <row r="1355" spans="2:26">
      <c r="B1355" s="2"/>
      <c r="C1355" t="str">
        <f>IF(B1355&lt;&gt;"",INDEX('Sales Orders'!C:C,MATCH('Booking Management'!B1355,'Sales Orders'!A:A,0)),"")</f>
        <v/>
      </c>
      <c r="K1355" s="31" t="str">
        <f t="shared" ca="1" si="66"/>
        <v/>
      </c>
      <c r="P1355" t="str">
        <f t="shared" si="65"/>
        <v/>
      </c>
      <c r="Q1355" t="str">
        <f>IFERROR((J1355/SUMIFS('Sales Orders'!D:D,'Sales Orders'!A:A,B1355))*SUMIFS('Sales Orders'!N:N,'Sales Orders'!A:A,B1355),"")</f>
        <v/>
      </c>
      <c r="W1355" s="31" t="str">
        <f t="shared" ca="1" si="67"/>
        <v/>
      </c>
      <c r="Z1355" s="31"/>
    </row>
    <row r="1356" spans="2:26">
      <c r="B1356" s="2"/>
      <c r="C1356" t="str">
        <f>IF(B1356&lt;&gt;"",INDEX('Sales Orders'!C:C,MATCH('Booking Management'!B1356,'Sales Orders'!A:A,0)),"")</f>
        <v/>
      </c>
      <c r="K1356" s="31" t="str">
        <f t="shared" ca="1" si="66"/>
        <v/>
      </c>
      <c r="P1356" t="str">
        <f t="shared" si="65"/>
        <v/>
      </c>
      <c r="Q1356" t="str">
        <f>IFERROR((J1356/SUMIFS('Sales Orders'!D:D,'Sales Orders'!A:A,B1356))*SUMIFS('Sales Orders'!N:N,'Sales Orders'!A:A,B1356),"")</f>
        <v/>
      </c>
      <c r="W1356" s="31" t="str">
        <f t="shared" ca="1" si="67"/>
        <v/>
      </c>
      <c r="Z1356" s="31"/>
    </row>
    <row r="1357" spans="2:26">
      <c r="B1357" s="2"/>
      <c r="C1357" t="str">
        <f>IF(B1357&lt;&gt;"",INDEX('Sales Orders'!C:C,MATCH('Booking Management'!B1357,'Sales Orders'!A:A,0)),"")</f>
        <v/>
      </c>
      <c r="K1357" s="31" t="str">
        <f t="shared" ca="1" si="66"/>
        <v/>
      </c>
      <c r="P1357" t="str">
        <f t="shared" si="65"/>
        <v/>
      </c>
      <c r="Q1357" t="str">
        <f>IFERROR((J1357/SUMIFS('Sales Orders'!D:D,'Sales Orders'!A:A,B1357))*SUMIFS('Sales Orders'!N:N,'Sales Orders'!A:A,B1357),"")</f>
        <v/>
      </c>
      <c r="W1357" s="31" t="str">
        <f t="shared" ca="1" si="67"/>
        <v/>
      </c>
      <c r="Z1357" s="31"/>
    </row>
    <row r="1358" spans="2:26">
      <c r="B1358" s="2"/>
      <c r="C1358" t="str">
        <f>IF(B1358&lt;&gt;"",INDEX('Sales Orders'!C:C,MATCH('Booking Management'!B1358,'Sales Orders'!A:A,0)),"")</f>
        <v/>
      </c>
      <c r="K1358" s="31" t="str">
        <f t="shared" ca="1" si="66"/>
        <v/>
      </c>
      <c r="P1358" t="str">
        <f t="shared" si="65"/>
        <v/>
      </c>
      <c r="Q1358" t="str">
        <f>IFERROR((J1358/SUMIFS('Sales Orders'!D:D,'Sales Orders'!A:A,B1358))*SUMIFS('Sales Orders'!N:N,'Sales Orders'!A:A,B1358),"")</f>
        <v/>
      </c>
      <c r="W1358" s="31" t="str">
        <f t="shared" ca="1" si="67"/>
        <v/>
      </c>
      <c r="Z1358" s="31"/>
    </row>
    <row r="1359" spans="2:26">
      <c r="B1359" s="2"/>
      <c r="C1359" t="str">
        <f>IF(B1359&lt;&gt;"",INDEX('Sales Orders'!C:C,MATCH('Booking Management'!B1359,'Sales Orders'!A:A,0)),"")</f>
        <v/>
      </c>
      <c r="K1359" s="31" t="str">
        <f t="shared" ca="1" si="66"/>
        <v/>
      </c>
      <c r="P1359" t="str">
        <f t="shared" si="65"/>
        <v/>
      </c>
      <c r="Q1359" t="str">
        <f>IFERROR((J1359/SUMIFS('Sales Orders'!D:D,'Sales Orders'!A:A,B1359))*SUMIFS('Sales Orders'!N:N,'Sales Orders'!A:A,B1359),"")</f>
        <v/>
      </c>
      <c r="W1359" s="31" t="str">
        <f t="shared" ca="1" si="67"/>
        <v/>
      </c>
      <c r="Z1359" s="31"/>
    </row>
    <row r="1360" spans="2:26">
      <c r="B1360" s="2"/>
      <c r="C1360" t="str">
        <f>IF(B1360&lt;&gt;"",INDEX('Sales Orders'!C:C,MATCH('Booking Management'!B1360,'Sales Orders'!A:A,0)),"")</f>
        <v/>
      </c>
      <c r="K1360" s="31" t="str">
        <f t="shared" ca="1" si="66"/>
        <v/>
      </c>
      <c r="P1360" t="str">
        <f t="shared" si="65"/>
        <v/>
      </c>
      <c r="Q1360" t="str">
        <f>IFERROR((J1360/SUMIFS('Sales Orders'!D:D,'Sales Orders'!A:A,B1360))*SUMIFS('Sales Orders'!N:N,'Sales Orders'!A:A,B1360),"")</f>
        <v/>
      </c>
      <c r="W1360" s="31" t="str">
        <f t="shared" ca="1" si="67"/>
        <v/>
      </c>
      <c r="Z1360" s="31"/>
    </row>
    <row r="1361" spans="2:26">
      <c r="B1361" s="2"/>
      <c r="C1361" t="str">
        <f>IF(B1361&lt;&gt;"",INDEX('Sales Orders'!C:C,MATCH('Booking Management'!B1361,'Sales Orders'!A:A,0)),"")</f>
        <v/>
      </c>
      <c r="K1361" s="31" t="str">
        <f t="shared" ca="1" si="66"/>
        <v/>
      </c>
      <c r="P1361" t="str">
        <f t="shared" si="65"/>
        <v/>
      </c>
      <c r="Q1361" t="str">
        <f>IFERROR((J1361/SUMIFS('Sales Orders'!D:D,'Sales Orders'!A:A,B1361))*SUMIFS('Sales Orders'!N:N,'Sales Orders'!A:A,B1361),"")</f>
        <v/>
      </c>
      <c r="W1361" s="31" t="str">
        <f t="shared" ca="1" si="67"/>
        <v/>
      </c>
      <c r="Z1361" s="31"/>
    </row>
    <row r="1362" spans="2:26">
      <c r="B1362" s="2"/>
      <c r="C1362" t="str">
        <f>IF(B1362&lt;&gt;"",INDEX('Sales Orders'!C:C,MATCH('Booking Management'!B1362,'Sales Orders'!A:A,0)),"")</f>
        <v/>
      </c>
      <c r="K1362" s="31" t="str">
        <f t="shared" ca="1" si="66"/>
        <v/>
      </c>
      <c r="P1362" t="str">
        <f t="shared" si="65"/>
        <v/>
      </c>
      <c r="Q1362" t="str">
        <f>IFERROR((J1362/SUMIFS('Sales Orders'!D:D,'Sales Orders'!A:A,B1362))*SUMIFS('Sales Orders'!N:N,'Sales Orders'!A:A,B1362),"")</f>
        <v/>
      </c>
      <c r="W1362" s="31" t="str">
        <f t="shared" ca="1" si="67"/>
        <v/>
      </c>
      <c r="Z1362" s="31"/>
    </row>
    <row r="1363" spans="2:26">
      <c r="B1363" s="2"/>
      <c r="C1363" t="str">
        <f>IF(B1363&lt;&gt;"",INDEX('Sales Orders'!C:C,MATCH('Booking Management'!B1363,'Sales Orders'!A:A,0)),"")</f>
        <v/>
      </c>
      <c r="K1363" s="31" t="str">
        <f t="shared" ca="1" si="66"/>
        <v/>
      </c>
      <c r="P1363" t="str">
        <f t="shared" si="65"/>
        <v/>
      </c>
      <c r="Q1363" t="str">
        <f>IFERROR((J1363/SUMIFS('Sales Orders'!D:D,'Sales Orders'!A:A,B1363))*SUMIFS('Sales Orders'!N:N,'Sales Orders'!A:A,B1363),"")</f>
        <v/>
      </c>
      <c r="W1363" s="31" t="str">
        <f t="shared" ca="1" si="67"/>
        <v/>
      </c>
      <c r="Z1363" s="31"/>
    </row>
    <row r="1364" spans="2:26">
      <c r="B1364" s="2"/>
      <c r="C1364" t="str">
        <f>IF(B1364&lt;&gt;"",INDEX('Sales Orders'!C:C,MATCH('Booking Management'!B1364,'Sales Orders'!A:A,0)),"")</f>
        <v/>
      </c>
      <c r="K1364" s="31" t="str">
        <f t="shared" ca="1" si="66"/>
        <v/>
      </c>
      <c r="P1364" t="str">
        <f t="shared" si="65"/>
        <v/>
      </c>
      <c r="Q1364" t="str">
        <f>IFERROR((J1364/SUMIFS('Sales Orders'!D:D,'Sales Orders'!A:A,B1364))*SUMIFS('Sales Orders'!N:N,'Sales Orders'!A:A,B1364),"")</f>
        <v/>
      </c>
      <c r="W1364" s="31" t="str">
        <f t="shared" ca="1" si="67"/>
        <v/>
      </c>
      <c r="Z1364" s="31"/>
    </row>
    <row r="1365" spans="2:26">
      <c r="B1365" s="2"/>
      <c r="C1365" t="str">
        <f>IF(B1365&lt;&gt;"",INDEX('Sales Orders'!C:C,MATCH('Booking Management'!B1365,'Sales Orders'!A:A,0)),"")</f>
        <v/>
      </c>
      <c r="K1365" s="31" t="str">
        <f t="shared" ca="1" si="66"/>
        <v/>
      </c>
      <c r="P1365" t="str">
        <f t="shared" si="65"/>
        <v/>
      </c>
      <c r="Q1365" t="str">
        <f>IFERROR((J1365/SUMIFS('Sales Orders'!D:D,'Sales Orders'!A:A,B1365))*SUMIFS('Sales Orders'!N:N,'Sales Orders'!A:A,B1365),"")</f>
        <v/>
      </c>
      <c r="W1365" s="31" t="str">
        <f t="shared" ca="1" si="67"/>
        <v/>
      </c>
      <c r="Z1365" s="31"/>
    </row>
    <row r="1366" spans="2:26">
      <c r="B1366" s="2"/>
      <c r="C1366" t="str">
        <f>IF(B1366&lt;&gt;"",INDEX('Sales Orders'!C:C,MATCH('Booking Management'!B1366,'Sales Orders'!A:A,0)),"")</f>
        <v/>
      </c>
      <c r="K1366" s="31" t="str">
        <f t="shared" ca="1" si="66"/>
        <v/>
      </c>
      <c r="P1366" t="str">
        <f t="shared" si="65"/>
        <v/>
      </c>
      <c r="Q1366" t="str">
        <f>IFERROR((J1366/SUMIFS('Sales Orders'!D:D,'Sales Orders'!A:A,B1366))*SUMIFS('Sales Orders'!N:N,'Sales Orders'!A:A,B1366),"")</f>
        <v/>
      </c>
      <c r="W1366" s="31" t="str">
        <f t="shared" ca="1" si="67"/>
        <v/>
      </c>
      <c r="Z1366" s="31"/>
    </row>
    <row r="1367" spans="2:26">
      <c r="B1367" s="2"/>
      <c r="C1367" t="str">
        <f>IF(B1367&lt;&gt;"",INDEX('Sales Orders'!C:C,MATCH('Booking Management'!B1367,'Sales Orders'!A:A,0)),"")</f>
        <v/>
      </c>
      <c r="K1367" s="31" t="str">
        <f t="shared" ca="1" si="66"/>
        <v/>
      </c>
      <c r="P1367" t="str">
        <f t="shared" si="65"/>
        <v/>
      </c>
      <c r="Q1367" t="str">
        <f>IFERROR((J1367/SUMIFS('Sales Orders'!D:D,'Sales Orders'!A:A,B1367))*SUMIFS('Sales Orders'!N:N,'Sales Orders'!A:A,B1367),"")</f>
        <v/>
      </c>
      <c r="W1367" s="31" t="str">
        <f t="shared" ca="1" si="67"/>
        <v/>
      </c>
      <c r="Z1367" s="31"/>
    </row>
    <row r="1368" spans="2:26">
      <c r="B1368" s="2"/>
      <c r="C1368" t="str">
        <f>IF(B1368&lt;&gt;"",INDEX('Sales Orders'!C:C,MATCH('Booking Management'!B1368,'Sales Orders'!A:A,0)),"")</f>
        <v/>
      </c>
      <c r="K1368" s="31" t="str">
        <f t="shared" ca="1" si="66"/>
        <v/>
      </c>
      <c r="P1368" t="str">
        <f t="shared" si="65"/>
        <v/>
      </c>
      <c r="Q1368" t="str">
        <f>IFERROR((J1368/SUMIFS('Sales Orders'!D:D,'Sales Orders'!A:A,B1368))*SUMIFS('Sales Orders'!N:N,'Sales Orders'!A:A,B1368),"")</f>
        <v/>
      </c>
      <c r="W1368" s="31" t="str">
        <f t="shared" ca="1" si="67"/>
        <v/>
      </c>
      <c r="Z1368" s="31"/>
    </row>
    <row r="1369" spans="2:26">
      <c r="B1369" s="2"/>
      <c r="C1369" t="str">
        <f>IF(B1369&lt;&gt;"",INDEX('Sales Orders'!C:C,MATCH('Booking Management'!B1369,'Sales Orders'!A:A,0)),"")</f>
        <v/>
      </c>
      <c r="K1369" s="31" t="str">
        <f t="shared" ca="1" si="66"/>
        <v/>
      </c>
      <c r="P1369" t="str">
        <f t="shared" si="65"/>
        <v/>
      </c>
      <c r="Q1369" t="str">
        <f>IFERROR((J1369/SUMIFS('Sales Orders'!D:D,'Sales Orders'!A:A,B1369))*SUMIFS('Sales Orders'!N:N,'Sales Orders'!A:A,B1369),"")</f>
        <v/>
      </c>
      <c r="W1369" s="31" t="str">
        <f t="shared" ca="1" si="67"/>
        <v/>
      </c>
      <c r="Z1369" s="31"/>
    </row>
    <row r="1370" spans="2:26">
      <c r="B1370" s="2"/>
      <c r="C1370" t="str">
        <f>IF(B1370&lt;&gt;"",INDEX('Sales Orders'!C:C,MATCH('Booking Management'!B1370,'Sales Orders'!A:A,0)),"")</f>
        <v/>
      </c>
      <c r="K1370" s="31" t="str">
        <f t="shared" ca="1" si="66"/>
        <v/>
      </c>
      <c r="P1370" t="str">
        <f t="shared" si="65"/>
        <v/>
      </c>
      <c r="Q1370" t="str">
        <f>IFERROR((J1370/SUMIFS('Sales Orders'!D:D,'Sales Orders'!A:A,B1370))*SUMIFS('Sales Orders'!N:N,'Sales Orders'!A:A,B1370),"")</f>
        <v/>
      </c>
      <c r="W1370" s="31" t="str">
        <f t="shared" ca="1" si="67"/>
        <v/>
      </c>
      <c r="Z1370" s="31"/>
    </row>
    <row r="1371" spans="2:26">
      <c r="B1371" s="2"/>
      <c r="C1371" t="str">
        <f>IF(B1371&lt;&gt;"",INDEX('Sales Orders'!C:C,MATCH('Booking Management'!B1371,'Sales Orders'!A:A,0)),"")</f>
        <v/>
      </c>
      <c r="K1371" s="31" t="str">
        <f t="shared" ca="1" si="66"/>
        <v/>
      </c>
      <c r="P1371" t="str">
        <f t="shared" si="65"/>
        <v/>
      </c>
      <c r="Q1371" t="str">
        <f>IFERROR((J1371/SUMIFS('Sales Orders'!D:D,'Sales Orders'!A:A,B1371))*SUMIFS('Sales Orders'!N:N,'Sales Orders'!A:A,B1371),"")</f>
        <v/>
      </c>
      <c r="W1371" s="31" t="str">
        <f t="shared" ca="1" si="67"/>
        <v/>
      </c>
      <c r="Z1371" s="31"/>
    </row>
    <row r="1372" spans="2:26">
      <c r="B1372" s="2"/>
      <c r="C1372" t="str">
        <f>IF(B1372&lt;&gt;"",INDEX('Sales Orders'!C:C,MATCH('Booking Management'!B1372,'Sales Orders'!A:A,0)),"")</f>
        <v/>
      </c>
      <c r="K1372" s="31" t="str">
        <f t="shared" ca="1" si="66"/>
        <v/>
      </c>
      <c r="P1372" t="str">
        <f t="shared" si="65"/>
        <v/>
      </c>
      <c r="Q1372" t="str">
        <f>IFERROR((J1372/SUMIFS('Sales Orders'!D:D,'Sales Orders'!A:A,B1372))*SUMIFS('Sales Orders'!N:N,'Sales Orders'!A:A,B1372),"")</f>
        <v/>
      </c>
      <c r="W1372" s="31" t="str">
        <f t="shared" ca="1" si="67"/>
        <v/>
      </c>
      <c r="Z1372" s="31"/>
    </row>
    <row r="1373" spans="2:26">
      <c r="B1373" s="2"/>
      <c r="C1373" t="str">
        <f>IF(B1373&lt;&gt;"",INDEX('Sales Orders'!C:C,MATCH('Booking Management'!B1373,'Sales Orders'!A:A,0)),"")</f>
        <v/>
      </c>
      <c r="K1373" s="31" t="str">
        <f t="shared" ca="1" si="66"/>
        <v/>
      </c>
      <c r="P1373" t="str">
        <f t="shared" si="65"/>
        <v/>
      </c>
      <c r="Q1373" t="str">
        <f>IFERROR((J1373/SUMIFS('Sales Orders'!D:D,'Sales Orders'!A:A,B1373))*SUMIFS('Sales Orders'!N:N,'Sales Orders'!A:A,B1373),"")</f>
        <v/>
      </c>
      <c r="W1373" s="31" t="str">
        <f t="shared" ca="1" si="67"/>
        <v/>
      </c>
      <c r="Z1373" s="31"/>
    </row>
    <row r="1374" spans="2:26">
      <c r="B1374" s="2"/>
      <c r="C1374" t="str">
        <f>IF(B1374&lt;&gt;"",INDEX('Sales Orders'!C:C,MATCH('Booking Management'!B1374,'Sales Orders'!A:A,0)),"")</f>
        <v/>
      </c>
      <c r="K1374" s="31" t="str">
        <f t="shared" ca="1" si="66"/>
        <v/>
      </c>
      <c r="P1374" t="str">
        <f t="shared" si="65"/>
        <v/>
      </c>
      <c r="Q1374" t="str">
        <f>IFERROR((J1374/SUMIFS('Sales Orders'!D:D,'Sales Orders'!A:A,B1374))*SUMIFS('Sales Orders'!N:N,'Sales Orders'!A:A,B1374),"")</f>
        <v/>
      </c>
      <c r="W1374" s="31" t="str">
        <f t="shared" ca="1" si="67"/>
        <v/>
      </c>
      <c r="Z1374" s="31"/>
    </row>
    <row r="1375" spans="2:26">
      <c r="B1375" s="2"/>
      <c r="C1375" t="str">
        <f>IF(B1375&lt;&gt;"",INDEX('Sales Orders'!C:C,MATCH('Booking Management'!B1375,'Sales Orders'!A:A,0)),"")</f>
        <v/>
      </c>
      <c r="K1375" s="31" t="str">
        <f t="shared" ca="1" si="66"/>
        <v/>
      </c>
      <c r="P1375" t="str">
        <f t="shared" si="65"/>
        <v/>
      </c>
      <c r="Q1375" t="str">
        <f>IFERROR((J1375/SUMIFS('Sales Orders'!D:D,'Sales Orders'!A:A,B1375))*SUMIFS('Sales Orders'!N:N,'Sales Orders'!A:A,B1375),"")</f>
        <v/>
      </c>
      <c r="W1375" s="31" t="str">
        <f t="shared" ca="1" si="67"/>
        <v/>
      </c>
      <c r="Z1375" s="31"/>
    </row>
    <row r="1376" spans="2:26">
      <c r="B1376" s="2"/>
      <c r="C1376" t="str">
        <f>IF(B1376&lt;&gt;"",INDEX('Sales Orders'!C:C,MATCH('Booking Management'!B1376,'Sales Orders'!A:A,0)),"")</f>
        <v/>
      </c>
      <c r="K1376" s="31" t="str">
        <f t="shared" ca="1" si="66"/>
        <v/>
      </c>
      <c r="P1376" t="str">
        <f t="shared" si="65"/>
        <v/>
      </c>
      <c r="Q1376" t="str">
        <f>IFERROR((J1376/SUMIFS('Sales Orders'!D:D,'Sales Orders'!A:A,B1376))*SUMIFS('Sales Orders'!N:N,'Sales Orders'!A:A,B1376),"")</f>
        <v/>
      </c>
      <c r="W1376" s="31" t="str">
        <f t="shared" ca="1" si="67"/>
        <v/>
      </c>
      <c r="Z1376" s="31"/>
    </row>
    <row r="1377" spans="2:26">
      <c r="B1377" s="2"/>
      <c r="C1377" t="str">
        <f>IF(B1377&lt;&gt;"",INDEX('Sales Orders'!C:C,MATCH('Booking Management'!B1377,'Sales Orders'!A:A,0)),"")</f>
        <v/>
      </c>
      <c r="K1377" s="31" t="str">
        <f t="shared" ca="1" si="66"/>
        <v/>
      </c>
      <c r="P1377" t="str">
        <f t="shared" ref="P1377:P1440" si="68">IF(B1377&lt;&gt;"",T1377-L1377,"")</f>
        <v/>
      </c>
      <c r="Q1377" t="str">
        <f>IFERROR((J1377/SUMIFS('Sales Orders'!D:D,'Sales Orders'!A:A,B1377))*SUMIFS('Sales Orders'!N:N,'Sales Orders'!A:A,B1377),"")</f>
        <v/>
      </c>
      <c r="W1377" s="31" t="str">
        <f t="shared" ca="1" si="67"/>
        <v/>
      </c>
      <c r="Z1377" s="31"/>
    </row>
    <row r="1378" spans="2:26">
      <c r="B1378" s="2"/>
      <c r="C1378" t="str">
        <f>IF(B1378&lt;&gt;"",INDEX('Sales Orders'!C:C,MATCH('Booking Management'!B1378,'Sales Orders'!A:A,0)),"")</f>
        <v/>
      </c>
      <c r="K1378" s="31" t="str">
        <f t="shared" ca="1" si="66"/>
        <v/>
      </c>
      <c r="P1378" t="str">
        <f t="shared" si="68"/>
        <v/>
      </c>
      <c r="Q1378" t="str">
        <f>IFERROR((J1378/SUMIFS('Sales Orders'!D:D,'Sales Orders'!A:A,B1378))*SUMIFS('Sales Orders'!N:N,'Sales Orders'!A:A,B1378),"")</f>
        <v/>
      </c>
      <c r="W1378" s="31" t="str">
        <f t="shared" ca="1" si="67"/>
        <v/>
      </c>
      <c r="Z1378" s="31"/>
    </row>
    <row r="1379" spans="2:26">
      <c r="B1379" s="2"/>
      <c r="C1379" t="str">
        <f>IF(B1379&lt;&gt;"",INDEX('Sales Orders'!C:C,MATCH('Booking Management'!B1379,'Sales Orders'!A:A,0)),"")</f>
        <v/>
      </c>
      <c r="K1379" s="31" t="str">
        <f t="shared" ca="1" si="66"/>
        <v/>
      </c>
      <c r="P1379" t="str">
        <f t="shared" si="68"/>
        <v/>
      </c>
      <c r="Q1379" t="str">
        <f>IFERROR((J1379/SUMIFS('Sales Orders'!D:D,'Sales Orders'!A:A,B1379))*SUMIFS('Sales Orders'!N:N,'Sales Orders'!A:A,B1379),"")</f>
        <v/>
      </c>
      <c r="W1379" s="31" t="str">
        <f t="shared" ca="1" si="67"/>
        <v/>
      </c>
      <c r="Z1379" s="31"/>
    </row>
    <row r="1380" spans="2:26">
      <c r="B1380" s="2"/>
      <c r="C1380" t="str">
        <f>IF(B1380&lt;&gt;"",INDEX('Sales Orders'!C:C,MATCH('Booking Management'!B1380,'Sales Orders'!A:A,0)),"")</f>
        <v/>
      </c>
      <c r="K1380" s="31" t="str">
        <f t="shared" ca="1" si="66"/>
        <v/>
      </c>
      <c r="P1380" t="str">
        <f t="shared" si="68"/>
        <v/>
      </c>
      <c r="Q1380" t="str">
        <f>IFERROR((J1380/SUMIFS('Sales Orders'!D:D,'Sales Orders'!A:A,B1380))*SUMIFS('Sales Orders'!N:N,'Sales Orders'!A:A,B1380),"")</f>
        <v/>
      </c>
      <c r="W1380" s="31" t="str">
        <f t="shared" ca="1" si="67"/>
        <v/>
      </c>
      <c r="Z1380" s="31"/>
    </row>
    <row r="1381" spans="2:26">
      <c r="B1381" s="2"/>
      <c r="C1381" t="str">
        <f>IF(B1381&lt;&gt;"",INDEX('Sales Orders'!C:C,MATCH('Booking Management'!B1381,'Sales Orders'!A:A,0)),"")</f>
        <v/>
      </c>
      <c r="K1381" s="31" t="str">
        <f t="shared" ca="1" si="66"/>
        <v/>
      </c>
      <c r="P1381" t="str">
        <f t="shared" si="68"/>
        <v/>
      </c>
      <c r="Q1381" t="str">
        <f>IFERROR((J1381/SUMIFS('Sales Orders'!D:D,'Sales Orders'!A:A,B1381))*SUMIFS('Sales Orders'!N:N,'Sales Orders'!A:A,B1381),"")</f>
        <v/>
      </c>
      <c r="W1381" s="31" t="str">
        <f t="shared" ca="1" si="67"/>
        <v/>
      </c>
      <c r="Z1381" s="31"/>
    </row>
    <row r="1382" spans="2:26">
      <c r="B1382" s="2"/>
      <c r="C1382" t="str">
        <f>IF(B1382&lt;&gt;"",INDEX('Sales Orders'!C:C,MATCH('Booking Management'!B1382,'Sales Orders'!A:A,0)),"")</f>
        <v/>
      </c>
      <c r="K1382" s="31" t="str">
        <f t="shared" ca="1" si="66"/>
        <v/>
      </c>
      <c r="P1382" t="str">
        <f t="shared" si="68"/>
        <v/>
      </c>
      <c r="Q1382" t="str">
        <f>IFERROR((J1382/SUMIFS('Sales Orders'!D:D,'Sales Orders'!A:A,B1382))*SUMIFS('Sales Orders'!N:N,'Sales Orders'!A:A,B1382),"")</f>
        <v/>
      </c>
      <c r="W1382" s="31" t="str">
        <f t="shared" ca="1" si="67"/>
        <v/>
      </c>
      <c r="Z1382" s="31"/>
    </row>
    <row r="1383" spans="2:26">
      <c r="B1383" s="2"/>
      <c r="C1383" t="str">
        <f>IF(B1383&lt;&gt;"",INDEX('Sales Orders'!C:C,MATCH('Booking Management'!B1383,'Sales Orders'!A:A,0)),"")</f>
        <v/>
      </c>
      <c r="K1383" s="31" t="str">
        <f t="shared" ca="1" si="66"/>
        <v/>
      </c>
      <c r="P1383" t="str">
        <f t="shared" si="68"/>
        <v/>
      </c>
      <c r="Q1383" t="str">
        <f>IFERROR((J1383/SUMIFS('Sales Orders'!D:D,'Sales Orders'!A:A,B1383))*SUMIFS('Sales Orders'!N:N,'Sales Orders'!A:A,B1383),"")</f>
        <v/>
      </c>
      <c r="W1383" s="31" t="str">
        <f t="shared" ca="1" si="67"/>
        <v/>
      </c>
      <c r="Z1383" s="31"/>
    </row>
    <row r="1384" spans="2:26">
      <c r="B1384" s="2"/>
      <c r="C1384" t="str">
        <f>IF(B1384&lt;&gt;"",INDEX('Sales Orders'!C:C,MATCH('Booking Management'!B1384,'Sales Orders'!A:A,0)),"")</f>
        <v/>
      </c>
      <c r="K1384" s="31" t="str">
        <f t="shared" ca="1" si="66"/>
        <v/>
      </c>
      <c r="P1384" t="str">
        <f t="shared" si="68"/>
        <v/>
      </c>
      <c r="Q1384" t="str">
        <f>IFERROR((J1384/SUMIFS('Sales Orders'!D:D,'Sales Orders'!A:A,B1384))*SUMIFS('Sales Orders'!N:N,'Sales Orders'!A:A,B1384),"")</f>
        <v/>
      </c>
      <c r="W1384" s="31" t="str">
        <f t="shared" ca="1" si="67"/>
        <v/>
      </c>
      <c r="Z1384" s="31"/>
    </row>
    <row r="1385" spans="2:26">
      <c r="B1385" s="2"/>
      <c r="C1385" t="str">
        <f>IF(B1385&lt;&gt;"",INDEX('Sales Orders'!C:C,MATCH('Booking Management'!B1385,'Sales Orders'!A:A,0)),"")</f>
        <v/>
      </c>
      <c r="K1385" s="31" t="str">
        <f t="shared" ca="1" si="66"/>
        <v/>
      </c>
      <c r="P1385" t="str">
        <f t="shared" si="68"/>
        <v/>
      </c>
      <c r="Q1385" t="str">
        <f>IFERROR((J1385/SUMIFS('Sales Orders'!D:D,'Sales Orders'!A:A,B1385))*SUMIFS('Sales Orders'!N:N,'Sales Orders'!A:A,B1385),"")</f>
        <v/>
      </c>
      <c r="W1385" s="31" t="str">
        <f t="shared" ca="1" si="67"/>
        <v/>
      </c>
      <c r="Z1385" s="31"/>
    </row>
    <row r="1386" spans="2:26">
      <c r="B1386" s="2"/>
      <c r="C1386" t="str">
        <f>IF(B1386&lt;&gt;"",INDEX('Sales Orders'!C:C,MATCH('Booking Management'!B1386,'Sales Orders'!A:A,0)),"")</f>
        <v/>
      </c>
      <c r="K1386" s="31" t="str">
        <f t="shared" ca="1" si="66"/>
        <v/>
      </c>
      <c r="P1386" t="str">
        <f t="shared" si="68"/>
        <v/>
      </c>
      <c r="Q1386" t="str">
        <f>IFERROR((J1386/SUMIFS('Sales Orders'!D:D,'Sales Orders'!A:A,B1386))*SUMIFS('Sales Orders'!N:N,'Sales Orders'!A:A,B1386),"")</f>
        <v/>
      </c>
      <c r="W1386" s="31" t="str">
        <f t="shared" ca="1" si="67"/>
        <v/>
      </c>
      <c r="Z1386" s="31"/>
    </row>
    <row r="1387" spans="2:26">
      <c r="B1387" s="2"/>
      <c r="C1387" t="str">
        <f>IF(B1387&lt;&gt;"",INDEX('Sales Orders'!C:C,MATCH('Booking Management'!B1387,'Sales Orders'!A:A,0)),"")</f>
        <v/>
      </c>
      <c r="K1387" s="31" t="str">
        <f t="shared" ca="1" si="66"/>
        <v/>
      </c>
      <c r="P1387" t="str">
        <f t="shared" si="68"/>
        <v/>
      </c>
      <c r="Q1387" t="str">
        <f>IFERROR((J1387/SUMIFS('Sales Orders'!D:D,'Sales Orders'!A:A,B1387))*SUMIFS('Sales Orders'!N:N,'Sales Orders'!A:A,B1387),"")</f>
        <v/>
      </c>
      <c r="W1387" s="31" t="str">
        <f t="shared" ca="1" si="67"/>
        <v/>
      </c>
      <c r="Z1387" s="31"/>
    </row>
    <row r="1388" spans="2:26">
      <c r="B1388" s="2"/>
      <c r="C1388" t="str">
        <f>IF(B1388&lt;&gt;"",INDEX('Sales Orders'!C:C,MATCH('Booking Management'!B1388,'Sales Orders'!A:A,0)),"")</f>
        <v/>
      </c>
      <c r="K1388" s="31" t="str">
        <f t="shared" ca="1" si="66"/>
        <v/>
      </c>
      <c r="P1388" t="str">
        <f t="shared" si="68"/>
        <v/>
      </c>
      <c r="Q1388" t="str">
        <f>IFERROR((J1388/SUMIFS('Sales Orders'!D:D,'Sales Orders'!A:A,B1388))*SUMIFS('Sales Orders'!N:N,'Sales Orders'!A:A,B1388),"")</f>
        <v/>
      </c>
      <c r="W1388" s="31" t="str">
        <f t="shared" ca="1" si="67"/>
        <v/>
      </c>
      <c r="Z1388" s="31"/>
    </row>
    <row r="1389" spans="2:26">
      <c r="B1389" s="2"/>
      <c r="C1389" t="str">
        <f>IF(B1389&lt;&gt;"",INDEX('Sales Orders'!C:C,MATCH('Booking Management'!B1389,'Sales Orders'!A:A,0)),"")</f>
        <v/>
      </c>
      <c r="K1389" s="31" t="str">
        <f t="shared" ca="1" si="66"/>
        <v/>
      </c>
      <c r="P1389" t="str">
        <f t="shared" si="68"/>
        <v/>
      </c>
      <c r="Q1389" t="str">
        <f>IFERROR((J1389/SUMIFS('Sales Orders'!D:D,'Sales Orders'!A:A,B1389))*SUMIFS('Sales Orders'!N:N,'Sales Orders'!A:A,B1389),"")</f>
        <v/>
      </c>
      <c r="W1389" s="31" t="str">
        <f t="shared" ca="1" si="67"/>
        <v/>
      </c>
      <c r="Z1389" s="31"/>
    </row>
    <row r="1390" spans="2:26">
      <c r="B1390" s="2"/>
      <c r="C1390" t="str">
        <f>IF(B1390&lt;&gt;"",INDEX('Sales Orders'!C:C,MATCH('Booking Management'!B1390,'Sales Orders'!A:A,0)),"")</f>
        <v/>
      </c>
      <c r="K1390" s="31" t="str">
        <f t="shared" ca="1" si="66"/>
        <v/>
      </c>
      <c r="P1390" t="str">
        <f t="shared" si="68"/>
        <v/>
      </c>
      <c r="Q1390" t="str">
        <f>IFERROR((J1390/SUMIFS('Sales Orders'!D:D,'Sales Orders'!A:A,B1390))*SUMIFS('Sales Orders'!N:N,'Sales Orders'!A:A,B1390),"")</f>
        <v/>
      </c>
      <c r="W1390" s="31" t="str">
        <f t="shared" ca="1" si="67"/>
        <v/>
      </c>
      <c r="Z1390" s="31"/>
    </row>
    <row r="1391" spans="2:26">
      <c r="B1391" s="2"/>
      <c r="C1391" t="str">
        <f>IF(B1391&lt;&gt;"",INDEX('Sales Orders'!C:C,MATCH('Booking Management'!B1391,'Sales Orders'!A:A,0)),"")</f>
        <v/>
      </c>
      <c r="K1391" s="31" t="str">
        <f t="shared" ca="1" si="66"/>
        <v/>
      </c>
      <c r="P1391" t="str">
        <f t="shared" si="68"/>
        <v/>
      </c>
      <c r="Q1391" t="str">
        <f>IFERROR((J1391/SUMIFS('Sales Orders'!D:D,'Sales Orders'!A:A,B1391))*SUMIFS('Sales Orders'!N:N,'Sales Orders'!A:A,B1391),"")</f>
        <v/>
      </c>
      <c r="W1391" s="31" t="str">
        <f t="shared" ca="1" si="67"/>
        <v/>
      </c>
      <c r="Z1391" s="31"/>
    </row>
    <row r="1392" spans="2:26">
      <c r="B1392" s="2"/>
      <c r="C1392" t="str">
        <f>IF(B1392&lt;&gt;"",INDEX('Sales Orders'!C:C,MATCH('Booking Management'!B1392,'Sales Orders'!A:A,0)),"")</f>
        <v/>
      </c>
      <c r="K1392" s="31" t="str">
        <f t="shared" ca="1" si="66"/>
        <v/>
      </c>
      <c r="P1392" t="str">
        <f t="shared" si="68"/>
        <v/>
      </c>
      <c r="Q1392" t="str">
        <f>IFERROR((J1392/SUMIFS('Sales Orders'!D:D,'Sales Orders'!A:A,B1392))*SUMIFS('Sales Orders'!N:N,'Sales Orders'!A:A,B1392),"")</f>
        <v/>
      </c>
      <c r="W1392" s="31" t="str">
        <f t="shared" ca="1" si="67"/>
        <v/>
      </c>
      <c r="Z1392" s="31"/>
    </row>
    <row r="1393" spans="2:26">
      <c r="B1393" s="2"/>
      <c r="C1393" t="str">
        <f>IF(B1393&lt;&gt;"",INDEX('Sales Orders'!C:C,MATCH('Booking Management'!B1393,'Sales Orders'!A:A,0)),"")</f>
        <v/>
      </c>
      <c r="K1393" s="31" t="str">
        <f t="shared" ca="1" si="66"/>
        <v/>
      </c>
      <c r="P1393" t="str">
        <f t="shared" si="68"/>
        <v/>
      </c>
      <c r="Q1393" t="str">
        <f>IFERROR((J1393/SUMIFS('Sales Orders'!D:D,'Sales Orders'!A:A,B1393))*SUMIFS('Sales Orders'!N:N,'Sales Orders'!A:A,B1393),"")</f>
        <v/>
      </c>
      <c r="W1393" s="31" t="str">
        <f t="shared" ca="1" si="67"/>
        <v/>
      </c>
      <c r="Z1393" s="31"/>
    </row>
    <row r="1394" spans="2:26">
      <c r="B1394" s="2"/>
      <c r="C1394" t="str">
        <f>IF(B1394&lt;&gt;"",INDEX('Sales Orders'!C:C,MATCH('Booking Management'!B1394,'Sales Orders'!A:A,0)),"")</f>
        <v/>
      </c>
      <c r="K1394" s="31" t="str">
        <f t="shared" ca="1" si="66"/>
        <v/>
      </c>
      <c r="P1394" t="str">
        <f t="shared" si="68"/>
        <v/>
      </c>
      <c r="Q1394" t="str">
        <f>IFERROR((J1394/SUMIFS('Sales Orders'!D:D,'Sales Orders'!A:A,B1394))*SUMIFS('Sales Orders'!N:N,'Sales Orders'!A:A,B1394),"")</f>
        <v/>
      </c>
      <c r="W1394" s="31" t="str">
        <f t="shared" ca="1" si="67"/>
        <v/>
      </c>
      <c r="Z1394" s="31"/>
    </row>
    <row r="1395" spans="2:26">
      <c r="B1395" s="2"/>
      <c r="C1395" t="str">
        <f>IF(B1395&lt;&gt;"",INDEX('Sales Orders'!C:C,MATCH('Booking Management'!B1395,'Sales Orders'!A:A,0)),"")</f>
        <v/>
      </c>
      <c r="K1395" s="31" t="str">
        <f t="shared" ca="1" si="66"/>
        <v/>
      </c>
      <c r="P1395" t="str">
        <f t="shared" si="68"/>
        <v/>
      </c>
      <c r="Q1395" t="str">
        <f>IFERROR((J1395/SUMIFS('Sales Orders'!D:D,'Sales Orders'!A:A,B1395))*SUMIFS('Sales Orders'!N:N,'Sales Orders'!A:A,B1395),"")</f>
        <v/>
      </c>
      <c r="W1395" s="31" t="str">
        <f t="shared" ca="1" si="67"/>
        <v/>
      </c>
      <c r="Z1395" s="31"/>
    </row>
    <row r="1396" spans="2:26">
      <c r="B1396" s="2"/>
      <c r="C1396" t="str">
        <f>IF(B1396&lt;&gt;"",INDEX('Sales Orders'!C:C,MATCH('Booking Management'!B1396,'Sales Orders'!A:A,0)),"")</f>
        <v/>
      </c>
      <c r="K1396" s="31" t="str">
        <f t="shared" ca="1" si="66"/>
        <v/>
      </c>
      <c r="P1396" t="str">
        <f t="shared" si="68"/>
        <v/>
      </c>
      <c r="Q1396" t="str">
        <f>IFERROR((J1396/SUMIFS('Sales Orders'!D:D,'Sales Orders'!A:A,B1396))*SUMIFS('Sales Orders'!N:N,'Sales Orders'!A:A,B1396),"")</f>
        <v/>
      </c>
      <c r="W1396" s="31" t="str">
        <f t="shared" ca="1" si="67"/>
        <v/>
      </c>
      <c r="Z1396" s="31"/>
    </row>
    <row r="1397" spans="2:26">
      <c r="B1397" s="2"/>
      <c r="C1397" t="str">
        <f>IF(B1397&lt;&gt;"",INDEX('Sales Orders'!C:C,MATCH('Booking Management'!B1397,'Sales Orders'!A:A,0)),"")</f>
        <v/>
      </c>
      <c r="K1397" s="31" t="str">
        <f t="shared" ca="1" si="66"/>
        <v/>
      </c>
      <c r="P1397" t="str">
        <f t="shared" si="68"/>
        <v/>
      </c>
      <c r="Q1397" t="str">
        <f>IFERROR((J1397/SUMIFS('Sales Orders'!D:D,'Sales Orders'!A:A,B1397))*SUMIFS('Sales Orders'!N:N,'Sales Orders'!A:A,B1397),"")</f>
        <v/>
      </c>
      <c r="W1397" s="31" t="str">
        <f t="shared" ca="1" si="67"/>
        <v/>
      </c>
      <c r="Z1397" s="31"/>
    </row>
    <row r="1398" spans="2:26">
      <c r="B1398" s="2"/>
      <c r="C1398" t="str">
        <f>IF(B1398&lt;&gt;"",INDEX('Sales Orders'!C:C,MATCH('Booking Management'!B1398,'Sales Orders'!A:A,0)),"")</f>
        <v/>
      </c>
      <c r="K1398" s="31" t="str">
        <f t="shared" ca="1" si="66"/>
        <v/>
      </c>
      <c r="P1398" t="str">
        <f t="shared" si="68"/>
        <v/>
      </c>
      <c r="Q1398" t="str">
        <f>IFERROR((J1398/SUMIFS('Sales Orders'!D:D,'Sales Orders'!A:A,B1398))*SUMIFS('Sales Orders'!N:N,'Sales Orders'!A:A,B1398),"")</f>
        <v/>
      </c>
      <c r="W1398" s="31" t="str">
        <f t="shared" ca="1" si="67"/>
        <v/>
      </c>
      <c r="Z1398" s="31"/>
    </row>
    <row r="1399" spans="2:26">
      <c r="B1399" s="2"/>
      <c r="C1399" t="str">
        <f>IF(B1399&lt;&gt;"",INDEX('Sales Orders'!C:C,MATCH('Booking Management'!B1399,'Sales Orders'!A:A,0)),"")</f>
        <v/>
      </c>
      <c r="K1399" s="31" t="str">
        <f t="shared" ca="1" si="66"/>
        <v/>
      </c>
      <c r="P1399" t="str">
        <f t="shared" si="68"/>
        <v/>
      </c>
      <c r="Q1399" t="str">
        <f>IFERROR((J1399/SUMIFS('Sales Orders'!D:D,'Sales Orders'!A:A,B1399))*SUMIFS('Sales Orders'!N:N,'Sales Orders'!A:A,B1399),"")</f>
        <v/>
      </c>
      <c r="W1399" s="31" t="str">
        <f t="shared" ca="1" si="67"/>
        <v/>
      </c>
      <c r="Z1399" s="31"/>
    </row>
    <row r="1400" spans="2:26">
      <c r="B1400" s="2"/>
      <c r="C1400" t="str">
        <f>IF(B1400&lt;&gt;"",INDEX('Sales Orders'!C:C,MATCH('Booking Management'!B1400,'Sales Orders'!A:A,0)),"")</f>
        <v/>
      </c>
      <c r="K1400" s="31" t="str">
        <f t="shared" ca="1" si="66"/>
        <v/>
      </c>
      <c r="P1400" t="str">
        <f t="shared" si="68"/>
        <v/>
      </c>
      <c r="Q1400" t="str">
        <f>IFERROR((J1400/SUMIFS('Sales Orders'!D:D,'Sales Orders'!A:A,B1400))*SUMIFS('Sales Orders'!N:N,'Sales Orders'!A:A,B1400),"")</f>
        <v/>
      </c>
      <c r="W1400" s="31" t="str">
        <f t="shared" ca="1" si="67"/>
        <v/>
      </c>
      <c r="Z1400" s="31"/>
    </row>
    <row r="1401" spans="2:26">
      <c r="B1401" s="2"/>
      <c r="C1401" t="str">
        <f>IF(B1401&lt;&gt;"",INDEX('Sales Orders'!C:C,MATCH('Booking Management'!B1401,'Sales Orders'!A:A,0)),"")</f>
        <v/>
      </c>
      <c r="K1401" s="31" t="str">
        <f t="shared" ca="1" si="66"/>
        <v/>
      </c>
      <c r="P1401" t="str">
        <f t="shared" si="68"/>
        <v/>
      </c>
      <c r="Q1401" t="str">
        <f>IFERROR((J1401/SUMIFS('Sales Orders'!D:D,'Sales Orders'!A:A,B1401))*SUMIFS('Sales Orders'!N:N,'Sales Orders'!A:A,B1401),"")</f>
        <v/>
      </c>
      <c r="W1401" s="31" t="str">
        <f t="shared" ca="1" si="67"/>
        <v/>
      </c>
      <c r="Z1401" s="31"/>
    </row>
    <row r="1402" spans="2:26">
      <c r="B1402" s="2"/>
      <c r="C1402" t="str">
        <f>IF(B1402&lt;&gt;"",INDEX('Sales Orders'!C:C,MATCH('Booking Management'!B1402,'Sales Orders'!A:A,0)),"")</f>
        <v/>
      </c>
      <c r="K1402" s="31" t="str">
        <f t="shared" ca="1" si="66"/>
        <v/>
      </c>
      <c r="P1402" t="str">
        <f t="shared" si="68"/>
        <v/>
      </c>
      <c r="Q1402" t="str">
        <f>IFERROR((J1402/SUMIFS('Sales Orders'!D:D,'Sales Orders'!A:A,B1402))*SUMIFS('Sales Orders'!N:N,'Sales Orders'!A:A,B1402),"")</f>
        <v/>
      </c>
      <c r="W1402" s="31" t="str">
        <f t="shared" ca="1" si="67"/>
        <v/>
      </c>
      <c r="Z1402" s="31"/>
    </row>
    <row r="1403" spans="2:26">
      <c r="B1403" s="2"/>
      <c r="C1403" t="str">
        <f>IF(B1403&lt;&gt;"",INDEX('Sales Orders'!C:C,MATCH('Booking Management'!B1403,'Sales Orders'!A:A,0)),"")</f>
        <v/>
      </c>
      <c r="K1403" s="31" t="str">
        <f t="shared" ca="1" si="66"/>
        <v/>
      </c>
      <c r="P1403" t="str">
        <f t="shared" si="68"/>
        <v/>
      </c>
      <c r="Q1403" t="str">
        <f>IFERROR((J1403/SUMIFS('Sales Orders'!D:D,'Sales Orders'!A:A,B1403))*SUMIFS('Sales Orders'!N:N,'Sales Orders'!A:A,B1403),"")</f>
        <v/>
      </c>
      <c r="W1403" s="31" t="str">
        <f t="shared" ca="1" si="67"/>
        <v/>
      </c>
      <c r="Z1403" s="31"/>
    </row>
    <row r="1404" spans="2:26">
      <c r="B1404" s="2"/>
      <c r="C1404" t="str">
        <f>IF(B1404&lt;&gt;"",INDEX('Sales Orders'!C:C,MATCH('Booking Management'!B1404,'Sales Orders'!A:A,0)),"")</f>
        <v/>
      </c>
      <c r="K1404" s="31" t="str">
        <f t="shared" ca="1" si="66"/>
        <v/>
      </c>
      <c r="P1404" t="str">
        <f t="shared" si="68"/>
        <v/>
      </c>
      <c r="Q1404" t="str">
        <f>IFERROR((J1404/SUMIFS('Sales Orders'!D:D,'Sales Orders'!A:A,B1404))*SUMIFS('Sales Orders'!N:N,'Sales Orders'!A:A,B1404),"")</f>
        <v/>
      </c>
      <c r="W1404" s="31" t="str">
        <f t="shared" ca="1" si="67"/>
        <v/>
      </c>
      <c r="Z1404" s="31"/>
    </row>
    <row r="1405" spans="2:26">
      <c r="B1405" s="2"/>
      <c r="C1405" t="str">
        <f>IF(B1405&lt;&gt;"",INDEX('Sales Orders'!C:C,MATCH('Booking Management'!B1405,'Sales Orders'!A:A,0)),"")</f>
        <v/>
      </c>
      <c r="K1405" s="31" t="str">
        <f t="shared" ca="1" si="66"/>
        <v/>
      </c>
      <c r="P1405" t="str">
        <f t="shared" si="68"/>
        <v/>
      </c>
      <c r="Q1405" t="str">
        <f>IFERROR((J1405/SUMIFS('Sales Orders'!D:D,'Sales Orders'!A:A,B1405))*SUMIFS('Sales Orders'!N:N,'Sales Orders'!A:A,B1405),"")</f>
        <v/>
      </c>
      <c r="W1405" s="31" t="str">
        <f t="shared" ca="1" si="67"/>
        <v/>
      </c>
      <c r="Z1405" s="31"/>
    </row>
    <row r="1406" spans="2:26">
      <c r="B1406" s="2"/>
      <c r="C1406" t="str">
        <f>IF(B1406&lt;&gt;"",INDEX('Sales Orders'!C:C,MATCH('Booking Management'!B1406,'Sales Orders'!A:A,0)),"")</f>
        <v/>
      </c>
      <c r="K1406" s="31" t="str">
        <f t="shared" ca="1" si="66"/>
        <v/>
      </c>
      <c r="P1406" t="str">
        <f t="shared" si="68"/>
        <v/>
      </c>
      <c r="Q1406" t="str">
        <f>IFERROR((J1406/SUMIFS('Sales Orders'!D:D,'Sales Orders'!A:A,B1406))*SUMIFS('Sales Orders'!N:N,'Sales Orders'!A:A,B1406),"")</f>
        <v/>
      </c>
      <c r="W1406" s="31" t="str">
        <f t="shared" ca="1" si="67"/>
        <v/>
      </c>
      <c r="Z1406" s="31"/>
    </row>
    <row r="1407" spans="2:26">
      <c r="B1407" s="2"/>
      <c r="C1407" t="str">
        <f>IF(B1407&lt;&gt;"",INDEX('Sales Orders'!C:C,MATCH('Booking Management'!B1407,'Sales Orders'!A:A,0)),"")</f>
        <v/>
      </c>
      <c r="K1407" s="31" t="str">
        <f t="shared" ca="1" si="66"/>
        <v/>
      </c>
      <c r="P1407" t="str">
        <f t="shared" si="68"/>
        <v/>
      </c>
      <c r="Q1407" t="str">
        <f>IFERROR((J1407/SUMIFS('Sales Orders'!D:D,'Sales Orders'!A:A,B1407))*SUMIFS('Sales Orders'!N:N,'Sales Orders'!A:A,B1407),"")</f>
        <v/>
      </c>
      <c r="W1407" s="31" t="str">
        <f t="shared" ca="1" si="67"/>
        <v/>
      </c>
      <c r="Z1407" s="31"/>
    </row>
    <row r="1408" spans="2:26">
      <c r="B1408" s="2"/>
      <c r="C1408" t="str">
        <f>IF(B1408&lt;&gt;"",INDEX('Sales Orders'!C:C,MATCH('Booking Management'!B1408,'Sales Orders'!A:A,0)),"")</f>
        <v/>
      </c>
      <c r="K1408" s="31" t="str">
        <f t="shared" ca="1" si="66"/>
        <v/>
      </c>
      <c r="P1408" t="str">
        <f t="shared" si="68"/>
        <v/>
      </c>
      <c r="Q1408" t="str">
        <f>IFERROR((J1408/SUMIFS('Sales Orders'!D:D,'Sales Orders'!A:A,B1408))*SUMIFS('Sales Orders'!N:N,'Sales Orders'!A:A,B1408),"")</f>
        <v/>
      </c>
      <c r="W1408" s="31" t="str">
        <f t="shared" ca="1" si="67"/>
        <v/>
      </c>
      <c r="Z1408" s="31"/>
    </row>
    <row r="1409" spans="2:26">
      <c r="B1409" s="2"/>
      <c r="C1409" t="str">
        <f>IF(B1409&lt;&gt;"",INDEX('Sales Orders'!C:C,MATCH('Booking Management'!B1409,'Sales Orders'!A:A,0)),"")</f>
        <v/>
      </c>
      <c r="K1409" s="31" t="str">
        <f t="shared" ca="1" si="66"/>
        <v/>
      </c>
      <c r="P1409" t="str">
        <f t="shared" si="68"/>
        <v/>
      </c>
      <c r="Q1409" t="str">
        <f>IFERROR((J1409/SUMIFS('Sales Orders'!D:D,'Sales Orders'!A:A,B1409))*SUMIFS('Sales Orders'!N:N,'Sales Orders'!A:A,B1409),"")</f>
        <v/>
      </c>
      <c r="W1409" s="31" t="str">
        <f t="shared" ca="1" si="67"/>
        <v/>
      </c>
      <c r="Z1409" s="31"/>
    </row>
    <row r="1410" spans="2:26">
      <c r="B1410" s="2"/>
      <c r="C1410" t="str">
        <f>IF(B1410&lt;&gt;"",INDEX('Sales Orders'!C:C,MATCH('Booking Management'!B1410,'Sales Orders'!A:A,0)),"")</f>
        <v/>
      </c>
      <c r="K1410" s="31" t="str">
        <f t="shared" ca="1" si="66"/>
        <v/>
      </c>
      <c r="P1410" t="str">
        <f t="shared" si="68"/>
        <v/>
      </c>
      <c r="Q1410" t="str">
        <f>IFERROR((J1410/SUMIFS('Sales Orders'!D:D,'Sales Orders'!A:A,B1410))*SUMIFS('Sales Orders'!N:N,'Sales Orders'!A:A,B1410),"")</f>
        <v/>
      </c>
      <c r="W1410" s="31" t="str">
        <f t="shared" ca="1" si="67"/>
        <v/>
      </c>
      <c r="Z1410" s="31"/>
    </row>
    <row r="1411" spans="2:26">
      <c r="B1411" s="2"/>
      <c r="C1411" t="str">
        <f>IF(B1411&lt;&gt;"",INDEX('Sales Orders'!C:C,MATCH('Booking Management'!B1411,'Sales Orders'!A:A,0)),"")</f>
        <v/>
      </c>
      <c r="K1411" s="31" t="str">
        <f t="shared" ref="K1411:K1474" ca="1" si="69">IF(B1411&lt;&gt;"",IF(AND(OR(L1411-TODAY()&lt;2,M1411&lt;&gt;"yes",N1411&lt;&gt;"yes",O1411&lt;&gt;"yes"),S1411&lt;&gt;"Used"),"Alert",""),"")</f>
        <v/>
      </c>
      <c r="P1411" t="str">
        <f t="shared" si="68"/>
        <v/>
      </c>
      <c r="Q1411" t="str">
        <f>IFERROR((J1411/SUMIFS('Sales Orders'!D:D,'Sales Orders'!A:A,B1411))*SUMIFS('Sales Orders'!N:N,'Sales Orders'!A:A,B1411),"")</f>
        <v/>
      </c>
      <c r="W1411" s="31" t="str">
        <f t="shared" ca="1" si="67"/>
        <v/>
      </c>
      <c r="Z1411" s="31"/>
    </row>
    <row r="1412" spans="2:26">
      <c r="B1412" s="2"/>
      <c r="C1412" t="str">
        <f>IF(B1412&lt;&gt;"",INDEX('Sales Orders'!C:C,MATCH('Booking Management'!B1412,'Sales Orders'!A:A,0)),"")</f>
        <v/>
      </c>
      <c r="K1412" s="31" t="str">
        <f t="shared" ca="1" si="69"/>
        <v/>
      </c>
      <c r="P1412" t="str">
        <f t="shared" si="68"/>
        <v/>
      </c>
      <c r="Q1412" t="str">
        <f>IFERROR((J1412/SUMIFS('Sales Orders'!D:D,'Sales Orders'!A:A,B1412))*SUMIFS('Sales Orders'!N:N,'Sales Orders'!A:A,B1412),"")</f>
        <v/>
      </c>
      <c r="W1412" s="31" t="str">
        <f t="shared" ca="1" si="67"/>
        <v/>
      </c>
      <c r="Z1412" s="31"/>
    </row>
    <row r="1413" spans="2:26">
      <c r="B1413" s="2"/>
      <c r="C1413" t="str">
        <f>IF(B1413&lt;&gt;"",INDEX('Sales Orders'!C:C,MATCH('Booking Management'!B1413,'Sales Orders'!A:A,0)),"")</f>
        <v/>
      </c>
      <c r="K1413" s="31" t="str">
        <f t="shared" ca="1" si="69"/>
        <v/>
      </c>
      <c r="P1413" t="str">
        <f t="shared" si="68"/>
        <v/>
      </c>
      <c r="Q1413" t="str">
        <f>IFERROR((J1413/SUMIFS('Sales Orders'!D:D,'Sales Orders'!A:A,B1413))*SUMIFS('Sales Orders'!N:N,'Sales Orders'!A:A,B1413),"")</f>
        <v/>
      </c>
      <c r="W1413" s="31" t="str">
        <f t="shared" ca="1" si="67"/>
        <v/>
      </c>
      <c r="Z1413" s="31"/>
    </row>
    <row r="1414" spans="2:26">
      <c r="B1414" s="2"/>
      <c r="C1414" t="str">
        <f>IF(B1414&lt;&gt;"",INDEX('Sales Orders'!C:C,MATCH('Booking Management'!B1414,'Sales Orders'!A:A,0)),"")</f>
        <v/>
      </c>
      <c r="K1414" s="31" t="str">
        <f t="shared" ca="1" si="69"/>
        <v/>
      </c>
      <c r="P1414" t="str">
        <f t="shared" si="68"/>
        <v/>
      </c>
      <c r="Q1414" t="str">
        <f>IFERROR((J1414/SUMIFS('Sales Orders'!D:D,'Sales Orders'!A:A,B1414))*SUMIFS('Sales Orders'!N:N,'Sales Orders'!A:A,B1414),"")</f>
        <v/>
      </c>
      <c r="W1414" s="31" t="str">
        <f t="shared" ca="1" si="67"/>
        <v/>
      </c>
      <c r="Z1414" s="31"/>
    </row>
    <row r="1415" spans="2:26">
      <c r="B1415" s="2"/>
      <c r="C1415" t="str">
        <f>IF(B1415&lt;&gt;"",INDEX('Sales Orders'!C:C,MATCH('Booking Management'!B1415,'Sales Orders'!A:A,0)),"")</f>
        <v/>
      </c>
      <c r="K1415" s="31" t="str">
        <f t="shared" ca="1" si="69"/>
        <v/>
      </c>
      <c r="P1415" t="str">
        <f t="shared" si="68"/>
        <v/>
      </c>
      <c r="Q1415" t="str">
        <f>IFERROR((J1415/SUMIFS('Sales Orders'!D:D,'Sales Orders'!A:A,B1415))*SUMIFS('Sales Orders'!N:N,'Sales Orders'!A:A,B1415),"")</f>
        <v/>
      </c>
      <c r="W1415" s="31" t="str">
        <f t="shared" ref="W1415:W1478" ca="1" si="70">IF(T1415&lt;&gt;"",IF(X1415="Yes","NO",IF((TODAY()-V1415)&gt;6,"YES","NO")),"")</f>
        <v/>
      </c>
      <c r="Z1415" s="31"/>
    </row>
    <row r="1416" spans="2:26">
      <c r="B1416" s="2"/>
      <c r="C1416" t="str">
        <f>IF(B1416&lt;&gt;"",INDEX('Sales Orders'!C:C,MATCH('Booking Management'!B1416,'Sales Orders'!A:A,0)),"")</f>
        <v/>
      </c>
      <c r="K1416" s="31" t="str">
        <f t="shared" ca="1" si="69"/>
        <v/>
      </c>
      <c r="P1416" t="str">
        <f t="shared" si="68"/>
        <v/>
      </c>
      <c r="Q1416" t="str">
        <f>IFERROR((J1416/SUMIFS('Sales Orders'!D:D,'Sales Orders'!A:A,B1416))*SUMIFS('Sales Orders'!N:N,'Sales Orders'!A:A,B1416),"")</f>
        <v/>
      </c>
      <c r="W1416" s="31" t="str">
        <f t="shared" ca="1" si="70"/>
        <v/>
      </c>
      <c r="Z1416" s="31"/>
    </row>
    <row r="1417" spans="2:26">
      <c r="B1417" s="2"/>
      <c r="C1417" t="str">
        <f>IF(B1417&lt;&gt;"",INDEX('Sales Orders'!C:C,MATCH('Booking Management'!B1417,'Sales Orders'!A:A,0)),"")</f>
        <v/>
      </c>
      <c r="K1417" s="31" t="str">
        <f t="shared" ca="1" si="69"/>
        <v/>
      </c>
      <c r="P1417" t="str">
        <f t="shared" si="68"/>
        <v/>
      </c>
      <c r="Q1417" t="str">
        <f>IFERROR((J1417/SUMIFS('Sales Orders'!D:D,'Sales Orders'!A:A,B1417))*SUMIFS('Sales Orders'!N:N,'Sales Orders'!A:A,B1417),"")</f>
        <v/>
      </c>
      <c r="W1417" s="31" t="str">
        <f t="shared" ca="1" si="70"/>
        <v/>
      </c>
      <c r="Z1417" s="31"/>
    </row>
    <row r="1418" spans="2:26">
      <c r="B1418" s="2"/>
      <c r="C1418" t="str">
        <f>IF(B1418&lt;&gt;"",INDEX('Sales Orders'!C:C,MATCH('Booking Management'!B1418,'Sales Orders'!A:A,0)),"")</f>
        <v/>
      </c>
      <c r="K1418" s="31" t="str">
        <f t="shared" ca="1" si="69"/>
        <v/>
      </c>
      <c r="P1418" t="str">
        <f t="shared" si="68"/>
        <v/>
      </c>
      <c r="Q1418" t="str">
        <f>IFERROR((J1418/SUMIFS('Sales Orders'!D:D,'Sales Orders'!A:A,B1418))*SUMIFS('Sales Orders'!N:N,'Sales Orders'!A:A,B1418),"")</f>
        <v/>
      </c>
      <c r="W1418" s="31" t="str">
        <f t="shared" ca="1" si="70"/>
        <v/>
      </c>
      <c r="Z1418" s="31"/>
    </row>
    <row r="1419" spans="2:26">
      <c r="B1419" s="2"/>
      <c r="C1419" t="str">
        <f>IF(B1419&lt;&gt;"",INDEX('Sales Orders'!C:C,MATCH('Booking Management'!B1419,'Sales Orders'!A:A,0)),"")</f>
        <v/>
      </c>
      <c r="K1419" s="31" t="str">
        <f t="shared" ca="1" si="69"/>
        <v/>
      </c>
      <c r="P1419" t="str">
        <f t="shared" si="68"/>
        <v/>
      </c>
      <c r="Q1419" t="str">
        <f>IFERROR((J1419/SUMIFS('Sales Orders'!D:D,'Sales Orders'!A:A,B1419))*SUMIFS('Sales Orders'!N:N,'Sales Orders'!A:A,B1419),"")</f>
        <v/>
      </c>
      <c r="W1419" s="31" t="str">
        <f t="shared" ca="1" si="70"/>
        <v/>
      </c>
      <c r="Z1419" s="31"/>
    </row>
    <row r="1420" spans="2:26">
      <c r="B1420" s="2"/>
      <c r="C1420" t="str">
        <f>IF(B1420&lt;&gt;"",INDEX('Sales Orders'!C:C,MATCH('Booking Management'!B1420,'Sales Orders'!A:A,0)),"")</f>
        <v/>
      </c>
      <c r="K1420" s="31" t="str">
        <f t="shared" ca="1" si="69"/>
        <v/>
      </c>
      <c r="P1420" t="str">
        <f t="shared" si="68"/>
        <v/>
      </c>
      <c r="Q1420" t="str">
        <f>IFERROR((J1420/SUMIFS('Sales Orders'!D:D,'Sales Orders'!A:A,B1420))*SUMIFS('Sales Orders'!N:N,'Sales Orders'!A:A,B1420),"")</f>
        <v/>
      </c>
      <c r="W1420" s="31" t="str">
        <f t="shared" ca="1" si="70"/>
        <v/>
      </c>
      <c r="Z1420" s="31"/>
    </row>
    <row r="1421" spans="2:26">
      <c r="B1421" s="2"/>
      <c r="C1421" t="str">
        <f>IF(B1421&lt;&gt;"",INDEX('Sales Orders'!C:C,MATCH('Booking Management'!B1421,'Sales Orders'!A:A,0)),"")</f>
        <v/>
      </c>
      <c r="K1421" s="31" t="str">
        <f t="shared" ca="1" si="69"/>
        <v/>
      </c>
      <c r="P1421" t="str">
        <f t="shared" si="68"/>
        <v/>
      </c>
      <c r="Q1421" t="str">
        <f>IFERROR((J1421/SUMIFS('Sales Orders'!D:D,'Sales Orders'!A:A,B1421))*SUMIFS('Sales Orders'!N:N,'Sales Orders'!A:A,B1421),"")</f>
        <v/>
      </c>
      <c r="W1421" s="31" t="str">
        <f t="shared" ca="1" si="70"/>
        <v/>
      </c>
      <c r="Z1421" s="31"/>
    </row>
    <row r="1422" spans="2:26">
      <c r="B1422" s="2"/>
      <c r="C1422" t="str">
        <f>IF(B1422&lt;&gt;"",INDEX('Sales Orders'!C:C,MATCH('Booking Management'!B1422,'Sales Orders'!A:A,0)),"")</f>
        <v/>
      </c>
      <c r="K1422" s="31" t="str">
        <f t="shared" ca="1" si="69"/>
        <v/>
      </c>
      <c r="P1422" t="str">
        <f t="shared" si="68"/>
        <v/>
      </c>
      <c r="Q1422" t="str">
        <f>IFERROR((J1422/SUMIFS('Sales Orders'!D:D,'Sales Orders'!A:A,B1422))*SUMIFS('Sales Orders'!N:N,'Sales Orders'!A:A,B1422),"")</f>
        <v/>
      </c>
      <c r="W1422" s="31" t="str">
        <f t="shared" ca="1" si="70"/>
        <v/>
      </c>
      <c r="Z1422" s="31"/>
    </row>
    <row r="1423" spans="2:26">
      <c r="B1423" s="2"/>
      <c r="C1423" t="str">
        <f>IF(B1423&lt;&gt;"",INDEX('Sales Orders'!C:C,MATCH('Booking Management'!B1423,'Sales Orders'!A:A,0)),"")</f>
        <v/>
      </c>
      <c r="K1423" s="31" t="str">
        <f t="shared" ca="1" si="69"/>
        <v/>
      </c>
      <c r="P1423" t="str">
        <f t="shared" si="68"/>
        <v/>
      </c>
      <c r="Q1423" t="str">
        <f>IFERROR((J1423/SUMIFS('Sales Orders'!D:D,'Sales Orders'!A:A,B1423))*SUMIFS('Sales Orders'!N:N,'Sales Orders'!A:A,B1423),"")</f>
        <v/>
      </c>
      <c r="W1423" s="31" t="str">
        <f t="shared" ca="1" si="70"/>
        <v/>
      </c>
      <c r="Z1423" s="31"/>
    </row>
    <row r="1424" spans="2:26">
      <c r="B1424" s="2"/>
      <c r="C1424" t="str">
        <f>IF(B1424&lt;&gt;"",INDEX('Sales Orders'!C:C,MATCH('Booking Management'!B1424,'Sales Orders'!A:A,0)),"")</f>
        <v/>
      </c>
      <c r="K1424" s="31" t="str">
        <f t="shared" ca="1" si="69"/>
        <v/>
      </c>
      <c r="P1424" t="str">
        <f t="shared" si="68"/>
        <v/>
      </c>
      <c r="Q1424" t="str">
        <f>IFERROR((J1424/SUMIFS('Sales Orders'!D:D,'Sales Orders'!A:A,B1424))*SUMIFS('Sales Orders'!N:N,'Sales Orders'!A:A,B1424),"")</f>
        <v/>
      </c>
      <c r="W1424" s="31" t="str">
        <f t="shared" ca="1" si="70"/>
        <v/>
      </c>
      <c r="Z1424" s="31"/>
    </row>
    <row r="1425" spans="2:26">
      <c r="B1425" s="2"/>
      <c r="C1425" t="str">
        <f>IF(B1425&lt;&gt;"",INDEX('Sales Orders'!C:C,MATCH('Booking Management'!B1425,'Sales Orders'!A:A,0)),"")</f>
        <v/>
      </c>
      <c r="K1425" s="31" t="str">
        <f t="shared" ca="1" si="69"/>
        <v/>
      </c>
      <c r="P1425" t="str">
        <f t="shared" si="68"/>
        <v/>
      </c>
      <c r="Q1425" t="str">
        <f>IFERROR((J1425/SUMIFS('Sales Orders'!D:D,'Sales Orders'!A:A,B1425))*SUMIFS('Sales Orders'!N:N,'Sales Orders'!A:A,B1425),"")</f>
        <v/>
      </c>
      <c r="W1425" s="31" t="str">
        <f t="shared" ca="1" si="70"/>
        <v/>
      </c>
      <c r="Z1425" s="31"/>
    </row>
    <row r="1426" spans="2:26">
      <c r="B1426" s="2"/>
      <c r="C1426" t="str">
        <f>IF(B1426&lt;&gt;"",INDEX('Sales Orders'!C:C,MATCH('Booking Management'!B1426,'Sales Orders'!A:A,0)),"")</f>
        <v/>
      </c>
      <c r="K1426" s="31" t="str">
        <f t="shared" ca="1" si="69"/>
        <v/>
      </c>
      <c r="P1426" t="str">
        <f t="shared" si="68"/>
        <v/>
      </c>
      <c r="Q1426" t="str">
        <f>IFERROR((J1426/SUMIFS('Sales Orders'!D:D,'Sales Orders'!A:A,B1426))*SUMIFS('Sales Orders'!N:N,'Sales Orders'!A:A,B1426),"")</f>
        <v/>
      </c>
      <c r="W1426" s="31" t="str">
        <f t="shared" ca="1" si="70"/>
        <v/>
      </c>
      <c r="Z1426" s="31"/>
    </row>
    <row r="1427" spans="2:26">
      <c r="B1427" s="2"/>
      <c r="C1427" t="str">
        <f>IF(B1427&lt;&gt;"",INDEX('Sales Orders'!C:C,MATCH('Booking Management'!B1427,'Sales Orders'!A:A,0)),"")</f>
        <v/>
      </c>
      <c r="K1427" s="31" t="str">
        <f t="shared" ca="1" si="69"/>
        <v/>
      </c>
      <c r="P1427" t="str">
        <f t="shared" si="68"/>
        <v/>
      </c>
      <c r="Q1427" t="str">
        <f>IFERROR((J1427/SUMIFS('Sales Orders'!D:D,'Sales Orders'!A:A,B1427))*SUMIFS('Sales Orders'!N:N,'Sales Orders'!A:A,B1427),"")</f>
        <v/>
      </c>
      <c r="W1427" s="31" t="str">
        <f t="shared" ca="1" si="70"/>
        <v/>
      </c>
      <c r="Z1427" s="31"/>
    </row>
    <row r="1428" spans="2:26">
      <c r="B1428" s="2"/>
      <c r="C1428" t="str">
        <f>IF(B1428&lt;&gt;"",INDEX('Sales Orders'!C:C,MATCH('Booking Management'!B1428,'Sales Orders'!A:A,0)),"")</f>
        <v/>
      </c>
      <c r="K1428" s="31" t="str">
        <f t="shared" ca="1" si="69"/>
        <v/>
      </c>
      <c r="P1428" t="str">
        <f t="shared" si="68"/>
        <v/>
      </c>
      <c r="Q1428" t="str">
        <f>IFERROR((J1428/SUMIFS('Sales Orders'!D:D,'Sales Orders'!A:A,B1428))*SUMIFS('Sales Orders'!N:N,'Sales Orders'!A:A,B1428),"")</f>
        <v/>
      </c>
      <c r="W1428" s="31" t="str">
        <f t="shared" ca="1" si="70"/>
        <v/>
      </c>
      <c r="Z1428" s="31"/>
    </row>
    <row r="1429" spans="2:26">
      <c r="B1429" s="2"/>
      <c r="C1429" t="str">
        <f>IF(B1429&lt;&gt;"",INDEX('Sales Orders'!C:C,MATCH('Booking Management'!B1429,'Sales Orders'!A:A,0)),"")</f>
        <v/>
      </c>
      <c r="K1429" s="31" t="str">
        <f t="shared" ca="1" si="69"/>
        <v/>
      </c>
      <c r="P1429" t="str">
        <f t="shared" si="68"/>
        <v/>
      </c>
      <c r="Q1429" t="str">
        <f>IFERROR((J1429/SUMIFS('Sales Orders'!D:D,'Sales Orders'!A:A,B1429))*SUMIFS('Sales Orders'!N:N,'Sales Orders'!A:A,B1429),"")</f>
        <v/>
      </c>
      <c r="W1429" s="31" t="str">
        <f t="shared" ca="1" si="70"/>
        <v/>
      </c>
      <c r="Z1429" s="31"/>
    </row>
    <row r="1430" spans="2:26">
      <c r="B1430" s="2"/>
      <c r="C1430" t="str">
        <f>IF(B1430&lt;&gt;"",INDEX('Sales Orders'!C:C,MATCH('Booking Management'!B1430,'Sales Orders'!A:A,0)),"")</f>
        <v/>
      </c>
      <c r="K1430" s="31" t="str">
        <f t="shared" ca="1" si="69"/>
        <v/>
      </c>
      <c r="P1430" t="str">
        <f t="shared" si="68"/>
        <v/>
      </c>
      <c r="Q1430" t="str">
        <f>IFERROR((J1430/SUMIFS('Sales Orders'!D:D,'Sales Orders'!A:A,B1430))*SUMIFS('Sales Orders'!N:N,'Sales Orders'!A:A,B1430),"")</f>
        <v/>
      </c>
      <c r="W1430" s="31" t="str">
        <f t="shared" ca="1" si="70"/>
        <v/>
      </c>
      <c r="Z1430" s="31"/>
    </row>
    <row r="1431" spans="2:26">
      <c r="B1431" s="2"/>
      <c r="C1431" t="str">
        <f>IF(B1431&lt;&gt;"",INDEX('Sales Orders'!C:C,MATCH('Booking Management'!B1431,'Sales Orders'!A:A,0)),"")</f>
        <v/>
      </c>
      <c r="K1431" s="31" t="str">
        <f t="shared" ca="1" si="69"/>
        <v/>
      </c>
      <c r="P1431" t="str">
        <f t="shared" si="68"/>
        <v/>
      </c>
      <c r="Q1431" t="str">
        <f>IFERROR((J1431/SUMIFS('Sales Orders'!D:D,'Sales Orders'!A:A,B1431))*SUMIFS('Sales Orders'!N:N,'Sales Orders'!A:A,B1431),"")</f>
        <v/>
      </c>
      <c r="W1431" s="31" t="str">
        <f t="shared" ca="1" si="70"/>
        <v/>
      </c>
      <c r="Z1431" s="31"/>
    </row>
    <row r="1432" spans="2:26">
      <c r="B1432" s="2"/>
      <c r="C1432" t="str">
        <f>IF(B1432&lt;&gt;"",INDEX('Sales Orders'!C:C,MATCH('Booking Management'!B1432,'Sales Orders'!A:A,0)),"")</f>
        <v/>
      </c>
      <c r="K1432" s="31" t="str">
        <f t="shared" ca="1" si="69"/>
        <v/>
      </c>
      <c r="P1432" t="str">
        <f t="shared" si="68"/>
        <v/>
      </c>
      <c r="Q1432" t="str">
        <f>IFERROR((J1432/SUMIFS('Sales Orders'!D:D,'Sales Orders'!A:A,B1432))*SUMIFS('Sales Orders'!N:N,'Sales Orders'!A:A,B1432),"")</f>
        <v/>
      </c>
      <c r="W1432" s="31" t="str">
        <f t="shared" ca="1" si="70"/>
        <v/>
      </c>
      <c r="Z1432" s="31"/>
    </row>
    <row r="1433" spans="2:26">
      <c r="B1433" s="2"/>
      <c r="C1433" t="str">
        <f>IF(B1433&lt;&gt;"",INDEX('Sales Orders'!C:C,MATCH('Booking Management'!B1433,'Sales Orders'!A:A,0)),"")</f>
        <v/>
      </c>
      <c r="K1433" s="31" t="str">
        <f t="shared" ca="1" si="69"/>
        <v/>
      </c>
      <c r="P1433" t="str">
        <f t="shared" si="68"/>
        <v/>
      </c>
      <c r="Q1433" t="str">
        <f>IFERROR((J1433/SUMIFS('Sales Orders'!D:D,'Sales Orders'!A:A,B1433))*SUMIFS('Sales Orders'!N:N,'Sales Orders'!A:A,B1433),"")</f>
        <v/>
      </c>
      <c r="W1433" s="31" t="str">
        <f t="shared" ca="1" si="70"/>
        <v/>
      </c>
      <c r="Z1433" s="31"/>
    </row>
    <row r="1434" spans="2:26">
      <c r="B1434" s="2"/>
      <c r="C1434" t="str">
        <f>IF(B1434&lt;&gt;"",INDEX('Sales Orders'!C:C,MATCH('Booking Management'!B1434,'Sales Orders'!A:A,0)),"")</f>
        <v/>
      </c>
      <c r="K1434" s="31" t="str">
        <f t="shared" ca="1" si="69"/>
        <v/>
      </c>
      <c r="P1434" t="str">
        <f t="shared" si="68"/>
        <v/>
      </c>
      <c r="Q1434" t="str">
        <f>IFERROR((J1434/SUMIFS('Sales Orders'!D:D,'Sales Orders'!A:A,B1434))*SUMIFS('Sales Orders'!N:N,'Sales Orders'!A:A,B1434),"")</f>
        <v/>
      </c>
      <c r="W1434" s="31" t="str">
        <f t="shared" ca="1" si="70"/>
        <v/>
      </c>
      <c r="Z1434" s="31"/>
    </row>
    <row r="1435" spans="2:26">
      <c r="B1435" s="2"/>
      <c r="C1435" t="str">
        <f>IF(B1435&lt;&gt;"",INDEX('Sales Orders'!C:C,MATCH('Booking Management'!B1435,'Sales Orders'!A:A,0)),"")</f>
        <v/>
      </c>
      <c r="K1435" s="31" t="str">
        <f t="shared" ca="1" si="69"/>
        <v/>
      </c>
      <c r="P1435" t="str">
        <f t="shared" si="68"/>
        <v/>
      </c>
      <c r="Q1435" t="str">
        <f>IFERROR((J1435/SUMIFS('Sales Orders'!D:D,'Sales Orders'!A:A,B1435))*SUMIFS('Sales Orders'!N:N,'Sales Orders'!A:A,B1435),"")</f>
        <v/>
      </c>
      <c r="W1435" s="31" t="str">
        <f t="shared" ca="1" si="70"/>
        <v/>
      </c>
      <c r="Z1435" s="31"/>
    </row>
    <row r="1436" spans="2:26">
      <c r="B1436" s="2"/>
      <c r="C1436" t="str">
        <f>IF(B1436&lt;&gt;"",INDEX('Sales Orders'!C:C,MATCH('Booking Management'!B1436,'Sales Orders'!A:A,0)),"")</f>
        <v/>
      </c>
      <c r="K1436" s="31" t="str">
        <f t="shared" ca="1" si="69"/>
        <v/>
      </c>
      <c r="P1436" t="str">
        <f t="shared" si="68"/>
        <v/>
      </c>
      <c r="Q1436" t="str">
        <f>IFERROR((J1436/SUMIFS('Sales Orders'!D:D,'Sales Orders'!A:A,B1436))*SUMIFS('Sales Orders'!N:N,'Sales Orders'!A:A,B1436),"")</f>
        <v/>
      </c>
      <c r="W1436" s="31" t="str">
        <f t="shared" ca="1" si="70"/>
        <v/>
      </c>
      <c r="Z1436" s="31"/>
    </row>
    <row r="1437" spans="2:26">
      <c r="B1437" s="2"/>
      <c r="C1437" t="str">
        <f>IF(B1437&lt;&gt;"",INDEX('Sales Orders'!C:C,MATCH('Booking Management'!B1437,'Sales Orders'!A:A,0)),"")</f>
        <v/>
      </c>
      <c r="K1437" s="31" t="str">
        <f t="shared" ca="1" si="69"/>
        <v/>
      </c>
      <c r="P1437" t="str">
        <f t="shared" si="68"/>
        <v/>
      </c>
      <c r="Q1437" t="str">
        <f>IFERROR((J1437/SUMIFS('Sales Orders'!D:D,'Sales Orders'!A:A,B1437))*SUMIFS('Sales Orders'!N:N,'Sales Orders'!A:A,B1437),"")</f>
        <v/>
      </c>
      <c r="W1437" s="31" t="str">
        <f t="shared" ca="1" si="70"/>
        <v/>
      </c>
      <c r="Z1437" s="31"/>
    </row>
    <row r="1438" spans="2:26">
      <c r="B1438" s="2"/>
      <c r="C1438" t="str">
        <f>IF(B1438&lt;&gt;"",INDEX('Sales Orders'!C:C,MATCH('Booking Management'!B1438,'Sales Orders'!A:A,0)),"")</f>
        <v/>
      </c>
      <c r="K1438" s="31" t="str">
        <f t="shared" ca="1" si="69"/>
        <v/>
      </c>
      <c r="P1438" t="str">
        <f t="shared" si="68"/>
        <v/>
      </c>
      <c r="Q1438" t="str">
        <f>IFERROR((J1438/SUMIFS('Sales Orders'!D:D,'Sales Orders'!A:A,B1438))*SUMIFS('Sales Orders'!N:N,'Sales Orders'!A:A,B1438),"")</f>
        <v/>
      </c>
      <c r="W1438" s="31" t="str">
        <f t="shared" ca="1" si="70"/>
        <v/>
      </c>
      <c r="Z1438" s="31"/>
    </row>
    <row r="1439" spans="2:26">
      <c r="B1439" s="2"/>
      <c r="C1439" t="str">
        <f>IF(B1439&lt;&gt;"",INDEX('Sales Orders'!C:C,MATCH('Booking Management'!B1439,'Sales Orders'!A:A,0)),"")</f>
        <v/>
      </c>
      <c r="K1439" s="31" t="str">
        <f t="shared" ca="1" si="69"/>
        <v/>
      </c>
      <c r="P1439" t="str">
        <f t="shared" si="68"/>
        <v/>
      </c>
      <c r="Q1439" t="str">
        <f>IFERROR((J1439/SUMIFS('Sales Orders'!D:D,'Sales Orders'!A:A,B1439))*SUMIFS('Sales Orders'!N:N,'Sales Orders'!A:A,B1439),"")</f>
        <v/>
      </c>
      <c r="W1439" s="31" t="str">
        <f t="shared" ca="1" si="70"/>
        <v/>
      </c>
      <c r="Z1439" s="31"/>
    </row>
    <row r="1440" spans="2:26">
      <c r="B1440" s="2"/>
      <c r="C1440" t="str">
        <f>IF(B1440&lt;&gt;"",INDEX('Sales Orders'!C:C,MATCH('Booking Management'!B1440,'Sales Orders'!A:A,0)),"")</f>
        <v/>
      </c>
      <c r="K1440" s="31" t="str">
        <f t="shared" ca="1" si="69"/>
        <v/>
      </c>
      <c r="P1440" t="str">
        <f t="shared" si="68"/>
        <v/>
      </c>
      <c r="Q1440" t="str">
        <f>IFERROR((J1440/SUMIFS('Sales Orders'!D:D,'Sales Orders'!A:A,B1440))*SUMIFS('Sales Orders'!N:N,'Sales Orders'!A:A,B1440),"")</f>
        <v/>
      </c>
      <c r="W1440" s="31" t="str">
        <f t="shared" ca="1" si="70"/>
        <v/>
      </c>
      <c r="Z1440" s="31"/>
    </row>
    <row r="1441" spans="2:26">
      <c r="B1441" s="2"/>
      <c r="C1441" t="str">
        <f>IF(B1441&lt;&gt;"",INDEX('Sales Orders'!C:C,MATCH('Booking Management'!B1441,'Sales Orders'!A:A,0)),"")</f>
        <v/>
      </c>
      <c r="K1441" s="31" t="str">
        <f t="shared" ca="1" si="69"/>
        <v/>
      </c>
      <c r="P1441" t="str">
        <f t="shared" ref="P1441:P1501" si="71">IF(B1441&lt;&gt;"",T1441-L1441,"")</f>
        <v/>
      </c>
      <c r="Q1441" t="str">
        <f>IFERROR((J1441/SUMIFS('Sales Orders'!D:D,'Sales Orders'!A:A,B1441))*SUMIFS('Sales Orders'!N:N,'Sales Orders'!A:A,B1441),"")</f>
        <v/>
      </c>
      <c r="W1441" s="31" t="str">
        <f t="shared" ca="1" si="70"/>
        <v/>
      </c>
      <c r="Z1441" s="31"/>
    </row>
    <row r="1442" spans="2:26">
      <c r="B1442" s="2"/>
      <c r="C1442" t="str">
        <f>IF(B1442&lt;&gt;"",INDEX('Sales Orders'!C:C,MATCH('Booking Management'!B1442,'Sales Orders'!A:A,0)),"")</f>
        <v/>
      </c>
      <c r="K1442" s="31" t="str">
        <f t="shared" ca="1" si="69"/>
        <v/>
      </c>
      <c r="P1442" t="str">
        <f t="shared" si="71"/>
        <v/>
      </c>
      <c r="Q1442" t="str">
        <f>IFERROR((J1442/SUMIFS('Sales Orders'!D:D,'Sales Orders'!A:A,B1442))*SUMIFS('Sales Orders'!N:N,'Sales Orders'!A:A,B1442),"")</f>
        <v/>
      </c>
      <c r="W1442" s="31" t="str">
        <f t="shared" ca="1" si="70"/>
        <v/>
      </c>
      <c r="Z1442" s="31"/>
    </row>
    <row r="1443" spans="2:26">
      <c r="B1443" s="2"/>
      <c r="C1443" t="str">
        <f>IF(B1443&lt;&gt;"",INDEX('Sales Orders'!C:C,MATCH('Booking Management'!B1443,'Sales Orders'!A:A,0)),"")</f>
        <v/>
      </c>
      <c r="K1443" s="31" t="str">
        <f t="shared" ca="1" si="69"/>
        <v/>
      </c>
      <c r="P1443" t="str">
        <f t="shared" si="71"/>
        <v/>
      </c>
      <c r="Q1443" t="str">
        <f>IFERROR((J1443/SUMIFS('Sales Orders'!D:D,'Sales Orders'!A:A,B1443))*SUMIFS('Sales Orders'!N:N,'Sales Orders'!A:A,B1443),"")</f>
        <v/>
      </c>
      <c r="W1443" s="31" t="str">
        <f t="shared" ca="1" si="70"/>
        <v/>
      </c>
      <c r="Z1443" s="31"/>
    </row>
    <row r="1444" spans="2:26">
      <c r="B1444" s="2"/>
      <c r="C1444" t="str">
        <f>IF(B1444&lt;&gt;"",INDEX('Sales Orders'!C:C,MATCH('Booking Management'!B1444,'Sales Orders'!A:A,0)),"")</f>
        <v/>
      </c>
      <c r="K1444" s="31" t="str">
        <f t="shared" ca="1" si="69"/>
        <v/>
      </c>
      <c r="P1444" t="str">
        <f t="shared" si="71"/>
        <v/>
      </c>
      <c r="Q1444" t="str">
        <f>IFERROR((J1444/SUMIFS('Sales Orders'!D:D,'Sales Orders'!A:A,B1444))*SUMIFS('Sales Orders'!N:N,'Sales Orders'!A:A,B1444),"")</f>
        <v/>
      </c>
      <c r="W1444" s="31" t="str">
        <f t="shared" ca="1" si="70"/>
        <v/>
      </c>
      <c r="Z1444" s="31"/>
    </row>
    <row r="1445" spans="2:26">
      <c r="B1445" s="2"/>
      <c r="C1445" t="str">
        <f>IF(B1445&lt;&gt;"",INDEX('Sales Orders'!C:C,MATCH('Booking Management'!B1445,'Sales Orders'!A:A,0)),"")</f>
        <v/>
      </c>
      <c r="K1445" s="31" t="str">
        <f t="shared" ca="1" si="69"/>
        <v/>
      </c>
      <c r="P1445" t="str">
        <f t="shared" si="71"/>
        <v/>
      </c>
      <c r="Q1445" t="str">
        <f>IFERROR((J1445/SUMIFS('Sales Orders'!D:D,'Sales Orders'!A:A,B1445))*SUMIFS('Sales Orders'!N:N,'Sales Orders'!A:A,B1445),"")</f>
        <v/>
      </c>
      <c r="W1445" s="31" t="str">
        <f t="shared" ca="1" si="70"/>
        <v/>
      </c>
      <c r="Z1445" s="31"/>
    </row>
    <row r="1446" spans="2:26">
      <c r="B1446" s="2"/>
      <c r="C1446" t="str">
        <f>IF(B1446&lt;&gt;"",INDEX('Sales Orders'!C:C,MATCH('Booking Management'!B1446,'Sales Orders'!A:A,0)),"")</f>
        <v/>
      </c>
      <c r="K1446" s="31" t="str">
        <f t="shared" ca="1" si="69"/>
        <v/>
      </c>
      <c r="P1446" t="str">
        <f t="shared" si="71"/>
        <v/>
      </c>
      <c r="Q1446" t="str">
        <f>IFERROR((J1446/SUMIFS('Sales Orders'!D:D,'Sales Orders'!A:A,B1446))*SUMIFS('Sales Orders'!N:N,'Sales Orders'!A:A,B1446),"")</f>
        <v/>
      </c>
      <c r="W1446" s="31" t="str">
        <f t="shared" ca="1" si="70"/>
        <v/>
      </c>
      <c r="Z1446" s="31"/>
    </row>
    <row r="1447" spans="2:26">
      <c r="B1447" s="2"/>
      <c r="C1447" t="str">
        <f>IF(B1447&lt;&gt;"",INDEX('Sales Orders'!C:C,MATCH('Booking Management'!B1447,'Sales Orders'!A:A,0)),"")</f>
        <v/>
      </c>
      <c r="K1447" s="31" t="str">
        <f t="shared" ca="1" si="69"/>
        <v/>
      </c>
      <c r="P1447" t="str">
        <f t="shared" si="71"/>
        <v/>
      </c>
      <c r="Q1447" t="str">
        <f>IFERROR((J1447/SUMIFS('Sales Orders'!D:D,'Sales Orders'!A:A,B1447))*SUMIFS('Sales Orders'!N:N,'Sales Orders'!A:A,B1447),"")</f>
        <v/>
      </c>
      <c r="W1447" s="31" t="str">
        <f t="shared" ca="1" si="70"/>
        <v/>
      </c>
      <c r="Z1447" s="31"/>
    </row>
    <row r="1448" spans="2:26">
      <c r="B1448" s="2"/>
      <c r="C1448" t="str">
        <f>IF(B1448&lt;&gt;"",INDEX('Sales Orders'!C:C,MATCH('Booking Management'!B1448,'Sales Orders'!A:A,0)),"")</f>
        <v/>
      </c>
      <c r="K1448" s="31" t="str">
        <f t="shared" ca="1" si="69"/>
        <v/>
      </c>
      <c r="P1448" t="str">
        <f t="shared" si="71"/>
        <v/>
      </c>
      <c r="Q1448" t="str">
        <f>IFERROR((J1448/SUMIFS('Sales Orders'!D:D,'Sales Orders'!A:A,B1448))*SUMIFS('Sales Orders'!N:N,'Sales Orders'!A:A,B1448),"")</f>
        <v/>
      </c>
      <c r="W1448" s="31" t="str">
        <f t="shared" ca="1" si="70"/>
        <v/>
      </c>
      <c r="Z1448" s="31"/>
    </row>
    <row r="1449" spans="2:26">
      <c r="B1449" s="2"/>
      <c r="C1449" t="str">
        <f>IF(B1449&lt;&gt;"",INDEX('Sales Orders'!C:C,MATCH('Booking Management'!B1449,'Sales Orders'!A:A,0)),"")</f>
        <v/>
      </c>
      <c r="K1449" s="31" t="str">
        <f t="shared" ca="1" si="69"/>
        <v/>
      </c>
      <c r="P1449" t="str">
        <f t="shared" si="71"/>
        <v/>
      </c>
      <c r="Q1449" t="str">
        <f>IFERROR((J1449/SUMIFS('Sales Orders'!D:D,'Sales Orders'!A:A,B1449))*SUMIFS('Sales Orders'!N:N,'Sales Orders'!A:A,B1449),"")</f>
        <v/>
      </c>
      <c r="W1449" s="31" t="str">
        <f t="shared" ca="1" si="70"/>
        <v/>
      </c>
      <c r="Z1449" s="31"/>
    </row>
    <row r="1450" spans="2:26">
      <c r="B1450" s="2"/>
      <c r="C1450" t="str">
        <f>IF(B1450&lt;&gt;"",INDEX('Sales Orders'!C:C,MATCH('Booking Management'!B1450,'Sales Orders'!A:A,0)),"")</f>
        <v/>
      </c>
      <c r="K1450" s="31" t="str">
        <f t="shared" ca="1" si="69"/>
        <v/>
      </c>
      <c r="P1450" t="str">
        <f t="shared" si="71"/>
        <v/>
      </c>
      <c r="Q1450" t="str">
        <f>IFERROR((J1450/SUMIFS('Sales Orders'!D:D,'Sales Orders'!A:A,B1450))*SUMIFS('Sales Orders'!N:N,'Sales Orders'!A:A,B1450),"")</f>
        <v/>
      </c>
      <c r="W1450" s="31" t="str">
        <f t="shared" ca="1" si="70"/>
        <v/>
      </c>
      <c r="Z1450" s="31"/>
    </row>
    <row r="1451" spans="2:26">
      <c r="B1451" s="2"/>
      <c r="C1451" t="str">
        <f>IF(B1451&lt;&gt;"",INDEX('Sales Orders'!C:C,MATCH('Booking Management'!B1451,'Sales Orders'!A:A,0)),"")</f>
        <v/>
      </c>
      <c r="K1451" s="31" t="str">
        <f t="shared" ca="1" si="69"/>
        <v/>
      </c>
      <c r="P1451" t="str">
        <f t="shared" si="71"/>
        <v/>
      </c>
      <c r="Q1451" t="str">
        <f>IFERROR((J1451/SUMIFS('Sales Orders'!D:D,'Sales Orders'!A:A,B1451))*SUMIFS('Sales Orders'!N:N,'Sales Orders'!A:A,B1451),"")</f>
        <v/>
      </c>
      <c r="W1451" s="31" t="str">
        <f t="shared" ca="1" si="70"/>
        <v/>
      </c>
      <c r="Z1451" s="31"/>
    </row>
    <row r="1452" spans="2:26">
      <c r="B1452" s="2"/>
      <c r="C1452" t="str">
        <f>IF(B1452&lt;&gt;"",INDEX('Sales Orders'!C:C,MATCH('Booking Management'!B1452,'Sales Orders'!A:A,0)),"")</f>
        <v/>
      </c>
      <c r="K1452" s="31" t="str">
        <f t="shared" ca="1" si="69"/>
        <v/>
      </c>
      <c r="P1452" t="str">
        <f t="shared" si="71"/>
        <v/>
      </c>
      <c r="Q1452" t="str">
        <f>IFERROR((J1452/SUMIFS('Sales Orders'!D:D,'Sales Orders'!A:A,B1452))*SUMIFS('Sales Orders'!N:N,'Sales Orders'!A:A,B1452),"")</f>
        <v/>
      </c>
      <c r="W1452" s="31" t="str">
        <f t="shared" ca="1" si="70"/>
        <v/>
      </c>
      <c r="Z1452" s="31"/>
    </row>
    <row r="1453" spans="2:26">
      <c r="B1453" s="2"/>
      <c r="C1453" t="str">
        <f>IF(B1453&lt;&gt;"",INDEX('Sales Orders'!C:C,MATCH('Booking Management'!B1453,'Sales Orders'!A:A,0)),"")</f>
        <v/>
      </c>
      <c r="K1453" s="31" t="str">
        <f t="shared" ca="1" si="69"/>
        <v/>
      </c>
      <c r="P1453" t="str">
        <f t="shared" si="71"/>
        <v/>
      </c>
      <c r="Q1453" t="str">
        <f>IFERROR((J1453/SUMIFS('Sales Orders'!D:D,'Sales Orders'!A:A,B1453))*SUMIFS('Sales Orders'!N:N,'Sales Orders'!A:A,B1453),"")</f>
        <v/>
      </c>
      <c r="W1453" s="31" t="str">
        <f t="shared" ca="1" si="70"/>
        <v/>
      </c>
      <c r="Z1453" s="31"/>
    </row>
    <row r="1454" spans="2:26">
      <c r="B1454" s="2"/>
      <c r="C1454" t="str">
        <f>IF(B1454&lt;&gt;"",INDEX('Sales Orders'!C:C,MATCH('Booking Management'!B1454,'Sales Orders'!A:A,0)),"")</f>
        <v/>
      </c>
      <c r="K1454" s="31" t="str">
        <f t="shared" ca="1" si="69"/>
        <v/>
      </c>
      <c r="P1454" t="str">
        <f t="shared" si="71"/>
        <v/>
      </c>
      <c r="Q1454" t="str">
        <f>IFERROR((J1454/SUMIFS('Sales Orders'!D:D,'Sales Orders'!A:A,B1454))*SUMIFS('Sales Orders'!N:N,'Sales Orders'!A:A,B1454),"")</f>
        <v/>
      </c>
      <c r="W1454" s="31" t="str">
        <f t="shared" ca="1" si="70"/>
        <v/>
      </c>
      <c r="Z1454" s="31"/>
    </row>
    <row r="1455" spans="2:26">
      <c r="B1455" s="2"/>
      <c r="C1455" t="str">
        <f>IF(B1455&lt;&gt;"",INDEX('Sales Orders'!C:C,MATCH('Booking Management'!B1455,'Sales Orders'!A:A,0)),"")</f>
        <v/>
      </c>
      <c r="K1455" s="31" t="str">
        <f t="shared" ca="1" si="69"/>
        <v/>
      </c>
      <c r="P1455" t="str">
        <f t="shared" si="71"/>
        <v/>
      </c>
      <c r="Q1455" t="str">
        <f>IFERROR((J1455/SUMIFS('Sales Orders'!D:D,'Sales Orders'!A:A,B1455))*SUMIFS('Sales Orders'!N:N,'Sales Orders'!A:A,B1455),"")</f>
        <v/>
      </c>
      <c r="W1455" s="31" t="str">
        <f t="shared" ca="1" si="70"/>
        <v/>
      </c>
      <c r="Z1455" s="31"/>
    </row>
    <row r="1456" spans="2:26">
      <c r="B1456" s="2"/>
      <c r="C1456" t="str">
        <f>IF(B1456&lt;&gt;"",INDEX('Sales Orders'!C:C,MATCH('Booking Management'!B1456,'Sales Orders'!A:A,0)),"")</f>
        <v/>
      </c>
      <c r="K1456" s="31" t="str">
        <f t="shared" ca="1" si="69"/>
        <v/>
      </c>
      <c r="P1456" t="str">
        <f t="shared" si="71"/>
        <v/>
      </c>
      <c r="Q1456" t="str">
        <f>IFERROR((J1456/SUMIFS('Sales Orders'!D:D,'Sales Orders'!A:A,B1456))*SUMIFS('Sales Orders'!N:N,'Sales Orders'!A:A,B1456),"")</f>
        <v/>
      </c>
      <c r="W1456" s="31" t="str">
        <f t="shared" ca="1" si="70"/>
        <v/>
      </c>
      <c r="Z1456" s="31"/>
    </row>
    <row r="1457" spans="2:26">
      <c r="B1457" s="2"/>
      <c r="C1457" t="str">
        <f>IF(B1457&lt;&gt;"",INDEX('Sales Orders'!C:C,MATCH('Booking Management'!B1457,'Sales Orders'!A:A,0)),"")</f>
        <v/>
      </c>
      <c r="K1457" s="31" t="str">
        <f t="shared" ca="1" si="69"/>
        <v/>
      </c>
      <c r="P1457" t="str">
        <f t="shared" si="71"/>
        <v/>
      </c>
      <c r="Q1457" t="str">
        <f>IFERROR((J1457/SUMIFS('Sales Orders'!D:D,'Sales Orders'!A:A,B1457))*SUMIFS('Sales Orders'!N:N,'Sales Orders'!A:A,B1457),"")</f>
        <v/>
      </c>
      <c r="W1457" s="31" t="str">
        <f t="shared" ca="1" si="70"/>
        <v/>
      </c>
      <c r="Z1457" s="31"/>
    </row>
    <row r="1458" spans="2:26">
      <c r="B1458" s="2"/>
      <c r="C1458" t="str">
        <f>IF(B1458&lt;&gt;"",INDEX('Sales Orders'!C:C,MATCH('Booking Management'!B1458,'Sales Orders'!A:A,0)),"")</f>
        <v/>
      </c>
      <c r="K1458" s="31" t="str">
        <f t="shared" ca="1" si="69"/>
        <v/>
      </c>
      <c r="P1458" t="str">
        <f t="shared" si="71"/>
        <v/>
      </c>
      <c r="Q1458" t="str">
        <f>IFERROR((J1458/SUMIFS('Sales Orders'!D:D,'Sales Orders'!A:A,B1458))*SUMIFS('Sales Orders'!N:N,'Sales Orders'!A:A,B1458),"")</f>
        <v/>
      </c>
      <c r="W1458" s="31" t="str">
        <f t="shared" ca="1" si="70"/>
        <v/>
      </c>
      <c r="Z1458" s="31"/>
    </row>
    <row r="1459" spans="2:26">
      <c r="B1459" s="2"/>
      <c r="C1459" t="str">
        <f>IF(B1459&lt;&gt;"",INDEX('Sales Orders'!C:C,MATCH('Booking Management'!B1459,'Sales Orders'!A:A,0)),"")</f>
        <v/>
      </c>
      <c r="K1459" s="31" t="str">
        <f t="shared" ca="1" si="69"/>
        <v/>
      </c>
      <c r="P1459" t="str">
        <f t="shared" si="71"/>
        <v/>
      </c>
      <c r="Q1459" t="str">
        <f>IFERROR((J1459/SUMIFS('Sales Orders'!D:D,'Sales Orders'!A:A,B1459))*SUMIFS('Sales Orders'!N:N,'Sales Orders'!A:A,B1459),"")</f>
        <v/>
      </c>
      <c r="W1459" s="31" t="str">
        <f t="shared" ca="1" si="70"/>
        <v/>
      </c>
      <c r="Z1459" s="31"/>
    </row>
    <row r="1460" spans="2:26">
      <c r="B1460" s="2"/>
      <c r="C1460" t="str">
        <f>IF(B1460&lt;&gt;"",INDEX('Sales Orders'!C:C,MATCH('Booking Management'!B1460,'Sales Orders'!A:A,0)),"")</f>
        <v/>
      </c>
      <c r="K1460" s="31" t="str">
        <f t="shared" ca="1" si="69"/>
        <v/>
      </c>
      <c r="P1460" t="str">
        <f t="shared" si="71"/>
        <v/>
      </c>
      <c r="Q1460" t="str">
        <f>IFERROR((J1460/SUMIFS('Sales Orders'!D:D,'Sales Orders'!A:A,B1460))*SUMIFS('Sales Orders'!N:N,'Sales Orders'!A:A,B1460),"")</f>
        <v/>
      </c>
      <c r="W1460" s="31" t="str">
        <f t="shared" ca="1" si="70"/>
        <v/>
      </c>
      <c r="Z1460" s="31"/>
    </row>
    <row r="1461" spans="2:26">
      <c r="B1461" s="2"/>
      <c r="C1461" t="str">
        <f>IF(B1461&lt;&gt;"",INDEX('Sales Orders'!C:C,MATCH('Booking Management'!B1461,'Sales Orders'!A:A,0)),"")</f>
        <v/>
      </c>
      <c r="K1461" s="31" t="str">
        <f t="shared" ca="1" si="69"/>
        <v/>
      </c>
      <c r="P1461" t="str">
        <f t="shared" si="71"/>
        <v/>
      </c>
      <c r="Q1461" t="str">
        <f>IFERROR((J1461/SUMIFS('Sales Orders'!D:D,'Sales Orders'!A:A,B1461))*SUMIFS('Sales Orders'!N:N,'Sales Orders'!A:A,B1461),"")</f>
        <v/>
      </c>
      <c r="W1461" s="31" t="str">
        <f t="shared" ca="1" si="70"/>
        <v/>
      </c>
      <c r="Z1461" s="31"/>
    </row>
    <row r="1462" spans="2:26">
      <c r="B1462" s="2"/>
      <c r="C1462" t="str">
        <f>IF(B1462&lt;&gt;"",INDEX('Sales Orders'!C:C,MATCH('Booking Management'!B1462,'Sales Orders'!A:A,0)),"")</f>
        <v/>
      </c>
      <c r="K1462" s="31" t="str">
        <f t="shared" ca="1" si="69"/>
        <v/>
      </c>
      <c r="P1462" t="str">
        <f t="shared" si="71"/>
        <v/>
      </c>
      <c r="Q1462" t="str">
        <f>IFERROR((J1462/SUMIFS('Sales Orders'!D:D,'Sales Orders'!A:A,B1462))*SUMIFS('Sales Orders'!N:N,'Sales Orders'!A:A,B1462),"")</f>
        <v/>
      </c>
      <c r="W1462" s="31" t="str">
        <f t="shared" ca="1" si="70"/>
        <v/>
      </c>
      <c r="Z1462" s="31"/>
    </row>
    <row r="1463" spans="2:26">
      <c r="B1463" s="2"/>
      <c r="C1463" t="str">
        <f>IF(B1463&lt;&gt;"",INDEX('Sales Orders'!C:C,MATCH('Booking Management'!B1463,'Sales Orders'!A:A,0)),"")</f>
        <v/>
      </c>
      <c r="K1463" s="31" t="str">
        <f t="shared" ca="1" si="69"/>
        <v/>
      </c>
      <c r="P1463" t="str">
        <f t="shared" si="71"/>
        <v/>
      </c>
      <c r="Q1463" t="str">
        <f>IFERROR((J1463/SUMIFS('Sales Orders'!D:D,'Sales Orders'!A:A,B1463))*SUMIFS('Sales Orders'!N:N,'Sales Orders'!A:A,B1463),"")</f>
        <v/>
      </c>
      <c r="W1463" s="31" t="str">
        <f t="shared" ca="1" si="70"/>
        <v/>
      </c>
      <c r="Z1463" s="31"/>
    </row>
    <row r="1464" spans="2:26">
      <c r="B1464" s="2"/>
      <c r="C1464" t="str">
        <f>IF(B1464&lt;&gt;"",INDEX('Sales Orders'!C:C,MATCH('Booking Management'!B1464,'Sales Orders'!A:A,0)),"")</f>
        <v/>
      </c>
      <c r="K1464" s="31" t="str">
        <f t="shared" ca="1" si="69"/>
        <v/>
      </c>
      <c r="P1464" t="str">
        <f t="shared" si="71"/>
        <v/>
      </c>
      <c r="Q1464" t="str">
        <f>IFERROR((J1464/SUMIFS('Sales Orders'!D:D,'Sales Orders'!A:A,B1464))*SUMIFS('Sales Orders'!N:N,'Sales Orders'!A:A,B1464),"")</f>
        <v/>
      </c>
      <c r="W1464" s="31" t="str">
        <f t="shared" ca="1" si="70"/>
        <v/>
      </c>
      <c r="Z1464" s="31"/>
    </row>
    <row r="1465" spans="2:26">
      <c r="B1465" s="2"/>
      <c r="C1465" t="str">
        <f>IF(B1465&lt;&gt;"",INDEX('Sales Orders'!C:C,MATCH('Booking Management'!B1465,'Sales Orders'!A:A,0)),"")</f>
        <v/>
      </c>
      <c r="K1465" s="31" t="str">
        <f t="shared" ca="1" si="69"/>
        <v/>
      </c>
      <c r="P1465" t="str">
        <f t="shared" si="71"/>
        <v/>
      </c>
      <c r="Q1465" t="str">
        <f>IFERROR((J1465/SUMIFS('Sales Orders'!D:D,'Sales Orders'!A:A,B1465))*SUMIFS('Sales Orders'!N:N,'Sales Orders'!A:A,B1465),"")</f>
        <v/>
      </c>
      <c r="W1465" s="31" t="str">
        <f t="shared" ca="1" si="70"/>
        <v/>
      </c>
      <c r="Z1465" s="31"/>
    </row>
    <row r="1466" spans="2:26">
      <c r="B1466" s="2"/>
      <c r="C1466" t="str">
        <f>IF(B1466&lt;&gt;"",INDEX('Sales Orders'!C:C,MATCH('Booking Management'!B1466,'Sales Orders'!A:A,0)),"")</f>
        <v/>
      </c>
      <c r="K1466" s="31" t="str">
        <f t="shared" ca="1" si="69"/>
        <v/>
      </c>
      <c r="P1466" t="str">
        <f t="shared" si="71"/>
        <v/>
      </c>
      <c r="Q1466" t="str">
        <f>IFERROR((J1466/SUMIFS('Sales Orders'!D:D,'Sales Orders'!A:A,B1466))*SUMIFS('Sales Orders'!N:N,'Sales Orders'!A:A,B1466),"")</f>
        <v/>
      </c>
      <c r="W1466" s="31" t="str">
        <f t="shared" ca="1" si="70"/>
        <v/>
      </c>
      <c r="Z1466" s="31"/>
    </row>
    <row r="1467" spans="2:26">
      <c r="B1467" s="2"/>
      <c r="C1467" t="str">
        <f>IF(B1467&lt;&gt;"",INDEX('Sales Orders'!C:C,MATCH('Booking Management'!B1467,'Sales Orders'!A:A,0)),"")</f>
        <v/>
      </c>
      <c r="K1467" s="31" t="str">
        <f t="shared" ca="1" si="69"/>
        <v/>
      </c>
      <c r="P1467" t="str">
        <f t="shared" si="71"/>
        <v/>
      </c>
      <c r="Q1467" t="str">
        <f>IFERROR((J1467/SUMIFS('Sales Orders'!D:D,'Sales Orders'!A:A,B1467))*SUMIFS('Sales Orders'!N:N,'Sales Orders'!A:A,B1467),"")</f>
        <v/>
      </c>
      <c r="W1467" s="31" t="str">
        <f t="shared" ca="1" si="70"/>
        <v/>
      </c>
      <c r="Z1467" s="31"/>
    </row>
    <row r="1468" spans="2:26">
      <c r="B1468" s="2"/>
      <c r="C1468" t="str">
        <f>IF(B1468&lt;&gt;"",INDEX('Sales Orders'!C:C,MATCH('Booking Management'!B1468,'Sales Orders'!A:A,0)),"")</f>
        <v/>
      </c>
      <c r="K1468" s="31" t="str">
        <f t="shared" ca="1" si="69"/>
        <v/>
      </c>
      <c r="P1468" t="str">
        <f t="shared" si="71"/>
        <v/>
      </c>
      <c r="Q1468" t="str">
        <f>IFERROR((J1468/SUMIFS('Sales Orders'!D:D,'Sales Orders'!A:A,B1468))*SUMIFS('Sales Orders'!N:N,'Sales Orders'!A:A,B1468),"")</f>
        <v/>
      </c>
      <c r="W1468" s="31" t="str">
        <f t="shared" ca="1" si="70"/>
        <v/>
      </c>
      <c r="Z1468" s="31"/>
    </row>
    <row r="1469" spans="2:26">
      <c r="B1469" s="2"/>
      <c r="C1469" t="str">
        <f>IF(B1469&lt;&gt;"",INDEX('Sales Orders'!C:C,MATCH('Booking Management'!B1469,'Sales Orders'!A:A,0)),"")</f>
        <v/>
      </c>
      <c r="K1469" s="31" t="str">
        <f t="shared" ca="1" si="69"/>
        <v/>
      </c>
      <c r="P1469" t="str">
        <f t="shared" si="71"/>
        <v/>
      </c>
      <c r="Q1469" t="str">
        <f>IFERROR((J1469/SUMIFS('Sales Orders'!D:D,'Sales Orders'!A:A,B1469))*SUMIFS('Sales Orders'!N:N,'Sales Orders'!A:A,B1469),"")</f>
        <v/>
      </c>
      <c r="W1469" s="31" t="str">
        <f t="shared" ca="1" si="70"/>
        <v/>
      </c>
      <c r="Z1469" s="31"/>
    </row>
    <row r="1470" spans="2:26">
      <c r="B1470" s="2"/>
      <c r="C1470" t="str">
        <f>IF(B1470&lt;&gt;"",INDEX('Sales Orders'!C:C,MATCH('Booking Management'!B1470,'Sales Orders'!A:A,0)),"")</f>
        <v/>
      </c>
      <c r="K1470" s="31" t="str">
        <f t="shared" ca="1" si="69"/>
        <v/>
      </c>
      <c r="P1470" t="str">
        <f t="shared" si="71"/>
        <v/>
      </c>
      <c r="Q1470" t="str">
        <f>IFERROR((J1470/SUMIFS('Sales Orders'!D:D,'Sales Orders'!A:A,B1470))*SUMIFS('Sales Orders'!N:N,'Sales Orders'!A:A,B1470),"")</f>
        <v/>
      </c>
      <c r="W1470" s="31" t="str">
        <f t="shared" ca="1" si="70"/>
        <v/>
      </c>
      <c r="Z1470" s="31"/>
    </row>
    <row r="1471" spans="2:26">
      <c r="B1471" s="2"/>
      <c r="C1471" t="str">
        <f>IF(B1471&lt;&gt;"",INDEX('Sales Orders'!C:C,MATCH('Booking Management'!B1471,'Sales Orders'!A:A,0)),"")</f>
        <v/>
      </c>
      <c r="K1471" s="31" t="str">
        <f t="shared" ca="1" si="69"/>
        <v/>
      </c>
      <c r="P1471" t="str">
        <f t="shared" si="71"/>
        <v/>
      </c>
      <c r="Q1471" t="str">
        <f>IFERROR((J1471/SUMIFS('Sales Orders'!D:D,'Sales Orders'!A:A,B1471))*SUMIFS('Sales Orders'!N:N,'Sales Orders'!A:A,B1471),"")</f>
        <v/>
      </c>
      <c r="W1471" s="31" t="str">
        <f t="shared" ca="1" si="70"/>
        <v/>
      </c>
      <c r="Z1471" s="31"/>
    </row>
    <row r="1472" spans="2:26">
      <c r="B1472" s="2"/>
      <c r="C1472" t="str">
        <f>IF(B1472&lt;&gt;"",INDEX('Sales Orders'!C:C,MATCH('Booking Management'!B1472,'Sales Orders'!A:A,0)),"")</f>
        <v/>
      </c>
      <c r="K1472" s="31" t="str">
        <f t="shared" ca="1" si="69"/>
        <v/>
      </c>
      <c r="P1472" t="str">
        <f t="shared" si="71"/>
        <v/>
      </c>
      <c r="Q1472" t="str">
        <f>IFERROR((J1472/SUMIFS('Sales Orders'!D:D,'Sales Orders'!A:A,B1472))*SUMIFS('Sales Orders'!N:N,'Sales Orders'!A:A,B1472),"")</f>
        <v/>
      </c>
      <c r="W1472" s="31" t="str">
        <f t="shared" ca="1" si="70"/>
        <v/>
      </c>
      <c r="Z1472" s="31"/>
    </row>
    <row r="1473" spans="2:26">
      <c r="B1473" s="2"/>
      <c r="C1473" t="str">
        <f>IF(B1473&lt;&gt;"",INDEX('Sales Orders'!C:C,MATCH('Booking Management'!B1473,'Sales Orders'!A:A,0)),"")</f>
        <v/>
      </c>
      <c r="K1473" s="31" t="str">
        <f t="shared" ca="1" si="69"/>
        <v/>
      </c>
      <c r="P1473" t="str">
        <f t="shared" si="71"/>
        <v/>
      </c>
      <c r="Q1473" t="str">
        <f>IFERROR((J1473/SUMIFS('Sales Orders'!D:D,'Sales Orders'!A:A,B1473))*SUMIFS('Sales Orders'!N:N,'Sales Orders'!A:A,B1473),"")</f>
        <v/>
      </c>
      <c r="W1473" s="31" t="str">
        <f t="shared" ca="1" si="70"/>
        <v/>
      </c>
      <c r="Z1473" s="31"/>
    </row>
    <row r="1474" spans="2:26">
      <c r="B1474" s="2"/>
      <c r="C1474" t="str">
        <f>IF(B1474&lt;&gt;"",INDEX('Sales Orders'!C:C,MATCH('Booking Management'!B1474,'Sales Orders'!A:A,0)),"")</f>
        <v/>
      </c>
      <c r="K1474" s="31" t="str">
        <f t="shared" ca="1" si="69"/>
        <v/>
      </c>
      <c r="P1474" t="str">
        <f t="shared" si="71"/>
        <v/>
      </c>
      <c r="Q1474" t="str">
        <f>IFERROR((J1474/SUMIFS('Sales Orders'!D:D,'Sales Orders'!A:A,B1474))*SUMIFS('Sales Orders'!N:N,'Sales Orders'!A:A,B1474),"")</f>
        <v/>
      </c>
      <c r="W1474" s="31" t="str">
        <f t="shared" ca="1" si="70"/>
        <v/>
      </c>
      <c r="Z1474" s="31"/>
    </row>
    <row r="1475" spans="2:26">
      <c r="B1475" s="2"/>
      <c r="C1475" t="str">
        <f>IF(B1475&lt;&gt;"",INDEX('Sales Orders'!C:C,MATCH('Booking Management'!B1475,'Sales Orders'!A:A,0)),"")</f>
        <v/>
      </c>
      <c r="K1475" s="31" t="str">
        <f t="shared" ref="K1475:K1501" ca="1" si="72">IF(B1475&lt;&gt;"",IF(AND(OR(L1475-TODAY()&lt;2,M1475&lt;&gt;"yes",N1475&lt;&gt;"yes",O1475&lt;&gt;"yes"),S1475&lt;&gt;"Used"),"Alert",""),"")</f>
        <v/>
      </c>
      <c r="P1475" t="str">
        <f t="shared" si="71"/>
        <v/>
      </c>
      <c r="Q1475" t="str">
        <f>IFERROR((J1475/SUMIFS('Sales Orders'!D:D,'Sales Orders'!A:A,B1475))*SUMIFS('Sales Orders'!N:N,'Sales Orders'!A:A,B1475),"")</f>
        <v/>
      </c>
      <c r="W1475" s="31" t="str">
        <f t="shared" ca="1" si="70"/>
        <v/>
      </c>
      <c r="Z1475" s="31"/>
    </row>
    <row r="1476" spans="2:26">
      <c r="B1476" s="2"/>
      <c r="C1476" t="str">
        <f>IF(B1476&lt;&gt;"",INDEX('Sales Orders'!C:C,MATCH('Booking Management'!B1476,'Sales Orders'!A:A,0)),"")</f>
        <v/>
      </c>
      <c r="K1476" s="31" t="str">
        <f t="shared" ca="1" si="72"/>
        <v/>
      </c>
      <c r="P1476" t="str">
        <f t="shared" si="71"/>
        <v/>
      </c>
      <c r="Q1476" t="str">
        <f>IFERROR((J1476/SUMIFS('Sales Orders'!D:D,'Sales Orders'!A:A,B1476))*SUMIFS('Sales Orders'!N:N,'Sales Orders'!A:A,B1476),"")</f>
        <v/>
      </c>
      <c r="W1476" s="31" t="str">
        <f t="shared" ca="1" si="70"/>
        <v/>
      </c>
      <c r="Z1476" s="31"/>
    </row>
    <row r="1477" spans="2:26">
      <c r="B1477" s="2"/>
      <c r="C1477" t="str">
        <f>IF(B1477&lt;&gt;"",INDEX('Sales Orders'!C:C,MATCH('Booking Management'!B1477,'Sales Orders'!A:A,0)),"")</f>
        <v/>
      </c>
      <c r="K1477" s="31" t="str">
        <f t="shared" ca="1" si="72"/>
        <v/>
      </c>
      <c r="P1477" t="str">
        <f t="shared" si="71"/>
        <v/>
      </c>
      <c r="Q1477" t="str">
        <f>IFERROR((J1477/SUMIFS('Sales Orders'!D:D,'Sales Orders'!A:A,B1477))*SUMIFS('Sales Orders'!N:N,'Sales Orders'!A:A,B1477),"")</f>
        <v/>
      </c>
      <c r="W1477" s="31" t="str">
        <f t="shared" ca="1" si="70"/>
        <v/>
      </c>
      <c r="Z1477" s="31"/>
    </row>
    <row r="1478" spans="2:26">
      <c r="B1478" s="2"/>
      <c r="C1478" t="str">
        <f>IF(B1478&lt;&gt;"",INDEX('Sales Orders'!C:C,MATCH('Booking Management'!B1478,'Sales Orders'!A:A,0)),"")</f>
        <v/>
      </c>
      <c r="K1478" s="31" t="str">
        <f t="shared" ca="1" si="72"/>
        <v/>
      </c>
      <c r="P1478" t="str">
        <f t="shared" si="71"/>
        <v/>
      </c>
      <c r="Q1478" t="str">
        <f>IFERROR((J1478/SUMIFS('Sales Orders'!D:D,'Sales Orders'!A:A,B1478))*SUMIFS('Sales Orders'!N:N,'Sales Orders'!A:A,B1478),"")</f>
        <v/>
      </c>
      <c r="W1478" s="31" t="str">
        <f t="shared" ca="1" si="70"/>
        <v/>
      </c>
      <c r="Z1478" s="31"/>
    </row>
    <row r="1479" spans="2:26">
      <c r="B1479" s="2"/>
      <c r="C1479" t="str">
        <f>IF(B1479&lt;&gt;"",INDEX('Sales Orders'!C:C,MATCH('Booking Management'!B1479,'Sales Orders'!A:A,0)),"")</f>
        <v/>
      </c>
      <c r="K1479" s="31" t="str">
        <f t="shared" ca="1" si="72"/>
        <v/>
      </c>
      <c r="P1479" t="str">
        <f t="shared" si="71"/>
        <v/>
      </c>
      <c r="Q1479" t="str">
        <f>IFERROR((J1479/SUMIFS('Sales Orders'!D:D,'Sales Orders'!A:A,B1479))*SUMIFS('Sales Orders'!N:N,'Sales Orders'!A:A,B1479),"")</f>
        <v/>
      </c>
      <c r="W1479" s="31" t="str">
        <f t="shared" ref="W1479:W1501" ca="1" si="73">IF(T1479&lt;&gt;"",IF(X1479="Yes","NO",IF((TODAY()-V1479)&gt;6,"YES","NO")),"")</f>
        <v/>
      </c>
      <c r="Z1479" s="31"/>
    </row>
    <row r="1480" spans="2:26">
      <c r="B1480" s="2"/>
      <c r="C1480" t="str">
        <f>IF(B1480&lt;&gt;"",INDEX('Sales Orders'!C:C,MATCH('Booking Management'!B1480,'Sales Orders'!A:A,0)),"")</f>
        <v/>
      </c>
      <c r="K1480" s="31" t="str">
        <f t="shared" ca="1" si="72"/>
        <v/>
      </c>
      <c r="P1480" t="str">
        <f t="shared" si="71"/>
        <v/>
      </c>
      <c r="Q1480" t="str">
        <f>IFERROR((J1480/SUMIFS('Sales Orders'!D:D,'Sales Orders'!A:A,B1480))*SUMIFS('Sales Orders'!N:N,'Sales Orders'!A:A,B1480),"")</f>
        <v/>
      </c>
      <c r="W1480" s="31" t="str">
        <f t="shared" ca="1" si="73"/>
        <v/>
      </c>
      <c r="Z1480" s="31"/>
    </row>
    <row r="1481" spans="2:26">
      <c r="B1481" s="2"/>
      <c r="C1481" t="str">
        <f>IF(B1481&lt;&gt;"",INDEX('Sales Orders'!C:C,MATCH('Booking Management'!B1481,'Sales Orders'!A:A,0)),"")</f>
        <v/>
      </c>
      <c r="K1481" s="31" t="str">
        <f t="shared" ca="1" si="72"/>
        <v/>
      </c>
      <c r="P1481" t="str">
        <f t="shared" si="71"/>
        <v/>
      </c>
      <c r="Q1481" t="str">
        <f>IFERROR((J1481/SUMIFS('Sales Orders'!D:D,'Sales Orders'!A:A,B1481))*SUMIFS('Sales Orders'!N:N,'Sales Orders'!A:A,B1481),"")</f>
        <v/>
      </c>
      <c r="W1481" s="31" t="str">
        <f t="shared" ca="1" si="73"/>
        <v/>
      </c>
      <c r="Z1481" s="31"/>
    </row>
    <row r="1482" spans="2:26">
      <c r="B1482" s="2"/>
      <c r="C1482" t="str">
        <f>IF(B1482&lt;&gt;"",INDEX('Sales Orders'!C:C,MATCH('Booking Management'!B1482,'Sales Orders'!A:A,0)),"")</f>
        <v/>
      </c>
      <c r="K1482" s="31" t="str">
        <f t="shared" ca="1" si="72"/>
        <v/>
      </c>
      <c r="P1482" t="str">
        <f t="shared" si="71"/>
        <v/>
      </c>
      <c r="Q1482" t="str">
        <f>IFERROR((J1482/SUMIFS('Sales Orders'!D:D,'Sales Orders'!A:A,B1482))*SUMIFS('Sales Orders'!N:N,'Sales Orders'!A:A,B1482),"")</f>
        <v/>
      </c>
      <c r="W1482" s="31" t="str">
        <f t="shared" ca="1" si="73"/>
        <v/>
      </c>
      <c r="Z1482" s="31"/>
    </row>
    <row r="1483" spans="2:26">
      <c r="B1483" s="2"/>
      <c r="C1483" t="str">
        <f>IF(B1483&lt;&gt;"",INDEX('Sales Orders'!C:C,MATCH('Booking Management'!B1483,'Sales Orders'!A:A,0)),"")</f>
        <v/>
      </c>
      <c r="K1483" s="31" t="str">
        <f t="shared" ca="1" si="72"/>
        <v/>
      </c>
      <c r="P1483" t="str">
        <f t="shared" si="71"/>
        <v/>
      </c>
      <c r="Q1483" t="str">
        <f>IFERROR((J1483/SUMIFS('Sales Orders'!D:D,'Sales Orders'!A:A,B1483))*SUMIFS('Sales Orders'!N:N,'Sales Orders'!A:A,B1483),"")</f>
        <v/>
      </c>
      <c r="W1483" s="31" t="str">
        <f t="shared" ca="1" si="73"/>
        <v/>
      </c>
      <c r="Z1483" s="31"/>
    </row>
    <row r="1484" spans="2:26">
      <c r="B1484" s="2"/>
      <c r="C1484" t="str">
        <f>IF(B1484&lt;&gt;"",INDEX('Sales Orders'!C:C,MATCH('Booking Management'!B1484,'Sales Orders'!A:A,0)),"")</f>
        <v/>
      </c>
      <c r="K1484" s="31" t="str">
        <f t="shared" ca="1" si="72"/>
        <v/>
      </c>
      <c r="P1484" t="str">
        <f t="shared" si="71"/>
        <v/>
      </c>
      <c r="Q1484" t="str">
        <f>IFERROR((J1484/SUMIFS('Sales Orders'!D:D,'Sales Orders'!A:A,B1484))*SUMIFS('Sales Orders'!N:N,'Sales Orders'!A:A,B1484),"")</f>
        <v/>
      </c>
      <c r="W1484" s="31" t="str">
        <f t="shared" ca="1" si="73"/>
        <v/>
      </c>
      <c r="Z1484" s="31"/>
    </row>
    <row r="1485" spans="2:26">
      <c r="B1485" s="2"/>
      <c r="C1485" t="str">
        <f>IF(B1485&lt;&gt;"",INDEX('Sales Orders'!C:C,MATCH('Booking Management'!B1485,'Sales Orders'!A:A,0)),"")</f>
        <v/>
      </c>
      <c r="K1485" s="31" t="str">
        <f t="shared" ca="1" si="72"/>
        <v/>
      </c>
      <c r="P1485" t="str">
        <f t="shared" si="71"/>
        <v/>
      </c>
      <c r="Q1485" t="str">
        <f>IFERROR((J1485/SUMIFS('Sales Orders'!D:D,'Sales Orders'!A:A,B1485))*SUMIFS('Sales Orders'!N:N,'Sales Orders'!A:A,B1485),"")</f>
        <v/>
      </c>
      <c r="W1485" s="31" t="str">
        <f t="shared" ca="1" si="73"/>
        <v/>
      </c>
      <c r="Z1485" s="31"/>
    </row>
    <row r="1486" spans="2:26">
      <c r="B1486" s="2"/>
      <c r="C1486" t="str">
        <f>IF(B1486&lt;&gt;"",INDEX('Sales Orders'!C:C,MATCH('Booking Management'!B1486,'Sales Orders'!A:A,0)),"")</f>
        <v/>
      </c>
      <c r="K1486" s="31" t="str">
        <f t="shared" ca="1" si="72"/>
        <v/>
      </c>
      <c r="P1486" t="str">
        <f t="shared" si="71"/>
        <v/>
      </c>
      <c r="Q1486" t="str">
        <f>IFERROR((J1486/SUMIFS('Sales Orders'!D:D,'Sales Orders'!A:A,B1486))*SUMIFS('Sales Orders'!N:N,'Sales Orders'!A:A,B1486),"")</f>
        <v/>
      </c>
      <c r="W1486" s="31" t="str">
        <f t="shared" ca="1" si="73"/>
        <v/>
      </c>
      <c r="Z1486" s="31"/>
    </row>
    <row r="1487" spans="2:26">
      <c r="B1487" s="2"/>
      <c r="C1487" t="str">
        <f>IF(B1487&lt;&gt;"",INDEX('Sales Orders'!C:C,MATCH('Booking Management'!B1487,'Sales Orders'!A:A,0)),"")</f>
        <v/>
      </c>
      <c r="K1487" s="31" t="str">
        <f t="shared" ca="1" si="72"/>
        <v/>
      </c>
      <c r="P1487" t="str">
        <f t="shared" si="71"/>
        <v/>
      </c>
      <c r="Q1487" t="str">
        <f>IFERROR((J1487/SUMIFS('Sales Orders'!D:D,'Sales Orders'!A:A,B1487))*SUMIFS('Sales Orders'!N:N,'Sales Orders'!A:A,B1487),"")</f>
        <v/>
      </c>
      <c r="W1487" s="31" t="str">
        <f t="shared" ca="1" si="73"/>
        <v/>
      </c>
      <c r="Z1487" s="31"/>
    </row>
    <row r="1488" spans="2:26">
      <c r="B1488" s="2"/>
      <c r="C1488" t="str">
        <f>IF(B1488&lt;&gt;"",INDEX('Sales Orders'!C:C,MATCH('Booking Management'!B1488,'Sales Orders'!A:A,0)),"")</f>
        <v/>
      </c>
      <c r="K1488" s="31" t="str">
        <f t="shared" ca="1" si="72"/>
        <v/>
      </c>
      <c r="P1488" t="str">
        <f t="shared" si="71"/>
        <v/>
      </c>
      <c r="Q1488" t="str">
        <f>IFERROR((J1488/SUMIFS('Sales Orders'!D:D,'Sales Orders'!A:A,B1488))*SUMIFS('Sales Orders'!N:N,'Sales Orders'!A:A,B1488),"")</f>
        <v/>
      </c>
      <c r="W1488" s="31" t="str">
        <f t="shared" ca="1" si="73"/>
        <v/>
      </c>
      <c r="Z1488" s="31"/>
    </row>
    <row r="1489" spans="2:26">
      <c r="B1489" s="2"/>
      <c r="C1489" t="str">
        <f>IF(B1489&lt;&gt;"",INDEX('Sales Orders'!C:C,MATCH('Booking Management'!B1489,'Sales Orders'!A:A,0)),"")</f>
        <v/>
      </c>
      <c r="K1489" s="31" t="str">
        <f t="shared" ca="1" si="72"/>
        <v/>
      </c>
      <c r="P1489" t="str">
        <f t="shared" si="71"/>
        <v/>
      </c>
      <c r="Q1489" t="str">
        <f>IFERROR((J1489/SUMIFS('Sales Orders'!D:D,'Sales Orders'!A:A,B1489))*SUMIFS('Sales Orders'!N:N,'Sales Orders'!A:A,B1489),"")</f>
        <v/>
      </c>
      <c r="W1489" s="31" t="str">
        <f t="shared" ca="1" si="73"/>
        <v/>
      </c>
      <c r="Z1489" s="31"/>
    </row>
    <row r="1490" spans="2:26">
      <c r="B1490" s="2"/>
      <c r="C1490" t="str">
        <f>IF(B1490&lt;&gt;"",INDEX('Sales Orders'!C:C,MATCH('Booking Management'!B1490,'Sales Orders'!A:A,0)),"")</f>
        <v/>
      </c>
      <c r="K1490" s="31" t="str">
        <f t="shared" ca="1" si="72"/>
        <v/>
      </c>
      <c r="P1490" t="str">
        <f t="shared" si="71"/>
        <v/>
      </c>
      <c r="Q1490" t="str">
        <f>IFERROR((J1490/SUMIFS('Sales Orders'!D:D,'Sales Orders'!A:A,B1490))*SUMIFS('Sales Orders'!N:N,'Sales Orders'!A:A,B1490),"")</f>
        <v/>
      </c>
      <c r="W1490" s="31" t="str">
        <f t="shared" ca="1" si="73"/>
        <v/>
      </c>
      <c r="Z1490" s="31"/>
    </row>
    <row r="1491" spans="2:26">
      <c r="B1491" s="2"/>
      <c r="C1491" t="str">
        <f>IF(B1491&lt;&gt;"",INDEX('Sales Orders'!C:C,MATCH('Booking Management'!B1491,'Sales Orders'!A:A,0)),"")</f>
        <v/>
      </c>
      <c r="K1491" s="31" t="str">
        <f t="shared" ca="1" si="72"/>
        <v/>
      </c>
      <c r="P1491" t="str">
        <f t="shared" si="71"/>
        <v/>
      </c>
      <c r="Q1491" t="str">
        <f>IFERROR((J1491/SUMIFS('Sales Orders'!D:D,'Sales Orders'!A:A,B1491))*SUMIFS('Sales Orders'!N:N,'Sales Orders'!A:A,B1491),"")</f>
        <v/>
      </c>
      <c r="W1491" s="31" t="str">
        <f t="shared" ca="1" si="73"/>
        <v/>
      </c>
      <c r="Z1491" s="31"/>
    </row>
    <row r="1492" spans="2:26">
      <c r="B1492" s="2"/>
      <c r="C1492" t="str">
        <f>IF(B1492&lt;&gt;"",INDEX('Sales Orders'!C:C,MATCH('Booking Management'!B1492,'Sales Orders'!A:A,0)),"")</f>
        <v/>
      </c>
      <c r="K1492" s="31" t="str">
        <f t="shared" ca="1" si="72"/>
        <v/>
      </c>
      <c r="P1492" t="str">
        <f t="shared" si="71"/>
        <v/>
      </c>
      <c r="Q1492" t="str">
        <f>IFERROR((J1492/SUMIFS('Sales Orders'!D:D,'Sales Orders'!A:A,B1492))*SUMIFS('Sales Orders'!N:N,'Sales Orders'!A:A,B1492),"")</f>
        <v/>
      </c>
      <c r="W1492" s="31" t="str">
        <f t="shared" ca="1" si="73"/>
        <v/>
      </c>
      <c r="Z1492" s="31"/>
    </row>
    <row r="1493" spans="2:26">
      <c r="B1493" s="2"/>
      <c r="C1493" t="str">
        <f>IF(B1493&lt;&gt;"",INDEX('Sales Orders'!C:C,MATCH('Booking Management'!B1493,'Sales Orders'!A:A,0)),"")</f>
        <v/>
      </c>
      <c r="K1493" s="31" t="str">
        <f t="shared" ca="1" si="72"/>
        <v/>
      </c>
      <c r="P1493" t="str">
        <f t="shared" si="71"/>
        <v/>
      </c>
      <c r="Q1493" t="str">
        <f>IFERROR((J1493/SUMIFS('Sales Orders'!D:D,'Sales Orders'!A:A,B1493))*SUMIFS('Sales Orders'!N:N,'Sales Orders'!A:A,B1493),"")</f>
        <v/>
      </c>
      <c r="W1493" s="31" t="str">
        <f t="shared" ca="1" si="73"/>
        <v/>
      </c>
      <c r="Z1493" s="31"/>
    </row>
    <row r="1494" spans="2:26">
      <c r="B1494" s="2"/>
      <c r="C1494" t="str">
        <f>IF(B1494&lt;&gt;"",INDEX('Sales Orders'!C:C,MATCH('Booking Management'!B1494,'Sales Orders'!A:A,0)),"")</f>
        <v/>
      </c>
      <c r="K1494" s="31" t="str">
        <f t="shared" ca="1" si="72"/>
        <v/>
      </c>
      <c r="P1494" t="str">
        <f t="shared" si="71"/>
        <v/>
      </c>
      <c r="Q1494" t="str">
        <f>IFERROR((J1494/SUMIFS('Sales Orders'!D:D,'Sales Orders'!A:A,B1494))*SUMIFS('Sales Orders'!N:N,'Sales Orders'!A:A,B1494),"")</f>
        <v/>
      </c>
      <c r="W1494" s="31" t="str">
        <f t="shared" ca="1" si="73"/>
        <v/>
      </c>
      <c r="Z1494" s="31"/>
    </row>
    <row r="1495" spans="2:26">
      <c r="B1495" s="2"/>
      <c r="C1495" t="str">
        <f>IF(B1495&lt;&gt;"",INDEX('Sales Orders'!C:C,MATCH('Booking Management'!B1495,'Sales Orders'!A:A,0)),"")</f>
        <v/>
      </c>
      <c r="K1495" s="31" t="str">
        <f t="shared" ca="1" si="72"/>
        <v/>
      </c>
      <c r="P1495" t="str">
        <f t="shared" si="71"/>
        <v/>
      </c>
      <c r="Q1495" t="str">
        <f>IFERROR((J1495/SUMIFS('Sales Orders'!D:D,'Sales Orders'!A:A,B1495))*SUMIFS('Sales Orders'!N:N,'Sales Orders'!A:A,B1495),"")</f>
        <v/>
      </c>
      <c r="W1495" s="31" t="str">
        <f t="shared" ca="1" si="73"/>
        <v/>
      </c>
      <c r="Z1495" s="31"/>
    </row>
    <row r="1496" spans="2:26">
      <c r="B1496" s="2"/>
      <c r="C1496" t="str">
        <f>IF(B1496&lt;&gt;"",INDEX('Sales Orders'!C:C,MATCH('Booking Management'!B1496,'Sales Orders'!A:A,0)),"")</f>
        <v/>
      </c>
      <c r="K1496" s="31" t="str">
        <f t="shared" ca="1" si="72"/>
        <v/>
      </c>
      <c r="P1496" t="str">
        <f t="shared" si="71"/>
        <v/>
      </c>
      <c r="Q1496" t="str">
        <f>IFERROR((J1496/SUMIFS('Sales Orders'!D:D,'Sales Orders'!A:A,B1496))*SUMIFS('Sales Orders'!N:N,'Sales Orders'!A:A,B1496),"")</f>
        <v/>
      </c>
      <c r="W1496" s="31" t="str">
        <f t="shared" ca="1" si="73"/>
        <v/>
      </c>
      <c r="Z1496" s="31"/>
    </row>
    <row r="1497" spans="2:26">
      <c r="B1497" s="2"/>
      <c r="C1497" t="str">
        <f>IF(B1497&lt;&gt;"",INDEX('Sales Orders'!C:C,MATCH('Booking Management'!B1497,'Sales Orders'!A:A,0)),"")</f>
        <v/>
      </c>
      <c r="K1497" s="31" t="str">
        <f t="shared" ca="1" si="72"/>
        <v/>
      </c>
      <c r="P1497" t="str">
        <f t="shared" si="71"/>
        <v/>
      </c>
      <c r="Q1497" t="str">
        <f>IFERROR((J1497/SUMIFS('Sales Orders'!D:D,'Sales Orders'!A:A,B1497))*SUMIFS('Sales Orders'!N:N,'Sales Orders'!A:A,B1497),"")</f>
        <v/>
      </c>
      <c r="W1497" s="31" t="str">
        <f t="shared" ca="1" si="73"/>
        <v/>
      </c>
      <c r="Z1497" s="31"/>
    </row>
    <row r="1498" spans="2:26">
      <c r="B1498" s="2"/>
      <c r="C1498" t="str">
        <f>IF(B1498&lt;&gt;"",INDEX('Sales Orders'!C:C,MATCH('Booking Management'!B1498,'Sales Orders'!A:A,0)),"")</f>
        <v/>
      </c>
      <c r="K1498" s="31" t="str">
        <f t="shared" ca="1" si="72"/>
        <v/>
      </c>
      <c r="P1498" t="str">
        <f t="shared" si="71"/>
        <v/>
      </c>
      <c r="Q1498" t="str">
        <f>IFERROR((J1498/SUMIFS('Sales Orders'!D:D,'Sales Orders'!A:A,B1498))*SUMIFS('Sales Orders'!N:N,'Sales Orders'!A:A,B1498),"")</f>
        <v/>
      </c>
      <c r="W1498" s="31" t="str">
        <f t="shared" ca="1" si="73"/>
        <v/>
      </c>
      <c r="Z1498" s="31"/>
    </row>
    <row r="1499" spans="2:26">
      <c r="B1499" s="2"/>
      <c r="C1499" t="str">
        <f>IF(B1499&lt;&gt;"",INDEX('Sales Orders'!C:C,MATCH('Booking Management'!B1499,'Sales Orders'!A:A,0)),"")</f>
        <v/>
      </c>
      <c r="K1499" s="31" t="str">
        <f t="shared" ca="1" si="72"/>
        <v/>
      </c>
      <c r="P1499" t="str">
        <f t="shared" si="71"/>
        <v/>
      </c>
      <c r="Q1499" t="str">
        <f>IFERROR((J1499/SUMIFS('Sales Orders'!D:D,'Sales Orders'!A:A,B1499))*SUMIFS('Sales Orders'!N:N,'Sales Orders'!A:A,B1499),"")</f>
        <v/>
      </c>
      <c r="W1499" s="31" t="str">
        <f t="shared" ca="1" si="73"/>
        <v/>
      </c>
      <c r="Z1499" s="31"/>
    </row>
    <row r="1500" spans="2:26">
      <c r="B1500" s="2"/>
      <c r="C1500" t="str">
        <f>IF(B1500&lt;&gt;"",INDEX('Sales Orders'!C:C,MATCH('Booking Management'!B1500,'Sales Orders'!A:A,0)),"")</f>
        <v/>
      </c>
      <c r="K1500" s="31" t="str">
        <f t="shared" ca="1" si="72"/>
        <v/>
      </c>
      <c r="P1500" t="str">
        <f t="shared" si="71"/>
        <v/>
      </c>
      <c r="Q1500" t="str">
        <f>IFERROR((J1500/SUMIFS('Sales Orders'!D:D,'Sales Orders'!A:A,B1500))*SUMIFS('Sales Orders'!N:N,'Sales Orders'!A:A,B1500),"")</f>
        <v/>
      </c>
      <c r="W1500" s="31" t="str">
        <f t="shared" ca="1" si="73"/>
        <v/>
      </c>
      <c r="Z1500" s="31"/>
    </row>
    <row r="1501" spans="2:26">
      <c r="B1501" s="2"/>
      <c r="C1501" t="str">
        <f>IF(B1501&lt;&gt;"",INDEX('Sales Orders'!C:C,MATCH('Booking Management'!B1501,'Sales Orders'!A:A,0)),"")</f>
        <v/>
      </c>
      <c r="K1501" s="31" t="str">
        <f t="shared" ca="1" si="72"/>
        <v/>
      </c>
      <c r="P1501" t="str">
        <f t="shared" si="71"/>
        <v/>
      </c>
      <c r="Q1501" t="str">
        <f>IFERROR((J1501/SUMIFS('Sales Orders'!D:D,'Sales Orders'!A:A,B1501))*SUMIFS('Sales Orders'!N:N,'Sales Orders'!A:A,B1501),"")</f>
        <v/>
      </c>
      <c r="W1501" s="31" t="str">
        <f t="shared" ca="1" si="73"/>
        <v/>
      </c>
      <c r="Z1501" s="31"/>
    </row>
  </sheetData>
  <sheetProtection formatColumns="0" formatRows="0" sort="0"/>
  <autoFilter ref="A1:AK1502" xr:uid="{D0AFCB8A-A97E-47AA-83F9-CEDB388D518A}"/>
  <dataConsolidate/>
  <phoneticPr fontId="18" type="noConversion"/>
  <dataValidations count="5">
    <dataValidation type="list" allowBlank="1" showInputMessage="1" showErrorMessage="1" sqref="X2:X1048576" xr:uid="{929AF207-2E78-42F4-9E0B-738D93F10D86}">
      <formula1>"Yes,No"</formula1>
    </dataValidation>
    <dataValidation type="list" allowBlank="1" showInputMessage="1" showErrorMessage="1" sqref="M2:O1048576" xr:uid="{C0BE2D18-0E9A-4B33-BB6B-E958B2D0088A}">
      <formula1>"yes, no"</formula1>
    </dataValidation>
    <dataValidation type="list" allowBlank="1" showInputMessage="1" showErrorMessage="1" sqref="R2:R1048576" xr:uid="{D48C55A6-17F5-4238-BD41-6F633A62722C}">
      <formula1>Buyers</formula1>
    </dataValidation>
    <dataValidation type="list" allowBlank="1" showInputMessage="1" showErrorMessage="1" sqref="B2:B1048576" xr:uid="{649B8DF3-AAA1-4559-AE42-A5F19F627A82}">
      <formula1>Data_SO</formula1>
    </dataValidation>
    <dataValidation type="list" allowBlank="1" showInputMessage="1" showErrorMessage="1" sqref="S2:S1048576" xr:uid="{EE0B57A4-EDC1-4D8F-A673-5D4E9B08796E}">
      <formula1>"Used,Not Used,Edit"</formula1>
    </dataValidation>
  </dataValidations>
  <pageMargins left="0.7" right="0.7" top="0.75" bottom="0.75" header="0.3" footer="0.3"/>
  <pageSetup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ExportBKRequest">
                <anchor moveWithCells="1" sizeWithCells="1">
                  <from>
                    <xdr:col>28</xdr:col>
                    <xdr:colOff>571500</xdr:colOff>
                    <xdr:row>2</xdr:row>
                    <xdr:rowOff>180975</xdr:rowOff>
                  </from>
                  <to>
                    <xdr:col>32</xdr:col>
                    <xdr:colOff>495300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ImportBKRequest">
                <anchor moveWithCells="1" sizeWithCells="1">
                  <from>
                    <xdr:col>28</xdr:col>
                    <xdr:colOff>581025</xdr:colOff>
                    <xdr:row>7</xdr:row>
                    <xdr:rowOff>180975</xdr:rowOff>
                  </from>
                  <to>
                    <xdr:col>32</xdr:col>
                    <xdr:colOff>504825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6448C-8D95-4D97-8B19-7CCD0CA10D9B}">
  <sheetPr codeName="Sheet6"/>
  <dimension ref="F6:R8"/>
  <sheetViews>
    <sheetView workbookViewId="0">
      <selection activeCell="G7" sqref="G7"/>
    </sheetView>
  </sheetViews>
  <sheetFormatPr defaultRowHeight="15"/>
  <cols>
    <col min="6" max="6" width="12.140625" bestFit="1" customWidth="1"/>
    <col min="12" max="12" width="15.85546875" bestFit="1" customWidth="1"/>
  </cols>
  <sheetData>
    <row r="6" spans="6:18">
      <c r="F6" t="s">
        <v>293</v>
      </c>
      <c r="G6" s="2" t="s">
        <v>18</v>
      </c>
      <c r="H6" s="2" t="s">
        <v>62</v>
      </c>
      <c r="L6" t="s">
        <v>294</v>
      </c>
      <c r="M6" s="2">
        <v>1003</v>
      </c>
      <c r="O6" t="s">
        <v>295</v>
      </c>
      <c r="R6" t="s">
        <v>296</v>
      </c>
    </row>
    <row r="7" spans="6:18">
      <c r="O7" t="s">
        <v>44</v>
      </c>
      <c r="R7" t="s">
        <v>297</v>
      </c>
    </row>
    <row r="8" spans="6:18">
      <c r="F8" t="s">
        <v>298</v>
      </c>
      <c r="G8" s="2" t="s">
        <v>18</v>
      </c>
      <c r="H8" s="2" t="s">
        <v>464</v>
      </c>
      <c r="O8" t="s">
        <v>112</v>
      </c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2243"/>
  <sheetViews>
    <sheetView workbookViewId="0">
      <pane xSplit="1" ySplit="2" topLeftCell="B228" activePane="bottomRight" state="frozen"/>
      <selection pane="topRight"/>
      <selection pane="bottomLeft"/>
      <selection pane="bottomRight" activeCell="B39" sqref="B39"/>
    </sheetView>
  </sheetViews>
  <sheetFormatPr defaultColWidth="22.42578125" defaultRowHeight="15"/>
  <cols>
    <col min="1" max="1" width="22.42578125" style="8"/>
    <col min="2" max="16384" width="22.42578125" style="2"/>
  </cols>
  <sheetData>
    <row r="1" spans="1:4" customFormat="1" hidden="1">
      <c r="A1" s="5"/>
      <c r="B1" s="150" t="s">
        <v>299</v>
      </c>
      <c r="C1" s="151"/>
      <c r="D1" s="151"/>
    </row>
    <row r="2" spans="1:4" customFormat="1">
      <c r="A2" s="6" t="s">
        <v>300</v>
      </c>
      <c r="B2" s="9" t="s">
        <v>301</v>
      </c>
      <c r="C2" s="9" t="s">
        <v>87</v>
      </c>
      <c r="D2" s="9" t="s">
        <v>302</v>
      </c>
    </row>
    <row r="3" spans="1:4">
      <c r="A3" s="7" t="e">
        <f>IF('Document Workflow'!A2&lt;&gt;"",'Document Workflow'!A2,"")</f>
        <v>#REF!</v>
      </c>
      <c r="B3" s="3" t="s">
        <v>72</v>
      </c>
      <c r="C3" s="3" t="e">
        <f>IF(INDEX('Document Workflow'!M:M,MATCH(A3,'Document Workflow'!A:A,0))&lt;&gt;"",INDEX('Document Workflow'!M:M,MATCH(A3,'Document Workflow'!A:A,0)),"")</f>
        <v>#REF!</v>
      </c>
      <c r="D3" s="3"/>
    </row>
    <row r="4" spans="1:4">
      <c r="A4" s="7" t="e">
        <f>IF('Document Workflow'!A3&lt;&gt;"",'Document Workflow'!A3,"")</f>
        <v>#REF!</v>
      </c>
      <c r="B4" s="3" t="s">
        <v>43</v>
      </c>
      <c r="C4" s="3" t="e">
        <f>IF(INDEX('Document Workflow'!M:M,MATCH(A4,'Document Workflow'!A:A,0))&lt;&gt;"",INDEX('Document Workflow'!M:M,MATCH(A4,'Document Workflow'!A:A,0)),"")</f>
        <v>#REF!</v>
      </c>
      <c r="D4" s="3"/>
    </row>
    <row r="5" spans="1:4">
      <c r="A5" s="7" t="e">
        <f>IF('Document Workflow'!A4&lt;&gt;"",'Document Workflow'!A4,"")</f>
        <v>#REF!</v>
      </c>
      <c r="B5" s="3" t="s">
        <v>72</v>
      </c>
      <c r="C5" s="3" t="e">
        <f>IF(INDEX('Document Workflow'!M:M,MATCH(A5,'Document Workflow'!A:A,0))&lt;&gt;"",INDEX('Document Workflow'!M:M,MATCH(A5,'Document Workflow'!A:A,0)),"")</f>
        <v>#REF!</v>
      </c>
      <c r="D5" s="3"/>
    </row>
    <row r="6" spans="1:4">
      <c r="A6" s="7" t="e">
        <f>IF('Document Workflow'!A5&lt;&gt;"",'Document Workflow'!A5,"")</f>
        <v>#REF!</v>
      </c>
      <c r="B6" s="3" t="s">
        <v>43</v>
      </c>
      <c r="C6" s="3" t="e">
        <f>IF(INDEX('Document Workflow'!M:M,MATCH(A6,'Document Workflow'!A:A,0))&lt;&gt;"",INDEX('Document Workflow'!M:M,MATCH(A6,'Document Workflow'!A:A,0)),"")</f>
        <v>#REF!</v>
      </c>
      <c r="D6" s="3"/>
    </row>
    <row r="7" spans="1:4">
      <c r="A7" s="7" t="e">
        <f>IF('Document Workflow'!A6&lt;&gt;"",'Document Workflow'!A6,"")</f>
        <v>#REF!</v>
      </c>
      <c r="B7" s="3" t="s">
        <v>43</v>
      </c>
      <c r="C7" s="3" t="e">
        <f>IF(INDEX('Document Workflow'!M:M,MATCH(A7,'Document Workflow'!A:A,0))&lt;&gt;"",INDEX('Document Workflow'!M:M,MATCH(A7,'Document Workflow'!A:A,0)),"")</f>
        <v>#REF!</v>
      </c>
      <c r="D7" s="3"/>
    </row>
    <row r="8" spans="1:4">
      <c r="A8" s="7" t="e">
        <f>IF('Document Workflow'!A7&lt;&gt;"",'Document Workflow'!A7,"")</f>
        <v>#REF!</v>
      </c>
      <c r="B8" s="3" t="s">
        <v>43</v>
      </c>
      <c r="C8" s="3" t="e">
        <f>IF(INDEX('Document Workflow'!M:M,MATCH(A8,'Document Workflow'!A:A,0))&lt;&gt;"",INDEX('Document Workflow'!M:M,MATCH(A8,'Document Workflow'!A:A,0)),"")</f>
        <v>#REF!</v>
      </c>
      <c r="D8" s="3"/>
    </row>
    <row r="9" spans="1:4">
      <c r="A9" s="7" t="e">
        <f>IF('Document Workflow'!A8&lt;&gt;"",'Document Workflow'!A8,"")</f>
        <v>#REF!</v>
      </c>
      <c r="B9" s="3" t="s">
        <v>43</v>
      </c>
      <c r="C9" s="3" t="e">
        <f>IF(INDEX('Document Workflow'!M:M,MATCH(A9,'Document Workflow'!A:A,0))&lt;&gt;"",INDEX('Document Workflow'!M:M,MATCH(A9,'Document Workflow'!A:A,0)),"")</f>
        <v>#REF!</v>
      </c>
      <c r="D9" s="3"/>
    </row>
    <row r="10" spans="1:4">
      <c r="A10" s="7" t="e">
        <f>IF('Document Workflow'!A9&lt;&gt;"",'Document Workflow'!A9,"")</f>
        <v>#REF!</v>
      </c>
      <c r="B10" s="3" t="s">
        <v>43</v>
      </c>
      <c r="C10" s="3" t="e">
        <f>IF(INDEX('Document Workflow'!M:M,MATCH(A10,'Document Workflow'!A:A,0))&lt;&gt;"",INDEX('Document Workflow'!M:M,MATCH(A10,'Document Workflow'!A:A,0)),"")</f>
        <v>#REF!</v>
      </c>
      <c r="D10" s="3"/>
    </row>
    <row r="11" spans="1:4">
      <c r="A11" s="7" t="e">
        <f>IF('Document Workflow'!A10&lt;&gt;"",'Document Workflow'!A10,"")</f>
        <v>#REF!</v>
      </c>
      <c r="B11" s="3" t="s">
        <v>43</v>
      </c>
      <c r="C11" s="3" t="e">
        <f>IF(INDEX('Document Workflow'!M:M,MATCH(A11,'Document Workflow'!A:A,0))&lt;&gt;"",INDEX('Document Workflow'!M:M,MATCH(A11,'Document Workflow'!A:A,0)),"")</f>
        <v>#REF!</v>
      </c>
      <c r="D11" s="3"/>
    </row>
    <row r="12" spans="1:4">
      <c r="A12" s="7" t="e">
        <f>IF('Document Workflow'!A11&lt;&gt;"",'Document Workflow'!A11,"")</f>
        <v>#REF!</v>
      </c>
      <c r="B12" s="3" t="s">
        <v>43</v>
      </c>
      <c r="C12" s="3" t="e">
        <f>IF(INDEX('Document Workflow'!M:M,MATCH(A12,'Document Workflow'!A:A,0))&lt;&gt;"",INDEX('Document Workflow'!M:M,MATCH(A12,'Document Workflow'!A:A,0)),"")</f>
        <v>#REF!</v>
      </c>
      <c r="D12" s="3"/>
    </row>
    <row r="13" spans="1:4">
      <c r="A13" s="7" t="e">
        <f>IF('Document Workflow'!A12&lt;&gt;"",'Document Workflow'!A12,"")</f>
        <v>#REF!</v>
      </c>
      <c r="B13" s="3" t="s">
        <v>43</v>
      </c>
      <c r="C13" s="3" t="e">
        <f>IF(INDEX('Document Workflow'!M:M,MATCH(A13,'Document Workflow'!A:A,0))&lt;&gt;"",INDEX('Document Workflow'!M:M,MATCH(A13,'Document Workflow'!A:A,0)),"")</f>
        <v>#REF!</v>
      </c>
      <c r="D13" s="3"/>
    </row>
    <row r="14" spans="1:4">
      <c r="A14" s="7" t="e">
        <f>IF('Document Workflow'!A13&lt;&gt;"",'Document Workflow'!A13,"")</f>
        <v>#REF!</v>
      </c>
      <c r="B14" s="3" t="s">
        <v>43</v>
      </c>
      <c r="C14" s="3" t="e">
        <f>IF(INDEX('Document Workflow'!M:M,MATCH(A14,'Document Workflow'!A:A,0))&lt;&gt;"",INDEX('Document Workflow'!M:M,MATCH(A14,'Document Workflow'!A:A,0)),"")</f>
        <v>#REF!</v>
      </c>
      <c r="D14" s="3"/>
    </row>
    <row r="15" spans="1:4">
      <c r="A15" s="7" t="e">
        <f>IF('Document Workflow'!A14&lt;&gt;"",'Document Workflow'!A14,"")</f>
        <v>#REF!</v>
      </c>
      <c r="B15" s="3" t="s">
        <v>72</v>
      </c>
      <c r="C15" s="3" t="e">
        <f>IF(INDEX('Document Workflow'!M:M,MATCH(A15,'Document Workflow'!A:A,0))&lt;&gt;"",INDEX('Document Workflow'!M:M,MATCH(A15,'Document Workflow'!A:A,0)),"")</f>
        <v>#REF!</v>
      </c>
      <c r="D15" s="3"/>
    </row>
    <row r="16" spans="1:4">
      <c r="A16" s="7" t="e">
        <f>IF('Document Workflow'!A15&lt;&gt;"",'Document Workflow'!A15,"")</f>
        <v>#REF!</v>
      </c>
      <c r="B16" s="3" t="s">
        <v>43</v>
      </c>
      <c r="C16" s="3" t="e">
        <f>IF(INDEX('Document Workflow'!M:M,MATCH(A16,'Document Workflow'!A:A,0))&lt;&gt;"",INDEX('Document Workflow'!M:M,MATCH(A16,'Document Workflow'!A:A,0)),"")</f>
        <v>#REF!</v>
      </c>
      <c r="D16" s="3"/>
    </row>
    <row r="17" spans="1:4">
      <c r="A17" s="7" t="e">
        <f>IF('Document Workflow'!A16&lt;&gt;"",'Document Workflow'!A16,"")</f>
        <v>#REF!</v>
      </c>
      <c r="B17" s="3" t="s">
        <v>43</v>
      </c>
      <c r="C17" s="3" t="e">
        <f>IF(INDEX('Document Workflow'!M:M,MATCH(A17,'Document Workflow'!A:A,0))&lt;&gt;"",INDEX('Document Workflow'!M:M,MATCH(A17,'Document Workflow'!A:A,0)),"")</f>
        <v>#REF!</v>
      </c>
      <c r="D17" s="3"/>
    </row>
    <row r="18" spans="1:4">
      <c r="A18" s="7" t="e">
        <f>IF('Document Workflow'!A17&lt;&gt;"",'Document Workflow'!A17,"")</f>
        <v>#REF!</v>
      </c>
      <c r="B18" s="3" t="s">
        <v>43</v>
      </c>
      <c r="C18" s="3" t="e">
        <f>IF(INDEX('Document Workflow'!M:M,MATCH(A18,'Document Workflow'!A:A,0))&lt;&gt;"",INDEX('Document Workflow'!M:M,MATCH(A18,'Document Workflow'!A:A,0)),"")</f>
        <v>#REF!</v>
      </c>
      <c r="D18" s="3"/>
    </row>
    <row r="19" spans="1:4">
      <c r="A19" s="7" t="e">
        <f>IF('Document Workflow'!A18&lt;&gt;"",'Document Workflow'!A18,"")</f>
        <v>#REF!</v>
      </c>
      <c r="B19" s="3" t="s">
        <v>43</v>
      </c>
      <c r="C19" s="3" t="e">
        <f>IF(INDEX('Document Workflow'!M:M,MATCH(A19,'Document Workflow'!A:A,0))&lt;&gt;"",INDEX('Document Workflow'!M:M,MATCH(A19,'Document Workflow'!A:A,0)),"")</f>
        <v>#REF!</v>
      </c>
      <c r="D19" s="3"/>
    </row>
    <row r="20" spans="1:4">
      <c r="A20" s="7" t="e">
        <f>IF('Document Workflow'!A19&lt;&gt;"",'Document Workflow'!A19,"")</f>
        <v>#REF!</v>
      </c>
      <c r="B20" s="3" t="s">
        <v>43</v>
      </c>
      <c r="C20" s="3" t="e">
        <f>IF(INDEX('Document Workflow'!M:M,MATCH(A20,'Document Workflow'!A:A,0))&lt;&gt;"",INDEX('Document Workflow'!M:M,MATCH(A20,'Document Workflow'!A:A,0)),"")</f>
        <v>#REF!</v>
      </c>
      <c r="D20" s="3"/>
    </row>
    <row r="21" spans="1:4">
      <c r="A21" s="7" t="e">
        <f>IF('Document Workflow'!A20&lt;&gt;"",'Document Workflow'!A20,"")</f>
        <v>#REF!</v>
      </c>
      <c r="B21" s="3" t="s">
        <v>43</v>
      </c>
      <c r="C21" s="3" t="e">
        <f>IF(INDEX('Document Workflow'!M:M,MATCH(A21,'Document Workflow'!A:A,0))&lt;&gt;"",INDEX('Document Workflow'!M:M,MATCH(A21,'Document Workflow'!A:A,0)),"")</f>
        <v>#REF!</v>
      </c>
      <c r="D21" s="3"/>
    </row>
    <row r="22" spans="1:4">
      <c r="A22" s="7" t="e">
        <f>IF('Document Workflow'!A21&lt;&gt;"",'Document Workflow'!A21,"")</f>
        <v>#REF!</v>
      </c>
      <c r="B22" s="3" t="s">
        <v>43</v>
      </c>
      <c r="C22" s="3" t="e">
        <f>IF(INDEX('Document Workflow'!M:M,MATCH(A22,'Document Workflow'!A:A,0))&lt;&gt;"",INDEX('Document Workflow'!M:M,MATCH(A22,'Document Workflow'!A:A,0)),"")</f>
        <v>#REF!</v>
      </c>
      <c r="D22" s="3"/>
    </row>
    <row r="23" spans="1:4">
      <c r="A23" s="7" t="e">
        <f>IF('Document Workflow'!A22&lt;&gt;"",'Document Workflow'!A22,"")</f>
        <v>#REF!</v>
      </c>
      <c r="B23" s="3" t="s">
        <v>43</v>
      </c>
      <c r="C23" s="3" t="e">
        <f>IF(INDEX('Document Workflow'!M:M,MATCH(A23,'Document Workflow'!A:A,0))&lt;&gt;"",INDEX('Document Workflow'!M:M,MATCH(A23,'Document Workflow'!A:A,0)),"")</f>
        <v>#REF!</v>
      </c>
      <c r="D23" s="3"/>
    </row>
    <row r="24" spans="1:4">
      <c r="A24" s="7" t="e">
        <f>IF('Document Workflow'!A23&lt;&gt;"",'Document Workflow'!A23,"")</f>
        <v>#REF!</v>
      </c>
      <c r="B24" s="3" t="s">
        <v>43</v>
      </c>
      <c r="C24" s="3" t="e">
        <f>IF(INDEX('Document Workflow'!M:M,MATCH(A24,'Document Workflow'!A:A,0))&lt;&gt;"",INDEX('Document Workflow'!M:M,MATCH(A24,'Document Workflow'!A:A,0)),"")</f>
        <v>#REF!</v>
      </c>
      <c r="D24" s="3"/>
    </row>
    <row r="25" spans="1:4">
      <c r="A25" s="7" t="e">
        <f>IF('Document Workflow'!A24&lt;&gt;"",'Document Workflow'!A24,"")</f>
        <v>#REF!</v>
      </c>
      <c r="B25" s="3" t="s">
        <v>43</v>
      </c>
      <c r="C25" s="3" t="e">
        <f>IF(INDEX('Document Workflow'!M:M,MATCH(A25,'Document Workflow'!A:A,0))&lt;&gt;"",INDEX('Document Workflow'!M:M,MATCH(A25,'Document Workflow'!A:A,0)),"")</f>
        <v>#REF!</v>
      </c>
      <c r="D25" s="3"/>
    </row>
    <row r="26" spans="1:4">
      <c r="A26" s="7" t="e">
        <f>IF('Document Workflow'!A25&lt;&gt;"",'Document Workflow'!A25,"")</f>
        <v>#REF!</v>
      </c>
      <c r="B26" s="2" t="s">
        <v>43</v>
      </c>
      <c r="C26" s="3" t="e">
        <f>IF(INDEX('Document Workflow'!M:M,MATCH(A26,'Document Workflow'!A:A,0))&lt;&gt;"",INDEX('Document Workflow'!M:M,MATCH(A26,'Document Workflow'!A:A,0)),"")</f>
        <v>#REF!</v>
      </c>
    </row>
    <row r="27" spans="1:4">
      <c r="A27" s="7" t="e">
        <f>IF('Document Workflow'!A26&lt;&gt;"",'Document Workflow'!A26,"")</f>
        <v>#REF!</v>
      </c>
      <c r="B27" s="3" t="s">
        <v>43</v>
      </c>
      <c r="C27" s="3" t="e">
        <f>IF(INDEX('Document Workflow'!M:M,MATCH(A27,'Document Workflow'!A:A,0))&lt;&gt;"",INDEX('Document Workflow'!M:M,MATCH(A27,'Document Workflow'!A:A,0)),"")</f>
        <v>#REF!</v>
      </c>
    </row>
    <row r="28" spans="1:4">
      <c r="A28" s="7" t="e">
        <f>IF('Document Workflow'!A27&lt;&gt;"",'Document Workflow'!A27,"")</f>
        <v>#REF!</v>
      </c>
      <c r="B28" s="2" t="s">
        <v>43</v>
      </c>
      <c r="C28" s="3" t="e">
        <f>IF(INDEX('Document Workflow'!M:M,MATCH(A28,'Document Workflow'!A:A,0))&lt;&gt;"",INDEX('Document Workflow'!M:M,MATCH(A28,'Document Workflow'!A:A,0)),"")</f>
        <v>#REF!</v>
      </c>
    </row>
    <row r="29" spans="1:4">
      <c r="A29" s="7" t="e">
        <f>IF('Document Workflow'!A28&lt;&gt;"",'Document Workflow'!A28,"")</f>
        <v>#REF!</v>
      </c>
      <c r="B29" s="3" t="s">
        <v>43</v>
      </c>
      <c r="C29" s="3" t="e">
        <f>IF(INDEX('Document Workflow'!M:M,MATCH(A29,'Document Workflow'!A:A,0))&lt;&gt;"",INDEX('Document Workflow'!M:M,MATCH(A29,'Document Workflow'!A:A,0)),"")</f>
        <v>#REF!</v>
      </c>
    </row>
    <row r="30" spans="1:4">
      <c r="A30" s="7" t="e">
        <f>IF('Document Workflow'!A29&lt;&gt;"",'Document Workflow'!A29,"")</f>
        <v>#REF!</v>
      </c>
      <c r="B30" s="2" t="s">
        <v>43</v>
      </c>
      <c r="C30" s="3" t="e">
        <f>IF(INDEX('Document Workflow'!M:M,MATCH(A30,'Document Workflow'!A:A,0))&lt;&gt;"",INDEX('Document Workflow'!M:M,MATCH(A30,'Document Workflow'!A:A,0)),"")</f>
        <v>#REF!</v>
      </c>
    </row>
    <row r="31" spans="1:4">
      <c r="A31" s="7" t="e">
        <f>IF('Document Workflow'!A30&lt;&gt;"",'Document Workflow'!A30,"")</f>
        <v>#REF!</v>
      </c>
      <c r="B31" s="2" t="s">
        <v>43</v>
      </c>
      <c r="C31" s="3" t="e">
        <f>IF(INDEX('Document Workflow'!M:M,MATCH(A31,'Document Workflow'!A:A,0))&lt;&gt;"",INDEX('Document Workflow'!M:M,MATCH(A31,'Document Workflow'!A:A,0)),"")</f>
        <v>#REF!</v>
      </c>
    </row>
    <row r="32" spans="1:4">
      <c r="A32" s="7" t="e">
        <f>IF('Document Workflow'!A31&lt;&gt;"",'Document Workflow'!A31,"")</f>
        <v>#REF!</v>
      </c>
      <c r="B32" s="2" t="s">
        <v>72</v>
      </c>
      <c r="C32" s="3" t="e">
        <f>IF(INDEX('Document Workflow'!M:M,MATCH(A32,'Document Workflow'!A:A,0))&lt;&gt;"",INDEX('Document Workflow'!M:M,MATCH(A32,'Document Workflow'!A:A,0)),"")</f>
        <v>#REF!</v>
      </c>
    </row>
    <row r="33" spans="1:3">
      <c r="A33" s="7" t="e">
        <f>IF('Document Workflow'!A32&lt;&gt;"",'Document Workflow'!A32,"")</f>
        <v>#REF!</v>
      </c>
      <c r="B33" s="2" t="s">
        <v>43</v>
      </c>
      <c r="C33" s="3" t="e">
        <f>IF(INDEX('Document Workflow'!M:M,MATCH(A33,'Document Workflow'!A:A,0))&lt;&gt;"",INDEX('Document Workflow'!M:M,MATCH(A33,'Document Workflow'!A:A,0)),"")</f>
        <v>#REF!</v>
      </c>
    </row>
    <row r="34" spans="1:3">
      <c r="A34" s="7" t="e">
        <f>IF('Document Workflow'!A33&lt;&gt;"",'Document Workflow'!A33,"")</f>
        <v>#REF!</v>
      </c>
      <c r="B34" s="2" t="s">
        <v>43</v>
      </c>
      <c r="C34" s="3" t="e">
        <f>IF(INDEX('Document Workflow'!M:M,MATCH(A34,'Document Workflow'!A:A,0))&lt;&gt;"",INDEX('Document Workflow'!M:M,MATCH(A34,'Document Workflow'!A:A,0)),"")</f>
        <v>#REF!</v>
      </c>
    </row>
    <row r="35" spans="1:3">
      <c r="A35" s="7" t="e">
        <f>IF('Document Workflow'!A34&lt;&gt;"",'Document Workflow'!A34,"")</f>
        <v>#REF!</v>
      </c>
      <c r="B35" s="2" t="s">
        <v>43</v>
      </c>
      <c r="C35" s="3" t="e">
        <f>IF(INDEX('Document Workflow'!M:M,MATCH(A35,'Document Workflow'!A:A,0))&lt;&gt;"",INDEX('Document Workflow'!M:M,MATCH(A35,'Document Workflow'!A:A,0)),"")</f>
        <v>#REF!</v>
      </c>
    </row>
    <row r="36" spans="1:3">
      <c r="A36" s="7" t="e">
        <f>IF('Document Workflow'!A35&lt;&gt;"",'Document Workflow'!A35,"")</f>
        <v>#REF!</v>
      </c>
      <c r="B36" s="2" t="s">
        <v>43</v>
      </c>
      <c r="C36" s="3" t="e">
        <f>IF(INDEX('Document Workflow'!M:M,MATCH(A36,'Document Workflow'!A:A,0))&lt;&gt;"",INDEX('Document Workflow'!M:M,MATCH(A36,'Document Workflow'!A:A,0)),"")</f>
        <v>#REF!</v>
      </c>
    </row>
    <row r="37" spans="1:3">
      <c r="A37" s="7" t="e">
        <f>IF('Document Workflow'!A36&lt;&gt;"",'Document Workflow'!A36,"")</f>
        <v>#REF!</v>
      </c>
      <c r="B37" s="3" t="s">
        <v>43</v>
      </c>
      <c r="C37" s="3" t="e">
        <f>IF(INDEX('Document Workflow'!M:M,MATCH(A37,'Document Workflow'!A:A,0))&lt;&gt;"",INDEX('Document Workflow'!M:M,MATCH(A37,'Document Workflow'!A:A,0)),"")</f>
        <v>#REF!</v>
      </c>
    </row>
    <row r="38" spans="1:3">
      <c r="A38" s="7" t="e">
        <f>IF('Document Workflow'!A37&lt;&gt;"",'Document Workflow'!A37,"")</f>
        <v>#REF!</v>
      </c>
      <c r="B38" s="2" t="s">
        <v>43</v>
      </c>
      <c r="C38" s="3" t="e">
        <f>IF(INDEX('Document Workflow'!M:M,MATCH(A38,'Document Workflow'!A:A,0))&lt;&gt;"",INDEX('Document Workflow'!M:M,MATCH(A38,'Document Workflow'!A:A,0)),"")</f>
        <v>#REF!</v>
      </c>
    </row>
    <row r="39" spans="1:3">
      <c r="A39" s="7" t="e">
        <f>IF('Document Workflow'!A38&lt;&gt;"",'Document Workflow'!A38,"")</f>
        <v>#REF!</v>
      </c>
      <c r="B39" s="3" t="s">
        <v>43</v>
      </c>
      <c r="C39" s="3" t="e">
        <f>IF(INDEX('Document Workflow'!M:M,MATCH(A39,'Document Workflow'!A:A,0))&lt;&gt;"",INDEX('Document Workflow'!M:M,MATCH(A39,'Document Workflow'!A:A,0)),"")</f>
        <v>#REF!</v>
      </c>
    </row>
    <row r="40" spans="1:3">
      <c r="A40" s="7" t="e">
        <f>IF('Document Workflow'!A39&lt;&gt;"",'Document Workflow'!A39,"")</f>
        <v>#REF!</v>
      </c>
      <c r="B40" s="2" t="s">
        <v>43</v>
      </c>
      <c r="C40" s="3" t="e">
        <f>IF(INDEX('Document Workflow'!M:M,MATCH(A40,'Document Workflow'!A:A,0))&lt;&gt;"",INDEX('Document Workflow'!M:M,MATCH(A40,'Document Workflow'!A:A,0)),"")</f>
        <v>#REF!</v>
      </c>
    </row>
    <row r="41" spans="1:3">
      <c r="A41" s="7" t="e">
        <f>IF('Document Workflow'!A40&lt;&gt;"",'Document Workflow'!A40,"")</f>
        <v>#REF!</v>
      </c>
      <c r="B41" s="2" t="s">
        <v>43</v>
      </c>
      <c r="C41" s="3" t="e">
        <f>IF(INDEX('Document Workflow'!M:M,MATCH(A41,'Document Workflow'!A:A,0))&lt;&gt;"",INDEX('Document Workflow'!M:M,MATCH(A41,'Document Workflow'!A:A,0)),"")</f>
        <v>#REF!</v>
      </c>
    </row>
    <row r="42" spans="1:3">
      <c r="A42" s="7" t="e">
        <f>IF('Document Workflow'!A41&lt;&gt;"",'Document Workflow'!A41,"")</f>
        <v>#REF!</v>
      </c>
      <c r="B42" s="3" t="s">
        <v>43</v>
      </c>
      <c r="C42" s="3" t="e">
        <f>IF(INDEX('Document Workflow'!M:M,MATCH(A42,'Document Workflow'!A:A,0))&lt;&gt;"",INDEX('Document Workflow'!M:M,MATCH(A42,'Document Workflow'!A:A,0)),"")</f>
        <v>#REF!</v>
      </c>
    </row>
    <row r="43" spans="1:3">
      <c r="A43" s="7" t="e">
        <f>IF('Document Workflow'!A42&lt;&gt;"",'Document Workflow'!A42,"")</f>
        <v>#REF!</v>
      </c>
      <c r="B43" s="2" t="s">
        <v>43</v>
      </c>
      <c r="C43" s="3" t="e">
        <f>IF(INDEX('Document Workflow'!M:M,MATCH(A43,'Document Workflow'!A:A,0))&lt;&gt;"",INDEX('Document Workflow'!M:M,MATCH(A43,'Document Workflow'!A:A,0)),"")</f>
        <v>#REF!</v>
      </c>
    </row>
    <row r="44" spans="1:3">
      <c r="A44" s="7" t="e">
        <f>IF('Document Workflow'!A43&lt;&gt;"",'Document Workflow'!A43,"")</f>
        <v>#REF!</v>
      </c>
      <c r="B44" s="2" t="s">
        <v>43</v>
      </c>
      <c r="C44" s="3" t="e">
        <f>IF(INDEX('Document Workflow'!M:M,MATCH(A44,'Document Workflow'!A:A,0))&lt;&gt;"",INDEX('Document Workflow'!M:M,MATCH(A44,'Document Workflow'!A:A,0)),"")</f>
        <v>#REF!</v>
      </c>
    </row>
    <row r="45" spans="1:3">
      <c r="A45" s="7" t="e">
        <f>IF('Document Workflow'!A44&lt;&gt;"",'Document Workflow'!A44,"")</f>
        <v>#REF!</v>
      </c>
      <c r="B45" s="2" t="s">
        <v>43</v>
      </c>
      <c r="C45" s="3" t="e">
        <f>IF(INDEX('Document Workflow'!M:M,MATCH(A45,'Document Workflow'!A:A,0))&lt;&gt;"",INDEX('Document Workflow'!M:M,MATCH(A45,'Document Workflow'!A:A,0)),"")</f>
        <v>#REF!</v>
      </c>
    </row>
    <row r="46" spans="1:3">
      <c r="A46" s="7" t="e">
        <f>IF('Document Workflow'!A45&lt;&gt;"",'Document Workflow'!A45,"")</f>
        <v>#REF!</v>
      </c>
      <c r="B46" s="2" t="s">
        <v>43</v>
      </c>
      <c r="C46" s="3" t="e">
        <f>IF(INDEX('Document Workflow'!M:M,MATCH(A46,'Document Workflow'!A:A,0))&lt;&gt;"",INDEX('Document Workflow'!M:M,MATCH(A46,'Document Workflow'!A:A,0)),"")</f>
        <v>#REF!</v>
      </c>
    </row>
    <row r="47" spans="1:3">
      <c r="A47" s="7" t="e">
        <f>IF('Document Workflow'!A46&lt;&gt;"",'Document Workflow'!A46,"")</f>
        <v>#REF!</v>
      </c>
      <c r="B47" s="2" t="s">
        <v>43</v>
      </c>
      <c r="C47" s="3" t="e">
        <f>IF(INDEX('Document Workflow'!M:M,MATCH(A47,'Document Workflow'!A:A,0))&lt;&gt;"",INDEX('Document Workflow'!M:M,MATCH(A47,'Document Workflow'!A:A,0)),"")</f>
        <v>#REF!</v>
      </c>
    </row>
    <row r="48" spans="1:3">
      <c r="A48" s="7" t="e">
        <f>IF('Document Workflow'!A47&lt;&gt;"",'Document Workflow'!A47,"")</f>
        <v>#REF!</v>
      </c>
      <c r="B48" s="3" t="s">
        <v>43</v>
      </c>
      <c r="C48" s="3" t="e">
        <f>IF(INDEX('Document Workflow'!M:M,MATCH(A48,'Document Workflow'!A:A,0))&lt;&gt;"",INDEX('Document Workflow'!M:M,MATCH(A48,'Document Workflow'!A:A,0)),"")</f>
        <v>#REF!</v>
      </c>
    </row>
    <row r="49" spans="1:3">
      <c r="A49" s="7" t="e">
        <f>IF('Document Workflow'!A48&lt;&gt;"",'Document Workflow'!A48,"")</f>
        <v>#REF!</v>
      </c>
      <c r="B49" s="2" t="s">
        <v>43</v>
      </c>
      <c r="C49" s="3" t="e">
        <f>IF(INDEX('Document Workflow'!M:M,MATCH(A49,'Document Workflow'!A:A,0))&lt;&gt;"",INDEX('Document Workflow'!M:M,MATCH(A49,'Document Workflow'!A:A,0)),"")</f>
        <v>#REF!</v>
      </c>
    </row>
    <row r="50" spans="1:3">
      <c r="A50" s="7" t="e">
        <f>IF('Document Workflow'!A49&lt;&gt;"",'Document Workflow'!A49,"")</f>
        <v>#REF!</v>
      </c>
      <c r="B50" s="2" t="s">
        <v>43</v>
      </c>
      <c r="C50" s="3" t="e">
        <f>IF(INDEX('Document Workflow'!M:M,MATCH(A50,'Document Workflow'!A:A,0))&lt;&gt;"",INDEX('Document Workflow'!M:M,MATCH(A50,'Document Workflow'!A:A,0)),"")</f>
        <v>#REF!</v>
      </c>
    </row>
    <row r="51" spans="1:3">
      <c r="A51" s="7" t="e">
        <f>IF('Document Workflow'!A50&lt;&gt;"",'Document Workflow'!A50,"")</f>
        <v>#REF!</v>
      </c>
      <c r="B51" s="2" t="s">
        <v>43</v>
      </c>
      <c r="C51" s="3" t="e">
        <f>IF(INDEX('Document Workflow'!M:M,MATCH(A51,'Document Workflow'!A:A,0))&lt;&gt;"",INDEX('Document Workflow'!M:M,MATCH(A51,'Document Workflow'!A:A,0)),"")</f>
        <v>#REF!</v>
      </c>
    </row>
    <row r="52" spans="1:3">
      <c r="A52" s="7" t="e">
        <f>IF('Document Workflow'!A51&lt;&gt;"",'Document Workflow'!A51,"")</f>
        <v>#REF!</v>
      </c>
      <c r="B52" s="3" t="s">
        <v>43</v>
      </c>
      <c r="C52" s="3" t="e">
        <f>IF(INDEX('Document Workflow'!M:M,MATCH(A52,'Document Workflow'!A:A,0))&lt;&gt;"",INDEX('Document Workflow'!M:M,MATCH(A52,'Document Workflow'!A:A,0)),"")</f>
        <v>#REF!</v>
      </c>
    </row>
    <row r="53" spans="1:3">
      <c r="A53" s="7" t="e">
        <f>IF('Document Workflow'!A52&lt;&gt;"",'Document Workflow'!A52,"")</f>
        <v>#REF!</v>
      </c>
      <c r="B53" s="2" t="s">
        <v>43</v>
      </c>
      <c r="C53" s="3" t="e">
        <f>IF(INDEX('Document Workflow'!M:M,MATCH(A53,'Document Workflow'!A:A,0))&lt;&gt;"",INDEX('Document Workflow'!M:M,MATCH(A53,'Document Workflow'!A:A,0)),"")</f>
        <v>#REF!</v>
      </c>
    </row>
    <row r="54" spans="1:3">
      <c r="A54" s="7" t="e">
        <f>IF('Document Workflow'!A53&lt;&gt;"",'Document Workflow'!A53,"")</f>
        <v>#REF!</v>
      </c>
      <c r="B54" s="2" t="s">
        <v>43</v>
      </c>
      <c r="C54" s="3" t="e">
        <f>IF(INDEX('Document Workflow'!M:M,MATCH(A54,'Document Workflow'!A:A,0))&lt;&gt;"",INDEX('Document Workflow'!M:M,MATCH(A54,'Document Workflow'!A:A,0)),"")</f>
        <v>#REF!</v>
      </c>
    </row>
    <row r="55" spans="1:3">
      <c r="A55" s="7" t="e">
        <f>IF('Document Workflow'!A54&lt;&gt;"",'Document Workflow'!A54,"")</f>
        <v>#REF!</v>
      </c>
      <c r="B55" s="2" t="s">
        <v>43</v>
      </c>
      <c r="C55" s="3" t="e">
        <f>IF(INDEX('Document Workflow'!M:M,MATCH(A55,'Document Workflow'!A:A,0))&lt;&gt;"",INDEX('Document Workflow'!M:M,MATCH(A55,'Document Workflow'!A:A,0)),"")</f>
        <v>#REF!</v>
      </c>
    </row>
    <row r="56" spans="1:3">
      <c r="A56" s="7" t="e">
        <f>IF('Document Workflow'!A55&lt;&gt;"",'Document Workflow'!A55,"")</f>
        <v>#REF!</v>
      </c>
      <c r="B56" s="2" t="s">
        <v>43</v>
      </c>
      <c r="C56" s="3" t="e">
        <f>IF(INDEX('Document Workflow'!M:M,MATCH(A56,'Document Workflow'!A:A,0))&lt;&gt;"",INDEX('Document Workflow'!M:M,MATCH(A56,'Document Workflow'!A:A,0)),"")</f>
        <v>#REF!</v>
      </c>
    </row>
    <row r="57" spans="1:3">
      <c r="A57" s="7" t="e">
        <f>IF('Document Workflow'!A56&lt;&gt;"",'Document Workflow'!A56,"")</f>
        <v>#REF!</v>
      </c>
      <c r="B57" s="2" t="s">
        <v>43</v>
      </c>
      <c r="C57" s="3" t="e">
        <f>IF(INDEX('Document Workflow'!M:M,MATCH(A57,'Document Workflow'!A:A,0))&lt;&gt;"",INDEX('Document Workflow'!M:M,MATCH(A57,'Document Workflow'!A:A,0)),"")</f>
        <v>#REF!</v>
      </c>
    </row>
    <row r="58" spans="1:3">
      <c r="A58" s="7" t="e">
        <f>IF('Document Workflow'!A57&lt;&gt;"",'Document Workflow'!A57,"")</f>
        <v>#REF!</v>
      </c>
      <c r="B58" s="2" t="s">
        <v>43</v>
      </c>
      <c r="C58" s="3" t="e">
        <f>IF(INDEX('Document Workflow'!M:M,MATCH(A58,'Document Workflow'!A:A,0))&lt;&gt;"",INDEX('Document Workflow'!M:M,MATCH(A58,'Document Workflow'!A:A,0)),"")</f>
        <v>#REF!</v>
      </c>
    </row>
    <row r="59" spans="1:3">
      <c r="A59" s="7" t="str">
        <f>IF('Document Workflow'!A58&lt;&gt;"",'Document Workflow'!A58,"")</f>
        <v>BI 22781</v>
      </c>
      <c r="B59" s="3" t="s">
        <v>43</v>
      </c>
      <c r="C59" s="3" t="str">
        <f>IF(INDEX('Document Workflow'!M:M,MATCH(A59,'Document Workflow'!A:A,0))&lt;&gt;"",INDEX('Document Workflow'!M:M,MATCH(A59,'Document Workflow'!A:A,0)),"")</f>
        <v/>
      </c>
    </row>
    <row r="60" spans="1:3">
      <c r="A60" s="7" t="e">
        <f>IF('Document Workflow'!A59&lt;&gt;"",'Document Workflow'!A59,"")</f>
        <v>#REF!</v>
      </c>
      <c r="B60" s="2" t="s">
        <v>43</v>
      </c>
      <c r="C60" s="3" t="e">
        <f>IF(INDEX('Document Workflow'!M:M,MATCH(A60,'Document Workflow'!A:A,0))&lt;&gt;"",INDEX('Document Workflow'!M:M,MATCH(A60,'Document Workflow'!A:A,0)),"")</f>
        <v>#REF!</v>
      </c>
    </row>
    <row r="61" spans="1:3">
      <c r="A61" s="7" t="e">
        <f>IF('Document Workflow'!A60&lt;&gt;"",'Document Workflow'!A60,"")</f>
        <v>#REF!</v>
      </c>
      <c r="B61" s="3" t="s">
        <v>43</v>
      </c>
      <c r="C61" s="3" t="e">
        <f>IF(INDEX('Document Workflow'!M:M,MATCH(A61,'Document Workflow'!A:A,0))&lt;&gt;"",INDEX('Document Workflow'!M:M,MATCH(A61,'Document Workflow'!A:A,0)),"")</f>
        <v>#REF!</v>
      </c>
    </row>
    <row r="62" spans="1:3">
      <c r="A62" s="7" t="e">
        <f>IF('Document Workflow'!A61&lt;&gt;"",'Document Workflow'!A61,"")</f>
        <v>#REF!</v>
      </c>
      <c r="B62" s="2" t="s">
        <v>43</v>
      </c>
      <c r="C62" s="3" t="e">
        <f>IF(INDEX('Document Workflow'!M:M,MATCH(A62,'Document Workflow'!A:A,0))&lt;&gt;"",INDEX('Document Workflow'!M:M,MATCH(A62,'Document Workflow'!A:A,0)),"")</f>
        <v>#REF!</v>
      </c>
    </row>
    <row r="63" spans="1:3">
      <c r="A63" s="7" t="str">
        <f>IF('Document Workflow'!A62&lt;&gt;"",'Document Workflow'!A62,"")</f>
        <v>BI 22913</v>
      </c>
      <c r="B63" s="3" t="s">
        <v>43</v>
      </c>
      <c r="C63" s="3" t="str">
        <f>IF(INDEX('Document Workflow'!M:M,MATCH(A63,'Document Workflow'!A:A,0))&lt;&gt;"",INDEX('Document Workflow'!M:M,MATCH(A63,'Document Workflow'!A:A,0)),"")</f>
        <v/>
      </c>
    </row>
    <row r="64" spans="1:3">
      <c r="A64" s="7" t="str">
        <f>IF('Document Workflow'!A63&lt;&gt;"",'Document Workflow'!A63,"")</f>
        <v>BI 22923</v>
      </c>
      <c r="B64" s="2" t="s">
        <v>43</v>
      </c>
      <c r="C64" s="3" t="str">
        <f>IF(INDEX('Document Workflow'!M:M,MATCH(A64,'Document Workflow'!A:A,0))&lt;&gt;"",INDEX('Document Workflow'!M:M,MATCH(A64,'Document Workflow'!A:A,0)),"")</f>
        <v/>
      </c>
    </row>
    <row r="65" spans="1:3">
      <c r="A65" s="7" t="e">
        <f>IF('Document Workflow'!A64&lt;&gt;"",'Document Workflow'!A64,"")</f>
        <v>#REF!</v>
      </c>
      <c r="B65" s="2" t="s">
        <v>72</v>
      </c>
      <c r="C65" s="3" t="e">
        <f>IF(INDEX('Document Workflow'!M:M,MATCH(A65,'Document Workflow'!A:A,0))&lt;&gt;"",INDEX('Document Workflow'!M:M,MATCH(A65,'Document Workflow'!A:A,0)),"")</f>
        <v>#REF!</v>
      </c>
    </row>
    <row r="66" spans="1:3">
      <c r="A66" s="7" t="e">
        <f>IF('Document Workflow'!A65&lt;&gt;"",'Document Workflow'!A65,"")</f>
        <v>#REF!</v>
      </c>
      <c r="B66" s="2" t="s">
        <v>43</v>
      </c>
      <c r="C66" s="3" t="e">
        <f>IF(INDEX('Document Workflow'!M:M,MATCH(A66,'Document Workflow'!A:A,0))&lt;&gt;"",INDEX('Document Workflow'!M:M,MATCH(A66,'Document Workflow'!A:A,0)),"")</f>
        <v>#REF!</v>
      </c>
    </row>
    <row r="67" spans="1:3">
      <c r="A67" s="7" t="e">
        <f>IF('Document Workflow'!A66&lt;&gt;"",'Document Workflow'!A66,"")</f>
        <v>#REF!</v>
      </c>
      <c r="B67" s="3" t="s">
        <v>43</v>
      </c>
      <c r="C67" s="3" t="e">
        <f>IF(INDEX('Document Workflow'!M:M,MATCH(A67,'Document Workflow'!A:A,0))&lt;&gt;"",INDEX('Document Workflow'!M:M,MATCH(A67,'Document Workflow'!A:A,0)),"")</f>
        <v>#REF!</v>
      </c>
    </row>
    <row r="68" spans="1:3">
      <c r="A68" s="7" t="e">
        <f>IF('Document Workflow'!A67&lt;&gt;"",'Document Workflow'!A67,"")</f>
        <v>#REF!</v>
      </c>
      <c r="B68" s="2" t="s">
        <v>43</v>
      </c>
      <c r="C68" s="3" t="e">
        <f>IF(INDEX('Document Workflow'!M:M,MATCH(A68,'Document Workflow'!A:A,0))&lt;&gt;"",INDEX('Document Workflow'!M:M,MATCH(A68,'Document Workflow'!A:A,0)),"")</f>
        <v>#REF!</v>
      </c>
    </row>
    <row r="69" spans="1:3">
      <c r="A69" s="7" t="e">
        <f>IF('Document Workflow'!A68&lt;&gt;"",'Document Workflow'!A68,"")</f>
        <v>#REF!</v>
      </c>
      <c r="B69" s="2" t="s">
        <v>43</v>
      </c>
      <c r="C69" s="3" t="e">
        <f>IF(INDEX('Document Workflow'!M:M,MATCH(A69,'Document Workflow'!A:A,0))&lt;&gt;"",INDEX('Document Workflow'!M:M,MATCH(A69,'Document Workflow'!A:A,0)),"")</f>
        <v>#REF!</v>
      </c>
    </row>
    <row r="70" spans="1:3">
      <c r="A70" s="7" t="str">
        <f>IF('Document Workflow'!A69&lt;&gt;"",'Document Workflow'!A69,"")</f>
        <v>BI 22964</v>
      </c>
      <c r="B70" s="2" t="s">
        <v>43</v>
      </c>
      <c r="C70" s="3" t="str">
        <f>IF(INDEX('Document Workflow'!M:M,MATCH(A70,'Document Workflow'!A:A,0))&lt;&gt;"",INDEX('Document Workflow'!M:M,MATCH(A70,'Document Workflow'!A:A,0)),"")</f>
        <v/>
      </c>
    </row>
    <row r="71" spans="1:3">
      <c r="A71" s="7" t="str">
        <f>IF('Document Workflow'!A70&lt;&gt;"",'Document Workflow'!A70,"")</f>
        <v>BI 22999</v>
      </c>
      <c r="B71" s="2" t="s">
        <v>43</v>
      </c>
      <c r="C71" s="3" t="str">
        <f>IF(INDEX('Document Workflow'!M:M,MATCH(A71,'Document Workflow'!A:A,0))&lt;&gt;"",INDEX('Document Workflow'!M:M,MATCH(A71,'Document Workflow'!A:A,0)),"")</f>
        <v/>
      </c>
    </row>
    <row r="72" spans="1:3">
      <c r="A72" s="7" t="str">
        <f>IF('Document Workflow'!A71&lt;&gt;"",'Document Workflow'!A71,"")</f>
        <v>BI 22998</v>
      </c>
      <c r="B72" s="2" t="s">
        <v>43</v>
      </c>
      <c r="C72" s="3" t="str">
        <f>IF(INDEX('Document Workflow'!M:M,MATCH(A72,'Document Workflow'!A:A,0))&lt;&gt;"",INDEX('Document Workflow'!M:M,MATCH(A72,'Document Workflow'!A:A,0)),"")</f>
        <v/>
      </c>
    </row>
    <row r="73" spans="1:3">
      <c r="A73" s="7" t="str">
        <f>IF('Document Workflow'!A72&lt;&gt;"",'Document Workflow'!A72,"")</f>
        <v>BI 23020</v>
      </c>
      <c r="B73" s="2" t="s">
        <v>43</v>
      </c>
      <c r="C73" s="3" t="str">
        <f>IF(INDEX('Document Workflow'!M:M,MATCH(A73,'Document Workflow'!A:A,0))&lt;&gt;"",INDEX('Document Workflow'!M:M,MATCH(A73,'Document Workflow'!A:A,0)),"")</f>
        <v/>
      </c>
    </row>
    <row r="74" spans="1:3">
      <c r="A74" s="7" t="str">
        <f>IF('Document Workflow'!A73&lt;&gt;"",'Document Workflow'!A73,"")</f>
        <v>BI 23068</v>
      </c>
      <c r="B74" s="2" t="s">
        <v>43</v>
      </c>
      <c r="C74" s="3" t="str">
        <f>IF(INDEX('Document Workflow'!M:M,MATCH(A74,'Document Workflow'!A:A,0))&lt;&gt;"",INDEX('Document Workflow'!M:M,MATCH(A74,'Document Workflow'!A:A,0)),"")</f>
        <v/>
      </c>
    </row>
    <row r="75" spans="1:3">
      <c r="A75" s="7" t="str">
        <f>IF('Document Workflow'!A74&lt;&gt;"",'Document Workflow'!A74,"")</f>
        <v>BI 23042</v>
      </c>
      <c r="B75" s="2" t="s">
        <v>43</v>
      </c>
      <c r="C75" s="3" t="str">
        <f>IF(INDEX('Document Workflow'!M:M,MATCH(A75,'Document Workflow'!A:A,0))&lt;&gt;"",INDEX('Document Workflow'!M:M,MATCH(A75,'Document Workflow'!A:A,0)),"")</f>
        <v/>
      </c>
    </row>
    <row r="76" spans="1:3">
      <c r="A76" s="7" t="str">
        <f>IF('Document Workflow'!A75&lt;&gt;"",'Document Workflow'!A75,"")</f>
        <v>BI 23074</v>
      </c>
      <c r="B76" s="2" t="s">
        <v>43</v>
      </c>
      <c r="C76" s="3" t="str">
        <f>IF(INDEX('Document Workflow'!M:M,MATCH(A76,'Document Workflow'!A:A,0))&lt;&gt;"",INDEX('Document Workflow'!M:M,MATCH(A76,'Document Workflow'!A:A,0)),"")</f>
        <v/>
      </c>
    </row>
    <row r="77" spans="1:3">
      <c r="A77" s="7" t="str">
        <f>IF('Document Workflow'!A76&lt;&gt;"",'Document Workflow'!A76,"")</f>
        <v>BI 23117</v>
      </c>
      <c r="B77" s="2" t="s">
        <v>43</v>
      </c>
      <c r="C77" s="3" t="str">
        <f>IF(INDEX('Document Workflow'!M:M,MATCH(A77,'Document Workflow'!A:A,0))&lt;&gt;"",INDEX('Document Workflow'!M:M,MATCH(A77,'Document Workflow'!A:A,0)),"")</f>
        <v/>
      </c>
    </row>
    <row r="78" spans="1:3">
      <c r="A78" s="7" t="str">
        <f>IF('Document Workflow'!A77&lt;&gt;"",'Document Workflow'!A77,"")</f>
        <v>BI 23114</v>
      </c>
      <c r="B78" s="2" t="s">
        <v>43</v>
      </c>
      <c r="C78" s="3" t="str">
        <f>IF(INDEX('Document Workflow'!M:M,MATCH(A78,'Document Workflow'!A:A,0))&lt;&gt;"",INDEX('Document Workflow'!M:M,MATCH(A78,'Document Workflow'!A:A,0)),"")</f>
        <v/>
      </c>
    </row>
    <row r="79" spans="1:3">
      <c r="A79" s="7" t="str">
        <f>IF('Document Workflow'!A78&lt;&gt;"",'Document Workflow'!A78,"")</f>
        <v>BI 23130</v>
      </c>
      <c r="B79" s="2" t="s">
        <v>43</v>
      </c>
      <c r="C79" s="3" t="str">
        <f>IF(INDEX('Document Workflow'!M:M,MATCH(A79,'Document Workflow'!A:A,0))&lt;&gt;"",INDEX('Document Workflow'!M:M,MATCH(A79,'Document Workflow'!A:A,0)),"")</f>
        <v/>
      </c>
    </row>
    <row r="80" spans="1:3">
      <c r="A80" s="7" t="str">
        <f>IF('Document Workflow'!A79&lt;&gt;"",'Document Workflow'!A79,"")</f>
        <v>BI 23143</v>
      </c>
      <c r="B80" s="2" t="s">
        <v>43</v>
      </c>
      <c r="C80" s="3" t="str">
        <f>IF(INDEX('Document Workflow'!M:M,MATCH(A80,'Document Workflow'!A:A,0))&lt;&gt;"",INDEX('Document Workflow'!M:M,MATCH(A80,'Document Workflow'!A:A,0)),"")</f>
        <v/>
      </c>
    </row>
    <row r="81" spans="1:3">
      <c r="A81" s="7" t="str">
        <f>IF('Document Workflow'!A80&lt;&gt;"",'Document Workflow'!A80,"")</f>
        <v>BI 23126</v>
      </c>
      <c r="B81" s="2" t="s">
        <v>43</v>
      </c>
      <c r="C81" s="3" t="str">
        <f>IF(INDEX('Document Workflow'!M:M,MATCH(A81,'Document Workflow'!A:A,0))&lt;&gt;"",INDEX('Document Workflow'!M:M,MATCH(A81,'Document Workflow'!A:A,0)),"")</f>
        <v/>
      </c>
    </row>
    <row r="82" spans="1:3">
      <c r="A82" s="7" t="str">
        <f>IF('Document Workflow'!A81&lt;&gt;"",'Document Workflow'!A81,"")</f>
        <v>BI 23137</v>
      </c>
      <c r="B82" s="2" t="s">
        <v>43</v>
      </c>
      <c r="C82" s="3" t="str">
        <f>IF(INDEX('Document Workflow'!M:M,MATCH(A82,'Document Workflow'!A:A,0))&lt;&gt;"",INDEX('Document Workflow'!M:M,MATCH(A82,'Document Workflow'!A:A,0)),"")</f>
        <v/>
      </c>
    </row>
    <row r="83" spans="1:3">
      <c r="A83" s="7" t="str">
        <f>IF('Document Workflow'!A82&lt;&gt;"",'Document Workflow'!A82,"")</f>
        <v>BI 23138</v>
      </c>
      <c r="B83" s="2" t="s">
        <v>43</v>
      </c>
      <c r="C83" s="3" t="str">
        <f>IF(INDEX('Document Workflow'!M:M,MATCH(A83,'Document Workflow'!A:A,0))&lt;&gt;"",INDEX('Document Workflow'!M:M,MATCH(A83,'Document Workflow'!A:A,0)),"")</f>
        <v/>
      </c>
    </row>
    <row r="84" spans="1:3">
      <c r="A84" s="7" t="str">
        <f>IF('Document Workflow'!A83&lt;&gt;"",'Document Workflow'!A83,"")</f>
        <v>BI 23139</v>
      </c>
      <c r="B84" s="2" t="s">
        <v>43</v>
      </c>
      <c r="C84" s="3" t="str">
        <f>IF(INDEX('Document Workflow'!M:M,MATCH(A84,'Document Workflow'!A:A,0))&lt;&gt;"",INDEX('Document Workflow'!M:M,MATCH(A84,'Document Workflow'!A:A,0)),"")</f>
        <v/>
      </c>
    </row>
    <row r="85" spans="1:3">
      <c r="A85" s="7" t="str">
        <f>IF('Document Workflow'!A84&lt;&gt;"",'Document Workflow'!A84,"")</f>
        <v>BI 23183</v>
      </c>
      <c r="B85" s="2" t="s">
        <v>43</v>
      </c>
      <c r="C85" s="3" t="str">
        <f>IF(INDEX('Document Workflow'!M:M,MATCH(A85,'Document Workflow'!A:A,0))&lt;&gt;"",INDEX('Document Workflow'!M:M,MATCH(A85,'Document Workflow'!A:A,0)),"")</f>
        <v/>
      </c>
    </row>
    <row r="86" spans="1:3">
      <c r="A86" s="7" t="str">
        <f>IF('Document Workflow'!A85&lt;&gt;"",'Document Workflow'!A85,"")</f>
        <v>BI 23196</v>
      </c>
      <c r="B86" s="2" t="s">
        <v>72</v>
      </c>
      <c r="C86" s="3" t="str">
        <f>IF(INDEX('Document Workflow'!M:M,MATCH(A86,'Document Workflow'!A:A,0))&lt;&gt;"",INDEX('Document Workflow'!M:M,MATCH(A86,'Document Workflow'!A:A,0)),"")</f>
        <v/>
      </c>
    </row>
    <row r="87" spans="1:3">
      <c r="A87" s="7" t="str">
        <f>IF('Document Workflow'!A86&lt;&gt;"",'Document Workflow'!A86,"")</f>
        <v>BI 23217</v>
      </c>
      <c r="B87" s="2" t="s">
        <v>43</v>
      </c>
      <c r="C87" s="3" t="str">
        <f>IF(INDEX('Document Workflow'!M:M,MATCH(A87,'Document Workflow'!A:A,0))&lt;&gt;"",INDEX('Document Workflow'!M:M,MATCH(A87,'Document Workflow'!A:A,0)),"")</f>
        <v/>
      </c>
    </row>
    <row r="88" spans="1:3">
      <c r="A88" s="7" t="str">
        <f>IF('Document Workflow'!A87&lt;&gt;"",'Document Workflow'!A87,"")</f>
        <v>BI 23226</v>
      </c>
      <c r="B88" s="2" t="s">
        <v>43</v>
      </c>
      <c r="C88" s="3" t="str">
        <f>IF(INDEX('Document Workflow'!M:M,MATCH(A88,'Document Workflow'!A:A,0))&lt;&gt;"",INDEX('Document Workflow'!M:M,MATCH(A88,'Document Workflow'!A:A,0)),"")</f>
        <v/>
      </c>
    </row>
    <row r="89" spans="1:3">
      <c r="A89" s="7" t="str">
        <f>IF('Document Workflow'!A88&lt;&gt;"",'Document Workflow'!A88,"")</f>
        <v>BI 23233</v>
      </c>
      <c r="B89" s="2" t="s">
        <v>43</v>
      </c>
      <c r="C89" s="3" t="str">
        <f>IF(INDEX('Document Workflow'!M:M,MATCH(A89,'Document Workflow'!A:A,0))&lt;&gt;"",INDEX('Document Workflow'!M:M,MATCH(A89,'Document Workflow'!A:A,0)),"")</f>
        <v/>
      </c>
    </row>
    <row r="90" spans="1:3">
      <c r="A90" s="7" t="str">
        <f>IF('Document Workflow'!A89&lt;&gt;"",'Document Workflow'!A89,"")</f>
        <v>BI 23204</v>
      </c>
      <c r="B90" s="2" t="s">
        <v>43</v>
      </c>
      <c r="C90" s="3" t="str">
        <f>IF(INDEX('Document Workflow'!M:M,MATCH(A90,'Document Workflow'!A:A,0))&lt;&gt;"",INDEX('Document Workflow'!M:M,MATCH(A90,'Document Workflow'!A:A,0)),"")</f>
        <v/>
      </c>
    </row>
    <row r="91" spans="1:3">
      <c r="A91" s="7" t="str">
        <f>IF('Document Workflow'!A90&lt;&gt;"",'Document Workflow'!A90,"")</f>
        <v>BI 23230</v>
      </c>
      <c r="B91" s="2" t="s">
        <v>43</v>
      </c>
      <c r="C91" s="3" t="str">
        <f>IF(INDEX('Document Workflow'!M:M,MATCH(A91,'Document Workflow'!A:A,0))&lt;&gt;"",INDEX('Document Workflow'!M:M,MATCH(A91,'Document Workflow'!A:A,0)),"")</f>
        <v/>
      </c>
    </row>
    <row r="92" spans="1:3">
      <c r="A92" s="7" t="str">
        <f>IF('Document Workflow'!A91&lt;&gt;"",'Document Workflow'!A91,"")</f>
        <v>BI 23245</v>
      </c>
      <c r="B92" s="2" t="s">
        <v>43</v>
      </c>
      <c r="C92" s="3" t="str">
        <f>IF(INDEX('Document Workflow'!M:M,MATCH(A92,'Document Workflow'!A:A,0))&lt;&gt;"",INDEX('Document Workflow'!M:M,MATCH(A92,'Document Workflow'!A:A,0)),"")</f>
        <v/>
      </c>
    </row>
    <row r="93" spans="1:3">
      <c r="A93" s="7" t="str">
        <f>IF('Document Workflow'!A92&lt;&gt;"",'Document Workflow'!A92,"")</f>
        <v>BI 23158</v>
      </c>
      <c r="B93" s="2" t="s">
        <v>72</v>
      </c>
      <c r="C93" s="3" t="str">
        <f>IF(INDEX('Document Workflow'!M:M,MATCH(A93,'Document Workflow'!A:A,0))&lt;&gt;"",INDEX('Document Workflow'!M:M,MATCH(A93,'Document Workflow'!A:A,0)),"")</f>
        <v/>
      </c>
    </row>
    <row r="94" spans="1:3">
      <c r="A94" s="7" t="str">
        <f>IF('Document Workflow'!A93&lt;&gt;"",'Document Workflow'!A93,"")</f>
        <v>BI 23214</v>
      </c>
      <c r="B94" s="2" t="s">
        <v>43</v>
      </c>
      <c r="C94" s="3" t="str">
        <f>IF(INDEX('Document Workflow'!M:M,MATCH(A94,'Document Workflow'!A:A,0))&lt;&gt;"",INDEX('Document Workflow'!M:M,MATCH(A94,'Document Workflow'!A:A,0)),"")</f>
        <v/>
      </c>
    </row>
    <row r="95" spans="1:3">
      <c r="A95" s="7" t="str">
        <f>IF('Document Workflow'!A94&lt;&gt;"",'Document Workflow'!A94,"")</f>
        <v>BI 23250</v>
      </c>
      <c r="B95" s="2" t="s">
        <v>43</v>
      </c>
      <c r="C95" s="3" t="str">
        <f>IF(INDEX('Document Workflow'!M:M,MATCH(A95,'Document Workflow'!A:A,0))&lt;&gt;"",INDEX('Document Workflow'!M:M,MATCH(A95,'Document Workflow'!A:A,0)),"")</f>
        <v/>
      </c>
    </row>
    <row r="96" spans="1:3">
      <c r="A96" s="7" t="e">
        <f>IF('Document Workflow'!A95&lt;&gt;"",'Document Workflow'!A95,"")</f>
        <v>#REF!</v>
      </c>
      <c r="B96" s="2" t="s">
        <v>43</v>
      </c>
      <c r="C96" s="3" t="e">
        <f>IF(INDEX('Document Workflow'!M:M,MATCH(A96,'Document Workflow'!A:A,0))&lt;&gt;"",INDEX('Document Workflow'!M:M,MATCH(A96,'Document Workflow'!A:A,0)),"")</f>
        <v>#REF!</v>
      </c>
    </row>
    <row r="97" spans="1:3">
      <c r="A97" s="7" t="str">
        <f>IF('Document Workflow'!A96&lt;&gt;"",'Document Workflow'!A96,"")</f>
        <v>IGT 4</v>
      </c>
      <c r="B97" s="2" t="s">
        <v>43</v>
      </c>
      <c r="C97" s="3" t="str">
        <f>IF(INDEX('Document Workflow'!M:M,MATCH(A97,'Document Workflow'!A:A,0))&lt;&gt;"",INDEX('Document Workflow'!M:M,MATCH(A97,'Document Workflow'!A:A,0)),"")</f>
        <v/>
      </c>
    </row>
    <row r="98" spans="1:3">
      <c r="A98" s="7" t="str">
        <f>IF('Document Workflow'!A97&lt;&gt;"",'Document Workflow'!A97,"")</f>
        <v>IGT 5</v>
      </c>
      <c r="B98" s="2" t="s">
        <v>43</v>
      </c>
      <c r="C98" s="3" t="str">
        <f>IF(INDEX('Document Workflow'!M:M,MATCH(A98,'Document Workflow'!A:A,0))&lt;&gt;"",INDEX('Document Workflow'!M:M,MATCH(A98,'Document Workflow'!A:A,0)),"")</f>
        <v/>
      </c>
    </row>
    <row r="99" spans="1:3">
      <c r="A99" s="7" t="e">
        <f>IF('Document Workflow'!A98&lt;&gt;"",'Document Workflow'!A98,"")</f>
        <v>#REF!</v>
      </c>
      <c r="B99" s="2" t="s">
        <v>43</v>
      </c>
      <c r="C99" s="3" t="e">
        <f>IF(INDEX('Document Workflow'!M:M,MATCH(A99,'Document Workflow'!A:A,0))&lt;&gt;"",INDEX('Document Workflow'!M:M,MATCH(A99,'Document Workflow'!A:A,0)),"")</f>
        <v>#REF!</v>
      </c>
    </row>
    <row r="100" spans="1:3">
      <c r="A100" s="7" t="str">
        <f>IF('Document Workflow'!A99&lt;&gt;"",'Document Workflow'!A99,"")</f>
        <v>BI 23305</v>
      </c>
      <c r="B100" s="2" t="s">
        <v>43</v>
      </c>
      <c r="C100" s="3" t="str">
        <f>IF(INDEX('Document Workflow'!M:M,MATCH(A100,'Document Workflow'!A:A,0))&lt;&gt;"",INDEX('Document Workflow'!M:M,MATCH(A100,'Document Workflow'!A:A,0)),"")</f>
        <v/>
      </c>
    </row>
    <row r="101" spans="1:3">
      <c r="A101" s="7" t="str">
        <f>IF('Document Workflow'!A100&lt;&gt;"",'Document Workflow'!A100,"")</f>
        <v>BI 23247</v>
      </c>
      <c r="B101" s="2" t="s">
        <v>43</v>
      </c>
      <c r="C101" s="3" t="str">
        <f>IF(INDEX('Document Workflow'!M:M,MATCH(A101,'Document Workflow'!A:A,0))&lt;&gt;"",INDEX('Document Workflow'!M:M,MATCH(A101,'Document Workflow'!A:A,0)),"")</f>
        <v/>
      </c>
    </row>
    <row r="102" spans="1:3">
      <c r="A102" s="7" t="str">
        <f>IF('Document Workflow'!A101&lt;&gt;"",'Document Workflow'!A101,"")</f>
        <v>BI 23281</v>
      </c>
      <c r="B102" s="2" t="s">
        <v>43</v>
      </c>
      <c r="C102" s="3" t="str">
        <f>IF(INDEX('Document Workflow'!M:M,MATCH(A102,'Document Workflow'!A:A,0))&lt;&gt;"",INDEX('Document Workflow'!M:M,MATCH(A102,'Document Workflow'!A:A,0)),"")</f>
        <v/>
      </c>
    </row>
    <row r="103" spans="1:3">
      <c r="A103" s="7" t="str">
        <f>IF('Document Workflow'!A102&lt;&gt;"",'Document Workflow'!A102,"")</f>
        <v>BI 23313</v>
      </c>
      <c r="B103" s="2" t="s">
        <v>43</v>
      </c>
      <c r="C103" s="3" t="str">
        <f>IF(INDEX('Document Workflow'!M:M,MATCH(A103,'Document Workflow'!A:A,0))&lt;&gt;"",INDEX('Document Workflow'!M:M,MATCH(A103,'Document Workflow'!A:A,0)),"")</f>
        <v/>
      </c>
    </row>
    <row r="104" spans="1:3">
      <c r="A104" s="7" t="str">
        <f>IF('Document Workflow'!A103&lt;&gt;"",'Document Workflow'!A103,"")</f>
        <v>BI 23359</v>
      </c>
      <c r="B104" s="2" t="s">
        <v>43</v>
      </c>
      <c r="C104" s="3" t="str">
        <f>IF(INDEX('Document Workflow'!M:M,MATCH(A104,'Document Workflow'!A:A,0))&lt;&gt;"",INDEX('Document Workflow'!M:M,MATCH(A104,'Document Workflow'!A:A,0)),"")</f>
        <v/>
      </c>
    </row>
    <row r="105" spans="1:3">
      <c r="A105" s="7" t="str">
        <f>IF('Document Workflow'!A104&lt;&gt;"",'Document Workflow'!A104,"")</f>
        <v>BI 23373</v>
      </c>
      <c r="B105" s="2" t="s">
        <v>43</v>
      </c>
      <c r="C105" s="3" t="str">
        <f>IF(INDEX('Document Workflow'!M:M,MATCH(A105,'Document Workflow'!A:A,0))&lt;&gt;"",INDEX('Document Workflow'!M:M,MATCH(A105,'Document Workflow'!A:A,0)),"")</f>
        <v/>
      </c>
    </row>
    <row r="106" spans="1:3">
      <c r="A106" s="7" t="str">
        <f>IF('Document Workflow'!A105&lt;&gt;"",'Document Workflow'!A105,"")</f>
        <v>BI 23375</v>
      </c>
      <c r="B106" s="2" t="s">
        <v>43</v>
      </c>
      <c r="C106" s="3" t="str">
        <f>IF(INDEX('Document Workflow'!M:M,MATCH(A106,'Document Workflow'!A:A,0))&lt;&gt;"",INDEX('Document Workflow'!M:M,MATCH(A106,'Document Workflow'!A:A,0)),"")</f>
        <v/>
      </c>
    </row>
    <row r="107" spans="1:3">
      <c r="A107" s="7" t="str">
        <f>IF('Document Workflow'!A106&lt;&gt;"",'Document Workflow'!A106,"")</f>
        <v>BI 23386</v>
      </c>
      <c r="B107" s="2" t="s">
        <v>43</v>
      </c>
      <c r="C107" s="3" t="str">
        <f>IF(INDEX('Document Workflow'!M:M,MATCH(A107,'Document Workflow'!A:A,0))&lt;&gt;"",INDEX('Document Workflow'!M:M,MATCH(A107,'Document Workflow'!A:A,0)),"")</f>
        <v/>
      </c>
    </row>
    <row r="108" spans="1:3">
      <c r="A108" s="7" t="str">
        <f>IF('Document Workflow'!A107&lt;&gt;"",'Document Workflow'!A107,"")</f>
        <v>BI 23390</v>
      </c>
      <c r="B108" s="2" t="s">
        <v>43</v>
      </c>
      <c r="C108" s="3" t="str">
        <f>IF(INDEX('Document Workflow'!M:M,MATCH(A108,'Document Workflow'!A:A,0))&lt;&gt;"",INDEX('Document Workflow'!M:M,MATCH(A108,'Document Workflow'!A:A,0)),"")</f>
        <v/>
      </c>
    </row>
    <row r="109" spans="1:3">
      <c r="A109" s="7" t="str">
        <f>IF('Document Workflow'!A108&lt;&gt;"",'Document Workflow'!A108,"")</f>
        <v>BI 23392</v>
      </c>
      <c r="B109" s="2" t="s">
        <v>43</v>
      </c>
      <c r="C109" s="3" t="str">
        <f>IF(INDEX('Document Workflow'!M:M,MATCH(A109,'Document Workflow'!A:A,0))&lt;&gt;"",INDEX('Document Workflow'!M:M,MATCH(A109,'Document Workflow'!A:A,0)),"")</f>
        <v/>
      </c>
    </row>
    <row r="110" spans="1:3">
      <c r="A110" s="7" t="str">
        <f>IF('Document Workflow'!A109&lt;&gt;"",'Document Workflow'!A109,"")</f>
        <v>BI 23393</v>
      </c>
      <c r="B110" s="2" t="s">
        <v>43</v>
      </c>
      <c r="C110" s="3" t="str">
        <f>IF(INDEX('Document Workflow'!M:M,MATCH(A110,'Document Workflow'!A:A,0))&lt;&gt;"",INDEX('Document Workflow'!M:M,MATCH(A110,'Document Workflow'!A:A,0)),"")</f>
        <v/>
      </c>
    </row>
    <row r="111" spans="1:3">
      <c r="A111" s="7" t="e">
        <f>IF('Document Workflow'!A110&lt;&gt;"",'Document Workflow'!A110,"")</f>
        <v>#REF!</v>
      </c>
      <c r="B111" s="2" t="s">
        <v>43</v>
      </c>
      <c r="C111" s="3" t="e">
        <f>IF(INDEX('Document Workflow'!M:M,MATCH(A111,'Document Workflow'!A:A,0))&lt;&gt;"",INDEX('Document Workflow'!M:M,MATCH(A111,'Document Workflow'!A:A,0)),"")</f>
        <v>#REF!</v>
      </c>
    </row>
    <row r="112" spans="1:3">
      <c r="A112" s="7" t="e">
        <f>IF('Document Workflow'!A111&lt;&gt;"",'Document Workflow'!A111,"")</f>
        <v>#REF!</v>
      </c>
      <c r="B112" s="2" t="s">
        <v>43</v>
      </c>
      <c r="C112" s="3" t="e">
        <f>IF(INDEX('Document Workflow'!M:M,MATCH(A112,'Document Workflow'!A:A,0))&lt;&gt;"",INDEX('Document Workflow'!M:M,MATCH(A112,'Document Workflow'!A:A,0)),"")</f>
        <v>#REF!</v>
      </c>
    </row>
    <row r="113" spans="1:3">
      <c r="A113" s="7" t="str">
        <f>IF('Document Workflow'!A112&lt;&gt;"",'Document Workflow'!A112,"")</f>
        <v>BI 23398</v>
      </c>
      <c r="B113" s="2" t="s">
        <v>43</v>
      </c>
      <c r="C113" s="3" t="str">
        <f>IF(INDEX('Document Workflow'!M:M,MATCH(A113,'Document Workflow'!A:A,0))&lt;&gt;"",INDEX('Document Workflow'!M:M,MATCH(A113,'Document Workflow'!A:A,0)),"")</f>
        <v/>
      </c>
    </row>
    <row r="114" spans="1:3">
      <c r="A114" s="7" t="str">
        <f>IF('Document Workflow'!A113&lt;&gt;"",'Document Workflow'!A113,"")</f>
        <v>BI 23398</v>
      </c>
      <c r="B114" s="2" t="s">
        <v>43</v>
      </c>
      <c r="C114" s="3" t="str">
        <f>IF(INDEX('Document Workflow'!M:M,MATCH(A114,'Document Workflow'!A:A,0))&lt;&gt;"",INDEX('Document Workflow'!M:M,MATCH(A114,'Document Workflow'!A:A,0)),"")</f>
        <v/>
      </c>
    </row>
    <row r="115" spans="1:3">
      <c r="A115" s="7" t="str">
        <f>IF('Document Workflow'!A114&lt;&gt;"",'Document Workflow'!A114,"")</f>
        <v>BI 23402</v>
      </c>
      <c r="B115" s="2" t="s">
        <v>43</v>
      </c>
      <c r="C115" s="3" t="str">
        <f>IF(INDEX('Document Workflow'!M:M,MATCH(A115,'Document Workflow'!A:A,0))&lt;&gt;"",INDEX('Document Workflow'!M:M,MATCH(A115,'Document Workflow'!A:A,0)),"")</f>
        <v/>
      </c>
    </row>
    <row r="116" spans="1:3">
      <c r="A116" s="7" t="str">
        <f>IF('Document Workflow'!A115&lt;&gt;"",'Document Workflow'!A115,"")</f>
        <v>BI 23406</v>
      </c>
      <c r="B116" s="2" t="s">
        <v>43</v>
      </c>
      <c r="C116" s="3" t="str">
        <f>IF(INDEX('Document Workflow'!M:M,MATCH(A116,'Document Workflow'!A:A,0))&lt;&gt;"",INDEX('Document Workflow'!M:M,MATCH(A116,'Document Workflow'!A:A,0)),"")</f>
        <v/>
      </c>
    </row>
    <row r="117" spans="1:3">
      <c r="A117" s="7" t="str">
        <f>IF('Document Workflow'!A116&lt;&gt;"",'Document Workflow'!A116,"")</f>
        <v>BI 23417</v>
      </c>
      <c r="B117" s="2" t="s">
        <v>43</v>
      </c>
      <c r="C117" s="3" t="str">
        <f>IF(INDEX('Document Workflow'!M:M,MATCH(A117,'Document Workflow'!A:A,0))&lt;&gt;"",INDEX('Document Workflow'!M:M,MATCH(A117,'Document Workflow'!A:A,0)),"")</f>
        <v/>
      </c>
    </row>
    <row r="118" spans="1:3">
      <c r="A118" s="7" t="e">
        <f>IF('Document Workflow'!A117&lt;&gt;"",'Document Workflow'!A117,"")</f>
        <v>#REF!</v>
      </c>
      <c r="B118" s="2" t="s">
        <v>43</v>
      </c>
      <c r="C118" s="3" t="e">
        <f>IF(INDEX('Document Workflow'!M:M,MATCH(A118,'Document Workflow'!A:A,0))&lt;&gt;"",INDEX('Document Workflow'!M:M,MATCH(A118,'Document Workflow'!A:A,0)),"")</f>
        <v>#REF!</v>
      </c>
    </row>
    <row r="119" spans="1:3">
      <c r="A119" s="7" t="e">
        <f>IF('Document Workflow'!A118&lt;&gt;"",'Document Workflow'!A118,"")</f>
        <v>#REF!</v>
      </c>
      <c r="B119" s="2" t="s">
        <v>43</v>
      </c>
      <c r="C119" s="3" t="e">
        <f>IF(INDEX('Document Workflow'!M:M,MATCH(A119,'Document Workflow'!A:A,0))&lt;&gt;"",INDEX('Document Workflow'!M:M,MATCH(A119,'Document Workflow'!A:A,0)),"")</f>
        <v>#REF!</v>
      </c>
    </row>
    <row r="120" spans="1:3">
      <c r="A120" s="7" t="e">
        <f>IF('Document Workflow'!A119&lt;&gt;"",'Document Workflow'!A119,"")</f>
        <v>#REF!</v>
      </c>
      <c r="B120" s="2" t="s">
        <v>43</v>
      </c>
      <c r="C120" s="3" t="e">
        <f>IF(INDEX('Document Workflow'!M:M,MATCH(A120,'Document Workflow'!A:A,0))&lt;&gt;"",INDEX('Document Workflow'!M:M,MATCH(A120,'Document Workflow'!A:A,0)),"")</f>
        <v>#REF!</v>
      </c>
    </row>
    <row r="121" spans="1:3">
      <c r="A121" s="7" t="e">
        <f>IF('Document Workflow'!A120&lt;&gt;"",'Document Workflow'!A120,"")</f>
        <v>#REF!</v>
      </c>
      <c r="B121" s="2" t="s">
        <v>43</v>
      </c>
      <c r="C121" s="3" t="e">
        <f>IF(INDEX('Document Workflow'!M:M,MATCH(A121,'Document Workflow'!A:A,0))&lt;&gt;"",INDEX('Document Workflow'!M:M,MATCH(A121,'Document Workflow'!A:A,0)),"")</f>
        <v>#REF!</v>
      </c>
    </row>
    <row r="122" spans="1:3">
      <c r="A122" s="7" t="e">
        <f>IF('Document Workflow'!A121&lt;&gt;"",'Document Workflow'!A121,"")</f>
        <v>#REF!</v>
      </c>
      <c r="B122" s="2" t="s">
        <v>43</v>
      </c>
      <c r="C122" s="3" t="e">
        <f>IF(INDEX('Document Workflow'!M:M,MATCH(A122,'Document Workflow'!A:A,0))&lt;&gt;"",INDEX('Document Workflow'!M:M,MATCH(A122,'Document Workflow'!A:A,0)),"")</f>
        <v>#REF!</v>
      </c>
    </row>
    <row r="123" spans="1:3">
      <c r="A123" s="7" t="e">
        <f>IF('Document Workflow'!A122&lt;&gt;"",'Document Workflow'!A122,"")</f>
        <v>#REF!</v>
      </c>
      <c r="B123" s="2" t="s">
        <v>43</v>
      </c>
      <c r="C123" s="3" t="e">
        <f>IF(INDEX('Document Workflow'!M:M,MATCH(A123,'Document Workflow'!A:A,0))&lt;&gt;"",INDEX('Document Workflow'!M:M,MATCH(A123,'Document Workflow'!A:A,0)),"")</f>
        <v>#REF!</v>
      </c>
    </row>
    <row r="124" spans="1:3">
      <c r="A124" s="7" t="e">
        <f>IF('Document Workflow'!A123&lt;&gt;"",'Document Workflow'!A123,"")</f>
        <v>#REF!</v>
      </c>
      <c r="B124" s="2" t="s">
        <v>72</v>
      </c>
      <c r="C124" s="3" t="e">
        <f>IF(INDEX('Document Workflow'!M:M,MATCH(A124,'Document Workflow'!A:A,0))&lt;&gt;"",INDEX('Document Workflow'!M:M,MATCH(A124,'Document Workflow'!A:A,0)),"")</f>
        <v>#REF!</v>
      </c>
    </row>
    <row r="125" spans="1:3">
      <c r="A125" s="7" t="e">
        <f>IF('Document Workflow'!A124&lt;&gt;"",'Document Workflow'!A124,"")</f>
        <v>#REF!</v>
      </c>
      <c r="B125" s="2" t="s">
        <v>43</v>
      </c>
      <c r="C125" s="3" t="e">
        <f>IF(INDEX('Document Workflow'!M:M,MATCH(A125,'Document Workflow'!A:A,0))&lt;&gt;"",INDEX('Document Workflow'!M:M,MATCH(A125,'Document Workflow'!A:A,0)),"")</f>
        <v>#REF!</v>
      </c>
    </row>
    <row r="126" spans="1:3">
      <c r="A126" s="7" t="e">
        <f>IF('Document Workflow'!A125&lt;&gt;"",'Document Workflow'!A125,"")</f>
        <v>#REF!</v>
      </c>
      <c r="B126" s="2" t="s">
        <v>43</v>
      </c>
      <c r="C126" s="3" t="e">
        <f>IF(INDEX('Document Workflow'!M:M,MATCH(A126,'Document Workflow'!A:A,0))&lt;&gt;"",INDEX('Document Workflow'!M:M,MATCH(A126,'Document Workflow'!A:A,0)),"")</f>
        <v>#REF!</v>
      </c>
    </row>
    <row r="127" spans="1:3">
      <c r="A127" s="7" t="e">
        <f>IF('Document Workflow'!A126&lt;&gt;"",'Document Workflow'!A126,"")</f>
        <v>#REF!</v>
      </c>
      <c r="B127" s="2" t="s">
        <v>43</v>
      </c>
      <c r="C127" s="3" t="e">
        <f>IF(INDEX('Document Workflow'!M:M,MATCH(A127,'Document Workflow'!A:A,0))&lt;&gt;"",INDEX('Document Workflow'!M:M,MATCH(A127,'Document Workflow'!A:A,0)),"")</f>
        <v>#REF!</v>
      </c>
    </row>
    <row r="128" spans="1:3">
      <c r="A128" s="7" t="e">
        <f>IF('Document Workflow'!A127&lt;&gt;"",'Document Workflow'!A127,"")</f>
        <v>#REF!</v>
      </c>
      <c r="B128" s="2" t="s">
        <v>43</v>
      </c>
      <c r="C128" s="3" t="e">
        <f>IF(INDEX('Document Workflow'!M:M,MATCH(A128,'Document Workflow'!A:A,0))&lt;&gt;"",INDEX('Document Workflow'!M:M,MATCH(A128,'Document Workflow'!A:A,0)),"")</f>
        <v>#REF!</v>
      </c>
    </row>
    <row r="129" spans="1:3">
      <c r="A129" s="7" t="e">
        <f>IF('Document Workflow'!A128&lt;&gt;"",'Document Workflow'!A128,"")</f>
        <v>#REF!</v>
      </c>
      <c r="B129" s="2" t="s">
        <v>43</v>
      </c>
      <c r="C129" s="3" t="e">
        <f>IF(INDEX('Document Workflow'!M:M,MATCH(A129,'Document Workflow'!A:A,0))&lt;&gt;"",INDEX('Document Workflow'!M:M,MATCH(A129,'Document Workflow'!A:A,0)),"")</f>
        <v>#REF!</v>
      </c>
    </row>
    <row r="130" spans="1:3">
      <c r="A130" s="7" t="e">
        <f>IF('Document Workflow'!A129&lt;&gt;"",'Document Workflow'!A129,"")</f>
        <v>#REF!</v>
      </c>
      <c r="B130" s="2" t="s">
        <v>43</v>
      </c>
      <c r="C130" s="3" t="e">
        <f>IF(INDEX('Document Workflow'!M:M,MATCH(A130,'Document Workflow'!A:A,0))&lt;&gt;"",INDEX('Document Workflow'!M:M,MATCH(A130,'Document Workflow'!A:A,0)),"")</f>
        <v>#REF!</v>
      </c>
    </row>
    <row r="131" spans="1:3">
      <c r="A131" s="7" t="e">
        <f>IF('Document Workflow'!A130&lt;&gt;"",'Document Workflow'!A130,"")</f>
        <v>#REF!</v>
      </c>
      <c r="B131" s="2" t="s">
        <v>43</v>
      </c>
      <c r="C131" s="3" t="e">
        <f>IF(INDEX('Document Workflow'!M:M,MATCH(A131,'Document Workflow'!A:A,0))&lt;&gt;"",INDEX('Document Workflow'!M:M,MATCH(A131,'Document Workflow'!A:A,0)),"")</f>
        <v>#REF!</v>
      </c>
    </row>
    <row r="132" spans="1:3">
      <c r="A132" s="7" t="e">
        <f>IF('Document Workflow'!A131&lt;&gt;"",'Document Workflow'!A131,"")</f>
        <v>#REF!</v>
      </c>
      <c r="B132" s="2" t="s">
        <v>43</v>
      </c>
      <c r="C132" s="3" t="e">
        <f>IF(INDEX('Document Workflow'!M:M,MATCH(A132,'Document Workflow'!A:A,0))&lt;&gt;"",INDEX('Document Workflow'!M:M,MATCH(A132,'Document Workflow'!A:A,0)),"")</f>
        <v>#REF!</v>
      </c>
    </row>
    <row r="133" spans="1:3">
      <c r="A133" s="7" t="e">
        <f>IF('Document Workflow'!A132&lt;&gt;"",'Document Workflow'!A132,"")</f>
        <v>#REF!</v>
      </c>
      <c r="B133" s="2" t="s">
        <v>43</v>
      </c>
      <c r="C133" s="3" t="e">
        <f>IF(INDEX('Document Workflow'!M:M,MATCH(A133,'Document Workflow'!A:A,0))&lt;&gt;"",INDEX('Document Workflow'!M:M,MATCH(A133,'Document Workflow'!A:A,0)),"")</f>
        <v>#REF!</v>
      </c>
    </row>
    <row r="134" spans="1:3">
      <c r="A134" s="7" t="e">
        <f>IF('Document Workflow'!A133&lt;&gt;"",'Document Workflow'!A133,"")</f>
        <v>#REF!</v>
      </c>
      <c r="B134" s="2" t="s">
        <v>43</v>
      </c>
      <c r="C134" s="3" t="e">
        <f>IF(INDEX('Document Workflow'!M:M,MATCH(A134,'Document Workflow'!A:A,0))&lt;&gt;"",INDEX('Document Workflow'!M:M,MATCH(A134,'Document Workflow'!A:A,0)),"")</f>
        <v>#REF!</v>
      </c>
    </row>
    <row r="135" spans="1:3">
      <c r="A135" s="7" t="e">
        <f>IF('Document Workflow'!A134&lt;&gt;"",'Document Workflow'!A134,"")</f>
        <v>#REF!</v>
      </c>
      <c r="B135" s="2" t="s">
        <v>43</v>
      </c>
      <c r="C135" s="3" t="e">
        <f>IF(INDEX('Document Workflow'!M:M,MATCH(A135,'Document Workflow'!A:A,0))&lt;&gt;"",INDEX('Document Workflow'!M:M,MATCH(A135,'Document Workflow'!A:A,0)),"")</f>
        <v>#REF!</v>
      </c>
    </row>
    <row r="136" spans="1:3">
      <c r="A136" s="7" t="e">
        <f>IF('Document Workflow'!A135&lt;&gt;"",'Document Workflow'!A135,"")</f>
        <v>#REF!</v>
      </c>
      <c r="B136" s="2" t="s">
        <v>43</v>
      </c>
      <c r="C136" s="3" t="e">
        <f>IF(INDEX('Document Workflow'!M:M,MATCH(A136,'Document Workflow'!A:A,0))&lt;&gt;"",INDEX('Document Workflow'!M:M,MATCH(A136,'Document Workflow'!A:A,0)),"")</f>
        <v>#REF!</v>
      </c>
    </row>
    <row r="137" spans="1:3">
      <c r="A137" s="7" t="e">
        <f>IF('Document Workflow'!A136&lt;&gt;"",'Document Workflow'!A136,"")</f>
        <v>#REF!</v>
      </c>
      <c r="B137" s="2" t="s">
        <v>43</v>
      </c>
      <c r="C137" s="3" t="e">
        <f>IF(INDEX('Document Workflow'!M:M,MATCH(A137,'Document Workflow'!A:A,0))&lt;&gt;"",INDEX('Document Workflow'!M:M,MATCH(A137,'Document Workflow'!A:A,0)),"")</f>
        <v>#REF!</v>
      </c>
    </row>
    <row r="138" spans="1:3">
      <c r="A138" s="7" t="e">
        <f>IF('Document Workflow'!A137&lt;&gt;"",'Document Workflow'!A137,"")</f>
        <v>#REF!</v>
      </c>
      <c r="B138" s="2" t="s">
        <v>43</v>
      </c>
      <c r="C138" s="3" t="e">
        <f>IF(INDEX('Document Workflow'!M:M,MATCH(A138,'Document Workflow'!A:A,0))&lt;&gt;"",INDEX('Document Workflow'!M:M,MATCH(A138,'Document Workflow'!A:A,0)),"")</f>
        <v>#REF!</v>
      </c>
    </row>
    <row r="139" spans="1:3">
      <c r="A139" s="7" t="e">
        <f>IF('Document Workflow'!A138&lt;&gt;"",'Document Workflow'!A138,"")</f>
        <v>#REF!</v>
      </c>
      <c r="B139" s="2" t="s">
        <v>43</v>
      </c>
      <c r="C139" s="3" t="e">
        <f>IF(INDEX('Document Workflow'!M:M,MATCH(A139,'Document Workflow'!A:A,0))&lt;&gt;"",INDEX('Document Workflow'!M:M,MATCH(A139,'Document Workflow'!A:A,0)),"")</f>
        <v>#REF!</v>
      </c>
    </row>
    <row r="140" spans="1:3">
      <c r="A140" s="7" t="e">
        <f>IF('Document Workflow'!A139&lt;&gt;"",'Document Workflow'!A139,"")</f>
        <v>#REF!</v>
      </c>
      <c r="B140" s="2" t="s">
        <v>43</v>
      </c>
      <c r="C140" s="3" t="e">
        <f>IF(INDEX('Document Workflow'!M:M,MATCH(A140,'Document Workflow'!A:A,0))&lt;&gt;"",INDEX('Document Workflow'!M:M,MATCH(A140,'Document Workflow'!A:A,0)),"")</f>
        <v>#REF!</v>
      </c>
    </row>
    <row r="141" spans="1:3">
      <c r="A141" s="7" t="e">
        <f>IF('Document Workflow'!A140&lt;&gt;"",'Document Workflow'!A140,"")</f>
        <v>#REF!</v>
      </c>
      <c r="B141" s="2" t="s">
        <v>43</v>
      </c>
      <c r="C141" s="3" t="e">
        <f>IF(INDEX('Document Workflow'!M:M,MATCH(A141,'Document Workflow'!A:A,0))&lt;&gt;"",INDEX('Document Workflow'!M:M,MATCH(A141,'Document Workflow'!A:A,0)),"")</f>
        <v>#REF!</v>
      </c>
    </row>
    <row r="142" spans="1:3">
      <c r="A142" s="7" t="e">
        <f>IF('Document Workflow'!A141&lt;&gt;"",'Document Workflow'!A141,"")</f>
        <v>#REF!</v>
      </c>
      <c r="B142" s="2" t="s">
        <v>43</v>
      </c>
      <c r="C142" s="3" t="e">
        <f>IF(INDEX('Document Workflow'!M:M,MATCH(A142,'Document Workflow'!A:A,0))&lt;&gt;"",INDEX('Document Workflow'!M:M,MATCH(A142,'Document Workflow'!A:A,0)),"")</f>
        <v>#REF!</v>
      </c>
    </row>
    <row r="143" spans="1:3">
      <c r="A143" s="7" t="e">
        <f>IF('Document Workflow'!A142&lt;&gt;"",'Document Workflow'!A142,"")</f>
        <v>#REF!</v>
      </c>
      <c r="B143" s="2" t="s">
        <v>43</v>
      </c>
      <c r="C143" s="3" t="e">
        <f>IF(INDEX('Document Workflow'!M:M,MATCH(A143,'Document Workflow'!A:A,0))&lt;&gt;"",INDEX('Document Workflow'!M:M,MATCH(A143,'Document Workflow'!A:A,0)),"")</f>
        <v>#REF!</v>
      </c>
    </row>
    <row r="144" spans="1:3">
      <c r="A144" s="7" t="e">
        <f>IF('Document Workflow'!A143&lt;&gt;"",'Document Workflow'!A143,"")</f>
        <v>#REF!</v>
      </c>
      <c r="B144" s="2" t="s">
        <v>43</v>
      </c>
      <c r="C144" s="3" t="e">
        <f>IF(INDEX('Document Workflow'!M:M,MATCH(A144,'Document Workflow'!A:A,0))&lt;&gt;"",INDEX('Document Workflow'!M:M,MATCH(A144,'Document Workflow'!A:A,0)),"")</f>
        <v>#REF!</v>
      </c>
    </row>
    <row r="145" spans="1:3">
      <c r="A145" s="7" t="e">
        <f>IF('Document Workflow'!A144&lt;&gt;"",'Document Workflow'!A144,"")</f>
        <v>#REF!</v>
      </c>
      <c r="B145" s="2" t="s">
        <v>43</v>
      </c>
      <c r="C145" s="3" t="e">
        <f>IF(INDEX('Document Workflow'!M:M,MATCH(A145,'Document Workflow'!A:A,0))&lt;&gt;"",INDEX('Document Workflow'!M:M,MATCH(A145,'Document Workflow'!A:A,0)),"")</f>
        <v>#REF!</v>
      </c>
    </row>
    <row r="146" spans="1:3">
      <c r="A146" s="7" t="e">
        <f>IF('Document Workflow'!A145&lt;&gt;"",'Document Workflow'!A145,"")</f>
        <v>#REF!</v>
      </c>
      <c r="B146" s="2" t="s">
        <v>43</v>
      </c>
      <c r="C146" s="3" t="e">
        <f>IF(INDEX('Document Workflow'!M:M,MATCH(A146,'Document Workflow'!A:A,0))&lt;&gt;"",INDEX('Document Workflow'!M:M,MATCH(A146,'Document Workflow'!A:A,0)),"")</f>
        <v>#REF!</v>
      </c>
    </row>
    <row r="147" spans="1:3">
      <c r="A147" s="7" t="e">
        <f>IF('Document Workflow'!A146&lt;&gt;"",'Document Workflow'!A146,"")</f>
        <v>#REF!</v>
      </c>
      <c r="B147" s="2" t="s">
        <v>43</v>
      </c>
      <c r="C147" s="3" t="e">
        <f>IF(INDEX('Document Workflow'!M:M,MATCH(A147,'Document Workflow'!A:A,0))&lt;&gt;"",INDEX('Document Workflow'!M:M,MATCH(A147,'Document Workflow'!A:A,0)),"")</f>
        <v>#REF!</v>
      </c>
    </row>
    <row r="148" spans="1:3">
      <c r="A148" s="7" t="e">
        <f>IF('Document Workflow'!A147&lt;&gt;"",'Document Workflow'!A147,"")</f>
        <v>#REF!</v>
      </c>
      <c r="B148" s="2" t="s">
        <v>43</v>
      </c>
      <c r="C148" s="3" t="e">
        <f>IF(INDEX('Document Workflow'!M:M,MATCH(A148,'Document Workflow'!A:A,0))&lt;&gt;"",INDEX('Document Workflow'!M:M,MATCH(A148,'Document Workflow'!A:A,0)),"")</f>
        <v>#REF!</v>
      </c>
    </row>
    <row r="149" spans="1:3">
      <c r="A149" s="7" t="e">
        <f>IF('Document Workflow'!A148&lt;&gt;"",'Document Workflow'!A148,"")</f>
        <v>#REF!</v>
      </c>
      <c r="B149" s="2" t="s">
        <v>43</v>
      </c>
      <c r="C149" s="3" t="e">
        <f>IF(INDEX('Document Workflow'!M:M,MATCH(A149,'Document Workflow'!A:A,0))&lt;&gt;"",INDEX('Document Workflow'!M:M,MATCH(A149,'Document Workflow'!A:A,0)),"")</f>
        <v>#REF!</v>
      </c>
    </row>
    <row r="150" spans="1:3">
      <c r="A150" s="7" t="e">
        <f>IF('Document Workflow'!A149&lt;&gt;"",'Document Workflow'!A149,"")</f>
        <v>#REF!</v>
      </c>
      <c r="B150" s="2" t="s">
        <v>43</v>
      </c>
      <c r="C150" s="3" t="e">
        <f>IF(INDEX('Document Workflow'!M:M,MATCH(A150,'Document Workflow'!A:A,0))&lt;&gt;"",INDEX('Document Workflow'!M:M,MATCH(A150,'Document Workflow'!A:A,0)),"")</f>
        <v>#REF!</v>
      </c>
    </row>
    <row r="151" spans="1:3">
      <c r="A151" s="7" t="e">
        <f>IF('Document Workflow'!A150&lt;&gt;"",'Document Workflow'!A150,"")</f>
        <v>#REF!</v>
      </c>
      <c r="B151" s="2" t="s">
        <v>43</v>
      </c>
      <c r="C151" s="3" t="e">
        <f>IF(INDEX('Document Workflow'!M:M,MATCH(A151,'Document Workflow'!A:A,0))&lt;&gt;"",INDEX('Document Workflow'!M:M,MATCH(A151,'Document Workflow'!A:A,0)),"")</f>
        <v>#REF!</v>
      </c>
    </row>
    <row r="152" spans="1:3">
      <c r="A152" s="7" t="e">
        <f>IF('Document Workflow'!A151&lt;&gt;"",'Document Workflow'!A151,"")</f>
        <v>#REF!</v>
      </c>
      <c r="B152" s="2" t="s">
        <v>43</v>
      </c>
      <c r="C152" s="3" t="e">
        <f>IF(INDEX('Document Workflow'!M:M,MATCH(A152,'Document Workflow'!A:A,0))&lt;&gt;"",INDEX('Document Workflow'!M:M,MATCH(A152,'Document Workflow'!A:A,0)),"")</f>
        <v>#REF!</v>
      </c>
    </row>
    <row r="153" spans="1:3">
      <c r="A153" s="7" t="e">
        <f>IF('Document Workflow'!A152&lt;&gt;"",'Document Workflow'!A152,"")</f>
        <v>#REF!</v>
      </c>
      <c r="B153" s="2" t="s">
        <v>43</v>
      </c>
      <c r="C153" s="3" t="e">
        <f>IF(INDEX('Document Workflow'!M:M,MATCH(A153,'Document Workflow'!A:A,0))&lt;&gt;"",INDEX('Document Workflow'!M:M,MATCH(A153,'Document Workflow'!A:A,0)),"")</f>
        <v>#REF!</v>
      </c>
    </row>
    <row r="154" spans="1:3">
      <c r="A154" s="7" t="e">
        <f>IF('Document Workflow'!A153&lt;&gt;"",'Document Workflow'!A153,"")</f>
        <v>#REF!</v>
      </c>
      <c r="B154" s="2" t="s">
        <v>43</v>
      </c>
      <c r="C154" s="3" t="e">
        <f>IF(INDEX('Document Workflow'!M:M,MATCH(A154,'Document Workflow'!A:A,0))&lt;&gt;"",INDEX('Document Workflow'!M:M,MATCH(A154,'Document Workflow'!A:A,0)),"")</f>
        <v>#REF!</v>
      </c>
    </row>
    <row r="155" spans="1:3">
      <c r="A155" s="7" t="e">
        <f>IF('Document Workflow'!A154&lt;&gt;"",'Document Workflow'!A154,"")</f>
        <v>#REF!</v>
      </c>
      <c r="B155" s="2" t="s">
        <v>43</v>
      </c>
      <c r="C155" s="3" t="e">
        <f>IF(INDEX('Document Workflow'!M:M,MATCH(A155,'Document Workflow'!A:A,0))&lt;&gt;"",INDEX('Document Workflow'!M:M,MATCH(A155,'Document Workflow'!A:A,0)),"")</f>
        <v>#REF!</v>
      </c>
    </row>
    <row r="156" spans="1:3">
      <c r="A156" s="7" t="e">
        <f>IF('Document Workflow'!A155&lt;&gt;"",'Document Workflow'!A155,"")</f>
        <v>#REF!</v>
      </c>
      <c r="B156" s="2" t="s">
        <v>43</v>
      </c>
      <c r="C156" s="3" t="e">
        <f>IF(INDEX('Document Workflow'!M:M,MATCH(A156,'Document Workflow'!A:A,0))&lt;&gt;"",INDEX('Document Workflow'!M:M,MATCH(A156,'Document Workflow'!A:A,0)),"")</f>
        <v>#REF!</v>
      </c>
    </row>
    <row r="157" spans="1:3">
      <c r="A157" s="7" t="e">
        <f>IF('Document Workflow'!A156&lt;&gt;"",'Document Workflow'!A156,"")</f>
        <v>#REF!</v>
      </c>
      <c r="B157" s="2" t="s">
        <v>43</v>
      </c>
      <c r="C157" s="3" t="e">
        <f>IF(INDEX('Document Workflow'!M:M,MATCH(A157,'Document Workflow'!A:A,0))&lt;&gt;"",INDEX('Document Workflow'!M:M,MATCH(A157,'Document Workflow'!A:A,0)),"")</f>
        <v>#REF!</v>
      </c>
    </row>
    <row r="158" spans="1:3">
      <c r="A158" s="7" t="e">
        <f>IF('Document Workflow'!A157&lt;&gt;"",'Document Workflow'!A157,"")</f>
        <v>#REF!</v>
      </c>
      <c r="B158" s="2" t="s">
        <v>43</v>
      </c>
      <c r="C158" s="3" t="e">
        <f>IF(INDEX('Document Workflow'!M:M,MATCH(A158,'Document Workflow'!A:A,0))&lt;&gt;"",INDEX('Document Workflow'!M:M,MATCH(A158,'Document Workflow'!A:A,0)),"")</f>
        <v>#REF!</v>
      </c>
    </row>
    <row r="159" spans="1:3">
      <c r="A159" s="7" t="e">
        <f>IF('Document Workflow'!A158&lt;&gt;"",'Document Workflow'!A158,"")</f>
        <v>#REF!</v>
      </c>
      <c r="B159" s="2" t="s">
        <v>43</v>
      </c>
      <c r="C159" s="3" t="e">
        <f>IF(INDEX('Document Workflow'!M:M,MATCH(A159,'Document Workflow'!A:A,0))&lt;&gt;"",INDEX('Document Workflow'!M:M,MATCH(A159,'Document Workflow'!A:A,0)),"")</f>
        <v>#REF!</v>
      </c>
    </row>
    <row r="160" spans="1:3">
      <c r="A160" s="7" t="e">
        <f>IF('Document Workflow'!A159&lt;&gt;"",'Document Workflow'!A159,"")</f>
        <v>#REF!</v>
      </c>
      <c r="B160" s="2" t="s">
        <v>43</v>
      </c>
      <c r="C160" s="3" t="e">
        <f>IF(INDEX('Document Workflow'!M:M,MATCH(A160,'Document Workflow'!A:A,0))&lt;&gt;"",INDEX('Document Workflow'!M:M,MATCH(A160,'Document Workflow'!A:A,0)),"")</f>
        <v>#REF!</v>
      </c>
    </row>
    <row r="161" spans="1:3">
      <c r="A161" s="7" t="e">
        <f>IF('Document Workflow'!A160&lt;&gt;"",'Document Workflow'!A160,"")</f>
        <v>#REF!</v>
      </c>
      <c r="B161" s="2" t="s">
        <v>43</v>
      </c>
      <c r="C161" s="3" t="e">
        <f>IF(INDEX('Document Workflow'!M:M,MATCH(A161,'Document Workflow'!A:A,0))&lt;&gt;"",INDEX('Document Workflow'!M:M,MATCH(A161,'Document Workflow'!A:A,0)),"")</f>
        <v>#REF!</v>
      </c>
    </row>
    <row r="162" spans="1:3">
      <c r="A162" s="7" t="e">
        <f>IF('Document Workflow'!A161&lt;&gt;"",'Document Workflow'!A161,"")</f>
        <v>#REF!</v>
      </c>
      <c r="B162" s="2" t="s">
        <v>43</v>
      </c>
      <c r="C162" s="3" t="e">
        <f>IF(INDEX('Document Workflow'!M:M,MATCH(A162,'Document Workflow'!A:A,0))&lt;&gt;"",INDEX('Document Workflow'!M:M,MATCH(A162,'Document Workflow'!A:A,0)),"")</f>
        <v>#REF!</v>
      </c>
    </row>
    <row r="163" spans="1:3">
      <c r="A163" s="7" t="e">
        <f>IF('Document Workflow'!A162&lt;&gt;"",'Document Workflow'!A162,"")</f>
        <v>#REF!</v>
      </c>
      <c r="B163" s="2" t="s">
        <v>43</v>
      </c>
      <c r="C163" s="3" t="e">
        <f>IF(INDEX('Document Workflow'!M:M,MATCH(A163,'Document Workflow'!A:A,0))&lt;&gt;"",INDEX('Document Workflow'!M:M,MATCH(A163,'Document Workflow'!A:A,0)),"")</f>
        <v>#REF!</v>
      </c>
    </row>
    <row r="164" spans="1:3">
      <c r="A164" s="7" t="e">
        <f>IF('Document Workflow'!A163&lt;&gt;"",'Document Workflow'!A163,"")</f>
        <v>#REF!</v>
      </c>
      <c r="B164" s="2" t="s">
        <v>72</v>
      </c>
      <c r="C164" s="3" t="e">
        <f>IF(INDEX('Document Workflow'!M:M,MATCH(A164,'Document Workflow'!A:A,0))&lt;&gt;"",INDEX('Document Workflow'!M:M,MATCH(A164,'Document Workflow'!A:A,0)),"")</f>
        <v>#REF!</v>
      </c>
    </row>
    <row r="165" spans="1:3">
      <c r="A165" s="7" t="e">
        <f>IF('Document Workflow'!A164&lt;&gt;"",'Document Workflow'!A164,"")</f>
        <v>#REF!</v>
      </c>
      <c r="B165" s="2" t="s">
        <v>43</v>
      </c>
      <c r="C165" s="3" t="e">
        <f>IF(INDEX('Document Workflow'!M:M,MATCH(A165,'Document Workflow'!A:A,0))&lt;&gt;"",INDEX('Document Workflow'!M:M,MATCH(A165,'Document Workflow'!A:A,0)),"")</f>
        <v>#REF!</v>
      </c>
    </row>
    <row r="166" spans="1:3">
      <c r="A166" s="7" t="e">
        <f>IF('Document Workflow'!A165&lt;&gt;"",'Document Workflow'!A165,"")</f>
        <v>#REF!</v>
      </c>
      <c r="B166" s="2" t="s">
        <v>43</v>
      </c>
      <c r="C166" s="3" t="e">
        <f>IF(INDEX('Document Workflow'!M:M,MATCH(A166,'Document Workflow'!A:A,0))&lt;&gt;"",INDEX('Document Workflow'!M:M,MATCH(A166,'Document Workflow'!A:A,0)),"")</f>
        <v>#REF!</v>
      </c>
    </row>
    <row r="167" spans="1:3">
      <c r="A167" s="7" t="e">
        <f>IF('Document Workflow'!A166&lt;&gt;"",'Document Workflow'!A166,"")</f>
        <v>#REF!</v>
      </c>
      <c r="B167" s="2" t="s">
        <v>43</v>
      </c>
      <c r="C167" s="3" t="e">
        <f>IF(INDEX('Document Workflow'!M:M,MATCH(A167,'Document Workflow'!A:A,0))&lt;&gt;"",INDEX('Document Workflow'!M:M,MATCH(A167,'Document Workflow'!A:A,0)),"")</f>
        <v>#REF!</v>
      </c>
    </row>
    <row r="168" spans="1:3">
      <c r="A168" s="7" t="e">
        <f>IF('Document Workflow'!A167&lt;&gt;"",'Document Workflow'!A167,"")</f>
        <v>#REF!</v>
      </c>
      <c r="B168" s="2" t="s">
        <v>43</v>
      </c>
      <c r="C168" s="3" t="e">
        <f>IF(INDEX('Document Workflow'!M:M,MATCH(A168,'Document Workflow'!A:A,0))&lt;&gt;"",INDEX('Document Workflow'!M:M,MATCH(A168,'Document Workflow'!A:A,0)),"")</f>
        <v>#REF!</v>
      </c>
    </row>
    <row r="169" spans="1:3">
      <c r="A169" s="7" t="e">
        <f>IF('Document Workflow'!A168&lt;&gt;"",'Document Workflow'!A168,"")</f>
        <v>#REF!</v>
      </c>
      <c r="B169" s="2" t="s">
        <v>43</v>
      </c>
      <c r="C169" s="3" t="e">
        <f>IF(INDEX('Document Workflow'!M:M,MATCH(A169,'Document Workflow'!A:A,0))&lt;&gt;"",INDEX('Document Workflow'!M:M,MATCH(A169,'Document Workflow'!A:A,0)),"")</f>
        <v>#REF!</v>
      </c>
    </row>
    <row r="170" spans="1:3">
      <c r="A170" s="7" t="e">
        <f>IF('Document Workflow'!A169&lt;&gt;"",'Document Workflow'!A169,"")</f>
        <v>#REF!</v>
      </c>
      <c r="B170" s="2" t="s">
        <v>43</v>
      </c>
      <c r="C170" s="3" t="e">
        <f>IF(INDEX('Document Workflow'!M:M,MATCH(A170,'Document Workflow'!A:A,0))&lt;&gt;"",INDEX('Document Workflow'!M:M,MATCH(A170,'Document Workflow'!A:A,0)),"")</f>
        <v>#REF!</v>
      </c>
    </row>
    <row r="171" spans="1:3">
      <c r="A171" s="7" t="e">
        <f>IF('Document Workflow'!A170&lt;&gt;"",'Document Workflow'!A170,"")</f>
        <v>#REF!</v>
      </c>
      <c r="B171" s="2" t="s">
        <v>72</v>
      </c>
      <c r="C171" s="3" t="e">
        <f>IF(INDEX('Document Workflow'!M:M,MATCH(A171,'Document Workflow'!A:A,0))&lt;&gt;"",INDEX('Document Workflow'!M:M,MATCH(A171,'Document Workflow'!A:A,0)),"")</f>
        <v>#REF!</v>
      </c>
    </row>
    <row r="172" spans="1:3">
      <c r="A172" s="7" t="e">
        <f>IF('Document Workflow'!A171&lt;&gt;"",'Document Workflow'!A171,"")</f>
        <v>#REF!</v>
      </c>
      <c r="B172" s="2" t="s">
        <v>43</v>
      </c>
      <c r="C172" s="3" t="e">
        <f>IF(INDEX('Document Workflow'!M:M,MATCH(A172,'Document Workflow'!A:A,0))&lt;&gt;"",INDEX('Document Workflow'!M:M,MATCH(A172,'Document Workflow'!A:A,0)),"")</f>
        <v>#REF!</v>
      </c>
    </row>
    <row r="173" spans="1:3">
      <c r="A173" s="7" t="e">
        <f>IF('Document Workflow'!A172&lt;&gt;"",'Document Workflow'!A172,"")</f>
        <v>#REF!</v>
      </c>
      <c r="B173" s="2" t="s">
        <v>43</v>
      </c>
      <c r="C173" s="3" t="e">
        <f>IF(INDEX('Document Workflow'!M:M,MATCH(A173,'Document Workflow'!A:A,0))&lt;&gt;"",INDEX('Document Workflow'!M:M,MATCH(A173,'Document Workflow'!A:A,0)),"")</f>
        <v>#REF!</v>
      </c>
    </row>
    <row r="174" spans="1:3">
      <c r="A174" s="7" t="e">
        <f>IF('Document Workflow'!A173&lt;&gt;"",'Document Workflow'!A173,"")</f>
        <v>#REF!</v>
      </c>
      <c r="B174" s="2" t="s">
        <v>43</v>
      </c>
      <c r="C174" s="3" t="e">
        <f>IF(INDEX('Document Workflow'!M:M,MATCH(A174,'Document Workflow'!A:A,0))&lt;&gt;"",INDEX('Document Workflow'!M:M,MATCH(A174,'Document Workflow'!A:A,0)),"")</f>
        <v>#REF!</v>
      </c>
    </row>
    <row r="175" spans="1:3">
      <c r="A175" s="7" t="e">
        <f>IF('Document Workflow'!A174&lt;&gt;"",'Document Workflow'!A174,"")</f>
        <v>#REF!</v>
      </c>
      <c r="B175" s="2" t="s">
        <v>43</v>
      </c>
      <c r="C175" s="3" t="e">
        <f>IF(INDEX('Document Workflow'!M:M,MATCH(A175,'Document Workflow'!A:A,0))&lt;&gt;"",INDEX('Document Workflow'!M:M,MATCH(A175,'Document Workflow'!A:A,0)),"")</f>
        <v>#REF!</v>
      </c>
    </row>
    <row r="176" spans="1:3">
      <c r="A176" s="7" t="e">
        <f>IF('Document Workflow'!A175&lt;&gt;"",'Document Workflow'!A175,"")</f>
        <v>#REF!</v>
      </c>
      <c r="B176" s="2" t="s">
        <v>43</v>
      </c>
      <c r="C176" s="3" t="e">
        <f>IF(INDEX('Document Workflow'!M:M,MATCH(A176,'Document Workflow'!A:A,0))&lt;&gt;"",INDEX('Document Workflow'!M:M,MATCH(A176,'Document Workflow'!A:A,0)),"")</f>
        <v>#REF!</v>
      </c>
    </row>
    <row r="177" spans="1:3">
      <c r="A177" s="7" t="e">
        <f>IF('Document Workflow'!A176&lt;&gt;"",'Document Workflow'!A176,"")</f>
        <v>#REF!</v>
      </c>
      <c r="B177" s="2" t="s">
        <v>43</v>
      </c>
      <c r="C177" s="3" t="e">
        <f>IF(INDEX('Document Workflow'!M:M,MATCH(A177,'Document Workflow'!A:A,0))&lt;&gt;"",INDEX('Document Workflow'!M:M,MATCH(A177,'Document Workflow'!A:A,0)),"")</f>
        <v>#REF!</v>
      </c>
    </row>
    <row r="178" spans="1:3">
      <c r="A178" s="7" t="e">
        <f>IF('Document Workflow'!A177&lt;&gt;"",'Document Workflow'!A177,"")</f>
        <v>#REF!</v>
      </c>
      <c r="B178" s="2" t="s">
        <v>43</v>
      </c>
      <c r="C178" s="3" t="e">
        <f>IF(INDEX('Document Workflow'!M:M,MATCH(A178,'Document Workflow'!A:A,0))&lt;&gt;"",INDEX('Document Workflow'!M:M,MATCH(A178,'Document Workflow'!A:A,0)),"")</f>
        <v>#REF!</v>
      </c>
    </row>
    <row r="179" spans="1:3">
      <c r="A179" s="7" t="e">
        <f>IF('Document Workflow'!A178&lt;&gt;"",'Document Workflow'!A178,"")</f>
        <v>#REF!</v>
      </c>
      <c r="B179" s="2" t="s">
        <v>72</v>
      </c>
      <c r="C179" s="3" t="e">
        <f>IF(INDEX('Document Workflow'!M:M,MATCH(A179,'Document Workflow'!A:A,0))&lt;&gt;"",INDEX('Document Workflow'!M:M,MATCH(A179,'Document Workflow'!A:A,0)),"")</f>
        <v>#REF!</v>
      </c>
    </row>
    <row r="180" spans="1:3">
      <c r="A180" s="7" t="e">
        <f>IF('Document Workflow'!A179&lt;&gt;"",'Document Workflow'!A179,"")</f>
        <v>#REF!</v>
      </c>
      <c r="B180" s="2" t="s">
        <v>43</v>
      </c>
      <c r="C180" s="3" t="e">
        <f>IF(INDEX('Document Workflow'!M:M,MATCH(A180,'Document Workflow'!A:A,0))&lt;&gt;"",INDEX('Document Workflow'!M:M,MATCH(A180,'Document Workflow'!A:A,0)),"")</f>
        <v>#REF!</v>
      </c>
    </row>
    <row r="181" spans="1:3">
      <c r="A181" s="7" t="e">
        <f>IF('Document Workflow'!A180&lt;&gt;"",'Document Workflow'!A180,"")</f>
        <v>#REF!</v>
      </c>
      <c r="B181" s="2" t="s">
        <v>43</v>
      </c>
      <c r="C181" s="3" t="e">
        <f>IF(INDEX('Document Workflow'!M:M,MATCH(A181,'Document Workflow'!A:A,0))&lt;&gt;"",INDEX('Document Workflow'!M:M,MATCH(A181,'Document Workflow'!A:A,0)),"")</f>
        <v>#REF!</v>
      </c>
    </row>
    <row r="182" spans="1:3">
      <c r="A182" s="7" t="e">
        <f>IF('Document Workflow'!A181&lt;&gt;"",'Document Workflow'!A181,"")</f>
        <v>#REF!</v>
      </c>
      <c r="B182" s="2" t="s">
        <v>43</v>
      </c>
      <c r="C182" s="3" t="e">
        <f>IF(INDEX('Document Workflow'!M:M,MATCH(A182,'Document Workflow'!A:A,0))&lt;&gt;"",INDEX('Document Workflow'!M:M,MATCH(A182,'Document Workflow'!A:A,0)),"")</f>
        <v>#REF!</v>
      </c>
    </row>
    <row r="183" spans="1:3">
      <c r="A183" s="7" t="e">
        <f>IF('Document Workflow'!A182&lt;&gt;"",'Document Workflow'!A182,"")</f>
        <v>#REF!</v>
      </c>
      <c r="B183" s="2" t="s">
        <v>43</v>
      </c>
      <c r="C183" s="3" t="e">
        <f>IF(INDEX('Document Workflow'!M:M,MATCH(A183,'Document Workflow'!A:A,0))&lt;&gt;"",INDEX('Document Workflow'!M:M,MATCH(A183,'Document Workflow'!A:A,0)),"")</f>
        <v>#REF!</v>
      </c>
    </row>
    <row r="184" spans="1:3">
      <c r="A184" s="7" t="e">
        <f>IF('Document Workflow'!A183&lt;&gt;"",'Document Workflow'!A183,"")</f>
        <v>#REF!</v>
      </c>
      <c r="B184" s="2" t="s">
        <v>72</v>
      </c>
      <c r="C184" s="3" t="e">
        <f>IF(INDEX('Document Workflow'!M:M,MATCH(A184,'Document Workflow'!A:A,0))&lt;&gt;"",INDEX('Document Workflow'!M:M,MATCH(A184,'Document Workflow'!A:A,0)),"")</f>
        <v>#REF!</v>
      </c>
    </row>
    <row r="185" spans="1:3">
      <c r="A185" s="7" t="e">
        <f>IF('Document Workflow'!A184&lt;&gt;"",'Document Workflow'!A184,"")</f>
        <v>#REF!</v>
      </c>
      <c r="B185" s="2" t="s">
        <v>43</v>
      </c>
      <c r="C185" s="3" t="e">
        <f>IF(INDEX('Document Workflow'!M:M,MATCH(A185,'Document Workflow'!A:A,0))&lt;&gt;"",INDEX('Document Workflow'!M:M,MATCH(A185,'Document Workflow'!A:A,0)),"")</f>
        <v>#REF!</v>
      </c>
    </row>
    <row r="186" spans="1:3">
      <c r="A186" s="7" t="e">
        <f>IF('Document Workflow'!A185&lt;&gt;"",'Document Workflow'!A185,"")</f>
        <v>#REF!</v>
      </c>
      <c r="B186" s="2" t="s">
        <v>43</v>
      </c>
      <c r="C186" s="3" t="e">
        <f>IF(INDEX('Document Workflow'!M:M,MATCH(A186,'Document Workflow'!A:A,0))&lt;&gt;"",INDEX('Document Workflow'!M:M,MATCH(A186,'Document Workflow'!A:A,0)),"")</f>
        <v>#REF!</v>
      </c>
    </row>
    <row r="187" spans="1:3">
      <c r="A187" s="7" t="e">
        <f>IF('Document Workflow'!A186&lt;&gt;"",'Document Workflow'!A186,"")</f>
        <v>#REF!</v>
      </c>
      <c r="B187" s="2" t="s">
        <v>43</v>
      </c>
      <c r="C187" s="3" t="e">
        <f>IF(INDEX('Document Workflow'!M:M,MATCH(A187,'Document Workflow'!A:A,0))&lt;&gt;"",INDEX('Document Workflow'!M:M,MATCH(A187,'Document Workflow'!A:A,0)),"")</f>
        <v>#REF!</v>
      </c>
    </row>
    <row r="188" spans="1:3">
      <c r="A188" s="7" t="e">
        <f>IF('Document Workflow'!A187&lt;&gt;"",'Document Workflow'!A187,"")</f>
        <v>#REF!</v>
      </c>
      <c r="B188" s="2" t="s">
        <v>43</v>
      </c>
      <c r="C188" s="3" t="e">
        <f>IF(INDEX('Document Workflow'!M:M,MATCH(A188,'Document Workflow'!A:A,0))&lt;&gt;"",INDEX('Document Workflow'!M:M,MATCH(A188,'Document Workflow'!A:A,0)),"")</f>
        <v>#REF!</v>
      </c>
    </row>
    <row r="189" spans="1:3">
      <c r="A189" s="7" t="e">
        <f>IF('Document Workflow'!A188&lt;&gt;"",'Document Workflow'!A188,"")</f>
        <v>#REF!</v>
      </c>
      <c r="B189" s="2" t="s">
        <v>72</v>
      </c>
      <c r="C189" s="3" t="e">
        <f>IF(INDEX('Document Workflow'!M:M,MATCH(A189,'Document Workflow'!A:A,0))&lt;&gt;"",INDEX('Document Workflow'!M:M,MATCH(A189,'Document Workflow'!A:A,0)),"")</f>
        <v>#REF!</v>
      </c>
    </row>
    <row r="190" spans="1:3">
      <c r="A190" s="7" t="e">
        <f>IF('Document Workflow'!A189&lt;&gt;"",'Document Workflow'!A189,"")</f>
        <v>#REF!</v>
      </c>
      <c r="B190" s="2" t="s">
        <v>72</v>
      </c>
      <c r="C190" s="3" t="e">
        <f>IF(INDEX('Document Workflow'!M:M,MATCH(A190,'Document Workflow'!A:A,0))&lt;&gt;"",INDEX('Document Workflow'!M:M,MATCH(A190,'Document Workflow'!A:A,0)),"")</f>
        <v>#REF!</v>
      </c>
    </row>
    <row r="191" spans="1:3">
      <c r="A191" s="7" t="e">
        <f>IF('Document Workflow'!A190&lt;&gt;"",'Document Workflow'!A190,"")</f>
        <v>#REF!</v>
      </c>
      <c r="B191" s="2" t="s">
        <v>43</v>
      </c>
      <c r="C191" s="3" t="e">
        <f>IF(INDEX('Document Workflow'!M:M,MATCH(A191,'Document Workflow'!A:A,0))&lt;&gt;"",INDEX('Document Workflow'!M:M,MATCH(A191,'Document Workflow'!A:A,0)),"")</f>
        <v>#REF!</v>
      </c>
    </row>
    <row r="192" spans="1:3">
      <c r="A192" s="7" t="e">
        <f>IF('Document Workflow'!A191&lt;&gt;"",'Document Workflow'!A191,"")</f>
        <v>#REF!</v>
      </c>
      <c r="B192" s="2" t="s">
        <v>43</v>
      </c>
      <c r="C192" s="3" t="e">
        <f>IF(INDEX('Document Workflow'!M:M,MATCH(A192,'Document Workflow'!A:A,0))&lt;&gt;"",INDEX('Document Workflow'!M:M,MATCH(A192,'Document Workflow'!A:A,0)),"")</f>
        <v>#REF!</v>
      </c>
    </row>
    <row r="193" spans="1:3">
      <c r="A193" s="7" t="e">
        <f>IF('Document Workflow'!A192&lt;&gt;"",'Document Workflow'!A192,"")</f>
        <v>#REF!</v>
      </c>
      <c r="B193" s="2" t="s">
        <v>43</v>
      </c>
      <c r="C193" s="3" t="e">
        <f>IF(INDEX('Document Workflow'!M:M,MATCH(A193,'Document Workflow'!A:A,0))&lt;&gt;"",INDEX('Document Workflow'!M:M,MATCH(A193,'Document Workflow'!A:A,0)),"")</f>
        <v>#REF!</v>
      </c>
    </row>
    <row r="194" spans="1:3">
      <c r="A194" s="7" t="e">
        <f>IF('Document Workflow'!A193&lt;&gt;"",'Document Workflow'!A193,"")</f>
        <v>#REF!</v>
      </c>
      <c r="B194" s="2" t="s">
        <v>43</v>
      </c>
      <c r="C194" s="3" t="e">
        <f>IF(INDEX('Document Workflow'!M:M,MATCH(A194,'Document Workflow'!A:A,0))&lt;&gt;"",INDEX('Document Workflow'!M:M,MATCH(A194,'Document Workflow'!A:A,0)),"")</f>
        <v>#REF!</v>
      </c>
    </row>
    <row r="195" spans="1:3">
      <c r="A195" s="7" t="e">
        <f>IF('Document Workflow'!A194&lt;&gt;"",'Document Workflow'!A194,"")</f>
        <v>#REF!</v>
      </c>
      <c r="B195" s="2" t="s">
        <v>43</v>
      </c>
      <c r="C195" s="3" t="e">
        <f>IF(INDEX('Document Workflow'!M:M,MATCH(A195,'Document Workflow'!A:A,0))&lt;&gt;"",INDEX('Document Workflow'!M:M,MATCH(A195,'Document Workflow'!A:A,0)),"")</f>
        <v>#REF!</v>
      </c>
    </row>
    <row r="196" spans="1:3">
      <c r="A196" s="7" t="e">
        <f>IF('Document Workflow'!A195&lt;&gt;"",'Document Workflow'!A195,"")</f>
        <v>#REF!</v>
      </c>
      <c r="B196" s="2" t="s">
        <v>43</v>
      </c>
      <c r="C196" s="3" t="e">
        <f>IF(INDEX('Document Workflow'!M:M,MATCH(A196,'Document Workflow'!A:A,0))&lt;&gt;"",INDEX('Document Workflow'!M:M,MATCH(A196,'Document Workflow'!A:A,0)),"")</f>
        <v>#REF!</v>
      </c>
    </row>
    <row r="197" spans="1:3">
      <c r="A197" s="7" t="e">
        <f>IF('Document Workflow'!A196&lt;&gt;"",'Document Workflow'!A196,"")</f>
        <v>#REF!</v>
      </c>
      <c r="B197" s="2" t="s">
        <v>43</v>
      </c>
      <c r="C197" s="3" t="e">
        <f>IF(INDEX('Document Workflow'!M:M,MATCH(A197,'Document Workflow'!A:A,0))&lt;&gt;"",INDEX('Document Workflow'!M:M,MATCH(A197,'Document Workflow'!A:A,0)),"")</f>
        <v>#REF!</v>
      </c>
    </row>
    <row r="198" spans="1:3">
      <c r="A198" s="7" t="e">
        <f>IF('Document Workflow'!A197&lt;&gt;"",'Document Workflow'!A197,"")</f>
        <v>#REF!</v>
      </c>
      <c r="B198" s="2" t="s">
        <v>43</v>
      </c>
      <c r="C198" s="3" t="e">
        <f>IF(INDEX('Document Workflow'!M:M,MATCH(A198,'Document Workflow'!A:A,0))&lt;&gt;"",INDEX('Document Workflow'!M:M,MATCH(A198,'Document Workflow'!A:A,0)),"")</f>
        <v>#REF!</v>
      </c>
    </row>
    <row r="199" spans="1:3">
      <c r="A199" s="7" t="e">
        <f>IF('Document Workflow'!A198&lt;&gt;"",'Document Workflow'!A198,"")</f>
        <v>#REF!</v>
      </c>
      <c r="B199" s="2" t="s">
        <v>43</v>
      </c>
      <c r="C199" s="3" t="e">
        <f>IF(INDEX('Document Workflow'!M:M,MATCH(A199,'Document Workflow'!A:A,0))&lt;&gt;"",INDEX('Document Workflow'!M:M,MATCH(A199,'Document Workflow'!A:A,0)),"")</f>
        <v>#REF!</v>
      </c>
    </row>
    <row r="200" spans="1:3">
      <c r="A200" s="7" t="e">
        <f>IF('Document Workflow'!A199&lt;&gt;"",'Document Workflow'!A199,"")</f>
        <v>#REF!</v>
      </c>
      <c r="B200" s="2" t="s">
        <v>43</v>
      </c>
      <c r="C200" s="3" t="e">
        <f>IF(INDEX('Document Workflow'!M:M,MATCH(A200,'Document Workflow'!A:A,0))&lt;&gt;"",INDEX('Document Workflow'!M:M,MATCH(A200,'Document Workflow'!A:A,0)),"")</f>
        <v>#REF!</v>
      </c>
    </row>
    <row r="201" spans="1:3">
      <c r="A201" s="7" t="e">
        <f>IF('Document Workflow'!A200&lt;&gt;"",'Document Workflow'!A200,"")</f>
        <v>#REF!</v>
      </c>
      <c r="B201" s="2" t="s">
        <v>43</v>
      </c>
      <c r="C201" s="3" t="e">
        <f>IF(INDEX('Document Workflow'!M:M,MATCH(A201,'Document Workflow'!A:A,0))&lt;&gt;"",INDEX('Document Workflow'!M:M,MATCH(A201,'Document Workflow'!A:A,0)),"")</f>
        <v>#REF!</v>
      </c>
    </row>
    <row r="202" spans="1:3">
      <c r="A202" s="7" t="e">
        <f>IF('Document Workflow'!A201&lt;&gt;"",'Document Workflow'!A201,"")</f>
        <v>#REF!</v>
      </c>
      <c r="B202" s="2" t="s">
        <v>43</v>
      </c>
      <c r="C202" s="3" t="e">
        <f>IF(INDEX('Document Workflow'!M:M,MATCH(A202,'Document Workflow'!A:A,0))&lt;&gt;"",INDEX('Document Workflow'!M:M,MATCH(A202,'Document Workflow'!A:A,0)),"")</f>
        <v>#REF!</v>
      </c>
    </row>
    <row r="203" spans="1:3">
      <c r="A203" s="7" t="e">
        <f>IF('Document Workflow'!A202&lt;&gt;"",'Document Workflow'!A202,"")</f>
        <v>#REF!</v>
      </c>
      <c r="B203" s="2" t="s">
        <v>43</v>
      </c>
      <c r="C203" s="3" t="e">
        <f>IF(INDEX('Document Workflow'!M:M,MATCH(A203,'Document Workflow'!A:A,0))&lt;&gt;"",INDEX('Document Workflow'!M:M,MATCH(A203,'Document Workflow'!A:A,0)),"")</f>
        <v>#REF!</v>
      </c>
    </row>
    <row r="204" spans="1:3">
      <c r="A204" s="7" t="e">
        <f>IF('Document Workflow'!A203&lt;&gt;"",'Document Workflow'!A203,"")</f>
        <v>#REF!</v>
      </c>
      <c r="B204" s="2" t="s">
        <v>43</v>
      </c>
      <c r="C204" s="3" t="e">
        <f>IF(INDEX('Document Workflow'!M:M,MATCH(A204,'Document Workflow'!A:A,0))&lt;&gt;"",INDEX('Document Workflow'!M:M,MATCH(A204,'Document Workflow'!A:A,0)),"")</f>
        <v>#REF!</v>
      </c>
    </row>
    <row r="205" spans="1:3">
      <c r="A205" s="7" t="e">
        <f>IF('Document Workflow'!A204&lt;&gt;"",'Document Workflow'!A204,"")</f>
        <v>#REF!</v>
      </c>
      <c r="B205" s="2" t="s">
        <v>43</v>
      </c>
      <c r="C205" s="3" t="e">
        <f>IF(INDEX('Document Workflow'!M:M,MATCH(A205,'Document Workflow'!A:A,0))&lt;&gt;"",INDEX('Document Workflow'!M:M,MATCH(A205,'Document Workflow'!A:A,0)),"")</f>
        <v>#REF!</v>
      </c>
    </row>
    <row r="206" spans="1:3">
      <c r="A206" s="7" t="e">
        <f>IF('Document Workflow'!A205&lt;&gt;"",'Document Workflow'!A205,"")</f>
        <v>#REF!</v>
      </c>
      <c r="B206" s="2" t="s">
        <v>43</v>
      </c>
      <c r="C206" s="3" t="e">
        <f>IF(INDEX('Document Workflow'!M:M,MATCH(A206,'Document Workflow'!A:A,0))&lt;&gt;"",INDEX('Document Workflow'!M:M,MATCH(A206,'Document Workflow'!A:A,0)),"")</f>
        <v>#REF!</v>
      </c>
    </row>
    <row r="207" spans="1:3">
      <c r="A207" s="7" t="e">
        <f>IF('Document Workflow'!A206&lt;&gt;"",'Document Workflow'!A206,"")</f>
        <v>#REF!</v>
      </c>
      <c r="B207" s="2" t="s">
        <v>43</v>
      </c>
      <c r="C207" s="3" t="e">
        <f>IF(INDEX('Document Workflow'!M:M,MATCH(A207,'Document Workflow'!A:A,0))&lt;&gt;"",INDEX('Document Workflow'!M:M,MATCH(A207,'Document Workflow'!A:A,0)),"")</f>
        <v>#REF!</v>
      </c>
    </row>
    <row r="208" spans="1:3">
      <c r="A208" s="7" t="e">
        <f>IF('Document Workflow'!A207&lt;&gt;"",'Document Workflow'!A207,"")</f>
        <v>#REF!</v>
      </c>
      <c r="B208" s="2" t="s">
        <v>43</v>
      </c>
      <c r="C208" s="3" t="e">
        <f>IF(INDEX('Document Workflow'!M:M,MATCH(A208,'Document Workflow'!A:A,0))&lt;&gt;"",INDEX('Document Workflow'!M:M,MATCH(A208,'Document Workflow'!A:A,0)),"")</f>
        <v>#REF!</v>
      </c>
    </row>
    <row r="209" spans="1:3">
      <c r="A209" s="7" t="e">
        <f>IF('Document Workflow'!A208&lt;&gt;"",'Document Workflow'!A208,"")</f>
        <v>#REF!</v>
      </c>
      <c r="B209" s="2" t="s">
        <v>43</v>
      </c>
      <c r="C209" s="3" t="e">
        <f>IF(INDEX('Document Workflow'!M:M,MATCH(A209,'Document Workflow'!A:A,0))&lt;&gt;"",INDEX('Document Workflow'!M:M,MATCH(A209,'Document Workflow'!A:A,0)),"")</f>
        <v>#REF!</v>
      </c>
    </row>
    <row r="210" spans="1:3">
      <c r="A210" s="7" t="e">
        <f>IF('Document Workflow'!A209&lt;&gt;"",'Document Workflow'!A209,"")</f>
        <v>#REF!</v>
      </c>
      <c r="B210" s="2" t="s">
        <v>43</v>
      </c>
      <c r="C210" s="3" t="e">
        <f>IF(INDEX('Document Workflow'!M:M,MATCH(A210,'Document Workflow'!A:A,0))&lt;&gt;"",INDEX('Document Workflow'!M:M,MATCH(A210,'Document Workflow'!A:A,0)),"")</f>
        <v>#REF!</v>
      </c>
    </row>
    <row r="211" spans="1:3">
      <c r="A211" s="7" t="e">
        <f>IF('Document Workflow'!A210&lt;&gt;"",'Document Workflow'!A210,"")</f>
        <v>#REF!</v>
      </c>
      <c r="B211" s="2" t="s">
        <v>43</v>
      </c>
      <c r="C211" s="3" t="e">
        <f>IF(INDEX('Document Workflow'!M:M,MATCH(A211,'Document Workflow'!A:A,0))&lt;&gt;"",INDEX('Document Workflow'!M:M,MATCH(A211,'Document Workflow'!A:A,0)),"")</f>
        <v>#REF!</v>
      </c>
    </row>
    <row r="212" spans="1:3">
      <c r="A212" s="7" t="e">
        <f>IF('Document Workflow'!A211&lt;&gt;"",'Document Workflow'!A211,"")</f>
        <v>#REF!</v>
      </c>
      <c r="B212" s="2" t="s">
        <v>43</v>
      </c>
      <c r="C212" s="3" t="e">
        <f>IF(INDEX('Document Workflow'!M:M,MATCH(A212,'Document Workflow'!A:A,0))&lt;&gt;"",INDEX('Document Workflow'!M:M,MATCH(A212,'Document Workflow'!A:A,0)),"")</f>
        <v>#REF!</v>
      </c>
    </row>
    <row r="213" spans="1:3">
      <c r="A213" s="7" t="e">
        <f>IF('Document Workflow'!A212&lt;&gt;"",'Document Workflow'!A212,"")</f>
        <v>#REF!</v>
      </c>
      <c r="B213" s="2" t="s">
        <v>43</v>
      </c>
      <c r="C213" s="3" t="e">
        <f>IF(INDEX('Document Workflow'!M:M,MATCH(A213,'Document Workflow'!A:A,0))&lt;&gt;"",INDEX('Document Workflow'!M:M,MATCH(A213,'Document Workflow'!A:A,0)),"")</f>
        <v>#REF!</v>
      </c>
    </row>
    <row r="214" spans="1:3">
      <c r="A214" s="7" t="e">
        <f>IF('Document Workflow'!A213&lt;&gt;"",'Document Workflow'!A213,"")</f>
        <v>#REF!</v>
      </c>
      <c r="B214" s="2" t="s">
        <v>43</v>
      </c>
      <c r="C214" s="3" t="e">
        <f>IF(INDEX('Document Workflow'!M:M,MATCH(A214,'Document Workflow'!A:A,0))&lt;&gt;"",INDEX('Document Workflow'!M:M,MATCH(A214,'Document Workflow'!A:A,0)),"")</f>
        <v>#REF!</v>
      </c>
    </row>
    <row r="215" spans="1:3">
      <c r="A215" s="7" t="e">
        <f>IF('Document Workflow'!A214&lt;&gt;"",'Document Workflow'!A214,"")</f>
        <v>#REF!</v>
      </c>
      <c r="B215" s="2" t="s">
        <v>43</v>
      </c>
      <c r="C215" s="3" t="e">
        <f>IF(INDEX('Document Workflow'!M:M,MATCH(A215,'Document Workflow'!A:A,0))&lt;&gt;"",INDEX('Document Workflow'!M:M,MATCH(A215,'Document Workflow'!A:A,0)),"")</f>
        <v>#REF!</v>
      </c>
    </row>
    <row r="216" spans="1:3">
      <c r="A216" s="7" t="e">
        <f>IF('Document Workflow'!A215&lt;&gt;"",'Document Workflow'!A215,"")</f>
        <v>#REF!</v>
      </c>
      <c r="B216" s="2" t="s">
        <v>43</v>
      </c>
      <c r="C216" s="3" t="e">
        <f>IF(INDEX('Document Workflow'!M:M,MATCH(A216,'Document Workflow'!A:A,0))&lt;&gt;"",INDEX('Document Workflow'!M:M,MATCH(A216,'Document Workflow'!A:A,0)),"")</f>
        <v>#REF!</v>
      </c>
    </row>
    <row r="217" spans="1:3">
      <c r="A217" s="7" t="e">
        <f>IF('Document Workflow'!A216&lt;&gt;"",'Document Workflow'!A216,"")</f>
        <v>#REF!</v>
      </c>
      <c r="B217" s="2" t="s">
        <v>43</v>
      </c>
      <c r="C217" s="3" t="e">
        <f>IF(INDEX('Document Workflow'!M:M,MATCH(A217,'Document Workflow'!A:A,0))&lt;&gt;"",INDEX('Document Workflow'!M:M,MATCH(A217,'Document Workflow'!A:A,0)),"")</f>
        <v>#REF!</v>
      </c>
    </row>
    <row r="218" spans="1:3">
      <c r="A218" s="7" t="e">
        <f>IF('Document Workflow'!A217&lt;&gt;"",'Document Workflow'!A217,"")</f>
        <v>#REF!</v>
      </c>
      <c r="B218" s="2" t="s">
        <v>43</v>
      </c>
      <c r="C218" s="3" t="e">
        <f>IF(INDEX('Document Workflow'!M:M,MATCH(A218,'Document Workflow'!A:A,0))&lt;&gt;"",INDEX('Document Workflow'!M:M,MATCH(A218,'Document Workflow'!A:A,0)),"")</f>
        <v>#REF!</v>
      </c>
    </row>
    <row r="219" spans="1:3">
      <c r="A219" s="7" t="e">
        <f>IF('Document Workflow'!A218&lt;&gt;"",'Document Workflow'!A218,"")</f>
        <v>#REF!</v>
      </c>
      <c r="B219" s="2" t="s">
        <v>43</v>
      </c>
      <c r="C219" s="3" t="e">
        <f>IF(INDEX('Document Workflow'!M:M,MATCH(A219,'Document Workflow'!A:A,0))&lt;&gt;"",INDEX('Document Workflow'!M:M,MATCH(A219,'Document Workflow'!A:A,0)),"")</f>
        <v>#REF!</v>
      </c>
    </row>
    <row r="220" spans="1:3">
      <c r="A220" s="7" t="e">
        <f>IF('Document Workflow'!A219&lt;&gt;"",'Document Workflow'!A219,"")</f>
        <v>#REF!</v>
      </c>
      <c r="B220" s="2" t="s">
        <v>43</v>
      </c>
      <c r="C220" s="3" t="e">
        <f>IF(INDEX('Document Workflow'!M:M,MATCH(A220,'Document Workflow'!A:A,0))&lt;&gt;"",INDEX('Document Workflow'!M:M,MATCH(A220,'Document Workflow'!A:A,0)),"")</f>
        <v>#REF!</v>
      </c>
    </row>
    <row r="221" spans="1:3">
      <c r="A221" s="7" t="e">
        <f>IF('Document Workflow'!A220&lt;&gt;"",'Document Workflow'!A220,"")</f>
        <v>#REF!</v>
      </c>
      <c r="B221" s="2" t="s">
        <v>43</v>
      </c>
      <c r="C221" s="3" t="e">
        <f>IF(INDEX('Document Workflow'!M:M,MATCH(A221,'Document Workflow'!A:A,0))&lt;&gt;"",INDEX('Document Workflow'!M:M,MATCH(A221,'Document Workflow'!A:A,0)),"")</f>
        <v>#REF!</v>
      </c>
    </row>
    <row r="222" spans="1:3">
      <c r="A222" s="7" t="e">
        <f>IF('Document Workflow'!A221&lt;&gt;"",'Document Workflow'!A221,"")</f>
        <v>#REF!</v>
      </c>
      <c r="B222" s="2" t="s">
        <v>72</v>
      </c>
      <c r="C222" s="3" t="e">
        <f>IF(INDEX('Document Workflow'!M:M,MATCH(A222,'Document Workflow'!A:A,0))&lt;&gt;"",INDEX('Document Workflow'!M:M,MATCH(A222,'Document Workflow'!A:A,0)),"")</f>
        <v>#REF!</v>
      </c>
    </row>
    <row r="223" spans="1:3">
      <c r="A223" s="7" t="e">
        <f>IF('Document Workflow'!A222&lt;&gt;"",'Document Workflow'!A222,"")</f>
        <v>#REF!</v>
      </c>
      <c r="B223" s="2" t="s">
        <v>43</v>
      </c>
      <c r="C223" s="3" t="e">
        <f>IF(INDEX('Document Workflow'!M:M,MATCH(A223,'Document Workflow'!A:A,0))&lt;&gt;"",INDEX('Document Workflow'!M:M,MATCH(A223,'Document Workflow'!A:A,0)),"")</f>
        <v>#REF!</v>
      </c>
    </row>
    <row r="224" spans="1:3">
      <c r="A224" s="7" t="e">
        <f>IF('Document Workflow'!A223&lt;&gt;"",'Document Workflow'!A223,"")</f>
        <v>#REF!</v>
      </c>
      <c r="B224" s="2" t="s">
        <v>43</v>
      </c>
      <c r="C224" s="3" t="e">
        <f>IF(INDEX('Document Workflow'!M:M,MATCH(A224,'Document Workflow'!A:A,0))&lt;&gt;"",INDEX('Document Workflow'!M:M,MATCH(A224,'Document Workflow'!A:A,0)),"")</f>
        <v>#REF!</v>
      </c>
    </row>
    <row r="225" spans="1:3">
      <c r="A225" s="7" t="e">
        <f>IF('Document Workflow'!A224&lt;&gt;"",'Document Workflow'!A224,"")</f>
        <v>#REF!</v>
      </c>
      <c r="B225" s="2" t="s">
        <v>72</v>
      </c>
      <c r="C225" s="3" t="e">
        <f>IF(INDEX('Document Workflow'!M:M,MATCH(A225,'Document Workflow'!A:A,0))&lt;&gt;"",INDEX('Document Workflow'!M:M,MATCH(A225,'Document Workflow'!A:A,0)),"")</f>
        <v>#REF!</v>
      </c>
    </row>
    <row r="226" spans="1:3">
      <c r="A226" s="7" t="e">
        <f>IF('Document Workflow'!A225&lt;&gt;"",'Document Workflow'!A225,"")</f>
        <v>#REF!</v>
      </c>
      <c r="B226" s="2" t="s">
        <v>43</v>
      </c>
      <c r="C226" s="3" t="e">
        <f>IF(INDEX('Document Workflow'!M:M,MATCH(A226,'Document Workflow'!A:A,0))&lt;&gt;"",INDEX('Document Workflow'!M:M,MATCH(A226,'Document Workflow'!A:A,0)),"")</f>
        <v>#REF!</v>
      </c>
    </row>
    <row r="227" spans="1:3">
      <c r="A227" s="7" t="e">
        <f>IF('Document Workflow'!A226&lt;&gt;"",'Document Workflow'!A226,"")</f>
        <v>#REF!</v>
      </c>
      <c r="B227" s="2" t="s">
        <v>43</v>
      </c>
      <c r="C227" s="3" t="e">
        <f>IF(INDEX('Document Workflow'!M:M,MATCH(A227,'Document Workflow'!A:A,0))&lt;&gt;"",INDEX('Document Workflow'!M:M,MATCH(A227,'Document Workflow'!A:A,0)),"")</f>
        <v>#REF!</v>
      </c>
    </row>
    <row r="228" spans="1:3">
      <c r="A228" s="7" t="e">
        <f>IF('Document Workflow'!A227&lt;&gt;"",'Document Workflow'!A227,"")</f>
        <v>#REF!</v>
      </c>
      <c r="B228" s="2" t="s">
        <v>43</v>
      </c>
      <c r="C228" s="3" t="e">
        <f>IF(INDEX('Document Workflow'!M:M,MATCH(A228,'Document Workflow'!A:A,0))&lt;&gt;"",INDEX('Document Workflow'!M:M,MATCH(A228,'Document Workflow'!A:A,0)),"")</f>
        <v>#REF!</v>
      </c>
    </row>
    <row r="229" spans="1:3">
      <c r="A229" s="7" t="e">
        <f>IF('Document Workflow'!A228&lt;&gt;"",'Document Workflow'!A228,"")</f>
        <v>#REF!</v>
      </c>
      <c r="B229" s="2" t="s">
        <v>43</v>
      </c>
      <c r="C229" s="3" t="e">
        <f>IF(INDEX('Document Workflow'!M:M,MATCH(A229,'Document Workflow'!A:A,0))&lt;&gt;"",INDEX('Document Workflow'!M:M,MATCH(A229,'Document Workflow'!A:A,0)),"")</f>
        <v>#REF!</v>
      </c>
    </row>
    <row r="230" spans="1:3">
      <c r="A230" s="7" t="e">
        <f>IF('Document Workflow'!A229&lt;&gt;"",'Document Workflow'!A229,"")</f>
        <v>#REF!</v>
      </c>
      <c r="B230" s="2" t="s">
        <v>43</v>
      </c>
      <c r="C230" s="3" t="e">
        <f>IF(INDEX('Document Workflow'!M:M,MATCH(A230,'Document Workflow'!A:A,0))&lt;&gt;"",INDEX('Document Workflow'!M:M,MATCH(A230,'Document Workflow'!A:A,0)),"")</f>
        <v>#REF!</v>
      </c>
    </row>
    <row r="231" spans="1:3">
      <c r="A231" s="7" t="e">
        <f>IF('Document Workflow'!A230&lt;&gt;"",'Document Workflow'!A230,"")</f>
        <v>#REF!</v>
      </c>
      <c r="B231" s="2" t="s">
        <v>43</v>
      </c>
      <c r="C231" s="3" t="e">
        <f>IF(INDEX('Document Workflow'!M:M,MATCH(A231,'Document Workflow'!A:A,0))&lt;&gt;"",INDEX('Document Workflow'!M:M,MATCH(A231,'Document Workflow'!A:A,0)),"")</f>
        <v>#REF!</v>
      </c>
    </row>
    <row r="232" spans="1:3">
      <c r="A232" s="7" t="e">
        <f>IF('Document Workflow'!A231&lt;&gt;"",'Document Workflow'!A231,"")</f>
        <v>#REF!</v>
      </c>
      <c r="B232" s="2" t="s">
        <v>43</v>
      </c>
      <c r="C232" s="3" t="e">
        <f>IF(INDEX('Document Workflow'!M:M,MATCH(A232,'Document Workflow'!A:A,0))&lt;&gt;"",INDEX('Document Workflow'!M:M,MATCH(A232,'Document Workflow'!A:A,0)),"")</f>
        <v>#REF!</v>
      </c>
    </row>
    <row r="233" spans="1:3">
      <c r="A233" s="7" t="e">
        <f>IF('Document Workflow'!A232&lt;&gt;"",'Document Workflow'!A232,"")</f>
        <v>#REF!</v>
      </c>
      <c r="B233" s="2" t="s">
        <v>43</v>
      </c>
      <c r="C233" s="3" t="e">
        <f>IF(INDEX('Document Workflow'!M:M,MATCH(A233,'Document Workflow'!A:A,0))&lt;&gt;"",INDEX('Document Workflow'!M:M,MATCH(A233,'Document Workflow'!A:A,0)),"")</f>
        <v>#REF!</v>
      </c>
    </row>
    <row r="234" spans="1:3">
      <c r="A234" s="7" t="e">
        <f>IF('Document Workflow'!A233&lt;&gt;"",'Document Workflow'!A233,"")</f>
        <v>#REF!</v>
      </c>
      <c r="B234" s="2" t="s">
        <v>72</v>
      </c>
      <c r="C234" s="3" t="e">
        <f>IF(INDEX('Document Workflow'!M:M,MATCH(A234,'Document Workflow'!A:A,0))&lt;&gt;"",INDEX('Document Workflow'!M:M,MATCH(A234,'Document Workflow'!A:A,0)),"")</f>
        <v>#REF!</v>
      </c>
    </row>
    <row r="235" spans="1:3">
      <c r="A235" s="7" t="e">
        <f>IF('Document Workflow'!A234&lt;&gt;"",'Document Workflow'!A234,"")</f>
        <v>#REF!</v>
      </c>
      <c r="B235" s="2" t="s">
        <v>43</v>
      </c>
      <c r="C235" s="3" t="e">
        <f>IF(INDEX('Document Workflow'!M:M,MATCH(A235,'Document Workflow'!A:A,0))&lt;&gt;"",INDEX('Document Workflow'!M:M,MATCH(A235,'Document Workflow'!A:A,0)),"")</f>
        <v>#REF!</v>
      </c>
    </row>
    <row r="236" spans="1:3">
      <c r="A236" s="7" t="e">
        <f>IF('Document Workflow'!A235&lt;&gt;"",'Document Workflow'!A235,"")</f>
        <v>#REF!</v>
      </c>
      <c r="B236" s="2" t="s">
        <v>43</v>
      </c>
      <c r="C236" s="3" t="e">
        <f>IF(INDEX('Document Workflow'!M:M,MATCH(A236,'Document Workflow'!A:A,0))&lt;&gt;"",INDEX('Document Workflow'!M:M,MATCH(A236,'Document Workflow'!A:A,0)),"")</f>
        <v>#REF!</v>
      </c>
    </row>
    <row r="237" spans="1:3">
      <c r="A237" s="7" t="e">
        <f>IF('Document Workflow'!A236&lt;&gt;"",'Document Workflow'!A236,"")</f>
        <v>#REF!</v>
      </c>
      <c r="B237" s="2" t="s">
        <v>43</v>
      </c>
      <c r="C237" s="3" t="e">
        <f>IF(INDEX('Document Workflow'!M:M,MATCH(A237,'Document Workflow'!A:A,0))&lt;&gt;"",INDEX('Document Workflow'!M:M,MATCH(A237,'Document Workflow'!A:A,0)),"")</f>
        <v>#REF!</v>
      </c>
    </row>
    <row r="238" spans="1:3">
      <c r="A238" s="7" t="e">
        <f>IF('Document Workflow'!A237&lt;&gt;"",'Document Workflow'!A237,"")</f>
        <v>#REF!</v>
      </c>
      <c r="B238" s="2" t="s">
        <v>43</v>
      </c>
      <c r="C238" s="3" t="e">
        <f>IF(INDEX('Document Workflow'!M:M,MATCH(A238,'Document Workflow'!A:A,0))&lt;&gt;"",INDEX('Document Workflow'!M:M,MATCH(A238,'Document Workflow'!A:A,0)),"")</f>
        <v>#REF!</v>
      </c>
    </row>
    <row r="239" spans="1:3">
      <c r="A239" s="7" t="e">
        <f>IF('Document Workflow'!A238&lt;&gt;"",'Document Workflow'!A238,"")</f>
        <v>#REF!</v>
      </c>
      <c r="B239" s="2" t="s">
        <v>43</v>
      </c>
      <c r="C239" s="3" t="e">
        <f>IF(INDEX('Document Workflow'!M:M,MATCH(A239,'Document Workflow'!A:A,0))&lt;&gt;"",INDEX('Document Workflow'!M:M,MATCH(A239,'Document Workflow'!A:A,0)),"")</f>
        <v>#REF!</v>
      </c>
    </row>
    <row r="240" spans="1:3">
      <c r="A240" s="7" t="e">
        <f>IF('Document Workflow'!A239&lt;&gt;"",'Document Workflow'!A239,"")</f>
        <v>#REF!</v>
      </c>
      <c r="B240" s="2" t="s">
        <v>43</v>
      </c>
      <c r="C240" s="3" t="e">
        <f>IF(INDEX('Document Workflow'!M:M,MATCH(A240,'Document Workflow'!A:A,0))&lt;&gt;"",INDEX('Document Workflow'!M:M,MATCH(A240,'Document Workflow'!A:A,0)),"")</f>
        <v>#REF!</v>
      </c>
    </row>
    <row r="241" spans="1:3">
      <c r="A241" s="7" t="e">
        <f>IF('Document Workflow'!A240&lt;&gt;"",'Document Workflow'!A240,"")</f>
        <v>#REF!</v>
      </c>
      <c r="B241" s="2" t="s">
        <v>43</v>
      </c>
      <c r="C241" s="3" t="e">
        <f>IF(INDEX('Document Workflow'!M:M,MATCH(A241,'Document Workflow'!A:A,0))&lt;&gt;"",INDEX('Document Workflow'!M:M,MATCH(A241,'Document Workflow'!A:A,0)),"")</f>
        <v>#REF!</v>
      </c>
    </row>
    <row r="242" spans="1:3">
      <c r="A242" s="7" t="e">
        <f>IF('Document Workflow'!A241&lt;&gt;"",'Document Workflow'!A241,"")</f>
        <v>#REF!</v>
      </c>
      <c r="B242" s="2" t="s">
        <v>72</v>
      </c>
      <c r="C242" s="3" t="e">
        <f>IF(INDEX('Document Workflow'!M:M,MATCH(A242,'Document Workflow'!A:A,0))&lt;&gt;"",INDEX('Document Workflow'!M:M,MATCH(A242,'Document Workflow'!A:A,0)),"")</f>
        <v>#REF!</v>
      </c>
    </row>
    <row r="243" spans="1:3">
      <c r="A243" s="7" t="e">
        <f>IF('Document Workflow'!A242&lt;&gt;"",'Document Workflow'!A242,"")</f>
        <v>#REF!</v>
      </c>
      <c r="B243" s="2" t="s">
        <v>43</v>
      </c>
      <c r="C243" s="3" t="e">
        <f>IF(INDEX('Document Workflow'!M:M,MATCH(A243,'Document Workflow'!A:A,0))&lt;&gt;"",INDEX('Document Workflow'!M:M,MATCH(A243,'Document Workflow'!A:A,0)),"")</f>
        <v>#REF!</v>
      </c>
    </row>
    <row r="244" spans="1:3">
      <c r="A244" s="7" t="e">
        <f>IF('Document Workflow'!A243&lt;&gt;"",'Document Workflow'!A243,"")</f>
        <v>#REF!</v>
      </c>
      <c r="B244" s="2" t="s">
        <v>43</v>
      </c>
      <c r="C244" s="3" t="e">
        <f>IF(INDEX('Document Workflow'!M:M,MATCH(A244,'Document Workflow'!A:A,0))&lt;&gt;"",INDEX('Document Workflow'!M:M,MATCH(A244,'Document Workflow'!A:A,0)),"")</f>
        <v>#REF!</v>
      </c>
    </row>
    <row r="245" spans="1:3">
      <c r="A245" s="7" t="e">
        <f>IF('Document Workflow'!A244&lt;&gt;"",'Document Workflow'!A244,"")</f>
        <v>#REF!</v>
      </c>
      <c r="B245" s="2" t="s">
        <v>43</v>
      </c>
      <c r="C245" s="3" t="e">
        <f>IF(INDEX('Document Workflow'!M:M,MATCH(A245,'Document Workflow'!A:A,0))&lt;&gt;"",INDEX('Document Workflow'!M:M,MATCH(A245,'Document Workflow'!A:A,0)),"")</f>
        <v>#REF!</v>
      </c>
    </row>
    <row r="246" spans="1:3">
      <c r="A246" s="7" t="e">
        <f>IF('Document Workflow'!A245&lt;&gt;"",'Document Workflow'!A245,"")</f>
        <v>#REF!</v>
      </c>
      <c r="B246" s="2" t="s">
        <v>43</v>
      </c>
      <c r="C246" s="3" t="e">
        <f>IF(INDEX('Document Workflow'!M:M,MATCH(A246,'Document Workflow'!A:A,0))&lt;&gt;"",INDEX('Document Workflow'!M:M,MATCH(A246,'Document Workflow'!A:A,0)),"")</f>
        <v>#REF!</v>
      </c>
    </row>
    <row r="247" spans="1:3">
      <c r="A247" s="7" t="e">
        <f>IF('Document Workflow'!A246&lt;&gt;"",'Document Workflow'!A246,"")</f>
        <v>#REF!</v>
      </c>
      <c r="B247" s="2" t="s">
        <v>43</v>
      </c>
      <c r="C247" s="3" t="e">
        <f>IF(INDEX('Document Workflow'!M:M,MATCH(A247,'Document Workflow'!A:A,0))&lt;&gt;"",INDEX('Document Workflow'!M:M,MATCH(A247,'Document Workflow'!A:A,0)),"")</f>
        <v>#REF!</v>
      </c>
    </row>
    <row r="248" spans="1:3">
      <c r="A248" s="7" t="e">
        <f>IF('Document Workflow'!A247&lt;&gt;"",'Document Workflow'!A247,"")</f>
        <v>#REF!</v>
      </c>
      <c r="B248" s="2" t="s">
        <v>43</v>
      </c>
      <c r="C248" s="3" t="e">
        <f>IF(INDEX('Document Workflow'!M:M,MATCH(A248,'Document Workflow'!A:A,0))&lt;&gt;"",INDEX('Document Workflow'!M:M,MATCH(A248,'Document Workflow'!A:A,0)),"")</f>
        <v>#REF!</v>
      </c>
    </row>
    <row r="249" spans="1:3">
      <c r="A249" s="7" t="e">
        <f>IF('Document Workflow'!A248&lt;&gt;"",'Document Workflow'!A248,"")</f>
        <v>#REF!</v>
      </c>
      <c r="B249" s="2" t="s">
        <v>43</v>
      </c>
      <c r="C249" s="3" t="e">
        <f>IF(INDEX('Document Workflow'!M:M,MATCH(A249,'Document Workflow'!A:A,0))&lt;&gt;"",INDEX('Document Workflow'!M:M,MATCH(A249,'Document Workflow'!A:A,0)),"")</f>
        <v>#REF!</v>
      </c>
    </row>
    <row r="250" spans="1:3">
      <c r="A250" s="7" t="e">
        <f>IF('Document Workflow'!A249&lt;&gt;"",'Document Workflow'!A249,"")</f>
        <v>#REF!</v>
      </c>
      <c r="B250" s="2" t="s">
        <v>72</v>
      </c>
      <c r="C250" s="3" t="e">
        <f>IF(INDEX('Document Workflow'!M:M,MATCH(A250,'Document Workflow'!A:A,0))&lt;&gt;"",INDEX('Document Workflow'!M:M,MATCH(A250,'Document Workflow'!A:A,0)),"")</f>
        <v>#REF!</v>
      </c>
    </row>
    <row r="251" spans="1:3">
      <c r="A251" s="7" t="e">
        <f>IF('Document Workflow'!A250&lt;&gt;"",'Document Workflow'!A250,"")</f>
        <v>#REF!</v>
      </c>
      <c r="B251" s="2" t="s">
        <v>43</v>
      </c>
      <c r="C251" s="3" t="e">
        <f>IF(INDEX('Document Workflow'!M:M,MATCH(A251,'Document Workflow'!A:A,0))&lt;&gt;"",INDEX('Document Workflow'!M:M,MATCH(A251,'Document Workflow'!A:A,0)),"")</f>
        <v>#REF!</v>
      </c>
    </row>
    <row r="252" spans="1:3">
      <c r="A252" s="7" t="e">
        <f>IF('Document Workflow'!A251&lt;&gt;"",'Document Workflow'!A251,"")</f>
        <v>#REF!</v>
      </c>
      <c r="B252" s="2" t="s">
        <v>43</v>
      </c>
      <c r="C252" s="3" t="e">
        <f>IF(INDEX('Document Workflow'!M:M,MATCH(A252,'Document Workflow'!A:A,0))&lt;&gt;"",INDEX('Document Workflow'!M:M,MATCH(A252,'Document Workflow'!A:A,0)),"")</f>
        <v>#REF!</v>
      </c>
    </row>
    <row r="253" spans="1:3">
      <c r="A253" s="7" t="e">
        <f>IF('Document Workflow'!A252&lt;&gt;"",'Document Workflow'!A252,"")</f>
        <v>#REF!</v>
      </c>
      <c r="B253" s="2" t="s">
        <v>43</v>
      </c>
      <c r="C253" s="3" t="e">
        <f>IF(INDEX('Document Workflow'!M:M,MATCH(A253,'Document Workflow'!A:A,0))&lt;&gt;"",INDEX('Document Workflow'!M:M,MATCH(A253,'Document Workflow'!A:A,0)),"")</f>
        <v>#REF!</v>
      </c>
    </row>
    <row r="254" spans="1:3">
      <c r="A254" s="7" t="e">
        <f>IF('Document Workflow'!A253&lt;&gt;"",'Document Workflow'!A253,"")</f>
        <v>#REF!</v>
      </c>
      <c r="B254" s="2" t="s">
        <v>43</v>
      </c>
      <c r="C254" s="3" t="e">
        <f>IF(INDEX('Document Workflow'!M:M,MATCH(A254,'Document Workflow'!A:A,0))&lt;&gt;"",INDEX('Document Workflow'!M:M,MATCH(A254,'Document Workflow'!A:A,0)),"")</f>
        <v>#REF!</v>
      </c>
    </row>
    <row r="255" spans="1:3">
      <c r="A255" s="7" t="e">
        <f>IF('Document Workflow'!A254&lt;&gt;"",'Document Workflow'!A254,"")</f>
        <v>#REF!</v>
      </c>
      <c r="B255" s="2" t="s">
        <v>43</v>
      </c>
      <c r="C255" s="3" t="e">
        <f>IF(INDEX('Document Workflow'!M:M,MATCH(A255,'Document Workflow'!A:A,0))&lt;&gt;"",INDEX('Document Workflow'!M:M,MATCH(A255,'Document Workflow'!A:A,0)),"")</f>
        <v>#REF!</v>
      </c>
    </row>
    <row r="256" spans="1:3">
      <c r="A256" s="7" t="e">
        <f>IF('Document Workflow'!A255&lt;&gt;"",'Document Workflow'!A255,"")</f>
        <v>#REF!</v>
      </c>
      <c r="B256" s="2" t="s">
        <v>43</v>
      </c>
      <c r="C256" s="3" t="e">
        <f>IF(INDEX('Document Workflow'!M:M,MATCH(A256,'Document Workflow'!A:A,0))&lt;&gt;"",INDEX('Document Workflow'!M:M,MATCH(A256,'Document Workflow'!A:A,0)),"")</f>
        <v>#REF!</v>
      </c>
    </row>
    <row r="257" spans="1:3">
      <c r="A257" s="7" t="e">
        <f>IF('Document Workflow'!A256&lt;&gt;"",'Document Workflow'!A256,"")</f>
        <v>#REF!</v>
      </c>
      <c r="B257" s="2" t="s">
        <v>43</v>
      </c>
      <c r="C257" s="3" t="e">
        <f>IF(INDEX('Document Workflow'!M:M,MATCH(A257,'Document Workflow'!A:A,0))&lt;&gt;"",INDEX('Document Workflow'!M:M,MATCH(A257,'Document Workflow'!A:A,0)),"")</f>
        <v>#REF!</v>
      </c>
    </row>
    <row r="258" spans="1:3">
      <c r="A258" s="7" t="e">
        <f>IF('Document Workflow'!A257&lt;&gt;"",'Document Workflow'!A257,"")</f>
        <v>#REF!</v>
      </c>
      <c r="B258" s="2" t="s">
        <v>43</v>
      </c>
      <c r="C258" s="3" t="e">
        <f>IF(INDEX('Document Workflow'!M:M,MATCH(A258,'Document Workflow'!A:A,0))&lt;&gt;"",INDEX('Document Workflow'!M:M,MATCH(A258,'Document Workflow'!A:A,0)),"")</f>
        <v>#REF!</v>
      </c>
    </row>
    <row r="259" spans="1:3">
      <c r="A259" s="7" t="e">
        <f>IF('Document Workflow'!A258&lt;&gt;"",'Document Workflow'!A258,"")</f>
        <v>#REF!</v>
      </c>
      <c r="B259" s="2" t="s">
        <v>43</v>
      </c>
      <c r="C259" s="3" t="e">
        <f>IF(INDEX('Document Workflow'!M:M,MATCH(A259,'Document Workflow'!A:A,0))&lt;&gt;"",INDEX('Document Workflow'!M:M,MATCH(A259,'Document Workflow'!A:A,0)),"")</f>
        <v>#REF!</v>
      </c>
    </row>
    <row r="260" spans="1:3">
      <c r="A260" s="7" t="e">
        <f>IF('Document Workflow'!A259&lt;&gt;"",'Document Workflow'!A259,"")</f>
        <v>#REF!</v>
      </c>
      <c r="B260" s="2" t="s">
        <v>72</v>
      </c>
      <c r="C260" s="3" t="e">
        <f>IF(INDEX('Document Workflow'!M:M,MATCH(A260,'Document Workflow'!A:A,0))&lt;&gt;"",INDEX('Document Workflow'!M:M,MATCH(A260,'Document Workflow'!A:A,0)),"")</f>
        <v>#REF!</v>
      </c>
    </row>
    <row r="261" spans="1:3">
      <c r="A261" s="7" t="e">
        <f>IF('Document Workflow'!A260&lt;&gt;"",'Document Workflow'!A260,"")</f>
        <v>#REF!</v>
      </c>
      <c r="B261" s="2" t="s">
        <v>72</v>
      </c>
      <c r="C261" s="3" t="e">
        <f>IF(INDEX('Document Workflow'!M:M,MATCH(A261,'Document Workflow'!A:A,0))&lt;&gt;"",INDEX('Document Workflow'!M:M,MATCH(A261,'Document Workflow'!A:A,0)),"")</f>
        <v>#REF!</v>
      </c>
    </row>
    <row r="262" spans="1:3">
      <c r="A262" s="7" t="e">
        <f>IF('Document Workflow'!A261&lt;&gt;"",'Document Workflow'!A261,"")</f>
        <v>#REF!</v>
      </c>
      <c r="B262" s="2" t="s">
        <v>72</v>
      </c>
      <c r="C262" s="3" t="e">
        <f>IF(INDEX('Document Workflow'!M:M,MATCH(A262,'Document Workflow'!A:A,0))&lt;&gt;"",INDEX('Document Workflow'!M:M,MATCH(A262,'Document Workflow'!A:A,0)),"")</f>
        <v>#REF!</v>
      </c>
    </row>
    <row r="263" spans="1:3">
      <c r="A263" s="7" t="e">
        <f>IF('Document Workflow'!A262&lt;&gt;"",'Document Workflow'!A262,"")</f>
        <v>#REF!</v>
      </c>
      <c r="B263" s="2" t="s">
        <v>43</v>
      </c>
      <c r="C263" s="3" t="e">
        <f>IF(INDEX('Document Workflow'!M:M,MATCH(A263,'Document Workflow'!A:A,0))&lt;&gt;"",INDEX('Document Workflow'!M:M,MATCH(A263,'Document Workflow'!A:A,0)),"")</f>
        <v>#REF!</v>
      </c>
    </row>
    <row r="264" spans="1:3">
      <c r="A264" s="7" t="e">
        <f>IF('Document Workflow'!A263&lt;&gt;"",'Document Workflow'!A263,"")</f>
        <v>#REF!</v>
      </c>
      <c r="B264" s="2" t="s">
        <v>43</v>
      </c>
      <c r="C264" s="3" t="e">
        <f>IF(INDEX('Document Workflow'!M:M,MATCH(A264,'Document Workflow'!A:A,0))&lt;&gt;"",INDEX('Document Workflow'!M:M,MATCH(A264,'Document Workflow'!A:A,0)),"")</f>
        <v>#REF!</v>
      </c>
    </row>
    <row r="265" spans="1:3">
      <c r="A265" s="7" t="e">
        <f>IF('Document Workflow'!A264&lt;&gt;"",'Document Workflow'!A264,"")</f>
        <v>#REF!</v>
      </c>
      <c r="B265" s="2" t="s">
        <v>72</v>
      </c>
      <c r="C265" s="3" t="e">
        <f>IF(INDEX('Document Workflow'!M:M,MATCH(A265,'Document Workflow'!A:A,0))&lt;&gt;"",INDEX('Document Workflow'!M:M,MATCH(A265,'Document Workflow'!A:A,0)),"")</f>
        <v>#REF!</v>
      </c>
    </row>
    <row r="266" spans="1:3">
      <c r="A266" s="7" t="e">
        <f>IF('Document Workflow'!A265&lt;&gt;"",'Document Workflow'!A265,"")</f>
        <v>#REF!</v>
      </c>
      <c r="B266" s="2" t="s">
        <v>43</v>
      </c>
      <c r="C266" s="3" t="e">
        <f>IF(INDEX('Document Workflow'!M:M,MATCH(A266,'Document Workflow'!A:A,0))&lt;&gt;"",INDEX('Document Workflow'!M:M,MATCH(A266,'Document Workflow'!A:A,0)),"")</f>
        <v>#REF!</v>
      </c>
    </row>
    <row r="267" spans="1:3">
      <c r="A267" s="7" t="e">
        <f>IF('Document Workflow'!A266&lt;&gt;"",'Document Workflow'!A266,"")</f>
        <v>#REF!</v>
      </c>
      <c r="B267" s="2" t="s">
        <v>43</v>
      </c>
      <c r="C267" s="3" t="e">
        <f>IF(INDEX('Document Workflow'!M:M,MATCH(A267,'Document Workflow'!A:A,0))&lt;&gt;"",INDEX('Document Workflow'!M:M,MATCH(A267,'Document Workflow'!A:A,0)),"")</f>
        <v>#REF!</v>
      </c>
    </row>
    <row r="268" spans="1:3">
      <c r="A268" s="7" t="e">
        <f>IF('Document Workflow'!A267&lt;&gt;"",'Document Workflow'!A267,"")</f>
        <v>#REF!</v>
      </c>
      <c r="B268" s="2" t="s">
        <v>43</v>
      </c>
      <c r="C268" s="3" t="e">
        <f>IF(INDEX('Document Workflow'!M:M,MATCH(A268,'Document Workflow'!A:A,0))&lt;&gt;"",INDEX('Document Workflow'!M:M,MATCH(A268,'Document Workflow'!A:A,0)),"")</f>
        <v>#REF!</v>
      </c>
    </row>
    <row r="269" spans="1:3">
      <c r="A269" s="7" t="e">
        <f>IF('Document Workflow'!A268&lt;&gt;"",'Document Workflow'!A268,"")</f>
        <v>#REF!</v>
      </c>
      <c r="B269" s="2" t="s">
        <v>43</v>
      </c>
      <c r="C269" s="3" t="e">
        <f>IF(INDEX('Document Workflow'!M:M,MATCH(A269,'Document Workflow'!A:A,0))&lt;&gt;"",INDEX('Document Workflow'!M:M,MATCH(A269,'Document Workflow'!A:A,0)),"")</f>
        <v>#REF!</v>
      </c>
    </row>
    <row r="270" spans="1:3">
      <c r="A270" s="7" t="e">
        <f>IF('Document Workflow'!A269&lt;&gt;"",'Document Workflow'!A269,"")</f>
        <v>#REF!</v>
      </c>
      <c r="B270" s="2" t="s">
        <v>43</v>
      </c>
      <c r="C270" s="3" t="e">
        <f>IF(INDEX('Document Workflow'!M:M,MATCH(A270,'Document Workflow'!A:A,0))&lt;&gt;"",INDEX('Document Workflow'!M:M,MATCH(A270,'Document Workflow'!A:A,0)),"")</f>
        <v>#REF!</v>
      </c>
    </row>
    <row r="271" spans="1:3">
      <c r="A271" s="7" t="e">
        <f>IF('Document Workflow'!A270&lt;&gt;"",'Document Workflow'!A270,"")</f>
        <v>#REF!</v>
      </c>
      <c r="B271" s="2" t="s">
        <v>43</v>
      </c>
      <c r="C271" s="3" t="e">
        <f>IF(INDEX('Document Workflow'!M:M,MATCH(A271,'Document Workflow'!A:A,0))&lt;&gt;"",INDEX('Document Workflow'!M:M,MATCH(A271,'Document Workflow'!A:A,0)),"")</f>
        <v>#REF!</v>
      </c>
    </row>
    <row r="272" spans="1:3">
      <c r="A272" s="7" t="e">
        <f>IF('Document Workflow'!A271&lt;&gt;"",'Document Workflow'!A271,"")</f>
        <v>#REF!</v>
      </c>
      <c r="B272" s="2" t="s">
        <v>43</v>
      </c>
      <c r="C272" s="3" t="e">
        <f>IF(INDEX('Document Workflow'!M:M,MATCH(A272,'Document Workflow'!A:A,0))&lt;&gt;"",INDEX('Document Workflow'!M:M,MATCH(A272,'Document Workflow'!A:A,0)),"")</f>
        <v>#REF!</v>
      </c>
    </row>
    <row r="273" spans="1:3">
      <c r="A273" s="7" t="e">
        <f>IF('Document Workflow'!A272&lt;&gt;"",'Document Workflow'!A272,"")</f>
        <v>#REF!</v>
      </c>
      <c r="B273" s="2" t="s">
        <v>43</v>
      </c>
      <c r="C273" s="3" t="e">
        <f>IF(INDEX('Document Workflow'!M:M,MATCH(A273,'Document Workflow'!A:A,0))&lt;&gt;"",INDEX('Document Workflow'!M:M,MATCH(A273,'Document Workflow'!A:A,0)),"")</f>
        <v>#REF!</v>
      </c>
    </row>
    <row r="274" spans="1:3">
      <c r="A274" s="7" t="e">
        <f>IF('Document Workflow'!A273&lt;&gt;"",'Document Workflow'!A273,"")</f>
        <v>#REF!</v>
      </c>
      <c r="B274" s="2" t="s">
        <v>72</v>
      </c>
      <c r="C274" s="3" t="e">
        <f>IF(INDEX('Document Workflow'!M:M,MATCH(A274,'Document Workflow'!A:A,0))&lt;&gt;"",INDEX('Document Workflow'!M:M,MATCH(A274,'Document Workflow'!A:A,0)),"")</f>
        <v>#REF!</v>
      </c>
    </row>
    <row r="275" spans="1:3">
      <c r="A275" s="7" t="e">
        <f>IF('Document Workflow'!A274&lt;&gt;"",'Document Workflow'!A274,"")</f>
        <v>#REF!</v>
      </c>
      <c r="B275" s="2" t="s">
        <v>72</v>
      </c>
      <c r="C275" s="3" t="e">
        <f>IF(INDEX('Document Workflow'!M:M,MATCH(A275,'Document Workflow'!A:A,0))&lt;&gt;"",INDEX('Document Workflow'!M:M,MATCH(A275,'Document Workflow'!A:A,0)),"")</f>
        <v>#REF!</v>
      </c>
    </row>
    <row r="276" spans="1:3">
      <c r="A276" s="7" t="e">
        <f>IF('Document Workflow'!A275&lt;&gt;"",'Document Workflow'!A275,"")</f>
        <v>#REF!</v>
      </c>
      <c r="B276" s="2" t="s">
        <v>43</v>
      </c>
      <c r="C276" s="3" t="e">
        <f>IF(INDEX('Document Workflow'!M:M,MATCH(A276,'Document Workflow'!A:A,0))&lt;&gt;"",INDEX('Document Workflow'!M:M,MATCH(A276,'Document Workflow'!A:A,0)),"")</f>
        <v>#REF!</v>
      </c>
    </row>
    <row r="277" spans="1:3">
      <c r="A277" s="7" t="e">
        <f>IF('Document Workflow'!A276&lt;&gt;"",'Document Workflow'!A276,"")</f>
        <v>#REF!</v>
      </c>
      <c r="B277" s="2" t="s">
        <v>43</v>
      </c>
      <c r="C277" s="3" t="e">
        <f>IF(INDEX('Document Workflow'!M:M,MATCH(A277,'Document Workflow'!A:A,0))&lt;&gt;"",INDEX('Document Workflow'!M:M,MATCH(A277,'Document Workflow'!A:A,0)),"")</f>
        <v>#REF!</v>
      </c>
    </row>
    <row r="278" spans="1:3">
      <c r="A278" s="7" t="e">
        <f>IF('Document Workflow'!A277&lt;&gt;"",'Document Workflow'!A277,"")</f>
        <v>#REF!</v>
      </c>
      <c r="B278" s="2" t="s">
        <v>43</v>
      </c>
      <c r="C278" s="3" t="e">
        <f>IF(INDEX('Document Workflow'!M:M,MATCH(A278,'Document Workflow'!A:A,0))&lt;&gt;"",INDEX('Document Workflow'!M:M,MATCH(A278,'Document Workflow'!A:A,0)),"")</f>
        <v>#REF!</v>
      </c>
    </row>
    <row r="279" spans="1:3">
      <c r="A279" s="7" t="e">
        <f>IF('Document Workflow'!A278&lt;&gt;"",'Document Workflow'!A278,"")</f>
        <v>#REF!</v>
      </c>
      <c r="B279" s="2" t="s">
        <v>43</v>
      </c>
      <c r="C279" s="3" t="e">
        <f>IF(INDEX('Document Workflow'!M:M,MATCH(A279,'Document Workflow'!A:A,0))&lt;&gt;"",INDEX('Document Workflow'!M:M,MATCH(A279,'Document Workflow'!A:A,0)),"")</f>
        <v>#REF!</v>
      </c>
    </row>
    <row r="280" spans="1:3">
      <c r="A280" s="7" t="e">
        <f>IF('Document Workflow'!A279&lt;&gt;"",'Document Workflow'!A279,"")</f>
        <v>#REF!</v>
      </c>
      <c r="B280" s="2" t="s">
        <v>43</v>
      </c>
      <c r="C280" s="3" t="e">
        <f>IF(INDEX('Document Workflow'!M:M,MATCH(A280,'Document Workflow'!A:A,0))&lt;&gt;"",INDEX('Document Workflow'!M:M,MATCH(A280,'Document Workflow'!A:A,0)),"")</f>
        <v>#REF!</v>
      </c>
    </row>
    <row r="281" spans="1:3">
      <c r="A281" s="7" t="e">
        <f>IF('Document Workflow'!A280&lt;&gt;"",'Document Workflow'!A280,"")</f>
        <v>#REF!</v>
      </c>
      <c r="B281" s="2" t="s">
        <v>43</v>
      </c>
      <c r="C281" s="3" t="e">
        <f>IF(INDEX('Document Workflow'!M:M,MATCH(A281,'Document Workflow'!A:A,0))&lt;&gt;"",INDEX('Document Workflow'!M:M,MATCH(A281,'Document Workflow'!A:A,0)),"")</f>
        <v>#REF!</v>
      </c>
    </row>
    <row r="282" spans="1:3">
      <c r="A282" s="7" t="e">
        <f>IF('Document Workflow'!A281&lt;&gt;"",'Document Workflow'!A281,"")</f>
        <v>#REF!</v>
      </c>
      <c r="B282" s="2" t="s">
        <v>43</v>
      </c>
      <c r="C282" s="3" t="e">
        <f>IF(INDEX('Document Workflow'!M:M,MATCH(A282,'Document Workflow'!A:A,0))&lt;&gt;"",INDEX('Document Workflow'!M:M,MATCH(A282,'Document Workflow'!A:A,0)),"")</f>
        <v>#REF!</v>
      </c>
    </row>
    <row r="283" spans="1:3">
      <c r="A283" s="7" t="e">
        <f>IF('Document Workflow'!A282&lt;&gt;"",'Document Workflow'!A282,"")</f>
        <v>#REF!</v>
      </c>
      <c r="B283" s="2" t="s">
        <v>43</v>
      </c>
      <c r="C283" s="3" t="e">
        <f>IF(INDEX('Document Workflow'!M:M,MATCH(A283,'Document Workflow'!A:A,0))&lt;&gt;"",INDEX('Document Workflow'!M:M,MATCH(A283,'Document Workflow'!A:A,0)),"")</f>
        <v>#REF!</v>
      </c>
    </row>
    <row r="284" spans="1:3">
      <c r="A284" s="7" t="e">
        <f>IF('Document Workflow'!A283&lt;&gt;"",'Document Workflow'!A283,"")</f>
        <v>#REF!</v>
      </c>
      <c r="B284" s="2" t="s">
        <v>43</v>
      </c>
      <c r="C284" s="3" t="e">
        <f>IF(INDEX('Document Workflow'!M:M,MATCH(A284,'Document Workflow'!A:A,0))&lt;&gt;"",INDEX('Document Workflow'!M:M,MATCH(A284,'Document Workflow'!A:A,0)),"")</f>
        <v>#REF!</v>
      </c>
    </row>
    <row r="285" spans="1:3">
      <c r="A285" s="7" t="e">
        <f>IF('Document Workflow'!A284&lt;&gt;"",'Document Workflow'!A284,"")</f>
        <v>#REF!</v>
      </c>
      <c r="B285" s="2" t="s">
        <v>43</v>
      </c>
      <c r="C285" s="3" t="e">
        <f>IF(INDEX('Document Workflow'!M:M,MATCH(A285,'Document Workflow'!A:A,0))&lt;&gt;"",INDEX('Document Workflow'!M:M,MATCH(A285,'Document Workflow'!A:A,0)),"")</f>
        <v>#REF!</v>
      </c>
    </row>
    <row r="286" spans="1:3">
      <c r="A286" s="7" t="e">
        <f>IF('Document Workflow'!A285&lt;&gt;"",'Document Workflow'!A285,"")</f>
        <v>#REF!</v>
      </c>
      <c r="B286" s="2" t="s">
        <v>72</v>
      </c>
      <c r="C286" s="3" t="e">
        <f>IF(INDEX('Document Workflow'!M:M,MATCH(A286,'Document Workflow'!A:A,0))&lt;&gt;"",INDEX('Document Workflow'!M:M,MATCH(A286,'Document Workflow'!A:A,0)),"")</f>
        <v>#REF!</v>
      </c>
    </row>
    <row r="287" spans="1:3">
      <c r="A287" s="7" t="e">
        <f>IF('Document Workflow'!A286&lt;&gt;"",'Document Workflow'!A286,"")</f>
        <v>#REF!</v>
      </c>
      <c r="B287" s="2" t="s">
        <v>72</v>
      </c>
      <c r="C287" s="3" t="e">
        <f>IF(INDEX('Document Workflow'!M:M,MATCH(A287,'Document Workflow'!A:A,0))&lt;&gt;"",INDEX('Document Workflow'!M:M,MATCH(A287,'Document Workflow'!A:A,0)),"")</f>
        <v>#REF!</v>
      </c>
    </row>
    <row r="288" spans="1:3">
      <c r="A288" s="7" t="e">
        <f>IF('Document Workflow'!A287&lt;&gt;"",'Document Workflow'!A287,"")</f>
        <v>#REF!</v>
      </c>
      <c r="B288" s="2" t="s">
        <v>43</v>
      </c>
      <c r="C288" s="3" t="e">
        <f>IF(INDEX('Document Workflow'!M:M,MATCH(A288,'Document Workflow'!A:A,0))&lt;&gt;"",INDEX('Document Workflow'!M:M,MATCH(A288,'Document Workflow'!A:A,0)),"")</f>
        <v>#REF!</v>
      </c>
    </row>
    <row r="289" spans="1:3">
      <c r="A289" s="7" t="e">
        <f>IF('Document Workflow'!A288&lt;&gt;"",'Document Workflow'!A288,"")</f>
        <v>#REF!</v>
      </c>
      <c r="B289" s="2" t="s">
        <v>43</v>
      </c>
      <c r="C289" s="3" t="e">
        <f>IF(INDEX('Document Workflow'!M:M,MATCH(A289,'Document Workflow'!A:A,0))&lt;&gt;"",INDEX('Document Workflow'!M:M,MATCH(A289,'Document Workflow'!A:A,0)),"")</f>
        <v>#REF!</v>
      </c>
    </row>
    <row r="290" spans="1:3">
      <c r="A290" s="7" t="e">
        <f>IF('Document Workflow'!A289&lt;&gt;"",'Document Workflow'!A289,"")</f>
        <v>#REF!</v>
      </c>
      <c r="B290" s="2" t="s">
        <v>43</v>
      </c>
      <c r="C290" s="3" t="e">
        <f>IF(INDEX('Document Workflow'!M:M,MATCH(A290,'Document Workflow'!A:A,0))&lt;&gt;"",INDEX('Document Workflow'!M:M,MATCH(A290,'Document Workflow'!A:A,0)),"")</f>
        <v>#REF!</v>
      </c>
    </row>
    <row r="291" spans="1:3">
      <c r="A291" s="7" t="e">
        <f>IF('Document Workflow'!A290&lt;&gt;"",'Document Workflow'!A290,"")</f>
        <v>#REF!</v>
      </c>
      <c r="B291" s="2" t="s">
        <v>43</v>
      </c>
      <c r="C291" s="3" t="e">
        <f>IF(INDEX('Document Workflow'!M:M,MATCH(A291,'Document Workflow'!A:A,0))&lt;&gt;"",INDEX('Document Workflow'!M:M,MATCH(A291,'Document Workflow'!A:A,0)),"")</f>
        <v>#REF!</v>
      </c>
    </row>
    <row r="292" spans="1:3">
      <c r="A292" s="7" t="e">
        <f>IF('Document Workflow'!A291&lt;&gt;"",'Document Workflow'!A291,"")</f>
        <v>#REF!</v>
      </c>
      <c r="B292" s="2" t="s">
        <v>72</v>
      </c>
      <c r="C292" s="3" t="e">
        <f>IF(INDEX('Document Workflow'!M:M,MATCH(A292,'Document Workflow'!A:A,0))&lt;&gt;"",INDEX('Document Workflow'!M:M,MATCH(A292,'Document Workflow'!A:A,0)),"")</f>
        <v>#REF!</v>
      </c>
    </row>
    <row r="293" spans="1:3">
      <c r="A293" s="7" t="e">
        <f>IF('Document Workflow'!A292&lt;&gt;"",'Document Workflow'!A292,"")</f>
        <v>#REF!</v>
      </c>
      <c r="B293" s="2" t="s">
        <v>72</v>
      </c>
      <c r="C293" s="3" t="e">
        <f>IF(INDEX('Document Workflow'!M:M,MATCH(A293,'Document Workflow'!A:A,0))&lt;&gt;"",INDEX('Document Workflow'!M:M,MATCH(A293,'Document Workflow'!A:A,0)),"")</f>
        <v>#REF!</v>
      </c>
    </row>
    <row r="294" spans="1:3">
      <c r="A294" s="7" t="e">
        <f>IF('Document Workflow'!A293&lt;&gt;"",'Document Workflow'!A293,"")</f>
        <v>#REF!</v>
      </c>
      <c r="B294" s="2" t="s">
        <v>43</v>
      </c>
      <c r="C294" s="3" t="e">
        <f>IF(INDEX('Document Workflow'!M:M,MATCH(A294,'Document Workflow'!A:A,0))&lt;&gt;"",INDEX('Document Workflow'!M:M,MATCH(A294,'Document Workflow'!A:A,0)),"")</f>
        <v>#REF!</v>
      </c>
    </row>
    <row r="295" spans="1:3">
      <c r="A295" s="7" t="e">
        <f>IF('Document Workflow'!A294&lt;&gt;"",'Document Workflow'!A294,"")</f>
        <v>#REF!</v>
      </c>
      <c r="B295" s="2" t="s">
        <v>72</v>
      </c>
      <c r="C295" s="3" t="e">
        <f>IF(INDEX('Document Workflow'!M:M,MATCH(A295,'Document Workflow'!A:A,0))&lt;&gt;"",INDEX('Document Workflow'!M:M,MATCH(A295,'Document Workflow'!A:A,0)),"")</f>
        <v>#REF!</v>
      </c>
    </row>
    <row r="296" spans="1:3">
      <c r="A296" s="7" t="e">
        <f>IF('Document Workflow'!A295&lt;&gt;"",'Document Workflow'!A295,"")</f>
        <v>#REF!</v>
      </c>
      <c r="B296" s="2" t="s">
        <v>43</v>
      </c>
      <c r="C296" s="3" t="e">
        <f>IF(INDEX('Document Workflow'!M:M,MATCH(A296,'Document Workflow'!A:A,0))&lt;&gt;"",INDEX('Document Workflow'!M:M,MATCH(A296,'Document Workflow'!A:A,0)),"")</f>
        <v>#REF!</v>
      </c>
    </row>
    <row r="297" spans="1:3">
      <c r="A297" s="7" t="e">
        <f>IF('Document Workflow'!A296&lt;&gt;"",'Document Workflow'!A296,"")</f>
        <v>#REF!</v>
      </c>
      <c r="B297" s="2" t="s">
        <v>43</v>
      </c>
      <c r="C297" s="3" t="e">
        <f>IF(INDEX('Document Workflow'!M:M,MATCH(A297,'Document Workflow'!A:A,0))&lt;&gt;"",INDEX('Document Workflow'!M:M,MATCH(A297,'Document Workflow'!A:A,0)),"")</f>
        <v>#REF!</v>
      </c>
    </row>
    <row r="298" spans="1:3">
      <c r="A298" s="7" t="e">
        <f>IF('Document Workflow'!A297&lt;&gt;"",'Document Workflow'!A297,"")</f>
        <v>#REF!</v>
      </c>
      <c r="B298" s="2" t="s">
        <v>43</v>
      </c>
      <c r="C298" s="3" t="e">
        <f>IF(INDEX('Document Workflow'!M:M,MATCH(A298,'Document Workflow'!A:A,0))&lt;&gt;"",INDEX('Document Workflow'!M:M,MATCH(A298,'Document Workflow'!A:A,0)),"")</f>
        <v>#REF!</v>
      </c>
    </row>
    <row r="299" spans="1:3">
      <c r="A299" s="7" t="e">
        <f>IF('Document Workflow'!A298&lt;&gt;"",'Document Workflow'!A298,"")</f>
        <v>#REF!</v>
      </c>
      <c r="B299" s="2" t="s">
        <v>43</v>
      </c>
      <c r="C299" s="3" t="e">
        <f>IF(INDEX('Document Workflow'!M:M,MATCH(A299,'Document Workflow'!A:A,0))&lt;&gt;"",INDEX('Document Workflow'!M:M,MATCH(A299,'Document Workflow'!A:A,0)),"")</f>
        <v>#REF!</v>
      </c>
    </row>
    <row r="300" spans="1:3">
      <c r="A300" s="7" t="e">
        <f>IF('Document Workflow'!A299&lt;&gt;"",'Document Workflow'!A299,"")</f>
        <v>#REF!</v>
      </c>
      <c r="B300" s="2" t="s">
        <v>43</v>
      </c>
      <c r="C300" s="3" t="e">
        <f>IF(INDEX('Document Workflow'!M:M,MATCH(A300,'Document Workflow'!A:A,0))&lt;&gt;"",INDEX('Document Workflow'!M:M,MATCH(A300,'Document Workflow'!A:A,0)),"")</f>
        <v>#REF!</v>
      </c>
    </row>
    <row r="301" spans="1:3">
      <c r="A301" s="7" t="e">
        <f>IF('Document Workflow'!A300&lt;&gt;"",'Document Workflow'!A300,"")</f>
        <v>#REF!</v>
      </c>
      <c r="B301" s="2" t="s">
        <v>43</v>
      </c>
      <c r="C301" s="3" t="e">
        <f>IF(INDEX('Document Workflow'!M:M,MATCH(A301,'Document Workflow'!A:A,0))&lt;&gt;"",INDEX('Document Workflow'!M:M,MATCH(A301,'Document Workflow'!A:A,0)),"")</f>
        <v>#REF!</v>
      </c>
    </row>
    <row r="302" spans="1:3">
      <c r="A302" s="7" t="e">
        <f>IF('Document Workflow'!A301&lt;&gt;"",'Document Workflow'!A301,"")</f>
        <v>#REF!</v>
      </c>
      <c r="B302" s="2" t="s">
        <v>43</v>
      </c>
      <c r="C302" s="3" t="e">
        <f>IF(INDEX('Document Workflow'!M:M,MATCH(A302,'Document Workflow'!A:A,0))&lt;&gt;"",INDEX('Document Workflow'!M:M,MATCH(A302,'Document Workflow'!A:A,0)),"")</f>
        <v>#REF!</v>
      </c>
    </row>
    <row r="303" spans="1:3">
      <c r="A303" s="7" t="e">
        <f>IF('Document Workflow'!A302&lt;&gt;"",'Document Workflow'!A302,"")</f>
        <v>#REF!</v>
      </c>
      <c r="B303" s="2" t="s">
        <v>43</v>
      </c>
      <c r="C303" s="3" t="e">
        <f>IF(INDEX('Document Workflow'!M:M,MATCH(A303,'Document Workflow'!A:A,0))&lt;&gt;"",INDEX('Document Workflow'!M:M,MATCH(A303,'Document Workflow'!A:A,0)),"")</f>
        <v>#REF!</v>
      </c>
    </row>
    <row r="304" spans="1:3">
      <c r="A304" s="7" t="e">
        <f>IF('Document Workflow'!A303&lt;&gt;"",'Document Workflow'!A303,"")</f>
        <v>#REF!</v>
      </c>
      <c r="B304" s="2" t="s">
        <v>43</v>
      </c>
      <c r="C304" s="3" t="e">
        <f>IF(INDEX('Document Workflow'!M:M,MATCH(A304,'Document Workflow'!A:A,0))&lt;&gt;"",INDEX('Document Workflow'!M:M,MATCH(A304,'Document Workflow'!A:A,0)),"")</f>
        <v>#REF!</v>
      </c>
    </row>
    <row r="305" spans="1:3">
      <c r="A305" s="7" t="e">
        <f>IF('Document Workflow'!A304&lt;&gt;"",'Document Workflow'!A304,"")</f>
        <v>#REF!</v>
      </c>
      <c r="B305" s="2" t="s">
        <v>43</v>
      </c>
      <c r="C305" s="3" t="e">
        <f>IF(INDEX('Document Workflow'!M:M,MATCH(A305,'Document Workflow'!A:A,0))&lt;&gt;"",INDEX('Document Workflow'!M:M,MATCH(A305,'Document Workflow'!A:A,0)),"")</f>
        <v>#REF!</v>
      </c>
    </row>
    <row r="306" spans="1:3">
      <c r="A306" s="7" t="e">
        <f>IF('Document Workflow'!A305&lt;&gt;"",'Document Workflow'!A305,"")</f>
        <v>#REF!</v>
      </c>
      <c r="B306" s="2" t="s">
        <v>72</v>
      </c>
      <c r="C306" s="3" t="e">
        <f>IF(INDEX('Document Workflow'!M:M,MATCH(A306,'Document Workflow'!A:A,0))&lt;&gt;"",INDEX('Document Workflow'!M:M,MATCH(A306,'Document Workflow'!A:A,0)),"")</f>
        <v>#REF!</v>
      </c>
    </row>
    <row r="307" spans="1:3">
      <c r="A307" s="7" t="e">
        <f>IF('Document Workflow'!A306&lt;&gt;"",'Document Workflow'!A306,"")</f>
        <v>#REF!</v>
      </c>
      <c r="B307" s="2" t="s">
        <v>43</v>
      </c>
      <c r="C307" s="3" t="e">
        <f>IF(INDEX('Document Workflow'!M:M,MATCH(A307,'Document Workflow'!A:A,0))&lt;&gt;"",INDEX('Document Workflow'!M:M,MATCH(A307,'Document Workflow'!A:A,0)),"")</f>
        <v>#REF!</v>
      </c>
    </row>
    <row r="308" spans="1:3">
      <c r="A308" s="7" t="e">
        <f>IF('Document Workflow'!A307&lt;&gt;"",'Document Workflow'!A307,"")</f>
        <v>#REF!</v>
      </c>
      <c r="B308" s="2" t="s">
        <v>43</v>
      </c>
      <c r="C308" s="3" t="e">
        <f>IF(INDEX('Document Workflow'!M:M,MATCH(A308,'Document Workflow'!A:A,0))&lt;&gt;"",INDEX('Document Workflow'!M:M,MATCH(A308,'Document Workflow'!A:A,0)),"")</f>
        <v>#REF!</v>
      </c>
    </row>
    <row r="309" spans="1:3">
      <c r="A309" s="7" t="e">
        <f>IF('Document Workflow'!A308&lt;&gt;"",'Document Workflow'!A308,"")</f>
        <v>#REF!</v>
      </c>
      <c r="B309" s="2" t="s">
        <v>43</v>
      </c>
      <c r="C309" s="3" t="e">
        <f>IF(INDEX('Document Workflow'!M:M,MATCH(A309,'Document Workflow'!A:A,0))&lt;&gt;"",INDEX('Document Workflow'!M:M,MATCH(A309,'Document Workflow'!A:A,0)),"")</f>
        <v>#REF!</v>
      </c>
    </row>
    <row r="310" spans="1:3">
      <c r="A310" s="7" t="e">
        <f>IF('Document Workflow'!A309&lt;&gt;"",'Document Workflow'!A309,"")</f>
        <v>#REF!</v>
      </c>
      <c r="B310" s="2" t="s">
        <v>43</v>
      </c>
      <c r="C310" s="3" t="e">
        <f>IF(INDEX('Document Workflow'!M:M,MATCH(A310,'Document Workflow'!A:A,0))&lt;&gt;"",INDEX('Document Workflow'!M:M,MATCH(A310,'Document Workflow'!A:A,0)),"")</f>
        <v>#REF!</v>
      </c>
    </row>
    <row r="311" spans="1:3">
      <c r="A311" s="7" t="e">
        <f>IF('Document Workflow'!A310&lt;&gt;"",'Document Workflow'!A310,"")</f>
        <v>#REF!</v>
      </c>
      <c r="B311" s="2" t="s">
        <v>43</v>
      </c>
      <c r="C311" s="3" t="e">
        <f>IF(INDEX('Document Workflow'!M:M,MATCH(A311,'Document Workflow'!A:A,0))&lt;&gt;"",INDEX('Document Workflow'!M:M,MATCH(A311,'Document Workflow'!A:A,0)),"")</f>
        <v>#REF!</v>
      </c>
    </row>
    <row r="312" spans="1:3">
      <c r="A312" s="7" t="e">
        <f>IF('Document Workflow'!A311&lt;&gt;"",'Document Workflow'!A311,"")</f>
        <v>#REF!</v>
      </c>
      <c r="B312" s="2" t="s">
        <v>43</v>
      </c>
      <c r="C312" s="3" t="e">
        <f>IF(INDEX('Document Workflow'!M:M,MATCH(A312,'Document Workflow'!A:A,0))&lt;&gt;"",INDEX('Document Workflow'!M:M,MATCH(A312,'Document Workflow'!A:A,0)),"")</f>
        <v>#REF!</v>
      </c>
    </row>
    <row r="313" spans="1:3">
      <c r="A313" s="7" t="e">
        <f>IF('Document Workflow'!A312&lt;&gt;"",'Document Workflow'!A312,"")</f>
        <v>#REF!</v>
      </c>
      <c r="B313" s="2" t="s">
        <v>43</v>
      </c>
      <c r="C313" s="3" t="e">
        <f>IF(INDEX('Document Workflow'!M:M,MATCH(A313,'Document Workflow'!A:A,0))&lt;&gt;"",INDEX('Document Workflow'!M:M,MATCH(A313,'Document Workflow'!A:A,0)),"")</f>
        <v>#REF!</v>
      </c>
    </row>
    <row r="314" spans="1:3">
      <c r="A314" s="7" t="e">
        <f>IF('Document Workflow'!A313&lt;&gt;"",'Document Workflow'!A313,"")</f>
        <v>#REF!</v>
      </c>
      <c r="B314" s="2" t="s">
        <v>43</v>
      </c>
      <c r="C314" s="3" t="e">
        <f>IF(INDEX('Document Workflow'!M:M,MATCH(A314,'Document Workflow'!A:A,0))&lt;&gt;"",INDEX('Document Workflow'!M:M,MATCH(A314,'Document Workflow'!A:A,0)),"")</f>
        <v>#REF!</v>
      </c>
    </row>
    <row r="315" spans="1:3">
      <c r="A315" s="7" t="e">
        <f>IF('Document Workflow'!A314&lt;&gt;"",'Document Workflow'!A314,"")</f>
        <v>#REF!</v>
      </c>
      <c r="B315" s="2" t="s">
        <v>43</v>
      </c>
      <c r="C315" s="3" t="e">
        <f>IF(INDEX('Document Workflow'!M:M,MATCH(A315,'Document Workflow'!A:A,0))&lt;&gt;"",INDEX('Document Workflow'!M:M,MATCH(A315,'Document Workflow'!A:A,0)),"")</f>
        <v>#REF!</v>
      </c>
    </row>
    <row r="316" spans="1:3">
      <c r="A316" s="7" t="e">
        <f>IF('Document Workflow'!A315&lt;&gt;"",'Document Workflow'!A315,"")</f>
        <v>#REF!</v>
      </c>
      <c r="B316" s="2" t="s">
        <v>43</v>
      </c>
      <c r="C316" s="3" t="e">
        <f>IF(INDEX('Document Workflow'!M:M,MATCH(A316,'Document Workflow'!A:A,0))&lt;&gt;"",INDEX('Document Workflow'!M:M,MATCH(A316,'Document Workflow'!A:A,0)),"")</f>
        <v>#REF!</v>
      </c>
    </row>
    <row r="317" spans="1:3">
      <c r="A317" s="7" t="e">
        <f>IF('Document Workflow'!A316&lt;&gt;"",'Document Workflow'!A316,"")</f>
        <v>#REF!</v>
      </c>
      <c r="B317" s="2" t="s">
        <v>43</v>
      </c>
      <c r="C317" s="3" t="e">
        <f>IF(INDEX('Document Workflow'!M:M,MATCH(A317,'Document Workflow'!A:A,0))&lt;&gt;"",INDEX('Document Workflow'!M:M,MATCH(A317,'Document Workflow'!A:A,0)),"")</f>
        <v>#REF!</v>
      </c>
    </row>
    <row r="318" spans="1:3">
      <c r="A318" s="7" t="e">
        <f>IF('Document Workflow'!A317&lt;&gt;"",'Document Workflow'!A317,"")</f>
        <v>#REF!</v>
      </c>
      <c r="B318" s="2" t="s">
        <v>43</v>
      </c>
      <c r="C318" s="3" t="e">
        <f>IF(INDEX('Document Workflow'!M:M,MATCH(A318,'Document Workflow'!A:A,0))&lt;&gt;"",INDEX('Document Workflow'!M:M,MATCH(A318,'Document Workflow'!A:A,0)),"")</f>
        <v>#REF!</v>
      </c>
    </row>
    <row r="319" spans="1:3">
      <c r="A319" s="7" t="e">
        <f>IF('Document Workflow'!A318&lt;&gt;"",'Document Workflow'!A318,"")</f>
        <v>#REF!</v>
      </c>
      <c r="B319" s="2" t="s">
        <v>43</v>
      </c>
      <c r="C319" s="3" t="e">
        <f>IF(INDEX('Document Workflow'!M:M,MATCH(A319,'Document Workflow'!A:A,0))&lt;&gt;"",INDEX('Document Workflow'!M:M,MATCH(A319,'Document Workflow'!A:A,0)),"")</f>
        <v>#REF!</v>
      </c>
    </row>
    <row r="320" spans="1:3">
      <c r="A320" s="7" t="e">
        <f>IF('Document Workflow'!A319&lt;&gt;"",'Document Workflow'!A319,"")</f>
        <v>#REF!</v>
      </c>
      <c r="B320" s="2" t="s">
        <v>72</v>
      </c>
      <c r="C320" s="3" t="e">
        <f>IF(INDEX('Document Workflow'!M:M,MATCH(A320,'Document Workflow'!A:A,0))&lt;&gt;"",INDEX('Document Workflow'!M:M,MATCH(A320,'Document Workflow'!A:A,0)),"")</f>
        <v>#REF!</v>
      </c>
    </row>
    <row r="321" spans="1:3">
      <c r="A321" s="7" t="e">
        <f>IF('Document Workflow'!A320&lt;&gt;"",'Document Workflow'!A320,"")</f>
        <v>#REF!</v>
      </c>
      <c r="B321" s="2" t="s">
        <v>43</v>
      </c>
      <c r="C321" s="3" t="e">
        <f>IF(INDEX('Document Workflow'!M:M,MATCH(A321,'Document Workflow'!A:A,0))&lt;&gt;"",INDEX('Document Workflow'!M:M,MATCH(A321,'Document Workflow'!A:A,0)),"")</f>
        <v>#REF!</v>
      </c>
    </row>
    <row r="322" spans="1:3">
      <c r="A322" s="7" t="e">
        <f>IF('Document Workflow'!A321&lt;&gt;"",'Document Workflow'!A321,"")</f>
        <v>#REF!</v>
      </c>
      <c r="B322" s="2" t="s">
        <v>72</v>
      </c>
      <c r="C322" s="3" t="e">
        <f>IF(INDEX('Document Workflow'!M:M,MATCH(A322,'Document Workflow'!A:A,0))&lt;&gt;"",INDEX('Document Workflow'!M:M,MATCH(A322,'Document Workflow'!A:A,0)),"")</f>
        <v>#REF!</v>
      </c>
    </row>
    <row r="323" spans="1:3">
      <c r="A323" s="7" t="e">
        <f>IF('Document Workflow'!A322&lt;&gt;"",'Document Workflow'!A322,"")</f>
        <v>#REF!</v>
      </c>
      <c r="B323" s="2" t="s">
        <v>43</v>
      </c>
      <c r="C323" s="3" t="e">
        <f>IF(INDEX('Document Workflow'!M:M,MATCH(A323,'Document Workflow'!A:A,0))&lt;&gt;"",INDEX('Document Workflow'!M:M,MATCH(A323,'Document Workflow'!A:A,0)),"")</f>
        <v>#REF!</v>
      </c>
    </row>
    <row r="324" spans="1:3">
      <c r="A324" s="7" t="e">
        <f>IF('Document Workflow'!A323&lt;&gt;"",'Document Workflow'!A323,"")</f>
        <v>#REF!</v>
      </c>
      <c r="B324" s="2" t="s">
        <v>72</v>
      </c>
      <c r="C324" s="3" t="e">
        <f>IF(INDEX('Document Workflow'!M:M,MATCH(A324,'Document Workflow'!A:A,0))&lt;&gt;"",INDEX('Document Workflow'!M:M,MATCH(A324,'Document Workflow'!A:A,0)),"")</f>
        <v>#REF!</v>
      </c>
    </row>
    <row r="325" spans="1:3">
      <c r="A325" s="7" t="e">
        <f>IF('Document Workflow'!A324&lt;&gt;"",'Document Workflow'!A324,"")</f>
        <v>#REF!</v>
      </c>
      <c r="B325" s="2" t="s">
        <v>72</v>
      </c>
      <c r="C325" s="3" t="e">
        <f>IF(INDEX('Document Workflow'!M:M,MATCH(A325,'Document Workflow'!A:A,0))&lt;&gt;"",INDEX('Document Workflow'!M:M,MATCH(A325,'Document Workflow'!A:A,0)),"")</f>
        <v>#REF!</v>
      </c>
    </row>
    <row r="326" spans="1:3">
      <c r="A326" s="7" t="e">
        <f>IF('Document Workflow'!A325&lt;&gt;"",'Document Workflow'!A325,"")</f>
        <v>#REF!</v>
      </c>
      <c r="B326" s="2" t="s">
        <v>43</v>
      </c>
      <c r="C326" s="3" t="e">
        <f>IF(INDEX('Document Workflow'!M:M,MATCH(A326,'Document Workflow'!A:A,0))&lt;&gt;"",INDEX('Document Workflow'!M:M,MATCH(A326,'Document Workflow'!A:A,0)),"")</f>
        <v>#REF!</v>
      </c>
    </row>
    <row r="327" spans="1:3">
      <c r="A327" s="7" t="e">
        <f>IF('Document Workflow'!A326&lt;&gt;"",'Document Workflow'!A326,"")</f>
        <v>#REF!</v>
      </c>
      <c r="B327" s="2" t="s">
        <v>43</v>
      </c>
      <c r="C327" s="3" t="e">
        <f>IF(INDEX('Document Workflow'!M:M,MATCH(A327,'Document Workflow'!A:A,0))&lt;&gt;"",INDEX('Document Workflow'!M:M,MATCH(A327,'Document Workflow'!A:A,0)),"")</f>
        <v>#REF!</v>
      </c>
    </row>
    <row r="328" spans="1:3">
      <c r="A328" s="7" t="e">
        <f>IF('Document Workflow'!A327&lt;&gt;"",'Document Workflow'!A327,"")</f>
        <v>#REF!</v>
      </c>
      <c r="B328" s="2" t="s">
        <v>43</v>
      </c>
      <c r="C328" s="3" t="e">
        <f>IF(INDEX('Document Workflow'!M:M,MATCH(A328,'Document Workflow'!A:A,0))&lt;&gt;"",INDEX('Document Workflow'!M:M,MATCH(A328,'Document Workflow'!A:A,0)),"")</f>
        <v>#REF!</v>
      </c>
    </row>
    <row r="329" spans="1:3">
      <c r="A329" s="7" t="e">
        <f>IF('Document Workflow'!A328&lt;&gt;"",'Document Workflow'!A328,"")</f>
        <v>#REF!</v>
      </c>
      <c r="B329" s="2" t="s">
        <v>72</v>
      </c>
      <c r="C329" s="3" t="e">
        <f>IF(INDEX('Document Workflow'!M:M,MATCH(A329,'Document Workflow'!A:A,0))&lt;&gt;"",INDEX('Document Workflow'!M:M,MATCH(A329,'Document Workflow'!A:A,0)),"")</f>
        <v>#REF!</v>
      </c>
    </row>
    <row r="330" spans="1:3">
      <c r="A330" s="7" t="e">
        <f>IF('Document Workflow'!A329&lt;&gt;"",'Document Workflow'!A329,"")</f>
        <v>#REF!</v>
      </c>
      <c r="B330" s="2" t="s">
        <v>72</v>
      </c>
      <c r="C330" s="3" t="e">
        <f>IF(INDEX('Document Workflow'!M:M,MATCH(A330,'Document Workflow'!A:A,0))&lt;&gt;"",INDEX('Document Workflow'!M:M,MATCH(A330,'Document Workflow'!A:A,0)),"")</f>
        <v>#REF!</v>
      </c>
    </row>
    <row r="331" spans="1:3">
      <c r="A331" s="7" t="e">
        <f>IF('Document Workflow'!A330&lt;&gt;"",'Document Workflow'!A330,"")</f>
        <v>#REF!</v>
      </c>
      <c r="B331" s="2" t="s">
        <v>72</v>
      </c>
      <c r="C331" s="3" t="e">
        <f>IF(INDEX('Document Workflow'!M:M,MATCH(A331,'Document Workflow'!A:A,0))&lt;&gt;"",INDEX('Document Workflow'!M:M,MATCH(A331,'Document Workflow'!A:A,0)),"")</f>
        <v>#REF!</v>
      </c>
    </row>
    <row r="332" spans="1:3">
      <c r="A332" s="7" t="e">
        <f>IF('Document Workflow'!A331&lt;&gt;"",'Document Workflow'!A331,"")</f>
        <v>#REF!</v>
      </c>
      <c r="B332" s="2" t="s">
        <v>72</v>
      </c>
      <c r="C332" s="3" t="e">
        <f>IF(INDEX('Document Workflow'!M:M,MATCH(A332,'Document Workflow'!A:A,0))&lt;&gt;"",INDEX('Document Workflow'!M:M,MATCH(A332,'Document Workflow'!A:A,0)),"")</f>
        <v>#REF!</v>
      </c>
    </row>
    <row r="333" spans="1:3">
      <c r="A333" s="7" t="e">
        <f>IF('Document Workflow'!A332&lt;&gt;"",'Document Workflow'!A332,"")</f>
        <v>#REF!</v>
      </c>
      <c r="B333" s="2" t="s">
        <v>43</v>
      </c>
      <c r="C333" s="3" t="e">
        <f>IF(INDEX('Document Workflow'!M:M,MATCH(A333,'Document Workflow'!A:A,0))&lt;&gt;"",INDEX('Document Workflow'!M:M,MATCH(A333,'Document Workflow'!A:A,0)),"")</f>
        <v>#REF!</v>
      </c>
    </row>
    <row r="334" spans="1:3">
      <c r="A334" s="7" t="e">
        <f>IF('Document Workflow'!A333&lt;&gt;"",'Document Workflow'!A333,"")</f>
        <v>#REF!</v>
      </c>
      <c r="B334" s="2" t="s">
        <v>72</v>
      </c>
      <c r="C334" s="3" t="e">
        <f>IF(INDEX('Document Workflow'!M:M,MATCH(A334,'Document Workflow'!A:A,0))&lt;&gt;"",INDEX('Document Workflow'!M:M,MATCH(A334,'Document Workflow'!A:A,0)),"")</f>
        <v>#REF!</v>
      </c>
    </row>
    <row r="335" spans="1:3">
      <c r="A335" s="7" t="e">
        <f>IF('Document Workflow'!A334&lt;&gt;"",'Document Workflow'!A334,"")</f>
        <v>#REF!</v>
      </c>
      <c r="B335" s="2" t="s">
        <v>43</v>
      </c>
      <c r="C335" s="3" t="e">
        <f>IF(INDEX('Document Workflow'!M:M,MATCH(A335,'Document Workflow'!A:A,0))&lt;&gt;"",INDEX('Document Workflow'!M:M,MATCH(A335,'Document Workflow'!A:A,0)),"")</f>
        <v>#REF!</v>
      </c>
    </row>
    <row r="336" spans="1:3">
      <c r="A336" s="7" t="e">
        <f>IF('Document Workflow'!A335&lt;&gt;"",'Document Workflow'!A335,"")</f>
        <v>#REF!</v>
      </c>
      <c r="B336" s="2" t="s">
        <v>72</v>
      </c>
      <c r="C336" s="3" t="e">
        <f>IF(INDEX('Document Workflow'!M:M,MATCH(A336,'Document Workflow'!A:A,0))&lt;&gt;"",INDEX('Document Workflow'!M:M,MATCH(A336,'Document Workflow'!A:A,0)),"")</f>
        <v>#REF!</v>
      </c>
    </row>
    <row r="337" spans="1:3">
      <c r="A337" s="7" t="e">
        <f>IF('Document Workflow'!A336&lt;&gt;"",'Document Workflow'!A336,"")</f>
        <v>#REF!</v>
      </c>
      <c r="B337" s="2" t="s">
        <v>72</v>
      </c>
      <c r="C337" s="3" t="e">
        <f>IF(INDEX('Document Workflow'!M:M,MATCH(A337,'Document Workflow'!A:A,0))&lt;&gt;"",INDEX('Document Workflow'!M:M,MATCH(A337,'Document Workflow'!A:A,0)),"")</f>
        <v>#REF!</v>
      </c>
    </row>
    <row r="338" spans="1:3">
      <c r="A338" s="7" t="e">
        <f>IF('Document Workflow'!A337&lt;&gt;"",'Document Workflow'!A337,"")</f>
        <v>#REF!</v>
      </c>
      <c r="B338" s="2" t="s">
        <v>72</v>
      </c>
      <c r="C338" s="3" t="e">
        <f>IF(INDEX('Document Workflow'!M:M,MATCH(A338,'Document Workflow'!A:A,0))&lt;&gt;"",INDEX('Document Workflow'!M:M,MATCH(A338,'Document Workflow'!A:A,0)),"")</f>
        <v>#REF!</v>
      </c>
    </row>
    <row r="339" spans="1:3">
      <c r="A339" s="7" t="e">
        <f>IF('Document Workflow'!A338&lt;&gt;"",'Document Workflow'!A338,"")</f>
        <v>#REF!</v>
      </c>
      <c r="B339" s="2" t="s">
        <v>72</v>
      </c>
      <c r="C339" s="3" t="e">
        <f>IF(INDEX('Document Workflow'!M:M,MATCH(A339,'Document Workflow'!A:A,0))&lt;&gt;"",INDEX('Document Workflow'!M:M,MATCH(A339,'Document Workflow'!A:A,0)),"")</f>
        <v>#REF!</v>
      </c>
    </row>
    <row r="340" spans="1:3">
      <c r="A340" s="7" t="e">
        <f>IF('Document Workflow'!A339&lt;&gt;"",'Document Workflow'!A339,"")</f>
        <v>#REF!</v>
      </c>
      <c r="B340" s="2" t="s">
        <v>72</v>
      </c>
      <c r="C340" s="3" t="e">
        <f>IF(INDEX('Document Workflow'!M:M,MATCH(A340,'Document Workflow'!A:A,0))&lt;&gt;"",INDEX('Document Workflow'!M:M,MATCH(A340,'Document Workflow'!A:A,0)),"")</f>
        <v>#REF!</v>
      </c>
    </row>
    <row r="341" spans="1:3">
      <c r="A341" s="7" t="e">
        <f>IF('Document Workflow'!A340&lt;&gt;"",'Document Workflow'!A340,"")</f>
        <v>#REF!</v>
      </c>
      <c r="B341" s="2" t="s">
        <v>43</v>
      </c>
      <c r="C341" s="3" t="e">
        <f>IF(INDEX('Document Workflow'!M:M,MATCH(A341,'Document Workflow'!A:A,0))&lt;&gt;"",INDEX('Document Workflow'!M:M,MATCH(A341,'Document Workflow'!A:A,0)),"")</f>
        <v>#REF!</v>
      </c>
    </row>
    <row r="342" spans="1:3">
      <c r="A342" s="7" t="e">
        <f>IF('Document Workflow'!A341&lt;&gt;"",'Document Workflow'!A341,"")</f>
        <v>#REF!</v>
      </c>
      <c r="B342" s="2" t="s">
        <v>72</v>
      </c>
      <c r="C342" s="3" t="e">
        <f>IF(INDEX('Document Workflow'!M:M,MATCH(A342,'Document Workflow'!A:A,0))&lt;&gt;"",INDEX('Document Workflow'!M:M,MATCH(A342,'Document Workflow'!A:A,0)),"")</f>
        <v>#REF!</v>
      </c>
    </row>
    <row r="343" spans="1:3">
      <c r="A343" s="7" t="e">
        <f>IF('Document Workflow'!A342&lt;&gt;"",'Document Workflow'!A342,"")</f>
        <v>#REF!</v>
      </c>
      <c r="B343" s="2" t="s">
        <v>72</v>
      </c>
      <c r="C343" s="3" t="e">
        <f>IF(INDEX('Document Workflow'!M:M,MATCH(A343,'Document Workflow'!A:A,0))&lt;&gt;"",INDEX('Document Workflow'!M:M,MATCH(A343,'Document Workflow'!A:A,0)),"")</f>
        <v>#REF!</v>
      </c>
    </row>
    <row r="344" spans="1:3">
      <c r="A344" s="7" t="e">
        <f>IF('Document Workflow'!A343&lt;&gt;"",'Document Workflow'!A343,"")</f>
        <v>#REF!</v>
      </c>
      <c r="B344" s="2" t="s">
        <v>72</v>
      </c>
      <c r="C344" s="3" t="e">
        <f>IF(INDEX('Document Workflow'!M:M,MATCH(A344,'Document Workflow'!A:A,0))&lt;&gt;"",INDEX('Document Workflow'!M:M,MATCH(A344,'Document Workflow'!A:A,0)),"")</f>
        <v>#REF!</v>
      </c>
    </row>
    <row r="345" spans="1:3">
      <c r="A345" s="7" t="e">
        <f>IF('Document Workflow'!A344&lt;&gt;"",'Document Workflow'!A344,"")</f>
        <v>#REF!</v>
      </c>
      <c r="B345" s="2" t="s">
        <v>72</v>
      </c>
      <c r="C345" s="3" t="e">
        <f>IF(INDEX('Document Workflow'!M:M,MATCH(A345,'Document Workflow'!A:A,0))&lt;&gt;"",INDEX('Document Workflow'!M:M,MATCH(A345,'Document Workflow'!A:A,0)),"")</f>
        <v>#REF!</v>
      </c>
    </row>
    <row r="346" spans="1:3">
      <c r="A346" s="7" t="e">
        <f>IF('Document Workflow'!A345&lt;&gt;"",'Document Workflow'!A345,"")</f>
        <v>#REF!</v>
      </c>
      <c r="B346" s="2" t="s">
        <v>72</v>
      </c>
      <c r="C346" s="3" t="e">
        <f>IF(INDEX('Document Workflow'!M:M,MATCH(A346,'Document Workflow'!A:A,0))&lt;&gt;"",INDEX('Document Workflow'!M:M,MATCH(A346,'Document Workflow'!A:A,0)),"")</f>
        <v>#REF!</v>
      </c>
    </row>
    <row r="347" spans="1:3">
      <c r="A347" s="7" t="e">
        <f>IF('Document Workflow'!A346&lt;&gt;"",'Document Workflow'!A346,"")</f>
        <v>#REF!</v>
      </c>
      <c r="B347" s="2" t="s">
        <v>72</v>
      </c>
      <c r="C347" s="3" t="e">
        <f>IF(INDEX('Document Workflow'!M:M,MATCH(A347,'Document Workflow'!A:A,0))&lt;&gt;"",INDEX('Document Workflow'!M:M,MATCH(A347,'Document Workflow'!A:A,0)),"")</f>
        <v>#REF!</v>
      </c>
    </row>
    <row r="348" spans="1:3">
      <c r="A348" s="7" t="e">
        <f>IF('Document Workflow'!A347&lt;&gt;"",'Document Workflow'!A347,"")</f>
        <v>#REF!</v>
      </c>
      <c r="B348" s="2" t="s">
        <v>43</v>
      </c>
      <c r="C348" s="3" t="e">
        <f>IF(INDEX('Document Workflow'!M:M,MATCH(A348,'Document Workflow'!A:A,0))&lt;&gt;"",INDEX('Document Workflow'!M:M,MATCH(A348,'Document Workflow'!A:A,0)),"")</f>
        <v>#REF!</v>
      </c>
    </row>
    <row r="349" spans="1:3">
      <c r="A349" s="7" t="e">
        <f>IF('Document Workflow'!A348&lt;&gt;"",'Document Workflow'!A348,"")</f>
        <v>#REF!</v>
      </c>
      <c r="B349" s="2" t="s">
        <v>43</v>
      </c>
      <c r="C349" s="3" t="e">
        <f>IF(INDEX('Document Workflow'!M:M,MATCH(A349,'Document Workflow'!A:A,0))&lt;&gt;"",INDEX('Document Workflow'!M:M,MATCH(A349,'Document Workflow'!A:A,0)),"")</f>
        <v>#REF!</v>
      </c>
    </row>
    <row r="350" spans="1:3">
      <c r="A350" s="7" t="e">
        <f>IF('Document Workflow'!A349&lt;&gt;"",'Document Workflow'!A349,"")</f>
        <v>#REF!</v>
      </c>
      <c r="B350" s="2" t="s">
        <v>72</v>
      </c>
      <c r="C350" s="3" t="e">
        <f>IF(INDEX('Document Workflow'!M:M,MATCH(A350,'Document Workflow'!A:A,0))&lt;&gt;"",INDEX('Document Workflow'!M:M,MATCH(A350,'Document Workflow'!A:A,0)),"")</f>
        <v>#REF!</v>
      </c>
    </row>
    <row r="351" spans="1:3">
      <c r="A351" s="7" t="e">
        <f>IF('Document Workflow'!A350&lt;&gt;"",'Document Workflow'!A350,"")</f>
        <v>#REF!</v>
      </c>
      <c r="B351" s="2" t="s">
        <v>72</v>
      </c>
      <c r="C351" s="3" t="e">
        <f>IF(INDEX('Document Workflow'!M:M,MATCH(A351,'Document Workflow'!A:A,0))&lt;&gt;"",INDEX('Document Workflow'!M:M,MATCH(A351,'Document Workflow'!A:A,0)),"")</f>
        <v>#REF!</v>
      </c>
    </row>
    <row r="352" spans="1:3">
      <c r="A352" s="7" t="e">
        <f>IF('Document Workflow'!A351&lt;&gt;"",'Document Workflow'!A351,"")</f>
        <v>#REF!</v>
      </c>
      <c r="B352" s="2" t="s">
        <v>43</v>
      </c>
      <c r="C352" s="3" t="e">
        <f>IF(INDEX('Document Workflow'!M:M,MATCH(A352,'Document Workflow'!A:A,0))&lt;&gt;"",INDEX('Document Workflow'!M:M,MATCH(A352,'Document Workflow'!A:A,0)),"")</f>
        <v>#REF!</v>
      </c>
    </row>
    <row r="353" spans="1:3">
      <c r="A353" s="7" t="e">
        <f>IF('Document Workflow'!A352&lt;&gt;"",'Document Workflow'!A352,"")</f>
        <v>#REF!</v>
      </c>
      <c r="B353" s="2" t="s">
        <v>72</v>
      </c>
      <c r="C353" s="3" t="e">
        <f>IF(INDEX('Document Workflow'!M:M,MATCH(A353,'Document Workflow'!A:A,0))&lt;&gt;"",INDEX('Document Workflow'!M:M,MATCH(A353,'Document Workflow'!A:A,0)),"")</f>
        <v>#REF!</v>
      </c>
    </row>
    <row r="354" spans="1:3">
      <c r="A354" s="7" t="e">
        <f>IF('Document Workflow'!A353&lt;&gt;"",'Document Workflow'!A353,"")</f>
        <v>#REF!</v>
      </c>
      <c r="B354" s="2" t="s">
        <v>72</v>
      </c>
      <c r="C354" s="3" t="e">
        <f>IF(INDEX('Document Workflow'!M:M,MATCH(A354,'Document Workflow'!A:A,0))&lt;&gt;"",INDEX('Document Workflow'!M:M,MATCH(A354,'Document Workflow'!A:A,0)),"")</f>
        <v>#REF!</v>
      </c>
    </row>
    <row r="355" spans="1:3">
      <c r="A355" s="7" t="e">
        <f>IF('Document Workflow'!A354&lt;&gt;"",'Document Workflow'!A354,"")</f>
        <v>#REF!</v>
      </c>
      <c r="B355" s="2" t="s">
        <v>72</v>
      </c>
      <c r="C355" s="3" t="e">
        <f>IF(INDEX('Document Workflow'!M:M,MATCH(A355,'Document Workflow'!A:A,0))&lt;&gt;"",INDEX('Document Workflow'!M:M,MATCH(A355,'Document Workflow'!A:A,0)),"")</f>
        <v>#REF!</v>
      </c>
    </row>
    <row r="356" spans="1:3">
      <c r="A356" s="7" t="e">
        <f>IF('Document Workflow'!A355&lt;&gt;"",'Document Workflow'!A355,"")</f>
        <v>#REF!</v>
      </c>
      <c r="B356" s="2" t="s">
        <v>72</v>
      </c>
      <c r="C356" s="3" t="e">
        <f>IF(INDEX('Document Workflow'!M:M,MATCH(A356,'Document Workflow'!A:A,0))&lt;&gt;"",INDEX('Document Workflow'!M:M,MATCH(A356,'Document Workflow'!A:A,0)),"")</f>
        <v>#REF!</v>
      </c>
    </row>
    <row r="357" spans="1:3">
      <c r="A357" s="7" t="e">
        <f>IF('Document Workflow'!A356&lt;&gt;"",'Document Workflow'!A356,"")</f>
        <v>#REF!</v>
      </c>
      <c r="B357" s="2" t="s">
        <v>72</v>
      </c>
      <c r="C357" s="3" t="e">
        <f>IF(INDEX('Document Workflow'!M:M,MATCH(A357,'Document Workflow'!A:A,0))&lt;&gt;"",INDEX('Document Workflow'!M:M,MATCH(A357,'Document Workflow'!A:A,0)),"")</f>
        <v>#REF!</v>
      </c>
    </row>
    <row r="358" spans="1:3">
      <c r="A358" s="7" t="e">
        <f>IF('Document Workflow'!A357&lt;&gt;"",'Document Workflow'!A357,"")</f>
        <v>#REF!</v>
      </c>
      <c r="B358" s="2" t="s">
        <v>43</v>
      </c>
      <c r="C358" s="3" t="e">
        <f>IF(INDEX('Document Workflow'!M:M,MATCH(A358,'Document Workflow'!A:A,0))&lt;&gt;"",INDEX('Document Workflow'!M:M,MATCH(A358,'Document Workflow'!A:A,0)),"")</f>
        <v>#REF!</v>
      </c>
    </row>
    <row r="359" spans="1:3">
      <c r="A359" s="7" t="e">
        <f>IF('Document Workflow'!A358&lt;&gt;"",'Document Workflow'!A358,"")</f>
        <v>#REF!</v>
      </c>
      <c r="B359" s="2" t="s">
        <v>72</v>
      </c>
      <c r="C359" s="3" t="e">
        <f>IF(INDEX('Document Workflow'!M:M,MATCH(A359,'Document Workflow'!A:A,0))&lt;&gt;"",INDEX('Document Workflow'!M:M,MATCH(A359,'Document Workflow'!A:A,0)),"")</f>
        <v>#REF!</v>
      </c>
    </row>
    <row r="360" spans="1:3">
      <c r="A360" s="7" t="e">
        <f>IF('Document Workflow'!A359&lt;&gt;"",'Document Workflow'!A359,"")</f>
        <v>#REF!</v>
      </c>
      <c r="B360" s="2" t="s">
        <v>43</v>
      </c>
      <c r="C360" s="3" t="e">
        <f>IF(INDEX('Document Workflow'!M:M,MATCH(A360,'Document Workflow'!A:A,0))&lt;&gt;"",INDEX('Document Workflow'!M:M,MATCH(A360,'Document Workflow'!A:A,0)),"")</f>
        <v>#REF!</v>
      </c>
    </row>
    <row r="361" spans="1:3">
      <c r="A361" s="7" t="e">
        <f>IF('Document Workflow'!A360&lt;&gt;"",'Document Workflow'!A360,"")</f>
        <v>#REF!</v>
      </c>
      <c r="B361" s="2" t="s">
        <v>72</v>
      </c>
      <c r="C361" s="3" t="e">
        <f>IF(INDEX('Document Workflow'!M:M,MATCH(A361,'Document Workflow'!A:A,0))&lt;&gt;"",INDEX('Document Workflow'!M:M,MATCH(A361,'Document Workflow'!A:A,0)),"")</f>
        <v>#REF!</v>
      </c>
    </row>
    <row r="362" spans="1:3">
      <c r="A362" s="7" t="e">
        <f>IF('Document Workflow'!A361&lt;&gt;"",'Document Workflow'!A361,"")</f>
        <v>#REF!</v>
      </c>
      <c r="B362" s="2" t="s">
        <v>72</v>
      </c>
      <c r="C362" s="3" t="e">
        <f>IF(INDEX('Document Workflow'!M:M,MATCH(A362,'Document Workflow'!A:A,0))&lt;&gt;"",INDEX('Document Workflow'!M:M,MATCH(A362,'Document Workflow'!A:A,0)),"")</f>
        <v>#REF!</v>
      </c>
    </row>
    <row r="363" spans="1:3">
      <c r="A363" s="7" t="e">
        <f>IF('Document Workflow'!A362&lt;&gt;"",'Document Workflow'!A362,"")</f>
        <v>#REF!</v>
      </c>
      <c r="B363" s="2" t="s">
        <v>72</v>
      </c>
      <c r="C363" s="3" t="e">
        <f>IF(INDEX('Document Workflow'!M:M,MATCH(A363,'Document Workflow'!A:A,0))&lt;&gt;"",INDEX('Document Workflow'!M:M,MATCH(A363,'Document Workflow'!A:A,0)),"")</f>
        <v>#REF!</v>
      </c>
    </row>
    <row r="364" spans="1:3">
      <c r="A364" s="7" t="e">
        <f>IF('Document Workflow'!A363&lt;&gt;"",'Document Workflow'!A363,"")</f>
        <v>#REF!</v>
      </c>
      <c r="B364" s="2" t="s">
        <v>72</v>
      </c>
      <c r="C364" s="3" t="e">
        <f>IF(INDEX('Document Workflow'!M:M,MATCH(A364,'Document Workflow'!A:A,0))&lt;&gt;"",INDEX('Document Workflow'!M:M,MATCH(A364,'Document Workflow'!A:A,0)),"")</f>
        <v>#REF!</v>
      </c>
    </row>
    <row r="365" spans="1:3">
      <c r="A365" s="7" t="e">
        <f>IF('Document Workflow'!A364&lt;&gt;"",'Document Workflow'!A364,"")</f>
        <v>#REF!</v>
      </c>
      <c r="B365" s="2" t="s">
        <v>72</v>
      </c>
      <c r="C365" s="3" t="e">
        <f>IF(INDEX('Document Workflow'!M:M,MATCH(A365,'Document Workflow'!A:A,0))&lt;&gt;"",INDEX('Document Workflow'!M:M,MATCH(A365,'Document Workflow'!A:A,0)),"")</f>
        <v>#REF!</v>
      </c>
    </row>
    <row r="366" spans="1:3">
      <c r="A366" s="7" t="e">
        <f>IF('Document Workflow'!A365&lt;&gt;"",'Document Workflow'!A365,"")</f>
        <v>#REF!</v>
      </c>
      <c r="B366" s="2" t="s">
        <v>72</v>
      </c>
      <c r="C366" s="3" t="e">
        <f>IF(INDEX('Document Workflow'!M:M,MATCH(A366,'Document Workflow'!A:A,0))&lt;&gt;"",INDEX('Document Workflow'!M:M,MATCH(A366,'Document Workflow'!A:A,0)),"")</f>
        <v>#REF!</v>
      </c>
    </row>
    <row r="367" spans="1:3">
      <c r="A367" s="7" t="e">
        <f>IF('Document Workflow'!A366&lt;&gt;"",'Document Workflow'!A366,"")</f>
        <v>#REF!</v>
      </c>
      <c r="B367" s="2" t="s">
        <v>72</v>
      </c>
      <c r="C367" s="3" t="e">
        <f>IF(INDEX('Document Workflow'!M:M,MATCH(A367,'Document Workflow'!A:A,0))&lt;&gt;"",INDEX('Document Workflow'!M:M,MATCH(A367,'Document Workflow'!A:A,0)),"")</f>
        <v>#REF!</v>
      </c>
    </row>
    <row r="368" spans="1:3">
      <c r="A368" s="7" t="e">
        <f>IF('Document Workflow'!A367&lt;&gt;"",'Document Workflow'!A367,"")</f>
        <v>#REF!</v>
      </c>
      <c r="B368" s="2" t="s">
        <v>72</v>
      </c>
      <c r="C368" s="3" t="e">
        <f>IF(INDEX('Document Workflow'!M:M,MATCH(A368,'Document Workflow'!A:A,0))&lt;&gt;"",INDEX('Document Workflow'!M:M,MATCH(A368,'Document Workflow'!A:A,0)),"")</f>
        <v>#REF!</v>
      </c>
    </row>
    <row r="369" spans="1:3">
      <c r="A369" s="7" t="e">
        <f>IF('Document Workflow'!A368&lt;&gt;"",'Document Workflow'!A368,"")</f>
        <v>#REF!</v>
      </c>
      <c r="B369" s="2" t="s">
        <v>72</v>
      </c>
      <c r="C369" s="3" t="e">
        <f>IF(INDEX('Document Workflow'!M:M,MATCH(A369,'Document Workflow'!A:A,0))&lt;&gt;"",INDEX('Document Workflow'!M:M,MATCH(A369,'Document Workflow'!A:A,0)),"")</f>
        <v>#REF!</v>
      </c>
    </row>
    <row r="370" spans="1:3">
      <c r="A370" s="7" t="e">
        <f>IF('Document Workflow'!A369&lt;&gt;"",'Document Workflow'!A369,"")</f>
        <v>#REF!</v>
      </c>
      <c r="B370" s="2" t="s">
        <v>72</v>
      </c>
      <c r="C370" s="3" t="e">
        <f>IF(INDEX('Document Workflow'!M:M,MATCH(A370,'Document Workflow'!A:A,0))&lt;&gt;"",INDEX('Document Workflow'!M:M,MATCH(A370,'Document Workflow'!A:A,0)),"")</f>
        <v>#REF!</v>
      </c>
    </row>
    <row r="371" spans="1:3">
      <c r="A371" s="7" t="e">
        <f>IF('Document Workflow'!A370&lt;&gt;"",'Document Workflow'!A370,"")</f>
        <v>#REF!</v>
      </c>
      <c r="B371" s="2" t="s">
        <v>72</v>
      </c>
      <c r="C371" s="3" t="e">
        <f>IF(INDEX('Document Workflow'!M:M,MATCH(A371,'Document Workflow'!A:A,0))&lt;&gt;"",INDEX('Document Workflow'!M:M,MATCH(A371,'Document Workflow'!A:A,0)),"")</f>
        <v>#REF!</v>
      </c>
    </row>
    <row r="372" spans="1:3">
      <c r="A372" s="7" t="e">
        <f>IF('Document Workflow'!A371&lt;&gt;"",'Document Workflow'!A371,"")</f>
        <v>#REF!</v>
      </c>
      <c r="B372" s="2" t="s">
        <v>72</v>
      </c>
      <c r="C372" s="3" t="e">
        <f>IF(INDEX('Document Workflow'!M:M,MATCH(A372,'Document Workflow'!A:A,0))&lt;&gt;"",INDEX('Document Workflow'!M:M,MATCH(A372,'Document Workflow'!A:A,0)),"")</f>
        <v>#REF!</v>
      </c>
    </row>
    <row r="373" spans="1:3">
      <c r="A373" s="7" t="e">
        <f>IF('Document Workflow'!A372&lt;&gt;"",'Document Workflow'!A372,"")</f>
        <v>#REF!</v>
      </c>
      <c r="B373" s="2" t="s">
        <v>72</v>
      </c>
      <c r="C373" s="3" t="e">
        <f>IF(INDEX('Document Workflow'!M:M,MATCH(A373,'Document Workflow'!A:A,0))&lt;&gt;"",INDEX('Document Workflow'!M:M,MATCH(A373,'Document Workflow'!A:A,0)),"")</f>
        <v>#REF!</v>
      </c>
    </row>
    <row r="374" spans="1:3">
      <c r="A374" s="7" t="e">
        <f>IF('Document Workflow'!A373&lt;&gt;"",'Document Workflow'!A373,"")</f>
        <v>#REF!</v>
      </c>
      <c r="B374" s="2" t="s">
        <v>72</v>
      </c>
      <c r="C374" s="3" t="e">
        <f>IF(INDEX('Document Workflow'!M:M,MATCH(A374,'Document Workflow'!A:A,0))&lt;&gt;"",INDEX('Document Workflow'!M:M,MATCH(A374,'Document Workflow'!A:A,0)),"")</f>
        <v>#REF!</v>
      </c>
    </row>
    <row r="375" spans="1:3">
      <c r="A375" s="7" t="e">
        <f>IF('Document Workflow'!A374&lt;&gt;"",'Document Workflow'!A374,"")</f>
        <v>#REF!</v>
      </c>
      <c r="B375" s="2" t="s">
        <v>72</v>
      </c>
      <c r="C375" s="3" t="e">
        <f>IF(INDEX('Document Workflow'!M:M,MATCH(A375,'Document Workflow'!A:A,0))&lt;&gt;"",INDEX('Document Workflow'!M:M,MATCH(A375,'Document Workflow'!A:A,0)),"")</f>
        <v>#REF!</v>
      </c>
    </row>
    <row r="376" spans="1:3">
      <c r="A376" s="7" t="e">
        <f>IF('Document Workflow'!A375&lt;&gt;"",'Document Workflow'!A375,"")</f>
        <v>#REF!</v>
      </c>
      <c r="B376" s="2" t="s">
        <v>72</v>
      </c>
      <c r="C376" s="3" t="e">
        <f>IF(INDEX('Document Workflow'!M:M,MATCH(A376,'Document Workflow'!A:A,0))&lt;&gt;"",INDEX('Document Workflow'!M:M,MATCH(A376,'Document Workflow'!A:A,0)),"")</f>
        <v>#REF!</v>
      </c>
    </row>
    <row r="377" spans="1:3">
      <c r="A377" s="7" t="e">
        <f>IF('Document Workflow'!A376&lt;&gt;"",'Document Workflow'!A376,"")</f>
        <v>#REF!</v>
      </c>
      <c r="B377" s="2" t="s">
        <v>72</v>
      </c>
      <c r="C377" s="3" t="e">
        <f>IF(INDEX('Document Workflow'!M:M,MATCH(A377,'Document Workflow'!A:A,0))&lt;&gt;"",INDEX('Document Workflow'!M:M,MATCH(A377,'Document Workflow'!A:A,0)),"")</f>
        <v>#REF!</v>
      </c>
    </row>
    <row r="378" spans="1:3">
      <c r="A378" s="7" t="e">
        <f>IF('Document Workflow'!A377&lt;&gt;"",'Document Workflow'!A377,"")</f>
        <v>#REF!</v>
      </c>
      <c r="B378" s="2" t="s">
        <v>72</v>
      </c>
      <c r="C378" s="3" t="e">
        <f>IF(INDEX('Document Workflow'!M:M,MATCH(A378,'Document Workflow'!A:A,0))&lt;&gt;"",INDEX('Document Workflow'!M:M,MATCH(A378,'Document Workflow'!A:A,0)),"")</f>
        <v>#REF!</v>
      </c>
    </row>
    <row r="379" spans="1:3">
      <c r="A379" s="7" t="e">
        <f>IF('Document Workflow'!A378&lt;&gt;"",'Document Workflow'!A378,"")</f>
        <v>#REF!</v>
      </c>
      <c r="B379" s="2" t="s">
        <v>72</v>
      </c>
      <c r="C379" s="3" t="e">
        <f>IF(INDEX('Document Workflow'!M:M,MATCH(A379,'Document Workflow'!A:A,0))&lt;&gt;"",INDEX('Document Workflow'!M:M,MATCH(A379,'Document Workflow'!A:A,0)),"")</f>
        <v>#REF!</v>
      </c>
    </row>
    <row r="380" spans="1:3">
      <c r="A380" s="7" t="e">
        <f>IF('Document Workflow'!A379&lt;&gt;"",'Document Workflow'!A379,"")</f>
        <v>#REF!</v>
      </c>
      <c r="B380" s="2" t="s">
        <v>72</v>
      </c>
      <c r="C380" s="3" t="e">
        <f>IF(INDEX('Document Workflow'!M:M,MATCH(A380,'Document Workflow'!A:A,0))&lt;&gt;"",INDEX('Document Workflow'!M:M,MATCH(A380,'Document Workflow'!A:A,0)),"")</f>
        <v>#REF!</v>
      </c>
    </row>
    <row r="381" spans="1:3">
      <c r="A381" s="7" t="e">
        <f>IF('Document Workflow'!A380&lt;&gt;"",'Document Workflow'!A380,"")</f>
        <v>#REF!</v>
      </c>
      <c r="B381" s="2" t="s">
        <v>72</v>
      </c>
      <c r="C381" s="3" t="e">
        <f>IF(INDEX('Document Workflow'!M:M,MATCH(A381,'Document Workflow'!A:A,0))&lt;&gt;"",INDEX('Document Workflow'!M:M,MATCH(A381,'Document Workflow'!A:A,0)),"")</f>
        <v>#REF!</v>
      </c>
    </row>
    <row r="382" spans="1:3">
      <c r="A382" s="7" t="e">
        <f>IF('Document Workflow'!A381&lt;&gt;"",'Document Workflow'!A381,"")</f>
        <v>#REF!</v>
      </c>
      <c r="B382" s="2" t="s">
        <v>72</v>
      </c>
      <c r="C382" s="3" t="e">
        <f>IF(INDEX('Document Workflow'!M:M,MATCH(A382,'Document Workflow'!A:A,0))&lt;&gt;"",INDEX('Document Workflow'!M:M,MATCH(A382,'Document Workflow'!A:A,0)),"")</f>
        <v>#REF!</v>
      </c>
    </row>
    <row r="383" spans="1:3">
      <c r="A383" s="7" t="e">
        <f>IF('Document Workflow'!A382&lt;&gt;"",'Document Workflow'!A382,"")</f>
        <v>#REF!</v>
      </c>
      <c r="B383" s="2" t="s">
        <v>72</v>
      </c>
      <c r="C383" s="3" t="e">
        <f>IF(INDEX('Document Workflow'!M:M,MATCH(A383,'Document Workflow'!A:A,0))&lt;&gt;"",INDEX('Document Workflow'!M:M,MATCH(A383,'Document Workflow'!A:A,0)),"")</f>
        <v>#REF!</v>
      </c>
    </row>
    <row r="384" spans="1:3">
      <c r="A384" s="7" t="e">
        <f>IF('Document Workflow'!A383&lt;&gt;"",'Document Workflow'!A383,"")</f>
        <v>#REF!</v>
      </c>
      <c r="B384" s="2" t="s">
        <v>72</v>
      </c>
      <c r="C384" s="3" t="e">
        <f>IF(INDEX('Document Workflow'!M:M,MATCH(A384,'Document Workflow'!A:A,0))&lt;&gt;"",INDEX('Document Workflow'!M:M,MATCH(A384,'Document Workflow'!A:A,0)),"")</f>
        <v>#REF!</v>
      </c>
    </row>
    <row r="385" spans="1:3">
      <c r="A385" s="7" t="e">
        <f>IF('Document Workflow'!A384&lt;&gt;"",'Document Workflow'!A384,"")</f>
        <v>#REF!</v>
      </c>
      <c r="B385" s="2" t="s">
        <v>72</v>
      </c>
      <c r="C385" s="3" t="e">
        <f>IF(INDEX('Document Workflow'!M:M,MATCH(A385,'Document Workflow'!A:A,0))&lt;&gt;"",INDEX('Document Workflow'!M:M,MATCH(A385,'Document Workflow'!A:A,0)),"")</f>
        <v>#REF!</v>
      </c>
    </row>
    <row r="386" spans="1:3">
      <c r="A386" s="7" t="e">
        <f>IF('Document Workflow'!A385&lt;&gt;"",'Document Workflow'!A385,"")</f>
        <v>#REF!</v>
      </c>
      <c r="B386" s="2" t="s">
        <v>72</v>
      </c>
      <c r="C386" s="3" t="e">
        <f>IF(INDEX('Document Workflow'!M:M,MATCH(A386,'Document Workflow'!A:A,0))&lt;&gt;"",INDEX('Document Workflow'!M:M,MATCH(A386,'Document Workflow'!A:A,0)),"")</f>
        <v>#REF!</v>
      </c>
    </row>
    <row r="387" spans="1:3">
      <c r="A387" s="7" t="e">
        <f>IF('Document Workflow'!A386&lt;&gt;"",'Document Workflow'!A386,"")</f>
        <v>#REF!</v>
      </c>
      <c r="B387" s="2" t="s">
        <v>72</v>
      </c>
      <c r="C387" s="3" t="e">
        <f>IF(INDEX('Document Workflow'!M:M,MATCH(A387,'Document Workflow'!A:A,0))&lt;&gt;"",INDEX('Document Workflow'!M:M,MATCH(A387,'Document Workflow'!A:A,0)),"")</f>
        <v>#REF!</v>
      </c>
    </row>
    <row r="388" spans="1:3">
      <c r="A388" s="7" t="e">
        <f>IF('Document Workflow'!A387&lt;&gt;"",'Document Workflow'!A387,"")</f>
        <v>#REF!</v>
      </c>
      <c r="B388" s="2" t="s">
        <v>72</v>
      </c>
      <c r="C388" s="3" t="e">
        <f>IF(INDEX('Document Workflow'!M:M,MATCH(A388,'Document Workflow'!A:A,0))&lt;&gt;"",INDEX('Document Workflow'!M:M,MATCH(A388,'Document Workflow'!A:A,0)),"")</f>
        <v>#REF!</v>
      </c>
    </row>
    <row r="389" spans="1:3">
      <c r="A389" s="7" t="e">
        <f>IF('Document Workflow'!A388&lt;&gt;"",'Document Workflow'!A388,"")</f>
        <v>#REF!</v>
      </c>
      <c r="B389" s="2" t="s">
        <v>72</v>
      </c>
      <c r="C389" s="3" t="e">
        <f>IF(INDEX('Document Workflow'!M:M,MATCH(A389,'Document Workflow'!A:A,0))&lt;&gt;"",INDEX('Document Workflow'!M:M,MATCH(A389,'Document Workflow'!A:A,0)),"")</f>
        <v>#REF!</v>
      </c>
    </row>
    <row r="390" spans="1:3">
      <c r="A390" s="7" t="e">
        <f>IF('Document Workflow'!A389&lt;&gt;"",'Document Workflow'!A389,"")</f>
        <v>#REF!</v>
      </c>
      <c r="B390" s="2" t="s">
        <v>72</v>
      </c>
      <c r="C390" s="3" t="e">
        <f>IF(INDEX('Document Workflow'!M:M,MATCH(A390,'Document Workflow'!A:A,0))&lt;&gt;"",INDEX('Document Workflow'!M:M,MATCH(A390,'Document Workflow'!A:A,0)),"")</f>
        <v>#REF!</v>
      </c>
    </row>
    <row r="391" spans="1:3">
      <c r="A391" s="7" t="e">
        <f>IF('Document Workflow'!A390&lt;&gt;"",'Document Workflow'!A390,"")</f>
        <v>#REF!</v>
      </c>
      <c r="B391" s="2" t="s">
        <v>72</v>
      </c>
      <c r="C391" s="3" t="e">
        <f>IF(INDEX('Document Workflow'!M:M,MATCH(A391,'Document Workflow'!A:A,0))&lt;&gt;"",INDEX('Document Workflow'!M:M,MATCH(A391,'Document Workflow'!A:A,0)),"")</f>
        <v>#REF!</v>
      </c>
    </row>
    <row r="392" spans="1:3">
      <c r="A392" s="7" t="e">
        <f>IF('Document Workflow'!A391&lt;&gt;"",'Document Workflow'!A391,"")</f>
        <v>#REF!</v>
      </c>
      <c r="B392" s="2" t="s">
        <v>72</v>
      </c>
      <c r="C392" s="3" t="e">
        <f>IF(INDEX('Document Workflow'!M:M,MATCH(A392,'Document Workflow'!A:A,0))&lt;&gt;"",INDEX('Document Workflow'!M:M,MATCH(A392,'Document Workflow'!A:A,0)),"")</f>
        <v>#REF!</v>
      </c>
    </row>
    <row r="393" spans="1:3">
      <c r="A393" s="7" t="e">
        <f>IF('Document Workflow'!A392&lt;&gt;"",'Document Workflow'!A392,"")</f>
        <v>#REF!</v>
      </c>
      <c r="B393" s="2" t="s">
        <v>72</v>
      </c>
      <c r="C393" s="3" t="e">
        <f>IF(INDEX('Document Workflow'!M:M,MATCH(A393,'Document Workflow'!A:A,0))&lt;&gt;"",INDEX('Document Workflow'!M:M,MATCH(A393,'Document Workflow'!A:A,0)),"")</f>
        <v>#REF!</v>
      </c>
    </row>
    <row r="394" spans="1:3">
      <c r="A394" s="7" t="e">
        <f>IF('Document Workflow'!A393&lt;&gt;"",'Document Workflow'!A393,"")</f>
        <v>#REF!</v>
      </c>
      <c r="B394" s="2" t="s">
        <v>72</v>
      </c>
      <c r="C394" s="3" t="e">
        <f>IF(INDEX('Document Workflow'!M:M,MATCH(A394,'Document Workflow'!A:A,0))&lt;&gt;"",INDEX('Document Workflow'!M:M,MATCH(A394,'Document Workflow'!A:A,0)),"")</f>
        <v>#REF!</v>
      </c>
    </row>
    <row r="395" spans="1:3">
      <c r="A395" s="7" t="e">
        <f>IF('Document Workflow'!A394&lt;&gt;"",'Document Workflow'!A394,"")</f>
        <v>#REF!</v>
      </c>
      <c r="B395" s="2" t="s">
        <v>72</v>
      </c>
      <c r="C395" s="3" t="e">
        <f>IF(INDEX('Document Workflow'!M:M,MATCH(A395,'Document Workflow'!A:A,0))&lt;&gt;"",INDEX('Document Workflow'!M:M,MATCH(A395,'Document Workflow'!A:A,0)),"")</f>
        <v>#REF!</v>
      </c>
    </row>
    <row r="396" spans="1:3">
      <c r="A396" s="7" t="e">
        <f>IF('Document Workflow'!A395&lt;&gt;"",'Document Workflow'!A395,"")</f>
        <v>#REF!</v>
      </c>
      <c r="B396" s="2" t="s">
        <v>72</v>
      </c>
      <c r="C396" s="3" t="e">
        <f>IF(INDEX('Document Workflow'!M:M,MATCH(A396,'Document Workflow'!A:A,0))&lt;&gt;"",INDEX('Document Workflow'!M:M,MATCH(A396,'Document Workflow'!A:A,0)),"")</f>
        <v>#REF!</v>
      </c>
    </row>
    <row r="397" spans="1:3">
      <c r="A397" s="7" t="e">
        <f>IF('Document Workflow'!A396&lt;&gt;"",'Document Workflow'!A396,"")</f>
        <v>#REF!</v>
      </c>
      <c r="B397" s="2" t="s">
        <v>72</v>
      </c>
      <c r="C397" s="3" t="e">
        <f>IF(INDEX('Document Workflow'!M:M,MATCH(A397,'Document Workflow'!A:A,0))&lt;&gt;"",INDEX('Document Workflow'!M:M,MATCH(A397,'Document Workflow'!A:A,0)),"")</f>
        <v>#REF!</v>
      </c>
    </row>
    <row r="398" spans="1:3">
      <c r="A398" s="7" t="e">
        <f>IF('Document Workflow'!A397&lt;&gt;"",'Document Workflow'!A397,"")</f>
        <v>#REF!</v>
      </c>
      <c r="B398" s="2" t="s">
        <v>72</v>
      </c>
      <c r="C398" s="3" t="e">
        <f>IF(INDEX('Document Workflow'!M:M,MATCH(A398,'Document Workflow'!A:A,0))&lt;&gt;"",INDEX('Document Workflow'!M:M,MATCH(A398,'Document Workflow'!A:A,0)),"")</f>
        <v>#REF!</v>
      </c>
    </row>
    <row r="399" spans="1:3">
      <c r="A399" s="7" t="e">
        <f>IF('Document Workflow'!A398&lt;&gt;"",'Document Workflow'!A398,"")</f>
        <v>#REF!</v>
      </c>
      <c r="B399" s="2" t="s">
        <v>72</v>
      </c>
      <c r="C399" s="3" t="e">
        <f>IF(INDEX('Document Workflow'!M:M,MATCH(A399,'Document Workflow'!A:A,0))&lt;&gt;"",INDEX('Document Workflow'!M:M,MATCH(A399,'Document Workflow'!A:A,0)),"")</f>
        <v>#REF!</v>
      </c>
    </row>
    <row r="400" spans="1:3">
      <c r="A400" s="7" t="e">
        <f>IF('Document Workflow'!A399&lt;&gt;"",'Document Workflow'!A399,"")</f>
        <v>#REF!</v>
      </c>
      <c r="B400" s="2" t="s">
        <v>72</v>
      </c>
      <c r="C400" s="3" t="e">
        <f>IF(INDEX('Document Workflow'!M:M,MATCH(A400,'Document Workflow'!A:A,0))&lt;&gt;"",INDEX('Document Workflow'!M:M,MATCH(A400,'Document Workflow'!A:A,0)),"")</f>
        <v>#REF!</v>
      </c>
    </row>
    <row r="401" spans="1:3">
      <c r="A401" s="7" t="e">
        <f>IF('Document Workflow'!A400&lt;&gt;"",'Document Workflow'!A400,"")</f>
        <v>#REF!</v>
      </c>
      <c r="B401" s="2" t="s">
        <v>72</v>
      </c>
      <c r="C401" s="3" t="e">
        <f>IF(INDEX('Document Workflow'!M:M,MATCH(A401,'Document Workflow'!A:A,0))&lt;&gt;"",INDEX('Document Workflow'!M:M,MATCH(A401,'Document Workflow'!A:A,0)),"")</f>
        <v>#REF!</v>
      </c>
    </row>
    <row r="402" spans="1:3">
      <c r="A402" s="7" t="e">
        <f>IF('Document Workflow'!A401&lt;&gt;"",'Document Workflow'!A401,"")</f>
        <v>#REF!</v>
      </c>
      <c r="B402" s="2" t="s">
        <v>72</v>
      </c>
      <c r="C402" s="3" t="e">
        <f>IF(INDEX('Document Workflow'!M:M,MATCH(A402,'Document Workflow'!A:A,0))&lt;&gt;"",INDEX('Document Workflow'!M:M,MATCH(A402,'Document Workflow'!A:A,0)),"")</f>
        <v>#REF!</v>
      </c>
    </row>
    <row r="403" spans="1:3">
      <c r="A403" s="7" t="e">
        <f>IF('Document Workflow'!A402&lt;&gt;"",'Document Workflow'!A402,"")</f>
        <v>#REF!</v>
      </c>
      <c r="B403" s="2" t="s">
        <v>72</v>
      </c>
      <c r="C403" s="3" t="e">
        <f>IF(INDEX('Document Workflow'!M:M,MATCH(A403,'Document Workflow'!A:A,0))&lt;&gt;"",INDEX('Document Workflow'!M:M,MATCH(A403,'Document Workflow'!A:A,0)),"")</f>
        <v>#REF!</v>
      </c>
    </row>
    <row r="404" spans="1:3">
      <c r="A404" s="7" t="e">
        <f>IF('Document Workflow'!A403&lt;&gt;"",'Document Workflow'!A403,"")</f>
        <v>#REF!</v>
      </c>
      <c r="B404" s="2" t="s">
        <v>72</v>
      </c>
      <c r="C404" s="3" t="e">
        <f>IF(INDEX('Document Workflow'!M:M,MATCH(A404,'Document Workflow'!A:A,0))&lt;&gt;"",INDEX('Document Workflow'!M:M,MATCH(A404,'Document Workflow'!A:A,0)),"")</f>
        <v>#REF!</v>
      </c>
    </row>
    <row r="405" spans="1:3">
      <c r="A405" s="7" t="e">
        <f>IF('Document Workflow'!A404&lt;&gt;"",'Document Workflow'!A404,"")</f>
        <v>#REF!</v>
      </c>
      <c r="B405" s="2" t="s">
        <v>72</v>
      </c>
      <c r="C405" s="3" t="e">
        <f>IF(INDEX('Document Workflow'!M:M,MATCH(A405,'Document Workflow'!A:A,0))&lt;&gt;"",INDEX('Document Workflow'!M:M,MATCH(A405,'Document Workflow'!A:A,0)),"")</f>
        <v>#REF!</v>
      </c>
    </row>
    <row r="406" spans="1:3">
      <c r="A406" s="7" t="e">
        <f>IF('Document Workflow'!A405&lt;&gt;"",'Document Workflow'!A405,"")</f>
        <v>#REF!</v>
      </c>
      <c r="B406" s="2" t="s">
        <v>72</v>
      </c>
      <c r="C406" s="3" t="e">
        <f>IF(INDEX('Document Workflow'!M:M,MATCH(A406,'Document Workflow'!A:A,0))&lt;&gt;"",INDEX('Document Workflow'!M:M,MATCH(A406,'Document Workflow'!A:A,0)),"")</f>
        <v>#REF!</v>
      </c>
    </row>
    <row r="407" spans="1:3">
      <c r="A407" s="7" t="e">
        <f>IF('Document Workflow'!A406&lt;&gt;"",'Document Workflow'!A406,"")</f>
        <v>#REF!</v>
      </c>
      <c r="B407" s="2" t="s">
        <v>72</v>
      </c>
      <c r="C407" s="3" t="e">
        <f>IF(INDEX('Document Workflow'!M:M,MATCH(A407,'Document Workflow'!A:A,0))&lt;&gt;"",INDEX('Document Workflow'!M:M,MATCH(A407,'Document Workflow'!A:A,0)),"")</f>
        <v>#REF!</v>
      </c>
    </row>
    <row r="408" spans="1:3">
      <c r="A408" s="7" t="e">
        <f>IF('Document Workflow'!A407&lt;&gt;"",'Document Workflow'!A407,"")</f>
        <v>#REF!</v>
      </c>
      <c r="B408" s="2" t="s">
        <v>72</v>
      </c>
      <c r="C408" s="3" t="e">
        <f>IF(INDEX('Document Workflow'!M:M,MATCH(A408,'Document Workflow'!A:A,0))&lt;&gt;"",INDEX('Document Workflow'!M:M,MATCH(A408,'Document Workflow'!A:A,0)),"")</f>
        <v>#REF!</v>
      </c>
    </row>
    <row r="409" spans="1:3">
      <c r="A409" s="7" t="e">
        <f>IF('Document Workflow'!A408&lt;&gt;"",'Document Workflow'!A408,"")</f>
        <v>#REF!</v>
      </c>
      <c r="B409" s="2" t="s">
        <v>72</v>
      </c>
      <c r="C409" s="3" t="e">
        <f>IF(INDEX('Document Workflow'!M:M,MATCH(A409,'Document Workflow'!A:A,0))&lt;&gt;"",INDEX('Document Workflow'!M:M,MATCH(A409,'Document Workflow'!A:A,0)),"")</f>
        <v>#REF!</v>
      </c>
    </row>
    <row r="410" spans="1:3">
      <c r="A410" s="7" t="e">
        <f>IF('Document Workflow'!A409&lt;&gt;"",'Document Workflow'!A409,"")</f>
        <v>#REF!</v>
      </c>
      <c r="B410" s="2" t="s">
        <v>72</v>
      </c>
      <c r="C410" s="3" t="e">
        <f>IF(INDEX('Document Workflow'!M:M,MATCH(A410,'Document Workflow'!A:A,0))&lt;&gt;"",INDEX('Document Workflow'!M:M,MATCH(A410,'Document Workflow'!A:A,0)),"")</f>
        <v>#REF!</v>
      </c>
    </row>
    <row r="411" spans="1:3">
      <c r="A411" s="7" t="e">
        <f>IF('Document Workflow'!A410&lt;&gt;"",'Document Workflow'!A410,"")</f>
        <v>#REF!</v>
      </c>
      <c r="B411" s="2" t="s">
        <v>72</v>
      </c>
      <c r="C411" s="3" t="e">
        <f>IF(INDEX('Document Workflow'!M:M,MATCH(A411,'Document Workflow'!A:A,0))&lt;&gt;"",INDEX('Document Workflow'!M:M,MATCH(A411,'Document Workflow'!A:A,0)),"")</f>
        <v>#REF!</v>
      </c>
    </row>
    <row r="412" spans="1:3">
      <c r="A412" s="7" t="e">
        <f>IF('Document Workflow'!A411&lt;&gt;"",'Document Workflow'!A411,"")</f>
        <v>#REF!</v>
      </c>
      <c r="B412" s="2" t="s">
        <v>72</v>
      </c>
      <c r="C412" s="3" t="e">
        <f>IF(INDEX('Document Workflow'!M:M,MATCH(A412,'Document Workflow'!A:A,0))&lt;&gt;"",INDEX('Document Workflow'!M:M,MATCH(A412,'Document Workflow'!A:A,0)),"")</f>
        <v>#REF!</v>
      </c>
    </row>
    <row r="413" spans="1:3">
      <c r="A413" s="7" t="e">
        <f>IF('Document Workflow'!A412&lt;&gt;"",'Document Workflow'!A412,"")</f>
        <v>#REF!</v>
      </c>
      <c r="B413" s="2" t="s">
        <v>72</v>
      </c>
      <c r="C413" s="3" t="e">
        <f>IF(INDEX('Document Workflow'!M:M,MATCH(A413,'Document Workflow'!A:A,0))&lt;&gt;"",INDEX('Document Workflow'!M:M,MATCH(A413,'Document Workflow'!A:A,0)),"")</f>
        <v>#REF!</v>
      </c>
    </row>
    <row r="414" spans="1:3">
      <c r="A414" s="7" t="e">
        <f>IF('Document Workflow'!A413&lt;&gt;"",'Document Workflow'!A413,"")</f>
        <v>#REF!</v>
      </c>
      <c r="B414" s="2" t="s">
        <v>72</v>
      </c>
      <c r="C414" s="3" t="e">
        <f>IF(INDEX('Document Workflow'!M:M,MATCH(A414,'Document Workflow'!A:A,0))&lt;&gt;"",INDEX('Document Workflow'!M:M,MATCH(A414,'Document Workflow'!A:A,0)),"")</f>
        <v>#REF!</v>
      </c>
    </row>
    <row r="415" spans="1:3">
      <c r="A415" s="7" t="e">
        <f>IF('Document Workflow'!A414&lt;&gt;"",'Document Workflow'!A414,"")</f>
        <v>#REF!</v>
      </c>
      <c r="B415" s="2" t="s">
        <v>72</v>
      </c>
      <c r="C415" s="3" t="e">
        <f>IF(INDEX('Document Workflow'!M:M,MATCH(A415,'Document Workflow'!A:A,0))&lt;&gt;"",INDEX('Document Workflow'!M:M,MATCH(A415,'Document Workflow'!A:A,0)),"")</f>
        <v>#REF!</v>
      </c>
    </row>
    <row r="416" spans="1:3">
      <c r="A416" s="7" t="e">
        <f>IF('Document Workflow'!A415&lt;&gt;"",'Document Workflow'!A415,"")</f>
        <v>#REF!</v>
      </c>
      <c r="B416" s="2" t="s">
        <v>72</v>
      </c>
      <c r="C416" s="3" t="e">
        <f>IF(INDEX('Document Workflow'!M:M,MATCH(A416,'Document Workflow'!A:A,0))&lt;&gt;"",INDEX('Document Workflow'!M:M,MATCH(A416,'Document Workflow'!A:A,0)),"")</f>
        <v>#REF!</v>
      </c>
    </row>
    <row r="417" spans="1:3">
      <c r="A417" s="7" t="e">
        <f>IF('Document Workflow'!A416&lt;&gt;"",'Document Workflow'!A416,"")</f>
        <v>#REF!</v>
      </c>
      <c r="B417" s="2" t="s">
        <v>72</v>
      </c>
      <c r="C417" s="3" t="e">
        <f>IF(INDEX('Document Workflow'!M:M,MATCH(A417,'Document Workflow'!A:A,0))&lt;&gt;"",INDEX('Document Workflow'!M:M,MATCH(A417,'Document Workflow'!A:A,0)),"")</f>
        <v>#REF!</v>
      </c>
    </row>
    <row r="418" spans="1:3">
      <c r="A418" s="7" t="e">
        <f>IF('Document Workflow'!A417&lt;&gt;"",'Document Workflow'!A417,"")</f>
        <v>#REF!</v>
      </c>
      <c r="B418" s="2" t="s">
        <v>72</v>
      </c>
      <c r="C418" s="3" t="e">
        <f>IF(INDEX('Document Workflow'!M:M,MATCH(A418,'Document Workflow'!A:A,0))&lt;&gt;"",INDEX('Document Workflow'!M:M,MATCH(A418,'Document Workflow'!A:A,0)),"")</f>
        <v>#REF!</v>
      </c>
    </row>
    <row r="419" spans="1:3">
      <c r="A419" s="7" t="e">
        <f>IF('Document Workflow'!A418&lt;&gt;"",'Document Workflow'!A418,"")</f>
        <v>#REF!</v>
      </c>
      <c r="B419" s="2" t="s">
        <v>72</v>
      </c>
      <c r="C419" s="3" t="e">
        <f>IF(INDEX('Document Workflow'!M:M,MATCH(A419,'Document Workflow'!A:A,0))&lt;&gt;"",INDEX('Document Workflow'!M:M,MATCH(A419,'Document Workflow'!A:A,0)),"")</f>
        <v>#REF!</v>
      </c>
    </row>
    <row r="420" spans="1:3">
      <c r="A420" s="7" t="e">
        <f>IF('Document Workflow'!A419&lt;&gt;"",'Document Workflow'!A419,"")</f>
        <v>#REF!</v>
      </c>
      <c r="B420" s="2" t="s">
        <v>72</v>
      </c>
      <c r="C420" s="3" t="e">
        <f>IF(INDEX('Document Workflow'!M:M,MATCH(A420,'Document Workflow'!A:A,0))&lt;&gt;"",INDEX('Document Workflow'!M:M,MATCH(A420,'Document Workflow'!A:A,0)),"")</f>
        <v>#REF!</v>
      </c>
    </row>
    <row r="421" spans="1:3">
      <c r="A421" s="7" t="e">
        <f>IF('Document Workflow'!A420&lt;&gt;"",'Document Workflow'!A420,"")</f>
        <v>#REF!</v>
      </c>
      <c r="B421" s="2" t="s">
        <v>72</v>
      </c>
      <c r="C421" s="3" t="e">
        <f>IF(INDEX('Document Workflow'!M:M,MATCH(A421,'Document Workflow'!A:A,0))&lt;&gt;"",INDEX('Document Workflow'!M:M,MATCH(A421,'Document Workflow'!A:A,0)),"")</f>
        <v>#REF!</v>
      </c>
    </row>
    <row r="422" spans="1:3">
      <c r="A422" s="7" t="e">
        <f>IF('Document Workflow'!A421&lt;&gt;"",'Document Workflow'!A421,"")</f>
        <v>#REF!</v>
      </c>
      <c r="B422" s="2" t="s">
        <v>72</v>
      </c>
      <c r="C422" s="3" t="e">
        <f>IF(INDEX('Document Workflow'!M:M,MATCH(A422,'Document Workflow'!A:A,0))&lt;&gt;"",INDEX('Document Workflow'!M:M,MATCH(A422,'Document Workflow'!A:A,0)),"")</f>
        <v>#REF!</v>
      </c>
    </row>
    <row r="423" spans="1:3">
      <c r="A423" s="7" t="e">
        <f>IF('Document Workflow'!A422&lt;&gt;"",'Document Workflow'!A422,"")</f>
        <v>#REF!</v>
      </c>
      <c r="B423" s="2" t="s">
        <v>72</v>
      </c>
      <c r="C423" s="3" t="e">
        <f>IF(INDEX('Document Workflow'!M:M,MATCH(A423,'Document Workflow'!A:A,0))&lt;&gt;"",INDEX('Document Workflow'!M:M,MATCH(A423,'Document Workflow'!A:A,0)),"")</f>
        <v>#REF!</v>
      </c>
    </row>
    <row r="424" spans="1:3">
      <c r="A424" s="7" t="e">
        <f>IF('Document Workflow'!A423&lt;&gt;"",'Document Workflow'!A423,"")</f>
        <v>#REF!</v>
      </c>
      <c r="B424" s="2" t="s">
        <v>72</v>
      </c>
      <c r="C424" s="3" t="e">
        <f>IF(INDEX('Document Workflow'!M:M,MATCH(A424,'Document Workflow'!A:A,0))&lt;&gt;"",INDEX('Document Workflow'!M:M,MATCH(A424,'Document Workflow'!A:A,0)),"")</f>
        <v>#REF!</v>
      </c>
    </row>
    <row r="425" spans="1:3">
      <c r="A425" s="7" t="e">
        <f>IF('Document Workflow'!A424&lt;&gt;"",'Document Workflow'!A424,"")</f>
        <v>#REF!</v>
      </c>
      <c r="B425" s="2" t="s">
        <v>72</v>
      </c>
      <c r="C425" s="3" t="e">
        <f>IF(INDEX('Document Workflow'!M:M,MATCH(A425,'Document Workflow'!A:A,0))&lt;&gt;"",INDEX('Document Workflow'!M:M,MATCH(A425,'Document Workflow'!A:A,0)),"")</f>
        <v>#REF!</v>
      </c>
    </row>
    <row r="426" spans="1:3">
      <c r="A426" s="7" t="e">
        <f>IF('Document Workflow'!A425&lt;&gt;"",'Document Workflow'!A425,"")</f>
        <v>#REF!</v>
      </c>
      <c r="B426" s="2" t="s">
        <v>72</v>
      </c>
      <c r="C426" s="3" t="e">
        <f>IF(INDEX('Document Workflow'!M:M,MATCH(A426,'Document Workflow'!A:A,0))&lt;&gt;"",INDEX('Document Workflow'!M:M,MATCH(A426,'Document Workflow'!A:A,0)),"")</f>
        <v>#REF!</v>
      </c>
    </row>
    <row r="427" spans="1:3">
      <c r="A427" s="7" t="e">
        <f>IF('Document Workflow'!A426&lt;&gt;"",'Document Workflow'!A426,"")</f>
        <v>#REF!</v>
      </c>
      <c r="B427" s="2" t="s">
        <v>72</v>
      </c>
      <c r="C427" s="3" t="e">
        <f>IF(INDEX('Document Workflow'!M:M,MATCH(A427,'Document Workflow'!A:A,0))&lt;&gt;"",INDEX('Document Workflow'!M:M,MATCH(A427,'Document Workflow'!A:A,0)),"")</f>
        <v>#REF!</v>
      </c>
    </row>
    <row r="428" spans="1:3">
      <c r="A428" s="7" t="e">
        <f>IF('Document Workflow'!A427&lt;&gt;"",'Document Workflow'!A427,"")</f>
        <v>#REF!</v>
      </c>
      <c r="B428" s="2" t="s">
        <v>72</v>
      </c>
      <c r="C428" s="3" t="e">
        <f>IF(INDEX('Document Workflow'!M:M,MATCH(A428,'Document Workflow'!A:A,0))&lt;&gt;"",INDEX('Document Workflow'!M:M,MATCH(A428,'Document Workflow'!A:A,0)),"")</f>
        <v>#REF!</v>
      </c>
    </row>
    <row r="429" spans="1:3">
      <c r="A429" s="7" t="e">
        <f>IF('Document Workflow'!A428&lt;&gt;"",'Document Workflow'!A428,"")</f>
        <v>#REF!</v>
      </c>
      <c r="B429" s="2" t="s">
        <v>72</v>
      </c>
      <c r="C429" s="3" t="e">
        <f>IF(INDEX('Document Workflow'!M:M,MATCH(A429,'Document Workflow'!A:A,0))&lt;&gt;"",INDEX('Document Workflow'!M:M,MATCH(A429,'Document Workflow'!A:A,0)),"")</f>
        <v>#REF!</v>
      </c>
    </row>
    <row r="430" spans="1:3">
      <c r="A430" s="7" t="e">
        <f>IF('Document Workflow'!A429&lt;&gt;"",'Document Workflow'!A429,"")</f>
        <v>#REF!</v>
      </c>
      <c r="B430" s="2" t="s">
        <v>72</v>
      </c>
      <c r="C430" s="3" t="e">
        <f>IF(INDEX('Document Workflow'!M:M,MATCH(A430,'Document Workflow'!A:A,0))&lt;&gt;"",INDEX('Document Workflow'!M:M,MATCH(A430,'Document Workflow'!A:A,0)),"")</f>
        <v>#REF!</v>
      </c>
    </row>
    <row r="431" spans="1:3">
      <c r="A431" s="7" t="e">
        <f>IF('Document Workflow'!A430&lt;&gt;"",'Document Workflow'!A430,"")</f>
        <v>#REF!</v>
      </c>
      <c r="B431" s="2" t="s">
        <v>72</v>
      </c>
      <c r="C431" s="3" t="e">
        <f>IF(INDEX('Document Workflow'!M:M,MATCH(A431,'Document Workflow'!A:A,0))&lt;&gt;"",INDEX('Document Workflow'!M:M,MATCH(A431,'Document Workflow'!A:A,0)),"")</f>
        <v>#REF!</v>
      </c>
    </row>
    <row r="432" spans="1:3">
      <c r="A432" s="7" t="e">
        <f>IF('Document Workflow'!A431&lt;&gt;"",'Document Workflow'!A431,"")</f>
        <v>#REF!</v>
      </c>
      <c r="B432" s="2" t="s">
        <v>72</v>
      </c>
      <c r="C432" s="3" t="e">
        <f>IF(INDEX('Document Workflow'!M:M,MATCH(A432,'Document Workflow'!A:A,0))&lt;&gt;"",INDEX('Document Workflow'!M:M,MATCH(A432,'Document Workflow'!A:A,0)),"")</f>
        <v>#REF!</v>
      </c>
    </row>
    <row r="433" spans="1:3">
      <c r="A433" s="7" t="e">
        <f>IF('Document Workflow'!A432&lt;&gt;"",'Document Workflow'!A432,"")</f>
        <v>#REF!</v>
      </c>
      <c r="B433" s="2" t="s">
        <v>72</v>
      </c>
      <c r="C433" s="3" t="e">
        <f>IF(INDEX('Document Workflow'!M:M,MATCH(A433,'Document Workflow'!A:A,0))&lt;&gt;"",INDEX('Document Workflow'!M:M,MATCH(A433,'Document Workflow'!A:A,0)),"")</f>
        <v>#REF!</v>
      </c>
    </row>
    <row r="434" spans="1:3">
      <c r="A434" s="7" t="e">
        <f>IF('Document Workflow'!A433&lt;&gt;"",'Document Workflow'!A433,"")</f>
        <v>#REF!</v>
      </c>
      <c r="B434" s="2" t="s">
        <v>72</v>
      </c>
      <c r="C434" s="3" t="e">
        <f>IF(INDEX('Document Workflow'!M:M,MATCH(A434,'Document Workflow'!A:A,0))&lt;&gt;"",INDEX('Document Workflow'!M:M,MATCH(A434,'Document Workflow'!A:A,0)),"")</f>
        <v>#REF!</v>
      </c>
    </row>
    <row r="435" spans="1:3">
      <c r="A435" s="7" t="e">
        <f>IF('Document Workflow'!A434&lt;&gt;"",'Document Workflow'!A434,"")</f>
        <v>#REF!</v>
      </c>
      <c r="B435" s="2" t="s">
        <v>72</v>
      </c>
      <c r="C435" s="3" t="e">
        <f>IF(INDEX('Document Workflow'!M:M,MATCH(A435,'Document Workflow'!A:A,0))&lt;&gt;"",INDEX('Document Workflow'!M:M,MATCH(A435,'Document Workflow'!A:A,0)),"")</f>
        <v>#REF!</v>
      </c>
    </row>
    <row r="436" spans="1:3">
      <c r="A436" s="7" t="e">
        <f>IF('Document Workflow'!A435&lt;&gt;"",'Document Workflow'!A435,"")</f>
        <v>#REF!</v>
      </c>
      <c r="B436" s="2" t="s">
        <v>72</v>
      </c>
      <c r="C436" s="3" t="e">
        <f>IF(INDEX('Document Workflow'!M:M,MATCH(A436,'Document Workflow'!A:A,0))&lt;&gt;"",INDEX('Document Workflow'!M:M,MATCH(A436,'Document Workflow'!A:A,0)),"")</f>
        <v>#REF!</v>
      </c>
    </row>
    <row r="437" spans="1:3">
      <c r="A437" s="7" t="e">
        <f>IF('Document Workflow'!A436&lt;&gt;"",'Document Workflow'!A436,"")</f>
        <v>#REF!</v>
      </c>
      <c r="B437" s="2" t="s">
        <v>72</v>
      </c>
      <c r="C437" s="3" t="e">
        <f>IF(INDEX('Document Workflow'!M:M,MATCH(A437,'Document Workflow'!A:A,0))&lt;&gt;"",INDEX('Document Workflow'!M:M,MATCH(A437,'Document Workflow'!A:A,0)),"")</f>
        <v>#REF!</v>
      </c>
    </row>
    <row r="438" spans="1:3">
      <c r="A438" s="7" t="e">
        <f>IF('Document Workflow'!A437&lt;&gt;"",'Document Workflow'!A437,"")</f>
        <v>#REF!</v>
      </c>
      <c r="B438" s="2" t="s">
        <v>72</v>
      </c>
      <c r="C438" s="3" t="e">
        <f>IF(INDEX('Document Workflow'!M:M,MATCH(A438,'Document Workflow'!A:A,0))&lt;&gt;"",INDEX('Document Workflow'!M:M,MATCH(A438,'Document Workflow'!A:A,0)),"")</f>
        <v>#REF!</v>
      </c>
    </row>
    <row r="439" spans="1:3">
      <c r="A439" s="7" t="e">
        <f>IF('Document Workflow'!A438&lt;&gt;"",'Document Workflow'!A438,"")</f>
        <v>#REF!</v>
      </c>
      <c r="B439" s="2" t="s">
        <v>72</v>
      </c>
      <c r="C439" s="3" t="e">
        <f>IF(INDEX('Document Workflow'!M:M,MATCH(A439,'Document Workflow'!A:A,0))&lt;&gt;"",INDEX('Document Workflow'!M:M,MATCH(A439,'Document Workflow'!A:A,0)),"")</f>
        <v>#REF!</v>
      </c>
    </row>
    <row r="440" spans="1:3">
      <c r="A440" s="7" t="e">
        <f>IF('Document Workflow'!A439&lt;&gt;"",'Document Workflow'!A439,"")</f>
        <v>#REF!</v>
      </c>
      <c r="B440" s="2" t="s">
        <v>72</v>
      </c>
      <c r="C440" s="3" t="e">
        <f>IF(INDEX('Document Workflow'!M:M,MATCH(A440,'Document Workflow'!A:A,0))&lt;&gt;"",INDEX('Document Workflow'!M:M,MATCH(A440,'Document Workflow'!A:A,0)),"")</f>
        <v>#REF!</v>
      </c>
    </row>
    <row r="441" spans="1:3">
      <c r="A441" s="7" t="e">
        <f>IF('Document Workflow'!A440&lt;&gt;"",'Document Workflow'!A440,"")</f>
        <v>#REF!</v>
      </c>
      <c r="B441" s="2" t="s">
        <v>72</v>
      </c>
      <c r="C441" s="3" t="e">
        <f>IF(INDEX('Document Workflow'!M:M,MATCH(A441,'Document Workflow'!A:A,0))&lt;&gt;"",INDEX('Document Workflow'!M:M,MATCH(A441,'Document Workflow'!A:A,0)),"")</f>
        <v>#REF!</v>
      </c>
    </row>
    <row r="442" spans="1:3">
      <c r="A442" s="7" t="e">
        <f>IF('Document Workflow'!A441&lt;&gt;"",'Document Workflow'!A441,"")</f>
        <v>#REF!</v>
      </c>
      <c r="B442" s="2" t="s">
        <v>72</v>
      </c>
      <c r="C442" s="3" t="e">
        <f>IF(INDEX('Document Workflow'!M:M,MATCH(A442,'Document Workflow'!A:A,0))&lt;&gt;"",INDEX('Document Workflow'!M:M,MATCH(A442,'Document Workflow'!A:A,0)),"")</f>
        <v>#REF!</v>
      </c>
    </row>
    <row r="443" spans="1:3">
      <c r="A443" s="7" t="e">
        <f>IF('Document Workflow'!A442&lt;&gt;"",'Document Workflow'!A442,"")</f>
        <v>#REF!</v>
      </c>
      <c r="B443" s="2" t="s">
        <v>72</v>
      </c>
      <c r="C443" s="3" t="e">
        <f>IF(INDEX('Document Workflow'!M:M,MATCH(A443,'Document Workflow'!A:A,0))&lt;&gt;"",INDEX('Document Workflow'!M:M,MATCH(A443,'Document Workflow'!A:A,0)),"")</f>
        <v>#REF!</v>
      </c>
    </row>
    <row r="444" spans="1:3">
      <c r="A444" s="7" t="e">
        <f>IF('Document Workflow'!A443&lt;&gt;"",'Document Workflow'!A443,"")</f>
        <v>#REF!</v>
      </c>
      <c r="B444" s="2" t="s">
        <v>72</v>
      </c>
      <c r="C444" s="3" t="e">
        <f>IF(INDEX('Document Workflow'!M:M,MATCH(A444,'Document Workflow'!A:A,0))&lt;&gt;"",INDEX('Document Workflow'!M:M,MATCH(A444,'Document Workflow'!A:A,0)),"")</f>
        <v>#REF!</v>
      </c>
    </row>
    <row r="445" spans="1:3">
      <c r="A445" s="7" t="e">
        <f>IF('Document Workflow'!A444&lt;&gt;"",'Document Workflow'!A444,"")</f>
        <v>#REF!</v>
      </c>
      <c r="B445" s="2" t="s">
        <v>72</v>
      </c>
      <c r="C445" s="3" t="e">
        <f>IF(INDEX('Document Workflow'!M:M,MATCH(A445,'Document Workflow'!A:A,0))&lt;&gt;"",INDEX('Document Workflow'!M:M,MATCH(A445,'Document Workflow'!A:A,0)),"")</f>
        <v>#REF!</v>
      </c>
    </row>
    <row r="446" spans="1:3">
      <c r="A446" s="7" t="e">
        <f>IF('Document Workflow'!A445&lt;&gt;"",'Document Workflow'!A445,"")</f>
        <v>#REF!</v>
      </c>
      <c r="B446" s="2" t="s">
        <v>72</v>
      </c>
      <c r="C446" s="3" t="e">
        <f>IF(INDEX('Document Workflow'!M:M,MATCH(A446,'Document Workflow'!A:A,0))&lt;&gt;"",INDEX('Document Workflow'!M:M,MATCH(A446,'Document Workflow'!A:A,0)),"")</f>
        <v>#REF!</v>
      </c>
    </row>
    <row r="447" spans="1:3">
      <c r="A447" s="7" t="e">
        <f>IF('Document Workflow'!A446&lt;&gt;"",'Document Workflow'!A446,"")</f>
        <v>#REF!</v>
      </c>
      <c r="B447" s="2" t="s">
        <v>72</v>
      </c>
      <c r="C447" s="3" t="e">
        <f>IF(INDEX('Document Workflow'!M:M,MATCH(A447,'Document Workflow'!A:A,0))&lt;&gt;"",INDEX('Document Workflow'!M:M,MATCH(A447,'Document Workflow'!A:A,0)),"")</f>
        <v>#REF!</v>
      </c>
    </row>
    <row r="448" spans="1:3">
      <c r="A448" s="7" t="e">
        <f>IF('Document Workflow'!A447&lt;&gt;"",'Document Workflow'!A447,"")</f>
        <v>#REF!</v>
      </c>
      <c r="B448" s="2" t="s">
        <v>72</v>
      </c>
      <c r="C448" s="3" t="e">
        <f>IF(INDEX('Document Workflow'!M:M,MATCH(A448,'Document Workflow'!A:A,0))&lt;&gt;"",INDEX('Document Workflow'!M:M,MATCH(A448,'Document Workflow'!A:A,0)),"")</f>
        <v>#REF!</v>
      </c>
    </row>
    <row r="449" spans="1:3">
      <c r="A449" s="7" t="e">
        <f>IF('Document Workflow'!A448&lt;&gt;"",'Document Workflow'!A448,"")</f>
        <v>#REF!</v>
      </c>
      <c r="B449" s="2" t="s">
        <v>72</v>
      </c>
      <c r="C449" s="3" t="e">
        <f>IF(INDEX('Document Workflow'!M:M,MATCH(A449,'Document Workflow'!A:A,0))&lt;&gt;"",INDEX('Document Workflow'!M:M,MATCH(A449,'Document Workflow'!A:A,0)),"")</f>
        <v>#REF!</v>
      </c>
    </row>
    <row r="450" spans="1:3">
      <c r="A450" s="7" t="e">
        <f>IF('Document Workflow'!A449&lt;&gt;"",'Document Workflow'!A449,"")</f>
        <v>#REF!</v>
      </c>
      <c r="B450" s="2" t="s">
        <v>72</v>
      </c>
      <c r="C450" s="3" t="e">
        <f>IF(INDEX('Document Workflow'!M:M,MATCH(A450,'Document Workflow'!A:A,0))&lt;&gt;"",INDEX('Document Workflow'!M:M,MATCH(A450,'Document Workflow'!A:A,0)),"")</f>
        <v>#REF!</v>
      </c>
    </row>
    <row r="451" spans="1:3">
      <c r="A451" s="7" t="e">
        <f>IF('Document Workflow'!A450&lt;&gt;"",'Document Workflow'!A450,"")</f>
        <v>#REF!</v>
      </c>
      <c r="B451" s="2" t="s">
        <v>72</v>
      </c>
      <c r="C451" s="3" t="e">
        <f>IF(INDEX('Document Workflow'!M:M,MATCH(A451,'Document Workflow'!A:A,0))&lt;&gt;"",INDEX('Document Workflow'!M:M,MATCH(A451,'Document Workflow'!A:A,0)),"")</f>
        <v>#REF!</v>
      </c>
    </row>
    <row r="452" spans="1:3">
      <c r="A452" s="7" t="e">
        <f>IF('Document Workflow'!A451&lt;&gt;"",'Document Workflow'!A451,"")</f>
        <v>#REF!</v>
      </c>
      <c r="B452" s="2" t="s">
        <v>72</v>
      </c>
      <c r="C452" s="3" t="e">
        <f>IF(INDEX('Document Workflow'!M:M,MATCH(A452,'Document Workflow'!A:A,0))&lt;&gt;"",INDEX('Document Workflow'!M:M,MATCH(A452,'Document Workflow'!A:A,0)),"")</f>
        <v>#REF!</v>
      </c>
    </row>
    <row r="453" spans="1:3">
      <c r="A453" s="7" t="e">
        <f>IF('Document Workflow'!A452&lt;&gt;"",'Document Workflow'!A452,"")</f>
        <v>#REF!</v>
      </c>
      <c r="B453" s="2" t="s">
        <v>72</v>
      </c>
      <c r="C453" s="3" t="e">
        <f>IF(INDEX('Document Workflow'!M:M,MATCH(A453,'Document Workflow'!A:A,0))&lt;&gt;"",INDEX('Document Workflow'!M:M,MATCH(A453,'Document Workflow'!A:A,0)),"")</f>
        <v>#REF!</v>
      </c>
    </row>
    <row r="454" spans="1:3">
      <c r="A454" s="7" t="e">
        <f>IF('Document Workflow'!A453&lt;&gt;"",'Document Workflow'!A453,"")</f>
        <v>#REF!</v>
      </c>
      <c r="B454" s="2" t="s">
        <v>72</v>
      </c>
      <c r="C454" s="3" t="e">
        <f>IF(INDEX('Document Workflow'!M:M,MATCH(A454,'Document Workflow'!A:A,0))&lt;&gt;"",INDEX('Document Workflow'!M:M,MATCH(A454,'Document Workflow'!A:A,0)),"")</f>
        <v>#REF!</v>
      </c>
    </row>
    <row r="455" spans="1:3">
      <c r="A455" s="7" t="e">
        <f>IF('Document Workflow'!A454&lt;&gt;"",'Document Workflow'!A454,"")</f>
        <v>#REF!</v>
      </c>
      <c r="B455" s="2" t="s">
        <v>72</v>
      </c>
      <c r="C455" s="3" t="e">
        <f>IF(INDEX('Document Workflow'!M:M,MATCH(A455,'Document Workflow'!A:A,0))&lt;&gt;"",INDEX('Document Workflow'!M:M,MATCH(A455,'Document Workflow'!A:A,0)),"")</f>
        <v>#REF!</v>
      </c>
    </row>
    <row r="456" spans="1:3">
      <c r="A456" s="7" t="e">
        <f>IF('Document Workflow'!A455&lt;&gt;"",'Document Workflow'!A455,"")</f>
        <v>#REF!</v>
      </c>
      <c r="B456" s="2" t="s">
        <v>72</v>
      </c>
      <c r="C456" s="3" t="e">
        <f>IF(INDEX('Document Workflow'!M:M,MATCH(A456,'Document Workflow'!A:A,0))&lt;&gt;"",INDEX('Document Workflow'!M:M,MATCH(A456,'Document Workflow'!A:A,0)),"")</f>
        <v>#REF!</v>
      </c>
    </row>
    <row r="457" spans="1:3">
      <c r="A457" s="7" t="e">
        <f>IF('Document Workflow'!A456&lt;&gt;"",'Document Workflow'!A456,"")</f>
        <v>#REF!</v>
      </c>
      <c r="B457" s="2" t="s">
        <v>72</v>
      </c>
      <c r="C457" s="3" t="e">
        <f>IF(INDEX('Document Workflow'!M:M,MATCH(A457,'Document Workflow'!A:A,0))&lt;&gt;"",INDEX('Document Workflow'!M:M,MATCH(A457,'Document Workflow'!A:A,0)),"")</f>
        <v>#REF!</v>
      </c>
    </row>
    <row r="458" spans="1:3">
      <c r="A458" s="7" t="e">
        <f>IF('Document Workflow'!A457&lt;&gt;"",'Document Workflow'!A457,"")</f>
        <v>#REF!</v>
      </c>
      <c r="B458" s="2" t="s">
        <v>72</v>
      </c>
      <c r="C458" s="3" t="e">
        <f>IF(INDEX('Document Workflow'!M:M,MATCH(A458,'Document Workflow'!A:A,0))&lt;&gt;"",INDEX('Document Workflow'!M:M,MATCH(A458,'Document Workflow'!A:A,0)),"")</f>
        <v>#REF!</v>
      </c>
    </row>
    <row r="459" spans="1:3">
      <c r="A459" s="7" t="e">
        <f>IF('Document Workflow'!A458&lt;&gt;"",'Document Workflow'!A458,"")</f>
        <v>#REF!</v>
      </c>
      <c r="B459" s="2" t="s">
        <v>72</v>
      </c>
      <c r="C459" s="3" t="e">
        <f>IF(INDEX('Document Workflow'!M:M,MATCH(A459,'Document Workflow'!A:A,0))&lt;&gt;"",INDEX('Document Workflow'!M:M,MATCH(A459,'Document Workflow'!A:A,0)),"")</f>
        <v>#REF!</v>
      </c>
    </row>
    <row r="460" spans="1:3">
      <c r="A460" s="7" t="e">
        <f>IF('Document Workflow'!A459&lt;&gt;"",'Document Workflow'!A459,"")</f>
        <v>#REF!</v>
      </c>
      <c r="B460" s="2" t="s">
        <v>72</v>
      </c>
      <c r="C460" s="3" t="e">
        <f>IF(INDEX('Document Workflow'!M:M,MATCH(A460,'Document Workflow'!A:A,0))&lt;&gt;"",INDEX('Document Workflow'!M:M,MATCH(A460,'Document Workflow'!A:A,0)),"")</f>
        <v>#REF!</v>
      </c>
    </row>
    <row r="461" spans="1:3">
      <c r="A461" s="7" t="e">
        <f>IF('Document Workflow'!A460&lt;&gt;"",'Document Workflow'!A460,"")</f>
        <v>#REF!</v>
      </c>
      <c r="B461" s="2" t="s">
        <v>72</v>
      </c>
      <c r="C461" s="3" t="e">
        <f>IF(INDEX('Document Workflow'!M:M,MATCH(A461,'Document Workflow'!A:A,0))&lt;&gt;"",INDEX('Document Workflow'!M:M,MATCH(A461,'Document Workflow'!A:A,0)),"")</f>
        <v>#REF!</v>
      </c>
    </row>
    <row r="462" spans="1:3">
      <c r="A462" s="7" t="e">
        <f>IF('Document Workflow'!A461&lt;&gt;"",'Document Workflow'!A461,"")</f>
        <v>#REF!</v>
      </c>
      <c r="B462" s="2" t="s">
        <v>72</v>
      </c>
      <c r="C462" s="3" t="e">
        <f>IF(INDEX('Document Workflow'!M:M,MATCH(A462,'Document Workflow'!A:A,0))&lt;&gt;"",INDEX('Document Workflow'!M:M,MATCH(A462,'Document Workflow'!A:A,0)),"")</f>
        <v>#REF!</v>
      </c>
    </row>
    <row r="463" spans="1:3">
      <c r="A463" s="7" t="e">
        <f>IF('Document Workflow'!A462&lt;&gt;"",'Document Workflow'!A462,"")</f>
        <v>#REF!</v>
      </c>
      <c r="B463" s="2" t="s">
        <v>72</v>
      </c>
      <c r="C463" s="3" t="e">
        <f>IF(INDEX('Document Workflow'!M:M,MATCH(A463,'Document Workflow'!A:A,0))&lt;&gt;"",INDEX('Document Workflow'!M:M,MATCH(A463,'Document Workflow'!A:A,0)),"")</f>
        <v>#REF!</v>
      </c>
    </row>
    <row r="464" spans="1:3">
      <c r="A464" s="7" t="e">
        <f>IF('Document Workflow'!A463&lt;&gt;"",'Document Workflow'!A463,"")</f>
        <v>#REF!</v>
      </c>
      <c r="B464" s="2" t="s">
        <v>72</v>
      </c>
      <c r="C464" s="3" t="e">
        <f>IF(INDEX('Document Workflow'!M:M,MATCH(A464,'Document Workflow'!A:A,0))&lt;&gt;"",INDEX('Document Workflow'!M:M,MATCH(A464,'Document Workflow'!A:A,0)),"")</f>
        <v>#REF!</v>
      </c>
    </row>
    <row r="465" spans="1:3">
      <c r="A465" s="7" t="e">
        <f>IF('Document Workflow'!A464&lt;&gt;"",'Document Workflow'!A464,"")</f>
        <v>#REF!</v>
      </c>
      <c r="B465" s="2" t="s">
        <v>72</v>
      </c>
      <c r="C465" s="3" t="e">
        <f>IF(INDEX('Document Workflow'!M:M,MATCH(A465,'Document Workflow'!A:A,0))&lt;&gt;"",INDEX('Document Workflow'!M:M,MATCH(A465,'Document Workflow'!A:A,0)),"")</f>
        <v>#REF!</v>
      </c>
    </row>
    <row r="466" spans="1:3">
      <c r="A466" s="7" t="e">
        <f>IF('Document Workflow'!A465&lt;&gt;"",'Document Workflow'!A465,"")</f>
        <v>#REF!</v>
      </c>
      <c r="B466" s="2" t="s">
        <v>72</v>
      </c>
      <c r="C466" s="3" t="e">
        <f>IF(INDEX('Document Workflow'!M:M,MATCH(A466,'Document Workflow'!A:A,0))&lt;&gt;"",INDEX('Document Workflow'!M:M,MATCH(A466,'Document Workflow'!A:A,0)),"")</f>
        <v>#REF!</v>
      </c>
    </row>
    <row r="467" spans="1:3">
      <c r="A467" s="7" t="e">
        <f>IF('Document Workflow'!A466&lt;&gt;"",'Document Workflow'!A466,"")</f>
        <v>#REF!</v>
      </c>
      <c r="B467" s="2" t="s">
        <v>72</v>
      </c>
      <c r="C467" s="3" t="e">
        <f>IF(INDEX('Document Workflow'!M:M,MATCH(A467,'Document Workflow'!A:A,0))&lt;&gt;"",INDEX('Document Workflow'!M:M,MATCH(A467,'Document Workflow'!A:A,0)),"")</f>
        <v>#REF!</v>
      </c>
    </row>
    <row r="468" spans="1:3">
      <c r="A468" s="7" t="e">
        <f>IF('Document Workflow'!A467&lt;&gt;"",'Document Workflow'!A467,"")</f>
        <v>#REF!</v>
      </c>
      <c r="B468" s="2" t="s">
        <v>72</v>
      </c>
      <c r="C468" s="3" t="e">
        <f>IF(INDEX('Document Workflow'!M:M,MATCH(A468,'Document Workflow'!A:A,0))&lt;&gt;"",INDEX('Document Workflow'!M:M,MATCH(A468,'Document Workflow'!A:A,0)),"")</f>
        <v>#REF!</v>
      </c>
    </row>
    <row r="469" spans="1:3">
      <c r="A469" s="7" t="e">
        <f>IF('Document Workflow'!A468&lt;&gt;"",'Document Workflow'!A468,"")</f>
        <v>#REF!</v>
      </c>
      <c r="B469" s="2" t="s">
        <v>72</v>
      </c>
      <c r="C469" s="3" t="e">
        <f>IF(INDEX('Document Workflow'!M:M,MATCH(A469,'Document Workflow'!A:A,0))&lt;&gt;"",INDEX('Document Workflow'!M:M,MATCH(A469,'Document Workflow'!A:A,0)),"")</f>
        <v>#REF!</v>
      </c>
    </row>
    <row r="470" spans="1:3">
      <c r="A470" s="7" t="e">
        <f>IF('Document Workflow'!A469&lt;&gt;"",'Document Workflow'!A469,"")</f>
        <v>#REF!</v>
      </c>
      <c r="B470" s="2" t="s">
        <v>72</v>
      </c>
      <c r="C470" s="3" t="e">
        <f>IF(INDEX('Document Workflow'!M:M,MATCH(A470,'Document Workflow'!A:A,0))&lt;&gt;"",INDEX('Document Workflow'!M:M,MATCH(A470,'Document Workflow'!A:A,0)),"")</f>
        <v>#REF!</v>
      </c>
    </row>
    <row r="471" spans="1:3">
      <c r="A471" s="7" t="e">
        <f>IF('Document Workflow'!A470&lt;&gt;"",'Document Workflow'!A470,"")</f>
        <v>#REF!</v>
      </c>
      <c r="B471" s="2" t="s">
        <v>72</v>
      </c>
      <c r="C471" s="3" t="e">
        <f>IF(INDEX('Document Workflow'!M:M,MATCH(A471,'Document Workflow'!A:A,0))&lt;&gt;"",INDEX('Document Workflow'!M:M,MATCH(A471,'Document Workflow'!A:A,0)),"")</f>
        <v>#REF!</v>
      </c>
    </row>
    <row r="472" spans="1:3">
      <c r="A472" s="7" t="e">
        <f>IF('Document Workflow'!A471&lt;&gt;"",'Document Workflow'!A471,"")</f>
        <v>#REF!</v>
      </c>
      <c r="B472" s="2" t="s">
        <v>72</v>
      </c>
      <c r="C472" s="3" t="e">
        <f>IF(INDEX('Document Workflow'!M:M,MATCH(A472,'Document Workflow'!A:A,0))&lt;&gt;"",INDEX('Document Workflow'!M:M,MATCH(A472,'Document Workflow'!A:A,0)),"")</f>
        <v>#REF!</v>
      </c>
    </row>
    <row r="473" spans="1:3">
      <c r="A473" s="7" t="e">
        <f>IF('Document Workflow'!A472&lt;&gt;"",'Document Workflow'!A472,"")</f>
        <v>#REF!</v>
      </c>
      <c r="B473" s="2" t="s">
        <v>72</v>
      </c>
      <c r="C473" s="3" t="e">
        <f>IF(INDEX('Document Workflow'!M:M,MATCH(A473,'Document Workflow'!A:A,0))&lt;&gt;"",INDEX('Document Workflow'!M:M,MATCH(A473,'Document Workflow'!A:A,0)),"")</f>
        <v>#REF!</v>
      </c>
    </row>
    <row r="474" spans="1:3">
      <c r="A474" s="7" t="e">
        <f>IF('Document Workflow'!A473&lt;&gt;"",'Document Workflow'!A473,"")</f>
        <v>#REF!</v>
      </c>
      <c r="B474" s="2" t="s">
        <v>72</v>
      </c>
      <c r="C474" s="3" t="e">
        <f>IF(INDEX('Document Workflow'!M:M,MATCH(A474,'Document Workflow'!A:A,0))&lt;&gt;"",INDEX('Document Workflow'!M:M,MATCH(A474,'Document Workflow'!A:A,0)),"")</f>
        <v>#REF!</v>
      </c>
    </row>
    <row r="475" spans="1:3">
      <c r="A475" s="7" t="e">
        <f>IF('Document Workflow'!A474&lt;&gt;"",'Document Workflow'!A474,"")</f>
        <v>#REF!</v>
      </c>
      <c r="B475" s="2" t="s">
        <v>72</v>
      </c>
      <c r="C475" s="3" t="e">
        <f>IF(INDEX('Document Workflow'!M:M,MATCH(A475,'Document Workflow'!A:A,0))&lt;&gt;"",INDEX('Document Workflow'!M:M,MATCH(A475,'Document Workflow'!A:A,0)),"")</f>
        <v>#REF!</v>
      </c>
    </row>
    <row r="476" spans="1:3">
      <c r="A476" s="7" t="e">
        <f>IF('Document Workflow'!A475&lt;&gt;"",'Document Workflow'!A475,"")</f>
        <v>#REF!</v>
      </c>
      <c r="B476" s="2" t="s">
        <v>72</v>
      </c>
      <c r="C476" s="3" t="e">
        <f>IF(INDEX('Document Workflow'!M:M,MATCH(A476,'Document Workflow'!A:A,0))&lt;&gt;"",INDEX('Document Workflow'!M:M,MATCH(A476,'Document Workflow'!A:A,0)),"")</f>
        <v>#REF!</v>
      </c>
    </row>
    <row r="477" spans="1:3">
      <c r="A477" s="7" t="e">
        <f>IF('Document Workflow'!A476&lt;&gt;"",'Document Workflow'!A476,"")</f>
        <v>#REF!</v>
      </c>
      <c r="B477" s="2" t="s">
        <v>72</v>
      </c>
      <c r="C477" s="3" t="e">
        <f>IF(INDEX('Document Workflow'!M:M,MATCH(A477,'Document Workflow'!A:A,0))&lt;&gt;"",INDEX('Document Workflow'!M:M,MATCH(A477,'Document Workflow'!A:A,0)),"")</f>
        <v>#REF!</v>
      </c>
    </row>
    <row r="478" spans="1:3">
      <c r="A478" s="7" t="e">
        <f>IF('Document Workflow'!A477&lt;&gt;"",'Document Workflow'!A477,"")</f>
        <v>#REF!</v>
      </c>
      <c r="B478" s="2" t="s">
        <v>72</v>
      </c>
      <c r="C478" s="3" t="e">
        <f>IF(INDEX('Document Workflow'!M:M,MATCH(A478,'Document Workflow'!A:A,0))&lt;&gt;"",INDEX('Document Workflow'!M:M,MATCH(A478,'Document Workflow'!A:A,0)),"")</f>
        <v>#REF!</v>
      </c>
    </row>
    <row r="479" spans="1:3">
      <c r="A479" s="7" t="e">
        <f>IF('Document Workflow'!A478&lt;&gt;"",'Document Workflow'!A478,"")</f>
        <v>#REF!</v>
      </c>
      <c r="B479" s="2" t="s">
        <v>72</v>
      </c>
      <c r="C479" s="3" t="e">
        <f>IF(INDEX('Document Workflow'!M:M,MATCH(A479,'Document Workflow'!A:A,0))&lt;&gt;"",INDEX('Document Workflow'!M:M,MATCH(A479,'Document Workflow'!A:A,0)),"")</f>
        <v>#REF!</v>
      </c>
    </row>
    <row r="480" spans="1:3">
      <c r="A480" s="7" t="e">
        <f>IF('Document Workflow'!A479&lt;&gt;"",'Document Workflow'!A479,"")</f>
        <v>#REF!</v>
      </c>
      <c r="B480" s="2" t="s">
        <v>72</v>
      </c>
      <c r="C480" s="3" t="e">
        <f>IF(INDEX('Document Workflow'!M:M,MATCH(A480,'Document Workflow'!A:A,0))&lt;&gt;"",INDEX('Document Workflow'!M:M,MATCH(A480,'Document Workflow'!A:A,0)),"")</f>
        <v>#REF!</v>
      </c>
    </row>
    <row r="481" spans="1:3">
      <c r="A481" s="7" t="e">
        <f>IF('Document Workflow'!A480&lt;&gt;"",'Document Workflow'!A480,"")</f>
        <v>#REF!</v>
      </c>
      <c r="B481" s="2" t="s">
        <v>72</v>
      </c>
      <c r="C481" s="3" t="e">
        <f>IF(INDEX('Document Workflow'!M:M,MATCH(A481,'Document Workflow'!A:A,0))&lt;&gt;"",INDEX('Document Workflow'!M:M,MATCH(A481,'Document Workflow'!A:A,0)),"")</f>
        <v>#REF!</v>
      </c>
    </row>
    <row r="482" spans="1:3">
      <c r="A482" s="7" t="e">
        <f>IF('Document Workflow'!A481&lt;&gt;"",'Document Workflow'!A481,"")</f>
        <v>#REF!</v>
      </c>
      <c r="B482" s="2" t="s">
        <v>72</v>
      </c>
      <c r="C482" s="3" t="e">
        <f>IF(INDEX('Document Workflow'!M:M,MATCH(A482,'Document Workflow'!A:A,0))&lt;&gt;"",INDEX('Document Workflow'!M:M,MATCH(A482,'Document Workflow'!A:A,0)),"")</f>
        <v>#REF!</v>
      </c>
    </row>
    <row r="483" spans="1:3">
      <c r="A483" s="7" t="e">
        <f>IF('Document Workflow'!A482&lt;&gt;"",'Document Workflow'!A482,"")</f>
        <v>#REF!</v>
      </c>
      <c r="B483" s="2" t="s">
        <v>72</v>
      </c>
      <c r="C483" s="3" t="e">
        <f>IF(INDEX('Document Workflow'!M:M,MATCH(A483,'Document Workflow'!A:A,0))&lt;&gt;"",INDEX('Document Workflow'!M:M,MATCH(A483,'Document Workflow'!A:A,0)),"")</f>
        <v>#REF!</v>
      </c>
    </row>
    <row r="484" spans="1:3">
      <c r="A484" s="7" t="e">
        <f>IF('Document Workflow'!A483&lt;&gt;"",'Document Workflow'!A483,"")</f>
        <v>#REF!</v>
      </c>
      <c r="B484" s="2" t="s">
        <v>72</v>
      </c>
      <c r="C484" s="3" t="e">
        <f>IF(INDEX('Document Workflow'!M:M,MATCH(A484,'Document Workflow'!A:A,0))&lt;&gt;"",INDEX('Document Workflow'!M:M,MATCH(A484,'Document Workflow'!A:A,0)),"")</f>
        <v>#REF!</v>
      </c>
    </row>
    <row r="485" spans="1:3">
      <c r="A485" s="7" t="e">
        <f>IF('Document Workflow'!A484&lt;&gt;"",'Document Workflow'!A484,"")</f>
        <v>#REF!</v>
      </c>
      <c r="B485" s="2" t="s">
        <v>72</v>
      </c>
      <c r="C485" s="3" t="e">
        <f>IF(INDEX('Document Workflow'!M:M,MATCH(A485,'Document Workflow'!A:A,0))&lt;&gt;"",INDEX('Document Workflow'!M:M,MATCH(A485,'Document Workflow'!A:A,0)),"")</f>
        <v>#REF!</v>
      </c>
    </row>
    <row r="486" spans="1:3">
      <c r="A486" s="7" t="e">
        <f>IF('Document Workflow'!A485&lt;&gt;"",'Document Workflow'!A485,"")</f>
        <v>#REF!</v>
      </c>
      <c r="B486" s="2" t="s">
        <v>72</v>
      </c>
      <c r="C486" s="3" t="e">
        <f>IF(INDEX('Document Workflow'!M:M,MATCH(A486,'Document Workflow'!A:A,0))&lt;&gt;"",INDEX('Document Workflow'!M:M,MATCH(A486,'Document Workflow'!A:A,0)),"")</f>
        <v>#REF!</v>
      </c>
    </row>
    <row r="487" spans="1:3">
      <c r="A487" s="7" t="e">
        <f>IF('Document Workflow'!A486&lt;&gt;"",'Document Workflow'!A486,"")</f>
        <v>#REF!</v>
      </c>
      <c r="B487" s="2" t="s">
        <v>72</v>
      </c>
      <c r="C487" s="3" t="e">
        <f>IF(INDEX('Document Workflow'!M:M,MATCH(A487,'Document Workflow'!A:A,0))&lt;&gt;"",INDEX('Document Workflow'!M:M,MATCH(A487,'Document Workflow'!A:A,0)),"")</f>
        <v>#REF!</v>
      </c>
    </row>
    <row r="488" spans="1:3">
      <c r="A488" s="7" t="e">
        <f>IF('Document Workflow'!A487&lt;&gt;"",'Document Workflow'!A487,"")</f>
        <v>#REF!</v>
      </c>
      <c r="B488" s="2" t="s">
        <v>72</v>
      </c>
      <c r="C488" s="3" t="e">
        <f>IF(INDEX('Document Workflow'!M:M,MATCH(A488,'Document Workflow'!A:A,0))&lt;&gt;"",INDEX('Document Workflow'!M:M,MATCH(A488,'Document Workflow'!A:A,0)),"")</f>
        <v>#REF!</v>
      </c>
    </row>
    <row r="489" spans="1:3">
      <c r="A489" s="7" t="e">
        <f>IF('Document Workflow'!A488&lt;&gt;"",'Document Workflow'!A488,"")</f>
        <v>#REF!</v>
      </c>
      <c r="B489" s="2" t="s">
        <v>72</v>
      </c>
      <c r="C489" s="3" t="e">
        <f>IF(INDEX('Document Workflow'!M:M,MATCH(A489,'Document Workflow'!A:A,0))&lt;&gt;"",INDEX('Document Workflow'!M:M,MATCH(A489,'Document Workflow'!A:A,0)),"")</f>
        <v>#REF!</v>
      </c>
    </row>
    <row r="490" spans="1:3">
      <c r="A490" s="7" t="e">
        <f>IF('Document Workflow'!A489&lt;&gt;"",'Document Workflow'!A489,"")</f>
        <v>#REF!</v>
      </c>
      <c r="B490" s="2" t="s">
        <v>72</v>
      </c>
      <c r="C490" s="3" t="e">
        <f>IF(INDEX('Document Workflow'!M:M,MATCH(A490,'Document Workflow'!A:A,0))&lt;&gt;"",INDEX('Document Workflow'!M:M,MATCH(A490,'Document Workflow'!A:A,0)),"")</f>
        <v>#REF!</v>
      </c>
    </row>
    <row r="491" spans="1:3">
      <c r="A491" s="7" t="e">
        <f>IF('Document Workflow'!A490&lt;&gt;"",'Document Workflow'!A490,"")</f>
        <v>#REF!</v>
      </c>
      <c r="B491" s="2" t="s">
        <v>72</v>
      </c>
      <c r="C491" s="3" t="e">
        <f>IF(INDEX('Document Workflow'!M:M,MATCH(A491,'Document Workflow'!A:A,0))&lt;&gt;"",INDEX('Document Workflow'!M:M,MATCH(A491,'Document Workflow'!A:A,0)),"")</f>
        <v>#REF!</v>
      </c>
    </row>
    <row r="492" spans="1:3">
      <c r="A492" s="7" t="e">
        <f>IF('Document Workflow'!A491&lt;&gt;"",'Document Workflow'!A491,"")</f>
        <v>#REF!</v>
      </c>
      <c r="B492" s="2" t="s">
        <v>72</v>
      </c>
      <c r="C492" s="3" t="e">
        <f>IF(INDEX('Document Workflow'!M:M,MATCH(A492,'Document Workflow'!A:A,0))&lt;&gt;"",INDEX('Document Workflow'!M:M,MATCH(A492,'Document Workflow'!A:A,0)),"")</f>
        <v>#REF!</v>
      </c>
    </row>
    <row r="493" spans="1:3">
      <c r="A493" s="7" t="e">
        <f>IF('Document Workflow'!A492&lt;&gt;"",'Document Workflow'!A492,"")</f>
        <v>#REF!</v>
      </c>
      <c r="B493" s="2" t="s">
        <v>72</v>
      </c>
      <c r="C493" s="3" t="e">
        <f>IF(INDEX('Document Workflow'!M:M,MATCH(A493,'Document Workflow'!A:A,0))&lt;&gt;"",INDEX('Document Workflow'!M:M,MATCH(A493,'Document Workflow'!A:A,0)),"")</f>
        <v>#REF!</v>
      </c>
    </row>
    <row r="494" spans="1:3">
      <c r="A494" s="7" t="e">
        <f>IF('Document Workflow'!A493&lt;&gt;"",'Document Workflow'!A493,"")</f>
        <v>#REF!</v>
      </c>
      <c r="B494" s="2" t="s">
        <v>72</v>
      </c>
      <c r="C494" s="3" t="e">
        <f>IF(INDEX('Document Workflow'!M:M,MATCH(A494,'Document Workflow'!A:A,0))&lt;&gt;"",INDEX('Document Workflow'!M:M,MATCH(A494,'Document Workflow'!A:A,0)),"")</f>
        <v>#REF!</v>
      </c>
    </row>
    <row r="495" spans="1:3">
      <c r="A495" s="7" t="e">
        <f>IF('Document Workflow'!A494&lt;&gt;"",'Document Workflow'!A494,"")</f>
        <v>#REF!</v>
      </c>
      <c r="B495" s="2" t="s">
        <v>72</v>
      </c>
      <c r="C495" s="3" t="e">
        <f>IF(INDEX('Document Workflow'!M:M,MATCH(A495,'Document Workflow'!A:A,0))&lt;&gt;"",INDEX('Document Workflow'!M:M,MATCH(A495,'Document Workflow'!A:A,0)),"")</f>
        <v>#REF!</v>
      </c>
    </row>
    <row r="496" spans="1:3">
      <c r="A496" s="7" t="e">
        <f>IF('Document Workflow'!A495&lt;&gt;"",'Document Workflow'!A495,"")</f>
        <v>#REF!</v>
      </c>
      <c r="B496" s="2" t="s">
        <v>72</v>
      </c>
      <c r="C496" s="3" t="e">
        <f>IF(INDEX('Document Workflow'!M:M,MATCH(A496,'Document Workflow'!A:A,0))&lt;&gt;"",INDEX('Document Workflow'!M:M,MATCH(A496,'Document Workflow'!A:A,0)),"")</f>
        <v>#REF!</v>
      </c>
    </row>
    <row r="497" spans="1:3">
      <c r="A497" s="7" t="e">
        <f>IF('Document Workflow'!A496&lt;&gt;"",'Document Workflow'!A496,"")</f>
        <v>#REF!</v>
      </c>
      <c r="B497" s="2" t="s">
        <v>72</v>
      </c>
      <c r="C497" s="3" t="e">
        <f>IF(INDEX('Document Workflow'!M:M,MATCH(A497,'Document Workflow'!A:A,0))&lt;&gt;"",INDEX('Document Workflow'!M:M,MATCH(A497,'Document Workflow'!A:A,0)),"")</f>
        <v>#REF!</v>
      </c>
    </row>
    <row r="498" spans="1:3">
      <c r="A498" s="7" t="e">
        <f>IF('Document Workflow'!A497&lt;&gt;"",'Document Workflow'!A497,"")</f>
        <v>#REF!</v>
      </c>
      <c r="B498" s="2" t="s">
        <v>72</v>
      </c>
      <c r="C498" s="3" t="e">
        <f>IF(INDEX('Document Workflow'!M:M,MATCH(A498,'Document Workflow'!A:A,0))&lt;&gt;"",INDEX('Document Workflow'!M:M,MATCH(A498,'Document Workflow'!A:A,0)),"")</f>
        <v>#REF!</v>
      </c>
    </row>
    <row r="499" spans="1:3">
      <c r="A499" s="7" t="e">
        <f>IF('Document Workflow'!A498&lt;&gt;"",'Document Workflow'!A498,"")</f>
        <v>#REF!</v>
      </c>
      <c r="B499" s="2" t="s">
        <v>72</v>
      </c>
      <c r="C499" s="3" t="e">
        <f>IF(INDEX('Document Workflow'!M:M,MATCH(A499,'Document Workflow'!A:A,0))&lt;&gt;"",INDEX('Document Workflow'!M:M,MATCH(A499,'Document Workflow'!A:A,0)),"")</f>
        <v>#REF!</v>
      </c>
    </row>
    <row r="500" spans="1:3">
      <c r="A500" s="7" t="e">
        <f>IF('Document Workflow'!A499&lt;&gt;"",'Document Workflow'!A499,"")</f>
        <v>#REF!</v>
      </c>
      <c r="B500" s="2" t="s">
        <v>72</v>
      </c>
      <c r="C500" s="3" t="e">
        <f>IF(INDEX('Document Workflow'!M:M,MATCH(A500,'Document Workflow'!A:A,0))&lt;&gt;"",INDEX('Document Workflow'!M:M,MATCH(A500,'Document Workflow'!A:A,0)),"")</f>
        <v>#REF!</v>
      </c>
    </row>
    <row r="501" spans="1:3">
      <c r="A501" s="7" t="e">
        <f>IF('Document Workflow'!A500&lt;&gt;"",'Document Workflow'!A500,"")</f>
        <v>#REF!</v>
      </c>
      <c r="B501" s="2" t="s">
        <v>72</v>
      </c>
      <c r="C501" s="3" t="e">
        <f>IF(INDEX('Document Workflow'!M:M,MATCH(A501,'Document Workflow'!A:A,0))&lt;&gt;"",INDEX('Document Workflow'!M:M,MATCH(A501,'Document Workflow'!A:A,0)),"")</f>
        <v>#REF!</v>
      </c>
    </row>
    <row r="502" spans="1:3">
      <c r="A502" s="7" t="e">
        <f>IF('Document Workflow'!A501&lt;&gt;"",'Document Workflow'!A501,"")</f>
        <v>#REF!</v>
      </c>
      <c r="B502" s="2" t="s">
        <v>72</v>
      </c>
      <c r="C502" s="3" t="e">
        <f>IF(INDEX('Document Workflow'!M:M,MATCH(A502,'Document Workflow'!A:A,0))&lt;&gt;"",INDEX('Document Workflow'!M:M,MATCH(A502,'Document Workflow'!A:A,0)),"")</f>
        <v>#REF!</v>
      </c>
    </row>
    <row r="503" spans="1:3">
      <c r="A503" s="7" t="e">
        <f>IF('Document Workflow'!A502&lt;&gt;"",'Document Workflow'!A502,"")</f>
        <v>#REF!</v>
      </c>
      <c r="B503" s="2" t="s">
        <v>72</v>
      </c>
      <c r="C503" s="3" t="e">
        <f>IF(INDEX('Document Workflow'!M:M,MATCH(A503,'Document Workflow'!A:A,0))&lt;&gt;"",INDEX('Document Workflow'!M:M,MATCH(A503,'Document Workflow'!A:A,0)),"")</f>
        <v>#REF!</v>
      </c>
    </row>
    <row r="504" spans="1:3">
      <c r="A504" s="7" t="e">
        <f>IF('Document Workflow'!A503&lt;&gt;"",'Document Workflow'!A503,"")</f>
        <v>#REF!</v>
      </c>
      <c r="B504" s="2" t="s">
        <v>72</v>
      </c>
      <c r="C504" s="3" t="e">
        <f>IF(INDEX('Document Workflow'!M:M,MATCH(A504,'Document Workflow'!A:A,0))&lt;&gt;"",INDEX('Document Workflow'!M:M,MATCH(A504,'Document Workflow'!A:A,0)),"")</f>
        <v>#REF!</v>
      </c>
    </row>
    <row r="505" spans="1:3">
      <c r="A505" s="7" t="e">
        <f>IF('Document Workflow'!A504&lt;&gt;"",'Document Workflow'!A504,"")</f>
        <v>#REF!</v>
      </c>
      <c r="B505" s="2" t="s">
        <v>72</v>
      </c>
      <c r="C505" s="3" t="e">
        <f>IF(INDEX('Document Workflow'!M:M,MATCH(A505,'Document Workflow'!A:A,0))&lt;&gt;"",INDEX('Document Workflow'!M:M,MATCH(A505,'Document Workflow'!A:A,0)),"")</f>
        <v>#REF!</v>
      </c>
    </row>
    <row r="506" spans="1:3">
      <c r="A506" s="7" t="e">
        <f>IF('Document Workflow'!A505&lt;&gt;"",'Document Workflow'!A505,"")</f>
        <v>#REF!</v>
      </c>
      <c r="B506" s="2" t="s">
        <v>72</v>
      </c>
      <c r="C506" s="3" t="e">
        <f>IF(INDEX('Document Workflow'!M:M,MATCH(A506,'Document Workflow'!A:A,0))&lt;&gt;"",INDEX('Document Workflow'!M:M,MATCH(A506,'Document Workflow'!A:A,0)),"")</f>
        <v>#REF!</v>
      </c>
    </row>
    <row r="507" spans="1:3">
      <c r="A507" s="7" t="e">
        <f>IF('Document Workflow'!A506&lt;&gt;"",'Document Workflow'!A506,"")</f>
        <v>#REF!</v>
      </c>
      <c r="B507" s="2" t="s">
        <v>72</v>
      </c>
      <c r="C507" s="3" t="e">
        <f>IF(INDEX('Document Workflow'!M:M,MATCH(A507,'Document Workflow'!A:A,0))&lt;&gt;"",INDEX('Document Workflow'!M:M,MATCH(A507,'Document Workflow'!A:A,0)),"")</f>
        <v>#REF!</v>
      </c>
    </row>
    <row r="508" spans="1:3">
      <c r="A508" s="7" t="e">
        <f>IF('Document Workflow'!A507&lt;&gt;"",'Document Workflow'!A507,"")</f>
        <v>#REF!</v>
      </c>
      <c r="B508" s="2" t="s">
        <v>72</v>
      </c>
      <c r="C508" s="3" t="e">
        <f>IF(INDEX('Document Workflow'!M:M,MATCH(A508,'Document Workflow'!A:A,0))&lt;&gt;"",INDEX('Document Workflow'!M:M,MATCH(A508,'Document Workflow'!A:A,0)),"")</f>
        <v>#REF!</v>
      </c>
    </row>
    <row r="509" spans="1:3">
      <c r="A509" s="7" t="e">
        <f>IF('Document Workflow'!A508&lt;&gt;"",'Document Workflow'!A508,"")</f>
        <v>#REF!</v>
      </c>
      <c r="B509" s="2" t="s">
        <v>72</v>
      </c>
      <c r="C509" s="3" t="e">
        <f>IF(INDEX('Document Workflow'!M:M,MATCH(A509,'Document Workflow'!A:A,0))&lt;&gt;"",INDEX('Document Workflow'!M:M,MATCH(A509,'Document Workflow'!A:A,0)),"")</f>
        <v>#REF!</v>
      </c>
    </row>
    <row r="510" spans="1:3">
      <c r="A510" s="7" t="e">
        <f>IF('Document Workflow'!A509&lt;&gt;"",'Document Workflow'!A509,"")</f>
        <v>#REF!</v>
      </c>
      <c r="B510" s="2" t="s">
        <v>72</v>
      </c>
      <c r="C510" s="3" t="e">
        <f>IF(INDEX('Document Workflow'!M:M,MATCH(A510,'Document Workflow'!A:A,0))&lt;&gt;"",INDEX('Document Workflow'!M:M,MATCH(A510,'Document Workflow'!A:A,0)),"")</f>
        <v>#REF!</v>
      </c>
    </row>
    <row r="511" spans="1:3">
      <c r="A511" s="7" t="e">
        <f>IF('Document Workflow'!A510&lt;&gt;"",'Document Workflow'!A510,"")</f>
        <v>#REF!</v>
      </c>
      <c r="B511" s="2" t="s">
        <v>72</v>
      </c>
      <c r="C511" s="3" t="e">
        <f>IF(INDEX('Document Workflow'!M:M,MATCH(A511,'Document Workflow'!A:A,0))&lt;&gt;"",INDEX('Document Workflow'!M:M,MATCH(A511,'Document Workflow'!A:A,0)),"")</f>
        <v>#REF!</v>
      </c>
    </row>
    <row r="512" spans="1:3">
      <c r="A512" s="7" t="e">
        <f>IF('Document Workflow'!A511&lt;&gt;"",'Document Workflow'!A511,"")</f>
        <v>#REF!</v>
      </c>
      <c r="B512" s="2" t="s">
        <v>72</v>
      </c>
      <c r="C512" s="3" t="e">
        <f>IF(INDEX('Document Workflow'!M:M,MATCH(A512,'Document Workflow'!A:A,0))&lt;&gt;"",INDEX('Document Workflow'!M:M,MATCH(A512,'Document Workflow'!A:A,0)),"")</f>
        <v>#REF!</v>
      </c>
    </row>
    <row r="513" spans="1:3">
      <c r="A513" s="7" t="e">
        <f>IF('Document Workflow'!A512&lt;&gt;"",'Document Workflow'!A512,"")</f>
        <v>#REF!</v>
      </c>
      <c r="B513" s="2" t="s">
        <v>72</v>
      </c>
      <c r="C513" s="3" t="e">
        <f>IF(INDEX('Document Workflow'!M:M,MATCH(A513,'Document Workflow'!A:A,0))&lt;&gt;"",INDEX('Document Workflow'!M:M,MATCH(A513,'Document Workflow'!A:A,0)),"")</f>
        <v>#REF!</v>
      </c>
    </row>
    <row r="514" spans="1:3">
      <c r="A514" s="7" t="e">
        <f>IF('Document Workflow'!A513&lt;&gt;"",'Document Workflow'!A513,"")</f>
        <v>#REF!</v>
      </c>
      <c r="B514" s="2" t="s">
        <v>72</v>
      </c>
      <c r="C514" s="3" t="e">
        <f>IF(INDEX('Document Workflow'!M:M,MATCH(A514,'Document Workflow'!A:A,0))&lt;&gt;"",INDEX('Document Workflow'!M:M,MATCH(A514,'Document Workflow'!A:A,0)),"")</f>
        <v>#REF!</v>
      </c>
    </row>
    <row r="515" spans="1:3">
      <c r="A515" s="7" t="e">
        <f>IF('Document Workflow'!A514&lt;&gt;"",'Document Workflow'!A514,"")</f>
        <v>#REF!</v>
      </c>
      <c r="B515" s="2" t="s">
        <v>72</v>
      </c>
      <c r="C515" s="3" t="e">
        <f>IF(INDEX('Document Workflow'!M:M,MATCH(A515,'Document Workflow'!A:A,0))&lt;&gt;"",INDEX('Document Workflow'!M:M,MATCH(A515,'Document Workflow'!A:A,0)),"")</f>
        <v>#REF!</v>
      </c>
    </row>
    <row r="516" spans="1:3">
      <c r="A516" s="7" t="e">
        <f>IF('Document Workflow'!A515&lt;&gt;"",'Document Workflow'!A515,"")</f>
        <v>#REF!</v>
      </c>
      <c r="B516" s="2" t="s">
        <v>72</v>
      </c>
      <c r="C516" s="3" t="e">
        <f>IF(INDEX('Document Workflow'!M:M,MATCH(A516,'Document Workflow'!A:A,0))&lt;&gt;"",INDEX('Document Workflow'!M:M,MATCH(A516,'Document Workflow'!A:A,0)),"")</f>
        <v>#REF!</v>
      </c>
    </row>
    <row r="517" spans="1:3">
      <c r="A517" s="7" t="e">
        <f>IF('Document Workflow'!A516&lt;&gt;"",'Document Workflow'!A516,"")</f>
        <v>#REF!</v>
      </c>
      <c r="B517" s="2" t="s">
        <v>72</v>
      </c>
      <c r="C517" s="3" t="e">
        <f>IF(INDEX('Document Workflow'!M:M,MATCH(A517,'Document Workflow'!A:A,0))&lt;&gt;"",INDEX('Document Workflow'!M:M,MATCH(A517,'Document Workflow'!A:A,0)),"")</f>
        <v>#REF!</v>
      </c>
    </row>
    <row r="518" spans="1:3">
      <c r="A518" s="7" t="e">
        <f>IF('Document Workflow'!A517&lt;&gt;"",'Document Workflow'!A517,"")</f>
        <v>#REF!</v>
      </c>
      <c r="B518" s="2" t="s">
        <v>72</v>
      </c>
      <c r="C518" s="3" t="e">
        <f>IF(INDEX('Document Workflow'!M:M,MATCH(A518,'Document Workflow'!A:A,0))&lt;&gt;"",INDEX('Document Workflow'!M:M,MATCH(A518,'Document Workflow'!A:A,0)),"")</f>
        <v>#REF!</v>
      </c>
    </row>
    <row r="519" spans="1:3">
      <c r="A519" s="7" t="e">
        <f>IF('Document Workflow'!A518&lt;&gt;"",'Document Workflow'!A518,"")</f>
        <v>#REF!</v>
      </c>
      <c r="B519" s="2" t="s">
        <v>72</v>
      </c>
      <c r="C519" s="3" t="e">
        <f>IF(INDEX('Document Workflow'!M:M,MATCH(A519,'Document Workflow'!A:A,0))&lt;&gt;"",INDEX('Document Workflow'!M:M,MATCH(A519,'Document Workflow'!A:A,0)),"")</f>
        <v>#REF!</v>
      </c>
    </row>
    <row r="520" spans="1:3">
      <c r="A520" s="7" t="e">
        <f>IF('Document Workflow'!A519&lt;&gt;"",'Document Workflow'!A519,"")</f>
        <v>#REF!</v>
      </c>
      <c r="B520" s="2" t="s">
        <v>72</v>
      </c>
      <c r="C520" s="3" t="e">
        <f>IF(INDEX('Document Workflow'!M:M,MATCH(A520,'Document Workflow'!A:A,0))&lt;&gt;"",INDEX('Document Workflow'!M:M,MATCH(A520,'Document Workflow'!A:A,0)),"")</f>
        <v>#REF!</v>
      </c>
    </row>
    <row r="521" spans="1:3">
      <c r="A521" s="7" t="e">
        <f>IF('Document Workflow'!A520&lt;&gt;"",'Document Workflow'!A520,"")</f>
        <v>#REF!</v>
      </c>
      <c r="B521" s="2" t="s">
        <v>72</v>
      </c>
      <c r="C521" s="3" t="e">
        <f>IF(INDEX('Document Workflow'!M:M,MATCH(A521,'Document Workflow'!A:A,0))&lt;&gt;"",INDEX('Document Workflow'!M:M,MATCH(A521,'Document Workflow'!A:A,0)),"")</f>
        <v>#REF!</v>
      </c>
    </row>
    <row r="522" spans="1:3">
      <c r="A522" s="7" t="e">
        <f>IF('Document Workflow'!A521&lt;&gt;"",'Document Workflow'!A521,"")</f>
        <v>#REF!</v>
      </c>
      <c r="B522" s="2" t="s">
        <v>72</v>
      </c>
      <c r="C522" s="3" t="e">
        <f>IF(INDEX('Document Workflow'!M:M,MATCH(A522,'Document Workflow'!A:A,0))&lt;&gt;"",INDEX('Document Workflow'!M:M,MATCH(A522,'Document Workflow'!A:A,0)),"")</f>
        <v>#REF!</v>
      </c>
    </row>
    <row r="523" spans="1:3">
      <c r="A523" s="7" t="e">
        <f>IF('Document Workflow'!A522&lt;&gt;"",'Document Workflow'!A522,"")</f>
        <v>#REF!</v>
      </c>
      <c r="B523" s="2" t="s">
        <v>72</v>
      </c>
      <c r="C523" s="3" t="e">
        <f>IF(INDEX('Document Workflow'!M:M,MATCH(A523,'Document Workflow'!A:A,0))&lt;&gt;"",INDEX('Document Workflow'!M:M,MATCH(A523,'Document Workflow'!A:A,0)),"")</f>
        <v>#REF!</v>
      </c>
    </row>
    <row r="524" spans="1:3">
      <c r="A524" s="7" t="e">
        <f>IF('Document Workflow'!A523&lt;&gt;"",'Document Workflow'!A523,"")</f>
        <v>#REF!</v>
      </c>
      <c r="B524" s="2" t="s">
        <v>72</v>
      </c>
      <c r="C524" s="3" t="e">
        <f>IF(INDEX('Document Workflow'!M:M,MATCH(A524,'Document Workflow'!A:A,0))&lt;&gt;"",INDEX('Document Workflow'!M:M,MATCH(A524,'Document Workflow'!A:A,0)),"")</f>
        <v>#REF!</v>
      </c>
    </row>
    <row r="525" spans="1:3">
      <c r="A525" s="7" t="e">
        <f>IF('Document Workflow'!A524&lt;&gt;"",'Document Workflow'!A524,"")</f>
        <v>#REF!</v>
      </c>
      <c r="B525" s="2" t="s">
        <v>72</v>
      </c>
      <c r="C525" s="3" t="e">
        <f>IF(INDEX('Document Workflow'!M:M,MATCH(A525,'Document Workflow'!A:A,0))&lt;&gt;"",INDEX('Document Workflow'!M:M,MATCH(A525,'Document Workflow'!A:A,0)),"")</f>
        <v>#REF!</v>
      </c>
    </row>
    <row r="526" spans="1:3">
      <c r="A526" s="7" t="e">
        <f>IF('Document Workflow'!A525&lt;&gt;"",'Document Workflow'!A525,"")</f>
        <v>#REF!</v>
      </c>
      <c r="B526" s="2" t="s">
        <v>72</v>
      </c>
      <c r="C526" s="3" t="e">
        <f>IF(INDEX('Document Workflow'!M:M,MATCH(A526,'Document Workflow'!A:A,0))&lt;&gt;"",INDEX('Document Workflow'!M:M,MATCH(A526,'Document Workflow'!A:A,0)),"")</f>
        <v>#REF!</v>
      </c>
    </row>
    <row r="527" spans="1:3">
      <c r="A527" s="7" t="e">
        <f>IF('Document Workflow'!A526&lt;&gt;"",'Document Workflow'!A526,"")</f>
        <v>#REF!</v>
      </c>
      <c r="B527" s="2" t="s">
        <v>72</v>
      </c>
      <c r="C527" s="3" t="e">
        <f>IF(INDEX('Document Workflow'!M:M,MATCH(A527,'Document Workflow'!A:A,0))&lt;&gt;"",INDEX('Document Workflow'!M:M,MATCH(A527,'Document Workflow'!A:A,0)),"")</f>
        <v>#REF!</v>
      </c>
    </row>
    <row r="528" spans="1:3">
      <c r="A528" s="7" t="e">
        <f>IF('Document Workflow'!A527&lt;&gt;"",'Document Workflow'!A527,"")</f>
        <v>#REF!</v>
      </c>
      <c r="B528" s="2" t="s">
        <v>72</v>
      </c>
      <c r="C528" s="3" t="e">
        <f>IF(INDEX('Document Workflow'!M:M,MATCH(A528,'Document Workflow'!A:A,0))&lt;&gt;"",INDEX('Document Workflow'!M:M,MATCH(A528,'Document Workflow'!A:A,0)),"")</f>
        <v>#REF!</v>
      </c>
    </row>
    <row r="529" spans="1:3">
      <c r="A529" s="7" t="e">
        <f>IF('Document Workflow'!A528&lt;&gt;"",'Document Workflow'!A528,"")</f>
        <v>#REF!</v>
      </c>
      <c r="B529" s="2" t="s">
        <v>72</v>
      </c>
      <c r="C529" s="3" t="e">
        <f>IF(INDEX('Document Workflow'!M:M,MATCH(A529,'Document Workflow'!A:A,0))&lt;&gt;"",INDEX('Document Workflow'!M:M,MATCH(A529,'Document Workflow'!A:A,0)),"")</f>
        <v>#REF!</v>
      </c>
    </row>
    <row r="530" spans="1:3">
      <c r="A530" s="7" t="e">
        <f>IF('Document Workflow'!A529&lt;&gt;"",'Document Workflow'!A529,"")</f>
        <v>#REF!</v>
      </c>
      <c r="B530" s="2" t="s">
        <v>72</v>
      </c>
      <c r="C530" s="3" t="e">
        <f>IF(INDEX('Document Workflow'!M:M,MATCH(A530,'Document Workflow'!A:A,0))&lt;&gt;"",INDEX('Document Workflow'!M:M,MATCH(A530,'Document Workflow'!A:A,0)),"")</f>
        <v>#REF!</v>
      </c>
    </row>
    <row r="531" spans="1:3">
      <c r="A531" s="7" t="e">
        <f>IF('Document Workflow'!A530&lt;&gt;"",'Document Workflow'!A530,"")</f>
        <v>#REF!</v>
      </c>
      <c r="B531" s="2" t="s">
        <v>72</v>
      </c>
      <c r="C531" s="3" t="e">
        <f>IF(INDEX('Document Workflow'!M:M,MATCH(A531,'Document Workflow'!A:A,0))&lt;&gt;"",INDEX('Document Workflow'!M:M,MATCH(A531,'Document Workflow'!A:A,0)),"")</f>
        <v>#REF!</v>
      </c>
    </row>
    <row r="532" spans="1:3">
      <c r="A532" s="7" t="e">
        <f>IF('Document Workflow'!A531&lt;&gt;"",'Document Workflow'!A531,"")</f>
        <v>#REF!</v>
      </c>
      <c r="B532" s="2" t="s">
        <v>72</v>
      </c>
      <c r="C532" s="3" t="e">
        <f>IF(INDEX('Document Workflow'!M:M,MATCH(A532,'Document Workflow'!A:A,0))&lt;&gt;"",INDEX('Document Workflow'!M:M,MATCH(A532,'Document Workflow'!A:A,0)),"")</f>
        <v>#REF!</v>
      </c>
    </row>
    <row r="533" spans="1:3">
      <c r="A533" s="7" t="e">
        <f>IF('Document Workflow'!A532&lt;&gt;"",'Document Workflow'!A532,"")</f>
        <v>#REF!</v>
      </c>
      <c r="B533" s="2" t="s">
        <v>72</v>
      </c>
      <c r="C533" s="3" t="e">
        <f>IF(INDEX('Document Workflow'!M:M,MATCH(A533,'Document Workflow'!A:A,0))&lt;&gt;"",INDEX('Document Workflow'!M:M,MATCH(A533,'Document Workflow'!A:A,0)),"")</f>
        <v>#REF!</v>
      </c>
    </row>
    <row r="534" spans="1:3">
      <c r="A534" s="7" t="e">
        <f>IF('Document Workflow'!A533&lt;&gt;"",'Document Workflow'!A533,"")</f>
        <v>#REF!</v>
      </c>
      <c r="B534" s="2" t="s">
        <v>72</v>
      </c>
      <c r="C534" s="3" t="e">
        <f>IF(INDEX('Document Workflow'!M:M,MATCH(A534,'Document Workflow'!A:A,0))&lt;&gt;"",INDEX('Document Workflow'!M:M,MATCH(A534,'Document Workflow'!A:A,0)),"")</f>
        <v>#REF!</v>
      </c>
    </row>
    <row r="535" spans="1:3">
      <c r="A535" s="7" t="e">
        <f>IF('Document Workflow'!A534&lt;&gt;"",'Document Workflow'!A534,"")</f>
        <v>#REF!</v>
      </c>
      <c r="B535" s="2" t="s">
        <v>72</v>
      </c>
      <c r="C535" s="3" t="e">
        <f>IF(INDEX('Document Workflow'!M:M,MATCH(A535,'Document Workflow'!A:A,0))&lt;&gt;"",INDEX('Document Workflow'!M:M,MATCH(A535,'Document Workflow'!A:A,0)),"")</f>
        <v>#REF!</v>
      </c>
    </row>
    <row r="536" spans="1:3">
      <c r="A536" s="7" t="e">
        <f>IF('Document Workflow'!A535&lt;&gt;"",'Document Workflow'!A535,"")</f>
        <v>#REF!</v>
      </c>
      <c r="B536" s="2" t="s">
        <v>72</v>
      </c>
      <c r="C536" s="3" t="e">
        <f>IF(INDEX('Document Workflow'!M:M,MATCH(A536,'Document Workflow'!A:A,0))&lt;&gt;"",INDEX('Document Workflow'!M:M,MATCH(A536,'Document Workflow'!A:A,0)),"")</f>
        <v>#REF!</v>
      </c>
    </row>
    <row r="537" spans="1:3">
      <c r="A537" s="7" t="e">
        <f>IF('Document Workflow'!A536&lt;&gt;"",'Document Workflow'!A536,"")</f>
        <v>#REF!</v>
      </c>
      <c r="B537" s="2" t="s">
        <v>72</v>
      </c>
      <c r="C537" s="3" t="e">
        <f>IF(INDEX('Document Workflow'!M:M,MATCH(A537,'Document Workflow'!A:A,0))&lt;&gt;"",INDEX('Document Workflow'!M:M,MATCH(A537,'Document Workflow'!A:A,0)),"")</f>
        <v>#REF!</v>
      </c>
    </row>
    <row r="538" spans="1:3">
      <c r="A538" s="7" t="e">
        <f>IF('Document Workflow'!A537&lt;&gt;"",'Document Workflow'!A537,"")</f>
        <v>#REF!</v>
      </c>
      <c r="B538" s="2" t="s">
        <v>72</v>
      </c>
      <c r="C538" s="3" t="e">
        <f>IF(INDEX('Document Workflow'!M:M,MATCH(A538,'Document Workflow'!A:A,0))&lt;&gt;"",INDEX('Document Workflow'!M:M,MATCH(A538,'Document Workflow'!A:A,0)),"")</f>
        <v>#REF!</v>
      </c>
    </row>
    <row r="539" spans="1:3">
      <c r="A539" s="7" t="e">
        <f>IF('Document Workflow'!A538&lt;&gt;"",'Document Workflow'!A538,"")</f>
        <v>#REF!</v>
      </c>
      <c r="B539" s="2" t="s">
        <v>72</v>
      </c>
      <c r="C539" s="3" t="e">
        <f>IF(INDEX('Document Workflow'!M:M,MATCH(A539,'Document Workflow'!A:A,0))&lt;&gt;"",INDEX('Document Workflow'!M:M,MATCH(A539,'Document Workflow'!A:A,0)),"")</f>
        <v>#REF!</v>
      </c>
    </row>
    <row r="540" spans="1:3">
      <c r="A540" s="7" t="e">
        <f>IF('Document Workflow'!A539&lt;&gt;"",'Document Workflow'!A539,"")</f>
        <v>#REF!</v>
      </c>
      <c r="B540" s="2" t="s">
        <v>72</v>
      </c>
      <c r="C540" s="3" t="e">
        <f>IF(INDEX('Document Workflow'!M:M,MATCH(A540,'Document Workflow'!A:A,0))&lt;&gt;"",INDEX('Document Workflow'!M:M,MATCH(A540,'Document Workflow'!A:A,0)),"")</f>
        <v>#REF!</v>
      </c>
    </row>
    <row r="541" spans="1:3">
      <c r="A541" s="7" t="e">
        <f>IF('Document Workflow'!A540&lt;&gt;"",'Document Workflow'!A540,"")</f>
        <v>#REF!</v>
      </c>
      <c r="B541" s="2" t="s">
        <v>72</v>
      </c>
      <c r="C541" s="3" t="e">
        <f>IF(INDEX('Document Workflow'!M:M,MATCH(A541,'Document Workflow'!A:A,0))&lt;&gt;"",INDEX('Document Workflow'!M:M,MATCH(A541,'Document Workflow'!A:A,0)),"")</f>
        <v>#REF!</v>
      </c>
    </row>
    <row r="542" spans="1:3">
      <c r="A542" s="7" t="e">
        <f>IF('Document Workflow'!A541&lt;&gt;"",'Document Workflow'!A541,"")</f>
        <v>#REF!</v>
      </c>
      <c r="B542" s="2" t="s">
        <v>72</v>
      </c>
      <c r="C542" s="3" t="e">
        <f>IF(INDEX('Document Workflow'!M:M,MATCH(A542,'Document Workflow'!A:A,0))&lt;&gt;"",INDEX('Document Workflow'!M:M,MATCH(A542,'Document Workflow'!A:A,0)),"")</f>
        <v>#REF!</v>
      </c>
    </row>
    <row r="543" spans="1:3">
      <c r="A543" s="7" t="e">
        <f>IF('Document Workflow'!A542&lt;&gt;"",'Document Workflow'!A542,"")</f>
        <v>#REF!</v>
      </c>
      <c r="B543" s="2" t="s">
        <v>72</v>
      </c>
      <c r="C543" s="3" t="e">
        <f>IF(INDEX('Document Workflow'!M:M,MATCH(A543,'Document Workflow'!A:A,0))&lt;&gt;"",INDEX('Document Workflow'!M:M,MATCH(A543,'Document Workflow'!A:A,0)),"")</f>
        <v>#REF!</v>
      </c>
    </row>
    <row r="544" spans="1:3">
      <c r="A544" s="7" t="e">
        <f>IF('Document Workflow'!A543&lt;&gt;"",'Document Workflow'!A543,"")</f>
        <v>#REF!</v>
      </c>
      <c r="B544" s="2" t="s">
        <v>72</v>
      </c>
      <c r="C544" s="3" t="e">
        <f>IF(INDEX('Document Workflow'!M:M,MATCH(A544,'Document Workflow'!A:A,0))&lt;&gt;"",INDEX('Document Workflow'!M:M,MATCH(A544,'Document Workflow'!A:A,0)),"")</f>
        <v>#REF!</v>
      </c>
    </row>
    <row r="545" spans="1:3">
      <c r="A545" s="7" t="e">
        <f>IF('Document Workflow'!A544&lt;&gt;"",'Document Workflow'!A544,"")</f>
        <v>#REF!</v>
      </c>
      <c r="B545" s="2" t="s">
        <v>72</v>
      </c>
      <c r="C545" s="3" t="e">
        <f>IF(INDEX('Document Workflow'!M:M,MATCH(A545,'Document Workflow'!A:A,0))&lt;&gt;"",INDEX('Document Workflow'!M:M,MATCH(A545,'Document Workflow'!A:A,0)),"")</f>
        <v>#REF!</v>
      </c>
    </row>
    <row r="546" spans="1:3">
      <c r="A546" s="7" t="e">
        <f>IF('Document Workflow'!A545&lt;&gt;"",'Document Workflow'!A545,"")</f>
        <v>#REF!</v>
      </c>
      <c r="B546" s="2" t="s">
        <v>72</v>
      </c>
      <c r="C546" s="3" t="e">
        <f>IF(INDEX('Document Workflow'!M:M,MATCH(A546,'Document Workflow'!A:A,0))&lt;&gt;"",INDEX('Document Workflow'!M:M,MATCH(A546,'Document Workflow'!A:A,0)),"")</f>
        <v>#REF!</v>
      </c>
    </row>
    <row r="547" spans="1:3">
      <c r="A547" s="7" t="e">
        <f>IF('Document Workflow'!A546&lt;&gt;"",'Document Workflow'!A546,"")</f>
        <v>#REF!</v>
      </c>
      <c r="B547" s="2" t="s">
        <v>72</v>
      </c>
      <c r="C547" s="3" t="e">
        <f>IF(INDEX('Document Workflow'!M:M,MATCH(A547,'Document Workflow'!A:A,0))&lt;&gt;"",INDEX('Document Workflow'!M:M,MATCH(A547,'Document Workflow'!A:A,0)),"")</f>
        <v>#REF!</v>
      </c>
    </row>
    <row r="548" spans="1:3">
      <c r="A548" s="7" t="e">
        <f>IF('Document Workflow'!A547&lt;&gt;"",'Document Workflow'!A547,"")</f>
        <v>#REF!</v>
      </c>
      <c r="B548" s="2" t="s">
        <v>72</v>
      </c>
      <c r="C548" s="3" t="e">
        <f>IF(INDEX('Document Workflow'!M:M,MATCH(A548,'Document Workflow'!A:A,0))&lt;&gt;"",INDEX('Document Workflow'!M:M,MATCH(A548,'Document Workflow'!A:A,0)),"")</f>
        <v>#REF!</v>
      </c>
    </row>
    <row r="549" spans="1:3">
      <c r="A549" s="7" t="e">
        <f>IF('Document Workflow'!A548&lt;&gt;"",'Document Workflow'!A548,"")</f>
        <v>#REF!</v>
      </c>
      <c r="B549" s="2" t="s">
        <v>72</v>
      </c>
      <c r="C549" s="3" t="e">
        <f>IF(INDEX('Document Workflow'!M:M,MATCH(A549,'Document Workflow'!A:A,0))&lt;&gt;"",INDEX('Document Workflow'!M:M,MATCH(A549,'Document Workflow'!A:A,0)),"")</f>
        <v>#REF!</v>
      </c>
    </row>
    <row r="550" spans="1:3">
      <c r="A550" s="7" t="e">
        <f>IF('Document Workflow'!A549&lt;&gt;"",'Document Workflow'!A549,"")</f>
        <v>#REF!</v>
      </c>
      <c r="B550" s="2" t="s">
        <v>72</v>
      </c>
      <c r="C550" s="3" t="e">
        <f>IF(INDEX('Document Workflow'!M:M,MATCH(A550,'Document Workflow'!A:A,0))&lt;&gt;"",INDEX('Document Workflow'!M:M,MATCH(A550,'Document Workflow'!A:A,0)),"")</f>
        <v>#REF!</v>
      </c>
    </row>
    <row r="551" spans="1:3">
      <c r="A551" s="7" t="e">
        <f>IF('Document Workflow'!A550&lt;&gt;"",'Document Workflow'!A550,"")</f>
        <v>#REF!</v>
      </c>
      <c r="B551" s="2" t="s">
        <v>72</v>
      </c>
      <c r="C551" s="3" t="e">
        <f>IF(INDEX('Document Workflow'!M:M,MATCH(A551,'Document Workflow'!A:A,0))&lt;&gt;"",INDEX('Document Workflow'!M:M,MATCH(A551,'Document Workflow'!A:A,0)),"")</f>
        <v>#REF!</v>
      </c>
    </row>
    <row r="552" spans="1:3">
      <c r="A552" s="7" t="e">
        <f>IF('Document Workflow'!A551&lt;&gt;"",'Document Workflow'!A551,"")</f>
        <v>#REF!</v>
      </c>
      <c r="B552" s="2" t="s">
        <v>72</v>
      </c>
      <c r="C552" s="3" t="e">
        <f>IF(INDEX('Document Workflow'!M:M,MATCH(A552,'Document Workflow'!A:A,0))&lt;&gt;"",INDEX('Document Workflow'!M:M,MATCH(A552,'Document Workflow'!A:A,0)),"")</f>
        <v>#REF!</v>
      </c>
    </row>
    <row r="553" spans="1:3">
      <c r="A553" s="7" t="e">
        <f>IF('Document Workflow'!A552&lt;&gt;"",'Document Workflow'!A552,"")</f>
        <v>#REF!</v>
      </c>
      <c r="B553" s="2" t="s">
        <v>72</v>
      </c>
      <c r="C553" s="3" t="e">
        <f>IF(INDEX('Document Workflow'!M:M,MATCH(A553,'Document Workflow'!A:A,0))&lt;&gt;"",INDEX('Document Workflow'!M:M,MATCH(A553,'Document Workflow'!A:A,0)),"")</f>
        <v>#REF!</v>
      </c>
    </row>
    <row r="554" spans="1:3">
      <c r="A554" s="7" t="e">
        <f>IF('Document Workflow'!A553&lt;&gt;"",'Document Workflow'!A553,"")</f>
        <v>#REF!</v>
      </c>
      <c r="B554" s="2" t="s">
        <v>72</v>
      </c>
      <c r="C554" s="3" t="e">
        <f>IF(INDEX('Document Workflow'!M:M,MATCH(A554,'Document Workflow'!A:A,0))&lt;&gt;"",INDEX('Document Workflow'!M:M,MATCH(A554,'Document Workflow'!A:A,0)),"")</f>
        <v>#REF!</v>
      </c>
    </row>
    <row r="555" spans="1:3">
      <c r="A555" s="7" t="e">
        <f>IF('Document Workflow'!A554&lt;&gt;"",'Document Workflow'!A554,"")</f>
        <v>#REF!</v>
      </c>
      <c r="B555" s="2" t="s">
        <v>72</v>
      </c>
      <c r="C555" s="3" t="e">
        <f>IF(INDEX('Document Workflow'!M:M,MATCH(A555,'Document Workflow'!A:A,0))&lt;&gt;"",INDEX('Document Workflow'!M:M,MATCH(A555,'Document Workflow'!A:A,0)),"")</f>
        <v>#REF!</v>
      </c>
    </row>
    <row r="556" spans="1:3">
      <c r="A556" s="7" t="e">
        <f>IF('Document Workflow'!A555&lt;&gt;"",'Document Workflow'!A555,"")</f>
        <v>#REF!</v>
      </c>
      <c r="B556" s="2" t="s">
        <v>72</v>
      </c>
      <c r="C556" s="3" t="e">
        <f>IF(INDEX('Document Workflow'!M:M,MATCH(A556,'Document Workflow'!A:A,0))&lt;&gt;"",INDEX('Document Workflow'!M:M,MATCH(A556,'Document Workflow'!A:A,0)),"")</f>
        <v>#REF!</v>
      </c>
    </row>
    <row r="557" spans="1:3">
      <c r="A557" s="7" t="e">
        <f>IF('Document Workflow'!A556&lt;&gt;"",'Document Workflow'!A556,"")</f>
        <v>#REF!</v>
      </c>
      <c r="B557" s="2" t="s">
        <v>72</v>
      </c>
      <c r="C557" s="3" t="e">
        <f>IF(INDEX('Document Workflow'!M:M,MATCH(A557,'Document Workflow'!A:A,0))&lt;&gt;"",INDEX('Document Workflow'!M:M,MATCH(A557,'Document Workflow'!A:A,0)),"")</f>
        <v>#REF!</v>
      </c>
    </row>
    <row r="558" spans="1:3">
      <c r="A558" s="7" t="e">
        <f>IF('Document Workflow'!A557&lt;&gt;"",'Document Workflow'!A557,"")</f>
        <v>#REF!</v>
      </c>
      <c r="B558" s="2" t="s">
        <v>72</v>
      </c>
      <c r="C558" s="3" t="e">
        <f>IF(INDEX('Document Workflow'!M:M,MATCH(A558,'Document Workflow'!A:A,0))&lt;&gt;"",INDEX('Document Workflow'!M:M,MATCH(A558,'Document Workflow'!A:A,0)),"")</f>
        <v>#REF!</v>
      </c>
    </row>
    <row r="559" spans="1:3">
      <c r="A559" s="7" t="e">
        <f>IF('Document Workflow'!A558&lt;&gt;"",'Document Workflow'!A558,"")</f>
        <v>#REF!</v>
      </c>
      <c r="B559" s="2" t="s">
        <v>72</v>
      </c>
      <c r="C559" s="3" t="e">
        <f>IF(INDEX('Document Workflow'!M:M,MATCH(A559,'Document Workflow'!A:A,0))&lt;&gt;"",INDEX('Document Workflow'!M:M,MATCH(A559,'Document Workflow'!A:A,0)),"")</f>
        <v>#REF!</v>
      </c>
    </row>
    <row r="560" spans="1:3">
      <c r="A560" s="7" t="e">
        <f>IF('Document Workflow'!A559&lt;&gt;"",'Document Workflow'!A559,"")</f>
        <v>#REF!</v>
      </c>
      <c r="B560" s="2" t="s">
        <v>72</v>
      </c>
      <c r="C560" s="3" t="e">
        <f>IF(INDEX('Document Workflow'!M:M,MATCH(A560,'Document Workflow'!A:A,0))&lt;&gt;"",INDEX('Document Workflow'!M:M,MATCH(A560,'Document Workflow'!A:A,0)),"")</f>
        <v>#REF!</v>
      </c>
    </row>
    <row r="561" spans="1:3">
      <c r="A561" s="7" t="e">
        <f>IF('Document Workflow'!A560&lt;&gt;"",'Document Workflow'!A560,"")</f>
        <v>#REF!</v>
      </c>
      <c r="B561" s="2" t="s">
        <v>72</v>
      </c>
      <c r="C561" s="3" t="e">
        <f>IF(INDEX('Document Workflow'!M:M,MATCH(A561,'Document Workflow'!A:A,0))&lt;&gt;"",INDEX('Document Workflow'!M:M,MATCH(A561,'Document Workflow'!A:A,0)),"")</f>
        <v>#REF!</v>
      </c>
    </row>
    <row r="562" spans="1:3">
      <c r="A562" s="7" t="e">
        <f>IF('Document Workflow'!A561&lt;&gt;"",'Document Workflow'!A561,"")</f>
        <v>#REF!</v>
      </c>
      <c r="B562" s="2" t="s">
        <v>72</v>
      </c>
      <c r="C562" s="3" t="e">
        <f>IF(INDEX('Document Workflow'!M:M,MATCH(A562,'Document Workflow'!A:A,0))&lt;&gt;"",INDEX('Document Workflow'!M:M,MATCH(A562,'Document Workflow'!A:A,0)),"")</f>
        <v>#REF!</v>
      </c>
    </row>
    <row r="563" spans="1:3">
      <c r="A563" s="7" t="e">
        <f>IF('Document Workflow'!A562&lt;&gt;"",'Document Workflow'!A562,"")</f>
        <v>#REF!</v>
      </c>
      <c r="B563" s="2" t="s">
        <v>72</v>
      </c>
      <c r="C563" s="3" t="e">
        <f>IF(INDEX('Document Workflow'!M:M,MATCH(A563,'Document Workflow'!A:A,0))&lt;&gt;"",INDEX('Document Workflow'!M:M,MATCH(A563,'Document Workflow'!A:A,0)),"")</f>
        <v>#REF!</v>
      </c>
    </row>
    <row r="564" spans="1:3">
      <c r="A564" s="7" t="e">
        <f>IF('Document Workflow'!A563&lt;&gt;"",'Document Workflow'!A563,"")</f>
        <v>#REF!</v>
      </c>
      <c r="B564" s="2" t="s">
        <v>72</v>
      </c>
      <c r="C564" s="3" t="e">
        <f>IF(INDEX('Document Workflow'!M:M,MATCH(A564,'Document Workflow'!A:A,0))&lt;&gt;"",INDEX('Document Workflow'!M:M,MATCH(A564,'Document Workflow'!A:A,0)),"")</f>
        <v>#REF!</v>
      </c>
    </row>
    <row r="565" spans="1:3">
      <c r="A565" s="7" t="e">
        <f>IF('Document Workflow'!A564&lt;&gt;"",'Document Workflow'!A564,"")</f>
        <v>#REF!</v>
      </c>
      <c r="B565" s="2" t="s">
        <v>72</v>
      </c>
      <c r="C565" s="3" t="e">
        <f>IF(INDEX('Document Workflow'!M:M,MATCH(A565,'Document Workflow'!A:A,0))&lt;&gt;"",INDEX('Document Workflow'!M:M,MATCH(A565,'Document Workflow'!A:A,0)),"")</f>
        <v>#REF!</v>
      </c>
    </row>
    <row r="566" spans="1:3">
      <c r="A566" s="7" t="e">
        <f>IF('Document Workflow'!A565&lt;&gt;"",'Document Workflow'!A565,"")</f>
        <v>#REF!</v>
      </c>
      <c r="B566" s="2" t="s">
        <v>72</v>
      </c>
      <c r="C566" s="3" t="e">
        <f>IF(INDEX('Document Workflow'!M:M,MATCH(A566,'Document Workflow'!A:A,0))&lt;&gt;"",INDEX('Document Workflow'!M:M,MATCH(A566,'Document Workflow'!A:A,0)),"")</f>
        <v>#REF!</v>
      </c>
    </row>
    <row r="567" spans="1:3">
      <c r="A567" s="7" t="e">
        <f>IF('Document Workflow'!A566&lt;&gt;"",'Document Workflow'!A566,"")</f>
        <v>#REF!</v>
      </c>
      <c r="B567" s="2" t="s">
        <v>72</v>
      </c>
      <c r="C567" s="3" t="e">
        <f>IF(INDEX('Document Workflow'!M:M,MATCH(A567,'Document Workflow'!A:A,0))&lt;&gt;"",INDEX('Document Workflow'!M:M,MATCH(A567,'Document Workflow'!A:A,0)),"")</f>
        <v>#REF!</v>
      </c>
    </row>
    <row r="568" spans="1:3">
      <c r="A568" s="7" t="e">
        <f>IF('Document Workflow'!A567&lt;&gt;"",'Document Workflow'!A567,"")</f>
        <v>#REF!</v>
      </c>
      <c r="B568" s="2" t="s">
        <v>72</v>
      </c>
      <c r="C568" s="3" t="e">
        <f>IF(INDEX('Document Workflow'!M:M,MATCH(A568,'Document Workflow'!A:A,0))&lt;&gt;"",INDEX('Document Workflow'!M:M,MATCH(A568,'Document Workflow'!A:A,0)),"")</f>
        <v>#REF!</v>
      </c>
    </row>
    <row r="569" spans="1:3">
      <c r="A569" s="7" t="e">
        <f>IF('Document Workflow'!A568&lt;&gt;"",'Document Workflow'!A568,"")</f>
        <v>#REF!</v>
      </c>
      <c r="B569" s="2" t="s">
        <v>72</v>
      </c>
      <c r="C569" s="3" t="e">
        <f>IF(INDEX('Document Workflow'!M:M,MATCH(A569,'Document Workflow'!A:A,0))&lt;&gt;"",INDEX('Document Workflow'!M:M,MATCH(A569,'Document Workflow'!A:A,0)),"")</f>
        <v>#REF!</v>
      </c>
    </row>
    <row r="570" spans="1:3">
      <c r="A570" s="7" t="e">
        <f>IF('Document Workflow'!A569&lt;&gt;"",'Document Workflow'!A569,"")</f>
        <v>#REF!</v>
      </c>
      <c r="B570" s="2" t="s">
        <v>72</v>
      </c>
      <c r="C570" s="3" t="e">
        <f>IF(INDEX('Document Workflow'!M:M,MATCH(A570,'Document Workflow'!A:A,0))&lt;&gt;"",INDEX('Document Workflow'!M:M,MATCH(A570,'Document Workflow'!A:A,0)),"")</f>
        <v>#REF!</v>
      </c>
    </row>
    <row r="571" spans="1:3">
      <c r="A571" s="7" t="e">
        <f>IF('Document Workflow'!A570&lt;&gt;"",'Document Workflow'!A570,"")</f>
        <v>#REF!</v>
      </c>
      <c r="B571" s="2" t="s">
        <v>72</v>
      </c>
      <c r="C571" s="3" t="e">
        <f>IF(INDEX('Document Workflow'!M:M,MATCH(A571,'Document Workflow'!A:A,0))&lt;&gt;"",INDEX('Document Workflow'!M:M,MATCH(A571,'Document Workflow'!A:A,0)),"")</f>
        <v>#REF!</v>
      </c>
    </row>
    <row r="572" spans="1:3">
      <c r="A572" s="7" t="e">
        <f>IF('Document Workflow'!A571&lt;&gt;"",'Document Workflow'!A571,"")</f>
        <v>#REF!</v>
      </c>
      <c r="B572" s="2" t="s">
        <v>72</v>
      </c>
      <c r="C572" s="3" t="e">
        <f>IF(INDEX('Document Workflow'!M:M,MATCH(A572,'Document Workflow'!A:A,0))&lt;&gt;"",INDEX('Document Workflow'!M:M,MATCH(A572,'Document Workflow'!A:A,0)),"")</f>
        <v>#REF!</v>
      </c>
    </row>
    <row r="573" spans="1:3">
      <c r="A573" s="7" t="e">
        <f>IF('Document Workflow'!A572&lt;&gt;"",'Document Workflow'!A572,"")</f>
        <v>#REF!</v>
      </c>
      <c r="B573" s="2" t="s">
        <v>72</v>
      </c>
      <c r="C573" s="3" t="e">
        <f>IF(INDEX('Document Workflow'!M:M,MATCH(A573,'Document Workflow'!A:A,0))&lt;&gt;"",INDEX('Document Workflow'!M:M,MATCH(A573,'Document Workflow'!A:A,0)),"")</f>
        <v>#REF!</v>
      </c>
    </row>
    <row r="574" spans="1:3">
      <c r="A574" s="7" t="e">
        <f>IF('Document Workflow'!A573&lt;&gt;"",'Document Workflow'!A573,"")</f>
        <v>#REF!</v>
      </c>
      <c r="B574" s="2" t="s">
        <v>72</v>
      </c>
      <c r="C574" s="3" t="e">
        <f>IF(INDEX('Document Workflow'!M:M,MATCH(A574,'Document Workflow'!A:A,0))&lt;&gt;"",INDEX('Document Workflow'!M:M,MATCH(A574,'Document Workflow'!A:A,0)),"")</f>
        <v>#REF!</v>
      </c>
    </row>
    <row r="575" spans="1:3">
      <c r="A575" s="7" t="e">
        <f>IF('Document Workflow'!A574&lt;&gt;"",'Document Workflow'!A574,"")</f>
        <v>#REF!</v>
      </c>
      <c r="B575" s="2" t="s">
        <v>72</v>
      </c>
      <c r="C575" s="3" t="e">
        <f>IF(INDEX('Document Workflow'!M:M,MATCH(A575,'Document Workflow'!A:A,0))&lt;&gt;"",INDEX('Document Workflow'!M:M,MATCH(A575,'Document Workflow'!A:A,0)),"")</f>
        <v>#REF!</v>
      </c>
    </row>
    <row r="576" spans="1:3">
      <c r="A576" s="7" t="e">
        <f>IF('Document Workflow'!A575&lt;&gt;"",'Document Workflow'!A575,"")</f>
        <v>#REF!</v>
      </c>
      <c r="B576" s="2" t="s">
        <v>72</v>
      </c>
      <c r="C576" s="3" t="e">
        <f>IF(INDEX('Document Workflow'!M:M,MATCH(A576,'Document Workflow'!A:A,0))&lt;&gt;"",INDEX('Document Workflow'!M:M,MATCH(A576,'Document Workflow'!A:A,0)),"")</f>
        <v>#REF!</v>
      </c>
    </row>
    <row r="577" spans="1:3">
      <c r="A577" s="7" t="e">
        <f>IF('Document Workflow'!A576&lt;&gt;"",'Document Workflow'!A576,"")</f>
        <v>#REF!</v>
      </c>
      <c r="B577" s="2" t="s">
        <v>72</v>
      </c>
      <c r="C577" s="3" t="e">
        <f>IF(INDEX('Document Workflow'!M:M,MATCH(A577,'Document Workflow'!A:A,0))&lt;&gt;"",INDEX('Document Workflow'!M:M,MATCH(A577,'Document Workflow'!A:A,0)),"")</f>
        <v>#REF!</v>
      </c>
    </row>
    <row r="578" spans="1:3">
      <c r="A578" s="7" t="e">
        <f>IF('Document Workflow'!A577&lt;&gt;"",'Document Workflow'!A577,"")</f>
        <v>#REF!</v>
      </c>
      <c r="B578" s="2" t="s">
        <v>72</v>
      </c>
      <c r="C578" s="3" t="e">
        <f>IF(INDEX('Document Workflow'!M:M,MATCH(A578,'Document Workflow'!A:A,0))&lt;&gt;"",INDEX('Document Workflow'!M:M,MATCH(A578,'Document Workflow'!A:A,0)),"")</f>
        <v>#REF!</v>
      </c>
    </row>
    <row r="579" spans="1:3">
      <c r="A579" s="7" t="e">
        <f>IF('Document Workflow'!A578&lt;&gt;"",'Document Workflow'!A578,"")</f>
        <v>#REF!</v>
      </c>
      <c r="B579" s="2" t="s">
        <v>72</v>
      </c>
      <c r="C579" s="3" t="e">
        <f>IF(INDEX('Document Workflow'!M:M,MATCH(A579,'Document Workflow'!A:A,0))&lt;&gt;"",INDEX('Document Workflow'!M:M,MATCH(A579,'Document Workflow'!A:A,0)),"")</f>
        <v>#REF!</v>
      </c>
    </row>
    <row r="580" spans="1:3">
      <c r="A580" s="7" t="e">
        <f>IF('Document Workflow'!A579&lt;&gt;"",'Document Workflow'!A579,"")</f>
        <v>#REF!</v>
      </c>
      <c r="B580" s="2" t="s">
        <v>72</v>
      </c>
      <c r="C580" s="3" t="e">
        <f>IF(INDEX('Document Workflow'!M:M,MATCH(A580,'Document Workflow'!A:A,0))&lt;&gt;"",INDEX('Document Workflow'!M:M,MATCH(A580,'Document Workflow'!A:A,0)),"")</f>
        <v>#REF!</v>
      </c>
    </row>
    <row r="581" spans="1:3">
      <c r="A581" s="7" t="e">
        <f>IF('Document Workflow'!A580&lt;&gt;"",'Document Workflow'!A580,"")</f>
        <v>#REF!</v>
      </c>
      <c r="B581" s="2" t="s">
        <v>72</v>
      </c>
      <c r="C581" s="3" t="e">
        <f>IF(INDEX('Document Workflow'!M:M,MATCH(A581,'Document Workflow'!A:A,0))&lt;&gt;"",INDEX('Document Workflow'!M:M,MATCH(A581,'Document Workflow'!A:A,0)),"")</f>
        <v>#REF!</v>
      </c>
    </row>
    <row r="582" spans="1:3">
      <c r="A582" s="7" t="e">
        <f>IF('Document Workflow'!A581&lt;&gt;"",'Document Workflow'!A581,"")</f>
        <v>#REF!</v>
      </c>
      <c r="B582" s="2" t="s">
        <v>72</v>
      </c>
      <c r="C582" s="3" t="e">
        <f>IF(INDEX('Document Workflow'!M:M,MATCH(A582,'Document Workflow'!A:A,0))&lt;&gt;"",INDEX('Document Workflow'!M:M,MATCH(A582,'Document Workflow'!A:A,0)),"")</f>
        <v>#REF!</v>
      </c>
    </row>
    <row r="583" spans="1:3">
      <c r="A583" s="7" t="e">
        <f>IF('Document Workflow'!A582&lt;&gt;"",'Document Workflow'!A582,"")</f>
        <v>#REF!</v>
      </c>
      <c r="B583" s="2" t="s">
        <v>72</v>
      </c>
      <c r="C583" s="3" t="e">
        <f>IF(INDEX('Document Workflow'!M:M,MATCH(A583,'Document Workflow'!A:A,0))&lt;&gt;"",INDEX('Document Workflow'!M:M,MATCH(A583,'Document Workflow'!A:A,0)),"")</f>
        <v>#REF!</v>
      </c>
    </row>
    <row r="584" spans="1:3">
      <c r="A584" s="7" t="e">
        <f>IF('Document Workflow'!A583&lt;&gt;"",'Document Workflow'!A583,"")</f>
        <v>#REF!</v>
      </c>
      <c r="B584" s="2" t="s">
        <v>72</v>
      </c>
      <c r="C584" s="3" t="e">
        <f>IF(INDEX('Document Workflow'!M:M,MATCH(A584,'Document Workflow'!A:A,0))&lt;&gt;"",INDEX('Document Workflow'!M:M,MATCH(A584,'Document Workflow'!A:A,0)),"")</f>
        <v>#REF!</v>
      </c>
    </row>
    <row r="585" spans="1:3">
      <c r="A585" s="7" t="e">
        <f>IF('Document Workflow'!A584&lt;&gt;"",'Document Workflow'!A584,"")</f>
        <v>#REF!</v>
      </c>
      <c r="B585" s="2" t="s">
        <v>72</v>
      </c>
      <c r="C585" s="3" t="e">
        <f>IF(INDEX('Document Workflow'!M:M,MATCH(A585,'Document Workflow'!A:A,0))&lt;&gt;"",INDEX('Document Workflow'!M:M,MATCH(A585,'Document Workflow'!A:A,0)),"")</f>
        <v>#REF!</v>
      </c>
    </row>
    <row r="586" spans="1:3">
      <c r="A586" s="7" t="e">
        <f>IF('Document Workflow'!A585&lt;&gt;"",'Document Workflow'!A585,"")</f>
        <v>#REF!</v>
      </c>
      <c r="B586" s="2" t="s">
        <v>72</v>
      </c>
      <c r="C586" s="3" t="e">
        <f>IF(INDEX('Document Workflow'!M:M,MATCH(A586,'Document Workflow'!A:A,0))&lt;&gt;"",INDEX('Document Workflow'!M:M,MATCH(A586,'Document Workflow'!A:A,0)),"")</f>
        <v>#REF!</v>
      </c>
    </row>
    <row r="587" spans="1:3">
      <c r="A587" s="7" t="e">
        <f>IF('Document Workflow'!A586&lt;&gt;"",'Document Workflow'!A586,"")</f>
        <v>#REF!</v>
      </c>
      <c r="B587" s="2" t="s">
        <v>72</v>
      </c>
      <c r="C587" s="3" t="e">
        <f>IF(INDEX('Document Workflow'!M:M,MATCH(A587,'Document Workflow'!A:A,0))&lt;&gt;"",INDEX('Document Workflow'!M:M,MATCH(A587,'Document Workflow'!A:A,0)),"")</f>
        <v>#REF!</v>
      </c>
    </row>
    <row r="588" spans="1:3">
      <c r="A588" s="7" t="e">
        <f>IF('Document Workflow'!A587&lt;&gt;"",'Document Workflow'!A587,"")</f>
        <v>#REF!</v>
      </c>
      <c r="B588" s="2" t="s">
        <v>72</v>
      </c>
      <c r="C588" s="3" t="e">
        <f>IF(INDEX('Document Workflow'!M:M,MATCH(A588,'Document Workflow'!A:A,0))&lt;&gt;"",INDEX('Document Workflow'!M:M,MATCH(A588,'Document Workflow'!A:A,0)),"")</f>
        <v>#REF!</v>
      </c>
    </row>
    <row r="589" spans="1:3">
      <c r="A589" s="7" t="e">
        <f>IF('Document Workflow'!A588&lt;&gt;"",'Document Workflow'!A588,"")</f>
        <v>#REF!</v>
      </c>
      <c r="B589" s="2" t="s">
        <v>72</v>
      </c>
      <c r="C589" s="3" t="e">
        <f>IF(INDEX('Document Workflow'!M:M,MATCH(A589,'Document Workflow'!A:A,0))&lt;&gt;"",INDEX('Document Workflow'!M:M,MATCH(A589,'Document Workflow'!A:A,0)),"")</f>
        <v>#REF!</v>
      </c>
    </row>
    <row r="590" spans="1:3">
      <c r="A590" s="7" t="e">
        <f>IF('Document Workflow'!A589&lt;&gt;"",'Document Workflow'!A589,"")</f>
        <v>#REF!</v>
      </c>
      <c r="B590" s="2" t="s">
        <v>72</v>
      </c>
      <c r="C590" s="3" t="e">
        <f>IF(INDEX('Document Workflow'!M:M,MATCH(A590,'Document Workflow'!A:A,0))&lt;&gt;"",INDEX('Document Workflow'!M:M,MATCH(A590,'Document Workflow'!A:A,0)),"")</f>
        <v>#REF!</v>
      </c>
    </row>
    <row r="591" spans="1:3">
      <c r="A591" s="7" t="e">
        <f>IF('Document Workflow'!A590&lt;&gt;"",'Document Workflow'!A590,"")</f>
        <v>#REF!</v>
      </c>
      <c r="B591" s="2" t="s">
        <v>72</v>
      </c>
      <c r="C591" s="3" t="e">
        <f>IF(INDEX('Document Workflow'!M:M,MATCH(A591,'Document Workflow'!A:A,0))&lt;&gt;"",INDEX('Document Workflow'!M:M,MATCH(A591,'Document Workflow'!A:A,0)),"")</f>
        <v>#REF!</v>
      </c>
    </row>
    <row r="592" spans="1:3">
      <c r="A592" s="7" t="e">
        <f>IF('Document Workflow'!A591&lt;&gt;"",'Document Workflow'!A591,"")</f>
        <v>#REF!</v>
      </c>
      <c r="B592" s="2" t="s">
        <v>72</v>
      </c>
      <c r="C592" s="3" t="e">
        <f>IF(INDEX('Document Workflow'!M:M,MATCH(A592,'Document Workflow'!A:A,0))&lt;&gt;"",INDEX('Document Workflow'!M:M,MATCH(A592,'Document Workflow'!A:A,0)),"")</f>
        <v>#REF!</v>
      </c>
    </row>
    <row r="593" spans="1:3">
      <c r="A593" s="7" t="e">
        <f>IF('Document Workflow'!A592&lt;&gt;"",'Document Workflow'!A592,"")</f>
        <v>#REF!</v>
      </c>
      <c r="B593" s="2" t="s">
        <v>72</v>
      </c>
      <c r="C593" s="3" t="e">
        <f>IF(INDEX('Document Workflow'!M:M,MATCH(A593,'Document Workflow'!A:A,0))&lt;&gt;"",INDEX('Document Workflow'!M:M,MATCH(A593,'Document Workflow'!A:A,0)),"")</f>
        <v>#REF!</v>
      </c>
    </row>
    <row r="594" spans="1:3">
      <c r="A594" s="7" t="e">
        <f>IF('Document Workflow'!A593&lt;&gt;"",'Document Workflow'!A593,"")</f>
        <v>#REF!</v>
      </c>
      <c r="B594" s="2" t="s">
        <v>72</v>
      </c>
      <c r="C594" s="3" t="e">
        <f>IF(INDEX('Document Workflow'!M:M,MATCH(A594,'Document Workflow'!A:A,0))&lt;&gt;"",INDEX('Document Workflow'!M:M,MATCH(A594,'Document Workflow'!A:A,0)),"")</f>
        <v>#REF!</v>
      </c>
    </row>
    <row r="595" spans="1:3">
      <c r="A595" s="7" t="e">
        <f>IF('Document Workflow'!A594&lt;&gt;"",'Document Workflow'!A594,"")</f>
        <v>#REF!</v>
      </c>
      <c r="B595" s="2" t="s">
        <v>72</v>
      </c>
      <c r="C595" s="3" t="e">
        <f>IF(INDEX('Document Workflow'!M:M,MATCH(A595,'Document Workflow'!A:A,0))&lt;&gt;"",INDEX('Document Workflow'!M:M,MATCH(A595,'Document Workflow'!A:A,0)),"")</f>
        <v>#REF!</v>
      </c>
    </row>
    <row r="596" spans="1:3">
      <c r="A596" s="7" t="e">
        <f>IF('Document Workflow'!A595&lt;&gt;"",'Document Workflow'!A595,"")</f>
        <v>#REF!</v>
      </c>
      <c r="B596" s="2" t="s">
        <v>72</v>
      </c>
      <c r="C596" s="3" t="e">
        <f>IF(INDEX('Document Workflow'!M:M,MATCH(A596,'Document Workflow'!A:A,0))&lt;&gt;"",INDEX('Document Workflow'!M:M,MATCH(A596,'Document Workflow'!A:A,0)),"")</f>
        <v>#REF!</v>
      </c>
    </row>
    <row r="597" spans="1:3">
      <c r="A597" s="7" t="e">
        <f>IF('Document Workflow'!A596&lt;&gt;"",'Document Workflow'!A596,"")</f>
        <v>#REF!</v>
      </c>
      <c r="B597" s="2" t="s">
        <v>72</v>
      </c>
      <c r="C597" s="3" t="e">
        <f>IF(INDEX('Document Workflow'!M:M,MATCH(A597,'Document Workflow'!A:A,0))&lt;&gt;"",INDEX('Document Workflow'!M:M,MATCH(A597,'Document Workflow'!A:A,0)),"")</f>
        <v>#REF!</v>
      </c>
    </row>
    <row r="598" spans="1:3">
      <c r="A598" s="7" t="e">
        <f>IF('Document Workflow'!A597&lt;&gt;"",'Document Workflow'!A597,"")</f>
        <v>#REF!</v>
      </c>
      <c r="B598" s="2" t="s">
        <v>72</v>
      </c>
      <c r="C598" s="3" t="e">
        <f>IF(INDEX('Document Workflow'!M:M,MATCH(A598,'Document Workflow'!A:A,0))&lt;&gt;"",INDEX('Document Workflow'!M:M,MATCH(A598,'Document Workflow'!A:A,0)),"")</f>
        <v>#REF!</v>
      </c>
    </row>
    <row r="599" spans="1:3">
      <c r="A599" s="7" t="e">
        <f>IF('Document Workflow'!A598&lt;&gt;"",'Document Workflow'!A598,"")</f>
        <v>#REF!</v>
      </c>
      <c r="B599" s="2" t="s">
        <v>72</v>
      </c>
      <c r="C599" s="3" t="e">
        <f>IF(INDEX('Document Workflow'!M:M,MATCH(A599,'Document Workflow'!A:A,0))&lt;&gt;"",INDEX('Document Workflow'!M:M,MATCH(A599,'Document Workflow'!A:A,0)),"")</f>
        <v>#REF!</v>
      </c>
    </row>
    <row r="600" spans="1:3">
      <c r="A600" s="7" t="e">
        <f>IF('Document Workflow'!A599&lt;&gt;"",'Document Workflow'!A599,"")</f>
        <v>#REF!</v>
      </c>
      <c r="B600" s="2" t="s">
        <v>72</v>
      </c>
      <c r="C600" s="3" t="e">
        <f>IF(INDEX('Document Workflow'!M:M,MATCH(A600,'Document Workflow'!A:A,0))&lt;&gt;"",INDEX('Document Workflow'!M:M,MATCH(A600,'Document Workflow'!A:A,0)),"")</f>
        <v>#REF!</v>
      </c>
    </row>
    <row r="601" spans="1:3">
      <c r="A601" s="7" t="e">
        <f>IF('Document Workflow'!A600&lt;&gt;"",'Document Workflow'!A600,"")</f>
        <v>#REF!</v>
      </c>
      <c r="B601" s="2" t="s">
        <v>72</v>
      </c>
      <c r="C601" s="3" t="e">
        <f>IF(INDEX('Document Workflow'!M:M,MATCH(A601,'Document Workflow'!A:A,0))&lt;&gt;"",INDEX('Document Workflow'!M:M,MATCH(A601,'Document Workflow'!A:A,0)),"")</f>
        <v>#REF!</v>
      </c>
    </row>
    <row r="602" spans="1:3">
      <c r="A602" s="7" t="e">
        <f>IF('Document Workflow'!A601&lt;&gt;"",'Document Workflow'!A601,"")</f>
        <v>#REF!</v>
      </c>
      <c r="B602" s="2" t="s">
        <v>72</v>
      </c>
      <c r="C602" s="3" t="e">
        <f>IF(INDEX('Document Workflow'!M:M,MATCH(A602,'Document Workflow'!A:A,0))&lt;&gt;"",INDEX('Document Workflow'!M:M,MATCH(A602,'Document Workflow'!A:A,0)),"")</f>
        <v>#REF!</v>
      </c>
    </row>
    <row r="603" spans="1:3">
      <c r="A603" s="7" t="e">
        <f>IF('Document Workflow'!A602&lt;&gt;"",'Document Workflow'!A602,"")</f>
        <v>#REF!</v>
      </c>
      <c r="B603" s="2" t="s">
        <v>72</v>
      </c>
      <c r="C603" s="3" t="e">
        <f>IF(INDEX('Document Workflow'!M:M,MATCH(A603,'Document Workflow'!A:A,0))&lt;&gt;"",INDEX('Document Workflow'!M:M,MATCH(A603,'Document Workflow'!A:A,0)),"")</f>
        <v>#REF!</v>
      </c>
    </row>
    <row r="604" spans="1:3">
      <c r="A604" s="7" t="e">
        <f>IF('Document Workflow'!A603&lt;&gt;"",'Document Workflow'!A603,"")</f>
        <v>#REF!</v>
      </c>
      <c r="B604" s="2" t="s">
        <v>72</v>
      </c>
      <c r="C604" s="3" t="e">
        <f>IF(INDEX('Document Workflow'!M:M,MATCH(A604,'Document Workflow'!A:A,0))&lt;&gt;"",INDEX('Document Workflow'!M:M,MATCH(A604,'Document Workflow'!A:A,0)),"")</f>
        <v>#REF!</v>
      </c>
    </row>
    <row r="605" spans="1:3">
      <c r="A605" s="7" t="e">
        <f>IF('Document Workflow'!A604&lt;&gt;"",'Document Workflow'!A604,"")</f>
        <v>#REF!</v>
      </c>
      <c r="B605" s="2" t="s">
        <v>72</v>
      </c>
      <c r="C605" s="3" t="e">
        <f>IF(INDEX('Document Workflow'!M:M,MATCH(A605,'Document Workflow'!A:A,0))&lt;&gt;"",INDEX('Document Workflow'!M:M,MATCH(A605,'Document Workflow'!A:A,0)),"")</f>
        <v>#REF!</v>
      </c>
    </row>
    <row r="606" spans="1:3">
      <c r="A606" s="7" t="e">
        <f>IF('Document Workflow'!A605&lt;&gt;"",'Document Workflow'!A605,"")</f>
        <v>#REF!</v>
      </c>
      <c r="B606" s="2" t="s">
        <v>72</v>
      </c>
      <c r="C606" s="3" t="e">
        <f>IF(INDEX('Document Workflow'!M:M,MATCH(A606,'Document Workflow'!A:A,0))&lt;&gt;"",INDEX('Document Workflow'!M:M,MATCH(A606,'Document Workflow'!A:A,0)),"")</f>
        <v>#REF!</v>
      </c>
    </row>
    <row r="607" spans="1:3">
      <c r="A607" s="7" t="e">
        <f>IF('Document Workflow'!A606&lt;&gt;"",'Document Workflow'!A606,"")</f>
        <v>#REF!</v>
      </c>
      <c r="B607" s="2" t="s">
        <v>72</v>
      </c>
      <c r="C607" s="3" t="e">
        <f>IF(INDEX('Document Workflow'!M:M,MATCH(A607,'Document Workflow'!A:A,0))&lt;&gt;"",INDEX('Document Workflow'!M:M,MATCH(A607,'Document Workflow'!A:A,0)),"")</f>
        <v>#REF!</v>
      </c>
    </row>
    <row r="608" spans="1:3">
      <c r="A608" s="7" t="e">
        <f>IF('Document Workflow'!A607&lt;&gt;"",'Document Workflow'!A607,"")</f>
        <v>#REF!</v>
      </c>
      <c r="B608" s="2" t="s">
        <v>72</v>
      </c>
      <c r="C608" s="3" t="e">
        <f>IF(INDEX('Document Workflow'!M:M,MATCH(A608,'Document Workflow'!A:A,0))&lt;&gt;"",INDEX('Document Workflow'!M:M,MATCH(A608,'Document Workflow'!A:A,0)),"")</f>
        <v>#REF!</v>
      </c>
    </row>
    <row r="609" spans="1:3">
      <c r="A609" s="7" t="e">
        <f>IF('Document Workflow'!A608&lt;&gt;"",'Document Workflow'!A608,"")</f>
        <v>#REF!</v>
      </c>
      <c r="B609" s="2" t="s">
        <v>72</v>
      </c>
      <c r="C609" s="3" t="e">
        <f>IF(INDEX('Document Workflow'!M:M,MATCH(A609,'Document Workflow'!A:A,0))&lt;&gt;"",INDEX('Document Workflow'!M:M,MATCH(A609,'Document Workflow'!A:A,0)),"")</f>
        <v>#REF!</v>
      </c>
    </row>
    <row r="610" spans="1:3">
      <c r="A610" s="7" t="e">
        <f>IF('Document Workflow'!A609&lt;&gt;"",'Document Workflow'!A609,"")</f>
        <v>#REF!</v>
      </c>
      <c r="B610" s="2" t="s">
        <v>72</v>
      </c>
      <c r="C610" s="3" t="e">
        <f>IF(INDEX('Document Workflow'!M:M,MATCH(A610,'Document Workflow'!A:A,0))&lt;&gt;"",INDEX('Document Workflow'!M:M,MATCH(A610,'Document Workflow'!A:A,0)),"")</f>
        <v>#REF!</v>
      </c>
    </row>
    <row r="611" spans="1:3">
      <c r="A611" s="7" t="e">
        <f>IF('Document Workflow'!A610&lt;&gt;"",'Document Workflow'!A610,"")</f>
        <v>#REF!</v>
      </c>
      <c r="B611" s="2" t="s">
        <v>72</v>
      </c>
      <c r="C611" s="3" t="e">
        <f>IF(INDEX('Document Workflow'!M:M,MATCH(A611,'Document Workflow'!A:A,0))&lt;&gt;"",INDEX('Document Workflow'!M:M,MATCH(A611,'Document Workflow'!A:A,0)),"")</f>
        <v>#REF!</v>
      </c>
    </row>
    <row r="612" spans="1:3">
      <c r="A612" s="7" t="e">
        <f>IF('Document Workflow'!A611&lt;&gt;"",'Document Workflow'!A611,"")</f>
        <v>#REF!</v>
      </c>
      <c r="B612" s="2" t="s">
        <v>72</v>
      </c>
      <c r="C612" s="3" t="e">
        <f>IF(INDEX('Document Workflow'!M:M,MATCH(A612,'Document Workflow'!A:A,0))&lt;&gt;"",INDEX('Document Workflow'!M:M,MATCH(A612,'Document Workflow'!A:A,0)),"")</f>
        <v>#REF!</v>
      </c>
    </row>
    <row r="613" spans="1:3">
      <c r="A613" s="7" t="e">
        <f>IF('Document Workflow'!A612&lt;&gt;"",'Document Workflow'!A612,"")</f>
        <v>#REF!</v>
      </c>
      <c r="B613" s="2" t="s">
        <v>72</v>
      </c>
      <c r="C613" s="3" t="e">
        <f>IF(INDEX('Document Workflow'!M:M,MATCH(A613,'Document Workflow'!A:A,0))&lt;&gt;"",INDEX('Document Workflow'!M:M,MATCH(A613,'Document Workflow'!A:A,0)),"")</f>
        <v>#REF!</v>
      </c>
    </row>
    <row r="614" spans="1:3">
      <c r="A614" s="7" t="e">
        <f>IF('Document Workflow'!A613&lt;&gt;"",'Document Workflow'!A613,"")</f>
        <v>#REF!</v>
      </c>
      <c r="B614" s="2" t="s">
        <v>72</v>
      </c>
      <c r="C614" s="3" t="e">
        <f>IF(INDEX('Document Workflow'!M:M,MATCH(A614,'Document Workflow'!A:A,0))&lt;&gt;"",INDEX('Document Workflow'!M:M,MATCH(A614,'Document Workflow'!A:A,0)),"")</f>
        <v>#REF!</v>
      </c>
    </row>
    <row r="615" spans="1:3">
      <c r="A615" s="7" t="e">
        <f>IF('Document Workflow'!A614&lt;&gt;"",'Document Workflow'!A614,"")</f>
        <v>#REF!</v>
      </c>
      <c r="B615" s="2" t="s">
        <v>72</v>
      </c>
      <c r="C615" s="3" t="e">
        <f>IF(INDEX('Document Workflow'!M:M,MATCH(A615,'Document Workflow'!A:A,0))&lt;&gt;"",INDEX('Document Workflow'!M:M,MATCH(A615,'Document Workflow'!A:A,0)),"")</f>
        <v>#REF!</v>
      </c>
    </row>
    <row r="616" spans="1:3">
      <c r="A616" s="7" t="e">
        <f>IF('Document Workflow'!A615&lt;&gt;"",'Document Workflow'!A615,"")</f>
        <v>#REF!</v>
      </c>
      <c r="B616" s="2" t="s">
        <v>72</v>
      </c>
      <c r="C616" s="3" t="e">
        <f>IF(INDEX('Document Workflow'!M:M,MATCH(A616,'Document Workflow'!A:A,0))&lt;&gt;"",INDEX('Document Workflow'!M:M,MATCH(A616,'Document Workflow'!A:A,0)),"")</f>
        <v>#REF!</v>
      </c>
    </row>
    <row r="617" spans="1:3">
      <c r="A617" s="7" t="e">
        <f>IF('Document Workflow'!A616&lt;&gt;"",'Document Workflow'!A616,"")</f>
        <v>#REF!</v>
      </c>
      <c r="B617" s="2" t="s">
        <v>72</v>
      </c>
      <c r="C617" s="3" t="e">
        <f>IF(INDEX('Document Workflow'!M:M,MATCH(A617,'Document Workflow'!A:A,0))&lt;&gt;"",INDEX('Document Workflow'!M:M,MATCH(A617,'Document Workflow'!A:A,0)),"")</f>
        <v>#REF!</v>
      </c>
    </row>
    <row r="618" spans="1:3">
      <c r="A618" s="7" t="e">
        <f>IF('Document Workflow'!A617&lt;&gt;"",'Document Workflow'!A617,"")</f>
        <v>#REF!</v>
      </c>
      <c r="B618" s="2" t="s">
        <v>72</v>
      </c>
      <c r="C618" s="3" t="e">
        <f>IF(INDEX('Document Workflow'!M:M,MATCH(A618,'Document Workflow'!A:A,0))&lt;&gt;"",INDEX('Document Workflow'!M:M,MATCH(A618,'Document Workflow'!A:A,0)),"")</f>
        <v>#REF!</v>
      </c>
    </row>
    <row r="619" spans="1:3">
      <c r="A619" s="7" t="e">
        <f>IF('Document Workflow'!A618&lt;&gt;"",'Document Workflow'!A618,"")</f>
        <v>#REF!</v>
      </c>
      <c r="B619" s="2" t="s">
        <v>72</v>
      </c>
      <c r="C619" s="3" t="e">
        <f>IF(INDEX('Document Workflow'!M:M,MATCH(A619,'Document Workflow'!A:A,0))&lt;&gt;"",INDEX('Document Workflow'!M:M,MATCH(A619,'Document Workflow'!A:A,0)),"")</f>
        <v>#REF!</v>
      </c>
    </row>
    <row r="620" spans="1:3">
      <c r="A620" s="7" t="e">
        <f>IF('Document Workflow'!A619&lt;&gt;"",'Document Workflow'!A619,"")</f>
        <v>#REF!</v>
      </c>
      <c r="B620" s="2" t="s">
        <v>72</v>
      </c>
      <c r="C620" s="3" t="e">
        <f>IF(INDEX('Document Workflow'!M:M,MATCH(A620,'Document Workflow'!A:A,0))&lt;&gt;"",INDEX('Document Workflow'!M:M,MATCH(A620,'Document Workflow'!A:A,0)),"")</f>
        <v>#REF!</v>
      </c>
    </row>
    <row r="621" spans="1:3">
      <c r="A621" s="7" t="e">
        <f>IF('Document Workflow'!A620&lt;&gt;"",'Document Workflow'!A620,"")</f>
        <v>#REF!</v>
      </c>
      <c r="B621" s="2" t="s">
        <v>72</v>
      </c>
      <c r="C621" s="3" t="e">
        <f>IF(INDEX('Document Workflow'!M:M,MATCH(A621,'Document Workflow'!A:A,0))&lt;&gt;"",INDEX('Document Workflow'!M:M,MATCH(A621,'Document Workflow'!A:A,0)),"")</f>
        <v>#REF!</v>
      </c>
    </row>
    <row r="622" spans="1:3">
      <c r="A622" s="7" t="e">
        <f>IF('Document Workflow'!A621&lt;&gt;"",'Document Workflow'!A621,"")</f>
        <v>#REF!</v>
      </c>
      <c r="B622" s="2" t="s">
        <v>72</v>
      </c>
      <c r="C622" s="3" t="e">
        <f>IF(INDEX('Document Workflow'!M:M,MATCH(A622,'Document Workflow'!A:A,0))&lt;&gt;"",INDEX('Document Workflow'!M:M,MATCH(A622,'Document Workflow'!A:A,0)),"")</f>
        <v>#REF!</v>
      </c>
    </row>
    <row r="623" spans="1:3">
      <c r="A623" s="7" t="e">
        <f>IF('Document Workflow'!A622&lt;&gt;"",'Document Workflow'!A622,"")</f>
        <v>#REF!</v>
      </c>
      <c r="B623" s="2" t="s">
        <v>72</v>
      </c>
      <c r="C623" s="3" t="e">
        <f>IF(INDEX('Document Workflow'!M:M,MATCH(A623,'Document Workflow'!A:A,0))&lt;&gt;"",INDEX('Document Workflow'!M:M,MATCH(A623,'Document Workflow'!A:A,0)),"")</f>
        <v>#REF!</v>
      </c>
    </row>
    <row r="624" spans="1:3">
      <c r="A624" s="7" t="e">
        <f>IF('Document Workflow'!A623&lt;&gt;"",'Document Workflow'!A623,"")</f>
        <v>#REF!</v>
      </c>
      <c r="B624" s="2" t="s">
        <v>72</v>
      </c>
      <c r="C624" s="3" t="e">
        <f>IF(INDEX('Document Workflow'!M:M,MATCH(A624,'Document Workflow'!A:A,0))&lt;&gt;"",INDEX('Document Workflow'!M:M,MATCH(A624,'Document Workflow'!A:A,0)),"")</f>
        <v>#REF!</v>
      </c>
    </row>
    <row r="625" spans="1:3">
      <c r="A625" s="7" t="e">
        <f>IF('Document Workflow'!A624&lt;&gt;"",'Document Workflow'!A624,"")</f>
        <v>#REF!</v>
      </c>
      <c r="B625" s="2" t="s">
        <v>72</v>
      </c>
      <c r="C625" s="3" t="e">
        <f>IF(INDEX('Document Workflow'!M:M,MATCH(A625,'Document Workflow'!A:A,0))&lt;&gt;"",INDEX('Document Workflow'!M:M,MATCH(A625,'Document Workflow'!A:A,0)),"")</f>
        <v>#REF!</v>
      </c>
    </row>
    <row r="626" spans="1:3">
      <c r="A626" s="7" t="e">
        <f>IF('Document Workflow'!A625&lt;&gt;"",'Document Workflow'!A625,"")</f>
        <v>#REF!</v>
      </c>
      <c r="B626" s="2" t="s">
        <v>72</v>
      </c>
      <c r="C626" s="3" t="e">
        <f>IF(INDEX('Document Workflow'!M:M,MATCH(A626,'Document Workflow'!A:A,0))&lt;&gt;"",INDEX('Document Workflow'!M:M,MATCH(A626,'Document Workflow'!A:A,0)),"")</f>
        <v>#REF!</v>
      </c>
    </row>
    <row r="627" spans="1:3">
      <c r="A627" s="7" t="e">
        <f>IF('Document Workflow'!A626&lt;&gt;"",'Document Workflow'!A626,"")</f>
        <v>#REF!</v>
      </c>
      <c r="B627" s="2" t="s">
        <v>72</v>
      </c>
      <c r="C627" s="3" t="e">
        <f>IF(INDEX('Document Workflow'!M:M,MATCH(A627,'Document Workflow'!A:A,0))&lt;&gt;"",INDEX('Document Workflow'!M:M,MATCH(A627,'Document Workflow'!A:A,0)),"")</f>
        <v>#REF!</v>
      </c>
    </row>
    <row r="628" spans="1:3">
      <c r="A628" s="7" t="e">
        <f>IF('Document Workflow'!A627&lt;&gt;"",'Document Workflow'!A627,"")</f>
        <v>#REF!</v>
      </c>
      <c r="B628" s="2" t="s">
        <v>72</v>
      </c>
      <c r="C628" s="3" t="e">
        <f>IF(INDEX('Document Workflow'!M:M,MATCH(A628,'Document Workflow'!A:A,0))&lt;&gt;"",INDEX('Document Workflow'!M:M,MATCH(A628,'Document Workflow'!A:A,0)),"")</f>
        <v>#REF!</v>
      </c>
    </row>
    <row r="629" spans="1:3">
      <c r="A629" s="7" t="e">
        <f>IF('Document Workflow'!A628&lt;&gt;"",'Document Workflow'!A628,"")</f>
        <v>#REF!</v>
      </c>
      <c r="B629" s="2" t="s">
        <v>72</v>
      </c>
      <c r="C629" s="3" t="e">
        <f>IF(INDEX('Document Workflow'!M:M,MATCH(A629,'Document Workflow'!A:A,0))&lt;&gt;"",INDEX('Document Workflow'!M:M,MATCH(A629,'Document Workflow'!A:A,0)),"")</f>
        <v>#REF!</v>
      </c>
    </row>
    <row r="630" spans="1:3">
      <c r="A630" s="7" t="e">
        <f>IF('Document Workflow'!A629&lt;&gt;"",'Document Workflow'!A629,"")</f>
        <v>#REF!</v>
      </c>
      <c r="B630" s="2" t="s">
        <v>72</v>
      </c>
      <c r="C630" s="3" t="e">
        <f>IF(INDEX('Document Workflow'!M:M,MATCH(A630,'Document Workflow'!A:A,0))&lt;&gt;"",INDEX('Document Workflow'!M:M,MATCH(A630,'Document Workflow'!A:A,0)),"")</f>
        <v>#REF!</v>
      </c>
    </row>
    <row r="631" spans="1:3">
      <c r="A631" s="7" t="e">
        <f>IF('Document Workflow'!A630&lt;&gt;"",'Document Workflow'!A630,"")</f>
        <v>#REF!</v>
      </c>
      <c r="B631" s="2" t="s">
        <v>72</v>
      </c>
      <c r="C631" s="3" t="e">
        <f>IF(INDEX('Document Workflow'!M:M,MATCH(A631,'Document Workflow'!A:A,0))&lt;&gt;"",INDEX('Document Workflow'!M:M,MATCH(A631,'Document Workflow'!A:A,0)),"")</f>
        <v>#REF!</v>
      </c>
    </row>
    <row r="632" spans="1:3">
      <c r="A632" s="7" t="e">
        <f>IF('Document Workflow'!A631&lt;&gt;"",'Document Workflow'!A631,"")</f>
        <v>#REF!</v>
      </c>
      <c r="B632" s="2" t="s">
        <v>72</v>
      </c>
      <c r="C632" s="3" t="e">
        <f>IF(INDEX('Document Workflow'!M:M,MATCH(A632,'Document Workflow'!A:A,0))&lt;&gt;"",INDEX('Document Workflow'!M:M,MATCH(A632,'Document Workflow'!A:A,0)),"")</f>
        <v>#REF!</v>
      </c>
    </row>
    <row r="633" spans="1:3">
      <c r="A633" s="7" t="e">
        <f>IF('Document Workflow'!A632&lt;&gt;"",'Document Workflow'!A632,"")</f>
        <v>#REF!</v>
      </c>
      <c r="B633" s="2" t="s">
        <v>72</v>
      </c>
      <c r="C633" s="3" t="e">
        <f>IF(INDEX('Document Workflow'!M:M,MATCH(A633,'Document Workflow'!A:A,0))&lt;&gt;"",INDEX('Document Workflow'!M:M,MATCH(A633,'Document Workflow'!A:A,0)),"")</f>
        <v>#REF!</v>
      </c>
    </row>
    <row r="634" spans="1:3">
      <c r="A634" s="7" t="e">
        <f>IF('Document Workflow'!A633&lt;&gt;"",'Document Workflow'!A633,"")</f>
        <v>#REF!</v>
      </c>
      <c r="B634" s="2" t="s">
        <v>72</v>
      </c>
      <c r="C634" s="3" t="e">
        <f>IF(INDEX('Document Workflow'!M:M,MATCH(A634,'Document Workflow'!A:A,0))&lt;&gt;"",INDEX('Document Workflow'!M:M,MATCH(A634,'Document Workflow'!A:A,0)),"")</f>
        <v>#REF!</v>
      </c>
    </row>
    <row r="635" spans="1:3">
      <c r="A635" s="7" t="e">
        <f>IF('Document Workflow'!A634&lt;&gt;"",'Document Workflow'!A634,"")</f>
        <v>#REF!</v>
      </c>
      <c r="B635" s="2" t="s">
        <v>72</v>
      </c>
      <c r="C635" s="3" t="e">
        <f>IF(INDEX('Document Workflow'!M:M,MATCH(A635,'Document Workflow'!A:A,0))&lt;&gt;"",INDEX('Document Workflow'!M:M,MATCH(A635,'Document Workflow'!A:A,0)),"")</f>
        <v>#REF!</v>
      </c>
    </row>
    <row r="636" spans="1:3">
      <c r="A636" s="7" t="e">
        <f>IF('Document Workflow'!A635&lt;&gt;"",'Document Workflow'!A635,"")</f>
        <v>#REF!</v>
      </c>
      <c r="B636" s="2" t="s">
        <v>72</v>
      </c>
      <c r="C636" s="3" t="e">
        <f>IF(INDEX('Document Workflow'!M:M,MATCH(A636,'Document Workflow'!A:A,0))&lt;&gt;"",INDEX('Document Workflow'!M:M,MATCH(A636,'Document Workflow'!A:A,0)),"")</f>
        <v>#REF!</v>
      </c>
    </row>
    <row r="637" spans="1:3">
      <c r="A637" s="7" t="e">
        <f>IF('Document Workflow'!A636&lt;&gt;"",'Document Workflow'!A636,"")</f>
        <v>#REF!</v>
      </c>
      <c r="B637" s="2" t="s">
        <v>72</v>
      </c>
      <c r="C637" s="3" t="e">
        <f>IF(INDEX('Document Workflow'!M:M,MATCH(A637,'Document Workflow'!A:A,0))&lt;&gt;"",INDEX('Document Workflow'!M:M,MATCH(A637,'Document Workflow'!A:A,0)),"")</f>
        <v>#REF!</v>
      </c>
    </row>
    <row r="638" spans="1:3">
      <c r="A638" s="7" t="e">
        <f>IF('Document Workflow'!A637&lt;&gt;"",'Document Workflow'!A637,"")</f>
        <v>#REF!</v>
      </c>
      <c r="B638" s="2" t="s">
        <v>72</v>
      </c>
      <c r="C638" s="3" t="e">
        <f>IF(INDEX('Document Workflow'!M:M,MATCH(A638,'Document Workflow'!A:A,0))&lt;&gt;"",INDEX('Document Workflow'!M:M,MATCH(A638,'Document Workflow'!A:A,0)),"")</f>
        <v>#REF!</v>
      </c>
    </row>
    <row r="639" spans="1:3">
      <c r="A639" s="7" t="e">
        <f>IF('Document Workflow'!A638&lt;&gt;"",'Document Workflow'!A638,"")</f>
        <v>#REF!</v>
      </c>
      <c r="B639" s="2" t="s">
        <v>72</v>
      </c>
      <c r="C639" s="3" t="e">
        <f>IF(INDEX('Document Workflow'!M:M,MATCH(A639,'Document Workflow'!A:A,0))&lt;&gt;"",INDEX('Document Workflow'!M:M,MATCH(A639,'Document Workflow'!A:A,0)),"")</f>
        <v>#REF!</v>
      </c>
    </row>
    <row r="640" spans="1:3">
      <c r="A640" s="7" t="e">
        <f>IF('Document Workflow'!A639&lt;&gt;"",'Document Workflow'!A639,"")</f>
        <v>#REF!</v>
      </c>
      <c r="B640" s="2" t="s">
        <v>72</v>
      </c>
      <c r="C640" s="3" t="e">
        <f>IF(INDEX('Document Workflow'!M:M,MATCH(A640,'Document Workflow'!A:A,0))&lt;&gt;"",INDEX('Document Workflow'!M:M,MATCH(A640,'Document Workflow'!A:A,0)),"")</f>
        <v>#REF!</v>
      </c>
    </row>
    <row r="641" spans="1:3">
      <c r="A641" s="7" t="e">
        <f>IF('Document Workflow'!A640&lt;&gt;"",'Document Workflow'!A640,"")</f>
        <v>#REF!</v>
      </c>
      <c r="B641" s="2" t="s">
        <v>72</v>
      </c>
      <c r="C641" s="3" t="e">
        <f>IF(INDEX('Document Workflow'!M:M,MATCH(A641,'Document Workflow'!A:A,0))&lt;&gt;"",INDEX('Document Workflow'!M:M,MATCH(A641,'Document Workflow'!A:A,0)),"")</f>
        <v>#REF!</v>
      </c>
    </row>
    <row r="642" spans="1:3">
      <c r="A642" s="7" t="e">
        <f>IF('Document Workflow'!A641&lt;&gt;"",'Document Workflow'!A641,"")</f>
        <v>#REF!</v>
      </c>
      <c r="B642" s="2" t="s">
        <v>72</v>
      </c>
      <c r="C642" s="3" t="e">
        <f>IF(INDEX('Document Workflow'!M:M,MATCH(A642,'Document Workflow'!A:A,0))&lt;&gt;"",INDEX('Document Workflow'!M:M,MATCH(A642,'Document Workflow'!A:A,0)),"")</f>
        <v>#REF!</v>
      </c>
    </row>
    <row r="643" spans="1:3">
      <c r="A643" s="7" t="e">
        <f>IF('Document Workflow'!A642&lt;&gt;"",'Document Workflow'!A642,"")</f>
        <v>#REF!</v>
      </c>
      <c r="B643" s="2" t="s">
        <v>72</v>
      </c>
      <c r="C643" s="3" t="e">
        <f>IF(INDEX('Document Workflow'!M:M,MATCH(A643,'Document Workflow'!A:A,0))&lt;&gt;"",INDEX('Document Workflow'!M:M,MATCH(A643,'Document Workflow'!A:A,0)),"")</f>
        <v>#REF!</v>
      </c>
    </row>
    <row r="644" spans="1:3">
      <c r="A644" s="7" t="e">
        <f>IF('Document Workflow'!A643&lt;&gt;"",'Document Workflow'!A643,"")</f>
        <v>#REF!</v>
      </c>
      <c r="B644" s="2" t="s">
        <v>72</v>
      </c>
      <c r="C644" s="3" t="e">
        <f>IF(INDEX('Document Workflow'!M:M,MATCH(A644,'Document Workflow'!A:A,0))&lt;&gt;"",INDEX('Document Workflow'!M:M,MATCH(A644,'Document Workflow'!A:A,0)),"")</f>
        <v>#REF!</v>
      </c>
    </row>
    <row r="645" spans="1:3">
      <c r="A645" s="7" t="e">
        <f>IF('Document Workflow'!A644&lt;&gt;"",'Document Workflow'!A644,"")</f>
        <v>#REF!</v>
      </c>
      <c r="B645" s="2" t="s">
        <v>72</v>
      </c>
      <c r="C645" s="3" t="e">
        <f>IF(INDEX('Document Workflow'!M:M,MATCH(A645,'Document Workflow'!A:A,0))&lt;&gt;"",INDEX('Document Workflow'!M:M,MATCH(A645,'Document Workflow'!A:A,0)),"")</f>
        <v>#REF!</v>
      </c>
    </row>
    <row r="646" spans="1:3">
      <c r="A646" s="7" t="e">
        <f>IF('Document Workflow'!A645&lt;&gt;"",'Document Workflow'!A645,"")</f>
        <v>#REF!</v>
      </c>
      <c r="B646" s="2" t="s">
        <v>72</v>
      </c>
      <c r="C646" s="3" t="e">
        <f>IF(INDEX('Document Workflow'!M:M,MATCH(A646,'Document Workflow'!A:A,0))&lt;&gt;"",INDEX('Document Workflow'!M:M,MATCH(A646,'Document Workflow'!A:A,0)),"")</f>
        <v>#REF!</v>
      </c>
    </row>
    <row r="647" spans="1:3">
      <c r="A647" s="7" t="e">
        <f>IF('Document Workflow'!A646&lt;&gt;"",'Document Workflow'!A646,"")</f>
        <v>#REF!</v>
      </c>
      <c r="B647" s="2" t="s">
        <v>72</v>
      </c>
      <c r="C647" s="3" t="e">
        <f>IF(INDEX('Document Workflow'!M:M,MATCH(A647,'Document Workflow'!A:A,0))&lt;&gt;"",INDEX('Document Workflow'!M:M,MATCH(A647,'Document Workflow'!A:A,0)),"")</f>
        <v>#REF!</v>
      </c>
    </row>
    <row r="648" spans="1:3">
      <c r="A648" s="7" t="e">
        <f>IF('Document Workflow'!A647&lt;&gt;"",'Document Workflow'!A647,"")</f>
        <v>#REF!</v>
      </c>
      <c r="B648" s="2" t="s">
        <v>72</v>
      </c>
      <c r="C648" s="3" t="e">
        <f>IF(INDEX('Document Workflow'!M:M,MATCH(A648,'Document Workflow'!A:A,0))&lt;&gt;"",INDEX('Document Workflow'!M:M,MATCH(A648,'Document Workflow'!A:A,0)),"")</f>
        <v>#REF!</v>
      </c>
    </row>
    <row r="649" spans="1:3">
      <c r="A649" s="7" t="e">
        <f>IF('Document Workflow'!A648&lt;&gt;"",'Document Workflow'!A648,"")</f>
        <v>#REF!</v>
      </c>
      <c r="B649" s="2" t="s">
        <v>72</v>
      </c>
      <c r="C649" s="3" t="e">
        <f>IF(INDEX('Document Workflow'!M:M,MATCH(A649,'Document Workflow'!A:A,0))&lt;&gt;"",INDEX('Document Workflow'!M:M,MATCH(A649,'Document Workflow'!A:A,0)),"")</f>
        <v>#REF!</v>
      </c>
    </row>
    <row r="650" spans="1:3">
      <c r="A650" s="7" t="e">
        <f>IF('Document Workflow'!A649&lt;&gt;"",'Document Workflow'!A649,"")</f>
        <v>#REF!</v>
      </c>
      <c r="B650" s="2" t="s">
        <v>72</v>
      </c>
      <c r="C650" s="3" t="e">
        <f>IF(INDEX('Document Workflow'!M:M,MATCH(A650,'Document Workflow'!A:A,0))&lt;&gt;"",INDEX('Document Workflow'!M:M,MATCH(A650,'Document Workflow'!A:A,0)),"")</f>
        <v>#REF!</v>
      </c>
    </row>
    <row r="651" spans="1:3">
      <c r="A651" s="7" t="e">
        <f>IF('Document Workflow'!A650&lt;&gt;"",'Document Workflow'!A650,"")</f>
        <v>#REF!</v>
      </c>
      <c r="B651" s="2" t="s">
        <v>72</v>
      </c>
      <c r="C651" s="3" t="e">
        <f>IF(INDEX('Document Workflow'!M:M,MATCH(A651,'Document Workflow'!A:A,0))&lt;&gt;"",INDEX('Document Workflow'!M:M,MATCH(A651,'Document Workflow'!A:A,0)),"")</f>
        <v>#REF!</v>
      </c>
    </row>
    <row r="652" spans="1:3">
      <c r="A652" s="7" t="e">
        <f>IF('Document Workflow'!A651&lt;&gt;"",'Document Workflow'!A651,"")</f>
        <v>#REF!</v>
      </c>
      <c r="B652" s="2" t="s">
        <v>72</v>
      </c>
      <c r="C652" s="3" t="e">
        <f>IF(INDEX('Document Workflow'!M:M,MATCH(A652,'Document Workflow'!A:A,0))&lt;&gt;"",INDEX('Document Workflow'!M:M,MATCH(A652,'Document Workflow'!A:A,0)),"")</f>
        <v>#REF!</v>
      </c>
    </row>
    <row r="653" spans="1:3">
      <c r="A653" s="7" t="e">
        <f>IF('Document Workflow'!A652&lt;&gt;"",'Document Workflow'!A652,"")</f>
        <v>#REF!</v>
      </c>
      <c r="B653" s="2" t="s">
        <v>72</v>
      </c>
      <c r="C653" s="3" t="e">
        <f>IF(INDEX('Document Workflow'!M:M,MATCH(A653,'Document Workflow'!A:A,0))&lt;&gt;"",INDEX('Document Workflow'!M:M,MATCH(A653,'Document Workflow'!A:A,0)),"")</f>
        <v>#REF!</v>
      </c>
    </row>
    <row r="654" spans="1:3">
      <c r="A654" s="7" t="e">
        <f>IF('Document Workflow'!A653&lt;&gt;"",'Document Workflow'!A653,"")</f>
        <v>#REF!</v>
      </c>
      <c r="B654" s="2" t="s">
        <v>72</v>
      </c>
      <c r="C654" s="3" t="e">
        <f>IF(INDEX('Document Workflow'!M:M,MATCH(A654,'Document Workflow'!A:A,0))&lt;&gt;"",INDEX('Document Workflow'!M:M,MATCH(A654,'Document Workflow'!A:A,0)),"")</f>
        <v>#REF!</v>
      </c>
    </row>
    <row r="655" spans="1:3">
      <c r="A655" s="7" t="e">
        <f>IF('Document Workflow'!A654&lt;&gt;"",'Document Workflow'!A654,"")</f>
        <v>#REF!</v>
      </c>
      <c r="B655" s="2" t="s">
        <v>72</v>
      </c>
      <c r="C655" s="3" t="e">
        <f>IF(INDEX('Document Workflow'!M:M,MATCH(A655,'Document Workflow'!A:A,0))&lt;&gt;"",INDEX('Document Workflow'!M:M,MATCH(A655,'Document Workflow'!A:A,0)),"")</f>
        <v>#REF!</v>
      </c>
    </row>
    <row r="656" spans="1:3">
      <c r="A656" s="7" t="e">
        <f>IF('Document Workflow'!A655&lt;&gt;"",'Document Workflow'!A655,"")</f>
        <v>#REF!</v>
      </c>
      <c r="B656" s="2" t="s">
        <v>72</v>
      </c>
      <c r="C656" s="3" t="e">
        <f>IF(INDEX('Document Workflow'!M:M,MATCH(A656,'Document Workflow'!A:A,0))&lt;&gt;"",INDEX('Document Workflow'!M:M,MATCH(A656,'Document Workflow'!A:A,0)),"")</f>
        <v>#REF!</v>
      </c>
    </row>
    <row r="657" spans="1:3">
      <c r="A657" s="7" t="e">
        <f>IF('Document Workflow'!A656&lt;&gt;"",'Document Workflow'!A656,"")</f>
        <v>#REF!</v>
      </c>
      <c r="B657" s="2" t="s">
        <v>72</v>
      </c>
      <c r="C657" s="3" t="e">
        <f>IF(INDEX('Document Workflow'!M:M,MATCH(A657,'Document Workflow'!A:A,0))&lt;&gt;"",INDEX('Document Workflow'!M:M,MATCH(A657,'Document Workflow'!A:A,0)),"")</f>
        <v>#REF!</v>
      </c>
    </row>
    <row r="658" spans="1:3">
      <c r="A658" s="7" t="e">
        <f>IF('Document Workflow'!A657&lt;&gt;"",'Document Workflow'!A657,"")</f>
        <v>#REF!</v>
      </c>
      <c r="B658" s="2" t="s">
        <v>72</v>
      </c>
      <c r="C658" s="3" t="e">
        <f>IF(INDEX('Document Workflow'!M:M,MATCH(A658,'Document Workflow'!A:A,0))&lt;&gt;"",INDEX('Document Workflow'!M:M,MATCH(A658,'Document Workflow'!A:A,0)),"")</f>
        <v>#REF!</v>
      </c>
    </row>
    <row r="659" spans="1:3">
      <c r="A659" s="7" t="e">
        <f>IF('Document Workflow'!A658&lt;&gt;"",'Document Workflow'!A658,"")</f>
        <v>#REF!</v>
      </c>
      <c r="B659" s="2" t="s">
        <v>72</v>
      </c>
      <c r="C659" s="3" t="e">
        <f>IF(INDEX('Document Workflow'!M:M,MATCH(A659,'Document Workflow'!A:A,0))&lt;&gt;"",INDEX('Document Workflow'!M:M,MATCH(A659,'Document Workflow'!A:A,0)),"")</f>
        <v>#REF!</v>
      </c>
    </row>
    <row r="660" spans="1:3">
      <c r="A660" s="7" t="e">
        <f>IF('Document Workflow'!A659&lt;&gt;"",'Document Workflow'!A659,"")</f>
        <v>#REF!</v>
      </c>
      <c r="B660" s="2" t="s">
        <v>72</v>
      </c>
      <c r="C660" s="3" t="e">
        <f>IF(INDEX('Document Workflow'!M:M,MATCH(A660,'Document Workflow'!A:A,0))&lt;&gt;"",INDEX('Document Workflow'!M:M,MATCH(A660,'Document Workflow'!A:A,0)),"")</f>
        <v>#REF!</v>
      </c>
    </row>
    <row r="661" spans="1:3">
      <c r="A661" s="7" t="e">
        <f>IF('Document Workflow'!A660&lt;&gt;"",'Document Workflow'!A660,"")</f>
        <v>#REF!</v>
      </c>
      <c r="B661" s="2" t="s">
        <v>72</v>
      </c>
      <c r="C661" s="3" t="e">
        <f>IF(INDEX('Document Workflow'!M:M,MATCH(A661,'Document Workflow'!A:A,0))&lt;&gt;"",INDEX('Document Workflow'!M:M,MATCH(A661,'Document Workflow'!A:A,0)),"")</f>
        <v>#REF!</v>
      </c>
    </row>
    <row r="662" spans="1:3">
      <c r="A662" s="7" t="e">
        <f>IF('Document Workflow'!A661&lt;&gt;"",'Document Workflow'!A661,"")</f>
        <v>#REF!</v>
      </c>
      <c r="B662" s="2" t="s">
        <v>72</v>
      </c>
      <c r="C662" s="3" t="e">
        <f>IF(INDEX('Document Workflow'!M:M,MATCH(A662,'Document Workflow'!A:A,0))&lt;&gt;"",INDEX('Document Workflow'!M:M,MATCH(A662,'Document Workflow'!A:A,0)),"")</f>
        <v>#REF!</v>
      </c>
    </row>
    <row r="663" spans="1:3">
      <c r="A663" s="7" t="e">
        <f>IF('Document Workflow'!A662&lt;&gt;"",'Document Workflow'!A662,"")</f>
        <v>#REF!</v>
      </c>
      <c r="B663" s="2" t="s">
        <v>72</v>
      </c>
      <c r="C663" s="3" t="e">
        <f>IF(INDEX('Document Workflow'!M:M,MATCH(A663,'Document Workflow'!A:A,0))&lt;&gt;"",INDEX('Document Workflow'!M:M,MATCH(A663,'Document Workflow'!A:A,0)),"")</f>
        <v>#REF!</v>
      </c>
    </row>
    <row r="664" spans="1:3">
      <c r="A664" s="7" t="e">
        <f>IF('Document Workflow'!A663&lt;&gt;"",'Document Workflow'!A663,"")</f>
        <v>#REF!</v>
      </c>
      <c r="B664" s="2" t="s">
        <v>72</v>
      </c>
      <c r="C664" s="3" t="e">
        <f>IF(INDEX('Document Workflow'!M:M,MATCH(A664,'Document Workflow'!A:A,0))&lt;&gt;"",INDEX('Document Workflow'!M:M,MATCH(A664,'Document Workflow'!A:A,0)),"")</f>
        <v>#REF!</v>
      </c>
    </row>
    <row r="665" spans="1:3">
      <c r="A665" s="7" t="e">
        <f>IF('Document Workflow'!A664&lt;&gt;"",'Document Workflow'!A664,"")</f>
        <v>#REF!</v>
      </c>
      <c r="B665" s="2" t="s">
        <v>72</v>
      </c>
      <c r="C665" s="3" t="e">
        <f>IF(INDEX('Document Workflow'!M:M,MATCH(A665,'Document Workflow'!A:A,0))&lt;&gt;"",INDEX('Document Workflow'!M:M,MATCH(A665,'Document Workflow'!A:A,0)),"")</f>
        <v>#REF!</v>
      </c>
    </row>
    <row r="666" spans="1:3">
      <c r="A666" s="7" t="e">
        <f>IF('Document Workflow'!A665&lt;&gt;"",'Document Workflow'!A665,"")</f>
        <v>#REF!</v>
      </c>
      <c r="B666" s="2" t="s">
        <v>72</v>
      </c>
      <c r="C666" s="3" t="e">
        <f>IF(INDEX('Document Workflow'!M:M,MATCH(A666,'Document Workflow'!A:A,0))&lt;&gt;"",INDEX('Document Workflow'!M:M,MATCH(A666,'Document Workflow'!A:A,0)),"")</f>
        <v>#REF!</v>
      </c>
    </row>
    <row r="667" spans="1:3">
      <c r="A667" s="7" t="e">
        <f>IF('Document Workflow'!A666&lt;&gt;"",'Document Workflow'!A666,"")</f>
        <v>#REF!</v>
      </c>
      <c r="B667" s="2" t="s">
        <v>72</v>
      </c>
      <c r="C667" s="3" t="e">
        <f>IF(INDEX('Document Workflow'!M:M,MATCH(A667,'Document Workflow'!A:A,0))&lt;&gt;"",INDEX('Document Workflow'!M:M,MATCH(A667,'Document Workflow'!A:A,0)),"")</f>
        <v>#REF!</v>
      </c>
    </row>
    <row r="668" spans="1:3">
      <c r="A668" s="7" t="e">
        <f>IF('Document Workflow'!A667&lt;&gt;"",'Document Workflow'!A667,"")</f>
        <v>#REF!</v>
      </c>
      <c r="B668" s="2" t="s">
        <v>72</v>
      </c>
      <c r="C668" s="3" t="e">
        <f>IF(INDEX('Document Workflow'!M:M,MATCH(A668,'Document Workflow'!A:A,0))&lt;&gt;"",INDEX('Document Workflow'!M:M,MATCH(A668,'Document Workflow'!A:A,0)),"")</f>
        <v>#REF!</v>
      </c>
    </row>
    <row r="669" spans="1:3">
      <c r="A669" s="7" t="e">
        <f>IF('Document Workflow'!A668&lt;&gt;"",'Document Workflow'!A668,"")</f>
        <v>#REF!</v>
      </c>
      <c r="B669" s="2" t="s">
        <v>72</v>
      </c>
      <c r="C669" s="3" t="e">
        <f>IF(INDEX('Document Workflow'!M:M,MATCH(A669,'Document Workflow'!A:A,0))&lt;&gt;"",INDEX('Document Workflow'!M:M,MATCH(A669,'Document Workflow'!A:A,0)),"")</f>
        <v>#REF!</v>
      </c>
    </row>
    <row r="670" spans="1:3">
      <c r="A670" s="7" t="e">
        <f>IF('Document Workflow'!A669&lt;&gt;"",'Document Workflow'!A669,"")</f>
        <v>#REF!</v>
      </c>
      <c r="B670" s="2" t="s">
        <v>72</v>
      </c>
      <c r="C670" s="3" t="e">
        <f>IF(INDEX('Document Workflow'!M:M,MATCH(A670,'Document Workflow'!A:A,0))&lt;&gt;"",INDEX('Document Workflow'!M:M,MATCH(A670,'Document Workflow'!A:A,0)),"")</f>
        <v>#REF!</v>
      </c>
    </row>
    <row r="671" spans="1:3">
      <c r="A671" s="7" t="e">
        <f>IF('Document Workflow'!A670&lt;&gt;"",'Document Workflow'!A670,"")</f>
        <v>#REF!</v>
      </c>
      <c r="B671" s="2" t="s">
        <v>72</v>
      </c>
      <c r="C671" s="3" t="e">
        <f>IF(INDEX('Document Workflow'!M:M,MATCH(A671,'Document Workflow'!A:A,0))&lt;&gt;"",INDEX('Document Workflow'!M:M,MATCH(A671,'Document Workflow'!A:A,0)),"")</f>
        <v>#REF!</v>
      </c>
    </row>
    <row r="672" spans="1:3">
      <c r="A672" s="7" t="e">
        <f>IF('Document Workflow'!A671&lt;&gt;"",'Document Workflow'!A671,"")</f>
        <v>#REF!</v>
      </c>
      <c r="B672" s="2" t="s">
        <v>72</v>
      </c>
      <c r="C672" s="3" t="e">
        <f>IF(INDEX('Document Workflow'!M:M,MATCH(A672,'Document Workflow'!A:A,0))&lt;&gt;"",INDEX('Document Workflow'!M:M,MATCH(A672,'Document Workflow'!A:A,0)),"")</f>
        <v>#REF!</v>
      </c>
    </row>
    <row r="673" spans="1:3">
      <c r="A673" s="7" t="e">
        <f>IF('Document Workflow'!A672&lt;&gt;"",'Document Workflow'!A672,"")</f>
        <v>#REF!</v>
      </c>
      <c r="B673" s="2" t="s">
        <v>72</v>
      </c>
      <c r="C673" s="3" t="e">
        <f>IF(INDEX('Document Workflow'!M:M,MATCH(A673,'Document Workflow'!A:A,0))&lt;&gt;"",INDEX('Document Workflow'!M:M,MATCH(A673,'Document Workflow'!A:A,0)),"")</f>
        <v>#REF!</v>
      </c>
    </row>
    <row r="674" spans="1:3">
      <c r="A674" s="7" t="e">
        <f>IF('Document Workflow'!A673&lt;&gt;"",'Document Workflow'!A673,"")</f>
        <v>#REF!</v>
      </c>
      <c r="B674" s="2" t="s">
        <v>72</v>
      </c>
      <c r="C674" s="3" t="e">
        <f>IF(INDEX('Document Workflow'!M:M,MATCH(A674,'Document Workflow'!A:A,0))&lt;&gt;"",INDEX('Document Workflow'!M:M,MATCH(A674,'Document Workflow'!A:A,0)),"")</f>
        <v>#REF!</v>
      </c>
    </row>
    <row r="675" spans="1:3">
      <c r="A675" s="7" t="e">
        <f>IF('Document Workflow'!A674&lt;&gt;"",'Document Workflow'!A674,"")</f>
        <v>#REF!</v>
      </c>
      <c r="B675" s="2" t="s">
        <v>72</v>
      </c>
      <c r="C675" s="3" t="e">
        <f>IF(INDEX('Document Workflow'!M:M,MATCH(A675,'Document Workflow'!A:A,0))&lt;&gt;"",INDEX('Document Workflow'!M:M,MATCH(A675,'Document Workflow'!A:A,0)),"")</f>
        <v>#REF!</v>
      </c>
    </row>
    <row r="676" spans="1:3">
      <c r="A676" s="7" t="e">
        <f>IF('Document Workflow'!A675&lt;&gt;"",'Document Workflow'!A675,"")</f>
        <v>#REF!</v>
      </c>
      <c r="B676" s="2" t="s">
        <v>72</v>
      </c>
      <c r="C676" s="3" t="e">
        <f>IF(INDEX('Document Workflow'!M:M,MATCH(A676,'Document Workflow'!A:A,0))&lt;&gt;"",INDEX('Document Workflow'!M:M,MATCH(A676,'Document Workflow'!A:A,0)),"")</f>
        <v>#REF!</v>
      </c>
    </row>
    <row r="677" spans="1:3">
      <c r="A677" s="7" t="e">
        <f>IF('Document Workflow'!A676&lt;&gt;"",'Document Workflow'!A676,"")</f>
        <v>#REF!</v>
      </c>
      <c r="B677" s="2" t="s">
        <v>72</v>
      </c>
      <c r="C677" s="3" t="e">
        <f>IF(INDEX('Document Workflow'!M:M,MATCH(A677,'Document Workflow'!A:A,0))&lt;&gt;"",INDEX('Document Workflow'!M:M,MATCH(A677,'Document Workflow'!A:A,0)),"")</f>
        <v>#REF!</v>
      </c>
    </row>
    <row r="678" spans="1:3">
      <c r="A678" s="7" t="e">
        <f>IF('Document Workflow'!A677&lt;&gt;"",'Document Workflow'!A677,"")</f>
        <v>#REF!</v>
      </c>
      <c r="B678" s="2" t="s">
        <v>72</v>
      </c>
      <c r="C678" s="3" t="e">
        <f>IF(INDEX('Document Workflow'!M:M,MATCH(A678,'Document Workflow'!A:A,0))&lt;&gt;"",INDEX('Document Workflow'!M:M,MATCH(A678,'Document Workflow'!A:A,0)),"")</f>
        <v>#REF!</v>
      </c>
    </row>
    <row r="679" spans="1:3">
      <c r="A679" s="7" t="e">
        <f>IF('Document Workflow'!A678&lt;&gt;"",'Document Workflow'!A678,"")</f>
        <v>#REF!</v>
      </c>
      <c r="B679" s="2" t="s">
        <v>72</v>
      </c>
      <c r="C679" s="3" t="e">
        <f>IF(INDEX('Document Workflow'!M:M,MATCH(A679,'Document Workflow'!A:A,0))&lt;&gt;"",INDEX('Document Workflow'!M:M,MATCH(A679,'Document Workflow'!A:A,0)),"")</f>
        <v>#REF!</v>
      </c>
    </row>
    <row r="680" spans="1:3">
      <c r="A680" s="7" t="e">
        <f>IF('Document Workflow'!A679&lt;&gt;"",'Document Workflow'!A679,"")</f>
        <v>#REF!</v>
      </c>
      <c r="B680" s="2" t="s">
        <v>72</v>
      </c>
      <c r="C680" s="3" t="e">
        <f>IF(INDEX('Document Workflow'!M:M,MATCH(A680,'Document Workflow'!A:A,0))&lt;&gt;"",INDEX('Document Workflow'!M:M,MATCH(A680,'Document Workflow'!A:A,0)),"")</f>
        <v>#REF!</v>
      </c>
    </row>
    <row r="681" spans="1:3">
      <c r="A681" s="7" t="e">
        <f>IF('Document Workflow'!A680&lt;&gt;"",'Document Workflow'!A680,"")</f>
        <v>#REF!</v>
      </c>
      <c r="B681" s="2" t="s">
        <v>72</v>
      </c>
      <c r="C681" s="3" t="e">
        <f>IF(INDEX('Document Workflow'!M:M,MATCH(A681,'Document Workflow'!A:A,0))&lt;&gt;"",INDEX('Document Workflow'!M:M,MATCH(A681,'Document Workflow'!A:A,0)),"")</f>
        <v>#REF!</v>
      </c>
    </row>
    <row r="682" spans="1:3">
      <c r="A682" s="7" t="e">
        <f>IF('Document Workflow'!A681&lt;&gt;"",'Document Workflow'!A681,"")</f>
        <v>#REF!</v>
      </c>
      <c r="B682" s="2" t="s">
        <v>72</v>
      </c>
      <c r="C682" s="3" t="e">
        <f>IF(INDEX('Document Workflow'!M:M,MATCH(A682,'Document Workflow'!A:A,0))&lt;&gt;"",INDEX('Document Workflow'!M:M,MATCH(A682,'Document Workflow'!A:A,0)),"")</f>
        <v>#REF!</v>
      </c>
    </row>
    <row r="683" spans="1:3">
      <c r="A683" s="7" t="e">
        <f>IF('Document Workflow'!A682&lt;&gt;"",'Document Workflow'!A682,"")</f>
        <v>#REF!</v>
      </c>
      <c r="B683" s="2" t="s">
        <v>72</v>
      </c>
      <c r="C683" s="3" t="e">
        <f>IF(INDEX('Document Workflow'!M:M,MATCH(A683,'Document Workflow'!A:A,0))&lt;&gt;"",INDEX('Document Workflow'!M:M,MATCH(A683,'Document Workflow'!A:A,0)),"")</f>
        <v>#REF!</v>
      </c>
    </row>
    <row r="684" spans="1:3">
      <c r="A684" s="7" t="e">
        <f>IF('Document Workflow'!A683&lt;&gt;"",'Document Workflow'!A683,"")</f>
        <v>#REF!</v>
      </c>
      <c r="B684" s="2" t="s">
        <v>72</v>
      </c>
      <c r="C684" s="3" t="e">
        <f>IF(INDEX('Document Workflow'!M:M,MATCH(A684,'Document Workflow'!A:A,0))&lt;&gt;"",INDEX('Document Workflow'!M:M,MATCH(A684,'Document Workflow'!A:A,0)),"")</f>
        <v>#REF!</v>
      </c>
    </row>
    <row r="685" spans="1:3">
      <c r="A685" s="7" t="e">
        <f>IF('Document Workflow'!A684&lt;&gt;"",'Document Workflow'!A684,"")</f>
        <v>#REF!</v>
      </c>
      <c r="B685" s="2" t="s">
        <v>72</v>
      </c>
      <c r="C685" s="3" t="e">
        <f>IF(INDEX('Document Workflow'!M:M,MATCH(A685,'Document Workflow'!A:A,0))&lt;&gt;"",INDEX('Document Workflow'!M:M,MATCH(A685,'Document Workflow'!A:A,0)),"")</f>
        <v>#REF!</v>
      </c>
    </row>
    <row r="686" spans="1:3">
      <c r="A686" s="7" t="e">
        <f>IF('Document Workflow'!A685&lt;&gt;"",'Document Workflow'!A685,"")</f>
        <v>#REF!</v>
      </c>
      <c r="B686" s="2" t="s">
        <v>72</v>
      </c>
      <c r="C686" s="3" t="e">
        <f>IF(INDEX('Document Workflow'!M:M,MATCH(A686,'Document Workflow'!A:A,0))&lt;&gt;"",INDEX('Document Workflow'!M:M,MATCH(A686,'Document Workflow'!A:A,0)),"")</f>
        <v>#REF!</v>
      </c>
    </row>
    <row r="687" spans="1:3">
      <c r="A687" s="7" t="e">
        <f>IF('Document Workflow'!A686&lt;&gt;"",'Document Workflow'!A686,"")</f>
        <v>#REF!</v>
      </c>
      <c r="B687" s="2" t="s">
        <v>72</v>
      </c>
      <c r="C687" s="3" t="e">
        <f>IF(INDEX('Document Workflow'!M:M,MATCH(A687,'Document Workflow'!A:A,0))&lt;&gt;"",INDEX('Document Workflow'!M:M,MATCH(A687,'Document Workflow'!A:A,0)),"")</f>
        <v>#REF!</v>
      </c>
    </row>
    <row r="688" spans="1:3">
      <c r="A688" s="7" t="e">
        <f>IF('Document Workflow'!A687&lt;&gt;"",'Document Workflow'!A687,"")</f>
        <v>#REF!</v>
      </c>
      <c r="B688" s="2" t="s">
        <v>72</v>
      </c>
      <c r="C688" s="3" t="e">
        <f>IF(INDEX('Document Workflow'!M:M,MATCH(A688,'Document Workflow'!A:A,0))&lt;&gt;"",INDEX('Document Workflow'!M:M,MATCH(A688,'Document Workflow'!A:A,0)),"")</f>
        <v>#REF!</v>
      </c>
    </row>
    <row r="689" spans="1:3">
      <c r="A689" s="7" t="e">
        <f>IF('Document Workflow'!A688&lt;&gt;"",'Document Workflow'!A688,"")</f>
        <v>#REF!</v>
      </c>
      <c r="B689" s="2" t="s">
        <v>72</v>
      </c>
      <c r="C689" s="3" t="e">
        <f>IF(INDEX('Document Workflow'!M:M,MATCH(A689,'Document Workflow'!A:A,0))&lt;&gt;"",INDEX('Document Workflow'!M:M,MATCH(A689,'Document Workflow'!A:A,0)),"")</f>
        <v>#REF!</v>
      </c>
    </row>
    <row r="690" spans="1:3">
      <c r="A690" s="7" t="e">
        <f>IF('Document Workflow'!A689&lt;&gt;"",'Document Workflow'!A689,"")</f>
        <v>#REF!</v>
      </c>
      <c r="B690" s="2" t="s">
        <v>72</v>
      </c>
      <c r="C690" s="3" t="e">
        <f>IF(INDEX('Document Workflow'!M:M,MATCH(A690,'Document Workflow'!A:A,0))&lt;&gt;"",INDEX('Document Workflow'!M:M,MATCH(A690,'Document Workflow'!A:A,0)),"")</f>
        <v>#REF!</v>
      </c>
    </row>
    <row r="691" spans="1:3">
      <c r="A691" s="7" t="e">
        <f>IF('Document Workflow'!A690&lt;&gt;"",'Document Workflow'!A690,"")</f>
        <v>#REF!</v>
      </c>
      <c r="B691" s="2" t="s">
        <v>72</v>
      </c>
      <c r="C691" s="3" t="e">
        <f>IF(INDEX('Document Workflow'!M:M,MATCH(A691,'Document Workflow'!A:A,0))&lt;&gt;"",INDEX('Document Workflow'!M:M,MATCH(A691,'Document Workflow'!A:A,0)),"")</f>
        <v>#REF!</v>
      </c>
    </row>
    <row r="692" spans="1:3">
      <c r="A692" s="7" t="e">
        <f>IF('Document Workflow'!A691&lt;&gt;"",'Document Workflow'!A691,"")</f>
        <v>#REF!</v>
      </c>
      <c r="B692" s="2" t="s">
        <v>72</v>
      </c>
      <c r="C692" s="3" t="e">
        <f>IF(INDEX('Document Workflow'!M:M,MATCH(A692,'Document Workflow'!A:A,0))&lt;&gt;"",INDEX('Document Workflow'!M:M,MATCH(A692,'Document Workflow'!A:A,0)),"")</f>
        <v>#REF!</v>
      </c>
    </row>
    <row r="693" spans="1:3">
      <c r="A693" s="7" t="e">
        <f>IF('Document Workflow'!A692&lt;&gt;"",'Document Workflow'!A692,"")</f>
        <v>#REF!</v>
      </c>
      <c r="B693" s="2" t="s">
        <v>72</v>
      </c>
      <c r="C693" s="3" t="e">
        <f>IF(INDEX('Document Workflow'!M:M,MATCH(A693,'Document Workflow'!A:A,0))&lt;&gt;"",INDEX('Document Workflow'!M:M,MATCH(A693,'Document Workflow'!A:A,0)),"")</f>
        <v>#REF!</v>
      </c>
    </row>
    <row r="694" spans="1:3">
      <c r="A694" s="7" t="e">
        <f>IF('Document Workflow'!A693&lt;&gt;"",'Document Workflow'!A693,"")</f>
        <v>#REF!</v>
      </c>
      <c r="B694" s="2" t="s">
        <v>72</v>
      </c>
      <c r="C694" s="3" t="e">
        <f>IF(INDEX('Document Workflow'!M:M,MATCH(A694,'Document Workflow'!A:A,0))&lt;&gt;"",INDEX('Document Workflow'!M:M,MATCH(A694,'Document Workflow'!A:A,0)),"")</f>
        <v>#REF!</v>
      </c>
    </row>
    <row r="695" spans="1:3">
      <c r="A695" s="7" t="e">
        <f>IF('Document Workflow'!A694&lt;&gt;"",'Document Workflow'!A694,"")</f>
        <v>#REF!</v>
      </c>
      <c r="B695" s="2" t="s">
        <v>72</v>
      </c>
      <c r="C695" s="3" t="e">
        <f>IF(INDEX('Document Workflow'!M:M,MATCH(A695,'Document Workflow'!A:A,0))&lt;&gt;"",INDEX('Document Workflow'!M:M,MATCH(A695,'Document Workflow'!A:A,0)),"")</f>
        <v>#REF!</v>
      </c>
    </row>
    <row r="696" spans="1:3">
      <c r="A696" s="7" t="e">
        <f>IF('Document Workflow'!A695&lt;&gt;"",'Document Workflow'!A695,"")</f>
        <v>#REF!</v>
      </c>
      <c r="B696" s="2" t="s">
        <v>72</v>
      </c>
      <c r="C696" s="3" t="e">
        <f>IF(INDEX('Document Workflow'!M:M,MATCH(A696,'Document Workflow'!A:A,0))&lt;&gt;"",INDEX('Document Workflow'!M:M,MATCH(A696,'Document Workflow'!A:A,0)),"")</f>
        <v>#REF!</v>
      </c>
    </row>
    <row r="697" spans="1:3">
      <c r="A697" s="7" t="e">
        <f>IF('Document Workflow'!A696&lt;&gt;"",'Document Workflow'!A696,"")</f>
        <v>#REF!</v>
      </c>
      <c r="B697" s="2" t="s">
        <v>72</v>
      </c>
      <c r="C697" s="3" t="e">
        <f>IF(INDEX('Document Workflow'!M:M,MATCH(A697,'Document Workflow'!A:A,0))&lt;&gt;"",INDEX('Document Workflow'!M:M,MATCH(A697,'Document Workflow'!A:A,0)),"")</f>
        <v>#REF!</v>
      </c>
    </row>
    <row r="698" spans="1:3">
      <c r="A698" s="7" t="e">
        <f>IF('Document Workflow'!A697&lt;&gt;"",'Document Workflow'!A697,"")</f>
        <v>#REF!</v>
      </c>
      <c r="B698" s="2" t="s">
        <v>72</v>
      </c>
      <c r="C698" s="3" t="e">
        <f>IF(INDEX('Document Workflow'!M:M,MATCH(A698,'Document Workflow'!A:A,0))&lt;&gt;"",INDEX('Document Workflow'!M:M,MATCH(A698,'Document Workflow'!A:A,0)),"")</f>
        <v>#REF!</v>
      </c>
    </row>
    <row r="699" spans="1:3">
      <c r="A699" s="7" t="e">
        <f>IF('Document Workflow'!A698&lt;&gt;"",'Document Workflow'!A698,"")</f>
        <v>#REF!</v>
      </c>
      <c r="B699" s="2" t="s">
        <v>72</v>
      </c>
      <c r="C699" s="3" t="e">
        <f>IF(INDEX('Document Workflow'!M:M,MATCH(A699,'Document Workflow'!A:A,0))&lt;&gt;"",INDEX('Document Workflow'!M:M,MATCH(A699,'Document Workflow'!A:A,0)),"")</f>
        <v>#REF!</v>
      </c>
    </row>
    <row r="700" spans="1:3">
      <c r="A700" s="7" t="e">
        <f>IF('Document Workflow'!A699&lt;&gt;"",'Document Workflow'!A699,"")</f>
        <v>#REF!</v>
      </c>
      <c r="B700" s="2" t="s">
        <v>72</v>
      </c>
      <c r="C700" s="3" t="e">
        <f>IF(INDEX('Document Workflow'!M:M,MATCH(A700,'Document Workflow'!A:A,0))&lt;&gt;"",INDEX('Document Workflow'!M:M,MATCH(A700,'Document Workflow'!A:A,0)),"")</f>
        <v>#REF!</v>
      </c>
    </row>
    <row r="701" spans="1:3">
      <c r="A701" s="7" t="e">
        <f>IF('Document Workflow'!A700&lt;&gt;"",'Document Workflow'!A700,"")</f>
        <v>#REF!</v>
      </c>
      <c r="B701" s="2" t="s">
        <v>72</v>
      </c>
      <c r="C701" s="3" t="e">
        <f>IF(INDEX('Document Workflow'!M:M,MATCH(A701,'Document Workflow'!A:A,0))&lt;&gt;"",INDEX('Document Workflow'!M:M,MATCH(A701,'Document Workflow'!A:A,0)),"")</f>
        <v>#REF!</v>
      </c>
    </row>
    <row r="702" spans="1:3">
      <c r="A702" s="7" t="e">
        <f>IF('Document Workflow'!A701&lt;&gt;"",'Document Workflow'!A701,"")</f>
        <v>#REF!</v>
      </c>
      <c r="B702" s="2" t="s">
        <v>72</v>
      </c>
      <c r="C702" s="3" t="e">
        <f>IF(INDEX('Document Workflow'!M:M,MATCH(A702,'Document Workflow'!A:A,0))&lt;&gt;"",INDEX('Document Workflow'!M:M,MATCH(A702,'Document Workflow'!A:A,0)),"")</f>
        <v>#REF!</v>
      </c>
    </row>
    <row r="703" spans="1:3">
      <c r="A703" s="7" t="e">
        <f>IF('Document Workflow'!A702&lt;&gt;"",'Document Workflow'!A702,"")</f>
        <v>#REF!</v>
      </c>
      <c r="B703" s="2" t="s">
        <v>72</v>
      </c>
      <c r="C703" s="3" t="e">
        <f>IF(INDEX('Document Workflow'!M:M,MATCH(A703,'Document Workflow'!A:A,0))&lt;&gt;"",INDEX('Document Workflow'!M:M,MATCH(A703,'Document Workflow'!A:A,0)),"")</f>
        <v>#REF!</v>
      </c>
    </row>
    <row r="704" spans="1:3">
      <c r="A704" s="7" t="e">
        <f>IF('Document Workflow'!A703&lt;&gt;"",'Document Workflow'!A703,"")</f>
        <v>#REF!</v>
      </c>
      <c r="B704" s="2" t="s">
        <v>72</v>
      </c>
      <c r="C704" s="3" t="e">
        <f>IF(INDEX('Document Workflow'!M:M,MATCH(A704,'Document Workflow'!A:A,0))&lt;&gt;"",INDEX('Document Workflow'!M:M,MATCH(A704,'Document Workflow'!A:A,0)),"")</f>
        <v>#REF!</v>
      </c>
    </row>
    <row r="705" spans="1:3">
      <c r="A705" s="7" t="e">
        <f>IF('Document Workflow'!A704&lt;&gt;"",'Document Workflow'!A704,"")</f>
        <v>#REF!</v>
      </c>
      <c r="B705" s="2" t="s">
        <v>72</v>
      </c>
      <c r="C705" s="3" t="e">
        <f>IF(INDEX('Document Workflow'!M:M,MATCH(A705,'Document Workflow'!A:A,0))&lt;&gt;"",INDEX('Document Workflow'!M:M,MATCH(A705,'Document Workflow'!A:A,0)),"")</f>
        <v>#REF!</v>
      </c>
    </row>
    <row r="706" spans="1:3">
      <c r="A706" s="7" t="e">
        <f>IF('Document Workflow'!A705&lt;&gt;"",'Document Workflow'!A705,"")</f>
        <v>#REF!</v>
      </c>
      <c r="B706" s="2" t="s">
        <v>72</v>
      </c>
      <c r="C706" s="3" t="e">
        <f>IF(INDEX('Document Workflow'!M:M,MATCH(A706,'Document Workflow'!A:A,0))&lt;&gt;"",INDEX('Document Workflow'!M:M,MATCH(A706,'Document Workflow'!A:A,0)),"")</f>
        <v>#REF!</v>
      </c>
    </row>
    <row r="707" spans="1:3">
      <c r="A707" s="7" t="e">
        <f>IF('Document Workflow'!A706&lt;&gt;"",'Document Workflow'!A706,"")</f>
        <v>#REF!</v>
      </c>
      <c r="B707" s="2" t="s">
        <v>72</v>
      </c>
      <c r="C707" s="3" t="e">
        <f>IF(INDEX('Document Workflow'!M:M,MATCH(A707,'Document Workflow'!A:A,0))&lt;&gt;"",INDEX('Document Workflow'!M:M,MATCH(A707,'Document Workflow'!A:A,0)),"")</f>
        <v>#REF!</v>
      </c>
    </row>
    <row r="708" spans="1:3">
      <c r="A708" s="7" t="e">
        <f>IF('Document Workflow'!A707&lt;&gt;"",'Document Workflow'!A707,"")</f>
        <v>#REF!</v>
      </c>
      <c r="B708" s="2" t="s">
        <v>72</v>
      </c>
      <c r="C708" s="3" t="e">
        <f>IF(INDEX('Document Workflow'!M:M,MATCH(A708,'Document Workflow'!A:A,0))&lt;&gt;"",INDEX('Document Workflow'!M:M,MATCH(A708,'Document Workflow'!A:A,0)),"")</f>
        <v>#REF!</v>
      </c>
    </row>
    <row r="709" spans="1:3">
      <c r="A709" s="7" t="e">
        <f>IF('Document Workflow'!A708&lt;&gt;"",'Document Workflow'!A708,"")</f>
        <v>#REF!</v>
      </c>
      <c r="B709" s="2" t="s">
        <v>72</v>
      </c>
      <c r="C709" s="3" t="e">
        <f>IF(INDEX('Document Workflow'!M:M,MATCH(A709,'Document Workflow'!A:A,0))&lt;&gt;"",INDEX('Document Workflow'!M:M,MATCH(A709,'Document Workflow'!A:A,0)),"")</f>
        <v>#REF!</v>
      </c>
    </row>
    <row r="710" spans="1:3">
      <c r="A710" s="7" t="e">
        <f>IF('Document Workflow'!A709&lt;&gt;"",'Document Workflow'!A709,"")</f>
        <v>#REF!</v>
      </c>
      <c r="B710" s="2" t="s">
        <v>72</v>
      </c>
      <c r="C710" s="3" t="e">
        <f>IF(INDEX('Document Workflow'!M:M,MATCH(A710,'Document Workflow'!A:A,0))&lt;&gt;"",INDEX('Document Workflow'!M:M,MATCH(A710,'Document Workflow'!A:A,0)),"")</f>
        <v>#REF!</v>
      </c>
    </row>
    <row r="711" spans="1:3">
      <c r="A711" s="7" t="e">
        <f>IF('Document Workflow'!A710&lt;&gt;"",'Document Workflow'!A710,"")</f>
        <v>#REF!</v>
      </c>
      <c r="B711" s="2" t="s">
        <v>72</v>
      </c>
      <c r="C711" s="3" t="e">
        <f>IF(INDEX('Document Workflow'!M:M,MATCH(A711,'Document Workflow'!A:A,0))&lt;&gt;"",INDEX('Document Workflow'!M:M,MATCH(A711,'Document Workflow'!A:A,0)),"")</f>
        <v>#REF!</v>
      </c>
    </row>
    <row r="712" spans="1:3">
      <c r="A712" s="7" t="e">
        <f>IF('Document Workflow'!A711&lt;&gt;"",'Document Workflow'!A711,"")</f>
        <v>#REF!</v>
      </c>
      <c r="B712" s="2" t="s">
        <v>72</v>
      </c>
      <c r="C712" s="3" t="e">
        <f>IF(INDEX('Document Workflow'!M:M,MATCH(A712,'Document Workflow'!A:A,0))&lt;&gt;"",INDEX('Document Workflow'!M:M,MATCH(A712,'Document Workflow'!A:A,0)),"")</f>
        <v>#REF!</v>
      </c>
    </row>
    <row r="713" spans="1:3">
      <c r="A713" s="7" t="e">
        <f>IF('Document Workflow'!A712&lt;&gt;"",'Document Workflow'!A712,"")</f>
        <v>#REF!</v>
      </c>
      <c r="B713" s="2" t="s">
        <v>72</v>
      </c>
      <c r="C713" s="3" t="e">
        <f>IF(INDEX('Document Workflow'!M:M,MATCH(A713,'Document Workflow'!A:A,0))&lt;&gt;"",INDEX('Document Workflow'!M:M,MATCH(A713,'Document Workflow'!A:A,0)),"")</f>
        <v>#REF!</v>
      </c>
    </row>
    <row r="714" spans="1:3">
      <c r="A714" s="7" t="e">
        <f>IF('Document Workflow'!A713&lt;&gt;"",'Document Workflow'!A713,"")</f>
        <v>#REF!</v>
      </c>
      <c r="B714" s="2" t="s">
        <v>72</v>
      </c>
      <c r="C714" s="3" t="e">
        <f>IF(INDEX('Document Workflow'!M:M,MATCH(A714,'Document Workflow'!A:A,0))&lt;&gt;"",INDEX('Document Workflow'!M:M,MATCH(A714,'Document Workflow'!A:A,0)),"")</f>
        <v>#REF!</v>
      </c>
    </row>
    <row r="715" spans="1:3">
      <c r="A715" s="7" t="e">
        <f>IF('Document Workflow'!A714&lt;&gt;"",'Document Workflow'!A714,"")</f>
        <v>#REF!</v>
      </c>
      <c r="B715" s="2" t="s">
        <v>72</v>
      </c>
      <c r="C715" s="3" t="e">
        <f>IF(INDEX('Document Workflow'!M:M,MATCH(A715,'Document Workflow'!A:A,0))&lt;&gt;"",INDEX('Document Workflow'!M:M,MATCH(A715,'Document Workflow'!A:A,0)),"")</f>
        <v>#REF!</v>
      </c>
    </row>
    <row r="716" spans="1:3">
      <c r="A716" s="7" t="e">
        <f>IF('Document Workflow'!A715&lt;&gt;"",'Document Workflow'!A715,"")</f>
        <v>#REF!</v>
      </c>
      <c r="B716" s="2" t="s">
        <v>72</v>
      </c>
      <c r="C716" s="3" t="e">
        <f>IF(INDEX('Document Workflow'!M:M,MATCH(A716,'Document Workflow'!A:A,0))&lt;&gt;"",INDEX('Document Workflow'!M:M,MATCH(A716,'Document Workflow'!A:A,0)),"")</f>
        <v>#REF!</v>
      </c>
    </row>
    <row r="717" spans="1:3">
      <c r="A717" s="7" t="e">
        <f>IF('Document Workflow'!A716&lt;&gt;"",'Document Workflow'!A716,"")</f>
        <v>#REF!</v>
      </c>
      <c r="B717" s="2" t="s">
        <v>72</v>
      </c>
      <c r="C717" s="3" t="e">
        <f>IF(INDEX('Document Workflow'!M:M,MATCH(A717,'Document Workflow'!A:A,0))&lt;&gt;"",INDEX('Document Workflow'!M:M,MATCH(A717,'Document Workflow'!A:A,0)),"")</f>
        <v>#REF!</v>
      </c>
    </row>
    <row r="718" spans="1:3">
      <c r="A718" s="7" t="e">
        <f>IF('Document Workflow'!A717&lt;&gt;"",'Document Workflow'!A717,"")</f>
        <v>#REF!</v>
      </c>
      <c r="B718" s="2" t="s">
        <v>72</v>
      </c>
      <c r="C718" s="3" t="e">
        <f>IF(INDEX('Document Workflow'!M:M,MATCH(A718,'Document Workflow'!A:A,0))&lt;&gt;"",INDEX('Document Workflow'!M:M,MATCH(A718,'Document Workflow'!A:A,0)),"")</f>
        <v>#REF!</v>
      </c>
    </row>
    <row r="719" spans="1:3">
      <c r="A719" s="7" t="e">
        <f>IF('Document Workflow'!A718&lt;&gt;"",'Document Workflow'!A718,"")</f>
        <v>#REF!</v>
      </c>
      <c r="B719" s="2" t="s">
        <v>72</v>
      </c>
      <c r="C719" s="3" t="e">
        <f>IF(INDEX('Document Workflow'!M:M,MATCH(A719,'Document Workflow'!A:A,0))&lt;&gt;"",INDEX('Document Workflow'!M:M,MATCH(A719,'Document Workflow'!A:A,0)),"")</f>
        <v>#REF!</v>
      </c>
    </row>
    <row r="720" spans="1:3">
      <c r="A720" s="7" t="e">
        <f>IF('Document Workflow'!A719&lt;&gt;"",'Document Workflow'!A719,"")</f>
        <v>#REF!</v>
      </c>
      <c r="B720" s="2" t="s">
        <v>72</v>
      </c>
      <c r="C720" s="3" t="e">
        <f>IF(INDEX('Document Workflow'!M:M,MATCH(A720,'Document Workflow'!A:A,0))&lt;&gt;"",INDEX('Document Workflow'!M:M,MATCH(A720,'Document Workflow'!A:A,0)),"")</f>
        <v>#REF!</v>
      </c>
    </row>
    <row r="721" spans="1:3">
      <c r="A721" s="7" t="e">
        <f>IF('Document Workflow'!A720&lt;&gt;"",'Document Workflow'!A720,"")</f>
        <v>#REF!</v>
      </c>
      <c r="B721" s="2" t="s">
        <v>72</v>
      </c>
      <c r="C721" s="3" t="e">
        <f>IF(INDEX('Document Workflow'!M:M,MATCH(A721,'Document Workflow'!A:A,0))&lt;&gt;"",INDEX('Document Workflow'!M:M,MATCH(A721,'Document Workflow'!A:A,0)),"")</f>
        <v>#REF!</v>
      </c>
    </row>
    <row r="722" spans="1:3">
      <c r="A722" s="7" t="e">
        <f>IF('Document Workflow'!A721&lt;&gt;"",'Document Workflow'!A721,"")</f>
        <v>#REF!</v>
      </c>
      <c r="B722" s="2" t="s">
        <v>72</v>
      </c>
      <c r="C722" s="3" t="e">
        <f>IF(INDEX('Document Workflow'!M:M,MATCH(A722,'Document Workflow'!A:A,0))&lt;&gt;"",INDEX('Document Workflow'!M:M,MATCH(A722,'Document Workflow'!A:A,0)),"")</f>
        <v>#REF!</v>
      </c>
    </row>
    <row r="723" spans="1:3">
      <c r="A723" s="7" t="e">
        <f>IF('Document Workflow'!A722&lt;&gt;"",'Document Workflow'!A722,"")</f>
        <v>#REF!</v>
      </c>
      <c r="B723" s="2" t="s">
        <v>72</v>
      </c>
      <c r="C723" s="3" t="e">
        <f>IF(INDEX('Document Workflow'!M:M,MATCH(A723,'Document Workflow'!A:A,0))&lt;&gt;"",INDEX('Document Workflow'!M:M,MATCH(A723,'Document Workflow'!A:A,0)),"")</f>
        <v>#REF!</v>
      </c>
    </row>
    <row r="724" spans="1:3">
      <c r="A724" s="7" t="e">
        <f>IF('Document Workflow'!A723&lt;&gt;"",'Document Workflow'!A723,"")</f>
        <v>#REF!</v>
      </c>
      <c r="B724" s="2" t="s">
        <v>72</v>
      </c>
      <c r="C724" s="3" t="e">
        <f>IF(INDEX('Document Workflow'!M:M,MATCH(A724,'Document Workflow'!A:A,0))&lt;&gt;"",INDEX('Document Workflow'!M:M,MATCH(A724,'Document Workflow'!A:A,0)),"")</f>
        <v>#REF!</v>
      </c>
    </row>
    <row r="725" spans="1:3">
      <c r="A725" s="7" t="e">
        <f>IF('Document Workflow'!A724&lt;&gt;"",'Document Workflow'!A724,"")</f>
        <v>#REF!</v>
      </c>
      <c r="B725" s="2" t="s">
        <v>72</v>
      </c>
      <c r="C725" s="3" t="e">
        <f>IF(INDEX('Document Workflow'!M:M,MATCH(A725,'Document Workflow'!A:A,0))&lt;&gt;"",INDEX('Document Workflow'!M:M,MATCH(A725,'Document Workflow'!A:A,0)),"")</f>
        <v>#REF!</v>
      </c>
    </row>
    <row r="726" spans="1:3">
      <c r="A726" s="7" t="e">
        <f>IF('Document Workflow'!A725&lt;&gt;"",'Document Workflow'!A725,"")</f>
        <v>#REF!</v>
      </c>
      <c r="B726" s="2" t="s">
        <v>72</v>
      </c>
      <c r="C726" s="3" t="e">
        <f>IF(INDEX('Document Workflow'!M:M,MATCH(A726,'Document Workflow'!A:A,0))&lt;&gt;"",INDEX('Document Workflow'!M:M,MATCH(A726,'Document Workflow'!A:A,0)),"")</f>
        <v>#REF!</v>
      </c>
    </row>
    <row r="727" spans="1:3">
      <c r="A727" s="7" t="e">
        <f>IF('Document Workflow'!A726&lt;&gt;"",'Document Workflow'!A726,"")</f>
        <v>#REF!</v>
      </c>
      <c r="B727" s="2" t="s">
        <v>72</v>
      </c>
      <c r="C727" s="3" t="e">
        <f>IF(INDEX('Document Workflow'!M:M,MATCH(A727,'Document Workflow'!A:A,0))&lt;&gt;"",INDEX('Document Workflow'!M:M,MATCH(A727,'Document Workflow'!A:A,0)),"")</f>
        <v>#REF!</v>
      </c>
    </row>
    <row r="728" spans="1:3">
      <c r="A728" s="7" t="e">
        <f>IF('Document Workflow'!A727&lt;&gt;"",'Document Workflow'!A727,"")</f>
        <v>#REF!</v>
      </c>
      <c r="B728" s="2" t="s">
        <v>72</v>
      </c>
      <c r="C728" s="3" t="e">
        <f>IF(INDEX('Document Workflow'!M:M,MATCH(A728,'Document Workflow'!A:A,0))&lt;&gt;"",INDEX('Document Workflow'!M:M,MATCH(A728,'Document Workflow'!A:A,0)),"")</f>
        <v>#REF!</v>
      </c>
    </row>
    <row r="729" spans="1:3">
      <c r="A729" s="7" t="e">
        <f>IF('Document Workflow'!A728&lt;&gt;"",'Document Workflow'!A728,"")</f>
        <v>#REF!</v>
      </c>
      <c r="B729" s="2" t="s">
        <v>72</v>
      </c>
      <c r="C729" s="3" t="e">
        <f>IF(INDEX('Document Workflow'!M:M,MATCH(A729,'Document Workflow'!A:A,0))&lt;&gt;"",INDEX('Document Workflow'!M:M,MATCH(A729,'Document Workflow'!A:A,0)),"")</f>
        <v>#REF!</v>
      </c>
    </row>
    <row r="730" spans="1:3">
      <c r="A730" s="7" t="e">
        <f>IF('Document Workflow'!A729&lt;&gt;"",'Document Workflow'!A729,"")</f>
        <v>#REF!</v>
      </c>
      <c r="B730" s="2" t="s">
        <v>72</v>
      </c>
      <c r="C730" s="3" t="e">
        <f>IF(INDEX('Document Workflow'!M:M,MATCH(A730,'Document Workflow'!A:A,0))&lt;&gt;"",INDEX('Document Workflow'!M:M,MATCH(A730,'Document Workflow'!A:A,0)),"")</f>
        <v>#REF!</v>
      </c>
    </row>
    <row r="731" spans="1:3">
      <c r="A731" s="7" t="e">
        <f>IF('Document Workflow'!A730&lt;&gt;"",'Document Workflow'!A730,"")</f>
        <v>#REF!</v>
      </c>
      <c r="B731" s="2" t="s">
        <v>72</v>
      </c>
      <c r="C731" s="3" t="e">
        <f>IF(INDEX('Document Workflow'!M:M,MATCH(A731,'Document Workflow'!A:A,0))&lt;&gt;"",INDEX('Document Workflow'!M:M,MATCH(A731,'Document Workflow'!A:A,0)),"")</f>
        <v>#REF!</v>
      </c>
    </row>
    <row r="732" spans="1:3">
      <c r="A732" s="7" t="e">
        <f>IF('Document Workflow'!A731&lt;&gt;"",'Document Workflow'!A731,"")</f>
        <v>#REF!</v>
      </c>
      <c r="B732" s="2" t="s">
        <v>72</v>
      </c>
      <c r="C732" s="3" t="e">
        <f>IF(INDEX('Document Workflow'!M:M,MATCH(A732,'Document Workflow'!A:A,0))&lt;&gt;"",INDEX('Document Workflow'!M:M,MATCH(A732,'Document Workflow'!A:A,0)),"")</f>
        <v>#REF!</v>
      </c>
    </row>
    <row r="733" spans="1:3">
      <c r="A733" s="7" t="e">
        <f>IF('Document Workflow'!A732&lt;&gt;"",'Document Workflow'!A732,"")</f>
        <v>#REF!</v>
      </c>
      <c r="B733" s="2" t="s">
        <v>72</v>
      </c>
      <c r="C733" s="3" t="e">
        <f>IF(INDEX('Document Workflow'!M:M,MATCH(A733,'Document Workflow'!A:A,0))&lt;&gt;"",INDEX('Document Workflow'!M:M,MATCH(A733,'Document Workflow'!A:A,0)),"")</f>
        <v>#REF!</v>
      </c>
    </row>
    <row r="734" spans="1:3">
      <c r="A734" s="7" t="e">
        <f>IF('Document Workflow'!A733&lt;&gt;"",'Document Workflow'!A733,"")</f>
        <v>#REF!</v>
      </c>
      <c r="B734" s="2" t="s">
        <v>72</v>
      </c>
      <c r="C734" s="3" t="e">
        <f>IF(INDEX('Document Workflow'!M:M,MATCH(A734,'Document Workflow'!A:A,0))&lt;&gt;"",INDEX('Document Workflow'!M:M,MATCH(A734,'Document Workflow'!A:A,0)),"")</f>
        <v>#REF!</v>
      </c>
    </row>
    <row r="735" spans="1:3">
      <c r="A735" s="7" t="e">
        <f>IF('Document Workflow'!A734&lt;&gt;"",'Document Workflow'!A734,"")</f>
        <v>#REF!</v>
      </c>
      <c r="B735" s="2" t="s">
        <v>72</v>
      </c>
      <c r="C735" s="3" t="e">
        <f>IF(INDEX('Document Workflow'!M:M,MATCH(A735,'Document Workflow'!A:A,0))&lt;&gt;"",INDEX('Document Workflow'!M:M,MATCH(A735,'Document Workflow'!A:A,0)),"")</f>
        <v>#REF!</v>
      </c>
    </row>
    <row r="736" spans="1:3">
      <c r="A736" s="7" t="e">
        <f>IF('Document Workflow'!A735&lt;&gt;"",'Document Workflow'!A735,"")</f>
        <v>#REF!</v>
      </c>
      <c r="B736" s="2" t="s">
        <v>72</v>
      </c>
      <c r="C736" s="3" t="e">
        <f>IF(INDEX('Document Workflow'!M:M,MATCH(A736,'Document Workflow'!A:A,0))&lt;&gt;"",INDEX('Document Workflow'!M:M,MATCH(A736,'Document Workflow'!A:A,0)),"")</f>
        <v>#REF!</v>
      </c>
    </row>
    <row r="737" spans="1:3">
      <c r="A737" s="7" t="e">
        <f>IF('Document Workflow'!A736&lt;&gt;"",'Document Workflow'!A736,"")</f>
        <v>#REF!</v>
      </c>
      <c r="B737" s="2" t="s">
        <v>72</v>
      </c>
      <c r="C737" s="3" t="e">
        <f>IF(INDEX('Document Workflow'!M:M,MATCH(A737,'Document Workflow'!A:A,0))&lt;&gt;"",INDEX('Document Workflow'!M:M,MATCH(A737,'Document Workflow'!A:A,0)),"")</f>
        <v>#REF!</v>
      </c>
    </row>
    <row r="738" spans="1:3">
      <c r="A738" s="7" t="e">
        <f>IF('Document Workflow'!A737&lt;&gt;"",'Document Workflow'!A737,"")</f>
        <v>#REF!</v>
      </c>
      <c r="B738" s="2" t="s">
        <v>72</v>
      </c>
      <c r="C738" s="3" t="e">
        <f>IF(INDEX('Document Workflow'!M:M,MATCH(A738,'Document Workflow'!A:A,0))&lt;&gt;"",INDEX('Document Workflow'!M:M,MATCH(A738,'Document Workflow'!A:A,0)),"")</f>
        <v>#REF!</v>
      </c>
    </row>
    <row r="739" spans="1:3">
      <c r="A739" s="7" t="e">
        <f>IF('Document Workflow'!A738&lt;&gt;"",'Document Workflow'!A738,"")</f>
        <v>#REF!</v>
      </c>
      <c r="B739" s="2" t="s">
        <v>72</v>
      </c>
      <c r="C739" s="3" t="e">
        <f>IF(INDEX('Document Workflow'!M:M,MATCH(A739,'Document Workflow'!A:A,0))&lt;&gt;"",INDEX('Document Workflow'!M:M,MATCH(A739,'Document Workflow'!A:A,0)),"")</f>
        <v>#REF!</v>
      </c>
    </row>
    <row r="740" spans="1:3">
      <c r="A740" s="7" t="e">
        <f>IF('Document Workflow'!A739&lt;&gt;"",'Document Workflow'!A739,"")</f>
        <v>#REF!</v>
      </c>
      <c r="B740" s="2" t="s">
        <v>72</v>
      </c>
      <c r="C740" s="3" t="e">
        <f>IF(INDEX('Document Workflow'!M:M,MATCH(A740,'Document Workflow'!A:A,0))&lt;&gt;"",INDEX('Document Workflow'!M:M,MATCH(A740,'Document Workflow'!A:A,0)),"")</f>
        <v>#REF!</v>
      </c>
    </row>
    <row r="741" spans="1:3">
      <c r="A741" s="7" t="e">
        <f>IF('Document Workflow'!A740&lt;&gt;"",'Document Workflow'!A740,"")</f>
        <v>#REF!</v>
      </c>
      <c r="B741" s="2" t="s">
        <v>72</v>
      </c>
      <c r="C741" s="3" t="e">
        <f>IF(INDEX('Document Workflow'!M:M,MATCH(A741,'Document Workflow'!A:A,0))&lt;&gt;"",INDEX('Document Workflow'!M:M,MATCH(A741,'Document Workflow'!A:A,0)),"")</f>
        <v>#REF!</v>
      </c>
    </row>
    <row r="742" spans="1:3">
      <c r="A742" s="7" t="e">
        <f>IF('Document Workflow'!A741&lt;&gt;"",'Document Workflow'!A741,"")</f>
        <v>#REF!</v>
      </c>
      <c r="B742" s="2" t="s">
        <v>72</v>
      </c>
      <c r="C742" s="3" t="e">
        <f>IF(INDEX('Document Workflow'!M:M,MATCH(A742,'Document Workflow'!A:A,0))&lt;&gt;"",INDEX('Document Workflow'!M:M,MATCH(A742,'Document Workflow'!A:A,0)),"")</f>
        <v>#REF!</v>
      </c>
    </row>
    <row r="743" spans="1:3">
      <c r="A743" s="7" t="e">
        <f>IF('Document Workflow'!A742&lt;&gt;"",'Document Workflow'!A742,"")</f>
        <v>#REF!</v>
      </c>
      <c r="B743" s="2" t="s">
        <v>72</v>
      </c>
      <c r="C743" s="3" t="e">
        <f>IF(INDEX('Document Workflow'!M:M,MATCH(A743,'Document Workflow'!A:A,0))&lt;&gt;"",INDEX('Document Workflow'!M:M,MATCH(A743,'Document Workflow'!A:A,0)),"")</f>
        <v>#REF!</v>
      </c>
    </row>
    <row r="744" spans="1:3">
      <c r="A744" s="7" t="e">
        <f>IF('Document Workflow'!A743&lt;&gt;"",'Document Workflow'!A743,"")</f>
        <v>#REF!</v>
      </c>
      <c r="B744" s="2" t="s">
        <v>72</v>
      </c>
      <c r="C744" s="3" t="e">
        <f>IF(INDEX('Document Workflow'!M:M,MATCH(A744,'Document Workflow'!A:A,0))&lt;&gt;"",INDEX('Document Workflow'!M:M,MATCH(A744,'Document Workflow'!A:A,0)),"")</f>
        <v>#REF!</v>
      </c>
    </row>
    <row r="745" spans="1:3">
      <c r="A745" s="7" t="e">
        <f>IF('Document Workflow'!A744&lt;&gt;"",'Document Workflow'!A744,"")</f>
        <v>#REF!</v>
      </c>
      <c r="B745" s="2" t="s">
        <v>72</v>
      </c>
      <c r="C745" s="3" t="e">
        <f>IF(INDEX('Document Workflow'!M:M,MATCH(A745,'Document Workflow'!A:A,0))&lt;&gt;"",INDEX('Document Workflow'!M:M,MATCH(A745,'Document Workflow'!A:A,0)),"")</f>
        <v>#REF!</v>
      </c>
    </row>
    <row r="746" spans="1:3">
      <c r="A746" s="7" t="e">
        <f>IF('Document Workflow'!A745&lt;&gt;"",'Document Workflow'!A745,"")</f>
        <v>#REF!</v>
      </c>
      <c r="B746" s="2" t="s">
        <v>72</v>
      </c>
      <c r="C746" s="3" t="e">
        <f>IF(INDEX('Document Workflow'!M:M,MATCH(A746,'Document Workflow'!A:A,0))&lt;&gt;"",INDEX('Document Workflow'!M:M,MATCH(A746,'Document Workflow'!A:A,0)),"")</f>
        <v>#REF!</v>
      </c>
    </row>
    <row r="747" spans="1:3">
      <c r="A747" s="7" t="e">
        <f>IF('Document Workflow'!A746&lt;&gt;"",'Document Workflow'!A746,"")</f>
        <v>#REF!</v>
      </c>
      <c r="B747" s="2" t="s">
        <v>72</v>
      </c>
      <c r="C747" s="3" t="e">
        <f>IF(INDEX('Document Workflow'!M:M,MATCH(A747,'Document Workflow'!A:A,0))&lt;&gt;"",INDEX('Document Workflow'!M:M,MATCH(A747,'Document Workflow'!A:A,0)),"")</f>
        <v>#REF!</v>
      </c>
    </row>
    <row r="748" spans="1:3">
      <c r="A748" s="7" t="e">
        <f>IF('Document Workflow'!A747&lt;&gt;"",'Document Workflow'!A747,"")</f>
        <v>#REF!</v>
      </c>
      <c r="B748" s="2" t="s">
        <v>72</v>
      </c>
      <c r="C748" s="3" t="e">
        <f>IF(INDEX('Document Workflow'!M:M,MATCH(A748,'Document Workflow'!A:A,0))&lt;&gt;"",INDEX('Document Workflow'!M:M,MATCH(A748,'Document Workflow'!A:A,0)),"")</f>
        <v>#REF!</v>
      </c>
    </row>
    <row r="749" spans="1:3">
      <c r="A749" s="7" t="e">
        <f>IF('Document Workflow'!A748&lt;&gt;"",'Document Workflow'!A748,"")</f>
        <v>#REF!</v>
      </c>
      <c r="B749" s="2" t="s">
        <v>72</v>
      </c>
      <c r="C749" s="3" t="e">
        <f>IF(INDEX('Document Workflow'!M:M,MATCH(A749,'Document Workflow'!A:A,0))&lt;&gt;"",INDEX('Document Workflow'!M:M,MATCH(A749,'Document Workflow'!A:A,0)),"")</f>
        <v>#REF!</v>
      </c>
    </row>
    <row r="750" spans="1:3">
      <c r="A750" s="7" t="e">
        <f>IF('Document Workflow'!A749&lt;&gt;"",'Document Workflow'!A749,"")</f>
        <v>#REF!</v>
      </c>
      <c r="B750" s="2" t="s">
        <v>72</v>
      </c>
      <c r="C750" s="3" t="e">
        <f>IF(INDEX('Document Workflow'!M:M,MATCH(A750,'Document Workflow'!A:A,0))&lt;&gt;"",INDEX('Document Workflow'!M:M,MATCH(A750,'Document Workflow'!A:A,0)),"")</f>
        <v>#REF!</v>
      </c>
    </row>
    <row r="751" spans="1:3">
      <c r="A751" s="7" t="e">
        <f>IF('Document Workflow'!A750&lt;&gt;"",'Document Workflow'!A750,"")</f>
        <v>#REF!</v>
      </c>
      <c r="B751" s="2" t="s">
        <v>72</v>
      </c>
      <c r="C751" s="3" t="e">
        <f>IF(INDEX('Document Workflow'!M:M,MATCH(A751,'Document Workflow'!A:A,0))&lt;&gt;"",INDEX('Document Workflow'!M:M,MATCH(A751,'Document Workflow'!A:A,0)),"")</f>
        <v>#REF!</v>
      </c>
    </row>
    <row r="752" spans="1:3">
      <c r="A752" s="7" t="e">
        <f>IF('Document Workflow'!A751&lt;&gt;"",'Document Workflow'!A751,"")</f>
        <v>#REF!</v>
      </c>
      <c r="B752" s="2" t="s">
        <v>72</v>
      </c>
      <c r="C752" s="3" t="e">
        <f>IF(INDEX('Document Workflow'!M:M,MATCH(A752,'Document Workflow'!A:A,0))&lt;&gt;"",INDEX('Document Workflow'!M:M,MATCH(A752,'Document Workflow'!A:A,0)),"")</f>
        <v>#REF!</v>
      </c>
    </row>
    <row r="753" spans="1:3">
      <c r="A753" s="7" t="e">
        <f>IF('Document Workflow'!A752&lt;&gt;"",'Document Workflow'!A752,"")</f>
        <v>#REF!</v>
      </c>
      <c r="B753" s="2" t="s">
        <v>72</v>
      </c>
      <c r="C753" s="3" t="e">
        <f>IF(INDEX('Document Workflow'!M:M,MATCH(A753,'Document Workflow'!A:A,0))&lt;&gt;"",INDEX('Document Workflow'!M:M,MATCH(A753,'Document Workflow'!A:A,0)),"")</f>
        <v>#REF!</v>
      </c>
    </row>
    <row r="754" spans="1:3">
      <c r="A754" s="7" t="e">
        <f>IF('Document Workflow'!A753&lt;&gt;"",'Document Workflow'!A753,"")</f>
        <v>#REF!</v>
      </c>
      <c r="B754" s="2" t="s">
        <v>72</v>
      </c>
      <c r="C754" s="3" t="e">
        <f>IF(INDEX('Document Workflow'!M:M,MATCH(A754,'Document Workflow'!A:A,0))&lt;&gt;"",INDEX('Document Workflow'!M:M,MATCH(A754,'Document Workflow'!A:A,0)),"")</f>
        <v>#REF!</v>
      </c>
    </row>
    <row r="755" spans="1:3">
      <c r="A755" s="7" t="e">
        <f>IF('Document Workflow'!A754&lt;&gt;"",'Document Workflow'!A754,"")</f>
        <v>#REF!</v>
      </c>
      <c r="B755" s="2" t="s">
        <v>72</v>
      </c>
      <c r="C755" s="3" t="e">
        <f>IF(INDEX('Document Workflow'!M:M,MATCH(A755,'Document Workflow'!A:A,0))&lt;&gt;"",INDEX('Document Workflow'!M:M,MATCH(A755,'Document Workflow'!A:A,0)),"")</f>
        <v>#REF!</v>
      </c>
    </row>
    <row r="756" spans="1:3">
      <c r="A756" s="7" t="e">
        <f>IF('Document Workflow'!A755&lt;&gt;"",'Document Workflow'!A755,"")</f>
        <v>#REF!</v>
      </c>
      <c r="B756" s="2" t="s">
        <v>72</v>
      </c>
      <c r="C756" s="3" t="e">
        <f>IF(INDEX('Document Workflow'!M:M,MATCH(A756,'Document Workflow'!A:A,0))&lt;&gt;"",INDEX('Document Workflow'!M:M,MATCH(A756,'Document Workflow'!A:A,0)),"")</f>
        <v>#REF!</v>
      </c>
    </row>
    <row r="757" spans="1:3">
      <c r="A757" s="7" t="e">
        <f>IF('Document Workflow'!A756&lt;&gt;"",'Document Workflow'!A756,"")</f>
        <v>#REF!</v>
      </c>
      <c r="B757" s="2" t="s">
        <v>72</v>
      </c>
      <c r="C757" s="3" t="e">
        <f>IF(INDEX('Document Workflow'!M:M,MATCH(A757,'Document Workflow'!A:A,0))&lt;&gt;"",INDEX('Document Workflow'!M:M,MATCH(A757,'Document Workflow'!A:A,0)),"")</f>
        <v>#REF!</v>
      </c>
    </row>
    <row r="758" spans="1:3">
      <c r="A758" s="7" t="e">
        <f>IF('Document Workflow'!A757&lt;&gt;"",'Document Workflow'!A757,"")</f>
        <v>#REF!</v>
      </c>
      <c r="B758" s="2" t="s">
        <v>72</v>
      </c>
      <c r="C758" s="3" t="e">
        <f>IF(INDEX('Document Workflow'!M:M,MATCH(A758,'Document Workflow'!A:A,0))&lt;&gt;"",INDEX('Document Workflow'!M:M,MATCH(A758,'Document Workflow'!A:A,0)),"")</f>
        <v>#REF!</v>
      </c>
    </row>
    <row r="759" spans="1:3">
      <c r="A759" s="7" t="e">
        <f>IF('Document Workflow'!A758&lt;&gt;"",'Document Workflow'!A758,"")</f>
        <v>#REF!</v>
      </c>
      <c r="B759" s="2" t="s">
        <v>72</v>
      </c>
      <c r="C759" s="3" t="e">
        <f>IF(INDEX('Document Workflow'!M:M,MATCH(A759,'Document Workflow'!A:A,0))&lt;&gt;"",INDEX('Document Workflow'!M:M,MATCH(A759,'Document Workflow'!A:A,0)),"")</f>
        <v>#REF!</v>
      </c>
    </row>
    <row r="760" spans="1:3">
      <c r="A760" s="7" t="e">
        <f>IF('Document Workflow'!A759&lt;&gt;"",'Document Workflow'!A759,"")</f>
        <v>#REF!</v>
      </c>
      <c r="B760" s="2" t="s">
        <v>72</v>
      </c>
      <c r="C760" s="3" t="e">
        <f>IF(INDEX('Document Workflow'!M:M,MATCH(A760,'Document Workflow'!A:A,0))&lt;&gt;"",INDEX('Document Workflow'!M:M,MATCH(A760,'Document Workflow'!A:A,0)),"")</f>
        <v>#REF!</v>
      </c>
    </row>
    <row r="761" spans="1:3">
      <c r="A761" s="7" t="e">
        <f>IF('Document Workflow'!A760&lt;&gt;"",'Document Workflow'!A760,"")</f>
        <v>#REF!</v>
      </c>
      <c r="B761" s="2" t="s">
        <v>72</v>
      </c>
      <c r="C761" s="3" t="e">
        <f>IF(INDEX('Document Workflow'!M:M,MATCH(A761,'Document Workflow'!A:A,0))&lt;&gt;"",INDEX('Document Workflow'!M:M,MATCH(A761,'Document Workflow'!A:A,0)),"")</f>
        <v>#REF!</v>
      </c>
    </row>
    <row r="762" spans="1:3">
      <c r="A762" s="7" t="e">
        <f>IF('Document Workflow'!A761&lt;&gt;"",'Document Workflow'!A761,"")</f>
        <v>#REF!</v>
      </c>
      <c r="B762" s="2" t="s">
        <v>72</v>
      </c>
      <c r="C762" s="3" t="e">
        <f>IF(INDEX('Document Workflow'!M:M,MATCH(A762,'Document Workflow'!A:A,0))&lt;&gt;"",INDEX('Document Workflow'!M:M,MATCH(A762,'Document Workflow'!A:A,0)),"")</f>
        <v>#REF!</v>
      </c>
    </row>
    <row r="763" spans="1:3">
      <c r="A763" s="7" t="e">
        <f>IF('Document Workflow'!A762&lt;&gt;"",'Document Workflow'!A762,"")</f>
        <v>#REF!</v>
      </c>
      <c r="B763" s="2" t="s">
        <v>72</v>
      </c>
      <c r="C763" s="3" t="e">
        <f>IF(INDEX('Document Workflow'!M:M,MATCH(A763,'Document Workflow'!A:A,0))&lt;&gt;"",INDEX('Document Workflow'!M:M,MATCH(A763,'Document Workflow'!A:A,0)),"")</f>
        <v>#REF!</v>
      </c>
    </row>
    <row r="764" spans="1:3">
      <c r="A764" s="7" t="e">
        <f>IF('Document Workflow'!A763&lt;&gt;"",'Document Workflow'!A763,"")</f>
        <v>#REF!</v>
      </c>
      <c r="B764" s="2" t="s">
        <v>72</v>
      </c>
      <c r="C764" s="3" t="e">
        <f>IF(INDEX('Document Workflow'!M:M,MATCH(A764,'Document Workflow'!A:A,0))&lt;&gt;"",INDEX('Document Workflow'!M:M,MATCH(A764,'Document Workflow'!A:A,0)),"")</f>
        <v>#REF!</v>
      </c>
    </row>
    <row r="765" spans="1:3">
      <c r="A765" s="7" t="e">
        <f>IF('Document Workflow'!A764&lt;&gt;"",'Document Workflow'!A764,"")</f>
        <v>#REF!</v>
      </c>
      <c r="B765" s="2" t="s">
        <v>72</v>
      </c>
      <c r="C765" s="3" t="e">
        <f>IF(INDEX('Document Workflow'!M:M,MATCH(A765,'Document Workflow'!A:A,0))&lt;&gt;"",INDEX('Document Workflow'!M:M,MATCH(A765,'Document Workflow'!A:A,0)),"")</f>
        <v>#REF!</v>
      </c>
    </row>
    <row r="766" spans="1:3">
      <c r="A766" s="7" t="e">
        <f>IF('Document Workflow'!A765&lt;&gt;"",'Document Workflow'!A765,"")</f>
        <v>#REF!</v>
      </c>
      <c r="B766" s="2" t="s">
        <v>72</v>
      </c>
      <c r="C766" s="3" t="e">
        <f>IF(INDEX('Document Workflow'!M:M,MATCH(A766,'Document Workflow'!A:A,0))&lt;&gt;"",INDEX('Document Workflow'!M:M,MATCH(A766,'Document Workflow'!A:A,0)),"")</f>
        <v>#REF!</v>
      </c>
    </row>
    <row r="767" spans="1:3">
      <c r="A767" s="7" t="e">
        <f>IF('Document Workflow'!A766&lt;&gt;"",'Document Workflow'!A766,"")</f>
        <v>#REF!</v>
      </c>
      <c r="B767" s="2" t="s">
        <v>72</v>
      </c>
      <c r="C767" s="3" t="e">
        <f>IF(INDEX('Document Workflow'!M:M,MATCH(A767,'Document Workflow'!A:A,0))&lt;&gt;"",INDEX('Document Workflow'!M:M,MATCH(A767,'Document Workflow'!A:A,0)),"")</f>
        <v>#REF!</v>
      </c>
    </row>
    <row r="768" spans="1:3">
      <c r="A768" s="7" t="e">
        <f>IF('Document Workflow'!A767&lt;&gt;"",'Document Workflow'!A767,"")</f>
        <v>#REF!</v>
      </c>
      <c r="B768" s="2" t="s">
        <v>72</v>
      </c>
      <c r="C768" s="3" t="e">
        <f>IF(INDEX('Document Workflow'!M:M,MATCH(A768,'Document Workflow'!A:A,0))&lt;&gt;"",INDEX('Document Workflow'!M:M,MATCH(A768,'Document Workflow'!A:A,0)),"")</f>
        <v>#REF!</v>
      </c>
    </row>
    <row r="769" spans="1:3">
      <c r="A769" s="7" t="e">
        <f>IF('Document Workflow'!A768&lt;&gt;"",'Document Workflow'!A768,"")</f>
        <v>#REF!</v>
      </c>
      <c r="B769" s="2" t="s">
        <v>72</v>
      </c>
      <c r="C769" s="3" t="e">
        <f>IF(INDEX('Document Workflow'!M:M,MATCH(A769,'Document Workflow'!A:A,0))&lt;&gt;"",INDEX('Document Workflow'!M:M,MATCH(A769,'Document Workflow'!A:A,0)),"")</f>
        <v>#REF!</v>
      </c>
    </row>
    <row r="770" spans="1:3">
      <c r="A770" s="7" t="e">
        <f>IF('Document Workflow'!A769&lt;&gt;"",'Document Workflow'!A769,"")</f>
        <v>#REF!</v>
      </c>
      <c r="B770" s="2" t="s">
        <v>72</v>
      </c>
      <c r="C770" s="3" t="e">
        <f>IF(INDEX('Document Workflow'!M:M,MATCH(A770,'Document Workflow'!A:A,0))&lt;&gt;"",INDEX('Document Workflow'!M:M,MATCH(A770,'Document Workflow'!A:A,0)),"")</f>
        <v>#REF!</v>
      </c>
    </row>
    <row r="771" spans="1:3">
      <c r="A771" s="7" t="e">
        <f>IF('Document Workflow'!A770&lt;&gt;"",'Document Workflow'!A770,"")</f>
        <v>#REF!</v>
      </c>
      <c r="B771" s="2" t="s">
        <v>72</v>
      </c>
      <c r="C771" s="3" t="e">
        <f>IF(INDEX('Document Workflow'!M:M,MATCH(A771,'Document Workflow'!A:A,0))&lt;&gt;"",INDEX('Document Workflow'!M:M,MATCH(A771,'Document Workflow'!A:A,0)),"")</f>
        <v>#REF!</v>
      </c>
    </row>
    <row r="772" spans="1:3">
      <c r="A772" s="7" t="e">
        <f>IF('Document Workflow'!A771&lt;&gt;"",'Document Workflow'!A771,"")</f>
        <v>#REF!</v>
      </c>
      <c r="B772" s="2" t="s">
        <v>72</v>
      </c>
      <c r="C772" s="3" t="e">
        <f>IF(INDEX('Document Workflow'!M:M,MATCH(A772,'Document Workflow'!A:A,0))&lt;&gt;"",INDEX('Document Workflow'!M:M,MATCH(A772,'Document Workflow'!A:A,0)),"")</f>
        <v>#REF!</v>
      </c>
    </row>
    <row r="773" spans="1:3">
      <c r="A773" s="7" t="e">
        <f>IF('Document Workflow'!A772&lt;&gt;"",'Document Workflow'!A772,"")</f>
        <v>#REF!</v>
      </c>
      <c r="B773" s="2" t="s">
        <v>72</v>
      </c>
      <c r="C773" s="3" t="e">
        <f>IF(INDEX('Document Workflow'!M:M,MATCH(A773,'Document Workflow'!A:A,0))&lt;&gt;"",INDEX('Document Workflow'!M:M,MATCH(A773,'Document Workflow'!A:A,0)),"")</f>
        <v>#REF!</v>
      </c>
    </row>
    <row r="774" spans="1:3">
      <c r="A774" s="7" t="e">
        <f>IF('Document Workflow'!A773&lt;&gt;"",'Document Workflow'!A773,"")</f>
        <v>#REF!</v>
      </c>
      <c r="B774" s="2" t="s">
        <v>72</v>
      </c>
      <c r="C774" s="3" t="e">
        <f>IF(INDEX('Document Workflow'!M:M,MATCH(A774,'Document Workflow'!A:A,0))&lt;&gt;"",INDEX('Document Workflow'!M:M,MATCH(A774,'Document Workflow'!A:A,0)),"")</f>
        <v>#REF!</v>
      </c>
    </row>
    <row r="775" spans="1:3">
      <c r="A775" s="7" t="e">
        <f>IF('Document Workflow'!A774&lt;&gt;"",'Document Workflow'!A774,"")</f>
        <v>#REF!</v>
      </c>
      <c r="B775" s="2" t="s">
        <v>72</v>
      </c>
      <c r="C775" s="3" t="e">
        <f>IF(INDEX('Document Workflow'!M:M,MATCH(A775,'Document Workflow'!A:A,0))&lt;&gt;"",INDEX('Document Workflow'!M:M,MATCH(A775,'Document Workflow'!A:A,0)),"")</f>
        <v>#REF!</v>
      </c>
    </row>
    <row r="776" spans="1:3">
      <c r="A776" s="7" t="e">
        <f>IF('Document Workflow'!A775&lt;&gt;"",'Document Workflow'!A775,"")</f>
        <v>#REF!</v>
      </c>
      <c r="B776" s="2" t="s">
        <v>72</v>
      </c>
      <c r="C776" s="3" t="e">
        <f>IF(INDEX('Document Workflow'!M:M,MATCH(A776,'Document Workflow'!A:A,0))&lt;&gt;"",INDEX('Document Workflow'!M:M,MATCH(A776,'Document Workflow'!A:A,0)),"")</f>
        <v>#REF!</v>
      </c>
    </row>
    <row r="777" spans="1:3">
      <c r="A777" s="7" t="e">
        <f>IF('Document Workflow'!A776&lt;&gt;"",'Document Workflow'!A776,"")</f>
        <v>#REF!</v>
      </c>
      <c r="B777" s="2" t="s">
        <v>72</v>
      </c>
      <c r="C777" s="3" t="e">
        <f>IF(INDEX('Document Workflow'!M:M,MATCH(A777,'Document Workflow'!A:A,0))&lt;&gt;"",INDEX('Document Workflow'!M:M,MATCH(A777,'Document Workflow'!A:A,0)),"")</f>
        <v>#REF!</v>
      </c>
    </row>
    <row r="778" spans="1:3">
      <c r="A778" s="7" t="e">
        <f>IF('Document Workflow'!A777&lt;&gt;"",'Document Workflow'!A777,"")</f>
        <v>#REF!</v>
      </c>
      <c r="B778" s="2" t="s">
        <v>72</v>
      </c>
      <c r="C778" s="3" t="e">
        <f>IF(INDEX('Document Workflow'!M:M,MATCH(A778,'Document Workflow'!A:A,0))&lt;&gt;"",INDEX('Document Workflow'!M:M,MATCH(A778,'Document Workflow'!A:A,0)),"")</f>
        <v>#REF!</v>
      </c>
    </row>
    <row r="779" spans="1:3">
      <c r="A779" s="7" t="e">
        <f>IF('Document Workflow'!A778&lt;&gt;"",'Document Workflow'!A778,"")</f>
        <v>#REF!</v>
      </c>
      <c r="B779" s="2" t="s">
        <v>72</v>
      </c>
      <c r="C779" s="3" t="e">
        <f>IF(INDEX('Document Workflow'!M:M,MATCH(A779,'Document Workflow'!A:A,0))&lt;&gt;"",INDEX('Document Workflow'!M:M,MATCH(A779,'Document Workflow'!A:A,0)),"")</f>
        <v>#REF!</v>
      </c>
    </row>
    <row r="780" spans="1:3">
      <c r="A780" s="7" t="e">
        <f>IF('Document Workflow'!A779&lt;&gt;"",'Document Workflow'!A779,"")</f>
        <v>#REF!</v>
      </c>
      <c r="B780" s="2" t="s">
        <v>72</v>
      </c>
      <c r="C780" s="3" t="e">
        <f>IF(INDEX('Document Workflow'!M:M,MATCH(A780,'Document Workflow'!A:A,0))&lt;&gt;"",INDEX('Document Workflow'!M:M,MATCH(A780,'Document Workflow'!A:A,0)),"")</f>
        <v>#REF!</v>
      </c>
    </row>
    <row r="781" spans="1:3">
      <c r="A781" s="7" t="e">
        <f>IF('Document Workflow'!A780&lt;&gt;"",'Document Workflow'!A780,"")</f>
        <v>#REF!</v>
      </c>
      <c r="B781" s="2" t="s">
        <v>72</v>
      </c>
      <c r="C781" s="3" t="e">
        <f>IF(INDEX('Document Workflow'!M:M,MATCH(A781,'Document Workflow'!A:A,0))&lt;&gt;"",INDEX('Document Workflow'!M:M,MATCH(A781,'Document Workflow'!A:A,0)),"")</f>
        <v>#REF!</v>
      </c>
    </row>
    <row r="782" spans="1:3">
      <c r="A782" s="7" t="e">
        <f>IF('Document Workflow'!A781&lt;&gt;"",'Document Workflow'!A781,"")</f>
        <v>#REF!</v>
      </c>
      <c r="B782" s="2" t="s">
        <v>72</v>
      </c>
      <c r="C782" s="3" t="e">
        <f>IF(INDEX('Document Workflow'!M:M,MATCH(A782,'Document Workflow'!A:A,0))&lt;&gt;"",INDEX('Document Workflow'!M:M,MATCH(A782,'Document Workflow'!A:A,0)),"")</f>
        <v>#REF!</v>
      </c>
    </row>
    <row r="783" spans="1:3">
      <c r="A783" s="7" t="e">
        <f>IF('Document Workflow'!A782&lt;&gt;"",'Document Workflow'!A782,"")</f>
        <v>#REF!</v>
      </c>
      <c r="B783" s="2" t="s">
        <v>72</v>
      </c>
      <c r="C783" s="3" t="e">
        <f>IF(INDEX('Document Workflow'!M:M,MATCH(A783,'Document Workflow'!A:A,0))&lt;&gt;"",INDEX('Document Workflow'!M:M,MATCH(A783,'Document Workflow'!A:A,0)),"")</f>
        <v>#REF!</v>
      </c>
    </row>
    <row r="784" spans="1:3">
      <c r="A784" s="7" t="e">
        <f>IF('Document Workflow'!A783&lt;&gt;"",'Document Workflow'!A783,"")</f>
        <v>#REF!</v>
      </c>
      <c r="B784" s="2" t="s">
        <v>72</v>
      </c>
      <c r="C784" s="3" t="e">
        <f>IF(INDEX('Document Workflow'!M:M,MATCH(A784,'Document Workflow'!A:A,0))&lt;&gt;"",INDEX('Document Workflow'!M:M,MATCH(A784,'Document Workflow'!A:A,0)),"")</f>
        <v>#REF!</v>
      </c>
    </row>
    <row r="785" spans="1:3">
      <c r="A785" s="7" t="e">
        <f>IF('Document Workflow'!A784&lt;&gt;"",'Document Workflow'!A784,"")</f>
        <v>#REF!</v>
      </c>
      <c r="B785" s="2" t="s">
        <v>72</v>
      </c>
      <c r="C785" s="3" t="e">
        <f>IF(INDEX('Document Workflow'!M:M,MATCH(A785,'Document Workflow'!A:A,0))&lt;&gt;"",INDEX('Document Workflow'!M:M,MATCH(A785,'Document Workflow'!A:A,0)),"")</f>
        <v>#REF!</v>
      </c>
    </row>
    <row r="786" spans="1:3">
      <c r="A786" s="7" t="e">
        <f>IF('Document Workflow'!A785&lt;&gt;"",'Document Workflow'!A785,"")</f>
        <v>#REF!</v>
      </c>
      <c r="B786" s="2" t="s">
        <v>72</v>
      </c>
      <c r="C786" s="3" t="e">
        <f>IF(INDEX('Document Workflow'!M:M,MATCH(A786,'Document Workflow'!A:A,0))&lt;&gt;"",INDEX('Document Workflow'!M:M,MATCH(A786,'Document Workflow'!A:A,0)),"")</f>
        <v>#REF!</v>
      </c>
    </row>
    <row r="787" spans="1:3">
      <c r="A787" s="7" t="e">
        <f>IF('Document Workflow'!A786&lt;&gt;"",'Document Workflow'!A786,"")</f>
        <v>#REF!</v>
      </c>
      <c r="B787" s="2" t="s">
        <v>72</v>
      </c>
      <c r="C787" s="3" t="e">
        <f>IF(INDEX('Document Workflow'!M:M,MATCH(A787,'Document Workflow'!A:A,0))&lt;&gt;"",INDEX('Document Workflow'!M:M,MATCH(A787,'Document Workflow'!A:A,0)),"")</f>
        <v>#REF!</v>
      </c>
    </row>
    <row r="788" spans="1:3">
      <c r="A788" s="7" t="e">
        <f>IF('Document Workflow'!A787&lt;&gt;"",'Document Workflow'!A787,"")</f>
        <v>#REF!</v>
      </c>
      <c r="B788" s="2" t="s">
        <v>72</v>
      </c>
      <c r="C788" s="3" t="e">
        <f>IF(INDEX('Document Workflow'!M:M,MATCH(A788,'Document Workflow'!A:A,0))&lt;&gt;"",INDEX('Document Workflow'!M:M,MATCH(A788,'Document Workflow'!A:A,0)),"")</f>
        <v>#REF!</v>
      </c>
    </row>
    <row r="789" spans="1:3">
      <c r="A789" s="7" t="e">
        <f>IF('Document Workflow'!A788&lt;&gt;"",'Document Workflow'!A788,"")</f>
        <v>#REF!</v>
      </c>
      <c r="B789" s="2" t="s">
        <v>72</v>
      </c>
      <c r="C789" s="3" t="e">
        <f>IF(INDEX('Document Workflow'!M:M,MATCH(A789,'Document Workflow'!A:A,0))&lt;&gt;"",INDEX('Document Workflow'!M:M,MATCH(A789,'Document Workflow'!A:A,0)),"")</f>
        <v>#REF!</v>
      </c>
    </row>
    <row r="790" spans="1:3">
      <c r="A790" s="7" t="e">
        <f>IF('Document Workflow'!A789&lt;&gt;"",'Document Workflow'!A789,"")</f>
        <v>#REF!</v>
      </c>
      <c r="B790" s="2" t="s">
        <v>72</v>
      </c>
      <c r="C790" s="3" t="e">
        <f>IF(INDEX('Document Workflow'!M:M,MATCH(A790,'Document Workflow'!A:A,0))&lt;&gt;"",INDEX('Document Workflow'!M:M,MATCH(A790,'Document Workflow'!A:A,0)),"")</f>
        <v>#REF!</v>
      </c>
    </row>
    <row r="791" spans="1:3">
      <c r="A791" s="7" t="e">
        <f>IF('Document Workflow'!A790&lt;&gt;"",'Document Workflow'!A790,"")</f>
        <v>#REF!</v>
      </c>
      <c r="B791" s="2" t="s">
        <v>72</v>
      </c>
      <c r="C791" s="3" t="e">
        <f>IF(INDEX('Document Workflow'!M:M,MATCH(A791,'Document Workflow'!A:A,0))&lt;&gt;"",INDEX('Document Workflow'!M:M,MATCH(A791,'Document Workflow'!A:A,0)),"")</f>
        <v>#REF!</v>
      </c>
    </row>
    <row r="792" spans="1:3">
      <c r="A792" s="7" t="e">
        <f>IF('Document Workflow'!A791&lt;&gt;"",'Document Workflow'!A791,"")</f>
        <v>#REF!</v>
      </c>
      <c r="B792" s="2" t="s">
        <v>72</v>
      </c>
      <c r="C792" s="3" t="e">
        <f>IF(INDEX('Document Workflow'!M:M,MATCH(A792,'Document Workflow'!A:A,0))&lt;&gt;"",INDEX('Document Workflow'!M:M,MATCH(A792,'Document Workflow'!A:A,0)),"")</f>
        <v>#REF!</v>
      </c>
    </row>
    <row r="793" spans="1:3">
      <c r="A793" s="7" t="e">
        <f>IF('Document Workflow'!A792&lt;&gt;"",'Document Workflow'!A792,"")</f>
        <v>#REF!</v>
      </c>
      <c r="B793" s="2" t="s">
        <v>72</v>
      </c>
      <c r="C793" s="3" t="e">
        <f>IF(INDEX('Document Workflow'!M:M,MATCH(A793,'Document Workflow'!A:A,0))&lt;&gt;"",INDEX('Document Workflow'!M:M,MATCH(A793,'Document Workflow'!A:A,0)),"")</f>
        <v>#REF!</v>
      </c>
    </row>
    <row r="794" spans="1:3">
      <c r="A794" s="7" t="e">
        <f>IF('Document Workflow'!A793&lt;&gt;"",'Document Workflow'!A793,"")</f>
        <v>#REF!</v>
      </c>
      <c r="B794" s="2" t="s">
        <v>72</v>
      </c>
      <c r="C794" s="3" t="e">
        <f>IF(INDEX('Document Workflow'!M:M,MATCH(A794,'Document Workflow'!A:A,0))&lt;&gt;"",INDEX('Document Workflow'!M:M,MATCH(A794,'Document Workflow'!A:A,0)),"")</f>
        <v>#REF!</v>
      </c>
    </row>
    <row r="795" spans="1:3">
      <c r="A795" s="7" t="e">
        <f>IF('Document Workflow'!A794&lt;&gt;"",'Document Workflow'!A794,"")</f>
        <v>#REF!</v>
      </c>
      <c r="B795" s="2" t="s">
        <v>72</v>
      </c>
      <c r="C795" s="3" t="e">
        <f>IF(INDEX('Document Workflow'!M:M,MATCH(A795,'Document Workflow'!A:A,0))&lt;&gt;"",INDEX('Document Workflow'!M:M,MATCH(A795,'Document Workflow'!A:A,0)),"")</f>
        <v>#REF!</v>
      </c>
    </row>
    <row r="796" spans="1:3">
      <c r="A796" s="7" t="e">
        <f>IF('Document Workflow'!A795&lt;&gt;"",'Document Workflow'!A795,"")</f>
        <v>#REF!</v>
      </c>
      <c r="B796" s="2" t="s">
        <v>72</v>
      </c>
      <c r="C796" s="3" t="e">
        <f>IF(INDEX('Document Workflow'!M:M,MATCH(A796,'Document Workflow'!A:A,0))&lt;&gt;"",INDEX('Document Workflow'!M:M,MATCH(A796,'Document Workflow'!A:A,0)),"")</f>
        <v>#REF!</v>
      </c>
    </row>
    <row r="797" spans="1:3">
      <c r="A797" s="7" t="e">
        <f>IF('Document Workflow'!A796&lt;&gt;"",'Document Workflow'!A796,"")</f>
        <v>#REF!</v>
      </c>
      <c r="B797" s="2" t="s">
        <v>72</v>
      </c>
      <c r="C797" s="3" t="e">
        <f>IF(INDEX('Document Workflow'!M:M,MATCH(A797,'Document Workflow'!A:A,0))&lt;&gt;"",INDEX('Document Workflow'!M:M,MATCH(A797,'Document Workflow'!A:A,0)),"")</f>
        <v>#REF!</v>
      </c>
    </row>
    <row r="798" spans="1:3">
      <c r="A798" s="7" t="e">
        <f>IF('Document Workflow'!A797&lt;&gt;"",'Document Workflow'!A797,"")</f>
        <v>#REF!</v>
      </c>
      <c r="B798" s="2" t="s">
        <v>72</v>
      </c>
      <c r="C798" s="3" t="e">
        <f>IF(INDEX('Document Workflow'!M:M,MATCH(A798,'Document Workflow'!A:A,0))&lt;&gt;"",INDEX('Document Workflow'!M:M,MATCH(A798,'Document Workflow'!A:A,0)),"")</f>
        <v>#REF!</v>
      </c>
    </row>
    <row r="799" spans="1:3">
      <c r="A799" s="7" t="e">
        <f>IF('Document Workflow'!A798&lt;&gt;"",'Document Workflow'!A798,"")</f>
        <v>#REF!</v>
      </c>
      <c r="B799" s="2" t="s">
        <v>72</v>
      </c>
      <c r="C799" s="3" t="e">
        <f>IF(INDEX('Document Workflow'!M:M,MATCH(A799,'Document Workflow'!A:A,0))&lt;&gt;"",INDEX('Document Workflow'!M:M,MATCH(A799,'Document Workflow'!A:A,0)),"")</f>
        <v>#REF!</v>
      </c>
    </row>
    <row r="800" spans="1:3">
      <c r="A800" s="7" t="e">
        <f>IF('Document Workflow'!A799&lt;&gt;"",'Document Workflow'!A799,"")</f>
        <v>#REF!</v>
      </c>
      <c r="B800" s="2" t="s">
        <v>72</v>
      </c>
      <c r="C800" s="3" t="e">
        <f>IF(INDEX('Document Workflow'!M:M,MATCH(A800,'Document Workflow'!A:A,0))&lt;&gt;"",INDEX('Document Workflow'!M:M,MATCH(A800,'Document Workflow'!A:A,0)),"")</f>
        <v>#REF!</v>
      </c>
    </row>
    <row r="801" spans="1:3">
      <c r="A801" s="7" t="e">
        <f>IF('Document Workflow'!A800&lt;&gt;"",'Document Workflow'!A800,"")</f>
        <v>#REF!</v>
      </c>
      <c r="B801" s="2" t="s">
        <v>72</v>
      </c>
      <c r="C801" s="3" t="e">
        <f>IF(INDEX('Document Workflow'!M:M,MATCH(A801,'Document Workflow'!A:A,0))&lt;&gt;"",INDEX('Document Workflow'!M:M,MATCH(A801,'Document Workflow'!A:A,0)),"")</f>
        <v>#REF!</v>
      </c>
    </row>
    <row r="802" spans="1:3">
      <c r="A802" s="7" t="e">
        <f>IF('Document Workflow'!A801&lt;&gt;"",'Document Workflow'!A801,"")</f>
        <v>#REF!</v>
      </c>
      <c r="B802" s="2" t="s">
        <v>72</v>
      </c>
      <c r="C802" s="3" t="e">
        <f>IF(INDEX('Document Workflow'!M:M,MATCH(A802,'Document Workflow'!A:A,0))&lt;&gt;"",INDEX('Document Workflow'!M:M,MATCH(A802,'Document Workflow'!A:A,0)),"")</f>
        <v>#REF!</v>
      </c>
    </row>
    <row r="803" spans="1:3">
      <c r="A803" s="7" t="e">
        <f>IF('Document Workflow'!A802&lt;&gt;"",'Document Workflow'!A802,"")</f>
        <v>#REF!</v>
      </c>
      <c r="B803" s="2" t="s">
        <v>72</v>
      </c>
      <c r="C803" s="3" t="e">
        <f>IF(INDEX('Document Workflow'!M:M,MATCH(A803,'Document Workflow'!A:A,0))&lt;&gt;"",INDEX('Document Workflow'!M:M,MATCH(A803,'Document Workflow'!A:A,0)),"")</f>
        <v>#REF!</v>
      </c>
    </row>
    <row r="804" spans="1:3">
      <c r="A804" s="7" t="e">
        <f>IF('Document Workflow'!A803&lt;&gt;"",'Document Workflow'!A803,"")</f>
        <v>#REF!</v>
      </c>
      <c r="B804" s="2" t="s">
        <v>72</v>
      </c>
      <c r="C804" s="3" t="e">
        <f>IF(INDEX('Document Workflow'!M:M,MATCH(A804,'Document Workflow'!A:A,0))&lt;&gt;"",INDEX('Document Workflow'!M:M,MATCH(A804,'Document Workflow'!A:A,0)),"")</f>
        <v>#REF!</v>
      </c>
    </row>
    <row r="805" spans="1:3">
      <c r="A805" s="7" t="e">
        <f>IF('Document Workflow'!A804&lt;&gt;"",'Document Workflow'!A804,"")</f>
        <v>#REF!</v>
      </c>
      <c r="B805" s="2" t="s">
        <v>72</v>
      </c>
      <c r="C805" s="3" t="e">
        <f>IF(INDEX('Document Workflow'!M:M,MATCH(A805,'Document Workflow'!A:A,0))&lt;&gt;"",INDEX('Document Workflow'!M:M,MATCH(A805,'Document Workflow'!A:A,0)),"")</f>
        <v>#REF!</v>
      </c>
    </row>
    <row r="806" spans="1:3">
      <c r="A806" s="7" t="e">
        <f>IF('Document Workflow'!A805&lt;&gt;"",'Document Workflow'!A805,"")</f>
        <v>#REF!</v>
      </c>
      <c r="B806" s="2" t="s">
        <v>72</v>
      </c>
      <c r="C806" s="3" t="e">
        <f>IF(INDEX('Document Workflow'!M:M,MATCH(A806,'Document Workflow'!A:A,0))&lt;&gt;"",INDEX('Document Workflow'!M:M,MATCH(A806,'Document Workflow'!A:A,0)),"")</f>
        <v>#REF!</v>
      </c>
    </row>
    <row r="807" spans="1:3">
      <c r="A807" s="7" t="e">
        <f>IF('Document Workflow'!A806&lt;&gt;"",'Document Workflow'!A806,"")</f>
        <v>#REF!</v>
      </c>
      <c r="B807" s="2" t="s">
        <v>72</v>
      </c>
      <c r="C807" s="3" t="e">
        <f>IF(INDEX('Document Workflow'!M:M,MATCH(A807,'Document Workflow'!A:A,0))&lt;&gt;"",INDEX('Document Workflow'!M:M,MATCH(A807,'Document Workflow'!A:A,0)),"")</f>
        <v>#REF!</v>
      </c>
    </row>
    <row r="808" spans="1:3">
      <c r="A808" s="7" t="e">
        <f>IF('Document Workflow'!A807&lt;&gt;"",'Document Workflow'!A807,"")</f>
        <v>#REF!</v>
      </c>
      <c r="B808" s="2" t="s">
        <v>72</v>
      </c>
      <c r="C808" s="3" t="e">
        <f>IF(INDEX('Document Workflow'!M:M,MATCH(A808,'Document Workflow'!A:A,0))&lt;&gt;"",INDEX('Document Workflow'!M:M,MATCH(A808,'Document Workflow'!A:A,0)),"")</f>
        <v>#REF!</v>
      </c>
    </row>
    <row r="809" spans="1:3">
      <c r="A809" s="7" t="e">
        <f>IF('Document Workflow'!A808&lt;&gt;"",'Document Workflow'!A808,"")</f>
        <v>#REF!</v>
      </c>
      <c r="B809" s="2" t="s">
        <v>72</v>
      </c>
      <c r="C809" s="3" t="e">
        <f>IF(INDEX('Document Workflow'!M:M,MATCH(A809,'Document Workflow'!A:A,0))&lt;&gt;"",INDEX('Document Workflow'!M:M,MATCH(A809,'Document Workflow'!A:A,0)),"")</f>
        <v>#REF!</v>
      </c>
    </row>
    <row r="810" spans="1:3">
      <c r="A810" s="7" t="e">
        <f>IF('Document Workflow'!A809&lt;&gt;"",'Document Workflow'!A809,"")</f>
        <v>#REF!</v>
      </c>
      <c r="B810" s="2" t="s">
        <v>72</v>
      </c>
      <c r="C810" s="3" t="e">
        <f>IF(INDEX('Document Workflow'!M:M,MATCH(A810,'Document Workflow'!A:A,0))&lt;&gt;"",INDEX('Document Workflow'!M:M,MATCH(A810,'Document Workflow'!A:A,0)),"")</f>
        <v>#REF!</v>
      </c>
    </row>
    <row r="811" spans="1:3">
      <c r="A811" s="7" t="e">
        <f>IF('Document Workflow'!A810&lt;&gt;"",'Document Workflow'!A810,"")</f>
        <v>#REF!</v>
      </c>
      <c r="B811" s="2" t="s">
        <v>72</v>
      </c>
      <c r="C811" s="3" t="e">
        <f>IF(INDEX('Document Workflow'!M:M,MATCH(A811,'Document Workflow'!A:A,0))&lt;&gt;"",INDEX('Document Workflow'!M:M,MATCH(A811,'Document Workflow'!A:A,0)),"")</f>
        <v>#REF!</v>
      </c>
    </row>
    <row r="812" spans="1:3">
      <c r="A812" s="7" t="e">
        <f>IF('Document Workflow'!A811&lt;&gt;"",'Document Workflow'!A811,"")</f>
        <v>#REF!</v>
      </c>
      <c r="B812" s="2" t="s">
        <v>72</v>
      </c>
      <c r="C812" s="3" t="e">
        <f>IF(INDEX('Document Workflow'!M:M,MATCH(A812,'Document Workflow'!A:A,0))&lt;&gt;"",INDEX('Document Workflow'!M:M,MATCH(A812,'Document Workflow'!A:A,0)),"")</f>
        <v>#REF!</v>
      </c>
    </row>
    <row r="813" spans="1:3">
      <c r="A813" s="7" t="e">
        <f>IF('Document Workflow'!A812&lt;&gt;"",'Document Workflow'!A812,"")</f>
        <v>#REF!</v>
      </c>
      <c r="B813" s="2" t="s">
        <v>72</v>
      </c>
      <c r="C813" s="3" t="e">
        <f>IF(INDEX('Document Workflow'!M:M,MATCH(A813,'Document Workflow'!A:A,0))&lt;&gt;"",INDEX('Document Workflow'!M:M,MATCH(A813,'Document Workflow'!A:A,0)),"")</f>
        <v>#REF!</v>
      </c>
    </row>
    <row r="814" spans="1:3">
      <c r="A814" s="7" t="e">
        <f>IF('Document Workflow'!A813&lt;&gt;"",'Document Workflow'!A813,"")</f>
        <v>#REF!</v>
      </c>
      <c r="B814" s="2" t="s">
        <v>72</v>
      </c>
      <c r="C814" s="3" t="e">
        <f>IF(INDEX('Document Workflow'!M:M,MATCH(A814,'Document Workflow'!A:A,0))&lt;&gt;"",INDEX('Document Workflow'!M:M,MATCH(A814,'Document Workflow'!A:A,0)),"")</f>
        <v>#REF!</v>
      </c>
    </row>
    <row r="815" spans="1:3">
      <c r="A815" s="7" t="e">
        <f>IF('Document Workflow'!A814&lt;&gt;"",'Document Workflow'!A814,"")</f>
        <v>#REF!</v>
      </c>
      <c r="B815" s="2" t="s">
        <v>72</v>
      </c>
      <c r="C815" s="3" t="e">
        <f>IF(INDEX('Document Workflow'!M:M,MATCH(A815,'Document Workflow'!A:A,0))&lt;&gt;"",INDEX('Document Workflow'!M:M,MATCH(A815,'Document Workflow'!A:A,0)),"")</f>
        <v>#REF!</v>
      </c>
    </row>
    <row r="816" spans="1:3">
      <c r="A816" s="7" t="e">
        <f>IF('Document Workflow'!A815&lt;&gt;"",'Document Workflow'!A815,"")</f>
        <v>#REF!</v>
      </c>
      <c r="B816" s="2" t="s">
        <v>72</v>
      </c>
      <c r="C816" s="3" t="e">
        <f>IF(INDEX('Document Workflow'!M:M,MATCH(A816,'Document Workflow'!A:A,0))&lt;&gt;"",INDEX('Document Workflow'!M:M,MATCH(A816,'Document Workflow'!A:A,0)),"")</f>
        <v>#REF!</v>
      </c>
    </row>
    <row r="817" spans="1:3">
      <c r="A817" s="7" t="e">
        <f>IF('Document Workflow'!A816&lt;&gt;"",'Document Workflow'!A816,"")</f>
        <v>#REF!</v>
      </c>
      <c r="B817" s="2" t="s">
        <v>72</v>
      </c>
      <c r="C817" s="3" t="e">
        <f>IF(INDEX('Document Workflow'!M:M,MATCH(A817,'Document Workflow'!A:A,0))&lt;&gt;"",INDEX('Document Workflow'!M:M,MATCH(A817,'Document Workflow'!A:A,0)),"")</f>
        <v>#REF!</v>
      </c>
    </row>
    <row r="818" spans="1:3">
      <c r="A818" s="7" t="e">
        <f>IF('Document Workflow'!A817&lt;&gt;"",'Document Workflow'!A817,"")</f>
        <v>#REF!</v>
      </c>
      <c r="B818" s="2" t="s">
        <v>72</v>
      </c>
      <c r="C818" s="3" t="e">
        <f>IF(INDEX('Document Workflow'!M:M,MATCH(A818,'Document Workflow'!A:A,0))&lt;&gt;"",INDEX('Document Workflow'!M:M,MATCH(A818,'Document Workflow'!A:A,0)),"")</f>
        <v>#REF!</v>
      </c>
    </row>
    <row r="819" spans="1:3">
      <c r="A819" s="7" t="e">
        <f>IF('Document Workflow'!A818&lt;&gt;"",'Document Workflow'!A818,"")</f>
        <v>#REF!</v>
      </c>
      <c r="B819" s="2" t="s">
        <v>72</v>
      </c>
      <c r="C819" s="3" t="e">
        <f>IF(INDEX('Document Workflow'!M:M,MATCH(A819,'Document Workflow'!A:A,0))&lt;&gt;"",INDEX('Document Workflow'!M:M,MATCH(A819,'Document Workflow'!A:A,0)),"")</f>
        <v>#REF!</v>
      </c>
    </row>
    <row r="820" spans="1:3">
      <c r="A820" s="7" t="e">
        <f>IF('Document Workflow'!A819&lt;&gt;"",'Document Workflow'!A819,"")</f>
        <v>#REF!</v>
      </c>
      <c r="B820" s="2" t="s">
        <v>72</v>
      </c>
      <c r="C820" s="3" t="e">
        <f>IF(INDEX('Document Workflow'!M:M,MATCH(A820,'Document Workflow'!A:A,0))&lt;&gt;"",INDEX('Document Workflow'!M:M,MATCH(A820,'Document Workflow'!A:A,0)),"")</f>
        <v>#REF!</v>
      </c>
    </row>
    <row r="821" spans="1:3">
      <c r="A821" s="7" t="e">
        <f>IF('Document Workflow'!A820&lt;&gt;"",'Document Workflow'!A820,"")</f>
        <v>#REF!</v>
      </c>
      <c r="B821" s="2" t="s">
        <v>72</v>
      </c>
      <c r="C821" s="3" t="e">
        <f>IF(INDEX('Document Workflow'!M:M,MATCH(A821,'Document Workflow'!A:A,0))&lt;&gt;"",INDEX('Document Workflow'!M:M,MATCH(A821,'Document Workflow'!A:A,0)),"")</f>
        <v>#REF!</v>
      </c>
    </row>
    <row r="822" spans="1:3">
      <c r="A822" s="7" t="e">
        <f>IF('Document Workflow'!A821&lt;&gt;"",'Document Workflow'!A821,"")</f>
        <v>#REF!</v>
      </c>
      <c r="B822" s="2" t="s">
        <v>72</v>
      </c>
      <c r="C822" s="3" t="e">
        <f>IF(INDEX('Document Workflow'!M:M,MATCH(A822,'Document Workflow'!A:A,0))&lt;&gt;"",INDEX('Document Workflow'!M:M,MATCH(A822,'Document Workflow'!A:A,0)),"")</f>
        <v>#REF!</v>
      </c>
    </row>
    <row r="823" spans="1:3">
      <c r="A823" s="7" t="e">
        <f>IF('Document Workflow'!A822&lt;&gt;"",'Document Workflow'!A822,"")</f>
        <v>#REF!</v>
      </c>
      <c r="B823" s="2" t="s">
        <v>72</v>
      </c>
      <c r="C823" s="3" t="e">
        <f>IF(INDEX('Document Workflow'!M:M,MATCH(A823,'Document Workflow'!A:A,0))&lt;&gt;"",INDEX('Document Workflow'!M:M,MATCH(A823,'Document Workflow'!A:A,0)),"")</f>
        <v>#REF!</v>
      </c>
    </row>
    <row r="824" spans="1:3">
      <c r="A824" s="7" t="e">
        <f>IF('Document Workflow'!A823&lt;&gt;"",'Document Workflow'!A823,"")</f>
        <v>#REF!</v>
      </c>
      <c r="B824" s="2" t="s">
        <v>72</v>
      </c>
      <c r="C824" s="3" t="e">
        <f>IF(INDEX('Document Workflow'!M:M,MATCH(A824,'Document Workflow'!A:A,0))&lt;&gt;"",INDEX('Document Workflow'!M:M,MATCH(A824,'Document Workflow'!A:A,0)),"")</f>
        <v>#REF!</v>
      </c>
    </row>
    <row r="825" spans="1:3">
      <c r="A825" s="7" t="e">
        <f>IF('Document Workflow'!A824&lt;&gt;"",'Document Workflow'!A824,"")</f>
        <v>#REF!</v>
      </c>
      <c r="B825" s="2" t="s">
        <v>72</v>
      </c>
      <c r="C825" s="3" t="e">
        <f>IF(INDEX('Document Workflow'!M:M,MATCH(A825,'Document Workflow'!A:A,0))&lt;&gt;"",INDEX('Document Workflow'!M:M,MATCH(A825,'Document Workflow'!A:A,0)),"")</f>
        <v>#REF!</v>
      </c>
    </row>
    <row r="826" spans="1:3">
      <c r="A826" s="7" t="e">
        <f>IF('Document Workflow'!A825&lt;&gt;"",'Document Workflow'!A825,"")</f>
        <v>#REF!</v>
      </c>
      <c r="B826" s="2" t="s">
        <v>72</v>
      </c>
      <c r="C826" s="3" t="e">
        <f>IF(INDEX('Document Workflow'!M:M,MATCH(A826,'Document Workflow'!A:A,0))&lt;&gt;"",INDEX('Document Workflow'!M:M,MATCH(A826,'Document Workflow'!A:A,0)),"")</f>
        <v>#REF!</v>
      </c>
    </row>
    <row r="827" spans="1:3">
      <c r="A827" s="7" t="e">
        <f>IF('Document Workflow'!A826&lt;&gt;"",'Document Workflow'!A826,"")</f>
        <v>#REF!</v>
      </c>
      <c r="B827" s="2" t="s">
        <v>72</v>
      </c>
      <c r="C827" s="3" t="e">
        <f>IF(INDEX('Document Workflow'!M:M,MATCH(A827,'Document Workflow'!A:A,0))&lt;&gt;"",INDEX('Document Workflow'!M:M,MATCH(A827,'Document Workflow'!A:A,0)),"")</f>
        <v>#REF!</v>
      </c>
    </row>
    <row r="828" spans="1:3">
      <c r="A828" s="7" t="e">
        <f>IF('Document Workflow'!A827&lt;&gt;"",'Document Workflow'!A827,"")</f>
        <v>#REF!</v>
      </c>
      <c r="B828" s="2" t="s">
        <v>72</v>
      </c>
      <c r="C828" s="3" t="e">
        <f>IF(INDEX('Document Workflow'!M:M,MATCH(A828,'Document Workflow'!A:A,0))&lt;&gt;"",INDEX('Document Workflow'!M:M,MATCH(A828,'Document Workflow'!A:A,0)),"")</f>
        <v>#REF!</v>
      </c>
    </row>
    <row r="829" spans="1:3">
      <c r="A829" s="7" t="e">
        <f>IF('Document Workflow'!A828&lt;&gt;"",'Document Workflow'!A828,"")</f>
        <v>#REF!</v>
      </c>
      <c r="B829" s="2" t="s">
        <v>72</v>
      </c>
      <c r="C829" s="3" t="e">
        <f>IF(INDEX('Document Workflow'!M:M,MATCH(A829,'Document Workflow'!A:A,0))&lt;&gt;"",INDEX('Document Workflow'!M:M,MATCH(A829,'Document Workflow'!A:A,0)),"")</f>
        <v>#REF!</v>
      </c>
    </row>
    <row r="830" spans="1:3">
      <c r="A830" s="7" t="e">
        <f>IF('Document Workflow'!A829&lt;&gt;"",'Document Workflow'!A829,"")</f>
        <v>#REF!</v>
      </c>
      <c r="B830" s="2" t="s">
        <v>72</v>
      </c>
      <c r="C830" s="3" t="e">
        <f>IF(INDEX('Document Workflow'!M:M,MATCH(A830,'Document Workflow'!A:A,0))&lt;&gt;"",INDEX('Document Workflow'!M:M,MATCH(A830,'Document Workflow'!A:A,0)),"")</f>
        <v>#REF!</v>
      </c>
    </row>
    <row r="831" spans="1:3">
      <c r="A831" s="7" t="e">
        <f>IF('Document Workflow'!A830&lt;&gt;"",'Document Workflow'!A830,"")</f>
        <v>#REF!</v>
      </c>
      <c r="B831" s="2" t="s">
        <v>72</v>
      </c>
      <c r="C831" s="3" t="e">
        <f>IF(INDEX('Document Workflow'!M:M,MATCH(A831,'Document Workflow'!A:A,0))&lt;&gt;"",INDEX('Document Workflow'!M:M,MATCH(A831,'Document Workflow'!A:A,0)),"")</f>
        <v>#REF!</v>
      </c>
    </row>
    <row r="832" spans="1:3">
      <c r="A832" s="7" t="e">
        <f>IF('Document Workflow'!A831&lt;&gt;"",'Document Workflow'!A831,"")</f>
        <v>#REF!</v>
      </c>
      <c r="B832" s="2" t="s">
        <v>72</v>
      </c>
      <c r="C832" s="3" t="e">
        <f>IF(INDEX('Document Workflow'!M:M,MATCH(A832,'Document Workflow'!A:A,0))&lt;&gt;"",INDEX('Document Workflow'!M:M,MATCH(A832,'Document Workflow'!A:A,0)),"")</f>
        <v>#REF!</v>
      </c>
    </row>
    <row r="833" spans="1:3">
      <c r="A833" s="7" t="e">
        <f>IF('Document Workflow'!A832&lt;&gt;"",'Document Workflow'!A832,"")</f>
        <v>#REF!</v>
      </c>
      <c r="B833" s="2" t="s">
        <v>72</v>
      </c>
      <c r="C833" s="3" t="e">
        <f>IF(INDEX('Document Workflow'!M:M,MATCH(A833,'Document Workflow'!A:A,0))&lt;&gt;"",INDEX('Document Workflow'!M:M,MATCH(A833,'Document Workflow'!A:A,0)),"")</f>
        <v>#REF!</v>
      </c>
    </row>
    <row r="834" spans="1:3">
      <c r="A834" s="7" t="e">
        <f>IF('Document Workflow'!A833&lt;&gt;"",'Document Workflow'!A833,"")</f>
        <v>#REF!</v>
      </c>
      <c r="B834" s="2" t="s">
        <v>72</v>
      </c>
      <c r="C834" s="3" t="e">
        <f>IF(INDEX('Document Workflow'!M:M,MATCH(A834,'Document Workflow'!A:A,0))&lt;&gt;"",INDEX('Document Workflow'!M:M,MATCH(A834,'Document Workflow'!A:A,0)),"")</f>
        <v>#REF!</v>
      </c>
    </row>
    <row r="835" spans="1:3">
      <c r="A835" s="7" t="e">
        <f>IF('Document Workflow'!A834&lt;&gt;"",'Document Workflow'!A834,"")</f>
        <v>#REF!</v>
      </c>
      <c r="B835" s="2" t="s">
        <v>72</v>
      </c>
      <c r="C835" s="3" t="e">
        <f>IF(INDEX('Document Workflow'!M:M,MATCH(A835,'Document Workflow'!A:A,0))&lt;&gt;"",INDEX('Document Workflow'!M:M,MATCH(A835,'Document Workflow'!A:A,0)),"")</f>
        <v>#REF!</v>
      </c>
    </row>
    <row r="836" spans="1:3">
      <c r="A836" s="7" t="e">
        <f>IF('Document Workflow'!A835&lt;&gt;"",'Document Workflow'!A835,"")</f>
        <v>#REF!</v>
      </c>
      <c r="B836" s="2" t="s">
        <v>72</v>
      </c>
      <c r="C836" s="3" t="e">
        <f>IF(INDEX('Document Workflow'!M:M,MATCH(A836,'Document Workflow'!A:A,0))&lt;&gt;"",INDEX('Document Workflow'!M:M,MATCH(A836,'Document Workflow'!A:A,0)),"")</f>
        <v>#REF!</v>
      </c>
    </row>
    <row r="837" spans="1:3">
      <c r="A837" s="7" t="e">
        <f>IF('Document Workflow'!A836&lt;&gt;"",'Document Workflow'!A836,"")</f>
        <v>#REF!</v>
      </c>
      <c r="B837" s="2" t="s">
        <v>72</v>
      </c>
      <c r="C837" s="3" t="e">
        <f>IF(INDEX('Document Workflow'!M:M,MATCH(A837,'Document Workflow'!A:A,0))&lt;&gt;"",INDEX('Document Workflow'!M:M,MATCH(A837,'Document Workflow'!A:A,0)),"")</f>
        <v>#REF!</v>
      </c>
    </row>
    <row r="838" spans="1:3">
      <c r="A838" s="7" t="e">
        <f>IF('Document Workflow'!A837&lt;&gt;"",'Document Workflow'!A837,"")</f>
        <v>#REF!</v>
      </c>
      <c r="B838" s="2" t="s">
        <v>72</v>
      </c>
      <c r="C838" s="3" t="e">
        <f>IF(INDEX('Document Workflow'!M:M,MATCH(A838,'Document Workflow'!A:A,0))&lt;&gt;"",INDEX('Document Workflow'!M:M,MATCH(A838,'Document Workflow'!A:A,0)),"")</f>
        <v>#REF!</v>
      </c>
    </row>
    <row r="839" spans="1:3">
      <c r="A839" s="7" t="e">
        <f>IF('Document Workflow'!A838&lt;&gt;"",'Document Workflow'!A838,"")</f>
        <v>#REF!</v>
      </c>
      <c r="B839" s="2" t="s">
        <v>72</v>
      </c>
      <c r="C839" s="3" t="e">
        <f>IF(INDEX('Document Workflow'!M:M,MATCH(A839,'Document Workflow'!A:A,0))&lt;&gt;"",INDEX('Document Workflow'!M:M,MATCH(A839,'Document Workflow'!A:A,0)),"")</f>
        <v>#REF!</v>
      </c>
    </row>
    <row r="840" spans="1:3">
      <c r="A840" s="7" t="e">
        <f>IF('Document Workflow'!A839&lt;&gt;"",'Document Workflow'!A839,"")</f>
        <v>#REF!</v>
      </c>
      <c r="B840" s="2" t="s">
        <v>72</v>
      </c>
      <c r="C840" s="3" t="e">
        <f>IF(INDEX('Document Workflow'!M:M,MATCH(A840,'Document Workflow'!A:A,0))&lt;&gt;"",INDEX('Document Workflow'!M:M,MATCH(A840,'Document Workflow'!A:A,0)),"")</f>
        <v>#REF!</v>
      </c>
    </row>
    <row r="841" spans="1:3">
      <c r="A841" s="7" t="e">
        <f>IF('Document Workflow'!A840&lt;&gt;"",'Document Workflow'!A840,"")</f>
        <v>#REF!</v>
      </c>
      <c r="B841" s="2" t="s">
        <v>72</v>
      </c>
      <c r="C841" s="3" t="e">
        <f>IF(INDEX('Document Workflow'!M:M,MATCH(A841,'Document Workflow'!A:A,0))&lt;&gt;"",INDEX('Document Workflow'!M:M,MATCH(A841,'Document Workflow'!A:A,0)),"")</f>
        <v>#REF!</v>
      </c>
    </row>
    <row r="842" spans="1:3">
      <c r="A842" s="7" t="e">
        <f>IF('Document Workflow'!A841&lt;&gt;"",'Document Workflow'!A841,"")</f>
        <v>#REF!</v>
      </c>
      <c r="B842" s="2" t="s">
        <v>72</v>
      </c>
      <c r="C842" s="3" t="e">
        <f>IF(INDEX('Document Workflow'!M:M,MATCH(A842,'Document Workflow'!A:A,0))&lt;&gt;"",INDEX('Document Workflow'!M:M,MATCH(A842,'Document Workflow'!A:A,0)),"")</f>
        <v>#REF!</v>
      </c>
    </row>
    <row r="843" spans="1:3">
      <c r="A843" s="7" t="e">
        <f>IF('Document Workflow'!A842&lt;&gt;"",'Document Workflow'!A842,"")</f>
        <v>#REF!</v>
      </c>
      <c r="B843" s="2" t="s">
        <v>72</v>
      </c>
      <c r="C843" s="3" t="e">
        <f>IF(INDEX('Document Workflow'!M:M,MATCH(A843,'Document Workflow'!A:A,0))&lt;&gt;"",INDEX('Document Workflow'!M:M,MATCH(A843,'Document Workflow'!A:A,0)),"")</f>
        <v>#REF!</v>
      </c>
    </row>
    <row r="844" spans="1:3">
      <c r="A844" s="7" t="e">
        <f>IF('Document Workflow'!A843&lt;&gt;"",'Document Workflow'!A843,"")</f>
        <v>#REF!</v>
      </c>
      <c r="B844" s="2" t="s">
        <v>72</v>
      </c>
      <c r="C844" s="3" t="e">
        <f>IF(INDEX('Document Workflow'!M:M,MATCH(A844,'Document Workflow'!A:A,0))&lt;&gt;"",INDEX('Document Workflow'!M:M,MATCH(A844,'Document Workflow'!A:A,0)),"")</f>
        <v>#REF!</v>
      </c>
    </row>
    <row r="845" spans="1:3">
      <c r="A845" s="7" t="e">
        <f>IF('Document Workflow'!A844&lt;&gt;"",'Document Workflow'!A844,"")</f>
        <v>#REF!</v>
      </c>
      <c r="B845" s="2" t="s">
        <v>72</v>
      </c>
      <c r="C845" s="3" t="e">
        <f>IF(INDEX('Document Workflow'!M:M,MATCH(A845,'Document Workflow'!A:A,0))&lt;&gt;"",INDEX('Document Workflow'!M:M,MATCH(A845,'Document Workflow'!A:A,0)),"")</f>
        <v>#REF!</v>
      </c>
    </row>
    <row r="846" spans="1:3">
      <c r="A846" s="7" t="e">
        <f>IF('Document Workflow'!A845&lt;&gt;"",'Document Workflow'!A845,"")</f>
        <v>#REF!</v>
      </c>
      <c r="B846" s="2" t="s">
        <v>72</v>
      </c>
      <c r="C846" s="3" t="e">
        <f>IF(INDEX('Document Workflow'!M:M,MATCH(A846,'Document Workflow'!A:A,0))&lt;&gt;"",INDEX('Document Workflow'!M:M,MATCH(A846,'Document Workflow'!A:A,0)),"")</f>
        <v>#REF!</v>
      </c>
    </row>
    <row r="847" spans="1:3">
      <c r="A847" s="7" t="e">
        <f>IF('Document Workflow'!A846&lt;&gt;"",'Document Workflow'!A846,"")</f>
        <v>#REF!</v>
      </c>
      <c r="B847" s="2" t="s">
        <v>72</v>
      </c>
      <c r="C847" s="3" t="e">
        <f>IF(INDEX('Document Workflow'!M:M,MATCH(A847,'Document Workflow'!A:A,0))&lt;&gt;"",INDEX('Document Workflow'!M:M,MATCH(A847,'Document Workflow'!A:A,0)),"")</f>
        <v>#REF!</v>
      </c>
    </row>
    <row r="848" spans="1:3">
      <c r="A848" s="7" t="e">
        <f>IF('Document Workflow'!A847&lt;&gt;"",'Document Workflow'!A847,"")</f>
        <v>#REF!</v>
      </c>
      <c r="B848" s="2" t="s">
        <v>72</v>
      </c>
      <c r="C848" s="3" t="e">
        <f>IF(INDEX('Document Workflow'!M:M,MATCH(A848,'Document Workflow'!A:A,0))&lt;&gt;"",INDEX('Document Workflow'!M:M,MATCH(A848,'Document Workflow'!A:A,0)),"")</f>
        <v>#REF!</v>
      </c>
    </row>
    <row r="849" spans="1:3">
      <c r="A849" s="7" t="e">
        <f>IF('Document Workflow'!A848&lt;&gt;"",'Document Workflow'!A848,"")</f>
        <v>#REF!</v>
      </c>
      <c r="B849" s="2" t="s">
        <v>72</v>
      </c>
      <c r="C849" s="3" t="e">
        <f>IF(INDEX('Document Workflow'!M:M,MATCH(A849,'Document Workflow'!A:A,0))&lt;&gt;"",INDEX('Document Workflow'!M:M,MATCH(A849,'Document Workflow'!A:A,0)),"")</f>
        <v>#REF!</v>
      </c>
    </row>
    <row r="850" spans="1:3">
      <c r="A850" s="7" t="e">
        <f>IF('Document Workflow'!A849&lt;&gt;"",'Document Workflow'!A849,"")</f>
        <v>#REF!</v>
      </c>
      <c r="B850" s="2" t="s">
        <v>72</v>
      </c>
      <c r="C850" s="3" t="e">
        <f>IF(INDEX('Document Workflow'!M:M,MATCH(A850,'Document Workflow'!A:A,0))&lt;&gt;"",INDEX('Document Workflow'!M:M,MATCH(A850,'Document Workflow'!A:A,0)),"")</f>
        <v>#REF!</v>
      </c>
    </row>
    <row r="851" spans="1:3">
      <c r="A851" s="7" t="e">
        <f>IF('Document Workflow'!A850&lt;&gt;"",'Document Workflow'!A850,"")</f>
        <v>#REF!</v>
      </c>
      <c r="B851" s="2" t="s">
        <v>72</v>
      </c>
      <c r="C851" s="3" t="e">
        <f>IF(INDEX('Document Workflow'!M:M,MATCH(A851,'Document Workflow'!A:A,0))&lt;&gt;"",INDEX('Document Workflow'!M:M,MATCH(A851,'Document Workflow'!A:A,0)),"")</f>
        <v>#REF!</v>
      </c>
    </row>
    <row r="852" spans="1:3">
      <c r="A852" s="7" t="e">
        <f>IF('Document Workflow'!A851&lt;&gt;"",'Document Workflow'!A851,"")</f>
        <v>#REF!</v>
      </c>
      <c r="B852" s="2" t="s">
        <v>72</v>
      </c>
      <c r="C852" s="3" t="e">
        <f>IF(INDEX('Document Workflow'!M:M,MATCH(A852,'Document Workflow'!A:A,0))&lt;&gt;"",INDEX('Document Workflow'!M:M,MATCH(A852,'Document Workflow'!A:A,0)),"")</f>
        <v>#REF!</v>
      </c>
    </row>
    <row r="853" spans="1:3">
      <c r="A853" s="7" t="e">
        <f>IF('Document Workflow'!A852&lt;&gt;"",'Document Workflow'!A852,"")</f>
        <v>#REF!</v>
      </c>
      <c r="B853" s="2" t="s">
        <v>72</v>
      </c>
      <c r="C853" s="3" t="e">
        <f>IF(INDEX('Document Workflow'!M:M,MATCH(A853,'Document Workflow'!A:A,0))&lt;&gt;"",INDEX('Document Workflow'!M:M,MATCH(A853,'Document Workflow'!A:A,0)),"")</f>
        <v>#REF!</v>
      </c>
    </row>
    <row r="854" spans="1:3">
      <c r="A854" s="7" t="e">
        <f>IF('Document Workflow'!A853&lt;&gt;"",'Document Workflow'!A853,"")</f>
        <v>#REF!</v>
      </c>
      <c r="B854" s="2" t="s">
        <v>72</v>
      </c>
      <c r="C854" s="3" t="e">
        <f>IF(INDEX('Document Workflow'!M:M,MATCH(A854,'Document Workflow'!A:A,0))&lt;&gt;"",INDEX('Document Workflow'!M:M,MATCH(A854,'Document Workflow'!A:A,0)),"")</f>
        <v>#REF!</v>
      </c>
    </row>
    <row r="855" spans="1:3">
      <c r="A855" s="7" t="e">
        <f>IF('Document Workflow'!A854&lt;&gt;"",'Document Workflow'!A854,"")</f>
        <v>#REF!</v>
      </c>
      <c r="B855" s="2" t="s">
        <v>72</v>
      </c>
      <c r="C855" s="3" t="e">
        <f>IF(INDEX('Document Workflow'!M:M,MATCH(A855,'Document Workflow'!A:A,0))&lt;&gt;"",INDEX('Document Workflow'!M:M,MATCH(A855,'Document Workflow'!A:A,0)),"")</f>
        <v>#REF!</v>
      </c>
    </row>
    <row r="856" spans="1:3">
      <c r="A856" s="7" t="e">
        <f>IF('Document Workflow'!A855&lt;&gt;"",'Document Workflow'!A855,"")</f>
        <v>#REF!</v>
      </c>
      <c r="B856" s="2" t="s">
        <v>72</v>
      </c>
      <c r="C856" s="3" t="e">
        <f>IF(INDEX('Document Workflow'!M:M,MATCH(A856,'Document Workflow'!A:A,0))&lt;&gt;"",INDEX('Document Workflow'!M:M,MATCH(A856,'Document Workflow'!A:A,0)),"")</f>
        <v>#REF!</v>
      </c>
    </row>
    <row r="857" spans="1:3">
      <c r="A857" s="7" t="e">
        <f>IF('Document Workflow'!A856&lt;&gt;"",'Document Workflow'!A856,"")</f>
        <v>#REF!</v>
      </c>
      <c r="B857" s="2" t="s">
        <v>72</v>
      </c>
      <c r="C857" s="3" t="e">
        <f>IF(INDEX('Document Workflow'!M:M,MATCH(A857,'Document Workflow'!A:A,0))&lt;&gt;"",INDEX('Document Workflow'!M:M,MATCH(A857,'Document Workflow'!A:A,0)),"")</f>
        <v>#REF!</v>
      </c>
    </row>
    <row r="858" spans="1:3">
      <c r="A858" s="7" t="e">
        <f>IF('Document Workflow'!A857&lt;&gt;"",'Document Workflow'!A857,"")</f>
        <v>#REF!</v>
      </c>
      <c r="B858" s="2" t="s">
        <v>72</v>
      </c>
      <c r="C858" s="3" t="e">
        <f>IF(INDEX('Document Workflow'!M:M,MATCH(A858,'Document Workflow'!A:A,0))&lt;&gt;"",INDEX('Document Workflow'!M:M,MATCH(A858,'Document Workflow'!A:A,0)),"")</f>
        <v>#REF!</v>
      </c>
    </row>
    <row r="859" spans="1:3">
      <c r="A859" s="7" t="e">
        <f>IF('Document Workflow'!A858&lt;&gt;"",'Document Workflow'!A858,"")</f>
        <v>#REF!</v>
      </c>
      <c r="B859" s="2" t="s">
        <v>72</v>
      </c>
      <c r="C859" s="3" t="e">
        <f>IF(INDEX('Document Workflow'!M:M,MATCH(A859,'Document Workflow'!A:A,0))&lt;&gt;"",INDEX('Document Workflow'!M:M,MATCH(A859,'Document Workflow'!A:A,0)),"")</f>
        <v>#REF!</v>
      </c>
    </row>
    <row r="860" spans="1:3">
      <c r="A860" s="7" t="e">
        <f>IF('Document Workflow'!A859&lt;&gt;"",'Document Workflow'!A859,"")</f>
        <v>#REF!</v>
      </c>
      <c r="B860" s="2" t="s">
        <v>72</v>
      </c>
      <c r="C860" s="3" t="e">
        <f>IF(INDEX('Document Workflow'!M:M,MATCH(A860,'Document Workflow'!A:A,0))&lt;&gt;"",INDEX('Document Workflow'!M:M,MATCH(A860,'Document Workflow'!A:A,0)),"")</f>
        <v>#REF!</v>
      </c>
    </row>
    <row r="861" spans="1:3">
      <c r="A861" s="7" t="e">
        <f>IF('Document Workflow'!A860&lt;&gt;"",'Document Workflow'!A860,"")</f>
        <v>#REF!</v>
      </c>
      <c r="B861" s="2" t="s">
        <v>72</v>
      </c>
      <c r="C861" s="3" t="e">
        <f>IF(INDEX('Document Workflow'!M:M,MATCH(A861,'Document Workflow'!A:A,0))&lt;&gt;"",INDEX('Document Workflow'!M:M,MATCH(A861,'Document Workflow'!A:A,0)),"")</f>
        <v>#REF!</v>
      </c>
    </row>
    <row r="862" spans="1:3">
      <c r="A862" s="7" t="e">
        <f>IF('Document Workflow'!A861&lt;&gt;"",'Document Workflow'!A861,"")</f>
        <v>#REF!</v>
      </c>
      <c r="B862" s="2" t="s">
        <v>72</v>
      </c>
      <c r="C862" s="3" t="e">
        <f>IF(INDEX('Document Workflow'!M:M,MATCH(A862,'Document Workflow'!A:A,0))&lt;&gt;"",INDEX('Document Workflow'!M:M,MATCH(A862,'Document Workflow'!A:A,0)),"")</f>
        <v>#REF!</v>
      </c>
    </row>
    <row r="863" spans="1:3">
      <c r="A863" s="7" t="e">
        <f>IF('Document Workflow'!A862&lt;&gt;"",'Document Workflow'!A862,"")</f>
        <v>#REF!</v>
      </c>
      <c r="B863" s="2" t="s">
        <v>72</v>
      </c>
      <c r="C863" s="3" t="e">
        <f>IF(INDEX('Document Workflow'!M:M,MATCH(A863,'Document Workflow'!A:A,0))&lt;&gt;"",INDEX('Document Workflow'!M:M,MATCH(A863,'Document Workflow'!A:A,0)),"")</f>
        <v>#REF!</v>
      </c>
    </row>
    <row r="864" spans="1:3">
      <c r="A864" s="7" t="e">
        <f>IF('Document Workflow'!A863&lt;&gt;"",'Document Workflow'!A863,"")</f>
        <v>#REF!</v>
      </c>
      <c r="B864" s="2" t="s">
        <v>72</v>
      </c>
      <c r="C864" s="3" t="e">
        <f>IF(INDEX('Document Workflow'!M:M,MATCH(A864,'Document Workflow'!A:A,0))&lt;&gt;"",INDEX('Document Workflow'!M:M,MATCH(A864,'Document Workflow'!A:A,0)),"")</f>
        <v>#REF!</v>
      </c>
    </row>
    <row r="865" spans="1:3">
      <c r="A865" s="7" t="e">
        <f>IF('Document Workflow'!A864&lt;&gt;"",'Document Workflow'!A864,"")</f>
        <v>#REF!</v>
      </c>
      <c r="B865" s="2" t="s">
        <v>72</v>
      </c>
      <c r="C865" s="3" t="e">
        <f>IF(INDEX('Document Workflow'!M:M,MATCH(A865,'Document Workflow'!A:A,0))&lt;&gt;"",INDEX('Document Workflow'!M:M,MATCH(A865,'Document Workflow'!A:A,0)),"")</f>
        <v>#REF!</v>
      </c>
    </row>
    <row r="866" spans="1:3">
      <c r="A866" s="7" t="e">
        <f>IF('Document Workflow'!A865&lt;&gt;"",'Document Workflow'!A865,"")</f>
        <v>#REF!</v>
      </c>
      <c r="B866" s="2" t="s">
        <v>72</v>
      </c>
      <c r="C866" s="3" t="e">
        <f>IF(INDEX('Document Workflow'!M:M,MATCH(A866,'Document Workflow'!A:A,0))&lt;&gt;"",INDEX('Document Workflow'!M:M,MATCH(A866,'Document Workflow'!A:A,0)),"")</f>
        <v>#REF!</v>
      </c>
    </row>
    <row r="867" spans="1:3">
      <c r="A867" s="7" t="e">
        <f>IF('Document Workflow'!A866&lt;&gt;"",'Document Workflow'!A866,"")</f>
        <v>#REF!</v>
      </c>
      <c r="B867" s="2" t="s">
        <v>72</v>
      </c>
      <c r="C867" s="3" t="e">
        <f>IF(INDEX('Document Workflow'!M:M,MATCH(A867,'Document Workflow'!A:A,0))&lt;&gt;"",INDEX('Document Workflow'!M:M,MATCH(A867,'Document Workflow'!A:A,0)),"")</f>
        <v>#REF!</v>
      </c>
    </row>
    <row r="868" spans="1:3">
      <c r="A868" s="7" t="e">
        <f>IF('Document Workflow'!A867&lt;&gt;"",'Document Workflow'!A867,"")</f>
        <v>#REF!</v>
      </c>
      <c r="B868" s="2" t="s">
        <v>72</v>
      </c>
      <c r="C868" s="3" t="e">
        <f>IF(INDEX('Document Workflow'!M:M,MATCH(A868,'Document Workflow'!A:A,0))&lt;&gt;"",INDEX('Document Workflow'!M:M,MATCH(A868,'Document Workflow'!A:A,0)),"")</f>
        <v>#REF!</v>
      </c>
    </row>
    <row r="869" spans="1:3">
      <c r="A869" s="7" t="e">
        <f>IF('Document Workflow'!A868&lt;&gt;"",'Document Workflow'!A868,"")</f>
        <v>#REF!</v>
      </c>
      <c r="B869" s="2" t="s">
        <v>72</v>
      </c>
      <c r="C869" s="3" t="e">
        <f>IF(INDEX('Document Workflow'!M:M,MATCH(A869,'Document Workflow'!A:A,0))&lt;&gt;"",INDEX('Document Workflow'!M:M,MATCH(A869,'Document Workflow'!A:A,0)),"")</f>
        <v>#REF!</v>
      </c>
    </row>
    <row r="870" spans="1:3">
      <c r="A870" s="7" t="e">
        <f>IF('Document Workflow'!A869&lt;&gt;"",'Document Workflow'!A869,"")</f>
        <v>#REF!</v>
      </c>
      <c r="B870" s="2" t="s">
        <v>72</v>
      </c>
      <c r="C870" s="3" t="e">
        <f>IF(INDEX('Document Workflow'!M:M,MATCH(A870,'Document Workflow'!A:A,0))&lt;&gt;"",INDEX('Document Workflow'!M:M,MATCH(A870,'Document Workflow'!A:A,0)),"")</f>
        <v>#REF!</v>
      </c>
    </row>
    <row r="871" spans="1:3">
      <c r="A871" s="7" t="e">
        <f>IF('Document Workflow'!A870&lt;&gt;"",'Document Workflow'!A870,"")</f>
        <v>#REF!</v>
      </c>
      <c r="B871" s="2" t="s">
        <v>72</v>
      </c>
      <c r="C871" s="3" t="e">
        <f>IF(INDEX('Document Workflow'!M:M,MATCH(A871,'Document Workflow'!A:A,0))&lt;&gt;"",INDEX('Document Workflow'!M:M,MATCH(A871,'Document Workflow'!A:A,0)),"")</f>
        <v>#REF!</v>
      </c>
    </row>
    <row r="872" spans="1:3">
      <c r="A872" s="7" t="e">
        <f>IF('Document Workflow'!A871&lt;&gt;"",'Document Workflow'!A871,"")</f>
        <v>#REF!</v>
      </c>
      <c r="B872" s="2" t="s">
        <v>72</v>
      </c>
      <c r="C872" s="3" t="e">
        <f>IF(INDEX('Document Workflow'!M:M,MATCH(A872,'Document Workflow'!A:A,0))&lt;&gt;"",INDEX('Document Workflow'!M:M,MATCH(A872,'Document Workflow'!A:A,0)),"")</f>
        <v>#REF!</v>
      </c>
    </row>
    <row r="873" spans="1:3">
      <c r="A873" s="7" t="e">
        <f>IF('Document Workflow'!A872&lt;&gt;"",'Document Workflow'!A872,"")</f>
        <v>#REF!</v>
      </c>
      <c r="B873" s="2" t="s">
        <v>72</v>
      </c>
      <c r="C873" s="3" t="e">
        <f>IF(INDEX('Document Workflow'!M:M,MATCH(A873,'Document Workflow'!A:A,0))&lt;&gt;"",INDEX('Document Workflow'!M:M,MATCH(A873,'Document Workflow'!A:A,0)),"")</f>
        <v>#REF!</v>
      </c>
    </row>
    <row r="874" spans="1:3">
      <c r="A874" s="7" t="e">
        <f>IF('Document Workflow'!A873&lt;&gt;"",'Document Workflow'!A873,"")</f>
        <v>#REF!</v>
      </c>
      <c r="B874" s="2" t="s">
        <v>72</v>
      </c>
      <c r="C874" s="3" t="e">
        <f>IF(INDEX('Document Workflow'!M:M,MATCH(A874,'Document Workflow'!A:A,0))&lt;&gt;"",INDEX('Document Workflow'!M:M,MATCH(A874,'Document Workflow'!A:A,0)),"")</f>
        <v>#REF!</v>
      </c>
    </row>
    <row r="875" spans="1:3">
      <c r="A875" s="7" t="e">
        <f>IF('Document Workflow'!A874&lt;&gt;"",'Document Workflow'!A874,"")</f>
        <v>#REF!</v>
      </c>
      <c r="B875" s="2" t="s">
        <v>72</v>
      </c>
      <c r="C875" s="3" t="e">
        <f>IF(INDEX('Document Workflow'!M:M,MATCH(A875,'Document Workflow'!A:A,0))&lt;&gt;"",INDEX('Document Workflow'!M:M,MATCH(A875,'Document Workflow'!A:A,0)),"")</f>
        <v>#REF!</v>
      </c>
    </row>
    <row r="876" spans="1:3">
      <c r="A876" s="7" t="e">
        <f>IF('Document Workflow'!A875&lt;&gt;"",'Document Workflow'!A875,"")</f>
        <v>#REF!</v>
      </c>
      <c r="B876" s="2" t="s">
        <v>72</v>
      </c>
      <c r="C876" s="3" t="e">
        <f>IF(INDEX('Document Workflow'!M:M,MATCH(A876,'Document Workflow'!A:A,0))&lt;&gt;"",INDEX('Document Workflow'!M:M,MATCH(A876,'Document Workflow'!A:A,0)),"")</f>
        <v>#REF!</v>
      </c>
    </row>
    <row r="877" spans="1:3">
      <c r="A877" s="7" t="e">
        <f>IF('Document Workflow'!A876&lt;&gt;"",'Document Workflow'!A876,"")</f>
        <v>#REF!</v>
      </c>
      <c r="B877" s="2" t="s">
        <v>72</v>
      </c>
      <c r="C877" s="3" t="e">
        <f>IF(INDEX('Document Workflow'!M:M,MATCH(A877,'Document Workflow'!A:A,0))&lt;&gt;"",INDEX('Document Workflow'!M:M,MATCH(A877,'Document Workflow'!A:A,0)),"")</f>
        <v>#REF!</v>
      </c>
    </row>
    <row r="878" spans="1:3">
      <c r="A878" s="7" t="e">
        <f>IF('Document Workflow'!A877&lt;&gt;"",'Document Workflow'!A877,"")</f>
        <v>#REF!</v>
      </c>
      <c r="B878" s="2" t="s">
        <v>72</v>
      </c>
      <c r="C878" s="3" t="e">
        <f>IF(INDEX('Document Workflow'!M:M,MATCH(A878,'Document Workflow'!A:A,0))&lt;&gt;"",INDEX('Document Workflow'!M:M,MATCH(A878,'Document Workflow'!A:A,0)),"")</f>
        <v>#REF!</v>
      </c>
    </row>
    <row r="879" spans="1:3">
      <c r="A879" s="7" t="e">
        <f>IF('Document Workflow'!A878&lt;&gt;"",'Document Workflow'!A878,"")</f>
        <v>#REF!</v>
      </c>
      <c r="B879" s="2" t="s">
        <v>72</v>
      </c>
      <c r="C879" s="3" t="e">
        <f>IF(INDEX('Document Workflow'!M:M,MATCH(A879,'Document Workflow'!A:A,0))&lt;&gt;"",INDEX('Document Workflow'!M:M,MATCH(A879,'Document Workflow'!A:A,0)),"")</f>
        <v>#REF!</v>
      </c>
    </row>
    <row r="880" spans="1:3">
      <c r="A880" s="7" t="e">
        <f>IF('Document Workflow'!A879&lt;&gt;"",'Document Workflow'!A879,"")</f>
        <v>#REF!</v>
      </c>
      <c r="B880" s="2" t="s">
        <v>72</v>
      </c>
      <c r="C880" s="3" t="e">
        <f>IF(INDEX('Document Workflow'!M:M,MATCH(A880,'Document Workflow'!A:A,0))&lt;&gt;"",INDEX('Document Workflow'!M:M,MATCH(A880,'Document Workflow'!A:A,0)),"")</f>
        <v>#REF!</v>
      </c>
    </row>
    <row r="881" spans="1:3">
      <c r="A881" s="7" t="e">
        <f>IF('Document Workflow'!A880&lt;&gt;"",'Document Workflow'!A880,"")</f>
        <v>#REF!</v>
      </c>
      <c r="B881" s="2" t="s">
        <v>72</v>
      </c>
      <c r="C881" s="3" t="e">
        <f>IF(INDEX('Document Workflow'!M:M,MATCH(A881,'Document Workflow'!A:A,0))&lt;&gt;"",INDEX('Document Workflow'!M:M,MATCH(A881,'Document Workflow'!A:A,0)),"")</f>
        <v>#REF!</v>
      </c>
    </row>
    <row r="882" spans="1:3">
      <c r="A882" s="7" t="e">
        <f>IF('Document Workflow'!A881&lt;&gt;"",'Document Workflow'!A881,"")</f>
        <v>#REF!</v>
      </c>
      <c r="B882" s="2" t="s">
        <v>72</v>
      </c>
      <c r="C882" s="3" t="e">
        <f>IF(INDEX('Document Workflow'!M:M,MATCH(A882,'Document Workflow'!A:A,0))&lt;&gt;"",INDEX('Document Workflow'!M:M,MATCH(A882,'Document Workflow'!A:A,0)),"")</f>
        <v>#REF!</v>
      </c>
    </row>
    <row r="883" spans="1:3">
      <c r="A883" s="7" t="e">
        <f>IF('Document Workflow'!A882&lt;&gt;"",'Document Workflow'!A882,"")</f>
        <v>#REF!</v>
      </c>
      <c r="B883" s="2" t="s">
        <v>72</v>
      </c>
      <c r="C883" s="3" t="e">
        <f>IF(INDEX('Document Workflow'!M:M,MATCH(A883,'Document Workflow'!A:A,0))&lt;&gt;"",INDEX('Document Workflow'!M:M,MATCH(A883,'Document Workflow'!A:A,0)),"")</f>
        <v>#REF!</v>
      </c>
    </row>
    <row r="884" spans="1:3">
      <c r="A884" s="7" t="e">
        <f>IF('Document Workflow'!A883&lt;&gt;"",'Document Workflow'!A883,"")</f>
        <v>#REF!</v>
      </c>
      <c r="B884" s="2" t="s">
        <v>72</v>
      </c>
      <c r="C884" s="3" t="e">
        <f>IF(INDEX('Document Workflow'!M:M,MATCH(A884,'Document Workflow'!A:A,0))&lt;&gt;"",INDEX('Document Workflow'!M:M,MATCH(A884,'Document Workflow'!A:A,0)),"")</f>
        <v>#REF!</v>
      </c>
    </row>
    <row r="885" spans="1:3">
      <c r="A885" s="7" t="e">
        <f>IF('Document Workflow'!A884&lt;&gt;"",'Document Workflow'!A884,"")</f>
        <v>#REF!</v>
      </c>
      <c r="B885" s="2" t="s">
        <v>72</v>
      </c>
      <c r="C885" s="3" t="e">
        <f>IF(INDEX('Document Workflow'!M:M,MATCH(A885,'Document Workflow'!A:A,0))&lt;&gt;"",INDEX('Document Workflow'!M:M,MATCH(A885,'Document Workflow'!A:A,0)),"")</f>
        <v>#REF!</v>
      </c>
    </row>
    <row r="886" spans="1:3">
      <c r="A886" s="7" t="e">
        <f>IF('Document Workflow'!A885&lt;&gt;"",'Document Workflow'!A885,"")</f>
        <v>#REF!</v>
      </c>
      <c r="B886" s="2" t="s">
        <v>72</v>
      </c>
      <c r="C886" s="3" t="e">
        <f>IF(INDEX('Document Workflow'!M:M,MATCH(A886,'Document Workflow'!A:A,0))&lt;&gt;"",INDEX('Document Workflow'!M:M,MATCH(A886,'Document Workflow'!A:A,0)),"")</f>
        <v>#REF!</v>
      </c>
    </row>
    <row r="887" spans="1:3">
      <c r="A887" s="7" t="e">
        <f>IF('Document Workflow'!A886&lt;&gt;"",'Document Workflow'!A886,"")</f>
        <v>#REF!</v>
      </c>
      <c r="B887" s="2" t="s">
        <v>72</v>
      </c>
      <c r="C887" s="3" t="e">
        <f>IF(INDEX('Document Workflow'!M:M,MATCH(A887,'Document Workflow'!A:A,0))&lt;&gt;"",INDEX('Document Workflow'!M:M,MATCH(A887,'Document Workflow'!A:A,0)),"")</f>
        <v>#REF!</v>
      </c>
    </row>
    <row r="888" spans="1:3">
      <c r="A888" s="7" t="e">
        <f>IF('Document Workflow'!A887&lt;&gt;"",'Document Workflow'!A887,"")</f>
        <v>#REF!</v>
      </c>
      <c r="B888" s="2" t="s">
        <v>72</v>
      </c>
      <c r="C888" s="3" t="e">
        <f>IF(INDEX('Document Workflow'!M:M,MATCH(A888,'Document Workflow'!A:A,0))&lt;&gt;"",INDEX('Document Workflow'!M:M,MATCH(A888,'Document Workflow'!A:A,0)),"")</f>
        <v>#REF!</v>
      </c>
    </row>
    <row r="889" spans="1:3">
      <c r="A889" s="7" t="e">
        <f>IF('Document Workflow'!A888&lt;&gt;"",'Document Workflow'!A888,"")</f>
        <v>#REF!</v>
      </c>
      <c r="B889" s="2" t="s">
        <v>72</v>
      </c>
      <c r="C889" s="3" t="e">
        <f>IF(INDEX('Document Workflow'!M:M,MATCH(A889,'Document Workflow'!A:A,0))&lt;&gt;"",INDEX('Document Workflow'!M:M,MATCH(A889,'Document Workflow'!A:A,0)),"")</f>
        <v>#REF!</v>
      </c>
    </row>
    <row r="890" spans="1:3">
      <c r="A890" s="7" t="e">
        <f>IF('Document Workflow'!A889&lt;&gt;"",'Document Workflow'!A889,"")</f>
        <v>#REF!</v>
      </c>
      <c r="B890" s="2" t="s">
        <v>72</v>
      </c>
      <c r="C890" s="3" t="e">
        <f>IF(INDEX('Document Workflow'!M:M,MATCH(A890,'Document Workflow'!A:A,0))&lt;&gt;"",INDEX('Document Workflow'!M:M,MATCH(A890,'Document Workflow'!A:A,0)),"")</f>
        <v>#REF!</v>
      </c>
    </row>
    <row r="891" spans="1:3">
      <c r="A891" s="7" t="e">
        <f>IF('Document Workflow'!A890&lt;&gt;"",'Document Workflow'!A890,"")</f>
        <v>#REF!</v>
      </c>
      <c r="B891" s="2" t="s">
        <v>72</v>
      </c>
      <c r="C891" s="3" t="e">
        <f>IF(INDEX('Document Workflow'!M:M,MATCH(A891,'Document Workflow'!A:A,0))&lt;&gt;"",INDEX('Document Workflow'!M:M,MATCH(A891,'Document Workflow'!A:A,0)),"")</f>
        <v>#REF!</v>
      </c>
    </row>
    <row r="892" spans="1:3">
      <c r="A892" s="7" t="e">
        <f>IF('Document Workflow'!A891&lt;&gt;"",'Document Workflow'!A891,"")</f>
        <v>#REF!</v>
      </c>
      <c r="B892" s="2" t="s">
        <v>72</v>
      </c>
      <c r="C892" s="3" t="e">
        <f>IF(INDEX('Document Workflow'!M:M,MATCH(A892,'Document Workflow'!A:A,0))&lt;&gt;"",INDEX('Document Workflow'!M:M,MATCH(A892,'Document Workflow'!A:A,0)),"")</f>
        <v>#REF!</v>
      </c>
    </row>
    <row r="893" spans="1:3">
      <c r="A893" s="7" t="e">
        <f>IF('Document Workflow'!A892&lt;&gt;"",'Document Workflow'!A892,"")</f>
        <v>#REF!</v>
      </c>
      <c r="B893" s="2" t="s">
        <v>72</v>
      </c>
      <c r="C893" s="3" t="e">
        <f>IF(INDEX('Document Workflow'!M:M,MATCH(A893,'Document Workflow'!A:A,0))&lt;&gt;"",INDEX('Document Workflow'!M:M,MATCH(A893,'Document Workflow'!A:A,0)),"")</f>
        <v>#REF!</v>
      </c>
    </row>
    <row r="894" spans="1:3">
      <c r="A894" s="7" t="e">
        <f>IF('Document Workflow'!A893&lt;&gt;"",'Document Workflow'!A893,"")</f>
        <v>#REF!</v>
      </c>
      <c r="B894" s="2" t="s">
        <v>72</v>
      </c>
      <c r="C894" s="3" t="e">
        <f>IF(INDEX('Document Workflow'!M:M,MATCH(A894,'Document Workflow'!A:A,0))&lt;&gt;"",INDEX('Document Workflow'!M:M,MATCH(A894,'Document Workflow'!A:A,0)),"")</f>
        <v>#REF!</v>
      </c>
    </row>
    <row r="895" spans="1:3">
      <c r="A895" s="7" t="e">
        <f>IF('Document Workflow'!A894&lt;&gt;"",'Document Workflow'!A894,"")</f>
        <v>#REF!</v>
      </c>
      <c r="B895" s="2" t="s">
        <v>72</v>
      </c>
      <c r="C895" s="3" t="e">
        <f>IF(INDEX('Document Workflow'!M:M,MATCH(A895,'Document Workflow'!A:A,0))&lt;&gt;"",INDEX('Document Workflow'!M:M,MATCH(A895,'Document Workflow'!A:A,0)),"")</f>
        <v>#REF!</v>
      </c>
    </row>
    <row r="896" spans="1:3">
      <c r="A896" s="7" t="e">
        <f>IF('Document Workflow'!A895&lt;&gt;"",'Document Workflow'!A895,"")</f>
        <v>#REF!</v>
      </c>
      <c r="B896" s="2" t="s">
        <v>72</v>
      </c>
      <c r="C896" s="3" t="e">
        <f>IF(INDEX('Document Workflow'!M:M,MATCH(A896,'Document Workflow'!A:A,0))&lt;&gt;"",INDEX('Document Workflow'!M:M,MATCH(A896,'Document Workflow'!A:A,0)),"")</f>
        <v>#REF!</v>
      </c>
    </row>
    <row r="897" spans="1:3">
      <c r="A897" s="7" t="e">
        <f>IF('Document Workflow'!A896&lt;&gt;"",'Document Workflow'!A896,"")</f>
        <v>#REF!</v>
      </c>
      <c r="B897" s="2" t="s">
        <v>72</v>
      </c>
      <c r="C897" s="3" t="e">
        <f>IF(INDEX('Document Workflow'!M:M,MATCH(A897,'Document Workflow'!A:A,0))&lt;&gt;"",INDEX('Document Workflow'!M:M,MATCH(A897,'Document Workflow'!A:A,0)),"")</f>
        <v>#REF!</v>
      </c>
    </row>
    <row r="898" spans="1:3">
      <c r="A898" s="7" t="e">
        <f>IF('Document Workflow'!A897&lt;&gt;"",'Document Workflow'!A897,"")</f>
        <v>#REF!</v>
      </c>
      <c r="B898" s="2" t="s">
        <v>72</v>
      </c>
      <c r="C898" s="3" t="e">
        <f>IF(INDEX('Document Workflow'!M:M,MATCH(A898,'Document Workflow'!A:A,0))&lt;&gt;"",INDEX('Document Workflow'!M:M,MATCH(A898,'Document Workflow'!A:A,0)),"")</f>
        <v>#REF!</v>
      </c>
    </row>
    <row r="899" spans="1:3">
      <c r="A899" s="7" t="e">
        <f>IF('Document Workflow'!A898&lt;&gt;"",'Document Workflow'!A898,"")</f>
        <v>#REF!</v>
      </c>
      <c r="B899" s="2" t="s">
        <v>72</v>
      </c>
      <c r="C899" s="3" t="e">
        <f>IF(INDEX('Document Workflow'!M:M,MATCH(A899,'Document Workflow'!A:A,0))&lt;&gt;"",INDEX('Document Workflow'!M:M,MATCH(A899,'Document Workflow'!A:A,0)),"")</f>
        <v>#REF!</v>
      </c>
    </row>
    <row r="900" spans="1:3">
      <c r="A900" s="7" t="e">
        <f>IF('Document Workflow'!A899&lt;&gt;"",'Document Workflow'!A899,"")</f>
        <v>#REF!</v>
      </c>
      <c r="B900" s="2" t="s">
        <v>72</v>
      </c>
      <c r="C900" s="3" t="e">
        <f>IF(INDEX('Document Workflow'!M:M,MATCH(A900,'Document Workflow'!A:A,0))&lt;&gt;"",INDEX('Document Workflow'!M:M,MATCH(A900,'Document Workflow'!A:A,0)),"")</f>
        <v>#REF!</v>
      </c>
    </row>
    <row r="901" spans="1:3">
      <c r="A901" s="7" t="e">
        <f>IF('Document Workflow'!A900&lt;&gt;"",'Document Workflow'!A900,"")</f>
        <v>#REF!</v>
      </c>
      <c r="B901" s="2" t="s">
        <v>72</v>
      </c>
      <c r="C901" s="3" t="e">
        <f>IF(INDEX('Document Workflow'!M:M,MATCH(A901,'Document Workflow'!A:A,0))&lt;&gt;"",INDEX('Document Workflow'!M:M,MATCH(A901,'Document Workflow'!A:A,0)),"")</f>
        <v>#REF!</v>
      </c>
    </row>
    <row r="902" spans="1:3">
      <c r="A902" s="7" t="e">
        <f>IF('Document Workflow'!A901&lt;&gt;"",'Document Workflow'!A901,"")</f>
        <v>#REF!</v>
      </c>
      <c r="B902" s="2" t="s">
        <v>72</v>
      </c>
      <c r="C902" s="3" t="e">
        <f>IF(INDEX('Document Workflow'!M:M,MATCH(A902,'Document Workflow'!A:A,0))&lt;&gt;"",INDEX('Document Workflow'!M:M,MATCH(A902,'Document Workflow'!A:A,0)),"")</f>
        <v>#REF!</v>
      </c>
    </row>
    <row r="903" spans="1:3">
      <c r="A903" s="7" t="e">
        <f>IF('Document Workflow'!A902&lt;&gt;"",'Document Workflow'!A902,"")</f>
        <v>#REF!</v>
      </c>
      <c r="B903" s="2" t="s">
        <v>72</v>
      </c>
      <c r="C903" s="3" t="e">
        <f>IF(INDEX('Document Workflow'!M:M,MATCH(A903,'Document Workflow'!A:A,0))&lt;&gt;"",INDEX('Document Workflow'!M:M,MATCH(A903,'Document Workflow'!A:A,0)),"")</f>
        <v>#REF!</v>
      </c>
    </row>
    <row r="904" spans="1:3">
      <c r="A904" s="7" t="e">
        <f>IF('Document Workflow'!A903&lt;&gt;"",'Document Workflow'!A903,"")</f>
        <v>#REF!</v>
      </c>
      <c r="B904" s="2" t="s">
        <v>72</v>
      </c>
      <c r="C904" s="3" t="e">
        <f>IF(INDEX('Document Workflow'!M:M,MATCH(A904,'Document Workflow'!A:A,0))&lt;&gt;"",INDEX('Document Workflow'!M:M,MATCH(A904,'Document Workflow'!A:A,0)),"")</f>
        <v>#REF!</v>
      </c>
    </row>
    <row r="905" spans="1:3">
      <c r="A905" s="7" t="e">
        <f>IF('Document Workflow'!A904&lt;&gt;"",'Document Workflow'!A904,"")</f>
        <v>#REF!</v>
      </c>
      <c r="B905" s="2" t="s">
        <v>72</v>
      </c>
      <c r="C905" s="3" t="e">
        <f>IF(INDEX('Document Workflow'!M:M,MATCH(A905,'Document Workflow'!A:A,0))&lt;&gt;"",INDEX('Document Workflow'!M:M,MATCH(A905,'Document Workflow'!A:A,0)),"")</f>
        <v>#REF!</v>
      </c>
    </row>
    <row r="906" spans="1:3">
      <c r="A906" s="7" t="e">
        <f>IF('Document Workflow'!A905&lt;&gt;"",'Document Workflow'!A905,"")</f>
        <v>#REF!</v>
      </c>
      <c r="B906" s="2" t="s">
        <v>72</v>
      </c>
      <c r="C906" s="3" t="e">
        <f>IF(INDEX('Document Workflow'!M:M,MATCH(A906,'Document Workflow'!A:A,0))&lt;&gt;"",INDEX('Document Workflow'!M:M,MATCH(A906,'Document Workflow'!A:A,0)),"")</f>
        <v>#REF!</v>
      </c>
    </row>
    <row r="907" spans="1:3">
      <c r="A907" s="7" t="e">
        <f>IF('Document Workflow'!A906&lt;&gt;"",'Document Workflow'!A906,"")</f>
        <v>#REF!</v>
      </c>
      <c r="B907" s="2" t="s">
        <v>72</v>
      </c>
      <c r="C907" s="3" t="e">
        <f>IF(INDEX('Document Workflow'!M:M,MATCH(A907,'Document Workflow'!A:A,0))&lt;&gt;"",INDEX('Document Workflow'!M:M,MATCH(A907,'Document Workflow'!A:A,0)),"")</f>
        <v>#REF!</v>
      </c>
    </row>
    <row r="908" spans="1:3">
      <c r="A908" s="7" t="e">
        <f>IF('Document Workflow'!A907&lt;&gt;"",'Document Workflow'!A907,"")</f>
        <v>#REF!</v>
      </c>
      <c r="B908" s="2" t="s">
        <v>72</v>
      </c>
      <c r="C908" s="3" t="e">
        <f>IF(INDEX('Document Workflow'!M:M,MATCH(A908,'Document Workflow'!A:A,0))&lt;&gt;"",INDEX('Document Workflow'!M:M,MATCH(A908,'Document Workflow'!A:A,0)),"")</f>
        <v>#REF!</v>
      </c>
    </row>
    <row r="909" spans="1:3">
      <c r="A909" s="7" t="e">
        <f>IF('Document Workflow'!A908&lt;&gt;"",'Document Workflow'!A908,"")</f>
        <v>#REF!</v>
      </c>
      <c r="B909" s="2" t="s">
        <v>72</v>
      </c>
      <c r="C909" s="3" t="e">
        <f>IF(INDEX('Document Workflow'!M:M,MATCH(A909,'Document Workflow'!A:A,0))&lt;&gt;"",INDEX('Document Workflow'!M:M,MATCH(A909,'Document Workflow'!A:A,0)),"")</f>
        <v>#REF!</v>
      </c>
    </row>
    <row r="910" spans="1:3">
      <c r="A910" s="7" t="e">
        <f>IF('Document Workflow'!A909&lt;&gt;"",'Document Workflow'!A909,"")</f>
        <v>#REF!</v>
      </c>
      <c r="B910" s="2" t="s">
        <v>72</v>
      </c>
      <c r="C910" s="3" t="e">
        <f>IF(INDEX('Document Workflow'!M:M,MATCH(A910,'Document Workflow'!A:A,0))&lt;&gt;"",INDEX('Document Workflow'!M:M,MATCH(A910,'Document Workflow'!A:A,0)),"")</f>
        <v>#REF!</v>
      </c>
    </row>
    <row r="911" spans="1:3">
      <c r="A911" s="7" t="e">
        <f>IF('Document Workflow'!A910&lt;&gt;"",'Document Workflow'!A910,"")</f>
        <v>#REF!</v>
      </c>
      <c r="B911" s="2" t="s">
        <v>72</v>
      </c>
      <c r="C911" s="3" t="e">
        <f>IF(INDEX('Document Workflow'!M:M,MATCH(A911,'Document Workflow'!A:A,0))&lt;&gt;"",INDEX('Document Workflow'!M:M,MATCH(A911,'Document Workflow'!A:A,0)),"")</f>
        <v>#REF!</v>
      </c>
    </row>
    <row r="912" spans="1:3">
      <c r="A912" s="7" t="e">
        <f>IF('Document Workflow'!A911&lt;&gt;"",'Document Workflow'!A911,"")</f>
        <v>#REF!</v>
      </c>
      <c r="B912" s="2" t="s">
        <v>72</v>
      </c>
      <c r="C912" s="3" t="e">
        <f>IF(INDEX('Document Workflow'!M:M,MATCH(A912,'Document Workflow'!A:A,0))&lt;&gt;"",INDEX('Document Workflow'!M:M,MATCH(A912,'Document Workflow'!A:A,0)),"")</f>
        <v>#REF!</v>
      </c>
    </row>
    <row r="913" spans="1:3">
      <c r="A913" s="7" t="e">
        <f>IF('Document Workflow'!A912&lt;&gt;"",'Document Workflow'!A912,"")</f>
        <v>#REF!</v>
      </c>
      <c r="B913" s="2" t="s">
        <v>72</v>
      </c>
      <c r="C913" s="3" t="e">
        <f>IF(INDEX('Document Workflow'!M:M,MATCH(A913,'Document Workflow'!A:A,0))&lt;&gt;"",INDEX('Document Workflow'!M:M,MATCH(A913,'Document Workflow'!A:A,0)),"")</f>
        <v>#REF!</v>
      </c>
    </row>
    <row r="914" spans="1:3">
      <c r="A914" s="7" t="e">
        <f>IF('Document Workflow'!A913&lt;&gt;"",'Document Workflow'!A913,"")</f>
        <v>#REF!</v>
      </c>
      <c r="B914" s="2" t="s">
        <v>72</v>
      </c>
      <c r="C914" s="3" t="e">
        <f>IF(INDEX('Document Workflow'!M:M,MATCH(A914,'Document Workflow'!A:A,0))&lt;&gt;"",INDEX('Document Workflow'!M:M,MATCH(A914,'Document Workflow'!A:A,0)),"")</f>
        <v>#REF!</v>
      </c>
    </row>
    <row r="915" spans="1:3">
      <c r="A915" s="7" t="e">
        <f>IF('Document Workflow'!A914&lt;&gt;"",'Document Workflow'!A914,"")</f>
        <v>#REF!</v>
      </c>
      <c r="B915" s="2" t="s">
        <v>72</v>
      </c>
      <c r="C915" s="3" t="e">
        <f>IF(INDEX('Document Workflow'!M:M,MATCH(A915,'Document Workflow'!A:A,0))&lt;&gt;"",INDEX('Document Workflow'!M:M,MATCH(A915,'Document Workflow'!A:A,0)),"")</f>
        <v>#REF!</v>
      </c>
    </row>
    <row r="916" spans="1:3">
      <c r="A916" s="7" t="e">
        <f>IF('Document Workflow'!A915&lt;&gt;"",'Document Workflow'!A915,"")</f>
        <v>#REF!</v>
      </c>
      <c r="B916" s="2" t="s">
        <v>72</v>
      </c>
      <c r="C916" s="3" t="e">
        <f>IF(INDEX('Document Workflow'!M:M,MATCH(A916,'Document Workflow'!A:A,0))&lt;&gt;"",INDEX('Document Workflow'!M:M,MATCH(A916,'Document Workflow'!A:A,0)),"")</f>
        <v>#REF!</v>
      </c>
    </row>
    <row r="917" spans="1:3">
      <c r="A917" s="7" t="e">
        <f>IF('Document Workflow'!A916&lt;&gt;"",'Document Workflow'!A916,"")</f>
        <v>#REF!</v>
      </c>
      <c r="B917" s="2" t="s">
        <v>72</v>
      </c>
      <c r="C917" s="3" t="e">
        <f>IF(INDEX('Document Workflow'!M:M,MATCH(A917,'Document Workflow'!A:A,0))&lt;&gt;"",INDEX('Document Workflow'!M:M,MATCH(A917,'Document Workflow'!A:A,0)),"")</f>
        <v>#REF!</v>
      </c>
    </row>
    <row r="918" spans="1:3">
      <c r="A918" s="7" t="e">
        <f>IF('Document Workflow'!A917&lt;&gt;"",'Document Workflow'!A917,"")</f>
        <v>#REF!</v>
      </c>
      <c r="B918" s="2" t="s">
        <v>72</v>
      </c>
      <c r="C918" s="3" t="e">
        <f>IF(INDEX('Document Workflow'!M:M,MATCH(A918,'Document Workflow'!A:A,0))&lt;&gt;"",INDEX('Document Workflow'!M:M,MATCH(A918,'Document Workflow'!A:A,0)),"")</f>
        <v>#REF!</v>
      </c>
    </row>
    <row r="919" spans="1:3">
      <c r="A919" s="7" t="e">
        <f>IF('Document Workflow'!A918&lt;&gt;"",'Document Workflow'!A918,"")</f>
        <v>#REF!</v>
      </c>
      <c r="B919" s="2" t="s">
        <v>72</v>
      </c>
      <c r="C919" s="3" t="e">
        <f>IF(INDEX('Document Workflow'!M:M,MATCH(A919,'Document Workflow'!A:A,0))&lt;&gt;"",INDEX('Document Workflow'!M:M,MATCH(A919,'Document Workflow'!A:A,0)),"")</f>
        <v>#REF!</v>
      </c>
    </row>
    <row r="920" spans="1:3">
      <c r="A920" s="7" t="e">
        <f>IF('Document Workflow'!A919&lt;&gt;"",'Document Workflow'!A919,"")</f>
        <v>#REF!</v>
      </c>
      <c r="B920" s="2" t="s">
        <v>72</v>
      </c>
      <c r="C920" s="3" t="e">
        <f>IF(INDEX('Document Workflow'!M:M,MATCH(A920,'Document Workflow'!A:A,0))&lt;&gt;"",INDEX('Document Workflow'!M:M,MATCH(A920,'Document Workflow'!A:A,0)),"")</f>
        <v>#REF!</v>
      </c>
    </row>
    <row r="921" spans="1:3">
      <c r="A921" s="7" t="e">
        <f>IF('Document Workflow'!A920&lt;&gt;"",'Document Workflow'!A920,"")</f>
        <v>#REF!</v>
      </c>
      <c r="B921" s="2" t="s">
        <v>72</v>
      </c>
      <c r="C921" s="3" t="e">
        <f>IF(INDEX('Document Workflow'!M:M,MATCH(A921,'Document Workflow'!A:A,0))&lt;&gt;"",INDEX('Document Workflow'!M:M,MATCH(A921,'Document Workflow'!A:A,0)),"")</f>
        <v>#REF!</v>
      </c>
    </row>
    <row r="922" spans="1:3">
      <c r="A922" s="7" t="e">
        <f>IF('Document Workflow'!A921&lt;&gt;"",'Document Workflow'!A921,"")</f>
        <v>#REF!</v>
      </c>
      <c r="B922" s="2" t="s">
        <v>72</v>
      </c>
      <c r="C922" s="3" t="e">
        <f>IF(INDEX('Document Workflow'!M:M,MATCH(A922,'Document Workflow'!A:A,0))&lt;&gt;"",INDEX('Document Workflow'!M:M,MATCH(A922,'Document Workflow'!A:A,0)),"")</f>
        <v>#REF!</v>
      </c>
    </row>
    <row r="923" spans="1:3">
      <c r="A923" s="7" t="e">
        <f>IF('Document Workflow'!A922&lt;&gt;"",'Document Workflow'!A922,"")</f>
        <v>#REF!</v>
      </c>
      <c r="B923" s="2" t="s">
        <v>72</v>
      </c>
      <c r="C923" s="3" t="e">
        <f>IF(INDEX('Document Workflow'!M:M,MATCH(A923,'Document Workflow'!A:A,0))&lt;&gt;"",INDEX('Document Workflow'!M:M,MATCH(A923,'Document Workflow'!A:A,0)),"")</f>
        <v>#REF!</v>
      </c>
    </row>
    <row r="924" spans="1:3">
      <c r="A924" s="7" t="e">
        <f>IF('Document Workflow'!A923&lt;&gt;"",'Document Workflow'!A923,"")</f>
        <v>#REF!</v>
      </c>
      <c r="B924" s="2" t="s">
        <v>72</v>
      </c>
      <c r="C924" s="3" t="e">
        <f>IF(INDEX('Document Workflow'!M:M,MATCH(A924,'Document Workflow'!A:A,0))&lt;&gt;"",INDEX('Document Workflow'!M:M,MATCH(A924,'Document Workflow'!A:A,0)),"")</f>
        <v>#REF!</v>
      </c>
    </row>
    <row r="925" spans="1:3">
      <c r="A925" s="7" t="e">
        <f>IF('Document Workflow'!A924&lt;&gt;"",'Document Workflow'!A924,"")</f>
        <v>#REF!</v>
      </c>
      <c r="B925" s="2" t="s">
        <v>72</v>
      </c>
      <c r="C925" s="3" t="e">
        <f>IF(INDEX('Document Workflow'!M:M,MATCH(A925,'Document Workflow'!A:A,0))&lt;&gt;"",INDEX('Document Workflow'!M:M,MATCH(A925,'Document Workflow'!A:A,0)),"")</f>
        <v>#REF!</v>
      </c>
    </row>
    <row r="926" spans="1:3">
      <c r="A926" s="7" t="e">
        <f>IF('Document Workflow'!A925&lt;&gt;"",'Document Workflow'!A925,"")</f>
        <v>#REF!</v>
      </c>
      <c r="B926" s="2" t="s">
        <v>72</v>
      </c>
      <c r="C926" s="3" t="e">
        <f>IF(INDEX('Document Workflow'!M:M,MATCH(A926,'Document Workflow'!A:A,0))&lt;&gt;"",INDEX('Document Workflow'!M:M,MATCH(A926,'Document Workflow'!A:A,0)),"")</f>
        <v>#REF!</v>
      </c>
    </row>
    <row r="927" spans="1:3">
      <c r="A927" s="7" t="e">
        <f>IF('Document Workflow'!A926&lt;&gt;"",'Document Workflow'!A926,"")</f>
        <v>#REF!</v>
      </c>
      <c r="B927" s="2" t="s">
        <v>72</v>
      </c>
      <c r="C927" s="3" t="e">
        <f>IF(INDEX('Document Workflow'!M:M,MATCH(A927,'Document Workflow'!A:A,0))&lt;&gt;"",INDEX('Document Workflow'!M:M,MATCH(A927,'Document Workflow'!A:A,0)),"")</f>
        <v>#REF!</v>
      </c>
    </row>
    <row r="928" spans="1:3">
      <c r="A928" s="7" t="e">
        <f>IF('Document Workflow'!A927&lt;&gt;"",'Document Workflow'!A927,"")</f>
        <v>#REF!</v>
      </c>
      <c r="B928" s="2" t="s">
        <v>72</v>
      </c>
      <c r="C928" s="3" t="e">
        <f>IF(INDEX('Document Workflow'!M:M,MATCH(A928,'Document Workflow'!A:A,0))&lt;&gt;"",INDEX('Document Workflow'!M:M,MATCH(A928,'Document Workflow'!A:A,0)),"")</f>
        <v>#REF!</v>
      </c>
    </row>
    <row r="929" spans="1:3">
      <c r="A929" s="7" t="e">
        <f>IF('Document Workflow'!A928&lt;&gt;"",'Document Workflow'!A928,"")</f>
        <v>#REF!</v>
      </c>
      <c r="B929" s="2" t="s">
        <v>72</v>
      </c>
      <c r="C929" s="3" t="e">
        <f>IF(INDEX('Document Workflow'!M:M,MATCH(A929,'Document Workflow'!A:A,0))&lt;&gt;"",INDEX('Document Workflow'!M:M,MATCH(A929,'Document Workflow'!A:A,0)),"")</f>
        <v>#REF!</v>
      </c>
    </row>
    <row r="930" spans="1:3">
      <c r="A930" s="7" t="e">
        <f>IF('Document Workflow'!A929&lt;&gt;"",'Document Workflow'!A929,"")</f>
        <v>#REF!</v>
      </c>
      <c r="B930" s="2" t="s">
        <v>72</v>
      </c>
      <c r="C930" s="3" t="e">
        <f>IF(INDEX('Document Workflow'!M:M,MATCH(A930,'Document Workflow'!A:A,0))&lt;&gt;"",INDEX('Document Workflow'!M:M,MATCH(A930,'Document Workflow'!A:A,0)),"")</f>
        <v>#REF!</v>
      </c>
    </row>
    <row r="931" spans="1:3">
      <c r="A931" s="7" t="e">
        <f>IF('Document Workflow'!A930&lt;&gt;"",'Document Workflow'!A930,"")</f>
        <v>#REF!</v>
      </c>
      <c r="B931" s="2" t="s">
        <v>72</v>
      </c>
      <c r="C931" s="3" t="e">
        <f>IF(INDEX('Document Workflow'!M:M,MATCH(A931,'Document Workflow'!A:A,0))&lt;&gt;"",INDEX('Document Workflow'!M:M,MATCH(A931,'Document Workflow'!A:A,0)),"")</f>
        <v>#REF!</v>
      </c>
    </row>
    <row r="932" spans="1:3">
      <c r="A932" s="7" t="e">
        <f>IF('Document Workflow'!A931&lt;&gt;"",'Document Workflow'!A931,"")</f>
        <v>#REF!</v>
      </c>
      <c r="B932" s="2" t="s">
        <v>72</v>
      </c>
      <c r="C932" s="3" t="e">
        <f>IF(INDEX('Document Workflow'!M:M,MATCH(A932,'Document Workflow'!A:A,0))&lt;&gt;"",INDEX('Document Workflow'!M:M,MATCH(A932,'Document Workflow'!A:A,0)),"")</f>
        <v>#REF!</v>
      </c>
    </row>
    <row r="933" spans="1:3">
      <c r="A933" s="7" t="e">
        <f>IF('Document Workflow'!A932&lt;&gt;"",'Document Workflow'!A932,"")</f>
        <v>#REF!</v>
      </c>
      <c r="B933" s="2" t="s">
        <v>72</v>
      </c>
      <c r="C933" s="3" t="e">
        <f>IF(INDEX('Document Workflow'!M:M,MATCH(A933,'Document Workflow'!A:A,0))&lt;&gt;"",INDEX('Document Workflow'!M:M,MATCH(A933,'Document Workflow'!A:A,0)),"")</f>
        <v>#REF!</v>
      </c>
    </row>
    <row r="934" spans="1:3">
      <c r="A934" s="7" t="e">
        <f>IF('Document Workflow'!A933&lt;&gt;"",'Document Workflow'!A933,"")</f>
        <v>#REF!</v>
      </c>
      <c r="B934" s="2" t="s">
        <v>72</v>
      </c>
      <c r="C934" s="3" t="e">
        <f>IF(INDEX('Document Workflow'!M:M,MATCH(A934,'Document Workflow'!A:A,0))&lt;&gt;"",INDEX('Document Workflow'!M:M,MATCH(A934,'Document Workflow'!A:A,0)),"")</f>
        <v>#REF!</v>
      </c>
    </row>
    <row r="935" spans="1:3">
      <c r="A935" s="7" t="e">
        <f>IF('Document Workflow'!A934&lt;&gt;"",'Document Workflow'!A934,"")</f>
        <v>#REF!</v>
      </c>
      <c r="B935" s="2" t="s">
        <v>72</v>
      </c>
      <c r="C935" s="3" t="e">
        <f>IF(INDEX('Document Workflow'!M:M,MATCH(A935,'Document Workflow'!A:A,0))&lt;&gt;"",INDEX('Document Workflow'!M:M,MATCH(A935,'Document Workflow'!A:A,0)),"")</f>
        <v>#REF!</v>
      </c>
    </row>
    <row r="936" spans="1:3">
      <c r="A936" s="7" t="e">
        <f>IF('Document Workflow'!A935&lt;&gt;"",'Document Workflow'!A935,"")</f>
        <v>#REF!</v>
      </c>
      <c r="B936" s="2" t="s">
        <v>72</v>
      </c>
      <c r="C936" s="3" t="e">
        <f>IF(INDEX('Document Workflow'!M:M,MATCH(A936,'Document Workflow'!A:A,0))&lt;&gt;"",INDEX('Document Workflow'!M:M,MATCH(A936,'Document Workflow'!A:A,0)),"")</f>
        <v>#REF!</v>
      </c>
    </row>
    <row r="937" spans="1:3">
      <c r="A937" s="7" t="e">
        <f>IF('Document Workflow'!A936&lt;&gt;"",'Document Workflow'!A936,"")</f>
        <v>#REF!</v>
      </c>
      <c r="B937" s="2" t="s">
        <v>72</v>
      </c>
      <c r="C937" s="3" t="e">
        <f>IF(INDEX('Document Workflow'!M:M,MATCH(A937,'Document Workflow'!A:A,0))&lt;&gt;"",INDEX('Document Workflow'!M:M,MATCH(A937,'Document Workflow'!A:A,0)),"")</f>
        <v>#REF!</v>
      </c>
    </row>
    <row r="938" spans="1:3">
      <c r="A938" s="7" t="e">
        <f>IF('Document Workflow'!A937&lt;&gt;"",'Document Workflow'!A937,"")</f>
        <v>#REF!</v>
      </c>
      <c r="B938" s="2" t="s">
        <v>72</v>
      </c>
      <c r="C938" s="3" t="e">
        <f>IF(INDEX('Document Workflow'!M:M,MATCH(A938,'Document Workflow'!A:A,0))&lt;&gt;"",INDEX('Document Workflow'!M:M,MATCH(A938,'Document Workflow'!A:A,0)),"")</f>
        <v>#REF!</v>
      </c>
    </row>
    <row r="939" spans="1:3">
      <c r="A939" s="7" t="e">
        <f>IF('Document Workflow'!A938&lt;&gt;"",'Document Workflow'!A938,"")</f>
        <v>#REF!</v>
      </c>
      <c r="B939" s="2" t="s">
        <v>72</v>
      </c>
      <c r="C939" s="3" t="e">
        <f>IF(INDEX('Document Workflow'!M:M,MATCH(A939,'Document Workflow'!A:A,0))&lt;&gt;"",INDEX('Document Workflow'!M:M,MATCH(A939,'Document Workflow'!A:A,0)),"")</f>
        <v>#REF!</v>
      </c>
    </row>
    <row r="940" spans="1:3">
      <c r="A940" s="7" t="e">
        <f>IF('Document Workflow'!A939&lt;&gt;"",'Document Workflow'!A939,"")</f>
        <v>#REF!</v>
      </c>
      <c r="B940" s="2" t="s">
        <v>72</v>
      </c>
      <c r="C940" s="3" t="e">
        <f>IF(INDEX('Document Workflow'!M:M,MATCH(A940,'Document Workflow'!A:A,0))&lt;&gt;"",INDEX('Document Workflow'!M:M,MATCH(A940,'Document Workflow'!A:A,0)),"")</f>
        <v>#REF!</v>
      </c>
    </row>
    <row r="941" spans="1:3">
      <c r="A941" s="7" t="e">
        <f>IF('Document Workflow'!A940&lt;&gt;"",'Document Workflow'!A940,"")</f>
        <v>#REF!</v>
      </c>
      <c r="B941" s="2" t="s">
        <v>72</v>
      </c>
      <c r="C941" s="3" t="e">
        <f>IF(INDEX('Document Workflow'!M:M,MATCH(A941,'Document Workflow'!A:A,0))&lt;&gt;"",INDEX('Document Workflow'!M:M,MATCH(A941,'Document Workflow'!A:A,0)),"")</f>
        <v>#REF!</v>
      </c>
    </row>
    <row r="942" spans="1:3">
      <c r="A942" s="7" t="e">
        <f>IF('Document Workflow'!A941&lt;&gt;"",'Document Workflow'!A941,"")</f>
        <v>#REF!</v>
      </c>
      <c r="B942" s="2" t="s">
        <v>72</v>
      </c>
      <c r="C942" s="3" t="e">
        <f>IF(INDEX('Document Workflow'!M:M,MATCH(A942,'Document Workflow'!A:A,0))&lt;&gt;"",INDEX('Document Workflow'!M:M,MATCH(A942,'Document Workflow'!A:A,0)),"")</f>
        <v>#REF!</v>
      </c>
    </row>
    <row r="943" spans="1:3">
      <c r="A943" s="7" t="e">
        <f>IF('Document Workflow'!A942&lt;&gt;"",'Document Workflow'!A942,"")</f>
        <v>#REF!</v>
      </c>
      <c r="B943" s="2" t="s">
        <v>72</v>
      </c>
      <c r="C943" s="3" t="e">
        <f>IF(INDEX('Document Workflow'!M:M,MATCH(A943,'Document Workflow'!A:A,0))&lt;&gt;"",INDEX('Document Workflow'!M:M,MATCH(A943,'Document Workflow'!A:A,0)),"")</f>
        <v>#REF!</v>
      </c>
    </row>
    <row r="944" spans="1:3">
      <c r="A944" s="7" t="e">
        <f>IF('Document Workflow'!A943&lt;&gt;"",'Document Workflow'!A943,"")</f>
        <v>#REF!</v>
      </c>
      <c r="B944" s="2" t="s">
        <v>72</v>
      </c>
      <c r="C944" s="3" t="e">
        <f>IF(INDEX('Document Workflow'!M:M,MATCH(A944,'Document Workflow'!A:A,0))&lt;&gt;"",INDEX('Document Workflow'!M:M,MATCH(A944,'Document Workflow'!A:A,0)),"")</f>
        <v>#REF!</v>
      </c>
    </row>
    <row r="945" spans="1:3">
      <c r="A945" s="7" t="e">
        <f>IF('Document Workflow'!A944&lt;&gt;"",'Document Workflow'!A944,"")</f>
        <v>#REF!</v>
      </c>
      <c r="B945" s="2" t="s">
        <v>72</v>
      </c>
      <c r="C945" s="3" t="e">
        <f>IF(INDEX('Document Workflow'!M:M,MATCH(A945,'Document Workflow'!A:A,0))&lt;&gt;"",INDEX('Document Workflow'!M:M,MATCH(A945,'Document Workflow'!A:A,0)),"")</f>
        <v>#REF!</v>
      </c>
    </row>
    <row r="946" spans="1:3">
      <c r="A946" s="7" t="e">
        <f>IF('Document Workflow'!A945&lt;&gt;"",'Document Workflow'!A945,"")</f>
        <v>#REF!</v>
      </c>
      <c r="B946" s="2" t="s">
        <v>72</v>
      </c>
      <c r="C946" s="3" t="e">
        <f>IF(INDEX('Document Workflow'!M:M,MATCH(A946,'Document Workflow'!A:A,0))&lt;&gt;"",INDEX('Document Workflow'!M:M,MATCH(A946,'Document Workflow'!A:A,0)),"")</f>
        <v>#REF!</v>
      </c>
    </row>
    <row r="947" spans="1:3">
      <c r="A947" s="7" t="e">
        <f>IF('Document Workflow'!A946&lt;&gt;"",'Document Workflow'!A946,"")</f>
        <v>#REF!</v>
      </c>
      <c r="B947" s="2" t="s">
        <v>72</v>
      </c>
      <c r="C947" s="3" t="e">
        <f>IF(INDEX('Document Workflow'!M:M,MATCH(A947,'Document Workflow'!A:A,0))&lt;&gt;"",INDEX('Document Workflow'!M:M,MATCH(A947,'Document Workflow'!A:A,0)),"")</f>
        <v>#REF!</v>
      </c>
    </row>
    <row r="948" spans="1:3">
      <c r="A948" s="7" t="e">
        <f>IF('Document Workflow'!A947&lt;&gt;"",'Document Workflow'!A947,"")</f>
        <v>#REF!</v>
      </c>
      <c r="B948" s="2" t="s">
        <v>72</v>
      </c>
      <c r="C948" s="3" t="e">
        <f>IF(INDEX('Document Workflow'!M:M,MATCH(A948,'Document Workflow'!A:A,0))&lt;&gt;"",INDEX('Document Workflow'!M:M,MATCH(A948,'Document Workflow'!A:A,0)),"")</f>
        <v>#REF!</v>
      </c>
    </row>
    <row r="949" spans="1:3">
      <c r="A949" s="7" t="e">
        <f>IF('Document Workflow'!A948&lt;&gt;"",'Document Workflow'!A948,"")</f>
        <v>#REF!</v>
      </c>
      <c r="B949" s="2" t="s">
        <v>72</v>
      </c>
      <c r="C949" s="3" t="e">
        <f>IF(INDEX('Document Workflow'!M:M,MATCH(A949,'Document Workflow'!A:A,0))&lt;&gt;"",INDEX('Document Workflow'!M:M,MATCH(A949,'Document Workflow'!A:A,0)),"")</f>
        <v>#REF!</v>
      </c>
    </row>
    <row r="950" spans="1:3">
      <c r="A950" s="7" t="e">
        <f>IF('Document Workflow'!A949&lt;&gt;"",'Document Workflow'!A949,"")</f>
        <v>#REF!</v>
      </c>
      <c r="B950" s="2" t="s">
        <v>72</v>
      </c>
      <c r="C950" s="3" t="e">
        <f>IF(INDEX('Document Workflow'!M:M,MATCH(A950,'Document Workflow'!A:A,0))&lt;&gt;"",INDEX('Document Workflow'!M:M,MATCH(A950,'Document Workflow'!A:A,0)),"")</f>
        <v>#REF!</v>
      </c>
    </row>
    <row r="951" spans="1:3">
      <c r="A951" s="7" t="e">
        <f>IF('Document Workflow'!A950&lt;&gt;"",'Document Workflow'!A950,"")</f>
        <v>#REF!</v>
      </c>
      <c r="B951" s="2" t="s">
        <v>72</v>
      </c>
      <c r="C951" s="3" t="e">
        <f>IF(INDEX('Document Workflow'!M:M,MATCH(A951,'Document Workflow'!A:A,0))&lt;&gt;"",INDEX('Document Workflow'!M:M,MATCH(A951,'Document Workflow'!A:A,0)),"")</f>
        <v>#REF!</v>
      </c>
    </row>
    <row r="952" spans="1:3">
      <c r="A952" s="7" t="e">
        <f>IF('Document Workflow'!A951&lt;&gt;"",'Document Workflow'!A951,"")</f>
        <v>#REF!</v>
      </c>
      <c r="B952" s="2" t="s">
        <v>72</v>
      </c>
      <c r="C952" s="3" t="e">
        <f>IF(INDEX('Document Workflow'!M:M,MATCH(A952,'Document Workflow'!A:A,0))&lt;&gt;"",INDEX('Document Workflow'!M:M,MATCH(A952,'Document Workflow'!A:A,0)),"")</f>
        <v>#REF!</v>
      </c>
    </row>
    <row r="953" spans="1:3">
      <c r="A953" s="7" t="e">
        <f>IF('Document Workflow'!A952&lt;&gt;"",'Document Workflow'!A952,"")</f>
        <v>#REF!</v>
      </c>
      <c r="B953" s="2" t="s">
        <v>72</v>
      </c>
      <c r="C953" s="3" t="e">
        <f>IF(INDEX('Document Workflow'!M:M,MATCH(A953,'Document Workflow'!A:A,0))&lt;&gt;"",INDEX('Document Workflow'!M:M,MATCH(A953,'Document Workflow'!A:A,0)),"")</f>
        <v>#REF!</v>
      </c>
    </row>
    <row r="954" spans="1:3">
      <c r="A954" s="7" t="e">
        <f>IF('Document Workflow'!A953&lt;&gt;"",'Document Workflow'!A953,"")</f>
        <v>#REF!</v>
      </c>
      <c r="B954" s="2" t="s">
        <v>72</v>
      </c>
      <c r="C954" s="3" t="e">
        <f>IF(INDEX('Document Workflow'!M:M,MATCH(A954,'Document Workflow'!A:A,0))&lt;&gt;"",INDEX('Document Workflow'!M:M,MATCH(A954,'Document Workflow'!A:A,0)),"")</f>
        <v>#REF!</v>
      </c>
    </row>
    <row r="955" spans="1:3">
      <c r="A955" s="7" t="e">
        <f>IF('Document Workflow'!A954&lt;&gt;"",'Document Workflow'!A954,"")</f>
        <v>#REF!</v>
      </c>
      <c r="B955" s="2" t="s">
        <v>72</v>
      </c>
      <c r="C955" s="3" t="e">
        <f>IF(INDEX('Document Workflow'!M:M,MATCH(A955,'Document Workflow'!A:A,0))&lt;&gt;"",INDEX('Document Workflow'!M:M,MATCH(A955,'Document Workflow'!A:A,0)),"")</f>
        <v>#REF!</v>
      </c>
    </row>
    <row r="956" spans="1:3">
      <c r="A956" s="7" t="e">
        <f>IF('Document Workflow'!A955&lt;&gt;"",'Document Workflow'!A955,"")</f>
        <v>#REF!</v>
      </c>
      <c r="B956" s="2" t="s">
        <v>72</v>
      </c>
      <c r="C956" s="3" t="e">
        <f>IF(INDEX('Document Workflow'!M:M,MATCH(A956,'Document Workflow'!A:A,0))&lt;&gt;"",INDEX('Document Workflow'!M:M,MATCH(A956,'Document Workflow'!A:A,0)),"")</f>
        <v>#REF!</v>
      </c>
    </row>
    <row r="957" spans="1:3">
      <c r="A957" s="7" t="e">
        <f>IF('Document Workflow'!A956&lt;&gt;"",'Document Workflow'!A956,"")</f>
        <v>#REF!</v>
      </c>
      <c r="B957" s="2" t="s">
        <v>72</v>
      </c>
      <c r="C957" s="3" t="e">
        <f>IF(INDEX('Document Workflow'!M:M,MATCH(A957,'Document Workflow'!A:A,0))&lt;&gt;"",INDEX('Document Workflow'!M:M,MATCH(A957,'Document Workflow'!A:A,0)),"")</f>
        <v>#REF!</v>
      </c>
    </row>
    <row r="958" spans="1:3">
      <c r="A958" s="7" t="e">
        <f>IF('Document Workflow'!A957&lt;&gt;"",'Document Workflow'!A957,"")</f>
        <v>#REF!</v>
      </c>
      <c r="B958" s="2" t="s">
        <v>72</v>
      </c>
      <c r="C958" s="3" t="e">
        <f>IF(INDEX('Document Workflow'!M:M,MATCH(A958,'Document Workflow'!A:A,0))&lt;&gt;"",INDEX('Document Workflow'!M:M,MATCH(A958,'Document Workflow'!A:A,0)),"")</f>
        <v>#REF!</v>
      </c>
    </row>
    <row r="959" spans="1:3">
      <c r="A959" s="7" t="e">
        <f>IF('Document Workflow'!A958&lt;&gt;"",'Document Workflow'!A958,"")</f>
        <v>#REF!</v>
      </c>
      <c r="B959" s="2" t="s">
        <v>72</v>
      </c>
      <c r="C959" s="3" t="e">
        <f>IF(INDEX('Document Workflow'!M:M,MATCH(A959,'Document Workflow'!A:A,0))&lt;&gt;"",INDEX('Document Workflow'!M:M,MATCH(A959,'Document Workflow'!A:A,0)),"")</f>
        <v>#REF!</v>
      </c>
    </row>
    <row r="960" spans="1:3">
      <c r="A960" s="7" t="e">
        <f>IF('Document Workflow'!A959&lt;&gt;"",'Document Workflow'!A959,"")</f>
        <v>#REF!</v>
      </c>
      <c r="B960" s="2" t="s">
        <v>72</v>
      </c>
      <c r="C960" s="3" t="e">
        <f>IF(INDEX('Document Workflow'!M:M,MATCH(A960,'Document Workflow'!A:A,0))&lt;&gt;"",INDEX('Document Workflow'!M:M,MATCH(A960,'Document Workflow'!A:A,0)),"")</f>
        <v>#REF!</v>
      </c>
    </row>
    <row r="961" spans="1:3">
      <c r="A961" s="7" t="e">
        <f>IF('Document Workflow'!A960&lt;&gt;"",'Document Workflow'!A960,"")</f>
        <v>#REF!</v>
      </c>
      <c r="B961" s="2" t="s">
        <v>72</v>
      </c>
      <c r="C961" s="3" t="e">
        <f>IF(INDEX('Document Workflow'!M:M,MATCH(A961,'Document Workflow'!A:A,0))&lt;&gt;"",INDEX('Document Workflow'!M:M,MATCH(A961,'Document Workflow'!A:A,0)),"")</f>
        <v>#REF!</v>
      </c>
    </row>
    <row r="962" spans="1:3">
      <c r="A962" s="7" t="e">
        <f>IF('Document Workflow'!A961&lt;&gt;"",'Document Workflow'!A961,"")</f>
        <v>#REF!</v>
      </c>
      <c r="B962" s="2" t="s">
        <v>72</v>
      </c>
      <c r="C962" s="3" t="e">
        <f>IF(INDEX('Document Workflow'!M:M,MATCH(A962,'Document Workflow'!A:A,0))&lt;&gt;"",INDEX('Document Workflow'!M:M,MATCH(A962,'Document Workflow'!A:A,0)),"")</f>
        <v>#REF!</v>
      </c>
    </row>
    <row r="963" spans="1:3">
      <c r="A963" s="7" t="e">
        <f>IF('Document Workflow'!A962&lt;&gt;"",'Document Workflow'!A962,"")</f>
        <v>#REF!</v>
      </c>
      <c r="B963" s="2" t="s">
        <v>72</v>
      </c>
      <c r="C963" s="3" t="e">
        <f>IF(INDEX('Document Workflow'!M:M,MATCH(A963,'Document Workflow'!A:A,0))&lt;&gt;"",INDEX('Document Workflow'!M:M,MATCH(A963,'Document Workflow'!A:A,0)),"")</f>
        <v>#REF!</v>
      </c>
    </row>
    <row r="964" spans="1:3">
      <c r="A964" s="7" t="e">
        <f>IF('Document Workflow'!A963&lt;&gt;"",'Document Workflow'!A963,"")</f>
        <v>#REF!</v>
      </c>
      <c r="B964" s="2" t="s">
        <v>72</v>
      </c>
      <c r="C964" s="3" t="e">
        <f>IF(INDEX('Document Workflow'!M:M,MATCH(A964,'Document Workflow'!A:A,0))&lt;&gt;"",INDEX('Document Workflow'!M:M,MATCH(A964,'Document Workflow'!A:A,0)),"")</f>
        <v>#REF!</v>
      </c>
    </row>
    <row r="965" spans="1:3">
      <c r="A965" s="7" t="e">
        <f>IF('Document Workflow'!A964&lt;&gt;"",'Document Workflow'!A964,"")</f>
        <v>#REF!</v>
      </c>
      <c r="B965" s="2" t="s">
        <v>72</v>
      </c>
      <c r="C965" s="3" t="e">
        <f>IF(INDEX('Document Workflow'!M:M,MATCH(A965,'Document Workflow'!A:A,0))&lt;&gt;"",INDEX('Document Workflow'!M:M,MATCH(A965,'Document Workflow'!A:A,0)),"")</f>
        <v>#REF!</v>
      </c>
    </row>
    <row r="966" spans="1:3">
      <c r="A966" s="7" t="e">
        <f>IF('Document Workflow'!A965&lt;&gt;"",'Document Workflow'!A965,"")</f>
        <v>#REF!</v>
      </c>
      <c r="B966" s="2" t="s">
        <v>72</v>
      </c>
      <c r="C966" s="3" t="e">
        <f>IF(INDEX('Document Workflow'!M:M,MATCH(A966,'Document Workflow'!A:A,0))&lt;&gt;"",INDEX('Document Workflow'!M:M,MATCH(A966,'Document Workflow'!A:A,0)),"")</f>
        <v>#REF!</v>
      </c>
    </row>
    <row r="967" spans="1:3">
      <c r="A967" s="7" t="e">
        <f>IF('Document Workflow'!A966&lt;&gt;"",'Document Workflow'!A966,"")</f>
        <v>#REF!</v>
      </c>
      <c r="B967" s="2" t="s">
        <v>72</v>
      </c>
      <c r="C967" s="3" t="e">
        <f>IF(INDEX('Document Workflow'!M:M,MATCH(A967,'Document Workflow'!A:A,0))&lt;&gt;"",INDEX('Document Workflow'!M:M,MATCH(A967,'Document Workflow'!A:A,0)),"")</f>
        <v>#REF!</v>
      </c>
    </row>
    <row r="968" spans="1:3">
      <c r="A968" s="7" t="e">
        <f>IF('Document Workflow'!A967&lt;&gt;"",'Document Workflow'!A967,"")</f>
        <v>#REF!</v>
      </c>
      <c r="B968" s="2" t="s">
        <v>72</v>
      </c>
      <c r="C968" s="3" t="e">
        <f>IF(INDEX('Document Workflow'!M:M,MATCH(A968,'Document Workflow'!A:A,0))&lt;&gt;"",INDEX('Document Workflow'!M:M,MATCH(A968,'Document Workflow'!A:A,0)),"")</f>
        <v>#REF!</v>
      </c>
    </row>
    <row r="969" spans="1:3">
      <c r="A969" s="7" t="e">
        <f>IF('Document Workflow'!A968&lt;&gt;"",'Document Workflow'!A968,"")</f>
        <v>#REF!</v>
      </c>
      <c r="B969" s="2" t="s">
        <v>72</v>
      </c>
      <c r="C969" s="3" t="e">
        <f>IF(INDEX('Document Workflow'!M:M,MATCH(A969,'Document Workflow'!A:A,0))&lt;&gt;"",INDEX('Document Workflow'!M:M,MATCH(A969,'Document Workflow'!A:A,0)),"")</f>
        <v>#REF!</v>
      </c>
    </row>
    <row r="970" spans="1:3">
      <c r="A970" s="7" t="e">
        <f>IF('Document Workflow'!A969&lt;&gt;"",'Document Workflow'!A969,"")</f>
        <v>#REF!</v>
      </c>
      <c r="B970" s="2" t="s">
        <v>72</v>
      </c>
      <c r="C970" s="3" t="e">
        <f>IF(INDEX('Document Workflow'!M:M,MATCH(A970,'Document Workflow'!A:A,0))&lt;&gt;"",INDEX('Document Workflow'!M:M,MATCH(A970,'Document Workflow'!A:A,0)),"")</f>
        <v>#REF!</v>
      </c>
    </row>
    <row r="971" spans="1:3">
      <c r="A971" s="7" t="e">
        <f>IF('Document Workflow'!A970&lt;&gt;"",'Document Workflow'!A970,"")</f>
        <v>#REF!</v>
      </c>
      <c r="B971" s="2" t="s">
        <v>72</v>
      </c>
      <c r="C971" s="3" t="e">
        <f>IF(INDEX('Document Workflow'!M:M,MATCH(A971,'Document Workflow'!A:A,0))&lt;&gt;"",INDEX('Document Workflow'!M:M,MATCH(A971,'Document Workflow'!A:A,0)),"")</f>
        <v>#REF!</v>
      </c>
    </row>
    <row r="972" spans="1:3">
      <c r="A972" s="7" t="e">
        <f>IF('Document Workflow'!A971&lt;&gt;"",'Document Workflow'!A971,"")</f>
        <v>#REF!</v>
      </c>
      <c r="B972" s="2" t="s">
        <v>72</v>
      </c>
      <c r="C972" s="3" t="e">
        <f>IF(INDEX('Document Workflow'!M:M,MATCH(A972,'Document Workflow'!A:A,0))&lt;&gt;"",INDEX('Document Workflow'!M:M,MATCH(A972,'Document Workflow'!A:A,0)),"")</f>
        <v>#REF!</v>
      </c>
    </row>
    <row r="973" spans="1:3">
      <c r="A973" s="7" t="e">
        <f>IF('Document Workflow'!A972&lt;&gt;"",'Document Workflow'!A972,"")</f>
        <v>#REF!</v>
      </c>
      <c r="B973" s="2" t="s">
        <v>72</v>
      </c>
      <c r="C973" s="3" t="e">
        <f>IF(INDEX('Document Workflow'!M:M,MATCH(A973,'Document Workflow'!A:A,0))&lt;&gt;"",INDEX('Document Workflow'!M:M,MATCH(A973,'Document Workflow'!A:A,0)),"")</f>
        <v>#REF!</v>
      </c>
    </row>
    <row r="974" spans="1:3">
      <c r="A974" s="7" t="e">
        <f>IF('Document Workflow'!A973&lt;&gt;"",'Document Workflow'!A973,"")</f>
        <v>#REF!</v>
      </c>
      <c r="B974" s="2" t="s">
        <v>72</v>
      </c>
      <c r="C974" s="3" t="e">
        <f>IF(INDEX('Document Workflow'!M:M,MATCH(A974,'Document Workflow'!A:A,0))&lt;&gt;"",INDEX('Document Workflow'!M:M,MATCH(A974,'Document Workflow'!A:A,0)),"")</f>
        <v>#REF!</v>
      </c>
    </row>
    <row r="975" spans="1:3">
      <c r="A975" s="7" t="e">
        <f>IF('Document Workflow'!A974&lt;&gt;"",'Document Workflow'!A974,"")</f>
        <v>#REF!</v>
      </c>
      <c r="B975" s="2" t="s">
        <v>72</v>
      </c>
      <c r="C975" s="3" t="e">
        <f>IF(INDEX('Document Workflow'!M:M,MATCH(A975,'Document Workflow'!A:A,0))&lt;&gt;"",INDEX('Document Workflow'!M:M,MATCH(A975,'Document Workflow'!A:A,0)),"")</f>
        <v>#REF!</v>
      </c>
    </row>
    <row r="976" spans="1:3">
      <c r="A976" s="7" t="e">
        <f>IF('Document Workflow'!A975&lt;&gt;"",'Document Workflow'!A975,"")</f>
        <v>#REF!</v>
      </c>
      <c r="B976" s="2" t="s">
        <v>72</v>
      </c>
      <c r="C976" s="3" t="e">
        <f>IF(INDEX('Document Workflow'!M:M,MATCH(A976,'Document Workflow'!A:A,0))&lt;&gt;"",INDEX('Document Workflow'!M:M,MATCH(A976,'Document Workflow'!A:A,0)),"")</f>
        <v>#REF!</v>
      </c>
    </row>
    <row r="977" spans="1:3">
      <c r="A977" s="7" t="e">
        <f>IF('Document Workflow'!A976&lt;&gt;"",'Document Workflow'!A976,"")</f>
        <v>#REF!</v>
      </c>
      <c r="B977" s="2" t="s">
        <v>72</v>
      </c>
      <c r="C977" s="3" t="e">
        <f>IF(INDEX('Document Workflow'!M:M,MATCH(A977,'Document Workflow'!A:A,0))&lt;&gt;"",INDEX('Document Workflow'!M:M,MATCH(A977,'Document Workflow'!A:A,0)),"")</f>
        <v>#REF!</v>
      </c>
    </row>
    <row r="978" spans="1:3">
      <c r="A978" s="7" t="e">
        <f>IF('Document Workflow'!A977&lt;&gt;"",'Document Workflow'!A977,"")</f>
        <v>#REF!</v>
      </c>
      <c r="B978" s="2" t="s">
        <v>72</v>
      </c>
      <c r="C978" s="3" t="e">
        <f>IF(INDEX('Document Workflow'!M:M,MATCH(A978,'Document Workflow'!A:A,0))&lt;&gt;"",INDEX('Document Workflow'!M:M,MATCH(A978,'Document Workflow'!A:A,0)),"")</f>
        <v>#REF!</v>
      </c>
    </row>
    <row r="979" spans="1:3">
      <c r="A979" s="7" t="e">
        <f>IF('Document Workflow'!A978&lt;&gt;"",'Document Workflow'!A978,"")</f>
        <v>#REF!</v>
      </c>
      <c r="B979" s="2" t="s">
        <v>72</v>
      </c>
      <c r="C979" s="3" t="e">
        <f>IF(INDEX('Document Workflow'!M:M,MATCH(A979,'Document Workflow'!A:A,0))&lt;&gt;"",INDEX('Document Workflow'!M:M,MATCH(A979,'Document Workflow'!A:A,0)),"")</f>
        <v>#REF!</v>
      </c>
    </row>
    <row r="980" spans="1:3">
      <c r="A980" s="7" t="e">
        <f>IF('Document Workflow'!A979&lt;&gt;"",'Document Workflow'!A979,"")</f>
        <v>#REF!</v>
      </c>
      <c r="B980" s="2" t="s">
        <v>72</v>
      </c>
      <c r="C980" s="3" t="e">
        <f>IF(INDEX('Document Workflow'!M:M,MATCH(A980,'Document Workflow'!A:A,0))&lt;&gt;"",INDEX('Document Workflow'!M:M,MATCH(A980,'Document Workflow'!A:A,0)),"")</f>
        <v>#REF!</v>
      </c>
    </row>
    <row r="981" spans="1:3">
      <c r="A981" s="7" t="e">
        <f>IF('Document Workflow'!A980&lt;&gt;"",'Document Workflow'!A980,"")</f>
        <v>#REF!</v>
      </c>
      <c r="B981" s="2" t="s">
        <v>72</v>
      </c>
      <c r="C981" s="3" t="e">
        <f>IF(INDEX('Document Workflow'!M:M,MATCH(A981,'Document Workflow'!A:A,0))&lt;&gt;"",INDEX('Document Workflow'!M:M,MATCH(A981,'Document Workflow'!A:A,0)),"")</f>
        <v>#REF!</v>
      </c>
    </row>
    <row r="982" spans="1:3">
      <c r="A982" s="7" t="e">
        <f>IF('Document Workflow'!A981&lt;&gt;"",'Document Workflow'!A981,"")</f>
        <v>#REF!</v>
      </c>
      <c r="B982" s="2" t="s">
        <v>72</v>
      </c>
      <c r="C982" s="3" t="e">
        <f>IF(INDEX('Document Workflow'!M:M,MATCH(A982,'Document Workflow'!A:A,0))&lt;&gt;"",INDEX('Document Workflow'!M:M,MATCH(A982,'Document Workflow'!A:A,0)),"")</f>
        <v>#REF!</v>
      </c>
    </row>
    <row r="983" spans="1:3">
      <c r="A983" s="7" t="e">
        <f>IF('Document Workflow'!A982&lt;&gt;"",'Document Workflow'!A982,"")</f>
        <v>#REF!</v>
      </c>
      <c r="B983" s="2" t="s">
        <v>72</v>
      </c>
      <c r="C983" s="3" t="e">
        <f>IF(INDEX('Document Workflow'!M:M,MATCH(A983,'Document Workflow'!A:A,0))&lt;&gt;"",INDEX('Document Workflow'!M:M,MATCH(A983,'Document Workflow'!A:A,0)),"")</f>
        <v>#REF!</v>
      </c>
    </row>
    <row r="984" spans="1:3">
      <c r="A984" s="7" t="e">
        <f>IF('Document Workflow'!A983&lt;&gt;"",'Document Workflow'!A983,"")</f>
        <v>#REF!</v>
      </c>
      <c r="B984" s="2" t="s">
        <v>72</v>
      </c>
      <c r="C984" s="3" t="e">
        <f>IF(INDEX('Document Workflow'!M:M,MATCH(A984,'Document Workflow'!A:A,0))&lt;&gt;"",INDEX('Document Workflow'!M:M,MATCH(A984,'Document Workflow'!A:A,0)),"")</f>
        <v>#REF!</v>
      </c>
    </row>
    <row r="985" spans="1:3">
      <c r="A985" s="7" t="e">
        <f>IF('Document Workflow'!A984&lt;&gt;"",'Document Workflow'!A984,"")</f>
        <v>#REF!</v>
      </c>
      <c r="B985" s="2" t="s">
        <v>72</v>
      </c>
      <c r="C985" s="3" t="e">
        <f>IF(INDEX('Document Workflow'!M:M,MATCH(A985,'Document Workflow'!A:A,0))&lt;&gt;"",INDEX('Document Workflow'!M:M,MATCH(A985,'Document Workflow'!A:A,0)),"")</f>
        <v>#REF!</v>
      </c>
    </row>
    <row r="986" spans="1:3">
      <c r="A986" s="7" t="e">
        <f>IF('Document Workflow'!A985&lt;&gt;"",'Document Workflow'!A985,"")</f>
        <v>#REF!</v>
      </c>
      <c r="B986" s="2" t="s">
        <v>72</v>
      </c>
      <c r="C986" s="3" t="e">
        <f>IF(INDEX('Document Workflow'!M:M,MATCH(A986,'Document Workflow'!A:A,0))&lt;&gt;"",INDEX('Document Workflow'!M:M,MATCH(A986,'Document Workflow'!A:A,0)),"")</f>
        <v>#REF!</v>
      </c>
    </row>
    <row r="987" spans="1:3">
      <c r="A987" s="7" t="e">
        <f>IF('Document Workflow'!A986&lt;&gt;"",'Document Workflow'!A986,"")</f>
        <v>#REF!</v>
      </c>
      <c r="B987" s="2" t="s">
        <v>72</v>
      </c>
      <c r="C987" s="3" t="e">
        <f>IF(INDEX('Document Workflow'!M:M,MATCH(A987,'Document Workflow'!A:A,0))&lt;&gt;"",INDEX('Document Workflow'!M:M,MATCH(A987,'Document Workflow'!A:A,0)),"")</f>
        <v>#REF!</v>
      </c>
    </row>
    <row r="988" spans="1:3">
      <c r="A988" s="7" t="e">
        <f>IF('Document Workflow'!A987&lt;&gt;"",'Document Workflow'!A987,"")</f>
        <v>#REF!</v>
      </c>
      <c r="B988" s="2" t="s">
        <v>72</v>
      </c>
      <c r="C988" s="3" t="e">
        <f>IF(INDEX('Document Workflow'!M:M,MATCH(A988,'Document Workflow'!A:A,0))&lt;&gt;"",INDEX('Document Workflow'!M:M,MATCH(A988,'Document Workflow'!A:A,0)),"")</f>
        <v>#REF!</v>
      </c>
    </row>
    <row r="989" spans="1:3">
      <c r="A989" s="7" t="e">
        <f>IF('Document Workflow'!A988&lt;&gt;"",'Document Workflow'!A988,"")</f>
        <v>#REF!</v>
      </c>
      <c r="B989" s="2" t="s">
        <v>72</v>
      </c>
      <c r="C989" s="3" t="e">
        <f>IF(INDEX('Document Workflow'!M:M,MATCH(A989,'Document Workflow'!A:A,0))&lt;&gt;"",INDEX('Document Workflow'!M:M,MATCH(A989,'Document Workflow'!A:A,0)),"")</f>
        <v>#REF!</v>
      </c>
    </row>
    <row r="990" spans="1:3">
      <c r="A990" s="7" t="e">
        <f>IF('Document Workflow'!A989&lt;&gt;"",'Document Workflow'!A989,"")</f>
        <v>#REF!</v>
      </c>
      <c r="B990" s="2" t="s">
        <v>72</v>
      </c>
      <c r="C990" s="3" t="e">
        <f>IF(INDEX('Document Workflow'!M:M,MATCH(A990,'Document Workflow'!A:A,0))&lt;&gt;"",INDEX('Document Workflow'!M:M,MATCH(A990,'Document Workflow'!A:A,0)),"")</f>
        <v>#REF!</v>
      </c>
    </row>
    <row r="991" spans="1:3">
      <c r="A991" s="7" t="e">
        <f>IF('Document Workflow'!A990&lt;&gt;"",'Document Workflow'!A990,"")</f>
        <v>#REF!</v>
      </c>
      <c r="B991" s="2" t="s">
        <v>72</v>
      </c>
      <c r="C991" s="3" t="e">
        <f>IF(INDEX('Document Workflow'!M:M,MATCH(A991,'Document Workflow'!A:A,0))&lt;&gt;"",INDEX('Document Workflow'!M:M,MATCH(A991,'Document Workflow'!A:A,0)),"")</f>
        <v>#REF!</v>
      </c>
    </row>
    <row r="992" spans="1:3">
      <c r="A992" s="7" t="e">
        <f>IF('Document Workflow'!A991&lt;&gt;"",'Document Workflow'!A991,"")</f>
        <v>#REF!</v>
      </c>
      <c r="B992" s="2" t="s">
        <v>72</v>
      </c>
      <c r="C992" s="3" t="e">
        <f>IF(INDEX('Document Workflow'!M:M,MATCH(A992,'Document Workflow'!A:A,0))&lt;&gt;"",INDEX('Document Workflow'!M:M,MATCH(A992,'Document Workflow'!A:A,0)),"")</f>
        <v>#REF!</v>
      </c>
    </row>
    <row r="993" spans="1:3">
      <c r="A993" s="7" t="e">
        <f>IF('Document Workflow'!A992&lt;&gt;"",'Document Workflow'!A992,"")</f>
        <v>#REF!</v>
      </c>
      <c r="B993" s="2" t="s">
        <v>72</v>
      </c>
      <c r="C993" s="3" t="e">
        <f>IF(INDEX('Document Workflow'!M:M,MATCH(A993,'Document Workflow'!A:A,0))&lt;&gt;"",INDEX('Document Workflow'!M:M,MATCH(A993,'Document Workflow'!A:A,0)),"")</f>
        <v>#REF!</v>
      </c>
    </row>
    <row r="994" spans="1:3">
      <c r="A994" s="7" t="e">
        <f>IF('Document Workflow'!A993&lt;&gt;"",'Document Workflow'!A993,"")</f>
        <v>#REF!</v>
      </c>
      <c r="B994" s="2" t="s">
        <v>72</v>
      </c>
      <c r="C994" s="3" t="e">
        <f>IF(INDEX('Document Workflow'!M:M,MATCH(A994,'Document Workflow'!A:A,0))&lt;&gt;"",INDEX('Document Workflow'!M:M,MATCH(A994,'Document Workflow'!A:A,0)),"")</f>
        <v>#REF!</v>
      </c>
    </row>
    <row r="995" spans="1:3">
      <c r="A995" s="7" t="e">
        <f>IF('Document Workflow'!A994&lt;&gt;"",'Document Workflow'!A994,"")</f>
        <v>#REF!</v>
      </c>
      <c r="B995" s="2" t="s">
        <v>72</v>
      </c>
      <c r="C995" s="3" t="e">
        <f>IF(INDEX('Document Workflow'!M:M,MATCH(A995,'Document Workflow'!A:A,0))&lt;&gt;"",INDEX('Document Workflow'!M:M,MATCH(A995,'Document Workflow'!A:A,0)),"")</f>
        <v>#REF!</v>
      </c>
    </row>
    <row r="996" spans="1:3">
      <c r="A996" s="7" t="e">
        <f>IF('Document Workflow'!A995&lt;&gt;"",'Document Workflow'!A995,"")</f>
        <v>#REF!</v>
      </c>
      <c r="B996" s="2" t="s">
        <v>72</v>
      </c>
      <c r="C996" s="3" t="e">
        <f>IF(INDEX('Document Workflow'!M:M,MATCH(A996,'Document Workflow'!A:A,0))&lt;&gt;"",INDEX('Document Workflow'!M:M,MATCH(A996,'Document Workflow'!A:A,0)),"")</f>
        <v>#REF!</v>
      </c>
    </row>
    <row r="997" spans="1:3">
      <c r="A997" s="7" t="e">
        <f>IF('Document Workflow'!A996&lt;&gt;"",'Document Workflow'!A996,"")</f>
        <v>#REF!</v>
      </c>
      <c r="B997" s="2" t="s">
        <v>72</v>
      </c>
      <c r="C997" s="3" t="e">
        <f>IF(INDEX('Document Workflow'!M:M,MATCH(A997,'Document Workflow'!A:A,0))&lt;&gt;"",INDEX('Document Workflow'!M:M,MATCH(A997,'Document Workflow'!A:A,0)),"")</f>
        <v>#REF!</v>
      </c>
    </row>
    <row r="998" spans="1:3">
      <c r="A998" s="7" t="e">
        <f>IF('Document Workflow'!A997&lt;&gt;"",'Document Workflow'!A997,"")</f>
        <v>#REF!</v>
      </c>
      <c r="B998" s="2" t="s">
        <v>72</v>
      </c>
      <c r="C998" s="3" t="e">
        <f>IF(INDEX('Document Workflow'!M:M,MATCH(A998,'Document Workflow'!A:A,0))&lt;&gt;"",INDEX('Document Workflow'!M:M,MATCH(A998,'Document Workflow'!A:A,0)),"")</f>
        <v>#REF!</v>
      </c>
    </row>
    <row r="999" spans="1:3">
      <c r="A999" s="7" t="e">
        <f>IF('Document Workflow'!A998&lt;&gt;"",'Document Workflow'!A998,"")</f>
        <v>#REF!</v>
      </c>
      <c r="B999" s="2" t="s">
        <v>72</v>
      </c>
      <c r="C999" s="3" t="e">
        <f>IF(INDEX('Document Workflow'!M:M,MATCH(A999,'Document Workflow'!A:A,0))&lt;&gt;"",INDEX('Document Workflow'!M:M,MATCH(A999,'Document Workflow'!A:A,0)),"")</f>
        <v>#REF!</v>
      </c>
    </row>
    <row r="1000" spans="1:3">
      <c r="A1000" s="7" t="e">
        <f>IF('Document Workflow'!A999&lt;&gt;"",'Document Workflow'!A999,"")</f>
        <v>#REF!</v>
      </c>
      <c r="B1000" s="2" t="s">
        <v>72</v>
      </c>
      <c r="C1000" s="3" t="e">
        <f>IF(INDEX('Document Workflow'!M:M,MATCH(A1000,'Document Workflow'!A:A,0))&lt;&gt;"",INDEX('Document Workflow'!M:M,MATCH(A1000,'Document Workflow'!A:A,0)),"")</f>
        <v>#REF!</v>
      </c>
    </row>
    <row r="1001" spans="1:3">
      <c r="A1001" s="7" t="e">
        <f>IF('Document Workflow'!A1000&lt;&gt;"",'Document Workflow'!A1000,"")</f>
        <v>#REF!</v>
      </c>
      <c r="B1001" s="2" t="s">
        <v>72</v>
      </c>
      <c r="C1001" s="3" t="e">
        <f>IF(INDEX('Document Workflow'!M:M,MATCH(A1001,'Document Workflow'!A:A,0))&lt;&gt;"",INDEX('Document Workflow'!M:M,MATCH(A1001,'Document Workflow'!A:A,0)),"")</f>
        <v>#REF!</v>
      </c>
    </row>
    <row r="1002" spans="1:3">
      <c r="A1002" s="7" t="e">
        <f>IF('Document Workflow'!A1001&lt;&gt;"",'Document Workflow'!A1001,"")</f>
        <v>#REF!</v>
      </c>
      <c r="B1002" s="2" t="s">
        <v>72</v>
      </c>
      <c r="C1002" s="3" t="e">
        <f>IF(INDEX('Document Workflow'!M:M,MATCH(A1002,'Document Workflow'!A:A,0))&lt;&gt;"",INDEX('Document Workflow'!M:M,MATCH(A1002,'Document Workflow'!A:A,0)),"")</f>
        <v>#REF!</v>
      </c>
    </row>
    <row r="1003" spans="1:3">
      <c r="A1003" s="7" t="e">
        <f>IF('Document Workflow'!A1002&lt;&gt;"",'Document Workflow'!A1002,"")</f>
        <v>#REF!</v>
      </c>
      <c r="B1003" s="2" t="s">
        <v>72</v>
      </c>
      <c r="C1003" s="3" t="e">
        <f>IF(INDEX('Document Workflow'!M:M,MATCH(A1003,'Document Workflow'!A:A,0))&lt;&gt;"",INDEX('Document Workflow'!M:M,MATCH(A1003,'Document Workflow'!A:A,0)),"")</f>
        <v>#REF!</v>
      </c>
    </row>
    <row r="1004" spans="1:3">
      <c r="A1004" s="7" t="e">
        <f>IF('Document Workflow'!A1003&lt;&gt;"",'Document Workflow'!A1003,"")</f>
        <v>#REF!</v>
      </c>
      <c r="B1004" s="2" t="s">
        <v>72</v>
      </c>
    </row>
    <row r="1005" spans="1:3">
      <c r="A1005" s="7" t="e">
        <f>IF('Document Workflow'!A1004&lt;&gt;"",'Document Workflow'!A1004,"")</f>
        <v>#REF!</v>
      </c>
      <c r="B1005" s="2" t="s">
        <v>72</v>
      </c>
    </row>
    <row r="1006" spans="1:3">
      <c r="A1006" s="7" t="e">
        <f>IF('Document Workflow'!A1005&lt;&gt;"",'Document Workflow'!A1005,"")</f>
        <v>#REF!</v>
      </c>
      <c r="B1006" s="2" t="s">
        <v>72</v>
      </c>
    </row>
    <row r="1007" spans="1:3">
      <c r="A1007" s="7" t="e">
        <f>IF('Document Workflow'!A1006&lt;&gt;"",'Document Workflow'!A1006,"")</f>
        <v>#REF!</v>
      </c>
      <c r="B1007" s="2" t="s">
        <v>72</v>
      </c>
    </row>
    <row r="1008" spans="1:3">
      <c r="A1008" s="7" t="e">
        <f>IF('Document Workflow'!A1007&lt;&gt;"",'Document Workflow'!A1007,"")</f>
        <v>#REF!</v>
      </c>
      <c r="B1008" s="2" t="s">
        <v>72</v>
      </c>
    </row>
    <row r="1009" spans="1:2">
      <c r="A1009" s="7" t="e">
        <f>IF('Document Workflow'!A1008&lt;&gt;"",'Document Workflow'!A1008,"")</f>
        <v>#REF!</v>
      </c>
      <c r="B1009" s="2" t="s">
        <v>72</v>
      </c>
    </row>
    <row r="1010" spans="1:2">
      <c r="A1010" s="7" t="e">
        <f>IF('Document Workflow'!A1009&lt;&gt;"",'Document Workflow'!A1009,"")</f>
        <v>#REF!</v>
      </c>
      <c r="B1010" s="2" t="s">
        <v>72</v>
      </c>
    </row>
    <row r="1011" spans="1:2">
      <c r="A1011" s="7" t="e">
        <f>IF('Document Workflow'!A1010&lt;&gt;"",'Document Workflow'!A1010,"")</f>
        <v>#REF!</v>
      </c>
      <c r="B1011" s="2" t="s">
        <v>72</v>
      </c>
    </row>
    <row r="1012" spans="1:2">
      <c r="A1012" s="7" t="e">
        <f>IF('Document Workflow'!A1011&lt;&gt;"",'Document Workflow'!A1011,"")</f>
        <v>#REF!</v>
      </c>
      <c r="B1012" s="2" t="s">
        <v>72</v>
      </c>
    </row>
    <row r="1013" spans="1:2">
      <c r="A1013" s="7" t="e">
        <f>IF('Document Workflow'!A1012&lt;&gt;"",'Document Workflow'!A1012,"")</f>
        <v>#REF!</v>
      </c>
      <c r="B1013" s="2" t="s">
        <v>72</v>
      </c>
    </row>
    <row r="1014" spans="1:2">
      <c r="A1014" s="7" t="e">
        <f>IF('Document Workflow'!A1013&lt;&gt;"",'Document Workflow'!A1013,"")</f>
        <v>#REF!</v>
      </c>
      <c r="B1014" s="2" t="s">
        <v>72</v>
      </c>
    </row>
    <row r="1015" spans="1:2">
      <c r="A1015" s="7" t="e">
        <f>IF('Document Workflow'!A1014&lt;&gt;"",'Document Workflow'!A1014,"")</f>
        <v>#REF!</v>
      </c>
      <c r="B1015" s="2" t="s">
        <v>72</v>
      </c>
    </row>
    <row r="1016" spans="1:2">
      <c r="A1016" s="7" t="e">
        <f>IF('Document Workflow'!A1015&lt;&gt;"",'Document Workflow'!A1015,"")</f>
        <v>#REF!</v>
      </c>
      <c r="B1016" s="2" t="s">
        <v>72</v>
      </c>
    </row>
    <row r="1017" spans="1:2">
      <c r="A1017" s="7" t="e">
        <f>IF('Document Workflow'!A1016&lt;&gt;"",'Document Workflow'!A1016,"")</f>
        <v>#REF!</v>
      </c>
      <c r="B1017" s="2" t="s">
        <v>72</v>
      </c>
    </row>
    <row r="1018" spans="1:2">
      <c r="A1018" s="7" t="e">
        <f>IF('Document Workflow'!A1017&lt;&gt;"",'Document Workflow'!A1017,"")</f>
        <v>#REF!</v>
      </c>
      <c r="B1018" s="2" t="s">
        <v>72</v>
      </c>
    </row>
    <row r="1019" spans="1:2">
      <c r="A1019" s="7" t="e">
        <f>IF('Document Workflow'!A1018&lt;&gt;"",'Document Workflow'!A1018,"")</f>
        <v>#REF!</v>
      </c>
      <c r="B1019" s="2" t="s">
        <v>72</v>
      </c>
    </row>
    <row r="1020" spans="1:2">
      <c r="A1020" s="7" t="e">
        <f>IF('Document Workflow'!A1019&lt;&gt;"",'Document Workflow'!A1019,"")</f>
        <v>#REF!</v>
      </c>
      <c r="B1020" s="2" t="s">
        <v>72</v>
      </c>
    </row>
    <row r="1021" spans="1:2">
      <c r="A1021" s="7" t="e">
        <f>IF('Document Workflow'!A1020&lt;&gt;"",'Document Workflow'!A1020,"")</f>
        <v>#REF!</v>
      </c>
      <c r="B1021" s="2" t="s">
        <v>72</v>
      </c>
    </row>
    <row r="1022" spans="1:2">
      <c r="A1022" s="7" t="e">
        <f>IF('Document Workflow'!A1021&lt;&gt;"",'Document Workflow'!A1021,"")</f>
        <v>#REF!</v>
      </c>
      <c r="B1022" s="2" t="s">
        <v>72</v>
      </c>
    </row>
    <row r="1023" spans="1:2">
      <c r="A1023" s="7" t="e">
        <f>IF('Document Workflow'!A1022&lt;&gt;"",'Document Workflow'!A1022,"")</f>
        <v>#REF!</v>
      </c>
      <c r="B1023" s="2" t="s">
        <v>72</v>
      </c>
    </row>
    <row r="1024" spans="1:2">
      <c r="A1024" s="7" t="e">
        <f>IF('Document Workflow'!A1023&lt;&gt;"",'Document Workflow'!A1023,"")</f>
        <v>#REF!</v>
      </c>
      <c r="B1024" s="2" t="s">
        <v>72</v>
      </c>
    </row>
    <row r="1025" spans="1:2">
      <c r="A1025" s="7" t="e">
        <f>IF('Document Workflow'!A1024&lt;&gt;"",'Document Workflow'!A1024,"")</f>
        <v>#REF!</v>
      </c>
      <c r="B1025" s="2" t="s">
        <v>72</v>
      </c>
    </row>
    <row r="1026" spans="1:2">
      <c r="A1026" s="7" t="e">
        <f>IF('Document Workflow'!A1025&lt;&gt;"",'Document Workflow'!A1025,"")</f>
        <v>#REF!</v>
      </c>
      <c r="B1026" s="2" t="s">
        <v>72</v>
      </c>
    </row>
    <row r="1027" spans="1:2">
      <c r="A1027" s="7" t="e">
        <f>IF('Document Workflow'!A1026&lt;&gt;"",'Document Workflow'!A1026,"")</f>
        <v>#REF!</v>
      </c>
      <c r="B1027" s="2" t="s">
        <v>72</v>
      </c>
    </row>
    <row r="1028" spans="1:2">
      <c r="A1028" s="7" t="e">
        <f>IF('Document Workflow'!A1027&lt;&gt;"",'Document Workflow'!A1027,"")</f>
        <v>#REF!</v>
      </c>
      <c r="B1028" s="2" t="s">
        <v>72</v>
      </c>
    </row>
    <row r="1029" spans="1:2">
      <c r="A1029" s="7" t="e">
        <f>IF('Document Workflow'!A1028&lt;&gt;"",'Document Workflow'!A1028,"")</f>
        <v>#REF!</v>
      </c>
      <c r="B1029" s="2" t="s">
        <v>72</v>
      </c>
    </row>
    <row r="1030" spans="1:2">
      <c r="A1030" s="7" t="e">
        <f>IF('Document Workflow'!A1029&lt;&gt;"",'Document Workflow'!A1029,"")</f>
        <v>#REF!</v>
      </c>
      <c r="B1030" s="2" t="s">
        <v>72</v>
      </c>
    </row>
    <row r="1031" spans="1:2">
      <c r="A1031" s="7" t="e">
        <f>IF('Document Workflow'!A1030&lt;&gt;"",'Document Workflow'!A1030,"")</f>
        <v>#REF!</v>
      </c>
      <c r="B1031" s="2" t="s">
        <v>72</v>
      </c>
    </row>
    <row r="1032" spans="1:2">
      <c r="A1032" s="7" t="e">
        <f>IF('Document Workflow'!A1031&lt;&gt;"",'Document Workflow'!A1031,"")</f>
        <v>#REF!</v>
      </c>
      <c r="B1032" s="2" t="s">
        <v>72</v>
      </c>
    </row>
    <row r="1033" spans="1:2">
      <c r="A1033" s="7" t="e">
        <f>IF('Document Workflow'!A1032&lt;&gt;"",'Document Workflow'!A1032,"")</f>
        <v>#REF!</v>
      </c>
      <c r="B1033" s="2" t="s">
        <v>72</v>
      </c>
    </row>
    <row r="1034" spans="1:2">
      <c r="A1034" s="7" t="e">
        <f>IF('Document Workflow'!A1033&lt;&gt;"",'Document Workflow'!A1033,"")</f>
        <v>#REF!</v>
      </c>
      <c r="B1034" s="2" t="s">
        <v>72</v>
      </c>
    </row>
    <row r="1035" spans="1:2">
      <c r="A1035" s="7" t="e">
        <f>IF('Document Workflow'!A1034&lt;&gt;"",'Document Workflow'!A1034,"")</f>
        <v>#REF!</v>
      </c>
      <c r="B1035" s="2" t="s">
        <v>72</v>
      </c>
    </row>
    <row r="1036" spans="1:2">
      <c r="A1036" s="7" t="e">
        <f>IF('Document Workflow'!A1035&lt;&gt;"",'Document Workflow'!A1035,"")</f>
        <v>#REF!</v>
      </c>
      <c r="B1036" s="2" t="s">
        <v>72</v>
      </c>
    </row>
    <row r="1037" spans="1:2">
      <c r="A1037" s="7" t="e">
        <f>IF('Document Workflow'!A1036&lt;&gt;"",'Document Workflow'!A1036,"")</f>
        <v>#REF!</v>
      </c>
      <c r="B1037" s="2" t="s">
        <v>72</v>
      </c>
    </row>
    <row r="1038" spans="1:2">
      <c r="A1038" s="7" t="e">
        <f>IF('Document Workflow'!A1037&lt;&gt;"",'Document Workflow'!A1037,"")</f>
        <v>#REF!</v>
      </c>
      <c r="B1038" s="2" t="s">
        <v>72</v>
      </c>
    </row>
    <row r="1039" spans="1:2">
      <c r="A1039" s="7" t="e">
        <f>IF('Document Workflow'!A1038&lt;&gt;"",'Document Workflow'!A1038,"")</f>
        <v>#REF!</v>
      </c>
      <c r="B1039" s="2" t="s">
        <v>72</v>
      </c>
    </row>
    <row r="1040" spans="1:2">
      <c r="A1040" s="7" t="e">
        <f>IF('Document Workflow'!A1039&lt;&gt;"",'Document Workflow'!A1039,"")</f>
        <v>#REF!</v>
      </c>
      <c r="B1040" s="2" t="s">
        <v>72</v>
      </c>
    </row>
    <row r="1041" spans="1:2">
      <c r="A1041" s="7" t="e">
        <f>IF('Document Workflow'!A1040&lt;&gt;"",'Document Workflow'!A1040,"")</f>
        <v>#REF!</v>
      </c>
      <c r="B1041" s="2" t="s">
        <v>72</v>
      </c>
    </row>
    <row r="1042" spans="1:2">
      <c r="A1042" s="7" t="e">
        <f>IF('Document Workflow'!A1041&lt;&gt;"",'Document Workflow'!A1041,"")</f>
        <v>#REF!</v>
      </c>
      <c r="B1042" s="2" t="s">
        <v>72</v>
      </c>
    </row>
    <row r="1043" spans="1:2">
      <c r="A1043" s="7" t="e">
        <f>IF('Document Workflow'!A1042&lt;&gt;"",'Document Workflow'!A1042,"")</f>
        <v>#REF!</v>
      </c>
      <c r="B1043" s="2" t="s">
        <v>72</v>
      </c>
    </row>
    <row r="1044" spans="1:2">
      <c r="A1044" s="7" t="e">
        <f>IF('Document Workflow'!A1043&lt;&gt;"",'Document Workflow'!A1043,"")</f>
        <v>#REF!</v>
      </c>
      <c r="B1044" s="2" t="s">
        <v>72</v>
      </c>
    </row>
    <row r="1045" spans="1:2">
      <c r="A1045" s="7" t="e">
        <f>IF('Document Workflow'!A1044&lt;&gt;"",'Document Workflow'!A1044,"")</f>
        <v>#REF!</v>
      </c>
      <c r="B1045" s="2" t="s">
        <v>72</v>
      </c>
    </row>
    <row r="1046" spans="1:2">
      <c r="A1046" s="7" t="e">
        <f>IF('Document Workflow'!A1045&lt;&gt;"",'Document Workflow'!A1045,"")</f>
        <v>#REF!</v>
      </c>
      <c r="B1046" s="2" t="s">
        <v>72</v>
      </c>
    </row>
    <row r="1047" spans="1:2">
      <c r="A1047" s="7" t="e">
        <f>IF('Document Workflow'!A1046&lt;&gt;"",'Document Workflow'!A1046,"")</f>
        <v>#REF!</v>
      </c>
      <c r="B1047" s="2" t="s">
        <v>72</v>
      </c>
    </row>
    <row r="1048" spans="1:2">
      <c r="A1048" s="7" t="e">
        <f>IF('Document Workflow'!A1047&lt;&gt;"",'Document Workflow'!A1047,"")</f>
        <v>#REF!</v>
      </c>
      <c r="B1048" s="2" t="s">
        <v>72</v>
      </c>
    </row>
    <row r="1049" spans="1:2">
      <c r="A1049" s="7" t="e">
        <f>IF('Document Workflow'!A1048&lt;&gt;"",'Document Workflow'!A1048,"")</f>
        <v>#REF!</v>
      </c>
      <c r="B1049" s="2" t="s">
        <v>72</v>
      </c>
    </row>
    <row r="1050" spans="1:2">
      <c r="A1050" s="7" t="e">
        <f>IF('Document Workflow'!A1049&lt;&gt;"",'Document Workflow'!A1049,"")</f>
        <v>#REF!</v>
      </c>
      <c r="B1050" s="2" t="s">
        <v>72</v>
      </c>
    </row>
    <row r="1051" spans="1:2">
      <c r="A1051" s="7" t="e">
        <f>IF('Document Workflow'!A1050&lt;&gt;"",'Document Workflow'!A1050,"")</f>
        <v>#REF!</v>
      </c>
      <c r="B1051" s="2" t="s">
        <v>72</v>
      </c>
    </row>
    <row r="1052" spans="1:2">
      <c r="A1052" s="7" t="e">
        <f>IF('Document Workflow'!A1051&lt;&gt;"",'Document Workflow'!A1051,"")</f>
        <v>#REF!</v>
      </c>
      <c r="B1052" s="2" t="s">
        <v>72</v>
      </c>
    </row>
    <row r="1053" spans="1:2">
      <c r="A1053" s="7" t="e">
        <f>IF('Document Workflow'!A1052&lt;&gt;"",'Document Workflow'!A1052,"")</f>
        <v>#REF!</v>
      </c>
      <c r="B1053" s="2" t="s">
        <v>72</v>
      </c>
    </row>
    <row r="1054" spans="1:2">
      <c r="A1054" s="7" t="e">
        <f>IF('Document Workflow'!A1053&lt;&gt;"",'Document Workflow'!A1053,"")</f>
        <v>#REF!</v>
      </c>
      <c r="B1054" s="2" t="s">
        <v>72</v>
      </c>
    </row>
    <row r="1055" spans="1:2">
      <c r="A1055" s="7" t="e">
        <f>IF('Document Workflow'!A1054&lt;&gt;"",'Document Workflow'!A1054,"")</f>
        <v>#REF!</v>
      </c>
      <c r="B1055" s="2" t="s">
        <v>72</v>
      </c>
    </row>
    <row r="1056" spans="1:2">
      <c r="A1056" s="7" t="e">
        <f>IF('Document Workflow'!A1055&lt;&gt;"",'Document Workflow'!A1055,"")</f>
        <v>#REF!</v>
      </c>
      <c r="B1056" s="2" t="s">
        <v>72</v>
      </c>
    </row>
    <row r="1057" spans="1:2">
      <c r="A1057" s="7" t="e">
        <f>IF('Document Workflow'!A1056&lt;&gt;"",'Document Workflow'!A1056,"")</f>
        <v>#REF!</v>
      </c>
      <c r="B1057" s="2" t="s">
        <v>72</v>
      </c>
    </row>
    <row r="1058" spans="1:2">
      <c r="A1058" s="7" t="e">
        <f>IF('Document Workflow'!A1057&lt;&gt;"",'Document Workflow'!A1057,"")</f>
        <v>#REF!</v>
      </c>
      <c r="B1058" s="2" t="s">
        <v>72</v>
      </c>
    </row>
    <row r="1059" spans="1:2">
      <c r="A1059" s="7" t="e">
        <f>IF('Document Workflow'!A1058&lt;&gt;"",'Document Workflow'!A1058,"")</f>
        <v>#REF!</v>
      </c>
      <c r="B1059" s="2" t="s">
        <v>72</v>
      </c>
    </row>
    <row r="1060" spans="1:2">
      <c r="A1060" s="7" t="e">
        <f>IF('Document Workflow'!A1059&lt;&gt;"",'Document Workflow'!A1059,"")</f>
        <v>#REF!</v>
      </c>
      <c r="B1060" s="2" t="s">
        <v>72</v>
      </c>
    </row>
    <row r="1061" spans="1:2">
      <c r="A1061" s="7" t="e">
        <f>IF('Document Workflow'!A1060&lt;&gt;"",'Document Workflow'!A1060,"")</f>
        <v>#REF!</v>
      </c>
      <c r="B1061" s="2" t="s">
        <v>72</v>
      </c>
    </row>
    <row r="1062" spans="1:2">
      <c r="A1062" s="7" t="e">
        <f>IF('Document Workflow'!A1061&lt;&gt;"",'Document Workflow'!A1061,"")</f>
        <v>#REF!</v>
      </c>
      <c r="B1062" s="2" t="s">
        <v>72</v>
      </c>
    </row>
    <row r="1063" spans="1:2">
      <c r="A1063" s="7" t="e">
        <f>IF('Document Workflow'!A1062&lt;&gt;"",'Document Workflow'!A1062,"")</f>
        <v>#REF!</v>
      </c>
      <c r="B1063" s="2" t="s">
        <v>72</v>
      </c>
    </row>
    <row r="1064" spans="1:2">
      <c r="A1064" s="7" t="e">
        <f>IF('Document Workflow'!A1063&lt;&gt;"",'Document Workflow'!A1063,"")</f>
        <v>#REF!</v>
      </c>
      <c r="B1064" s="2" t="s">
        <v>72</v>
      </c>
    </row>
    <row r="1065" spans="1:2">
      <c r="A1065" s="7" t="e">
        <f>IF('Document Workflow'!A1064&lt;&gt;"",'Document Workflow'!A1064,"")</f>
        <v>#REF!</v>
      </c>
      <c r="B1065" s="2" t="s">
        <v>72</v>
      </c>
    </row>
    <row r="1066" spans="1:2">
      <c r="A1066" s="7" t="e">
        <f>IF('Document Workflow'!A1065&lt;&gt;"",'Document Workflow'!A1065,"")</f>
        <v>#REF!</v>
      </c>
      <c r="B1066" s="2" t="s">
        <v>72</v>
      </c>
    </row>
    <row r="1067" spans="1:2">
      <c r="A1067" s="7" t="e">
        <f>IF('Document Workflow'!A1066&lt;&gt;"",'Document Workflow'!A1066,"")</f>
        <v>#REF!</v>
      </c>
      <c r="B1067" s="2" t="s">
        <v>72</v>
      </c>
    </row>
    <row r="1068" spans="1:2">
      <c r="A1068" s="7" t="e">
        <f>IF('Document Workflow'!A1067&lt;&gt;"",'Document Workflow'!A1067,"")</f>
        <v>#REF!</v>
      </c>
      <c r="B1068" s="2" t="s">
        <v>72</v>
      </c>
    </row>
    <row r="1069" spans="1:2">
      <c r="A1069" s="7" t="e">
        <f>IF('Document Workflow'!A1068&lt;&gt;"",'Document Workflow'!A1068,"")</f>
        <v>#REF!</v>
      </c>
      <c r="B1069" s="2" t="s">
        <v>72</v>
      </c>
    </row>
    <row r="1070" spans="1:2">
      <c r="A1070" s="7" t="e">
        <f>IF('Document Workflow'!A1069&lt;&gt;"",'Document Workflow'!A1069,"")</f>
        <v>#REF!</v>
      </c>
      <c r="B1070" s="2" t="s">
        <v>72</v>
      </c>
    </row>
    <row r="1071" spans="1:2">
      <c r="A1071" s="7" t="e">
        <f>IF('Document Workflow'!A1070&lt;&gt;"",'Document Workflow'!A1070,"")</f>
        <v>#REF!</v>
      </c>
      <c r="B1071" s="2" t="s">
        <v>72</v>
      </c>
    </row>
    <row r="1072" spans="1:2">
      <c r="A1072" s="7" t="e">
        <f>IF('Document Workflow'!A1071&lt;&gt;"",'Document Workflow'!A1071,"")</f>
        <v>#REF!</v>
      </c>
      <c r="B1072" s="2" t="s">
        <v>72</v>
      </c>
    </row>
    <row r="1073" spans="1:2">
      <c r="A1073" s="7" t="e">
        <f>IF('Document Workflow'!A1072&lt;&gt;"",'Document Workflow'!A1072,"")</f>
        <v>#REF!</v>
      </c>
      <c r="B1073" s="2" t="s">
        <v>72</v>
      </c>
    </row>
    <row r="1074" spans="1:2">
      <c r="A1074" s="7" t="e">
        <f>IF('Document Workflow'!A1073&lt;&gt;"",'Document Workflow'!A1073,"")</f>
        <v>#REF!</v>
      </c>
      <c r="B1074" s="2" t="s">
        <v>72</v>
      </c>
    </row>
    <row r="1075" spans="1:2">
      <c r="A1075" s="7" t="e">
        <f>IF('Document Workflow'!A1074&lt;&gt;"",'Document Workflow'!A1074,"")</f>
        <v>#REF!</v>
      </c>
      <c r="B1075" s="2" t="s">
        <v>72</v>
      </c>
    </row>
    <row r="1076" spans="1:2">
      <c r="A1076" s="7" t="e">
        <f>IF('Document Workflow'!A1075&lt;&gt;"",'Document Workflow'!A1075,"")</f>
        <v>#REF!</v>
      </c>
      <c r="B1076" s="2" t="s">
        <v>72</v>
      </c>
    </row>
    <row r="1077" spans="1:2">
      <c r="A1077" s="7" t="e">
        <f>IF('Document Workflow'!A1076&lt;&gt;"",'Document Workflow'!A1076,"")</f>
        <v>#REF!</v>
      </c>
      <c r="B1077" s="2" t="s">
        <v>72</v>
      </c>
    </row>
    <row r="1078" spans="1:2">
      <c r="A1078" s="7" t="e">
        <f>IF('Document Workflow'!A1077&lt;&gt;"",'Document Workflow'!A1077,"")</f>
        <v>#REF!</v>
      </c>
      <c r="B1078" s="2" t="s">
        <v>72</v>
      </c>
    </row>
    <row r="1079" spans="1:2">
      <c r="A1079" s="7" t="e">
        <f>IF('Document Workflow'!A1078&lt;&gt;"",'Document Workflow'!A1078,"")</f>
        <v>#REF!</v>
      </c>
      <c r="B1079" s="2" t="s">
        <v>72</v>
      </c>
    </row>
    <row r="1080" spans="1:2">
      <c r="A1080" s="7" t="e">
        <f>IF('Document Workflow'!A1079&lt;&gt;"",'Document Workflow'!A1079,"")</f>
        <v>#REF!</v>
      </c>
      <c r="B1080" s="2" t="s">
        <v>72</v>
      </c>
    </row>
    <row r="1081" spans="1:2">
      <c r="A1081" s="7" t="e">
        <f>IF('Document Workflow'!A1080&lt;&gt;"",'Document Workflow'!A1080,"")</f>
        <v>#REF!</v>
      </c>
      <c r="B1081" s="2" t="s">
        <v>72</v>
      </c>
    </row>
    <row r="1082" spans="1:2">
      <c r="A1082" s="7" t="e">
        <f>IF('Document Workflow'!A1081&lt;&gt;"",'Document Workflow'!A1081,"")</f>
        <v>#REF!</v>
      </c>
      <c r="B1082" s="2" t="s">
        <v>72</v>
      </c>
    </row>
    <row r="1083" spans="1:2">
      <c r="A1083" s="7" t="e">
        <f>IF('Document Workflow'!A1082&lt;&gt;"",'Document Workflow'!A1082,"")</f>
        <v>#REF!</v>
      </c>
      <c r="B1083" s="2" t="s">
        <v>72</v>
      </c>
    </row>
    <row r="1084" spans="1:2">
      <c r="A1084" s="7" t="e">
        <f>IF('Document Workflow'!A1083&lt;&gt;"",'Document Workflow'!A1083,"")</f>
        <v>#REF!</v>
      </c>
      <c r="B1084" s="2" t="s">
        <v>72</v>
      </c>
    </row>
    <row r="1085" spans="1:2">
      <c r="A1085" s="7" t="e">
        <f>IF('Document Workflow'!A1084&lt;&gt;"",'Document Workflow'!A1084,"")</f>
        <v>#REF!</v>
      </c>
      <c r="B1085" s="2" t="s">
        <v>72</v>
      </c>
    </row>
    <row r="1086" spans="1:2">
      <c r="A1086" s="7" t="e">
        <f>IF('Document Workflow'!A1085&lt;&gt;"",'Document Workflow'!A1085,"")</f>
        <v>#REF!</v>
      </c>
      <c r="B1086" s="2" t="s">
        <v>72</v>
      </c>
    </row>
    <row r="1087" spans="1:2">
      <c r="A1087" s="7" t="e">
        <f>IF('Document Workflow'!A1086&lt;&gt;"",'Document Workflow'!A1086,"")</f>
        <v>#REF!</v>
      </c>
      <c r="B1087" s="2" t="s">
        <v>72</v>
      </c>
    </row>
    <row r="1088" spans="1:2">
      <c r="A1088" s="7" t="e">
        <f>IF('Document Workflow'!A1087&lt;&gt;"",'Document Workflow'!A1087,"")</f>
        <v>#REF!</v>
      </c>
      <c r="B1088" s="2" t="s">
        <v>72</v>
      </c>
    </row>
    <row r="1089" spans="1:2">
      <c r="A1089" s="7" t="e">
        <f>IF('Document Workflow'!A1088&lt;&gt;"",'Document Workflow'!A1088,"")</f>
        <v>#REF!</v>
      </c>
      <c r="B1089" s="2" t="s">
        <v>72</v>
      </c>
    </row>
    <row r="1090" spans="1:2">
      <c r="A1090" s="7" t="e">
        <f>IF('Document Workflow'!A1089&lt;&gt;"",'Document Workflow'!A1089,"")</f>
        <v>#REF!</v>
      </c>
      <c r="B1090" s="2" t="s">
        <v>72</v>
      </c>
    </row>
    <row r="1091" spans="1:2">
      <c r="A1091" s="7" t="e">
        <f>IF('Document Workflow'!A1090&lt;&gt;"",'Document Workflow'!A1090,"")</f>
        <v>#REF!</v>
      </c>
      <c r="B1091" s="2" t="s">
        <v>72</v>
      </c>
    </row>
    <row r="1092" spans="1:2">
      <c r="A1092" s="7" t="e">
        <f>IF('Document Workflow'!A1091&lt;&gt;"",'Document Workflow'!A1091,"")</f>
        <v>#REF!</v>
      </c>
      <c r="B1092" s="2" t="s">
        <v>72</v>
      </c>
    </row>
    <row r="1093" spans="1:2">
      <c r="A1093" s="7" t="e">
        <f>IF('Document Workflow'!A1092&lt;&gt;"",'Document Workflow'!A1092,"")</f>
        <v>#REF!</v>
      </c>
      <c r="B1093" s="2" t="s">
        <v>72</v>
      </c>
    </row>
    <row r="1094" spans="1:2">
      <c r="A1094" s="7" t="e">
        <f>IF('Document Workflow'!A1093&lt;&gt;"",'Document Workflow'!A1093,"")</f>
        <v>#REF!</v>
      </c>
      <c r="B1094" s="2" t="s">
        <v>72</v>
      </c>
    </row>
    <row r="1095" spans="1:2">
      <c r="A1095" s="7" t="e">
        <f>IF('Document Workflow'!A1094&lt;&gt;"",'Document Workflow'!A1094,"")</f>
        <v>#REF!</v>
      </c>
      <c r="B1095" s="2" t="s">
        <v>72</v>
      </c>
    </row>
    <row r="1096" spans="1:2">
      <c r="A1096" s="7" t="e">
        <f>IF('Document Workflow'!A1095&lt;&gt;"",'Document Workflow'!A1095,"")</f>
        <v>#REF!</v>
      </c>
      <c r="B1096" s="2" t="s">
        <v>72</v>
      </c>
    </row>
    <row r="1097" spans="1:2">
      <c r="A1097" s="7" t="e">
        <f>IF('Document Workflow'!A1096&lt;&gt;"",'Document Workflow'!A1096,"")</f>
        <v>#REF!</v>
      </c>
      <c r="B1097" s="2" t="s">
        <v>72</v>
      </c>
    </row>
    <row r="1098" spans="1:2">
      <c r="A1098" s="7" t="e">
        <f>IF('Document Workflow'!A1097&lt;&gt;"",'Document Workflow'!A1097,"")</f>
        <v>#REF!</v>
      </c>
      <c r="B1098" s="2" t="s">
        <v>72</v>
      </c>
    </row>
    <row r="1099" spans="1:2">
      <c r="A1099" s="7" t="e">
        <f>IF('Document Workflow'!A1098&lt;&gt;"",'Document Workflow'!A1098,"")</f>
        <v>#REF!</v>
      </c>
      <c r="B1099" s="2" t="s">
        <v>72</v>
      </c>
    </row>
    <row r="1100" spans="1:2">
      <c r="A1100" s="7" t="e">
        <f>IF('Document Workflow'!A1099&lt;&gt;"",'Document Workflow'!A1099,"")</f>
        <v>#REF!</v>
      </c>
      <c r="B1100" s="2" t="s">
        <v>72</v>
      </c>
    </row>
    <row r="1101" spans="1:2">
      <c r="A1101" s="7" t="e">
        <f>IF('Document Workflow'!A1100&lt;&gt;"",'Document Workflow'!A1100,"")</f>
        <v>#REF!</v>
      </c>
      <c r="B1101" s="2" t="s">
        <v>72</v>
      </c>
    </row>
    <row r="1102" spans="1:2">
      <c r="A1102" s="7" t="e">
        <f>IF('Document Workflow'!A1101&lt;&gt;"",'Document Workflow'!A1101,"")</f>
        <v>#REF!</v>
      </c>
      <c r="B1102" s="2" t="s">
        <v>72</v>
      </c>
    </row>
    <row r="1103" spans="1:2">
      <c r="A1103" s="7" t="e">
        <f>IF('Document Workflow'!A1102&lt;&gt;"",'Document Workflow'!A1102,"")</f>
        <v>#REF!</v>
      </c>
      <c r="B1103" s="2" t="s">
        <v>72</v>
      </c>
    </row>
    <row r="1104" spans="1:2">
      <c r="A1104" s="7" t="e">
        <f>IF('Document Workflow'!A1103&lt;&gt;"",'Document Workflow'!A1103,"")</f>
        <v>#REF!</v>
      </c>
      <c r="B1104" s="2" t="s">
        <v>72</v>
      </c>
    </row>
    <row r="1105" spans="1:2">
      <c r="A1105" s="7" t="e">
        <f>IF('Document Workflow'!A1104&lt;&gt;"",'Document Workflow'!A1104,"")</f>
        <v>#REF!</v>
      </c>
      <c r="B1105" s="2" t="s">
        <v>72</v>
      </c>
    </row>
    <row r="1106" spans="1:2">
      <c r="A1106" s="7" t="e">
        <f>IF('Document Workflow'!A1105&lt;&gt;"",'Document Workflow'!A1105,"")</f>
        <v>#REF!</v>
      </c>
      <c r="B1106" s="2" t="s">
        <v>72</v>
      </c>
    </row>
    <row r="1107" spans="1:2">
      <c r="A1107" s="7" t="e">
        <f>IF('Document Workflow'!A1106&lt;&gt;"",'Document Workflow'!A1106,"")</f>
        <v>#REF!</v>
      </c>
      <c r="B1107" s="2" t="s">
        <v>72</v>
      </c>
    </row>
    <row r="1108" spans="1:2">
      <c r="A1108" s="7" t="e">
        <f>IF('Document Workflow'!A1107&lt;&gt;"",'Document Workflow'!A1107,"")</f>
        <v>#REF!</v>
      </c>
      <c r="B1108" s="2" t="s">
        <v>72</v>
      </c>
    </row>
    <row r="1109" spans="1:2">
      <c r="A1109" s="7" t="e">
        <f>IF('Document Workflow'!A1108&lt;&gt;"",'Document Workflow'!A1108,"")</f>
        <v>#REF!</v>
      </c>
      <c r="B1109" s="2" t="s">
        <v>72</v>
      </c>
    </row>
    <row r="1110" spans="1:2">
      <c r="A1110" s="7" t="e">
        <f>IF('Document Workflow'!A1109&lt;&gt;"",'Document Workflow'!A1109,"")</f>
        <v>#REF!</v>
      </c>
      <c r="B1110" s="2" t="s">
        <v>72</v>
      </c>
    </row>
    <row r="1111" spans="1:2">
      <c r="A1111" s="7" t="e">
        <f>IF('Document Workflow'!A1110&lt;&gt;"",'Document Workflow'!A1110,"")</f>
        <v>#REF!</v>
      </c>
      <c r="B1111" s="2" t="s">
        <v>72</v>
      </c>
    </row>
    <row r="1112" spans="1:2">
      <c r="A1112" s="7" t="e">
        <f>IF('Document Workflow'!A1111&lt;&gt;"",'Document Workflow'!A1111,"")</f>
        <v>#REF!</v>
      </c>
      <c r="B1112" s="2" t="s">
        <v>72</v>
      </c>
    </row>
    <row r="1113" spans="1:2">
      <c r="A1113" s="7" t="e">
        <f>IF('Document Workflow'!A1112&lt;&gt;"",'Document Workflow'!A1112,"")</f>
        <v>#REF!</v>
      </c>
      <c r="B1113" s="2" t="s">
        <v>72</v>
      </c>
    </row>
    <row r="1114" spans="1:2">
      <c r="A1114" s="7" t="e">
        <f>IF('Document Workflow'!A1113&lt;&gt;"",'Document Workflow'!A1113,"")</f>
        <v>#REF!</v>
      </c>
      <c r="B1114" s="2" t="s">
        <v>72</v>
      </c>
    </row>
    <row r="1115" spans="1:2">
      <c r="A1115" s="7" t="e">
        <f>IF('Document Workflow'!A1114&lt;&gt;"",'Document Workflow'!A1114,"")</f>
        <v>#REF!</v>
      </c>
      <c r="B1115" s="2" t="s">
        <v>72</v>
      </c>
    </row>
    <row r="1116" spans="1:2">
      <c r="A1116" s="7" t="e">
        <f>IF('Document Workflow'!A1115&lt;&gt;"",'Document Workflow'!A1115,"")</f>
        <v>#REF!</v>
      </c>
      <c r="B1116" s="2" t="s">
        <v>72</v>
      </c>
    </row>
    <row r="1117" spans="1:2">
      <c r="A1117" s="7" t="e">
        <f>IF('Document Workflow'!A1116&lt;&gt;"",'Document Workflow'!A1116,"")</f>
        <v>#REF!</v>
      </c>
      <c r="B1117" s="2" t="s">
        <v>72</v>
      </c>
    </row>
    <row r="1118" spans="1:2">
      <c r="A1118" s="7" t="e">
        <f>IF('Document Workflow'!A1117&lt;&gt;"",'Document Workflow'!A1117,"")</f>
        <v>#REF!</v>
      </c>
      <c r="B1118" s="2" t="s">
        <v>72</v>
      </c>
    </row>
    <row r="1119" spans="1:2">
      <c r="A1119" s="7" t="e">
        <f>IF('Document Workflow'!A1118&lt;&gt;"",'Document Workflow'!A1118,"")</f>
        <v>#REF!</v>
      </c>
      <c r="B1119" s="2" t="s">
        <v>72</v>
      </c>
    </row>
    <row r="1120" spans="1:2">
      <c r="A1120" s="7" t="e">
        <f>IF('Document Workflow'!A1119&lt;&gt;"",'Document Workflow'!A1119,"")</f>
        <v>#REF!</v>
      </c>
      <c r="B1120" s="2" t="s">
        <v>72</v>
      </c>
    </row>
    <row r="1121" spans="1:2">
      <c r="A1121" s="7" t="e">
        <f>IF('Document Workflow'!A1120&lt;&gt;"",'Document Workflow'!A1120,"")</f>
        <v>#REF!</v>
      </c>
      <c r="B1121" s="2" t="s">
        <v>72</v>
      </c>
    </row>
    <row r="1122" spans="1:2">
      <c r="A1122" s="7" t="e">
        <f>IF('Document Workflow'!A1121&lt;&gt;"",'Document Workflow'!A1121,"")</f>
        <v>#REF!</v>
      </c>
      <c r="B1122" s="2" t="s">
        <v>72</v>
      </c>
    </row>
    <row r="1123" spans="1:2">
      <c r="A1123" s="7" t="e">
        <f>IF('Document Workflow'!A1122&lt;&gt;"",'Document Workflow'!A1122,"")</f>
        <v>#REF!</v>
      </c>
      <c r="B1123" s="2" t="s">
        <v>72</v>
      </c>
    </row>
    <row r="1124" spans="1:2">
      <c r="A1124" s="7" t="e">
        <f>IF('Document Workflow'!A1123&lt;&gt;"",'Document Workflow'!A1123,"")</f>
        <v>#REF!</v>
      </c>
      <c r="B1124" s="2" t="s">
        <v>72</v>
      </c>
    </row>
    <row r="1125" spans="1:2">
      <c r="A1125" s="7" t="e">
        <f>IF('Document Workflow'!A1124&lt;&gt;"",'Document Workflow'!A1124,"")</f>
        <v>#REF!</v>
      </c>
      <c r="B1125" s="2" t="s">
        <v>72</v>
      </c>
    </row>
    <row r="1126" spans="1:2">
      <c r="A1126" s="7" t="e">
        <f>IF('Document Workflow'!A1125&lt;&gt;"",'Document Workflow'!A1125,"")</f>
        <v>#REF!</v>
      </c>
      <c r="B1126" s="2" t="s">
        <v>72</v>
      </c>
    </row>
    <row r="1127" spans="1:2">
      <c r="A1127" s="7" t="e">
        <f>IF('Document Workflow'!A1126&lt;&gt;"",'Document Workflow'!A1126,"")</f>
        <v>#REF!</v>
      </c>
      <c r="B1127" s="2" t="s">
        <v>72</v>
      </c>
    </row>
    <row r="1128" spans="1:2">
      <c r="A1128" s="7" t="e">
        <f>IF('Document Workflow'!A1127&lt;&gt;"",'Document Workflow'!A1127,"")</f>
        <v>#REF!</v>
      </c>
      <c r="B1128" s="2" t="s">
        <v>72</v>
      </c>
    </row>
    <row r="1129" spans="1:2">
      <c r="A1129" s="7" t="e">
        <f>IF('Document Workflow'!A1128&lt;&gt;"",'Document Workflow'!A1128,"")</f>
        <v>#REF!</v>
      </c>
      <c r="B1129" s="2" t="s">
        <v>72</v>
      </c>
    </row>
    <row r="1130" spans="1:2">
      <c r="A1130" s="7" t="e">
        <f>IF('Document Workflow'!A1129&lt;&gt;"",'Document Workflow'!A1129,"")</f>
        <v>#REF!</v>
      </c>
      <c r="B1130" s="2" t="s">
        <v>72</v>
      </c>
    </row>
    <row r="1131" spans="1:2">
      <c r="A1131" s="7" t="e">
        <f>IF('Document Workflow'!A1130&lt;&gt;"",'Document Workflow'!A1130,"")</f>
        <v>#REF!</v>
      </c>
      <c r="B1131" s="2" t="s">
        <v>72</v>
      </c>
    </row>
    <row r="1132" spans="1:2">
      <c r="A1132" s="7" t="e">
        <f>IF('Document Workflow'!A1131&lt;&gt;"",'Document Workflow'!A1131,"")</f>
        <v>#REF!</v>
      </c>
      <c r="B1132" s="2" t="s">
        <v>72</v>
      </c>
    </row>
    <row r="1133" spans="1:2">
      <c r="A1133" s="7" t="e">
        <f>IF('Document Workflow'!A1132&lt;&gt;"",'Document Workflow'!A1132,"")</f>
        <v>#REF!</v>
      </c>
      <c r="B1133" s="2" t="s">
        <v>72</v>
      </c>
    </row>
    <row r="1134" spans="1:2">
      <c r="A1134" s="7" t="e">
        <f>IF('Document Workflow'!A1133&lt;&gt;"",'Document Workflow'!A1133,"")</f>
        <v>#REF!</v>
      </c>
      <c r="B1134" s="2" t="s">
        <v>72</v>
      </c>
    </row>
    <row r="1135" spans="1:2">
      <c r="A1135" s="7" t="e">
        <f>IF('Document Workflow'!A1134&lt;&gt;"",'Document Workflow'!A1134,"")</f>
        <v>#REF!</v>
      </c>
      <c r="B1135" s="2" t="s">
        <v>72</v>
      </c>
    </row>
    <row r="1136" spans="1:2">
      <c r="A1136" s="7" t="e">
        <f>IF('Document Workflow'!A1135&lt;&gt;"",'Document Workflow'!A1135,"")</f>
        <v>#REF!</v>
      </c>
      <c r="B1136" s="2" t="s">
        <v>72</v>
      </c>
    </row>
    <row r="1137" spans="1:2">
      <c r="A1137" s="7" t="e">
        <f>IF('Document Workflow'!A1136&lt;&gt;"",'Document Workflow'!A1136,"")</f>
        <v>#REF!</v>
      </c>
      <c r="B1137" s="2" t="s">
        <v>72</v>
      </c>
    </row>
    <row r="1138" spans="1:2">
      <c r="A1138" s="7" t="e">
        <f>IF('Document Workflow'!A1137&lt;&gt;"",'Document Workflow'!A1137,"")</f>
        <v>#REF!</v>
      </c>
      <c r="B1138" s="2" t="s">
        <v>72</v>
      </c>
    </row>
    <row r="1139" spans="1:2">
      <c r="A1139" s="7" t="e">
        <f>IF('Document Workflow'!A1138&lt;&gt;"",'Document Workflow'!A1138,"")</f>
        <v>#REF!</v>
      </c>
      <c r="B1139" s="2" t="s">
        <v>72</v>
      </c>
    </row>
    <row r="1140" spans="1:2">
      <c r="A1140" s="7" t="e">
        <f>IF('Document Workflow'!A1139&lt;&gt;"",'Document Workflow'!A1139,"")</f>
        <v>#REF!</v>
      </c>
      <c r="B1140" s="2" t="s">
        <v>72</v>
      </c>
    </row>
    <row r="1141" spans="1:2">
      <c r="A1141" s="7" t="e">
        <f>IF('Document Workflow'!A1140&lt;&gt;"",'Document Workflow'!A1140,"")</f>
        <v>#REF!</v>
      </c>
      <c r="B1141" s="2" t="s">
        <v>72</v>
      </c>
    </row>
    <row r="1142" spans="1:2">
      <c r="A1142" s="7" t="e">
        <f>IF('Document Workflow'!A1141&lt;&gt;"",'Document Workflow'!A1141,"")</f>
        <v>#REF!</v>
      </c>
      <c r="B1142" s="2" t="s">
        <v>72</v>
      </c>
    </row>
    <row r="1143" spans="1:2">
      <c r="A1143" s="7" t="e">
        <f>IF('Document Workflow'!A1142&lt;&gt;"",'Document Workflow'!A1142,"")</f>
        <v>#REF!</v>
      </c>
      <c r="B1143" s="2" t="s">
        <v>72</v>
      </c>
    </row>
    <row r="1144" spans="1:2">
      <c r="A1144" s="7" t="e">
        <f>IF('Document Workflow'!A1143&lt;&gt;"",'Document Workflow'!A1143,"")</f>
        <v>#REF!</v>
      </c>
      <c r="B1144" s="2" t="s">
        <v>72</v>
      </c>
    </row>
    <row r="1145" spans="1:2">
      <c r="A1145" s="7" t="e">
        <f>IF('Document Workflow'!A1144&lt;&gt;"",'Document Workflow'!A1144,"")</f>
        <v>#REF!</v>
      </c>
      <c r="B1145" s="2" t="s">
        <v>72</v>
      </c>
    </row>
    <row r="1146" spans="1:2">
      <c r="A1146" s="7" t="e">
        <f>IF('Document Workflow'!A1145&lt;&gt;"",'Document Workflow'!A1145,"")</f>
        <v>#REF!</v>
      </c>
      <c r="B1146" s="2" t="s">
        <v>72</v>
      </c>
    </row>
    <row r="1147" spans="1:2">
      <c r="A1147" s="7" t="e">
        <f>IF('Document Workflow'!A1146&lt;&gt;"",'Document Workflow'!A1146,"")</f>
        <v>#REF!</v>
      </c>
      <c r="B1147" s="2" t="s">
        <v>72</v>
      </c>
    </row>
    <row r="1148" spans="1:2">
      <c r="A1148" s="7" t="e">
        <f>IF('Document Workflow'!A1147&lt;&gt;"",'Document Workflow'!A1147,"")</f>
        <v>#REF!</v>
      </c>
      <c r="B1148" s="2" t="s">
        <v>72</v>
      </c>
    </row>
    <row r="1149" spans="1:2">
      <c r="A1149" s="7" t="e">
        <f>IF('Document Workflow'!A1148&lt;&gt;"",'Document Workflow'!A1148,"")</f>
        <v>#REF!</v>
      </c>
      <c r="B1149" s="2" t="s">
        <v>72</v>
      </c>
    </row>
    <row r="1150" spans="1:2">
      <c r="A1150" s="7" t="e">
        <f>IF('Document Workflow'!A1149&lt;&gt;"",'Document Workflow'!A1149,"")</f>
        <v>#REF!</v>
      </c>
      <c r="B1150" s="2" t="s">
        <v>72</v>
      </c>
    </row>
    <row r="1151" spans="1:2">
      <c r="A1151" s="7" t="e">
        <f>IF('Document Workflow'!A1150&lt;&gt;"",'Document Workflow'!A1150,"")</f>
        <v>#REF!</v>
      </c>
      <c r="B1151" s="2" t="s">
        <v>72</v>
      </c>
    </row>
    <row r="1152" spans="1:2">
      <c r="A1152" s="7" t="e">
        <f>IF('Document Workflow'!A1151&lt;&gt;"",'Document Workflow'!A1151,"")</f>
        <v>#REF!</v>
      </c>
      <c r="B1152" s="2" t="s">
        <v>72</v>
      </c>
    </row>
    <row r="1153" spans="1:2">
      <c r="A1153" s="7" t="e">
        <f>IF('Document Workflow'!A1152&lt;&gt;"",'Document Workflow'!A1152,"")</f>
        <v>#REF!</v>
      </c>
      <c r="B1153" s="2" t="s">
        <v>72</v>
      </c>
    </row>
    <row r="1154" spans="1:2">
      <c r="A1154" s="7" t="e">
        <f>IF('Document Workflow'!A1153&lt;&gt;"",'Document Workflow'!A1153,"")</f>
        <v>#REF!</v>
      </c>
      <c r="B1154" s="2" t="s">
        <v>72</v>
      </c>
    </row>
    <row r="1155" spans="1:2">
      <c r="A1155" s="7" t="e">
        <f>IF('Document Workflow'!A1154&lt;&gt;"",'Document Workflow'!A1154,"")</f>
        <v>#REF!</v>
      </c>
      <c r="B1155" s="2" t="s">
        <v>72</v>
      </c>
    </row>
    <row r="1156" spans="1:2">
      <c r="A1156" s="7" t="e">
        <f>IF('Document Workflow'!A1155&lt;&gt;"",'Document Workflow'!A1155,"")</f>
        <v>#REF!</v>
      </c>
      <c r="B1156" s="2" t="s">
        <v>72</v>
      </c>
    </row>
    <row r="1157" spans="1:2">
      <c r="A1157" s="7" t="e">
        <f>IF('Document Workflow'!A1156&lt;&gt;"",'Document Workflow'!A1156,"")</f>
        <v>#REF!</v>
      </c>
      <c r="B1157" s="2" t="s">
        <v>72</v>
      </c>
    </row>
    <row r="1158" spans="1:2">
      <c r="A1158" s="7" t="e">
        <f>IF('Document Workflow'!A1157&lt;&gt;"",'Document Workflow'!A1157,"")</f>
        <v>#REF!</v>
      </c>
      <c r="B1158" s="2" t="s">
        <v>72</v>
      </c>
    </row>
    <row r="1159" spans="1:2">
      <c r="A1159" s="7" t="e">
        <f>IF('Document Workflow'!A1158&lt;&gt;"",'Document Workflow'!A1158,"")</f>
        <v>#REF!</v>
      </c>
      <c r="B1159" s="2" t="s">
        <v>72</v>
      </c>
    </row>
    <row r="1160" spans="1:2">
      <c r="A1160" s="7" t="e">
        <f>IF('Document Workflow'!A1159&lt;&gt;"",'Document Workflow'!A1159,"")</f>
        <v>#REF!</v>
      </c>
      <c r="B1160" s="2" t="s">
        <v>72</v>
      </c>
    </row>
    <row r="1161" spans="1:2">
      <c r="A1161" s="7" t="e">
        <f>IF('Document Workflow'!A1160&lt;&gt;"",'Document Workflow'!A1160,"")</f>
        <v>#REF!</v>
      </c>
      <c r="B1161" s="2" t="s">
        <v>72</v>
      </c>
    </row>
    <row r="1162" spans="1:2">
      <c r="A1162" s="7" t="e">
        <f>IF('Document Workflow'!A1161&lt;&gt;"",'Document Workflow'!A1161,"")</f>
        <v>#REF!</v>
      </c>
      <c r="B1162" s="2" t="s">
        <v>72</v>
      </c>
    </row>
    <row r="1163" spans="1:2">
      <c r="A1163" s="7" t="e">
        <f>IF('Document Workflow'!A1162&lt;&gt;"",'Document Workflow'!A1162,"")</f>
        <v>#REF!</v>
      </c>
      <c r="B1163" s="2" t="s">
        <v>72</v>
      </c>
    </row>
    <row r="1164" spans="1:2">
      <c r="A1164" s="7" t="e">
        <f>IF('Document Workflow'!A1163&lt;&gt;"",'Document Workflow'!A1163,"")</f>
        <v>#REF!</v>
      </c>
      <c r="B1164" s="2" t="s">
        <v>72</v>
      </c>
    </row>
    <row r="1165" spans="1:2">
      <c r="A1165" s="7" t="e">
        <f>IF('Document Workflow'!A1164&lt;&gt;"",'Document Workflow'!A1164,"")</f>
        <v>#REF!</v>
      </c>
      <c r="B1165" s="2" t="s">
        <v>72</v>
      </c>
    </row>
    <row r="1166" spans="1:2">
      <c r="A1166" s="7" t="e">
        <f>IF('Document Workflow'!A1165&lt;&gt;"",'Document Workflow'!A1165,"")</f>
        <v>#REF!</v>
      </c>
      <c r="B1166" s="2" t="s">
        <v>72</v>
      </c>
    </row>
    <row r="1167" spans="1:2">
      <c r="A1167" s="7" t="e">
        <f>IF('Document Workflow'!A1166&lt;&gt;"",'Document Workflow'!A1166,"")</f>
        <v>#REF!</v>
      </c>
      <c r="B1167" s="2" t="s">
        <v>72</v>
      </c>
    </row>
    <row r="1168" spans="1:2">
      <c r="A1168" s="7" t="e">
        <f>IF('Document Workflow'!A1167&lt;&gt;"",'Document Workflow'!A1167,"")</f>
        <v>#REF!</v>
      </c>
      <c r="B1168" s="2" t="s">
        <v>72</v>
      </c>
    </row>
    <row r="1169" spans="1:2">
      <c r="A1169" s="7" t="e">
        <f>IF('Document Workflow'!A1168&lt;&gt;"",'Document Workflow'!A1168,"")</f>
        <v>#REF!</v>
      </c>
      <c r="B1169" s="2" t="s">
        <v>72</v>
      </c>
    </row>
    <row r="1170" spans="1:2">
      <c r="A1170" s="7" t="e">
        <f>IF('Document Workflow'!A1169&lt;&gt;"",'Document Workflow'!A1169,"")</f>
        <v>#REF!</v>
      </c>
      <c r="B1170" s="2" t="s">
        <v>72</v>
      </c>
    </row>
    <row r="1171" spans="1:2">
      <c r="A1171" s="7" t="e">
        <f>IF('Document Workflow'!A1170&lt;&gt;"",'Document Workflow'!A1170,"")</f>
        <v>#REF!</v>
      </c>
      <c r="B1171" s="2" t="s">
        <v>72</v>
      </c>
    </row>
    <row r="1172" spans="1:2">
      <c r="A1172" s="7" t="e">
        <f>IF('Document Workflow'!A1171&lt;&gt;"",'Document Workflow'!A1171,"")</f>
        <v>#REF!</v>
      </c>
      <c r="B1172" s="2" t="s">
        <v>72</v>
      </c>
    </row>
    <row r="1173" spans="1:2">
      <c r="A1173" s="7" t="e">
        <f>IF('Document Workflow'!A1172&lt;&gt;"",'Document Workflow'!A1172,"")</f>
        <v>#REF!</v>
      </c>
      <c r="B1173" s="2" t="s">
        <v>72</v>
      </c>
    </row>
    <row r="1174" spans="1:2">
      <c r="A1174" s="7" t="e">
        <f>IF('Document Workflow'!A1173&lt;&gt;"",'Document Workflow'!A1173,"")</f>
        <v>#REF!</v>
      </c>
      <c r="B1174" s="2" t="s">
        <v>72</v>
      </c>
    </row>
    <row r="1175" spans="1:2">
      <c r="A1175" s="7" t="e">
        <f>IF('Document Workflow'!A1174&lt;&gt;"",'Document Workflow'!A1174,"")</f>
        <v>#REF!</v>
      </c>
      <c r="B1175" s="2" t="s">
        <v>72</v>
      </c>
    </row>
    <row r="1176" spans="1:2">
      <c r="A1176" s="7" t="e">
        <f>IF('Document Workflow'!A1175&lt;&gt;"",'Document Workflow'!A1175,"")</f>
        <v>#REF!</v>
      </c>
      <c r="B1176" s="2" t="s">
        <v>72</v>
      </c>
    </row>
    <row r="1177" spans="1:2">
      <c r="A1177" s="7" t="e">
        <f>IF('Document Workflow'!A1176&lt;&gt;"",'Document Workflow'!A1176,"")</f>
        <v>#REF!</v>
      </c>
      <c r="B1177" s="2" t="s">
        <v>72</v>
      </c>
    </row>
    <row r="1178" spans="1:2">
      <c r="A1178" s="7" t="e">
        <f>IF('Document Workflow'!A1177&lt;&gt;"",'Document Workflow'!A1177,"")</f>
        <v>#REF!</v>
      </c>
      <c r="B1178" s="2" t="s">
        <v>72</v>
      </c>
    </row>
    <row r="1179" spans="1:2">
      <c r="A1179" s="7" t="e">
        <f>IF('Document Workflow'!A1178&lt;&gt;"",'Document Workflow'!A1178,"")</f>
        <v>#REF!</v>
      </c>
      <c r="B1179" s="2" t="s">
        <v>72</v>
      </c>
    </row>
    <row r="1180" spans="1:2">
      <c r="A1180" s="7" t="e">
        <f>IF('Document Workflow'!A1179&lt;&gt;"",'Document Workflow'!A1179,"")</f>
        <v>#REF!</v>
      </c>
      <c r="B1180" s="2" t="s">
        <v>72</v>
      </c>
    </row>
    <row r="1181" spans="1:2">
      <c r="A1181" s="7" t="e">
        <f>IF('Document Workflow'!A1180&lt;&gt;"",'Document Workflow'!A1180,"")</f>
        <v>#REF!</v>
      </c>
      <c r="B1181" s="2" t="s">
        <v>72</v>
      </c>
    </row>
    <row r="1182" spans="1:2">
      <c r="A1182" s="7" t="e">
        <f>IF('Document Workflow'!A1181&lt;&gt;"",'Document Workflow'!A1181,"")</f>
        <v>#REF!</v>
      </c>
      <c r="B1182" s="2" t="s">
        <v>72</v>
      </c>
    </row>
    <row r="1183" spans="1:2">
      <c r="A1183" s="7" t="e">
        <f>IF('Document Workflow'!A1182&lt;&gt;"",'Document Workflow'!A1182,"")</f>
        <v>#REF!</v>
      </c>
      <c r="B1183" s="2" t="s">
        <v>72</v>
      </c>
    </row>
    <row r="1184" spans="1:2">
      <c r="A1184" s="7" t="e">
        <f>IF('Document Workflow'!A1183&lt;&gt;"",'Document Workflow'!A1183,"")</f>
        <v>#REF!</v>
      </c>
      <c r="B1184" s="2" t="s">
        <v>72</v>
      </c>
    </row>
    <row r="1185" spans="1:2">
      <c r="A1185" s="7" t="e">
        <f>IF('Document Workflow'!A1184&lt;&gt;"",'Document Workflow'!A1184,"")</f>
        <v>#REF!</v>
      </c>
      <c r="B1185" s="2" t="s">
        <v>72</v>
      </c>
    </row>
    <row r="1186" spans="1:2">
      <c r="A1186" s="7" t="e">
        <f>IF('Document Workflow'!A1185&lt;&gt;"",'Document Workflow'!A1185,"")</f>
        <v>#REF!</v>
      </c>
      <c r="B1186" s="2" t="s">
        <v>72</v>
      </c>
    </row>
    <row r="1187" spans="1:2">
      <c r="A1187" s="7" t="e">
        <f>IF('Document Workflow'!A1186&lt;&gt;"",'Document Workflow'!A1186,"")</f>
        <v>#REF!</v>
      </c>
      <c r="B1187" s="2" t="s">
        <v>72</v>
      </c>
    </row>
    <row r="1188" spans="1:2">
      <c r="A1188" s="7" t="e">
        <f>IF('Document Workflow'!A1187&lt;&gt;"",'Document Workflow'!A1187,"")</f>
        <v>#REF!</v>
      </c>
      <c r="B1188" s="2" t="s">
        <v>72</v>
      </c>
    </row>
    <row r="1189" spans="1:2">
      <c r="A1189" s="7" t="e">
        <f>IF('Document Workflow'!A1188&lt;&gt;"",'Document Workflow'!A1188,"")</f>
        <v>#REF!</v>
      </c>
      <c r="B1189" s="2" t="s">
        <v>72</v>
      </c>
    </row>
    <row r="1190" spans="1:2">
      <c r="A1190" s="7" t="e">
        <f>IF('Document Workflow'!A1189&lt;&gt;"",'Document Workflow'!A1189,"")</f>
        <v>#REF!</v>
      </c>
      <c r="B1190" s="2" t="s">
        <v>72</v>
      </c>
    </row>
    <row r="1191" spans="1:2">
      <c r="A1191" s="7" t="e">
        <f>IF('Document Workflow'!A1190&lt;&gt;"",'Document Workflow'!A1190,"")</f>
        <v>#REF!</v>
      </c>
      <c r="B1191" s="2" t="s">
        <v>72</v>
      </c>
    </row>
    <row r="1192" spans="1:2">
      <c r="A1192" s="7" t="e">
        <f>IF('Document Workflow'!A1191&lt;&gt;"",'Document Workflow'!A1191,"")</f>
        <v>#REF!</v>
      </c>
      <c r="B1192" s="2" t="s">
        <v>72</v>
      </c>
    </row>
    <row r="1193" spans="1:2">
      <c r="A1193" s="7" t="e">
        <f>IF('Document Workflow'!A1192&lt;&gt;"",'Document Workflow'!A1192,"")</f>
        <v>#REF!</v>
      </c>
      <c r="B1193" s="2" t="s">
        <v>72</v>
      </c>
    </row>
    <row r="1194" spans="1:2">
      <c r="A1194" s="7" t="e">
        <f>IF('Document Workflow'!A1193&lt;&gt;"",'Document Workflow'!A1193,"")</f>
        <v>#REF!</v>
      </c>
      <c r="B1194" s="2" t="s">
        <v>72</v>
      </c>
    </row>
    <row r="1195" spans="1:2">
      <c r="A1195" s="7" t="e">
        <f>IF('Document Workflow'!A1194&lt;&gt;"",'Document Workflow'!A1194,"")</f>
        <v>#REF!</v>
      </c>
      <c r="B1195" s="2" t="s">
        <v>72</v>
      </c>
    </row>
    <row r="1196" spans="1:2">
      <c r="A1196" s="7" t="e">
        <f>IF('Document Workflow'!A1195&lt;&gt;"",'Document Workflow'!A1195,"")</f>
        <v>#REF!</v>
      </c>
      <c r="B1196" s="2" t="s">
        <v>72</v>
      </c>
    </row>
    <row r="1197" spans="1:2">
      <c r="A1197" s="7" t="e">
        <f>IF('Document Workflow'!A1196&lt;&gt;"",'Document Workflow'!A1196,"")</f>
        <v>#REF!</v>
      </c>
      <c r="B1197" s="2" t="s">
        <v>72</v>
      </c>
    </row>
    <row r="1198" spans="1:2">
      <c r="A1198" s="7" t="e">
        <f>IF('Document Workflow'!A1197&lt;&gt;"",'Document Workflow'!A1197,"")</f>
        <v>#REF!</v>
      </c>
      <c r="B1198" s="2" t="s">
        <v>72</v>
      </c>
    </row>
    <row r="1199" spans="1:2">
      <c r="A1199" s="7" t="e">
        <f>IF('Document Workflow'!A1198&lt;&gt;"",'Document Workflow'!A1198,"")</f>
        <v>#REF!</v>
      </c>
      <c r="B1199" s="2" t="s">
        <v>72</v>
      </c>
    </row>
    <row r="1200" spans="1:2">
      <c r="A1200" s="7" t="e">
        <f>IF('Document Workflow'!A1199&lt;&gt;"",'Document Workflow'!A1199,"")</f>
        <v>#REF!</v>
      </c>
      <c r="B1200" s="2" t="s">
        <v>72</v>
      </c>
    </row>
    <row r="1201" spans="1:2">
      <c r="A1201" s="7" t="e">
        <f>IF('Document Workflow'!A1200&lt;&gt;"",'Document Workflow'!A1200,"")</f>
        <v>#REF!</v>
      </c>
      <c r="B1201" s="2" t="s">
        <v>72</v>
      </c>
    </row>
    <row r="1202" spans="1:2">
      <c r="A1202" s="7" t="e">
        <f>IF('Document Workflow'!A1201&lt;&gt;"",'Document Workflow'!A1201,"")</f>
        <v>#REF!</v>
      </c>
      <c r="B1202" s="2" t="s">
        <v>72</v>
      </c>
    </row>
    <row r="1203" spans="1:2">
      <c r="A1203" s="7" t="e">
        <f>IF('Document Workflow'!A1202&lt;&gt;"",'Document Workflow'!A1202,"")</f>
        <v>#REF!</v>
      </c>
      <c r="B1203" s="2" t="s">
        <v>72</v>
      </c>
    </row>
    <row r="1204" spans="1:2">
      <c r="A1204" s="7" t="e">
        <f>IF('Document Workflow'!A1203&lt;&gt;"",'Document Workflow'!A1203,"")</f>
        <v>#REF!</v>
      </c>
      <c r="B1204" s="2" t="s">
        <v>72</v>
      </c>
    </row>
    <row r="1205" spans="1:2">
      <c r="A1205" s="7" t="e">
        <f>IF('Document Workflow'!A1204&lt;&gt;"",'Document Workflow'!A1204,"")</f>
        <v>#REF!</v>
      </c>
      <c r="B1205" s="2" t="s">
        <v>72</v>
      </c>
    </row>
    <row r="1206" spans="1:2">
      <c r="A1206" s="7" t="e">
        <f>IF('Document Workflow'!A1205&lt;&gt;"",'Document Workflow'!A1205,"")</f>
        <v>#REF!</v>
      </c>
      <c r="B1206" s="2" t="s">
        <v>72</v>
      </c>
    </row>
    <row r="1207" spans="1:2">
      <c r="A1207" s="7" t="e">
        <f>IF('Document Workflow'!A1206&lt;&gt;"",'Document Workflow'!A1206,"")</f>
        <v>#REF!</v>
      </c>
      <c r="B1207" s="2" t="s">
        <v>72</v>
      </c>
    </row>
    <row r="1208" spans="1:2">
      <c r="A1208" s="7" t="e">
        <f>IF('Document Workflow'!A1207&lt;&gt;"",'Document Workflow'!A1207,"")</f>
        <v>#REF!</v>
      </c>
      <c r="B1208" s="2" t="s">
        <v>72</v>
      </c>
    </row>
    <row r="1209" spans="1:2">
      <c r="A1209" s="7" t="e">
        <f>IF('Document Workflow'!A1208&lt;&gt;"",'Document Workflow'!A1208,"")</f>
        <v>#REF!</v>
      </c>
      <c r="B1209" s="2" t="s">
        <v>72</v>
      </c>
    </row>
    <row r="1210" spans="1:2">
      <c r="A1210" s="7" t="e">
        <f>IF('Document Workflow'!A1209&lt;&gt;"",'Document Workflow'!A1209,"")</f>
        <v>#REF!</v>
      </c>
      <c r="B1210" s="2" t="s">
        <v>72</v>
      </c>
    </row>
    <row r="1211" spans="1:2">
      <c r="A1211" s="7" t="e">
        <f>IF('Document Workflow'!A1210&lt;&gt;"",'Document Workflow'!A1210,"")</f>
        <v>#REF!</v>
      </c>
      <c r="B1211" s="2" t="s">
        <v>72</v>
      </c>
    </row>
    <row r="1212" spans="1:2">
      <c r="A1212" s="7" t="e">
        <f>IF('Document Workflow'!A1211&lt;&gt;"",'Document Workflow'!A1211,"")</f>
        <v>#REF!</v>
      </c>
      <c r="B1212" s="2" t="s">
        <v>72</v>
      </c>
    </row>
    <row r="1213" spans="1:2">
      <c r="A1213" s="7" t="e">
        <f>IF('Document Workflow'!A1212&lt;&gt;"",'Document Workflow'!A1212,"")</f>
        <v>#REF!</v>
      </c>
      <c r="B1213" s="2" t="s">
        <v>72</v>
      </c>
    </row>
    <row r="1214" spans="1:2">
      <c r="A1214" s="7" t="e">
        <f>IF('Document Workflow'!A1213&lt;&gt;"",'Document Workflow'!A1213,"")</f>
        <v>#REF!</v>
      </c>
      <c r="B1214" s="2" t="s">
        <v>72</v>
      </c>
    </row>
    <row r="1215" spans="1:2">
      <c r="A1215" s="7" t="e">
        <f>IF('Document Workflow'!A1214&lt;&gt;"",'Document Workflow'!A1214,"")</f>
        <v>#REF!</v>
      </c>
      <c r="B1215" s="2" t="s">
        <v>72</v>
      </c>
    </row>
    <row r="1216" spans="1:2">
      <c r="A1216" s="7" t="e">
        <f>IF('Document Workflow'!A1215&lt;&gt;"",'Document Workflow'!A1215,"")</f>
        <v>#REF!</v>
      </c>
      <c r="B1216" s="2" t="s">
        <v>72</v>
      </c>
    </row>
    <row r="1217" spans="1:2">
      <c r="A1217" s="7" t="e">
        <f>IF('Document Workflow'!A1216&lt;&gt;"",'Document Workflow'!A1216,"")</f>
        <v>#REF!</v>
      </c>
      <c r="B1217" s="2" t="s">
        <v>72</v>
      </c>
    </row>
    <row r="1218" spans="1:2">
      <c r="A1218" s="7" t="e">
        <f>IF('Document Workflow'!A1217&lt;&gt;"",'Document Workflow'!A1217,"")</f>
        <v>#REF!</v>
      </c>
      <c r="B1218" s="2" t="s">
        <v>72</v>
      </c>
    </row>
    <row r="1219" spans="1:2">
      <c r="A1219" s="7" t="e">
        <f>IF('Document Workflow'!A1218&lt;&gt;"",'Document Workflow'!A1218,"")</f>
        <v>#REF!</v>
      </c>
      <c r="B1219" s="2" t="s">
        <v>72</v>
      </c>
    </row>
    <row r="1220" spans="1:2">
      <c r="A1220" s="7" t="e">
        <f>IF('Document Workflow'!A1219&lt;&gt;"",'Document Workflow'!A1219,"")</f>
        <v>#REF!</v>
      </c>
      <c r="B1220" s="2" t="s">
        <v>72</v>
      </c>
    </row>
    <row r="1221" spans="1:2">
      <c r="A1221" s="7" t="e">
        <f>IF('Document Workflow'!A1220&lt;&gt;"",'Document Workflow'!A1220,"")</f>
        <v>#REF!</v>
      </c>
      <c r="B1221" s="2" t="s">
        <v>72</v>
      </c>
    </row>
    <row r="1222" spans="1:2">
      <c r="A1222" s="7" t="e">
        <f>IF('Document Workflow'!A1221&lt;&gt;"",'Document Workflow'!A1221,"")</f>
        <v>#REF!</v>
      </c>
      <c r="B1222" s="2" t="s">
        <v>72</v>
      </c>
    </row>
    <row r="1223" spans="1:2">
      <c r="A1223" s="7" t="e">
        <f>IF('Document Workflow'!A1222&lt;&gt;"",'Document Workflow'!A1222,"")</f>
        <v>#REF!</v>
      </c>
      <c r="B1223" s="2" t="s">
        <v>72</v>
      </c>
    </row>
    <row r="1224" spans="1:2">
      <c r="A1224" s="7" t="e">
        <f>IF('Document Workflow'!A1223&lt;&gt;"",'Document Workflow'!A1223,"")</f>
        <v>#REF!</v>
      </c>
      <c r="B1224" s="2" t="s">
        <v>72</v>
      </c>
    </row>
    <row r="1225" spans="1:2">
      <c r="A1225" s="7" t="e">
        <f>IF('Document Workflow'!A1224&lt;&gt;"",'Document Workflow'!A1224,"")</f>
        <v>#REF!</v>
      </c>
      <c r="B1225" s="2" t="s">
        <v>72</v>
      </c>
    </row>
    <row r="1226" spans="1:2">
      <c r="A1226" s="7" t="e">
        <f>IF('Document Workflow'!A1225&lt;&gt;"",'Document Workflow'!A1225,"")</f>
        <v>#REF!</v>
      </c>
      <c r="B1226" s="2" t="s">
        <v>72</v>
      </c>
    </row>
    <row r="1227" spans="1:2">
      <c r="A1227" s="7" t="e">
        <f>IF('Document Workflow'!A1226&lt;&gt;"",'Document Workflow'!A1226,"")</f>
        <v>#REF!</v>
      </c>
      <c r="B1227" s="2" t="s">
        <v>72</v>
      </c>
    </row>
    <row r="1228" spans="1:2">
      <c r="A1228" s="7" t="e">
        <f>IF('Document Workflow'!A1227&lt;&gt;"",'Document Workflow'!A1227,"")</f>
        <v>#REF!</v>
      </c>
      <c r="B1228" s="2" t="s">
        <v>72</v>
      </c>
    </row>
    <row r="1229" spans="1:2">
      <c r="A1229" s="7" t="e">
        <f>IF('Document Workflow'!A1228&lt;&gt;"",'Document Workflow'!A1228,"")</f>
        <v>#REF!</v>
      </c>
      <c r="B1229" s="2" t="s">
        <v>72</v>
      </c>
    </row>
    <row r="1230" spans="1:2">
      <c r="A1230" s="7" t="e">
        <f>IF('Document Workflow'!A1229&lt;&gt;"",'Document Workflow'!A1229,"")</f>
        <v>#REF!</v>
      </c>
      <c r="B1230" s="2" t="s">
        <v>72</v>
      </c>
    </row>
    <row r="1231" spans="1:2">
      <c r="A1231" s="7" t="e">
        <f>IF('Document Workflow'!A1230&lt;&gt;"",'Document Workflow'!A1230,"")</f>
        <v>#REF!</v>
      </c>
      <c r="B1231" s="2" t="s">
        <v>72</v>
      </c>
    </row>
    <row r="1232" spans="1:2">
      <c r="A1232" s="7" t="e">
        <f>IF('Document Workflow'!A1231&lt;&gt;"",'Document Workflow'!A1231,"")</f>
        <v>#REF!</v>
      </c>
      <c r="B1232" s="2" t="s">
        <v>72</v>
      </c>
    </row>
    <row r="1233" spans="1:2">
      <c r="A1233" s="7" t="e">
        <f>IF('Document Workflow'!A1232&lt;&gt;"",'Document Workflow'!A1232,"")</f>
        <v>#REF!</v>
      </c>
      <c r="B1233" s="2" t="s">
        <v>72</v>
      </c>
    </row>
    <row r="1234" spans="1:2">
      <c r="A1234" s="7" t="e">
        <f>IF('Document Workflow'!A1233&lt;&gt;"",'Document Workflow'!A1233,"")</f>
        <v>#REF!</v>
      </c>
      <c r="B1234" s="2" t="s">
        <v>72</v>
      </c>
    </row>
    <row r="1235" spans="1:2">
      <c r="A1235" s="7" t="e">
        <f>IF('Document Workflow'!A1234&lt;&gt;"",'Document Workflow'!A1234,"")</f>
        <v>#REF!</v>
      </c>
      <c r="B1235" s="2" t="s">
        <v>72</v>
      </c>
    </row>
    <row r="1236" spans="1:2">
      <c r="A1236" s="7" t="e">
        <f>IF('Document Workflow'!A1235&lt;&gt;"",'Document Workflow'!A1235,"")</f>
        <v>#REF!</v>
      </c>
      <c r="B1236" s="2" t="s">
        <v>72</v>
      </c>
    </row>
    <row r="1237" spans="1:2">
      <c r="A1237" s="7" t="e">
        <f>IF('Document Workflow'!A1236&lt;&gt;"",'Document Workflow'!A1236,"")</f>
        <v>#REF!</v>
      </c>
      <c r="B1237" s="2" t="s">
        <v>72</v>
      </c>
    </row>
    <row r="1238" spans="1:2">
      <c r="A1238" s="7" t="e">
        <f>IF('Document Workflow'!A1237&lt;&gt;"",'Document Workflow'!A1237,"")</f>
        <v>#REF!</v>
      </c>
      <c r="B1238" s="2" t="s">
        <v>72</v>
      </c>
    </row>
    <row r="1239" spans="1:2">
      <c r="A1239" s="7" t="e">
        <f>IF('Document Workflow'!A1238&lt;&gt;"",'Document Workflow'!A1238,"")</f>
        <v>#REF!</v>
      </c>
      <c r="B1239" s="2" t="s">
        <v>72</v>
      </c>
    </row>
    <row r="1240" spans="1:2">
      <c r="A1240" s="7" t="e">
        <f>IF('Document Workflow'!A1239&lt;&gt;"",'Document Workflow'!A1239,"")</f>
        <v>#REF!</v>
      </c>
      <c r="B1240" s="2" t="s">
        <v>72</v>
      </c>
    </row>
    <row r="1241" spans="1:2">
      <c r="A1241" s="7" t="e">
        <f>IF('Document Workflow'!A1240&lt;&gt;"",'Document Workflow'!A1240,"")</f>
        <v>#REF!</v>
      </c>
      <c r="B1241" s="2" t="s">
        <v>72</v>
      </c>
    </row>
    <row r="1242" spans="1:2">
      <c r="A1242" s="7" t="e">
        <f>IF('Document Workflow'!A1241&lt;&gt;"",'Document Workflow'!A1241,"")</f>
        <v>#REF!</v>
      </c>
      <c r="B1242" s="2" t="s">
        <v>72</v>
      </c>
    </row>
    <row r="1243" spans="1:2">
      <c r="A1243" s="7" t="e">
        <f>IF('Document Workflow'!A1242&lt;&gt;"",'Document Workflow'!A1242,"")</f>
        <v>#REF!</v>
      </c>
      <c r="B1243" s="2" t="s">
        <v>72</v>
      </c>
    </row>
    <row r="1244" spans="1:2">
      <c r="A1244" s="7" t="e">
        <f>IF('Document Workflow'!A1243&lt;&gt;"",'Document Workflow'!A1243,"")</f>
        <v>#REF!</v>
      </c>
      <c r="B1244" s="2" t="s">
        <v>72</v>
      </c>
    </row>
    <row r="1245" spans="1:2">
      <c r="A1245" s="7" t="e">
        <f>IF('Document Workflow'!A1244&lt;&gt;"",'Document Workflow'!A1244,"")</f>
        <v>#REF!</v>
      </c>
      <c r="B1245" s="2" t="s">
        <v>72</v>
      </c>
    </row>
    <row r="1246" spans="1:2">
      <c r="A1246" s="7" t="e">
        <f>IF('Document Workflow'!A1245&lt;&gt;"",'Document Workflow'!A1245,"")</f>
        <v>#REF!</v>
      </c>
      <c r="B1246" s="2" t="s">
        <v>72</v>
      </c>
    </row>
    <row r="1247" spans="1:2">
      <c r="A1247" s="7" t="e">
        <f>IF('Document Workflow'!A1246&lt;&gt;"",'Document Workflow'!A1246,"")</f>
        <v>#REF!</v>
      </c>
      <c r="B1247" s="2" t="s">
        <v>72</v>
      </c>
    </row>
    <row r="1248" spans="1:2">
      <c r="A1248" s="7" t="e">
        <f>IF('Document Workflow'!A1247&lt;&gt;"",'Document Workflow'!A1247,"")</f>
        <v>#REF!</v>
      </c>
      <c r="B1248" s="2" t="s">
        <v>72</v>
      </c>
    </row>
    <row r="1249" spans="1:2">
      <c r="A1249" s="7" t="e">
        <f>IF('Document Workflow'!A1248&lt;&gt;"",'Document Workflow'!A1248,"")</f>
        <v>#REF!</v>
      </c>
      <c r="B1249" s="2" t="s">
        <v>72</v>
      </c>
    </row>
    <row r="1250" spans="1:2">
      <c r="A1250" s="7" t="e">
        <f>IF('Document Workflow'!A1249&lt;&gt;"",'Document Workflow'!A1249,"")</f>
        <v>#REF!</v>
      </c>
      <c r="B1250" s="2" t="s">
        <v>72</v>
      </c>
    </row>
    <row r="1251" spans="1:2">
      <c r="A1251" s="7" t="e">
        <f>IF('Document Workflow'!A1250&lt;&gt;"",'Document Workflow'!A1250,"")</f>
        <v>#REF!</v>
      </c>
      <c r="B1251" s="2" t="s">
        <v>72</v>
      </c>
    </row>
    <row r="1252" spans="1:2">
      <c r="A1252" s="7" t="e">
        <f>IF('Document Workflow'!A1251&lt;&gt;"",'Document Workflow'!A1251,"")</f>
        <v>#REF!</v>
      </c>
      <c r="B1252" s="2" t="s">
        <v>72</v>
      </c>
    </row>
    <row r="1253" spans="1:2">
      <c r="A1253" s="7" t="e">
        <f>IF('Document Workflow'!A1252&lt;&gt;"",'Document Workflow'!A1252,"")</f>
        <v>#REF!</v>
      </c>
      <c r="B1253" s="2" t="s">
        <v>72</v>
      </c>
    </row>
    <row r="1254" spans="1:2">
      <c r="A1254" s="7" t="e">
        <f>IF('Document Workflow'!A1253&lt;&gt;"",'Document Workflow'!A1253,"")</f>
        <v>#REF!</v>
      </c>
      <c r="B1254" s="2" t="s">
        <v>72</v>
      </c>
    </row>
    <row r="1255" spans="1:2">
      <c r="A1255" s="7" t="e">
        <f>IF('Document Workflow'!A1254&lt;&gt;"",'Document Workflow'!A1254,"")</f>
        <v>#REF!</v>
      </c>
      <c r="B1255" s="2" t="s">
        <v>72</v>
      </c>
    </row>
    <row r="1256" spans="1:2">
      <c r="A1256" s="7" t="e">
        <f>IF('Document Workflow'!A1255&lt;&gt;"",'Document Workflow'!A1255,"")</f>
        <v>#REF!</v>
      </c>
      <c r="B1256" s="2" t="s">
        <v>72</v>
      </c>
    </row>
    <row r="1257" spans="1:2">
      <c r="A1257" s="7" t="e">
        <f>IF('Document Workflow'!A1256&lt;&gt;"",'Document Workflow'!A1256,"")</f>
        <v>#REF!</v>
      </c>
      <c r="B1257" s="2" t="s">
        <v>72</v>
      </c>
    </row>
    <row r="1258" spans="1:2">
      <c r="A1258" s="7" t="e">
        <f>IF('Document Workflow'!A1257&lt;&gt;"",'Document Workflow'!A1257,"")</f>
        <v>#REF!</v>
      </c>
      <c r="B1258" s="2" t="s">
        <v>72</v>
      </c>
    </row>
    <row r="1259" spans="1:2">
      <c r="A1259" s="7" t="e">
        <f>IF('Document Workflow'!A1258&lt;&gt;"",'Document Workflow'!A1258,"")</f>
        <v>#REF!</v>
      </c>
      <c r="B1259" s="2" t="s">
        <v>72</v>
      </c>
    </row>
    <row r="1260" spans="1:2">
      <c r="A1260" s="7" t="e">
        <f>IF('Document Workflow'!A1259&lt;&gt;"",'Document Workflow'!A1259,"")</f>
        <v>#REF!</v>
      </c>
      <c r="B1260" s="2" t="s">
        <v>72</v>
      </c>
    </row>
    <row r="1261" spans="1:2">
      <c r="A1261" s="7" t="e">
        <f>IF('Document Workflow'!A1260&lt;&gt;"",'Document Workflow'!A1260,"")</f>
        <v>#REF!</v>
      </c>
      <c r="B1261" s="2" t="s">
        <v>72</v>
      </c>
    </row>
    <row r="1262" spans="1:2">
      <c r="A1262" s="7" t="e">
        <f>IF('Document Workflow'!A1261&lt;&gt;"",'Document Workflow'!A1261,"")</f>
        <v>#REF!</v>
      </c>
      <c r="B1262" s="2" t="s">
        <v>72</v>
      </c>
    </row>
    <row r="1263" spans="1:2">
      <c r="A1263" s="7" t="e">
        <f>IF('Document Workflow'!A1262&lt;&gt;"",'Document Workflow'!A1262,"")</f>
        <v>#REF!</v>
      </c>
      <c r="B1263" s="2" t="s">
        <v>72</v>
      </c>
    </row>
    <row r="1264" spans="1:2">
      <c r="A1264" s="7" t="e">
        <f>IF('Document Workflow'!A1263&lt;&gt;"",'Document Workflow'!A1263,"")</f>
        <v>#REF!</v>
      </c>
      <c r="B1264" s="2" t="s">
        <v>72</v>
      </c>
    </row>
    <row r="1265" spans="1:2">
      <c r="A1265" s="7" t="e">
        <f>IF('Document Workflow'!A1264&lt;&gt;"",'Document Workflow'!A1264,"")</f>
        <v>#REF!</v>
      </c>
      <c r="B1265" s="2" t="s">
        <v>72</v>
      </c>
    </row>
    <row r="1266" spans="1:2">
      <c r="A1266" s="7" t="e">
        <f>IF('Document Workflow'!A1265&lt;&gt;"",'Document Workflow'!A1265,"")</f>
        <v>#REF!</v>
      </c>
      <c r="B1266" s="2" t="s">
        <v>72</v>
      </c>
    </row>
    <row r="1267" spans="1:2">
      <c r="A1267" s="7" t="e">
        <f>IF('Document Workflow'!A1266&lt;&gt;"",'Document Workflow'!A1266,"")</f>
        <v>#REF!</v>
      </c>
      <c r="B1267" s="2" t="s">
        <v>72</v>
      </c>
    </row>
    <row r="1268" spans="1:2">
      <c r="A1268" s="7" t="e">
        <f>IF('Document Workflow'!A1267&lt;&gt;"",'Document Workflow'!A1267,"")</f>
        <v>#REF!</v>
      </c>
      <c r="B1268" s="2" t="s">
        <v>72</v>
      </c>
    </row>
    <row r="1269" spans="1:2">
      <c r="A1269" s="7" t="e">
        <f>IF('Document Workflow'!A1268&lt;&gt;"",'Document Workflow'!A1268,"")</f>
        <v>#REF!</v>
      </c>
      <c r="B1269" s="2" t="s">
        <v>72</v>
      </c>
    </row>
    <row r="1270" spans="1:2">
      <c r="A1270" s="7" t="e">
        <f>IF('Document Workflow'!A1269&lt;&gt;"",'Document Workflow'!A1269,"")</f>
        <v>#REF!</v>
      </c>
      <c r="B1270" s="2" t="s">
        <v>72</v>
      </c>
    </row>
    <row r="1271" spans="1:2">
      <c r="A1271" s="7" t="e">
        <f>IF('Document Workflow'!A1270&lt;&gt;"",'Document Workflow'!A1270,"")</f>
        <v>#REF!</v>
      </c>
      <c r="B1271" s="2" t="s">
        <v>72</v>
      </c>
    </row>
    <row r="1272" spans="1:2">
      <c r="A1272" s="7" t="e">
        <f>IF('Document Workflow'!A1271&lt;&gt;"",'Document Workflow'!A1271,"")</f>
        <v>#REF!</v>
      </c>
      <c r="B1272" s="2" t="s">
        <v>72</v>
      </c>
    </row>
    <row r="1273" spans="1:2">
      <c r="A1273" s="7" t="e">
        <f>IF('Document Workflow'!A1272&lt;&gt;"",'Document Workflow'!A1272,"")</f>
        <v>#REF!</v>
      </c>
      <c r="B1273" s="2" t="s">
        <v>72</v>
      </c>
    </row>
    <row r="1274" spans="1:2">
      <c r="A1274" s="7" t="e">
        <f>IF('Document Workflow'!A1273&lt;&gt;"",'Document Workflow'!A1273,"")</f>
        <v>#REF!</v>
      </c>
      <c r="B1274" s="2" t="s">
        <v>72</v>
      </c>
    </row>
    <row r="1275" spans="1:2">
      <c r="A1275" s="7" t="e">
        <f>IF('Document Workflow'!A1274&lt;&gt;"",'Document Workflow'!A1274,"")</f>
        <v>#REF!</v>
      </c>
      <c r="B1275" s="2" t="s">
        <v>72</v>
      </c>
    </row>
    <row r="1276" spans="1:2">
      <c r="A1276" s="7" t="e">
        <f>IF('Document Workflow'!A1275&lt;&gt;"",'Document Workflow'!A1275,"")</f>
        <v>#REF!</v>
      </c>
      <c r="B1276" s="2" t="s">
        <v>72</v>
      </c>
    </row>
    <row r="1277" spans="1:2">
      <c r="A1277" s="7" t="e">
        <f>IF('Document Workflow'!A1276&lt;&gt;"",'Document Workflow'!A1276,"")</f>
        <v>#REF!</v>
      </c>
      <c r="B1277" s="2" t="s">
        <v>72</v>
      </c>
    </row>
    <row r="1278" spans="1:2">
      <c r="A1278" s="7" t="e">
        <f>IF('Document Workflow'!A1277&lt;&gt;"",'Document Workflow'!A1277,"")</f>
        <v>#REF!</v>
      </c>
      <c r="B1278" s="2" t="s">
        <v>72</v>
      </c>
    </row>
    <row r="1279" spans="1:2">
      <c r="A1279" s="7" t="e">
        <f>IF('Document Workflow'!A1278&lt;&gt;"",'Document Workflow'!A1278,"")</f>
        <v>#REF!</v>
      </c>
      <c r="B1279" s="2" t="s">
        <v>72</v>
      </c>
    </row>
    <row r="1280" spans="1:2">
      <c r="A1280" s="7" t="e">
        <f>IF('Document Workflow'!A1279&lt;&gt;"",'Document Workflow'!A1279,"")</f>
        <v>#REF!</v>
      </c>
      <c r="B1280" s="2" t="s">
        <v>72</v>
      </c>
    </row>
    <row r="1281" spans="1:2">
      <c r="A1281" s="7" t="e">
        <f>IF('Document Workflow'!A1280&lt;&gt;"",'Document Workflow'!A1280,"")</f>
        <v>#REF!</v>
      </c>
      <c r="B1281" s="2" t="s">
        <v>72</v>
      </c>
    </row>
    <row r="1282" spans="1:2">
      <c r="A1282" s="7" t="e">
        <f>IF('Document Workflow'!A1281&lt;&gt;"",'Document Workflow'!A1281,"")</f>
        <v>#REF!</v>
      </c>
      <c r="B1282" s="2" t="s">
        <v>72</v>
      </c>
    </row>
    <row r="1283" spans="1:2">
      <c r="A1283" s="7" t="e">
        <f>IF('Document Workflow'!A1282&lt;&gt;"",'Document Workflow'!A1282,"")</f>
        <v>#REF!</v>
      </c>
      <c r="B1283" s="2" t="s">
        <v>72</v>
      </c>
    </row>
    <row r="1284" spans="1:2">
      <c r="A1284" s="7" t="e">
        <f>IF('Document Workflow'!A1283&lt;&gt;"",'Document Workflow'!A1283,"")</f>
        <v>#REF!</v>
      </c>
      <c r="B1284" s="2" t="s">
        <v>72</v>
      </c>
    </row>
    <row r="1285" spans="1:2">
      <c r="A1285" s="7" t="e">
        <f>IF('Document Workflow'!A1284&lt;&gt;"",'Document Workflow'!A1284,"")</f>
        <v>#REF!</v>
      </c>
      <c r="B1285" s="2" t="s">
        <v>72</v>
      </c>
    </row>
    <row r="1286" spans="1:2">
      <c r="A1286" s="7" t="e">
        <f>IF('Document Workflow'!A1285&lt;&gt;"",'Document Workflow'!A1285,"")</f>
        <v>#REF!</v>
      </c>
      <c r="B1286" s="2" t="s">
        <v>72</v>
      </c>
    </row>
    <row r="1287" spans="1:2">
      <c r="A1287" s="7" t="e">
        <f>IF('Document Workflow'!A1286&lt;&gt;"",'Document Workflow'!A1286,"")</f>
        <v>#REF!</v>
      </c>
      <c r="B1287" s="2" t="s">
        <v>72</v>
      </c>
    </row>
    <row r="1288" spans="1:2">
      <c r="A1288" s="7" t="e">
        <f>IF('Document Workflow'!A1287&lt;&gt;"",'Document Workflow'!A1287,"")</f>
        <v>#REF!</v>
      </c>
      <c r="B1288" s="2" t="s">
        <v>72</v>
      </c>
    </row>
    <row r="1289" spans="1:2">
      <c r="A1289" s="7" t="e">
        <f>IF('Document Workflow'!A1288&lt;&gt;"",'Document Workflow'!A1288,"")</f>
        <v>#REF!</v>
      </c>
      <c r="B1289" s="2" t="s">
        <v>72</v>
      </c>
    </row>
    <row r="1290" spans="1:2">
      <c r="A1290" s="7" t="e">
        <f>IF('Document Workflow'!A1289&lt;&gt;"",'Document Workflow'!A1289,"")</f>
        <v>#REF!</v>
      </c>
      <c r="B1290" s="2" t="s">
        <v>72</v>
      </c>
    </row>
    <row r="1291" spans="1:2">
      <c r="A1291" s="7" t="e">
        <f>IF('Document Workflow'!A1290&lt;&gt;"",'Document Workflow'!A1290,"")</f>
        <v>#REF!</v>
      </c>
      <c r="B1291" s="2" t="s">
        <v>72</v>
      </c>
    </row>
    <row r="1292" spans="1:2">
      <c r="A1292" s="7" t="e">
        <f>IF('Document Workflow'!A1291&lt;&gt;"",'Document Workflow'!A1291,"")</f>
        <v>#REF!</v>
      </c>
      <c r="B1292" s="2" t="s">
        <v>72</v>
      </c>
    </row>
    <row r="1293" spans="1:2">
      <c r="A1293" s="7" t="e">
        <f>IF('Document Workflow'!A1292&lt;&gt;"",'Document Workflow'!A1292,"")</f>
        <v>#REF!</v>
      </c>
      <c r="B1293" s="2" t="s">
        <v>72</v>
      </c>
    </row>
    <row r="1294" spans="1:2">
      <c r="A1294" s="7" t="e">
        <f>IF('Document Workflow'!A1293&lt;&gt;"",'Document Workflow'!A1293,"")</f>
        <v>#REF!</v>
      </c>
      <c r="B1294" s="2" t="s">
        <v>72</v>
      </c>
    </row>
    <row r="1295" spans="1:2">
      <c r="A1295" s="7" t="e">
        <f>IF('Document Workflow'!A1294&lt;&gt;"",'Document Workflow'!A1294,"")</f>
        <v>#REF!</v>
      </c>
      <c r="B1295" s="2" t="s">
        <v>72</v>
      </c>
    </row>
    <row r="1296" spans="1:2">
      <c r="A1296" s="7" t="e">
        <f>IF('Document Workflow'!A1295&lt;&gt;"",'Document Workflow'!A1295,"")</f>
        <v>#REF!</v>
      </c>
      <c r="B1296" s="2" t="s">
        <v>72</v>
      </c>
    </row>
    <row r="1297" spans="1:2">
      <c r="A1297" s="7" t="e">
        <f>IF('Document Workflow'!A1296&lt;&gt;"",'Document Workflow'!A1296,"")</f>
        <v>#REF!</v>
      </c>
      <c r="B1297" s="2" t="s">
        <v>72</v>
      </c>
    </row>
    <row r="1298" spans="1:2">
      <c r="A1298" s="7" t="e">
        <f>IF('Document Workflow'!A1297&lt;&gt;"",'Document Workflow'!A1297,"")</f>
        <v>#REF!</v>
      </c>
      <c r="B1298" s="2" t="s">
        <v>72</v>
      </c>
    </row>
    <row r="1299" spans="1:2">
      <c r="A1299" s="7" t="e">
        <f>IF('Document Workflow'!A1298&lt;&gt;"",'Document Workflow'!A1298,"")</f>
        <v>#REF!</v>
      </c>
      <c r="B1299" s="2" t="s">
        <v>72</v>
      </c>
    </row>
    <row r="1300" spans="1:2">
      <c r="A1300" s="7" t="e">
        <f>IF('Document Workflow'!A1299&lt;&gt;"",'Document Workflow'!A1299,"")</f>
        <v>#REF!</v>
      </c>
      <c r="B1300" s="2" t="s">
        <v>72</v>
      </c>
    </row>
    <row r="1301" spans="1:2">
      <c r="A1301" s="7" t="e">
        <f>IF('Document Workflow'!A1300&lt;&gt;"",'Document Workflow'!A1300,"")</f>
        <v>#REF!</v>
      </c>
      <c r="B1301" s="2" t="s">
        <v>72</v>
      </c>
    </row>
    <row r="1302" spans="1:2">
      <c r="A1302" s="7" t="e">
        <f>IF('Document Workflow'!A1301&lt;&gt;"",'Document Workflow'!A1301,"")</f>
        <v>#REF!</v>
      </c>
      <c r="B1302" s="2" t="s">
        <v>72</v>
      </c>
    </row>
    <row r="1303" spans="1:2">
      <c r="A1303" s="7" t="e">
        <f>IF('Document Workflow'!A1302&lt;&gt;"",'Document Workflow'!A1302,"")</f>
        <v>#REF!</v>
      </c>
      <c r="B1303" s="2" t="s">
        <v>72</v>
      </c>
    </row>
    <row r="1304" spans="1:2">
      <c r="A1304" s="7" t="e">
        <f>IF('Document Workflow'!A1303&lt;&gt;"",'Document Workflow'!A1303,"")</f>
        <v>#REF!</v>
      </c>
      <c r="B1304" s="2" t="s">
        <v>72</v>
      </c>
    </row>
    <row r="1305" spans="1:2">
      <c r="A1305" s="7" t="e">
        <f>IF('Document Workflow'!A1304&lt;&gt;"",'Document Workflow'!A1304,"")</f>
        <v>#REF!</v>
      </c>
      <c r="B1305" s="2" t="s">
        <v>72</v>
      </c>
    </row>
    <row r="1306" spans="1:2">
      <c r="A1306" s="7" t="e">
        <f>IF('Document Workflow'!A1305&lt;&gt;"",'Document Workflow'!A1305,"")</f>
        <v>#REF!</v>
      </c>
      <c r="B1306" s="2" t="s">
        <v>72</v>
      </c>
    </row>
    <row r="1307" spans="1:2">
      <c r="A1307" s="7" t="e">
        <f>IF('Document Workflow'!A1306&lt;&gt;"",'Document Workflow'!A1306,"")</f>
        <v>#REF!</v>
      </c>
      <c r="B1307" s="2" t="s">
        <v>72</v>
      </c>
    </row>
    <row r="1308" spans="1:2">
      <c r="A1308" s="7" t="e">
        <f>IF('Document Workflow'!A1307&lt;&gt;"",'Document Workflow'!A1307,"")</f>
        <v>#REF!</v>
      </c>
      <c r="B1308" s="2" t="s">
        <v>72</v>
      </c>
    </row>
    <row r="1309" spans="1:2">
      <c r="A1309" s="7" t="e">
        <f>IF('Document Workflow'!A1308&lt;&gt;"",'Document Workflow'!A1308,"")</f>
        <v>#REF!</v>
      </c>
      <c r="B1309" s="2" t="s">
        <v>72</v>
      </c>
    </row>
    <row r="1310" spans="1:2">
      <c r="A1310" s="7" t="e">
        <f>IF('Document Workflow'!A1309&lt;&gt;"",'Document Workflow'!A1309,"")</f>
        <v>#REF!</v>
      </c>
      <c r="B1310" s="2" t="s">
        <v>72</v>
      </c>
    </row>
    <row r="1311" spans="1:2">
      <c r="A1311" s="7" t="e">
        <f>IF('Document Workflow'!A1310&lt;&gt;"",'Document Workflow'!A1310,"")</f>
        <v>#REF!</v>
      </c>
      <c r="B1311" s="2" t="s">
        <v>72</v>
      </c>
    </row>
    <row r="1312" spans="1:2">
      <c r="A1312" s="7" t="e">
        <f>IF('Document Workflow'!A1311&lt;&gt;"",'Document Workflow'!A1311,"")</f>
        <v>#REF!</v>
      </c>
      <c r="B1312" s="2" t="s">
        <v>72</v>
      </c>
    </row>
    <row r="1313" spans="1:2">
      <c r="A1313" s="7" t="e">
        <f>IF('Document Workflow'!A1312&lt;&gt;"",'Document Workflow'!A1312,"")</f>
        <v>#REF!</v>
      </c>
      <c r="B1313" s="2" t="s">
        <v>72</v>
      </c>
    </row>
    <row r="1314" spans="1:2">
      <c r="A1314" s="7" t="e">
        <f>IF('Document Workflow'!A1313&lt;&gt;"",'Document Workflow'!A1313,"")</f>
        <v>#REF!</v>
      </c>
      <c r="B1314" s="2" t="s">
        <v>72</v>
      </c>
    </row>
    <row r="1315" spans="1:2">
      <c r="A1315" s="7" t="e">
        <f>IF('Document Workflow'!A1314&lt;&gt;"",'Document Workflow'!A1314,"")</f>
        <v>#REF!</v>
      </c>
      <c r="B1315" s="2" t="s">
        <v>72</v>
      </c>
    </row>
    <row r="1316" spans="1:2">
      <c r="A1316" s="7" t="e">
        <f>IF('Document Workflow'!A1315&lt;&gt;"",'Document Workflow'!A1315,"")</f>
        <v>#REF!</v>
      </c>
      <c r="B1316" s="2" t="s">
        <v>72</v>
      </c>
    </row>
    <row r="1317" spans="1:2">
      <c r="A1317" s="7" t="e">
        <f>IF('Document Workflow'!A1316&lt;&gt;"",'Document Workflow'!A1316,"")</f>
        <v>#REF!</v>
      </c>
      <c r="B1317" s="2" t="s">
        <v>72</v>
      </c>
    </row>
    <row r="1318" spans="1:2">
      <c r="A1318" s="7" t="e">
        <f>IF('Document Workflow'!A1317&lt;&gt;"",'Document Workflow'!A1317,"")</f>
        <v>#REF!</v>
      </c>
      <c r="B1318" s="2" t="s">
        <v>72</v>
      </c>
    </row>
    <row r="1319" spans="1:2">
      <c r="A1319" s="7" t="e">
        <f>IF('Document Workflow'!A1318&lt;&gt;"",'Document Workflow'!A1318,"")</f>
        <v>#REF!</v>
      </c>
      <c r="B1319" s="2" t="s">
        <v>72</v>
      </c>
    </row>
    <row r="1320" spans="1:2">
      <c r="A1320" s="7" t="e">
        <f>IF('Document Workflow'!A1319&lt;&gt;"",'Document Workflow'!A1319,"")</f>
        <v>#REF!</v>
      </c>
      <c r="B1320" s="2" t="s">
        <v>72</v>
      </c>
    </row>
    <row r="1321" spans="1:2">
      <c r="A1321" s="7" t="e">
        <f>IF('Document Workflow'!A1320&lt;&gt;"",'Document Workflow'!A1320,"")</f>
        <v>#REF!</v>
      </c>
      <c r="B1321" s="2" t="s">
        <v>72</v>
      </c>
    </row>
    <row r="1322" spans="1:2">
      <c r="A1322" s="7" t="e">
        <f>IF('Document Workflow'!A1321&lt;&gt;"",'Document Workflow'!A1321,"")</f>
        <v>#REF!</v>
      </c>
      <c r="B1322" s="2" t="s">
        <v>72</v>
      </c>
    </row>
    <row r="1323" spans="1:2">
      <c r="A1323" s="7" t="e">
        <f>IF('Document Workflow'!A1322&lt;&gt;"",'Document Workflow'!A1322,"")</f>
        <v>#REF!</v>
      </c>
      <c r="B1323" s="2" t="s">
        <v>72</v>
      </c>
    </row>
    <row r="1324" spans="1:2">
      <c r="A1324" s="7" t="e">
        <f>IF('Document Workflow'!A1323&lt;&gt;"",'Document Workflow'!A1323,"")</f>
        <v>#REF!</v>
      </c>
      <c r="B1324" s="2" t="s">
        <v>72</v>
      </c>
    </row>
    <row r="1325" spans="1:2">
      <c r="A1325" s="7" t="e">
        <f>IF('Document Workflow'!A1324&lt;&gt;"",'Document Workflow'!A1324,"")</f>
        <v>#REF!</v>
      </c>
      <c r="B1325" s="2" t="s">
        <v>72</v>
      </c>
    </row>
    <row r="1326" spans="1:2">
      <c r="A1326" s="7" t="e">
        <f>IF('Document Workflow'!A1325&lt;&gt;"",'Document Workflow'!A1325,"")</f>
        <v>#REF!</v>
      </c>
      <c r="B1326" s="2" t="s">
        <v>72</v>
      </c>
    </row>
    <row r="1327" spans="1:2">
      <c r="A1327" s="7" t="e">
        <f>IF('Document Workflow'!A1326&lt;&gt;"",'Document Workflow'!A1326,"")</f>
        <v>#REF!</v>
      </c>
      <c r="B1327" s="2" t="s">
        <v>72</v>
      </c>
    </row>
    <row r="1328" spans="1:2">
      <c r="A1328" s="7" t="e">
        <f>IF('Document Workflow'!A1327&lt;&gt;"",'Document Workflow'!A1327,"")</f>
        <v>#REF!</v>
      </c>
      <c r="B1328" s="2" t="s">
        <v>72</v>
      </c>
    </row>
    <row r="1329" spans="1:2">
      <c r="A1329" s="7" t="e">
        <f>IF('Document Workflow'!A1328&lt;&gt;"",'Document Workflow'!A1328,"")</f>
        <v>#REF!</v>
      </c>
      <c r="B1329" s="2" t="s">
        <v>72</v>
      </c>
    </row>
    <row r="1330" spans="1:2">
      <c r="A1330" s="7" t="e">
        <f>IF('Document Workflow'!A1329&lt;&gt;"",'Document Workflow'!A1329,"")</f>
        <v>#REF!</v>
      </c>
      <c r="B1330" s="2" t="s">
        <v>72</v>
      </c>
    </row>
    <row r="1331" spans="1:2">
      <c r="A1331" s="7" t="e">
        <f>IF('Document Workflow'!A1330&lt;&gt;"",'Document Workflow'!A1330,"")</f>
        <v>#REF!</v>
      </c>
      <c r="B1331" s="2" t="s">
        <v>72</v>
      </c>
    </row>
    <row r="1332" spans="1:2">
      <c r="A1332" s="7" t="e">
        <f>IF('Document Workflow'!A1331&lt;&gt;"",'Document Workflow'!A1331,"")</f>
        <v>#REF!</v>
      </c>
      <c r="B1332" s="2" t="s">
        <v>72</v>
      </c>
    </row>
    <row r="1333" spans="1:2">
      <c r="A1333" s="7" t="e">
        <f>IF('Document Workflow'!A1332&lt;&gt;"",'Document Workflow'!A1332,"")</f>
        <v>#REF!</v>
      </c>
      <c r="B1333" s="2" t="s">
        <v>72</v>
      </c>
    </row>
    <row r="1334" spans="1:2">
      <c r="A1334" s="7" t="e">
        <f>IF('Document Workflow'!A1333&lt;&gt;"",'Document Workflow'!A1333,"")</f>
        <v>#REF!</v>
      </c>
      <c r="B1334" s="2" t="s">
        <v>72</v>
      </c>
    </row>
    <row r="1335" spans="1:2">
      <c r="A1335" s="7" t="e">
        <f>IF('Document Workflow'!A1334&lt;&gt;"",'Document Workflow'!A1334,"")</f>
        <v>#REF!</v>
      </c>
      <c r="B1335" s="2" t="s">
        <v>72</v>
      </c>
    </row>
    <row r="1336" spans="1:2">
      <c r="A1336" s="7" t="e">
        <f>IF('Document Workflow'!A1335&lt;&gt;"",'Document Workflow'!A1335,"")</f>
        <v>#REF!</v>
      </c>
      <c r="B1336" s="2" t="s">
        <v>72</v>
      </c>
    </row>
    <row r="1337" spans="1:2">
      <c r="A1337" s="7" t="e">
        <f>IF('Document Workflow'!A1336&lt;&gt;"",'Document Workflow'!A1336,"")</f>
        <v>#REF!</v>
      </c>
      <c r="B1337" s="2" t="s">
        <v>72</v>
      </c>
    </row>
    <row r="1338" spans="1:2">
      <c r="A1338" s="7" t="e">
        <f>IF('Document Workflow'!A1337&lt;&gt;"",'Document Workflow'!A1337,"")</f>
        <v>#REF!</v>
      </c>
      <c r="B1338" s="2" t="s">
        <v>72</v>
      </c>
    </row>
    <row r="1339" spans="1:2">
      <c r="A1339" s="7" t="e">
        <f>IF('Document Workflow'!A1338&lt;&gt;"",'Document Workflow'!A1338,"")</f>
        <v>#REF!</v>
      </c>
      <c r="B1339" s="2" t="s">
        <v>72</v>
      </c>
    </row>
    <row r="1340" spans="1:2">
      <c r="A1340" s="7" t="e">
        <f>IF('Document Workflow'!A1339&lt;&gt;"",'Document Workflow'!A1339,"")</f>
        <v>#REF!</v>
      </c>
      <c r="B1340" s="2" t="s">
        <v>72</v>
      </c>
    </row>
    <row r="1341" spans="1:2">
      <c r="A1341" s="7" t="e">
        <f>IF('Document Workflow'!A1340&lt;&gt;"",'Document Workflow'!A1340,"")</f>
        <v>#REF!</v>
      </c>
      <c r="B1341" s="2" t="s">
        <v>72</v>
      </c>
    </row>
    <row r="1342" spans="1:2">
      <c r="A1342" s="7" t="e">
        <f>IF('Document Workflow'!A1341&lt;&gt;"",'Document Workflow'!A1341,"")</f>
        <v>#REF!</v>
      </c>
      <c r="B1342" s="2" t="s">
        <v>72</v>
      </c>
    </row>
    <row r="1343" spans="1:2">
      <c r="A1343" s="7" t="e">
        <f>IF('Document Workflow'!A1342&lt;&gt;"",'Document Workflow'!A1342,"")</f>
        <v>#REF!</v>
      </c>
      <c r="B1343" s="2" t="s">
        <v>72</v>
      </c>
    </row>
    <row r="1344" spans="1:2">
      <c r="A1344" s="7" t="e">
        <f>IF('Document Workflow'!A1343&lt;&gt;"",'Document Workflow'!A1343,"")</f>
        <v>#REF!</v>
      </c>
      <c r="B1344" s="2" t="s">
        <v>72</v>
      </c>
    </row>
    <row r="1345" spans="1:2">
      <c r="A1345" s="7" t="e">
        <f>IF('Document Workflow'!A1344&lt;&gt;"",'Document Workflow'!A1344,"")</f>
        <v>#REF!</v>
      </c>
      <c r="B1345" s="2" t="s">
        <v>72</v>
      </c>
    </row>
    <row r="1346" spans="1:2">
      <c r="A1346" s="7" t="e">
        <f>IF('Document Workflow'!A1345&lt;&gt;"",'Document Workflow'!A1345,"")</f>
        <v>#REF!</v>
      </c>
      <c r="B1346" s="2" t="s">
        <v>72</v>
      </c>
    </row>
    <row r="1347" spans="1:2">
      <c r="A1347" s="7" t="e">
        <f>IF('Document Workflow'!A1346&lt;&gt;"",'Document Workflow'!A1346,"")</f>
        <v>#REF!</v>
      </c>
      <c r="B1347" s="2" t="s">
        <v>72</v>
      </c>
    </row>
    <row r="1348" spans="1:2">
      <c r="A1348" s="7" t="e">
        <f>IF('Document Workflow'!A1347&lt;&gt;"",'Document Workflow'!A1347,"")</f>
        <v>#REF!</v>
      </c>
      <c r="B1348" s="2" t="s">
        <v>72</v>
      </c>
    </row>
    <row r="1349" spans="1:2">
      <c r="A1349" s="7" t="e">
        <f>IF('Document Workflow'!A1348&lt;&gt;"",'Document Workflow'!A1348,"")</f>
        <v>#REF!</v>
      </c>
      <c r="B1349" s="2" t="s">
        <v>72</v>
      </c>
    </row>
    <row r="1350" spans="1:2">
      <c r="A1350" s="7" t="e">
        <f>IF('Document Workflow'!A1349&lt;&gt;"",'Document Workflow'!A1349,"")</f>
        <v>#REF!</v>
      </c>
      <c r="B1350" s="2" t="s">
        <v>72</v>
      </c>
    </row>
    <row r="1351" spans="1:2">
      <c r="A1351" s="7" t="e">
        <f>IF('Document Workflow'!A1350&lt;&gt;"",'Document Workflow'!A1350,"")</f>
        <v>#REF!</v>
      </c>
      <c r="B1351" s="2" t="s">
        <v>72</v>
      </c>
    </row>
    <row r="1352" spans="1:2">
      <c r="A1352" s="7" t="e">
        <f>IF('Document Workflow'!A1351&lt;&gt;"",'Document Workflow'!A1351,"")</f>
        <v>#REF!</v>
      </c>
      <c r="B1352" s="2" t="s">
        <v>72</v>
      </c>
    </row>
    <row r="1353" spans="1:2">
      <c r="A1353" s="7" t="e">
        <f>IF('Document Workflow'!A1352&lt;&gt;"",'Document Workflow'!A1352,"")</f>
        <v>#REF!</v>
      </c>
      <c r="B1353" s="2" t="s">
        <v>72</v>
      </c>
    </row>
    <row r="1354" spans="1:2">
      <c r="A1354" s="7" t="e">
        <f>IF('Document Workflow'!A1353&lt;&gt;"",'Document Workflow'!A1353,"")</f>
        <v>#REF!</v>
      </c>
      <c r="B1354" s="2" t="s">
        <v>72</v>
      </c>
    </row>
    <row r="1355" spans="1:2">
      <c r="A1355" s="7" t="e">
        <f>IF('Document Workflow'!A1354&lt;&gt;"",'Document Workflow'!A1354,"")</f>
        <v>#REF!</v>
      </c>
      <c r="B1355" s="2" t="s">
        <v>72</v>
      </c>
    </row>
    <row r="1356" spans="1:2">
      <c r="A1356" s="7" t="e">
        <f>IF('Document Workflow'!A1355&lt;&gt;"",'Document Workflow'!A1355,"")</f>
        <v>#REF!</v>
      </c>
      <c r="B1356" s="2" t="s">
        <v>72</v>
      </c>
    </row>
    <row r="1357" spans="1:2">
      <c r="A1357" s="7" t="e">
        <f>IF('Document Workflow'!A1356&lt;&gt;"",'Document Workflow'!A1356,"")</f>
        <v>#REF!</v>
      </c>
      <c r="B1357" s="2" t="s">
        <v>72</v>
      </c>
    </row>
    <row r="1358" spans="1:2">
      <c r="A1358" s="7" t="e">
        <f>IF('Document Workflow'!A1357&lt;&gt;"",'Document Workflow'!A1357,"")</f>
        <v>#REF!</v>
      </c>
      <c r="B1358" s="2" t="s">
        <v>72</v>
      </c>
    </row>
    <row r="1359" spans="1:2">
      <c r="A1359" s="7" t="e">
        <f>IF('Document Workflow'!A1358&lt;&gt;"",'Document Workflow'!A1358,"")</f>
        <v>#REF!</v>
      </c>
      <c r="B1359" s="2" t="s">
        <v>72</v>
      </c>
    </row>
    <row r="1360" spans="1:2">
      <c r="A1360" s="7" t="e">
        <f>IF('Document Workflow'!A1359&lt;&gt;"",'Document Workflow'!A1359,"")</f>
        <v>#REF!</v>
      </c>
      <c r="B1360" s="2" t="s">
        <v>72</v>
      </c>
    </row>
    <row r="1361" spans="1:2">
      <c r="A1361" s="7" t="e">
        <f>IF('Document Workflow'!A1360&lt;&gt;"",'Document Workflow'!A1360,"")</f>
        <v>#REF!</v>
      </c>
      <c r="B1361" s="2" t="s">
        <v>72</v>
      </c>
    </row>
    <row r="1362" spans="1:2">
      <c r="A1362" s="7" t="e">
        <f>IF('Document Workflow'!A1361&lt;&gt;"",'Document Workflow'!A1361,"")</f>
        <v>#REF!</v>
      </c>
      <c r="B1362" s="2" t="s">
        <v>72</v>
      </c>
    </row>
    <row r="1363" spans="1:2">
      <c r="A1363" s="7" t="e">
        <f>IF('Document Workflow'!A1362&lt;&gt;"",'Document Workflow'!A1362,"")</f>
        <v>#REF!</v>
      </c>
      <c r="B1363" s="2" t="s">
        <v>72</v>
      </c>
    </row>
    <row r="1364" spans="1:2">
      <c r="A1364" s="7" t="e">
        <f>IF('Document Workflow'!A1363&lt;&gt;"",'Document Workflow'!A1363,"")</f>
        <v>#REF!</v>
      </c>
      <c r="B1364" s="2" t="s">
        <v>72</v>
      </c>
    </row>
    <row r="1365" spans="1:2">
      <c r="A1365" s="7" t="e">
        <f>IF('Document Workflow'!A1364&lt;&gt;"",'Document Workflow'!A1364,"")</f>
        <v>#REF!</v>
      </c>
      <c r="B1365" s="2" t="s">
        <v>72</v>
      </c>
    </row>
    <row r="1366" spans="1:2">
      <c r="A1366" s="7" t="e">
        <f>IF('Document Workflow'!A1365&lt;&gt;"",'Document Workflow'!A1365,"")</f>
        <v>#REF!</v>
      </c>
      <c r="B1366" s="2" t="s">
        <v>72</v>
      </c>
    </row>
    <row r="1367" spans="1:2">
      <c r="A1367" s="7" t="e">
        <f>IF('Document Workflow'!A1366&lt;&gt;"",'Document Workflow'!A1366,"")</f>
        <v>#REF!</v>
      </c>
      <c r="B1367" s="2" t="s">
        <v>72</v>
      </c>
    </row>
    <row r="1368" spans="1:2">
      <c r="A1368" s="7" t="e">
        <f>IF('Document Workflow'!A1367&lt;&gt;"",'Document Workflow'!A1367,"")</f>
        <v>#REF!</v>
      </c>
      <c r="B1368" s="2" t="s">
        <v>72</v>
      </c>
    </row>
    <row r="1369" spans="1:2">
      <c r="A1369" s="7" t="e">
        <f>IF('Document Workflow'!A1368&lt;&gt;"",'Document Workflow'!A1368,"")</f>
        <v>#REF!</v>
      </c>
      <c r="B1369" s="2" t="s">
        <v>72</v>
      </c>
    </row>
    <row r="1370" spans="1:2">
      <c r="A1370" s="7" t="e">
        <f>IF('Document Workflow'!A1369&lt;&gt;"",'Document Workflow'!A1369,"")</f>
        <v>#REF!</v>
      </c>
      <c r="B1370" s="2" t="s">
        <v>72</v>
      </c>
    </row>
    <row r="1371" spans="1:2">
      <c r="A1371" s="7" t="e">
        <f>IF('Document Workflow'!A1370&lt;&gt;"",'Document Workflow'!A1370,"")</f>
        <v>#REF!</v>
      </c>
      <c r="B1371" s="2" t="s">
        <v>72</v>
      </c>
    </row>
    <row r="1372" spans="1:2">
      <c r="A1372" s="7" t="e">
        <f>IF('Document Workflow'!A1371&lt;&gt;"",'Document Workflow'!A1371,"")</f>
        <v>#REF!</v>
      </c>
      <c r="B1372" s="2" t="s">
        <v>72</v>
      </c>
    </row>
    <row r="1373" spans="1:2">
      <c r="A1373" s="7" t="e">
        <f>IF('Document Workflow'!A1372&lt;&gt;"",'Document Workflow'!A1372,"")</f>
        <v>#REF!</v>
      </c>
      <c r="B1373" s="2" t="s">
        <v>72</v>
      </c>
    </row>
    <row r="1374" spans="1:2">
      <c r="A1374" s="7" t="e">
        <f>IF('Document Workflow'!A1373&lt;&gt;"",'Document Workflow'!A1373,"")</f>
        <v>#REF!</v>
      </c>
      <c r="B1374" s="2" t="s">
        <v>72</v>
      </c>
    </row>
    <row r="1375" spans="1:2">
      <c r="A1375" s="7" t="e">
        <f>IF('Document Workflow'!A1374&lt;&gt;"",'Document Workflow'!A1374,"")</f>
        <v>#REF!</v>
      </c>
      <c r="B1375" s="2" t="s">
        <v>72</v>
      </c>
    </row>
    <row r="1376" spans="1:2">
      <c r="A1376" s="7" t="e">
        <f>IF('Document Workflow'!A1375&lt;&gt;"",'Document Workflow'!A1375,"")</f>
        <v>#REF!</v>
      </c>
      <c r="B1376" s="2" t="s">
        <v>72</v>
      </c>
    </row>
    <row r="1377" spans="1:2">
      <c r="A1377" s="7" t="e">
        <f>IF('Document Workflow'!A1376&lt;&gt;"",'Document Workflow'!A1376,"")</f>
        <v>#REF!</v>
      </c>
      <c r="B1377" s="2" t="s">
        <v>72</v>
      </c>
    </row>
    <row r="1378" spans="1:2">
      <c r="A1378" s="7" t="e">
        <f>IF('Document Workflow'!A1377&lt;&gt;"",'Document Workflow'!A1377,"")</f>
        <v>#REF!</v>
      </c>
      <c r="B1378" s="2" t="s">
        <v>72</v>
      </c>
    </row>
    <row r="1379" spans="1:2">
      <c r="A1379" s="7" t="e">
        <f>IF('Document Workflow'!A1378&lt;&gt;"",'Document Workflow'!A1378,"")</f>
        <v>#REF!</v>
      </c>
      <c r="B1379" s="2" t="s">
        <v>72</v>
      </c>
    </row>
    <row r="1380" spans="1:2">
      <c r="A1380" s="7" t="e">
        <f>IF('Document Workflow'!A1379&lt;&gt;"",'Document Workflow'!A1379,"")</f>
        <v>#REF!</v>
      </c>
      <c r="B1380" s="2" t="s">
        <v>72</v>
      </c>
    </row>
    <row r="1381" spans="1:2">
      <c r="A1381" s="7" t="e">
        <f>IF('Document Workflow'!A1380&lt;&gt;"",'Document Workflow'!A1380,"")</f>
        <v>#REF!</v>
      </c>
      <c r="B1381" s="2" t="s">
        <v>72</v>
      </c>
    </row>
    <row r="1382" spans="1:2">
      <c r="A1382" s="7" t="e">
        <f>IF('Document Workflow'!A1381&lt;&gt;"",'Document Workflow'!A1381,"")</f>
        <v>#REF!</v>
      </c>
      <c r="B1382" s="2" t="s">
        <v>72</v>
      </c>
    </row>
    <row r="1383" spans="1:2">
      <c r="A1383" s="7" t="e">
        <f>IF('Document Workflow'!A1382&lt;&gt;"",'Document Workflow'!A1382,"")</f>
        <v>#REF!</v>
      </c>
      <c r="B1383" s="2" t="s">
        <v>72</v>
      </c>
    </row>
    <row r="1384" spans="1:2">
      <c r="A1384" s="7" t="e">
        <f>IF('Document Workflow'!A1383&lt;&gt;"",'Document Workflow'!A1383,"")</f>
        <v>#REF!</v>
      </c>
      <c r="B1384" s="2" t="s">
        <v>72</v>
      </c>
    </row>
    <row r="1385" spans="1:2">
      <c r="A1385" s="7" t="e">
        <f>IF('Document Workflow'!A1384&lt;&gt;"",'Document Workflow'!A1384,"")</f>
        <v>#REF!</v>
      </c>
      <c r="B1385" s="2" t="s">
        <v>72</v>
      </c>
    </row>
    <row r="1386" spans="1:2">
      <c r="A1386" s="7" t="e">
        <f>IF('Document Workflow'!A1385&lt;&gt;"",'Document Workflow'!A1385,"")</f>
        <v>#REF!</v>
      </c>
      <c r="B1386" s="2" t="s">
        <v>72</v>
      </c>
    </row>
    <row r="1387" spans="1:2">
      <c r="A1387" s="7" t="e">
        <f>IF('Document Workflow'!A1386&lt;&gt;"",'Document Workflow'!A1386,"")</f>
        <v>#REF!</v>
      </c>
      <c r="B1387" s="2" t="s">
        <v>72</v>
      </c>
    </row>
    <row r="1388" spans="1:2">
      <c r="A1388" s="7" t="e">
        <f>IF('Document Workflow'!A1387&lt;&gt;"",'Document Workflow'!A1387,"")</f>
        <v>#REF!</v>
      </c>
      <c r="B1388" s="2" t="s">
        <v>72</v>
      </c>
    </row>
    <row r="1389" spans="1:2">
      <c r="A1389" s="7" t="e">
        <f>IF('Document Workflow'!A1388&lt;&gt;"",'Document Workflow'!A1388,"")</f>
        <v>#REF!</v>
      </c>
      <c r="B1389" s="2" t="s">
        <v>72</v>
      </c>
    </row>
    <row r="1390" spans="1:2">
      <c r="A1390" s="7" t="e">
        <f>IF('Document Workflow'!A1389&lt;&gt;"",'Document Workflow'!A1389,"")</f>
        <v>#REF!</v>
      </c>
      <c r="B1390" s="2" t="s">
        <v>72</v>
      </c>
    </row>
    <row r="1391" spans="1:2">
      <c r="A1391" s="7" t="e">
        <f>IF('Document Workflow'!A1390&lt;&gt;"",'Document Workflow'!A1390,"")</f>
        <v>#REF!</v>
      </c>
      <c r="B1391" s="2" t="s">
        <v>72</v>
      </c>
    </row>
    <row r="1392" spans="1:2">
      <c r="A1392" s="7" t="e">
        <f>IF('Document Workflow'!A1391&lt;&gt;"",'Document Workflow'!A1391,"")</f>
        <v>#REF!</v>
      </c>
      <c r="B1392" s="2" t="s">
        <v>72</v>
      </c>
    </row>
    <row r="1393" spans="1:2">
      <c r="A1393" s="7" t="e">
        <f>IF('Document Workflow'!A1392&lt;&gt;"",'Document Workflow'!A1392,"")</f>
        <v>#REF!</v>
      </c>
      <c r="B1393" s="2" t="s">
        <v>72</v>
      </c>
    </row>
    <row r="1394" spans="1:2">
      <c r="A1394" s="7" t="e">
        <f>IF('Document Workflow'!A1393&lt;&gt;"",'Document Workflow'!A1393,"")</f>
        <v>#REF!</v>
      </c>
      <c r="B1394" s="2" t="s">
        <v>72</v>
      </c>
    </row>
    <row r="1395" spans="1:2">
      <c r="A1395" s="7" t="e">
        <f>IF('Document Workflow'!A1394&lt;&gt;"",'Document Workflow'!A1394,"")</f>
        <v>#REF!</v>
      </c>
      <c r="B1395" s="2" t="s">
        <v>72</v>
      </c>
    </row>
    <row r="1396" spans="1:2">
      <c r="A1396" s="7" t="e">
        <f>IF('Document Workflow'!A1395&lt;&gt;"",'Document Workflow'!A1395,"")</f>
        <v>#REF!</v>
      </c>
      <c r="B1396" s="2" t="s">
        <v>72</v>
      </c>
    </row>
    <row r="1397" spans="1:2">
      <c r="A1397" s="7" t="e">
        <f>IF('Document Workflow'!A1396&lt;&gt;"",'Document Workflow'!A1396,"")</f>
        <v>#REF!</v>
      </c>
      <c r="B1397" s="2" t="s">
        <v>72</v>
      </c>
    </row>
    <row r="1398" spans="1:2">
      <c r="A1398" s="7" t="e">
        <f>IF('Document Workflow'!A1397&lt;&gt;"",'Document Workflow'!A1397,"")</f>
        <v>#REF!</v>
      </c>
      <c r="B1398" s="2" t="s">
        <v>72</v>
      </c>
    </row>
    <row r="1399" spans="1:2">
      <c r="A1399" s="7" t="e">
        <f>IF('Document Workflow'!A1398&lt;&gt;"",'Document Workflow'!A1398,"")</f>
        <v>#REF!</v>
      </c>
      <c r="B1399" s="2" t="s">
        <v>72</v>
      </c>
    </row>
    <row r="1400" spans="1:2">
      <c r="A1400" s="7" t="e">
        <f>IF('Document Workflow'!A1399&lt;&gt;"",'Document Workflow'!A1399,"")</f>
        <v>#REF!</v>
      </c>
      <c r="B1400" s="2" t="s">
        <v>72</v>
      </c>
    </row>
    <row r="1401" spans="1:2">
      <c r="A1401" s="7" t="e">
        <f>IF('Document Workflow'!A1400&lt;&gt;"",'Document Workflow'!A1400,"")</f>
        <v>#REF!</v>
      </c>
      <c r="B1401" s="2" t="s">
        <v>72</v>
      </c>
    </row>
    <row r="1402" spans="1:2">
      <c r="A1402" s="7" t="e">
        <f>IF('Document Workflow'!A1401&lt;&gt;"",'Document Workflow'!A1401,"")</f>
        <v>#REF!</v>
      </c>
      <c r="B1402" s="2" t="s">
        <v>72</v>
      </c>
    </row>
    <row r="1403" spans="1:2">
      <c r="A1403" s="7" t="e">
        <f>IF('Document Workflow'!A1402&lt;&gt;"",'Document Workflow'!A1402,"")</f>
        <v>#REF!</v>
      </c>
      <c r="B1403" s="2" t="s">
        <v>72</v>
      </c>
    </row>
    <row r="1404" spans="1:2">
      <c r="A1404" s="7" t="e">
        <f>IF('Document Workflow'!A1403&lt;&gt;"",'Document Workflow'!A1403,"")</f>
        <v>#REF!</v>
      </c>
      <c r="B1404" s="2" t="s">
        <v>72</v>
      </c>
    </row>
    <row r="1405" spans="1:2">
      <c r="A1405" s="7" t="e">
        <f>IF('Document Workflow'!A1404&lt;&gt;"",'Document Workflow'!A1404,"")</f>
        <v>#REF!</v>
      </c>
      <c r="B1405" s="2" t="s">
        <v>72</v>
      </c>
    </row>
    <row r="1406" spans="1:2">
      <c r="A1406" s="7" t="e">
        <f>IF('Document Workflow'!A1405&lt;&gt;"",'Document Workflow'!A1405,"")</f>
        <v>#REF!</v>
      </c>
      <c r="B1406" s="2" t="s">
        <v>72</v>
      </c>
    </row>
    <row r="1407" spans="1:2">
      <c r="A1407" s="7" t="e">
        <f>IF('Document Workflow'!A1406&lt;&gt;"",'Document Workflow'!A1406,"")</f>
        <v>#REF!</v>
      </c>
      <c r="B1407" s="2" t="s">
        <v>72</v>
      </c>
    </row>
    <row r="1408" spans="1:2">
      <c r="A1408" s="7" t="e">
        <f>IF('Document Workflow'!A1407&lt;&gt;"",'Document Workflow'!A1407,"")</f>
        <v>#REF!</v>
      </c>
      <c r="B1408" s="2" t="s">
        <v>72</v>
      </c>
    </row>
    <row r="1409" spans="1:2">
      <c r="A1409" s="7" t="e">
        <f>IF('Document Workflow'!A1408&lt;&gt;"",'Document Workflow'!A1408,"")</f>
        <v>#REF!</v>
      </c>
      <c r="B1409" s="2" t="s">
        <v>72</v>
      </c>
    </row>
    <row r="1410" spans="1:2">
      <c r="A1410" s="7" t="e">
        <f>IF('Document Workflow'!A1409&lt;&gt;"",'Document Workflow'!A1409,"")</f>
        <v>#REF!</v>
      </c>
      <c r="B1410" s="2" t="s">
        <v>72</v>
      </c>
    </row>
    <row r="1411" spans="1:2">
      <c r="A1411" s="7" t="e">
        <f>IF('Document Workflow'!A1410&lt;&gt;"",'Document Workflow'!A1410,"")</f>
        <v>#REF!</v>
      </c>
      <c r="B1411" s="2" t="s">
        <v>72</v>
      </c>
    </row>
    <row r="1412" spans="1:2">
      <c r="A1412" s="7" t="e">
        <f>IF('Document Workflow'!A1411&lt;&gt;"",'Document Workflow'!A1411,"")</f>
        <v>#REF!</v>
      </c>
      <c r="B1412" s="2" t="s">
        <v>72</v>
      </c>
    </row>
    <row r="1413" spans="1:2">
      <c r="A1413" s="7" t="e">
        <f>IF('Document Workflow'!A1412&lt;&gt;"",'Document Workflow'!A1412,"")</f>
        <v>#REF!</v>
      </c>
      <c r="B1413" s="2" t="s">
        <v>72</v>
      </c>
    </row>
    <row r="1414" spans="1:2">
      <c r="A1414" s="7" t="e">
        <f>IF('Document Workflow'!A1413&lt;&gt;"",'Document Workflow'!A1413,"")</f>
        <v>#REF!</v>
      </c>
      <c r="B1414" s="2" t="s">
        <v>72</v>
      </c>
    </row>
    <row r="1415" spans="1:2">
      <c r="A1415" s="7" t="e">
        <f>IF('Document Workflow'!A1414&lt;&gt;"",'Document Workflow'!A1414,"")</f>
        <v>#REF!</v>
      </c>
      <c r="B1415" s="2" t="s">
        <v>72</v>
      </c>
    </row>
    <row r="1416" spans="1:2">
      <c r="A1416" s="7" t="e">
        <f>IF('Document Workflow'!A1415&lt;&gt;"",'Document Workflow'!A1415,"")</f>
        <v>#REF!</v>
      </c>
      <c r="B1416" s="2" t="s">
        <v>72</v>
      </c>
    </row>
    <row r="1417" spans="1:2">
      <c r="A1417" s="7" t="e">
        <f>IF('Document Workflow'!A1416&lt;&gt;"",'Document Workflow'!A1416,"")</f>
        <v>#REF!</v>
      </c>
      <c r="B1417" s="2" t="s">
        <v>72</v>
      </c>
    </row>
    <row r="1418" spans="1:2">
      <c r="A1418" s="7" t="e">
        <f>IF('Document Workflow'!A1417&lt;&gt;"",'Document Workflow'!A1417,"")</f>
        <v>#REF!</v>
      </c>
      <c r="B1418" s="2" t="s">
        <v>72</v>
      </c>
    </row>
    <row r="1419" spans="1:2">
      <c r="A1419" s="7" t="e">
        <f>IF('Document Workflow'!A1418&lt;&gt;"",'Document Workflow'!A1418,"")</f>
        <v>#REF!</v>
      </c>
      <c r="B1419" s="2" t="s">
        <v>72</v>
      </c>
    </row>
    <row r="1420" spans="1:2">
      <c r="A1420" s="7" t="e">
        <f>IF('Document Workflow'!A1419&lt;&gt;"",'Document Workflow'!A1419,"")</f>
        <v>#REF!</v>
      </c>
      <c r="B1420" s="2" t="s">
        <v>72</v>
      </c>
    </row>
    <row r="1421" spans="1:2">
      <c r="A1421" s="7" t="e">
        <f>IF('Document Workflow'!A1420&lt;&gt;"",'Document Workflow'!A1420,"")</f>
        <v>#REF!</v>
      </c>
      <c r="B1421" s="2" t="s">
        <v>72</v>
      </c>
    </row>
    <row r="1422" spans="1:2">
      <c r="A1422" s="7" t="e">
        <f>IF('Document Workflow'!A1421&lt;&gt;"",'Document Workflow'!A1421,"")</f>
        <v>#REF!</v>
      </c>
      <c r="B1422" s="2" t="s">
        <v>72</v>
      </c>
    </row>
    <row r="1423" spans="1:2">
      <c r="A1423" s="7" t="e">
        <f>IF('Document Workflow'!A1422&lt;&gt;"",'Document Workflow'!A1422,"")</f>
        <v>#REF!</v>
      </c>
      <c r="B1423" s="2" t="s">
        <v>72</v>
      </c>
    </row>
    <row r="1424" spans="1:2">
      <c r="A1424" s="7" t="e">
        <f>IF('Document Workflow'!A1423&lt;&gt;"",'Document Workflow'!A1423,"")</f>
        <v>#REF!</v>
      </c>
      <c r="B1424" s="2" t="s">
        <v>72</v>
      </c>
    </row>
    <row r="1425" spans="1:2">
      <c r="A1425" s="7" t="e">
        <f>IF('Document Workflow'!A1424&lt;&gt;"",'Document Workflow'!A1424,"")</f>
        <v>#REF!</v>
      </c>
      <c r="B1425" s="2" t="s">
        <v>72</v>
      </c>
    </row>
    <row r="1426" spans="1:2">
      <c r="A1426" s="7" t="e">
        <f>IF('Document Workflow'!A1425&lt;&gt;"",'Document Workflow'!A1425,"")</f>
        <v>#REF!</v>
      </c>
      <c r="B1426" s="2" t="s">
        <v>72</v>
      </c>
    </row>
    <row r="1427" spans="1:2">
      <c r="A1427" s="7" t="e">
        <f>IF('Document Workflow'!A1426&lt;&gt;"",'Document Workflow'!A1426,"")</f>
        <v>#REF!</v>
      </c>
      <c r="B1427" s="2" t="s">
        <v>72</v>
      </c>
    </row>
    <row r="1428" spans="1:2">
      <c r="A1428" s="7" t="e">
        <f>IF('Document Workflow'!A1427&lt;&gt;"",'Document Workflow'!A1427,"")</f>
        <v>#REF!</v>
      </c>
      <c r="B1428" s="2" t="s">
        <v>72</v>
      </c>
    </row>
    <row r="1429" spans="1:2">
      <c r="A1429" s="7" t="e">
        <f>IF('Document Workflow'!A1428&lt;&gt;"",'Document Workflow'!A1428,"")</f>
        <v>#REF!</v>
      </c>
      <c r="B1429" s="2" t="s">
        <v>72</v>
      </c>
    </row>
    <row r="1430" spans="1:2">
      <c r="A1430" s="7" t="e">
        <f>IF('Document Workflow'!A1429&lt;&gt;"",'Document Workflow'!A1429,"")</f>
        <v>#REF!</v>
      </c>
      <c r="B1430" s="2" t="s">
        <v>72</v>
      </c>
    </row>
    <row r="1431" spans="1:2">
      <c r="A1431" s="7" t="e">
        <f>IF('Document Workflow'!A1430&lt;&gt;"",'Document Workflow'!A1430,"")</f>
        <v>#REF!</v>
      </c>
      <c r="B1431" s="2" t="s">
        <v>72</v>
      </c>
    </row>
    <row r="1432" spans="1:2">
      <c r="A1432" s="7" t="e">
        <f>IF('Document Workflow'!A1431&lt;&gt;"",'Document Workflow'!A1431,"")</f>
        <v>#REF!</v>
      </c>
      <c r="B1432" s="2" t="s">
        <v>72</v>
      </c>
    </row>
    <row r="1433" spans="1:2">
      <c r="A1433" s="7" t="e">
        <f>IF('Document Workflow'!A1432&lt;&gt;"",'Document Workflow'!A1432,"")</f>
        <v>#REF!</v>
      </c>
      <c r="B1433" s="2" t="s">
        <v>72</v>
      </c>
    </row>
    <row r="1434" spans="1:2">
      <c r="A1434" s="7" t="e">
        <f>IF('Document Workflow'!A1433&lt;&gt;"",'Document Workflow'!A1433,"")</f>
        <v>#REF!</v>
      </c>
      <c r="B1434" s="2" t="s">
        <v>72</v>
      </c>
    </row>
    <row r="1435" spans="1:2">
      <c r="A1435" s="7" t="e">
        <f>IF('Document Workflow'!A1434&lt;&gt;"",'Document Workflow'!A1434,"")</f>
        <v>#REF!</v>
      </c>
      <c r="B1435" s="2" t="s">
        <v>72</v>
      </c>
    </row>
    <row r="1436" spans="1:2">
      <c r="A1436" s="7" t="e">
        <f>IF('Document Workflow'!A1435&lt;&gt;"",'Document Workflow'!A1435,"")</f>
        <v>#REF!</v>
      </c>
      <c r="B1436" s="2" t="s">
        <v>72</v>
      </c>
    </row>
    <row r="1437" spans="1:2">
      <c r="A1437" s="7" t="e">
        <f>IF('Document Workflow'!A1436&lt;&gt;"",'Document Workflow'!A1436,"")</f>
        <v>#REF!</v>
      </c>
      <c r="B1437" s="2" t="s">
        <v>72</v>
      </c>
    </row>
    <row r="1438" spans="1:2">
      <c r="A1438" s="7" t="e">
        <f>IF('Document Workflow'!A1437&lt;&gt;"",'Document Workflow'!A1437,"")</f>
        <v>#REF!</v>
      </c>
      <c r="B1438" s="2" t="s">
        <v>72</v>
      </c>
    </row>
    <row r="1439" spans="1:2">
      <c r="A1439" s="7" t="e">
        <f>IF('Document Workflow'!A1438&lt;&gt;"",'Document Workflow'!A1438,"")</f>
        <v>#REF!</v>
      </c>
      <c r="B1439" s="2" t="s">
        <v>72</v>
      </c>
    </row>
    <row r="1440" spans="1:2">
      <c r="A1440" s="7" t="e">
        <f>IF('Document Workflow'!A1439&lt;&gt;"",'Document Workflow'!A1439,"")</f>
        <v>#REF!</v>
      </c>
      <c r="B1440" s="2" t="s">
        <v>72</v>
      </c>
    </row>
    <row r="1441" spans="1:2">
      <c r="A1441" s="7" t="e">
        <f>IF('Document Workflow'!A1440&lt;&gt;"",'Document Workflow'!A1440,"")</f>
        <v>#REF!</v>
      </c>
      <c r="B1441" s="2" t="s">
        <v>72</v>
      </c>
    </row>
    <row r="1442" spans="1:2">
      <c r="A1442" s="7" t="e">
        <f>IF('Document Workflow'!A1441&lt;&gt;"",'Document Workflow'!A1441,"")</f>
        <v>#REF!</v>
      </c>
      <c r="B1442" s="2" t="s">
        <v>72</v>
      </c>
    </row>
    <row r="1443" spans="1:2">
      <c r="A1443" s="7" t="e">
        <f>IF('Document Workflow'!A1442&lt;&gt;"",'Document Workflow'!A1442,"")</f>
        <v>#REF!</v>
      </c>
      <c r="B1443" s="2" t="s">
        <v>72</v>
      </c>
    </row>
    <row r="1444" spans="1:2">
      <c r="A1444" s="7" t="e">
        <f>IF('Document Workflow'!A1443&lt;&gt;"",'Document Workflow'!A1443,"")</f>
        <v>#REF!</v>
      </c>
      <c r="B1444" s="2" t="s">
        <v>72</v>
      </c>
    </row>
    <row r="1445" spans="1:2">
      <c r="A1445" s="7" t="e">
        <f>IF('Document Workflow'!A1444&lt;&gt;"",'Document Workflow'!A1444,"")</f>
        <v>#REF!</v>
      </c>
      <c r="B1445" s="2" t="s">
        <v>72</v>
      </c>
    </row>
    <row r="1446" spans="1:2">
      <c r="A1446" s="7" t="e">
        <f>IF('Document Workflow'!A1445&lt;&gt;"",'Document Workflow'!A1445,"")</f>
        <v>#REF!</v>
      </c>
      <c r="B1446" s="2" t="s">
        <v>72</v>
      </c>
    </row>
    <row r="1447" spans="1:2">
      <c r="A1447" s="7" t="e">
        <f>IF('Document Workflow'!A1446&lt;&gt;"",'Document Workflow'!A1446,"")</f>
        <v>#REF!</v>
      </c>
      <c r="B1447" s="2" t="s">
        <v>72</v>
      </c>
    </row>
    <row r="1448" spans="1:2">
      <c r="A1448" s="7" t="e">
        <f>IF('Document Workflow'!A1447&lt;&gt;"",'Document Workflow'!A1447,"")</f>
        <v>#REF!</v>
      </c>
      <c r="B1448" s="2" t="s">
        <v>72</v>
      </c>
    </row>
    <row r="1449" spans="1:2">
      <c r="A1449" s="7" t="e">
        <f>IF('Document Workflow'!A1448&lt;&gt;"",'Document Workflow'!A1448,"")</f>
        <v>#REF!</v>
      </c>
      <c r="B1449" s="2" t="s">
        <v>72</v>
      </c>
    </row>
    <row r="1450" spans="1:2">
      <c r="A1450" s="7" t="e">
        <f>IF('Document Workflow'!A1449&lt;&gt;"",'Document Workflow'!A1449,"")</f>
        <v>#REF!</v>
      </c>
      <c r="B1450" s="2" t="s">
        <v>72</v>
      </c>
    </row>
    <row r="1451" spans="1:2">
      <c r="A1451" s="7" t="e">
        <f>IF('Document Workflow'!A1450&lt;&gt;"",'Document Workflow'!A1450,"")</f>
        <v>#REF!</v>
      </c>
      <c r="B1451" s="2" t="s">
        <v>72</v>
      </c>
    </row>
    <row r="1452" spans="1:2">
      <c r="A1452" s="7" t="e">
        <f>IF('Document Workflow'!A1451&lt;&gt;"",'Document Workflow'!A1451,"")</f>
        <v>#REF!</v>
      </c>
      <c r="B1452" s="2" t="s">
        <v>72</v>
      </c>
    </row>
    <row r="1453" spans="1:2">
      <c r="A1453" s="7" t="e">
        <f>IF('Document Workflow'!A1452&lt;&gt;"",'Document Workflow'!A1452,"")</f>
        <v>#REF!</v>
      </c>
      <c r="B1453" s="2" t="s">
        <v>72</v>
      </c>
    </row>
    <row r="1454" spans="1:2">
      <c r="A1454" s="7" t="e">
        <f>IF('Document Workflow'!A1453&lt;&gt;"",'Document Workflow'!A1453,"")</f>
        <v>#REF!</v>
      </c>
      <c r="B1454" s="2" t="s">
        <v>72</v>
      </c>
    </row>
    <row r="1455" spans="1:2">
      <c r="A1455" s="7" t="e">
        <f>IF('Document Workflow'!A1454&lt;&gt;"",'Document Workflow'!A1454,"")</f>
        <v>#REF!</v>
      </c>
      <c r="B1455" s="2" t="s">
        <v>72</v>
      </c>
    </row>
    <row r="1456" spans="1:2">
      <c r="A1456" s="7" t="e">
        <f>IF('Document Workflow'!A1455&lt;&gt;"",'Document Workflow'!A1455,"")</f>
        <v>#REF!</v>
      </c>
      <c r="B1456" s="2" t="s">
        <v>72</v>
      </c>
    </row>
    <row r="1457" spans="1:2">
      <c r="A1457" s="7" t="e">
        <f>IF('Document Workflow'!A1456&lt;&gt;"",'Document Workflow'!A1456,"")</f>
        <v>#REF!</v>
      </c>
      <c r="B1457" s="2" t="s">
        <v>72</v>
      </c>
    </row>
    <row r="1458" spans="1:2">
      <c r="A1458" s="7" t="e">
        <f>IF('Document Workflow'!A1457&lt;&gt;"",'Document Workflow'!A1457,"")</f>
        <v>#REF!</v>
      </c>
      <c r="B1458" s="2" t="s">
        <v>72</v>
      </c>
    </row>
    <row r="1459" spans="1:2">
      <c r="A1459" s="7" t="e">
        <f>IF('Document Workflow'!A1458&lt;&gt;"",'Document Workflow'!A1458,"")</f>
        <v>#REF!</v>
      </c>
      <c r="B1459" s="2" t="s">
        <v>72</v>
      </c>
    </row>
    <row r="1460" spans="1:2">
      <c r="A1460" s="7" t="e">
        <f>IF('Document Workflow'!A1459&lt;&gt;"",'Document Workflow'!A1459,"")</f>
        <v>#REF!</v>
      </c>
      <c r="B1460" s="2" t="s">
        <v>72</v>
      </c>
    </row>
    <row r="1461" spans="1:2">
      <c r="A1461" s="7" t="e">
        <f>IF('Document Workflow'!A1460&lt;&gt;"",'Document Workflow'!A1460,"")</f>
        <v>#REF!</v>
      </c>
      <c r="B1461" s="2" t="s">
        <v>72</v>
      </c>
    </row>
    <row r="1462" spans="1:2">
      <c r="A1462" s="7" t="e">
        <f>IF('Document Workflow'!A1461&lt;&gt;"",'Document Workflow'!A1461,"")</f>
        <v>#REF!</v>
      </c>
      <c r="B1462" s="2" t="s">
        <v>72</v>
      </c>
    </row>
    <row r="1463" spans="1:2">
      <c r="A1463" s="7" t="e">
        <f>IF('Document Workflow'!A1462&lt;&gt;"",'Document Workflow'!A1462,"")</f>
        <v>#REF!</v>
      </c>
      <c r="B1463" s="2" t="s">
        <v>72</v>
      </c>
    </row>
    <row r="1464" spans="1:2">
      <c r="A1464" s="7" t="e">
        <f>IF('Document Workflow'!A1463&lt;&gt;"",'Document Workflow'!A1463,"")</f>
        <v>#REF!</v>
      </c>
      <c r="B1464" s="2" t="s">
        <v>72</v>
      </c>
    </row>
    <row r="1465" spans="1:2">
      <c r="A1465" s="7" t="e">
        <f>IF('Document Workflow'!A1464&lt;&gt;"",'Document Workflow'!A1464,"")</f>
        <v>#REF!</v>
      </c>
      <c r="B1465" s="2" t="s">
        <v>72</v>
      </c>
    </row>
    <row r="1466" spans="1:2">
      <c r="A1466" s="7" t="e">
        <f>IF('Document Workflow'!A1465&lt;&gt;"",'Document Workflow'!A1465,"")</f>
        <v>#REF!</v>
      </c>
      <c r="B1466" s="2" t="s">
        <v>72</v>
      </c>
    </row>
    <row r="1467" spans="1:2">
      <c r="A1467" s="7" t="e">
        <f>IF('Document Workflow'!A1466&lt;&gt;"",'Document Workflow'!A1466,"")</f>
        <v>#REF!</v>
      </c>
      <c r="B1467" s="2" t="s">
        <v>72</v>
      </c>
    </row>
    <row r="1468" spans="1:2">
      <c r="A1468" s="7" t="e">
        <f>IF('Document Workflow'!A1467&lt;&gt;"",'Document Workflow'!A1467,"")</f>
        <v>#REF!</v>
      </c>
      <c r="B1468" s="2" t="s">
        <v>72</v>
      </c>
    </row>
    <row r="1469" spans="1:2">
      <c r="A1469" s="7" t="e">
        <f>IF('Document Workflow'!A1468&lt;&gt;"",'Document Workflow'!A1468,"")</f>
        <v>#REF!</v>
      </c>
      <c r="B1469" s="2" t="s">
        <v>72</v>
      </c>
    </row>
    <row r="1470" spans="1:2">
      <c r="A1470" s="7" t="e">
        <f>IF('Document Workflow'!A1469&lt;&gt;"",'Document Workflow'!A1469,"")</f>
        <v>#REF!</v>
      </c>
      <c r="B1470" s="2" t="s">
        <v>72</v>
      </c>
    </row>
    <row r="1471" spans="1:2">
      <c r="A1471" s="7" t="e">
        <f>IF('Document Workflow'!A1470&lt;&gt;"",'Document Workflow'!A1470,"")</f>
        <v>#REF!</v>
      </c>
      <c r="B1471" s="2" t="s">
        <v>72</v>
      </c>
    </row>
    <row r="1472" spans="1:2">
      <c r="A1472" s="7" t="e">
        <f>IF('Document Workflow'!A1471&lt;&gt;"",'Document Workflow'!A1471,"")</f>
        <v>#REF!</v>
      </c>
      <c r="B1472" s="2" t="s">
        <v>72</v>
      </c>
    </row>
    <row r="1473" spans="1:2">
      <c r="A1473" s="7" t="e">
        <f>IF('Document Workflow'!A1472&lt;&gt;"",'Document Workflow'!A1472,"")</f>
        <v>#REF!</v>
      </c>
      <c r="B1473" s="2" t="s">
        <v>72</v>
      </c>
    </row>
    <row r="1474" spans="1:2">
      <c r="A1474" s="7" t="e">
        <f>IF('Document Workflow'!A1473&lt;&gt;"",'Document Workflow'!A1473,"")</f>
        <v>#REF!</v>
      </c>
      <c r="B1474" s="2" t="s">
        <v>72</v>
      </c>
    </row>
    <row r="1475" spans="1:2">
      <c r="A1475" s="7" t="e">
        <f>IF('Document Workflow'!A1474&lt;&gt;"",'Document Workflow'!A1474,"")</f>
        <v>#REF!</v>
      </c>
      <c r="B1475" s="2" t="s">
        <v>72</v>
      </c>
    </row>
    <row r="1476" spans="1:2">
      <c r="A1476" s="7" t="e">
        <f>IF('Document Workflow'!A1475&lt;&gt;"",'Document Workflow'!A1475,"")</f>
        <v>#REF!</v>
      </c>
      <c r="B1476" s="2" t="s">
        <v>72</v>
      </c>
    </row>
    <row r="1477" spans="1:2">
      <c r="A1477" s="7" t="e">
        <f>IF('Document Workflow'!A1476&lt;&gt;"",'Document Workflow'!A1476,"")</f>
        <v>#REF!</v>
      </c>
      <c r="B1477" s="2" t="s">
        <v>72</v>
      </c>
    </row>
    <row r="1478" spans="1:2">
      <c r="A1478" s="7" t="e">
        <f>IF('Document Workflow'!A1477&lt;&gt;"",'Document Workflow'!A1477,"")</f>
        <v>#REF!</v>
      </c>
      <c r="B1478" s="2" t="s">
        <v>72</v>
      </c>
    </row>
    <row r="1479" spans="1:2">
      <c r="A1479" s="7" t="e">
        <f>IF('Document Workflow'!A1478&lt;&gt;"",'Document Workflow'!A1478,"")</f>
        <v>#REF!</v>
      </c>
      <c r="B1479" s="2" t="s">
        <v>72</v>
      </c>
    </row>
    <row r="1480" spans="1:2">
      <c r="A1480" s="7" t="e">
        <f>IF('Document Workflow'!A1479&lt;&gt;"",'Document Workflow'!A1479,"")</f>
        <v>#REF!</v>
      </c>
      <c r="B1480" s="2" t="s">
        <v>72</v>
      </c>
    </row>
    <row r="1481" spans="1:2">
      <c r="A1481" s="7" t="e">
        <f>IF('Document Workflow'!A1480&lt;&gt;"",'Document Workflow'!A1480,"")</f>
        <v>#REF!</v>
      </c>
      <c r="B1481" s="2" t="s">
        <v>72</v>
      </c>
    </row>
    <row r="1482" spans="1:2">
      <c r="A1482" s="7" t="e">
        <f>IF('Document Workflow'!A1481&lt;&gt;"",'Document Workflow'!A1481,"")</f>
        <v>#REF!</v>
      </c>
      <c r="B1482" s="2" t="s">
        <v>72</v>
      </c>
    </row>
    <row r="1483" spans="1:2">
      <c r="A1483" s="7" t="e">
        <f>IF('Document Workflow'!A1482&lt;&gt;"",'Document Workflow'!A1482,"")</f>
        <v>#REF!</v>
      </c>
      <c r="B1483" s="2" t="s">
        <v>72</v>
      </c>
    </row>
    <row r="1484" spans="1:2">
      <c r="A1484" s="7" t="e">
        <f>IF('Document Workflow'!A1483&lt;&gt;"",'Document Workflow'!A1483,"")</f>
        <v>#REF!</v>
      </c>
      <c r="B1484" s="2" t="s">
        <v>72</v>
      </c>
    </row>
    <row r="1485" spans="1:2">
      <c r="A1485" s="7" t="e">
        <f>IF('Document Workflow'!A1484&lt;&gt;"",'Document Workflow'!A1484,"")</f>
        <v>#REF!</v>
      </c>
      <c r="B1485" s="2" t="s">
        <v>72</v>
      </c>
    </row>
    <row r="1486" spans="1:2">
      <c r="A1486" s="7" t="e">
        <f>IF('Document Workflow'!A1485&lt;&gt;"",'Document Workflow'!A1485,"")</f>
        <v>#REF!</v>
      </c>
      <c r="B1486" s="2" t="s">
        <v>72</v>
      </c>
    </row>
    <row r="1487" spans="1:2">
      <c r="A1487" s="7" t="e">
        <f>IF('Document Workflow'!A1486&lt;&gt;"",'Document Workflow'!A1486,"")</f>
        <v>#REF!</v>
      </c>
      <c r="B1487" s="2" t="s">
        <v>72</v>
      </c>
    </row>
    <row r="1488" spans="1:2">
      <c r="A1488" s="7" t="e">
        <f>IF('Document Workflow'!A1487&lt;&gt;"",'Document Workflow'!A1487,"")</f>
        <v>#REF!</v>
      </c>
      <c r="B1488" s="2" t="s">
        <v>72</v>
      </c>
    </row>
    <row r="1489" spans="1:2">
      <c r="A1489" s="7" t="e">
        <f>IF('Document Workflow'!A1488&lt;&gt;"",'Document Workflow'!A1488,"")</f>
        <v>#REF!</v>
      </c>
      <c r="B1489" s="2" t="s">
        <v>72</v>
      </c>
    </row>
    <row r="1490" spans="1:2">
      <c r="A1490" s="7" t="e">
        <f>IF('Document Workflow'!A1489&lt;&gt;"",'Document Workflow'!A1489,"")</f>
        <v>#REF!</v>
      </c>
      <c r="B1490" s="2" t="s">
        <v>72</v>
      </c>
    </row>
    <row r="1491" spans="1:2">
      <c r="A1491" s="7" t="e">
        <f>IF('Document Workflow'!A1490&lt;&gt;"",'Document Workflow'!A1490,"")</f>
        <v>#REF!</v>
      </c>
      <c r="B1491" s="2" t="s">
        <v>72</v>
      </c>
    </row>
    <row r="1492" spans="1:2">
      <c r="A1492" s="7" t="e">
        <f>IF('Document Workflow'!A1491&lt;&gt;"",'Document Workflow'!A1491,"")</f>
        <v>#REF!</v>
      </c>
      <c r="B1492" s="2" t="s">
        <v>72</v>
      </c>
    </row>
    <row r="1493" spans="1:2">
      <c r="A1493" s="7" t="e">
        <f>IF('Document Workflow'!A1492&lt;&gt;"",'Document Workflow'!A1492,"")</f>
        <v>#REF!</v>
      </c>
      <c r="B1493" s="2" t="s">
        <v>72</v>
      </c>
    </row>
    <row r="1494" spans="1:2">
      <c r="A1494" s="7" t="e">
        <f>IF('Document Workflow'!A1493&lt;&gt;"",'Document Workflow'!A1493,"")</f>
        <v>#REF!</v>
      </c>
      <c r="B1494" s="2" t="s">
        <v>72</v>
      </c>
    </row>
    <row r="1495" spans="1:2">
      <c r="A1495" s="7" t="e">
        <f>IF('Document Workflow'!A1494&lt;&gt;"",'Document Workflow'!A1494,"")</f>
        <v>#REF!</v>
      </c>
      <c r="B1495" s="2" t="s">
        <v>72</v>
      </c>
    </row>
    <row r="1496" spans="1:2">
      <c r="A1496" s="7" t="e">
        <f>IF('Document Workflow'!A1495&lt;&gt;"",'Document Workflow'!A1495,"")</f>
        <v>#REF!</v>
      </c>
      <c r="B1496" s="2" t="s">
        <v>72</v>
      </c>
    </row>
    <row r="1497" spans="1:2">
      <c r="A1497" s="7" t="e">
        <f>IF('Document Workflow'!A1496&lt;&gt;"",'Document Workflow'!A1496,"")</f>
        <v>#REF!</v>
      </c>
      <c r="B1497" s="2" t="s">
        <v>72</v>
      </c>
    </row>
    <row r="1498" spans="1:2">
      <c r="A1498" s="7" t="e">
        <f>IF('Document Workflow'!A1497&lt;&gt;"",'Document Workflow'!A1497,"")</f>
        <v>#REF!</v>
      </c>
      <c r="B1498" s="2" t="s">
        <v>72</v>
      </c>
    </row>
    <row r="1499" spans="1:2">
      <c r="A1499" s="7" t="e">
        <f>IF('Document Workflow'!A1498&lt;&gt;"",'Document Workflow'!A1498,"")</f>
        <v>#REF!</v>
      </c>
      <c r="B1499" s="2" t="s">
        <v>72</v>
      </c>
    </row>
    <row r="1500" spans="1:2">
      <c r="A1500" s="7" t="e">
        <f>IF('Document Workflow'!A1499&lt;&gt;"",'Document Workflow'!A1499,"")</f>
        <v>#REF!</v>
      </c>
      <c r="B1500" s="2" t="s">
        <v>72</v>
      </c>
    </row>
    <row r="1501" spans="1:2">
      <c r="A1501" s="7" t="str">
        <f>IF('Document Workflow'!A1500&lt;&gt;"",'Document Workflow'!A1500,"")</f>
        <v/>
      </c>
    </row>
    <row r="1502" spans="1:2">
      <c r="A1502" s="7" t="str">
        <f>IF('Document Workflow'!A1501&lt;&gt;"",'Document Workflow'!A1501,"")</f>
        <v/>
      </c>
    </row>
    <row r="1503" spans="1:2">
      <c r="A1503" s="7" t="str">
        <f>IF('Document Workflow'!A1502&lt;&gt;"",'Document Workflow'!A1502,"")</f>
        <v/>
      </c>
    </row>
    <row r="1504" spans="1:2">
      <c r="A1504" s="7" t="str">
        <f>IF('Document Workflow'!A1503&lt;&gt;"",'Document Workflow'!A1503,"")</f>
        <v/>
      </c>
    </row>
    <row r="1505" spans="1:1">
      <c r="A1505" s="7" t="str">
        <f>IF('Document Workflow'!A1504&lt;&gt;"",'Document Workflow'!A1504,"")</f>
        <v/>
      </c>
    </row>
    <row r="1506" spans="1:1">
      <c r="A1506" s="7" t="str">
        <f>IF('Document Workflow'!A1505&lt;&gt;"",'Document Workflow'!A1505,"")</f>
        <v/>
      </c>
    </row>
    <row r="1507" spans="1:1">
      <c r="A1507" s="7" t="str">
        <f>IF('Document Workflow'!A1506&lt;&gt;"",'Document Workflow'!A1506,"")</f>
        <v/>
      </c>
    </row>
    <row r="1508" spans="1:1">
      <c r="A1508" s="7" t="str">
        <f>IF('Document Workflow'!A1507&lt;&gt;"",'Document Workflow'!A1507,"")</f>
        <v/>
      </c>
    </row>
    <row r="1509" spans="1:1">
      <c r="A1509" s="7" t="str">
        <f>IF('Document Workflow'!A1508&lt;&gt;"",'Document Workflow'!A1508,"")</f>
        <v/>
      </c>
    </row>
    <row r="1510" spans="1:1">
      <c r="A1510" s="7" t="str">
        <f>IF('Document Workflow'!A1509&lt;&gt;"",'Document Workflow'!A1509,"")</f>
        <v/>
      </c>
    </row>
    <row r="1511" spans="1:1">
      <c r="A1511" s="7" t="str">
        <f>IF('Document Workflow'!A1510&lt;&gt;"",'Document Workflow'!A1510,"")</f>
        <v/>
      </c>
    </row>
    <row r="1512" spans="1:1">
      <c r="A1512" s="7" t="str">
        <f>IF('Document Workflow'!A1511&lt;&gt;"",'Document Workflow'!A1511,"")</f>
        <v/>
      </c>
    </row>
    <row r="1513" spans="1:1">
      <c r="A1513" s="7" t="str">
        <f>IF('Document Workflow'!A1512&lt;&gt;"",'Document Workflow'!A1512,"")</f>
        <v/>
      </c>
    </row>
    <row r="1514" spans="1:1">
      <c r="A1514" s="7" t="str">
        <f>IF('Document Workflow'!A1513&lt;&gt;"",'Document Workflow'!A1513,"")</f>
        <v/>
      </c>
    </row>
    <row r="1515" spans="1:1">
      <c r="A1515" s="7" t="str">
        <f>IF('Document Workflow'!A1514&lt;&gt;"",'Document Workflow'!A1514,"")</f>
        <v/>
      </c>
    </row>
    <row r="1516" spans="1:1">
      <c r="A1516" s="7" t="str">
        <f>IF('Document Workflow'!A1515&lt;&gt;"",'Document Workflow'!A1515,"")</f>
        <v/>
      </c>
    </row>
    <row r="1517" spans="1:1">
      <c r="A1517" s="7" t="str">
        <f>IF('Document Workflow'!A1516&lt;&gt;"",'Document Workflow'!A1516,"")</f>
        <v/>
      </c>
    </row>
    <row r="1518" spans="1:1">
      <c r="A1518" s="7" t="str">
        <f>IF('Document Workflow'!A1517&lt;&gt;"",'Document Workflow'!A1517,"")</f>
        <v/>
      </c>
    </row>
    <row r="1519" spans="1:1">
      <c r="A1519" s="7" t="str">
        <f>IF('Document Workflow'!A1518&lt;&gt;"",'Document Workflow'!A1518,"")</f>
        <v/>
      </c>
    </row>
    <row r="1520" spans="1:1">
      <c r="A1520" s="7" t="str">
        <f>IF('Document Workflow'!A1519&lt;&gt;"",'Document Workflow'!A1519,"")</f>
        <v/>
      </c>
    </row>
    <row r="1521" spans="1:1">
      <c r="A1521" s="7" t="str">
        <f>IF('Document Workflow'!A1520&lt;&gt;"",'Document Workflow'!A1520,"")</f>
        <v/>
      </c>
    </row>
    <row r="1522" spans="1:1">
      <c r="A1522" s="7" t="str">
        <f>IF('Document Workflow'!A1521&lt;&gt;"",'Document Workflow'!A1521,"")</f>
        <v/>
      </c>
    </row>
    <row r="1523" spans="1:1">
      <c r="A1523" s="7" t="str">
        <f>IF('Document Workflow'!A1522&lt;&gt;"",'Document Workflow'!A1522,"")</f>
        <v/>
      </c>
    </row>
    <row r="1524" spans="1:1">
      <c r="A1524" s="7" t="str">
        <f>IF('Document Workflow'!A1523&lt;&gt;"",'Document Workflow'!A1523,"")</f>
        <v/>
      </c>
    </row>
    <row r="1525" spans="1:1">
      <c r="A1525" s="7" t="str">
        <f>IF('Document Workflow'!A1524&lt;&gt;"",'Document Workflow'!A1524,"")</f>
        <v/>
      </c>
    </row>
    <row r="1526" spans="1:1">
      <c r="A1526" s="7" t="str">
        <f>IF('Document Workflow'!A1525&lt;&gt;"",'Document Workflow'!A1525,"")</f>
        <v/>
      </c>
    </row>
    <row r="1527" spans="1:1">
      <c r="A1527" s="7" t="str">
        <f>IF('Document Workflow'!A1526&lt;&gt;"",'Document Workflow'!A1526,"")</f>
        <v/>
      </c>
    </row>
    <row r="1528" spans="1:1">
      <c r="A1528" s="7" t="str">
        <f>IF('Document Workflow'!A1527&lt;&gt;"",'Document Workflow'!A1527,"")</f>
        <v/>
      </c>
    </row>
    <row r="1529" spans="1:1">
      <c r="A1529" s="7" t="str">
        <f>IF('Document Workflow'!A1528&lt;&gt;"",'Document Workflow'!A1528,"")</f>
        <v/>
      </c>
    </row>
    <row r="1530" spans="1:1">
      <c r="A1530" s="7" t="str">
        <f>IF('Document Workflow'!A1529&lt;&gt;"",'Document Workflow'!A1529,"")</f>
        <v/>
      </c>
    </row>
    <row r="1531" spans="1:1">
      <c r="A1531" s="7" t="str">
        <f>IF('Document Workflow'!A1530&lt;&gt;"",'Document Workflow'!A1530,"")</f>
        <v/>
      </c>
    </row>
    <row r="1532" spans="1:1">
      <c r="A1532" s="7" t="str">
        <f>IF('Document Workflow'!A1531&lt;&gt;"",'Document Workflow'!A1531,"")</f>
        <v/>
      </c>
    </row>
    <row r="1533" spans="1:1">
      <c r="A1533" s="7" t="str">
        <f>IF('Document Workflow'!A1532&lt;&gt;"",'Document Workflow'!A1532,"")</f>
        <v/>
      </c>
    </row>
    <row r="1534" spans="1:1">
      <c r="A1534" s="7" t="str">
        <f>IF('Document Workflow'!A1533&lt;&gt;"",'Document Workflow'!A1533,"")</f>
        <v/>
      </c>
    </row>
    <row r="1535" spans="1:1">
      <c r="A1535" s="7" t="str">
        <f>IF('Document Workflow'!A1534&lt;&gt;"",'Document Workflow'!A1534,"")</f>
        <v/>
      </c>
    </row>
    <row r="1536" spans="1:1">
      <c r="A1536" s="7" t="str">
        <f>IF('Document Workflow'!A1535&lt;&gt;"",'Document Workflow'!A1535,"")</f>
        <v/>
      </c>
    </row>
    <row r="1537" spans="1:1">
      <c r="A1537" s="7" t="str">
        <f>IF('Document Workflow'!A1536&lt;&gt;"",'Document Workflow'!A1536,"")</f>
        <v/>
      </c>
    </row>
    <row r="1538" spans="1:1">
      <c r="A1538" s="7" t="str">
        <f>IF('Document Workflow'!A1537&lt;&gt;"",'Document Workflow'!A1537,"")</f>
        <v/>
      </c>
    </row>
    <row r="1539" spans="1:1">
      <c r="A1539" s="7" t="str">
        <f>IF('Document Workflow'!A1538&lt;&gt;"",'Document Workflow'!A1538,"")</f>
        <v/>
      </c>
    </row>
    <row r="1540" spans="1:1">
      <c r="A1540" s="7" t="str">
        <f>IF('Document Workflow'!A1539&lt;&gt;"",'Document Workflow'!A1539,"")</f>
        <v/>
      </c>
    </row>
    <row r="1541" spans="1:1">
      <c r="A1541" s="7" t="str">
        <f>IF('Document Workflow'!A1540&lt;&gt;"",'Document Workflow'!A1540,"")</f>
        <v/>
      </c>
    </row>
    <row r="1542" spans="1:1">
      <c r="A1542" s="7" t="str">
        <f>IF('Document Workflow'!A1541&lt;&gt;"",'Document Workflow'!A1541,"")</f>
        <v/>
      </c>
    </row>
    <row r="1543" spans="1:1">
      <c r="A1543" s="7" t="str">
        <f>IF('Document Workflow'!A1542&lt;&gt;"",'Document Workflow'!A1542,"")</f>
        <v/>
      </c>
    </row>
    <row r="1544" spans="1:1">
      <c r="A1544" s="7" t="str">
        <f>IF('Document Workflow'!A1543&lt;&gt;"",'Document Workflow'!A1543,"")</f>
        <v/>
      </c>
    </row>
    <row r="1545" spans="1:1">
      <c r="A1545" s="7" t="str">
        <f>IF('Document Workflow'!A1544&lt;&gt;"",'Document Workflow'!A1544,"")</f>
        <v/>
      </c>
    </row>
    <row r="1546" spans="1:1">
      <c r="A1546" s="7" t="str">
        <f>IF('Document Workflow'!A1545&lt;&gt;"",'Document Workflow'!A1545,"")</f>
        <v/>
      </c>
    </row>
    <row r="1547" spans="1:1">
      <c r="A1547" s="7" t="str">
        <f>IF('Document Workflow'!A1546&lt;&gt;"",'Document Workflow'!A1546,"")</f>
        <v/>
      </c>
    </row>
    <row r="1548" spans="1:1">
      <c r="A1548" s="7" t="str">
        <f>IF('Document Workflow'!A1547&lt;&gt;"",'Document Workflow'!A1547,"")</f>
        <v/>
      </c>
    </row>
    <row r="1549" spans="1:1">
      <c r="A1549" s="7" t="str">
        <f>IF('Document Workflow'!A1548&lt;&gt;"",'Document Workflow'!A1548,"")</f>
        <v/>
      </c>
    </row>
    <row r="1550" spans="1:1">
      <c r="A1550" s="7" t="str">
        <f>IF('Document Workflow'!A1549&lt;&gt;"",'Document Workflow'!A1549,"")</f>
        <v/>
      </c>
    </row>
    <row r="1551" spans="1:1">
      <c r="A1551" s="7" t="str">
        <f>IF('Document Workflow'!A1550&lt;&gt;"",'Document Workflow'!A1550,"")</f>
        <v/>
      </c>
    </row>
    <row r="1552" spans="1:1">
      <c r="A1552" s="7" t="str">
        <f>IF('Document Workflow'!A1551&lt;&gt;"",'Document Workflow'!A1551,"")</f>
        <v/>
      </c>
    </row>
    <row r="1553" spans="1:1">
      <c r="A1553" s="7" t="str">
        <f>IF('Document Workflow'!A1552&lt;&gt;"",'Document Workflow'!A1552,"")</f>
        <v/>
      </c>
    </row>
    <row r="1554" spans="1:1">
      <c r="A1554" s="7" t="str">
        <f>IF('Document Workflow'!A1553&lt;&gt;"",'Document Workflow'!A1553,"")</f>
        <v/>
      </c>
    </row>
    <row r="1555" spans="1:1">
      <c r="A1555" s="7" t="str">
        <f>IF('Document Workflow'!A1554&lt;&gt;"",'Document Workflow'!A1554,"")</f>
        <v/>
      </c>
    </row>
    <row r="1556" spans="1:1">
      <c r="A1556" s="7" t="str">
        <f>IF('Document Workflow'!A1555&lt;&gt;"",'Document Workflow'!A1555,"")</f>
        <v/>
      </c>
    </row>
    <row r="1557" spans="1:1">
      <c r="A1557" s="7" t="str">
        <f>IF('Document Workflow'!A1556&lt;&gt;"",'Document Workflow'!A1556,"")</f>
        <v/>
      </c>
    </row>
    <row r="1558" spans="1:1">
      <c r="A1558" s="7" t="str">
        <f>IF('Document Workflow'!A1557&lt;&gt;"",'Document Workflow'!A1557,"")</f>
        <v/>
      </c>
    </row>
    <row r="1559" spans="1:1">
      <c r="A1559" s="7" t="str">
        <f>IF('Document Workflow'!A1558&lt;&gt;"",'Document Workflow'!A1558,"")</f>
        <v/>
      </c>
    </row>
    <row r="1560" spans="1:1">
      <c r="A1560" s="7" t="str">
        <f>IF('Document Workflow'!A1559&lt;&gt;"",'Document Workflow'!A1559,"")</f>
        <v/>
      </c>
    </row>
    <row r="1561" spans="1:1">
      <c r="A1561" s="7" t="str">
        <f>IF('Document Workflow'!A1560&lt;&gt;"",'Document Workflow'!A1560,"")</f>
        <v/>
      </c>
    </row>
    <row r="1562" spans="1:1">
      <c r="A1562" s="7" t="str">
        <f>IF('Document Workflow'!A1561&lt;&gt;"",'Document Workflow'!A1561,"")</f>
        <v/>
      </c>
    </row>
    <row r="1563" spans="1:1">
      <c r="A1563" s="7" t="str">
        <f>IF('Document Workflow'!A1562&lt;&gt;"",'Document Workflow'!A1562,"")</f>
        <v/>
      </c>
    </row>
    <row r="1564" spans="1:1">
      <c r="A1564" s="7" t="str">
        <f>IF('Document Workflow'!A1563&lt;&gt;"",'Document Workflow'!A1563,"")</f>
        <v/>
      </c>
    </row>
    <row r="1565" spans="1:1">
      <c r="A1565" s="7" t="str">
        <f>IF('Document Workflow'!A1564&lt;&gt;"",'Document Workflow'!A1564,"")</f>
        <v/>
      </c>
    </row>
    <row r="1566" spans="1:1">
      <c r="A1566" s="7" t="str">
        <f>IF('Document Workflow'!A1565&lt;&gt;"",'Document Workflow'!A1565,"")</f>
        <v/>
      </c>
    </row>
    <row r="1567" spans="1:1">
      <c r="A1567" s="7" t="str">
        <f>IF('Document Workflow'!A1566&lt;&gt;"",'Document Workflow'!A1566,"")</f>
        <v/>
      </c>
    </row>
    <row r="1568" spans="1:1">
      <c r="A1568" s="7" t="str">
        <f>IF('Document Workflow'!A1567&lt;&gt;"",'Document Workflow'!A1567,"")</f>
        <v/>
      </c>
    </row>
    <row r="1569" spans="1:1">
      <c r="A1569" s="7" t="str">
        <f>IF('Document Workflow'!A1568&lt;&gt;"",'Document Workflow'!A1568,"")</f>
        <v/>
      </c>
    </row>
    <row r="1570" spans="1:1">
      <c r="A1570" s="7" t="str">
        <f>IF('Document Workflow'!A1569&lt;&gt;"",'Document Workflow'!A1569,"")</f>
        <v/>
      </c>
    </row>
    <row r="1571" spans="1:1">
      <c r="A1571" s="7" t="str">
        <f>IF('Document Workflow'!A1570&lt;&gt;"",'Document Workflow'!A1570,"")</f>
        <v/>
      </c>
    </row>
    <row r="1572" spans="1:1">
      <c r="A1572" s="7" t="str">
        <f>IF('Document Workflow'!A1571&lt;&gt;"",'Document Workflow'!A1571,"")</f>
        <v/>
      </c>
    </row>
    <row r="1573" spans="1:1">
      <c r="A1573" s="7" t="str">
        <f>IF('Document Workflow'!A1572&lt;&gt;"",'Document Workflow'!A1572,"")</f>
        <v/>
      </c>
    </row>
    <row r="1574" spans="1:1">
      <c r="A1574" s="7" t="str">
        <f>IF('Document Workflow'!A1573&lt;&gt;"",'Document Workflow'!A1573,"")</f>
        <v/>
      </c>
    </row>
    <row r="1575" spans="1:1">
      <c r="A1575" s="7" t="str">
        <f>IF('Document Workflow'!A1574&lt;&gt;"",'Document Workflow'!A1574,"")</f>
        <v/>
      </c>
    </row>
    <row r="1576" spans="1:1">
      <c r="A1576" s="7" t="str">
        <f>IF('Document Workflow'!A1575&lt;&gt;"",'Document Workflow'!A1575,"")</f>
        <v/>
      </c>
    </row>
    <row r="1577" spans="1:1">
      <c r="A1577" s="7" t="str">
        <f>IF('Document Workflow'!A1576&lt;&gt;"",'Document Workflow'!A1576,"")</f>
        <v/>
      </c>
    </row>
    <row r="1578" spans="1:1">
      <c r="A1578" s="7" t="str">
        <f>IF('Document Workflow'!A1577&lt;&gt;"",'Document Workflow'!A1577,"")</f>
        <v/>
      </c>
    </row>
    <row r="1579" spans="1:1">
      <c r="A1579" s="7" t="str">
        <f>IF('Document Workflow'!A1578&lt;&gt;"",'Document Workflow'!A1578,"")</f>
        <v/>
      </c>
    </row>
    <row r="1580" spans="1:1">
      <c r="A1580" s="7" t="str">
        <f>IF('Document Workflow'!A1579&lt;&gt;"",'Document Workflow'!A1579,"")</f>
        <v/>
      </c>
    </row>
    <row r="1581" spans="1:1">
      <c r="A1581" s="7" t="str">
        <f>IF('Document Workflow'!A1580&lt;&gt;"",'Document Workflow'!A1580,"")</f>
        <v/>
      </c>
    </row>
    <row r="1582" spans="1:1">
      <c r="A1582" s="7" t="str">
        <f>IF('Document Workflow'!A1581&lt;&gt;"",'Document Workflow'!A1581,"")</f>
        <v/>
      </c>
    </row>
    <row r="1583" spans="1:1">
      <c r="A1583" s="7" t="str">
        <f>IF('Document Workflow'!A1582&lt;&gt;"",'Document Workflow'!A1582,"")</f>
        <v/>
      </c>
    </row>
    <row r="1584" spans="1:1">
      <c r="A1584" s="7" t="str">
        <f>IF('Document Workflow'!A1583&lt;&gt;"",'Document Workflow'!A1583,"")</f>
        <v/>
      </c>
    </row>
    <row r="1585" spans="1:1">
      <c r="A1585" s="7" t="str">
        <f>IF('Document Workflow'!A1584&lt;&gt;"",'Document Workflow'!A1584,"")</f>
        <v/>
      </c>
    </row>
    <row r="1586" spans="1:1">
      <c r="A1586" s="7" t="str">
        <f>IF('Document Workflow'!A1585&lt;&gt;"",'Document Workflow'!A1585,"")</f>
        <v/>
      </c>
    </row>
    <row r="1587" spans="1:1">
      <c r="A1587" s="7" t="str">
        <f>IF('Document Workflow'!A1586&lt;&gt;"",'Document Workflow'!A1586,"")</f>
        <v/>
      </c>
    </row>
    <row r="1588" spans="1:1">
      <c r="A1588" s="7" t="str">
        <f>IF('Document Workflow'!A1587&lt;&gt;"",'Document Workflow'!A1587,"")</f>
        <v/>
      </c>
    </row>
    <row r="1589" spans="1:1">
      <c r="A1589" s="7" t="str">
        <f>IF('Document Workflow'!A1588&lt;&gt;"",'Document Workflow'!A1588,"")</f>
        <v/>
      </c>
    </row>
    <row r="1590" spans="1:1">
      <c r="A1590" s="7" t="str">
        <f>IF('Document Workflow'!A1589&lt;&gt;"",'Document Workflow'!A1589,"")</f>
        <v/>
      </c>
    </row>
    <row r="1591" spans="1:1">
      <c r="A1591" s="7" t="str">
        <f>IF('Document Workflow'!A1590&lt;&gt;"",'Document Workflow'!A1590,"")</f>
        <v/>
      </c>
    </row>
    <row r="1592" spans="1:1">
      <c r="A1592" s="7" t="str">
        <f>IF('Document Workflow'!A1591&lt;&gt;"",'Document Workflow'!A1591,"")</f>
        <v/>
      </c>
    </row>
    <row r="1593" spans="1:1">
      <c r="A1593" s="7" t="str">
        <f>IF('Document Workflow'!A1592&lt;&gt;"",'Document Workflow'!A1592,"")</f>
        <v/>
      </c>
    </row>
    <row r="1594" spans="1:1">
      <c r="A1594" s="7" t="str">
        <f>IF('Document Workflow'!A1593&lt;&gt;"",'Document Workflow'!A1593,"")</f>
        <v/>
      </c>
    </row>
    <row r="1595" spans="1:1">
      <c r="A1595" s="7" t="str">
        <f>IF('Document Workflow'!A1594&lt;&gt;"",'Document Workflow'!A1594,"")</f>
        <v/>
      </c>
    </row>
    <row r="1596" spans="1:1">
      <c r="A1596" s="7" t="str">
        <f>IF('Document Workflow'!A1595&lt;&gt;"",'Document Workflow'!A1595,"")</f>
        <v/>
      </c>
    </row>
    <row r="1597" spans="1:1">
      <c r="A1597" s="7" t="str">
        <f>IF('Document Workflow'!A1596&lt;&gt;"",'Document Workflow'!A1596,"")</f>
        <v/>
      </c>
    </row>
    <row r="1598" spans="1:1">
      <c r="A1598" s="7" t="str">
        <f>IF('Document Workflow'!A1597&lt;&gt;"",'Document Workflow'!A1597,"")</f>
        <v/>
      </c>
    </row>
    <row r="1599" spans="1:1">
      <c r="A1599" s="7" t="str">
        <f>IF('Document Workflow'!A1598&lt;&gt;"",'Document Workflow'!A1598,"")</f>
        <v/>
      </c>
    </row>
    <row r="1600" spans="1:1">
      <c r="A1600" s="7" t="str">
        <f>IF('Document Workflow'!A1599&lt;&gt;"",'Document Workflow'!A1599,"")</f>
        <v/>
      </c>
    </row>
    <row r="1601" spans="1:1">
      <c r="A1601" s="7" t="str">
        <f>IF('Document Workflow'!A1600&lt;&gt;"",'Document Workflow'!A1600,"")</f>
        <v/>
      </c>
    </row>
    <row r="1602" spans="1:1">
      <c r="A1602" s="7" t="str">
        <f>IF('Document Workflow'!A1601&lt;&gt;"",'Document Workflow'!A1601,"")</f>
        <v/>
      </c>
    </row>
    <row r="1603" spans="1:1">
      <c r="A1603" s="7" t="str">
        <f>IF('Document Workflow'!A1602&lt;&gt;"",'Document Workflow'!A1602,"")</f>
        <v/>
      </c>
    </row>
    <row r="1604" spans="1:1">
      <c r="A1604" s="7" t="str">
        <f>IF('Document Workflow'!A1603&lt;&gt;"",'Document Workflow'!A1603,"")</f>
        <v/>
      </c>
    </row>
    <row r="1605" spans="1:1">
      <c r="A1605" s="7" t="str">
        <f>IF('Document Workflow'!A1604&lt;&gt;"",'Document Workflow'!A1604,"")</f>
        <v/>
      </c>
    </row>
    <row r="1606" spans="1:1">
      <c r="A1606" s="7" t="str">
        <f>IF('Document Workflow'!A1605&lt;&gt;"",'Document Workflow'!A1605,"")</f>
        <v/>
      </c>
    </row>
    <row r="1607" spans="1:1">
      <c r="A1607" s="7" t="str">
        <f>IF('Document Workflow'!A1606&lt;&gt;"",'Document Workflow'!A1606,"")</f>
        <v/>
      </c>
    </row>
    <row r="1608" spans="1:1">
      <c r="A1608" s="7" t="str">
        <f>IF('Document Workflow'!A1607&lt;&gt;"",'Document Workflow'!A1607,"")</f>
        <v/>
      </c>
    </row>
    <row r="1609" spans="1:1">
      <c r="A1609" s="7" t="str">
        <f>IF('Document Workflow'!A1608&lt;&gt;"",'Document Workflow'!A1608,"")</f>
        <v/>
      </c>
    </row>
    <row r="1610" spans="1:1">
      <c r="A1610" s="7" t="str">
        <f>IF('Document Workflow'!A1609&lt;&gt;"",'Document Workflow'!A1609,"")</f>
        <v/>
      </c>
    </row>
    <row r="1611" spans="1:1">
      <c r="A1611" s="7" t="str">
        <f>IF('Document Workflow'!A1610&lt;&gt;"",'Document Workflow'!A1610,"")</f>
        <v/>
      </c>
    </row>
    <row r="1612" spans="1:1">
      <c r="A1612" s="7" t="str">
        <f>IF('Document Workflow'!A1611&lt;&gt;"",'Document Workflow'!A1611,"")</f>
        <v/>
      </c>
    </row>
    <row r="1613" spans="1:1">
      <c r="A1613" s="7" t="str">
        <f>IF('Document Workflow'!A1612&lt;&gt;"",'Document Workflow'!A1612,"")</f>
        <v/>
      </c>
    </row>
    <row r="1614" spans="1:1">
      <c r="A1614" s="7" t="str">
        <f>IF('Document Workflow'!A1613&lt;&gt;"",'Document Workflow'!A1613,"")</f>
        <v/>
      </c>
    </row>
    <row r="1615" spans="1:1">
      <c r="A1615" s="7" t="str">
        <f>IF('Document Workflow'!A1614&lt;&gt;"",'Document Workflow'!A1614,"")</f>
        <v/>
      </c>
    </row>
    <row r="1616" spans="1:1">
      <c r="A1616" s="7" t="str">
        <f>IF('Document Workflow'!A1615&lt;&gt;"",'Document Workflow'!A1615,"")</f>
        <v/>
      </c>
    </row>
    <row r="1617" spans="1:1">
      <c r="A1617" s="7" t="str">
        <f>IF('Document Workflow'!A1616&lt;&gt;"",'Document Workflow'!A1616,"")</f>
        <v/>
      </c>
    </row>
    <row r="1618" spans="1:1">
      <c r="A1618" s="7" t="str">
        <f>IF('Document Workflow'!A1617&lt;&gt;"",'Document Workflow'!A1617,"")</f>
        <v/>
      </c>
    </row>
    <row r="1619" spans="1:1">
      <c r="A1619" s="7" t="str">
        <f>IF('Document Workflow'!A1618&lt;&gt;"",'Document Workflow'!A1618,"")</f>
        <v/>
      </c>
    </row>
    <row r="1620" spans="1:1">
      <c r="A1620" s="7" t="str">
        <f>IF('Document Workflow'!A1619&lt;&gt;"",'Document Workflow'!A1619,"")</f>
        <v/>
      </c>
    </row>
    <row r="1621" spans="1:1">
      <c r="A1621" s="7" t="str">
        <f>IF('Document Workflow'!A1620&lt;&gt;"",'Document Workflow'!A1620,"")</f>
        <v/>
      </c>
    </row>
    <row r="1622" spans="1:1">
      <c r="A1622" s="7" t="str">
        <f>IF('Document Workflow'!A1621&lt;&gt;"",'Document Workflow'!A1621,"")</f>
        <v/>
      </c>
    </row>
    <row r="1623" spans="1:1">
      <c r="A1623" s="7" t="str">
        <f>IF('Document Workflow'!A1622&lt;&gt;"",'Document Workflow'!A1622,"")</f>
        <v/>
      </c>
    </row>
    <row r="1624" spans="1:1">
      <c r="A1624" s="7" t="str">
        <f>IF('Document Workflow'!A1623&lt;&gt;"",'Document Workflow'!A1623,"")</f>
        <v/>
      </c>
    </row>
    <row r="1625" spans="1:1">
      <c r="A1625" s="7" t="str">
        <f>IF('Document Workflow'!A1624&lt;&gt;"",'Document Workflow'!A1624,"")</f>
        <v/>
      </c>
    </row>
    <row r="1626" spans="1:1">
      <c r="A1626" s="7" t="str">
        <f>IF('Document Workflow'!A1625&lt;&gt;"",'Document Workflow'!A1625,"")</f>
        <v/>
      </c>
    </row>
    <row r="1627" spans="1:1">
      <c r="A1627" s="7" t="str">
        <f>IF('Document Workflow'!A1626&lt;&gt;"",'Document Workflow'!A1626,"")</f>
        <v/>
      </c>
    </row>
    <row r="1628" spans="1:1">
      <c r="A1628" s="7" t="str">
        <f>IF('Document Workflow'!A1627&lt;&gt;"",'Document Workflow'!A1627,"")</f>
        <v/>
      </c>
    </row>
    <row r="1629" spans="1:1">
      <c r="A1629" s="7" t="str">
        <f>IF('Document Workflow'!A1628&lt;&gt;"",'Document Workflow'!A1628,"")</f>
        <v/>
      </c>
    </row>
    <row r="1630" spans="1:1">
      <c r="A1630" s="7" t="str">
        <f>IF('Document Workflow'!A1629&lt;&gt;"",'Document Workflow'!A1629,"")</f>
        <v/>
      </c>
    </row>
    <row r="1631" spans="1:1">
      <c r="A1631" s="7" t="str">
        <f>IF('Document Workflow'!A1630&lt;&gt;"",'Document Workflow'!A1630,"")</f>
        <v/>
      </c>
    </row>
    <row r="1632" spans="1:1">
      <c r="A1632" s="7" t="str">
        <f>IF('Document Workflow'!A1631&lt;&gt;"",'Document Workflow'!A1631,"")</f>
        <v/>
      </c>
    </row>
    <row r="1633" spans="1:1">
      <c r="A1633" s="7" t="str">
        <f>IF('Document Workflow'!A1632&lt;&gt;"",'Document Workflow'!A1632,"")</f>
        <v/>
      </c>
    </row>
    <row r="1634" spans="1:1">
      <c r="A1634" s="7" t="str">
        <f>IF('Document Workflow'!A1633&lt;&gt;"",'Document Workflow'!A1633,"")</f>
        <v/>
      </c>
    </row>
    <row r="1635" spans="1:1">
      <c r="A1635" s="7" t="str">
        <f>IF('Document Workflow'!A1634&lt;&gt;"",'Document Workflow'!A1634,"")</f>
        <v/>
      </c>
    </row>
    <row r="1636" spans="1:1">
      <c r="A1636" s="7" t="str">
        <f>IF('Document Workflow'!A1635&lt;&gt;"",'Document Workflow'!A1635,"")</f>
        <v/>
      </c>
    </row>
    <row r="1637" spans="1:1">
      <c r="A1637" s="7" t="str">
        <f>IF('Document Workflow'!A1636&lt;&gt;"",'Document Workflow'!A1636,"")</f>
        <v/>
      </c>
    </row>
    <row r="1638" spans="1:1">
      <c r="A1638" s="7" t="str">
        <f>IF('Document Workflow'!A1637&lt;&gt;"",'Document Workflow'!A1637,"")</f>
        <v/>
      </c>
    </row>
    <row r="1639" spans="1:1">
      <c r="A1639" s="7" t="str">
        <f>IF('Document Workflow'!A1638&lt;&gt;"",'Document Workflow'!A1638,"")</f>
        <v/>
      </c>
    </row>
    <row r="1640" spans="1:1">
      <c r="A1640" s="7" t="str">
        <f>IF('Document Workflow'!A1639&lt;&gt;"",'Document Workflow'!A1639,"")</f>
        <v/>
      </c>
    </row>
    <row r="1641" spans="1:1">
      <c r="A1641" s="7" t="str">
        <f>IF('Document Workflow'!A1640&lt;&gt;"",'Document Workflow'!A1640,"")</f>
        <v/>
      </c>
    </row>
    <row r="1642" spans="1:1">
      <c r="A1642" s="7" t="str">
        <f>IF('Document Workflow'!A1641&lt;&gt;"",'Document Workflow'!A1641,"")</f>
        <v/>
      </c>
    </row>
    <row r="1643" spans="1:1">
      <c r="A1643" s="7" t="str">
        <f>IF('Document Workflow'!A1642&lt;&gt;"",'Document Workflow'!A1642,"")</f>
        <v/>
      </c>
    </row>
    <row r="1644" spans="1:1">
      <c r="A1644" s="7" t="str">
        <f>IF('Document Workflow'!A1643&lt;&gt;"",'Document Workflow'!A1643,"")</f>
        <v/>
      </c>
    </row>
    <row r="1645" spans="1:1">
      <c r="A1645" s="7" t="str">
        <f>IF('Document Workflow'!A1644&lt;&gt;"",'Document Workflow'!A1644,"")</f>
        <v/>
      </c>
    </row>
    <row r="1646" spans="1:1">
      <c r="A1646" s="7" t="str">
        <f>IF('Document Workflow'!A1645&lt;&gt;"",'Document Workflow'!A1645,"")</f>
        <v/>
      </c>
    </row>
    <row r="1647" spans="1:1">
      <c r="A1647" s="7" t="str">
        <f>IF('Document Workflow'!A1646&lt;&gt;"",'Document Workflow'!A1646,"")</f>
        <v/>
      </c>
    </row>
    <row r="1648" spans="1:1">
      <c r="A1648" s="7" t="str">
        <f>IF('Document Workflow'!A1647&lt;&gt;"",'Document Workflow'!A1647,"")</f>
        <v/>
      </c>
    </row>
    <row r="1649" spans="1:1">
      <c r="A1649" s="7" t="str">
        <f>IF('Document Workflow'!A1648&lt;&gt;"",'Document Workflow'!A1648,"")</f>
        <v/>
      </c>
    </row>
    <row r="1650" spans="1:1">
      <c r="A1650" s="7" t="str">
        <f>IF('Document Workflow'!A1649&lt;&gt;"",'Document Workflow'!A1649,"")</f>
        <v/>
      </c>
    </row>
    <row r="1651" spans="1:1">
      <c r="A1651" s="7" t="str">
        <f>IF('Document Workflow'!A1650&lt;&gt;"",'Document Workflow'!A1650,"")</f>
        <v/>
      </c>
    </row>
    <row r="1652" spans="1:1">
      <c r="A1652" s="7" t="str">
        <f>IF('Document Workflow'!A1651&lt;&gt;"",'Document Workflow'!A1651,"")</f>
        <v/>
      </c>
    </row>
    <row r="1653" spans="1:1">
      <c r="A1653" s="7" t="str">
        <f>IF('Document Workflow'!A1652&lt;&gt;"",'Document Workflow'!A1652,"")</f>
        <v/>
      </c>
    </row>
    <row r="1654" spans="1:1">
      <c r="A1654" s="7" t="str">
        <f>IF('Document Workflow'!A1653&lt;&gt;"",'Document Workflow'!A1653,"")</f>
        <v/>
      </c>
    </row>
    <row r="1655" spans="1:1">
      <c r="A1655" s="7" t="str">
        <f>IF('Document Workflow'!A1654&lt;&gt;"",'Document Workflow'!A1654,"")</f>
        <v/>
      </c>
    </row>
    <row r="1656" spans="1:1">
      <c r="A1656" s="7" t="str">
        <f>IF('Document Workflow'!A1655&lt;&gt;"",'Document Workflow'!A1655,"")</f>
        <v/>
      </c>
    </row>
    <row r="1657" spans="1:1">
      <c r="A1657" s="7" t="str">
        <f>IF('Document Workflow'!A1656&lt;&gt;"",'Document Workflow'!A1656,"")</f>
        <v/>
      </c>
    </row>
    <row r="1658" spans="1:1">
      <c r="A1658" s="7" t="str">
        <f>IF('Document Workflow'!A1657&lt;&gt;"",'Document Workflow'!A1657,"")</f>
        <v/>
      </c>
    </row>
    <row r="1659" spans="1:1">
      <c r="A1659" s="7" t="str">
        <f>IF('Document Workflow'!A1658&lt;&gt;"",'Document Workflow'!A1658,"")</f>
        <v/>
      </c>
    </row>
    <row r="1660" spans="1:1">
      <c r="A1660" s="7" t="str">
        <f>IF('Document Workflow'!A1659&lt;&gt;"",'Document Workflow'!A1659,"")</f>
        <v/>
      </c>
    </row>
    <row r="1661" spans="1:1">
      <c r="A1661" s="7" t="str">
        <f>IF('Document Workflow'!A1660&lt;&gt;"",'Document Workflow'!A1660,"")</f>
        <v/>
      </c>
    </row>
    <row r="1662" spans="1:1">
      <c r="A1662" s="7" t="str">
        <f>IF('Document Workflow'!A1661&lt;&gt;"",'Document Workflow'!A1661,"")</f>
        <v/>
      </c>
    </row>
    <row r="1663" spans="1:1">
      <c r="A1663" s="7" t="str">
        <f>IF('Document Workflow'!A1662&lt;&gt;"",'Document Workflow'!A1662,"")</f>
        <v/>
      </c>
    </row>
    <row r="1664" spans="1:1">
      <c r="A1664" s="7" t="str">
        <f>IF('Document Workflow'!A1663&lt;&gt;"",'Document Workflow'!A1663,"")</f>
        <v/>
      </c>
    </row>
    <row r="1665" spans="1:1">
      <c r="A1665" s="7" t="str">
        <f>IF('Document Workflow'!A1664&lt;&gt;"",'Document Workflow'!A1664,"")</f>
        <v/>
      </c>
    </row>
    <row r="1666" spans="1:1">
      <c r="A1666" s="7" t="str">
        <f>IF('Document Workflow'!A1665&lt;&gt;"",'Document Workflow'!A1665,"")</f>
        <v/>
      </c>
    </row>
    <row r="1667" spans="1:1">
      <c r="A1667" s="7" t="str">
        <f>IF('Document Workflow'!A1666&lt;&gt;"",'Document Workflow'!A1666,"")</f>
        <v/>
      </c>
    </row>
    <row r="1668" spans="1:1">
      <c r="A1668" s="7" t="str">
        <f>IF('Document Workflow'!A1667&lt;&gt;"",'Document Workflow'!A1667,"")</f>
        <v/>
      </c>
    </row>
    <row r="1669" spans="1:1">
      <c r="A1669" s="7" t="str">
        <f>IF('Document Workflow'!A1668&lt;&gt;"",'Document Workflow'!A1668,"")</f>
        <v/>
      </c>
    </row>
    <row r="1670" spans="1:1">
      <c r="A1670" s="7" t="str">
        <f>IF('Document Workflow'!A1669&lt;&gt;"",'Document Workflow'!A1669,"")</f>
        <v/>
      </c>
    </row>
    <row r="1671" spans="1:1">
      <c r="A1671" s="7" t="str">
        <f>IF('Document Workflow'!A1670&lt;&gt;"",'Document Workflow'!A1670,"")</f>
        <v/>
      </c>
    </row>
    <row r="1672" spans="1:1">
      <c r="A1672" s="7" t="str">
        <f>IF('Document Workflow'!A1671&lt;&gt;"",'Document Workflow'!A1671,"")</f>
        <v/>
      </c>
    </row>
    <row r="1673" spans="1:1">
      <c r="A1673" s="7" t="str">
        <f>IF('Document Workflow'!A1672&lt;&gt;"",'Document Workflow'!A1672,"")</f>
        <v/>
      </c>
    </row>
    <row r="1674" spans="1:1">
      <c r="A1674" s="7" t="str">
        <f>IF('Document Workflow'!A1673&lt;&gt;"",'Document Workflow'!A1673,"")</f>
        <v/>
      </c>
    </row>
    <row r="1675" spans="1:1">
      <c r="A1675" s="7" t="str">
        <f>IF('Document Workflow'!A1674&lt;&gt;"",'Document Workflow'!A1674,"")</f>
        <v/>
      </c>
    </row>
    <row r="1676" spans="1:1">
      <c r="A1676" s="7" t="str">
        <f>IF('Document Workflow'!A1675&lt;&gt;"",'Document Workflow'!A1675,"")</f>
        <v/>
      </c>
    </row>
    <row r="1677" spans="1:1">
      <c r="A1677" s="7" t="str">
        <f>IF('Document Workflow'!A1676&lt;&gt;"",'Document Workflow'!A1676,"")</f>
        <v/>
      </c>
    </row>
    <row r="1678" spans="1:1">
      <c r="A1678" s="7" t="str">
        <f>IF('Document Workflow'!A1677&lt;&gt;"",'Document Workflow'!A1677,"")</f>
        <v/>
      </c>
    </row>
    <row r="1679" spans="1:1">
      <c r="A1679" s="7" t="str">
        <f>IF('Document Workflow'!A1678&lt;&gt;"",'Document Workflow'!A1678,"")</f>
        <v/>
      </c>
    </row>
    <row r="1680" spans="1:1">
      <c r="A1680" s="7" t="str">
        <f>IF('Document Workflow'!A1679&lt;&gt;"",'Document Workflow'!A1679,"")</f>
        <v/>
      </c>
    </row>
    <row r="1681" spans="1:1">
      <c r="A1681" s="7" t="str">
        <f>IF('Document Workflow'!A1680&lt;&gt;"",'Document Workflow'!A1680,"")</f>
        <v/>
      </c>
    </row>
    <row r="1682" spans="1:1">
      <c r="A1682" s="7" t="str">
        <f>IF('Document Workflow'!A1681&lt;&gt;"",'Document Workflow'!A1681,"")</f>
        <v/>
      </c>
    </row>
    <row r="1683" spans="1:1">
      <c r="A1683" s="7" t="str">
        <f>IF('Document Workflow'!A1682&lt;&gt;"",'Document Workflow'!A1682,"")</f>
        <v/>
      </c>
    </row>
    <row r="1684" spans="1:1">
      <c r="A1684" s="7" t="str">
        <f>IF('Document Workflow'!A1683&lt;&gt;"",'Document Workflow'!A1683,"")</f>
        <v/>
      </c>
    </row>
    <row r="1685" spans="1:1">
      <c r="A1685" s="7" t="str">
        <f>IF('Document Workflow'!A1684&lt;&gt;"",'Document Workflow'!A1684,"")</f>
        <v/>
      </c>
    </row>
    <row r="1686" spans="1:1">
      <c r="A1686" s="7" t="str">
        <f>IF('Document Workflow'!A1685&lt;&gt;"",'Document Workflow'!A1685,"")</f>
        <v/>
      </c>
    </row>
    <row r="1687" spans="1:1">
      <c r="A1687" s="7" t="str">
        <f>IF('Document Workflow'!A1686&lt;&gt;"",'Document Workflow'!A1686,"")</f>
        <v/>
      </c>
    </row>
    <row r="1688" spans="1:1">
      <c r="A1688" s="7" t="str">
        <f>IF('Document Workflow'!A1687&lt;&gt;"",'Document Workflow'!A1687,"")</f>
        <v/>
      </c>
    </row>
    <row r="1689" spans="1:1">
      <c r="A1689" s="7" t="str">
        <f>IF('Document Workflow'!A1688&lt;&gt;"",'Document Workflow'!A1688,"")</f>
        <v/>
      </c>
    </row>
    <row r="1690" spans="1:1">
      <c r="A1690" s="7" t="str">
        <f>IF('Document Workflow'!A1689&lt;&gt;"",'Document Workflow'!A1689,"")</f>
        <v/>
      </c>
    </row>
    <row r="1691" spans="1:1">
      <c r="A1691" s="7" t="str">
        <f>IF('Document Workflow'!A1690&lt;&gt;"",'Document Workflow'!A1690,"")</f>
        <v/>
      </c>
    </row>
    <row r="1692" spans="1:1">
      <c r="A1692" s="7" t="str">
        <f>IF('Document Workflow'!A1691&lt;&gt;"",'Document Workflow'!A1691,"")</f>
        <v/>
      </c>
    </row>
    <row r="1693" spans="1:1">
      <c r="A1693" s="7" t="str">
        <f>IF('Document Workflow'!A1692&lt;&gt;"",'Document Workflow'!A1692,"")</f>
        <v/>
      </c>
    </row>
    <row r="1694" spans="1:1">
      <c r="A1694" s="7" t="str">
        <f>IF('Document Workflow'!A1693&lt;&gt;"",'Document Workflow'!A1693,"")</f>
        <v/>
      </c>
    </row>
    <row r="1695" spans="1:1">
      <c r="A1695" s="7" t="str">
        <f>IF('Document Workflow'!A1694&lt;&gt;"",'Document Workflow'!A1694,"")</f>
        <v/>
      </c>
    </row>
    <row r="1696" spans="1:1">
      <c r="A1696" s="7" t="str">
        <f>IF('Document Workflow'!A1695&lt;&gt;"",'Document Workflow'!A1695,"")</f>
        <v/>
      </c>
    </row>
    <row r="1697" spans="1:1">
      <c r="A1697" s="7" t="str">
        <f>IF('Document Workflow'!A1696&lt;&gt;"",'Document Workflow'!A1696,"")</f>
        <v/>
      </c>
    </row>
    <row r="1698" spans="1:1">
      <c r="A1698" s="7" t="str">
        <f>IF('Document Workflow'!A1697&lt;&gt;"",'Document Workflow'!A1697,"")</f>
        <v/>
      </c>
    </row>
    <row r="1699" spans="1:1">
      <c r="A1699" s="7" t="str">
        <f>IF('Document Workflow'!A1698&lt;&gt;"",'Document Workflow'!A1698,"")</f>
        <v/>
      </c>
    </row>
    <row r="1700" spans="1:1">
      <c r="A1700" s="7" t="str">
        <f>IF('Document Workflow'!A1699&lt;&gt;"",'Document Workflow'!A1699,"")</f>
        <v/>
      </c>
    </row>
    <row r="1701" spans="1:1">
      <c r="A1701" s="7" t="str">
        <f>IF('Document Workflow'!A1700&lt;&gt;"",'Document Workflow'!A1700,"")</f>
        <v/>
      </c>
    </row>
    <row r="1702" spans="1:1">
      <c r="A1702" s="7" t="str">
        <f>IF('Document Workflow'!A1701&lt;&gt;"",'Document Workflow'!A1701,"")</f>
        <v/>
      </c>
    </row>
    <row r="1703" spans="1:1">
      <c r="A1703" s="7" t="str">
        <f>IF('Document Workflow'!A1702&lt;&gt;"",'Document Workflow'!A1702,"")</f>
        <v/>
      </c>
    </row>
    <row r="1704" spans="1:1">
      <c r="A1704" s="7" t="str">
        <f>IF('Document Workflow'!A1703&lt;&gt;"",'Document Workflow'!A1703,"")</f>
        <v/>
      </c>
    </row>
    <row r="1705" spans="1:1">
      <c r="A1705" s="7" t="str">
        <f>IF('Document Workflow'!A1704&lt;&gt;"",'Document Workflow'!A1704,"")</f>
        <v/>
      </c>
    </row>
    <row r="1706" spans="1:1">
      <c r="A1706" s="7" t="str">
        <f>IF('Document Workflow'!A1705&lt;&gt;"",'Document Workflow'!A1705,"")</f>
        <v/>
      </c>
    </row>
    <row r="1707" spans="1:1">
      <c r="A1707" s="7" t="str">
        <f>IF('Document Workflow'!A1706&lt;&gt;"",'Document Workflow'!A1706,"")</f>
        <v/>
      </c>
    </row>
    <row r="1708" spans="1:1">
      <c r="A1708" s="7" t="str">
        <f>IF('Document Workflow'!A1707&lt;&gt;"",'Document Workflow'!A1707,"")</f>
        <v/>
      </c>
    </row>
    <row r="1709" spans="1:1">
      <c r="A1709" s="7" t="str">
        <f>IF('Document Workflow'!A1708&lt;&gt;"",'Document Workflow'!A1708,"")</f>
        <v/>
      </c>
    </row>
    <row r="1710" spans="1:1">
      <c r="A1710" s="7" t="str">
        <f>IF('Document Workflow'!A1709&lt;&gt;"",'Document Workflow'!A1709,"")</f>
        <v/>
      </c>
    </row>
    <row r="1711" spans="1:1">
      <c r="A1711" s="7" t="str">
        <f>IF('Document Workflow'!A1710&lt;&gt;"",'Document Workflow'!A1710,"")</f>
        <v/>
      </c>
    </row>
    <row r="1712" spans="1:1">
      <c r="A1712" s="7" t="str">
        <f>IF('Document Workflow'!A1711&lt;&gt;"",'Document Workflow'!A1711,"")</f>
        <v/>
      </c>
    </row>
    <row r="1713" spans="1:1">
      <c r="A1713" s="7" t="str">
        <f>IF('Document Workflow'!A1712&lt;&gt;"",'Document Workflow'!A1712,"")</f>
        <v/>
      </c>
    </row>
    <row r="1714" spans="1:1">
      <c r="A1714" s="7" t="str">
        <f>IF('Document Workflow'!A1713&lt;&gt;"",'Document Workflow'!A1713,"")</f>
        <v/>
      </c>
    </row>
    <row r="1715" spans="1:1">
      <c r="A1715" s="7" t="str">
        <f>IF('Document Workflow'!A1714&lt;&gt;"",'Document Workflow'!A1714,"")</f>
        <v/>
      </c>
    </row>
    <row r="1716" spans="1:1">
      <c r="A1716" s="7" t="str">
        <f>IF('Document Workflow'!A1715&lt;&gt;"",'Document Workflow'!A1715,"")</f>
        <v/>
      </c>
    </row>
    <row r="1717" spans="1:1">
      <c r="A1717" s="7" t="str">
        <f>IF('Document Workflow'!A1716&lt;&gt;"",'Document Workflow'!A1716,"")</f>
        <v/>
      </c>
    </row>
    <row r="1718" spans="1:1">
      <c r="A1718" s="7" t="str">
        <f>IF('Document Workflow'!A1717&lt;&gt;"",'Document Workflow'!A1717,"")</f>
        <v/>
      </c>
    </row>
    <row r="1719" spans="1:1">
      <c r="A1719" s="7" t="str">
        <f>IF('Document Workflow'!A1718&lt;&gt;"",'Document Workflow'!A1718,"")</f>
        <v/>
      </c>
    </row>
    <row r="1720" spans="1:1">
      <c r="A1720" s="7" t="str">
        <f>IF('Document Workflow'!A1719&lt;&gt;"",'Document Workflow'!A1719,"")</f>
        <v/>
      </c>
    </row>
    <row r="1721" spans="1:1">
      <c r="A1721" s="7" t="str">
        <f>IF('Document Workflow'!A1720&lt;&gt;"",'Document Workflow'!A1720,"")</f>
        <v/>
      </c>
    </row>
    <row r="1722" spans="1:1">
      <c r="A1722" s="7" t="str">
        <f>IF('Document Workflow'!A1721&lt;&gt;"",'Document Workflow'!A1721,"")</f>
        <v/>
      </c>
    </row>
    <row r="1723" spans="1:1">
      <c r="A1723" s="7" t="str">
        <f>IF('Document Workflow'!A1722&lt;&gt;"",'Document Workflow'!A1722,"")</f>
        <v/>
      </c>
    </row>
    <row r="1724" spans="1:1">
      <c r="A1724" s="7" t="str">
        <f>IF('Document Workflow'!A1723&lt;&gt;"",'Document Workflow'!A1723,"")</f>
        <v/>
      </c>
    </row>
    <row r="1725" spans="1:1">
      <c r="A1725" s="7" t="str">
        <f>IF('Document Workflow'!A1724&lt;&gt;"",'Document Workflow'!A1724,"")</f>
        <v/>
      </c>
    </row>
    <row r="1726" spans="1:1">
      <c r="A1726" s="7" t="str">
        <f>IF('Document Workflow'!A1725&lt;&gt;"",'Document Workflow'!A1725,"")</f>
        <v/>
      </c>
    </row>
    <row r="1727" spans="1:1">
      <c r="A1727" s="7" t="str">
        <f>IF('Document Workflow'!A1726&lt;&gt;"",'Document Workflow'!A1726,"")</f>
        <v/>
      </c>
    </row>
    <row r="1728" spans="1:1">
      <c r="A1728" s="7" t="str">
        <f>IF('Document Workflow'!A1727&lt;&gt;"",'Document Workflow'!A1727,"")</f>
        <v/>
      </c>
    </row>
    <row r="1729" spans="1:1">
      <c r="A1729" s="7" t="str">
        <f>IF('Document Workflow'!A1728&lt;&gt;"",'Document Workflow'!A1728,"")</f>
        <v/>
      </c>
    </row>
    <row r="1730" spans="1:1">
      <c r="A1730" s="7" t="str">
        <f>IF('Document Workflow'!A1729&lt;&gt;"",'Document Workflow'!A1729,"")</f>
        <v/>
      </c>
    </row>
    <row r="1731" spans="1:1">
      <c r="A1731" s="7" t="str">
        <f>IF('Document Workflow'!A1730&lt;&gt;"",'Document Workflow'!A1730,"")</f>
        <v/>
      </c>
    </row>
    <row r="1732" spans="1:1">
      <c r="A1732" s="7" t="str">
        <f>IF('Document Workflow'!A1731&lt;&gt;"",'Document Workflow'!A1731,"")</f>
        <v/>
      </c>
    </row>
    <row r="1733" spans="1:1">
      <c r="A1733" s="7" t="str">
        <f>IF('Document Workflow'!A1732&lt;&gt;"",'Document Workflow'!A1732,"")</f>
        <v/>
      </c>
    </row>
    <row r="1734" spans="1:1">
      <c r="A1734" s="7" t="str">
        <f>IF('Document Workflow'!A1733&lt;&gt;"",'Document Workflow'!A1733,"")</f>
        <v/>
      </c>
    </row>
    <row r="1735" spans="1:1">
      <c r="A1735" s="7" t="str">
        <f>IF('Document Workflow'!A1734&lt;&gt;"",'Document Workflow'!A1734,"")</f>
        <v/>
      </c>
    </row>
    <row r="1736" spans="1:1">
      <c r="A1736" s="7" t="str">
        <f>IF('Document Workflow'!A1735&lt;&gt;"",'Document Workflow'!A1735,"")</f>
        <v/>
      </c>
    </row>
    <row r="1737" spans="1:1">
      <c r="A1737" s="7" t="str">
        <f>IF('Document Workflow'!A1736&lt;&gt;"",'Document Workflow'!A1736,"")</f>
        <v/>
      </c>
    </row>
    <row r="1738" spans="1:1">
      <c r="A1738" s="7" t="str">
        <f>IF('Document Workflow'!A1737&lt;&gt;"",'Document Workflow'!A1737,"")</f>
        <v/>
      </c>
    </row>
    <row r="1739" spans="1:1">
      <c r="A1739" s="7" t="str">
        <f>IF('Document Workflow'!A1738&lt;&gt;"",'Document Workflow'!A1738,"")</f>
        <v/>
      </c>
    </row>
    <row r="1740" spans="1:1">
      <c r="A1740" s="7" t="str">
        <f>IF('Document Workflow'!A1739&lt;&gt;"",'Document Workflow'!A1739,"")</f>
        <v/>
      </c>
    </row>
    <row r="1741" spans="1:1">
      <c r="A1741" s="7" t="str">
        <f>IF('Document Workflow'!A1740&lt;&gt;"",'Document Workflow'!A1740,"")</f>
        <v/>
      </c>
    </row>
    <row r="1742" spans="1:1">
      <c r="A1742" s="7" t="str">
        <f>IF('Document Workflow'!A1741&lt;&gt;"",'Document Workflow'!A1741,"")</f>
        <v/>
      </c>
    </row>
    <row r="1743" spans="1:1">
      <c r="A1743" s="7" t="str">
        <f>IF('Document Workflow'!A1742&lt;&gt;"",'Document Workflow'!A1742,"")</f>
        <v/>
      </c>
    </row>
    <row r="1744" spans="1:1">
      <c r="A1744" s="7" t="str">
        <f>IF('Document Workflow'!A1743&lt;&gt;"",'Document Workflow'!A1743,"")</f>
        <v/>
      </c>
    </row>
    <row r="1745" spans="1:1">
      <c r="A1745" s="7" t="str">
        <f>IF('Document Workflow'!A1744&lt;&gt;"",'Document Workflow'!A1744,"")</f>
        <v/>
      </c>
    </row>
    <row r="1746" spans="1:1">
      <c r="A1746" s="7" t="str">
        <f>IF('Document Workflow'!A1745&lt;&gt;"",'Document Workflow'!A1745,"")</f>
        <v/>
      </c>
    </row>
    <row r="1747" spans="1:1">
      <c r="A1747" s="7" t="str">
        <f>IF('Document Workflow'!A1746&lt;&gt;"",'Document Workflow'!A1746,"")</f>
        <v/>
      </c>
    </row>
    <row r="1748" spans="1:1">
      <c r="A1748" s="7" t="str">
        <f>IF('Document Workflow'!A1747&lt;&gt;"",'Document Workflow'!A1747,"")</f>
        <v/>
      </c>
    </row>
    <row r="1749" spans="1:1">
      <c r="A1749" s="7" t="str">
        <f>IF('Document Workflow'!A1748&lt;&gt;"",'Document Workflow'!A1748,"")</f>
        <v/>
      </c>
    </row>
    <row r="1750" spans="1:1">
      <c r="A1750" s="7" t="str">
        <f>IF('Document Workflow'!A1749&lt;&gt;"",'Document Workflow'!A1749,"")</f>
        <v/>
      </c>
    </row>
    <row r="1751" spans="1:1">
      <c r="A1751" s="7" t="str">
        <f>IF('Document Workflow'!A1750&lt;&gt;"",'Document Workflow'!A1750,"")</f>
        <v/>
      </c>
    </row>
    <row r="1752" spans="1:1">
      <c r="A1752" s="7" t="str">
        <f>IF('Document Workflow'!A1751&lt;&gt;"",'Document Workflow'!A1751,"")</f>
        <v/>
      </c>
    </row>
    <row r="1753" spans="1:1">
      <c r="A1753" s="7" t="str">
        <f>IF('Document Workflow'!A1752&lt;&gt;"",'Document Workflow'!A1752,"")</f>
        <v/>
      </c>
    </row>
    <row r="1754" spans="1:1">
      <c r="A1754" s="7" t="str">
        <f>IF('Document Workflow'!A1753&lt;&gt;"",'Document Workflow'!A1753,"")</f>
        <v/>
      </c>
    </row>
    <row r="1755" spans="1:1">
      <c r="A1755" s="7" t="str">
        <f>IF('Document Workflow'!A1754&lt;&gt;"",'Document Workflow'!A1754,"")</f>
        <v/>
      </c>
    </row>
    <row r="1756" spans="1:1">
      <c r="A1756" s="7" t="str">
        <f>IF('Document Workflow'!A1755&lt;&gt;"",'Document Workflow'!A1755,"")</f>
        <v/>
      </c>
    </row>
    <row r="1757" spans="1:1">
      <c r="A1757" s="7" t="str">
        <f>IF('Document Workflow'!A1756&lt;&gt;"",'Document Workflow'!A1756,"")</f>
        <v/>
      </c>
    </row>
    <row r="1758" spans="1:1">
      <c r="A1758" s="7" t="str">
        <f>IF('Document Workflow'!A1757&lt;&gt;"",'Document Workflow'!A1757,"")</f>
        <v/>
      </c>
    </row>
    <row r="1759" spans="1:1">
      <c r="A1759" s="7" t="str">
        <f>IF('Document Workflow'!A1758&lt;&gt;"",'Document Workflow'!A1758,"")</f>
        <v/>
      </c>
    </row>
    <row r="1760" spans="1:1">
      <c r="A1760" s="7" t="str">
        <f>IF('Document Workflow'!A1759&lt;&gt;"",'Document Workflow'!A1759,"")</f>
        <v/>
      </c>
    </row>
    <row r="1761" spans="1:1">
      <c r="A1761" s="7" t="str">
        <f>IF('Document Workflow'!A1760&lt;&gt;"",'Document Workflow'!A1760,"")</f>
        <v/>
      </c>
    </row>
    <row r="1762" spans="1:1">
      <c r="A1762" s="7" t="str">
        <f>IF('Document Workflow'!A1761&lt;&gt;"",'Document Workflow'!A1761,"")</f>
        <v/>
      </c>
    </row>
    <row r="1763" spans="1:1">
      <c r="A1763" s="7" t="str">
        <f>IF('Document Workflow'!A1762&lt;&gt;"",'Document Workflow'!A1762,"")</f>
        <v/>
      </c>
    </row>
    <row r="1764" spans="1:1">
      <c r="A1764" s="7" t="str">
        <f>IF('Document Workflow'!A1763&lt;&gt;"",'Document Workflow'!A1763,"")</f>
        <v/>
      </c>
    </row>
    <row r="1765" spans="1:1">
      <c r="A1765" s="7" t="str">
        <f>IF('Document Workflow'!A1764&lt;&gt;"",'Document Workflow'!A1764,"")</f>
        <v/>
      </c>
    </row>
    <row r="1766" spans="1:1">
      <c r="A1766" s="7" t="str">
        <f>IF('Document Workflow'!A1765&lt;&gt;"",'Document Workflow'!A1765,"")</f>
        <v/>
      </c>
    </row>
    <row r="1767" spans="1:1">
      <c r="A1767" s="7" t="str">
        <f>IF('Document Workflow'!A1766&lt;&gt;"",'Document Workflow'!A1766,"")</f>
        <v/>
      </c>
    </row>
    <row r="1768" spans="1:1">
      <c r="A1768" s="7" t="str">
        <f>IF('Document Workflow'!A1767&lt;&gt;"",'Document Workflow'!A1767,"")</f>
        <v/>
      </c>
    </row>
    <row r="1769" spans="1:1">
      <c r="A1769" s="7" t="str">
        <f>IF('Document Workflow'!A1768&lt;&gt;"",'Document Workflow'!A1768,"")</f>
        <v/>
      </c>
    </row>
    <row r="1770" spans="1:1">
      <c r="A1770" s="7" t="str">
        <f>IF('Document Workflow'!A1769&lt;&gt;"",'Document Workflow'!A1769,"")</f>
        <v/>
      </c>
    </row>
    <row r="1771" spans="1:1">
      <c r="A1771" s="7" t="str">
        <f>IF('Document Workflow'!A1770&lt;&gt;"",'Document Workflow'!A1770,"")</f>
        <v/>
      </c>
    </row>
    <row r="1772" spans="1:1">
      <c r="A1772" s="7" t="str">
        <f>IF('Document Workflow'!A1771&lt;&gt;"",'Document Workflow'!A1771,"")</f>
        <v/>
      </c>
    </row>
    <row r="1773" spans="1:1">
      <c r="A1773" s="7" t="str">
        <f>IF('Document Workflow'!A1772&lt;&gt;"",'Document Workflow'!A1772,"")</f>
        <v/>
      </c>
    </row>
    <row r="1774" spans="1:1">
      <c r="A1774" s="7" t="str">
        <f>IF('Document Workflow'!A1773&lt;&gt;"",'Document Workflow'!A1773,"")</f>
        <v/>
      </c>
    </row>
    <row r="1775" spans="1:1">
      <c r="A1775" s="7" t="str">
        <f>IF('Document Workflow'!A1774&lt;&gt;"",'Document Workflow'!A1774,"")</f>
        <v/>
      </c>
    </row>
    <row r="1776" spans="1:1">
      <c r="A1776" s="7" t="str">
        <f>IF('Document Workflow'!A1775&lt;&gt;"",'Document Workflow'!A1775,"")</f>
        <v/>
      </c>
    </row>
    <row r="1777" spans="1:1">
      <c r="A1777" s="7" t="str">
        <f>IF('Document Workflow'!A1776&lt;&gt;"",'Document Workflow'!A1776,"")</f>
        <v/>
      </c>
    </row>
    <row r="1778" spans="1:1">
      <c r="A1778" s="7" t="str">
        <f>IF('Document Workflow'!A1777&lt;&gt;"",'Document Workflow'!A1777,"")</f>
        <v/>
      </c>
    </row>
    <row r="1779" spans="1:1">
      <c r="A1779" s="7" t="str">
        <f>IF('Document Workflow'!A1778&lt;&gt;"",'Document Workflow'!A1778,"")</f>
        <v/>
      </c>
    </row>
    <row r="1780" spans="1:1">
      <c r="A1780" s="7" t="str">
        <f>IF('Document Workflow'!A1779&lt;&gt;"",'Document Workflow'!A1779,"")</f>
        <v/>
      </c>
    </row>
    <row r="1781" spans="1:1">
      <c r="A1781" s="7" t="str">
        <f>IF('Document Workflow'!A1780&lt;&gt;"",'Document Workflow'!A1780,"")</f>
        <v/>
      </c>
    </row>
    <row r="1782" spans="1:1">
      <c r="A1782" s="7" t="str">
        <f>IF('Document Workflow'!A1781&lt;&gt;"",'Document Workflow'!A1781,"")</f>
        <v/>
      </c>
    </row>
    <row r="1783" spans="1:1">
      <c r="A1783" s="7" t="str">
        <f>IF('Document Workflow'!A1782&lt;&gt;"",'Document Workflow'!A1782,"")</f>
        <v/>
      </c>
    </row>
    <row r="1784" spans="1:1">
      <c r="A1784" s="7" t="str">
        <f>IF('Document Workflow'!A1783&lt;&gt;"",'Document Workflow'!A1783,"")</f>
        <v/>
      </c>
    </row>
    <row r="1785" spans="1:1">
      <c r="A1785" s="7" t="str">
        <f>IF('Document Workflow'!A1784&lt;&gt;"",'Document Workflow'!A1784,"")</f>
        <v/>
      </c>
    </row>
    <row r="1786" spans="1:1">
      <c r="A1786" s="7" t="str">
        <f>IF('Document Workflow'!A1785&lt;&gt;"",'Document Workflow'!A1785,"")</f>
        <v/>
      </c>
    </row>
    <row r="1787" spans="1:1">
      <c r="A1787" s="7" t="str">
        <f>IF('Document Workflow'!A1786&lt;&gt;"",'Document Workflow'!A1786,"")</f>
        <v/>
      </c>
    </row>
    <row r="1788" spans="1:1">
      <c r="A1788" s="7" t="str">
        <f>IF('Document Workflow'!A1787&lt;&gt;"",'Document Workflow'!A1787,"")</f>
        <v/>
      </c>
    </row>
    <row r="1789" spans="1:1">
      <c r="A1789" s="7" t="str">
        <f>IF('Document Workflow'!A1788&lt;&gt;"",'Document Workflow'!A1788,"")</f>
        <v/>
      </c>
    </row>
    <row r="1790" spans="1:1">
      <c r="A1790" s="7" t="str">
        <f>IF('Document Workflow'!A1789&lt;&gt;"",'Document Workflow'!A1789,"")</f>
        <v/>
      </c>
    </row>
    <row r="1791" spans="1:1">
      <c r="A1791" s="7" t="str">
        <f>IF('Document Workflow'!A1790&lt;&gt;"",'Document Workflow'!A1790,"")</f>
        <v/>
      </c>
    </row>
    <row r="1792" spans="1:1">
      <c r="A1792" s="7" t="str">
        <f>IF('Document Workflow'!A1791&lt;&gt;"",'Document Workflow'!A1791,"")</f>
        <v/>
      </c>
    </row>
    <row r="1793" spans="1:1">
      <c r="A1793" s="7" t="str">
        <f>IF('Document Workflow'!A1792&lt;&gt;"",'Document Workflow'!A1792,"")</f>
        <v/>
      </c>
    </row>
    <row r="1794" spans="1:1">
      <c r="A1794" s="7" t="str">
        <f>IF('Document Workflow'!A1793&lt;&gt;"",'Document Workflow'!A1793,"")</f>
        <v/>
      </c>
    </row>
    <row r="1795" spans="1:1">
      <c r="A1795" s="7" t="str">
        <f>IF('Document Workflow'!A1794&lt;&gt;"",'Document Workflow'!A1794,"")</f>
        <v/>
      </c>
    </row>
    <row r="1796" spans="1:1">
      <c r="A1796" s="7" t="str">
        <f>IF('Document Workflow'!A1795&lt;&gt;"",'Document Workflow'!A1795,"")</f>
        <v/>
      </c>
    </row>
    <row r="1797" spans="1:1">
      <c r="A1797" s="7" t="str">
        <f>IF('Document Workflow'!A1796&lt;&gt;"",'Document Workflow'!A1796,"")</f>
        <v/>
      </c>
    </row>
    <row r="1798" spans="1:1">
      <c r="A1798" s="7" t="str">
        <f>IF('Document Workflow'!A1797&lt;&gt;"",'Document Workflow'!A1797,"")</f>
        <v/>
      </c>
    </row>
    <row r="1799" spans="1:1">
      <c r="A1799" s="7" t="str">
        <f>IF('Document Workflow'!A1798&lt;&gt;"",'Document Workflow'!A1798,"")</f>
        <v/>
      </c>
    </row>
    <row r="1800" spans="1:1">
      <c r="A1800" s="7" t="str">
        <f>IF('Document Workflow'!A1799&lt;&gt;"",'Document Workflow'!A1799,"")</f>
        <v/>
      </c>
    </row>
    <row r="1801" spans="1:1">
      <c r="A1801" s="7" t="str">
        <f>IF('Document Workflow'!A1800&lt;&gt;"",'Document Workflow'!A1800,"")</f>
        <v/>
      </c>
    </row>
    <row r="1802" spans="1:1">
      <c r="A1802" s="7" t="str">
        <f>IF('Document Workflow'!A1801&lt;&gt;"",'Document Workflow'!A1801,"")</f>
        <v/>
      </c>
    </row>
    <row r="1803" spans="1:1">
      <c r="A1803" s="7" t="str">
        <f>IF('Document Workflow'!A1802&lt;&gt;"",'Document Workflow'!A1802,"")</f>
        <v/>
      </c>
    </row>
    <row r="1804" spans="1:1">
      <c r="A1804" s="7" t="str">
        <f>IF('Document Workflow'!A1803&lt;&gt;"",'Document Workflow'!A1803,"")</f>
        <v/>
      </c>
    </row>
    <row r="1805" spans="1:1">
      <c r="A1805" s="7" t="str">
        <f>IF('Document Workflow'!A1804&lt;&gt;"",'Document Workflow'!A1804,"")</f>
        <v/>
      </c>
    </row>
    <row r="1806" spans="1:1">
      <c r="A1806" s="7" t="str">
        <f>IF('Document Workflow'!A1805&lt;&gt;"",'Document Workflow'!A1805,"")</f>
        <v/>
      </c>
    </row>
    <row r="1807" spans="1:1">
      <c r="A1807" s="7" t="str">
        <f>IF('Document Workflow'!A1806&lt;&gt;"",'Document Workflow'!A1806,"")</f>
        <v/>
      </c>
    </row>
    <row r="1808" spans="1:1">
      <c r="A1808" s="7" t="str">
        <f>IF('Document Workflow'!A1807&lt;&gt;"",'Document Workflow'!A1807,"")</f>
        <v/>
      </c>
    </row>
    <row r="1809" spans="1:1">
      <c r="A1809" s="7" t="str">
        <f>IF('Document Workflow'!A1808&lt;&gt;"",'Document Workflow'!A1808,"")</f>
        <v/>
      </c>
    </row>
    <row r="1810" spans="1:1">
      <c r="A1810" s="7" t="str">
        <f>IF('Document Workflow'!A1809&lt;&gt;"",'Document Workflow'!A1809,"")</f>
        <v/>
      </c>
    </row>
    <row r="1811" spans="1:1">
      <c r="A1811" s="7" t="str">
        <f>IF('Document Workflow'!A1810&lt;&gt;"",'Document Workflow'!A1810,"")</f>
        <v/>
      </c>
    </row>
    <row r="1812" spans="1:1">
      <c r="A1812" s="7" t="str">
        <f>IF('Document Workflow'!A1811&lt;&gt;"",'Document Workflow'!A1811,"")</f>
        <v/>
      </c>
    </row>
    <row r="1813" spans="1:1">
      <c r="A1813" s="7" t="str">
        <f>IF('Document Workflow'!A1812&lt;&gt;"",'Document Workflow'!A1812,"")</f>
        <v/>
      </c>
    </row>
    <row r="1814" spans="1:1">
      <c r="A1814" s="7" t="str">
        <f>IF('Document Workflow'!A1813&lt;&gt;"",'Document Workflow'!A1813,"")</f>
        <v/>
      </c>
    </row>
    <row r="1815" spans="1:1">
      <c r="A1815" s="7" t="str">
        <f>IF('Document Workflow'!A1814&lt;&gt;"",'Document Workflow'!A1814,"")</f>
        <v/>
      </c>
    </row>
    <row r="1816" spans="1:1">
      <c r="A1816" s="7" t="str">
        <f>IF('Document Workflow'!A1815&lt;&gt;"",'Document Workflow'!A1815,"")</f>
        <v/>
      </c>
    </row>
    <row r="1817" spans="1:1">
      <c r="A1817" s="7" t="str">
        <f>IF('Document Workflow'!A1816&lt;&gt;"",'Document Workflow'!A1816,"")</f>
        <v/>
      </c>
    </row>
    <row r="1818" spans="1:1">
      <c r="A1818" s="7" t="str">
        <f>IF('Document Workflow'!A1817&lt;&gt;"",'Document Workflow'!A1817,"")</f>
        <v/>
      </c>
    </row>
    <row r="1819" spans="1:1">
      <c r="A1819" s="7" t="str">
        <f>IF('Document Workflow'!A1818&lt;&gt;"",'Document Workflow'!A1818,"")</f>
        <v/>
      </c>
    </row>
    <row r="1820" spans="1:1">
      <c r="A1820" s="7" t="str">
        <f>IF('Document Workflow'!A1819&lt;&gt;"",'Document Workflow'!A1819,"")</f>
        <v/>
      </c>
    </row>
    <row r="1821" spans="1:1">
      <c r="A1821" s="7" t="str">
        <f>IF('Document Workflow'!A1820&lt;&gt;"",'Document Workflow'!A1820,"")</f>
        <v/>
      </c>
    </row>
    <row r="1822" spans="1:1">
      <c r="A1822" s="7" t="str">
        <f>IF('Document Workflow'!A1821&lt;&gt;"",'Document Workflow'!A1821,"")</f>
        <v/>
      </c>
    </row>
    <row r="1823" spans="1:1">
      <c r="A1823" s="7" t="str">
        <f>IF('Document Workflow'!A1822&lt;&gt;"",'Document Workflow'!A1822,"")</f>
        <v/>
      </c>
    </row>
    <row r="1824" spans="1:1">
      <c r="A1824" s="7" t="str">
        <f>IF('Document Workflow'!A1823&lt;&gt;"",'Document Workflow'!A1823,"")</f>
        <v/>
      </c>
    </row>
    <row r="1825" spans="1:1">
      <c r="A1825" s="7" t="str">
        <f>IF('Document Workflow'!A1824&lt;&gt;"",'Document Workflow'!A1824,"")</f>
        <v/>
      </c>
    </row>
    <row r="1826" spans="1:1">
      <c r="A1826" s="7" t="str">
        <f>IF('Document Workflow'!A1825&lt;&gt;"",'Document Workflow'!A1825,"")</f>
        <v/>
      </c>
    </row>
    <row r="1827" spans="1:1">
      <c r="A1827" s="7" t="str">
        <f>IF('Document Workflow'!A1826&lt;&gt;"",'Document Workflow'!A1826,"")</f>
        <v/>
      </c>
    </row>
    <row r="1828" spans="1:1">
      <c r="A1828" s="7" t="str">
        <f>IF('Document Workflow'!A1827&lt;&gt;"",'Document Workflow'!A1827,"")</f>
        <v/>
      </c>
    </row>
    <row r="1829" spans="1:1">
      <c r="A1829" s="7" t="str">
        <f>IF('Document Workflow'!A1828&lt;&gt;"",'Document Workflow'!A1828,"")</f>
        <v/>
      </c>
    </row>
    <row r="1830" spans="1:1">
      <c r="A1830" s="7" t="str">
        <f>IF('Document Workflow'!A1829&lt;&gt;"",'Document Workflow'!A1829,"")</f>
        <v/>
      </c>
    </row>
    <row r="1831" spans="1:1">
      <c r="A1831" s="7" t="str">
        <f>IF('Document Workflow'!A1830&lt;&gt;"",'Document Workflow'!A1830,"")</f>
        <v/>
      </c>
    </row>
    <row r="1832" spans="1:1">
      <c r="A1832" s="7" t="str">
        <f>IF('Document Workflow'!A1831&lt;&gt;"",'Document Workflow'!A1831,"")</f>
        <v/>
      </c>
    </row>
    <row r="1833" spans="1:1">
      <c r="A1833" s="7" t="str">
        <f>IF('Document Workflow'!A1832&lt;&gt;"",'Document Workflow'!A1832,"")</f>
        <v/>
      </c>
    </row>
    <row r="1834" spans="1:1">
      <c r="A1834" s="7" t="str">
        <f>IF('Document Workflow'!A1833&lt;&gt;"",'Document Workflow'!A1833,"")</f>
        <v/>
      </c>
    </row>
    <row r="1835" spans="1:1">
      <c r="A1835" s="7" t="str">
        <f>IF('Document Workflow'!A1834&lt;&gt;"",'Document Workflow'!A1834,"")</f>
        <v/>
      </c>
    </row>
    <row r="1836" spans="1:1">
      <c r="A1836" s="7" t="str">
        <f>IF('Document Workflow'!A1835&lt;&gt;"",'Document Workflow'!A1835,"")</f>
        <v/>
      </c>
    </row>
    <row r="1837" spans="1:1">
      <c r="A1837" s="7" t="str">
        <f>IF('Document Workflow'!A1836&lt;&gt;"",'Document Workflow'!A1836,"")</f>
        <v/>
      </c>
    </row>
    <row r="1838" spans="1:1">
      <c r="A1838" s="7" t="str">
        <f>IF('Document Workflow'!A1837&lt;&gt;"",'Document Workflow'!A1837,"")</f>
        <v/>
      </c>
    </row>
    <row r="1839" spans="1:1">
      <c r="A1839" s="7" t="str">
        <f>IF('Document Workflow'!A1838&lt;&gt;"",'Document Workflow'!A1838,"")</f>
        <v/>
      </c>
    </row>
    <row r="1840" spans="1:1">
      <c r="A1840" s="7" t="str">
        <f>IF('Document Workflow'!A1839&lt;&gt;"",'Document Workflow'!A1839,"")</f>
        <v/>
      </c>
    </row>
    <row r="1841" spans="1:1">
      <c r="A1841" s="7" t="str">
        <f>IF('Document Workflow'!A1840&lt;&gt;"",'Document Workflow'!A1840,"")</f>
        <v/>
      </c>
    </row>
    <row r="1842" spans="1:1">
      <c r="A1842" s="7" t="str">
        <f>IF('Document Workflow'!A1841&lt;&gt;"",'Document Workflow'!A1841,"")</f>
        <v/>
      </c>
    </row>
    <row r="1843" spans="1:1">
      <c r="A1843" s="7" t="str">
        <f>IF('Document Workflow'!A1842&lt;&gt;"",'Document Workflow'!A1842,"")</f>
        <v/>
      </c>
    </row>
    <row r="1844" spans="1:1">
      <c r="A1844" s="7" t="str">
        <f>IF('Document Workflow'!A1843&lt;&gt;"",'Document Workflow'!A1843,"")</f>
        <v/>
      </c>
    </row>
    <row r="1845" spans="1:1">
      <c r="A1845" s="7" t="str">
        <f>IF('Document Workflow'!A1844&lt;&gt;"",'Document Workflow'!A1844,"")</f>
        <v/>
      </c>
    </row>
    <row r="1846" spans="1:1">
      <c r="A1846" s="7" t="str">
        <f>IF('Document Workflow'!A1845&lt;&gt;"",'Document Workflow'!A1845,"")</f>
        <v/>
      </c>
    </row>
    <row r="1847" spans="1:1">
      <c r="A1847" s="7" t="str">
        <f>IF('Document Workflow'!A1846&lt;&gt;"",'Document Workflow'!A1846,"")</f>
        <v/>
      </c>
    </row>
    <row r="1848" spans="1:1">
      <c r="A1848" s="7" t="str">
        <f>IF('Document Workflow'!A1847&lt;&gt;"",'Document Workflow'!A1847,"")</f>
        <v/>
      </c>
    </row>
    <row r="1849" spans="1:1">
      <c r="A1849" s="7" t="str">
        <f>IF('Document Workflow'!A1848&lt;&gt;"",'Document Workflow'!A1848,"")</f>
        <v/>
      </c>
    </row>
    <row r="1850" spans="1:1">
      <c r="A1850" s="7" t="str">
        <f>IF('Document Workflow'!A1849&lt;&gt;"",'Document Workflow'!A1849,"")</f>
        <v/>
      </c>
    </row>
    <row r="1851" spans="1:1">
      <c r="A1851" s="7" t="str">
        <f>IF('Document Workflow'!A1850&lt;&gt;"",'Document Workflow'!A1850,"")</f>
        <v/>
      </c>
    </row>
    <row r="1852" spans="1:1">
      <c r="A1852" s="7" t="str">
        <f>IF('Document Workflow'!A1851&lt;&gt;"",'Document Workflow'!A1851,"")</f>
        <v/>
      </c>
    </row>
    <row r="1853" spans="1:1">
      <c r="A1853" s="7" t="str">
        <f>IF('Document Workflow'!A1852&lt;&gt;"",'Document Workflow'!A1852,"")</f>
        <v/>
      </c>
    </row>
    <row r="1854" spans="1:1">
      <c r="A1854" s="7" t="str">
        <f>IF('Document Workflow'!A1853&lt;&gt;"",'Document Workflow'!A1853,"")</f>
        <v/>
      </c>
    </row>
    <row r="1855" spans="1:1">
      <c r="A1855" s="7" t="str">
        <f>IF('Document Workflow'!A1854&lt;&gt;"",'Document Workflow'!A1854,"")</f>
        <v/>
      </c>
    </row>
    <row r="1856" spans="1:1">
      <c r="A1856" s="7" t="str">
        <f>IF('Document Workflow'!A1855&lt;&gt;"",'Document Workflow'!A1855,"")</f>
        <v/>
      </c>
    </row>
    <row r="1857" spans="1:1">
      <c r="A1857" s="7" t="str">
        <f>IF('Document Workflow'!A1856&lt;&gt;"",'Document Workflow'!A1856,"")</f>
        <v/>
      </c>
    </row>
    <row r="1858" spans="1:1">
      <c r="A1858" s="7" t="str">
        <f>IF('Document Workflow'!A1857&lt;&gt;"",'Document Workflow'!A1857,"")</f>
        <v/>
      </c>
    </row>
    <row r="1859" spans="1:1">
      <c r="A1859" s="7" t="str">
        <f>IF('Document Workflow'!A1858&lt;&gt;"",'Document Workflow'!A1858,"")</f>
        <v/>
      </c>
    </row>
    <row r="1860" spans="1:1">
      <c r="A1860" s="7" t="str">
        <f>IF('Document Workflow'!A1859&lt;&gt;"",'Document Workflow'!A1859,"")</f>
        <v/>
      </c>
    </row>
    <row r="1861" spans="1:1">
      <c r="A1861" s="7" t="str">
        <f>IF('Document Workflow'!A1860&lt;&gt;"",'Document Workflow'!A1860,"")</f>
        <v/>
      </c>
    </row>
    <row r="1862" spans="1:1">
      <c r="A1862" s="7" t="str">
        <f>IF('Document Workflow'!A1861&lt;&gt;"",'Document Workflow'!A1861,"")</f>
        <v/>
      </c>
    </row>
    <row r="1863" spans="1:1">
      <c r="A1863" s="7" t="str">
        <f>IF('Document Workflow'!A1862&lt;&gt;"",'Document Workflow'!A1862,"")</f>
        <v/>
      </c>
    </row>
    <row r="1864" spans="1:1">
      <c r="A1864" s="7" t="str">
        <f>IF('Document Workflow'!A1863&lt;&gt;"",'Document Workflow'!A1863,"")</f>
        <v/>
      </c>
    </row>
    <row r="1865" spans="1:1">
      <c r="A1865" s="7" t="str">
        <f>IF('Document Workflow'!A1864&lt;&gt;"",'Document Workflow'!A1864,"")</f>
        <v/>
      </c>
    </row>
    <row r="1866" spans="1:1">
      <c r="A1866" s="7" t="str">
        <f>IF('Document Workflow'!A1865&lt;&gt;"",'Document Workflow'!A1865,"")</f>
        <v/>
      </c>
    </row>
    <row r="1867" spans="1:1">
      <c r="A1867" s="7" t="str">
        <f>IF('Document Workflow'!A1866&lt;&gt;"",'Document Workflow'!A1866,"")</f>
        <v/>
      </c>
    </row>
    <row r="1868" spans="1:1">
      <c r="A1868" s="7" t="str">
        <f>IF('Document Workflow'!A1867&lt;&gt;"",'Document Workflow'!A1867,"")</f>
        <v/>
      </c>
    </row>
    <row r="1869" spans="1:1">
      <c r="A1869" s="7" t="str">
        <f>IF('Document Workflow'!A1868&lt;&gt;"",'Document Workflow'!A1868,"")</f>
        <v/>
      </c>
    </row>
    <row r="1870" spans="1:1">
      <c r="A1870" s="7" t="str">
        <f>IF('Document Workflow'!A1869&lt;&gt;"",'Document Workflow'!A1869,"")</f>
        <v/>
      </c>
    </row>
    <row r="1871" spans="1:1">
      <c r="A1871" s="7" t="str">
        <f>IF('Document Workflow'!A1870&lt;&gt;"",'Document Workflow'!A1870,"")</f>
        <v/>
      </c>
    </row>
    <row r="1872" spans="1:1">
      <c r="A1872" s="7" t="str">
        <f>IF('Document Workflow'!A1871&lt;&gt;"",'Document Workflow'!A1871,"")</f>
        <v/>
      </c>
    </row>
    <row r="1873" spans="1:1">
      <c r="A1873" s="7" t="str">
        <f>IF('Document Workflow'!A1872&lt;&gt;"",'Document Workflow'!A1872,"")</f>
        <v/>
      </c>
    </row>
    <row r="1874" spans="1:1">
      <c r="A1874" s="7" t="str">
        <f>IF('Document Workflow'!A1873&lt;&gt;"",'Document Workflow'!A1873,"")</f>
        <v/>
      </c>
    </row>
    <row r="1875" spans="1:1">
      <c r="A1875" s="7" t="str">
        <f>IF('Document Workflow'!A1874&lt;&gt;"",'Document Workflow'!A1874,"")</f>
        <v/>
      </c>
    </row>
    <row r="1876" spans="1:1">
      <c r="A1876" s="7" t="str">
        <f>IF('Document Workflow'!A1875&lt;&gt;"",'Document Workflow'!A1875,"")</f>
        <v/>
      </c>
    </row>
    <row r="1877" spans="1:1">
      <c r="A1877" s="7" t="str">
        <f>IF('Document Workflow'!A1876&lt;&gt;"",'Document Workflow'!A1876,"")</f>
        <v/>
      </c>
    </row>
    <row r="1878" spans="1:1">
      <c r="A1878" s="7" t="str">
        <f>IF('Document Workflow'!A1877&lt;&gt;"",'Document Workflow'!A1877,"")</f>
        <v/>
      </c>
    </row>
    <row r="1879" spans="1:1">
      <c r="A1879" s="7" t="str">
        <f>IF('Document Workflow'!A1878&lt;&gt;"",'Document Workflow'!A1878,"")</f>
        <v/>
      </c>
    </row>
    <row r="1880" spans="1:1">
      <c r="A1880" s="7" t="str">
        <f>IF('Document Workflow'!A1879&lt;&gt;"",'Document Workflow'!A1879,"")</f>
        <v/>
      </c>
    </row>
    <row r="1881" spans="1:1">
      <c r="A1881" s="7" t="str">
        <f>IF('Document Workflow'!A1880&lt;&gt;"",'Document Workflow'!A1880,"")</f>
        <v/>
      </c>
    </row>
    <row r="1882" spans="1:1">
      <c r="A1882" s="7" t="str">
        <f>IF('Document Workflow'!A1881&lt;&gt;"",'Document Workflow'!A1881,"")</f>
        <v/>
      </c>
    </row>
    <row r="1883" spans="1:1">
      <c r="A1883" s="7" t="str">
        <f>IF('Document Workflow'!A1882&lt;&gt;"",'Document Workflow'!A1882,"")</f>
        <v/>
      </c>
    </row>
    <row r="1884" spans="1:1">
      <c r="A1884" s="7" t="str">
        <f>IF('Document Workflow'!A1883&lt;&gt;"",'Document Workflow'!A1883,"")</f>
        <v/>
      </c>
    </row>
    <row r="1885" spans="1:1">
      <c r="A1885" s="7" t="str">
        <f>IF('Document Workflow'!A1884&lt;&gt;"",'Document Workflow'!A1884,"")</f>
        <v/>
      </c>
    </row>
    <row r="1886" spans="1:1">
      <c r="A1886" s="7" t="str">
        <f>IF('Document Workflow'!A1885&lt;&gt;"",'Document Workflow'!A1885,"")</f>
        <v/>
      </c>
    </row>
    <row r="1887" spans="1:1">
      <c r="A1887" s="7" t="str">
        <f>IF('Document Workflow'!A1886&lt;&gt;"",'Document Workflow'!A1886,"")</f>
        <v/>
      </c>
    </row>
    <row r="1888" spans="1:1">
      <c r="A1888" s="7" t="str">
        <f>IF('Document Workflow'!A1887&lt;&gt;"",'Document Workflow'!A1887,"")</f>
        <v/>
      </c>
    </row>
    <row r="1889" spans="1:1">
      <c r="A1889" s="7" t="str">
        <f>IF('Document Workflow'!A1888&lt;&gt;"",'Document Workflow'!A1888,"")</f>
        <v/>
      </c>
    </row>
    <row r="1890" spans="1:1">
      <c r="A1890" s="7" t="str">
        <f>IF('Document Workflow'!A1889&lt;&gt;"",'Document Workflow'!A1889,"")</f>
        <v/>
      </c>
    </row>
    <row r="1891" spans="1:1">
      <c r="A1891" s="7" t="str">
        <f>IF('Document Workflow'!A1890&lt;&gt;"",'Document Workflow'!A1890,"")</f>
        <v/>
      </c>
    </row>
    <row r="1892" spans="1:1">
      <c r="A1892" s="7" t="str">
        <f>IF('Document Workflow'!A1891&lt;&gt;"",'Document Workflow'!A1891,"")</f>
        <v/>
      </c>
    </row>
    <row r="1893" spans="1:1">
      <c r="A1893" s="7" t="str">
        <f>IF('Document Workflow'!A1892&lt;&gt;"",'Document Workflow'!A1892,"")</f>
        <v/>
      </c>
    </row>
    <row r="1894" spans="1:1">
      <c r="A1894" s="7" t="str">
        <f>IF('Document Workflow'!A1893&lt;&gt;"",'Document Workflow'!A1893,"")</f>
        <v/>
      </c>
    </row>
    <row r="1895" spans="1:1">
      <c r="A1895" s="7" t="str">
        <f>IF('Document Workflow'!A1894&lt;&gt;"",'Document Workflow'!A1894,"")</f>
        <v/>
      </c>
    </row>
    <row r="1896" spans="1:1">
      <c r="A1896" s="7" t="str">
        <f>IF('Document Workflow'!A1895&lt;&gt;"",'Document Workflow'!A1895,"")</f>
        <v/>
      </c>
    </row>
    <row r="1897" spans="1:1">
      <c r="A1897" s="7" t="str">
        <f>IF('Document Workflow'!A1896&lt;&gt;"",'Document Workflow'!A1896,"")</f>
        <v/>
      </c>
    </row>
    <row r="1898" spans="1:1">
      <c r="A1898" s="7" t="str">
        <f>IF('Document Workflow'!A1897&lt;&gt;"",'Document Workflow'!A1897,"")</f>
        <v/>
      </c>
    </row>
    <row r="1899" spans="1:1">
      <c r="A1899" s="7" t="str">
        <f>IF('Document Workflow'!A1898&lt;&gt;"",'Document Workflow'!A1898,"")</f>
        <v/>
      </c>
    </row>
    <row r="1900" spans="1:1">
      <c r="A1900" s="7" t="str">
        <f>IF('Document Workflow'!A1899&lt;&gt;"",'Document Workflow'!A1899,"")</f>
        <v/>
      </c>
    </row>
    <row r="1901" spans="1:1">
      <c r="A1901" s="7" t="str">
        <f>IF('Document Workflow'!A1900&lt;&gt;"",'Document Workflow'!A1900,"")</f>
        <v/>
      </c>
    </row>
    <row r="1902" spans="1:1">
      <c r="A1902" s="7" t="str">
        <f>IF('Document Workflow'!A1901&lt;&gt;"",'Document Workflow'!A1901,"")</f>
        <v/>
      </c>
    </row>
    <row r="1903" spans="1:1">
      <c r="A1903" s="7" t="str">
        <f>IF('Document Workflow'!A1902&lt;&gt;"",'Document Workflow'!A1902,"")</f>
        <v/>
      </c>
    </row>
    <row r="1904" spans="1:1">
      <c r="A1904" s="7" t="str">
        <f>IF('Document Workflow'!A1903&lt;&gt;"",'Document Workflow'!A1903,"")</f>
        <v/>
      </c>
    </row>
    <row r="1905" spans="1:1">
      <c r="A1905" s="7" t="str">
        <f>IF('Document Workflow'!A1904&lt;&gt;"",'Document Workflow'!A1904,"")</f>
        <v/>
      </c>
    </row>
    <row r="1906" spans="1:1">
      <c r="A1906" s="7" t="str">
        <f>IF('Document Workflow'!A1905&lt;&gt;"",'Document Workflow'!A1905,"")</f>
        <v/>
      </c>
    </row>
    <row r="1907" spans="1:1">
      <c r="A1907" s="7" t="str">
        <f>IF('Document Workflow'!A1906&lt;&gt;"",'Document Workflow'!A1906,"")</f>
        <v/>
      </c>
    </row>
    <row r="1908" spans="1:1">
      <c r="A1908" s="7" t="str">
        <f>IF('Document Workflow'!A1907&lt;&gt;"",'Document Workflow'!A1907,"")</f>
        <v/>
      </c>
    </row>
    <row r="1909" spans="1:1">
      <c r="A1909" s="7" t="str">
        <f>IF('Document Workflow'!A1908&lt;&gt;"",'Document Workflow'!A1908,"")</f>
        <v/>
      </c>
    </row>
    <row r="1910" spans="1:1">
      <c r="A1910" s="7" t="str">
        <f>IF('Document Workflow'!A1909&lt;&gt;"",'Document Workflow'!A1909,"")</f>
        <v/>
      </c>
    </row>
    <row r="1911" spans="1:1">
      <c r="A1911" s="7" t="str">
        <f>IF('Document Workflow'!A1910&lt;&gt;"",'Document Workflow'!A1910,"")</f>
        <v/>
      </c>
    </row>
    <row r="1912" spans="1:1">
      <c r="A1912" s="7" t="str">
        <f>IF('Document Workflow'!A1911&lt;&gt;"",'Document Workflow'!A1911,"")</f>
        <v/>
      </c>
    </row>
    <row r="1913" spans="1:1">
      <c r="A1913" s="7" t="str">
        <f>IF('Document Workflow'!A1912&lt;&gt;"",'Document Workflow'!A1912,"")</f>
        <v/>
      </c>
    </row>
    <row r="1914" spans="1:1">
      <c r="A1914" s="7" t="str">
        <f>IF('Document Workflow'!A1913&lt;&gt;"",'Document Workflow'!A1913,"")</f>
        <v/>
      </c>
    </row>
    <row r="1915" spans="1:1">
      <c r="A1915" s="7" t="str">
        <f>IF('Document Workflow'!A1914&lt;&gt;"",'Document Workflow'!A1914,"")</f>
        <v/>
      </c>
    </row>
    <row r="1916" spans="1:1">
      <c r="A1916" s="7" t="str">
        <f>IF('Document Workflow'!A1915&lt;&gt;"",'Document Workflow'!A1915,"")</f>
        <v/>
      </c>
    </row>
    <row r="1917" spans="1:1">
      <c r="A1917" s="7" t="str">
        <f>IF('Document Workflow'!A1916&lt;&gt;"",'Document Workflow'!A1916,"")</f>
        <v/>
      </c>
    </row>
    <row r="1918" spans="1:1">
      <c r="A1918" s="7" t="str">
        <f>IF('Document Workflow'!A1917&lt;&gt;"",'Document Workflow'!A1917,"")</f>
        <v/>
      </c>
    </row>
    <row r="1919" spans="1:1">
      <c r="A1919" s="7" t="str">
        <f>IF('Document Workflow'!A1918&lt;&gt;"",'Document Workflow'!A1918,"")</f>
        <v/>
      </c>
    </row>
    <row r="1920" spans="1:1">
      <c r="A1920" s="7" t="str">
        <f>IF('Document Workflow'!A1919&lt;&gt;"",'Document Workflow'!A1919,"")</f>
        <v/>
      </c>
    </row>
    <row r="1921" spans="1:1">
      <c r="A1921" s="7" t="str">
        <f>IF('Document Workflow'!A1920&lt;&gt;"",'Document Workflow'!A1920,"")</f>
        <v/>
      </c>
    </row>
    <row r="1922" spans="1:1">
      <c r="A1922" s="7" t="str">
        <f>IF('Document Workflow'!A1921&lt;&gt;"",'Document Workflow'!A1921,"")</f>
        <v/>
      </c>
    </row>
    <row r="1923" spans="1:1">
      <c r="A1923" s="7" t="str">
        <f>IF('Document Workflow'!A1922&lt;&gt;"",'Document Workflow'!A1922,"")</f>
        <v/>
      </c>
    </row>
    <row r="1924" spans="1:1">
      <c r="A1924" s="7" t="str">
        <f>IF('Document Workflow'!A1923&lt;&gt;"",'Document Workflow'!A1923,"")</f>
        <v/>
      </c>
    </row>
    <row r="1925" spans="1:1">
      <c r="A1925" s="7" t="str">
        <f>IF('Document Workflow'!A1924&lt;&gt;"",'Document Workflow'!A1924,"")</f>
        <v/>
      </c>
    </row>
    <row r="1926" spans="1:1">
      <c r="A1926" s="7" t="str">
        <f>IF('Document Workflow'!A1925&lt;&gt;"",'Document Workflow'!A1925,"")</f>
        <v/>
      </c>
    </row>
    <row r="1927" spans="1:1">
      <c r="A1927" s="7" t="str">
        <f>IF('Document Workflow'!A1926&lt;&gt;"",'Document Workflow'!A1926,"")</f>
        <v/>
      </c>
    </row>
    <row r="1928" spans="1:1">
      <c r="A1928" s="7" t="str">
        <f>IF('Document Workflow'!A1927&lt;&gt;"",'Document Workflow'!A1927,"")</f>
        <v/>
      </c>
    </row>
    <row r="1929" spans="1:1">
      <c r="A1929" s="7" t="str">
        <f>IF('Document Workflow'!A1928&lt;&gt;"",'Document Workflow'!A1928,"")</f>
        <v/>
      </c>
    </row>
    <row r="1930" spans="1:1">
      <c r="A1930" s="7" t="str">
        <f>IF('Document Workflow'!A1929&lt;&gt;"",'Document Workflow'!A1929,"")</f>
        <v/>
      </c>
    </row>
    <row r="1931" spans="1:1">
      <c r="A1931" s="7" t="str">
        <f>IF('Document Workflow'!A1930&lt;&gt;"",'Document Workflow'!A1930,"")</f>
        <v/>
      </c>
    </row>
    <row r="1932" spans="1:1">
      <c r="A1932" s="7" t="str">
        <f>IF('Document Workflow'!A1931&lt;&gt;"",'Document Workflow'!A1931,"")</f>
        <v/>
      </c>
    </row>
    <row r="1933" spans="1:1">
      <c r="A1933" s="7" t="str">
        <f>IF('Document Workflow'!A1932&lt;&gt;"",'Document Workflow'!A1932,"")</f>
        <v/>
      </c>
    </row>
    <row r="1934" spans="1:1">
      <c r="A1934" s="7" t="str">
        <f>IF('Document Workflow'!A1933&lt;&gt;"",'Document Workflow'!A1933,"")</f>
        <v/>
      </c>
    </row>
    <row r="1935" spans="1:1">
      <c r="A1935" s="7" t="str">
        <f>IF('Document Workflow'!A1934&lt;&gt;"",'Document Workflow'!A1934,"")</f>
        <v/>
      </c>
    </row>
    <row r="1936" spans="1:1">
      <c r="A1936" s="7" t="str">
        <f>IF('Document Workflow'!A1935&lt;&gt;"",'Document Workflow'!A1935,"")</f>
        <v/>
      </c>
    </row>
    <row r="1937" spans="1:1">
      <c r="A1937" s="7" t="str">
        <f>IF('Document Workflow'!A1936&lt;&gt;"",'Document Workflow'!A1936,"")</f>
        <v/>
      </c>
    </row>
    <row r="1938" spans="1:1">
      <c r="A1938" s="7" t="str">
        <f>IF('Document Workflow'!A1937&lt;&gt;"",'Document Workflow'!A1937,"")</f>
        <v/>
      </c>
    </row>
    <row r="1939" spans="1:1">
      <c r="A1939" s="7" t="str">
        <f>IF('Document Workflow'!A1938&lt;&gt;"",'Document Workflow'!A1938,"")</f>
        <v/>
      </c>
    </row>
    <row r="1940" spans="1:1">
      <c r="A1940" s="7" t="str">
        <f>IF('Document Workflow'!A1939&lt;&gt;"",'Document Workflow'!A1939,"")</f>
        <v/>
      </c>
    </row>
    <row r="1941" spans="1:1">
      <c r="A1941" s="7" t="str">
        <f>IF('Document Workflow'!A1940&lt;&gt;"",'Document Workflow'!A1940,"")</f>
        <v/>
      </c>
    </row>
    <row r="1942" spans="1:1">
      <c r="A1942" s="7" t="str">
        <f>IF('Document Workflow'!A1941&lt;&gt;"",'Document Workflow'!A1941,"")</f>
        <v/>
      </c>
    </row>
    <row r="1943" spans="1:1">
      <c r="A1943" s="7" t="str">
        <f>IF('Document Workflow'!A1942&lt;&gt;"",'Document Workflow'!A1942,"")</f>
        <v/>
      </c>
    </row>
    <row r="1944" spans="1:1">
      <c r="A1944" s="7" t="str">
        <f>IF('Document Workflow'!A1943&lt;&gt;"",'Document Workflow'!A1943,"")</f>
        <v/>
      </c>
    </row>
    <row r="1945" spans="1:1">
      <c r="A1945" s="7" t="str">
        <f>IF('Document Workflow'!A1944&lt;&gt;"",'Document Workflow'!A1944,"")</f>
        <v/>
      </c>
    </row>
    <row r="1946" spans="1:1">
      <c r="A1946" s="7" t="str">
        <f>IF('Document Workflow'!A1945&lt;&gt;"",'Document Workflow'!A1945,"")</f>
        <v/>
      </c>
    </row>
    <row r="1947" spans="1:1">
      <c r="A1947" s="7" t="str">
        <f>IF('Document Workflow'!A1946&lt;&gt;"",'Document Workflow'!A1946,"")</f>
        <v/>
      </c>
    </row>
    <row r="1948" spans="1:1">
      <c r="A1948" s="7" t="str">
        <f>IF('Document Workflow'!A1947&lt;&gt;"",'Document Workflow'!A1947,"")</f>
        <v/>
      </c>
    </row>
    <row r="1949" spans="1:1">
      <c r="A1949" s="7" t="str">
        <f>IF('Document Workflow'!A1948&lt;&gt;"",'Document Workflow'!A1948,"")</f>
        <v/>
      </c>
    </row>
    <row r="1950" spans="1:1">
      <c r="A1950" s="7" t="str">
        <f>IF('Document Workflow'!A1949&lt;&gt;"",'Document Workflow'!A1949,"")</f>
        <v/>
      </c>
    </row>
    <row r="1951" spans="1:1">
      <c r="A1951" s="7" t="str">
        <f>IF('Document Workflow'!A1950&lt;&gt;"",'Document Workflow'!A1950,"")</f>
        <v/>
      </c>
    </row>
    <row r="1952" spans="1:1">
      <c r="A1952" s="7" t="str">
        <f>IF('Document Workflow'!A1951&lt;&gt;"",'Document Workflow'!A1951,"")</f>
        <v/>
      </c>
    </row>
    <row r="1953" spans="1:1">
      <c r="A1953" s="7" t="str">
        <f>IF('Document Workflow'!A1952&lt;&gt;"",'Document Workflow'!A1952,"")</f>
        <v/>
      </c>
    </row>
    <row r="1954" spans="1:1">
      <c r="A1954" s="7" t="str">
        <f>IF('Document Workflow'!A1953&lt;&gt;"",'Document Workflow'!A1953,"")</f>
        <v/>
      </c>
    </row>
    <row r="1955" spans="1:1">
      <c r="A1955" s="7" t="str">
        <f>IF('Document Workflow'!A1954&lt;&gt;"",'Document Workflow'!A1954,"")</f>
        <v/>
      </c>
    </row>
    <row r="1956" spans="1:1">
      <c r="A1956" s="7" t="str">
        <f>IF('Document Workflow'!A1955&lt;&gt;"",'Document Workflow'!A1955,"")</f>
        <v/>
      </c>
    </row>
    <row r="1957" spans="1:1">
      <c r="A1957" s="7" t="str">
        <f>IF('Document Workflow'!A1956&lt;&gt;"",'Document Workflow'!A1956,"")</f>
        <v/>
      </c>
    </row>
    <row r="1958" spans="1:1">
      <c r="A1958" s="7" t="str">
        <f>IF('Document Workflow'!A1957&lt;&gt;"",'Document Workflow'!A1957,"")</f>
        <v/>
      </c>
    </row>
    <row r="1959" spans="1:1">
      <c r="A1959" s="7" t="str">
        <f>IF('Document Workflow'!A1958&lt;&gt;"",'Document Workflow'!A1958,"")</f>
        <v/>
      </c>
    </row>
    <row r="1960" spans="1:1">
      <c r="A1960" s="7" t="str">
        <f>IF('Document Workflow'!A1959&lt;&gt;"",'Document Workflow'!A1959,"")</f>
        <v/>
      </c>
    </row>
    <row r="1961" spans="1:1">
      <c r="A1961" s="7" t="str">
        <f>IF('Document Workflow'!A1960&lt;&gt;"",'Document Workflow'!A1960,"")</f>
        <v/>
      </c>
    </row>
    <row r="1962" spans="1:1">
      <c r="A1962" s="7" t="str">
        <f>IF('Document Workflow'!A1961&lt;&gt;"",'Document Workflow'!A1961,"")</f>
        <v/>
      </c>
    </row>
    <row r="1963" spans="1:1">
      <c r="A1963" s="7" t="str">
        <f>IF('Document Workflow'!A1962&lt;&gt;"",'Document Workflow'!A1962,"")</f>
        <v/>
      </c>
    </row>
    <row r="1964" spans="1:1">
      <c r="A1964" s="7" t="str">
        <f>IF('Document Workflow'!A1963&lt;&gt;"",'Document Workflow'!A1963,"")</f>
        <v/>
      </c>
    </row>
    <row r="1965" spans="1:1">
      <c r="A1965" s="7" t="str">
        <f>IF('Document Workflow'!A1964&lt;&gt;"",'Document Workflow'!A1964,"")</f>
        <v/>
      </c>
    </row>
    <row r="1966" spans="1:1">
      <c r="A1966" s="7" t="str">
        <f>IF('Document Workflow'!A1965&lt;&gt;"",'Document Workflow'!A1965,"")</f>
        <v/>
      </c>
    </row>
    <row r="1967" spans="1:1">
      <c r="A1967" s="7" t="str">
        <f>IF('Document Workflow'!A1966&lt;&gt;"",'Document Workflow'!A1966,"")</f>
        <v/>
      </c>
    </row>
    <row r="1968" spans="1:1">
      <c r="A1968" s="7" t="str">
        <f>IF('Document Workflow'!A1967&lt;&gt;"",'Document Workflow'!A1967,"")</f>
        <v/>
      </c>
    </row>
    <row r="1969" spans="1:1">
      <c r="A1969" s="7" t="str">
        <f>IF('Document Workflow'!A1968&lt;&gt;"",'Document Workflow'!A1968,"")</f>
        <v/>
      </c>
    </row>
    <row r="1970" spans="1:1">
      <c r="A1970" s="7" t="str">
        <f>IF('Document Workflow'!A1969&lt;&gt;"",'Document Workflow'!A1969,"")</f>
        <v/>
      </c>
    </row>
    <row r="1971" spans="1:1">
      <c r="A1971" s="7" t="str">
        <f>IF('Document Workflow'!A1970&lt;&gt;"",'Document Workflow'!A1970,"")</f>
        <v/>
      </c>
    </row>
    <row r="1972" spans="1:1">
      <c r="A1972" s="7" t="str">
        <f>IF('Document Workflow'!A1971&lt;&gt;"",'Document Workflow'!A1971,"")</f>
        <v/>
      </c>
    </row>
    <row r="1973" spans="1:1">
      <c r="A1973" s="7" t="str">
        <f>IF('Document Workflow'!A1972&lt;&gt;"",'Document Workflow'!A1972,"")</f>
        <v/>
      </c>
    </row>
    <row r="1974" spans="1:1">
      <c r="A1974" s="7" t="str">
        <f>IF('Document Workflow'!A1973&lt;&gt;"",'Document Workflow'!A1973,"")</f>
        <v/>
      </c>
    </row>
    <row r="1975" spans="1:1">
      <c r="A1975" s="7" t="str">
        <f>IF('Document Workflow'!A1974&lt;&gt;"",'Document Workflow'!A1974,"")</f>
        <v/>
      </c>
    </row>
    <row r="1976" spans="1:1">
      <c r="A1976" s="7" t="str">
        <f>IF('Document Workflow'!A1975&lt;&gt;"",'Document Workflow'!A1975,"")</f>
        <v/>
      </c>
    </row>
    <row r="1977" spans="1:1">
      <c r="A1977" s="7" t="str">
        <f>IF('Document Workflow'!A1976&lt;&gt;"",'Document Workflow'!A1976,"")</f>
        <v/>
      </c>
    </row>
    <row r="1978" spans="1:1">
      <c r="A1978" s="7" t="str">
        <f>IF('Document Workflow'!A1977&lt;&gt;"",'Document Workflow'!A1977,"")</f>
        <v/>
      </c>
    </row>
    <row r="1979" spans="1:1">
      <c r="A1979" s="7" t="str">
        <f>IF('Document Workflow'!A1978&lt;&gt;"",'Document Workflow'!A1978,"")</f>
        <v/>
      </c>
    </row>
    <row r="1980" spans="1:1">
      <c r="A1980" s="7" t="str">
        <f>IF('Document Workflow'!A1979&lt;&gt;"",'Document Workflow'!A1979,"")</f>
        <v/>
      </c>
    </row>
    <row r="1981" spans="1:1">
      <c r="A1981" s="7" t="str">
        <f>IF('Document Workflow'!A1980&lt;&gt;"",'Document Workflow'!A1980,"")</f>
        <v/>
      </c>
    </row>
    <row r="1982" spans="1:1">
      <c r="A1982" s="7" t="str">
        <f>IF('Document Workflow'!A1981&lt;&gt;"",'Document Workflow'!A1981,"")</f>
        <v/>
      </c>
    </row>
    <row r="1983" spans="1:1">
      <c r="A1983" s="7" t="str">
        <f>IF('Document Workflow'!A1982&lt;&gt;"",'Document Workflow'!A1982,"")</f>
        <v/>
      </c>
    </row>
    <row r="1984" spans="1:1">
      <c r="A1984" s="7" t="str">
        <f>IF('Document Workflow'!A1983&lt;&gt;"",'Document Workflow'!A1983,"")</f>
        <v/>
      </c>
    </row>
    <row r="1985" spans="1:1">
      <c r="A1985" s="7" t="str">
        <f>IF('Document Workflow'!A1984&lt;&gt;"",'Document Workflow'!A1984,"")</f>
        <v/>
      </c>
    </row>
    <row r="1986" spans="1:1">
      <c r="A1986" s="7" t="str">
        <f>IF('Document Workflow'!A1985&lt;&gt;"",'Document Workflow'!A1985,"")</f>
        <v/>
      </c>
    </row>
    <row r="1987" spans="1:1">
      <c r="A1987" s="7" t="str">
        <f>IF('Document Workflow'!A1986&lt;&gt;"",'Document Workflow'!A1986,"")</f>
        <v/>
      </c>
    </row>
    <row r="1988" spans="1:1">
      <c r="A1988" s="7" t="str">
        <f>IF('Document Workflow'!A1987&lt;&gt;"",'Document Workflow'!A1987,"")</f>
        <v/>
      </c>
    </row>
    <row r="1989" spans="1:1">
      <c r="A1989" s="7" t="str">
        <f>IF('Document Workflow'!A1988&lt;&gt;"",'Document Workflow'!A1988,"")</f>
        <v/>
      </c>
    </row>
    <row r="1990" spans="1:1">
      <c r="A1990" s="7" t="str">
        <f>IF('Document Workflow'!A1989&lt;&gt;"",'Document Workflow'!A1989,"")</f>
        <v/>
      </c>
    </row>
    <row r="1991" spans="1:1">
      <c r="A1991" s="7" t="str">
        <f>IF('Document Workflow'!A1990&lt;&gt;"",'Document Workflow'!A1990,"")</f>
        <v/>
      </c>
    </row>
    <row r="1992" spans="1:1">
      <c r="A1992" s="7" t="str">
        <f>IF('Document Workflow'!A1991&lt;&gt;"",'Document Workflow'!A1991,"")</f>
        <v/>
      </c>
    </row>
    <row r="1993" spans="1:1">
      <c r="A1993" s="7" t="str">
        <f>IF('Document Workflow'!A1992&lt;&gt;"",'Document Workflow'!A1992,"")</f>
        <v/>
      </c>
    </row>
    <row r="1994" spans="1:1">
      <c r="A1994" s="7" t="str">
        <f>IF('Document Workflow'!A1993&lt;&gt;"",'Document Workflow'!A1993,"")</f>
        <v/>
      </c>
    </row>
    <row r="1995" spans="1:1">
      <c r="A1995" s="7" t="str">
        <f>IF('Document Workflow'!A1994&lt;&gt;"",'Document Workflow'!A1994,"")</f>
        <v/>
      </c>
    </row>
    <row r="1996" spans="1:1">
      <c r="A1996" s="7" t="str">
        <f>IF('Document Workflow'!A1995&lt;&gt;"",'Document Workflow'!A1995,"")</f>
        <v/>
      </c>
    </row>
    <row r="1997" spans="1:1">
      <c r="A1997" s="7" t="str">
        <f>IF('Document Workflow'!A1996&lt;&gt;"",'Document Workflow'!A1996,"")</f>
        <v/>
      </c>
    </row>
    <row r="1998" spans="1:1">
      <c r="A1998" s="7" t="str">
        <f>IF('Document Workflow'!A1997&lt;&gt;"",'Document Workflow'!A1997,"")</f>
        <v/>
      </c>
    </row>
    <row r="1999" spans="1:1">
      <c r="A1999" s="7" t="str">
        <f>IF('Document Workflow'!A1998&lt;&gt;"",'Document Workflow'!A1998,"")</f>
        <v/>
      </c>
    </row>
    <row r="2000" spans="1:1">
      <c r="A2000" s="7" t="str">
        <f>IF('Document Workflow'!A1999&lt;&gt;"",'Document Workflow'!A1999,"")</f>
        <v/>
      </c>
    </row>
    <row r="2001" spans="1:1">
      <c r="A2001" s="7" t="str">
        <f>IF('Document Workflow'!A2000&lt;&gt;"",'Document Workflow'!A2000,"")</f>
        <v/>
      </c>
    </row>
    <row r="2002" spans="1:1">
      <c r="A2002" s="7" t="str">
        <f>IF('Document Workflow'!A2001&lt;&gt;"",'Document Workflow'!A2001,"")</f>
        <v/>
      </c>
    </row>
    <row r="2003" spans="1:1">
      <c r="A2003" s="7" t="str">
        <f>IF('Document Workflow'!A2002&lt;&gt;"",'Document Workflow'!A2002,"")</f>
        <v/>
      </c>
    </row>
    <row r="2004" spans="1:1">
      <c r="A2004" s="7" t="str">
        <f>IF('Document Workflow'!A2003&lt;&gt;"",'Document Workflow'!A2003,"")</f>
        <v/>
      </c>
    </row>
    <row r="2005" spans="1:1">
      <c r="A2005" s="7" t="str">
        <f>IF('Document Workflow'!A2004&lt;&gt;"",'Document Workflow'!A2004,"")</f>
        <v/>
      </c>
    </row>
    <row r="2006" spans="1:1">
      <c r="A2006" s="7" t="str">
        <f>IF('Document Workflow'!A2005&lt;&gt;"",'Document Workflow'!A2005,"")</f>
        <v/>
      </c>
    </row>
    <row r="2007" spans="1:1">
      <c r="A2007" s="7" t="str">
        <f>IF('Document Workflow'!A2006&lt;&gt;"",'Document Workflow'!A2006,"")</f>
        <v/>
      </c>
    </row>
    <row r="2008" spans="1:1">
      <c r="A2008" s="7" t="str">
        <f>IF('Document Workflow'!A2007&lt;&gt;"",'Document Workflow'!A2007,"")</f>
        <v/>
      </c>
    </row>
    <row r="2009" spans="1:1">
      <c r="A2009" s="7" t="str">
        <f>IF('Document Workflow'!A2008&lt;&gt;"",'Document Workflow'!A2008,"")</f>
        <v/>
      </c>
    </row>
    <row r="2010" spans="1:1">
      <c r="A2010" s="7" t="str">
        <f>IF('Document Workflow'!A2009&lt;&gt;"",'Document Workflow'!A2009,"")</f>
        <v/>
      </c>
    </row>
    <row r="2011" spans="1:1">
      <c r="A2011" s="7" t="str">
        <f>IF('Document Workflow'!A2010&lt;&gt;"",'Document Workflow'!A2010,"")</f>
        <v/>
      </c>
    </row>
    <row r="2012" spans="1:1">
      <c r="A2012" s="7" t="str">
        <f>IF('Document Workflow'!A2011&lt;&gt;"",'Document Workflow'!A2011,"")</f>
        <v/>
      </c>
    </row>
    <row r="2013" spans="1:1">
      <c r="A2013" s="7" t="str">
        <f>IF('Document Workflow'!A2012&lt;&gt;"",'Document Workflow'!A2012,"")</f>
        <v/>
      </c>
    </row>
    <row r="2014" spans="1:1">
      <c r="A2014" s="7" t="str">
        <f>IF('Document Workflow'!A2013&lt;&gt;"",'Document Workflow'!A2013,"")</f>
        <v/>
      </c>
    </row>
    <row r="2015" spans="1:1">
      <c r="A2015" s="7" t="str">
        <f>IF('Document Workflow'!A2014&lt;&gt;"",'Document Workflow'!A2014,"")</f>
        <v/>
      </c>
    </row>
    <row r="2016" spans="1:1">
      <c r="A2016" s="7" t="str">
        <f>IF('Document Workflow'!A2015&lt;&gt;"",'Document Workflow'!A2015,"")</f>
        <v/>
      </c>
    </row>
    <row r="2017" spans="1:1">
      <c r="A2017" s="7" t="str">
        <f>IF('Document Workflow'!A2016&lt;&gt;"",'Document Workflow'!A2016,"")</f>
        <v/>
      </c>
    </row>
    <row r="2018" spans="1:1">
      <c r="A2018" s="7" t="str">
        <f>IF('Document Workflow'!A2017&lt;&gt;"",'Document Workflow'!A2017,"")</f>
        <v/>
      </c>
    </row>
    <row r="2019" spans="1:1">
      <c r="A2019" s="7" t="str">
        <f>IF('Document Workflow'!A2018&lt;&gt;"",'Document Workflow'!A2018,"")</f>
        <v/>
      </c>
    </row>
    <row r="2020" spans="1:1">
      <c r="A2020" s="7" t="str">
        <f>IF('Document Workflow'!A2019&lt;&gt;"",'Document Workflow'!A2019,"")</f>
        <v/>
      </c>
    </row>
    <row r="2021" spans="1:1">
      <c r="A2021" s="7" t="str">
        <f>IF('Document Workflow'!A2020&lt;&gt;"",'Document Workflow'!A2020,"")</f>
        <v/>
      </c>
    </row>
    <row r="2022" spans="1:1">
      <c r="A2022" s="7" t="str">
        <f>IF('Document Workflow'!A2021&lt;&gt;"",'Document Workflow'!A2021,"")</f>
        <v/>
      </c>
    </row>
    <row r="2023" spans="1:1">
      <c r="A2023" s="7" t="str">
        <f>IF('Document Workflow'!A2022&lt;&gt;"",'Document Workflow'!A2022,"")</f>
        <v/>
      </c>
    </row>
    <row r="2024" spans="1:1">
      <c r="A2024" s="7" t="str">
        <f>IF('Document Workflow'!A2023&lt;&gt;"",'Document Workflow'!A2023,"")</f>
        <v/>
      </c>
    </row>
    <row r="2025" spans="1:1">
      <c r="A2025" s="7" t="str">
        <f>IF('Document Workflow'!A2024&lt;&gt;"",'Document Workflow'!A2024,"")</f>
        <v/>
      </c>
    </row>
    <row r="2026" spans="1:1">
      <c r="A2026" s="7" t="str">
        <f>IF('Document Workflow'!A2025&lt;&gt;"",'Document Workflow'!A2025,"")</f>
        <v/>
      </c>
    </row>
    <row r="2027" spans="1:1">
      <c r="A2027" s="7" t="str">
        <f>IF('Document Workflow'!A2026&lt;&gt;"",'Document Workflow'!A2026,"")</f>
        <v/>
      </c>
    </row>
    <row r="2028" spans="1:1">
      <c r="A2028" s="7" t="str">
        <f>IF('Document Workflow'!A2027&lt;&gt;"",'Document Workflow'!A2027,"")</f>
        <v/>
      </c>
    </row>
    <row r="2029" spans="1:1">
      <c r="A2029" s="7" t="str">
        <f>IF('Document Workflow'!A2028&lt;&gt;"",'Document Workflow'!A2028,"")</f>
        <v/>
      </c>
    </row>
    <row r="2030" spans="1:1">
      <c r="A2030" s="7" t="str">
        <f>IF('Document Workflow'!A2029&lt;&gt;"",'Document Workflow'!A2029,"")</f>
        <v/>
      </c>
    </row>
    <row r="2031" spans="1:1">
      <c r="A2031" s="7" t="str">
        <f>IF('Document Workflow'!A2030&lt;&gt;"",'Document Workflow'!A2030,"")</f>
        <v/>
      </c>
    </row>
    <row r="2032" spans="1:1">
      <c r="A2032" s="7" t="str">
        <f>IF('Document Workflow'!A2031&lt;&gt;"",'Document Workflow'!A2031,"")</f>
        <v/>
      </c>
    </row>
    <row r="2033" spans="1:1">
      <c r="A2033" s="7" t="str">
        <f>IF('Document Workflow'!A2032&lt;&gt;"",'Document Workflow'!A2032,"")</f>
        <v/>
      </c>
    </row>
    <row r="2034" spans="1:1">
      <c r="A2034" s="7" t="str">
        <f>IF('Document Workflow'!A2033&lt;&gt;"",'Document Workflow'!A2033,"")</f>
        <v/>
      </c>
    </row>
    <row r="2035" spans="1:1">
      <c r="A2035" s="7" t="str">
        <f>IF('Document Workflow'!A2034&lt;&gt;"",'Document Workflow'!A2034,"")</f>
        <v/>
      </c>
    </row>
    <row r="2036" spans="1:1">
      <c r="A2036" s="7" t="str">
        <f>IF('Document Workflow'!A2035&lt;&gt;"",'Document Workflow'!A2035,"")</f>
        <v/>
      </c>
    </row>
    <row r="2037" spans="1:1">
      <c r="A2037" s="7" t="str">
        <f>IF('Document Workflow'!A2036&lt;&gt;"",'Document Workflow'!A2036,"")</f>
        <v/>
      </c>
    </row>
    <row r="2038" spans="1:1">
      <c r="A2038" s="7" t="str">
        <f>IF('Document Workflow'!A2037&lt;&gt;"",'Document Workflow'!A2037,"")</f>
        <v/>
      </c>
    </row>
    <row r="2039" spans="1:1">
      <c r="A2039" s="7" t="str">
        <f>IF('Document Workflow'!A2038&lt;&gt;"",'Document Workflow'!A2038,"")</f>
        <v/>
      </c>
    </row>
    <row r="2040" spans="1:1">
      <c r="A2040" s="7" t="str">
        <f>IF('Document Workflow'!A2039&lt;&gt;"",'Document Workflow'!A2039,"")</f>
        <v/>
      </c>
    </row>
    <row r="2041" spans="1:1">
      <c r="A2041" s="7" t="str">
        <f>IF('Document Workflow'!A2040&lt;&gt;"",'Document Workflow'!A2040,"")</f>
        <v/>
      </c>
    </row>
    <row r="2042" spans="1:1">
      <c r="A2042" s="7" t="str">
        <f>IF('Document Workflow'!A2041&lt;&gt;"",'Document Workflow'!A2041,"")</f>
        <v/>
      </c>
    </row>
    <row r="2043" spans="1:1">
      <c r="A2043" s="7" t="str">
        <f>IF('Document Workflow'!A2042&lt;&gt;"",'Document Workflow'!A2042,"")</f>
        <v/>
      </c>
    </row>
    <row r="2044" spans="1:1">
      <c r="A2044" s="7" t="str">
        <f>IF('Document Workflow'!A2043&lt;&gt;"",'Document Workflow'!A2043,"")</f>
        <v/>
      </c>
    </row>
    <row r="2045" spans="1:1">
      <c r="A2045" s="7" t="str">
        <f>IF('Document Workflow'!A2044&lt;&gt;"",'Document Workflow'!A2044,"")</f>
        <v/>
      </c>
    </row>
    <row r="2046" spans="1:1">
      <c r="A2046" s="7" t="str">
        <f>IF('Document Workflow'!A2045&lt;&gt;"",'Document Workflow'!A2045,"")</f>
        <v/>
      </c>
    </row>
    <row r="2047" spans="1:1">
      <c r="A2047" s="7" t="str">
        <f>IF('Document Workflow'!A2046&lt;&gt;"",'Document Workflow'!A2046,"")</f>
        <v/>
      </c>
    </row>
    <row r="2048" spans="1:1">
      <c r="A2048" s="7" t="str">
        <f>IF('Document Workflow'!A2047&lt;&gt;"",'Document Workflow'!A2047,"")</f>
        <v/>
      </c>
    </row>
    <row r="2049" spans="1:1">
      <c r="A2049" s="7" t="str">
        <f>IF('Document Workflow'!A2048&lt;&gt;"",'Document Workflow'!A2048,"")</f>
        <v/>
      </c>
    </row>
    <row r="2050" spans="1:1">
      <c r="A2050" s="7" t="str">
        <f>IF('Document Workflow'!A2049&lt;&gt;"",'Document Workflow'!A2049,"")</f>
        <v/>
      </c>
    </row>
    <row r="2051" spans="1:1">
      <c r="A2051" s="7" t="str">
        <f>IF('Document Workflow'!A2050&lt;&gt;"",'Document Workflow'!A2050,"")</f>
        <v/>
      </c>
    </row>
    <row r="2052" spans="1:1">
      <c r="A2052" s="7" t="str">
        <f>IF('Document Workflow'!A2051&lt;&gt;"",'Document Workflow'!A2051,"")</f>
        <v/>
      </c>
    </row>
    <row r="2053" spans="1:1">
      <c r="A2053" s="7" t="str">
        <f>IF('Document Workflow'!A2052&lt;&gt;"",'Document Workflow'!A2052,"")</f>
        <v/>
      </c>
    </row>
    <row r="2054" spans="1:1">
      <c r="A2054" s="7" t="str">
        <f>IF('Document Workflow'!A2053&lt;&gt;"",'Document Workflow'!A2053,"")</f>
        <v/>
      </c>
    </row>
    <row r="2055" spans="1:1">
      <c r="A2055" s="7" t="str">
        <f>IF('Document Workflow'!A2054&lt;&gt;"",'Document Workflow'!A2054,"")</f>
        <v/>
      </c>
    </row>
    <row r="2056" spans="1:1">
      <c r="A2056" s="7" t="str">
        <f>IF('Document Workflow'!A2055&lt;&gt;"",'Document Workflow'!A2055,"")</f>
        <v/>
      </c>
    </row>
    <row r="2057" spans="1:1">
      <c r="A2057" s="7" t="str">
        <f>IF('Document Workflow'!A2056&lt;&gt;"",'Document Workflow'!A2056,"")</f>
        <v/>
      </c>
    </row>
    <row r="2058" spans="1:1">
      <c r="A2058" s="7" t="str">
        <f>IF('Document Workflow'!A2057&lt;&gt;"",'Document Workflow'!A2057,"")</f>
        <v/>
      </c>
    </row>
    <row r="2059" spans="1:1">
      <c r="A2059" s="7" t="str">
        <f>IF('Document Workflow'!A2058&lt;&gt;"",'Document Workflow'!A2058,"")</f>
        <v/>
      </c>
    </row>
    <row r="2060" spans="1:1">
      <c r="A2060" s="7" t="str">
        <f>IF('Document Workflow'!A2059&lt;&gt;"",'Document Workflow'!A2059,"")</f>
        <v/>
      </c>
    </row>
    <row r="2061" spans="1:1">
      <c r="A2061" s="7" t="str">
        <f>IF('Document Workflow'!A2060&lt;&gt;"",'Document Workflow'!A2060,"")</f>
        <v/>
      </c>
    </row>
    <row r="2062" spans="1:1">
      <c r="A2062" s="7" t="str">
        <f>IF('Document Workflow'!A2061&lt;&gt;"",'Document Workflow'!A2061,"")</f>
        <v/>
      </c>
    </row>
    <row r="2063" spans="1:1">
      <c r="A2063" s="7" t="str">
        <f>IF('Document Workflow'!A2062&lt;&gt;"",'Document Workflow'!A2062,"")</f>
        <v/>
      </c>
    </row>
    <row r="2064" spans="1:1">
      <c r="A2064" s="7" t="str">
        <f>IF('Document Workflow'!A2063&lt;&gt;"",'Document Workflow'!A2063,"")</f>
        <v/>
      </c>
    </row>
    <row r="2065" spans="1:1">
      <c r="A2065" s="7" t="str">
        <f>IF('Document Workflow'!A2064&lt;&gt;"",'Document Workflow'!A2064,"")</f>
        <v/>
      </c>
    </row>
    <row r="2066" spans="1:1">
      <c r="A2066" s="7" t="str">
        <f>IF('Document Workflow'!A2065&lt;&gt;"",'Document Workflow'!A2065,"")</f>
        <v/>
      </c>
    </row>
    <row r="2067" spans="1:1">
      <c r="A2067" s="7" t="str">
        <f>IF('Document Workflow'!A2066&lt;&gt;"",'Document Workflow'!A2066,"")</f>
        <v/>
      </c>
    </row>
    <row r="2068" spans="1:1">
      <c r="A2068" s="7" t="str">
        <f>IF('Document Workflow'!A2067&lt;&gt;"",'Document Workflow'!A2067,"")</f>
        <v/>
      </c>
    </row>
    <row r="2069" spans="1:1">
      <c r="A2069" s="7" t="str">
        <f>IF('Document Workflow'!A2068&lt;&gt;"",'Document Workflow'!A2068,"")</f>
        <v/>
      </c>
    </row>
    <row r="2070" spans="1:1">
      <c r="A2070" s="7" t="str">
        <f>IF('Document Workflow'!A2069&lt;&gt;"",'Document Workflow'!A2069,"")</f>
        <v/>
      </c>
    </row>
    <row r="2071" spans="1:1">
      <c r="A2071" s="7" t="str">
        <f>IF('Document Workflow'!A2070&lt;&gt;"",'Document Workflow'!A2070,"")</f>
        <v/>
      </c>
    </row>
    <row r="2072" spans="1:1">
      <c r="A2072" s="7" t="str">
        <f>IF('Document Workflow'!A2071&lt;&gt;"",'Document Workflow'!A2071,"")</f>
        <v/>
      </c>
    </row>
    <row r="2073" spans="1:1">
      <c r="A2073" s="7" t="str">
        <f>IF('Document Workflow'!A2072&lt;&gt;"",'Document Workflow'!A2072,"")</f>
        <v/>
      </c>
    </row>
    <row r="2074" spans="1:1">
      <c r="A2074" s="7" t="str">
        <f>IF('Document Workflow'!A2073&lt;&gt;"",'Document Workflow'!A2073,"")</f>
        <v/>
      </c>
    </row>
    <row r="2075" spans="1:1">
      <c r="A2075" s="7" t="str">
        <f>IF('Document Workflow'!A2074&lt;&gt;"",'Document Workflow'!A2074,"")</f>
        <v/>
      </c>
    </row>
    <row r="2076" spans="1:1">
      <c r="A2076" s="7" t="str">
        <f>IF('Document Workflow'!A2075&lt;&gt;"",'Document Workflow'!A2075,"")</f>
        <v/>
      </c>
    </row>
    <row r="2077" spans="1:1">
      <c r="A2077" s="7" t="str">
        <f>IF('Document Workflow'!A2076&lt;&gt;"",'Document Workflow'!A2076,"")</f>
        <v/>
      </c>
    </row>
    <row r="2078" spans="1:1">
      <c r="A2078" s="7" t="str">
        <f>IF('Document Workflow'!A2077&lt;&gt;"",'Document Workflow'!A2077,"")</f>
        <v/>
      </c>
    </row>
    <row r="2079" spans="1:1">
      <c r="A2079" s="7" t="str">
        <f>IF('Document Workflow'!A2078&lt;&gt;"",'Document Workflow'!A2078,"")</f>
        <v/>
      </c>
    </row>
    <row r="2080" spans="1:1">
      <c r="A2080" s="7" t="str">
        <f>IF('Document Workflow'!A2079&lt;&gt;"",'Document Workflow'!A2079,"")</f>
        <v/>
      </c>
    </row>
    <row r="2081" spans="1:1">
      <c r="A2081" s="7" t="str">
        <f>IF('Document Workflow'!A2080&lt;&gt;"",'Document Workflow'!A2080,"")</f>
        <v/>
      </c>
    </row>
    <row r="2082" spans="1:1">
      <c r="A2082" s="7" t="str">
        <f>IF('Document Workflow'!A2081&lt;&gt;"",'Document Workflow'!A2081,"")</f>
        <v/>
      </c>
    </row>
    <row r="2083" spans="1:1">
      <c r="A2083" s="7" t="str">
        <f>IF('Document Workflow'!A2082&lt;&gt;"",'Document Workflow'!A2082,"")</f>
        <v/>
      </c>
    </row>
    <row r="2084" spans="1:1">
      <c r="A2084" s="7" t="str">
        <f>IF('Document Workflow'!A2083&lt;&gt;"",'Document Workflow'!A2083,"")</f>
        <v/>
      </c>
    </row>
    <row r="2085" spans="1:1">
      <c r="A2085" s="7" t="str">
        <f>IF('Document Workflow'!A2084&lt;&gt;"",'Document Workflow'!A2084,"")</f>
        <v/>
      </c>
    </row>
    <row r="2086" spans="1:1">
      <c r="A2086" s="7" t="str">
        <f>IF('Document Workflow'!A2085&lt;&gt;"",'Document Workflow'!A2085,"")</f>
        <v/>
      </c>
    </row>
    <row r="2087" spans="1:1">
      <c r="A2087" s="7" t="str">
        <f>IF('Document Workflow'!A2086&lt;&gt;"",'Document Workflow'!A2086,"")</f>
        <v/>
      </c>
    </row>
    <row r="2088" spans="1:1">
      <c r="A2088" s="7" t="str">
        <f>IF('Document Workflow'!A2087&lt;&gt;"",'Document Workflow'!A2087,"")</f>
        <v/>
      </c>
    </row>
    <row r="2089" spans="1:1">
      <c r="A2089" s="7" t="str">
        <f>IF('Document Workflow'!A2088&lt;&gt;"",'Document Workflow'!A2088,"")</f>
        <v/>
      </c>
    </row>
    <row r="2090" spans="1:1">
      <c r="A2090" s="7" t="str">
        <f>IF('Document Workflow'!A2089&lt;&gt;"",'Document Workflow'!A2089,"")</f>
        <v/>
      </c>
    </row>
    <row r="2091" spans="1:1">
      <c r="A2091" s="7" t="str">
        <f>IF('Document Workflow'!A2090&lt;&gt;"",'Document Workflow'!A2090,"")</f>
        <v/>
      </c>
    </row>
    <row r="2092" spans="1:1">
      <c r="A2092" s="7" t="str">
        <f>IF('Document Workflow'!A2091&lt;&gt;"",'Document Workflow'!A2091,"")</f>
        <v/>
      </c>
    </row>
    <row r="2093" spans="1:1">
      <c r="A2093" s="7" t="str">
        <f>IF('Document Workflow'!A2092&lt;&gt;"",'Document Workflow'!A2092,"")</f>
        <v/>
      </c>
    </row>
    <row r="2094" spans="1:1">
      <c r="A2094" s="7" t="str">
        <f>IF('Document Workflow'!A2093&lt;&gt;"",'Document Workflow'!A2093,"")</f>
        <v/>
      </c>
    </row>
    <row r="2095" spans="1:1">
      <c r="A2095" s="7" t="str">
        <f>IF('Document Workflow'!A2094&lt;&gt;"",'Document Workflow'!A2094,"")</f>
        <v/>
      </c>
    </row>
    <row r="2096" spans="1:1">
      <c r="A2096" s="7" t="str">
        <f>IF('Document Workflow'!A2095&lt;&gt;"",'Document Workflow'!A2095,"")</f>
        <v/>
      </c>
    </row>
    <row r="2097" spans="1:1">
      <c r="A2097" s="7" t="str">
        <f>IF('Document Workflow'!A2096&lt;&gt;"",'Document Workflow'!A2096,"")</f>
        <v/>
      </c>
    </row>
    <row r="2098" spans="1:1">
      <c r="A2098" s="7" t="str">
        <f>IF('Document Workflow'!A2097&lt;&gt;"",'Document Workflow'!A2097,"")</f>
        <v/>
      </c>
    </row>
    <row r="2099" spans="1:1">
      <c r="A2099" s="7" t="str">
        <f>IF('Document Workflow'!A2098&lt;&gt;"",'Document Workflow'!A2098,"")</f>
        <v/>
      </c>
    </row>
    <row r="2100" spans="1:1">
      <c r="A2100" s="7" t="str">
        <f>IF('Document Workflow'!A2099&lt;&gt;"",'Document Workflow'!A2099,"")</f>
        <v/>
      </c>
    </row>
    <row r="2101" spans="1:1">
      <c r="A2101" s="7" t="str">
        <f>IF('Document Workflow'!A2100&lt;&gt;"",'Document Workflow'!A2100,"")</f>
        <v/>
      </c>
    </row>
    <row r="2102" spans="1:1">
      <c r="A2102" s="7" t="str">
        <f>IF('Document Workflow'!A2101&lt;&gt;"",'Document Workflow'!A2101,"")</f>
        <v/>
      </c>
    </row>
    <row r="2103" spans="1:1">
      <c r="A2103" s="7" t="str">
        <f>IF('Document Workflow'!A2102&lt;&gt;"",'Document Workflow'!A2102,"")</f>
        <v/>
      </c>
    </row>
    <row r="2104" spans="1:1">
      <c r="A2104" s="7" t="str">
        <f>IF('Document Workflow'!A2103&lt;&gt;"",'Document Workflow'!A2103,"")</f>
        <v/>
      </c>
    </row>
    <row r="2105" spans="1:1">
      <c r="A2105" s="7" t="str">
        <f>IF('Document Workflow'!A2104&lt;&gt;"",'Document Workflow'!A2104,"")</f>
        <v/>
      </c>
    </row>
    <row r="2106" spans="1:1">
      <c r="A2106" s="7" t="str">
        <f>IF('Document Workflow'!A2105&lt;&gt;"",'Document Workflow'!A2105,"")</f>
        <v/>
      </c>
    </row>
    <row r="2107" spans="1:1">
      <c r="A2107" s="7" t="str">
        <f>IF('Document Workflow'!A2106&lt;&gt;"",'Document Workflow'!A2106,"")</f>
        <v/>
      </c>
    </row>
    <row r="2108" spans="1:1">
      <c r="A2108" s="7" t="str">
        <f>IF('Document Workflow'!A2107&lt;&gt;"",'Document Workflow'!A2107,"")</f>
        <v/>
      </c>
    </row>
    <row r="2109" spans="1:1">
      <c r="A2109" s="7" t="str">
        <f>IF('Document Workflow'!A2108&lt;&gt;"",'Document Workflow'!A2108,"")</f>
        <v/>
      </c>
    </row>
    <row r="2110" spans="1:1">
      <c r="A2110" s="7" t="str">
        <f>IF('Document Workflow'!A2109&lt;&gt;"",'Document Workflow'!A2109,"")</f>
        <v/>
      </c>
    </row>
    <row r="2111" spans="1:1">
      <c r="A2111" s="7" t="str">
        <f>IF('Document Workflow'!A2110&lt;&gt;"",'Document Workflow'!A2110,"")</f>
        <v/>
      </c>
    </row>
    <row r="2112" spans="1:1">
      <c r="A2112" s="7" t="str">
        <f>IF('Document Workflow'!A2111&lt;&gt;"",'Document Workflow'!A2111,"")</f>
        <v/>
      </c>
    </row>
    <row r="2113" spans="1:1">
      <c r="A2113" s="7" t="str">
        <f>IF('Document Workflow'!A2112&lt;&gt;"",'Document Workflow'!A2112,"")</f>
        <v/>
      </c>
    </row>
    <row r="2114" spans="1:1">
      <c r="A2114" s="7" t="str">
        <f>IF('Document Workflow'!A2113&lt;&gt;"",'Document Workflow'!A2113,"")</f>
        <v/>
      </c>
    </row>
    <row r="2115" spans="1:1">
      <c r="A2115" s="7" t="str">
        <f>IF('Document Workflow'!A2114&lt;&gt;"",'Document Workflow'!A2114,"")</f>
        <v/>
      </c>
    </row>
    <row r="2116" spans="1:1">
      <c r="A2116" s="7" t="str">
        <f>IF('Document Workflow'!A2115&lt;&gt;"",'Document Workflow'!A2115,"")</f>
        <v/>
      </c>
    </row>
    <row r="2117" spans="1:1">
      <c r="A2117" s="7" t="str">
        <f>IF('Document Workflow'!A2116&lt;&gt;"",'Document Workflow'!A2116,"")</f>
        <v/>
      </c>
    </row>
    <row r="2118" spans="1:1">
      <c r="A2118" s="7" t="str">
        <f>IF('Document Workflow'!A2117&lt;&gt;"",'Document Workflow'!A2117,"")</f>
        <v/>
      </c>
    </row>
    <row r="2119" spans="1:1">
      <c r="A2119" s="7" t="str">
        <f>IF('Document Workflow'!A2118&lt;&gt;"",'Document Workflow'!A2118,"")</f>
        <v/>
      </c>
    </row>
    <row r="2120" spans="1:1">
      <c r="A2120" s="7" t="str">
        <f>IF('Document Workflow'!A2119&lt;&gt;"",'Document Workflow'!A2119,"")</f>
        <v/>
      </c>
    </row>
    <row r="2121" spans="1:1">
      <c r="A2121" s="7" t="str">
        <f>IF('Document Workflow'!A2120&lt;&gt;"",'Document Workflow'!A2120,"")</f>
        <v/>
      </c>
    </row>
    <row r="2122" spans="1:1">
      <c r="A2122" s="7" t="str">
        <f>IF('Document Workflow'!A2121&lt;&gt;"",'Document Workflow'!A2121,"")</f>
        <v/>
      </c>
    </row>
    <row r="2123" spans="1:1">
      <c r="A2123" s="7" t="str">
        <f>IF('Document Workflow'!A2122&lt;&gt;"",'Document Workflow'!A2122,"")</f>
        <v/>
      </c>
    </row>
    <row r="2124" spans="1:1">
      <c r="A2124" s="7" t="str">
        <f>IF('Document Workflow'!A2123&lt;&gt;"",'Document Workflow'!A2123,"")</f>
        <v/>
      </c>
    </row>
    <row r="2125" spans="1:1">
      <c r="A2125" s="7" t="str">
        <f>IF('Document Workflow'!A2124&lt;&gt;"",'Document Workflow'!A2124,"")</f>
        <v/>
      </c>
    </row>
    <row r="2126" spans="1:1">
      <c r="A2126" s="7" t="str">
        <f>IF('Document Workflow'!A2125&lt;&gt;"",'Document Workflow'!A2125,"")</f>
        <v/>
      </c>
    </row>
    <row r="2127" spans="1:1">
      <c r="A2127" s="7" t="str">
        <f>IF('Document Workflow'!A2126&lt;&gt;"",'Document Workflow'!A2126,"")</f>
        <v/>
      </c>
    </row>
    <row r="2128" spans="1:1">
      <c r="A2128" s="7" t="str">
        <f>IF('Document Workflow'!A2127&lt;&gt;"",'Document Workflow'!A2127,"")</f>
        <v/>
      </c>
    </row>
    <row r="2129" spans="1:1">
      <c r="A2129" s="7" t="str">
        <f>IF('Document Workflow'!A2128&lt;&gt;"",'Document Workflow'!A2128,"")</f>
        <v/>
      </c>
    </row>
    <row r="2130" spans="1:1">
      <c r="A2130" s="7" t="str">
        <f>IF('Document Workflow'!A2129&lt;&gt;"",'Document Workflow'!A2129,"")</f>
        <v/>
      </c>
    </row>
    <row r="2131" spans="1:1">
      <c r="A2131" s="7" t="str">
        <f>IF('Document Workflow'!A2130&lt;&gt;"",'Document Workflow'!A2130,"")</f>
        <v/>
      </c>
    </row>
    <row r="2132" spans="1:1">
      <c r="A2132" s="7" t="str">
        <f>IF('Document Workflow'!A2131&lt;&gt;"",'Document Workflow'!A2131,"")</f>
        <v/>
      </c>
    </row>
    <row r="2133" spans="1:1">
      <c r="A2133" s="7" t="str">
        <f>IF('Document Workflow'!A2132&lt;&gt;"",'Document Workflow'!A2132,"")</f>
        <v/>
      </c>
    </row>
    <row r="2134" spans="1:1">
      <c r="A2134" s="7" t="str">
        <f>IF('Document Workflow'!A2133&lt;&gt;"",'Document Workflow'!A2133,"")</f>
        <v/>
      </c>
    </row>
    <row r="2135" spans="1:1">
      <c r="A2135" s="7" t="str">
        <f>IF('Document Workflow'!A2134&lt;&gt;"",'Document Workflow'!A2134,"")</f>
        <v/>
      </c>
    </row>
    <row r="2136" spans="1:1">
      <c r="A2136" s="7" t="str">
        <f>IF('Document Workflow'!A2135&lt;&gt;"",'Document Workflow'!A2135,"")</f>
        <v/>
      </c>
    </row>
    <row r="2137" spans="1:1">
      <c r="A2137" s="7" t="str">
        <f>IF('Document Workflow'!A2136&lt;&gt;"",'Document Workflow'!A2136,"")</f>
        <v/>
      </c>
    </row>
    <row r="2138" spans="1:1">
      <c r="A2138" s="7" t="str">
        <f>IF('Document Workflow'!A2137&lt;&gt;"",'Document Workflow'!A2137,"")</f>
        <v/>
      </c>
    </row>
    <row r="2139" spans="1:1">
      <c r="A2139" s="7" t="str">
        <f>IF('Document Workflow'!A2138&lt;&gt;"",'Document Workflow'!A2138,"")</f>
        <v/>
      </c>
    </row>
    <row r="2140" spans="1:1">
      <c r="A2140" s="7" t="str">
        <f>IF('Document Workflow'!A2139&lt;&gt;"",'Document Workflow'!A2139,"")</f>
        <v/>
      </c>
    </row>
    <row r="2141" spans="1:1">
      <c r="A2141" s="7" t="str">
        <f>IF('Document Workflow'!A2140&lt;&gt;"",'Document Workflow'!A2140,"")</f>
        <v/>
      </c>
    </row>
    <row r="2142" spans="1:1">
      <c r="A2142" s="7" t="str">
        <f>IF('Document Workflow'!A2141&lt;&gt;"",'Document Workflow'!A2141,"")</f>
        <v/>
      </c>
    </row>
    <row r="2143" spans="1:1">
      <c r="A2143" s="7" t="str">
        <f>IF('Document Workflow'!A2142&lt;&gt;"",'Document Workflow'!A2142,"")</f>
        <v/>
      </c>
    </row>
    <row r="2144" spans="1:1">
      <c r="A2144" s="7" t="str">
        <f>IF('Document Workflow'!A2143&lt;&gt;"",'Document Workflow'!A2143,"")</f>
        <v/>
      </c>
    </row>
    <row r="2145" spans="1:1">
      <c r="A2145" s="7" t="str">
        <f>IF('Document Workflow'!A2144&lt;&gt;"",'Document Workflow'!A2144,"")</f>
        <v/>
      </c>
    </row>
    <row r="2146" spans="1:1">
      <c r="A2146" s="7" t="str">
        <f>IF('Document Workflow'!A2145&lt;&gt;"",'Document Workflow'!A2145,"")</f>
        <v/>
      </c>
    </row>
    <row r="2147" spans="1:1">
      <c r="A2147" s="7" t="str">
        <f>IF('Document Workflow'!A2146&lt;&gt;"",'Document Workflow'!A2146,"")</f>
        <v/>
      </c>
    </row>
    <row r="2148" spans="1:1">
      <c r="A2148" s="7" t="str">
        <f>IF('Document Workflow'!A2147&lt;&gt;"",'Document Workflow'!A2147,"")</f>
        <v/>
      </c>
    </row>
    <row r="2149" spans="1:1">
      <c r="A2149" s="7" t="str">
        <f>IF('Document Workflow'!A2148&lt;&gt;"",'Document Workflow'!A2148,"")</f>
        <v/>
      </c>
    </row>
    <row r="2150" spans="1:1">
      <c r="A2150" s="7" t="str">
        <f>IF('Document Workflow'!A2149&lt;&gt;"",'Document Workflow'!A2149,"")</f>
        <v/>
      </c>
    </row>
    <row r="2151" spans="1:1">
      <c r="A2151" s="7" t="str">
        <f>IF('Document Workflow'!A2150&lt;&gt;"",'Document Workflow'!A2150,"")</f>
        <v/>
      </c>
    </row>
    <row r="2152" spans="1:1">
      <c r="A2152" s="7" t="str">
        <f>IF('Document Workflow'!A2151&lt;&gt;"",'Document Workflow'!A2151,"")</f>
        <v/>
      </c>
    </row>
    <row r="2153" spans="1:1">
      <c r="A2153" s="7" t="str">
        <f>IF('Document Workflow'!A2152&lt;&gt;"",'Document Workflow'!A2152,"")</f>
        <v/>
      </c>
    </row>
    <row r="2154" spans="1:1">
      <c r="A2154" s="7" t="str">
        <f>IF('Document Workflow'!A2153&lt;&gt;"",'Document Workflow'!A2153,"")</f>
        <v/>
      </c>
    </row>
    <row r="2155" spans="1:1">
      <c r="A2155" s="7" t="str">
        <f>IF('Document Workflow'!A2154&lt;&gt;"",'Document Workflow'!A2154,"")</f>
        <v/>
      </c>
    </row>
    <row r="2156" spans="1:1">
      <c r="A2156" s="7" t="str">
        <f>IF('Document Workflow'!A2155&lt;&gt;"",'Document Workflow'!A2155,"")</f>
        <v/>
      </c>
    </row>
    <row r="2157" spans="1:1">
      <c r="A2157" s="7" t="str">
        <f>IF('Document Workflow'!A2156&lt;&gt;"",'Document Workflow'!A2156,"")</f>
        <v/>
      </c>
    </row>
    <row r="2158" spans="1:1">
      <c r="A2158" s="7" t="str">
        <f>IF('Document Workflow'!A2157&lt;&gt;"",'Document Workflow'!A2157,"")</f>
        <v/>
      </c>
    </row>
    <row r="2159" spans="1:1">
      <c r="A2159" s="7" t="str">
        <f>IF('Document Workflow'!A2158&lt;&gt;"",'Document Workflow'!A2158,"")</f>
        <v/>
      </c>
    </row>
    <row r="2160" spans="1:1">
      <c r="A2160" s="7" t="str">
        <f>IF('Document Workflow'!A2159&lt;&gt;"",'Document Workflow'!A2159,"")</f>
        <v/>
      </c>
    </row>
    <row r="2161" spans="1:1">
      <c r="A2161" s="7" t="str">
        <f>IF('Document Workflow'!A2160&lt;&gt;"",'Document Workflow'!A2160,"")</f>
        <v/>
      </c>
    </row>
    <row r="2162" spans="1:1">
      <c r="A2162" s="7" t="str">
        <f>IF('Document Workflow'!A2161&lt;&gt;"",'Document Workflow'!A2161,"")</f>
        <v/>
      </c>
    </row>
    <row r="2163" spans="1:1">
      <c r="A2163" s="7" t="str">
        <f>IF('Document Workflow'!A2162&lt;&gt;"",'Document Workflow'!A2162,"")</f>
        <v/>
      </c>
    </row>
    <row r="2164" spans="1:1">
      <c r="A2164" s="7" t="str">
        <f>IF('Document Workflow'!A2163&lt;&gt;"",'Document Workflow'!A2163,"")</f>
        <v/>
      </c>
    </row>
    <row r="2165" spans="1:1">
      <c r="A2165" s="7" t="str">
        <f>IF('Document Workflow'!A2164&lt;&gt;"",'Document Workflow'!A2164,"")</f>
        <v/>
      </c>
    </row>
    <row r="2166" spans="1:1">
      <c r="A2166" s="7" t="str">
        <f>IF('Document Workflow'!A2165&lt;&gt;"",'Document Workflow'!A2165,"")</f>
        <v/>
      </c>
    </row>
    <row r="2167" spans="1:1">
      <c r="A2167" s="7" t="str">
        <f>IF('Document Workflow'!A2166&lt;&gt;"",'Document Workflow'!A2166,"")</f>
        <v/>
      </c>
    </row>
    <row r="2168" spans="1:1">
      <c r="A2168" s="7" t="str">
        <f>IF('Document Workflow'!A2167&lt;&gt;"",'Document Workflow'!A2167,"")</f>
        <v/>
      </c>
    </row>
    <row r="2169" spans="1:1">
      <c r="A2169" s="7" t="str">
        <f>IF('Document Workflow'!A2168&lt;&gt;"",'Document Workflow'!A2168,"")</f>
        <v/>
      </c>
    </row>
    <row r="2170" spans="1:1">
      <c r="A2170" s="7" t="str">
        <f>IF('Document Workflow'!A2169&lt;&gt;"",'Document Workflow'!A2169,"")</f>
        <v/>
      </c>
    </row>
    <row r="2171" spans="1:1">
      <c r="A2171" s="7" t="str">
        <f>IF('Document Workflow'!A2170&lt;&gt;"",'Document Workflow'!A2170,"")</f>
        <v/>
      </c>
    </row>
    <row r="2172" spans="1:1">
      <c r="A2172" s="7" t="str">
        <f>IF('Document Workflow'!A2171&lt;&gt;"",'Document Workflow'!A2171,"")</f>
        <v/>
      </c>
    </row>
    <row r="2173" spans="1:1">
      <c r="A2173" s="7" t="str">
        <f>IF('Document Workflow'!A2172&lt;&gt;"",'Document Workflow'!A2172,"")</f>
        <v/>
      </c>
    </row>
    <row r="2174" spans="1:1">
      <c r="A2174" s="7" t="str">
        <f>IF('Document Workflow'!A2173&lt;&gt;"",'Document Workflow'!A2173,"")</f>
        <v/>
      </c>
    </row>
    <row r="2175" spans="1:1">
      <c r="A2175" s="7" t="str">
        <f>IF('Document Workflow'!A2174&lt;&gt;"",'Document Workflow'!A2174,"")</f>
        <v/>
      </c>
    </row>
    <row r="2176" spans="1:1">
      <c r="A2176" s="7" t="str">
        <f>IF('Document Workflow'!A2175&lt;&gt;"",'Document Workflow'!A2175,"")</f>
        <v/>
      </c>
    </row>
    <row r="2177" spans="1:1">
      <c r="A2177" s="7" t="str">
        <f>IF('Document Workflow'!A2176&lt;&gt;"",'Document Workflow'!A2176,"")</f>
        <v/>
      </c>
    </row>
    <row r="2178" spans="1:1">
      <c r="A2178" s="7" t="str">
        <f>IF('Document Workflow'!A2177&lt;&gt;"",'Document Workflow'!A2177,"")</f>
        <v/>
      </c>
    </row>
    <row r="2179" spans="1:1">
      <c r="A2179" s="7" t="str">
        <f>IF('Document Workflow'!A2178&lt;&gt;"",'Document Workflow'!A2178,"")</f>
        <v/>
      </c>
    </row>
    <row r="2180" spans="1:1">
      <c r="A2180" s="7" t="str">
        <f>IF('Document Workflow'!A2179&lt;&gt;"",'Document Workflow'!A2179,"")</f>
        <v/>
      </c>
    </row>
    <row r="2181" spans="1:1">
      <c r="A2181" s="7" t="str">
        <f>IF('Document Workflow'!A2180&lt;&gt;"",'Document Workflow'!A2180,"")</f>
        <v/>
      </c>
    </row>
    <row r="2182" spans="1:1">
      <c r="A2182" s="7" t="str">
        <f>IF('Document Workflow'!A2181&lt;&gt;"",'Document Workflow'!A2181,"")</f>
        <v/>
      </c>
    </row>
    <row r="2183" spans="1:1">
      <c r="A2183" s="7" t="str">
        <f>IF('Document Workflow'!A2182&lt;&gt;"",'Document Workflow'!A2182,"")</f>
        <v/>
      </c>
    </row>
    <row r="2184" spans="1:1">
      <c r="A2184" s="7" t="str">
        <f>IF('Document Workflow'!A2183&lt;&gt;"",'Document Workflow'!A2183,"")</f>
        <v/>
      </c>
    </row>
    <row r="2185" spans="1:1">
      <c r="A2185" s="7" t="str">
        <f>IF('Document Workflow'!A2184&lt;&gt;"",'Document Workflow'!A2184,"")</f>
        <v/>
      </c>
    </row>
    <row r="2186" spans="1:1">
      <c r="A2186" s="7" t="str">
        <f>IF('Document Workflow'!A2185&lt;&gt;"",'Document Workflow'!A2185,"")</f>
        <v/>
      </c>
    </row>
    <row r="2187" spans="1:1">
      <c r="A2187" s="7" t="str">
        <f>IF('Document Workflow'!A2186&lt;&gt;"",'Document Workflow'!A2186,"")</f>
        <v/>
      </c>
    </row>
    <row r="2188" spans="1:1">
      <c r="A2188" s="7" t="str">
        <f>IF('Document Workflow'!A2187&lt;&gt;"",'Document Workflow'!A2187,"")</f>
        <v/>
      </c>
    </row>
    <row r="2189" spans="1:1">
      <c r="A2189" s="7" t="str">
        <f>IF('Document Workflow'!A2188&lt;&gt;"",'Document Workflow'!A2188,"")</f>
        <v/>
      </c>
    </row>
    <row r="2190" spans="1:1">
      <c r="A2190" s="7" t="str">
        <f>IF('Document Workflow'!A2189&lt;&gt;"",'Document Workflow'!A2189,"")</f>
        <v/>
      </c>
    </row>
    <row r="2191" spans="1:1">
      <c r="A2191" s="7" t="str">
        <f>IF('Document Workflow'!A2190&lt;&gt;"",'Document Workflow'!A2190,"")</f>
        <v/>
      </c>
    </row>
    <row r="2192" spans="1:1">
      <c r="A2192" s="7" t="str">
        <f>IF('Document Workflow'!A2191&lt;&gt;"",'Document Workflow'!A2191,"")</f>
        <v/>
      </c>
    </row>
    <row r="2193" spans="1:1">
      <c r="A2193" s="7" t="str">
        <f>IF('Document Workflow'!A2192&lt;&gt;"",'Document Workflow'!A2192,"")</f>
        <v/>
      </c>
    </row>
    <row r="2194" spans="1:1">
      <c r="A2194" s="7" t="str">
        <f>IF('Document Workflow'!A2193&lt;&gt;"",'Document Workflow'!A2193,"")</f>
        <v/>
      </c>
    </row>
    <row r="2195" spans="1:1">
      <c r="A2195" s="7" t="str">
        <f>IF('Document Workflow'!A2194&lt;&gt;"",'Document Workflow'!A2194,"")</f>
        <v/>
      </c>
    </row>
    <row r="2196" spans="1:1">
      <c r="A2196" s="7" t="str">
        <f>IF('Document Workflow'!A2195&lt;&gt;"",'Document Workflow'!A2195,"")</f>
        <v/>
      </c>
    </row>
    <row r="2197" spans="1:1">
      <c r="A2197" s="7" t="str">
        <f>IF('Document Workflow'!A2196&lt;&gt;"",'Document Workflow'!A2196,"")</f>
        <v/>
      </c>
    </row>
    <row r="2198" spans="1:1">
      <c r="A2198" s="7" t="str">
        <f>IF('Document Workflow'!A2197&lt;&gt;"",'Document Workflow'!A2197,"")</f>
        <v/>
      </c>
    </row>
    <row r="2199" spans="1:1">
      <c r="A2199" s="7" t="str">
        <f>IF('Document Workflow'!A2198&lt;&gt;"",'Document Workflow'!A2198,"")</f>
        <v/>
      </c>
    </row>
    <row r="2200" spans="1:1">
      <c r="A2200" s="7" t="str">
        <f>IF('Document Workflow'!A2199&lt;&gt;"",'Document Workflow'!A2199,"")</f>
        <v/>
      </c>
    </row>
    <row r="2201" spans="1:1">
      <c r="A2201" s="7" t="str">
        <f>IF('Document Workflow'!A2200&lt;&gt;"",'Document Workflow'!A2200,"")</f>
        <v/>
      </c>
    </row>
    <row r="2202" spans="1:1">
      <c r="A2202" s="7" t="str">
        <f>IF('Document Workflow'!A2201&lt;&gt;"",'Document Workflow'!A2201,"")</f>
        <v/>
      </c>
    </row>
    <row r="2203" spans="1:1">
      <c r="A2203" s="7" t="str">
        <f>IF('Document Workflow'!A2202&lt;&gt;"",'Document Workflow'!A2202,"")</f>
        <v/>
      </c>
    </row>
    <row r="2204" spans="1:1">
      <c r="A2204" s="7" t="str">
        <f>IF('Document Workflow'!A2203&lt;&gt;"",'Document Workflow'!A2203,"")</f>
        <v/>
      </c>
    </row>
    <row r="2205" spans="1:1">
      <c r="A2205" s="7" t="str">
        <f>IF('Document Workflow'!A2204&lt;&gt;"",'Document Workflow'!A2204,"")</f>
        <v/>
      </c>
    </row>
    <row r="2206" spans="1:1">
      <c r="A2206" s="7" t="str">
        <f>IF('Document Workflow'!A2205&lt;&gt;"",'Document Workflow'!A2205,"")</f>
        <v/>
      </c>
    </row>
    <row r="2207" spans="1:1">
      <c r="A2207" s="7" t="str">
        <f>IF('Document Workflow'!A2206&lt;&gt;"",'Document Workflow'!A2206,"")</f>
        <v/>
      </c>
    </row>
    <row r="2208" spans="1:1">
      <c r="A2208" s="7" t="str">
        <f>IF('Document Workflow'!A2207&lt;&gt;"",'Document Workflow'!A2207,"")</f>
        <v/>
      </c>
    </row>
    <row r="2209" spans="1:1">
      <c r="A2209" s="7" t="str">
        <f>IF('Document Workflow'!A2208&lt;&gt;"",'Document Workflow'!A2208,"")</f>
        <v/>
      </c>
    </row>
    <row r="2210" spans="1:1">
      <c r="A2210" s="7" t="str">
        <f>IF('Document Workflow'!A2209&lt;&gt;"",'Document Workflow'!A2209,"")</f>
        <v/>
      </c>
    </row>
    <row r="2211" spans="1:1">
      <c r="A2211" s="7" t="str">
        <f>IF('Document Workflow'!A2210&lt;&gt;"",'Document Workflow'!A2210,"")</f>
        <v/>
      </c>
    </row>
    <row r="2212" spans="1:1">
      <c r="A2212" s="7" t="str">
        <f>IF('Document Workflow'!A2211&lt;&gt;"",'Document Workflow'!A2211,"")</f>
        <v/>
      </c>
    </row>
    <row r="2213" spans="1:1">
      <c r="A2213" s="7" t="str">
        <f>IF('Document Workflow'!A2212&lt;&gt;"",'Document Workflow'!A2212,"")</f>
        <v/>
      </c>
    </row>
    <row r="2214" spans="1:1">
      <c r="A2214" s="7" t="str">
        <f>IF('Document Workflow'!A2213&lt;&gt;"",'Document Workflow'!A2213,"")</f>
        <v/>
      </c>
    </row>
    <row r="2215" spans="1:1">
      <c r="A2215" s="7" t="str">
        <f>IF('Document Workflow'!A2214&lt;&gt;"",'Document Workflow'!A2214,"")</f>
        <v/>
      </c>
    </row>
    <row r="2216" spans="1:1">
      <c r="A2216" s="7" t="str">
        <f>IF('Document Workflow'!A2215&lt;&gt;"",'Document Workflow'!A2215,"")</f>
        <v/>
      </c>
    </row>
    <row r="2217" spans="1:1">
      <c r="A2217" s="7" t="str">
        <f>IF('Document Workflow'!A2216&lt;&gt;"",'Document Workflow'!A2216,"")</f>
        <v/>
      </c>
    </row>
    <row r="2218" spans="1:1">
      <c r="A2218" s="7" t="str">
        <f>IF('Document Workflow'!A2217&lt;&gt;"",'Document Workflow'!A2217,"")</f>
        <v/>
      </c>
    </row>
    <row r="2219" spans="1:1">
      <c r="A2219" s="7" t="str">
        <f>IF('Document Workflow'!A2218&lt;&gt;"",'Document Workflow'!A2218,"")</f>
        <v/>
      </c>
    </row>
    <row r="2220" spans="1:1">
      <c r="A2220" s="7" t="str">
        <f>IF('Document Workflow'!A2219&lt;&gt;"",'Document Workflow'!A2219,"")</f>
        <v/>
      </c>
    </row>
    <row r="2221" spans="1:1">
      <c r="A2221" s="7" t="str">
        <f>IF('Document Workflow'!A2220&lt;&gt;"",'Document Workflow'!A2220,"")</f>
        <v/>
      </c>
    </row>
    <row r="2222" spans="1:1">
      <c r="A2222" s="7" t="str">
        <f>IF('Document Workflow'!A2221&lt;&gt;"",'Document Workflow'!A2221,"")</f>
        <v/>
      </c>
    </row>
    <row r="2223" spans="1:1">
      <c r="A2223" s="7" t="str">
        <f>IF('Document Workflow'!A2222&lt;&gt;"",'Document Workflow'!A2222,"")</f>
        <v/>
      </c>
    </row>
    <row r="2224" spans="1:1">
      <c r="A2224" s="7" t="str">
        <f>IF('Document Workflow'!A2223&lt;&gt;"",'Document Workflow'!A2223,"")</f>
        <v/>
      </c>
    </row>
    <row r="2225" spans="1:1">
      <c r="A2225" s="7" t="str">
        <f>IF('Document Workflow'!A2224&lt;&gt;"",'Document Workflow'!A2224,"")</f>
        <v/>
      </c>
    </row>
    <row r="2226" spans="1:1">
      <c r="A2226" s="7" t="str">
        <f>IF('Document Workflow'!A2225&lt;&gt;"",'Document Workflow'!A2225,"")</f>
        <v/>
      </c>
    </row>
    <row r="2227" spans="1:1">
      <c r="A2227" s="7" t="str">
        <f>IF('Document Workflow'!A2226&lt;&gt;"",'Document Workflow'!A2226,"")</f>
        <v/>
      </c>
    </row>
    <row r="2228" spans="1:1">
      <c r="A2228" s="7" t="str">
        <f>IF('Document Workflow'!A2227&lt;&gt;"",'Document Workflow'!A2227,"")</f>
        <v/>
      </c>
    </row>
    <row r="2229" spans="1:1">
      <c r="A2229" s="7" t="str">
        <f>IF('Document Workflow'!A2228&lt;&gt;"",'Document Workflow'!A2228,"")</f>
        <v/>
      </c>
    </row>
    <row r="2230" spans="1:1">
      <c r="A2230" s="7" t="str">
        <f>IF('Document Workflow'!A2229&lt;&gt;"",'Document Workflow'!A2229,"")</f>
        <v/>
      </c>
    </row>
    <row r="2231" spans="1:1">
      <c r="A2231" s="7" t="str">
        <f>IF('Document Workflow'!A2230&lt;&gt;"",'Document Workflow'!A2230,"")</f>
        <v/>
      </c>
    </row>
    <row r="2232" spans="1:1">
      <c r="A2232" s="7" t="str">
        <f>IF('Document Workflow'!A2231&lt;&gt;"",'Document Workflow'!A2231,"")</f>
        <v/>
      </c>
    </row>
    <row r="2233" spans="1:1">
      <c r="A2233" s="7" t="str">
        <f>IF('Document Workflow'!A2232&lt;&gt;"",'Document Workflow'!A2232,"")</f>
        <v/>
      </c>
    </row>
    <row r="2234" spans="1:1">
      <c r="A2234" s="7" t="str">
        <f>IF('Document Workflow'!A2233&lt;&gt;"",'Document Workflow'!A2233,"")</f>
        <v/>
      </c>
    </row>
    <row r="2235" spans="1:1">
      <c r="A2235" s="7" t="str">
        <f>IF('Document Workflow'!A2234&lt;&gt;"",'Document Workflow'!A2234,"")</f>
        <v/>
      </c>
    </row>
    <row r="2236" spans="1:1">
      <c r="A2236" s="7" t="str">
        <f>IF('Document Workflow'!A2235&lt;&gt;"",'Document Workflow'!A2235,"")</f>
        <v/>
      </c>
    </row>
    <row r="2237" spans="1:1">
      <c r="A2237" s="7" t="str">
        <f>IF('Document Workflow'!A2236&lt;&gt;"",'Document Workflow'!A2236,"")</f>
        <v/>
      </c>
    </row>
    <row r="2238" spans="1:1">
      <c r="A2238" s="7" t="str">
        <f>IF('Document Workflow'!A2237&lt;&gt;"",'Document Workflow'!A2237,"")</f>
        <v/>
      </c>
    </row>
    <row r="2239" spans="1:1">
      <c r="A2239" s="7" t="str">
        <f>IF('Document Workflow'!A2238&lt;&gt;"",'Document Workflow'!A2238,"")</f>
        <v/>
      </c>
    </row>
    <row r="2240" spans="1:1">
      <c r="A2240" s="7" t="str">
        <f>IF('Document Workflow'!A2239&lt;&gt;"",'Document Workflow'!A2239,"")</f>
        <v/>
      </c>
    </row>
    <row r="2241" spans="1:1">
      <c r="A2241" s="7" t="str">
        <f>IF('Document Workflow'!A2240&lt;&gt;"",'Document Workflow'!A2240,"")</f>
        <v/>
      </c>
    </row>
    <row r="2242" spans="1:1">
      <c r="A2242" s="7" t="str">
        <f>IF('Document Workflow'!A2241&lt;&gt;"",'Document Workflow'!A2241,"")</f>
        <v/>
      </c>
    </row>
    <row r="2243" spans="1:1">
      <c r="A2243" s="7" t="str">
        <f>IF('Document Workflow'!A2242&lt;&gt;"",'Document Workflow'!A2242,"")</f>
        <v/>
      </c>
    </row>
    <row r="2244" spans="1:1">
      <c r="A2244" s="7" t="str">
        <f>IF('Document Workflow'!A2243&lt;&gt;"",'Document Workflow'!A2243,"")</f>
        <v/>
      </c>
    </row>
    <row r="2245" spans="1:1">
      <c r="A2245" s="7" t="str">
        <f>IF('Document Workflow'!A2244&lt;&gt;"",'Document Workflow'!A2244,"")</f>
        <v/>
      </c>
    </row>
    <row r="2246" spans="1:1">
      <c r="A2246" s="7" t="str">
        <f>IF('Document Workflow'!A2245&lt;&gt;"",'Document Workflow'!A2245,"")</f>
        <v/>
      </c>
    </row>
    <row r="2247" spans="1:1">
      <c r="A2247" s="7" t="str">
        <f>IF('Document Workflow'!A2246&lt;&gt;"",'Document Workflow'!A2246,"")</f>
        <v/>
      </c>
    </row>
    <row r="2248" spans="1:1">
      <c r="A2248" s="7" t="str">
        <f>IF('Document Workflow'!A2247&lt;&gt;"",'Document Workflow'!A2247,"")</f>
        <v/>
      </c>
    </row>
    <row r="2249" spans="1:1">
      <c r="A2249" s="7" t="str">
        <f>IF('Document Workflow'!A2248&lt;&gt;"",'Document Workflow'!A2248,"")</f>
        <v/>
      </c>
    </row>
    <row r="2250" spans="1:1">
      <c r="A2250" s="7" t="str">
        <f>IF('Document Workflow'!A2249&lt;&gt;"",'Document Workflow'!A2249,"")</f>
        <v/>
      </c>
    </row>
    <row r="2251" spans="1:1">
      <c r="A2251" s="7" t="str">
        <f>IF('Document Workflow'!A2250&lt;&gt;"",'Document Workflow'!A2250,"")</f>
        <v/>
      </c>
    </row>
    <row r="2252" spans="1:1">
      <c r="A2252" s="7" t="str">
        <f>IF('Document Workflow'!A2251&lt;&gt;"",'Document Workflow'!A2251,"")</f>
        <v/>
      </c>
    </row>
    <row r="2253" spans="1:1">
      <c r="A2253" s="7" t="str">
        <f>IF('Document Workflow'!A2252&lt;&gt;"",'Document Workflow'!A2252,"")</f>
        <v/>
      </c>
    </row>
    <row r="2254" spans="1:1">
      <c r="A2254" s="7" t="str">
        <f>IF('Document Workflow'!A2253&lt;&gt;"",'Document Workflow'!A2253,"")</f>
        <v/>
      </c>
    </row>
    <row r="2255" spans="1:1">
      <c r="A2255" s="7" t="str">
        <f>IF('Document Workflow'!A2254&lt;&gt;"",'Document Workflow'!A2254,"")</f>
        <v/>
      </c>
    </row>
    <row r="2256" spans="1:1">
      <c r="A2256" s="7" t="str">
        <f>IF('Document Workflow'!A2255&lt;&gt;"",'Document Workflow'!A2255,"")</f>
        <v/>
      </c>
    </row>
    <row r="2257" spans="1:1">
      <c r="A2257" s="7" t="str">
        <f>IF('Document Workflow'!A2256&lt;&gt;"",'Document Workflow'!A2256,"")</f>
        <v/>
      </c>
    </row>
    <row r="2258" spans="1:1">
      <c r="A2258" s="7" t="str">
        <f>IF('Document Workflow'!A2257&lt;&gt;"",'Document Workflow'!A2257,"")</f>
        <v/>
      </c>
    </row>
    <row r="2259" spans="1:1">
      <c r="A2259" s="7" t="str">
        <f>IF('Document Workflow'!A2258&lt;&gt;"",'Document Workflow'!A2258,"")</f>
        <v/>
      </c>
    </row>
    <row r="2260" spans="1:1">
      <c r="A2260" s="7" t="str">
        <f>IF('Document Workflow'!A2259&lt;&gt;"",'Document Workflow'!A2259,"")</f>
        <v/>
      </c>
    </row>
    <row r="2261" spans="1:1">
      <c r="A2261" s="7" t="str">
        <f>IF('Document Workflow'!A2260&lt;&gt;"",'Document Workflow'!A2260,"")</f>
        <v/>
      </c>
    </row>
    <row r="2262" spans="1:1">
      <c r="A2262" s="7" t="str">
        <f>IF('Document Workflow'!A2261&lt;&gt;"",'Document Workflow'!A2261,"")</f>
        <v/>
      </c>
    </row>
    <row r="2263" spans="1:1">
      <c r="A2263" s="7" t="str">
        <f>IF('Document Workflow'!A2262&lt;&gt;"",'Document Workflow'!A2262,"")</f>
        <v/>
      </c>
    </row>
    <row r="2264" spans="1:1">
      <c r="A2264" s="7" t="str">
        <f>IF('Document Workflow'!A2263&lt;&gt;"",'Document Workflow'!A2263,"")</f>
        <v/>
      </c>
    </row>
    <row r="2265" spans="1:1">
      <c r="A2265" s="7" t="str">
        <f>IF('Document Workflow'!A2264&lt;&gt;"",'Document Workflow'!A2264,"")</f>
        <v/>
      </c>
    </row>
    <row r="2266" spans="1:1">
      <c r="A2266" s="7" t="str">
        <f>IF('Document Workflow'!A2265&lt;&gt;"",'Document Workflow'!A2265,"")</f>
        <v/>
      </c>
    </row>
    <row r="2267" spans="1:1">
      <c r="A2267" s="7" t="str">
        <f>IF('Document Workflow'!A2266&lt;&gt;"",'Document Workflow'!A2266,"")</f>
        <v/>
      </c>
    </row>
    <row r="2268" spans="1:1">
      <c r="A2268" s="7" t="str">
        <f>IF('Document Workflow'!A2267&lt;&gt;"",'Document Workflow'!A2267,"")</f>
        <v/>
      </c>
    </row>
    <row r="2269" spans="1:1">
      <c r="A2269" s="7" t="str">
        <f>IF('Document Workflow'!A2268&lt;&gt;"",'Document Workflow'!A2268,"")</f>
        <v/>
      </c>
    </row>
    <row r="2270" spans="1:1">
      <c r="A2270" s="7" t="str">
        <f>IF('Document Workflow'!A2269&lt;&gt;"",'Document Workflow'!A2269,"")</f>
        <v/>
      </c>
    </row>
    <row r="2271" spans="1:1">
      <c r="A2271" s="7" t="str">
        <f>IF('Document Workflow'!A2270&lt;&gt;"",'Document Workflow'!A2270,"")</f>
        <v/>
      </c>
    </row>
    <row r="2272" spans="1:1">
      <c r="A2272" s="7" t="str">
        <f>IF('Document Workflow'!A2271&lt;&gt;"",'Document Workflow'!A2271,"")</f>
        <v/>
      </c>
    </row>
    <row r="2273" spans="1:1">
      <c r="A2273" s="7" t="str">
        <f>IF('Document Workflow'!A2272&lt;&gt;"",'Document Workflow'!A2272,"")</f>
        <v/>
      </c>
    </row>
    <row r="2274" spans="1:1">
      <c r="A2274" s="7" t="str">
        <f>IF('Document Workflow'!A2273&lt;&gt;"",'Document Workflow'!A2273,"")</f>
        <v/>
      </c>
    </row>
    <row r="2275" spans="1:1">
      <c r="A2275" s="7" t="str">
        <f>IF('Document Workflow'!A2274&lt;&gt;"",'Document Workflow'!A2274,"")</f>
        <v/>
      </c>
    </row>
    <row r="2276" spans="1:1">
      <c r="A2276" s="7" t="str">
        <f>IF('Document Workflow'!A2275&lt;&gt;"",'Document Workflow'!A2275,"")</f>
        <v/>
      </c>
    </row>
    <row r="2277" spans="1:1">
      <c r="A2277" s="7" t="str">
        <f>IF('Document Workflow'!A2276&lt;&gt;"",'Document Workflow'!A2276,"")</f>
        <v/>
      </c>
    </row>
    <row r="2278" spans="1:1">
      <c r="A2278" s="7" t="str">
        <f>IF('Document Workflow'!A2277&lt;&gt;"",'Document Workflow'!A2277,"")</f>
        <v/>
      </c>
    </row>
    <row r="2279" spans="1:1">
      <c r="A2279" s="7" t="str">
        <f>IF('Document Workflow'!A2278&lt;&gt;"",'Document Workflow'!A2278,"")</f>
        <v/>
      </c>
    </row>
    <row r="2280" spans="1:1">
      <c r="A2280" s="7" t="str">
        <f>IF('Document Workflow'!A2279&lt;&gt;"",'Document Workflow'!A2279,"")</f>
        <v/>
      </c>
    </row>
    <row r="2281" spans="1:1">
      <c r="A2281" s="7" t="str">
        <f>IF('Document Workflow'!A2280&lt;&gt;"",'Document Workflow'!A2280,"")</f>
        <v/>
      </c>
    </row>
    <row r="2282" spans="1:1">
      <c r="A2282" s="7" t="str">
        <f>IF('Document Workflow'!A2281&lt;&gt;"",'Document Workflow'!A2281,"")</f>
        <v/>
      </c>
    </row>
    <row r="2283" spans="1:1">
      <c r="A2283" s="7" t="str">
        <f>IF('Document Workflow'!A2282&lt;&gt;"",'Document Workflow'!A2282,"")</f>
        <v/>
      </c>
    </row>
    <row r="2284" spans="1:1">
      <c r="A2284" s="7" t="str">
        <f>IF('Document Workflow'!A2283&lt;&gt;"",'Document Workflow'!A2283,"")</f>
        <v/>
      </c>
    </row>
    <row r="2285" spans="1:1">
      <c r="A2285" s="7" t="str">
        <f>IF('Document Workflow'!A2284&lt;&gt;"",'Document Workflow'!A2284,"")</f>
        <v/>
      </c>
    </row>
    <row r="2286" spans="1:1">
      <c r="A2286" s="7" t="str">
        <f>IF('Document Workflow'!A2285&lt;&gt;"",'Document Workflow'!A2285,"")</f>
        <v/>
      </c>
    </row>
    <row r="2287" spans="1:1">
      <c r="A2287" s="7" t="str">
        <f>IF('Document Workflow'!A2286&lt;&gt;"",'Document Workflow'!A2286,"")</f>
        <v/>
      </c>
    </row>
    <row r="2288" spans="1:1">
      <c r="A2288" s="7" t="str">
        <f>IF('Document Workflow'!A2287&lt;&gt;"",'Document Workflow'!A2287,"")</f>
        <v/>
      </c>
    </row>
    <row r="2289" spans="1:1">
      <c r="A2289" s="7" t="str">
        <f>IF('Document Workflow'!A2288&lt;&gt;"",'Document Workflow'!A2288,"")</f>
        <v/>
      </c>
    </row>
    <row r="2290" spans="1:1">
      <c r="A2290" s="7" t="str">
        <f>IF('Document Workflow'!A2289&lt;&gt;"",'Document Workflow'!A2289,"")</f>
        <v/>
      </c>
    </row>
    <row r="2291" spans="1:1">
      <c r="A2291" s="7" t="str">
        <f>IF('Document Workflow'!A2290&lt;&gt;"",'Document Workflow'!A2290,"")</f>
        <v/>
      </c>
    </row>
    <row r="2292" spans="1:1">
      <c r="A2292" s="7" t="str">
        <f>IF('Document Workflow'!A2291&lt;&gt;"",'Document Workflow'!A2291,"")</f>
        <v/>
      </c>
    </row>
    <row r="2293" spans="1:1">
      <c r="A2293" s="7" t="str">
        <f>IF('Document Workflow'!A2292&lt;&gt;"",'Document Workflow'!A2292,"")</f>
        <v/>
      </c>
    </row>
    <row r="2294" spans="1:1">
      <c r="A2294" s="7" t="str">
        <f>IF('Document Workflow'!A2293&lt;&gt;"",'Document Workflow'!A2293,"")</f>
        <v/>
      </c>
    </row>
    <row r="2295" spans="1:1">
      <c r="A2295" s="7" t="str">
        <f>IF('Document Workflow'!A2294&lt;&gt;"",'Document Workflow'!A2294,"")</f>
        <v/>
      </c>
    </row>
    <row r="2296" spans="1:1">
      <c r="A2296" s="7" t="str">
        <f>IF('Document Workflow'!A2295&lt;&gt;"",'Document Workflow'!A2295,"")</f>
        <v/>
      </c>
    </row>
    <row r="2297" spans="1:1">
      <c r="A2297" s="7" t="str">
        <f>IF('Document Workflow'!A2296&lt;&gt;"",'Document Workflow'!A2296,"")</f>
        <v/>
      </c>
    </row>
    <row r="2298" spans="1:1">
      <c r="A2298" s="7" t="str">
        <f>IF('Document Workflow'!A2297&lt;&gt;"",'Document Workflow'!A2297,"")</f>
        <v/>
      </c>
    </row>
    <row r="2299" spans="1:1">
      <c r="A2299" s="7" t="str">
        <f>IF('Document Workflow'!A2298&lt;&gt;"",'Document Workflow'!A2298,"")</f>
        <v/>
      </c>
    </row>
    <row r="2300" spans="1:1">
      <c r="A2300" s="7" t="str">
        <f>IF('Document Workflow'!A2299&lt;&gt;"",'Document Workflow'!A2299,"")</f>
        <v/>
      </c>
    </row>
    <row r="2301" spans="1:1">
      <c r="A2301" s="7" t="str">
        <f>IF('Document Workflow'!A2300&lt;&gt;"",'Document Workflow'!A2300,"")</f>
        <v/>
      </c>
    </row>
    <row r="2302" spans="1:1">
      <c r="A2302" s="7" t="str">
        <f>IF('Document Workflow'!A2301&lt;&gt;"",'Document Workflow'!A2301,"")</f>
        <v/>
      </c>
    </row>
    <row r="2303" spans="1:1">
      <c r="A2303" s="7" t="str">
        <f>IF('Document Workflow'!A2302&lt;&gt;"",'Document Workflow'!A2302,"")</f>
        <v/>
      </c>
    </row>
    <row r="2304" spans="1:1">
      <c r="A2304" s="7" t="str">
        <f>IF('Document Workflow'!A2303&lt;&gt;"",'Document Workflow'!A2303,"")</f>
        <v/>
      </c>
    </row>
    <row r="2305" spans="1:1">
      <c r="A2305" s="7" t="str">
        <f>IF('Document Workflow'!A2304&lt;&gt;"",'Document Workflow'!A2304,"")</f>
        <v/>
      </c>
    </row>
    <row r="2306" spans="1:1">
      <c r="A2306" s="7" t="str">
        <f>IF('Document Workflow'!A2305&lt;&gt;"",'Document Workflow'!A2305,"")</f>
        <v/>
      </c>
    </row>
    <row r="2307" spans="1:1">
      <c r="A2307" s="7" t="str">
        <f>IF('Document Workflow'!A2306&lt;&gt;"",'Document Workflow'!A2306,"")</f>
        <v/>
      </c>
    </row>
    <row r="2308" spans="1:1">
      <c r="A2308" s="7" t="str">
        <f>IF('Document Workflow'!A2307&lt;&gt;"",'Document Workflow'!A2307,"")</f>
        <v/>
      </c>
    </row>
    <row r="2309" spans="1:1">
      <c r="A2309" s="7" t="str">
        <f>IF('Document Workflow'!A2308&lt;&gt;"",'Document Workflow'!A2308,"")</f>
        <v/>
      </c>
    </row>
    <row r="2310" spans="1:1">
      <c r="A2310" s="7" t="str">
        <f>IF('Document Workflow'!A2309&lt;&gt;"",'Document Workflow'!A2309,"")</f>
        <v/>
      </c>
    </row>
    <row r="2311" spans="1:1">
      <c r="A2311" s="7" t="str">
        <f>IF('Document Workflow'!A2310&lt;&gt;"",'Document Workflow'!A2310,"")</f>
        <v/>
      </c>
    </row>
    <row r="2312" spans="1:1">
      <c r="A2312" s="7" t="str">
        <f>IF('Document Workflow'!A2311&lt;&gt;"",'Document Workflow'!A2311,"")</f>
        <v/>
      </c>
    </row>
    <row r="2313" spans="1:1">
      <c r="A2313" s="7" t="str">
        <f>IF('Document Workflow'!A2312&lt;&gt;"",'Document Workflow'!A2312,"")</f>
        <v/>
      </c>
    </row>
    <row r="2314" spans="1:1">
      <c r="A2314" s="7" t="str">
        <f>IF('Document Workflow'!A2313&lt;&gt;"",'Document Workflow'!A2313,"")</f>
        <v/>
      </c>
    </row>
    <row r="2315" spans="1:1">
      <c r="A2315" s="7" t="str">
        <f>IF('Document Workflow'!A2314&lt;&gt;"",'Document Workflow'!A2314,"")</f>
        <v/>
      </c>
    </row>
    <row r="2316" spans="1:1">
      <c r="A2316" s="7" t="str">
        <f>IF('Document Workflow'!A2315&lt;&gt;"",'Document Workflow'!A2315,"")</f>
        <v/>
      </c>
    </row>
    <row r="2317" spans="1:1">
      <c r="A2317" s="7" t="str">
        <f>IF('Document Workflow'!A2316&lt;&gt;"",'Document Workflow'!A2316,"")</f>
        <v/>
      </c>
    </row>
    <row r="2318" spans="1:1">
      <c r="A2318" s="7" t="str">
        <f>IF('Document Workflow'!A2317&lt;&gt;"",'Document Workflow'!A2317,"")</f>
        <v/>
      </c>
    </row>
    <row r="2319" spans="1:1">
      <c r="A2319" s="7" t="str">
        <f>IF('Document Workflow'!A2318&lt;&gt;"",'Document Workflow'!A2318,"")</f>
        <v/>
      </c>
    </row>
    <row r="2320" spans="1:1">
      <c r="A2320" s="7" t="str">
        <f>IF('Document Workflow'!A2319&lt;&gt;"",'Document Workflow'!A2319,"")</f>
        <v/>
      </c>
    </row>
    <row r="2321" spans="1:1">
      <c r="A2321" s="7" t="str">
        <f>IF('Document Workflow'!A2320&lt;&gt;"",'Document Workflow'!A2320,"")</f>
        <v/>
      </c>
    </row>
    <row r="2322" spans="1:1">
      <c r="A2322" s="7" t="str">
        <f>IF('Document Workflow'!A2321&lt;&gt;"",'Document Workflow'!A2321,"")</f>
        <v/>
      </c>
    </row>
    <row r="2323" spans="1:1">
      <c r="A2323" s="7" t="str">
        <f>IF('Document Workflow'!A2322&lt;&gt;"",'Document Workflow'!A2322,"")</f>
        <v/>
      </c>
    </row>
    <row r="2324" spans="1:1">
      <c r="A2324" s="7" t="str">
        <f>IF('Document Workflow'!A2323&lt;&gt;"",'Document Workflow'!A2323,"")</f>
        <v/>
      </c>
    </row>
    <row r="2325" spans="1:1">
      <c r="A2325" s="7" t="str">
        <f>IF('Document Workflow'!A2324&lt;&gt;"",'Document Workflow'!A2324,"")</f>
        <v/>
      </c>
    </row>
    <row r="2326" spans="1:1">
      <c r="A2326" s="7" t="str">
        <f>IF('Document Workflow'!A2325&lt;&gt;"",'Document Workflow'!A2325,"")</f>
        <v/>
      </c>
    </row>
    <row r="2327" spans="1:1">
      <c r="A2327" s="7" t="str">
        <f>IF('Document Workflow'!A2326&lt;&gt;"",'Document Workflow'!A2326,"")</f>
        <v/>
      </c>
    </row>
    <row r="2328" spans="1:1">
      <c r="A2328" s="7" t="str">
        <f>IF('Document Workflow'!A2327&lt;&gt;"",'Document Workflow'!A2327,"")</f>
        <v/>
      </c>
    </row>
    <row r="2329" spans="1:1">
      <c r="A2329" s="7" t="str">
        <f>IF('Document Workflow'!A2328&lt;&gt;"",'Document Workflow'!A2328,"")</f>
        <v/>
      </c>
    </row>
    <row r="2330" spans="1:1">
      <c r="A2330" s="7" t="str">
        <f>IF('Document Workflow'!A2329&lt;&gt;"",'Document Workflow'!A2329,"")</f>
        <v/>
      </c>
    </row>
    <row r="2331" spans="1:1">
      <c r="A2331" s="7" t="str">
        <f>IF('Document Workflow'!A2330&lt;&gt;"",'Document Workflow'!A2330,"")</f>
        <v/>
      </c>
    </row>
    <row r="2332" spans="1:1">
      <c r="A2332" s="7" t="str">
        <f>IF('Document Workflow'!A2331&lt;&gt;"",'Document Workflow'!A2331,"")</f>
        <v/>
      </c>
    </row>
    <row r="2333" spans="1:1">
      <c r="A2333" s="7" t="str">
        <f>IF('Document Workflow'!A2332&lt;&gt;"",'Document Workflow'!A2332,"")</f>
        <v/>
      </c>
    </row>
    <row r="2334" spans="1:1">
      <c r="A2334" s="7" t="str">
        <f>IF('Document Workflow'!A2333&lt;&gt;"",'Document Workflow'!A2333,"")</f>
        <v/>
      </c>
    </row>
    <row r="2335" spans="1:1">
      <c r="A2335" s="7" t="str">
        <f>IF('Document Workflow'!A2334&lt;&gt;"",'Document Workflow'!A2334,"")</f>
        <v/>
      </c>
    </row>
    <row r="2336" spans="1:1">
      <c r="A2336" s="7" t="str">
        <f>IF('Document Workflow'!A2335&lt;&gt;"",'Document Workflow'!A2335,"")</f>
        <v/>
      </c>
    </row>
    <row r="2337" spans="1:1">
      <c r="A2337" s="7" t="str">
        <f>IF('Document Workflow'!A2336&lt;&gt;"",'Document Workflow'!A2336,"")</f>
        <v/>
      </c>
    </row>
    <row r="2338" spans="1:1">
      <c r="A2338" s="7" t="str">
        <f>IF('Document Workflow'!A2337&lt;&gt;"",'Document Workflow'!A2337,"")</f>
        <v/>
      </c>
    </row>
    <row r="2339" spans="1:1">
      <c r="A2339" s="7" t="str">
        <f>IF('Document Workflow'!A2338&lt;&gt;"",'Document Workflow'!A2338,"")</f>
        <v/>
      </c>
    </row>
    <row r="2340" spans="1:1">
      <c r="A2340" s="7" t="str">
        <f>IF('Document Workflow'!A2339&lt;&gt;"",'Document Workflow'!A2339,"")</f>
        <v/>
      </c>
    </row>
    <row r="2341" spans="1:1">
      <c r="A2341" s="7" t="str">
        <f>IF('Document Workflow'!A2340&lt;&gt;"",'Document Workflow'!A2340,"")</f>
        <v/>
      </c>
    </row>
    <row r="2342" spans="1:1">
      <c r="A2342" s="7" t="str">
        <f>IF('Document Workflow'!A2341&lt;&gt;"",'Document Workflow'!A2341,"")</f>
        <v/>
      </c>
    </row>
    <row r="2343" spans="1:1">
      <c r="A2343" s="7" t="str">
        <f>IF('Document Workflow'!A2342&lt;&gt;"",'Document Workflow'!A2342,"")</f>
        <v/>
      </c>
    </row>
    <row r="2344" spans="1:1">
      <c r="A2344" s="7" t="str">
        <f>IF('Document Workflow'!A2343&lt;&gt;"",'Document Workflow'!A2343,"")</f>
        <v/>
      </c>
    </row>
    <row r="2345" spans="1:1">
      <c r="A2345" s="7" t="str">
        <f>IF('Document Workflow'!A2344&lt;&gt;"",'Document Workflow'!A2344,"")</f>
        <v/>
      </c>
    </row>
    <row r="2346" spans="1:1">
      <c r="A2346" s="7" t="str">
        <f>IF('Document Workflow'!A2345&lt;&gt;"",'Document Workflow'!A2345,"")</f>
        <v/>
      </c>
    </row>
    <row r="2347" spans="1:1">
      <c r="A2347" s="7" t="str">
        <f>IF('Document Workflow'!A2346&lt;&gt;"",'Document Workflow'!A2346,"")</f>
        <v/>
      </c>
    </row>
    <row r="2348" spans="1:1">
      <c r="A2348" s="7" t="str">
        <f>IF('Document Workflow'!A2347&lt;&gt;"",'Document Workflow'!A2347,"")</f>
        <v/>
      </c>
    </row>
    <row r="2349" spans="1:1">
      <c r="A2349" s="7" t="str">
        <f>IF('Document Workflow'!A2348&lt;&gt;"",'Document Workflow'!A2348,"")</f>
        <v/>
      </c>
    </row>
    <row r="2350" spans="1:1">
      <c r="A2350" s="7" t="str">
        <f>IF('Document Workflow'!A2349&lt;&gt;"",'Document Workflow'!A2349,"")</f>
        <v/>
      </c>
    </row>
    <row r="2351" spans="1:1">
      <c r="A2351" s="7" t="str">
        <f>IF('Document Workflow'!A2350&lt;&gt;"",'Document Workflow'!A2350,"")</f>
        <v/>
      </c>
    </row>
    <row r="2352" spans="1:1">
      <c r="A2352" s="7" t="str">
        <f>IF('Document Workflow'!A2351&lt;&gt;"",'Document Workflow'!A2351,"")</f>
        <v/>
      </c>
    </row>
    <row r="2353" spans="1:1">
      <c r="A2353" s="7" t="str">
        <f>IF('Document Workflow'!A2352&lt;&gt;"",'Document Workflow'!A2352,"")</f>
        <v/>
      </c>
    </row>
    <row r="2354" spans="1:1">
      <c r="A2354" s="7" t="str">
        <f>IF('Document Workflow'!A2353&lt;&gt;"",'Document Workflow'!A2353,"")</f>
        <v/>
      </c>
    </row>
    <row r="2355" spans="1:1">
      <c r="A2355" s="7" t="str">
        <f>IF('Document Workflow'!A2354&lt;&gt;"",'Document Workflow'!A2354,"")</f>
        <v/>
      </c>
    </row>
    <row r="2356" spans="1:1">
      <c r="A2356" s="7" t="str">
        <f>IF('Document Workflow'!A2355&lt;&gt;"",'Document Workflow'!A2355,"")</f>
        <v/>
      </c>
    </row>
    <row r="2357" spans="1:1">
      <c r="A2357" s="7" t="str">
        <f>IF('Document Workflow'!A2356&lt;&gt;"",'Document Workflow'!A2356,"")</f>
        <v/>
      </c>
    </row>
    <row r="2358" spans="1:1">
      <c r="A2358" s="7" t="str">
        <f>IF('Document Workflow'!A2357&lt;&gt;"",'Document Workflow'!A2357,"")</f>
        <v/>
      </c>
    </row>
    <row r="2359" spans="1:1">
      <c r="A2359" s="7" t="str">
        <f>IF('Document Workflow'!A2358&lt;&gt;"",'Document Workflow'!A2358,"")</f>
        <v/>
      </c>
    </row>
    <row r="2360" spans="1:1">
      <c r="A2360" s="7" t="str">
        <f>IF('Document Workflow'!A2359&lt;&gt;"",'Document Workflow'!A2359,"")</f>
        <v/>
      </c>
    </row>
    <row r="2361" spans="1:1">
      <c r="A2361" s="7" t="str">
        <f>IF('Document Workflow'!A2360&lt;&gt;"",'Document Workflow'!A2360,"")</f>
        <v/>
      </c>
    </row>
    <row r="2362" spans="1:1">
      <c r="A2362" s="7" t="str">
        <f>IF('Document Workflow'!A2361&lt;&gt;"",'Document Workflow'!A2361,"")</f>
        <v/>
      </c>
    </row>
    <row r="2363" spans="1:1">
      <c r="A2363" s="7" t="str">
        <f>IF('Document Workflow'!A2362&lt;&gt;"",'Document Workflow'!A2362,"")</f>
        <v/>
      </c>
    </row>
    <row r="2364" spans="1:1">
      <c r="A2364" s="7" t="str">
        <f>IF('Document Workflow'!A2363&lt;&gt;"",'Document Workflow'!A2363,"")</f>
        <v/>
      </c>
    </row>
    <row r="2365" spans="1:1">
      <c r="A2365" s="7" t="str">
        <f>IF('Document Workflow'!A2364&lt;&gt;"",'Document Workflow'!A2364,"")</f>
        <v/>
      </c>
    </row>
    <row r="2366" spans="1:1">
      <c r="A2366" s="7" t="str">
        <f>IF('Document Workflow'!A2365&lt;&gt;"",'Document Workflow'!A2365,"")</f>
        <v/>
      </c>
    </row>
    <row r="2367" spans="1:1">
      <c r="A2367" s="7" t="str">
        <f>IF('Document Workflow'!A2366&lt;&gt;"",'Document Workflow'!A2366,"")</f>
        <v/>
      </c>
    </row>
    <row r="2368" spans="1:1">
      <c r="A2368" s="7" t="str">
        <f>IF('Document Workflow'!A2367&lt;&gt;"",'Document Workflow'!A2367,"")</f>
        <v/>
      </c>
    </row>
    <row r="2369" spans="1:1">
      <c r="A2369" s="7" t="str">
        <f>IF('Document Workflow'!A2368&lt;&gt;"",'Document Workflow'!A2368,"")</f>
        <v/>
      </c>
    </row>
    <row r="2370" spans="1:1">
      <c r="A2370" s="7" t="str">
        <f>IF('Document Workflow'!A2369&lt;&gt;"",'Document Workflow'!A2369,"")</f>
        <v/>
      </c>
    </row>
    <row r="2371" spans="1:1">
      <c r="A2371" s="7" t="str">
        <f>IF('Document Workflow'!A2370&lt;&gt;"",'Document Workflow'!A2370,"")</f>
        <v/>
      </c>
    </row>
    <row r="2372" spans="1:1">
      <c r="A2372" s="7" t="str">
        <f>IF('Document Workflow'!A2371&lt;&gt;"",'Document Workflow'!A2371,"")</f>
        <v/>
      </c>
    </row>
    <row r="2373" spans="1:1">
      <c r="A2373" s="7" t="str">
        <f>IF('Document Workflow'!A2372&lt;&gt;"",'Document Workflow'!A2372,"")</f>
        <v/>
      </c>
    </row>
    <row r="2374" spans="1:1">
      <c r="A2374" s="7" t="str">
        <f>IF('Document Workflow'!A2373&lt;&gt;"",'Document Workflow'!A2373,"")</f>
        <v/>
      </c>
    </row>
    <row r="2375" spans="1:1">
      <c r="A2375" s="7" t="str">
        <f>IF('Document Workflow'!A2374&lt;&gt;"",'Document Workflow'!A2374,"")</f>
        <v/>
      </c>
    </row>
    <row r="2376" spans="1:1">
      <c r="A2376" s="7" t="str">
        <f>IF('Document Workflow'!A2375&lt;&gt;"",'Document Workflow'!A2375,"")</f>
        <v/>
      </c>
    </row>
    <row r="2377" spans="1:1">
      <c r="A2377" s="7" t="str">
        <f>IF('Document Workflow'!A2376&lt;&gt;"",'Document Workflow'!A2376,"")</f>
        <v/>
      </c>
    </row>
    <row r="2378" spans="1:1">
      <c r="A2378" s="7" t="str">
        <f>IF('Document Workflow'!A2377&lt;&gt;"",'Document Workflow'!A2377,"")</f>
        <v/>
      </c>
    </row>
    <row r="2379" spans="1:1">
      <c r="A2379" s="7" t="str">
        <f>IF('Document Workflow'!A2378&lt;&gt;"",'Document Workflow'!A2378,"")</f>
        <v/>
      </c>
    </row>
    <row r="2380" spans="1:1">
      <c r="A2380" s="7" t="str">
        <f>IF('Document Workflow'!A2379&lt;&gt;"",'Document Workflow'!A2379,"")</f>
        <v/>
      </c>
    </row>
    <row r="2381" spans="1:1">
      <c r="A2381" s="7" t="str">
        <f>IF('Document Workflow'!A2380&lt;&gt;"",'Document Workflow'!A2380,"")</f>
        <v/>
      </c>
    </row>
    <row r="2382" spans="1:1">
      <c r="A2382" s="7" t="str">
        <f>IF('Document Workflow'!A2381&lt;&gt;"",'Document Workflow'!A2381,"")</f>
        <v/>
      </c>
    </row>
    <row r="2383" spans="1:1">
      <c r="A2383" s="7" t="str">
        <f>IF('Document Workflow'!A2382&lt;&gt;"",'Document Workflow'!A2382,"")</f>
        <v/>
      </c>
    </row>
    <row r="2384" spans="1:1">
      <c r="A2384" s="7" t="str">
        <f>IF('Document Workflow'!A2383&lt;&gt;"",'Document Workflow'!A2383,"")</f>
        <v/>
      </c>
    </row>
    <row r="2385" spans="1:1">
      <c r="A2385" s="7" t="str">
        <f>IF('Document Workflow'!A2384&lt;&gt;"",'Document Workflow'!A2384,"")</f>
        <v/>
      </c>
    </row>
    <row r="2386" spans="1:1">
      <c r="A2386" s="7" t="str">
        <f>IF('Document Workflow'!A2385&lt;&gt;"",'Document Workflow'!A2385,"")</f>
        <v/>
      </c>
    </row>
    <row r="2387" spans="1:1">
      <c r="A2387" s="7" t="str">
        <f>IF('Document Workflow'!A2386&lt;&gt;"",'Document Workflow'!A2386,"")</f>
        <v/>
      </c>
    </row>
    <row r="2388" spans="1:1">
      <c r="A2388" s="7" t="str">
        <f>IF('Document Workflow'!A2387&lt;&gt;"",'Document Workflow'!A2387,"")</f>
        <v/>
      </c>
    </row>
    <row r="2389" spans="1:1">
      <c r="A2389" s="7" t="str">
        <f>IF('Document Workflow'!A2388&lt;&gt;"",'Document Workflow'!A2388,"")</f>
        <v/>
      </c>
    </row>
    <row r="2390" spans="1:1">
      <c r="A2390" s="7" t="str">
        <f>IF('Document Workflow'!A2389&lt;&gt;"",'Document Workflow'!A2389,"")</f>
        <v/>
      </c>
    </row>
    <row r="2391" spans="1:1">
      <c r="A2391" s="7" t="str">
        <f>IF('Document Workflow'!A2390&lt;&gt;"",'Document Workflow'!A2390,"")</f>
        <v/>
      </c>
    </row>
    <row r="2392" spans="1:1">
      <c r="A2392" s="7" t="str">
        <f>IF('Document Workflow'!A2391&lt;&gt;"",'Document Workflow'!A2391,"")</f>
        <v/>
      </c>
    </row>
    <row r="2393" spans="1:1">
      <c r="A2393" s="7" t="str">
        <f>IF('Document Workflow'!A2392&lt;&gt;"",'Document Workflow'!A2392,"")</f>
        <v/>
      </c>
    </row>
    <row r="2394" spans="1:1">
      <c r="A2394" s="7" t="str">
        <f>IF('Document Workflow'!A2393&lt;&gt;"",'Document Workflow'!A2393,"")</f>
        <v/>
      </c>
    </row>
    <row r="2395" spans="1:1">
      <c r="A2395" s="7" t="str">
        <f>IF('Document Workflow'!A2394&lt;&gt;"",'Document Workflow'!A2394,"")</f>
        <v/>
      </c>
    </row>
    <row r="2396" spans="1:1">
      <c r="A2396" s="7" t="str">
        <f>IF('Document Workflow'!A2395&lt;&gt;"",'Document Workflow'!A2395,"")</f>
        <v/>
      </c>
    </row>
    <row r="2397" spans="1:1">
      <c r="A2397" s="7" t="str">
        <f>IF('Document Workflow'!A2396&lt;&gt;"",'Document Workflow'!A2396,"")</f>
        <v/>
      </c>
    </row>
    <row r="2398" spans="1:1">
      <c r="A2398" s="7" t="str">
        <f>IF('Document Workflow'!A2397&lt;&gt;"",'Document Workflow'!A2397,"")</f>
        <v/>
      </c>
    </row>
    <row r="2399" spans="1:1">
      <c r="A2399" s="7" t="str">
        <f>IF('Document Workflow'!A2398&lt;&gt;"",'Document Workflow'!A2398,"")</f>
        <v/>
      </c>
    </row>
    <row r="2400" spans="1:1">
      <c r="A2400" s="7" t="str">
        <f>IF('Document Workflow'!A2399&lt;&gt;"",'Document Workflow'!A2399,"")</f>
        <v/>
      </c>
    </row>
    <row r="2401" spans="1:1">
      <c r="A2401" s="7" t="str">
        <f>IF('Document Workflow'!A2400&lt;&gt;"",'Document Workflow'!A2400,"")</f>
        <v/>
      </c>
    </row>
    <row r="2402" spans="1:1">
      <c r="A2402" s="7" t="str">
        <f>IF('Document Workflow'!A2401&lt;&gt;"",'Document Workflow'!A2401,"")</f>
        <v/>
      </c>
    </row>
    <row r="2403" spans="1:1">
      <c r="A2403" s="7" t="str">
        <f>IF('Document Workflow'!A2402&lt;&gt;"",'Document Workflow'!A2402,"")</f>
        <v/>
      </c>
    </row>
    <row r="2404" spans="1:1">
      <c r="A2404" s="7" t="str">
        <f>IF('Document Workflow'!A2403&lt;&gt;"",'Document Workflow'!A2403,"")</f>
        <v/>
      </c>
    </row>
    <row r="2405" spans="1:1">
      <c r="A2405" s="7" t="str">
        <f>IF('Document Workflow'!A2404&lt;&gt;"",'Document Workflow'!A2404,"")</f>
        <v/>
      </c>
    </row>
    <row r="2406" spans="1:1">
      <c r="A2406" s="7" t="str">
        <f>IF('Document Workflow'!A2405&lt;&gt;"",'Document Workflow'!A2405,"")</f>
        <v/>
      </c>
    </row>
    <row r="2407" spans="1:1">
      <c r="A2407" s="7" t="str">
        <f>IF('Document Workflow'!A2406&lt;&gt;"",'Document Workflow'!A2406,"")</f>
        <v/>
      </c>
    </row>
    <row r="2408" spans="1:1">
      <c r="A2408" s="7" t="str">
        <f>IF('Document Workflow'!A2407&lt;&gt;"",'Document Workflow'!A2407,"")</f>
        <v/>
      </c>
    </row>
    <row r="2409" spans="1:1">
      <c r="A2409" s="7" t="str">
        <f>IF('Document Workflow'!A2408&lt;&gt;"",'Document Workflow'!A2408,"")</f>
        <v/>
      </c>
    </row>
    <row r="2410" spans="1:1">
      <c r="A2410" s="7" t="str">
        <f>IF('Document Workflow'!A2409&lt;&gt;"",'Document Workflow'!A2409,"")</f>
        <v/>
      </c>
    </row>
    <row r="2411" spans="1:1">
      <c r="A2411" s="7" t="str">
        <f>IF('Document Workflow'!A2410&lt;&gt;"",'Document Workflow'!A2410,"")</f>
        <v/>
      </c>
    </row>
    <row r="2412" spans="1:1">
      <c r="A2412" s="7" t="str">
        <f>IF('Document Workflow'!A2411&lt;&gt;"",'Document Workflow'!A2411,"")</f>
        <v/>
      </c>
    </row>
    <row r="2413" spans="1:1">
      <c r="A2413" s="7" t="str">
        <f>IF('Document Workflow'!A2412&lt;&gt;"",'Document Workflow'!A2412,"")</f>
        <v/>
      </c>
    </row>
    <row r="2414" spans="1:1">
      <c r="A2414" s="7" t="str">
        <f>IF('Document Workflow'!A2413&lt;&gt;"",'Document Workflow'!A2413,"")</f>
        <v/>
      </c>
    </row>
    <row r="2415" spans="1:1">
      <c r="A2415" s="7" t="str">
        <f>IF('Document Workflow'!A2414&lt;&gt;"",'Document Workflow'!A2414,"")</f>
        <v/>
      </c>
    </row>
    <row r="2416" spans="1:1">
      <c r="A2416" s="7" t="str">
        <f>IF('Document Workflow'!A2415&lt;&gt;"",'Document Workflow'!A2415,"")</f>
        <v/>
      </c>
    </row>
    <row r="2417" spans="1:1">
      <c r="A2417" s="7" t="str">
        <f>IF('Document Workflow'!A2416&lt;&gt;"",'Document Workflow'!A2416,"")</f>
        <v/>
      </c>
    </row>
    <row r="2418" spans="1:1">
      <c r="A2418" s="7" t="str">
        <f>IF('Document Workflow'!A2417&lt;&gt;"",'Document Workflow'!A2417,"")</f>
        <v/>
      </c>
    </row>
    <row r="2419" spans="1:1">
      <c r="A2419" s="7" t="str">
        <f>IF('Document Workflow'!A2418&lt;&gt;"",'Document Workflow'!A2418,"")</f>
        <v/>
      </c>
    </row>
    <row r="2420" spans="1:1">
      <c r="A2420" s="7" t="str">
        <f>IF('Document Workflow'!A2419&lt;&gt;"",'Document Workflow'!A2419,"")</f>
        <v/>
      </c>
    </row>
    <row r="2421" spans="1:1">
      <c r="A2421" s="7" t="str">
        <f>IF('Document Workflow'!A2420&lt;&gt;"",'Document Workflow'!A2420,"")</f>
        <v/>
      </c>
    </row>
    <row r="2422" spans="1:1">
      <c r="A2422" s="7" t="str">
        <f>IF('Document Workflow'!A2421&lt;&gt;"",'Document Workflow'!A2421,"")</f>
        <v/>
      </c>
    </row>
    <row r="2423" spans="1:1">
      <c r="A2423" s="7" t="str">
        <f>IF('Document Workflow'!A2422&lt;&gt;"",'Document Workflow'!A2422,"")</f>
        <v/>
      </c>
    </row>
    <row r="2424" spans="1:1">
      <c r="A2424" s="7" t="str">
        <f>IF('Document Workflow'!A2423&lt;&gt;"",'Document Workflow'!A2423,"")</f>
        <v/>
      </c>
    </row>
    <row r="2425" spans="1:1">
      <c r="A2425" s="7" t="str">
        <f>IF('Document Workflow'!A2424&lt;&gt;"",'Document Workflow'!A2424,"")</f>
        <v/>
      </c>
    </row>
    <row r="2426" spans="1:1">
      <c r="A2426" s="7" t="str">
        <f>IF('Document Workflow'!A2425&lt;&gt;"",'Document Workflow'!A2425,"")</f>
        <v/>
      </c>
    </row>
    <row r="2427" spans="1:1">
      <c r="A2427" s="7" t="str">
        <f>IF('Document Workflow'!A2426&lt;&gt;"",'Document Workflow'!A2426,"")</f>
        <v/>
      </c>
    </row>
    <row r="2428" spans="1:1">
      <c r="A2428" s="7" t="str">
        <f>IF('Document Workflow'!A2427&lt;&gt;"",'Document Workflow'!A2427,"")</f>
        <v/>
      </c>
    </row>
    <row r="2429" spans="1:1">
      <c r="A2429" s="7" t="str">
        <f>IF('Document Workflow'!A2428&lt;&gt;"",'Document Workflow'!A2428,"")</f>
        <v/>
      </c>
    </row>
    <row r="2430" spans="1:1">
      <c r="A2430" s="7" t="str">
        <f>IF('Document Workflow'!A2429&lt;&gt;"",'Document Workflow'!A2429,"")</f>
        <v/>
      </c>
    </row>
    <row r="2431" spans="1:1">
      <c r="A2431" s="7" t="str">
        <f>IF('Document Workflow'!A2430&lt;&gt;"",'Document Workflow'!A2430,"")</f>
        <v/>
      </c>
    </row>
    <row r="2432" spans="1:1">
      <c r="A2432" s="7" t="str">
        <f>IF('Document Workflow'!A2431&lt;&gt;"",'Document Workflow'!A2431,"")</f>
        <v/>
      </c>
    </row>
    <row r="2433" spans="1:1">
      <c r="A2433" s="7" t="str">
        <f>IF('Document Workflow'!A2432&lt;&gt;"",'Document Workflow'!A2432,"")</f>
        <v/>
      </c>
    </row>
    <row r="2434" spans="1:1">
      <c r="A2434" s="7" t="str">
        <f>IF('Document Workflow'!A2433&lt;&gt;"",'Document Workflow'!A2433,"")</f>
        <v/>
      </c>
    </row>
    <row r="2435" spans="1:1">
      <c r="A2435" s="7" t="str">
        <f>IF('Document Workflow'!A2434&lt;&gt;"",'Document Workflow'!A2434,"")</f>
        <v/>
      </c>
    </row>
    <row r="2436" spans="1:1">
      <c r="A2436" s="7" t="str">
        <f>IF('Document Workflow'!A2435&lt;&gt;"",'Document Workflow'!A2435,"")</f>
        <v/>
      </c>
    </row>
    <row r="2437" spans="1:1">
      <c r="A2437" s="7" t="str">
        <f>IF('Document Workflow'!A2436&lt;&gt;"",'Document Workflow'!A2436,"")</f>
        <v/>
      </c>
    </row>
    <row r="2438" spans="1:1">
      <c r="A2438" s="7" t="str">
        <f>IF('Document Workflow'!A2437&lt;&gt;"",'Document Workflow'!A2437,"")</f>
        <v/>
      </c>
    </row>
    <row r="2439" spans="1:1">
      <c r="A2439" s="7" t="str">
        <f>IF('Document Workflow'!A2438&lt;&gt;"",'Document Workflow'!A2438,"")</f>
        <v/>
      </c>
    </row>
    <row r="2440" spans="1:1">
      <c r="A2440" s="7" t="str">
        <f>IF('Document Workflow'!A2439&lt;&gt;"",'Document Workflow'!A2439,"")</f>
        <v/>
      </c>
    </row>
    <row r="2441" spans="1:1">
      <c r="A2441" s="7" t="str">
        <f>IF('Document Workflow'!A2440&lt;&gt;"",'Document Workflow'!A2440,"")</f>
        <v/>
      </c>
    </row>
    <row r="2442" spans="1:1">
      <c r="A2442" s="7" t="str">
        <f>IF('Document Workflow'!A2441&lt;&gt;"",'Document Workflow'!A2441,"")</f>
        <v/>
      </c>
    </row>
    <row r="2443" spans="1:1">
      <c r="A2443" s="7" t="str">
        <f>IF('Document Workflow'!A2442&lt;&gt;"",'Document Workflow'!A2442,"")</f>
        <v/>
      </c>
    </row>
    <row r="2444" spans="1:1">
      <c r="A2444" s="7" t="str">
        <f>IF('Document Workflow'!A2443&lt;&gt;"",'Document Workflow'!A2443,"")</f>
        <v/>
      </c>
    </row>
    <row r="2445" spans="1:1">
      <c r="A2445" s="7" t="str">
        <f>IF('Document Workflow'!A2444&lt;&gt;"",'Document Workflow'!A2444,"")</f>
        <v/>
      </c>
    </row>
    <row r="2446" spans="1:1">
      <c r="A2446" s="7" t="str">
        <f>IF('Document Workflow'!A2445&lt;&gt;"",'Document Workflow'!A2445,"")</f>
        <v/>
      </c>
    </row>
    <row r="2447" spans="1:1">
      <c r="A2447" s="7" t="str">
        <f>IF('Document Workflow'!A2446&lt;&gt;"",'Document Workflow'!A2446,"")</f>
        <v/>
      </c>
    </row>
    <row r="2448" spans="1:1">
      <c r="A2448" s="7" t="str">
        <f>IF('Document Workflow'!A2447&lt;&gt;"",'Document Workflow'!A2447,"")</f>
        <v/>
      </c>
    </row>
    <row r="2449" spans="1:1">
      <c r="A2449" s="7" t="str">
        <f>IF('Document Workflow'!A2448&lt;&gt;"",'Document Workflow'!A2448,"")</f>
        <v/>
      </c>
    </row>
    <row r="2450" spans="1:1">
      <c r="A2450" s="7" t="str">
        <f>IF('Document Workflow'!A2449&lt;&gt;"",'Document Workflow'!A2449,"")</f>
        <v/>
      </c>
    </row>
    <row r="2451" spans="1:1">
      <c r="A2451" s="7" t="str">
        <f>IF('Document Workflow'!A2450&lt;&gt;"",'Document Workflow'!A2450,"")</f>
        <v/>
      </c>
    </row>
    <row r="2452" spans="1:1">
      <c r="A2452" s="7" t="str">
        <f>IF('Document Workflow'!A2451&lt;&gt;"",'Document Workflow'!A2451,"")</f>
        <v/>
      </c>
    </row>
    <row r="2453" spans="1:1">
      <c r="A2453" s="7" t="str">
        <f>IF('Document Workflow'!A2452&lt;&gt;"",'Document Workflow'!A2452,"")</f>
        <v/>
      </c>
    </row>
    <row r="2454" spans="1:1">
      <c r="A2454" s="7" t="str">
        <f>IF('Document Workflow'!A2453&lt;&gt;"",'Document Workflow'!A2453,"")</f>
        <v/>
      </c>
    </row>
    <row r="2455" spans="1:1">
      <c r="A2455" s="7" t="str">
        <f>IF('Document Workflow'!A2454&lt;&gt;"",'Document Workflow'!A2454,"")</f>
        <v/>
      </c>
    </row>
    <row r="2456" spans="1:1">
      <c r="A2456" s="7" t="str">
        <f>IF('Document Workflow'!A2455&lt;&gt;"",'Document Workflow'!A2455,"")</f>
        <v/>
      </c>
    </row>
    <row r="2457" spans="1:1">
      <c r="A2457" s="7" t="str">
        <f>IF('Document Workflow'!A2456&lt;&gt;"",'Document Workflow'!A2456,"")</f>
        <v/>
      </c>
    </row>
    <row r="2458" spans="1:1">
      <c r="A2458" s="7" t="str">
        <f>IF('Document Workflow'!A2457&lt;&gt;"",'Document Workflow'!A2457,"")</f>
        <v/>
      </c>
    </row>
    <row r="2459" spans="1:1">
      <c r="A2459" s="7" t="str">
        <f>IF('Document Workflow'!A2458&lt;&gt;"",'Document Workflow'!A2458,"")</f>
        <v/>
      </c>
    </row>
    <row r="2460" spans="1:1">
      <c r="A2460" s="7" t="str">
        <f>IF('Document Workflow'!A2459&lt;&gt;"",'Document Workflow'!A2459,"")</f>
        <v/>
      </c>
    </row>
    <row r="2461" spans="1:1">
      <c r="A2461" s="7" t="str">
        <f>IF('Document Workflow'!A2460&lt;&gt;"",'Document Workflow'!A2460,"")</f>
        <v/>
      </c>
    </row>
    <row r="2462" spans="1:1">
      <c r="A2462" s="7" t="str">
        <f>IF('Document Workflow'!A2461&lt;&gt;"",'Document Workflow'!A2461,"")</f>
        <v/>
      </c>
    </row>
    <row r="2463" spans="1:1">
      <c r="A2463" s="7" t="str">
        <f>IF('Document Workflow'!A2462&lt;&gt;"",'Document Workflow'!A2462,"")</f>
        <v/>
      </c>
    </row>
    <row r="2464" spans="1:1">
      <c r="A2464" s="7" t="str">
        <f>IF('Document Workflow'!A2463&lt;&gt;"",'Document Workflow'!A2463,"")</f>
        <v/>
      </c>
    </row>
    <row r="2465" spans="1:1">
      <c r="A2465" s="7" t="str">
        <f>IF('Document Workflow'!A2464&lt;&gt;"",'Document Workflow'!A2464,"")</f>
        <v/>
      </c>
    </row>
    <row r="2466" spans="1:1">
      <c r="A2466" s="7" t="str">
        <f>IF('Document Workflow'!A2465&lt;&gt;"",'Document Workflow'!A2465,"")</f>
        <v/>
      </c>
    </row>
    <row r="2467" spans="1:1">
      <c r="A2467" s="7" t="str">
        <f>IF('Document Workflow'!A2466&lt;&gt;"",'Document Workflow'!A2466,"")</f>
        <v/>
      </c>
    </row>
    <row r="2468" spans="1:1">
      <c r="A2468" s="7" t="str">
        <f>IF('Document Workflow'!A2467&lt;&gt;"",'Document Workflow'!A2467,"")</f>
        <v/>
      </c>
    </row>
    <row r="2469" spans="1:1">
      <c r="A2469" s="7" t="str">
        <f>IF('Document Workflow'!A2468&lt;&gt;"",'Document Workflow'!A2468,"")</f>
        <v/>
      </c>
    </row>
    <row r="2470" spans="1:1">
      <c r="A2470" s="7" t="str">
        <f>IF('Document Workflow'!A2469&lt;&gt;"",'Document Workflow'!A2469,"")</f>
        <v/>
      </c>
    </row>
    <row r="2471" spans="1:1">
      <c r="A2471" s="7" t="str">
        <f>IF('Document Workflow'!A2470&lt;&gt;"",'Document Workflow'!A2470,"")</f>
        <v/>
      </c>
    </row>
    <row r="2472" spans="1:1">
      <c r="A2472" s="7" t="str">
        <f>IF('Document Workflow'!A2471&lt;&gt;"",'Document Workflow'!A2471,"")</f>
        <v/>
      </c>
    </row>
    <row r="2473" spans="1:1">
      <c r="A2473" s="7" t="str">
        <f>IF('Document Workflow'!A2472&lt;&gt;"",'Document Workflow'!A2472,"")</f>
        <v/>
      </c>
    </row>
    <row r="2474" spans="1:1">
      <c r="A2474" s="7" t="str">
        <f>IF('Document Workflow'!A2473&lt;&gt;"",'Document Workflow'!A2473,"")</f>
        <v/>
      </c>
    </row>
    <row r="2475" spans="1:1">
      <c r="A2475" s="7" t="str">
        <f>IF('Document Workflow'!A2474&lt;&gt;"",'Document Workflow'!A2474,"")</f>
        <v/>
      </c>
    </row>
    <row r="2476" spans="1:1">
      <c r="A2476" s="7" t="str">
        <f>IF('Document Workflow'!A2475&lt;&gt;"",'Document Workflow'!A2475,"")</f>
        <v/>
      </c>
    </row>
    <row r="2477" spans="1:1">
      <c r="A2477" s="7" t="str">
        <f>IF('Document Workflow'!A2476&lt;&gt;"",'Document Workflow'!A2476,"")</f>
        <v/>
      </c>
    </row>
    <row r="2478" spans="1:1">
      <c r="A2478" s="7" t="str">
        <f>IF('Document Workflow'!A2477&lt;&gt;"",'Document Workflow'!A2477,"")</f>
        <v/>
      </c>
    </row>
    <row r="2479" spans="1:1">
      <c r="A2479" s="7" t="str">
        <f>IF('Document Workflow'!A2478&lt;&gt;"",'Document Workflow'!A2478,"")</f>
        <v/>
      </c>
    </row>
    <row r="2480" spans="1:1">
      <c r="A2480" s="7" t="str">
        <f>IF('Document Workflow'!A2479&lt;&gt;"",'Document Workflow'!A2479,"")</f>
        <v/>
      </c>
    </row>
    <row r="2481" spans="1:1">
      <c r="A2481" s="7" t="str">
        <f>IF('Document Workflow'!A2480&lt;&gt;"",'Document Workflow'!A2480,"")</f>
        <v/>
      </c>
    </row>
    <row r="2482" spans="1:1">
      <c r="A2482" s="7" t="str">
        <f>IF('Document Workflow'!A2481&lt;&gt;"",'Document Workflow'!A2481,"")</f>
        <v/>
      </c>
    </row>
    <row r="2483" spans="1:1">
      <c r="A2483" s="7" t="str">
        <f>IF('Document Workflow'!A2482&lt;&gt;"",'Document Workflow'!A2482,"")</f>
        <v/>
      </c>
    </row>
    <row r="2484" spans="1:1">
      <c r="A2484" s="7" t="str">
        <f>IF('Document Workflow'!A2483&lt;&gt;"",'Document Workflow'!A2483,"")</f>
        <v/>
      </c>
    </row>
    <row r="2485" spans="1:1">
      <c r="A2485" s="7" t="str">
        <f>IF('Document Workflow'!A2484&lt;&gt;"",'Document Workflow'!A2484,"")</f>
        <v/>
      </c>
    </row>
    <row r="2486" spans="1:1">
      <c r="A2486" s="7" t="str">
        <f>IF('Document Workflow'!A2485&lt;&gt;"",'Document Workflow'!A2485,"")</f>
        <v/>
      </c>
    </row>
    <row r="2487" spans="1:1">
      <c r="A2487" s="7" t="str">
        <f>IF('Document Workflow'!A2486&lt;&gt;"",'Document Workflow'!A2486,"")</f>
        <v/>
      </c>
    </row>
    <row r="2488" spans="1:1">
      <c r="A2488" s="7" t="str">
        <f>IF('Document Workflow'!A2487&lt;&gt;"",'Document Workflow'!A2487,"")</f>
        <v/>
      </c>
    </row>
    <row r="2489" spans="1:1">
      <c r="A2489" s="7" t="str">
        <f>IF('Document Workflow'!A2488&lt;&gt;"",'Document Workflow'!A2488,"")</f>
        <v/>
      </c>
    </row>
    <row r="2490" spans="1:1">
      <c r="A2490" s="7" t="str">
        <f>IF('Document Workflow'!A2489&lt;&gt;"",'Document Workflow'!A2489,"")</f>
        <v/>
      </c>
    </row>
    <row r="2491" spans="1:1">
      <c r="A2491" s="7" t="str">
        <f>IF('Document Workflow'!A2490&lt;&gt;"",'Document Workflow'!A2490,"")</f>
        <v/>
      </c>
    </row>
    <row r="2492" spans="1:1">
      <c r="A2492" s="7" t="str">
        <f>IF('Document Workflow'!A2491&lt;&gt;"",'Document Workflow'!A2491,"")</f>
        <v/>
      </c>
    </row>
    <row r="2493" spans="1:1">
      <c r="A2493" s="7" t="str">
        <f>IF('Document Workflow'!A2492&lt;&gt;"",'Document Workflow'!A2492,"")</f>
        <v/>
      </c>
    </row>
    <row r="2494" spans="1:1">
      <c r="A2494" s="7" t="str">
        <f>IF('Document Workflow'!A2493&lt;&gt;"",'Document Workflow'!A2493,"")</f>
        <v/>
      </c>
    </row>
    <row r="2495" spans="1:1">
      <c r="A2495" s="7" t="str">
        <f>IF('Document Workflow'!A2494&lt;&gt;"",'Document Workflow'!A2494,"")</f>
        <v/>
      </c>
    </row>
    <row r="2496" spans="1:1">
      <c r="A2496" s="7" t="str">
        <f>IF('Document Workflow'!A2495&lt;&gt;"",'Document Workflow'!A2495,"")</f>
        <v/>
      </c>
    </row>
    <row r="2497" spans="1:1">
      <c r="A2497" s="7" t="str">
        <f>IF('Document Workflow'!A2496&lt;&gt;"",'Document Workflow'!A2496,"")</f>
        <v/>
      </c>
    </row>
    <row r="2498" spans="1:1">
      <c r="A2498" s="7" t="str">
        <f>IF('Document Workflow'!A2497&lt;&gt;"",'Document Workflow'!A2497,"")</f>
        <v/>
      </c>
    </row>
    <row r="2499" spans="1:1">
      <c r="A2499" s="7" t="str">
        <f>IF('Document Workflow'!A2498&lt;&gt;"",'Document Workflow'!A2498,"")</f>
        <v/>
      </c>
    </row>
    <row r="2500" spans="1:1">
      <c r="A2500" s="7" t="str">
        <f>IF('Document Workflow'!A2499&lt;&gt;"",'Document Workflow'!A2499,"")</f>
        <v/>
      </c>
    </row>
    <row r="2501" spans="1:1">
      <c r="A2501" s="7" t="str">
        <f>IF('Document Workflow'!A2500&lt;&gt;"",'Document Workflow'!A2500,"")</f>
        <v/>
      </c>
    </row>
    <row r="2502" spans="1:1">
      <c r="A2502" s="7" t="str">
        <f>IF('Document Workflow'!A2501&lt;&gt;"",'Document Workflow'!A2501,"")</f>
        <v/>
      </c>
    </row>
    <row r="2503" spans="1:1">
      <c r="A2503" s="7" t="str">
        <f>IF('Document Workflow'!A2502&lt;&gt;"",'Document Workflow'!A2502,"")</f>
        <v/>
      </c>
    </row>
    <row r="2504" spans="1:1">
      <c r="A2504" s="7" t="str">
        <f>IF('Document Workflow'!A2503&lt;&gt;"",'Document Workflow'!A2503,"")</f>
        <v/>
      </c>
    </row>
    <row r="2505" spans="1:1">
      <c r="A2505" s="7" t="str">
        <f>IF('Document Workflow'!A2504&lt;&gt;"",'Document Workflow'!A2504,"")</f>
        <v/>
      </c>
    </row>
    <row r="2506" spans="1:1">
      <c r="A2506" s="7" t="str">
        <f>IF('Document Workflow'!A2505&lt;&gt;"",'Document Workflow'!A2505,"")</f>
        <v/>
      </c>
    </row>
    <row r="2507" spans="1:1">
      <c r="A2507" s="7" t="str">
        <f>IF('Document Workflow'!A2506&lt;&gt;"",'Document Workflow'!A2506,"")</f>
        <v/>
      </c>
    </row>
    <row r="2508" spans="1:1">
      <c r="A2508" s="7" t="str">
        <f>IF('Document Workflow'!A2507&lt;&gt;"",'Document Workflow'!A2507,"")</f>
        <v/>
      </c>
    </row>
    <row r="2509" spans="1:1">
      <c r="A2509" s="7" t="str">
        <f>IF('Document Workflow'!A2508&lt;&gt;"",'Document Workflow'!A2508,"")</f>
        <v/>
      </c>
    </row>
    <row r="2510" spans="1:1">
      <c r="A2510" s="7" t="str">
        <f>IF('Document Workflow'!A2509&lt;&gt;"",'Document Workflow'!A2509,"")</f>
        <v/>
      </c>
    </row>
    <row r="2511" spans="1:1">
      <c r="A2511" s="7" t="str">
        <f>IF('Document Workflow'!A2510&lt;&gt;"",'Document Workflow'!A2510,"")</f>
        <v/>
      </c>
    </row>
    <row r="2512" spans="1:1">
      <c r="A2512" s="7" t="str">
        <f>IF('Document Workflow'!A2511&lt;&gt;"",'Document Workflow'!A2511,"")</f>
        <v/>
      </c>
    </row>
    <row r="2513" spans="1:1">
      <c r="A2513" s="7" t="str">
        <f>IF('Document Workflow'!A2512&lt;&gt;"",'Document Workflow'!A2512,"")</f>
        <v/>
      </c>
    </row>
    <row r="2514" spans="1:1">
      <c r="A2514" s="7" t="str">
        <f>IF('Document Workflow'!A2513&lt;&gt;"",'Document Workflow'!A2513,"")</f>
        <v/>
      </c>
    </row>
    <row r="2515" spans="1:1">
      <c r="A2515" s="7" t="str">
        <f>IF('Document Workflow'!A2514&lt;&gt;"",'Document Workflow'!A2514,"")</f>
        <v/>
      </c>
    </row>
    <row r="2516" spans="1:1">
      <c r="A2516" s="7" t="str">
        <f>IF('Document Workflow'!A2515&lt;&gt;"",'Document Workflow'!A2515,"")</f>
        <v/>
      </c>
    </row>
    <row r="2517" spans="1:1">
      <c r="A2517" s="7" t="str">
        <f>IF('Document Workflow'!A2516&lt;&gt;"",'Document Workflow'!A2516,"")</f>
        <v/>
      </c>
    </row>
    <row r="2518" spans="1:1">
      <c r="A2518" s="7" t="str">
        <f>IF('Document Workflow'!A2517&lt;&gt;"",'Document Workflow'!A2517,"")</f>
        <v/>
      </c>
    </row>
    <row r="2519" spans="1:1">
      <c r="A2519" s="7" t="str">
        <f>IF('Document Workflow'!A2518&lt;&gt;"",'Document Workflow'!A2518,"")</f>
        <v/>
      </c>
    </row>
    <row r="2520" spans="1:1">
      <c r="A2520" s="7" t="str">
        <f>IF('Document Workflow'!A2519&lt;&gt;"",'Document Workflow'!A2519,"")</f>
        <v/>
      </c>
    </row>
    <row r="2521" spans="1:1">
      <c r="A2521" s="7" t="str">
        <f>IF('Document Workflow'!A2520&lt;&gt;"",'Document Workflow'!A2520,"")</f>
        <v/>
      </c>
    </row>
    <row r="2522" spans="1:1">
      <c r="A2522" s="7" t="str">
        <f>IF('Document Workflow'!A2521&lt;&gt;"",'Document Workflow'!A2521,"")</f>
        <v/>
      </c>
    </row>
    <row r="2523" spans="1:1">
      <c r="A2523" s="7" t="str">
        <f>IF('Document Workflow'!A2522&lt;&gt;"",'Document Workflow'!A2522,"")</f>
        <v/>
      </c>
    </row>
    <row r="2524" spans="1:1">
      <c r="A2524" s="7" t="str">
        <f>IF('Document Workflow'!A2523&lt;&gt;"",'Document Workflow'!A2523,"")</f>
        <v/>
      </c>
    </row>
    <row r="2525" spans="1:1">
      <c r="A2525" s="7" t="str">
        <f>IF('Document Workflow'!A2524&lt;&gt;"",'Document Workflow'!A2524,"")</f>
        <v/>
      </c>
    </row>
    <row r="2526" spans="1:1">
      <c r="A2526" s="7" t="str">
        <f>IF('Document Workflow'!A2525&lt;&gt;"",'Document Workflow'!A2525,"")</f>
        <v/>
      </c>
    </row>
    <row r="2527" spans="1:1">
      <c r="A2527" s="7" t="str">
        <f>IF('Document Workflow'!A2526&lt;&gt;"",'Document Workflow'!A2526,"")</f>
        <v/>
      </c>
    </row>
    <row r="2528" spans="1:1">
      <c r="A2528" s="7" t="str">
        <f>IF('Document Workflow'!A2527&lt;&gt;"",'Document Workflow'!A2527,"")</f>
        <v/>
      </c>
    </row>
    <row r="2529" spans="1:1">
      <c r="A2529" s="7" t="str">
        <f>IF('Document Workflow'!A2528&lt;&gt;"",'Document Workflow'!A2528,"")</f>
        <v/>
      </c>
    </row>
    <row r="2530" spans="1:1">
      <c r="A2530" s="7" t="str">
        <f>IF('Document Workflow'!A2529&lt;&gt;"",'Document Workflow'!A2529,"")</f>
        <v/>
      </c>
    </row>
    <row r="2531" spans="1:1">
      <c r="A2531" s="7" t="str">
        <f>IF('Document Workflow'!A2530&lt;&gt;"",'Document Workflow'!A2530,"")</f>
        <v/>
      </c>
    </row>
    <row r="2532" spans="1:1">
      <c r="A2532" s="7" t="str">
        <f>IF('Document Workflow'!A2531&lt;&gt;"",'Document Workflow'!A2531,"")</f>
        <v/>
      </c>
    </row>
    <row r="2533" spans="1:1">
      <c r="A2533" s="7" t="str">
        <f>IF('Document Workflow'!A2532&lt;&gt;"",'Document Workflow'!A2532,"")</f>
        <v/>
      </c>
    </row>
    <row r="2534" spans="1:1">
      <c r="A2534" s="7" t="str">
        <f>IF('Document Workflow'!A2533&lt;&gt;"",'Document Workflow'!A2533,"")</f>
        <v/>
      </c>
    </row>
    <row r="2535" spans="1:1">
      <c r="A2535" s="7" t="str">
        <f>IF('Document Workflow'!A2534&lt;&gt;"",'Document Workflow'!A2534,"")</f>
        <v/>
      </c>
    </row>
    <row r="2536" spans="1:1">
      <c r="A2536" s="7" t="str">
        <f>IF('Document Workflow'!A2535&lt;&gt;"",'Document Workflow'!A2535,"")</f>
        <v/>
      </c>
    </row>
    <row r="2537" spans="1:1">
      <c r="A2537" s="7" t="str">
        <f>IF('Document Workflow'!A2536&lt;&gt;"",'Document Workflow'!A2536,"")</f>
        <v/>
      </c>
    </row>
    <row r="2538" spans="1:1">
      <c r="A2538" s="7" t="str">
        <f>IF('Document Workflow'!A2537&lt;&gt;"",'Document Workflow'!A2537,"")</f>
        <v/>
      </c>
    </row>
    <row r="2539" spans="1:1">
      <c r="A2539" s="7" t="str">
        <f>IF('Document Workflow'!A2538&lt;&gt;"",'Document Workflow'!A2538,"")</f>
        <v/>
      </c>
    </row>
    <row r="2540" spans="1:1">
      <c r="A2540" s="7" t="str">
        <f>IF('Document Workflow'!A2539&lt;&gt;"",'Document Workflow'!A2539,"")</f>
        <v/>
      </c>
    </row>
    <row r="2541" spans="1:1">
      <c r="A2541" s="7" t="str">
        <f>IF('Document Workflow'!A2540&lt;&gt;"",'Document Workflow'!A2540,"")</f>
        <v/>
      </c>
    </row>
    <row r="2542" spans="1:1">
      <c r="A2542" s="7" t="str">
        <f>IF('Document Workflow'!A2541&lt;&gt;"",'Document Workflow'!A2541,"")</f>
        <v/>
      </c>
    </row>
    <row r="2543" spans="1:1">
      <c r="A2543" s="7" t="str">
        <f>IF('Document Workflow'!A2542&lt;&gt;"",'Document Workflow'!A2542,"")</f>
        <v/>
      </c>
    </row>
    <row r="2544" spans="1:1">
      <c r="A2544" s="7" t="str">
        <f>IF('Document Workflow'!A2543&lt;&gt;"",'Document Workflow'!A2543,"")</f>
        <v/>
      </c>
    </row>
    <row r="2545" spans="1:1">
      <c r="A2545" s="7" t="str">
        <f>IF('Document Workflow'!A2544&lt;&gt;"",'Document Workflow'!A2544,"")</f>
        <v/>
      </c>
    </row>
    <row r="2546" spans="1:1">
      <c r="A2546" s="7" t="str">
        <f>IF('Document Workflow'!A2545&lt;&gt;"",'Document Workflow'!A2545,"")</f>
        <v/>
      </c>
    </row>
    <row r="2547" spans="1:1">
      <c r="A2547" s="7" t="str">
        <f>IF('Document Workflow'!A2546&lt;&gt;"",'Document Workflow'!A2546,"")</f>
        <v/>
      </c>
    </row>
    <row r="2548" spans="1:1">
      <c r="A2548" s="7" t="str">
        <f>IF('Document Workflow'!A2547&lt;&gt;"",'Document Workflow'!A2547,"")</f>
        <v/>
      </c>
    </row>
    <row r="2549" spans="1:1">
      <c r="A2549" s="7" t="str">
        <f>IF('Document Workflow'!A2548&lt;&gt;"",'Document Workflow'!A2548,"")</f>
        <v/>
      </c>
    </row>
    <row r="2550" spans="1:1">
      <c r="A2550" s="7" t="str">
        <f>IF('Document Workflow'!A2549&lt;&gt;"",'Document Workflow'!A2549,"")</f>
        <v/>
      </c>
    </row>
    <row r="2551" spans="1:1">
      <c r="A2551" s="7" t="str">
        <f>IF('Document Workflow'!A2550&lt;&gt;"",'Document Workflow'!A2550,"")</f>
        <v/>
      </c>
    </row>
    <row r="2552" spans="1:1">
      <c r="A2552" s="7" t="str">
        <f>IF('Document Workflow'!A2551&lt;&gt;"",'Document Workflow'!A2551,"")</f>
        <v/>
      </c>
    </row>
    <row r="2553" spans="1:1">
      <c r="A2553" s="7" t="str">
        <f>IF('Document Workflow'!A2552&lt;&gt;"",'Document Workflow'!A2552,"")</f>
        <v/>
      </c>
    </row>
    <row r="2554" spans="1:1">
      <c r="A2554" s="7" t="str">
        <f>IF('Document Workflow'!A2553&lt;&gt;"",'Document Workflow'!A2553,"")</f>
        <v/>
      </c>
    </row>
    <row r="2555" spans="1:1">
      <c r="A2555" s="7" t="str">
        <f>IF('Document Workflow'!A2554&lt;&gt;"",'Document Workflow'!A2554,"")</f>
        <v/>
      </c>
    </row>
    <row r="2556" spans="1:1">
      <c r="A2556" s="7" t="str">
        <f>IF('Document Workflow'!A2555&lt;&gt;"",'Document Workflow'!A2555,"")</f>
        <v/>
      </c>
    </row>
    <row r="2557" spans="1:1">
      <c r="A2557" s="7" t="str">
        <f>IF('Document Workflow'!A2556&lt;&gt;"",'Document Workflow'!A2556,"")</f>
        <v/>
      </c>
    </row>
    <row r="2558" spans="1:1">
      <c r="A2558" s="7" t="str">
        <f>IF('Document Workflow'!A2557&lt;&gt;"",'Document Workflow'!A2557,"")</f>
        <v/>
      </c>
    </row>
    <row r="2559" spans="1:1">
      <c r="A2559" s="7" t="str">
        <f>IF('Document Workflow'!A2558&lt;&gt;"",'Document Workflow'!A2558,"")</f>
        <v/>
      </c>
    </row>
    <row r="2560" spans="1:1">
      <c r="A2560" s="7" t="str">
        <f>IF('Document Workflow'!A2559&lt;&gt;"",'Document Workflow'!A2559,"")</f>
        <v/>
      </c>
    </row>
    <row r="2561" spans="1:1">
      <c r="A2561" s="7" t="str">
        <f>IF('Document Workflow'!A2560&lt;&gt;"",'Document Workflow'!A2560,"")</f>
        <v/>
      </c>
    </row>
    <row r="2562" spans="1:1">
      <c r="A2562" s="7" t="str">
        <f>IF('Document Workflow'!A2561&lt;&gt;"",'Document Workflow'!A2561,"")</f>
        <v/>
      </c>
    </row>
    <row r="2563" spans="1:1">
      <c r="A2563" s="7" t="str">
        <f>IF('Document Workflow'!A2562&lt;&gt;"",'Document Workflow'!A2562,"")</f>
        <v/>
      </c>
    </row>
    <row r="2564" spans="1:1">
      <c r="A2564" s="7" t="str">
        <f>IF('Document Workflow'!A2563&lt;&gt;"",'Document Workflow'!A2563,"")</f>
        <v/>
      </c>
    </row>
    <row r="2565" spans="1:1">
      <c r="A2565" s="7" t="str">
        <f>IF('Document Workflow'!A2564&lt;&gt;"",'Document Workflow'!A2564,"")</f>
        <v/>
      </c>
    </row>
    <row r="2566" spans="1:1">
      <c r="A2566" s="7" t="str">
        <f>IF('Document Workflow'!A2565&lt;&gt;"",'Document Workflow'!A2565,"")</f>
        <v/>
      </c>
    </row>
    <row r="2567" spans="1:1">
      <c r="A2567" s="7" t="str">
        <f>IF('Document Workflow'!A2566&lt;&gt;"",'Document Workflow'!A2566,"")</f>
        <v/>
      </c>
    </row>
    <row r="2568" spans="1:1">
      <c r="A2568" s="7" t="str">
        <f>IF('Document Workflow'!A2567&lt;&gt;"",'Document Workflow'!A2567,"")</f>
        <v/>
      </c>
    </row>
    <row r="2569" spans="1:1">
      <c r="A2569" s="7" t="str">
        <f>IF('Document Workflow'!A2568&lt;&gt;"",'Document Workflow'!A2568,"")</f>
        <v/>
      </c>
    </row>
    <row r="2570" spans="1:1">
      <c r="A2570" s="7" t="str">
        <f>IF('Document Workflow'!A2569&lt;&gt;"",'Document Workflow'!A2569,"")</f>
        <v/>
      </c>
    </row>
    <row r="2571" spans="1:1">
      <c r="A2571" s="7" t="str">
        <f>IF('Document Workflow'!A2570&lt;&gt;"",'Document Workflow'!A2570,"")</f>
        <v/>
      </c>
    </row>
    <row r="2572" spans="1:1">
      <c r="A2572" s="7" t="str">
        <f>IF('Document Workflow'!A2571&lt;&gt;"",'Document Workflow'!A2571,"")</f>
        <v/>
      </c>
    </row>
    <row r="2573" spans="1:1">
      <c r="A2573" s="7" t="str">
        <f>IF('Document Workflow'!A2572&lt;&gt;"",'Document Workflow'!A2572,"")</f>
        <v/>
      </c>
    </row>
    <row r="2574" spans="1:1">
      <c r="A2574" s="7" t="str">
        <f>IF('Document Workflow'!A2573&lt;&gt;"",'Document Workflow'!A2573,"")</f>
        <v/>
      </c>
    </row>
    <row r="2575" spans="1:1">
      <c r="A2575" s="7" t="str">
        <f>IF('Document Workflow'!A2574&lt;&gt;"",'Document Workflow'!A2574,"")</f>
        <v/>
      </c>
    </row>
    <row r="2576" spans="1:1">
      <c r="A2576" s="7" t="str">
        <f>IF('Document Workflow'!A2575&lt;&gt;"",'Document Workflow'!A2575,"")</f>
        <v/>
      </c>
    </row>
    <row r="2577" spans="1:1">
      <c r="A2577" s="7" t="str">
        <f>IF('Document Workflow'!A2576&lt;&gt;"",'Document Workflow'!A2576,"")</f>
        <v/>
      </c>
    </row>
    <row r="2578" spans="1:1">
      <c r="A2578" s="7" t="str">
        <f>IF('Document Workflow'!A2577&lt;&gt;"",'Document Workflow'!A2577,"")</f>
        <v/>
      </c>
    </row>
    <row r="2579" spans="1:1">
      <c r="A2579" s="7" t="str">
        <f>IF('Document Workflow'!A2578&lt;&gt;"",'Document Workflow'!A2578,"")</f>
        <v/>
      </c>
    </row>
    <row r="2580" spans="1:1">
      <c r="A2580" s="7" t="str">
        <f>IF('Document Workflow'!A2579&lt;&gt;"",'Document Workflow'!A2579,"")</f>
        <v/>
      </c>
    </row>
    <row r="2581" spans="1:1">
      <c r="A2581" s="7" t="str">
        <f>IF('Document Workflow'!A2580&lt;&gt;"",'Document Workflow'!A2580,"")</f>
        <v/>
      </c>
    </row>
    <row r="2582" spans="1:1">
      <c r="A2582" s="7" t="str">
        <f>IF('Document Workflow'!A2581&lt;&gt;"",'Document Workflow'!A2581,"")</f>
        <v/>
      </c>
    </row>
    <row r="2583" spans="1:1">
      <c r="A2583" s="7" t="str">
        <f>IF('Document Workflow'!A2582&lt;&gt;"",'Document Workflow'!A2582,"")</f>
        <v/>
      </c>
    </row>
    <row r="2584" spans="1:1">
      <c r="A2584" s="7" t="str">
        <f>IF('Document Workflow'!A2583&lt;&gt;"",'Document Workflow'!A2583,"")</f>
        <v/>
      </c>
    </row>
    <row r="2585" spans="1:1">
      <c r="A2585" s="7" t="str">
        <f>IF('Document Workflow'!A2584&lt;&gt;"",'Document Workflow'!A2584,"")</f>
        <v/>
      </c>
    </row>
    <row r="2586" spans="1:1">
      <c r="A2586" s="7" t="str">
        <f>IF('Document Workflow'!A2585&lt;&gt;"",'Document Workflow'!A2585,"")</f>
        <v/>
      </c>
    </row>
    <row r="2587" spans="1:1">
      <c r="A2587" s="7" t="str">
        <f>IF('Document Workflow'!A2586&lt;&gt;"",'Document Workflow'!A2586,"")</f>
        <v/>
      </c>
    </row>
    <row r="2588" spans="1:1">
      <c r="A2588" s="7" t="str">
        <f>IF('Document Workflow'!A2587&lt;&gt;"",'Document Workflow'!A2587,"")</f>
        <v/>
      </c>
    </row>
    <row r="2589" spans="1:1">
      <c r="A2589" s="7" t="str">
        <f>IF('Document Workflow'!A2588&lt;&gt;"",'Document Workflow'!A2588,"")</f>
        <v/>
      </c>
    </row>
    <row r="2590" spans="1:1">
      <c r="A2590" s="7" t="str">
        <f>IF('Document Workflow'!A2589&lt;&gt;"",'Document Workflow'!A2589,"")</f>
        <v/>
      </c>
    </row>
    <row r="2591" spans="1:1">
      <c r="A2591" s="7" t="str">
        <f>IF('Document Workflow'!A2590&lt;&gt;"",'Document Workflow'!A2590,"")</f>
        <v/>
      </c>
    </row>
    <row r="2592" spans="1:1">
      <c r="A2592" s="7" t="str">
        <f>IF('Document Workflow'!A2591&lt;&gt;"",'Document Workflow'!A2591,"")</f>
        <v/>
      </c>
    </row>
    <row r="2593" spans="1:1">
      <c r="A2593" s="7" t="str">
        <f>IF('Document Workflow'!A2592&lt;&gt;"",'Document Workflow'!A2592,"")</f>
        <v/>
      </c>
    </row>
    <row r="2594" spans="1:1">
      <c r="A2594" s="7" t="str">
        <f>IF('Document Workflow'!A2593&lt;&gt;"",'Document Workflow'!A2593,"")</f>
        <v/>
      </c>
    </row>
    <row r="2595" spans="1:1">
      <c r="A2595" s="7" t="str">
        <f>IF('Document Workflow'!A2594&lt;&gt;"",'Document Workflow'!A2594,"")</f>
        <v/>
      </c>
    </row>
    <row r="2596" spans="1:1">
      <c r="A2596" s="7" t="str">
        <f>IF('Document Workflow'!A2595&lt;&gt;"",'Document Workflow'!A2595,"")</f>
        <v/>
      </c>
    </row>
    <row r="2597" spans="1:1">
      <c r="A2597" s="7" t="str">
        <f>IF('Document Workflow'!A2596&lt;&gt;"",'Document Workflow'!A2596,"")</f>
        <v/>
      </c>
    </row>
    <row r="2598" spans="1:1">
      <c r="A2598" s="7" t="str">
        <f>IF('Document Workflow'!A2597&lt;&gt;"",'Document Workflow'!A2597,"")</f>
        <v/>
      </c>
    </row>
    <row r="2599" spans="1:1">
      <c r="A2599" s="7" t="str">
        <f>IF('Document Workflow'!A2598&lt;&gt;"",'Document Workflow'!A2598,"")</f>
        <v/>
      </c>
    </row>
    <row r="2600" spans="1:1">
      <c r="A2600" s="7" t="str">
        <f>IF('Document Workflow'!A2599&lt;&gt;"",'Document Workflow'!A2599,"")</f>
        <v/>
      </c>
    </row>
    <row r="2601" spans="1:1">
      <c r="A2601" s="7" t="str">
        <f>IF('Document Workflow'!A2600&lt;&gt;"",'Document Workflow'!A2600,"")</f>
        <v/>
      </c>
    </row>
    <row r="2602" spans="1:1">
      <c r="A2602" s="7" t="str">
        <f>IF('Document Workflow'!A2601&lt;&gt;"",'Document Workflow'!A2601,"")</f>
        <v/>
      </c>
    </row>
    <row r="2603" spans="1:1">
      <c r="A2603" s="7" t="str">
        <f>IF('Document Workflow'!A2602&lt;&gt;"",'Document Workflow'!A2602,"")</f>
        <v/>
      </c>
    </row>
    <row r="2604" spans="1:1">
      <c r="A2604" s="7" t="str">
        <f>IF('Document Workflow'!A2603&lt;&gt;"",'Document Workflow'!A2603,"")</f>
        <v/>
      </c>
    </row>
    <row r="2605" spans="1:1">
      <c r="A2605" s="7" t="str">
        <f>IF('Document Workflow'!A2604&lt;&gt;"",'Document Workflow'!A2604,"")</f>
        <v/>
      </c>
    </row>
    <row r="2606" spans="1:1">
      <c r="A2606" s="7" t="str">
        <f>IF('Document Workflow'!A2605&lt;&gt;"",'Document Workflow'!A2605,"")</f>
        <v/>
      </c>
    </row>
    <row r="2607" spans="1:1">
      <c r="A2607" s="7" t="str">
        <f>IF('Document Workflow'!A2606&lt;&gt;"",'Document Workflow'!A2606,"")</f>
        <v/>
      </c>
    </row>
    <row r="2608" spans="1:1">
      <c r="A2608" s="7" t="str">
        <f>IF('Document Workflow'!A2607&lt;&gt;"",'Document Workflow'!A2607,"")</f>
        <v/>
      </c>
    </row>
    <row r="2609" spans="1:1">
      <c r="A2609" s="7" t="str">
        <f>IF('Document Workflow'!A2608&lt;&gt;"",'Document Workflow'!A2608,"")</f>
        <v/>
      </c>
    </row>
    <row r="2610" spans="1:1">
      <c r="A2610" s="7" t="str">
        <f>IF('Document Workflow'!A2609&lt;&gt;"",'Document Workflow'!A2609,"")</f>
        <v/>
      </c>
    </row>
    <row r="2611" spans="1:1">
      <c r="A2611" s="7" t="str">
        <f>IF('Document Workflow'!A2610&lt;&gt;"",'Document Workflow'!A2610,"")</f>
        <v/>
      </c>
    </row>
    <row r="2612" spans="1:1">
      <c r="A2612" s="7" t="str">
        <f>IF('Document Workflow'!A2611&lt;&gt;"",'Document Workflow'!A2611,"")</f>
        <v/>
      </c>
    </row>
    <row r="2613" spans="1:1">
      <c r="A2613" s="7" t="str">
        <f>IF('Document Workflow'!A2612&lt;&gt;"",'Document Workflow'!A2612,"")</f>
        <v/>
      </c>
    </row>
    <row r="2614" spans="1:1">
      <c r="A2614" s="7" t="str">
        <f>IF('Document Workflow'!A2613&lt;&gt;"",'Document Workflow'!A2613,"")</f>
        <v/>
      </c>
    </row>
    <row r="2615" spans="1:1">
      <c r="A2615" s="7" t="str">
        <f>IF('Document Workflow'!A2614&lt;&gt;"",'Document Workflow'!A2614,"")</f>
        <v/>
      </c>
    </row>
    <row r="2616" spans="1:1">
      <c r="A2616" s="7" t="str">
        <f>IF('Document Workflow'!A2615&lt;&gt;"",'Document Workflow'!A2615,"")</f>
        <v/>
      </c>
    </row>
    <row r="2617" spans="1:1">
      <c r="A2617" s="7" t="str">
        <f>IF('Document Workflow'!A2616&lt;&gt;"",'Document Workflow'!A2616,"")</f>
        <v/>
      </c>
    </row>
    <row r="2618" spans="1:1">
      <c r="A2618" s="7" t="str">
        <f>IF('Document Workflow'!A2617&lt;&gt;"",'Document Workflow'!A2617,"")</f>
        <v/>
      </c>
    </row>
    <row r="2619" spans="1:1">
      <c r="A2619" s="7" t="str">
        <f>IF('Document Workflow'!A2618&lt;&gt;"",'Document Workflow'!A2618,"")</f>
        <v/>
      </c>
    </row>
    <row r="2620" spans="1:1">
      <c r="A2620" s="7" t="str">
        <f>IF('Document Workflow'!A2619&lt;&gt;"",'Document Workflow'!A2619,"")</f>
        <v/>
      </c>
    </row>
    <row r="2621" spans="1:1">
      <c r="A2621" s="7" t="str">
        <f>IF('Document Workflow'!A2620&lt;&gt;"",'Document Workflow'!A2620,"")</f>
        <v/>
      </c>
    </row>
    <row r="2622" spans="1:1">
      <c r="A2622" s="7" t="str">
        <f>IF('Document Workflow'!A2621&lt;&gt;"",'Document Workflow'!A2621,"")</f>
        <v/>
      </c>
    </row>
    <row r="2623" spans="1:1">
      <c r="A2623" s="7" t="str">
        <f>IF('Document Workflow'!A2622&lt;&gt;"",'Document Workflow'!A2622,"")</f>
        <v/>
      </c>
    </row>
    <row r="2624" spans="1:1">
      <c r="A2624" s="7" t="str">
        <f>IF('Document Workflow'!A2623&lt;&gt;"",'Document Workflow'!A2623,"")</f>
        <v/>
      </c>
    </row>
    <row r="2625" spans="1:1">
      <c r="A2625" s="7" t="str">
        <f>IF('Document Workflow'!A2624&lt;&gt;"",'Document Workflow'!A2624,"")</f>
        <v/>
      </c>
    </row>
    <row r="2626" spans="1:1">
      <c r="A2626" s="7" t="str">
        <f>IF('Document Workflow'!A2625&lt;&gt;"",'Document Workflow'!A2625,"")</f>
        <v/>
      </c>
    </row>
    <row r="2627" spans="1:1">
      <c r="A2627" s="7" t="str">
        <f>IF('Document Workflow'!A2626&lt;&gt;"",'Document Workflow'!A2626,"")</f>
        <v/>
      </c>
    </row>
    <row r="2628" spans="1:1">
      <c r="A2628" s="7" t="str">
        <f>IF('Document Workflow'!A2627&lt;&gt;"",'Document Workflow'!A2627,"")</f>
        <v/>
      </c>
    </row>
    <row r="2629" spans="1:1">
      <c r="A2629" s="7" t="str">
        <f>IF('Document Workflow'!A2628&lt;&gt;"",'Document Workflow'!A2628,"")</f>
        <v/>
      </c>
    </row>
    <row r="2630" spans="1:1">
      <c r="A2630" s="7" t="str">
        <f>IF('Document Workflow'!A2629&lt;&gt;"",'Document Workflow'!A2629,"")</f>
        <v/>
      </c>
    </row>
    <row r="2631" spans="1:1">
      <c r="A2631" s="7" t="str">
        <f>IF('Document Workflow'!A2630&lt;&gt;"",'Document Workflow'!A2630,"")</f>
        <v/>
      </c>
    </row>
    <row r="2632" spans="1:1">
      <c r="A2632" s="7" t="str">
        <f>IF('Document Workflow'!A2631&lt;&gt;"",'Document Workflow'!A2631,"")</f>
        <v/>
      </c>
    </row>
    <row r="2633" spans="1:1">
      <c r="A2633" s="7" t="str">
        <f>IF('Document Workflow'!A2632&lt;&gt;"",'Document Workflow'!A2632,"")</f>
        <v/>
      </c>
    </row>
    <row r="2634" spans="1:1">
      <c r="A2634" s="7" t="str">
        <f>IF('Document Workflow'!A2633&lt;&gt;"",'Document Workflow'!A2633,"")</f>
        <v/>
      </c>
    </row>
    <row r="2635" spans="1:1">
      <c r="A2635" s="7" t="str">
        <f>IF('Document Workflow'!A2634&lt;&gt;"",'Document Workflow'!A2634,"")</f>
        <v/>
      </c>
    </row>
    <row r="2636" spans="1:1">
      <c r="A2636" s="7" t="str">
        <f>IF('Document Workflow'!A2635&lt;&gt;"",'Document Workflow'!A2635,"")</f>
        <v/>
      </c>
    </row>
    <row r="2637" spans="1:1">
      <c r="A2637" s="7" t="str">
        <f>IF('Document Workflow'!A2636&lt;&gt;"",'Document Workflow'!A2636,"")</f>
        <v/>
      </c>
    </row>
    <row r="2638" spans="1:1">
      <c r="A2638" s="7" t="str">
        <f>IF('Document Workflow'!A2637&lt;&gt;"",'Document Workflow'!A2637,"")</f>
        <v/>
      </c>
    </row>
    <row r="2639" spans="1:1">
      <c r="A2639" s="7" t="str">
        <f>IF('Document Workflow'!A2638&lt;&gt;"",'Document Workflow'!A2638,"")</f>
        <v/>
      </c>
    </row>
    <row r="2640" spans="1:1">
      <c r="A2640" s="7" t="str">
        <f>IF('Document Workflow'!A2639&lt;&gt;"",'Document Workflow'!A2639,"")</f>
        <v/>
      </c>
    </row>
    <row r="2641" spans="1:1">
      <c r="A2641" s="7" t="str">
        <f>IF('Document Workflow'!A2640&lt;&gt;"",'Document Workflow'!A2640,"")</f>
        <v/>
      </c>
    </row>
    <row r="2642" spans="1:1">
      <c r="A2642" s="7" t="str">
        <f>IF('Document Workflow'!A2641&lt;&gt;"",'Document Workflow'!A2641,"")</f>
        <v/>
      </c>
    </row>
    <row r="2643" spans="1:1">
      <c r="A2643" s="7" t="str">
        <f>IF('Document Workflow'!A2642&lt;&gt;"",'Document Workflow'!A2642,"")</f>
        <v/>
      </c>
    </row>
    <row r="2644" spans="1:1">
      <c r="A2644" s="7" t="str">
        <f>IF('Document Workflow'!A2643&lt;&gt;"",'Document Workflow'!A2643,"")</f>
        <v/>
      </c>
    </row>
    <row r="2645" spans="1:1">
      <c r="A2645" s="7" t="str">
        <f>IF('Document Workflow'!A2644&lt;&gt;"",'Document Workflow'!A2644,"")</f>
        <v/>
      </c>
    </row>
    <row r="2646" spans="1:1">
      <c r="A2646" s="7" t="str">
        <f>IF('Document Workflow'!A2645&lt;&gt;"",'Document Workflow'!A2645,"")</f>
        <v/>
      </c>
    </row>
    <row r="2647" spans="1:1">
      <c r="A2647" s="7" t="str">
        <f>IF('Document Workflow'!A2646&lt;&gt;"",'Document Workflow'!A2646,"")</f>
        <v/>
      </c>
    </row>
    <row r="2648" spans="1:1">
      <c r="A2648" s="7" t="str">
        <f>IF('Document Workflow'!A2647&lt;&gt;"",'Document Workflow'!A2647,"")</f>
        <v/>
      </c>
    </row>
    <row r="2649" spans="1:1">
      <c r="A2649" s="7" t="str">
        <f>IF('Document Workflow'!A2648&lt;&gt;"",'Document Workflow'!A2648,"")</f>
        <v/>
      </c>
    </row>
    <row r="2650" spans="1:1">
      <c r="A2650" s="7" t="str">
        <f>IF('Document Workflow'!A2649&lt;&gt;"",'Document Workflow'!A2649,"")</f>
        <v/>
      </c>
    </row>
    <row r="2651" spans="1:1">
      <c r="A2651" s="7" t="str">
        <f>IF('Document Workflow'!A2650&lt;&gt;"",'Document Workflow'!A2650,"")</f>
        <v/>
      </c>
    </row>
    <row r="2652" spans="1:1">
      <c r="A2652" s="7" t="str">
        <f>IF('Document Workflow'!A2651&lt;&gt;"",'Document Workflow'!A2651,"")</f>
        <v/>
      </c>
    </row>
    <row r="2653" spans="1:1">
      <c r="A2653" s="7" t="str">
        <f>IF('Document Workflow'!A2652&lt;&gt;"",'Document Workflow'!A2652,"")</f>
        <v/>
      </c>
    </row>
    <row r="2654" spans="1:1">
      <c r="A2654" s="7" t="str">
        <f>IF('Document Workflow'!A2653&lt;&gt;"",'Document Workflow'!A2653,"")</f>
        <v/>
      </c>
    </row>
    <row r="2655" spans="1:1">
      <c r="A2655" s="7" t="str">
        <f>IF('Document Workflow'!A2654&lt;&gt;"",'Document Workflow'!A2654,"")</f>
        <v/>
      </c>
    </row>
    <row r="2656" spans="1:1">
      <c r="A2656" s="7" t="str">
        <f>IF('Document Workflow'!A2655&lt;&gt;"",'Document Workflow'!A2655,"")</f>
        <v/>
      </c>
    </row>
    <row r="2657" spans="1:1">
      <c r="A2657" s="7" t="str">
        <f>IF('Document Workflow'!A2656&lt;&gt;"",'Document Workflow'!A2656,"")</f>
        <v/>
      </c>
    </row>
    <row r="2658" spans="1:1">
      <c r="A2658" s="7" t="str">
        <f>IF('Document Workflow'!A2657&lt;&gt;"",'Document Workflow'!A2657,"")</f>
        <v/>
      </c>
    </row>
    <row r="2659" spans="1:1">
      <c r="A2659" s="7" t="str">
        <f>IF('Document Workflow'!A2658&lt;&gt;"",'Document Workflow'!A2658,"")</f>
        <v/>
      </c>
    </row>
    <row r="2660" spans="1:1">
      <c r="A2660" s="7" t="str">
        <f>IF('Document Workflow'!A2659&lt;&gt;"",'Document Workflow'!A2659,"")</f>
        <v/>
      </c>
    </row>
    <row r="2661" spans="1:1">
      <c r="A2661" s="7" t="str">
        <f>IF('Document Workflow'!A2660&lt;&gt;"",'Document Workflow'!A2660,"")</f>
        <v/>
      </c>
    </row>
    <row r="2662" spans="1:1">
      <c r="A2662" s="7" t="str">
        <f>IF('Document Workflow'!A2661&lt;&gt;"",'Document Workflow'!A2661,"")</f>
        <v/>
      </c>
    </row>
    <row r="2663" spans="1:1">
      <c r="A2663" s="7" t="str">
        <f>IF('Document Workflow'!A2662&lt;&gt;"",'Document Workflow'!A2662,"")</f>
        <v/>
      </c>
    </row>
    <row r="2664" spans="1:1">
      <c r="A2664" s="7" t="str">
        <f>IF('Document Workflow'!A2663&lt;&gt;"",'Document Workflow'!A2663,"")</f>
        <v/>
      </c>
    </row>
    <row r="2665" spans="1:1">
      <c r="A2665" s="7" t="str">
        <f>IF('Document Workflow'!A2664&lt;&gt;"",'Document Workflow'!A2664,"")</f>
        <v/>
      </c>
    </row>
    <row r="2666" spans="1:1">
      <c r="A2666" s="7" t="str">
        <f>IF('Document Workflow'!A2665&lt;&gt;"",'Document Workflow'!A2665,"")</f>
        <v/>
      </c>
    </row>
    <row r="2667" spans="1:1">
      <c r="A2667" s="7" t="str">
        <f>IF('Document Workflow'!A2666&lt;&gt;"",'Document Workflow'!A2666,"")</f>
        <v/>
      </c>
    </row>
    <row r="2668" spans="1:1">
      <c r="A2668" s="7" t="str">
        <f>IF('Document Workflow'!A2667&lt;&gt;"",'Document Workflow'!A2667,"")</f>
        <v/>
      </c>
    </row>
    <row r="2669" spans="1:1">
      <c r="A2669" s="7" t="str">
        <f>IF('Document Workflow'!A2668&lt;&gt;"",'Document Workflow'!A2668,"")</f>
        <v/>
      </c>
    </row>
    <row r="2670" spans="1:1">
      <c r="A2670" s="7" t="str">
        <f>IF('Document Workflow'!A2669&lt;&gt;"",'Document Workflow'!A2669,"")</f>
        <v/>
      </c>
    </row>
    <row r="2671" spans="1:1">
      <c r="A2671" s="7" t="str">
        <f>IF('Document Workflow'!A2670&lt;&gt;"",'Document Workflow'!A2670,"")</f>
        <v/>
      </c>
    </row>
    <row r="2672" spans="1:1">
      <c r="A2672" s="7" t="str">
        <f>IF('Document Workflow'!A2671&lt;&gt;"",'Document Workflow'!A2671,"")</f>
        <v/>
      </c>
    </row>
    <row r="2673" spans="1:1">
      <c r="A2673" s="7" t="str">
        <f>IF('Document Workflow'!A2672&lt;&gt;"",'Document Workflow'!A2672,"")</f>
        <v/>
      </c>
    </row>
    <row r="2674" spans="1:1">
      <c r="A2674" s="7" t="str">
        <f>IF('Document Workflow'!A2673&lt;&gt;"",'Document Workflow'!A2673,"")</f>
        <v/>
      </c>
    </row>
    <row r="2675" spans="1:1">
      <c r="A2675" s="7" t="str">
        <f>IF('Document Workflow'!A2674&lt;&gt;"",'Document Workflow'!A2674,"")</f>
        <v/>
      </c>
    </row>
    <row r="2676" spans="1:1">
      <c r="A2676" s="7" t="str">
        <f>IF('Document Workflow'!A2675&lt;&gt;"",'Document Workflow'!A2675,"")</f>
        <v/>
      </c>
    </row>
    <row r="2677" spans="1:1">
      <c r="A2677" s="7" t="str">
        <f>IF('Document Workflow'!A2676&lt;&gt;"",'Document Workflow'!A2676,"")</f>
        <v/>
      </c>
    </row>
    <row r="2678" spans="1:1">
      <c r="A2678" s="7" t="str">
        <f>IF('Document Workflow'!A2677&lt;&gt;"",'Document Workflow'!A2677,"")</f>
        <v/>
      </c>
    </row>
    <row r="2679" spans="1:1">
      <c r="A2679" s="7" t="str">
        <f>IF('Document Workflow'!A2678&lt;&gt;"",'Document Workflow'!A2678,"")</f>
        <v/>
      </c>
    </row>
    <row r="2680" spans="1:1">
      <c r="A2680" s="7" t="str">
        <f>IF('Document Workflow'!A2679&lt;&gt;"",'Document Workflow'!A2679,"")</f>
        <v/>
      </c>
    </row>
    <row r="2681" spans="1:1">
      <c r="A2681" s="7" t="str">
        <f>IF('Document Workflow'!A2680&lt;&gt;"",'Document Workflow'!A2680,"")</f>
        <v/>
      </c>
    </row>
    <row r="2682" spans="1:1">
      <c r="A2682" s="7" t="str">
        <f>IF('Document Workflow'!A2681&lt;&gt;"",'Document Workflow'!A2681,"")</f>
        <v/>
      </c>
    </row>
    <row r="2683" spans="1:1">
      <c r="A2683" s="7" t="str">
        <f>IF('Document Workflow'!A2682&lt;&gt;"",'Document Workflow'!A2682,"")</f>
        <v/>
      </c>
    </row>
    <row r="2684" spans="1:1">
      <c r="A2684" s="7" t="str">
        <f>IF('Document Workflow'!A2683&lt;&gt;"",'Document Workflow'!A2683,"")</f>
        <v/>
      </c>
    </row>
    <row r="2685" spans="1:1">
      <c r="A2685" s="7" t="str">
        <f>IF('Document Workflow'!A2684&lt;&gt;"",'Document Workflow'!A2684,"")</f>
        <v/>
      </c>
    </row>
    <row r="2686" spans="1:1">
      <c r="A2686" s="7" t="str">
        <f>IF('Document Workflow'!A2685&lt;&gt;"",'Document Workflow'!A2685,"")</f>
        <v/>
      </c>
    </row>
    <row r="2687" spans="1:1">
      <c r="A2687" s="7" t="str">
        <f>IF('Document Workflow'!A2686&lt;&gt;"",'Document Workflow'!A2686,"")</f>
        <v/>
      </c>
    </row>
    <row r="2688" spans="1:1">
      <c r="A2688" s="7" t="str">
        <f>IF('Document Workflow'!A2687&lt;&gt;"",'Document Workflow'!A2687,"")</f>
        <v/>
      </c>
    </row>
    <row r="2689" spans="1:1">
      <c r="A2689" s="7" t="str">
        <f>IF('Document Workflow'!A2688&lt;&gt;"",'Document Workflow'!A2688,"")</f>
        <v/>
      </c>
    </row>
    <row r="2690" spans="1:1">
      <c r="A2690" s="7" t="str">
        <f>IF('Document Workflow'!A2689&lt;&gt;"",'Document Workflow'!A2689,"")</f>
        <v/>
      </c>
    </row>
    <row r="2691" spans="1:1">
      <c r="A2691" s="7" t="str">
        <f>IF('Document Workflow'!A2690&lt;&gt;"",'Document Workflow'!A2690,"")</f>
        <v/>
      </c>
    </row>
    <row r="2692" spans="1:1">
      <c r="A2692" s="7" t="str">
        <f>IF('Document Workflow'!A2691&lt;&gt;"",'Document Workflow'!A2691,"")</f>
        <v/>
      </c>
    </row>
    <row r="2693" spans="1:1">
      <c r="A2693" s="7" t="str">
        <f>IF('Document Workflow'!A2692&lt;&gt;"",'Document Workflow'!A2692,"")</f>
        <v/>
      </c>
    </row>
    <row r="2694" spans="1:1">
      <c r="A2694" s="7" t="str">
        <f>IF('Document Workflow'!A2693&lt;&gt;"",'Document Workflow'!A2693,"")</f>
        <v/>
      </c>
    </row>
    <row r="2695" spans="1:1">
      <c r="A2695" s="7" t="str">
        <f>IF('Document Workflow'!A2694&lt;&gt;"",'Document Workflow'!A2694,"")</f>
        <v/>
      </c>
    </row>
    <row r="2696" spans="1:1">
      <c r="A2696" s="7" t="str">
        <f>IF('Document Workflow'!A2695&lt;&gt;"",'Document Workflow'!A2695,"")</f>
        <v/>
      </c>
    </row>
    <row r="2697" spans="1:1">
      <c r="A2697" s="7" t="str">
        <f>IF('Document Workflow'!A2696&lt;&gt;"",'Document Workflow'!A2696,"")</f>
        <v/>
      </c>
    </row>
    <row r="2698" spans="1:1">
      <c r="A2698" s="7" t="str">
        <f>IF('Document Workflow'!A2697&lt;&gt;"",'Document Workflow'!A2697,"")</f>
        <v/>
      </c>
    </row>
    <row r="2699" spans="1:1">
      <c r="A2699" s="7" t="str">
        <f>IF('Document Workflow'!A2698&lt;&gt;"",'Document Workflow'!A2698,"")</f>
        <v/>
      </c>
    </row>
    <row r="2700" spans="1:1">
      <c r="A2700" s="7" t="str">
        <f>IF('Document Workflow'!A2699&lt;&gt;"",'Document Workflow'!A2699,"")</f>
        <v/>
      </c>
    </row>
    <row r="2701" spans="1:1">
      <c r="A2701" s="7" t="str">
        <f>IF('Document Workflow'!A2700&lt;&gt;"",'Document Workflow'!A2700,"")</f>
        <v/>
      </c>
    </row>
    <row r="2702" spans="1:1">
      <c r="A2702" s="7" t="str">
        <f>IF('Document Workflow'!A2701&lt;&gt;"",'Document Workflow'!A2701,"")</f>
        <v/>
      </c>
    </row>
    <row r="2703" spans="1:1">
      <c r="A2703" s="7" t="str">
        <f>IF('Document Workflow'!A2702&lt;&gt;"",'Document Workflow'!A2702,"")</f>
        <v/>
      </c>
    </row>
    <row r="2704" spans="1:1">
      <c r="A2704" s="7" t="str">
        <f>IF('Document Workflow'!A2703&lt;&gt;"",'Document Workflow'!A2703,"")</f>
        <v/>
      </c>
    </row>
    <row r="2705" spans="1:1">
      <c r="A2705" s="7" t="str">
        <f>IF('Document Workflow'!A2704&lt;&gt;"",'Document Workflow'!A2704,"")</f>
        <v/>
      </c>
    </row>
    <row r="2706" spans="1:1">
      <c r="A2706" s="7" t="str">
        <f>IF('Document Workflow'!A2705&lt;&gt;"",'Document Workflow'!A2705,"")</f>
        <v/>
      </c>
    </row>
    <row r="2707" spans="1:1">
      <c r="A2707" s="7" t="str">
        <f>IF('Document Workflow'!A2706&lt;&gt;"",'Document Workflow'!A2706,"")</f>
        <v/>
      </c>
    </row>
    <row r="2708" spans="1:1">
      <c r="A2708" s="7" t="str">
        <f>IF('Document Workflow'!A2707&lt;&gt;"",'Document Workflow'!A2707,"")</f>
        <v/>
      </c>
    </row>
    <row r="2709" spans="1:1">
      <c r="A2709" s="7" t="str">
        <f>IF('Document Workflow'!A2708&lt;&gt;"",'Document Workflow'!A2708,"")</f>
        <v/>
      </c>
    </row>
    <row r="2710" spans="1:1">
      <c r="A2710" s="7" t="str">
        <f>IF('Document Workflow'!A2709&lt;&gt;"",'Document Workflow'!A2709,"")</f>
        <v/>
      </c>
    </row>
    <row r="2711" spans="1:1">
      <c r="A2711" s="7" t="str">
        <f>IF('Document Workflow'!A2710&lt;&gt;"",'Document Workflow'!A2710,"")</f>
        <v/>
      </c>
    </row>
    <row r="2712" spans="1:1">
      <c r="A2712" s="7" t="str">
        <f>IF('Document Workflow'!A2711&lt;&gt;"",'Document Workflow'!A2711,"")</f>
        <v/>
      </c>
    </row>
    <row r="2713" spans="1:1">
      <c r="A2713" s="7" t="str">
        <f>IF('Document Workflow'!A2712&lt;&gt;"",'Document Workflow'!A2712,"")</f>
        <v/>
      </c>
    </row>
    <row r="2714" spans="1:1">
      <c r="A2714" s="7" t="str">
        <f>IF('Document Workflow'!A2713&lt;&gt;"",'Document Workflow'!A2713,"")</f>
        <v/>
      </c>
    </row>
    <row r="2715" spans="1:1">
      <c r="A2715" s="7" t="str">
        <f>IF('Document Workflow'!A2714&lt;&gt;"",'Document Workflow'!A2714,"")</f>
        <v/>
      </c>
    </row>
    <row r="2716" spans="1:1">
      <c r="A2716" s="7" t="str">
        <f>IF('Document Workflow'!A2715&lt;&gt;"",'Document Workflow'!A2715,"")</f>
        <v/>
      </c>
    </row>
    <row r="2717" spans="1:1">
      <c r="A2717" s="7" t="str">
        <f>IF('Document Workflow'!A2716&lt;&gt;"",'Document Workflow'!A2716,"")</f>
        <v/>
      </c>
    </row>
    <row r="2718" spans="1:1">
      <c r="A2718" s="7" t="str">
        <f>IF('Document Workflow'!A2717&lt;&gt;"",'Document Workflow'!A2717,"")</f>
        <v/>
      </c>
    </row>
    <row r="2719" spans="1:1">
      <c r="A2719" s="7" t="str">
        <f>IF('Document Workflow'!A2718&lt;&gt;"",'Document Workflow'!A2718,"")</f>
        <v/>
      </c>
    </row>
    <row r="2720" spans="1:1">
      <c r="A2720" s="7" t="str">
        <f>IF('Document Workflow'!A2719&lt;&gt;"",'Document Workflow'!A2719,"")</f>
        <v/>
      </c>
    </row>
    <row r="2721" spans="1:1">
      <c r="A2721" s="7" t="str">
        <f>IF('Document Workflow'!A2720&lt;&gt;"",'Document Workflow'!A2720,"")</f>
        <v/>
      </c>
    </row>
    <row r="2722" spans="1:1">
      <c r="A2722" s="7" t="str">
        <f>IF('Document Workflow'!A2721&lt;&gt;"",'Document Workflow'!A2721,"")</f>
        <v/>
      </c>
    </row>
    <row r="2723" spans="1:1">
      <c r="A2723" s="7" t="str">
        <f>IF('Document Workflow'!A2722&lt;&gt;"",'Document Workflow'!A2722,"")</f>
        <v/>
      </c>
    </row>
    <row r="2724" spans="1:1">
      <c r="A2724" s="7" t="str">
        <f>IF('Document Workflow'!A2723&lt;&gt;"",'Document Workflow'!A2723,"")</f>
        <v/>
      </c>
    </row>
    <row r="2725" spans="1:1">
      <c r="A2725" s="7" t="str">
        <f>IF('Document Workflow'!A2724&lt;&gt;"",'Document Workflow'!A2724,"")</f>
        <v/>
      </c>
    </row>
    <row r="2726" spans="1:1">
      <c r="A2726" s="7" t="str">
        <f>IF('Document Workflow'!A2725&lt;&gt;"",'Document Workflow'!A2725,"")</f>
        <v/>
      </c>
    </row>
    <row r="2727" spans="1:1">
      <c r="A2727" s="7" t="str">
        <f>IF('Document Workflow'!A2726&lt;&gt;"",'Document Workflow'!A2726,"")</f>
        <v/>
      </c>
    </row>
    <row r="2728" spans="1:1">
      <c r="A2728" s="7" t="str">
        <f>IF('Document Workflow'!A2727&lt;&gt;"",'Document Workflow'!A2727,"")</f>
        <v/>
      </c>
    </row>
    <row r="2729" spans="1:1">
      <c r="A2729" s="7" t="str">
        <f>IF('Document Workflow'!A2728&lt;&gt;"",'Document Workflow'!A2728,"")</f>
        <v/>
      </c>
    </row>
    <row r="2730" spans="1:1">
      <c r="A2730" s="7" t="str">
        <f>IF('Document Workflow'!A2729&lt;&gt;"",'Document Workflow'!A2729,"")</f>
        <v/>
      </c>
    </row>
    <row r="2731" spans="1:1">
      <c r="A2731" s="7" t="str">
        <f>IF('Document Workflow'!A2730&lt;&gt;"",'Document Workflow'!A2730,"")</f>
        <v/>
      </c>
    </row>
    <row r="2732" spans="1:1">
      <c r="A2732" s="7" t="str">
        <f>IF('Document Workflow'!A2731&lt;&gt;"",'Document Workflow'!A2731,"")</f>
        <v/>
      </c>
    </row>
    <row r="2733" spans="1:1">
      <c r="A2733" s="7" t="str">
        <f>IF('Document Workflow'!A2732&lt;&gt;"",'Document Workflow'!A2732,"")</f>
        <v/>
      </c>
    </row>
    <row r="2734" spans="1:1">
      <c r="A2734" s="7" t="str">
        <f>IF('Document Workflow'!A2733&lt;&gt;"",'Document Workflow'!A2733,"")</f>
        <v/>
      </c>
    </row>
    <row r="2735" spans="1:1">
      <c r="A2735" s="7" t="str">
        <f>IF('Document Workflow'!A2734&lt;&gt;"",'Document Workflow'!A2734,"")</f>
        <v/>
      </c>
    </row>
    <row r="2736" spans="1:1">
      <c r="A2736" s="7" t="str">
        <f>IF('Document Workflow'!A2735&lt;&gt;"",'Document Workflow'!A2735,"")</f>
        <v/>
      </c>
    </row>
    <row r="2737" spans="1:1">
      <c r="A2737" s="7" t="str">
        <f>IF('Document Workflow'!A2736&lt;&gt;"",'Document Workflow'!A2736,"")</f>
        <v/>
      </c>
    </row>
    <row r="2738" spans="1:1">
      <c r="A2738" s="7" t="str">
        <f>IF('Document Workflow'!A2737&lt;&gt;"",'Document Workflow'!A2737,"")</f>
        <v/>
      </c>
    </row>
    <row r="2739" spans="1:1">
      <c r="A2739" s="7" t="str">
        <f>IF('Document Workflow'!A2738&lt;&gt;"",'Document Workflow'!A2738,"")</f>
        <v/>
      </c>
    </row>
    <row r="2740" spans="1:1">
      <c r="A2740" s="7" t="str">
        <f>IF('Document Workflow'!A2739&lt;&gt;"",'Document Workflow'!A2739,"")</f>
        <v/>
      </c>
    </row>
    <row r="2741" spans="1:1">
      <c r="A2741" s="7" t="str">
        <f>IF('Document Workflow'!A2740&lt;&gt;"",'Document Workflow'!A2740,"")</f>
        <v/>
      </c>
    </row>
    <row r="2742" spans="1:1">
      <c r="A2742" s="7" t="str">
        <f>IF('Document Workflow'!A2741&lt;&gt;"",'Document Workflow'!A2741,"")</f>
        <v/>
      </c>
    </row>
    <row r="2743" spans="1:1">
      <c r="A2743" s="7" t="str">
        <f>IF('Document Workflow'!A2742&lt;&gt;"",'Document Workflow'!A2742,"")</f>
        <v/>
      </c>
    </row>
    <row r="2744" spans="1:1">
      <c r="A2744" s="7" t="str">
        <f>IF('Document Workflow'!A2743&lt;&gt;"",'Document Workflow'!A2743,"")</f>
        <v/>
      </c>
    </row>
    <row r="2745" spans="1:1">
      <c r="A2745" s="7" t="str">
        <f>IF('Document Workflow'!A2744&lt;&gt;"",'Document Workflow'!A2744,"")</f>
        <v/>
      </c>
    </row>
    <row r="2746" spans="1:1">
      <c r="A2746" s="7" t="str">
        <f>IF('Document Workflow'!A2745&lt;&gt;"",'Document Workflow'!A2745,"")</f>
        <v/>
      </c>
    </row>
    <row r="2747" spans="1:1">
      <c r="A2747" s="7" t="str">
        <f>IF('Document Workflow'!A2746&lt;&gt;"",'Document Workflow'!A2746,"")</f>
        <v/>
      </c>
    </row>
    <row r="2748" spans="1:1">
      <c r="A2748" s="7" t="str">
        <f>IF('Document Workflow'!A2747&lt;&gt;"",'Document Workflow'!A2747,"")</f>
        <v/>
      </c>
    </row>
    <row r="2749" spans="1:1">
      <c r="A2749" s="7" t="str">
        <f>IF('Document Workflow'!A2748&lt;&gt;"",'Document Workflow'!A2748,"")</f>
        <v/>
      </c>
    </row>
    <row r="2750" spans="1:1">
      <c r="A2750" s="7" t="str">
        <f>IF('Document Workflow'!A2749&lt;&gt;"",'Document Workflow'!A2749,"")</f>
        <v/>
      </c>
    </row>
    <row r="2751" spans="1:1">
      <c r="A2751" s="7" t="str">
        <f>IF('Document Workflow'!A2750&lt;&gt;"",'Document Workflow'!A2750,"")</f>
        <v/>
      </c>
    </row>
    <row r="2752" spans="1:1">
      <c r="A2752" s="7" t="str">
        <f>IF('Document Workflow'!A2751&lt;&gt;"",'Document Workflow'!A2751,"")</f>
        <v/>
      </c>
    </row>
    <row r="2753" spans="1:1">
      <c r="A2753" s="7" t="str">
        <f>IF('Document Workflow'!A2752&lt;&gt;"",'Document Workflow'!A2752,"")</f>
        <v/>
      </c>
    </row>
    <row r="2754" spans="1:1">
      <c r="A2754" s="7" t="str">
        <f>IF('Document Workflow'!A2753&lt;&gt;"",'Document Workflow'!A2753,"")</f>
        <v/>
      </c>
    </row>
    <row r="2755" spans="1:1">
      <c r="A2755" s="7" t="str">
        <f>IF('Document Workflow'!A2754&lt;&gt;"",'Document Workflow'!A2754,"")</f>
        <v/>
      </c>
    </row>
    <row r="2756" spans="1:1">
      <c r="A2756" s="7" t="str">
        <f>IF('Document Workflow'!A2755&lt;&gt;"",'Document Workflow'!A2755,"")</f>
        <v/>
      </c>
    </row>
    <row r="2757" spans="1:1">
      <c r="A2757" s="7" t="str">
        <f>IF('Document Workflow'!A2756&lt;&gt;"",'Document Workflow'!A2756,"")</f>
        <v/>
      </c>
    </row>
    <row r="2758" spans="1:1">
      <c r="A2758" s="7" t="str">
        <f>IF('Document Workflow'!A2757&lt;&gt;"",'Document Workflow'!A2757,"")</f>
        <v/>
      </c>
    </row>
    <row r="2759" spans="1:1">
      <c r="A2759" s="7" t="str">
        <f>IF('Document Workflow'!A2758&lt;&gt;"",'Document Workflow'!A2758,"")</f>
        <v/>
      </c>
    </row>
    <row r="2760" spans="1:1">
      <c r="A2760" s="7" t="str">
        <f>IF('Document Workflow'!A2759&lt;&gt;"",'Document Workflow'!A2759,"")</f>
        <v/>
      </c>
    </row>
    <row r="2761" spans="1:1">
      <c r="A2761" s="7" t="str">
        <f>IF('Document Workflow'!A2760&lt;&gt;"",'Document Workflow'!A2760,"")</f>
        <v/>
      </c>
    </row>
    <row r="2762" spans="1:1">
      <c r="A2762" s="7" t="str">
        <f>IF('Document Workflow'!A2761&lt;&gt;"",'Document Workflow'!A2761,"")</f>
        <v/>
      </c>
    </row>
    <row r="2763" spans="1:1">
      <c r="A2763" s="7" t="str">
        <f>IF('Document Workflow'!A2762&lt;&gt;"",'Document Workflow'!A2762,"")</f>
        <v/>
      </c>
    </row>
    <row r="2764" spans="1:1">
      <c r="A2764" s="7" t="str">
        <f>IF('Document Workflow'!A2763&lt;&gt;"",'Document Workflow'!A2763,"")</f>
        <v/>
      </c>
    </row>
    <row r="2765" spans="1:1">
      <c r="A2765" s="7" t="str">
        <f>IF('Document Workflow'!A2764&lt;&gt;"",'Document Workflow'!A2764,"")</f>
        <v/>
      </c>
    </row>
    <row r="2766" spans="1:1">
      <c r="A2766" s="7" t="str">
        <f>IF('Document Workflow'!A2765&lt;&gt;"",'Document Workflow'!A2765,"")</f>
        <v/>
      </c>
    </row>
    <row r="2767" spans="1:1">
      <c r="A2767" s="7" t="str">
        <f>IF('Document Workflow'!A2766&lt;&gt;"",'Document Workflow'!A2766,"")</f>
        <v/>
      </c>
    </row>
    <row r="2768" spans="1:1">
      <c r="A2768" s="7" t="str">
        <f>IF('Document Workflow'!A2767&lt;&gt;"",'Document Workflow'!A2767,"")</f>
        <v/>
      </c>
    </row>
    <row r="2769" spans="1:1">
      <c r="A2769" s="7" t="str">
        <f>IF('Document Workflow'!A2768&lt;&gt;"",'Document Workflow'!A2768,"")</f>
        <v/>
      </c>
    </row>
    <row r="2770" spans="1:1">
      <c r="A2770" s="7" t="str">
        <f>IF('Document Workflow'!A2769&lt;&gt;"",'Document Workflow'!A2769,"")</f>
        <v/>
      </c>
    </row>
    <row r="2771" spans="1:1">
      <c r="A2771" s="7" t="str">
        <f>IF('Document Workflow'!A2770&lt;&gt;"",'Document Workflow'!A2770,"")</f>
        <v/>
      </c>
    </row>
    <row r="2772" spans="1:1">
      <c r="A2772" s="7" t="str">
        <f>IF('Document Workflow'!A2771&lt;&gt;"",'Document Workflow'!A2771,"")</f>
        <v/>
      </c>
    </row>
    <row r="2773" spans="1:1">
      <c r="A2773" s="7" t="str">
        <f>IF('Document Workflow'!A2772&lt;&gt;"",'Document Workflow'!A2772,"")</f>
        <v/>
      </c>
    </row>
    <row r="2774" spans="1:1">
      <c r="A2774" s="7" t="str">
        <f>IF('Document Workflow'!A2773&lt;&gt;"",'Document Workflow'!A2773,"")</f>
        <v/>
      </c>
    </row>
    <row r="2775" spans="1:1">
      <c r="A2775" s="7" t="str">
        <f>IF('Document Workflow'!A2774&lt;&gt;"",'Document Workflow'!A2774,"")</f>
        <v/>
      </c>
    </row>
    <row r="2776" spans="1:1">
      <c r="A2776" s="7" t="str">
        <f>IF('Document Workflow'!A2775&lt;&gt;"",'Document Workflow'!A2775,"")</f>
        <v/>
      </c>
    </row>
    <row r="2777" spans="1:1">
      <c r="A2777" s="7" t="str">
        <f>IF('Document Workflow'!A2776&lt;&gt;"",'Document Workflow'!A2776,"")</f>
        <v/>
      </c>
    </row>
    <row r="2778" spans="1:1">
      <c r="A2778" s="7" t="str">
        <f>IF('Document Workflow'!A2777&lt;&gt;"",'Document Workflow'!A2777,"")</f>
        <v/>
      </c>
    </row>
    <row r="2779" spans="1:1">
      <c r="A2779" s="7" t="str">
        <f>IF('Document Workflow'!A2778&lt;&gt;"",'Document Workflow'!A2778,"")</f>
        <v/>
      </c>
    </row>
    <row r="2780" spans="1:1">
      <c r="A2780" s="7" t="str">
        <f>IF('Document Workflow'!A2779&lt;&gt;"",'Document Workflow'!A2779,"")</f>
        <v/>
      </c>
    </row>
    <row r="2781" spans="1:1">
      <c r="A2781" s="7" t="str">
        <f>IF('Document Workflow'!A2780&lt;&gt;"",'Document Workflow'!A2780,"")</f>
        <v/>
      </c>
    </row>
    <row r="2782" spans="1:1">
      <c r="A2782" s="7" t="str">
        <f>IF('Document Workflow'!A2781&lt;&gt;"",'Document Workflow'!A2781,"")</f>
        <v/>
      </c>
    </row>
    <row r="2783" spans="1:1">
      <c r="A2783" s="7" t="str">
        <f>IF('Document Workflow'!A2782&lt;&gt;"",'Document Workflow'!A2782,"")</f>
        <v/>
      </c>
    </row>
    <row r="2784" spans="1:1">
      <c r="A2784" s="7" t="str">
        <f>IF('Document Workflow'!A2783&lt;&gt;"",'Document Workflow'!A2783,"")</f>
        <v/>
      </c>
    </row>
    <row r="2785" spans="1:1">
      <c r="A2785" s="7" t="str">
        <f>IF('Document Workflow'!A2784&lt;&gt;"",'Document Workflow'!A2784,"")</f>
        <v/>
      </c>
    </row>
    <row r="2786" spans="1:1">
      <c r="A2786" s="7" t="str">
        <f>IF('Document Workflow'!A2785&lt;&gt;"",'Document Workflow'!A2785,"")</f>
        <v/>
      </c>
    </row>
    <row r="2787" spans="1:1">
      <c r="A2787" s="7" t="str">
        <f>IF('Document Workflow'!A2786&lt;&gt;"",'Document Workflow'!A2786,"")</f>
        <v/>
      </c>
    </row>
    <row r="2788" spans="1:1">
      <c r="A2788" s="7" t="str">
        <f>IF('Document Workflow'!A2787&lt;&gt;"",'Document Workflow'!A2787,"")</f>
        <v/>
      </c>
    </row>
    <row r="2789" spans="1:1">
      <c r="A2789" s="7" t="str">
        <f>IF('Document Workflow'!A2788&lt;&gt;"",'Document Workflow'!A2788,"")</f>
        <v/>
      </c>
    </row>
    <row r="2790" spans="1:1">
      <c r="A2790" s="7" t="str">
        <f>IF('Document Workflow'!A2789&lt;&gt;"",'Document Workflow'!A2789,"")</f>
        <v/>
      </c>
    </row>
    <row r="2791" spans="1:1">
      <c r="A2791" s="7" t="str">
        <f>IF('Document Workflow'!A2790&lt;&gt;"",'Document Workflow'!A2790,"")</f>
        <v/>
      </c>
    </row>
    <row r="2792" spans="1:1">
      <c r="A2792" s="7" t="str">
        <f>IF('Document Workflow'!A2791&lt;&gt;"",'Document Workflow'!A2791,"")</f>
        <v/>
      </c>
    </row>
    <row r="2793" spans="1:1">
      <c r="A2793" s="7" t="str">
        <f>IF('Document Workflow'!A2792&lt;&gt;"",'Document Workflow'!A2792,"")</f>
        <v/>
      </c>
    </row>
    <row r="2794" spans="1:1">
      <c r="A2794" s="7" t="str">
        <f>IF('Document Workflow'!A2793&lt;&gt;"",'Document Workflow'!A2793,"")</f>
        <v/>
      </c>
    </row>
    <row r="2795" spans="1:1">
      <c r="A2795" s="7" t="str">
        <f>IF('Document Workflow'!A2794&lt;&gt;"",'Document Workflow'!A2794,"")</f>
        <v/>
      </c>
    </row>
    <row r="2796" spans="1:1">
      <c r="A2796" s="7" t="str">
        <f>IF('Document Workflow'!A2795&lt;&gt;"",'Document Workflow'!A2795,"")</f>
        <v/>
      </c>
    </row>
    <row r="2797" spans="1:1">
      <c r="A2797" s="7" t="str">
        <f>IF('Document Workflow'!A2796&lt;&gt;"",'Document Workflow'!A2796,"")</f>
        <v/>
      </c>
    </row>
    <row r="2798" spans="1:1">
      <c r="A2798" s="7" t="str">
        <f>IF('Document Workflow'!A2797&lt;&gt;"",'Document Workflow'!A2797,"")</f>
        <v/>
      </c>
    </row>
    <row r="2799" spans="1:1">
      <c r="A2799" s="7" t="str">
        <f>IF('Document Workflow'!A2798&lt;&gt;"",'Document Workflow'!A2798,"")</f>
        <v/>
      </c>
    </row>
    <row r="2800" spans="1:1">
      <c r="A2800" s="7" t="str">
        <f>IF('Document Workflow'!A2799&lt;&gt;"",'Document Workflow'!A2799,"")</f>
        <v/>
      </c>
    </row>
    <row r="2801" spans="1:1">
      <c r="A2801" s="7" t="str">
        <f>IF('Document Workflow'!A2800&lt;&gt;"",'Document Workflow'!A2800,"")</f>
        <v/>
      </c>
    </row>
    <row r="2802" spans="1:1">
      <c r="A2802" s="7" t="str">
        <f>IF('Document Workflow'!A2801&lt;&gt;"",'Document Workflow'!A2801,"")</f>
        <v/>
      </c>
    </row>
    <row r="2803" spans="1:1">
      <c r="A2803" s="7" t="str">
        <f>IF('Document Workflow'!A2802&lt;&gt;"",'Document Workflow'!A2802,"")</f>
        <v/>
      </c>
    </row>
    <row r="2804" spans="1:1">
      <c r="A2804" s="7" t="str">
        <f>IF('Document Workflow'!A2803&lt;&gt;"",'Document Workflow'!A2803,"")</f>
        <v/>
      </c>
    </row>
    <row r="2805" spans="1:1">
      <c r="A2805" s="7" t="str">
        <f>IF('Document Workflow'!A2804&lt;&gt;"",'Document Workflow'!A2804,"")</f>
        <v/>
      </c>
    </row>
    <row r="2806" spans="1:1">
      <c r="A2806" s="7" t="str">
        <f>IF('Document Workflow'!A2805&lt;&gt;"",'Document Workflow'!A2805,"")</f>
        <v/>
      </c>
    </row>
    <row r="2807" spans="1:1">
      <c r="A2807" s="7" t="str">
        <f>IF('Document Workflow'!A2806&lt;&gt;"",'Document Workflow'!A2806,"")</f>
        <v/>
      </c>
    </row>
    <row r="2808" spans="1:1">
      <c r="A2808" s="7" t="str">
        <f>IF('Document Workflow'!A2807&lt;&gt;"",'Document Workflow'!A2807,"")</f>
        <v/>
      </c>
    </row>
    <row r="2809" spans="1:1">
      <c r="A2809" s="7" t="str">
        <f>IF('Document Workflow'!A2808&lt;&gt;"",'Document Workflow'!A2808,"")</f>
        <v/>
      </c>
    </row>
    <row r="2810" spans="1:1">
      <c r="A2810" s="7" t="str">
        <f>IF('Document Workflow'!A2809&lt;&gt;"",'Document Workflow'!A2809,"")</f>
        <v/>
      </c>
    </row>
    <row r="2811" spans="1:1">
      <c r="A2811" s="7" t="str">
        <f>IF('Document Workflow'!A2810&lt;&gt;"",'Document Workflow'!A2810,"")</f>
        <v/>
      </c>
    </row>
    <row r="2812" spans="1:1">
      <c r="A2812" s="7" t="str">
        <f>IF('Document Workflow'!A2811&lt;&gt;"",'Document Workflow'!A2811,"")</f>
        <v/>
      </c>
    </row>
    <row r="2813" spans="1:1">
      <c r="A2813" s="7" t="str">
        <f>IF('Document Workflow'!A2812&lt;&gt;"",'Document Workflow'!A2812,"")</f>
        <v/>
      </c>
    </row>
    <row r="2814" spans="1:1">
      <c r="A2814" s="7" t="str">
        <f>IF('Document Workflow'!A2813&lt;&gt;"",'Document Workflow'!A2813,"")</f>
        <v/>
      </c>
    </row>
    <row r="2815" spans="1:1">
      <c r="A2815" s="7" t="str">
        <f>IF('Document Workflow'!A2814&lt;&gt;"",'Document Workflow'!A2814,"")</f>
        <v/>
      </c>
    </row>
    <row r="2816" spans="1:1">
      <c r="A2816" s="7" t="str">
        <f>IF('Document Workflow'!A2815&lt;&gt;"",'Document Workflow'!A2815,"")</f>
        <v/>
      </c>
    </row>
    <row r="2817" spans="1:1">
      <c r="A2817" s="7" t="str">
        <f>IF('Document Workflow'!A2816&lt;&gt;"",'Document Workflow'!A2816,"")</f>
        <v/>
      </c>
    </row>
    <row r="2818" spans="1:1">
      <c r="A2818" s="7" t="str">
        <f>IF('Document Workflow'!A2817&lt;&gt;"",'Document Workflow'!A2817,"")</f>
        <v/>
      </c>
    </row>
    <row r="2819" spans="1:1">
      <c r="A2819" s="7" t="str">
        <f>IF('Document Workflow'!A2818&lt;&gt;"",'Document Workflow'!A2818,"")</f>
        <v/>
      </c>
    </row>
    <row r="2820" spans="1:1">
      <c r="A2820" s="7" t="str">
        <f>IF('Document Workflow'!A2819&lt;&gt;"",'Document Workflow'!A2819,"")</f>
        <v/>
      </c>
    </row>
    <row r="2821" spans="1:1">
      <c r="A2821" s="7" t="str">
        <f>IF('Document Workflow'!A2820&lt;&gt;"",'Document Workflow'!A2820,"")</f>
        <v/>
      </c>
    </row>
    <row r="2822" spans="1:1">
      <c r="A2822" s="7" t="str">
        <f>IF('Document Workflow'!A2821&lt;&gt;"",'Document Workflow'!A2821,"")</f>
        <v/>
      </c>
    </row>
    <row r="2823" spans="1:1">
      <c r="A2823" s="7" t="str">
        <f>IF('Document Workflow'!A2822&lt;&gt;"",'Document Workflow'!A2822,"")</f>
        <v/>
      </c>
    </row>
    <row r="2824" spans="1:1">
      <c r="A2824" s="7" t="str">
        <f>IF('Document Workflow'!A2823&lt;&gt;"",'Document Workflow'!A2823,"")</f>
        <v/>
      </c>
    </row>
    <row r="2825" spans="1:1">
      <c r="A2825" s="7" t="str">
        <f>IF('Document Workflow'!A2824&lt;&gt;"",'Document Workflow'!A2824,"")</f>
        <v/>
      </c>
    </row>
    <row r="2826" spans="1:1">
      <c r="A2826" s="7" t="str">
        <f>IF('Document Workflow'!A2825&lt;&gt;"",'Document Workflow'!A2825,"")</f>
        <v/>
      </c>
    </row>
    <row r="2827" spans="1:1">
      <c r="A2827" s="7" t="str">
        <f>IF('Document Workflow'!A2826&lt;&gt;"",'Document Workflow'!A2826,"")</f>
        <v/>
      </c>
    </row>
    <row r="2828" spans="1:1">
      <c r="A2828" s="7" t="str">
        <f>IF('Document Workflow'!A2827&lt;&gt;"",'Document Workflow'!A2827,"")</f>
        <v/>
      </c>
    </row>
    <row r="2829" spans="1:1">
      <c r="A2829" s="7" t="str">
        <f>IF('Document Workflow'!A2828&lt;&gt;"",'Document Workflow'!A2828,"")</f>
        <v/>
      </c>
    </row>
    <row r="2830" spans="1:1">
      <c r="A2830" s="7" t="str">
        <f>IF('Document Workflow'!A2829&lt;&gt;"",'Document Workflow'!A2829,"")</f>
        <v/>
      </c>
    </row>
    <row r="2831" spans="1:1">
      <c r="A2831" s="7" t="str">
        <f>IF('Document Workflow'!A2830&lt;&gt;"",'Document Workflow'!A2830,"")</f>
        <v/>
      </c>
    </row>
    <row r="2832" spans="1:1">
      <c r="A2832" s="7" t="str">
        <f>IF('Document Workflow'!A2831&lt;&gt;"",'Document Workflow'!A2831,"")</f>
        <v/>
      </c>
    </row>
    <row r="2833" spans="1:1">
      <c r="A2833" s="7" t="str">
        <f>IF('Document Workflow'!A2832&lt;&gt;"",'Document Workflow'!A2832,"")</f>
        <v/>
      </c>
    </row>
    <row r="2834" spans="1:1">
      <c r="A2834" s="7" t="str">
        <f>IF('Document Workflow'!A2833&lt;&gt;"",'Document Workflow'!A2833,"")</f>
        <v/>
      </c>
    </row>
    <row r="2835" spans="1:1">
      <c r="A2835" s="7" t="str">
        <f>IF('Document Workflow'!A2834&lt;&gt;"",'Document Workflow'!A2834,"")</f>
        <v/>
      </c>
    </row>
    <row r="2836" spans="1:1">
      <c r="A2836" s="7" t="str">
        <f>IF('Document Workflow'!A2835&lt;&gt;"",'Document Workflow'!A2835,"")</f>
        <v/>
      </c>
    </row>
    <row r="2837" spans="1:1">
      <c r="A2837" s="7" t="str">
        <f>IF('Document Workflow'!A2836&lt;&gt;"",'Document Workflow'!A2836,"")</f>
        <v/>
      </c>
    </row>
    <row r="2838" spans="1:1">
      <c r="A2838" s="7" t="str">
        <f>IF('Document Workflow'!A2837&lt;&gt;"",'Document Workflow'!A2837,"")</f>
        <v/>
      </c>
    </row>
    <row r="2839" spans="1:1">
      <c r="A2839" s="7" t="str">
        <f>IF('Document Workflow'!A2838&lt;&gt;"",'Document Workflow'!A2838,"")</f>
        <v/>
      </c>
    </row>
    <row r="2840" spans="1:1">
      <c r="A2840" s="7" t="str">
        <f>IF('Document Workflow'!A2839&lt;&gt;"",'Document Workflow'!A2839,"")</f>
        <v/>
      </c>
    </row>
    <row r="2841" spans="1:1">
      <c r="A2841" s="7" t="str">
        <f>IF('Document Workflow'!A2840&lt;&gt;"",'Document Workflow'!A2840,"")</f>
        <v/>
      </c>
    </row>
    <row r="2842" spans="1:1">
      <c r="A2842" s="7" t="str">
        <f>IF('Document Workflow'!A2841&lt;&gt;"",'Document Workflow'!A2841,"")</f>
        <v/>
      </c>
    </row>
    <row r="2843" spans="1:1">
      <c r="A2843" s="7" t="str">
        <f>IF('Document Workflow'!A2842&lt;&gt;"",'Document Workflow'!A2842,"")</f>
        <v/>
      </c>
    </row>
    <row r="2844" spans="1:1">
      <c r="A2844" s="7" t="str">
        <f>IF('Document Workflow'!A2843&lt;&gt;"",'Document Workflow'!A2843,"")</f>
        <v/>
      </c>
    </row>
    <row r="2845" spans="1:1">
      <c r="A2845" s="7" t="str">
        <f>IF('Document Workflow'!A2844&lt;&gt;"",'Document Workflow'!A2844,"")</f>
        <v/>
      </c>
    </row>
    <row r="2846" spans="1:1">
      <c r="A2846" s="7" t="str">
        <f>IF('Document Workflow'!A2845&lt;&gt;"",'Document Workflow'!A2845,"")</f>
        <v/>
      </c>
    </row>
    <row r="2847" spans="1:1">
      <c r="A2847" s="7" t="str">
        <f>IF('Document Workflow'!A2846&lt;&gt;"",'Document Workflow'!A2846,"")</f>
        <v/>
      </c>
    </row>
    <row r="2848" spans="1:1">
      <c r="A2848" s="7" t="str">
        <f>IF('Document Workflow'!A2847&lt;&gt;"",'Document Workflow'!A2847,"")</f>
        <v/>
      </c>
    </row>
    <row r="2849" spans="1:1">
      <c r="A2849" s="7" t="str">
        <f>IF('Document Workflow'!A2848&lt;&gt;"",'Document Workflow'!A2848,"")</f>
        <v/>
      </c>
    </row>
    <row r="2850" spans="1:1">
      <c r="A2850" s="7" t="str">
        <f>IF('Document Workflow'!A2849&lt;&gt;"",'Document Workflow'!A2849,"")</f>
        <v/>
      </c>
    </row>
    <row r="2851" spans="1:1">
      <c r="A2851" s="7" t="str">
        <f>IF('Document Workflow'!A2850&lt;&gt;"",'Document Workflow'!A2850,"")</f>
        <v/>
      </c>
    </row>
    <row r="2852" spans="1:1">
      <c r="A2852" s="7" t="str">
        <f>IF('Document Workflow'!A2851&lt;&gt;"",'Document Workflow'!A2851,"")</f>
        <v/>
      </c>
    </row>
    <row r="2853" spans="1:1">
      <c r="A2853" s="7" t="str">
        <f>IF('Document Workflow'!A2852&lt;&gt;"",'Document Workflow'!A2852,"")</f>
        <v/>
      </c>
    </row>
    <row r="2854" spans="1:1">
      <c r="A2854" s="7" t="str">
        <f>IF('Document Workflow'!A2853&lt;&gt;"",'Document Workflow'!A2853,"")</f>
        <v/>
      </c>
    </row>
    <row r="2855" spans="1:1">
      <c r="A2855" s="7" t="str">
        <f>IF('Document Workflow'!A2854&lt;&gt;"",'Document Workflow'!A2854,"")</f>
        <v/>
      </c>
    </row>
    <row r="2856" spans="1:1">
      <c r="A2856" s="7" t="str">
        <f>IF('Document Workflow'!A2855&lt;&gt;"",'Document Workflow'!A2855,"")</f>
        <v/>
      </c>
    </row>
    <row r="2857" spans="1:1">
      <c r="A2857" s="7" t="str">
        <f>IF('Document Workflow'!A2856&lt;&gt;"",'Document Workflow'!A2856,"")</f>
        <v/>
      </c>
    </row>
    <row r="2858" spans="1:1">
      <c r="A2858" s="7" t="str">
        <f>IF('Document Workflow'!A2857&lt;&gt;"",'Document Workflow'!A2857,"")</f>
        <v/>
      </c>
    </row>
    <row r="2859" spans="1:1">
      <c r="A2859" s="7" t="str">
        <f>IF('Document Workflow'!A2858&lt;&gt;"",'Document Workflow'!A2858,"")</f>
        <v/>
      </c>
    </row>
    <row r="2860" spans="1:1">
      <c r="A2860" s="7" t="str">
        <f>IF('Document Workflow'!A2859&lt;&gt;"",'Document Workflow'!A2859,"")</f>
        <v/>
      </c>
    </row>
    <row r="2861" spans="1:1">
      <c r="A2861" s="7" t="str">
        <f>IF('Document Workflow'!A2860&lt;&gt;"",'Document Workflow'!A2860,"")</f>
        <v/>
      </c>
    </row>
    <row r="2862" spans="1:1">
      <c r="A2862" s="7" t="str">
        <f>IF('Document Workflow'!A2861&lt;&gt;"",'Document Workflow'!A2861,"")</f>
        <v/>
      </c>
    </row>
    <row r="2863" spans="1:1">
      <c r="A2863" s="7" t="str">
        <f>IF('Document Workflow'!A2862&lt;&gt;"",'Document Workflow'!A2862,"")</f>
        <v/>
      </c>
    </row>
    <row r="2864" spans="1:1">
      <c r="A2864" s="7" t="str">
        <f>IF('Document Workflow'!A2863&lt;&gt;"",'Document Workflow'!A2863,"")</f>
        <v/>
      </c>
    </row>
    <row r="2865" spans="1:1">
      <c r="A2865" s="7" t="str">
        <f>IF('Document Workflow'!A2864&lt;&gt;"",'Document Workflow'!A2864,"")</f>
        <v/>
      </c>
    </row>
    <row r="2866" spans="1:1">
      <c r="A2866" s="7" t="str">
        <f>IF('Document Workflow'!A2865&lt;&gt;"",'Document Workflow'!A2865,"")</f>
        <v/>
      </c>
    </row>
    <row r="2867" spans="1:1">
      <c r="A2867" s="7" t="str">
        <f>IF('Document Workflow'!A2866&lt;&gt;"",'Document Workflow'!A2866,"")</f>
        <v/>
      </c>
    </row>
    <row r="2868" spans="1:1">
      <c r="A2868" s="7" t="str">
        <f>IF('Document Workflow'!A2867&lt;&gt;"",'Document Workflow'!A2867,"")</f>
        <v/>
      </c>
    </row>
    <row r="2869" spans="1:1">
      <c r="A2869" s="7" t="str">
        <f>IF('Document Workflow'!A2868&lt;&gt;"",'Document Workflow'!A2868,"")</f>
        <v/>
      </c>
    </row>
    <row r="2870" spans="1:1">
      <c r="A2870" s="7" t="str">
        <f>IF('Document Workflow'!A2869&lt;&gt;"",'Document Workflow'!A2869,"")</f>
        <v/>
      </c>
    </row>
    <row r="2871" spans="1:1">
      <c r="A2871" s="7" t="str">
        <f>IF('Document Workflow'!A2870&lt;&gt;"",'Document Workflow'!A2870,"")</f>
        <v/>
      </c>
    </row>
    <row r="2872" spans="1:1">
      <c r="A2872" s="7" t="str">
        <f>IF('Document Workflow'!A2871&lt;&gt;"",'Document Workflow'!A2871,"")</f>
        <v/>
      </c>
    </row>
    <row r="2873" spans="1:1">
      <c r="A2873" s="7" t="str">
        <f>IF('Document Workflow'!A2872&lt;&gt;"",'Document Workflow'!A2872,"")</f>
        <v/>
      </c>
    </row>
    <row r="2874" spans="1:1">
      <c r="A2874" s="7" t="str">
        <f>IF('Document Workflow'!A2873&lt;&gt;"",'Document Workflow'!A2873,"")</f>
        <v/>
      </c>
    </row>
    <row r="2875" spans="1:1">
      <c r="A2875" s="7" t="str">
        <f>IF('Document Workflow'!A2874&lt;&gt;"",'Document Workflow'!A2874,"")</f>
        <v/>
      </c>
    </row>
    <row r="2876" spans="1:1">
      <c r="A2876" s="7" t="str">
        <f>IF('Document Workflow'!A2875&lt;&gt;"",'Document Workflow'!A2875,"")</f>
        <v/>
      </c>
    </row>
    <row r="2877" spans="1:1">
      <c r="A2877" s="7" t="str">
        <f>IF('Document Workflow'!A2876&lt;&gt;"",'Document Workflow'!A2876,"")</f>
        <v/>
      </c>
    </row>
    <row r="2878" spans="1:1">
      <c r="A2878" s="7" t="str">
        <f>IF('Document Workflow'!A2877&lt;&gt;"",'Document Workflow'!A2877,"")</f>
        <v/>
      </c>
    </row>
    <row r="2879" spans="1:1">
      <c r="A2879" s="7" t="str">
        <f>IF('Document Workflow'!A2878&lt;&gt;"",'Document Workflow'!A2878,"")</f>
        <v/>
      </c>
    </row>
    <row r="2880" spans="1:1">
      <c r="A2880" s="7" t="str">
        <f>IF('Document Workflow'!A2879&lt;&gt;"",'Document Workflow'!A2879,"")</f>
        <v/>
      </c>
    </row>
    <row r="2881" spans="1:1">
      <c r="A2881" s="7" t="str">
        <f>IF('Document Workflow'!A2880&lt;&gt;"",'Document Workflow'!A2880,"")</f>
        <v/>
      </c>
    </row>
    <row r="2882" spans="1:1">
      <c r="A2882" s="7" t="str">
        <f>IF('Document Workflow'!A2881&lt;&gt;"",'Document Workflow'!A2881,"")</f>
        <v/>
      </c>
    </row>
    <row r="2883" spans="1:1">
      <c r="A2883" s="7" t="str">
        <f>IF('Document Workflow'!A2882&lt;&gt;"",'Document Workflow'!A2882,"")</f>
        <v/>
      </c>
    </row>
    <row r="2884" spans="1:1">
      <c r="A2884" s="7" t="str">
        <f>IF('Document Workflow'!A2883&lt;&gt;"",'Document Workflow'!A2883,"")</f>
        <v/>
      </c>
    </row>
    <row r="2885" spans="1:1">
      <c r="A2885" s="7" t="str">
        <f>IF('Document Workflow'!A2884&lt;&gt;"",'Document Workflow'!A2884,"")</f>
        <v/>
      </c>
    </row>
    <row r="2886" spans="1:1">
      <c r="A2886" s="7" t="str">
        <f>IF('Document Workflow'!A2885&lt;&gt;"",'Document Workflow'!A2885,"")</f>
        <v/>
      </c>
    </row>
    <row r="2887" spans="1:1">
      <c r="A2887" s="7" t="str">
        <f>IF('Document Workflow'!A2886&lt;&gt;"",'Document Workflow'!A2886,"")</f>
        <v/>
      </c>
    </row>
    <row r="2888" spans="1:1">
      <c r="A2888" s="7" t="str">
        <f>IF('Document Workflow'!A2887&lt;&gt;"",'Document Workflow'!A2887,"")</f>
        <v/>
      </c>
    </row>
    <row r="2889" spans="1:1">
      <c r="A2889" s="7" t="str">
        <f>IF('Document Workflow'!A2888&lt;&gt;"",'Document Workflow'!A2888,"")</f>
        <v/>
      </c>
    </row>
    <row r="2890" spans="1:1">
      <c r="A2890" s="7" t="str">
        <f>IF('Document Workflow'!A2889&lt;&gt;"",'Document Workflow'!A2889,"")</f>
        <v/>
      </c>
    </row>
    <row r="2891" spans="1:1">
      <c r="A2891" s="7" t="str">
        <f>IF('Document Workflow'!A2890&lt;&gt;"",'Document Workflow'!A2890,"")</f>
        <v/>
      </c>
    </row>
    <row r="2892" spans="1:1">
      <c r="A2892" s="7" t="str">
        <f>IF('Document Workflow'!A2891&lt;&gt;"",'Document Workflow'!A2891,"")</f>
        <v/>
      </c>
    </row>
    <row r="2893" spans="1:1">
      <c r="A2893" s="7" t="str">
        <f>IF('Document Workflow'!A2892&lt;&gt;"",'Document Workflow'!A2892,"")</f>
        <v/>
      </c>
    </row>
    <row r="2894" spans="1:1">
      <c r="A2894" s="7" t="str">
        <f>IF('Document Workflow'!A2893&lt;&gt;"",'Document Workflow'!A2893,"")</f>
        <v/>
      </c>
    </row>
    <row r="2895" spans="1:1">
      <c r="A2895" s="7" t="str">
        <f>IF('Document Workflow'!A2894&lt;&gt;"",'Document Workflow'!A2894,"")</f>
        <v/>
      </c>
    </row>
    <row r="2896" spans="1:1">
      <c r="A2896" s="7" t="str">
        <f>IF('Document Workflow'!A2895&lt;&gt;"",'Document Workflow'!A2895,"")</f>
        <v/>
      </c>
    </row>
    <row r="2897" spans="1:1">
      <c r="A2897" s="7" t="str">
        <f>IF('Document Workflow'!A2896&lt;&gt;"",'Document Workflow'!A2896,"")</f>
        <v/>
      </c>
    </row>
    <row r="2898" spans="1:1">
      <c r="A2898" s="7" t="str">
        <f>IF('Document Workflow'!A2897&lt;&gt;"",'Document Workflow'!A2897,"")</f>
        <v/>
      </c>
    </row>
    <row r="2899" spans="1:1">
      <c r="A2899" s="7" t="str">
        <f>IF('Document Workflow'!A2898&lt;&gt;"",'Document Workflow'!A2898,"")</f>
        <v/>
      </c>
    </row>
    <row r="2900" spans="1:1">
      <c r="A2900" s="7" t="str">
        <f>IF('Document Workflow'!A2899&lt;&gt;"",'Document Workflow'!A2899,"")</f>
        <v/>
      </c>
    </row>
    <row r="2901" spans="1:1">
      <c r="A2901" s="7" t="str">
        <f>IF('Document Workflow'!A2900&lt;&gt;"",'Document Workflow'!A2900,"")</f>
        <v/>
      </c>
    </row>
    <row r="2902" spans="1:1">
      <c r="A2902" s="7" t="str">
        <f>IF('Document Workflow'!A2901&lt;&gt;"",'Document Workflow'!A2901,"")</f>
        <v/>
      </c>
    </row>
    <row r="2903" spans="1:1">
      <c r="A2903" s="7" t="str">
        <f>IF('Document Workflow'!A2902&lt;&gt;"",'Document Workflow'!A2902,"")</f>
        <v/>
      </c>
    </row>
    <row r="2904" spans="1:1">
      <c r="A2904" s="7" t="str">
        <f>IF('Document Workflow'!A2903&lt;&gt;"",'Document Workflow'!A2903,"")</f>
        <v/>
      </c>
    </row>
    <row r="2905" spans="1:1">
      <c r="A2905" s="7" t="str">
        <f>IF('Document Workflow'!A2904&lt;&gt;"",'Document Workflow'!A2904,"")</f>
        <v/>
      </c>
    </row>
    <row r="2906" spans="1:1">
      <c r="A2906" s="7" t="str">
        <f>IF('Document Workflow'!A2905&lt;&gt;"",'Document Workflow'!A2905,"")</f>
        <v/>
      </c>
    </row>
    <row r="2907" spans="1:1">
      <c r="A2907" s="7" t="str">
        <f>IF('Document Workflow'!A2906&lt;&gt;"",'Document Workflow'!A2906,"")</f>
        <v/>
      </c>
    </row>
    <row r="2908" spans="1:1">
      <c r="A2908" s="7" t="str">
        <f>IF('Document Workflow'!A2907&lt;&gt;"",'Document Workflow'!A2907,"")</f>
        <v/>
      </c>
    </row>
    <row r="2909" spans="1:1">
      <c r="A2909" s="7" t="str">
        <f>IF('Document Workflow'!A2908&lt;&gt;"",'Document Workflow'!A2908,"")</f>
        <v/>
      </c>
    </row>
    <row r="2910" spans="1:1">
      <c r="A2910" s="7" t="str">
        <f>IF('Document Workflow'!A2909&lt;&gt;"",'Document Workflow'!A2909,"")</f>
        <v/>
      </c>
    </row>
    <row r="2911" spans="1:1">
      <c r="A2911" s="7" t="str">
        <f>IF('Document Workflow'!A2910&lt;&gt;"",'Document Workflow'!A2910,"")</f>
        <v/>
      </c>
    </row>
    <row r="2912" spans="1:1">
      <c r="A2912" s="7" t="str">
        <f>IF('Document Workflow'!A2911&lt;&gt;"",'Document Workflow'!A2911,"")</f>
        <v/>
      </c>
    </row>
    <row r="2913" spans="1:1">
      <c r="A2913" s="7" t="str">
        <f>IF('Document Workflow'!A2912&lt;&gt;"",'Document Workflow'!A2912,"")</f>
        <v/>
      </c>
    </row>
    <row r="2914" spans="1:1">
      <c r="A2914" s="7" t="str">
        <f>IF('Document Workflow'!A2913&lt;&gt;"",'Document Workflow'!A2913,"")</f>
        <v/>
      </c>
    </row>
    <row r="2915" spans="1:1">
      <c r="A2915" s="7" t="str">
        <f>IF('Document Workflow'!A2914&lt;&gt;"",'Document Workflow'!A2914,"")</f>
        <v/>
      </c>
    </row>
    <row r="2916" spans="1:1">
      <c r="A2916" s="7" t="str">
        <f>IF('Document Workflow'!A2915&lt;&gt;"",'Document Workflow'!A2915,"")</f>
        <v/>
      </c>
    </row>
    <row r="2917" spans="1:1">
      <c r="A2917" s="7" t="str">
        <f>IF('Document Workflow'!A2916&lt;&gt;"",'Document Workflow'!A2916,"")</f>
        <v/>
      </c>
    </row>
    <row r="2918" spans="1:1">
      <c r="A2918" s="7" t="str">
        <f>IF('Document Workflow'!A2917&lt;&gt;"",'Document Workflow'!A2917,"")</f>
        <v/>
      </c>
    </row>
    <row r="2919" spans="1:1">
      <c r="A2919" s="7" t="str">
        <f>IF('Document Workflow'!A2918&lt;&gt;"",'Document Workflow'!A2918,"")</f>
        <v/>
      </c>
    </row>
    <row r="2920" spans="1:1">
      <c r="A2920" s="7" t="str">
        <f>IF('Document Workflow'!A2919&lt;&gt;"",'Document Workflow'!A2919,"")</f>
        <v/>
      </c>
    </row>
    <row r="2921" spans="1:1">
      <c r="A2921" s="7" t="str">
        <f>IF('Document Workflow'!A2920&lt;&gt;"",'Document Workflow'!A2920,"")</f>
        <v/>
      </c>
    </row>
    <row r="2922" spans="1:1">
      <c r="A2922" s="7" t="str">
        <f>IF('Document Workflow'!A2921&lt;&gt;"",'Document Workflow'!A2921,"")</f>
        <v/>
      </c>
    </row>
    <row r="2923" spans="1:1">
      <c r="A2923" s="7" t="str">
        <f>IF('Document Workflow'!A2922&lt;&gt;"",'Document Workflow'!A2922,"")</f>
        <v/>
      </c>
    </row>
    <row r="2924" spans="1:1">
      <c r="A2924" s="7" t="str">
        <f>IF('Document Workflow'!A2923&lt;&gt;"",'Document Workflow'!A2923,"")</f>
        <v/>
      </c>
    </row>
    <row r="2925" spans="1:1">
      <c r="A2925" s="7" t="str">
        <f>IF('Document Workflow'!A2924&lt;&gt;"",'Document Workflow'!A2924,"")</f>
        <v/>
      </c>
    </row>
    <row r="2926" spans="1:1">
      <c r="A2926" s="7" t="str">
        <f>IF('Document Workflow'!A2925&lt;&gt;"",'Document Workflow'!A2925,"")</f>
        <v/>
      </c>
    </row>
    <row r="2927" spans="1:1">
      <c r="A2927" s="7" t="str">
        <f>IF('Document Workflow'!A2926&lt;&gt;"",'Document Workflow'!A2926,"")</f>
        <v/>
      </c>
    </row>
    <row r="2928" spans="1:1">
      <c r="A2928" s="7" t="str">
        <f>IF('Document Workflow'!A2927&lt;&gt;"",'Document Workflow'!A2927,"")</f>
        <v/>
      </c>
    </row>
    <row r="2929" spans="1:1">
      <c r="A2929" s="7" t="str">
        <f>IF('Document Workflow'!A2928&lt;&gt;"",'Document Workflow'!A2928,"")</f>
        <v/>
      </c>
    </row>
    <row r="2930" spans="1:1">
      <c r="A2930" s="7" t="str">
        <f>IF('Document Workflow'!A2929&lt;&gt;"",'Document Workflow'!A2929,"")</f>
        <v/>
      </c>
    </row>
    <row r="2931" spans="1:1">
      <c r="A2931" s="7" t="str">
        <f>IF('Document Workflow'!A2930&lt;&gt;"",'Document Workflow'!A2930,"")</f>
        <v/>
      </c>
    </row>
    <row r="2932" spans="1:1">
      <c r="A2932" s="7" t="str">
        <f>IF('Document Workflow'!A2931&lt;&gt;"",'Document Workflow'!A2931,"")</f>
        <v/>
      </c>
    </row>
    <row r="2933" spans="1:1">
      <c r="A2933" s="7" t="str">
        <f>IF('Document Workflow'!A2932&lt;&gt;"",'Document Workflow'!A2932,"")</f>
        <v/>
      </c>
    </row>
    <row r="2934" spans="1:1">
      <c r="A2934" s="7" t="str">
        <f>IF('Document Workflow'!A2933&lt;&gt;"",'Document Workflow'!A2933,"")</f>
        <v/>
      </c>
    </row>
    <row r="2935" spans="1:1">
      <c r="A2935" s="7" t="str">
        <f>IF('Document Workflow'!A2934&lt;&gt;"",'Document Workflow'!A2934,"")</f>
        <v/>
      </c>
    </row>
    <row r="2936" spans="1:1">
      <c r="A2936" s="7" t="str">
        <f>IF('Document Workflow'!A2935&lt;&gt;"",'Document Workflow'!A2935,"")</f>
        <v/>
      </c>
    </row>
    <row r="2937" spans="1:1">
      <c r="A2937" s="7" t="str">
        <f>IF('Document Workflow'!A2936&lt;&gt;"",'Document Workflow'!A2936,"")</f>
        <v/>
      </c>
    </row>
    <row r="2938" spans="1:1">
      <c r="A2938" s="7" t="str">
        <f>IF('Document Workflow'!A2937&lt;&gt;"",'Document Workflow'!A2937,"")</f>
        <v/>
      </c>
    </row>
    <row r="2939" spans="1:1">
      <c r="A2939" s="7" t="str">
        <f>IF('Document Workflow'!A2938&lt;&gt;"",'Document Workflow'!A2938,"")</f>
        <v/>
      </c>
    </row>
    <row r="2940" spans="1:1">
      <c r="A2940" s="7" t="str">
        <f>IF('Document Workflow'!A2939&lt;&gt;"",'Document Workflow'!A2939,"")</f>
        <v/>
      </c>
    </row>
    <row r="2941" spans="1:1">
      <c r="A2941" s="7" t="str">
        <f>IF('Document Workflow'!A2940&lt;&gt;"",'Document Workflow'!A2940,"")</f>
        <v/>
      </c>
    </row>
    <row r="2942" spans="1:1">
      <c r="A2942" s="7" t="str">
        <f>IF('Document Workflow'!A2941&lt;&gt;"",'Document Workflow'!A2941,"")</f>
        <v/>
      </c>
    </row>
    <row r="2943" spans="1:1">
      <c r="A2943" s="7" t="str">
        <f>IF('Document Workflow'!A2942&lt;&gt;"",'Document Workflow'!A2942,"")</f>
        <v/>
      </c>
    </row>
    <row r="2944" spans="1:1">
      <c r="A2944" s="7" t="str">
        <f>IF('Document Workflow'!A2943&lt;&gt;"",'Document Workflow'!A2943,"")</f>
        <v/>
      </c>
    </row>
    <row r="2945" spans="1:1">
      <c r="A2945" s="7" t="str">
        <f>IF('Document Workflow'!A2944&lt;&gt;"",'Document Workflow'!A2944,"")</f>
        <v/>
      </c>
    </row>
    <row r="2946" spans="1:1">
      <c r="A2946" s="7" t="str">
        <f>IF('Document Workflow'!A2945&lt;&gt;"",'Document Workflow'!A2945,"")</f>
        <v/>
      </c>
    </row>
    <row r="2947" spans="1:1">
      <c r="A2947" s="7" t="str">
        <f>IF('Document Workflow'!A2946&lt;&gt;"",'Document Workflow'!A2946,"")</f>
        <v/>
      </c>
    </row>
    <row r="2948" spans="1:1">
      <c r="A2948" s="7" t="str">
        <f>IF('Document Workflow'!A2947&lt;&gt;"",'Document Workflow'!A2947,"")</f>
        <v/>
      </c>
    </row>
    <row r="2949" spans="1:1">
      <c r="A2949" s="7" t="str">
        <f>IF('Document Workflow'!A2948&lt;&gt;"",'Document Workflow'!A2948,"")</f>
        <v/>
      </c>
    </row>
    <row r="2950" spans="1:1">
      <c r="A2950" s="7" t="str">
        <f>IF('Document Workflow'!A2949&lt;&gt;"",'Document Workflow'!A2949,"")</f>
        <v/>
      </c>
    </row>
    <row r="2951" spans="1:1">
      <c r="A2951" s="7" t="str">
        <f>IF('Document Workflow'!A2950&lt;&gt;"",'Document Workflow'!A2950,"")</f>
        <v/>
      </c>
    </row>
    <row r="2952" spans="1:1">
      <c r="A2952" s="7" t="str">
        <f>IF('Document Workflow'!A2951&lt;&gt;"",'Document Workflow'!A2951,"")</f>
        <v/>
      </c>
    </row>
    <row r="2953" spans="1:1">
      <c r="A2953" s="7" t="str">
        <f>IF('Document Workflow'!A2952&lt;&gt;"",'Document Workflow'!A2952,"")</f>
        <v/>
      </c>
    </row>
    <row r="2954" spans="1:1">
      <c r="A2954" s="7" t="str">
        <f>IF('Document Workflow'!A2953&lt;&gt;"",'Document Workflow'!A2953,"")</f>
        <v/>
      </c>
    </row>
    <row r="2955" spans="1:1">
      <c r="A2955" s="7" t="str">
        <f>IF('Document Workflow'!A2954&lt;&gt;"",'Document Workflow'!A2954,"")</f>
        <v/>
      </c>
    </row>
    <row r="2956" spans="1:1">
      <c r="A2956" s="7" t="str">
        <f>IF('Document Workflow'!A2955&lt;&gt;"",'Document Workflow'!A2955,"")</f>
        <v/>
      </c>
    </row>
    <row r="2957" spans="1:1">
      <c r="A2957" s="7" t="str">
        <f>IF('Document Workflow'!A2956&lt;&gt;"",'Document Workflow'!A2956,"")</f>
        <v/>
      </c>
    </row>
    <row r="2958" spans="1:1">
      <c r="A2958" s="7" t="str">
        <f>IF('Document Workflow'!A2957&lt;&gt;"",'Document Workflow'!A2957,"")</f>
        <v/>
      </c>
    </row>
    <row r="2959" spans="1:1">
      <c r="A2959" s="7" t="str">
        <f>IF('Document Workflow'!A2958&lt;&gt;"",'Document Workflow'!A2958,"")</f>
        <v/>
      </c>
    </row>
    <row r="2960" spans="1:1">
      <c r="A2960" s="7" t="str">
        <f>IF('Document Workflow'!A2959&lt;&gt;"",'Document Workflow'!A2959,"")</f>
        <v/>
      </c>
    </row>
    <row r="2961" spans="1:1">
      <c r="A2961" s="7" t="str">
        <f>IF('Document Workflow'!A2960&lt;&gt;"",'Document Workflow'!A2960,"")</f>
        <v/>
      </c>
    </row>
    <row r="2962" spans="1:1">
      <c r="A2962" s="7" t="str">
        <f>IF('Document Workflow'!A2961&lt;&gt;"",'Document Workflow'!A2961,"")</f>
        <v/>
      </c>
    </row>
    <row r="2963" spans="1:1">
      <c r="A2963" s="7" t="str">
        <f>IF('Document Workflow'!A2962&lt;&gt;"",'Document Workflow'!A2962,"")</f>
        <v/>
      </c>
    </row>
    <row r="2964" spans="1:1">
      <c r="A2964" s="7" t="str">
        <f>IF('Document Workflow'!A2963&lt;&gt;"",'Document Workflow'!A2963,"")</f>
        <v/>
      </c>
    </row>
    <row r="2965" spans="1:1">
      <c r="A2965" s="7" t="str">
        <f>IF('Document Workflow'!A2964&lt;&gt;"",'Document Workflow'!A2964,"")</f>
        <v/>
      </c>
    </row>
    <row r="2966" spans="1:1">
      <c r="A2966" s="7" t="str">
        <f>IF('Document Workflow'!A2965&lt;&gt;"",'Document Workflow'!A2965,"")</f>
        <v/>
      </c>
    </row>
    <row r="2967" spans="1:1">
      <c r="A2967" s="7" t="str">
        <f>IF('Document Workflow'!A2966&lt;&gt;"",'Document Workflow'!A2966,"")</f>
        <v/>
      </c>
    </row>
    <row r="2968" spans="1:1">
      <c r="A2968" s="7" t="str">
        <f>IF('Document Workflow'!A2967&lt;&gt;"",'Document Workflow'!A2967,"")</f>
        <v/>
      </c>
    </row>
    <row r="2969" spans="1:1">
      <c r="A2969" s="7" t="str">
        <f>IF('Document Workflow'!A2968&lt;&gt;"",'Document Workflow'!A2968,"")</f>
        <v/>
      </c>
    </row>
    <row r="2970" spans="1:1">
      <c r="A2970" s="7" t="str">
        <f>IF('Document Workflow'!A2969&lt;&gt;"",'Document Workflow'!A2969,"")</f>
        <v/>
      </c>
    </row>
    <row r="2971" spans="1:1">
      <c r="A2971" s="7" t="str">
        <f>IF('Document Workflow'!A2970&lt;&gt;"",'Document Workflow'!A2970,"")</f>
        <v/>
      </c>
    </row>
    <row r="2972" spans="1:1">
      <c r="A2972" s="7" t="str">
        <f>IF('Document Workflow'!A2971&lt;&gt;"",'Document Workflow'!A2971,"")</f>
        <v/>
      </c>
    </row>
    <row r="2973" spans="1:1">
      <c r="A2973" s="7" t="str">
        <f>IF('Document Workflow'!A2972&lt;&gt;"",'Document Workflow'!A2972,"")</f>
        <v/>
      </c>
    </row>
    <row r="2974" spans="1:1">
      <c r="A2974" s="7" t="str">
        <f>IF('Document Workflow'!A2973&lt;&gt;"",'Document Workflow'!A2973,"")</f>
        <v/>
      </c>
    </row>
    <row r="2975" spans="1:1">
      <c r="A2975" s="7" t="str">
        <f>IF('Document Workflow'!A2974&lt;&gt;"",'Document Workflow'!A2974,"")</f>
        <v/>
      </c>
    </row>
    <row r="2976" spans="1:1">
      <c r="A2976" s="7" t="str">
        <f>IF('Document Workflow'!A2975&lt;&gt;"",'Document Workflow'!A2975,"")</f>
        <v/>
      </c>
    </row>
    <row r="2977" spans="1:1">
      <c r="A2977" s="7" t="str">
        <f>IF('Document Workflow'!A2976&lt;&gt;"",'Document Workflow'!A2976,"")</f>
        <v/>
      </c>
    </row>
    <row r="2978" spans="1:1">
      <c r="A2978" s="7" t="str">
        <f>IF('Document Workflow'!A2977&lt;&gt;"",'Document Workflow'!A2977,"")</f>
        <v/>
      </c>
    </row>
    <row r="2979" spans="1:1">
      <c r="A2979" s="7" t="str">
        <f>IF('Document Workflow'!A2978&lt;&gt;"",'Document Workflow'!A2978,"")</f>
        <v/>
      </c>
    </row>
    <row r="2980" spans="1:1">
      <c r="A2980" s="7" t="str">
        <f>IF('Document Workflow'!A2979&lt;&gt;"",'Document Workflow'!A2979,"")</f>
        <v/>
      </c>
    </row>
    <row r="2981" spans="1:1">
      <c r="A2981" s="7" t="str">
        <f>IF('Document Workflow'!A2980&lt;&gt;"",'Document Workflow'!A2980,"")</f>
        <v/>
      </c>
    </row>
    <row r="2982" spans="1:1">
      <c r="A2982" s="7" t="str">
        <f>IF('Document Workflow'!A2981&lt;&gt;"",'Document Workflow'!A2981,"")</f>
        <v/>
      </c>
    </row>
    <row r="2983" spans="1:1">
      <c r="A2983" s="7" t="str">
        <f>IF('Document Workflow'!A2982&lt;&gt;"",'Document Workflow'!A2982,"")</f>
        <v/>
      </c>
    </row>
    <row r="2984" spans="1:1">
      <c r="A2984" s="7" t="str">
        <f>IF('Document Workflow'!A2983&lt;&gt;"",'Document Workflow'!A2983,"")</f>
        <v/>
      </c>
    </row>
    <row r="2985" spans="1:1">
      <c r="A2985" s="7" t="str">
        <f>IF('Document Workflow'!A2984&lt;&gt;"",'Document Workflow'!A2984,"")</f>
        <v/>
      </c>
    </row>
    <row r="2986" spans="1:1">
      <c r="A2986" s="7" t="str">
        <f>IF('Document Workflow'!A2985&lt;&gt;"",'Document Workflow'!A2985,"")</f>
        <v/>
      </c>
    </row>
    <row r="2987" spans="1:1">
      <c r="A2987" s="7" t="str">
        <f>IF('Document Workflow'!A2986&lt;&gt;"",'Document Workflow'!A2986,"")</f>
        <v/>
      </c>
    </row>
    <row r="2988" spans="1:1">
      <c r="A2988" s="7" t="str">
        <f>IF('Document Workflow'!A2987&lt;&gt;"",'Document Workflow'!A2987,"")</f>
        <v/>
      </c>
    </row>
    <row r="2989" spans="1:1">
      <c r="A2989" s="7" t="str">
        <f>IF('Document Workflow'!A2988&lt;&gt;"",'Document Workflow'!A2988,"")</f>
        <v/>
      </c>
    </row>
    <row r="2990" spans="1:1">
      <c r="A2990" s="7" t="str">
        <f>IF('Document Workflow'!A2989&lt;&gt;"",'Document Workflow'!A2989,"")</f>
        <v/>
      </c>
    </row>
    <row r="2991" spans="1:1">
      <c r="A2991" s="7" t="str">
        <f>IF('Document Workflow'!A2990&lt;&gt;"",'Document Workflow'!A2990,"")</f>
        <v/>
      </c>
    </row>
    <row r="2992" spans="1:1">
      <c r="A2992" s="7" t="str">
        <f>IF('Document Workflow'!A2991&lt;&gt;"",'Document Workflow'!A2991,"")</f>
        <v/>
      </c>
    </row>
    <row r="2993" spans="1:1">
      <c r="A2993" s="7" t="str">
        <f>IF('Document Workflow'!A2992&lt;&gt;"",'Document Workflow'!A2992,"")</f>
        <v/>
      </c>
    </row>
    <row r="2994" spans="1:1">
      <c r="A2994" s="7" t="str">
        <f>IF('Document Workflow'!A2993&lt;&gt;"",'Document Workflow'!A2993,"")</f>
        <v/>
      </c>
    </row>
    <row r="2995" spans="1:1">
      <c r="A2995" s="7" t="str">
        <f>IF('Document Workflow'!A2994&lt;&gt;"",'Document Workflow'!A2994,"")</f>
        <v/>
      </c>
    </row>
    <row r="2996" spans="1:1">
      <c r="A2996" s="7" t="str">
        <f>IF('Document Workflow'!A2995&lt;&gt;"",'Document Workflow'!A2995,"")</f>
        <v/>
      </c>
    </row>
    <row r="2997" spans="1:1">
      <c r="A2997" s="7" t="str">
        <f>IF('Document Workflow'!A2996&lt;&gt;"",'Document Workflow'!A2996,"")</f>
        <v/>
      </c>
    </row>
    <row r="2998" spans="1:1">
      <c r="A2998" s="7" t="str">
        <f>IF('Document Workflow'!A2997&lt;&gt;"",'Document Workflow'!A2997,"")</f>
        <v/>
      </c>
    </row>
    <row r="2999" spans="1:1">
      <c r="A2999" s="7" t="str">
        <f>IF('Document Workflow'!A2998&lt;&gt;"",'Document Workflow'!A2998,"")</f>
        <v/>
      </c>
    </row>
    <row r="3000" spans="1:1">
      <c r="A3000" s="7" t="str">
        <f>IF('Document Workflow'!A2999&lt;&gt;"",'Document Workflow'!A2999,"")</f>
        <v/>
      </c>
    </row>
    <row r="3001" spans="1:1">
      <c r="A3001" s="7" t="str">
        <f>IF('Document Workflow'!A3000&lt;&gt;"",'Document Workflow'!A3000,"")</f>
        <v/>
      </c>
    </row>
    <row r="3002" spans="1:1">
      <c r="A3002" s="7" t="str">
        <f>IF('Document Workflow'!A3001&lt;&gt;"",'Document Workflow'!A3001,"")</f>
        <v/>
      </c>
    </row>
    <row r="3003" spans="1:1">
      <c r="A3003" s="7" t="str">
        <f>IF('Document Workflow'!A3002&lt;&gt;"",'Document Workflow'!A3002,"")</f>
        <v/>
      </c>
    </row>
    <row r="3004" spans="1:1">
      <c r="A3004" s="7" t="str">
        <f>IF('Document Workflow'!A3003&lt;&gt;"",'Document Workflow'!A3003,"")</f>
        <v/>
      </c>
    </row>
    <row r="3005" spans="1:1">
      <c r="A3005" s="7" t="str">
        <f>IF('Document Workflow'!A3004&lt;&gt;"",'Document Workflow'!A3004,"")</f>
        <v/>
      </c>
    </row>
    <row r="3006" spans="1:1">
      <c r="A3006" s="7" t="str">
        <f>IF('Document Workflow'!A3005&lt;&gt;"",'Document Workflow'!A3005,"")</f>
        <v/>
      </c>
    </row>
    <row r="3007" spans="1:1">
      <c r="A3007" s="7" t="str">
        <f>IF('Document Workflow'!A3006&lt;&gt;"",'Document Workflow'!A3006,"")</f>
        <v/>
      </c>
    </row>
    <row r="3008" spans="1:1">
      <c r="A3008" s="7" t="str">
        <f>IF('Document Workflow'!A3007&lt;&gt;"",'Document Workflow'!A3007,"")</f>
        <v/>
      </c>
    </row>
    <row r="3009" spans="1:1">
      <c r="A3009" s="7" t="str">
        <f>IF('Document Workflow'!A3008&lt;&gt;"",'Document Workflow'!A3008,"")</f>
        <v/>
      </c>
    </row>
    <row r="3010" spans="1:1">
      <c r="A3010" s="7" t="str">
        <f>IF('Document Workflow'!A3009&lt;&gt;"",'Document Workflow'!A3009,"")</f>
        <v/>
      </c>
    </row>
    <row r="3011" spans="1:1">
      <c r="A3011" s="7" t="str">
        <f>IF('Document Workflow'!A3010&lt;&gt;"",'Document Workflow'!A3010,"")</f>
        <v/>
      </c>
    </row>
    <row r="3012" spans="1:1">
      <c r="A3012" s="7" t="str">
        <f>IF('Document Workflow'!A3011&lt;&gt;"",'Document Workflow'!A3011,"")</f>
        <v/>
      </c>
    </row>
    <row r="3013" spans="1:1">
      <c r="A3013" s="7" t="str">
        <f>IF('Document Workflow'!A3012&lt;&gt;"",'Document Workflow'!A3012,"")</f>
        <v/>
      </c>
    </row>
    <row r="3014" spans="1:1">
      <c r="A3014" s="7" t="str">
        <f>IF('Document Workflow'!A3013&lt;&gt;"",'Document Workflow'!A3013,"")</f>
        <v/>
      </c>
    </row>
    <row r="3015" spans="1:1">
      <c r="A3015" s="7" t="str">
        <f>IF('Document Workflow'!A3014&lt;&gt;"",'Document Workflow'!A3014,"")</f>
        <v/>
      </c>
    </row>
    <row r="3016" spans="1:1">
      <c r="A3016" s="7" t="str">
        <f>IF('Document Workflow'!A3015&lt;&gt;"",'Document Workflow'!A3015,"")</f>
        <v/>
      </c>
    </row>
    <row r="3017" spans="1:1">
      <c r="A3017" s="7" t="str">
        <f>IF('Document Workflow'!A3016&lt;&gt;"",'Document Workflow'!A3016,"")</f>
        <v/>
      </c>
    </row>
    <row r="3018" spans="1:1">
      <c r="A3018" s="7" t="str">
        <f>IF('Document Workflow'!A3017&lt;&gt;"",'Document Workflow'!A3017,"")</f>
        <v/>
      </c>
    </row>
    <row r="3019" spans="1:1">
      <c r="A3019" s="7" t="str">
        <f>IF('Document Workflow'!A3018&lt;&gt;"",'Document Workflow'!A3018,"")</f>
        <v/>
      </c>
    </row>
    <row r="3020" spans="1:1">
      <c r="A3020" s="7" t="str">
        <f>IF('Document Workflow'!A3019&lt;&gt;"",'Document Workflow'!A3019,"")</f>
        <v/>
      </c>
    </row>
    <row r="3021" spans="1:1">
      <c r="A3021" s="7" t="str">
        <f>IF('Document Workflow'!A3020&lt;&gt;"",'Document Workflow'!A3020,"")</f>
        <v/>
      </c>
    </row>
    <row r="3022" spans="1:1">
      <c r="A3022" s="7" t="str">
        <f>IF('Document Workflow'!A3021&lt;&gt;"",'Document Workflow'!A3021,"")</f>
        <v/>
      </c>
    </row>
    <row r="3023" spans="1:1">
      <c r="A3023" s="7" t="str">
        <f>IF('Document Workflow'!A3022&lt;&gt;"",'Document Workflow'!A3022,"")</f>
        <v/>
      </c>
    </row>
    <row r="3024" spans="1:1">
      <c r="A3024" s="7" t="str">
        <f>IF('Document Workflow'!A3023&lt;&gt;"",'Document Workflow'!A3023,"")</f>
        <v/>
      </c>
    </row>
    <row r="3025" spans="1:1">
      <c r="A3025" s="7" t="str">
        <f>IF('Document Workflow'!A3024&lt;&gt;"",'Document Workflow'!A3024,"")</f>
        <v/>
      </c>
    </row>
    <row r="3026" spans="1:1">
      <c r="A3026" s="7" t="str">
        <f>IF('Document Workflow'!A3025&lt;&gt;"",'Document Workflow'!A3025,"")</f>
        <v/>
      </c>
    </row>
    <row r="3027" spans="1:1">
      <c r="A3027" s="7" t="str">
        <f>IF('Document Workflow'!A3026&lt;&gt;"",'Document Workflow'!A3026,"")</f>
        <v/>
      </c>
    </row>
    <row r="3028" spans="1:1">
      <c r="A3028" s="7" t="str">
        <f>IF('Document Workflow'!A3027&lt;&gt;"",'Document Workflow'!A3027,"")</f>
        <v/>
      </c>
    </row>
    <row r="3029" spans="1:1">
      <c r="A3029" s="7" t="str">
        <f>IF('Document Workflow'!A3028&lt;&gt;"",'Document Workflow'!A3028,"")</f>
        <v/>
      </c>
    </row>
    <row r="3030" spans="1:1">
      <c r="A3030" s="7" t="str">
        <f>IF('Document Workflow'!A3029&lt;&gt;"",'Document Workflow'!A3029,"")</f>
        <v/>
      </c>
    </row>
    <row r="3031" spans="1:1">
      <c r="A3031" s="7" t="str">
        <f>IF('Document Workflow'!A3030&lt;&gt;"",'Document Workflow'!A3030,"")</f>
        <v/>
      </c>
    </row>
    <row r="3032" spans="1:1">
      <c r="A3032" s="7" t="str">
        <f>IF('Document Workflow'!A3031&lt;&gt;"",'Document Workflow'!A3031,"")</f>
        <v/>
      </c>
    </row>
    <row r="3033" spans="1:1">
      <c r="A3033" s="7" t="str">
        <f>IF('Document Workflow'!A3032&lt;&gt;"",'Document Workflow'!A3032,"")</f>
        <v/>
      </c>
    </row>
    <row r="3034" spans="1:1">
      <c r="A3034" s="7" t="str">
        <f>IF('Document Workflow'!A3033&lt;&gt;"",'Document Workflow'!A3033,"")</f>
        <v/>
      </c>
    </row>
    <row r="3035" spans="1:1">
      <c r="A3035" s="7" t="str">
        <f>IF('Document Workflow'!A3034&lt;&gt;"",'Document Workflow'!A3034,"")</f>
        <v/>
      </c>
    </row>
    <row r="3036" spans="1:1">
      <c r="A3036" s="7" t="str">
        <f>IF('Document Workflow'!A3035&lt;&gt;"",'Document Workflow'!A3035,"")</f>
        <v/>
      </c>
    </row>
    <row r="3037" spans="1:1">
      <c r="A3037" s="7" t="str">
        <f>IF('Document Workflow'!A3036&lt;&gt;"",'Document Workflow'!A3036,"")</f>
        <v/>
      </c>
    </row>
    <row r="3038" spans="1:1">
      <c r="A3038" s="7" t="str">
        <f>IF('Document Workflow'!A3037&lt;&gt;"",'Document Workflow'!A3037,"")</f>
        <v/>
      </c>
    </row>
    <row r="3039" spans="1:1">
      <c r="A3039" s="7" t="str">
        <f>IF('Document Workflow'!A3038&lt;&gt;"",'Document Workflow'!A3038,"")</f>
        <v/>
      </c>
    </row>
    <row r="3040" spans="1:1">
      <c r="A3040" s="7" t="str">
        <f>IF('Document Workflow'!A3039&lt;&gt;"",'Document Workflow'!A3039,"")</f>
        <v/>
      </c>
    </row>
    <row r="3041" spans="1:1">
      <c r="A3041" s="7" t="str">
        <f>IF('Document Workflow'!A3040&lt;&gt;"",'Document Workflow'!A3040,"")</f>
        <v/>
      </c>
    </row>
    <row r="3042" spans="1:1">
      <c r="A3042" s="7" t="str">
        <f>IF('Document Workflow'!A3041&lt;&gt;"",'Document Workflow'!A3041,"")</f>
        <v/>
      </c>
    </row>
    <row r="3043" spans="1:1">
      <c r="A3043" s="7" t="str">
        <f>IF('Document Workflow'!A3042&lt;&gt;"",'Document Workflow'!A3042,"")</f>
        <v/>
      </c>
    </row>
    <row r="3044" spans="1:1">
      <c r="A3044" s="7" t="str">
        <f>IF('Document Workflow'!A3043&lt;&gt;"",'Document Workflow'!A3043,"")</f>
        <v/>
      </c>
    </row>
    <row r="3045" spans="1:1">
      <c r="A3045" s="7" t="str">
        <f>IF('Document Workflow'!A3044&lt;&gt;"",'Document Workflow'!A3044,"")</f>
        <v/>
      </c>
    </row>
    <row r="3046" spans="1:1">
      <c r="A3046" s="7" t="str">
        <f>IF('Document Workflow'!A3045&lt;&gt;"",'Document Workflow'!A3045,"")</f>
        <v/>
      </c>
    </row>
    <row r="3047" spans="1:1">
      <c r="A3047" s="7" t="str">
        <f>IF('Document Workflow'!A3046&lt;&gt;"",'Document Workflow'!A3046,"")</f>
        <v/>
      </c>
    </row>
    <row r="3048" spans="1:1">
      <c r="A3048" s="7" t="str">
        <f>IF('Document Workflow'!A3047&lt;&gt;"",'Document Workflow'!A3047,"")</f>
        <v/>
      </c>
    </row>
    <row r="3049" spans="1:1">
      <c r="A3049" s="7" t="str">
        <f>IF('Document Workflow'!A3048&lt;&gt;"",'Document Workflow'!A3048,"")</f>
        <v/>
      </c>
    </row>
    <row r="3050" spans="1:1">
      <c r="A3050" s="7" t="str">
        <f>IF('Document Workflow'!A3049&lt;&gt;"",'Document Workflow'!A3049,"")</f>
        <v/>
      </c>
    </row>
    <row r="3051" spans="1:1">
      <c r="A3051" s="7" t="str">
        <f>IF('Document Workflow'!A3050&lt;&gt;"",'Document Workflow'!A3050,"")</f>
        <v/>
      </c>
    </row>
    <row r="3052" spans="1:1">
      <c r="A3052" s="7" t="str">
        <f>IF('Document Workflow'!A3051&lt;&gt;"",'Document Workflow'!A3051,"")</f>
        <v/>
      </c>
    </row>
    <row r="3053" spans="1:1">
      <c r="A3053" s="7" t="str">
        <f>IF('Document Workflow'!A3052&lt;&gt;"",'Document Workflow'!A3052,"")</f>
        <v/>
      </c>
    </row>
    <row r="3054" spans="1:1">
      <c r="A3054" s="7" t="str">
        <f>IF('Document Workflow'!A3053&lt;&gt;"",'Document Workflow'!A3053,"")</f>
        <v/>
      </c>
    </row>
    <row r="3055" spans="1:1">
      <c r="A3055" s="7" t="str">
        <f>IF('Document Workflow'!A3054&lt;&gt;"",'Document Workflow'!A3054,"")</f>
        <v/>
      </c>
    </row>
    <row r="3056" spans="1:1">
      <c r="A3056" s="7" t="str">
        <f>IF('Document Workflow'!A3055&lt;&gt;"",'Document Workflow'!A3055,"")</f>
        <v/>
      </c>
    </row>
    <row r="3057" spans="1:1">
      <c r="A3057" s="7" t="str">
        <f>IF('Document Workflow'!A3056&lt;&gt;"",'Document Workflow'!A3056,"")</f>
        <v/>
      </c>
    </row>
    <row r="3058" spans="1:1">
      <c r="A3058" s="7" t="str">
        <f>IF('Document Workflow'!A3057&lt;&gt;"",'Document Workflow'!A3057,"")</f>
        <v/>
      </c>
    </row>
    <row r="3059" spans="1:1">
      <c r="A3059" s="7" t="str">
        <f>IF('Document Workflow'!A3058&lt;&gt;"",'Document Workflow'!A3058,"")</f>
        <v/>
      </c>
    </row>
    <row r="3060" spans="1:1">
      <c r="A3060" s="7" t="str">
        <f>IF('Document Workflow'!A3059&lt;&gt;"",'Document Workflow'!A3059,"")</f>
        <v/>
      </c>
    </row>
    <row r="3061" spans="1:1">
      <c r="A3061" s="7" t="str">
        <f>IF('Document Workflow'!A3060&lt;&gt;"",'Document Workflow'!A3060,"")</f>
        <v/>
      </c>
    </row>
    <row r="3062" spans="1:1">
      <c r="A3062" s="7" t="str">
        <f>IF('Document Workflow'!A3061&lt;&gt;"",'Document Workflow'!A3061,"")</f>
        <v/>
      </c>
    </row>
    <row r="3063" spans="1:1">
      <c r="A3063" s="7" t="str">
        <f>IF('Document Workflow'!A3062&lt;&gt;"",'Document Workflow'!A3062,"")</f>
        <v/>
      </c>
    </row>
    <row r="3064" spans="1:1">
      <c r="A3064" s="7" t="str">
        <f>IF('Document Workflow'!A3063&lt;&gt;"",'Document Workflow'!A3063,"")</f>
        <v/>
      </c>
    </row>
    <row r="3065" spans="1:1">
      <c r="A3065" s="7" t="str">
        <f>IF('Document Workflow'!A3064&lt;&gt;"",'Document Workflow'!A3064,"")</f>
        <v/>
      </c>
    </row>
    <row r="3066" spans="1:1">
      <c r="A3066" s="7" t="str">
        <f>IF('Document Workflow'!A3065&lt;&gt;"",'Document Workflow'!A3065,"")</f>
        <v/>
      </c>
    </row>
    <row r="3067" spans="1:1">
      <c r="A3067" s="7" t="str">
        <f>IF('Document Workflow'!A3066&lt;&gt;"",'Document Workflow'!A3066,"")</f>
        <v/>
      </c>
    </row>
    <row r="3068" spans="1:1">
      <c r="A3068" s="7" t="str">
        <f>IF('Document Workflow'!A3067&lt;&gt;"",'Document Workflow'!A3067,"")</f>
        <v/>
      </c>
    </row>
    <row r="3069" spans="1:1">
      <c r="A3069" s="7" t="str">
        <f>IF('Document Workflow'!A3068&lt;&gt;"",'Document Workflow'!A3068,"")</f>
        <v/>
      </c>
    </row>
    <row r="3070" spans="1:1">
      <c r="A3070" s="7" t="str">
        <f>IF('Document Workflow'!A3069&lt;&gt;"",'Document Workflow'!A3069,"")</f>
        <v/>
      </c>
    </row>
    <row r="3071" spans="1:1">
      <c r="A3071" s="7" t="str">
        <f>IF('Document Workflow'!A3070&lt;&gt;"",'Document Workflow'!A3070,"")</f>
        <v/>
      </c>
    </row>
    <row r="3072" spans="1:1">
      <c r="A3072" s="7" t="str">
        <f>IF('Document Workflow'!A3071&lt;&gt;"",'Document Workflow'!A3071,"")</f>
        <v/>
      </c>
    </row>
    <row r="3073" spans="1:1">
      <c r="A3073" s="7" t="str">
        <f>IF('Document Workflow'!A3072&lt;&gt;"",'Document Workflow'!A3072,"")</f>
        <v/>
      </c>
    </row>
    <row r="3074" spans="1:1">
      <c r="A3074" s="7" t="str">
        <f>IF('Document Workflow'!A3073&lt;&gt;"",'Document Workflow'!A3073,"")</f>
        <v/>
      </c>
    </row>
    <row r="3075" spans="1:1">
      <c r="A3075" s="7" t="str">
        <f>IF('Document Workflow'!A3074&lt;&gt;"",'Document Workflow'!A3074,"")</f>
        <v/>
      </c>
    </row>
    <row r="3076" spans="1:1">
      <c r="A3076" s="7" t="str">
        <f>IF('Document Workflow'!A3075&lt;&gt;"",'Document Workflow'!A3075,"")</f>
        <v/>
      </c>
    </row>
    <row r="3077" spans="1:1">
      <c r="A3077" s="7" t="str">
        <f>IF('Document Workflow'!A3076&lt;&gt;"",'Document Workflow'!A3076,"")</f>
        <v/>
      </c>
    </row>
    <row r="3078" spans="1:1">
      <c r="A3078" s="7" t="str">
        <f>IF('Document Workflow'!A3077&lt;&gt;"",'Document Workflow'!A3077,"")</f>
        <v/>
      </c>
    </row>
    <row r="3079" spans="1:1">
      <c r="A3079" s="7" t="str">
        <f>IF('Document Workflow'!A3078&lt;&gt;"",'Document Workflow'!A3078,"")</f>
        <v/>
      </c>
    </row>
    <row r="3080" spans="1:1">
      <c r="A3080" s="7" t="str">
        <f>IF('Document Workflow'!A3079&lt;&gt;"",'Document Workflow'!A3079,"")</f>
        <v/>
      </c>
    </row>
    <row r="3081" spans="1:1">
      <c r="A3081" s="7" t="str">
        <f>IF('Document Workflow'!A3080&lt;&gt;"",'Document Workflow'!A3080,"")</f>
        <v/>
      </c>
    </row>
    <row r="3082" spans="1:1">
      <c r="A3082" s="7" t="str">
        <f>IF('Document Workflow'!A3081&lt;&gt;"",'Document Workflow'!A3081,"")</f>
        <v/>
      </c>
    </row>
    <row r="3083" spans="1:1">
      <c r="A3083" s="7" t="str">
        <f>IF('Document Workflow'!A3082&lt;&gt;"",'Document Workflow'!A3082,"")</f>
        <v/>
      </c>
    </row>
    <row r="3084" spans="1:1">
      <c r="A3084" s="7" t="str">
        <f>IF('Document Workflow'!A3083&lt;&gt;"",'Document Workflow'!A3083,"")</f>
        <v/>
      </c>
    </row>
    <row r="3085" spans="1:1">
      <c r="A3085" s="7" t="str">
        <f>IF('Document Workflow'!A3084&lt;&gt;"",'Document Workflow'!A3084,"")</f>
        <v/>
      </c>
    </row>
    <row r="3086" spans="1:1">
      <c r="A3086" s="7" t="str">
        <f>IF('Document Workflow'!A3085&lt;&gt;"",'Document Workflow'!A3085,"")</f>
        <v/>
      </c>
    </row>
    <row r="3087" spans="1:1">
      <c r="A3087" s="7" t="str">
        <f>IF('Document Workflow'!A3086&lt;&gt;"",'Document Workflow'!A3086,"")</f>
        <v/>
      </c>
    </row>
    <row r="3088" spans="1:1">
      <c r="A3088" s="7" t="str">
        <f>IF('Document Workflow'!A3087&lt;&gt;"",'Document Workflow'!A3087,"")</f>
        <v/>
      </c>
    </row>
    <row r="3089" spans="1:1">
      <c r="A3089" s="7" t="str">
        <f>IF('Document Workflow'!A3088&lt;&gt;"",'Document Workflow'!A3088,"")</f>
        <v/>
      </c>
    </row>
    <row r="3090" spans="1:1">
      <c r="A3090" s="7" t="str">
        <f>IF('Document Workflow'!A3089&lt;&gt;"",'Document Workflow'!A3089,"")</f>
        <v/>
      </c>
    </row>
    <row r="3091" spans="1:1">
      <c r="A3091" s="7" t="str">
        <f>IF('Document Workflow'!A3090&lt;&gt;"",'Document Workflow'!A3090,"")</f>
        <v/>
      </c>
    </row>
    <row r="3092" spans="1:1">
      <c r="A3092" s="7" t="str">
        <f>IF('Document Workflow'!A3091&lt;&gt;"",'Document Workflow'!A3091,"")</f>
        <v/>
      </c>
    </row>
    <row r="3093" spans="1:1">
      <c r="A3093" s="7" t="str">
        <f>IF('Document Workflow'!A3092&lt;&gt;"",'Document Workflow'!A3092,"")</f>
        <v/>
      </c>
    </row>
    <row r="3094" spans="1:1">
      <c r="A3094" s="7" t="str">
        <f>IF('Document Workflow'!A3093&lt;&gt;"",'Document Workflow'!A3093,"")</f>
        <v/>
      </c>
    </row>
    <row r="3095" spans="1:1">
      <c r="A3095" s="7" t="str">
        <f>IF('Document Workflow'!A3094&lt;&gt;"",'Document Workflow'!A3094,"")</f>
        <v/>
      </c>
    </row>
    <row r="3096" spans="1:1">
      <c r="A3096" s="7" t="str">
        <f>IF('Document Workflow'!A3095&lt;&gt;"",'Document Workflow'!A3095,"")</f>
        <v/>
      </c>
    </row>
    <row r="3097" spans="1:1">
      <c r="A3097" s="7" t="str">
        <f>IF('Document Workflow'!A3096&lt;&gt;"",'Document Workflow'!A3096,"")</f>
        <v/>
      </c>
    </row>
    <row r="3098" spans="1:1">
      <c r="A3098" s="7" t="str">
        <f>IF('Document Workflow'!A3097&lt;&gt;"",'Document Workflow'!A3097,"")</f>
        <v/>
      </c>
    </row>
    <row r="3099" spans="1:1">
      <c r="A3099" s="7" t="str">
        <f>IF('Document Workflow'!A3098&lt;&gt;"",'Document Workflow'!A3098,"")</f>
        <v/>
      </c>
    </row>
    <row r="3100" spans="1:1">
      <c r="A3100" s="7" t="str">
        <f>IF('Document Workflow'!A3099&lt;&gt;"",'Document Workflow'!A3099,"")</f>
        <v/>
      </c>
    </row>
    <row r="3101" spans="1:1">
      <c r="A3101" s="7" t="str">
        <f>IF('Document Workflow'!A3100&lt;&gt;"",'Document Workflow'!A3100,"")</f>
        <v/>
      </c>
    </row>
    <row r="3102" spans="1:1">
      <c r="A3102" s="7" t="str">
        <f>IF('Document Workflow'!A3101&lt;&gt;"",'Document Workflow'!A3101,"")</f>
        <v/>
      </c>
    </row>
    <row r="3103" spans="1:1">
      <c r="A3103" s="7" t="str">
        <f>IF('Document Workflow'!A3102&lt;&gt;"",'Document Workflow'!A3102,"")</f>
        <v/>
      </c>
    </row>
    <row r="3104" spans="1:1">
      <c r="A3104" s="7" t="str">
        <f>IF('Document Workflow'!A3103&lt;&gt;"",'Document Workflow'!A3103,"")</f>
        <v/>
      </c>
    </row>
    <row r="3105" spans="1:1">
      <c r="A3105" s="7" t="str">
        <f>IF('Document Workflow'!A3104&lt;&gt;"",'Document Workflow'!A3104,"")</f>
        <v/>
      </c>
    </row>
    <row r="3106" spans="1:1">
      <c r="A3106" s="7" t="str">
        <f>IF('Document Workflow'!A3105&lt;&gt;"",'Document Workflow'!A3105,"")</f>
        <v/>
      </c>
    </row>
    <row r="3107" spans="1:1">
      <c r="A3107" s="7" t="str">
        <f>IF('Document Workflow'!A3106&lt;&gt;"",'Document Workflow'!A3106,"")</f>
        <v/>
      </c>
    </row>
    <row r="3108" spans="1:1">
      <c r="A3108" s="7" t="str">
        <f>IF('Document Workflow'!A3107&lt;&gt;"",'Document Workflow'!A3107,"")</f>
        <v/>
      </c>
    </row>
    <row r="3109" spans="1:1">
      <c r="A3109" s="7" t="str">
        <f>IF('Document Workflow'!A3108&lt;&gt;"",'Document Workflow'!A3108,"")</f>
        <v/>
      </c>
    </row>
    <row r="3110" spans="1:1">
      <c r="A3110" s="7" t="str">
        <f>IF('Document Workflow'!A3109&lt;&gt;"",'Document Workflow'!A3109,"")</f>
        <v/>
      </c>
    </row>
    <row r="3111" spans="1:1">
      <c r="A3111" s="7" t="str">
        <f>IF('Document Workflow'!A3110&lt;&gt;"",'Document Workflow'!A3110,"")</f>
        <v/>
      </c>
    </row>
    <row r="3112" spans="1:1">
      <c r="A3112" s="7" t="str">
        <f>IF('Document Workflow'!A3111&lt;&gt;"",'Document Workflow'!A3111,"")</f>
        <v/>
      </c>
    </row>
    <row r="3113" spans="1:1">
      <c r="A3113" s="7" t="str">
        <f>IF('Document Workflow'!A3112&lt;&gt;"",'Document Workflow'!A3112,"")</f>
        <v/>
      </c>
    </row>
    <row r="3114" spans="1:1">
      <c r="A3114" s="7" t="str">
        <f>IF('Document Workflow'!A3113&lt;&gt;"",'Document Workflow'!A3113,"")</f>
        <v/>
      </c>
    </row>
    <row r="3115" spans="1:1">
      <c r="A3115" s="7" t="str">
        <f>IF('Document Workflow'!A3114&lt;&gt;"",'Document Workflow'!A3114,"")</f>
        <v/>
      </c>
    </row>
    <row r="3116" spans="1:1">
      <c r="A3116" s="7" t="str">
        <f>IF('Document Workflow'!A3115&lt;&gt;"",'Document Workflow'!A3115,"")</f>
        <v/>
      </c>
    </row>
    <row r="3117" spans="1:1">
      <c r="A3117" s="7" t="str">
        <f>IF('Document Workflow'!A3116&lt;&gt;"",'Document Workflow'!A3116,"")</f>
        <v/>
      </c>
    </row>
    <row r="3118" spans="1:1">
      <c r="A3118" s="7" t="str">
        <f>IF('Document Workflow'!A3117&lt;&gt;"",'Document Workflow'!A3117,"")</f>
        <v/>
      </c>
    </row>
    <row r="3119" spans="1:1">
      <c r="A3119" s="7" t="str">
        <f>IF('Document Workflow'!A3118&lt;&gt;"",'Document Workflow'!A3118,"")</f>
        <v/>
      </c>
    </row>
    <row r="3120" spans="1:1">
      <c r="A3120" s="7" t="str">
        <f>IF('Document Workflow'!A3119&lt;&gt;"",'Document Workflow'!A3119,"")</f>
        <v/>
      </c>
    </row>
    <row r="3121" spans="1:1">
      <c r="A3121" s="7" t="str">
        <f>IF('Document Workflow'!A3120&lt;&gt;"",'Document Workflow'!A3120,"")</f>
        <v/>
      </c>
    </row>
    <row r="3122" spans="1:1">
      <c r="A3122" s="7" t="str">
        <f>IF('Document Workflow'!A3121&lt;&gt;"",'Document Workflow'!A3121,"")</f>
        <v/>
      </c>
    </row>
    <row r="3123" spans="1:1">
      <c r="A3123" s="7" t="str">
        <f>IF('Document Workflow'!A3122&lt;&gt;"",'Document Workflow'!A3122,"")</f>
        <v/>
      </c>
    </row>
    <row r="3124" spans="1:1">
      <c r="A3124" s="7" t="str">
        <f>IF('Document Workflow'!A3123&lt;&gt;"",'Document Workflow'!A3123,"")</f>
        <v/>
      </c>
    </row>
    <row r="3125" spans="1:1">
      <c r="A3125" s="7" t="str">
        <f>IF('Document Workflow'!A3124&lt;&gt;"",'Document Workflow'!A3124,"")</f>
        <v/>
      </c>
    </row>
    <row r="3126" spans="1:1">
      <c r="A3126" s="7" t="str">
        <f>IF('Document Workflow'!A3125&lt;&gt;"",'Document Workflow'!A3125,"")</f>
        <v/>
      </c>
    </row>
    <row r="3127" spans="1:1">
      <c r="A3127" s="7" t="str">
        <f>IF('Document Workflow'!A3126&lt;&gt;"",'Document Workflow'!A3126,"")</f>
        <v/>
      </c>
    </row>
    <row r="3128" spans="1:1">
      <c r="A3128" s="7" t="str">
        <f>IF('Document Workflow'!A3127&lt;&gt;"",'Document Workflow'!A3127,"")</f>
        <v/>
      </c>
    </row>
    <row r="3129" spans="1:1">
      <c r="A3129" s="7" t="str">
        <f>IF('Document Workflow'!A3128&lt;&gt;"",'Document Workflow'!A3128,"")</f>
        <v/>
      </c>
    </row>
    <row r="3130" spans="1:1">
      <c r="A3130" s="7" t="str">
        <f>IF('Document Workflow'!A3129&lt;&gt;"",'Document Workflow'!A3129,"")</f>
        <v/>
      </c>
    </row>
    <row r="3131" spans="1:1">
      <c r="A3131" s="7" t="str">
        <f>IF('Document Workflow'!A3130&lt;&gt;"",'Document Workflow'!A3130,"")</f>
        <v/>
      </c>
    </row>
    <row r="3132" spans="1:1">
      <c r="A3132" s="7" t="str">
        <f>IF('Document Workflow'!A3131&lt;&gt;"",'Document Workflow'!A3131,"")</f>
        <v/>
      </c>
    </row>
    <row r="3133" spans="1:1">
      <c r="A3133" s="7" t="str">
        <f>IF('Document Workflow'!A3132&lt;&gt;"",'Document Workflow'!A3132,"")</f>
        <v/>
      </c>
    </row>
    <row r="3134" spans="1:1">
      <c r="A3134" s="7" t="str">
        <f>IF('Document Workflow'!A3133&lt;&gt;"",'Document Workflow'!A3133,"")</f>
        <v/>
      </c>
    </row>
    <row r="3135" spans="1:1">
      <c r="A3135" s="7" t="str">
        <f>IF('Document Workflow'!A3134&lt;&gt;"",'Document Workflow'!A3134,"")</f>
        <v/>
      </c>
    </row>
    <row r="3136" spans="1:1">
      <c r="A3136" s="7" t="str">
        <f>IF('Document Workflow'!A3135&lt;&gt;"",'Document Workflow'!A3135,"")</f>
        <v/>
      </c>
    </row>
    <row r="3137" spans="1:1">
      <c r="A3137" s="7" t="str">
        <f>IF('Document Workflow'!A3136&lt;&gt;"",'Document Workflow'!A3136,"")</f>
        <v/>
      </c>
    </row>
    <row r="3138" spans="1:1">
      <c r="A3138" s="7" t="str">
        <f>IF('Document Workflow'!A3137&lt;&gt;"",'Document Workflow'!A3137,"")</f>
        <v/>
      </c>
    </row>
    <row r="3139" spans="1:1">
      <c r="A3139" s="7" t="str">
        <f>IF('Document Workflow'!A3138&lt;&gt;"",'Document Workflow'!A3138,"")</f>
        <v/>
      </c>
    </row>
    <row r="3140" spans="1:1">
      <c r="A3140" s="7" t="str">
        <f>IF('Document Workflow'!A3139&lt;&gt;"",'Document Workflow'!A3139,"")</f>
        <v/>
      </c>
    </row>
    <row r="3141" spans="1:1">
      <c r="A3141" s="7" t="str">
        <f>IF('Document Workflow'!A3140&lt;&gt;"",'Document Workflow'!A3140,"")</f>
        <v/>
      </c>
    </row>
    <row r="3142" spans="1:1">
      <c r="A3142" s="7" t="str">
        <f>IF('Document Workflow'!A3141&lt;&gt;"",'Document Workflow'!A3141,"")</f>
        <v/>
      </c>
    </row>
    <row r="3143" spans="1:1">
      <c r="A3143" s="7" t="str">
        <f>IF('Document Workflow'!A3142&lt;&gt;"",'Document Workflow'!A3142,"")</f>
        <v/>
      </c>
    </row>
    <row r="3144" spans="1:1">
      <c r="A3144" s="7" t="str">
        <f>IF('Document Workflow'!A3143&lt;&gt;"",'Document Workflow'!A3143,"")</f>
        <v/>
      </c>
    </row>
    <row r="3145" spans="1:1">
      <c r="A3145" s="7" t="str">
        <f>IF('Document Workflow'!A3144&lt;&gt;"",'Document Workflow'!A3144,"")</f>
        <v/>
      </c>
    </row>
    <row r="3146" spans="1:1">
      <c r="A3146" s="7" t="str">
        <f>IF('Document Workflow'!A3145&lt;&gt;"",'Document Workflow'!A3145,"")</f>
        <v/>
      </c>
    </row>
    <row r="3147" spans="1:1">
      <c r="A3147" s="7" t="str">
        <f>IF('Document Workflow'!A3146&lt;&gt;"",'Document Workflow'!A3146,"")</f>
        <v/>
      </c>
    </row>
    <row r="3148" spans="1:1">
      <c r="A3148" s="7" t="str">
        <f>IF('Document Workflow'!A3147&lt;&gt;"",'Document Workflow'!A3147,"")</f>
        <v/>
      </c>
    </row>
    <row r="3149" spans="1:1">
      <c r="A3149" s="7" t="str">
        <f>IF('Document Workflow'!A3148&lt;&gt;"",'Document Workflow'!A3148,"")</f>
        <v/>
      </c>
    </row>
    <row r="3150" spans="1:1">
      <c r="A3150" s="7" t="str">
        <f>IF('Document Workflow'!A3149&lt;&gt;"",'Document Workflow'!A3149,"")</f>
        <v/>
      </c>
    </row>
    <row r="3151" spans="1:1">
      <c r="A3151" s="7" t="str">
        <f>IF('Document Workflow'!A3150&lt;&gt;"",'Document Workflow'!A3150,"")</f>
        <v/>
      </c>
    </row>
    <row r="3152" spans="1:1">
      <c r="A3152" s="7" t="str">
        <f>IF('Document Workflow'!A3151&lt;&gt;"",'Document Workflow'!A3151,"")</f>
        <v/>
      </c>
    </row>
    <row r="3153" spans="1:1">
      <c r="A3153" s="7" t="str">
        <f>IF('Document Workflow'!A3152&lt;&gt;"",'Document Workflow'!A3152,"")</f>
        <v/>
      </c>
    </row>
    <row r="3154" spans="1:1">
      <c r="A3154" s="7" t="str">
        <f>IF('Document Workflow'!A3153&lt;&gt;"",'Document Workflow'!A3153,"")</f>
        <v/>
      </c>
    </row>
    <row r="3155" spans="1:1">
      <c r="A3155" s="7" t="str">
        <f>IF('Document Workflow'!A3154&lt;&gt;"",'Document Workflow'!A3154,"")</f>
        <v/>
      </c>
    </row>
    <row r="3156" spans="1:1">
      <c r="A3156" s="7" t="str">
        <f>IF('Document Workflow'!A3155&lt;&gt;"",'Document Workflow'!A3155,"")</f>
        <v/>
      </c>
    </row>
    <row r="3157" spans="1:1">
      <c r="A3157" s="7" t="str">
        <f>IF('Document Workflow'!A3156&lt;&gt;"",'Document Workflow'!A3156,"")</f>
        <v/>
      </c>
    </row>
    <row r="3158" spans="1:1">
      <c r="A3158" s="7" t="str">
        <f>IF('Document Workflow'!A3157&lt;&gt;"",'Document Workflow'!A3157,"")</f>
        <v/>
      </c>
    </row>
    <row r="3159" spans="1:1">
      <c r="A3159" s="7" t="str">
        <f>IF('Document Workflow'!A3158&lt;&gt;"",'Document Workflow'!A3158,"")</f>
        <v/>
      </c>
    </row>
    <row r="3160" spans="1:1">
      <c r="A3160" s="7" t="str">
        <f>IF('Document Workflow'!A3159&lt;&gt;"",'Document Workflow'!A3159,"")</f>
        <v/>
      </c>
    </row>
    <row r="3161" spans="1:1">
      <c r="A3161" s="7" t="str">
        <f>IF('Document Workflow'!A3160&lt;&gt;"",'Document Workflow'!A3160,"")</f>
        <v/>
      </c>
    </row>
    <row r="3162" spans="1:1">
      <c r="A3162" s="7" t="str">
        <f>IF('Document Workflow'!A3161&lt;&gt;"",'Document Workflow'!A3161,"")</f>
        <v/>
      </c>
    </row>
    <row r="3163" spans="1:1">
      <c r="A3163" s="7" t="str">
        <f>IF('Document Workflow'!A3162&lt;&gt;"",'Document Workflow'!A3162,"")</f>
        <v/>
      </c>
    </row>
    <row r="3164" spans="1:1">
      <c r="A3164" s="7" t="str">
        <f>IF('Document Workflow'!A3163&lt;&gt;"",'Document Workflow'!A3163,"")</f>
        <v/>
      </c>
    </row>
    <row r="3165" spans="1:1">
      <c r="A3165" s="7" t="str">
        <f>IF('Document Workflow'!A3164&lt;&gt;"",'Document Workflow'!A3164,"")</f>
        <v/>
      </c>
    </row>
    <row r="3166" spans="1:1">
      <c r="A3166" s="7" t="str">
        <f>IF('Document Workflow'!A3165&lt;&gt;"",'Document Workflow'!A3165,"")</f>
        <v/>
      </c>
    </row>
    <row r="3167" spans="1:1">
      <c r="A3167" s="7" t="str">
        <f>IF('Document Workflow'!A3166&lt;&gt;"",'Document Workflow'!A3166,"")</f>
        <v/>
      </c>
    </row>
    <row r="3168" spans="1:1">
      <c r="A3168" s="7" t="str">
        <f>IF('Document Workflow'!A3167&lt;&gt;"",'Document Workflow'!A3167,"")</f>
        <v/>
      </c>
    </row>
    <row r="3169" spans="1:1">
      <c r="A3169" s="7" t="str">
        <f>IF('Document Workflow'!A3168&lt;&gt;"",'Document Workflow'!A3168,"")</f>
        <v/>
      </c>
    </row>
    <row r="3170" spans="1:1">
      <c r="A3170" s="7" t="str">
        <f>IF('Document Workflow'!A3169&lt;&gt;"",'Document Workflow'!A3169,"")</f>
        <v/>
      </c>
    </row>
    <row r="3171" spans="1:1">
      <c r="A3171" s="7" t="str">
        <f>IF('Document Workflow'!A3170&lt;&gt;"",'Document Workflow'!A3170,"")</f>
        <v/>
      </c>
    </row>
    <row r="3172" spans="1:1">
      <c r="A3172" s="7" t="str">
        <f>IF('Document Workflow'!A3171&lt;&gt;"",'Document Workflow'!A3171,"")</f>
        <v/>
      </c>
    </row>
    <row r="3173" spans="1:1">
      <c r="A3173" s="7" t="str">
        <f>IF('Document Workflow'!A3172&lt;&gt;"",'Document Workflow'!A3172,"")</f>
        <v/>
      </c>
    </row>
    <row r="3174" spans="1:1">
      <c r="A3174" s="7" t="str">
        <f>IF('Document Workflow'!A3173&lt;&gt;"",'Document Workflow'!A3173,"")</f>
        <v/>
      </c>
    </row>
    <row r="3175" spans="1:1">
      <c r="A3175" s="7" t="str">
        <f>IF('Document Workflow'!A3174&lt;&gt;"",'Document Workflow'!A3174,"")</f>
        <v/>
      </c>
    </row>
    <row r="3176" spans="1:1">
      <c r="A3176" s="7" t="str">
        <f>IF('Document Workflow'!A3175&lt;&gt;"",'Document Workflow'!A3175,"")</f>
        <v/>
      </c>
    </row>
    <row r="3177" spans="1:1">
      <c r="A3177" s="7" t="str">
        <f>IF('Document Workflow'!A3176&lt;&gt;"",'Document Workflow'!A3176,"")</f>
        <v/>
      </c>
    </row>
    <row r="3178" spans="1:1">
      <c r="A3178" s="7" t="str">
        <f>IF('Document Workflow'!A3177&lt;&gt;"",'Document Workflow'!A3177,"")</f>
        <v/>
      </c>
    </row>
    <row r="3179" spans="1:1">
      <c r="A3179" s="7" t="str">
        <f>IF('Document Workflow'!A3178&lt;&gt;"",'Document Workflow'!A3178,"")</f>
        <v/>
      </c>
    </row>
    <row r="3180" spans="1:1">
      <c r="A3180" s="7" t="str">
        <f>IF('Document Workflow'!A3179&lt;&gt;"",'Document Workflow'!A3179,"")</f>
        <v/>
      </c>
    </row>
    <row r="3181" spans="1:1">
      <c r="A3181" s="7" t="str">
        <f>IF('Document Workflow'!A3180&lt;&gt;"",'Document Workflow'!A3180,"")</f>
        <v/>
      </c>
    </row>
    <row r="3182" spans="1:1">
      <c r="A3182" s="7" t="str">
        <f>IF('Document Workflow'!A3181&lt;&gt;"",'Document Workflow'!A3181,"")</f>
        <v/>
      </c>
    </row>
    <row r="3183" spans="1:1">
      <c r="A3183" s="7" t="str">
        <f>IF('Document Workflow'!A3182&lt;&gt;"",'Document Workflow'!A3182,"")</f>
        <v/>
      </c>
    </row>
    <row r="3184" spans="1:1">
      <c r="A3184" s="7" t="str">
        <f>IF('Document Workflow'!A3183&lt;&gt;"",'Document Workflow'!A3183,"")</f>
        <v/>
      </c>
    </row>
    <row r="3185" spans="1:1">
      <c r="A3185" s="7" t="str">
        <f>IF('Document Workflow'!A3184&lt;&gt;"",'Document Workflow'!A3184,"")</f>
        <v/>
      </c>
    </row>
    <row r="3186" spans="1:1">
      <c r="A3186" s="7" t="str">
        <f>IF('Document Workflow'!A3185&lt;&gt;"",'Document Workflow'!A3185,"")</f>
        <v/>
      </c>
    </row>
    <row r="3187" spans="1:1">
      <c r="A3187" s="7" t="str">
        <f>IF('Document Workflow'!A3186&lt;&gt;"",'Document Workflow'!A3186,"")</f>
        <v/>
      </c>
    </row>
    <row r="3188" spans="1:1">
      <c r="A3188" s="7" t="str">
        <f>IF('Document Workflow'!A3187&lt;&gt;"",'Document Workflow'!A3187,"")</f>
        <v/>
      </c>
    </row>
    <row r="3189" spans="1:1">
      <c r="A3189" s="7" t="str">
        <f>IF('Document Workflow'!A3188&lt;&gt;"",'Document Workflow'!A3188,"")</f>
        <v/>
      </c>
    </row>
    <row r="3190" spans="1:1">
      <c r="A3190" s="7" t="str">
        <f>IF('Document Workflow'!A3189&lt;&gt;"",'Document Workflow'!A3189,"")</f>
        <v/>
      </c>
    </row>
    <row r="3191" spans="1:1">
      <c r="A3191" s="7" t="str">
        <f>IF('Document Workflow'!A3190&lt;&gt;"",'Document Workflow'!A3190,"")</f>
        <v/>
      </c>
    </row>
    <row r="3192" spans="1:1">
      <c r="A3192" s="7" t="str">
        <f>IF('Document Workflow'!A3191&lt;&gt;"",'Document Workflow'!A3191,"")</f>
        <v/>
      </c>
    </row>
    <row r="3193" spans="1:1">
      <c r="A3193" s="7" t="str">
        <f>IF('Document Workflow'!A3192&lt;&gt;"",'Document Workflow'!A3192,"")</f>
        <v/>
      </c>
    </row>
    <row r="3194" spans="1:1">
      <c r="A3194" s="7" t="str">
        <f>IF('Document Workflow'!A3193&lt;&gt;"",'Document Workflow'!A3193,"")</f>
        <v/>
      </c>
    </row>
    <row r="3195" spans="1:1">
      <c r="A3195" s="7" t="str">
        <f>IF('Document Workflow'!A3194&lt;&gt;"",'Document Workflow'!A3194,"")</f>
        <v/>
      </c>
    </row>
    <row r="3196" spans="1:1">
      <c r="A3196" s="7" t="str">
        <f>IF('Document Workflow'!A3195&lt;&gt;"",'Document Workflow'!A3195,"")</f>
        <v/>
      </c>
    </row>
    <row r="3197" spans="1:1">
      <c r="A3197" s="7" t="str">
        <f>IF('Document Workflow'!A3196&lt;&gt;"",'Document Workflow'!A3196,"")</f>
        <v/>
      </c>
    </row>
    <row r="3198" spans="1:1">
      <c r="A3198" s="7" t="str">
        <f>IF('Document Workflow'!A3197&lt;&gt;"",'Document Workflow'!A3197,"")</f>
        <v/>
      </c>
    </row>
    <row r="3199" spans="1:1">
      <c r="A3199" s="7" t="str">
        <f>IF('Document Workflow'!A3198&lt;&gt;"",'Document Workflow'!A3198,"")</f>
        <v/>
      </c>
    </row>
    <row r="3200" spans="1:1">
      <c r="A3200" s="7" t="str">
        <f>IF('Document Workflow'!A3199&lt;&gt;"",'Document Workflow'!A3199,"")</f>
        <v/>
      </c>
    </row>
    <row r="3201" spans="1:1">
      <c r="A3201" s="7" t="str">
        <f>IF('Document Workflow'!A3200&lt;&gt;"",'Document Workflow'!A3200,"")</f>
        <v/>
      </c>
    </row>
    <row r="3202" spans="1:1">
      <c r="A3202" s="7" t="str">
        <f>IF('Document Workflow'!A3201&lt;&gt;"",'Document Workflow'!A3201,"")</f>
        <v/>
      </c>
    </row>
    <row r="3203" spans="1:1">
      <c r="A3203" s="7" t="str">
        <f>IF('Document Workflow'!A3202&lt;&gt;"",'Document Workflow'!A3202,"")</f>
        <v/>
      </c>
    </row>
    <row r="3204" spans="1:1">
      <c r="A3204" s="7" t="str">
        <f>IF('Document Workflow'!A3203&lt;&gt;"",'Document Workflow'!A3203,"")</f>
        <v/>
      </c>
    </row>
    <row r="3205" spans="1:1">
      <c r="A3205" s="7" t="str">
        <f>IF('Document Workflow'!A3204&lt;&gt;"",'Document Workflow'!A3204,"")</f>
        <v/>
      </c>
    </row>
    <row r="3206" spans="1:1">
      <c r="A3206" s="7" t="str">
        <f>IF('Document Workflow'!A3205&lt;&gt;"",'Document Workflow'!A3205,"")</f>
        <v/>
      </c>
    </row>
    <row r="3207" spans="1:1">
      <c r="A3207" s="7" t="str">
        <f>IF('Document Workflow'!A3206&lt;&gt;"",'Document Workflow'!A3206,"")</f>
        <v/>
      </c>
    </row>
    <row r="3208" spans="1:1">
      <c r="A3208" s="7" t="str">
        <f>IF('Document Workflow'!A3207&lt;&gt;"",'Document Workflow'!A3207,"")</f>
        <v/>
      </c>
    </row>
    <row r="3209" spans="1:1">
      <c r="A3209" s="7" t="str">
        <f>IF('Document Workflow'!A3208&lt;&gt;"",'Document Workflow'!A3208,"")</f>
        <v/>
      </c>
    </row>
    <row r="3210" spans="1:1">
      <c r="A3210" s="7" t="str">
        <f>IF('Document Workflow'!A3209&lt;&gt;"",'Document Workflow'!A3209,"")</f>
        <v/>
      </c>
    </row>
    <row r="3211" spans="1:1">
      <c r="A3211" s="7" t="str">
        <f>IF('Document Workflow'!A3210&lt;&gt;"",'Document Workflow'!A3210,"")</f>
        <v/>
      </c>
    </row>
    <row r="3212" spans="1:1">
      <c r="A3212" s="7" t="str">
        <f>IF('Document Workflow'!A3211&lt;&gt;"",'Document Workflow'!A3211,"")</f>
        <v/>
      </c>
    </row>
    <row r="3213" spans="1:1">
      <c r="A3213" s="7" t="str">
        <f>IF('Document Workflow'!A3212&lt;&gt;"",'Document Workflow'!A3212,"")</f>
        <v/>
      </c>
    </row>
    <row r="3214" spans="1:1">
      <c r="A3214" s="7" t="str">
        <f>IF('Document Workflow'!A3213&lt;&gt;"",'Document Workflow'!A3213,"")</f>
        <v/>
      </c>
    </row>
    <row r="3215" spans="1:1">
      <c r="A3215" s="7" t="str">
        <f>IF('Document Workflow'!A3214&lt;&gt;"",'Document Workflow'!A3214,"")</f>
        <v/>
      </c>
    </row>
    <row r="3216" spans="1:1">
      <c r="A3216" s="7" t="str">
        <f>IF('Document Workflow'!A3215&lt;&gt;"",'Document Workflow'!A3215,"")</f>
        <v/>
      </c>
    </row>
    <row r="3217" spans="1:1">
      <c r="A3217" s="7" t="str">
        <f>IF('Document Workflow'!A3216&lt;&gt;"",'Document Workflow'!A3216,"")</f>
        <v/>
      </c>
    </row>
    <row r="3218" spans="1:1">
      <c r="A3218" s="7" t="str">
        <f>IF('Document Workflow'!A3217&lt;&gt;"",'Document Workflow'!A3217,"")</f>
        <v/>
      </c>
    </row>
    <row r="3219" spans="1:1">
      <c r="A3219" s="7" t="str">
        <f>IF('Document Workflow'!A3218&lt;&gt;"",'Document Workflow'!A3218,"")</f>
        <v/>
      </c>
    </row>
    <row r="3220" spans="1:1">
      <c r="A3220" s="7" t="str">
        <f>IF('Document Workflow'!A3219&lt;&gt;"",'Document Workflow'!A3219,"")</f>
        <v/>
      </c>
    </row>
    <row r="3221" spans="1:1">
      <c r="A3221" s="7" t="str">
        <f>IF('Document Workflow'!A3220&lt;&gt;"",'Document Workflow'!A3220,"")</f>
        <v/>
      </c>
    </row>
    <row r="3222" spans="1:1">
      <c r="A3222" s="7" t="str">
        <f>IF('Document Workflow'!A3221&lt;&gt;"",'Document Workflow'!A3221,"")</f>
        <v/>
      </c>
    </row>
    <row r="3223" spans="1:1">
      <c r="A3223" s="7" t="str">
        <f>IF('Document Workflow'!A3222&lt;&gt;"",'Document Workflow'!A3222,"")</f>
        <v/>
      </c>
    </row>
    <row r="3224" spans="1:1">
      <c r="A3224" s="7" t="str">
        <f>IF('Document Workflow'!A3223&lt;&gt;"",'Document Workflow'!A3223,"")</f>
        <v/>
      </c>
    </row>
    <row r="3225" spans="1:1">
      <c r="A3225" s="7" t="str">
        <f>IF('Document Workflow'!A3224&lt;&gt;"",'Document Workflow'!A3224,"")</f>
        <v/>
      </c>
    </row>
    <row r="3226" spans="1:1">
      <c r="A3226" s="7" t="str">
        <f>IF('Document Workflow'!A3225&lt;&gt;"",'Document Workflow'!A3225,"")</f>
        <v/>
      </c>
    </row>
    <row r="3227" spans="1:1">
      <c r="A3227" s="7" t="str">
        <f>IF('Document Workflow'!A3226&lt;&gt;"",'Document Workflow'!A3226,"")</f>
        <v/>
      </c>
    </row>
    <row r="3228" spans="1:1">
      <c r="A3228" s="7" t="str">
        <f>IF('Document Workflow'!A3227&lt;&gt;"",'Document Workflow'!A3227,"")</f>
        <v/>
      </c>
    </row>
    <row r="3229" spans="1:1">
      <c r="A3229" s="7" t="str">
        <f>IF('Document Workflow'!A3228&lt;&gt;"",'Document Workflow'!A3228,"")</f>
        <v/>
      </c>
    </row>
    <row r="3230" spans="1:1">
      <c r="A3230" s="7" t="str">
        <f>IF('Document Workflow'!A3229&lt;&gt;"",'Document Workflow'!A3229,"")</f>
        <v/>
      </c>
    </row>
    <row r="3231" spans="1:1">
      <c r="A3231" s="7" t="str">
        <f>IF('Document Workflow'!A3230&lt;&gt;"",'Document Workflow'!A3230,"")</f>
        <v/>
      </c>
    </row>
    <row r="3232" spans="1:1">
      <c r="A3232" s="7" t="str">
        <f>IF('Document Workflow'!A3231&lt;&gt;"",'Document Workflow'!A3231,"")</f>
        <v/>
      </c>
    </row>
    <row r="3233" spans="1:1">
      <c r="A3233" s="7" t="str">
        <f>IF('Document Workflow'!A3232&lt;&gt;"",'Document Workflow'!A3232,"")</f>
        <v/>
      </c>
    </row>
    <row r="3234" spans="1:1">
      <c r="A3234" s="7" t="str">
        <f>IF('Document Workflow'!A3233&lt;&gt;"",'Document Workflow'!A3233,"")</f>
        <v/>
      </c>
    </row>
    <row r="3235" spans="1:1">
      <c r="A3235" s="7" t="str">
        <f>IF('Document Workflow'!A3234&lt;&gt;"",'Document Workflow'!A3234,"")</f>
        <v/>
      </c>
    </row>
    <row r="3236" spans="1:1">
      <c r="A3236" s="7" t="str">
        <f>IF('Document Workflow'!A3235&lt;&gt;"",'Document Workflow'!A3235,"")</f>
        <v/>
      </c>
    </row>
    <row r="3237" spans="1:1">
      <c r="A3237" s="7" t="str">
        <f>IF('Document Workflow'!A3236&lt;&gt;"",'Document Workflow'!A3236,"")</f>
        <v/>
      </c>
    </row>
    <row r="3238" spans="1:1">
      <c r="A3238" s="7" t="str">
        <f>IF('Document Workflow'!A3237&lt;&gt;"",'Document Workflow'!A3237,"")</f>
        <v/>
      </c>
    </row>
    <row r="3239" spans="1:1">
      <c r="A3239" s="7" t="str">
        <f>IF('Document Workflow'!A3238&lt;&gt;"",'Document Workflow'!A3238,"")</f>
        <v/>
      </c>
    </row>
    <row r="3240" spans="1:1">
      <c r="A3240" s="7" t="str">
        <f>IF('Document Workflow'!A3239&lt;&gt;"",'Document Workflow'!A3239,"")</f>
        <v/>
      </c>
    </row>
    <row r="3241" spans="1:1">
      <c r="A3241" s="7" t="str">
        <f>IF('Document Workflow'!A3240&lt;&gt;"",'Document Workflow'!A3240,"")</f>
        <v/>
      </c>
    </row>
    <row r="3242" spans="1:1">
      <c r="A3242" s="7" t="str">
        <f>IF('Document Workflow'!A3241&lt;&gt;"",'Document Workflow'!A3241,"")</f>
        <v/>
      </c>
    </row>
    <row r="3243" spans="1:1">
      <c r="A3243" s="7" t="str">
        <f>IF('Document Workflow'!A3242&lt;&gt;"",'Document Workflow'!A3242,"")</f>
        <v/>
      </c>
    </row>
    <row r="3244" spans="1:1">
      <c r="A3244" s="7" t="str">
        <f>IF('Document Workflow'!A3243&lt;&gt;"",'Document Workflow'!A3243,"")</f>
        <v/>
      </c>
    </row>
    <row r="3245" spans="1:1">
      <c r="A3245" s="7" t="str">
        <f>IF('Document Workflow'!A3244&lt;&gt;"",'Document Workflow'!A3244,"")</f>
        <v/>
      </c>
    </row>
    <row r="3246" spans="1:1">
      <c r="A3246" s="7" t="str">
        <f>IF('Document Workflow'!A3245&lt;&gt;"",'Document Workflow'!A3245,"")</f>
        <v/>
      </c>
    </row>
    <row r="3247" spans="1:1">
      <c r="A3247" s="7" t="str">
        <f>IF('Document Workflow'!A3246&lt;&gt;"",'Document Workflow'!A3246,"")</f>
        <v/>
      </c>
    </row>
    <row r="3248" spans="1:1">
      <c r="A3248" s="7" t="str">
        <f>IF('Document Workflow'!A3247&lt;&gt;"",'Document Workflow'!A3247,"")</f>
        <v/>
      </c>
    </row>
    <row r="3249" spans="1:1">
      <c r="A3249" s="7" t="str">
        <f>IF('Document Workflow'!A3248&lt;&gt;"",'Document Workflow'!A3248,"")</f>
        <v/>
      </c>
    </row>
    <row r="3250" spans="1:1">
      <c r="A3250" s="7" t="str">
        <f>IF('Document Workflow'!A3249&lt;&gt;"",'Document Workflow'!A3249,"")</f>
        <v/>
      </c>
    </row>
    <row r="3251" spans="1:1">
      <c r="A3251" s="7" t="str">
        <f>IF('Document Workflow'!A3250&lt;&gt;"",'Document Workflow'!A3250,"")</f>
        <v/>
      </c>
    </row>
    <row r="3252" spans="1:1">
      <c r="A3252" s="7" t="str">
        <f>IF('Document Workflow'!A3251&lt;&gt;"",'Document Workflow'!A3251,"")</f>
        <v/>
      </c>
    </row>
    <row r="3253" spans="1:1">
      <c r="A3253" s="7" t="str">
        <f>IF('Document Workflow'!A3252&lt;&gt;"",'Document Workflow'!A3252,"")</f>
        <v/>
      </c>
    </row>
    <row r="3254" spans="1:1">
      <c r="A3254" s="7" t="str">
        <f>IF('Document Workflow'!A3253&lt;&gt;"",'Document Workflow'!A3253,"")</f>
        <v/>
      </c>
    </row>
    <row r="3255" spans="1:1">
      <c r="A3255" s="7" t="str">
        <f>IF('Document Workflow'!A3254&lt;&gt;"",'Document Workflow'!A3254,"")</f>
        <v/>
      </c>
    </row>
    <row r="3256" spans="1:1">
      <c r="A3256" s="7" t="str">
        <f>IF('Document Workflow'!A3255&lt;&gt;"",'Document Workflow'!A3255,"")</f>
        <v/>
      </c>
    </row>
    <row r="3257" spans="1:1">
      <c r="A3257" s="7" t="str">
        <f>IF('Document Workflow'!A3256&lt;&gt;"",'Document Workflow'!A3256,"")</f>
        <v/>
      </c>
    </row>
    <row r="3258" spans="1:1">
      <c r="A3258" s="7" t="str">
        <f>IF('Document Workflow'!A3257&lt;&gt;"",'Document Workflow'!A3257,"")</f>
        <v/>
      </c>
    </row>
    <row r="3259" spans="1:1">
      <c r="A3259" s="7" t="str">
        <f>IF('Document Workflow'!A3258&lt;&gt;"",'Document Workflow'!A3258,"")</f>
        <v/>
      </c>
    </row>
    <row r="3260" spans="1:1">
      <c r="A3260" s="7" t="str">
        <f>IF('Document Workflow'!A3259&lt;&gt;"",'Document Workflow'!A3259,"")</f>
        <v/>
      </c>
    </row>
    <row r="3261" spans="1:1">
      <c r="A3261" s="7" t="str">
        <f>IF('Document Workflow'!A3260&lt;&gt;"",'Document Workflow'!A3260,"")</f>
        <v/>
      </c>
    </row>
    <row r="3262" spans="1:1">
      <c r="A3262" s="7" t="str">
        <f>IF('Document Workflow'!A3261&lt;&gt;"",'Document Workflow'!A3261,"")</f>
        <v/>
      </c>
    </row>
    <row r="3263" spans="1:1">
      <c r="A3263" s="7" t="str">
        <f>IF('Document Workflow'!A3262&lt;&gt;"",'Document Workflow'!A3262,"")</f>
        <v/>
      </c>
    </row>
    <row r="3264" spans="1:1">
      <c r="A3264" s="7" t="str">
        <f>IF('Document Workflow'!A3263&lt;&gt;"",'Document Workflow'!A3263,"")</f>
        <v/>
      </c>
    </row>
    <row r="3265" spans="1:1">
      <c r="A3265" s="7" t="str">
        <f>IF('Document Workflow'!A3264&lt;&gt;"",'Document Workflow'!A3264,"")</f>
        <v/>
      </c>
    </row>
    <row r="3266" spans="1:1">
      <c r="A3266" s="7" t="str">
        <f>IF('Document Workflow'!A3265&lt;&gt;"",'Document Workflow'!A3265,"")</f>
        <v/>
      </c>
    </row>
    <row r="3267" spans="1:1">
      <c r="A3267" s="7" t="str">
        <f>IF('Document Workflow'!A3266&lt;&gt;"",'Document Workflow'!A3266,"")</f>
        <v/>
      </c>
    </row>
    <row r="3268" spans="1:1">
      <c r="A3268" s="7" t="str">
        <f>IF('Document Workflow'!A3267&lt;&gt;"",'Document Workflow'!A3267,"")</f>
        <v/>
      </c>
    </row>
    <row r="3269" spans="1:1">
      <c r="A3269" s="7" t="str">
        <f>IF('Document Workflow'!A3268&lt;&gt;"",'Document Workflow'!A3268,"")</f>
        <v/>
      </c>
    </row>
    <row r="3270" spans="1:1">
      <c r="A3270" s="7" t="str">
        <f>IF('Document Workflow'!A3269&lt;&gt;"",'Document Workflow'!A3269,"")</f>
        <v/>
      </c>
    </row>
    <row r="3271" spans="1:1">
      <c r="A3271" s="7" t="str">
        <f>IF('Document Workflow'!A3270&lt;&gt;"",'Document Workflow'!A3270,"")</f>
        <v/>
      </c>
    </row>
    <row r="3272" spans="1:1">
      <c r="A3272" s="7" t="str">
        <f>IF('Document Workflow'!A3271&lt;&gt;"",'Document Workflow'!A3271,"")</f>
        <v/>
      </c>
    </row>
    <row r="3273" spans="1:1">
      <c r="A3273" s="7" t="str">
        <f>IF('Document Workflow'!A3272&lt;&gt;"",'Document Workflow'!A3272,"")</f>
        <v/>
      </c>
    </row>
    <row r="3274" spans="1:1">
      <c r="A3274" s="7" t="str">
        <f>IF('Document Workflow'!A3273&lt;&gt;"",'Document Workflow'!A3273,"")</f>
        <v/>
      </c>
    </row>
    <row r="3275" spans="1:1">
      <c r="A3275" s="7" t="str">
        <f>IF('Document Workflow'!A3274&lt;&gt;"",'Document Workflow'!A3274,"")</f>
        <v/>
      </c>
    </row>
    <row r="3276" spans="1:1">
      <c r="A3276" s="7" t="str">
        <f>IF('Document Workflow'!A3275&lt;&gt;"",'Document Workflow'!A3275,"")</f>
        <v/>
      </c>
    </row>
    <row r="3277" spans="1:1">
      <c r="A3277" s="7" t="str">
        <f>IF('Document Workflow'!A3276&lt;&gt;"",'Document Workflow'!A3276,"")</f>
        <v/>
      </c>
    </row>
    <row r="3278" spans="1:1">
      <c r="A3278" s="7" t="str">
        <f>IF('Document Workflow'!A3277&lt;&gt;"",'Document Workflow'!A3277,"")</f>
        <v/>
      </c>
    </row>
    <row r="3279" spans="1:1">
      <c r="A3279" s="7" t="str">
        <f>IF('Document Workflow'!A3278&lt;&gt;"",'Document Workflow'!A3278,"")</f>
        <v/>
      </c>
    </row>
    <row r="3280" spans="1:1">
      <c r="A3280" s="7" t="str">
        <f>IF('Document Workflow'!A3279&lt;&gt;"",'Document Workflow'!A3279,"")</f>
        <v/>
      </c>
    </row>
    <row r="3281" spans="1:1">
      <c r="A3281" s="7" t="str">
        <f>IF('Document Workflow'!A3280&lt;&gt;"",'Document Workflow'!A3280,"")</f>
        <v/>
      </c>
    </row>
    <row r="3282" spans="1:1">
      <c r="A3282" s="7" t="str">
        <f>IF('Document Workflow'!A3281&lt;&gt;"",'Document Workflow'!A3281,"")</f>
        <v/>
      </c>
    </row>
    <row r="3283" spans="1:1">
      <c r="A3283" s="7" t="str">
        <f>IF('Document Workflow'!A3282&lt;&gt;"",'Document Workflow'!A3282,"")</f>
        <v/>
      </c>
    </row>
    <row r="3284" spans="1:1">
      <c r="A3284" s="7" t="str">
        <f>IF('Document Workflow'!A3283&lt;&gt;"",'Document Workflow'!A3283,"")</f>
        <v/>
      </c>
    </row>
    <row r="3285" spans="1:1">
      <c r="A3285" s="7" t="str">
        <f>IF('Document Workflow'!A3284&lt;&gt;"",'Document Workflow'!A3284,"")</f>
        <v/>
      </c>
    </row>
    <row r="3286" spans="1:1">
      <c r="A3286" s="7" t="str">
        <f>IF('Document Workflow'!A3285&lt;&gt;"",'Document Workflow'!A3285,"")</f>
        <v/>
      </c>
    </row>
    <row r="3287" spans="1:1">
      <c r="A3287" s="7" t="str">
        <f>IF('Document Workflow'!A3286&lt;&gt;"",'Document Workflow'!A3286,"")</f>
        <v/>
      </c>
    </row>
    <row r="3288" spans="1:1">
      <c r="A3288" s="7" t="str">
        <f>IF('Document Workflow'!A3287&lt;&gt;"",'Document Workflow'!A3287,"")</f>
        <v/>
      </c>
    </row>
    <row r="3289" spans="1:1">
      <c r="A3289" s="7" t="str">
        <f>IF('Document Workflow'!A3288&lt;&gt;"",'Document Workflow'!A3288,"")</f>
        <v/>
      </c>
    </row>
    <row r="3290" spans="1:1">
      <c r="A3290" s="7" t="str">
        <f>IF('Document Workflow'!A3289&lt;&gt;"",'Document Workflow'!A3289,"")</f>
        <v/>
      </c>
    </row>
    <row r="3291" spans="1:1">
      <c r="A3291" s="7" t="str">
        <f>IF('Document Workflow'!A3290&lt;&gt;"",'Document Workflow'!A3290,"")</f>
        <v/>
      </c>
    </row>
    <row r="3292" spans="1:1">
      <c r="A3292" s="7" t="str">
        <f>IF('Document Workflow'!A3291&lt;&gt;"",'Document Workflow'!A3291,"")</f>
        <v/>
      </c>
    </row>
    <row r="3293" spans="1:1">
      <c r="A3293" s="7" t="str">
        <f>IF('Document Workflow'!A3292&lt;&gt;"",'Document Workflow'!A3292,"")</f>
        <v/>
      </c>
    </row>
    <row r="3294" spans="1:1">
      <c r="A3294" s="7" t="str">
        <f>IF('Document Workflow'!A3293&lt;&gt;"",'Document Workflow'!A3293,"")</f>
        <v/>
      </c>
    </row>
    <row r="3295" spans="1:1">
      <c r="A3295" s="7" t="str">
        <f>IF('Document Workflow'!A3294&lt;&gt;"",'Document Workflow'!A3294,"")</f>
        <v/>
      </c>
    </row>
    <row r="3296" spans="1:1">
      <c r="A3296" s="7" t="str">
        <f>IF('Document Workflow'!A3295&lt;&gt;"",'Document Workflow'!A3295,"")</f>
        <v/>
      </c>
    </row>
    <row r="3297" spans="1:1">
      <c r="A3297" s="7" t="str">
        <f>IF('Document Workflow'!A3296&lt;&gt;"",'Document Workflow'!A3296,"")</f>
        <v/>
      </c>
    </row>
    <row r="3298" spans="1:1">
      <c r="A3298" s="7" t="str">
        <f>IF('Document Workflow'!A3297&lt;&gt;"",'Document Workflow'!A3297,"")</f>
        <v/>
      </c>
    </row>
    <row r="3299" spans="1:1">
      <c r="A3299" s="7" t="str">
        <f>IF('Document Workflow'!A3298&lt;&gt;"",'Document Workflow'!A3298,"")</f>
        <v/>
      </c>
    </row>
    <row r="3300" spans="1:1">
      <c r="A3300" s="7" t="str">
        <f>IF('Document Workflow'!A3299&lt;&gt;"",'Document Workflow'!A3299,"")</f>
        <v/>
      </c>
    </row>
    <row r="3301" spans="1:1">
      <c r="A3301" s="7" t="str">
        <f>IF('Document Workflow'!A3300&lt;&gt;"",'Document Workflow'!A3300,"")</f>
        <v/>
      </c>
    </row>
    <row r="3302" spans="1:1">
      <c r="A3302" s="7" t="str">
        <f>IF('Document Workflow'!A3301&lt;&gt;"",'Document Workflow'!A3301,"")</f>
        <v/>
      </c>
    </row>
    <row r="3303" spans="1:1">
      <c r="A3303" s="7" t="str">
        <f>IF('Document Workflow'!A3302&lt;&gt;"",'Document Workflow'!A3302,"")</f>
        <v/>
      </c>
    </row>
    <row r="3304" spans="1:1">
      <c r="A3304" s="7" t="str">
        <f>IF('Document Workflow'!A3303&lt;&gt;"",'Document Workflow'!A3303,"")</f>
        <v/>
      </c>
    </row>
    <row r="3305" spans="1:1">
      <c r="A3305" s="7" t="str">
        <f>IF('Document Workflow'!A3304&lt;&gt;"",'Document Workflow'!A3304,"")</f>
        <v/>
      </c>
    </row>
    <row r="3306" spans="1:1">
      <c r="A3306" s="7" t="str">
        <f>IF('Document Workflow'!A3305&lt;&gt;"",'Document Workflow'!A3305,"")</f>
        <v/>
      </c>
    </row>
    <row r="3307" spans="1:1">
      <c r="A3307" s="7" t="str">
        <f>IF('Document Workflow'!A3306&lt;&gt;"",'Document Workflow'!A3306,"")</f>
        <v/>
      </c>
    </row>
    <row r="3308" spans="1:1">
      <c r="A3308" s="7" t="str">
        <f>IF('Document Workflow'!A3307&lt;&gt;"",'Document Workflow'!A3307,"")</f>
        <v/>
      </c>
    </row>
    <row r="3309" spans="1:1">
      <c r="A3309" s="7" t="str">
        <f>IF('Document Workflow'!A3308&lt;&gt;"",'Document Workflow'!A3308,"")</f>
        <v/>
      </c>
    </row>
    <row r="3310" spans="1:1">
      <c r="A3310" s="7" t="str">
        <f>IF('Document Workflow'!A3309&lt;&gt;"",'Document Workflow'!A3309,"")</f>
        <v/>
      </c>
    </row>
    <row r="3311" spans="1:1">
      <c r="A3311" s="7" t="str">
        <f>IF('Document Workflow'!A3310&lt;&gt;"",'Document Workflow'!A3310,"")</f>
        <v/>
      </c>
    </row>
    <row r="3312" spans="1:1">
      <c r="A3312" s="7" t="str">
        <f>IF('Document Workflow'!A3311&lt;&gt;"",'Document Workflow'!A3311,"")</f>
        <v/>
      </c>
    </row>
    <row r="3313" spans="1:1">
      <c r="A3313" s="7" t="str">
        <f>IF('Document Workflow'!A3312&lt;&gt;"",'Document Workflow'!A3312,"")</f>
        <v/>
      </c>
    </row>
    <row r="3314" spans="1:1">
      <c r="A3314" s="7" t="str">
        <f>IF('Document Workflow'!A3313&lt;&gt;"",'Document Workflow'!A3313,"")</f>
        <v/>
      </c>
    </row>
    <row r="3315" spans="1:1">
      <c r="A3315" s="7" t="str">
        <f>IF('Document Workflow'!A3314&lt;&gt;"",'Document Workflow'!A3314,"")</f>
        <v/>
      </c>
    </row>
    <row r="3316" spans="1:1">
      <c r="A3316" s="7" t="str">
        <f>IF('Document Workflow'!A3315&lt;&gt;"",'Document Workflow'!A3315,"")</f>
        <v/>
      </c>
    </row>
    <row r="3317" spans="1:1">
      <c r="A3317" s="7" t="str">
        <f>IF('Document Workflow'!A3316&lt;&gt;"",'Document Workflow'!A3316,"")</f>
        <v/>
      </c>
    </row>
    <row r="3318" spans="1:1">
      <c r="A3318" s="7" t="str">
        <f>IF('Document Workflow'!A3317&lt;&gt;"",'Document Workflow'!A3317,"")</f>
        <v/>
      </c>
    </row>
    <row r="3319" spans="1:1">
      <c r="A3319" s="7" t="str">
        <f>IF('Document Workflow'!A3318&lt;&gt;"",'Document Workflow'!A3318,"")</f>
        <v/>
      </c>
    </row>
    <row r="3320" spans="1:1">
      <c r="A3320" s="7" t="str">
        <f>IF('Document Workflow'!A3319&lt;&gt;"",'Document Workflow'!A3319,"")</f>
        <v/>
      </c>
    </row>
    <row r="3321" spans="1:1">
      <c r="A3321" s="7" t="str">
        <f>IF('Document Workflow'!A3320&lt;&gt;"",'Document Workflow'!A3320,"")</f>
        <v/>
      </c>
    </row>
    <row r="3322" spans="1:1">
      <c r="A3322" s="7" t="str">
        <f>IF('Document Workflow'!A3321&lt;&gt;"",'Document Workflow'!A3321,"")</f>
        <v/>
      </c>
    </row>
    <row r="3323" spans="1:1">
      <c r="A3323" s="7" t="str">
        <f>IF('Document Workflow'!A3322&lt;&gt;"",'Document Workflow'!A3322,"")</f>
        <v/>
      </c>
    </row>
    <row r="3324" spans="1:1">
      <c r="A3324" s="7" t="str">
        <f>IF('Document Workflow'!A3323&lt;&gt;"",'Document Workflow'!A3323,"")</f>
        <v/>
      </c>
    </row>
    <row r="3325" spans="1:1">
      <c r="A3325" s="7" t="str">
        <f>IF('Document Workflow'!A3324&lt;&gt;"",'Document Workflow'!A3324,"")</f>
        <v/>
      </c>
    </row>
    <row r="3326" spans="1:1">
      <c r="A3326" s="7" t="str">
        <f>IF('Document Workflow'!A3325&lt;&gt;"",'Document Workflow'!A3325,"")</f>
        <v/>
      </c>
    </row>
    <row r="3327" spans="1:1">
      <c r="A3327" s="7" t="str">
        <f>IF('Document Workflow'!A3326&lt;&gt;"",'Document Workflow'!A3326,"")</f>
        <v/>
      </c>
    </row>
    <row r="3328" spans="1:1">
      <c r="A3328" s="7" t="str">
        <f>IF('Document Workflow'!A3327&lt;&gt;"",'Document Workflow'!A3327,"")</f>
        <v/>
      </c>
    </row>
    <row r="3329" spans="1:1">
      <c r="A3329" s="7" t="str">
        <f>IF('Document Workflow'!A3328&lt;&gt;"",'Document Workflow'!A3328,"")</f>
        <v/>
      </c>
    </row>
    <row r="3330" spans="1:1">
      <c r="A3330" s="7" t="str">
        <f>IF('Document Workflow'!A3329&lt;&gt;"",'Document Workflow'!A3329,"")</f>
        <v/>
      </c>
    </row>
    <row r="3331" spans="1:1">
      <c r="A3331" s="7" t="str">
        <f>IF('Document Workflow'!A3330&lt;&gt;"",'Document Workflow'!A3330,"")</f>
        <v/>
      </c>
    </row>
    <row r="3332" spans="1:1">
      <c r="A3332" s="7" t="str">
        <f>IF('Document Workflow'!A3331&lt;&gt;"",'Document Workflow'!A3331,"")</f>
        <v/>
      </c>
    </row>
    <row r="3333" spans="1:1">
      <c r="A3333" s="7" t="str">
        <f>IF('Document Workflow'!A3332&lt;&gt;"",'Document Workflow'!A3332,"")</f>
        <v/>
      </c>
    </row>
    <row r="3334" spans="1:1">
      <c r="A3334" s="7" t="str">
        <f>IF('Document Workflow'!A3333&lt;&gt;"",'Document Workflow'!A3333,"")</f>
        <v/>
      </c>
    </row>
    <row r="3335" spans="1:1">
      <c r="A3335" s="7" t="str">
        <f>IF('Document Workflow'!A3334&lt;&gt;"",'Document Workflow'!A3334,"")</f>
        <v/>
      </c>
    </row>
    <row r="3336" spans="1:1">
      <c r="A3336" s="7" t="str">
        <f>IF('Document Workflow'!A3335&lt;&gt;"",'Document Workflow'!A3335,"")</f>
        <v/>
      </c>
    </row>
    <row r="3337" spans="1:1">
      <c r="A3337" s="7" t="str">
        <f>IF('Document Workflow'!A3336&lt;&gt;"",'Document Workflow'!A3336,"")</f>
        <v/>
      </c>
    </row>
    <row r="3338" spans="1:1">
      <c r="A3338" s="7" t="str">
        <f>IF('Document Workflow'!A3337&lt;&gt;"",'Document Workflow'!A3337,"")</f>
        <v/>
      </c>
    </row>
    <row r="3339" spans="1:1">
      <c r="A3339" s="7" t="str">
        <f>IF('Document Workflow'!A3338&lt;&gt;"",'Document Workflow'!A3338,"")</f>
        <v/>
      </c>
    </row>
    <row r="3340" spans="1:1">
      <c r="A3340" s="7" t="str">
        <f>IF('Document Workflow'!A3339&lt;&gt;"",'Document Workflow'!A3339,"")</f>
        <v/>
      </c>
    </row>
    <row r="3341" spans="1:1">
      <c r="A3341" s="7" t="str">
        <f>IF('Document Workflow'!A3340&lt;&gt;"",'Document Workflow'!A3340,"")</f>
        <v/>
      </c>
    </row>
    <row r="3342" spans="1:1">
      <c r="A3342" s="7" t="str">
        <f>IF('Document Workflow'!A3341&lt;&gt;"",'Document Workflow'!A3341,"")</f>
        <v/>
      </c>
    </row>
    <row r="3343" spans="1:1">
      <c r="A3343" s="7" t="str">
        <f>IF('Document Workflow'!A3342&lt;&gt;"",'Document Workflow'!A3342,"")</f>
        <v/>
      </c>
    </row>
    <row r="3344" spans="1:1">
      <c r="A3344" s="7" t="str">
        <f>IF('Document Workflow'!A3343&lt;&gt;"",'Document Workflow'!A3343,"")</f>
        <v/>
      </c>
    </row>
    <row r="3345" spans="1:1">
      <c r="A3345" s="7" t="str">
        <f>IF('Document Workflow'!A3344&lt;&gt;"",'Document Workflow'!A3344,"")</f>
        <v/>
      </c>
    </row>
    <row r="3346" spans="1:1">
      <c r="A3346" s="7" t="str">
        <f>IF('Document Workflow'!A3345&lt;&gt;"",'Document Workflow'!A3345,"")</f>
        <v/>
      </c>
    </row>
    <row r="3347" spans="1:1">
      <c r="A3347" s="7" t="str">
        <f>IF('Document Workflow'!A3346&lt;&gt;"",'Document Workflow'!A3346,"")</f>
        <v/>
      </c>
    </row>
    <row r="3348" spans="1:1">
      <c r="A3348" s="7" t="str">
        <f>IF('Document Workflow'!A3347&lt;&gt;"",'Document Workflow'!A3347,"")</f>
        <v/>
      </c>
    </row>
    <row r="3349" spans="1:1">
      <c r="A3349" s="7" t="str">
        <f>IF('Document Workflow'!A3348&lt;&gt;"",'Document Workflow'!A3348,"")</f>
        <v/>
      </c>
    </row>
    <row r="3350" spans="1:1">
      <c r="A3350" s="7" t="str">
        <f>IF('Document Workflow'!A3349&lt;&gt;"",'Document Workflow'!A3349,"")</f>
        <v/>
      </c>
    </row>
    <row r="3351" spans="1:1">
      <c r="A3351" s="7" t="str">
        <f>IF('Document Workflow'!A3350&lt;&gt;"",'Document Workflow'!A3350,"")</f>
        <v/>
      </c>
    </row>
    <row r="3352" spans="1:1">
      <c r="A3352" s="7" t="str">
        <f>IF('Document Workflow'!A3351&lt;&gt;"",'Document Workflow'!A3351,"")</f>
        <v/>
      </c>
    </row>
    <row r="3353" spans="1:1">
      <c r="A3353" s="7" t="str">
        <f>IF('Document Workflow'!A3352&lt;&gt;"",'Document Workflow'!A3352,"")</f>
        <v/>
      </c>
    </row>
    <row r="3354" spans="1:1">
      <c r="A3354" s="7" t="str">
        <f>IF('Document Workflow'!A3353&lt;&gt;"",'Document Workflow'!A3353,"")</f>
        <v/>
      </c>
    </row>
    <row r="3355" spans="1:1">
      <c r="A3355" s="7" t="str">
        <f>IF('Document Workflow'!A3354&lt;&gt;"",'Document Workflow'!A3354,"")</f>
        <v/>
      </c>
    </row>
    <row r="3356" spans="1:1">
      <c r="A3356" s="7" t="str">
        <f>IF('Document Workflow'!A3355&lt;&gt;"",'Document Workflow'!A3355,"")</f>
        <v/>
      </c>
    </row>
    <row r="3357" spans="1:1">
      <c r="A3357" s="7" t="str">
        <f>IF('Document Workflow'!A3356&lt;&gt;"",'Document Workflow'!A3356,"")</f>
        <v/>
      </c>
    </row>
    <row r="3358" spans="1:1">
      <c r="A3358" s="7" t="str">
        <f>IF('Document Workflow'!A3357&lt;&gt;"",'Document Workflow'!A3357,"")</f>
        <v/>
      </c>
    </row>
    <row r="3359" spans="1:1">
      <c r="A3359" s="7" t="str">
        <f>IF('Document Workflow'!A3358&lt;&gt;"",'Document Workflow'!A3358,"")</f>
        <v/>
      </c>
    </row>
    <row r="3360" spans="1:1">
      <c r="A3360" s="7" t="str">
        <f>IF('Document Workflow'!A3359&lt;&gt;"",'Document Workflow'!A3359,"")</f>
        <v/>
      </c>
    </row>
    <row r="3361" spans="1:1">
      <c r="A3361" s="7" t="str">
        <f>IF('Document Workflow'!A3360&lt;&gt;"",'Document Workflow'!A3360,"")</f>
        <v/>
      </c>
    </row>
    <row r="3362" spans="1:1">
      <c r="A3362" s="7" t="str">
        <f>IF('Document Workflow'!A3361&lt;&gt;"",'Document Workflow'!A3361,"")</f>
        <v/>
      </c>
    </row>
    <row r="3363" spans="1:1">
      <c r="A3363" s="7" t="str">
        <f>IF('Document Workflow'!A3362&lt;&gt;"",'Document Workflow'!A3362,"")</f>
        <v/>
      </c>
    </row>
    <row r="3364" spans="1:1">
      <c r="A3364" s="7" t="str">
        <f>IF('Document Workflow'!A3363&lt;&gt;"",'Document Workflow'!A3363,"")</f>
        <v/>
      </c>
    </row>
    <row r="3365" spans="1:1">
      <c r="A3365" s="7" t="str">
        <f>IF('Document Workflow'!A3364&lt;&gt;"",'Document Workflow'!A3364,"")</f>
        <v/>
      </c>
    </row>
    <row r="3366" spans="1:1">
      <c r="A3366" s="7" t="str">
        <f>IF('Document Workflow'!A3365&lt;&gt;"",'Document Workflow'!A3365,"")</f>
        <v/>
      </c>
    </row>
    <row r="3367" spans="1:1">
      <c r="A3367" s="7" t="str">
        <f>IF('Document Workflow'!A3366&lt;&gt;"",'Document Workflow'!A3366,"")</f>
        <v/>
      </c>
    </row>
    <row r="3368" spans="1:1">
      <c r="A3368" s="7" t="str">
        <f>IF('Document Workflow'!A3367&lt;&gt;"",'Document Workflow'!A3367,"")</f>
        <v/>
      </c>
    </row>
    <row r="3369" spans="1:1">
      <c r="A3369" s="7" t="str">
        <f>IF('Document Workflow'!A3368&lt;&gt;"",'Document Workflow'!A3368,"")</f>
        <v/>
      </c>
    </row>
    <row r="3370" spans="1:1">
      <c r="A3370" s="7" t="str">
        <f>IF('Document Workflow'!A3369&lt;&gt;"",'Document Workflow'!A3369,"")</f>
        <v/>
      </c>
    </row>
    <row r="3371" spans="1:1">
      <c r="A3371" s="7" t="str">
        <f>IF('Document Workflow'!A3370&lt;&gt;"",'Document Workflow'!A3370,"")</f>
        <v/>
      </c>
    </row>
    <row r="3372" spans="1:1">
      <c r="A3372" s="7" t="str">
        <f>IF('Document Workflow'!A3371&lt;&gt;"",'Document Workflow'!A3371,"")</f>
        <v/>
      </c>
    </row>
    <row r="3373" spans="1:1">
      <c r="A3373" s="7" t="str">
        <f>IF('Document Workflow'!A3372&lt;&gt;"",'Document Workflow'!A3372,"")</f>
        <v/>
      </c>
    </row>
    <row r="3374" spans="1:1">
      <c r="A3374" s="7" t="str">
        <f>IF('Document Workflow'!A3373&lt;&gt;"",'Document Workflow'!A3373,"")</f>
        <v/>
      </c>
    </row>
    <row r="3375" spans="1:1">
      <c r="A3375" s="7" t="str">
        <f>IF('Document Workflow'!A3374&lt;&gt;"",'Document Workflow'!A3374,"")</f>
        <v/>
      </c>
    </row>
    <row r="3376" spans="1:1">
      <c r="A3376" s="7" t="str">
        <f>IF('Document Workflow'!A3375&lt;&gt;"",'Document Workflow'!A3375,"")</f>
        <v/>
      </c>
    </row>
    <row r="3377" spans="1:1">
      <c r="A3377" s="7" t="str">
        <f>IF('Document Workflow'!A3376&lt;&gt;"",'Document Workflow'!A3376,"")</f>
        <v/>
      </c>
    </row>
    <row r="3378" spans="1:1">
      <c r="A3378" s="7" t="str">
        <f>IF('Document Workflow'!A3377&lt;&gt;"",'Document Workflow'!A3377,"")</f>
        <v/>
      </c>
    </row>
    <row r="3379" spans="1:1">
      <c r="A3379" s="7" t="str">
        <f>IF('Document Workflow'!A3378&lt;&gt;"",'Document Workflow'!A3378,"")</f>
        <v/>
      </c>
    </row>
    <row r="3380" spans="1:1">
      <c r="A3380" s="7" t="str">
        <f>IF('Document Workflow'!A3379&lt;&gt;"",'Document Workflow'!A3379,"")</f>
        <v/>
      </c>
    </row>
    <row r="3381" spans="1:1">
      <c r="A3381" s="7" t="str">
        <f>IF('Document Workflow'!A3380&lt;&gt;"",'Document Workflow'!A3380,"")</f>
        <v/>
      </c>
    </row>
    <row r="3382" spans="1:1">
      <c r="A3382" s="7" t="str">
        <f>IF('Document Workflow'!A3381&lt;&gt;"",'Document Workflow'!A3381,"")</f>
        <v/>
      </c>
    </row>
    <row r="3383" spans="1:1">
      <c r="A3383" s="7" t="str">
        <f>IF('Document Workflow'!A3382&lt;&gt;"",'Document Workflow'!A3382,"")</f>
        <v/>
      </c>
    </row>
    <row r="3384" spans="1:1">
      <c r="A3384" s="7" t="str">
        <f>IF('Document Workflow'!A3383&lt;&gt;"",'Document Workflow'!A3383,"")</f>
        <v/>
      </c>
    </row>
    <row r="3385" spans="1:1">
      <c r="A3385" s="7" t="str">
        <f>IF('Document Workflow'!A3384&lt;&gt;"",'Document Workflow'!A3384,"")</f>
        <v/>
      </c>
    </row>
    <row r="3386" spans="1:1">
      <c r="A3386" s="7" t="str">
        <f>IF('Document Workflow'!A3385&lt;&gt;"",'Document Workflow'!A3385,"")</f>
        <v/>
      </c>
    </row>
    <row r="3387" spans="1:1">
      <c r="A3387" s="7" t="str">
        <f>IF('Document Workflow'!A3386&lt;&gt;"",'Document Workflow'!A3386,"")</f>
        <v/>
      </c>
    </row>
    <row r="3388" spans="1:1">
      <c r="A3388" s="7" t="str">
        <f>IF('Document Workflow'!A3387&lt;&gt;"",'Document Workflow'!A3387,"")</f>
        <v/>
      </c>
    </row>
    <row r="3389" spans="1:1">
      <c r="A3389" s="7" t="str">
        <f>IF('Document Workflow'!A3388&lt;&gt;"",'Document Workflow'!A3388,"")</f>
        <v/>
      </c>
    </row>
    <row r="3390" spans="1:1">
      <c r="A3390" s="7" t="str">
        <f>IF('Document Workflow'!A3389&lt;&gt;"",'Document Workflow'!A3389,"")</f>
        <v/>
      </c>
    </row>
    <row r="3391" spans="1:1">
      <c r="A3391" s="7" t="str">
        <f>IF('Document Workflow'!A3390&lt;&gt;"",'Document Workflow'!A3390,"")</f>
        <v/>
      </c>
    </row>
    <row r="3392" spans="1:1">
      <c r="A3392" s="7" t="str">
        <f>IF('Document Workflow'!A3391&lt;&gt;"",'Document Workflow'!A3391,"")</f>
        <v/>
      </c>
    </row>
    <row r="3393" spans="1:1">
      <c r="A3393" s="7" t="str">
        <f>IF('Document Workflow'!A3392&lt;&gt;"",'Document Workflow'!A3392,"")</f>
        <v/>
      </c>
    </row>
    <row r="3394" spans="1:1">
      <c r="A3394" s="7" t="str">
        <f>IF('Document Workflow'!A3393&lt;&gt;"",'Document Workflow'!A3393,"")</f>
        <v/>
      </c>
    </row>
    <row r="3395" spans="1:1">
      <c r="A3395" s="7" t="str">
        <f>IF('Document Workflow'!A3394&lt;&gt;"",'Document Workflow'!A3394,"")</f>
        <v/>
      </c>
    </row>
    <row r="3396" spans="1:1">
      <c r="A3396" s="7" t="str">
        <f>IF('Document Workflow'!A3395&lt;&gt;"",'Document Workflow'!A3395,"")</f>
        <v/>
      </c>
    </row>
    <row r="3397" spans="1:1">
      <c r="A3397" s="7" t="str">
        <f>IF('Document Workflow'!A3396&lt;&gt;"",'Document Workflow'!A3396,"")</f>
        <v/>
      </c>
    </row>
    <row r="3398" spans="1:1">
      <c r="A3398" s="7" t="str">
        <f>IF('Document Workflow'!A3397&lt;&gt;"",'Document Workflow'!A3397,"")</f>
        <v/>
      </c>
    </row>
    <row r="3399" spans="1:1">
      <c r="A3399" s="7" t="str">
        <f>IF('Document Workflow'!A3398&lt;&gt;"",'Document Workflow'!A3398,"")</f>
        <v/>
      </c>
    </row>
    <row r="3400" spans="1:1">
      <c r="A3400" s="7" t="str">
        <f>IF('Document Workflow'!A3399&lt;&gt;"",'Document Workflow'!A3399,"")</f>
        <v/>
      </c>
    </row>
    <row r="3401" spans="1:1">
      <c r="A3401" s="7" t="str">
        <f>IF('Document Workflow'!A3400&lt;&gt;"",'Document Workflow'!A3400,"")</f>
        <v/>
      </c>
    </row>
    <row r="3402" spans="1:1">
      <c r="A3402" s="7" t="str">
        <f>IF('Document Workflow'!A3401&lt;&gt;"",'Document Workflow'!A3401,"")</f>
        <v/>
      </c>
    </row>
    <row r="3403" spans="1:1">
      <c r="A3403" s="7" t="str">
        <f>IF('Document Workflow'!A3402&lt;&gt;"",'Document Workflow'!A3402,"")</f>
        <v/>
      </c>
    </row>
    <row r="3404" spans="1:1">
      <c r="A3404" s="7" t="str">
        <f>IF('Document Workflow'!A3403&lt;&gt;"",'Document Workflow'!A3403,"")</f>
        <v/>
      </c>
    </row>
    <row r="3405" spans="1:1">
      <c r="A3405" s="7" t="str">
        <f>IF('Document Workflow'!A3404&lt;&gt;"",'Document Workflow'!A3404,"")</f>
        <v/>
      </c>
    </row>
    <row r="3406" spans="1:1">
      <c r="A3406" s="7" t="str">
        <f>IF('Document Workflow'!A3405&lt;&gt;"",'Document Workflow'!A3405,"")</f>
        <v/>
      </c>
    </row>
    <row r="3407" spans="1:1">
      <c r="A3407" s="7" t="str">
        <f>IF('Document Workflow'!A3406&lt;&gt;"",'Document Workflow'!A3406,"")</f>
        <v/>
      </c>
    </row>
    <row r="3408" spans="1:1">
      <c r="A3408" s="7" t="str">
        <f>IF('Document Workflow'!A3407&lt;&gt;"",'Document Workflow'!A3407,"")</f>
        <v/>
      </c>
    </row>
    <row r="3409" spans="1:1">
      <c r="A3409" s="7" t="str">
        <f>IF('Document Workflow'!A3408&lt;&gt;"",'Document Workflow'!A3408,"")</f>
        <v/>
      </c>
    </row>
    <row r="3410" spans="1:1">
      <c r="A3410" s="7" t="str">
        <f>IF('Document Workflow'!A3409&lt;&gt;"",'Document Workflow'!A3409,"")</f>
        <v/>
      </c>
    </row>
    <row r="3411" spans="1:1">
      <c r="A3411" s="7" t="str">
        <f>IF('Document Workflow'!A3410&lt;&gt;"",'Document Workflow'!A3410,"")</f>
        <v/>
      </c>
    </row>
    <row r="3412" spans="1:1">
      <c r="A3412" s="7" t="str">
        <f>IF('Document Workflow'!A3411&lt;&gt;"",'Document Workflow'!A3411,"")</f>
        <v/>
      </c>
    </row>
    <row r="3413" spans="1:1">
      <c r="A3413" s="7" t="str">
        <f>IF('Document Workflow'!A3412&lt;&gt;"",'Document Workflow'!A3412,"")</f>
        <v/>
      </c>
    </row>
    <row r="3414" spans="1:1">
      <c r="A3414" s="7" t="str">
        <f>IF('Document Workflow'!A3413&lt;&gt;"",'Document Workflow'!A3413,"")</f>
        <v/>
      </c>
    </row>
    <row r="3415" spans="1:1">
      <c r="A3415" s="7" t="str">
        <f>IF('Document Workflow'!A3414&lt;&gt;"",'Document Workflow'!A3414,"")</f>
        <v/>
      </c>
    </row>
    <row r="3416" spans="1:1">
      <c r="A3416" s="7" t="str">
        <f>IF('Document Workflow'!A3415&lt;&gt;"",'Document Workflow'!A3415,"")</f>
        <v/>
      </c>
    </row>
    <row r="3417" spans="1:1">
      <c r="A3417" s="7" t="str">
        <f>IF('Document Workflow'!A3416&lt;&gt;"",'Document Workflow'!A3416,"")</f>
        <v/>
      </c>
    </row>
    <row r="3418" spans="1:1">
      <c r="A3418" s="7" t="str">
        <f>IF('Document Workflow'!A3417&lt;&gt;"",'Document Workflow'!A3417,"")</f>
        <v/>
      </c>
    </row>
    <row r="3419" spans="1:1">
      <c r="A3419" s="7" t="str">
        <f>IF('Document Workflow'!A3418&lt;&gt;"",'Document Workflow'!A3418,"")</f>
        <v/>
      </c>
    </row>
    <row r="3420" spans="1:1">
      <c r="A3420" s="7" t="str">
        <f>IF('Document Workflow'!A3419&lt;&gt;"",'Document Workflow'!A3419,"")</f>
        <v/>
      </c>
    </row>
    <row r="3421" spans="1:1">
      <c r="A3421" s="7" t="str">
        <f>IF('Document Workflow'!A3420&lt;&gt;"",'Document Workflow'!A3420,"")</f>
        <v/>
      </c>
    </row>
    <row r="3422" spans="1:1">
      <c r="A3422" s="7" t="str">
        <f>IF('Document Workflow'!A3421&lt;&gt;"",'Document Workflow'!A3421,"")</f>
        <v/>
      </c>
    </row>
    <row r="3423" spans="1:1">
      <c r="A3423" s="7" t="str">
        <f>IF('Document Workflow'!A3422&lt;&gt;"",'Document Workflow'!A3422,"")</f>
        <v/>
      </c>
    </row>
    <row r="3424" spans="1:1">
      <c r="A3424" s="7" t="str">
        <f>IF('Document Workflow'!A3423&lt;&gt;"",'Document Workflow'!A3423,"")</f>
        <v/>
      </c>
    </row>
    <row r="3425" spans="1:1">
      <c r="A3425" s="7" t="str">
        <f>IF('Document Workflow'!A3424&lt;&gt;"",'Document Workflow'!A3424,"")</f>
        <v/>
      </c>
    </row>
    <row r="3426" spans="1:1">
      <c r="A3426" s="7" t="str">
        <f>IF('Document Workflow'!A3425&lt;&gt;"",'Document Workflow'!A3425,"")</f>
        <v/>
      </c>
    </row>
    <row r="3427" spans="1:1">
      <c r="A3427" s="7" t="str">
        <f>IF('Document Workflow'!A3426&lt;&gt;"",'Document Workflow'!A3426,"")</f>
        <v/>
      </c>
    </row>
    <row r="3428" spans="1:1">
      <c r="A3428" s="7" t="str">
        <f>IF('Document Workflow'!A3427&lt;&gt;"",'Document Workflow'!A3427,"")</f>
        <v/>
      </c>
    </row>
    <row r="3429" spans="1:1">
      <c r="A3429" s="7" t="str">
        <f>IF('Document Workflow'!A3428&lt;&gt;"",'Document Workflow'!A3428,"")</f>
        <v/>
      </c>
    </row>
    <row r="3430" spans="1:1">
      <c r="A3430" s="7" t="str">
        <f>IF('Document Workflow'!A3429&lt;&gt;"",'Document Workflow'!A3429,"")</f>
        <v/>
      </c>
    </row>
    <row r="3431" spans="1:1">
      <c r="A3431" s="7" t="str">
        <f>IF('Document Workflow'!A3430&lt;&gt;"",'Document Workflow'!A3430,"")</f>
        <v/>
      </c>
    </row>
    <row r="3432" spans="1:1">
      <c r="A3432" s="7" t="str">
        <f>IF('Document Workflow'!A3431&lt;&gt;"",'Document Workflow'!A3431,"")</f>
        <v/>
      </c>
    </row>
    <row r="3433" spans="1:1">
      <c r="A3433" s="7" t="str">
        <f>IF('Document Workflow'!A3432&lt;&gt;"",'Document Workflow'!A3432,"")</f>
        <v/>
      </c>
    </row>
    <row r="3434" spans="1:1">
      <c r="A3434" s="7" t="str">
        <f>IF('Document Workflow'!A3433&lt;&gt;"",'Document Workflow'!A3433,"")</f>
        <v/>
      </c>
    </row>
    <row r="3435" spans="1:1">
      <c r="A3435" s="7" t="str">
        <f>IF('Document Workflow'!A3434&lt;&gt;"",'Document Workflow'!A3434,"")</f>
        <v/>
      </c>
    </row>
    <row r="3436" spans="1:1">
      <c r="A3436" s="7" t="str">
        <f>IF('Document Workflow'!A3435&lt;&gt;"",'Document Workflow'!A3435,"")</f>
        <v/>
      </c>
    </row>
    <row r="3437" spans="1:1">
      <c r="A3437" s="7" t="str">
        <f>IF('Document Workflow'!A3436&lt;&gt;"",'Document Workflow'!A3436,"")</f>
        <v/>
      </c>
    </row>
    <row r="3438" spans="1:1">
      <c r="A3438" s="7" t="str">
        <f>IF('Document Workflow'!A3437&lt;&gt;"",'Document Workflow'!A3437,"")</f>
        <v/>
      </c>
    </row>
    <row r="3439" spans="1:1">
      <c r="A3439" s="7" t="str">
        <f>IF('Document Workflow'!A3438&lt;&gt;"",'Document Workflow'!A3438,"")</f>
        <v/>
      </c>
    </row>
    <row r="3440" spans="1:1">
      <c r="A3440" s="7" t="str">
        <f>IF('Document Workflow'!A3439&lt;&gt;"",'Document Workflow'!A3439,"")</f>
        <v/>
      </c>
    </row>
    <row r="3441" spans="1:1">
      <c r="A3441" s="7" t="str">
        <f>IF('Document Workflow'!A3440&lt;&gt;"",'Document Workflow'!A3440,"")</f>
        <v/>
      </c>
    </row>
    <row r="3442" spans="1:1">
      <c r="A3442" s="7" t="str">
        <f>IF('Document Workflow'!A3441&lt;&gt;"",'Document Workflow'!A3441,"")</f>
        <v/>
      </c>
    </row>
    <row r="3443" spans="1:1">
      <c r="A3443" s="7" t="str">
        <f>IF('Document Workflow'!A3442&lt;&gt;"",'Document Workflow'!A3442,"")</f>
        <v/>
      </c>
    </row>
    <row r="3444" spans="1:1">
      <c r="A3444" s="7" t="str">
        <f>IF('Document Workflow'!A3443&lt;&gt;"",'Document Workflow'!A3443,"")</f>
        <v/>
      </c>
    </row>
    <row r="3445" spans="1:1">
      <c r="A3445" s="7" t="str">
        <f>IF('Document Workflow'!A3444&lt;&gt;"",'Document Workflow'!A3444,"")</f>
        <v/>
      </c>
    </row>
    <row r="3446" spans="1:1">
      <c r="A3446" s="7" t="str">
        <f>IF('Document Workflow'!A3445&lt;&gt;"",'Document Workflow'!A3445,"")</f>
        <v/>
      </c>
    </row>
    <row r="3447" spans="1:1">
      <c r="A3447" s="7" t="str">
        <f>IF('Document Workflow'!A3446&lt;&gt;"",'Document Workflow'!A3446,"")</f>
        <v/>
      </c>
    </row>
    <row r="3448" spans="1:1">
      <c r="A3448" s="7" t="str">
        <f>IF('Document Workflow'!A3447&lt;&gt;"",'Document Workflow'!A3447,"")</f>
        <v/>
      </c>
    </row>
    <row r="3449" spans="1:1">
      <c r="A3449" s="7" t="str">
        <f>IF('Document Workflow'!A3448&lt;&gt;"",'Document Workflow'!A3448,"")</f>
        <v/>
      </c>
    </row>
    <row r="3450" spans="1:1">
      <c r="A3450" s="7" t="str">
        <f>IF('Document Workflow'!A3449&lt;&gt;"",'Document Workflow'!A3449,"")</f>
        <v/>
      </c>
    </row>
    <row r="3451" spans="1:1">
      <c r="A3451" s="7" t="str">
        <f>IF('Document Workflow'!A3450&lt;&gt;"",'Document Workflow'!A3450,"")</f>
        <v/>
      </c>
    </row>
    <row r="3452" spans="1:1">
      <c r="A3452" s="7" t="str">
        <f>IF('Document Workflow'!A3451&lt;&gt;"",'Document Workflow'!A3451,"")</f>
        <v/>
      </c>
    </row>
    <row r="3453" spans="1:1">
      <c r="A3453" s="7" t="str">
        <f>IF('Document Workflow'!A3452&lt;&gt;"",'Document Workflow'!A3452,"")</f>
        <v/>
      </c>
    </row>
    <row r="3454" spans="1:1">
      <c r="A3454" s="7" t="str">
        <f>IF('Document Workflow'!A3453&lt;&gt;"",'Document Workflow'!A3453,"")</f>
        <v/>
      </c>
    </row>
    <row r="3455" spans="1:1">
      <c r="A3455" s="7" t="str">
        <f>IF('Document Workflow'!A3454&lt;&gt;"",'Document Workflow'!A3454,"")</f>
        <v/>
      </c>
    </row>
    <row r="3456" spans="1:1">
      <c r="A3456" s="7" t="str">
        <f>IF('Document Workflow'!A3455&lt;&gt;"",'Document Workflow'!A3455,"")</f>
        <v/>
      </c>
    </row>
    <row r="3457" spans="1:1">
      <c r="A3457" s="7" t="str">
        <f>IF('Document Workflow'!A3456&lt;&gt;"",'Document Workflow'!A3456,"")</f>
        <v/>
      </c>
    </row>
    <row r="3458" spans="1:1">
      <c r="A3458" s="7" t="str">
        <f>IF('Document Workflow'!A3457&lt;&gt;"",'Document Workflow'!A3457,"")</f>
        <v/>
      </c>
    </row>
    <row r="3459" spans="1:1">
      <c r="A3459" s="7" t="str">
        <f>IF('Document Workflow'!A3458&lt;&gt;"",'Document Workflow'!A3458,"")</f>
        <v/>
      </c>
    </row>
    <row r="3460" spans="1:1">
      <c r="A3460" s="7" t="str">
        <f>IF('Document Workflow'!A3459&lt;&gt;"",'Document Workflow'!A3459,"")</f>
        <v/>
      </c>
    </row>
    <row r="3461" spans="1:1">
      <c r="A3461" s="7" t="str">
        <f>IF('Document Workflow'!A3460&lt;&gt;"",'Document Workflow'!A3460,"")</f>
        <v/>
      </c>
    </row>
    <row r="3462" spans="1:1">
      <c r="A3462" s="7" t="str">
        <f>IF('Document Workflow'!A3461&lt;&gt;"",'Document Workflow'!A3461,"")</f>
        <v/>
      </c>
    </row>
    <row r="3463" spans="1:1">
      <c r="A3463" s="7" t="str">
        <f>IF('Document Workflow'!A3462&lt;&gt;"",'Document Workflow'!A3462,"")</f>
        <v/>
      </c>
    </row>
    <row r="3464" spans="1:1">
      <c r="A3464" s="7" t="str">
        <f>IF('Document Workflow'!A3463&lt;&gt;"",'Document Workflow'!A3463,"")</f>
        <v/>
      </c>
    </row>
    <row r="3465" spans="1:1">
      <c r="A3465" s="7" t="str">
        <f>IF('Document Workflow'!A3464&lt;&gt;"",'Document Workflow'!A3464,"")</f>
        <v/>
      </c>
    </row>
    <row r="3466" spans="1:1">
      <c r="A3466" s="7" t="str">
        <f>IF('Document Workflow'!A3465&lt;&gt;"",'Document Workflow'!A3465,"")</f>
        <v/>
      </c>
    </row>
    <row r="3467" spans="1:1">
      <c r="A3467" s="7" t="str">
        <f>IF('Document Workflow'!A3466&lt;&gt;"",'Document Workflow'!A3466,"")</f>
        <v/>
      </c>
    </row>
    <row r="3468" spans="1:1">
      <c r="A3468" s="7" t="str">
        <f>IF('Document Workflow'!A3467&lt;&gt;"",'Document Workflow'!A3467,"")</f>
        <v/>
      </c>
    </row>
    <row r="3469" spans="1:1">
      <c r="A3469" s="7" t="str">
        <f>IF('Document Workflow'!A3468&lt;&gt;"",'Document Workflow'!A3468,"")</f>
        <v/>
      </c>
    </row>
    <row r="3470" spans="1:1">
      <c r="A3470" s="7" t="str">
        <f>IF('Document Workflow'!A3469&lt;&gt;"",'Document Workflow'!A3469,"")</f>
        <v/>
      </c>
    </row>
    <row r="3471" spans="1:1">
      <c r="A3471" s="7" t="str">
        <f>IF('Document Workflow'!A3470&lt;&gt;"",'Document Workflow'!A3470,"")</f>
        <v/>
      </c>
    </row>
    <row r="3472" spans="1:1">
      <c r="A3472" s="7" t="str">
        <f>IF('Document Workflow'!A3471&lt;&gt;"",'Document Workflow'!A3471,"")</f>
        <v/>
      </c>
    </row>
    <row r="3473" spans="1:1">
      <c r="A3473" s="7" t="str">
        <f>IF('Document Workflow'!A3472&lt;&gt;"",'Document Workflow'!A3472,"")</f>
        <v/>
      </c>
    </row>
    <row r="3474" spans="1:1">
      <c r="A3474" s="7" t="str">
        <f>IF('Document Workflow'!A3473&lt;&gt;"",'Document Workflow'!A3473,"")</f>
        <v/>
      </c>
    </row>
    <row r="3475" spans="1:1">
      <c r="A3475" s="7" t="str">
        <f>IF('Document Workflow'!A3474&lt;&gt;"",'Document Workflow'!A3474,"")</f>
        <v/>
      </c>
    </row>
    <row r="3476" spans="1:1">
      <c r="A3476" s="7" t="str">
        <f>IF('Document Workflow'!A3475&lt;&gt;"",'Document Workflow'!A3475,"")</f>
        <v/>
      </c>
    </row>
    <row r="3477" spans="1:1">
      <c r="A3477" s="7" t="str">
        <f>IF('Document Workflow'!A3476&lt;&gt;"",'Document Workflow'!A3476,"")</f>
        <v/>
      </c>
    </row>
    <row r="3478" spans="1:1">
      <c r="A3478" s="7" t="str">
        <f>IF('Document Workflow'!A3477&lt;&gt;"",'Document Workflow'!A3477,"")</f>
        <v/>
      </c>
    </row>
    <row r="3479" spans="1:1">
      <c r="A3479" s="7" t="str">
        <f>IF('Document Workflow'!A3478&lt;&gt;"",'Document Workflow'!A3478,"")</f>
        <v/>
      </c>
    </row>
    <row r="3480" spans="1:1">
      <c r="A3480" s="7" t="str">
        <f>IF('Document Workflow'!A3479&lt;&gt;"",'Document Workflow'!A3479,"")</f>
        <v/>
      </c>
    </row>
    <row r="3481" spans="1:1">
      <c r="A3481" s="7" t="str">
        <f>IF('Document Workflow'!A3480&lt;&gt;"",'Document Workflow'!A3480,"")</f>
        <v/>
      </c>
    </row>
    <row r="3482" spans="1:1">
      <c r="A3482" s="7" t="str">
        <f>IF('Document Workflow'!A3481&lt;&gt;"",'Document Workflow'!A3481,"")</f>
        <v/>
      </c>
    </row>
    <row r="3483" spans="1:1">
      <c r="A3483" s="7" t="str">
        <f>IF('Document Workflow'!A3482&lt;&gt;"",'Document Workflow'!A3482,"")</f>
        <v/>
      </c>
    </row>
    <row r="3484" spans="1:1">
      <c r="A3484" s="7" t="str">
        <f>IF('Document Workflow'!A3483&lt;&gt;"",'Document Workflow'!A3483,"")</f>
        <v/>
      </c>
    </row>
    <row r="3485" spans="1:1">
      <c r="A3485" s="7" t="str">
        <f>IF('Document Workflow'!A3484&lt;&gt;"",'Document Workflow'!A3484,"")</f>
        <v/>
      </c>
    </row>
    <row r="3486" spans="1:1">
      <c r="A3486" s="7" t="str">
        <f>IF('Document Workflow'!A3485&lt;&gt;"",'Document Workflow'!A3485,"")</f>
        <v/>
      </c>
    </row>
    <row r="3487" spans="1:1">
      <c r="A3487" s="7" t="str">
        <f>IF('Document Workflow'!A3486&lt;&gt;"",'Document Workflow'!A3486,"")</f>
        <v/>
      </c>
    </row>
    <row r="3488" spans="1:1">
      <c r="A3488" s="7" t="str">
        <f>IF('Document Workflow'!A3487&lt;&gt;"",'Document Workflow'!A3487,"")</f>
        <v/>
      </c>
    </row>
    <row r="3489" spans="1:1">
      <c r="A3489" s="7" t="str">
        <f>IF('Document Workflow'!A3488&lt;&gt;"",'Document Workflow'!A3488,"")</f>
        <v/>
      </c>
    </row>
    <row r="3490" spans="1:1">
      <c r="A3490" s="7" t="str">
        <f>IF('Document Workflow'!A3489&lt;&gt;"",'Document Workflow'!A3489,"")</f>
        <v/>
      </c>
    </row>
    <row r="3491" spans="1:1">
      <c r="A3491" s="7" t="str">
        <f>IF('Document Workflow'!A3490&lt;&gt;"",'Document Workflow'!A3490,"")</f>
        <v/>
      </c>
    </row>
    <row r="3492" spans="1:1">
      <c r="A3492" s="7" t="str">
        <f>IF('Document Workflow'!A3491&lt;&gt;"",'Document Workflow'!A3491,"")</f>
        <v/>
      </c>
    </row>
    <row r="3493" spans="1:1">
      <c r="A3493" s="7" t="str">
        <f>IF('Document Workflow'!A3492&lt;&gt;"",'Document Workflow'!A3492,"")</f>
        <v/>
      </c>
    </row>
    <row r="3494" spans="1:1">
      <c r="A3494" s="7" t="str">
        <f>IF('Document Workflow'!A3493&lt;&gt;"",'Document Workflow'!A3493,"")</f>
        <v/>
      </c>
    </row>
    <row r="3495" spans="1:1">
      <c r="A3495" s="7" t="str">
        <f>IF('Document Workflow'!A3494&lt;&gt;"",'Document Workflow'!A3494,"")</f>
        <v/>
      </c>
    </row>
    <row r="3496" spans="1:1">
      <c r="A3496" s="7" t="str">
        <f>IF('Document Workflow'!A3495&lt;&gt;"",'Document Workflow'!A3495,"")</f>
        <v/>
      </c>
    </row>
    <row r="3497" spans="1:1">
      <c r="A3497" s="7" t="str">
        <f>IF('Document Workflow'!A3496&lt;&gt;"",'Document Workflow'!A3496,"")</f>
        <v/>
      </c>
    </row>
    <row r="3498" spans="1:1">
      <c r="A3498" s="7" t="str">
        <f>IF('Document Workflow'!A3497&lt;&gt;"",'Document Workflow'!A3497,"")</f>
        <v/>
      </c>
    </row>
    <row r="3499" spans="1:1">
      <c r="A3499" s="7" t="str">
        <f>IF('Document Workflow'!A3498&lt;&gt;"",'Document Workflow'!A3498,"")</f>
        <v/>
      </c>
    </row>
    <row r="3500" spans="1:1">
      <c r="A3500" s="7" t="str">
        <f>IF('Document Workflow'!A3499&lt;&gt;"",'Document Workflow'!A3499,"")</f>
        <v/>
      </c>
    </row>
    <row r="3501" spans="1:1">
      <c r="A3501" s="7" t="str">
        <f>IF('Document Workflow'!A3500&lt;&gt;"",'Document Workflow'!A3500,"")</f>
        <v/>
      </c>
    </row>
    <row r="3502" spans="1:1">
      <c r="A3502" s="7" t="str">
        <f>IF('Document Workflow'!A3501&lt;&gt;"",'Document Workflow'!A3501,"")</f>
        <v/>
      </c>
    </row>
    <row r="3503" spans="1:1">
      <c r="A3503" s="7" t="str">
        <f>IF('Document Workflow'!A3502&lt;&gt;"",'Document Workflow'!A3502,"")</f>
        <v/>
      </c>
    </row>
    <row r="3504" spans="1:1">
      <c r="A3504" s="7" t="str">
        <f>IF('Document Workflow'!A3503&lt;&gt;"",'Document Workflow'!A3503,"")</f>
        <v/>
      </c>
    </row>
    <row r="3505" spans="1:1">
      <c r="A3505" s="7" t="str">
        <f>IF('Document Workflow'!A3504&lt;&gt;"",'Document Workflow'!A3504,"")</f>
        <v/>
      </c>
    </row>
    <row r="3506" spans="1:1">
      <c r="A3506" s="7" t="str">
        <f>IF('Document Workflow'!A3505&lt;&gt;"",'Document Workflow'!A3505,"")</f>
        <v/>
      </c>
    </row>
    <row r="3507" spans="1:1">
      <c r="A3507" s="7" t="str">
        <f>IF('Document Workflow'!A3506&lt;&gt;"",'Document Workflow'!A3506,"")</f>
        <v/>
      </c>
    </row>
    <row r="3508" spans="1:1">
      <c r="A3508" s="7" t="str">
        <f>IF('Document Workflow'!A3507&lt;&gt;"",'Document Workflow'!A3507,"")</f>
        <v/>
      </c>
    </row>
    <row r="3509" spans="1:1">
      <c r="A3509" s="7" t="str">
        <f>IF('Document Workflow'!A3508&lt;&gt;"",'Document Workflow'!A3508,"")</f>
        <v/>
      </c>
    </row>
    <row r="3510" spans="1:1">
      <c r="A3510" s="7" t="str">
        <f>IF('Document Workflow'!A3509&lt;&gt;"",'Document Workflow'!A3509,"")</f>
        <v/>
      </c>
    </row>
    <row r="3511" spans="1:1">
      <c r="A3511" s="7" t="str">
        <f>IF('Document Workflow'!A3510&lt;&gt;"",'Document Workflow'!A3510,"")</f>
        <v/>
      </c>
    </row>
    <row r="3512" spans="1:1">
      <c r="A3512" s="7" t="str">
        <f>IF('Document Workflow'!A3511&lt;&gt;"",'Document Workflow'!A3511,"")</f>
        <v/>
      </c>
    </row>
    <row r="3513" spans="1:1">
      <c r="A3513" s="7" t="str">
        <f>IF('Document Workflow'!A3512&lt;&gt;"",'Document Workflow'!A3512,"")</f>
        <v/>
      </c>
    </row>
    <row r="3514" spans="1:1">
      <c r="A3514" s="7" t="str">
        <f>IF('Document Workflow'!A3513&lt;&gt;"",'Document Workflow'!A3513,"")</f>
        <v/>
      </c>
    </row>
    <row r="3515" spans="1:1">
      <c r="A3515" s="7" t="str">
        <f>IF('Document Workflow'!A3514&lt;&gt;"",'Document Workflow'!A3514,"")</f>
        <v/>
      </c>
    </row>
    <row r="3516" spans="1:1">
      <c r="A3516" s="7" t="str">
        <f>IF('Document Workflow'!A3515&lt;&gt;"",'Document Workflow'!A3515,"")</f>
        <v/>
      </c>
    </row>
    <row r="3517" spans="1:1">
      <c r="A3517" s="7" t="str">
        <f>IF('Document Workflow'!A3516&lt;&gt;"",'Document Workflow'!A3516,"")</f>
        <v/>
      </c>
    </row>
    <row r="3518" spans="1:1">
      <c r="A3518" s="7" t="str">
        <f>IF('Document Workflow'!A3517&lt;&gt;"",'Document Workflow'!A3517,"")</f>
        <v/>
      </c>
    </row>
    <row r="3519" spans="1:1">
      <c r="A3519" s="7" t="str">
        <f>IF('Document Workflow'!A3518&lt;&gt;"",'Document Workflow'!A3518,"")</f>
        <v/>
      </c>
    </row>
    <row r="3520" spans="1:1">
      <c r="A3520" s="7" t="str">
        <f>IF('Document Workflow'!A3519&lt;&gt;"",'Document Workflow'!A3519,"")</f>
        <v/>
      </c>
    </row>
    <row r="3521" spans="1:1">
      <c r="A3521" s="7" t="str">
        <f>IF('Document Workflow'!A3520&lt;&gt;"",'Document Workflow'!A3520,"")</f>
        <v/>
      </c>
    </row>
    <row r="3522" spans="1:1">
      <c r="A3522" s="7" t="str">
        <f>IF('Document Workflow'!A3521&lt;&gt;"",'Document Workflow'!A3521,"")</f>
        <v/>
      </c>
    </row>
    <row r="3523" spans="1:1">
      <c r="A3523" s="7" t="str">
        <f>IF('Document Workflow'!A3522&lt;&gt;"",'Document Workflow'!A3522,"")</f>
        <v/>
      </c>
    </row>
    <row r="3524" spans="1:1">
      <c r="A3524" s="7" t="str">
        <f>IF('Document Workflow'!A3523&lt;&gt;"",'Document Workflow'!A3523,"")</f>
        <v/>
      </c>
    </row>
    <row r="3525" spans="1:1">
      <c r="A3525" s="7" t="str">
        <f>IF('Document Workflow'!A3524&lt;&gt;"",'Document Workflow'!A3524,"")</f>
        <v/>
      </c>
    </row>
    <row r="3526" spans="1:1">
      <c r="A3526" s="7" t="str">
        <f>IF('Document Workflow'!A3525&lt;&gt;"",'Document Workflow'!A3525,"")</f>
        <v/>
      </c>
    </row>
    <row r="3527" spans="1:1">
      <c r="A3527" s="7" t="str">
        <f>IF('Document Workflow'!A3526&lt;&gt;"",'Document Workflow'!A3526,"")</f>
        <v/>
      </c>
    </row>
    <row r="3528" spans="1:1">
      <c r="A3528" s="7" t="str">
        <f>IF('Document Workflow'!A3527&lt;&gt;"",'Document Workflow'!A3527,"")</f>
        <v/>
      </c>
    </row>
    <row r="3529" spans="1:1">
      <c r="A3529" s="7" t="str">
        <f>IF('Document Workflow'!A3528&lt;&gt;"",'Document Workflow'!A3528,"")</f>
        <v/>
      </c>
    </row>
    <row r="3530" spans="1:1">
      <c r="A3530" s="7" t="str">
        <f>IF('Document Workflow'!A3529&lt;&gt;"",'Document Workflow'!A3529,"")</f>
        <v/>
      </c>
    </row>
    <row r="3531" spans="1:1">
      <c r="A3531" s="7" t="str">
        <f>IF('Document Workflow'!A3530&lt;&gt;"",'Document Workflow'!A3530,"")</f>
        <v/>
      </c>
    </row>
    <row r="3532" spans="1:1">
      <c r="A3532" s="7" t="str">
        <f>IF('Document Workflow'!A3531&lt;&gt;"",'Document Workflow'!A3531,"")</f>
        <v/>
      </c>
    </row>
    <row r="3533" spans="1:1">
      <c r="A3533" s="7" t="str">
        <f>IF('Document Workflow'!A3532&lt;&gt;"",'Document Workflow'!A3532,"")</f>
        <v/>
      </c>
    </row>
    <row r="3534" spans="1:1">
      <c r="A3534" s="7" t="str">
        <f>IF('Document Workflow'!A3533&lt;&gt;"",'Document Workflow'!A3533,"")</f>
        <v/>
      </c>
    </row>
    <row r="3535" spans="1:1">
      <c r="A3535" s="7" t="str">
        <f>IF('Document Workflow'!A3534&lt;&gt;"",'Document Workflow'!A3534,"")</f>
        <v/>
      </c>
    </row>
    <row r="3536" spans="1:1">
      <c r="A3536" s="7" t="str">
        <f>IF('Document Workflow'!A3535&lt;&gt;"",'Document Workflow'!A3535,"")</f>
        <v/>
      </c>
    </row>
    <row r="3537" spans="1:1">
      <c r="A3537" s="7" t="str">
        <f>IF('Document Workflow'!A3536&lt;&gt;"",'Document Workflow'!A3536,"")</f>
        <v/>
      </c>
    </row>
    <row r="3538" spans="1:1">
      <c r="A3538" s="7" t="str">
        <f>IF('Document Workflow'!A3537&lt;&gt;"",'Document Workflow'!A3537,"")</f>
        <v/>
      </c>
    </row>
    <row r="3539" spans="1:1">
      <c r="A3539" s="7" t="str">
        <f>IF('Document Workflow'!A3538&lt;&gt;"",'Document Workflow'!A3538,"")</f>
        <v/>
      </c>
    </row>
    <row r="3540" spans="1:1">
      <c r="A3540" s="7" t="str">
        <f>IF('Document Workflow'!A3539&lt;&gt;"",'Document Workflow'!A3539,"")</f>
        <v/>
      </c>
    </row>
    <row r="3541" spans="1:1">
      <c r="A3541" s="7" t="str">
        <f>IF('Document Workflow'!A3540&lt;&gt;"",'Document Workflow'!A3540,"")</f>
        <v/>
      </c>
    </row>
    <row r="3542" spans="1:1">
      <c r="A3542" s="7" t="str">
        <f>IF('Document Workflow'!A3541&lt;&gt;"",'Document Workflow'!A3541,"")</f>
        <v/>
      </c>
    </row>
    <row r="3543" spans="1:1">
      <c r="A3543" s="7" t="str">
        <f>IF('Document Workflow'!A3542&lt;&gt;"",'Document Workflow'!A3542,"")</f>
        <v/>
      </c>
    </row>
    <row r="3544" spans="1:1">
      <c r="A3544" s="7" t="str">
        <f>IF('Document Workflow'!A3543&lt;&gt;"",'Document Workflow'!A3543,"")</f>
        <v/>
      </c>
    </row>
    <row r="3545" spans="1:1">
      <c r="A3545" s="7" t="str">
        <f>IF('Document Workflow'!A3544&lt;&gt;"",'Document Workflow'!A3544,"")</f>
        <v/>
      </c>
    </row>
    <row r="3546" spans="1:1">
      <c r="A3546" s="7" t="str">
        <f>IF('Document Workflow'!A3545&lt;&gt;"",'Document Workflow'!A3545,"")</f>
        <v/>
      </c>
    </row>
    <row r="3547" spans="1:1">
      <c r="A3547" s="7" t="str">
        <f>IF('Document Workflow'!A3546&lt;&gt;"",'Document Workflow'!A3546,"")</f>
        <v/>
      </c>
    </row>
    <row r="3548" spans="1:1">
      <c r="A3548" s="7" t="str">
        <f>IF('Document Workflow'!A3547&lt;&gt;"",'Document Workflow'!A3547,"")</f>
        <v/>
      </c>
    </row>
    <row r="3549" spans="1:1">
      <c r="A3549" s="7" t="str">
        <f>IF('Document Workflow'!A3548&lt;&gt;"",'Document Workflow'!A3548,"")</f>
        <v/>
      </c>
    </row>
    <row r="3550" spans="1:1">
      <c r="A3550" s="7" t="str">
        <f>IF('Document Workflow'!A3549&lt;&gt;"",'Document Workflow'!A3549,"")</f>
        <v/>
      </c>
    </row>
    <row r="3551" spans="1:1">
      <c r="A3551" s="7" t="str">
        <f>IF('Document Workflow'!A3550&lt;&gt;"",'Document Workflow'!A3550,"")</f>
        <v/>
      </c>
    </row>
    <row r="3552" spans="1:1">
      <c r="A3552" s="7" t="str">
        <f>IF('Document Workflow'!A3551&lt;&gt;"",'Document Workflow'!A3551,"")</f>
        <v/>
      </c>
    </row>
    <row r="3553" spans="1:1">
      <c r="A3553" s="7" t="str">
        <f>IF('Document Workflow'!A3552&lt;&gt;"",'Document Workflow'!A3552,"")</f>
        <v/>
      </c>
    </row>
    <row r="3554" spans="1:1">
      <c r="A3554" s="7" t="str">
        <f>IF('Document Workflow'!A3553&lt;&gt;"",'Document Workflow'!A3553,"")</f>
        <v/>
      </c>
    </row>
    <row r="3555" spans="1:1">
      <c r="A3555" s="7" t="str">
        <f>IF('Document Workflow'!A3554&lt;&gt;"",'Document Workflow'!A3554,"")</f>
        <v/>
      </c>
    </row>
    <row r="3556" spans="1:1">
      <c r="A3556" s="7" t="str">
        <f>IF('Document Workflow'!A3555&lt;&gt;"",'Document Workflow'!A3555,"")</f>
        <v/>
      </c>
    </row>
    <row r="3557" spans="1:1">
      <c r="A3557" s="7" t="str">
        <f>IF('Document Workflow'!A3556&lt;&gt;"",'Document Workflow'!A3556,"")</f>
        <v/>
      </c>
    </row>
    <row r="3558" spans="1:1">
      <c r="A3558" s="7" t="str">
        <f>IF('Document Workflow'!A3557&lt;&gt;"",'Document Workflow'!A3557,"")</f>
        <v/>
      </c>
    </row>
    <row r="3559" spans="1:1">
      <c r="A3559" s="7" t="str">
        <f>IF('Document Workflow'!A3558&lt;&gt;"",'Document Workflow'!A3558,"")</f>
        <v/>
      </c>
    </row>
    <row r="3560" spans="1:1">
      <c r="A3560" s="7" t="str">
        <f>IF('Document Workflow'!A3559&lt;&gt;"",'Document Workflow'!A3559,"")</f>
        <v/>
      </c>
    </row>
    <row r="3561" spans="1:1">
      <c r="A3561" s="7" t="str">
        <f>IF('Document Workflow'!A3560&lt;&gt;"",'Document Workflow'!A3560,"")</f>
        <v/>
      </c>
    </row>
    <row r="3562" spans="1:1">
      <c r="A3562" s="7" t="str">
        <f>IF('Document Workflow'!A3561&lt;&gt;"",'Document Workflow'!A3561,"")</f>
        <v/>
      </c>
    </row>
    <row r="3563" spans="1:1">
      <c r="A3563" s="7" t="str">
        <f>IF('Document Workflow'!A3562&lt;&gt;"",'Document Workflow'!A3562,"")</f>
        <v/>
      </c>
    </row>
    <row r="3564" spans="1:1">
      <c r="A3564" s="7" t="str">
        <f>IF('Document Workflow'!A3563&lt;&gt;"",'Document Workflow'!A3563,"")</f>
        <v/>
      </c>
    </row>
    <row r="3565" spans="1:1">
      <c r="A3565" s="7" t="str">
        <f>IF('Document Workflow'!A3564&lt;&gt;"",'Document Workflow'!A3564,"")</f>
        <v/>
      </c>
    </row>
    <row r="3566" spans="1:1">
      <c r="A3566" s="7" t="str">
        <f>IF('Document Workflow'!A3565&lt;&gt;"",'Document Workflow'!A3565,"")</f>
        <v/>
      </c>
    </row>
    <row r="3567" spans="1:1">
      <c r="A3567" s="7" t="str">
        <f>IF('Document Workflow'!A3566&lt;&gt;"",'Document Workflow'!A3566,"")</f>
        <v/>
      </c>
    </row>
    <row r="3568" spans="1:1">
      <c r="A3568" s="7" t="str">
        <f>IF('Document Workflow'!A3567&lt;&gt;"",'Document Workflow'!A3567,"")</f>
        <v/>
      </c>
    </row>
    <row r="3569" spans="1:1">
      <c r="A3569" s="7" t="str">
        <f>IF('Document Workflow'!A3568&lt;&gt;"",'Document Workflow'!A3568,"")</f>
        <v/>
      </c>
    </row>
    <row r="3570" spans="1:1">
      <c r="A3570" s="7" t="str">
        <f>IF('Document Workflow'!A3569&lt;&gt;"",'Document Workflow'!A3569,"")</f>
        <v/>
      </c>
    </row>
    <row r="3571" spans="1:1">
      <c r="A3571" s="7" t="str">
        <f>IF('Document Workflow'!A3570&lt;&gt;"",'Document Workflow'!A3570,"")</f>
        <v/>
      </c>
    </row>
    <row r="3572" spans="1:1">
      <c r="A3572" s="7" t="str">
        <f>IF('Document Workflow'!A3571&lt;&gt;"",'Document Workflow'!A3571,"")</f>
        <v/>
      </c>
    </row>
    <row r="3573" spans="1:1">
      <c r="A3573" s="7" t="str">
        <f>IF('Document Workflow'!A3572&lt;&gt;"",'Document Workflow'!A3572,"")</f>
        <v/>
      </c>
    </row>
    <row r="3574" spans="1:1">
      <c r="A3574" s="7" t="str">
        <f>IF('Document Workflow'!A3573&lt;&gt;"",'Document Workflow'!A3573,"")</f>
        <v/>
      </c>
    </row>
    <row r="3575" spans="1:1">
      <c r="A3575" s="7" t="str">
        <f>IF('Document Workflow'!A3574&lt;&gt;"",'Document Workflow'!A3574,"")</f>
        <v/>
      </c>
    </row>
    <row r="3576" spans="1:1">
      <c r="A3576" s="7" t="str">
        <f>IF('Document Workflow'!A3575&lt;&gt;"",'Document Workflow'!A3575,"")</f>
        <v/>
      </c>
    </row>
    <row r="3577" spans="1:1">
      <c r="A3577" s="7" t="str">
        <f>IF('Document Workflow'!A3576&lt;&gt;"",'Document Workflow'!A3576,"")</f>
        <v/>
      </c>
    </row>
    <row r="3578" spans="1:1">
      <c r="A3578" s="7" t="str">
        <f>IF('Document Workflow'!A3577&lt;&gt;"",'Document Workflow'!A3577,"")</f>
        <v/>
      </c>
    </row>
    <row r="3579" spans="1:1">
      <c r="A3579" s="7" t="str">
        <f>IF('Document Workflow'!A3578&lt;&gt;"",'Document Workflow'!A3578,"")</f>
        <v/>
      </c>
    </row>
    <row r="3580" spans="1:1">
      <c r="A3580" s="7" t="str">
        <f>IF('Document Workflow'!A3579&lt;&gt;"",'Document Workflow'!A3579,"")</f>
        <v/>
      </c>
    </row>
    <row r="3581" spans="1:1">
      <c r="A3581" s="7" t="str">
        <f>IF('Document Workflow'!A3580&lt;&gt;"",'Document Workflow'!A3580,"")</f>
        <v/>
      </c>
    </row>
    <row r="3582" spans="1:1">
      <c r="A3582" s="7" t="str">
        <f>IF('Document Workflow'!A3581&lt;&gt;"",'Document Workflow'!A3581,"")</f>
        <v/>
      </c>
    </row>
    <row r="3583" spans="1:1">
      <c r="A3583" s="7" t="str">
        <f>IF('Document Workflow'!A3582&lt;&gt;"",'Document Workflow'!A3582,"")</f>
        <v/>
      </c>
    </row>
    <row r="3584" spans="1:1">
      <c r="A3584" s="7" t="str">
        <f>IF('Document Workflow'!A3583&lt;&gt;"",'Document Workflow'!A3583,"")</f>
        <v/>
      </c>
    </row>
    <row r="3585" spans="1:1">
      <c r="A3585" s="7" t="str">
        <f>IF('Document Workflow'!A3584&lt;&gt;"",'Document Workflow'!A3584,"")</f>
        <v/>
      </c>
    </row>
    <row r="3586" spans="1:1">
      <c r="A3586" s="7" t="str">
        <f>IF('Document Workflow'!A3585&lt;&gt;"",'Document Workflow'!A3585,"")</f>
        <v/>
      </c>
    </row>
    <row r="3587" spans="1:1">
      <c r="A3587" s="7" t="str">
        <f>IF('Document Workflow'!A3586&lt;&gt;"",'Document Workflow'!A3586,"")</f>
        <v/>
      </c>
    </row>
    <row r="3588" spans="1:1">
      <c r="A3588" s="7" t="str">
        <f>IF('Document Workflow'!A3587&lt;&gt;"",'Document Workflow'!A3587,"")</f>
        <v/>
      </c>
    </row>
    <row r="3589" spans="1:1">
      <c r="A3589" s="7" t="str">
        <f>IF('Document Workflow'!A3588&lt;&gt;"",'Document Workflow'!A3588,"")</f>
        <v/>
      </c>
    </row>
    <row r="3590" spans="1:1">
      <c r="A3590" s="7" t="str">
        <f>IF('Document Workflow'!A3589&lt;&gt;"",'Document Workflow'!A3589,"")</f>
        <v/>
      </c>
    </row>
    <row r="3591" spans="1:1">
      <c r="A3591" s="7" t="str">
        <f>IF('Document Workflow'!A3590&lt;&gt;"",'Document Workflow'!A3590,"")</f>
        <v/>
      </c>
    </row>
    <row r="3592" spans="1:1">
      <c r="A3592" s="7" t="str">
        <f>IF('Document Workflow'!A3591&lt;&gt;"",'Document Workflow'!A3591,"")</f>
        <v/>
      </c>
    </row>
    <row r="3593" spans="1:1">
      <c r="A3593" s="7" t="str">
        <f>IF('Document Workflow'!A3592&lt;&gt;"",'Document Workflow'!A3592,"")</f>
        <v/>
      </c>
    </row>
    <row r="3594" spans="1:1">
      <c r="A3594" s="7" t="str">
        <f>IF('Document Workflow'!A3593&lt;&gt;"",'Document Workflow'!A3593,"")</f>
        <v/>
      </c>
    </row>
    <row r="3595" spans="1:1">
      <c r="A3595" s="7" t="str">
        <f>IF('Document Workflow'!A3594&lt;&gt;"",'Document Workflow'!A3594,"")</f>
        <v/>
      </c>
    </row>
    <row r="3596" spans="1:1">
      <c r="A3596" s="7" t="str">
        <f>IF('Document Workflow'!A3595&lt;&gt;"",'Document Workflow'!A3595,"")</f>
        <v/>
      </c>
    </row>
    <row r="3597" spans="1:1">
      <c r="A3597" s="7" t="str">
        <f>IF('Document Workflow'!A3596&lt;&gt;"",'Document Workflow'!A3596,"")</f>
        <v/>
      </c>
    </row>
    <row r="3598" spans="1:1">
      <c r="A3598" s="7" t="str">
        <f>IF('Document Workflow'!A3597&lt;&gt;"",'Document Workflow'!A3597,"")</f>
        <v/>
      </c>
    </row>
    <row r="3599" spans="1:1">
      <c r="A3599" s="7" t="str">
        <f>IF('Document Workflow'!A3598&lt;&gt;"",'Document Workflow'!A3598,"")</f>
        <v/>
      </c>
    </row>
    <row r="3600" spans="1:1">
      <c r="A3600" s="7" t="str">
        <f>IF('Document Workflow'!A3599&lt;&gt;"",'Document Workflow'!A3599,"")</f>
        <v/>
      </c>
    </row>
    <row r="3601" spans="1:1">
      <c r="A3601" s="7" t="str">
        <f>IF('Document Workflow'!A3600&lt;&gt;"",'Document Workflow'!A3600,"")</f>
        <v/>
      </c>
    </row>
    <row r="3602" spans="1:1">
      <c r="A3602" s="7" t="str">
        <f>IF('Document Workflow'!A3601&lt;&gt;"",'Document Workflow'!A3601,"")</f>
        <v/>
      </c>
    </row>
    <row r="3603" spans="1:1">
      <c r="A3603" s="7" t="str">
        <f>IF('Document Workflow'!A3602&lt;&gt;"",'Document Workflow'!A3602,"")</f>
        <v/>
      </c>
    </row>
    <row r="3604" spans="1:1">
      <c r="A3604" s="7" t="str">
        <f>IF('Document Workflow'!A3603&lt;&gt;"",'Document Workflow'!A3603,"")</f>
        <v/>
      </c>
    </row>
    <row r="3605" spans="1:1">
      <c r="A3605" s="7" t="str">
        <f>IF('Document Workflow'!A3604&lt;&gt;"",'Document Workflow'!A3604,"")</f>
        <v/>
      </c>
    </row>
    <row r="3606" spans="1:1">
      <c r="A3606" s="7" t="str">
        <f>IF('Document Workflow'!A3605&lt;&gt;"",'Document Workflow'!A3605,"")</f>
        <v/>
      </c>
    </row>
    <row r="3607" spans="1:1">
      <c r="A3607" s="7" t="str">
        <f>IF('Document Workflow'!A3606&lt;&gt;"",'Document Workflow'!A3606,"")</f>
        <v/>
      </c>
    </row>
    <row r="3608" spans="1:1">
      <c r="A3608" s="7" t="str">
        <f>IF('Document Workflow'!A3607&lt;&gt;"",'Document Workflow'!A3607,"")</f>
        <v/>
      </c>
    </row>
    <row r="3609" spans="1:1">
      <c r="A3609" s="7" t="str">
        <f>IF('Document Workflow'!A3608&lt;&gt;"",'Document Workflow'!A3608,"")</f>
        <v/>
      </c>
    </row>
    <row r="3610" spans="1:1">
      <c r="A3610" s="7" t="str">
        <f>IF('Document Workflow'!A3609&lt;&gt;"",'Document Workflow'!A3609,"")</f>
        <v/>
      </c>
    </row>
    <row r="3611" spans="1:1">
      <c r="A3611" s="7" t="str">
        <f>IF('Document Workflow'!A3610&lt;&gt;"",'Document Workflow'!A3610,"")</f>
        <v/>
      </c>
    </row>
    <row r="3612" spans="1:1">
      <c r="A3612" s="7" t="str">
        <f>IF('Document Workflow'!A3611&lt;&gt;"",'Document Workflow'!A3611,"")</f>
        <v/>
      </c>
    </row>
    <row r="3613" spans="1:1">
      <c r="A3613" s="7" t="str">
        <f>IF('Document Workflow'!A3612&lt;&gt;"",'Document Workflow'!A3612,"")</f>
        <v/>
      </c>
    </row>
    <row r="3614" spans="1:1">
      <c r="A3614" s="7" t="str">
        <f>IF('Document Workflow'!A3613&lt;&gt;"",'Document Workflow'!A3613,"")</f>
        <v/>
      </c>
    </row>
    <row r="3615" spans="1:1">
      <c r="A3615" s="7" t="str">
        <f>IF('Document Workflow'!A3614&lt;&gt;"",'Document Workflow'!A3614,"")</f>
        <v/>
      </c>
    </row>
    <row r="3616" spans="1:1">
      <c r="A3616" s="7" t="str">
        <f>IF('Document Workflow'!A3615&lt;&gt;"",'Document Workflow'!A3615,"")</f>
        <v/>
      </c>
    </row>
    <row r="3617" spans="1:1">
      <c r="A3617" s="7" t="str">
        <f>IF('Document Workflow'!A3616&lt;&gt;"",'Document Workflow'!A3616,"")</f>
        <v/>
      </c>
    </row>
    <row r="3618" spans="1:1">
      <c r="A3618" s="7" t="str">
        <f>IF('Document Workflow'!A3617&lt;&gt;"",'Document Workflow'!A3617,"")</f>
        <v/>
      </c>
    </row>
    <row r="3619" spans="1:1">
      <c r="A3619" s="7" t="str">
        <f>IF('Document Workflow'!A3618&lt;&gt;"",'Document Workflow'!A3618,"")</f>
        <v/>
      </c>
    </row>
    <row r="3620" spans="1:1">
      <c r="A3620" s="7" t="str">
        <f>IF('Document Workflow'!A3619&lt;&gt;"",'Document Workflow'!A3619,"")</f>
        <v/>
      </c>
    </row>
    <row r="3621" spans="1:1">
      <c r="A3621" s="7" t="str">
        <f>IF('Document Workflow'!A3620&lt;&gt;"",'Document Workflow'!A3620,"")</f>
        <v/>
      </c>
    </row>
    <row r="3622" spans="1:1">
      <c r="A3622" s="7" t="str">
        <f>IF('Document Workflow'!A3621&lt;&gt;"",'Document Workflow'!A3621,"")</f>
        <v/>
      </c>
    </row>
    <row r="3623" spans="1:1">
      <c r="A3623" s="7" t="str">
        <f>IF('Document Workflow'!A3622&lt;&gt;"",'Document Workflow'!A3622,"")</f>
        <v/>
      </c>
    </row>
    <row r="3624" spans="1:1">
      <c r="A3624" s="7" t="str">
        <f>IF('Document Workflow'!A3623&lt;&gt;"",'Document Workflow'!A3623,"")</f>
        <v/>
      </c>
    </row>
    <row r="3625" spans="1:1">
      <c r="A3625" s="7" t="str">
        <f>IF('Document Workflow'!A3624&lt;&gt;"",'Document Workflow'!A3624,"")</f>
        <v/>
      </c>
    </row>
    <row r="3626" spans="1:1">
      <c r="A3626" s="7" t="str">
        <f>IF('Document Workflow'!A3625&lt;&gt;"",'Document Workflow'!A3625,"")</f>
        <v/>
      </c>
    </row>
    <row r="3627" spans="1:1">
      <c r="A3627" s="7" t="str">
        <f>IF('Document Workflow'!A3626&lt;&gt;"",'Document Workflow'!A3626,"")</f>
        <v/>
      </c>
    </row>
    <row r="3628" spans="1:1">
      <c r="A3628" s="7" t="str">
        <f>IF('Document Workflow'!A3627&lt;&gt;"",'Document Workflow'!A3627,"")</f>
        <v/>
      </c>
    </row>
    <row r="3629" spans="1:1">
      <c r="A3629" s="7" t="str">
        <f>IF('Document Workflow'!A3628&lt;&gt;"",'Document Workflow'!A3628,"")</f>
        <v/>
      </c>
    </row>
    <row r="3630" spans="1:1">
      <c r="A3630" s="7" t="str">
        <f>IF('Document Workflow'!A3629&lt;&gt;"",'Document Workflow'!A3629,"")</f>
        <v/>
      </c>
    </row>
    <row r="3631" spans="1:1">
      <c r="A3631" s="7" t="str">
        <f>IF('Document Workflow'!A3630&lt;&gt;"",'Document Workflow'!A3630,"")</f>
        <v/>
      </c>
    </row>
    <row r="3632" spans="1:1">
      <c r="A3632" s="7" t="str">
        <f>IF('Document Workflow'!A3631&lt;&gt;"",'Document Workflow'!A3631,"")</f>
        <v/>
      </c>
    </row>
    <row r="3633" spans="1:1">
      <c r="A3633" s="7" t="str">
        <f>IF('Document Workflow'!A3632&lt;&gt;"",'Document Workflow'!A3632,"")</f>
        <v/>
      </c>
    </row>
    <row r="3634" spans="1:1">
      <c r="A3634" s="7" t="str">
        <f>IF('Document Workflow'!A3633&lt;&gt;"",'Document Workflow'!A3633,"")</f>
        <v/>
      </c>
    </row>
    <row r="3635" spans="1:1">
      <c r="A3635" s="7" t="str">
        <f>IF('Document Workflow'!A3634&lt;&gt;"",'Document Workflow'!A3634,"")</f>
        <v/>
      </c>
    </row>
    <row r="3636" spans="1:1">
      <c r="A3636" s="7" t="str">
        <f>IF('Document Workflow'!A3635&lt;&gt;"",'Document Workflow'!A3635,"")</f>
        <v/>
      </c>
    </row>
    <row r="3637" spans="1:1">
      <c r="A3637" s="7" t="str">
        <f>IF('Document Workflow'!A3636&lt;&gt;"",'Document Workflow'!A3636,"")</f>
        <v/>
      </c>
    </row>
    <row r="3638" spans="1:1">
      <c r="A3638" s="7" t="str">
        <f>IF('Document Workflow'!A3637&lt;&gt;"",'Document Workflow'!A3637,"")</f>
        <v/>
      </c>
    </row>
    <row r="3639" spans="1:1">
      <c r="A3639" s="7" t="str">
        <f>IF('Document Workflow'!A3638&lt;&gt;"",'Document Workflow'!A3638,"")</f>
        <v/>
      </c>
    </row>
    <row r="3640" spans="1:1">
      <c r="A3640" s="7" t="str">
        <f>IF('Document Workflow'!A3639&lt;&gt;"",'Document Workflow'!A3639,"")</f>
        <v/>
      </c>
    </row>
    <row r="3641" spans="1:1">
      <c r="A3641" s="7" t="str">
        <f>IF('Document Workflow'!A3640&lt;&gt;"",'Document Workflow'!A3640,"")</f>
        <v/>
      </c>
    </row>
    <row r="3642" spans="1:1">
      <c r="A3642" s="7" t="str">
        <f>IF('Document Workflow'!A3641&lt;&gt;"",'Document Workflow'!A3641,"")</f>
        <v/>
      </c>
    </row>
    <row r="3643" spans="1:1">
      <c r="A3643" s="7" t="str">
        <f>IF('Document Workflow'!A3642&lt;&gt;"",'Document Workflow'!A3642,"")</f>
        <v/>
      </c>
    </row>
    <row r="3644" spans="1:1">
      <c r="A3644" s="7" t="str">
        <f>IF('Document Workflow'!A3643&lt;&gt;"",'Document Workflow'!A3643,"")</f>
        <v/>
      </c>
    </row>
    <row r="3645" spans="1:1">
      <c r="A3645" s="7" t="str">
        <f>IF('Document Workflow'!A3644&lt;&gt;"",'Document Workflow'!A3644,"")</f>
        <v/>
      </c>
    </row>
    <row r="3646" spans="1:1">
      <c r="A3646" s="7" t="str">
        <f>IF('Document Workflow'!A3645&lt;&gt;"",'Document Workflow'!A3645,"")</f>
        <v/>
      </c>
    </row>
    <row r="3647" spans="1:1">
      <c r="A3647" s="7" t="str">
        <f>IF('Document Workflow'!A3646&lt;&gt;"",'Document Workflow'!A3646,"")</f>
        <v/>
      </c>
    </row>
    <row r="3648" spans="1:1">
      <c r="A3648" s="7" t="str">
        <f>IF('Document Workflow'!A3647&lt;&gt;"",'Document Workflow'!A3647,"")</f>
        <v/>
      </c>
    </row>
    <row r="3649" spans="1:1">
      <c r="A3649" s="7" t="str">
        <f>IF('Document Workflow'!A3648&lt;&gt;"",'Document Workflow'!A3648,"")</f>
        <v/>
      </c>
    </row>
    <row r="3650" spans="1:1">
      <c r="A3650" s="7" t="str">
        <f>IF('Document Workflow'!A3649&lt;&gt;"",'Document Workflow'!A3649,"")</f>
        <v/>
      </c>
    </row>
    <row r="3651" spans="1:1">
      <c r="A3651" s="7" t="str">
        <f>IF('Document Workflow'!A3650&lt;&gt;"",'Document Workflow'!A3650,"")</f>
        <v/>
      </c>
    </row>
    <row r="3652" spans="1:1">
      <c r="A3652" s="7" t="str">
        <f>IF('Document Workflow'!A3651&lt;&gt;"",'Document Workflow'!A3651,"")</f>
        <v/>
      </c>
    </row>
    <row r="3653" spans="1:1">
      <c r="A3653" s="7" t="str">
        <f>IF('Document Workflow'!A3652&lt;&gt;"",'Document Workflow'!A3652,"")</f>
        <v/>
      </c>
    </row>
    <row r="3654" spans="1:1">
      <c r="A3654" s="7" t="str">
        <f>IF('Document Workflow'!A3653&lt;&gt;"",'Document Workflow'!A3653,"")</f>
        <v/>
      </c>
    </row>
    <row r="3655" spans="1:1">
      <c r="A3655" s="7" t="str">
        <f>IF('Document Workflow'!A3654&lt;&gt;"",'Document Workflow'!A3654,"")</f>
        <v/>
      </c>
    </row>
    <row r="3656" spans="1:1">
      <c r="A3656" s="7" t="str">
        <f>IF('Document Workflow'!A3655&lt;&gt;"",'Document Workflow'!A3655,"")</f>
        <v/>
      </c>
    </row>
    <row r="3657" spans="1:1">
      <c r="A3657" s="7" t="str">
        <f>IF('Document Workflow'!A3656&lt;&gt;"",'Document Workflow'!A3656,"")</f>
        <v/>
      </c>
    </row>
    <row r="3658" spans="1:1">
      <c r="A3658" s="7" t="str">
        <f>IF('Document Workflow'!A3657&lt;&gt;"",'Document Workflow'!A3657,"")</f>
        <v/>
      </c>
    </row>
    <row r="3659" spans="1:1">
      <c r="A3659" s="7" t="str">
        <f>IF('Document Workflow'!A3658&lt;&gt;"",'Document Workflow'!A3658,"")</f>
        <v/>
      </c>
    </row>
    <row r="3660" spans="1:1">
      <c r="A3660" s="7" t="str">
        <f>IF('Document Workflow'!A3659&lt;&gt;"",'Document Workflow'!A3659,"")</f>
        <v/>
      </c>
    </row>
    <row r="3661" spans="1:1">
      <c r="A3661" s="7" t="str">
        <f>IF('Document Workflow'!A3660&lt;&gt;"",'Document Workflow'!A3660,"")</f>
        <v/>
      </c>
    </row>
    <row r="3662" spans="1:1">
      <c r="A3662" s="7" t="str">
        <f>IF('Document Workflow'!A3661&lt;&gt;"",'Document Workflow'!A3661,"")</f>
        <v/>
      </c>
    </row>
    <row r="3663" spans="1:1">
      <c r="A3663" s="7" t="str">
        <f>IF('Document Workflow'!A3662&lt;&gt;"",'Document Workflow'!A3662,"")</f>
        <v/>
      </c>
    </row>
    <row r="3664" spans="1:1">
      <c r="A3664" s="7" t="str">
        <f>IF('Document Workflow'!A3663&lt;&gt;"",'Document Workflow'!A3663,"")</f>
        <v/>
      </c>
    </row>
    <row r="3665" spans="1:1">
      <c r="A3665" s="7" t="str">
        <f>IF('Document Workflow'!A3664&lt;&gt;"",'Document Workflow'!A3664,"")</f>
        <v/>
      </c>
    </row>
    <row r="3666" spans="1:1">
      <c r="A3666" s="7" t="str">
        <f>IF('Document Workflow'!A3665&lt;&gt;"",'Document Workflow'!A3665,"")</f>
        <v/>
      </c>
    </row>
    <row r="3667" spans="1:1">
      <c r="A3667" s="7" t="str">
        <f>IF('Document Workflow'!A3666&lt;&gt;"",'Document Workflow'!A3666,"")</f>
        <v/>
      </c>
    </row>
    <row r="3668" spans="1:1">
      <c r="A3668" s="7" t="str">
        <f>IF('Document Workflow'!A3667&lt;&gt;"",'Document Workflow'!A3667,"")</f>
        <v/>
      </c>
    </row>
    <row r="3669" spans="1:1">
      <c r="A3669" s="7" t="str">
        <f>IF('Document Workflow'!A3668&lt;&gt;"",'Document Workflow'!A3668,"")</f>
        <v/>
      </c>
    </row>
    <row r="3670" spans="1:1">
      <c r="A3670" s="7" t="str">
        <f>IF('Document Workflow'!A3669&lt;&gt;"",'Document Workflow'!A3669,"")</f>
        <v/>
      </c>
    </row>
    <row r="3671" spans="1:1">
      <c r="A3671" s="7" t="str">
        <f>IF('Document Workflow'!A3670&lt;&gt;"",'Document Workflow'!A3670,"")</f>
        <v/>
      </c>
    </row>
    <row r="3672" spans="1:1">
      <c r="A3672" s="7" t="str">
        <f>IF('Document Workflow'!A3671&lt;&gt;"",'Document Workflow'!A3671,"")</f>
        <v/>
      </c>
    </row>
    <row r="3673" spans="1:1">
      <c r="A3673" s="7" t="str">
        <f>IF('Document Workflow'!A3672&lt;&gt;"",'Document Workflow'!A3672,"")</f>
        <v/>
      </c>
    </row>
    <row r="3674" spans="1:1">
      <c r="A3674" s="7" t="str">
        <f>IF('Document Workflow'!A3673&lt;&gt;"",'Document Workflow'!A3673,"")</f>
        <v/>
      </c>
    </row>
    <row r="3675" spans="1:1">
      <c r="A3675" s="7" t="str">
        <f>IF('Document Workflow'!A3674&lt;&gt;"",'Document Workflow'!A3674,"")</f>
        <v/>
      </c>
    </row>
    <row r="3676" spans="1:1">
      <c r="A3676" s="7" t="str">
        <f>IF('Document Workflow'!A3675&lt;&gt;"",'Document Workflow'!A3675,"")</f>
        <v/>
      </c>
    </row>
    <row r="3677" spans="1:1">
      <c r="A3677" s="7" t="str">
        <f>IF('Document Workflow'!A3676&lt;&gt;"",'Document Workflow'!A3676,"")</f>
        <v/>
      </c>
    </row>
    <row r="3678" spans="1:1">
      <c r="A3678" s="7" t="str">
        <f>IF('Document Workflow'!A3677&lt;&gt;"",'Document Workflow'!A3677,"")</f>
        <v/>
      </c>
    </row>
    <row r="3679" spans="1:1">
      <c r="A3679" s="7" t="str">
        <f>IF('Document Workflow'!A3678&lt;&gt;"",'Document Workflow'!A3678,"")</f>
        <v/>
      </c>
    </row>
    <row r="3680" spans="1:1">
      <c r="A3680" s="7" t="str">
        <f>IF('Document Workflow'!A3679&lt;&gt;"",'Document Workflow'!A3679,"")</f>
        <v/>
      </c>
    </row>
    <row r="3681" spans="1:1">
      <c r="A3681" s="7" t="str">
        <f>IF('Document Workflow'!A3680&lt;&gt;"",'Document Workflow'!A3680,"")</f>
        <v/>
      </c>
    </row>
    <row r="3682" spans="1:1">
      <c r="A3682" s="7" t="str">
        <f>IF('Document Workflow'!A3681&lt;&gt;"",'Document Workflow'!A3681,"")</f>
        <v/>
      </c>
    </row>
    <row r="3683" spans="1:1">
      <c r="A3683" s="7" t="str">
        <f>IF('Document Workflow'!A3682&lt;&gt;"",'Document Workflow'!A3682,"")</f>
        <v/>
      </c>
    </row>
    <row r="3684" spans="1:1">
      <c r="A3684" s="7" t="str">
        <f>IF('Document Workflow'!A3683&lt;&gt;"",'Document Workflow'!A3683,"")</f>
        <v/>
      </c>
    </row>
    <row r="3685" spans="1:1">
      <c r="A3685" s="7" t="str">
        <f>IF('Document Workflow'!A3684&lt;&gt;"",'Document Workflow'!A3684,"")</f>
        <v/>
      </c>
    </row>
    <row r="3686" spans="1:1">
      <c r="A3686" s="7" t="str">
        <f>IF('Document Workflow'!A3685&lt;&gt;"",'Document Workflow'!A3685,"")</f>
        <v/>
      </c>
    </row>
    <row r="3687" spans="1:1">
      <c r="A3687" s="7" t="str">
        <f>IF('Document Workflow'!A3686&lt;&gt;"",'Document Workflow'!A3686,"")</f>
        <v/>
      </c>
    </row>
    <row r="3688" spans="1:1">
      <c r="A3688" s="7" t="str">
        <f>IF('Document Workflow'!A3687&lt;&gt;"",'Document Workflow'!A3687,"")</f>
        <v/>
      </c>
    </row>
    <row r="3689" spans="1:1">
      <c r="A3689" s="7" t="str">
        <f>IF('Document Workflow'!A3688&lt;&gt;"",'Document Workflow'!A3688,"")</f>
        <v/>
      </c>
    </row>
    <row r="3690" spans="1:1">
      <c r="A3690" s="7" t="str">
        <f>IF('Document Workflow'!A3689&lt;&gt;"",'Document Workflow'!A3689,"")</f>
        <v/>
      </c>
    </row>
    <row r="3691" spans="1:1">
      <c r="A3691" s="7" t="str">
        <f>IF('Document Workflow'!A3690&lt;&gt;"",'Document Workflow'!A3690,"")</f>
        <v/>
      </c>
    </row>
    <row r="3692" spans="1:1">
      <c r="A3692" s="7" t="str">
        <f>IF('Document Workflow'!A3691&lt;&gt;"",'Document Workflow'!A3691,"")</f>
        <v/>
      </c>
    </row>
    <row r="3693" spans="1:1">
      <c r="A3693" s="7" t="str">
        <f>IF('Document Workflow'!A3692&lt;&gt;"",'Document Workflow'!A3692,"")</f>
        <v/>
      </c>
    </row>
    <row r="3694" spans="1:1">
      <c r="A3694" s="7" t="str">
        <f>IF('Document Workflow'!A3693&lt;&gt;"",'Document Workflow'!A3693,"")</f>
        <v/>
      </c>
    </row>
    <row r="3695" spans="1:1">
      <c r="A3695" s="7" t="str">
        <f>IF('Document Workflow'!A3694&lt;&gt;"",'Document Workflow'!A3694,"")</f>
        <v/>
      </c>
    </row>
    <row r="3696" spans="1:1">
      <c r="A3696" s="7" t="str">
        <f>IF('Document Workflow'!A3695&lt;&gt;"",'Document Workflow'!A3695,"")</f>
        <v/>
      </c>
    </row>
    <row r="3697" spans="1:1">
      <c r="A3697" s="7" t="str">
        <f>IF('Document Workflow'!A3696&lt;&gt;"",'Document Workflow'!A3696,"")</f>
        <v/>
      </c>
    </row>
    <row r="3698" spans="1:1">
      <c r="A3698" s="7" t="str">
        <f>IF('Document Workflow'!A3697&lt;&gt;"",'Document Workflow'!A3697,"")</f>
        <v/>
      </c>
    </row>
    <row r="3699" spans="1:1">
      <c r="A3699" s="7" t="str">
        <f>IF('Document Workflow'!A3698&lt;&gt;"",'Document Workflow'!A3698,"")</f>
        <v/>
      </c>
    </row>
    <row r="3700" spans="1:1">
      <c r="A3700" s="7" t="str">
        <f>IF('Document Workflow'!A3699&lt;&gt;"",'Document Workflow'!A3699,"")</f>
        <v/>
      </c>
    </row>
    <row r="3701" spans="1:1">
      <c r="A3701" s="7" t="str">
        <f>IF('Document Workflow'!A3700&lt;&gt;"",'Document Workflow'!A3700,"")</f>
        <v/>
      </c>
    </row>
    <row r="3702" spans="1:1">
      <c r="A3702" s="7" t="str">
        <f>IF('Document Workflow'!A3701&lt;&gt;"",'Document Workflow'!A3701,"")</f>
        <v/>
      </c>
    </row>
    <row r="3703" spans="1:1">
      <c r="A3703" s="7" t="str">
        <f>IF('Document Workflow'!A3702&lt;&gt;"",'Document Workflow'!A3702,"")</f>
        <v/>
      </c>
    </row>
    <row r="3704" spans="1:1">
      <c r="A3704" s="7" t="str">
        <f>IF('Document Workflow'!A3703&lt;&gt;"",'Document Workflow'!A3703,"")</f>
        <v/>
      </c>
    </row>
    <row r="3705" spans="1:1">
      <c r="A3705" s="7" t="str">
        <f>IF('Document Workflow'!A3704&lt;&gt;"",'Document Workflow'!A3704,"")</f>
        <v/>
      </c>
    </row>
    <row r="3706" spans="1:1">
      <c r="A3706" s="7" t="str">
        <f>IF('Document Workflow'!A3705&lt;&gt;"",'Document Workflow'!A3705,"")</f>
        <v/>
      </c>
    </row>
    <row r="3707" spans="1:1">
      <c r="A3707" s="7" t="str">
        <f>IF('Document Workflow'!A3706&lt;&gt;"",'Document Workflow'!A3706,"")</f>
        <v/>
      </c>
    </row>
    <row r="3708" spans="1:1">
      <c r="A3708" s="7" t="str">
        <f>IF('Document Workflow'!A3707&lt;&gt;"",'Document Workflow'!A3707,"")</f>
        <v/>
      </c>
    </row>
    <row r="3709" spans="1:1">
      <c r="A3709" s="7" t="str">
        <f>IF('Document Workflow'!A3708&lt;&gt;"",'Document Workflow'!A3708,"")</f>
        <v/>
      </c>
    </row>
    <row r="3710" spans="1:1">
      <c r="A3710" s="7" t="str">
        <f>IF('Document Workflow'!A3709&lt;&gt;"",'Document Workflow'!A3709,"")</f>
        <v/>
      </c>
    </row>
    <row r="3711" spans="1:1">
      <c r="A3711" s="7" t="str">
        <f>IF('Document Workflow'!A3710&lt;&gt;"",'Document Workflow'!A3710,"")</f>
        <v/>
      </c>
    </row>
    <row r="3712" spans="1:1">
      <c r="A3712" s="7" t="str">
        <f>IF('Document Workflow'!A3711&lt;&gt;"",'Document Workflow'!A3711,"")</f>
        <v/>
      </c>
    </row>
    <row r="3713" spans="1:1">
      <c r="A3713" s="7" t="str">
        <f>IF('Document Workflow'!A3712&lt;&gt;"",'Document Workflow'!A3712,"")</f>
        <v/>
      </c>
    </row>
    <row r="3714" spans="1:1">
      <c r="A3714" s="7" t="str">
        <f>IF('Document Workflow'!A3713&lt;&gt;"",'Document Workflow'!A3713,"")</f>
        <v/>
      </c>
    </row>
    <row r="3715" spans="1:1">
      <c r="A3715" s="7" t="str">
        <f>IF('Document Workflow'!A3714&lt;&gt;"",'Document Workflow'!A3714,"")</f>
        <v/>
      </c>
    </row>
    <row r="3716" spans="1:1">
      <c r="A3716" s="7" t="str">
        <f>IF('Document Workflow'!A3715&lt;&gt;"",'Document Workflow'!A3715,"")</f>
        <v/>
      </c>
    </row>
    <row r="3717" spans="1:1">
      <c r="A3717" s="7" t="str">
        <f>IF('Document Workflow'!A3716&lt;&gt;"",'Document Workflow'!A3716,"")</f>
        <v/>
      </c>
    </row>
    <row r="3718" spans="1:1">
      <c r="A3718" s="7" t="str">
        <f>IF('Document Workflow'!A3717&lt;&gt;"",'Document Workflow'!A3717,"")</f>
        <v/>
      </c>
    </row>
    <row r="3719" spans="1:1">
      <c r="A3719" s="7" t="str">
        <f>IF('Document Workflow'!A3718&lt;&gt;"",'Document Workflow'!A3718,"")</f>
        <v/>
      </c>
    </row>
    <row r="3720" spans="1:1">
      <c r="A3720" s="7" t="str">
        <f>IF('Document Workflow'!A3719&lt;&gt;"",'Document Workflow'!A3719,"")</f>
        <v/>
      </c>
    </row>
    <row r="3721" spans="1:1">
      <c r="A3721" s="7" t="str">
        <f>IF('Document Workflow'!A3720&lt;&gt;"",'Document Workflow'!A3720,"")</f>
        <v/>
      </c>
    </row>
    <row r="3722" spans="1:1">
      <c r="A3722" s="7" t="str">
        <f>IF('Document Workflow'!A3721&lt;&gt;"",'Document Workflow'!A3721,"")</f>
        <v/>
      </c>
    </row>
    <row r="3723" spans="1:1">
      <c r="A3723" s="7" t="str">
        <f>IF('Document Workflow'!A3722&lt;&gt;"",'Document Workflow'!A3722,"")</f>
        <v/>
      </c>
    </row>
    <row r="3724" spans="1:1">
      <c r="A3724" s="7" t="str">
        <f>IF('Document Workflow'!A3723&lt;&gt;"",'Document Workflow'!A3723,"")</f>
        <v/>
      </c>
    </row>
    <row r="3725" spans="1:1">
      <c r="A3725" s="7" t="str">
        <f>IF('Document Workflow'!A3724&lt;&gt;"",'Document Workflow'!A3724,"")</f>
        <v/>
      </c>
    </row>
    <row r="3726" spans="1:1">
      <c r="A3726" s="7" t="str">
        <f>IF('Document Workflow'!A3725&lt;&gt;"",'Document Workflow'!A3725,"")</f>
        <v/>
      </c>
    </row>
    <row r="3727" spans="1:1">
      <c r="A3727" s="7" t="str">
        <f>IF('Document Workflow'!A3726&lt;&gt;"",'Document Workflow'!A3726,"")</f>
        <v/>
      </c>
    </row>
    <row r="3728" spans="1:1">
      <c r="A3728" s="7" t="str">
        <f>IF('Document Workflow'!A3727&lt;&gt;"",'Document Workflow'!A3727,"")</f>
        <v/>
      </c>
    </row>
    <row r="3729" spans="1:1">
      <c r="A3729" s="7" t="str">
        <f>IF('Document Workflow'!A3728&lt;&gt;"",'Document Workflow'!A3728,"")</f>
        <v/>
      </c>
    </row>
    <row r="3730" spans="1:1">
      <c r="A3730" s="7" t="str">
        <f>IF('Document Workflow'!A3729&lt;&gt;"",'Document Workflow'!A3729,"")</f>
        <v/>
      </c>
    </row>
    <row r="3731" spans="1:1">
      <c r="A3731" s="7" t="str">
        <f>IF('Document Workflow'!A3730&lt;&gt;"",'Document Workflow'!A3730,"")</f>
        <v/>
      </c>
    </row>
    <row r="3732" spans="1:1">
      <c r="A3732" s="7" t="str">
        <f>IF('Document Workflow'!A3731&lt;&gt;"",'Document Workflow'!A3731,"")</f>
        <v/>
      </c>
    </row>
    <row r="3733" spans="1:1">
      <c r="A3733" s="7" t="str">
        <f>IF('Document Workflow'!A3732&lt;&gt;"",'Document Workflow'!A3732,"")</f>
        <v/>
      </c>
    </row>
    <row r="3734" spans="1:1">
      <c r="A3734" s="7" t="str">
        <f>IF('Document Workflow'!A3733&lt;&gt;"",'Document Workflow'!A3733,"")</f>
        <v/>
      </c>
    </row>
    <row r="3735" spans="1:1">
      <c r="A3735" s="7" t="str">
        <f>IF('Document Workflow'!A3734&lt;&gt;"",'Document Workflow'!A3734,"")</f>
        <v/>
      </c>
    </row>
    <row r="3736" spans="1:1">
      <c r="A3736" s="7" t="str">
        <f>IF('Document Workflow'!A3735&lt;&gt;"",'Document Workflow'!A3735,"")</f>
        <v/>
      </c>
    </row>
    <row r="3737" spans="1:1">
      <c r="A3737" s="7" t="str">
        <f>IF('Document Workflow'!A3736&lt;&gt;"",'Document Workflow'!A3736,"")</f>
        <v/>
      </c>
    </row>
    <row r="3738" spans="1:1">
      <c r="A3738" s="7" t="str">
        <f>IF('Document Workflow'!A3737&lt;&gt;"",'Document Workflow'!A3737,"")</f>
        <v/>
      </c>
    </row>
    <row r="3739" spans="1:1">
      <c r="A3739" s="7" t="str">
        <f>IF('Document Workflow'!A3738&lt;&gt;"",'Document Workflow'!A3738,"")</f>
        <v/>
      </c>
    </row>
    <row r="3740" spans="1:1">
      <c r="A3740" s="7" t="str">
        <f>IF('Document Workflow'!A3739&lt;&gt;"",'Document Workflow'!A3739,"")</f>
        <v/>
      </c>
    </row>
    <row r="3741" spans="1:1">
      <c r="A3741" s="7" t="str">
        <f>IF('Document Workflow'!A3740&lt;&gt;"",'Document Workflow'!A3740,"")</f>
        <v/>
      </c>
    </row>
    <row r="3742" spans="1:1">
      <c r="A3742" s="7" t="str">
        <f>IF('Document Workflow'!A3741&lt;&gt;"",'Document Workflow'!A3741,"")</f>
        <v/>
      </c>
    </row>
    <row r="3743" spans="1:1">
      <c r="A3743" s="7" t="str">
        <f>IF('Document Workflow'!A3742&lt;&gt;"",'Document Workflow'!A3742,"")</f>
        <v/>
      </c>
    </row>
    <row r="3744" spans="1:1">
      <c r="A3744" s="7" t="str">
        <f>IF('Document Workflow'!A3743&lt;&gt;"",'Document Workflow'!A3743,"")</f>
        <v/>
      </c>
    </row>
    <row r="3745" spans="1:1">
      <c r="A3745" s="7" t="str">
        <f>IF('Document Workflow'!A3744&lt;&gt;"",'Document Workflow'!A3744,"")</f>
        <v/>
      </c>
    </row>
    <row r="3746" spans="1:1">
      <c r="A3746" s="7" t="str">
        <f>IF('Document Workflow'!A3745&lt;&gt;"",'Document Workflow'!A3745,"")</f>
        <v/>
      </c>
    </row>
    <row r="3747" spans="1:1">
      <c r="A3747" s="7" t="str">
        <f>IF('Document Workflow'!A3746&lt;&gt;"",'Document Workflow'!A3746,"")</f>
        <v/>
      </c>
    </row>
    <row r="3748" spans="1:1">
      <c r="A3748" s="7" t="str">
        <f>IF('Document Workflow'!A3747&lt;&gt;"",'Document Workflow'!A3747,"")</f>
        <v/>
      </c>
    </row>
    <row r="3749" spans="1:1">
      <c r="A3749" s="7" t="str">
        <f>IF('Document Workflow'!A3748&lt;&gt;"",'Document Workflow'!A3748,"")</f>
        <v/>
      </c>
    </row>
    <row r="3750" spans="1:1">
      <c r="A3750" s="7" t="str">
        <f>IF('Document Workflow'!A3749&lt;&gt;"",'Document Workflow'!A3749,"")</f>
        <v/>
      </c>
    </row>
    <row r="3751" spans="1:1">
      <c r="A3751" s="7" t="str">
        <f>IF('Document Workflow'!A3750&lt;&gt;"",'Document Workflow'!A3750,"")</f>
        <v/>
      </c>
    </row>
    <row r="3752" spans="1:1">
      <c r="A3752" s="7" t="str">
        <f>IF('Document Workflow'!A3751&lt;&gt;"",'Document Workflow'!A3751,"")</f>
        <v/>
      </c>
    </row>
    <row r="3753" spans="1:1">
      <c r="A3753" s="7" t="str">
        <f>IF('Document Workflow'!A3752&lt;&gt;"",'Document Workflow'!A3752,"")</f>
        <v/>
      </c>
    </row>
    <row r="3754" spans="1:1">
      <c r="A3754" s="7" t="str">
        <f>IF('Document Workflow'!A3753&lt;&gt;"",'Document Workflow'!A3753,"")</f>
        <v/>
      </c>
    </row>
    <row r="3755" spans="1:1">
      <c r="A3755" s="7" t="str">
        <f>IF('Document Workflow'!A3754&lt;&gt;"",'Document Workflow'!A3754,"")</f>
        <v/>
      </c>
    </row>
    <row r="3756" spans="1:1">
      <c r="A3756" s="7" t="str">
        <f>IF('Document Workflow'!A3755&lt;&gt;"",'Document Workflow'!A3755,"")</f>
        <v/>
      </c>
    </row>
    <row r="3757" spans="1:1">
      <c r="A3757" s="7" t="str">
        <f>IF('Document Workflow'!A3756&lt;&gt;"",'Document Workflow'!A3756,"")</f>
        <v/>
      </c>
    </row>
    <row r="3758" spans="1:1">
      <c r="A3758" s="7" t="str">
        <f>IF('Document Workflow'!A3757&lt;&gt;"",'Document Workflow'!A3757,"")</f>
        <v/>
      </c>
    </row>
    <row r="3759" spans="1:1">
      <c r="A3759" s="7" t="str">
        <f>IF('Document Workflow'!A3758&lt;&gt;"",'Document Workflow'!A3758,"")</f>
        <v/>
      </c>
    </row>
    <row r="3760" spans="1:1">
      <c r="A3760" s="7" t="str">
        <f>IF('Document Workflow'!A3759&lt;&gt;"",'Document Workflow'!A3759,"")</f>
        <v/>
      </c>
    </row>
    <row r="3761" spans="1:1">
      <c r="A3761" s="7" t="str">
        <f>IF('Document Workflow'!A3760&lt;&gt;"",'Document Workflow'!A3760,"")</f>
        <v/>
      </c>
    </row>
    <row r="3762" spans="1:1">
      <c r="A3762" s="7" t="str">
        <f>IF('Document Workflow'!A3761&lt;&gt;"",'Document Workflow'!A3761,"")</f>
        <v/>
      </c>
    </row>
    <row r="3763" spans="1:1">
      <c r="A3763" s="7" t="str">
        <f>IF('Document Workflow'!A3762&lt;&gt;"",'Document Workflow'!A3762,"")</f>
        <v/>
      </c>
    </row>
    <row r="3764" spans="1:1">
      <c r="A3764" s="7" t="str">
        <f>IF('Document Workflow'!A3763&lt;&gt;"",'Document Workflow'!A3763,"")</f>
        <v/>
      </c>
    </row>
    <row r="3765" spans="1:1">
      <c r="A3765" s="7" t="str">
        <f>IF('Document Workflow'!A3764&lt;&gt;"",'Document Workflow'!A3764,"")</f>
        <v/>
      </c>
    </row>
    <row r="3766" spans="1:1">
      <c r="A3766" s="7" t="str">
        <f>IF('Document Workflow'!A3765&lt;&gt;"",'Document Workflow'!A3765,"")</f>
        <v/>
      </c>
    </row>
    <row r="3767" spans="1:1">
      <c r="A3767" s="7" t="str">
        <f>IF('Document Workflow'!A3766&lt;&gt;"",'Document Workflow'!A3766,"")</f>
        <v/>
      </c>
    </row>
    <row r="3768" spans="1:1">
      <c r="A3768" s="7" t="str">
        <f>IF('Document Workflow'!A3767&lt;&gt;"",'Document Workflow'!A3767,"")</f>
        <v/>
      </c>
    </row>
    <row r="3769" spans="1:1">
      <c r="A3769" s="7" t="str">
        <f>IF('Document Workflow'!A3768&lt;&gt;"",'Document Workflow'!A3768,"")</f>
        <v/>
      </c>
    </row>
    <row r="3770" spans="1:1">
      <c r="A3770" s="7" t="str">
        <f>IF('Document Workflow'!A3769&lt;&gt;"",'Document Workflow'!A3769,"")</f>
        <v/>
      </c>
    </row>
    <row r="3771" spans="1:1">
      <c r="A3771" s="7" t="str">
        <f>IF('Document Workflow'!A3770&lt;&gt;"",'Document Workflow'!A3770,"")</f>
        <v/>
      </c>
    </row>
    <row r="3772" spans="1:1">
      <c r="A3772" s="7" t="str">
        <f>IF('Document Workflow'!A3771&lt;&gt;"",'Document Workflow'!A3771,"")</f>
        <v/>
      </c>
    </row>
    <row r="3773" spans="1:1">
      <c r="A3773" s="7" t="str">
        <f>IF('Document Workflow'!A3772&lt;&gt;"",'Document Workflow'!A3772,"")</f>
        <v/>
      </c>
    </row>
    <row r="3774" spans="1:1">
      <c r="A3774" s="7" t="str">
        <f>IF('Document Workflow'!A3773&lt;&gt;"",'Document Workflow'!A3773,"")</f>
        <v/>
      </c>
    </row>
    <row r="3775" spans="1:1">
      <c r="A3775" s="7" t="str">
        <f>IF('Document Workflow'!A3774&lt;&gt;"",'Document Workflow'!A3774,"")</f>
        <v/>
      </c>
    </row>
    <row r="3776" spans="1:1">
      <c r="A3776" s="7" t="str">
        <f>IF('Document Workflow'!A3775&lt;&gt;"",'Document Workflow'!A3775,"")</f>
        <v/>
      </c>
    </row>
    <row r="3777" spans="1:1">
      <c r="A3777" s="7" t="str">
        <f>IF('Document Workflow'!A3776&lt;&gt;"",'Document Workflow'!A3776,"")</f>
        <v/>
      </c>
    </row>
    <row r="3778" spans="1:1">
      <c r="A3778" s="7" t="str">
        <f>IF('Document Workflow'!A3777&lt;&gt;"",'Document Workflow'!A3777,"")</f>
        <v/>
      </c>
    </row>
    <row r="3779" spans="1:1">
      <c r="A3779" s="7" t="str">
        <f>IF('Document Workflow'!A3778&lt;&gt;"",'Document Workflow'!A3778,"")</f>
        <v/>
      </c>
    </row>
    <row r="3780" spans="1:1">
      <c r="A3780" s="7" t="str">
        <f>IF('Document Workflow'!A3779&lt;&gt;"",'Document Workflow'!A3779,"")</f>
        <v/>
      </c>
    </row>
    <row r="3781" spans="1:1">
      <c r="A3781" s="7" t="str">
        <f>IF('Document Workflow'!A3780&lt;&gt;"",'Document Workflow'!A3780,"")</f>
        <v/>
      </c>
    </row>
    <row r="3782" spans="1:1">
      <c r="A3782" s="7" t="str">
        <f>IF('Document Workflow'!A3781&lt;&gt;"",'Document Workflow'!A3781,"")</f>
        <v/>
      </c>
    </row>
    <row r="3783" spans="1:1">
      <c r="A3783" s="7" t="str">
        <f>IF('Document Workflow'!A3782&lt;&gt;"",'Document Workflow'!A3782,"")</f>
        <v/>
      </c>
    </row>
    <row r="3784" spans="1:1">
      <c r="A3784" s="7" t="str">
        <f>IF('Document Workflow'!A3783&lt;&gt;"",'Document Workflow'!A3783,"")</f>
        <v/>
      </c>
    </row>
    <row r="3785" spans="1:1">
      <c r="A3785" s="7" t="str">
        <f>IF('Document Workflow'!A3784&lt;&gt;"",'Document Workflow'!A3784,"")</f>
        <v/>
      </c>
    </row>
    <row r="3786" spans="1:1">
      <c r="A3786" s="7" t="str">
        <f>IF('Document Workflow'!A3785&lt;&gt;"",'Document Workflow'!A3785,"")</f>
        <v/>
      </c>
    </row>
    <row r="3787" spans="1:1">
      <c r="A3787" s="7" t="str">
        <f>IF('Document Workflow'!A3786&lt;&gt;"",'Document Workflow'!A3786,"")</f>
        <v/>
      </c>
    </row>
    <row r="3788" spans="1:1">
      <c r="A3788" s="7" t="str">
        <f>IF('Document Workflow'!A3787&lt;&gt;"",'Document Workflow'!A3787,"")</f>
        <v/>
      </c>
    </row>
    <row r="3789" spans="1:1">
      <c r="A3789" s="7" t="str">
        <f>IF('Document Workflow'!A3788&lt;&gt;"",'Document Workflow'!A3788,"")</f>
        <v/>
      </c>
    </row>
    <row r="3790" spans="1:1">
      <c r="A3790" s="7" t="str">
        <f>IF('Document Workflow'!A3789&lt;&gt;"",'Document Workflow'!A3789,"")</f>
        <v/>
      </c>
    </row>
    <row r="3791" spans="1:1">
      <c r="A3791" s="7" t="str">
        <f>IF('Document Workflow'!A3790&lt;&gt;"",'Document Workflow'!A3790,"")</f>
        <v/>
      </c>
    </row>
    <row r="3792" spans="1:1">
      <c r="A3792" s="7" t="str">
        <f>IF('Document Workflow'!A3791&lt;&gt;"",'Document Workflow'!A3791,"")</f>
        <v/>
      </c>
    </row>
    <row r="3793" spans="1:1">
      <c r="A3793" s="7" t="str">
        <f>IF('Document Workflow'!A3792&lt;&gt;"",'Document Workflow'!A3792,"")</f>
        <v/>
      </c>
    </row>
    <row r="3794" spans="1:1">
      <c r="A3794" s="7" t="str">
        <f>IF('Document Workflow'!A3793&lt;&gt;"",'Document Workflow'!A3793,"")</f>
        <v/>
      </c>
    </row>
    <row r="3795" spans="1:1">
      <c r="A3795" s="7" t="str">
        <f>IF('Document Workflow'!A3794&lt;&gt;"",'Document Workflow'!A3794,"")</f>
        <v/>
      </c>
    </row>
    <row r="3796" spans="1:1">
      <c r="A3796" s="7" t="str">
        <f>IF('Document Workflow'!A3795&lt;&gt;"",'Document Workflow'!A3795,"")</f>
        <v/>
      </c>
    </row>
    <row r="3797" spans="1:1">
      <c r="A3797" s="7" t="str">
        <f>IF('Document Workflow'!A3796&lt;&gt;"",'Document Workflow'!A3796,"")</f>
        <v/>
      </c>
    </row>
    <row r="3798" spans="1:1">
      <c r="A3798" s="7" t="str">
        <f>IF('Document Workflow'!A3797&lt;&gt;"",'Document Workflow'!A3797,"")</f>
        <v/>
      </c>
    </row>
    <row r="3799" spans="1:1">
      <c r="A3799" s="7" t="str">
        <f>IF('Document Workflow'!A3798&lt;&gt;"",'Document Workflow'!A3798,"")</f>
        <v/>
      </c>
    </row>
    <row r="3800" spans="1:1">
      <c r="A3800" s="7" t="str">
        <f>IF('Document Workflow'!A3799&lt;&gt;"",'Document Workflow'!A3799,"")</f>
        <v/>
      </c>
    </row>
    <row r="3801" spans="1:1">
      <c r="A3801" s="7" t="str">
        <f>IF('Document Workflow'!A3800&lt;&gt;"",'Document Workflow'!A3800,"")</f>
        <v/>
      </c>
    </row>
    <row r="3802" spans="1:1">
      <c r="A3802" s="7" t="str">
        <f>IF('Document Workflow'!A3801&lt;&gt;"",'Document Workflow'!A3801,"")</f>
        <v/>
      </c>
    </row>
    <row r="3803" spans="1:1">
      <c r="A3803" s="7" t="str">
        <f>IF('Document Workflow'!A3802&lt;&gt;"",'Document Workflow'!A3802,"")</f>
        <v/>
      </c>
    </row>
    <row r="3804" spans="1:1">
      <c r="A3804" s="7" t="str">
        <f>IF('Document Workflow'!A3803&lt;&gt;"",'Document Workflow'!A3803,"")</f>
        <v/>
      </c>
    </row>
    <row r="3805" spans="1:1">
      <c r="A3805" s="7" t="str">
        <f>IF('Document Workflow'!A3804&lt;&gt;"",'Document Workflow'!A3804,"")</f>
        <v/>
      </c>
    </row>
    <row r="3806" spans="1:1">
      <c r="A3806" s="7" t="str">
        <f>IF('Document Workflow'!A3805&lt;&gt;"",'Document Workflow'!A3805,"")</f>
        <v/>
      </c>
    </row>
    <row r="3807" spans="1:1">
      <c r="A3807" s="7" t="str">
        <f>IF('Document Workflow'!A3806&lt;&gt;"",'Document Workflow'!A3806,"")</f>
        <v/>
      </c>
    </row>
    <row r="3808" spans="1:1">
      <c r="A3808" s="7" t="str">
        <f>IF('Document Workflow'!A3807&lt;&gt;"",'Document Workflow'!A3807,"")</f>
        <v/>
      </c>
    </row>
    <row r="3809" spans="1:1">
      <c r="A3809" s="7" t="str">
        <f>IF('Document Workflow'!A3808&lt;&gt;"",'Document Workflow'!A3808,"")</f>
        <v/>
      </c>
    </row>
    <row r="3810" spans="1:1">
      <c r="A3810" s="7" t="str">
        <f>IF('Document Workflow'!A3809&lt;&gt;"",'Document Workflow'!A3809,"")</f>
        <v/>
      </c>
    </row>
    <row r="3811" spans="1:1">
      <c r="A3811" s="7" t="str">
        <f>IF('Document Workflow'!A3810&lt;&gt;"",'Document Workflow'!A3810,"")</f>
        <v/>
      </c>
    </row>
    <row r="3812" spans="1:1">
      <c r="A3812" s="7" t="str">
        <f>IF('Document Workflow'!A3811&lt;&gt;"",'Document Workflow'!A3811,"")</f>
        <v/>
      </c>
    </row>
    <row r="3813" spans="1:1">
      <c r="A3813" s="7" t="str">
        <f>IF('Document Workflow'!A3812&lt;&gt;"",'Document Workflow'!A3812,"")</f>
        <v/>
      </c>
    </row>
    <row r="3814" spans="1:1">
      <c r="A3814" s="7" t="str">
        <f>IF('Document Workflow'!A3813&lt;&gt;"",'Document Workflow'!A3813,"")</f>
        <v/>
      </c>
    </row>
    <row r="3815" spans="1:1">
      <c r="A3815" s="7" t="str">
        <f>IF('Document Workflow'!A3814&lt;&gt;"",'Document Workflow'!A3814,"")</f>
        <v/>
      </c>
    </row>
    <row r="3816" spans="1:1">
      <c r="A3816" s="7" t="str">
        <f>IF('Document Workflow'!A3815&lt;&gt;"",'Document Workflow'!A3815,"")</f>
        <v/>
      </c>
    </row>
    <row r="3817" spans="1:1">
      <c r="A3817" s="7" t="str">
        <f>IF('Document Workflow'!A3816&lt;&gt;"",'Document Workflow'!A3816,"")</f>
        <v/>
      </c>
    </row>
    <row r="3818" spans="1:1">
      <c r="A3818" s="7" t="str">
        <f>IF('Document Workflow'!A3817&lt;&gt;"",'Document Workflow'!A3817,"")</f>
        <v/>
      </c>
    </row>
    <row r="3819" spans="1:1">
      <c r="A3819" s="7" t="str">
        <f>IF('Document Workflow'!A3818&lt;&gt;"",'Document Workflow'!A3818,"")</f>
        <v/>
      </c>
    </row>
    <row r="3820" spans="1:1">
      <c r="A3820" s="7" t="str">
        <f>IF('Document Workflow'!A3819&lt;&gt;"",'Document Workflow'!A3819,"")</f>
        <v/>
      </c>
    </row>
    <row r="3821" spans="1:1">
      <c r="A3821" s="7" t="str">
        <f>IF('Document Workflow'!A3820&lt;&gt;"",'Document Workflow'!A3820,"")</f>
        <v/>
      </c>
    </row>
    <row r="3822" spans="1:1">
      <c r="A3822" s="7" t="str">
        <f>IF('Document Workflow'!A3821&lt;&gt;"",'Document Workflow'!A3821,"")</f>
        <v/>
      </c>
    </row>
    <row r="3823" spans="1:1">
      <c r="A3823" s="7" t="str">
        <f>IF('Document Workflow'!A3822&lt;&gt;"",'Document Workflow'!A3822,"")</f>
        <v/>
      </c>
    </row>
    <row r="3824" spans="1:1">
      <c r="A3824" s="7" t="str">
        <f>IF('Document Workflow'!A3823&lt;&gt;"",'Document Workflow'!A3823,"")</f>
        <v/>
      </c>
    </row>
    <row r="3825" spans="1:1">
      <c r="A3825" s="7" t="str">
        <f>IF('Document Workflow'!A3824&lt;&gt;"",'Document Workflow'!A3824,"")</f>
        <v/>
      </c>
    </row>
    <row r="3826" spans="1:1">
      <c r="A3826" s="7" t="str">
        <f>IF('Document Workflow'!A3825&lt;&gt;"",'Document Workflow'!A3825,"")</f>
        <v/>
      </c>
    </row>
    <row r="3827" spans="1:1">
      <c r="A3827" s="7" t="str">
        <f>IF('Document Workflow'!A3826&lt;&gt;"",'Document Workflow'!A3826,"")</f>
        <v/>
      </c>
    </row>
    <row r="3828" spans="1:1">
      <c r="A3828" s="7" t="str">
        <f>IF('Document Workflow'!A3827&lt;&gt;"",'Document Workflow'!A3827,"")</f>
        <v/>
      </c>
    </row>
    <row r="3829" spans="1:1">
      <c r="A3829" s="7" t="str">
        <f>IF('Document Workflow'!A3828&lt;&gt;"",'Document Workflow'!A3828,"")</f>
        <v/>
      </c>
    </row>
    <row r="3830" spans="1:1">
      <c r="A3830" s="7" t="str">
        <f>IF('Document Workflow'!A3829&lt;&gt;"",'Document Workflow'!A3829,"")</f>
        <v/>
      </c>
    </row>
    <row r="3831" spans="1:1">
      <c r="A3831" s="7" t="str">
        <f>IF('Document Workflow'!A3830&lt;&gt;"",'Document Workflow'!A3830,"")</f>
        <v/>
      </c>
    </row>
    <row r="3832" spans="1:1">
      <c r="A3832" s="7" t="str">
        <f>IF('Document Workflow'!A3831&lt;&gt;"",'Document Workflow'!A3831,"")</f>
        <v/>
      </c>
    </row>
    <row r="3833" spans="1:1">
      <c r="A3833" s="7" t="str">
        <f>IF('Document Workflow'!A3832&lt;&gt;"",'Document Workflow'!A3832,"")</f>
        <v/>
      </c>
    </row>
    <row r="3834" spans="1:1">
      <c r="A3834" s="7" t="str">
        <f>IF('Document Workflow'!A3833&lt;&gt;"",'Document Workflow'!A3833,"")</f>
        <v/>
      </c>
    </row>
    <row r="3835" spans="1:1">
      <c r="A3835" s="7" t="str">
        <f>IF('Document Workflow'!A3834&lt;&gt;"",'Document Workflow'!A3834,"")</f>
        <v/>
      </c>
    </row>
    <row r="3836" spans="1:1">
      <c r="A3836" s="7" t="str">
        <f>IF('Document Workflow'!A3835&lt;&gt;"",'Document Workflow'!A3835,"")</f>
        <v/>
      </c>
    </row>
    <row r="3837" spans="1:1">
      <c r="A3837" s="7" t="str">
        <f>IF('Document Workflow'!A3836&lt;&gt;"",'Document Workflow'!A3836,"")</f>
        <v/>
      </c>
    </row>
    <row r="3838" spans="1:1">
      <c r="A3838" s="7" t="str">
        <f>IF('Document Workflow'!A3837&lt;&gt;"",'Document Workflow'!A3837,"")</f>
        <v/>
      </c>
    </row>
    <row r="3839" spans="1:1">
      <c r="A3839" s="7" t="str">
        <f>IF('Document Workflow'!A3838&lt;&gt;"",'Document Workflow'!A3838,"")</f>
        <v/>
      </c>
    </row>
    <row r="3840" spans="1:1">
      <c r="A3840" s="7" t="str">
        <f>IF('Document Workflow'!A3839&lt;&gt;"",'Document Workflow'!A3839,"")</f>
        <v/>
      </c>
    </row>
    <row r="3841" spans="1:1">
      <c r="A3841" s="7" t="str">
        <f>IF('Document Workflow'!A3840&lt;&gt;"",'Document Workflow'!A3840,"")</f>
        <v/>
      </c>
    </row>
    <row r="3842" spans="1:1">
      <c r="A3842" s="7" t="str">
        <f>IF('Document Workflow'!A3841&lt;&gt;"",'Document Workflow'!A3841,"")</f>
        <v/>
      </c>
    </row>
    <row r="3843" spans="1:1">
      <c r="A3843" s="7" t="str">
        <f>IF('Document Workflow'!A3842&lt;&gt;"",'Document Workflow'!A3842,"")</f>
        <v/>
      </c>
    </row>
    <row r="3844" spans="1:1">
      <c r="A3844" s="7" t="str">
        <f>IF('Document Workflow'!A3843&lt;&gt;"",'Document Workflow'!A3843,"")</f>
        <v/>
      </c>
    </row>
    <row r="3845" spans="1:1">
      <c r="A3845" s="7" t="str">
        <f>IF('Document Workflow'!A3844&lt;&gt;"",'Document Workflow'!A3844,"")</f>
        <v/>
      </c>
    </row>
    <row r="3846" spans="1:1">
      <c r="A3846" s="7" t="str">
        <f>IF('Document Workflow'!A3845&lt;&gt;"",'Document Workflow'!A3845,"")</f>
        <v/>
      </c>
    </row>
    <row r="3847" spans="1:1">
      <c r="A3847" s="7" t="str">
        <f>IF('Document Workflow'!A3846&lt;&gt;"",'Document Workflow'!A3846,"")</f>
        <v/>
      </c>
    </row>
    <row r="3848" spans="1:1">
      <c r="A3848" s="7" t="str">
        <f>IF('Document Workflow'!A3847&lt;&gt;"",'Document Workflow'!A3847,"")</f>
        <v/>
      </c>
    </row>
    <row r="3849" spans="1:1">
      <c r="A3849" s="7" t="str">
        <f>IF('Document Workflow'!A3848&lt;&gt;"",'Document Workflow'!A3848,"")</f>
        <v/>
      </c>
    </row>
    <row r="3850" spans="1:1">
      <c r="A3850" s="7" t="str">
        <f>IF('Document Workflow'!A3849&lt;&gt;"",'Document Workflow'!A3849,"")</f>
        <v/>
      </c>
    </row>
    <row r="3851" spans="1:1">
      <c r="A3851" s="7" t="str">
        <f>IF('Document Workflow'!A3850&lt;&gt;"",'Document Workflow'!A3850,"")</f>
        <v/>
      </c>
    </row>
    <row r="3852" spans="1:1">
      <c r="A3852" s="7" t="str">
        <f>IF('Document Workflow'!A3851&lt;&gt;"",'Document Workflow'!A3851,"")</f>
        <v/>
      </c>
    </row>
    <row r="3853" spans="1:1">
      <c r="A3853" s="7" t="str">
        <f>IF('Document Workflow'!A3852&lt;&gt;"",'Document Workflow'!A3852,"")</f>
        <v/>
      </c>
    </row>
    <row r="3854" spans="1:1">
      <c r="A3854" s="7" t="str">
        <f>IF('Document Workflow'!A3853&lt;&gt;"",'Document Workflow'!A3853,"")</f>
        <v/>
      </c>
    </row>
    <row r="3855" spans="1:1">
      <c r="A3855" s="7" t="str">
        <f>IF('Document Workflow'!A3854&lt;&gt;"",'Document Workflow'!A3854,"")</f>
        <v/>
      </c>
    </row>
    <row r="3856" spans="1:1">
      <c r="A3856" s="7" t="str">
        <f>IF('Document Workflow'!A3855&lt;&gt;"",'Document Workflow'!A3855,"")</f>
        <v/>
      </c>
    </row>
    <row r="3857" spans="1:1">
      <c r="A3857" s="7" t="str">
        <f>IF('Document Workflow'!A3856&lt;&gt;"",'Document Workflow'!A3856,"")</f>
        <v/>
      </c>
    </row>
    <row r="3858" spans="1:1">
      <c r="A3858" s="7" t="str">
        <f>IF('Document Workflow'!A3857&lt;&gt;"",'Document Workflow'!A3857,"")</f>
        <v/>
      </c>
    </row>
    <row r="3859" spans="1:1">
      <c r="A3859" s="7" t="str">
        <f>IF('Document Workflow'!A3858&lt;&gt;"",'Document Workflow'!A3858,"")</f>
        <v/>
      </c>
    </row>
    <row r="3860" spans="1:1">
      <c r="A3860" s="7" t="str">
        <f>IF('Document Workflow'!A3859&lt;&gt;"",'Document Workflow'!A3859,"")</f>
        <v/>
      </c>
    </row>
    <row r="3861" spans="1:1">
      <c r="A3861" s="7" t="str">
        <f>IF('Document Workflow'!A3860&lt;&gt;"",'Document Workflow'!A3860,"")</f>
        <v/>
      </c>
    </row>
    <row r="3862" spans="1:1">
      <c r="A3862" s="7" t="str">
        <f>IF('Document Workflow'!A3861&lt;&gt;"",'Document Workflow'!A3861,"")</f>
        <v/>
      </c>
    </row>
    <row r="3863" spans="1:1">
      <c r="A3863" s="7" t="str">
        <f>IF('Document Workflow'!A3862&lt;&gt;"",'Document Workflow'!A3862,"")</f>
        <v/>
      </c>
    </row>
    <row r="3864" spans="1:1">
      <c r="A3864" s="7" t="str">
        <f>IF('Document Workflow'!A3863&lt;&gt;"",'Document Workflow'!A3863,"")</f>
        <v/>
      </c>
    </row>
    <row r="3865" spans="1:1">
      <c r="A3865" s="7" t="str">
        <f>IF('Document Workflow'!A3864&lt;&gt;"",'Document Workflow'!A3864,"")</f>
        <v/>
      </c>
    </row>
    <row r="3866" spans="1:1">
      <c r="A3866" s="7" t="str">
        <f>IF('Document Workflow'!A3865&lt;&gt;"",'Document Workflow'!A3865,"")</f>
        <v/>
      </c>
    </row>
    <row r="3867" spans="1:1">
      <c r="A3867" s="7" t="str">
        <f>IF('Document Workflow'!A3866&lt;&gt;"",'Document Workflow'!A3866,"")</f>
        <v/>
      </c>
    </row>
    <row r="3868" spans="1:1">
      <c r="A3868" s="7" t="str">
        <f>IF('Document Workflow'!A3867&lt;&gt;"",'Document Workflow'!A3867,"")</f>
        <v/>
      </c>
    </row>
    <row r="3869" spans="1:1">
      <c r="A3869" s="7" t="str">
        <f>IF('Document Workflow'!A3868&lt;&gt;"",'Document Workflow'!A3868,"")</f>
        <v/>
      </c>
    </row>
    <row r="3870" spans="1:1">
      <c r="A3870" s="7" t="str">
        <f>IF('Document Workflow'!A3869&lt;&gt;"",'Document Workflow'!A3869,"")</f>
        <v/>
      </c>
    </row>
    <row r="3871" spans="1:1">
      <c r="A3871" s="7" t="str">
        <f>IF('Document Workflow'!A3870&lt;&gt;"",'Document Workflow'!A3870,"")</f>
        <v/>
      </c>
    </row>
    <row r="3872" spans="1:1">
      <c r="A3872" s="7" t="str">
        <f>IF('Document Workflow'!A3871&lt;&gt;"",'Document Workflow'!A3871,"")</f>
        <v/>
      </c>
    </row>
    <row r="3873" spans="1:1">
      <c r="A3873" s="7" t="str">
        <f>IF('Document Workflow'!A3872&lt;&gt;"",'Document Workflow'!A3872,"")</f>
        <v/>
      </c>
    </row>
    <row r="3874" spans="1:1">
      <c r="A3874" s="7" t="str">
        <f>IF('Document Workflow'!A3873&lt;&gt;"",'Document Workflow'!A3873,"")</f>
        <v/>
      </c>
    </row>
    <row r="3875" spans="1:1">
      <c r="A3875" s="7" t="str">
        <f>IF('Document Workflow'!A3874&lt;&gt;"",'Document Workflow'!A3874,"")</f>
        <v/>
      </c>
    </row>
    <row r="3876" spans="1:1">
      <c r="A3876" s="7" t="str">
        <f>IF('Document Workflow'!A3875&lt;&gt;"",'Document Workflow'!A3875,"")</f>
        <v/>
      </c>
    </row>
    <row r="3877" spans="1:1">
      <c r="A3877" s="7" t="str">
        <f>IF('Document Workflow'!A3876&lt;&gt;"",'Document Workflow'!A3876,"")</f>
        <v/>
      </c>
    </row>
    <row r="3878" spans="1:1">
      <c r="A3878" s="7" t="str">
        <f>IF('Document Workflow'!A3877&lt;&gt;"",'Document Workflow'!A3877,"")</f>
        <v/>
      </c>
    </row>
    <row r="3879" spans="1:1">
      <c r="A3879" s="7" t="str">
        <f>IF('Document Workflow'!A3878&lt;&gt;"",'Document Workflow'!A3878,"")</f>
        <v/>
      </c>
    </row>
    <row r="3880" spans="1:1">
      <c r="A3880" s="7" t="str">
        <f>IF('Document Workflow'!A3879&lt;&gt;"",'Document Workflow'!A3879,"")</f>
        <v/>
      </c>
    </row>
    <row r="3881" spans="1:1">
      <c r="A3881" s="7" t="str">
        <f>IF('Document Workflow'!A3880&lt;&gt;"",'Document Workflow'!A3880,"")</f>
        <v/>
      </c>
    </row>
    <row r="3882" spans="1:1">
      <c r="A3882" s="7" t="str">
        <f>IF('Document Workflow'!A3881&lt;&gt;"",'Document Workflow'!A3881,"")</f>
        <v/>
      </c>
    </row>
    <row r="3883" spans="1:1">
      <c r="A3883" s="7" t="str">
        <f>IF('Document Workflow'!A3882&lt;&gt;"",'Document Workflow'!A3882,"")</f>
        <v/>
      </c>
    </row>
    <row r="3884" spans="1:1">
      <c r="A3884" s="7" t="str">
        <f>IF('Document Workflow'!A3883&lt;&gt;"",'Document Workflow'!A3883,"")</f>
        <v/>
      </c>
    </row>
    <row r="3885" spans="1:1">
      <c r="A3885" s="7" t="str">
        <f>IF('Document Workflow'!A3884&lt;&gt;"",'Document Workflow'!A3884,"")</f>
        <v/>
      </c>
    </row>
    <row r="3886" spans="1:1">
      <c r="A3886" s="7" t="str">
        <f>IF('Document Workflow'!A3885&lt;&gt;"",'Document Workflow'!A3885,"")</f>
        <v/>
      </c>
    </row>
    <row r="3887" spans="1:1">
      <c r="A3887" s="7" t="str">
        <f>IF('Document Workflow'!A3886&lt;&gt;"",'Document Workflow'!A3886,"")</f>
        <v/>
      </c>
    </row>
    <row r="3888" spans="1:1">
      <c r="A3888" s="7" t="str">
        <f>IF('Document Workflow'!A3887&lt;&gt;"",'Document Workflow'!A3887,"")</f>
        <v/>
      </c>
    </row>
    <row r="3889" spans="1:1">
      <c r="A3889" s="7" t="str">
        <f>IF('Document Workflow'!A3888&lt;&gt;"",'Document Workflow'!A3888,"")</f>
        <v/>
      </c>
    </row>
    <row r="3890" spans="1:1">
      <c r="A3890" s="7" t="str">
        <f>IF('Document Workflow'!A3889&lt;&gt;"",'Document Workflow'!A3889,"")</f>
        <v/>
      </c>
    </row>
    <row r="3891" spans="1:1">
      <c r="A3891" s="7" t="str">
        <f>IF('Document Workflow'!A3890&lt;&gt;"",'Document Workflow'!A3890,"")</f>
        <v/>
      </c>
    </row>
    <row r="3892" spans="1:1">
      <c r="A3892" s="7" t="str">
        <f>IF('Document Workflow'!A3891&lt;&gt;"",'Document Workflow'!A3891,"")</f>
        <v/>
      </c>
    </row>
    <row r="3893" spans="1:1">
      <c r="A3893" s="7" t="str">
        <f>IF('Document Workflow'!A3892&lt;&gt;"",'Document Workflow'!A3892,"")</f>
        <v/>
      </c>
    </row>
    <row r="3894" spans="1:1">
      <c r="A3894" s="7" t="str">
        <f>IF('Document Workflow'!A3893&lt;&gt;"",'Document Workflow'!A3893,"")</f>
        <v/>
      </c>
    </row>
    <row r="3895" spans="1:1">
      <c r="A3895" s="7" t="str">
        <f>IF('Document Workflow'!A3894&lt;&gt;"",'Document Workflow'!A3894,"")</f>
        <v/>
      </c>
    </row>
    <row r="3896" spans="1:1">
      <c r="A3896" s="7" t="str">
        <f>IF('Document Workflow'!A3895&lt;&gt;"",'Document Workflow'!A3895,"")</f>
        <v/>
      </c>
    </row>
    <row r="3897" spans="1:1">
      <c r="A3897" s="7" t="str">
        <f>IF('Document Workflow'!A3896&lt;&gt;"",'Document Workflow'!A3896,"")</f>
        <v/>
      </c>
    </row>
    <row r="3898" spans="1:1">
      <c r="A3898" s="7" t="str">
        <f>IF('Document Workflow'!A3897&lt;&gt;"",'Document Workflow'!A3897,"")</f>
        <v/>
      </c>
    </row>
    <row r="3899" spans="1:1">
      <c r="A3899" s="7" t="str">
        <f>IF('Document Workflow'!A3898&lt;&gt;"",'Document Workflow'!A3898,"")</f>
        <v/>
      </c>
    </row>
    <row r="3900" spans="1:1">
      <c r="A3900" s="7" t="str">
        <f>IF('Document Workflow'!A3899&lt;&gt;"",'Document Workflow'!A3899,"")</f>
        <v/>
      </c>
    </row>
    <row r="3901" spans="1:1">
      <c r="A3901" s="7" t="str">
        <f>IF('Document Workflow'!A3900&lt;&gt;"",'Document Workflow'!A3900,"")</f>
        <v/>
      </c>
    </row>
    <row r="3902" spans="1:1">
      <c r="A3902" s="7" t="str">
        <f>IF('Document Workflow'!A3901&lt;&gt;"",'Document Workflow'!A3901,"")</f>
        <v/>
      </c>
    </row>
    <row r="3903" spans="1:1">
      <c r="A3903" s="7" t="str">
        <f>IF('Document Workflow'!A3902&lt;&gt;"",'Document Workflow'!A3902,"")</f>
        <v/>
      </c>
    </row>
    <row r="3904" spans="1:1">
      <c r="A3904" s="7" t="str">
        <f>IF('Document Workflow'!A3903&lt;&gt;"",'Document Workflow'!A3903,"")</f>
        <v/>
      </c>
    </row>
    <row r="3905" spans="1:1">
      <c r="A3905" s="7" t="str">
        <f>IF('Document Workflow'!A3904&lt;&gt;"",'Document Workflow'!A3904,"")</f>
        <v/>
      </c>
    </row>
    <row r="3906" spans="1:1">
      <c r="A3906" s="7" t="str">
        <f>IF('Document Workflow'!A3905&lt;&gt;"",'Document Workflow'!A3905,"")</f>
        <v/>
      </c>
    </row>
    <row r="3907" spans="1:1">
      <c r="A3907" s="7" t="str">
        <f>IF('Document Workflow'!A3906&lt;&gt;"",'Document Workflow'!A3906,"")</f>
        <v/>
      </c>
    </row>
    <row r="3908" spans="1:1">
      <c r="A3908" s="7" t="str">
        <f>IF('Document Workflow'!A3907&lt;&gt;"",'Document Workflow'!A3907,"")</f>
        <v/>
      </c>
    </row>
    <row r="3909" spans="1:1">
      <c r="A3909" s="7" t="str">
        <f>IF('Document Workflow'!A3908&lt;&gt;"",'Document Workflow'!A3908,"")</f>
        <v/>
      </c>
    </row>
    <row r="3910" spans="1:1">
      <c r="A3910" s="7" t="str">
        <f>IF('Document Workflow'!A3909&lt;&gt;"",'Document Workflow'!A3909,"")</f>
        <v/>
      </c>
    </row>
    <row r="3911" spans="1:1">
      <c r="A3911" s="7" t="str">
        <f>IF('Document Workflow'!A3910&lt;&gt;"",'Document Workflow'!A3910,"")</f>
        <v/>
      </c>
    </row>
    <row r="3912" spans="1:1">
      <c r="A3912" s="7" t="str">
        <f>IF('Document Workflow'!A3911&lt;&gt;"",'Document Workflow'!A3911,"")</f>
        <v/>
      </c>
    </row>
    <row r="3913" spans="1:1">
      <c r="A3913" s="7" t="str">
        <f>IF('Document Workflow'!A3912&lt;&gt;"",'Document Workflow'!A3912,"")</f>
        <v/>
      </c>
    </row>
    <row r="3914" spans="1:1">
      <c r="A3914" s="7" t="str">
        <f>IF('Document Workflow'!A3913&lt;&gt;"",'Document Workflow'!A3913,"")</f>
        <v/>
      </c>
    </row>
    <row r="3915" spans="1:1">
      <c r="A3915" s="7" t="str">
        <f>IF('Document Workflow'!A3914&lt;&gt;"",'Document Workflow'!A3914,"")</f>
        <v/>
      </c>
    </row>
    <row r="3916" spans="1:1">
      <c r="A3916" s="7" t="str">
        <f>IF('Document Workflow'!A3915&lt;&gt;"",'Document Workflow'!A3915,"")</f>
        <v/>
      </c>
    </row>
    <row r="3917" spans="1:1">
      <c r="A3917" s="7" t="str">
        <f>IF('Document Workflow'!A3916&lt;&gt;"",'Document Workflow'!A3916,"")</f>
        <v/>
      </c>
    </row>
    <row r="3918" spans="1:1">
      <c r="A3918" s="7" t="str">
        <f>IF('Document Workflow'!A3917&lt;&gt;"",'Document Workflow'!A3917,"")</f>
        <v/>
      </c>
    </row>
    <row r="3919" spans="1:1">
      <c r="A3919" s="7" t="str">
        <f>IF('Document Workflow'!A3918&lt;&gt;"",'Document Workflow'!A3918,"")</f>
        <v/>
      </c>
    </row>
    <row r="3920" spans="1:1">
      <c r="A3920" s="7" t="str">
        <f>IF('Document Workflow'!A3919&lt;&gt;"",'Document Workflow'!A3919,"")</f>
        <v/>
      </c>
    </row>
    <row r="3921" spans="1:1">
      <c r="A3921" s="7" t="str">
        <f>IF('Document Workflow'!A3920&lt;&gt;"",'Document Workflow'!A3920,"")</f>
        <v/>
      </c>
    </row>
    <row r="3922" spans="1:1">
      <c r="A3922" s="7" t="str">
        <f>IF('Document Workflow'!A3921&lt;&gt;"",'Document Workflow'!A3921,"")</f>
        <v/>
      </c>
    </row>
    <row r="3923" spans="1:1">
      <c r="A3923" s="7" t="str">
        <f>IF('Document Workflow'!A3922&lt;&gt;"",'Document Workflow'!A3922,"")</f>
        <v/>
      </c>
    </row>
    <row r="3924" spans="1:1">
      <c r="A3924" s="7" t="str">
        <f>IF('Document Workflow'!A3923&lt;&gt;"",'Document Workflow'!A3923,"")</f>
        <v/>
      </c>
    </row>
    <row r="3925" spans="1:1">
      <c r="A3925" s="7" t="str">
        <f>IF('Document Workflow'!A3924&lt;&gt;"",'Document Workflow'!A3924,"")</f>
        <v/>
      </c>
    </row>
    <row r="3926" spans="1:1">
      <c r="A3926" s="7" t="str">
        <f>IF('Document Workflow'!A3925&lt;&gt;"",'Document Workflow'!A3925,"")</f>
        <v/>
      </c>
    </row>
    <row r="3927" spans="1:1">
      <c r="A3927" s="7" t="str">
        <f>IF('Document Workflow'!A3926&lt;&gt;"",'Document Workflow'!A3926,"")</f>
        <v/>
      </c>
    </row>
    <row r="3928" spans="1:1">
      <c r="A3928" s="7" t="str">
        <f>IF('Document Workflow'!A3927&lt;&gt;"",'Document Workflow'!A3927,"")</f>
        <v/>
      </c>
    </row>
    <row r="3929" spans="1:1">
      <c r="A3929" s="7" t="str">
        <f>IF('Document Workflow'!A3928&lt;&gt;"",'Document Workflow'!A3928,"")</f>
        <v/>
      </c>
    </row>
    <row r="3930" spans="1:1">
      <c r="A3930" s="7" t="str">
        <f>IF('Document Workflow'!A3929&lt;&gt;"",'Document Workflow'!A3929,"")</f>
        <v/>
      </c>
    </row>
    <row r="3931" spans="1:1">
      <c r="A3931" s="7" t="str">
        <f>IF('Document Workflow'!A3930&lt;&gt;"",'Document Workflow'!A3930,"")</f>
        <v/>
      </c>
    </row>
    <row r="3932" spans="1:1">
      <c r="A3932" s="7" t="str">
        <f>IF('Document Workflow'!A3931&lt;&gt;"",'Document Workflow'!A3931,"")</f>
        <v/>
      </c>
    </row>
    <row r="3933" spans="1:1">
      <c r="A3933" s="7" t="str">
        <f>IF('Document Workflow'!A3932&lt;&gt;"",'Document Workflow'!A3932,"")</f>
        <v/>
      </c>
    </row>
    <row r="3934" spans="1:1">
      <c r="A3934" s="7" t="str">
        <f>IF('Document Workflow'!A3933&lt;&gt;"",'Document Workflow'!A3933,"")</f>
        <v/>
      </c>
    </row>
    <row r="3935" spans="1:1">
      <c r="A3935" s="7" t="str">
        <f>IF('Document Workflow'!A3934&lt;&gt;"",'Document Workflow'!A3934,"")</f>
        <v/>
      </c>
    </row>
    <row r="3936" spans="1:1">
      <c r="A3936" s="7" t="str">
        <f>IF('Document Workflow'!A3935&lt;&gt;"",'Document Workflow'!A3935,"")</f>
        <v/>
      </c>
    </row>
    <row r="3937" spans="1:1">
      <c r="A3937" s="7" t="str">
        <f>IF('Document Workflow'!A3936&lt;&gt;"",'Document Workflow'!A3936,"")</f>
        <v/>
      </c>
    </row>
    <row r="3938" spans="1:1">
      <c r="A3938" s="7" t="str">
        <f>IF('Document Workflow'!A3937&lt;&gt;"",'Document Workflow'!A3937,"")</f>
        <v/>
      </c>
    </row>
    <row r="3939" spans="1:1">
      <c r="A3939" s="7" t="str">
        <f>IF('Document Workflow'!A3938&lt;&gt;"",'Document Workflow'!A3938,"")</f>
        <v/>
      </c>
    </row>
    <row r="3940" spans="1:1">
      <c r="A3940" s="7" t="str">
        <f>IF('Document Workflow'!A3939&lt;&gt;"",'Document Workflow'!A3939,"")</f>
        <v/>
      </c>
    </row>
    <row r="3941" spans="1:1">
      <c r="A3941" s="7" t="str">
        <f>IF('Document Workflow'!A3940&lt;&gt;"",'Document Workflow'!A3940,"")</f>
        <v/>
      </c>
    </row>
    <row r="3942" spans="1:1">
      <c r="A3942" s="7" t="str">
        <f>IF('Document Workflow'!A3941&lt;&gt;"",'Document Workflow'!A3941,"")</f>
        <v/>
      </c>
    </row>
    <row r="3943" spans="1:1">
      <c r="A3943" s="7" t="str">
        <f>IF('Document Workflow'!A3942&lt;&gt;"",'Document Workflow'!A3942,"")</f>
        <v/>
      </c>
    </row>
    <row r="3944" spans="1:1">
      <c r="A3944" s="7" t="str">
        <f>IF('Document Workflow'!A3943&lt;&gt;"",'Document Workflow'!A3943,"")</f>
        <v/>
      </c>
    </row>
    <row r="3945" spans="1:1">
      <c r="A3945" s="7" t="str">
        <f>IF('Document Workflow'!A3944&lt;&gt;"",'Document Workflow'!A3944,"")</f>
        <v/>
      </c>
    </row>
    <row r="3946" spans="1:1">
      <c r="A3946" s="7" t="str">
        <f>IF('Document Workflow'!A3945&lt;&gt;"",'Document Workflow'!A3945,"")</f>
        <v/>
      </c>
    </row>
    <row r="3947" spans="1:1">
      <c r="A3947" s="7" t="str">
        <f>IF('Document Workflow'!A3946&lt;&gt;"",'Document Workflow'!A3946,"")</f>
        <v/>
      </c>
    </row>
    <row r="3948" spans="1:1">
      <c r="A3948" s="7" t="str">
        <f>IF('Document Workflow'!A3947&lt;&gt;"",'Document Workflow'!A3947,"")</f>
        <v/>
      </c>
    </row>
    <row r="3949" spans="1:1">
      <c r="A3949" s="7" t="str">
        <f>IF('Document Workflow'!A3948&lt;&gt;"",'Document Workflow'!A3948,"")</f>
        <v/>
      </c>
    </row>
    <row r="3950" spans="1:1">
      <c r="A3950" s="7" t="str">
        <f>IF('Document Workflow'!A3949&lt;&gt;"",'Document Workflow'!A3949,"")</f>
        <v/>
      </c>
    </row>
    <row r="3951" spans="1:1">
      <c r="A3951" s="7" t="str">
        <f>IF('Document Workflow'!A3950&lt;&gt;"",'Document Workflow'!A3950,"")</f>
        <v/>
      </c>
    </row>
    <row r="3952" spans="1:1">
      <c r="A3952" s="7" t="str">
        <f>IF('Document Workflow'!A3951&lt;&gt;"",'Document Workflow'!A3951,"")</f>
        <v/>
      </c>
    </row>
    <row r="3953" spans="1:1">
      <c r="A3953" s="7" t="str">
        <f>IF('Document Workflow'!A3952&lt;&gt;"",'Document Workflow'!A3952,"")</f>
        <v/>
      </c>
    </row>
    <row r="3954" spans="1:1">
      <c r="A3954" s="7" t="str">
        <f>IF('Document Workflow'!A3953&lt;&gt;"",'Document Workflow'!A3953,"")</f>
        <v/>
      </c>
    </row>
    <row r="3955" spans="1:1">
      <c r="A3955" s="7" t="str">
        <f>IF('Document Workflow'!A3954&lt;&gt;"",'Document Workflow'!A3954,"")</f>
        <v/>
      </c>
    </row>
    <row r="3956" spans="1:1">
      <c r="A3956" s="7" t="str">
        <f>IF('Document Workflow'!A3955&lt;&gt;"",'Document Workflow'!A3955,"")</f>
        <v/>
      </c>
    </row>
    <row r="3957" spans="1:1">
      <c r="A3957" s="7" t="str">
        <f>IF('Document Workflow'!A3956&lt;&gt;"",'Document Workflow'!A3956,"")</f>
        <v/>
      </c>
    </row>
    <row r="3958" spans="1:1">
      <c r="A3958" s="7" t="str">
        <f>IF('Document Workflow'!A3957&lt;&gt;"",'Document Workflow'!A3957,"")</f>
        <v/>
      </c>
    </row>
    <row r="3959" spans="1:1">
      <c r="A3959" s="7" t="str">
        <f>IF('Document Workflow'!A3958&lt;&gt;"",'Document Workflow'!A3958,"")</f>
        <v/>
      </c>
    </row>
    <row r="3960" spans="1:1">
      <c r="A3960" s="7" t="str">
        <f>IF('Document Workflow'!A3959&lt;&gt;"",'Document Workflow'!A3959,"")</f>
        <v/>
      </c>
    </row>
    <row r="3961" spans="1:1">
      <c r="A3961" s="7" t="str">
        <f>IF('Document Workflow'!A3960&lt;&gt;"",'Document Workflow'!A3960,"")</f>
        <v/>
      </c>
    </row>
    <row r="3962" spans="1:1">
      <c r="A3962" s="7" t="str">
        <f>IF('Document Workflow'!A3961&lt;&gt;"",'Document Workflow'!A3961,"")</f>
        <v/>
      </c>
    </row>
    <row r="3963" spans="1:1">
      <c r="A3963" s="7" t="str">
        <f>IF('Document Workflow'!A3962&lt;&gt;"",'Document Workflow'!A3962,"")</f>
        <v/>
      </c>
    </row>
    <row r="3964" spans="1:1">
      <c r="A3964" s="7" t="str">
        <f>IF('Document Workflow'!A3963&lt;&gt;"",'Document Workflow'!A3963,"")</f>
        <v/>
      </c>
    </row>
    <row r="3965" spans="1:1">
      <c r="A3965" s="7" t="str">
        <f>IF('Document Workflow'!A3964&lt;&gt;"",'Document Workflow'!A3964,"")</f>
        <v/>
      </c>
    </row>
    <row r="3966" spans="1:1">
      <c r="A3966" s="7" t="str">
        <f>IF('Document Workflow'!A3965&lt;&gt;"",'Document Workflow'!A3965,"")</f>
        <v/>
      </c>
    </row>
    <row r="3967" spans="1:1">
      <c r="A3967" s="7" t="str">
        <f>IF('Document Workflow'!A3966&lt;&gt;"",'Document Workflow'!A3966,"")</f>
        <v/>
      </c>
    </row>
    <row r="3968" spans="1:1">
      <c r="A3968" s="7" t="str">
        <f>IF('Document Workflow'!A3967&lt;&gt;"",'Document Workflow'!A3967,"")</f>
        <v/>
      </c>
    </row>
    <row r="3969" spans="1:1">
      <c r="A3969" s="7" t="str">
        <f>IF('Document Workflow'!A3968&lt;&gt;"",'Document Workflow'!A3968,"")</f>
        <v/>
      </c>
    </row>
    <row r="3970" spans="1:1">
      <c r="A3970" s="7" t="str">
        <f>IF('Document Workflow'!A3969&lt;&gt;"",'Document Workflow'!A3969,"")</f>
        <v/>
      </c>
    </row>
    <row r="3971" spans="1:1">
      <c r="A3971" s="7" t="str">
        <f>IF('Document Workflow'!A3970&lt;&gt;"",'Document Workflow'!A3970,"")</f>
        <v/>
      </c>
    </row>
    <row r="3972" spans="1:1">
      <c r="A3972" s="7" t="str">
        <f>IF('Document Workflow'!A3971&lt;&gt;"",'Document Workflow'!A3971,"")</f>
        <v/>
      </c>
    </row>
    <row r="3973" spans="1:1">
      <c r="A3973" s="7" t="str">
        <f>IF('Document Workflow'!A3972&lt;&gt;"",'Document Workflow'!A3972,"")</f>
        <v/>
      </c>
    </row>
    <row r="3974" spans="1:1">
      <c r="A3974" s="7" t="str">
        <f>IF('Document Workflow'!A3973&lt;&gt;"",'Document Workflow'!A3973,"")</f>
        <v/>
      </c>
    </row>
    <row r="3975" spans="1:1">
      <c r="A3975" s="7" t="str">
        <f>IF('Document Workflow'!A3974&lt;&gt;"",'Document Workflow'!A3974,"")</f>
        <v/>
      </c>
    </row>
    <row r="3976" spans="1:1">
      <c r="A3976" s="7" t="str">
        <f>IF('Document Workflow'!A3975&lt;&gt;"",'Document Workflow'!A3975,"")</f>
        <v/>
      </c>
    </row>
    <row r="3977" spans="1:1">
      <c r="A3977" s="7" t="str">
        <f>IF('Document Workflow'!A3976&lt;&gt;"",'Document Workflow'!A3976,"")</f>
        <v/>
      </c>
    </row>
    <row r="3978" spans="1:1">
      <c r="A3978" s="7" t="str">
        <f>IF('Document Workflow'!A3977&lt;&gt;"",'Document Workflow'!A3977,"")</f>
        <v/>
      </c>
    </row>
    <row r="3979" spans="1:1">
      <c r="A3979" s="7" t="str">
        <f>IF('Document Workflow'!A3978&lt;&gt;"",'Document Workflow'!A3978,"")</f>
        <v/>
      </c>
    </row>
    <row r="3980" spans="1:1">
      <c r="A3980" s="7" t="str">
        <f>IF('Document Workflow'!A3979&lt;&gt;"",'Document Workflow'!A3979,"")</f>
        <v/>
      </c>
    </row>
    <row r="3981" spans="1:1">
      <c r="A3981" s="7" t="str">
        <f>IF('Document Workflow'!A3980&lt;&gt;"",'Document Workflow'!A3980,"")</f>
        <v/>
      </c>
    </row>
    <row r="3982" spans="1:1">
      <c r="A3982" s="7" t="str">
        <f>IF('Document Workflow'!A3981&lt;&gt;"",'Document Workflow'!A3981,"")</f>
        <v/>
      </c>
    </row>
    <row r="3983" spans="1:1">
      <c r="A3983" s="7" t="str">
        <f>IF('Document Workflow'!A3982&lt;&gt;"",'Document Workflow'!A3982,"")</f>
        <v/>
      </c>
    </row>
    <row r="3984" spans="1:1">
      <c r="A3984" s="7" t="str">
        <f>IF('Document Workflow'!A3983&lt;&gt;"",'Document Workflow'!A3983,"")</f>
        <v/>
      </c>
    </row>
    <row r="3985" spans="1:1">
      <c r="A3985" s="7" t="str">
        <f>IF('Document Workflow'!A3984&lt;&gt;"",'Document Workflow'!A3984,"")</f>
        <v/>
      </c>
    </row>
    <row r="3986" spans="1:1">
      <c r="A3986" s="7" t="str">
        <f>IF('Document Workflow'!A3985&lt;&gt;"",'Document Workflow'!A3985,"")</f>
        <v/>
      </c>
    </row>
    <row r="3987" spans="1:1">
      <c r="A3987" s="7" t="str">
        <f>IF('Document Workflow'!A3986&lt;&gt;"",'Document Workflow'!A3986,"")</f>
        <v/>
      </c>
    </row>
    <row r="3988" spans="1:1">
      <c r="A3988" s="7" t="str">
        <f>IF('Document Workflow'!A3987&lt;&gt;"",'Document Workflow'!A3987,"")</f>
        <v/>
      </c>
    </row>
    <row r="3989" spans="1:1">
      <c r="A3989" s="7" t="str">
        <f>IF('Document Workflow'!A3988&lt;&gt;"",'Document Workflow'!A3988,"")</f>
        <v/>
      </c>
    </row>
    <row r="3990" spans="1:1">
      <c r="A3990" s="7" t="str">
        <f>IF('Document Workflow'!A3989&lt;&gt;"",'Document Workflow'!A3989,"")</f>
        <v/>
      </c>
    </row>
    <row r="3991" spans="1:1">
      <c r="A3991" s="7" t="str">
        <f>IF('Document Workflow'!A3990&lt;&gt;"",'Document Workflow'!A3990,"")</f>
        <v/>
      </c>
    </row>
    <row r="3992" spans="1:1">
      <c r="A3992" s="7" t="str">
        <f>IF('Document Workflow'!A3991&lt;&gt;"",'Document Workflow'!A3991,"")</f>
        <v/>
      </c>
    </row>
    <row r="3993" spans="1:1">
      <c r="A3993" s="7" t="str">
        <f>IF('Document Workflow'!A3992&lt;&gt;"",'Document Workflow'!A3992,"")</f>
        <v/>
      </c>
    </row>
    <row r="3994" spans="1:1">
      <c r="A3994" s="7" t="str">
        <f>IF('Document Workflow'!A3993&lt;&gt;"",'Document Workflow'!A3993,"")</f>
        <v/>
      </c>
    </row>
    <row r="3995" spans="1:1">
      <c r="A3995" s="7" t="str">
        <f>IF('Document Workflow'!A3994&lt;&gt;"",'Document Workflow'!A3994,"")</f>
        <v/>
      </c>
    </row>
    <row r="3996" spans="1:1">
      <c r="A3996" s="7" t="str">
        <f>IF('Document Workflow'!A3995&lt;&gt;"",'Document Workflow'!A3995,"")</f>
        <v/>
      </c>
    </row>
    <row r="3997" spans="1:1">
      <c r="A3997" s="7" t="str">
        <f>IF('Document Workflow'!A3996&lt;&gt;"",'Document Workflow'!A3996,"")</f>
        <v/>
      </c>
    </row>
    <row r="3998" spans="1:1">
      <c r="A3998" s="7" t="str">
        <f>IF('Document Workflow'!A3997&lt;&gt;"",'Document Workflow'!A3997,"")</f>
        <v/>
      </c>
    </row>
    <row r="3999" spans="1:1">
      <c r="A3999" s="7" t="str">
        <f>IF('Document Workflow'!A3998&lt;&gt;"",'Document Workflow'!A3998,"")</f>
        <v/>
      </c>
    </row>
    <row r="4000" spans="1:1">
      <c r="A4000" s="7" t="str">
        <f>IF('Document Workflow'!A3999&lt;&gt;"",'Document Workflow'!A3999,"")</f>
        <v/>
      </c>
    </row>
    <row r="4001" spans="1:1">
      <c r="A4001" s="7" t="str">
        <f>IF('Document Workflow'!A4000&lt;&gt;"",'Document Workflow'!A4000,"")</f>
        <v/>
      </c>
    </row>
    <row r="4002" spans="1:1">
      <c r="A4002" s="7" t="str">
        <f>IF('Document Workflow'!A4001&lt;&gt;"",'Document Workflow'!A4001,"")</f>
        <v/>
      </c>
    </row>
    <row r="4003" spans="1:1">
      <c r="A4003" s="7" t="str">
        <f>IF('Document Workflow'!A4002&lt;&gt;"",'Document Workflow'!A4002,"")</f>
        <v/>
      </c>
    </row>
    <row r="4004" spans="1:1">
      <c r="A4004" s="7" t="str">
        <f>IF('Document Workflow'!A4003&lt;&gt;"",'Document Workflow'!A4003,"")</f>
        <v/>
      </c>
    </row>
    <row r="4005" spans="1:1">
      <c r="A4005" s="7" t="str">
        <f>IF('Document Workflow'!A4004&lt;&gt;"",'Document Workflow'!A4004,"")</f>
        <v/>
      </c>
    </row>
    <row r="4006" spans="1:1">
      <c r="A4006" s="7" t="str">
        <f>IF('Document Workflow'!A4005&lt;&gt;"",'Document Workflow'!A4005,"")</f>
        <v/>
      </c>
    </row>
    <row r="4007" spans="1:1">
      <c r="A4007" s="7" t="str">
        <f>IF('Document Workflow'!A4006&lt;&gt;"",'Document Workflow'!A4006,"")</f>
        <v/>
      </c>
    </row>
    <row r="4008" spans="1:1">
      <c r="A4008" s="7" t="str">
        <f>IF('Document Workflow'!A4007&lt;&gt;"",'Document Workflow'!A4007,"")</f>
        <v/>
      </c>
    </row>
    <row r="4009" spans="1:1">
      <c r="A4009" s="7" t="str">
        <f>IF('Document Workflow'!A4008&lt;&gt;"",'Document Workflow'!A4008,"")</f>
        <v/>
      </c>
    </row>
    <row r="4010" spans="1:1">
      <c r="A4010" s="7" t="str">
        <f>IF('Document Workflow'!A4009&lt;&gt;"",'Document Workflow'!A4009,"")</f>
        <v/>
      </c>
    </row>
    <row r="4011" spans="1:1">
      <c r="A4011" s="7" t="str">
        <f>IF('Document Workflow'!A4010&lt;&gt;"",'Document Workflow'!A4010,"")</f>
        <v/>
      </c>
    </row>
    <row r="4012" spans="1:1">
      <c r="A4012" s="7" t="str">
        <f>IF('Document Workflow'!A4011&lt;&gt;"",'Document Workflow'!A4011,"")</f>
        <v/>
      </c>
    </row>
    <row r="4013" spans="1:1">
      <c r="A4013" s="7" t="str">
        <f>IF('Document Workflow'!A4012&lt;&gt;"",'Document Workflow'!A4012,"")</f>
        <v/>
      </c>
    </row>
    <row r="4014" spans="1:1">
      <c r="A4014" s="7" t="str">
        <f>IF('Document Workflow'!A4013&lt;&gt;"",'Document Workflow'!A4013,"")</f>
        <v/>
      </c>
    </row>
    <row r="4015" spans="1:1">
      <c r="A4015" s="7" t="str">
        <f>IF('Document Workflow'!A4014&lt;&gt;"",'Document Workflow'!A4014,"")</f>
        <v/>
      </c>
    </row>
    <row r="4016" spans="1:1">
      <c r="A4016" s="7" t="str">
        <f>IF('Document Workflow'!A4015&lt;&gt;"",'Document Workflow'!A4015,"")</f>
        <v/>
      </c>
    </row>
    <row r="4017" spans="1:1">
      <c r="A4017" s="7" t="str">
        <f>IF('Document Workflow'!A4016&lt;&gt;"",'Document Workflow'!A4016,"")</f>
        <v/>
      </c>
    </row>
    <row r="4018" spans="1:1">
      <c r="A4018" s="7" t="str">
        <f>IF('Document Workflow'!A4017&lt;&gt;"",'Document Workflow'!A4017,"")</f>
        <v/>
      </c>
    </row>
    <row r="4019" spans="1:1">
      <c r="A4019" s="7" t="str">
        <f>IF('Document Workflow'!A4018&lt;&gt;"",'Document Workflow'!A4018,"")</f>
        <v/>
      </c>
    </row>
    <row r="4020" spans="1:1">
      <c r="A4020" s="7" t="str">
        <f>IF('Document Workflow'!A4019&lt;&gt;"",'Document Workflow'!A4019,"")</f>
        <v/>
      </c>
    </row>
    <row r="4021" spans="1:1">
      <c r="A4021" s="7" t="str">
        <f>IF('Document Workflow'!A4020&lt;&gt;"",'Document Workflow'!A4020,"")</f>
        <v/>
      </c>
    </row>
    <row r="4022" spans="1:1">
      <c r="A4022" s="7" t="str">
        <f>IF('Document Workflow'!A4021&lt;&gt;"",'Document Workflow'!A4021,"")</f>
        <v/>
      </c>
    </row>
    <row r="4023" spans="1:1">
      <c r="A4023" s="7" t="str">
        <f>IF('Document Workflow'!A4022&lt;&gt;"",'Document Workflow'!A4022,"")</f>
        <v/>
      </c>
    </row>
    <row r="4024" spans="1:1">
      <c r="A4024" s="7" t="str">
        <f>IF('Document Workflow'!A4023&lt;&gt;"",'Document Workflow'!A4023,"")</f>
        <v/>
      </c>
    </row>
    <row r="4025" spans="1:1">
      <c r="A4025" s="7" t="str">
        <f>IF('Document Workflow'!A4024&lt;&gt;"",'Document Workflow'!A4024,"")</f>
        <v/>
      </c>
    </row>
    <row r="4026" spans="1:1">
      <c r="A4026" s="7" t="str">
        <f>IF('Document Workflow'!A4025&lt;&gt;"",'Document Workflow'!A4025,"")</f>
        <v/>
      </c>
    </row>
    <row r="4027" spans="1:1">
      <c r="A4027" s="7" t="str">
        <f>IF('Document Workflow'!A4026&lt;&gt;"",'Document Workflow'!A4026,"")</f>
        <v/>
      </c>
    </row>
    <row r="4028" spans="1:1">
      <c r="A4028" s="7" t="str">
        <f>IF('Document Workflow'!A4027&lt;&gt;"",'Document Workflow'!A4027,"")</f>
        <v/>
      </c>
    </row>
    <row r="4029" spans="1:1">
      <c r="A4029" s="7" t="str">
        <f>IF('Document Workflow'!A4028&lt;&gt;"",'Document Workflow'!A4028,"")</f>
        <v/>
      </c>
    </row>
    <row r="4030" spans="1:1">
      <c r="A4030" s="7" t="str">
        <f>IF('Document Workflow'!A4029&lt;&gt;"",'Document Workflow'!A4029,"")</f>
        <v/>
      </c>
    </row>
    <row r="4031" spans="1:1">
      <c r="A4031" s="7" t="str">
        <f>IF('Document Workflow'!A4030&lt;&gt;"",'Document Workflow'!A4030,"")</f>
        <v/>
      </c>
    </row>
    <row r="4032" spans="1:1">
      <c r="A4032" s="7" t="str">
        <f>IF('Document Workflow'!A4031&lt;&gt;"",'Document Workflow'!A4031,"")</f>
        <v/>
      </c>
    </row>
    <row r="4033" spans="1:1">
      <c r="A4033" s="7" t="str">
        <f>IF('Document Workflow'!A4032&lt;&gt;"",'Document Workflow'!A4032,"")</f>
        <v/>
      </c>
    </row>
    <row r="4034" spans="1:1">
      <c r="A4034" s="7" t="str">
        <f>IF('Document Workflow'!A4033&lt;&gt;"",'Document Workflow'!A4033,"")</f>
        <v/>
      </c>
    </row>
    <row r="4035" spans="1:1">
      <c r="A4035" s="7" t="str">
        <f>IF('Document Workflow'!A4034&lt;&gt;"",'Document Workflow'!A4034,"")</f>
        <v/>
      </c>
    </row>
    <row r="4036" spans="1:1">
      <c r="A4036" s="7" t="str">
        <f>IF('Document Workflow'!A4035&lt;&gt;"",'Document Workflow'!A4035,"")</f>
        <v/>
      </c>
    </row>
    <row r="4037" spans="1:1">
      <c r="A4037" s="7" t="str">
        <f>IF('Document Workflow'!A4036&lt;&gt;"",'Document Workflow'!A4036,"")</f>
        <v/>
      </c>
    </row>
    <row r="4038" spans="1:1">
      <c r="A4038" s="7" t="str">
        <f>IF('Document Workflow'!A4037&lt;&gt;"",'Document Workflow'!A4037,"")</f>
        <v/>
      </c>
    </row>
    <row r="4039" spans="1:1">
      <c r="A4039" s="7" t="str">
        <f>IF('Document Workflow'!A4038&lt;&gt;"",'Document Workflow'!A4038,"")</f>
        <v/>
      </c>
    </row>
    <row r="4040" spans="1:1">
      <c r="A4040" s="7" t="str">
        <f>IF('Document Workflow'!A4039&lt;&gt;"",'Document Workflow'!A4039,"")</f>
        <v/>
      </c>
    </row>
    <row r="4041" spans="1:1">
      <c r="A4041" s="7" t="str">
        <f>IF('Document Workflow'!A4040&lt;&gt;"",'Document Workflow'!A4040,"")</f>
        <v/>
      </c>
    </row>
    <row r="4042" spans="1:1">
      <c r="A4042" s="7" t="str">
        <f>IF('Document Workflow'!A4041&lt;&gt;"",'Document Workflow'!A4041,"")</f>
        <v/>
      </c>
    </row>
    <row r="4043" spans="1:1">
      <c r="A4043" s="7" t="str">
        <f>IF('Document Workflow'!A4042&lt;&gt;"",'Document Workflow'!A4042,"")</f>
        <v/>
      </c>
    </row>
    <row r="4044" spans="1:1">
      <c r="A4044" s="7" t="str">
        <f>IF('Document Workflow'!A4043&lt;&gt;"",'Document Workflow'!A4043,"")</f>
        <v/>
      </c>
    </row>
    <row r="4045" spans="1:1">
      <c r="A4045" s="7" t="str">
        <f>IF('Document Workflow'!A4044&lt;&gt;"",'Document Workflow'!A4044,"")</f>
        <v/>
      </c>
    </row>
    <row r="4046" spans="1:1">
      <c r="A4046" s="7" t="str">
        <f>IF('Document Workflow'!A4045&lt;&gt;"",'Document Workflow'!A4045,"")</f>
        <v/>
      </c>
    </row>
    <row r="4047" spans="1:1">
      <c r="A4047" s="7" t="str">
        <f>IF('Document Workflow'!A4046&lt;&gt;"",'Document Workflow'!A4046,"")</f>
        <v/>
      </c>
    </row>
    <row r="4048" spans="1:1">
      <c r="A4048" s="7" t="str">
        <f>IF('Document Workflow'!A4047&lt;&gt;"",'Document Workflow'!A4047,"")</f>
        <v/>
      </c>
    </row>
    <row r="4049" spans="1:1">
      <c r="A4049" s="7" t="str">
        <f>IF('Document Workflow'!A4048&lt;&gt;"",'Document Workflow'!A4048,"")</f>
        <v/>
      </c>
    </row>
    <row r="4050" spans="1:1">
      <c r="A4050" s="7" t="str">
        <f>IF('Document Workflow'!A4049&lt;&gt;"",'Document Workflow'!A4049,"")</f>
        <v/>
      </c>
    </row>
    <row r="4051" spans="1:1">
      <c r="A4051" s="7" t="str">
        <f>IF('Document Workflow'!A4050&lt;&gt;"",'Document Workflow'!A4050,"")</f>
        <v/>
      </c>
    </row>
    <row r="4052" spans="1:1">
      <c r="A4052" s="7" t="str">
        <f>IF('Document Workflow'!A4051&lt;&gt;"",'Document Workflow'!A4051,"")</f>
        <v/>
      </c>
    </row>
    <row r="4053" spans="1:1">
      <c r="A4053" s="7" t="str">
        <f>IF('Document Workflow'!A4052&lt;&gt;"",'Document Workflow'!A4052,"")</f>
        <v/>
      </c>
    </row>
    <row r="4054" spans="1:1">
      <c r="A4054" s="7" t="str">
        <f>IF('Document Workflow'!A4053&lt;&gt;"",'Document Workflow'!A4053,"")</f>
        <v/>
      </c>
    </row>
    <row r="4055" spans="1:1">
      <c r="A4055" s="7" t="str">
        <f>IF('Document Workflow'!A4054&lt;&gt;"",'Document Workflow'!A4054,"")</f>
        <v/>
      </c>
    </row>
    <row r="4056" spans="1:1">
      <c r="A4056" s="7" t="str">
        <f>IF('Document Workflow'!A4055&lt;&gt;"",'Document Workflow'!A4055,"")</f>
        <v/>
      </c>
    </row>
    <row r="4057" spans="1:1">
      <c r="A4057" s="7" t="str">
        <f>IF('Document Workflow'!A4056&lt;&gt;"",'Document Workflow'!A4056,"")</f>
        <v/>
      </c>
    </row>
    <row r="4058" spans="1:1">
      <c r="A4058" s="7" t="str">
        <f>IF('Document Workflow'!A4057&lt;&gt;"",'Document Workflow'!A4057,"")</f>
        <v/>
      </c>
    </row>
    <row r="4059" spans="1:1">
      <c r="A4059" s="7" t="str">
        <f>IF('Document Workflow'!A4058&lt;&gt;"",'Document Workflow'!A4058,"")</f>
        <v/>
      </c>
    </row>
    <row r="4060" spans="1:1">
      <c r="A4060" s="7" t="str">
        <f>IF('Document Workflow'!A4059&lt;&gt;"",'Document Workflow'!A4059,"")</f>
        <v/>
      </c>
    </row>
    <row r="4061" spans="1:1">
      <c r="A4061" s="7" t="str">
        <f>IF('Document Workflow'!A4060&lt;&gt;"",'Document Workflow'!A4060,"")</f>
        <v/>
      </c>
    </row>
    <row r="4062" spans="1:1">
      <c r="A4062" s="7" t="str">
        <f>IF('Document Workflow'!A4061&lt;&gt;"",'Document Workflow'!A4061,"")</f>
        <v/>
      </c>
    </row>
    <row r="4063" spans="1:1">
      <c r="A4063" s="7" t="str">
        <f>IF('Document Workflow'!A4062&lt;&gt;"",'Document Workflow'!A4062,"")</f>
        <v/>
      </c>
    </row>
    <row r="4064" spans="1:1">
      <c r="A4064" s="7" t="str">
        <f>IF('Document Workflow'!A4063&lt;&gt;"",'Document Workflow'!A4063,"")</f>
        <v/>
      </c>
    </row>
    <row r="4065" spans="1:1">
      <c r="A4065" s="7" t="str">
        <f>IF('Document Workflow'!A4064&lt;&gt;"",'Document Workflow'!A4064,"")</f>
        <v/>
      </c>
    </row>
    <row r="4066" spans="1:1">
      <c r="A4066" s="7" t="str">
        <f>IF('Document Workflow'!A4065&lt;&gt;"",'Document Workflow'!A4065,"")</f>
        <v/>
      </c>
    </row>
    <row r="4067" spans="1:1">
      <c r="A4067" s="7" t="str">
        <f>IF('Document Workflow'!A4066&lt;&gt;"",'Document Workflow'!A4066,"")</f>
        <v/>
      </c>
    </row>
    <row r="4068" spans="1:1">
      <c r="A4068" s="7" t="str">
        <f>IF('Document Workflow'!A4067&lt;&gt;"",'Document Workflow'!A4067,"")</f>
        <v/>
      </c>
    </row>
    <row r="4069" spans="1:1">
      <c r="A4069" s="7" t="str">
        <f>IF('Document Workflow'!A4068&lt;&gt;"",'Document Workflow'!A4068,"")</f>
        <v/>
      </c>
    </row>
    <row r="4070" spans="1:1">
      <c r="A4070" s="7" t="str">
        <f>IF('Document Workflow'!A4069&lt;&gt;"",'Document Workflow'!A4069,"")</f>
        <v/>
      </c>
    </row>
    <row r="4071" spans="1:1">
      <c r="A4071" s="7" t="str">
        <f>IF('Document Workflow'!A4070&lt;&gt;"",'Document Workflow'!A4070,"")</f>
        <v/>
      </c>
    </row>
    <row r="4072" spans="1:1">
      <c r="A4072" s="7" t="str">
        <f>IF('Document Workflow'!A4071&lt;&gt;"",'Document Workflow'!A4071,"")</f>
        <v/>
      </c>
    </row>
    <row r="4073" spans="1:1">
      <c r="A4073" s="7" t="str">
        <f>IF('Document Workflow'!A4072&lt;&gt;"",'Document Workflow'!A4072,"")</f>
        <v/>
      </c>
    </row>
    <row r="4074" spans="1:1">
      <c r="A4074" s="7" t="str">
        <f>IF('Document Workflow'!A4073&lt;&gt;"",'Document Workflow'!A4073,"")</f>
        <v/>
      </c>
    </row>
    <row r="4075" spans="1:1">
      <c r="A4075" s="7" t="str">
        <f>IF('Document Workflow'!A4074&lt;&gt;"",'Document Workflow'!A4074,"")</f>
        <v/>
      </c>
    </row>
    <row r="4076" spans="1:1">
      <c r="A4076" s="7" t="str">
        <f>IF('Document Workflow'!A4075&lt;&gt;"",'Document Workflow'!A4075,"")</f>
        <v/>
      </c>
    </row>
    <row r="4077" spans="1:1">
      <c r="A4077" s="7" t="str">
        <f>IF('Document Workflow'!A4076&lt;&gt;"",'Document Workflow'!A4076,"")</f>
        <v/>
      </c>
    </row>
    <row r="4078" spans="1:1">
      <c r="A4078" s="7" t="str">
        <f>IF('Document Workflow'!A4077&lt;&gt;"",'Document Workflow'!A4077,"")</f>
        <v/>
      </c>
    </row>
    <row r="4079" spans="1:1">
      <c r="A4079" s="7" t="str">
        <f>IF('Document Workflow'!A4078&lt;&gt;"",'Document Workflow'!A4078,"")</f>
        <v/>
      </c>
    </row>
    <row r="4080" spans="1:1">
      <c r="A4080" s="7" t="str">
        <f>IF('Document Workflow'!A4079&lt;&gt;"",'Document Workflow'!A4079,"")</f>
        <v/>
      </c>
    </row>
    <row r="4081" spans="1:1">
      <c r="A4081" s="7" t="str">
        <f>IF('Document Workflow'!A4080&lt;&gt;"",'Document Workflow'!A4080,"")</f>
        <v/>
      </c>
    </row>
    <row r="4082" spans="1:1">
      <c r="A4082" s="7" t="str">
        <f>IF('Document Workflow'!A4081&lt;&gt;"",'Document Workflow'!A4081,"")</f>
        <v/>
      </c>
    </row>
    <row r="4083" spans="1:1">
      <c r="A4083" s="7" t="str">
        <f>IF('Document Workflow'!A4082&lt;&gt;"",'Document Workflow'!A4082,"")</f>
        <v/>
      </c>
    </row>
    <row r="4084" spans="1:1">
      <c r="A4084" s="7" t="str">
        <f>IF('Document Workflow'!A4083&lt;&gt;"",'Document Workflow'!A4083,"")</f>
        <v/>
      </c>
    </row>
    <row r="4085" spans="1:1">
      <c r="A4085" s="7" t="str">
        <f>IF('Document Workflow'!A4084&lt;&gt;"",'Document Workflow'!A4084,"")</f>
        <v/>
      </c>
    </row>
    <row r="4086" spans="1:1">
      <c r="A4086" s="7" t="str">
        <f>IF('Document Workflow'!A4085&lt;&gt;"",'Document Workflow'!A4085,"")</f>
        <v/>
      </c>
    </row>
    <row r="4087" spans="1:1">
      <c r="A4087" s="7" t="str">
        <f>IF('Document Workflow'!A4086&lt;&gt;"",'Document Workflow'!A4086,"")</f>
        <v/>
      </c>
    </row>
    <row r="4088" spans="1:1">
      <c r="A4088" s="7" t="str">
        <f>IF('Document Workflow'!A4087&lt;&gt;"",'Document Workflow'!A4087,"")</f>
        <v/>
      </c>
    </row>
    <row r="4089" spans="1:1">
      <c r="A4089" s="7" t="str">
        <f>IF('Document Workflow'!A4088&lt;&gt;"",'Document Workflow'!A4088,"")</f>
        <v/>
      </c>
    </row>
    <row r="4090" spans="1:1">
      <c r="A4090" s="7" t="str">
        <f>IF('Document Workflow'!A4089&lt;&gt;"",'Document Workflow'!A4089,"")</f>
        <v/>
      </c>
    </row>
    <row r="4091" spans="1:1">
      <c r="A4091" s="7" t="str">
        <f>IF('Document Workflow'!A4090&lt;&gt;"",'Document Workflow'!A4090,"")</f>
        <v/>
      </c>
    </row>
    <row r="4092" spans="1:1">
      <c r="A4092" s="7" t="str">
        <f>IF('Document Workflow'!A4091&lt;&gt;"",'Document Workflow'!A4091,"")</f>
        <v/>
      </c>
    </row>
    <row r="4093" spans="1:1">
      <c r="A4093" s="7" t="str">
        <f>IF('Document Workflow'!A4092&lt;&gt;"",'Document Workflow'!A4092,"")</f>
        <v/>
      </c>
    </row>
    <row r="4094" spans="1:1">
      <c r="A4094" s="7" t="str">
        <f>IF('Document Workflow'!A4093&lt;&gt;"",'Document Workflow'!A4093,"")</f>
        <v/>
      </c>
    </row>
    <row r="4095" spans="1:1">
      <c r="A4095" s="7" t="str">
        <f>IF('Document Workflow'!A4094&lt;&gt;"",'Document Workflow'!A4094,"")</f>
        <v/>
      </c>
    </row>
    <row r="4096" spans="1:1">
      <c r="A4096" s="7" t="str">
        <f>IF('Document Workflow'!A4095&lt;&gt;"",'Document Workflow'!A4095,"")</f>
        <v/>
      </c>
    </row>
    <row r="4097" spans="1:1">
      <c r="A4097" s="7" t="str">
        <f>IF('Document Workflow'!A4096&lt;&gt;"",'Document Workflow'!A4096,"")</f>
        <v/>
      </c>
    </row>
    <row r="4098" spans="1:1">
      <c r="A4098" s="7" t="str">
        <f>IF('Document Workflow'!A4097&lt;&gt;"",'Document Workflow'!A4097,"")</f>
        <v/>
      </c>
    </row>
    <row r="4099" spans="1:1">
      <c r="A4099" s="7" t="str">
        <f>IF('Document Workflow'!A4098&lt;&gt;"",'Document Workflow'!A4098,"")</f>
        <v/>
      </c>
    </row>
    <row r="4100" spans="1:1">
      <c r="A4100" s="7" t="str">
        <f>IF('Document Workflow'!A4099&lt;&gt;"",'Document Workflow'!A4099,"")</f>
        <v/>
      </c>
    </row>
    <row r="4101" spans="1:1">
      <c r="A4101" s="7" t="str">
        <f>IF('Document Workflow'!A4100&lt;&gt;"",'Document Workflow'!A4100,"")</f>
        <v/>
      </c>
    </row>
    <row r="4102" spans="1:1">
      <c r="A4102" s="7" t="str">
        <f>IF('Document Workflow'!A4101&lt;&gt;"",'Document Workflow'!A4101,"")</f>
        <v/>
      </c>
    </row>
    <row r="4103" spans="1:1">
      <c r="A4103" s="7" t="str">
        <f>IF('Document Workflow'!A4102&lt;&gt;"",'Document Workflow'!A4102,"")</f>
        <v/>
      </c>
    </row>
    <row r="4104" spans="1:1">
      <c r="A4104" s="7" t="str">
        <f>IF('Document Workflow'!A4103&lt;&gt;"",'Document Workflow'!A4103,"")</f>
        <v/>
      </c>
    </row>
    <row r="4105" spans="1:1">
      <c r="A4105" s="7" t="str">
        <f>IF('Document Workflow'!A4104&lt;&gt;"",'Document Workflow'!A4104,"")</f>
        <v/>
      </c>
    </row>
    <row r="4106" spans="1:1">
      <c r="A4106" s="7" t="str">
        <f>IF('Document Workflow'!A4105&lt;&gt;"",'Document Workflow'!A4105,"")</f>
        <v/>
      </c>
    </row>
    <row r="4107" spans="1:1">
      <c r="A4107" s="7" t="str">
        <f>IF('Document Workflow'!A4106&lt;&gt;"",'Document Workflow'!A4106,"")</f>
        <v/>
      </c>
    </row>
    <row r="4108" spans="1:1">
      <c r="A4108" s="7" t="str">
        <f>IF('Document Workflow'!A4107&lt;&gt;"",'Document Workflow'!A4107,"")</f>
        <v/>
      </c>
    </row>
    <row r="4109" spans="1:1">
      <c r="A4109" s="7" t="str">
        <f>IF('Document Workflow'!A4108&lt;&gt;"",'Document Workflow'!A4108,"")</f>
        <v/>
      </c>
    </row>
    <row r="4110" spans="1:1">
      <c r="A4110" s="7" t="str">
        <f>IF('Document Workflow'!A4109&lt;&gt;"",'Document Workflow'!A4109,"")</f>
        <v/>
      </c>
    </row>
    <row r="4111" spans="1:1">
      <c r="A4111" s="7" t="str">
        <f>IF('Document Workflow'!A4110&lt;&gt;"",'Document Workflow'!A4110,"")</f>
        <v/>
      </c>
    </row>
    <row r="4112" spans="1:1">
      <c r="A4112" s="7" t="str">
        <f>IF('Document Workflow'!A4111&lt;&gt;"",'Document Workflow'!A4111,"")</f>
        <v/>
      </c>
    </row>
    <row r="4113" spans="1:1">
      <c r="A4113" s="7" t="str">
        <f>IF('Document Workflow'!A4112&lt;&gt;"",'Document Workflow'!A4112,"")</f>
        <v/>
      </c>
    </row>
    <row r="4114" spans="1:1">
      <c r="A4114" s="7" t="str">
        <f>IF('Document Workflow'!A4113&lt;&gt;"",'Document Workflow'!A4113,"")</f>
        <v/>
      </c>
    </row>
    <row r="4115" spans="1:1">
      <c r="A4115" s="7" t="str">
        <f>IF('Document Workflow'!A4114&lt;&gt;"",'Document Workflow'!A4114,"")</f>
        <v/>
      </c>
    </row>
    <row r="4116" spans="1:1">
      <c r="A4116" s="7" t="str">
        <f>IF('Document Workflow'!A4115&lt;&gt;"",'Document Workflow'!A4115,"")</f>
        <v/>
      </c>
    </row>
    <row r="4117" spans="1:1">
      <c r="A4117" s="7" t="str">
        <f>IF('Document Workflow'!A4116&lt;&gt;"",'Document Workflow'!A4116,"")</f>
        <v/>
      </c>
    </row>
    <row r="4118" spans="1:1">
      <c r="A4118" s="7" t="str">
        <f>IF('Document Workflow'!A4117&lt;&gt;"",'Document Workflow'!A4117,"")</f>
        <v/>
      </c>
    </row>
    <row r="4119" spans="1:1">
      <c r="A4119" s="7" t="str">
        <f>IF('Document Workflow'!A4118&lt;&gt;"",'Document Workflow'!A4118,"")</f>
        <v/>
      </c>
    </row>
    <row r="4120" spans="1:1">
      <c r="A4120" s="7" t="str">
        <f>IF('Document Workflow'!A4119&lt;&gt;"",'Document Workflow'!A4119,"")</f>
        <v/>
      </c>
    </row>
    <row r="4121" spans="1:1">
      <c r="A4121" s="7" t="str">
        <f>IF('Document Workflow'!A4120&lt;&gt;"",'Document Workflow'!A4120,"")</f>
        <v/>
      </c>
    </row>
    <row r="4122" spans="1:1">
      <c r="A4122" s="7" t="str">
        <f>IF('Document Workflow'!A4121&lt;&gt;"",'Document Workflow'!A4121,"")</f>
        <v/>
      </c>
    </row>
    <row r="4123" spans="1:1">
      <c r="A4123" s="7" t="str">
        <f>IF('Document Workflow'!A4122&lt;&gt;"",'Document Workflow'!A4122,"")</f>
        <v/>
      </c>
    </row>
    <row r="4124" spans="1:1">
      <c r="A4124" s="7" t="str">
        <f>IF('Document Workflow'!A4123&lt;&gt;"",'Document Workflow'!A4123,"")</f>
        <v/>
      </c>
    </row>
    <row r="4125" spans="1:1">
      <c r="A4125" s="7" t="str">
        <f>IF('Document Workflow'!A4124&lt;&gt;"",'Document Workflow'!A4124,"")</f>
        <v/>
      </c>
    </row>
    <row r="4126" spans="1:1">
      <c r="A4126" s="7" t="str">
        <f>IF('Document Workflow'!A4125&lt;&gt;"",'Document Workflow'!A4125,"")</f>
        <v/>
      </c>
    </row>
    <row r="4127" spans="1:1">
      <c r="A4127" s="7" t="str">
        <f>IF('Document Workflow'!A4126&lt;&gt;"",'Document Workflow'!A4126,"")</f>
        <v/>
      </c>
    </row>
    <row r="4128" spans="1:1">
      <c r="A4128" s="7" t="str">
        <f>IF('Document Workflow'!A4127&lt;&gt;"",'Document Workflow'!A4127,"")</f>
        <v/>
      </c>
    </row>
    <row r="4129" spans="1:1">
      <c r="A4129" s="7" t="str">
        <f>IF('Document Workflow'!A4128&lt;&gt;"",'Document Workflow'!A4128,"")</f>
        <v/>
      </c>
    </row>
    <row r="4130" spans="1:1">
      <c r="A4130" s="7" t="str">
        <f>IF('Document Workflow'!A4129&lt;&gt;"",'Document Workflow'!A4129,"")</f>
        <v/>
      </c>
    </row>
    <row r="4131" spans="1:1">
      <c r="A4131" s="7" t="str">
        <f>IF('Document Workflow'!A4130&lt;&gt;"",'Document Workflow'!A4130,"")</f>
        <v/>
      </c>
    </row>
    <row r="4132" spans="1:1">
      <c r="A4132" s="7" t="str">
        <f>IF('Document Workflow'!A4131&lt;&gt;"",'Document Workflow'!A4131,"")</f>
        <v/>
      </c>
    </row>
    <row r="4133" spans="1:1">
      <c r="A4133" s="7" t="str">
        <f>IF('Document Workflow'!A4132&lt;&gt;"",'Document Workflow'!A4132,"")</f>
        <v/>
      </c>
    </row>
    <row r="4134" spans="1:1">
      <c r="A4134" s="7" t="str">
        <f>IF('Document Workflow'!A4133&lt;&gt;"",'Document Workflow'!A4133,"")</f>
        <v/>
      </c>
    </row>
    <row r="4135" spans="1:1">
      <c r="A4135" s="7" t="str">
        <f>IF('Document Workflow'!A4134&lt;&gt;"",'Document Workflow'!A4134,"")</f>
        <v/>
      </c>
    </row>
    <row r="4136" spans="1:1">
      <c r="A4136" s="7" t="str">
        <f>IF('Document Workflow'!A4135&lt;&gt;"",'Document Workflow'!A4135,"")</f>
        <v/>
      </c>
    </row>
    <row r="4137" spans="1:1">
      <c r="A4137" s="7" t="str">
        <f>IF('Document Workflow'!A4136&lt;&gt;"",'Document Workflow'!A4136,"")</f>
        <v/>
      </c>
    </row>
    <row r="4138" spans="1:1">
      <c r="A4138" s="7" t="str">
        <f>IF('Document Workflow'!A4137&lt;&gt;"",'Document Workflow'!A4137,"")</f>
        <v/>
      </c>
    </row>
    <row r="4139" spans="1:1">
      <c r="A4139" s="7" t="str">
        <f>IF('Document Workflow'!A4138&lt;&gt;"",'Document Workflow'!A4138,"")</f>
        <v/>
      </c>
    </row>
    <row r="4140" spans="1:1">
      <c r="A4140" s="7" t="str">
        <f>IF('Document Workflow'!A4139&lt;&gt;"",'Document Workflow'!A4139,"")</f>
        <v/>
      </c>
    </row>
    <row r="4141" spans="1:1">
      <c r="A4141" s="7" t="str">
        <f>IF('Document Workflow'!A4140&lt;&gt;"",'Document Workflow'!A4140,"")</f>
        <v/>
      </c>
    </row>
    <row r="4142" spans="1:1">
      <c r="A4142" s="7" t="str">
        <f>IF('Document Workflow'!A4141&lt;&gt;"",'Document Workflow'!A4141,"")</f>
        <v/>
      </c>
    </row>
    <row r="4143" spans="1:1">
      <c r="A4143" s="7" t="str">
        <f>IF('Document Workflow'!A4142&lt;&gt;"",'Document Workflow'!A4142,"")</f>
        <v/>
      </c>
    </row>
    <row r="4144" spans="1:1">
      <c r="A4144" s="7" t="str">
        <f>IF('Document Workflow'!A4143&lt;&gt;"",'Document Workflow'!A4143,"")</f>
        <v/>
      </c>
    </row>
    <row r="4145" spans="1:1">
      <c r="A4145" s="7" t="str">
        <f>IF('Document Workflow'!A4144&lt;&gt;"",'Document Workflow'!A4144,"")</f>
        <v/>
      </c>
    </row>
    <row r="4146" spans="1:1">
      <c r="A4146" s="7" t="str">
        <f>IF('Document Workflow'!A4145&lt;&gt;"",'Document Workflow'!A4145,"")</f>
        <v/>
      </c>
    </row>
    <row r="4147" spans="1:1">
      <c r="A4147" s="7" t="str">
        <f>IF('Document Workflow'!A4146&lt;&gt;"",'Document Workflow'!A4146,"")</f>
        <v/>
      </c>
    </row>
    <row r="4148" spans="1:1">
      <c r="A4148" s="7" t="str">
        <f>IF('Document Workflow'!A4147&lt;&gt;"",'Document Workflow'!A4147,"")</f>
        <v/>
      </c>
    </row>
    <row r="4149" spans="1:1">
      <c r="A4149" s="7" t="str">
        <f>IF('Document Workflow'!A4148&lt;&gt;"",'Document Workflow'!A4148,"")</f>
        <v/>
      </c>
    </row>
    <row r="4150" spans="1:1">
      <c r="A4150" s="7" t="str">
        <f>IF('Document Workflow'!A4149&lt;&gt;"",'Document Workflow'!A4149,"")</f>
        <v/>
      </c>
    </row>
    <row r="4151" spans="1:1">
      <c r="A4151" s="7" t="str">
        <f>IF('Document Workflow'!A4150&lt;&gt;"",'Document Workflow'!A4150,"")</f>
        <v/>
      </c>
    </row>
    <row r="4152" spans="1:1">
      <c r="A4152" s="7" t="str">
        <f>IF('Document Workflow'!A4151&lt;&gt;"",'Document Workflow'!A4151,"")</f>
        <v/>
      </c>
    </row>
    <row r="4153" spans="1:1">
      <c r="A4153" s="7" t="str">
        <f>IF('Document Workflow'!A4152&lt;&gt;"",'Document Workflow'!A4152,"")</f>
        <v/>
      </c>
    </row>
    <row r="4154" spans="1:1">
      <c r="A4154" s="7" t="str">
        <f>IF('Document Workflow'!A4153&lt;&gt;"",'Document Workflow'!A4153,"")</f>
        <v/>
      </c>
    </row>
    <row r="4155" spans="1:1">
      <c r="A4155" s="7" t="str">
        <f>IF('Document Workflow'!A4154&lt;&gt;"",'Document Workflow'!A4154,"")</f>
        <v/>
      </c>
    </row>
    <row r="4156" spans="1:1">
      <c r="A4156" s="7" t="str">
        <f>IF('Document Workflow'!A4155&lt;&gt;"",'Document Workflow'!A4155,"")</f>
        <v/>
      </c>
    </row>
    <row r="4157" spans="1:1">
      <c r="A4157" s="7" t="str">
        <f>IF('Document Workflow'!A4156&lt;&gt;"",'Document Workflow'!A4156,"")</f>
        <v/>
      </c>
    </row>
    <row r="4158" spans="1:1">
      <c r="A4158" s="7" t="str">
        <f>IF('Document Workflow'!A4157&lt;&gt;"",'Document Workflow'!A4157,"")</f>
        <v/>
      </c>
    </row>
    <row r="4159" spans="1:1">
      <c r="A4159" s="7" t="str">
        <f>IF('Document Workflow'!A4158&lt;&gt;"",'Document Workflow'!A4158,"")</f>
        <v/>
      </c>
    </row>
    <row r="4160" spans="1:1">
      <c r="A4160" s="7" t="str">
        <f>IF('Document Workflow'!A4159&lt;&gt;"",'Document Workflow'!A4159,"")</f>
        <v/>
      </c>
    </row>
    <row r="4161" spans="1:1">
      <c r="A4161" s="7" t="str">
        <f>IF('Document Workflow'!A4160&lt;&gt;"",'Document Workflow'!A4160,"")</f>
        <v/>
      </c>
    </row>
    <row r="4162" spans="1:1">
      <c r="A4162" s="7" t="str">
        <f>IF('Document Workflow'!A4161&lt;&gt;"",'Document Workflow'!A4161,"")</f>
        <v/>
      </c>
    </row>
    <row r="4163" spans="1:1">
      <c r="A4163" s="7" t="str">
        <f>IF('Document Workflow'!A4162&lt;&gt;"",'Document Workflow'!A4162,"")</f>
        <v/>
      </c>
    </row>
    <row r="4164" spans="1:1">
      <c r="A4164" s="7" t="str">
        <f>IF('Document Workflow'!A4163&lt;&gt;"",'Document Workflow'!A4163,"")</f>
        <v/>
      </c>
    </row>
    <row r="4165" spans="1:1">
      <c r="A4165" s="7" t="str">
        <f>IF('Document Workflow'!A4164&lt;&gt;"",'Document Workflow'!A4164,"")</f>
        <v/>
      </c>
    </row>
    <row r="4166" spans="1:1">
      <c r="A4166" s="7" t="str">
        <f>IF('Document Workflow'!A4165&lt;&gt;"",'Document Workflow'!A4165,"")</f>
        <v/>
      </c>
    </row>
    <row r="4167" spans="1:1">
      <c r="A4167" s="7" t="str">
        <f>IF('Document Workflow'!A4166&lt;&gt;"",'Document Workflow'!A4166,"")</f>
        <v/>
      </c>
    </row>
    <row r="4168" spans="1:1">
      <c r="A4168" s="7" t="str">
        <f>IF('Document Workflow'!A4167&lt;&gt;"",'Document Workflow'!A4167,"")</f>
        <v/>
      </c>
    </row>
    <row r="4169" spans="1:1">
      <c r="A4169" s="7" t="str">
        <f>IF('Document Workflow'!A4168&lt;&gt;"",'Document Workflow'!A4168,"")</f>
        <v/>
      </c>
    </row>
    <row r="4170" spans="1:1">
      <c r="A4170" s="7" t="str">
        <f>IF('Document Workflow'!A4169&lt;&gt;"",'Document Workflow'!A4169,"")</f>
        <v/>
      </c>
    </row>
    <row r="4171" spans="1:1">
      <c r="A4171" s="7" t="str">
        <f>IF('Document Workflow'!A4170&lt;&gt;"",'Document Workflow'!A4170,"")</f>
        <v/>
      </c>
    </row>
    <row r="4172" spans="1:1">
      <c r="A4172" s="7" t="str">
        <f>IF('Document Workflow'!A4171&lt;&gt;"",'Document Workflow'!A4171,"")</f>
        <v/>
      </c>
    </row>
    <row r="4173" spans="1:1">
      <c r="A4173" s="7" t="str">
        <f>IF('Document Workflow'!A4172&lt;&gt;"",'Document Workflow'!A4172,"")</f>
        <v/>
      </c>
    </row>
    <row r="4174" spans="1:1">
      <c r="A4174" s="7" t="str">
        <f>IF('Document Workflow'!A4173&lt;&gt;"",'Document Workflow'!A4173,"")</f>
        <v/>
      </c>
    </row>
    <row r="4175" spans="1:1">
      <c r="A4175" s="7" t="str">
        <f>IF('Document Workflow'!A4174&lt;&gt;"",'Document Workflow'!A4174,"")</f>
        <v/>
      </c>
    </row>
    <row r="4176" spans="1:1">
      <c r="A4176" s="7" t="str">
        <f>IF('Document Workflow'!A4175&lt;&gt;"",'Document Workflow'!A4175,"")</f>
        <v/>
      </c>
    </row>
    <row r="4177" spans="1:1">
      <c r="A4177" s="7" t="str">
        <f>IF('Document Workflow'!A4176&lt;&gt;"",'Document Workflow'!A4176,"")</f>
        <v/>
      </c>
    </row>
    <row r="4178" spans="1:1">
      <c r="A4178" s="7" t="str">
        <f>IF('Document Workflow'!A4177&lt;&gt;"",'Document Workflow'!A4177,"")</f>
        <v/>
      </c>
    </row>
    <row r="4179" spans="1:1">
      <c r="A4179" s="7" t="str">
        <f>IF('Document Workflow'!A4178&lt;&gt;"",'Document Workflow'!A4178,"")</f>
        <v/>
      </c>
    </row>
    <row r="4180" spans="1:1">
      <c r="A4180" s="7" t="str">
        <f>IF('Document Workflow'!A4179&lt;&gt;"",'Document Workflow'!A4179,"")</f>
        <v/>
      </c>
    </row>
    <row r="4181" spans="1:1">
      <c r="A4181" s="7" t="str">
        <f>IF('Document Workflow'!A4180&lt;&gt;"",'Document Workflow'!A4180,"")</f>
        <v/>
      </c>
    </row>
    <row r="4182" spans="1:1">
      <c r="A4182" s="7" t="str">
        <f>IF('Document Workflow'!A4181&lt;&gt;"",'Document Workflow'!A4181,"")</f>
        <v/>
      </c>
    </row>
    <row r="4183" spans="1:1">
      <c r="A4183" s="7" t="str">
        <f>IF('Document Workflow'!A4182&lt;&gt;"",'Document Workflow'!A4182,"")</f>
        <v/>
      </c>
    </row>
    <row r="4184" spans="1:1">
      <c r="A4184" s="7" t="str">
        <f>IF('Document Workflow'!A4183&lt;&gt;"",'Document Workflow'!A4183,"")</f>
        <v/>
      </c>
    </row>
    <row r="4185" spans="1:1">
      <c r="A4185" s="7" t="str">
        <f>IF('Document Workflow'!A4184&lt;&gt;"",'Document Workflow'!A4184,"")</f>
        <v/>
      </c>
    </row>
    <row r="4186" spans="1:1">
      <c r="A4186" s="7" t="str">
        <f>IF('Document Workflow'!A4185&lt;&gt;"",'Document Workflow'!A4185,"")</f>
        <v/>
      </c>
    </row>
    <row r="4187" spans="1:1">
      <c r="A4187" s="7" t="str">
        <f>IF('Document Workflow'!A4186&lt;&gt;"",'Document Workflow'!A4186,"")</f>
        <v/>
      </c>
    </row>
    <row r="4188" spans="1:1">
      <c r="A4188" s="7" t="str">
        <f>IF('Document Workflow'!A4187&lt;&gt;"",'Document Workflow'!A4187,"")</f>
        <v/>
      </c>
    </row>
    <row r="4189" spans="1:1">
      <c r="A4189" s="7" t="str">
        <f>IF('Document Workflow'!A4188&lt;&gt;"",'Document Workflow'!A4188,"")</f>
        <v/>
      </c>
    </row>
    <row r="4190" spans="1:1">
      <c r="A4190" s="7" t="str">
        <f>IF('Document Workflow'!A4189&lt;&gt;"",'Document Workflow'!A4189,"")</f>
        <v/>
      </c>
    </row>
    <row r="4191" spans="1:1">
      <c r="A4191" s="7" t="str">
        <f>IF('Document Workflow'!A4190&lt;&gt;"",'Document Workflow'!A4190,"")</f>
        <v/>
      </c>
    </row>
    <row r="4192" spans="1:1">
      <c r="A4192" s="7" t="str">
        <f>IF('Document Workflow'!A4191&lt;&gt;"",'Document Workflow'!A4191,"")</f>
        <v/>
      </c>
    </row>
    <row r="4193" spans="1:1">
      <c r="A4193" s="7" t="str">
        <f>IF('Document Workflow'!A4192&lt;&gt;"",'Document Workflow'!A4192,"")</f>
        <v/>
      </c>
    </row>
    <row r="4194" spans="1:1">
      <c r="A4194" s="7" t="str">
        <f>IF('Document Workflow'!A4193&lt;&gt;"",'Document Workflow'!A4193,"")</f>
        <v/>
      </c>
    </row>
    <row r="4195" spans="1:1">
      <c r="A4195" s="7" t="str">
        <f>IF('Document Workflow'!A4194&lt;&gt;"",'Document Workflow'!A4194,"")</f>
        <v/>
      </c>
    </row>
    <row r="4196" spans="1:1">
      <c r="A4196" s="7" t="str">
        <f>IF('Document Workflow'!A4195&lt;&gt;"",'Document Workflow'!A4195,"")</f>
        <v/>
      </c>
    </row>
    <row r="4197" spans="1:1">
      <c r="A4197" s="7" t="str">
        <f>IF('Document Workflow'!A4196&lt;&gt;"",'Document Workflow'!A4196,"")</f>
        <v/>
      </c>
    </row>
    <row r="4198" spans="1:1">
      <c r="A4198" s="7" t="str">
        <f>IF('Document Workflow'!A4197&lt;&gt;"",'Document Workflow'!A4197,"")</f>
        <v/>
      </c>
    </row>
    <row r="4199" spans="1:1">
      <c r="A4199" s="7" t="str">
        <f>IF('Document Workflow'!A4198&lt;&gt;"",'Document Workflow'!A4198,"")</f>
        <v/>
      </c>
    </row>
    <row r="4200" spans="1:1">
      <c r="A4200" s="7" t="str">
        <f>IF('Document Workflow'!A4199&lt;&gt;"",'Document Workflow'!A4199,"")</f>
        <v/>
      </c>
    </row>
    <row r="4201" spans="1:1">
      <c r="A4201" s="7" t="str">
        <f>IF('Document Workflow'!A4200&lt;&gt;"",'Document Workflow'!A4200,"")</f>
        <v/>
      </c>
    </row>
    <row r="4202" spans="1:1">
      <c r="A4202" s="7" t="str">
        <f>IF('Document Workflow'!A4201&lt;&gt;"",'Document Workflow'!A4201,"")</f>
        <v/>
      </c>
    </row>
    <row r="4203" spans="1:1">
      <c r="A4203" s="7" t="str">
        <f>IF('Document Workflow'!A4202&lt;&gt;"",'Document Workflow'!A4202,"")</f>
        <v/>
      </c>
    </row>
    <row r="4204" spans="1:1">
      <c r="A4204" s="7" t="str">
        <f>IF('Document Workflow'!A4203&lt;&gt;"",'Document Workflow'!A4203,"")</f>
        <v/>
      </c>
    </row>
    <row r="4205" spans="1:1">
      <c r="A4205" s="7" t="str">
        <f>IF('Document Workflow'!A4204&lt;&gt;"",'Document Workflow'!A4204,"")</f>
        <v/>
      </c>
    </row>
    <row r="4206" spans="1:1">
      <c r="A4206" s="7" t="str">
        <f>IF('Document Workflow'!A4205&lt;&gt;"",'Document Workflow'!A4205,"")</f>
        <v/>
      </c>
    </row>
    <row r="4207" spans="1:1">
      <c r="A4207" s="7" t="str">
        <f>IF('Document Workflow'!A4206&lt;&gt;"",'Document Workflow'!A4206,"")</f>
        <v/>
      </c>
    </row>
    <row r="4208" spans="1:1">
      <c r="A4208" s="7" t="str">
        <f>IF('Document Workflow'!A4207&lt;&gt;"",'Document Workflow'!A4207,"")</f>
        <v/>
      </c>
    </row>
    <row r="4209" spans="1:1">
      <c r="A4209" s="7" t="str">
        <f>IF('Document Workflow'!A4208&lt;&gt;"",'Document Workflow'!A4208,"")</f>
        <v/>
      </c>
    </row>
    <row r="4210" spans="1:1">
      <c r="A4210" s="7" t="str">
        <f>IF('Document Workflow'!A4209&lt;&gt;"",'Document Workflow'!A4209,"")</f>
        <v/>
      </c>
    </row>
    <row r="4211" spans="1:1">
      <c r="A4211" s="7" t="str">
        <f>IF('Document Workflow'!A4210&lt;&gt;"",'Document Workflow'!A4210,"")</f>
        <v/>
      </c>
    </row>
    <row r="4212" spans="1:1">
      <c r="A4212" s="7" t="str">
        <f>IF('Document Workflow'!A4211&lt;&gt;"",'Document Workflow'!A4211,"")</f>
        <v/>
      </c>
    </row>
    <row r="4213" spans="1:1">
      <c r="A4213" s="7" t="str">
        <f>IF('Document Workflow'!A4212&lt;&gt;"",'Document Workflow'!A4212,"")</f>
        <v/>
      </c>
    </row>
    <row r="4214" spans="1:1">
      <c r="A4214" s="7" t="str">
        <f>IF('Document Workflow'!A4213&lt;&gt;"",'Document Workflow'!A4213,"")</f>
        <v/>
      </c>
    </row>
    <row r="4215" spans="1:1">
      <c r="A4215" s="7" t="str">
        <f>IF('Document Workflow'!A4214&lt;&gt;"",'Document Workflow'!A4214,"")</f>
        <v/>
      </c>
    </row>
    <row r="4216" spans="1:1">
      <c r="A4216" s="7" t="str">
        <f>IF('Document Workflow'!A4215&lt;&gt;"",'Document Workflow'!A4215,"")</f>
        <v/>
      </c>
    </row>
    <row r="4217" spans="1:1">
      <c r="A4217" s="7" t="str">
        <f>IF('Document Workflow'!A4216&lt;&gt;"",'Document Workflow'!A4216,"")</f>
        <v/>
      </c>
    </row>
    <row r="4218" spans="1:1">
      <c r="A4218" s="7" t="str">
        <f>IF('Document Workflow'!A4217&lt;&gt;"",'Document Workflow'!A4217,"")</f>
        <v/>
      </c>
    </row>
    <row r="4219" spans="1:1">
      <c r="A4219" s="7" t="str">
        <f>IF('Document Workflow'!A4218&lt;&gt;"",'Document Workflow'!A4218,"")</f>
        <v/>
      </c>
    </row>
    <row r="4220" spans="1:1">
      <c r="A4220" s="7" t="str">
        <f>IF('Document Workflow'!A4219&lt;&gt;"",'Document Workflow'!A4219,"")</f>
        <v/>
      </c>
    </row>
    <row r="4221" spans="1:1">
      <c r="A4221" s="7" t="str">
        <f>IF('Document Workflow'!A4220&lt;&gt;"",'Document Workflow'!A4220,"")</f>
        <v/>
      </c>
    </row>
    <row r="4222" spans="1:1">
      <c r="A4222" s="7" t="str">
        <f>IF('Document Workflow'!A4221&lt;&gt;"",'Document Workflow'!A4221,"")</f>
        <v/>
      </c>
    </row>
    <row r="4223" spans="1:1">
      <c r="A4223" s="7" t="str">
        <f>IF('Document Workflow'!A4222&lt;&gt;"",'Document Workflow'!A4222,"")</f>
        <v/>
      </c>
    </row>
    <row r="4224" spans="1:1">
      <c r="A4224" s="7" t="str">
        <f>IF('Document Workflow'!A4223&lt;&gt;"",'Document Workflow'!A4223,"")</f>
        <v/>
      </c>
    </row>
    <row r="4225" spans="1:1">
      <c r="A4225" s="7" t="str">
        <f>IF('Document Workflow'!A4224&lt;&gt;"",'Document Workflow'!A4224,"")</f>
        <v/>
      </c>
    </row>
    <row r="4226" spans="1:1">
      <c r="A4226" s="7" t="str">
        <f>IF('Document Workflow'!A4225&lt;&gt;"",'Document Workflow'!A4225,"")</f>
        <v/>
      </c>
    </row>
    <row r="4227" spans="1:1">
      <c r="A4227" s="7" t="str">
        <f>IF('Document Workflow'!A4226&lt;&gt;"",'Document Workflow'!A4226,"")</f>
        <v/>
      </c>
    </row>
    <row r="4228" spans="1:1">
      <c r="A4228" s="7" t="str">
        <f>IF('Document Workflow'!A4227&lt;&gt;"",'Document Workflow'!A4227,"")</f>
        <v/>
      </c>
    </row>
    <row r="4229" spans="1:1">
      <c r="A4229" s="7" t="str">
        <f>IF('Document Workflow'!A4228&lt;&gt;"",'Document Workflow'!A4228,"")</f>
        <v/>
      </c>
    </row>
    <row r="4230" spans="1:1">
      <c r="A4230" s="7" t="str">
        <f>IF('Document Workflow'!A4229&lt;&gt;"",'Document Workflow'!A4229,"")</f>
        <v/>
      </c>
    </row>
    <row r="4231" spans="1:1">
      <c r="A4231" s="7" t="str">
        <f>IF('Document Workflow'!A4230&lt;&gt;"",'Document Workflow'!A4230,"")</f>
        <v/>
      </c>
    </row>
    <row r="4232" spans="1:1">
      <c r="A4232" s="7" t="str">
        <f>IF('Document Workflow'!A4231&lt;&gt;"",'Document Workflow'!A4231,"")</f>
        <v/>
      </c>
    </row>
    <row r="4233" spans="1:1">
      <c r="A4233" s="7" t="str">
        <f>IF('Document Workflow'!A4232&lt;&gt;"",'Document Workflow'!A4232,"")</f>
        <v/>
      </c>
    </row>
    <row r="4234" spans="1:1">
      <c r="A4234" s="7" t="str">
        <f>IF('Document Workflow'!A4233&lt;&gt;"",'Document Workflow'!A4233,"")</f>
        <v/>
      </c>
    </row>
    <row r="4235" spans="1:1">
      <c r="A4235" s="7" t="str">
        <f>IF('Document Workflow'!A4234&lt;&gt;"",'Document Workflow'!A4234,"")</f>
        <v/>
      </c>
    </row>
    <row r="4236" spans="1:1">
      <c r="A4236" s="7" t="str">
        <f>IF('Document Workflow'!A4235&lt;&gt;"",'Document Workflow'!A4235,"")</f>
        <v/>
      </c>
    </row>
    <row r="4237" spans="1:1">
      <c r="A4237" s="7" t="str">
        <f>IF('Document Workflow'!A4236&lt;&gt;"",'Document Workflow'!A4236,"")</f>
        <v/>
      </c>
    </row>
    <row r="4238" spans="1:1">
      <c r="A4238" s="7" t="str">
        <f>IF('Document Workflow'!A4237&lt;&gt;"",'Document Workflow'!A4237,"")</f>
        <v/>
      </c>
    </row>
    <row r="4239" spans="1:1">
      <c r="A4239" s="7" t="str">
        <f>IF('Document Workflow'!A4238&lt;&gt;"",'Document Workflow'!A4238,"")</f>
        <v/>
      </c>
    </row>
    <row r="4240" spans="1:1">
      <c r="A4240" s="7" t="str">
        <f>IF('Document Workflow'!A4239&lt;&gt;"",'Document Workflow'!A4239,"")</f>
        <v/>
      </c>
    </row>
    <row r="4241" spans="1:1">
      <c r="A4241" s="7" t="str">
        <f>IF('Document Workflow'!A4240&lt;&gt;"",'Document Workflow'!A4240,"")</f>
        <v/>
      </c>
    </row>
    <row r="4242" spans="1:1">
      <c r="A4242" s="7" t="str">
        <f>IF('Document Workflow'!A4241&lt;&gt;"",'Document Workflow'!A4241,"")</f>
        <v/>
      </c>
    </row>
    <row r="4243" spans="1:1">
      <c r="A4243" s="7" t="str">
        <f>IF('Document Workflow'!A4242&lt;&gt;"",'Document Workflow'!A4242,"")</f>
        <v/>
      </c>
    </row>
    <row r="4244" spans="1:1">
      <c r="A4244" s="7" t="str">
        <f>IF('Document Workflow'!A4243&lt;&gt;"",'Document Workflow'!A4243,"")</f>
        <v/>
      </c>
    </row>
    <row r="4245" spans="1:1">
      <c r="A4245" s="7" t="str">
        <f>IF('Document Workflow'!A4244&lt;&gt;"",'Document Workflow'!A4244,"")</f>
        <v/>
      </c>
    </row>
    <row r="4246" spans="1:1">
      <c r="A4246" s="7" t="str">
        <f>IF('Document Workflow'!A4245&lt;&gt;"",'Document Workflow'!A4245,"")</f>
        <v/>
      </c>
    </row>
    <row r="4247" spans="1:1">
      <c r="A4247" s="7" t="str">
        <f>IF('Document Workflow'!A4246&lt;&gt;"",'Document Workflow'!A4246,"")</f>
        <v/>
      </c>
    </row>
    <row r="4248" spans="1:1">
      <c r="A4248" s="7" t="str">
        <f>IF('Document Workflow'!A4247&lt;&gt;"",'Document Workflow'!A4247,"")</f>
        <v/>
      </c>
    </row>
    <row r="4249" spans="1:1">
      <c r="A4249" s="7" t="str">
        <f>IF('Document Workflow'!A4248&lt;&gt;"",'Document Workflow'!A4248,"")</f>
        <v/>
      </c>
    </row>
    <row r="4250" spans="1:1">
      <c r="A4250" s="7" t="str">
        <f>IF('Document Workflow'!A4249&lt;&gt;"",'Document Workflow'!A4249,"")</f>
        <v/>
      </c>
    </row>
    <row r="4251" spans="1:1">
      <c r="A4251" s="7" t="str">
        <f>IF('Document Workflow'!A4250&lt;&gt;"",'Document Workflow'!A4250,"")</f>
        <v/>
      </c>
    </row>
    <row r="4252" spans="1:1">
      <c r="A4252" s="7" t="str">
        <f>IF('Document Workflow'!A4251&lt;&gt;"",'Document Workflow'!A4251,"")</f>
        <v/>
      </c>
    </row>
    <row r="4253" spans="1:1">
      <c r="A4253" s="7" t="str">
        <f>IF('Document Workflow'!A4252&lt;&gt;"",'Document Workflow'!A4252,"")</f>
        <v/>
      </c>
    </row>
    <row r="4254" spans="1:1">
      <c r="A4254" s="7" t="str">
        <f>IF('Document Workflow'!A4253&lt;&gt;"",'Document Workflow'!A4253,"")</f>
        <v/>
      </c>
    </row>
    <row r="4255" spans="1:1">
      <c r="A4255" s="7" t="str">
        <f>IF('Document Workflow'!A4254&lt;&gt;"",'Document Workflow'!A4254,"")</f>
        <v/>
      </c>
    </row>
    <row r="4256" spans="1:1">
      <c r="A4256" s="7" t="str">
        <f>IF('Document Workflow'!A4255&lt;&gt;"",'Document Workflow'!A4255,"")</f>
        <v/>
      </c>
    </row>
    <row r="4257" spans="1:1">
      <c r="A4257" s="7" t="str">
        <f>IF('Document Workflow'!A4256&lt;&gt;"",'Document Workflow'!A4256,"")</f>
        <v/>
      </c>
    </row>
    <row r="4258" spans="1:1">
      <c r="A4258" s="7" t="str">
        <f>IF('Document Workflow'!A4257&lt;&gt;"",'Document Workflow'!A4257,"")</f>
        <v/>
      </c>
    </row>
    <row r="4259" spans="1:1">
      <c r="A4259" s="7" t="str">
        <f>IF('Document Workflow'!A4258&lt;&gt;"",'Document Workflow'!A4258,"")</f>
        <v/>
      </c>
    </row>
    <row r="4260" spans="1:1">
      <c r="A4260" s="7" t="str">
        <f>IF('Document Workflow'!A4259&lt;&gt;"",'Document Workflow'!A4259,"")</f>
        <v/>
      </c>
    </row>
    <row r="4261" spans="1:1">
      <c r="A4261" s="7" t="str">
        <f>IF('Document Workflow'!A4260&lt;&gt;"",'Document Workflow'!A4260,"")</f>
        <v/>
      </c>
    </row>
    <row r="4262" spans="1:1">
      <c r="A4262" s="7" t="str">
        <f>IF('Document Workflow'!A4261&lt;&gt;"",'Document Workflow'!A4261,"")</f>
        <v/>
      </c>
    </row>
    <row r="4263" spans="1:1">
      <c r="A4263" s="7" t="str">
        <f>IF('Document Workflow'!A4262&lt;&gt;"",'Document Workflow'!A4262,"")</f>
        <v/>
      </c>
    </row>
    <row r="4264" spans="1:1">
      <c r="A4264" s="7" t="str">
        <f>IF('Document Workflow'!A4263&lt;&gt;"",'Document Workflow'!A4263,"")</f>
        <v/>
      </c>
    </row>
    <row r="4265" spans="1:1">
      <c r="A4265" s="7" t="str">
        <f>IF('Document Workflow'!A4264&lt;&gt;"",'Document Workflow'!A4264,"")</f>
        <v/>
      </c>
    </row>
    <row r="4266" spans="1:1">
      <c r="A4266" s="7" t="str">
        <f>IF('Document Workflow'!A4265&lt;&gt;"",'Document Workflow'!A4265,"")</f>
        <v/>
      </c>
    </row>
    <row r="4267" spans="1:1">
      <c r="A4267" s="7" t="str">
        <f>IF('Document Workflow'!A4266&lt;&gt;"",'Document Workflow'!A4266,"")</f>
        <v/>
      </c>
    </row>
    <row r="4268" spans="1:1">
      <c r="A4268" s="7" t="str">
        <f>IF('Document Workflow'!A4267&lt;&gt;"",'Document Workflow'!A4267,"")</f>
        <v/>
      </c>
    </row>
    <row r="4269" spans="1:1">
      <c r="A4269" s="7" t="str">
        <f>IF('Document Workflow'!A4268&lt;&gt;"",'Document Workflow'!A4268,"")</f>
        <v/>
      </c>
    </row>
    <row r="4270" spans="1:1">
      <c r="A4270" s="7" t="str">
        <f>IF('Document Workflow'!A4269&lt;&gt;"",'Document Workflow'!A4269,"")</f>
        <v/>
      </c>
    </row>
    <row r="4271" spans="1:1">
      <c r="A4271" s="7" t="str">
        <f>IF('Document Workflow'!A4270&lt;&gt;"",'Document Workflow'!A4270,"")</f>
        <v/>
      </c>
    </row>
    <row r="4272" spans="1:1">
      <c r="A4272" s="7" t="str">
        <f>IF('Document Workflow'!A4271&lt;&gt;"",'Document Workflow'!A4271,"")</f>
        <v/>
      </c>
    </row>
    <row r="4273" spans="1:1">
      <c r="A4273" s="7" t="str">
        <f>IF('Document Workflow'!A4272&lt;&gt;"",'Document Workflow'!A4272,"")</f>
        <v/>
      </c>
    </row>
    <row r="4274" spans="1:1">
      <c r="A4274" s="7" t="str">
        <f>IF('Document Workflow'!A4273&lt;&gt;"",'Document Workflow'!A4273,"")</f>
        <v/>
      </c>
    </row>
    <row r="4275" spans="1:1">
      <c r="A4275" s="7" t="str">
        <f>IF('Document Workflow'!A4274&lt;&gt;"",'Document Workflow'!A4274,"")</f>
        <v/>
      </c>
    </row>
    <row r="4276" spans="1:1">
      <c r="A4276" s="7" t="str">
        <f>IF('Document Workflow'!A4275&lt;&gt;"",'Document Workflow'!A4275,"")</f>
        <v/>
      </c>
    </row>
    <row r="4277" spans="1:1">
      <c r="A4277" s="7" t="str">
        <f>IF('Document Workflow'!A4276&lt;&gt;"",'Document Workflow'!A4276,"")</f>
        <v/>
      </c>
    </row>
    <row r="4278" spans="1:1">
      <c r="A4278" s="7" t="str">
        <f>IF('Document Workflow'!A4277&lt;&gt;"",'Document Workflow'!A4277,"")</f>
        <v/>
      </c>
    </row>
    <row r="4279" spans="1:1">
      <c r="A4279" s="7" t="str">
        <f>IF('Document Workflow'!A4278&lt;&gt;"",'Document Workflow'!A4278,"")</f>
        <v/>
      </c>
    </row>
    <row r="4280" spans="1:1">
      <c r="A4280" s="7" t="str">
        <f>IF('Document Workflow'!A4279&lt;&gt;"",'Document Workflow'!A4279,"")</f>
        <v/>
      </c>
    </row>
    <row r="4281" spans="1:1">
      <c r="A4281" s="7" t="str">
        <f>IF('Document Workflow'!A4280&lt;&gt;"",'Document Workflow'!A4280,"")</f>
        <v/>
      </c>
    </row>
    <row r="4282" spans="1:1">
      <c r="A4282" s="7" t="str">
        <f>IF('Document Workflow'!A4281&lt;&gt;"",'Document Workflow'!A4281,"")</f>
        <v/>
      </c>
    </row>
    <row r="4283" spans="1:1">
      <c r="A4283" s="7" t="str">
        <f>IF('Document Workflow'!A4282&lt;&gt;"",'Document Workflow'!A4282,"")</f>
        <v/>
      </c>
    </row>
    <row r="4284" spans="1:1">
      <c r="A4284" s="7" t="str">
        <f>IF('Document Workflow'!A4283&lt;&gt;"",'Document Workflow'!A4283,"")</f>
        <v/>
      </c>
    </row>
    <row r="4285" spans="1:1">
      <c r="A4285" s="7" t="str">
        <f>IF('Document Workflow'!A4284&lt;&gt;"",'Document Workflow'!A4284,"")</f>
        <v/>
      </c>
    </row>
    <row r="4286" spans="1:1">
      <c r="A4286" s="7" t="str">
        <f>IF('Document Workflow'!A4285&lt;&gt;"",'Document Workflow'!A4285,"")</f>
        <v/>
      </c>
    </row>
    <row r="4287" spans="1:1">
      <c r="A4287" s="7" t="str">
        <f>IF('Document Workflow'!A4286&lt;&gt;"",'Document Workflow'!A4286,"")</f>
        <v/>
      </c>
    </row>
    <row r="4288" spans="1:1">
      <c r="A4288" s="7" t="str">
        <f>IF('Document Workflow'!A4287&lt;&gt;"",'Document Workflow'!A4287,"")</f>
        <v/>
      </c>
    </row>
    <row r="4289" spans="1:1">
      <c r="A4289" s="7" t="str">
        <f>IF('Document Workflow'!A4288&lt;&gt;"",'Document Workflow'!A4288,"")</f>
        <v/>
      </c>
    </row>
    <row r="4290" spans="1:1">
      <c r="A4290" s="7" t="str">
        <f>IF('Document Workflow'!A4289&lt;&gt;"",'Document Workflow'!A4289,"")</f>
        <v/>
      </c>
    </row>
    <row r="4291" spans="1:1">
      <c r="A4291" s="7" t="str">
        <f>IF('Document Workflow'!A4290&lt;&gt;"",'Document Workflow'!A4290,"")</f>
        <v/>
      </c>
    </row>
    <row r="4292" spans="1:1">
      <c r="A4292" s="7" t="str">
        <f>IF('Document Workflow'!A4291&lt;&gt;"",'Document Workflow'!A4291,"")</f>
        <v/>
      </c>
    </row>
    <row r="4293" spans="1:1">
      <c r="A4293" s="7" t="str">
        <f>IF('Document Workflow'!A4292&lt;&gt;"",'Document Workflow'!A4292,"")</f>
        <v/>
      </c>
    </row>
    <row r="4294" spans="1:1">
      <c r="A4294" s="7" t="str">
        <f>IF('Document Workflow'!A4293&lt;&gt;"",'Document Workflow'!A4293,"")</f>
        <v/>
      </c>
    </row>
    <row r="4295" spans="1:1">
      <c r="A4295" s="7" t="str">
        <f>IF('Document Workflow'!A4294&lt;&gt;"",'Document Workflow'!A4294,"")</f>
        <v/>
      </c>
    </row>
    <row r="4296" spans="1:1">
      <c r="A4296" s="7" t="str">
        <f>IF('Document Workflow'!A4295&lt;&gt;"",'Document Workflow'!A4295,"")</f>
        <v/>
      </c>
    </row>
    <row r="4297" spans="1:1">
      <c r="A4297" s="7" t="str">
        <f>IF('Document Workflow'!A4296&lt;&gt;"",'Document Workflow'!A4296,"")</f>
        <v/>
      </c>
    </row>
    <row r="4298" spans="1:1">
      <c r="A4298" s="7" t="str">
        <f>IF('Document Workflow'!A4297&lt;&gt;"",'Document Workflow'!A4297,"")</f>
        <v/>
      </c>
    </row>
    <row r="4299" spans="1:1">
      <c r="A4299" s="7" t="str">
        <f>IF('Document Workflow'!A4298&lt;&gt;"",'Document Workflow'!A4298,"")</f>
        <v/>
      </c>
    </row>
    <row r="4300" spans="1:1">
      <c r="A4300" s="7" t="str">
        <f>IF('Document Workflow'!A4299&lt;&gt;"",'Document Workflow'!A4299,"")</f>
        <v/>
      </c>
    </row>
    <row r="4301" spans="1:1">
      <c r="A4301" s="7" t="str">
        <f>IF('Document Workflow'!A4300&lt;&gt;"",'Document Workflow'!A4300,"")</f>
        <v/>
      </c>
    </row>
    <row r="4302" spans="1:1">
      <c r="A4302" s="7" t="str">
        <f>IF('Document Workflow'!A4301&lt;&gt;"",'Document Workflow'!A4301,"")</f>
        <v/>
      </c>
    </row>
    <row r="4303" spans="1:1">
      <c r="A4303" s="7" t="str">
        <f>IF('Document Workflow'!A4302&lt;&gt;"",'Document Workflow'!A4302,"")</f>
        <v/>
      </c>
    </row>
    <row r="4304" spans="1:1">
      <c r="A4304" s="7" t="str">
        <f>IF('Document Workflow'!A4303&lt;&gt;"",'Document Workflow'!A4303,"")</f>
        <v/>
      </c>
    </row>
    <row r="4305" spans="1:1">
      <c r="A4305" s="7" t="str">
        <f>IF('Document Workflow'!A4304&lt;&gt;"",'Document Workflow'!A4304,"")</f>
        <v/>
      </c>
    </row>
    <row r="4306" spans="1:1">
      <c r="A4306" s="7" t="str">
        <f>IF('Document Workflow'!A4305&lt;&gt;"",'Document Workflow'!A4305,"")</f>
        <v/>
      </c>
    </row>
    <row r="4307" spans="1:1">
      <c r="A4307" s="7" t="str">
        <f>IF('Document Workflow'!A4306&lt;&gt;"",'Document Workflow'!A4306,"")</f>
        <v/>
      </c>
    </row>
    <row r="4308" spans="1:1">
      <c r="A4308" s="7" t="str">
        <f>IF('Document Workflow'!A4307&lt;&gt;"",'Document Workflow'!A4307,"")</f>
        <v/>
      </c>
    </row>
    <row r="4309" spans="1:1">
      <c r="A4309" s="7" t="str">
        <f>IF('Document Workflow'!A4308&lt;&gt;"",'Document Workflow'!A4308,"")</f>
        <v/>
      </c>
    </row>
    <row r="4310" spans="1:1">
      <c r="A4310" s="7" t="str">
        <f>IF('Document Workflow'!A4309&lt;&gt;"",'Document Workflow'!A4309,"")</f>
        <v/>
      </c>
    </row>
    <row r="4311" spans="1:1">
      <c r="A4311" s="7" t="str">
        <f>IF('Document Workflow'!A4310&lt;&gt;"",'Document Workflow'!A4310,"")</f>
        <v/>
      </c>
    </row>
    <row r="4312" spans="1:1">
      <c r="A4312" s="7" t="str">
        <f>IF('Document Workflow'!A4311&lt;&gt;"",'Document Workflow'!A4311,"")</f>
        <v/>
      </c>
    </row>
    <row r="4313" spans="1:1">
      <c r="A4313" s="7" t="str">
        <f>IF('Document Workflow'!A4312&lt;&gt;"",'Document Workflow'!A4312,"")</f>
        <v/>
      </c>
    </row>
    <row r="4314" spans="1:1">
      <c r="A4314" s="7" t="str">
        <f>IF('Document Workflow'!A4313&lt;&gt;"",'Document Workflow'!A4313,"")</f>
        <v/>
      </c>
    </row>
    <row r="4315" spans="1:1">
      <c r="A4315" s="7" t="str">
        <f>IF('Document Workflow'!A4314&lt;&gt;"",'Document Workflow'!A4314,"")</f>
        <v/>
      </c>
    </row>
    <row r="4316" spans="1:1">
      <c r="A4316" s="7" t="str">
        <f>IF('Document Workflow'!A4315&lt;&gt;"",'Document Workflow'!A4315,"")</f>
        <v/>
      </c>
    </row>
    <row r="4317" spans="1:1">
      <c r="A4317" s="7" t="str">
        <f>IF('Document Workflow'!A4316&lt;&gt;"",'Document Workflow'!A4316,"")</f>
        <v/>
      </c>
    </row>
    <row r="4318" spans="1:1">
      <c r="A4318" s="7" t="str">
        <f>IF('Document Workflow'!A4317&lt;&gt;"",'Document Workflow'!A4317,"")</f>
        <v/>
      </c>
    </row>
    <row r="4319" spans="1:1">
      <c r="A4319" s="7" t="str">
        <f>IF('Document Workflow'!A4318&lt;&gt;"",'Document Workflow'!A4318,"")</f>
        <v/>
      </c>
    </row>
    <row r="4320" spans="1:1">
      <c r="A4320" s="7" t="str">
        <f>IF('Document Workflow'!A4319&lt;&gt;"",'Document Workflow'!A4319,"")</f>
        <v/>
      </c>
    </row>
    <row r="4321" spans="1:1">
      <c r="A4321" s="7" t="str">
        <f>IF('Document Workflow'!A4320&lt;&gt;"",'Document Workflow'!A4320,"")</f>
        <v/>
      </c>
    </row>
    <row r="4322" spans="1:1">
      <c r="A4322" s="7" t="str">
        <f>IF('Document Workflow'!A4321&lt;&gt;"",'Document Workflow'!A4321,"")</f>
        <v/>
      </c>
    </row>
    <row r="4323" spans="1:1">
      <c r="A4323" s="7" t="str">
        <f>IF('Document Workflow'!A4322&lt;&gt;"",'Document Workflow'!A4322,"")</f>
        <v/>
      </c>
    </row>
    <row r="4324" spans="1:1">
      <c r="A4324" s="7" t="str">
        <f>IF('Document Workflow'!A4323&lt;&gt;"",'Document Workflow'!A4323,"")</f>
        <v/>
      </c>
    </row>
    <row r="4325" spans="1:1">
      <c r="A4325" s="7" t="str">
        <f>IF('Document Workflow'!A4324&lt;&gt;"",'Document Workflow'!A4324,"")</f>
        <v/>
      </c>
    </row>
    <row r="4326" spans="1:1">
      <c r="A4326" s="7" t="str">
        <f>IF('Document Workflow'!A4325&lt;&gt;"",'Document Workflow'!A4325,"")</f>
        <v/>
      </c>
    </row>
    <row r="4327" spans="1:1">
      <c r="A4327" s="7" t="str">
        <f>IF('Document Workflow'!A4326&lt;&gt;"",'Document Workflow'!A4326,"")</f>
        <v/>
      </c>
    </row>
    <row r="4328" spans="1:1">
      <c r="A4328" s="7" t="str">
        <f>IF('Document Workflow'!A4327&lt;&gt;"",'Document Workflow'!A4327,"")</f>
        <v/>
      </c>
    </row>
    <row r="4329" spans="1:1">
      <c r="A4329" s="7" t="str">
        <f>IF('Document Workflow'!A4328&lt;&gt;"",'Document Workflow'!A4328,"")</f>
        <v/>
      </c>
    </row>
    <row r="4330" spans="1:1">
      <c r="A4330" s="7" t="str">
        <f>IF('Document Workflow'!A4329&lt;&gt;"",'Document Workflow'!A4329,"")</f>
        <v/>
      </c>
    </row>
    <row r="4331" spans="1:1">
      <c r="A4331" s="7" t="str">
        <f>IF('Document Workflow'!A4330&lt;&gt;"",'Document Workflow'!A4330,"")</f>
        <v/>
      </c>
    </row>
    <row r="4332" spans="1:1">
      <c r="A4332" s="7" t="str">
        <f>IF('Document Workflow'!A4331&lt;&gt;"",'Document Workflow'!A4331,"")</f>
        <v/>
      </c>
    </row>
    <row r="4333" spans="1:1">
      <c r="A4333" s="7" t="str">
        <f>IF('Document Workflow'!A4332&lt;&gt;"",'Document Workflow'!A4332,"")</f>
        <v/>
      </c>
    </row>
    <row r="4334" spans="1:1">
      <c r="A4334" s="7" t="str">
        <f>IF('Document Workflow'!A4333&lt;&gt;"",'Document Workflow'!A4333,"")</f>
        <v/>
      </c>
    </row>
    <row r="4335" spans="1:1">
      <c r="A4335" s="7" t="str">
        <f>IF('Document Workflow'!A4334&lt;&gt;"",'Document Workflow'!A4334,"")</f>
        <v/>
      </c>
    </row>
    <row r="4336" spans="1:1">
      <c r="A4336" s="7" t="str">
        <f>IF('Document Workflow'!A4335&lt;&gt;"",'Document Workflow'!A4335,"")</f>
        <v/>
      </c>
    </row>
    <row r="4337" spans="1:1">
      <c r="A4337" s="7" t="str">
        <f>IF('Document Workflow'!A4336&lt;&gt;"",'Document Workflow'!A4336,"")</f>
        <v/>
      </c>
    </row>
    <row r="4338" spans="1:1">
      <c r="A4338" s="7" t="str">
        <f>IF('Document Workflow'!A4337&lt;&gt;"",'Document Workflow'!A4337,"")</f>
        <v/>
      </c>
    </row>
    <row r="4339" spans="1:1">
      <c r="A4339" s="7" t="str">
        <f>IF('Document Workflow'!A4338&lt;&gt;"",'Document Workflow'!A4338,"")</f>
        <v/>
      </c>
    </row>
    <row r="4340" spans="1:1">
      <c r="A4340" s="7" t="str">
        <f>IF('Document Workflow'!A4339&lt;&gt;"",'Document Workflow'!A4339,"")</f>
        <v/>
      </c>
    </row>
    <row r="4341" spans="1:1">
      <c r="A4341" s="7" t="str">
        <f>IF('Document Workflow'!A4340&lt;&gt;"",'Document Workflow'!A4340,"")</f>
        <v/>
      </c>
    </row>
    <row r="4342" spans="1:1">
      <c r="A4342" s="7" t="str">
        <f>IF('Document Workflow'!A4341&lt;&gt;"",'Document Workflow'!A4341,"")</f>
        <v/>
      </c>
    </row>
    <row r="4343" spans="1:1">
      <c r="A4343" s="7" t="str">
        <f>IF('Document Workflow'!A4342&lt;&gt;"",'Document Workflow'!A4342,"")</f>
        <v/>
      </c>
    </row>
    <row r="4344" spans="1:1">
      <c r="A4344" s="7" t="str">
        <f>IF('Document Workflow'!A4343&lt;&gt;"",'Document Workflow'!A4343,"")</f>
        <v/>
      </c>
    </row>
    <row r="4345" spans="1:1">
      <c r="A4345" s="7" t="str">
        <f>IF('Document Workflow'!A4344&lt;&gt;"",'Document Workflow'!A4344,"")</f>
        <v/>
      </c>
    </row>
    <row r="4346" spans="1:1">
      <c r="A4346" s="7" t="str">
        <f>IF('Document Workflow'!A4345&lt;&gt;"",'Document Workflow'!A4345,"")</f>
        <v/>
      </c>
    </row>
    <row r="4347" spans="1:1">
      <c r="A4347" s="7" t="str">
        <f>IF('Document Workflow'!A4346&lt;&gt;"",'Document Workflow'!A4346,"")</f>
        <v/>
      </c>
    </row>
    <row r="4348" spans="1:1">
      <c r="A4348" s="7" t="str">
        <f>IF('Document Workflow'!A4347&lt;&gt;"",'Document Workflow'!A4347,"")</f>
        <v/>
      </c>
    </row>
    <row r="4349" spans="1:1">
      <c r="A4349" s="7" t="str">
        <f>IF('Document Workflow'!A4348&lt;&gt;"",'Document Workflow'!A4348,"")</f>
        <v/>
      </c>
    </row>
    <row r="4350" spans="1:1">
      <c r="A4350" s="7" t="str">
        <f>IF('Document Workflow'!A4349&lt;&gt;"",'Document Workflow'!A4349,"")</f>
        <v/>
      </c>
    </row>
    <row r="4351" spans="1:1">
      <c r="A4351" s="7" t="str">
        <f>IF('Document Workflow'!A4350&lt;&gt;"",'Document Workflow'!A4350,"")</f>
        <v/>
      </c>
    </row>
    <row r="4352" spans="1:1">
      <c r="A4352" s="7" t="str">
        <f>IF('Document Workflow'!A4351&lt;&gt;"",'Document Workflow'!A4351,"")</f>
        <v/>
      </c>
    </row>
    <row r="4353" spans="1:1">
      <c r="A4353" s="7" t="str">
        <f>IF('Document Workflow'!A4352&lt;&gt;"",'Document Workflow'!A4352,"")</f>
        <v/>
      </c>
    </row>
    <row r="4354" spans="1:1">
      <c r="A4354" s="7" t="str">
        <f>IF('Document Workflow'!A4353&lt;&gt;"",'Document Workflow'!A4353,"")</f>
        <v/>
      </c>
    </row>
    <row r="4355" spans="1:1">
      <c r="A4355" s="7" t="str">
        <f>IF('Document Workflow'!A4354&lt;&gt;"",'Document Workflow'!A4354,"")</f>
        <v/>
      </c>
    </row>
    <row r="4356" spans="1:1">
      <c r="A4356" s="7" t="str">
        <f>IF('Document Workflow'!A4355&lt;&gt;"",'Document Workflow'!A4355,"")</f>
        <v/>
      </c>
    </row>
    <row r="4357" spans="1:1">
      <c r="A4357" s="7" t="str">
        <f>IF('Document Workflow'!A4356&lt;&gt;"",'Document Workflow'!A4356,"")</f>
        <v/>
      </c>
    </row>
    <row r="4358" spans="1:1">
      <c r="A4358" s="7" t="str">
        <f>IF('Document Workflow'!A4357&lt;&gt;"",'Document Workflow'!A4357,"")</f>
        <v/>
      </c>
    </row>
    <row r="4359" spans="1:1">
      <c r="A4359" s="7" t="str">
        <f>IF('Document Workflow'!A4358&lt;&gt;"",'Document Workflow'!A4358,"")</f>
        <v/>
      </c>
    </row>
    <row r="4360" spans="1:1">
      <c r="A4360" s="7" t="str">
        <f>IF('Document Workflow'!A4359&lt;&gt;"",'Document Workflow'!A4359,"")</f>
        <v/>
      </c>
    </row>
    <row r="4361" spans="1:1">
      <c r="A4361" s="7" t="str">
        <f>IF('Document Workflow'!A4360&lt;&gt;"",'Document Workflow'!A4360,"")</f>
        <v/>
      </c>
    </row>
    <row r="4362" spans="1:1">
      <c r="A4362" s="7" t="str">
        <f>IF('Document Workflow'!A4361&lt;&gt;"",'Document Workflow'!A4361,"")</f>
        <v/>
      </c>
    </row>
    <row r="4363" spans="1:1">
      <c r="A4363" s="7" t="str">
        <f>IF('Document Workflow'!A4362&lt;&gt;"",'Document Workflow'!A4362,"")</f>
        <v/>
      </c>
    </row>
    <row r="4364" spans="1:1">
      <c r="A4364" s="7" t="str">
        <f>IF('Document Workflow'!A4363&lt;&gt;"",'Document Workflow'!A4363,"")</f>
        <v/>
      </c>
    </row>
    <row r="4365" spans="1:1">
      <c r="A4365" s="7" t="str">
        <f>IF('Document Workflow'!A4364&lt;&gt;"",'Document Workflow'!A4364,"")</f>
        <v/>
      </c>
    </row>
    <row r="4366" spans="1:1">
      <c r="A4366" s="7" t="str">
        <f>IF('Document Workflow'!A4365&lt;&gt;"",'Document Workflow'!A4365,"")</f>
        <v/>
      </c>
    </row>
    <row r="4367" spans="1:1">
      <c r="A4367" s="7" t="str">
        <f>IF('Document Workflow'!A4366&lt;&gt;"",'Document Workflow'!A4366,"")</f>
        <v/>
      </c>
    </row>
    <row r="4368" spans="1:1">
      <c r="A4368" s="7" t="str">
        <f>IF('Document Workflow'!A4367&lt;&gt;"",'Document Workflow'!A4367,"")</f>
        <v/>
      </c>
    </row>
    <row r="4369" spans="1:1">
      <c r="A4369" s="7" t="str">
        <f>IF('Document Workflow'!A4368&lt;&gt;"",'Document Workflow'!A4368,"")</f>
        <v/>
      </c>
    </row>
    <row r="4370" spans="1:1">
      <c r="A4370" s="7" t="str">
        <f>IF('Document Workflow'!A4369&lt;&gt;"",'Document Workflow'!A4369,"")</f>
        <v/>
      </c>
    </row>
    <row r="4371" spans="1:1">
      <c r="A4371" s="7" t="str">
        <f>IF('Document Workflow'!A4370&lt;&gt;"",'Document Workflow'!A4370,"")</f>
        <v/>
      </c>
    </row>
    <row r="4372" spans="1:1">
      <c r="A4372" s="7" t="str">
        <f>IF('Document Workflow'!A4371&lt;&gt;"",'Document Workflow'!A4371,"")</f>
        <v/>
      </c>
    </row>
    <row r="4373" spans="1:1">
      <c r="A4373" s="7" t="str">
        <f>IF('Document Workflow'!A4372&lt;&gt;"",'Document Workflow'!A4372,"")</f>
        <v/>
      </c>
    </row>
    <row r="4374" spans="1:1">
      <c r="A4374" s="7" t="str">
        <f>IF('Document Workflow'!A4373&lt;&gt;"",'Document Workflow'!A4373,"")</f>
        <v/>
      </c>
    </row>
    <row r="4375" spans="1:1">
      <c r="A4375" s="7" t="str">
        <f>IF('Document Workflow'!A4374&lt;&gt;"",'Document Workflow'!A4374,"")</f>
        <v/>
      </c>
    </row>
    <row r="4376" spans="1:1">
      <c r="A4376" s="7" t="str">
        <f>IF('Document Workflow'!A4375&lt;&gt;"",'Document Workflow'!A4375,"")</f>
        <v/>
      </c>
    </row>
    <row r="4377" spans="1:1">
      <c r="A4377" s="7" t="str">
        <f>IF('Document Workflow'!A4376&lt;&gt;"",'Document Workflow'!A4376,"")</f>
        <v/>
      </c>
    </row>
    <row r="4378" spans="1:1">
      <c r="A4378" s="7" t="str">
        <f>IF('Document Workflow'!A4377&lt;&gt;"",'Document Workflow'!A4377,"")</f>
        <v/>
      </c>
    </row>
    <row r="4379" spans="1:1">
      <c r="A4379" s="7" t="str">
        <f>IF('Document Workflow'!A4378&lt;&gt;"",'Document Workflow'!A4378,"")</f>
        <v/>
      </c>
    </row>
    <row r="4380" spans="1:1">
      <c r="A4380" s="7" t="str">
        <f>IF('Document Workflow'!A4379&lt;&gt;"",'Document Workflow'!A4379,"")</f>
        <v/>
      </c>
    </row>
    <row r="4381" spans="1:1">
      <c r="A4381" s="7" t="str">
        <f>IF('Document Workflow'!A4380&lt;&gt;"",'Document Workflow'!A4380,"")</f>
        <v/>
      </c>
    </row>
    <row r="4382" spans="1:1">
      <c r="A4382" s="7" t="str">
        <f>IF('Document Workflow'!A4381&lt;&gt;"",'Document Workflow'!A4381,"")</f>
        <v/>
      </c>
    </row>
    <row r="4383" spans="1:1">
      <c r="A4383" s="7" t="str">
        <f>IF('Document Workflow'!A4382&lt;&gt;"",'Document Workflow'!A4382,"")</f>
        <v/>
      </c>
    </row>
    <row r="4384" spans="1:1">
      <c r="A4384" s="7" t="str">
        <f>IF('Document Workflow'!A4383&lt;&gt;"",'Document Workflow'!A4383,"")</f>
        <v/>
      </c>
    </row>
    <row r="4385" spans="1:1">
      <c r="A4385" s="7" t="str">
        <f>IF('Document Workflow'!A4384&lt;&gt;"",'Document Workflow'!A4384,"")</f>
        <v/>
      </c>
    </row>
    <row r="4386" spans="1:1">
      <c r="A4386" s="7" t="str">
        <f>IF('Document Workflow'!A4385&lt;&gt;"",'Document Workflow'!A4385,"")</f>
        <v/>
      </c>
    </row>
    <row r="4387" spans="1:1">
      <c r="A4387" s="7" t="str">
        <f>IF('Document Workflow'!A4386&lt;&gt;"",'Document Workflow'!A4386,"")</f>
        <v/>
      </c>
    </row>
    <row r="4388" spans="1:1">
      <c r="A4388" s="7" t="str">
        <f>IF('Document Workflow'!A4387&lt;&gt;"",'Document Workflow'!A4387,"")</f>
        <v/>
      </c>
    </row>
    <row r="4389" spans="1:1">
      <c r="A4389" s="7" t="str">
        <f>IF('Document Workflow'!A4388&lt;&gt;"",'Document Workflow'!A4388,"")</f>
        <v/>
      </c>
    </row>
    <row r="4390" spans="1:1">
      <c r="A4390" s="7" t="str">
        <f>IF('Document Workflow'!A4389&lt;&gt;"",'Document Workflow'!A4389,"")</f>
        <v/>
      </c>
    </row>
    <row r="4391" spans="1:1">
      <c r="A4391" s="7" t="str">
        <f>IF('Document Workflow'!A4390&lt;&gt;"",'Document Workflow'!A4390,"")</f>
        <v/>
      </c>
    </row>
    <row r="4392" spans="1:1">
      <c r="A4392" s="7" t="str">
        <f>IF('Document Workflow'!A4391&lt;&gt;"",'Document Workflow'!A4391,"")</f>
        <v/>
      </c>
    </row>
    <row r="4393" spans="1:1">
      <c r="A4393" s="7" t="str">
        <f>IF('Document Workflow'!A4392&lt;&gt;"",'Document Workflow'!A4392,"")</f>
        <v/>
      </c>
    </row>
    <row r="4394" spans="1:1">
      <c r="A4394" s="7" t="str">
        <f>IF('Document Workflow'!A4393&lt;&gt;"",'Document Workflow'!A4393,"")</f>
        <v/>
      </c>
    </row>
    <row r="4395" spans="1:1">
      <c r="A4395" s="7" t="str">
        <f>IF('Document Workflow'!A4394&lt;&gt;"",'Document Workflow'!A4394,"")</f>
        <v/>
      </c>
    </row>
    <row r="4396" spans="1:1">
      <c r="A4396" s="7" t="str">
        <f>IF('Document Workflow'!A4395&lt;&gt;"",'Document Workflow'!A4395,"")</f>
        <v/>
      </c>
    </row>
    <row r="4397" spans="1:1">
      <c r="A4397" s="7" t="str">
        <f>IF('Document Workflow'!A4396&lt;&gt;"",'Document Workflow'!A4396,"")</f>
        <v/>
      </c>
    </row>
    <row r="4398" spans="1:1">
      <c r="A4398" s="7" t="str">
        <f>IF('Document Workflow'!A4397&lt;&gt;"",'Document Workflow'!A4397,"")</f>
        <v/>
      </c>
    </row>
    <row r="4399" spans="1:1">
      <c r="A4399" s="7" t="str">
        <f>IF('Document Workflow'!A4398&lt;&gt;"",'Document Workflow'!A4398,"")</f>
        <v/>
      </c>
    </row>
    <row r="4400" spans="1:1">
      <c r="A4400" s="7" t="str">
        <f>IF('Document Workflow'!A4399&lt;&gt;"",'Document Workflow'!A4399,"")</f>
        <v/>
      </c>
    </row>
    <row r="4401" spans="1:1">
      <c r="A4401" s="7" t="str">
        <f>IF('Document Workflow'!A4400&lt;&gt;"",'Document Workflow'!A4400,"")</f>
        <v/>
      </c>
    </row>
    <row r="4402" spans="1:1">
      <c r="A4402" s="7" t="str">
        <f>IF('Document Workflow'!A4401&lt;&gt;"",'Document Workflow'!A4401,"")</f>
        <v/>
      </c>
    </row>
    <row r="4403" spans="1:1">
      <c r="A4403" s="7" t="str">
        <f>IF('Document Workflow'!A4402&lt;&gt;"",'Document Workflow'!A4402,"")</f>
        <v/>
      </c>
    </row>
    <row r="4404" spans="1:1">
      <c r="A4404" s="7" t="str">
        <f>IF('Document Workflow'!A4403&lt;&gt;"",'Document Workflow'!A4403,"")</f>
        <v/>
      </c>
    </row>
    <row r="4405" spans="1:1">
      <c r="A4405" s="7" t="str">
        <f>IF('Document Workflow'!A4404&lt;&gt;"",'Document Workflow'!A4404,"")</f>
        <v/>
      </c>
    </row>
    <row r="4406" spans="1:1">
      <c r="A4406" s="7" t="str">
        <f>IF('Document Workflow'!A4405&lt;&gt;"",'Document Workflow'!A4405,"")</f>
        <v/>
      </c>
    </row>
    <row r="4407" spans="1:1">
      <c r="A4407" s="7" t="str">
        <f>IF('Document Workflow'!A4406&lt;&gt;"",'Document Workflow'!A4406,"")</f>
        <v/>
      </c>
    </row>
    <row r="4408" spans="1:1">
      <c r="A4408" s="7" t="str">
        <f>IF('Document Workflow'!A4407&lt;&gt;"",'Document Workflow'!A4407,"")</f>
        <v/>
      </c>
    </row>
    <row r="4409" spans="1:1">
      <c r="A4409" s="7" t="str">
        <f>IF('Document Workflow'!A4408&lt;&gt;"",'Document Workflow'!A4408,"")</f>
        <v/>
      </c>
    </row>
    <row r="4410" spans="1:1">
      <c r="A4410" s="7" t="str">
        <f>IF('Document Workflow'!A4409&lt;&gt;"",'Document Workflow'!A4409,"")</f>
        <v/>
      </c>
    </row>
    <row r="4411" spans="1:1">
      <c r="A4411" s="7" t="str">
        <f>IF('Document Workflow'!A4410&lt;&gt;"",'Document Workflow'!A4410,"")</f>
        <v/>
      </c>
    </row>
    <row r="4412" spans="1:1">
      <c r="A4412" s="7" t="str">
        <f>IF('Document Workflow'!A4411&lt;&gt;"",'Document Workflow'!A4411,"")</f>
        <v/>
      </c>
    </row>
    <row r="4413" spans="1:1">
      <c r="A4413" s="7" t="str">
        <f>IF('Document Workflow'!A4412&lt;&gt;"",'Document Workflow'!A4412,"")</f>
        <v/>
      </c>
    </row>
    <row r="4414" spans="1:1">
      <c r="A4414" s="7" t="str">
        <f>IF('Document Workflow'!A4413&lt;&gt;"",'Document Workflow'!A4413,"")</f>
        <v/>
      </c>
    </row>
    <row r="4415" spans="1:1">
      <c r="A4415" s="7" t="str">
        <f>IF('Document Workflow'!A4414&lt;&gt;"",'Document Workflow'!A4414,"")</f>
        <v/>
      </c>
    </row>
    <row r="4416" spans="1:1">
      <c r="A4416" s="7" t="str">
        <f>IF('Document Workflow'!A4415&lt;&gt;"",'Document Workflow'!A4415,"")</f>
        <v/>
      </c>
    </row>
    <row r="4417" spans="1:1">
      <c r="A4417" s="7" t="str">
        <f>IF('Document Workflow'!A4416&lt;&gt;"",'Document Workflow'!A4416,"")</f>
        <v/>
      </c>
    </row>
    <row r="4418" spans="1:1">
      <c r="A4418" s="7" t="str">
        <f>IF('Document Workflow'!A4417&lt;&gt;"",'Document Workflow'!A4417,"")</f>
        <v/>
      </c>
    </row>
    <row r="4419" spans="1:1">
      <c r="A4419" s="7" t="str">
        <f>IF('Document Workflow'!A4418&lt;&gt;"",'Document Workflow'!A4418,"")</f>
        <v/>
      </c>
    </row>
    <row r="4420" spans="1:1">
      <c r="A4420" s="7" t="str">
        <f>IF('Document Workflow'!A4419&lt;&gt;"",'Document Workflow'!A4419,"")</f>
        <v/>
      </c>
    </row>
    <row r="4421" spans="1:1">
      <c r="A4421" s="7" t="str">
        <f>IF('Document Workflow'!A4420&lt;&gt;"",'Document Workflow'!A4420,"")</f>
        <v/>
      </c>
    </row>
    <row r="4422" spans="1:1">
      <c r="A4422" s="7" t="str">
        <f>IF('Document Workflow'!A4421&lt;&gt;"",'Document Workflow'!A4421,"")</f>
        <v/>
      </c>
    </row>
    <row r="4423" spans="1:1">
      <c r="A4423" s="7" t="str">
        <f>IF('Document Workflow'!A4422&lt;&gt;"",'Document Workflow'!A4422,"")</f>
        <v/>
      </c>
    </row>
    <row r="4424" spans="1:1">
      <c r="A4424" s="7" t="str">
        <f>IF('Document Workflow'!A4423&lt;&gt;"",'Document Workflow'!A4423,"")</f>
        <v/>
      </c>
    </row>
    <row r="4425" spans="1:1">
      <c r="A4425" s="7" t="str">
        <f>IF('Document Workflow'!A4424&lt;&gt;"",'Document Workflow'!A4424,"")</f>
        <v/>
      </c>
    </row>
    <row r="4426" spans="1:1">
      <c r="A4426" s="7" t="str">
        <f>IF('Document Workflow'!A4425&lt;&gt;"",'Document Workflow'!A4425,"")</f>
        <v/>
      </c>
    </row>
    <row r="4427" spans="1:1">
      <c r="A4427" s="7" t="str">
        <f>IF('Document Workflow'!A4426&lt;&gt;"",'Document Workflow'!A4426,"")</f>
        <v/>
      </c>
    </row>
    <row r="4428" spans="1:1">
      <c r="A4428" s="7" t="str">
        <f>IF('Document Workflow'!A4427&lt;&gt;"",'Document Workflow'!A4427,"")</f>
        <v/>
      </c>
    </row>
    <row r="4429" spans="1:1">
      <c r="A4429" s="7" t="str">
        <f>IF('Document Workflow'!A4428&lt;&gt;"",'Document Workflow'!A4428,"")</f>
        <v/>
      </c>
    </row>
    <row r="4430" spans="1:1">
      <c r="A4430" s="7" t="str">
        <f>IF('Document Workflow'!A4429&lt;&gt;"",'Document Workflow'!A4429,"")</f>
        <v/>
      </c>
    </row>
    <row r="4431" spans="1:1">
      <c r="A4431" s="7" t="str">
        <f>IF('Document Workflow'!A4430&lt;&gt;"",'Document Workflow'!A4430,"")</f>
        <v/>
      </c>
    </row>
    <row r="4432" spans="1:1">
      <c r="A4432" s="7" t="str">
        <f>IF('Document Workflow'!A4431&lt;&gt;"",'Document Workflow'!A4431,"")</f>
        <v/>
      </c>
    </row>
    <row r="4433" spans="1:1">
      <c r="A4433" s="7" t="str">
        <f>IF('Document Workflow'!A4432&lt;&gt;"",'Document Workflow'!A4432,"")</f>
        <v/>
      </c>
    </row>
    <row r="4434" spans="1:1">
      <c r="A4434" s="7" t="str">
        <f>IF('Document Workflow'!A4433&lt;&gt;"",'Document Workflow'!A4433,"")</f>
        <v/>
      </c>
    </row>
    <row r="4435" spans="1:1">
      <c r="A4435" s="7" t="str">
        <f>IF('Document Workflow'!A4434&lt;&gt;"",'Document Workflow'!A4434,"")</f>
        <v/>
      </c>
    </row>
    <row r="4436" spans="1:1">
      <c r="A4436" s="7" t="str">
        <f>IF('Document Workflow'!A4435&lt;&gt;"",'Document Workflow'!A4435,"")</f>
        <v/>
      </c>
    </row>
    <row r="4437" spans="1:1">
      <c r="A4437" s="7" t="str">
        <f>IF('Document Workflow'!A4436&lt;&gt;"",'Document Workflow'!A4436,"")</f>
        <v/>
      </c>
    </row>
    <row r="4438" spans="1:1">
      <c r="A4438" s="7" t="str">
        <f>IF('Document Workflow'!A4437&lt;&gt;"",'Document Workflow'!A4437,"")</f>
        <v/>
      </c>
    </row>
    <row r="4439" spans="1:1">
      <c r="A4439" s="7" t="str">
        <f>IF('Document Workflow'!A4438&lt;&gt;"",'Document Workflow'!A4438,"")</f>
        <v/>
      </c>
    </row>
    <row r="4440" spans="1:1">
      <c r="A4440" s="7" t="str">
        <f>IF('Document Workflow'!A4439&lt;&gt;"",'Document Workflow'!A4439,"")</f>
        <v/>
      </c>
    </row>
    <row r="4441" spans="1:1">
      <c r="A4441" s="7" t="str">
        <f>IF('Document Workflow'!A4440&lt;&gt;"",'Document Workflow'!A4440,"")</f>
        <v/>
      </c>
    </row>
    <row r="4442" spans="1:1">
      <c r="A4442" s="7" t="str">
        <f>IF('Document Workflow'!A4441&lt;&gt;"",'Document Workflow'!A4441,"")</f>
        <v/>
      </c>
    </row>
    <row r="4443" spans="1:1">
      <c r="A4443" s="7" t="str">
        <f>IF('Document Workflow'!A4442&lt;&gt;"",'Document Workflow'!A4442,"")</f>
        <v/>
      </c>
    </row>
    <row r="4444" spans="1:1">
      <c r="A4444" s="7" t="str">
        <f>IF('Document Workflow'!A4443&lt;&gt;"",'Document Workflow'!A4443,"")</f>
        <v/>
      </c>
    </row>
    <row r="4445" spans="1:1">
      <c r="A4445" s="7" t="str">
        <f>IF('Document Workflow'!A4444&lt;&gt;"",'Document Workflow'!A4444,"")</f>
        <v/>
      </c>
    </row>
    <row r="4446" spans="1:1">
      <c r="A4446" s="7" t="str">
        <f>IF('Document Workflow'!A4445&lt;&gt;"",'Document Workflow'!A4445,"")</f>
        <v/>
      </c>
    </row>
    <row r="4447" spans="1:1">
      <c r="A4447" s="7" t="str">
        <f>IF('Document Workflow'!A4446&lt;&gt;"",'Document Workflow'!A4446,"")</f>
        <v/>
      </c>
    </row>
    <row r="4448" spans="1:1">
      <c r="A4448" s="7" t="str">
        <f>IF('Document Workflow'!A4447&lt;&gt;"",'Document Workflow'!A4447,"")</f>
        <v/>
      </c>
    </row>
    <row r="4449" spans="1:1">
      <c r="A4449" s="7" t="str">
        <f>IF('Document Workflow'!A4448&lt;&gt;"",'Document Workflow'!A4448,"")</f>
        <v/>
      </c>
    </row>
    <row r="4450" spans="1:1">
      <c r="A4450" s="7" t="str">
        <f>IF('Document Workflow'!A4449&lt;&gt;"",'Document Workflow'!A4449,"")</f>
        <v/>
      </c>
    </row>
    <row r="4451" spans="1:1">
      <c r="A4451" s="7" t="str">
        <f>IF('Document Workflow'!A4450&lt;&gt;"",'Document Workflow'!A4450,"")</f>
        <v/>
      </c>
    </row>
    <row r="4452" spans="1:1">
      <c r="A4452" s="7" t="str">
        <f>IF('Document Workflow'!A4451&lt;&gt;"",'Document Workflow'!A4451,"")</f>
        <v/>
      </c>
    </row>
    <row r="4453" spans="1:1">
      <c r="A4453" s="7" t="str">
        <f>IF('Document Workflow'!A4452&lt;&gt;"",'Document Workflow'!A4452,"")</f>
        <v/>
      </c>
    </row>
    <row r="4454" spans="1:1">
      <c r="A4454" s="7" t="str">
        <f>IF('Document Workflow'!A4453&lt;&gt;"",'Document Workflow'!A4453,"")</f>
        <v/>
      </c>
    </row>
    <row r="4455" spans="1:1">
      <c r="A4455" s="7" t="str">
        <f>IF('Document Workflow'!A4454&lt;&gt;"",'Document Workflow'!A4454,"")</f>
        <v/>
      </c>
    </row>
    <row r="4456" spans="1:1">
      <c r="A4456" s="7" t="str">
        <f>IF('Document Workflow'!A4455&lt;&gt;"",'Document Workflow'!A4455,"")</f>
        <v/>
      </c>
    </row>
    <row r="4457" spans="1:1">
      <c r="A4457" s="7" t="str">
        <f>IF('Document Workflow'!A4456&lt;&gt;"",'Document Workflow'!A4456,"")</f>
        <v/>
      </c>
    </row>
    <row r="4458" spans="1:1">
      <c r="A4458" s="7" t="str">
        <f>IF('Document Workflow'!A4457&lt;&gt;"",'Document Workflow'!A4457,"")</f>
        <v/>
      </c>
    </row>
    <row r="4459" spans="1:1">
      <c r="A4459" s="7" t="str">
        <f>IF('Document Workflow'!A4458&lt;&gt;"",'Document Workflow'!A4458,"")</f>
        <v/>
      </c>
    </row>
    <row r="4460" spans="1:1">
      <c r="A4460" s="7" t="str">
        <f>IF('Document Workflow'!A4459&lt;&gt;"",'Document Workflow'!A4459,"")</f>
        <v/>
      </c>
    </row>
    <row r="4461" spans="1:1">
      <c r="A4461" s="7" t="str">
        <f>IF('Document Workflow'!A4460&lt;&gt;"",'Document Workflow'!A4460,"")</f>
        <v/>
      </c>
    </row>
    <row r="4462" spans="1:1">
      <c r="A4462" s="7" t="str">
        <f>IF('Document Workflow'!A4461&lt;&gt;"",'Document Workflow'!A4461,"")</f>
        <v/>
      </c>
    </row>
    <row r="4463" spans="1:1">
      <c r="A4463" s="7" t="str">
        <f>IF('Document Workflow'!A4462&lt;&gt;"",'Document Workflow'!A4462,"")</f>
        <v/>
      </c>
    </row>
    <row r="4464" spans="1:1">
      <c r="A4464" s="7" t="str">
        <f>IF('Document Workflow'!A4463&lt;&gt;"",'Document Workflow'!A4463,"")</f>
        <v/>
      </c>
    </row>
    <row r="4465" spans="1:1">
      <c r="A4465" s="7" t="str">
        <f>IF('Document Workflow'!A4464&lt;&gt;"",'Document Workflow'!A4464,"")</f>
        <v/>
      </c>
    </row>
    <row r="4466" spans="1:1">
      <c r="A4466" s="7" t="str">
        <f>IF('Document Workflow'!A4465&lt;&gt;"",'Document Workflow'!A4465,"")</f>
        <v/>
      </c>
    </row>
    <row r="4467" spans="1:1">
      <c r="A4467" s="7" t="str">
        <f>IF('Document Workflow'!A4466&lt;&gt;"",'Document Workflow'!A4466,"")</f>
        <v/>
      </c>
    </row>
    <row r="4468" spans="1:1">
      <c r="A4468" s="7" t="str">
        <f>IF('Document Workflow'!A4467&lt;&gt;"",'Document Workflow'!A4467,"")</f>
        <v/>
      </c>
    </row>
    <row r="4469" spans="1:1">
      <c r="A4469" s="7" t="str">
        <f>IF('Document Workflow'!A4468&lt;&gt;"",'Document Workflow'!A4468,"")</f>
        <v/>
      </c>
    </row>
    <row r="4470" spans="1:1">
      <c r="A4470" s="7" t="str">
        <f>IF('Document Workflow'!A4469&lt;&gt;"",'Document Workflow'!A4469,"")</f>
        <v/>
      </c>
    </row>
    <row r="4471" spans="1:1">
      <c r="A4471" s="7" t="str">
        <f>IF('Document Workflow'!A4470&lt;&gt;"",'Document Workflow'!A4470,"")</f>
        <v/>
      </c>
    </row>
    <row r="4472" spans="1:1">
      <c r="A4472" s="7" t="str">
        <f>IF('Document Workflow'!A4471&lt;&gt;"",'Document Workflow'!A4471,"")</f>
        <v/>
      </c>
    </row>
    <row r="4473" spans="1:1">
      <c r="A4473" s="7" t="str">
        <f>IF('Document Workflow'!A4472&lt;&gt;"",'Document Workflow'!A4472,"")</f>
        <v/>
      </c>
    </row>
    <row r="4474" spans="1:1">
      <c r="A4474" s="7" t="str">
        <f>IF('Document Workflow'!A4473&lt;&gt;"",'Document Workflow'!A4473,"")</f>
        <v/>
      </c>
    </row>
    <row r="4475" spans="1:1">
      <c r="A4475" s="7" t="str">
        <f>IF('Document Workflow'!A4474&lt;&gt;"",'Document Workflow'!A4474,"")</f>
        <v/>
      </c>
    </row>
    <row r="4476" spans="1:1">
      <c r="A4476" s="7" t="str">
        <f>IF('Document Workflow'!A4475&lt;&gt;"",'Document Workflow'!A4475,"")</f>
        <v/>
      </c>
    </row>
    <row r="4477" spans="1:1">
      <c r="A4477" s="7" t="str">
        <f>IF('Document Workflow'!A4476&lt;&gt;"",'Document Workflow'!A4476,"")</f>
        <v/>
      </c>
    </row>
    <row r="4478" spans="1:1">
      <c r="A4478" s="7" t="str">
        <f>IF('Document Workflow'!A4477&lt;&gt;"",'Document Workflow'!A4477,"")</f>
        <v/>
      </c>
    </row>
    <row r="4479" spans="1:1">
      <c r="A4479" s="7" t="str">
        <f>IF('Document Workflow'!A4478&lt;&gt;"",'Document Workflow'!A4478,"")</f>
        <v/>
      </c>
    </row>
    <row r="4480" spans="1:1">
      <c r="A4480" s="7" t="str">
        <f>IF('Document Workflow'!A4479&lt;&gt;"",'Document Workflow'!A4479,"")</f>
        <v/>
      </c>
    </row>
    <row r="4481" spans="1:1">
      <c r="A4481" s="7" t="str">
        <f>IF('Document Workflow'!A4480&lt;&gt;"",'Document Workflow'!A4480,"")</f>
        <v/>
      </c>
    </row>
    <row r="4482" spans="1:1">
      <c r="A4482" s="7" t="str">
        <f>IF('Document Workflow'!A4481&lt;&gt;"",'Document Workflow'!A4481,"")</f>
        <v/>
      </c>
    </row>
    <row r="4483" spans="1:1">
      <c r="A4483" s="7" t="str">
        <f>IF('Document Workflow'!A4482&lt;&gt;"",'Document Workflow'!A4482,"")</f>
        <v/>
      </c>
    </row>
    <row r="4484" spans="1:1">
      <c r="A4484" s="7" t="str">
        <f>IF('Document Workflow'!A4483&lt;&gt;"",'Document Workflow'!A4483,"")</f>
        <v/>
      </c>
    </row>
    <row r="4485" spans="1:1">
      <c r="A4485" s="7" t="str">
        <f>IF('Document Workflow'!A4484&lt;&gt;"",'Document Workflow'!A4484,"")</f>
        <v/>
      </c>
    </row>
    <row r="4486" spans="1:1">
      <c r="A4486" s="7" t="str">
        <f>IF('Document Workflow'!A4485&lt;&gt;"",'Document Workflow'!A4485,"")</f>
        <v/>
      </c>
    </row>
    <row r="4487" spans="1:1">
      <c r="A4487" s="7" t="str">
        <f>IF('Document Workflow'!A4486&lt;&gt;"",'Document Workflow'!A4486,"")</f>
        <v/>
      </c>
    </row>
    <row r="4488" spans="1:1">
      <c r="A4488" s="7" t="str">
        <f>IF('Document Workflow'!A4487&lt;&gt;"",'Document Workflow'!A4487,"")</f>
        <v/>
      </c>
    </row>
    <row r="4489" spans="1:1">
      <c r="A4489" s="7" t="str">
        <f>IF('Document Workflow'!A4488&lt;&gt;"",'Document Workflow'!A4488,"")</f>
        <v/>
      </c>
    </row>
    <row r="4490" spans="1:1">
      <c r="A4490" s="7" t="str">
        <f>IF('Document Workflow'!A4489&lt;&gt;"",'Document Workflow'!A4489,"")</f>
        <v/>
      </c>
    </row>
    <row r="4491" spans="1:1">
      <c r="A4491" s="7" t="str">
        <f>IF('Document Workflow'!A4490&lt;&gt;"",'Document Workflow'!A4490,"")</f>
        <v/>
      </c>
    </row>
    <row r="4492" spans="1:1">
      <c r="A4492" s="7" t="str">
        <f>IF('Document Workflow'!A4491&lt;&gt;"",'Document Workflow'!A4491,"")</f>
        <v/>
      </c>
    </row>
    <row r="4493" spans="1:1">
      <c r="A4493" s="7" t="str">
        <f>IF('Document Workflow'!A4492&lt;&gt;"",'Document Workflow'!A4492,"")</f>
        <v/>
      </c>
    </row>
    <row r="4494" spans="1:1">
      <c r="A4494" s="7" t="str">
        <f>IF('Document Workflow'!A4493&lt;&gt;"",'Document Workflow'!A4493,"")</f>
        <v/>
      </c>
    </row>
    <row r="4495" spans="1:1">
      <c r="A4495" s="7" t="str">
        <f>IF('Document Workflow'!A4494&lt;&gt;"",'Document Workflow'!A4494,"")</f>
        <v/>
      </c>
    </row>
    <row r="4496" spans="1:1">
      <c r="A4496" s="7" t="str">
        <f>IF('Document Workflow'!A4495&lt;&gt;"",'Document Workflow'!A4495,"")</f>
        <v/>
      </c>
    </row>
    <row r="4497" spans="1:1">
      <c r="A4497" s="7" t="str">
        <f>IF('Document Workflow'!A4496&lt;&gt;"",'Document Workflow'!A4496,"")</f>
        <v/>
      </c>
    </row>
    <row r="4498" spans="1:1">
      <c r="A4498" s="7" t="str">
        <f>IF('Document Workflow'!A4497&lt;&gt;"",'Document Workflow'!A4497,"")</f>
        <v/>
      </c>
    </row>
    <row r="4499" spans="1:1">
      <c r="A4499" s="7" t="str">
        <f>IF('Document Workflow'!A4498&lt;&gt;"",'Document Workflow'!A4498,"")</f>
        <v/>
      </c>
    </row>
    <row r="4500" spans="1:1">
      <c r="A4500" s="7" t="str">
        <f>IF('Document Workflow'!A4499&lt;&gt;"",'Document Workflow'!A4499,"")</f>
        <v/>
      </c>
    </row>
    <row r="4501" spans="1:1">
      <c r="A4501" s="7" t="str">
        <f>IF('Document Workflow'!A4500&lt;&gt;"",'Document Workflow'!A4500,"")</f>
        <v/>
      </c>
    </row>
    <row r="4502" spans="1:1">
      <c r="A4502" s="7" t="str">
        <f>IF('Document Workflow'!A4501&lt;&gt;"",'Document Workflow'!A4501,"")</f>
        <v/>
      </c>
    </row>
    <row r="4503" spans="1:1">
      <c r="A4503" s="7" t="str">
        <f>IF('Document Workflow'!A4502&lt;&gt;"",'Document Workflow'!A4502,"")</f>
        <v/>
      </c>
    </row>
    <row r="4504" spans="1:1">
      <c r="A4504" s="7" t="str">
        <f>IF('Document Workflow'!A4503&lt;&gt;"",'Document Workflow'!A4503,"")</f>
        <v/>
      </c>
    </row>
    <row r="4505" spans="1:1">
      <c r="A4505" s="7" t="str">
        <f>IF('Document Workflow'!A4504&lt;&gt;"",'Document Workflow'!A4504,"")</f>
        <v/>
      </c>
    </row>
    <row r="4506" spans="1:1">
      <c r="A4506" s="7" t="str">
        <f>IF('Document Workflow'!A4505&lt;&gt;"",'Document Workflow'!A4505,"")</f>
        <v/>
      </c>
    </row>
    <row r="4507" spans="1:1">
      <c r="A4507" s="7" t="str">
        <f>IF('Document Workflow'!A4506&lt;&gt;"",'Document Workflow'!A4506,"")</f>
        <v/>
      </c>
    </row>
    <row r="4508" spans="1:1">
      <c r="A4508" s="7" t="str">
        <f>IF('Document Workflow'!A4507&lt;&gt;"",'Document Workflow'!A4507,"")</f>
        <v/>
      </c>
    </row>
    <row r="4509" spans="1:1">
      <c r="A4509" s="7" t="str">
        <f>IF('Document Workflow'!A4508&lt;&gt;"",'Document Workflow'!A4508,"")</f>
        <v/>
      </c>
    </row>
    <row r="4510" spans="1:1">
      <c r="A4510" s="7" t="str">
        <f>IF('Document Workflow'!A4509&lt;&gt;"",'Document Workflow'!A4509,"")</f>
        <v/>
      </c>
    </row>
    <row r="4511" spans="1:1">
      <c r="A4511" s="7" t="str">
        <f>IF('Document Workflow'!A4510&lt;&gt;"",'Document Workflow'!A4510,"")</f>
        <v/>
      </c>
    </row>
    <row r="4512" spans="1:1">
      <c r="A4512" s="7" t="str">
        <f>IF('Document Workflow'!A4511&lt;&gt;"",'Document Workflow'!A4511,"")</f>
        <v/>
      </c>
    </row>
    <row r="4513" spans="1:1">
      <c r="A4513" s="7" t="str">
        <f>IF('Document Workflow'!A4512&lt;&gt;"",'Document Workflow'!A4512,"")</f>
        <v/>
      </c>
    </row>
    <row r="4514" spans="1:1">
      <c r="A4514" s="7" t="str">
        <f>IF('Document Workflow'!A4513&lt;&gt;"",'Document Workflow'!A4513,"")</f>
        <v/>
      </c>
    </row>
    <row r="4515" spans="1:1">
      <c r="A4515" s="7" t="str">
        <f>IF('Document Workflow'!A4514&lt;&gt;"",'Document Workflow'!A4514,"")</f>
        <v/>
      </c>
    </row>
    <row r="4516" spans="1:1">
      <c r="A4516" s="7" t="str">
        <f>IF('Document Workflow'!A4515&lt;&gt;"",'Document Workflow'!A4515,"")</f>
        <v/>
      </c>
    </row>
    <row r="4517" spans="1:1">
      <c r="A4517" s="7" t="str">
        <f>IF('Document Workflow'!A4516&lt;&gt;"",'Document Workflow'!A4516,"")</f>
        <v/>
      </c>
    </row>
    <row r="4518" spans="1:1">
      <c r="A4518" s="7" t="str">
        <f>IF('Document Workflow'!A4517&lt;&gt;"",'Document Workflow'!A4517,"")</f>
        <v/>
      </c>
    </row>
    <row r="4519" spans="1:1">
      <c r="A4519" s="7" t="str">
        <f>IF('Document Workflow'!A4518&lt;&gt;"",'Document Workflow'!A4518,"")</f>
        <v/>
      </c>
    </row>
    <row r="4520" spans="1:1">
      <c r="A4520" s="7" t="str">
        <f>IF('Document Workflow'!A4519&lt;&gt;"",'Document Workflow'!A4519,"")</f>
        <v/>
      </c>
    </row>
    <row r="4521" spans="1:1">
      <c r="A4521" s="7" t="str">
        <f>IF('Document Workflow'!A4520&lt;&gt;"",'Document Workflow'!A4520,"")</f>
        <v/>
      </c>
    </row>
    <row r="4522" spans="1:1">
      <c r="A4522" s="7" t="str">
        <f>IF('Document Workflow'!A4521&lt;&gt;"",'Document Workflow'!A4521,"")</f>
        <v/>
      </c>
    </row>
    <row r="4523" spans="1:1">
      <c r="A4523" s="7" t="str">
        <f>IF('Document Workflow'!A4522&lt;&gt;"",'Document Workflow'!A4522,"")</f>
        <v/>
      </c>
    </row>
    <row r="4524" spans="1:1">
      <c r="A4524" s="7" t="str">
        <f>IF('Document Workflow'!A4523&lt;&gt;"",'Document Workflow'!A4523,"")</f>
        <v/>
      </c>
    </row>
    <row r="4525" spans="1:1">
      <c r="A4525" s="7" t="str">
        <f>IF('Document Workflow'!A4524&lt;&gt;"",'Document Workflow'!A4524,"")</f>
        <v/>
      </c>
    </row>
    <row r="4526" spans="1:1">
      <c r="A4526" s="7" t="str">
        <f>IF('Document Workflow'!A4525&lt;&gt;"",'Document Workflow'!A4525,"")</f>
        <v/>
      </c>
    </row>
    <row r="4527" spans="1:1">
      <c r="A4527" s="7" t="str">
        <f>IF('Document Workflow'!A4526&lt;&gt;"",'Document Workflow'!A4526,"")</f>
        <v/>
      </c>
    </row>
    <row r="4528" spans="1:1">
      <c r="A4528" s="7" t="str">
        <f>IF('Document Workflow'!A4527&lt;&gt;"",'Document Workflow'!A4527,"")</f>
        <v/>
      </c>
    </row>
    <row r="4529" spans="1:1">
      <c r="A4529" s="7" t="str">
        <f>IF('Document Workflow'!A4528&lt;&gt;"",'Document Workflow'!A4528,"")</f>
        <v/>
      </c>
    </row>
    <row r="4530" spans="1:1">
      <c r="A4530" s="7" t="str">
        <f>IF('Document Workflow'!A4529&lt;&gt;"",'Document Workflow'!A4529,"")</f>
        <v/>
      </c>
    </row>
    <row r="4531" spans="1:1">
      <c r="A4531" s="7" t="str">
        <f>IF('Document Workflow'!A4530&lt;&gt;"",'Document Workflow'!A4530,"")</f>
        <v/>
      </c>
    </row>
    <row r="4532" spans="1:1">
      <c r="A4532" s="7" t="str">
        <f>IF('Document Workflow'!A4531&lt;&gt;"",'Document Workflow'!A4531,"")</f>
        <v/>
      </c>
    </row>
    <row r="4533" spans="1:1">
      <c r="A4533" s="7" t="str">
        <f>IF('Document Workflow'!A4532&lt;&gt;"",'Document Workflow'!A4532,"")</f>
        <v/>
      </c>
    </row>
    <row r="4534" spans="1:1">
      <c r="A4534" s="7" t="str">
        <f>IF('Document Workflow'!A4533&lt;&gt;"",'Document Workflow'!A4533,"")</f>
        <v/>
      </c>
    </row>
    <row r="4535" spans="1:1">
      <c r="A4535" s="7" t="str">
        <f>IF('Document Workflow'!A4534&lt;&gt;"",'Document Workflow'!A4534,"")</f>
        <v/>
      </c>
    </row>
    <row r="4536" spans="1:1">
      <c r="A4536" s="7" t="str">
        <f>IF('Document Workflow'!A4535&lt;&gt;"",'Document Workflow'!A4535,"")</f>
        <v/>
      </c>
    </row>
    <row r="4537" spans="1:1">
      <c r="A4537" s="7" t="str">
        <f>IF('Document Workflow'!A4536&lt;&gt;"",'Document Workflow'!A4536,"")</f>
        <v/>
      </c>
    </row>
    <row r="4538" spans="1:1">
      <c r="A4538" s="7" t="str">
        <f>IF('Document Workflow'!A4537&lt;&gt;"",'Document Workflow'!A4537,"")</f>
        <v/>
      </c>
    </row>
    <row r="4539" spans="1:1">
      <c r="A4539" s="7" t="str">
        <f>IF('Document Workflow'!A4538&lt;&gt;"",'Document Workflow'!A4538,"")</f>
        <v/>
      </c>
    </row>
    <row r="4540" spans="1:1">
      <c r="A4540" s="7" t="str">
        <f>IF('Document Workflow'!A4539&lt;&gt;"",'Document Workflow'!A4539,"")</f>
        <v/>
      </c>
    </row>
    <row r="4541" spans="1:1">
      <c r="A4541" s="7" t="str">
        <f>IF('Document Workflow'!A4540&lt;&gt;"",'Document Workflow'!A4540,"")</f>
        <v/>
      </c>
    </row>
    <row r="4542" spans="1:1">
      <c r="A4542" s="7" t="str">
        <f>IF('Document Workflow'!A4541&lt;&gt;"",'Document Workflow'!A4541,"")</f>
        <v/>
      </c>
    </row>
    <row r="4543" spans="1:1">
      <c r="A4543" s="7" t="str">
        <f>IF('Document Workflow'!A4542&lt;&gt;"",'Document Workflow'!A4542,"")</f>
        <v/>
      </c>
    </row>
    <row r="4544" spans="1:1">
      <c r="A4544" s="7" t="str">
        <f>IF('Document Workflow'!A4543&lt;&gt;"",'Document Workflow'!A4543,"")</f>
        <v/>
      </c>
    </row>
    <row r="4545" spans="1:1">
      <c r="A4545" s="7" t="str">
        <f>IF('Document Workflow'!A4544&lt;&gt;"",'Document Workflow'!A4544,"")</f>
        <v/>
      </c>
    </row>
    <row r="4546" spans="1:1">
      <c r="A4546" s="7" t="str">
        <f>IF('Document Workflow'!A4545&lt;&gt;"",'Document Workflow'!A4545,"")</f>
        <v/>
      </c>
    </row>
    <row r="4547" spans="1:1">
      <c r="A4547" s="7" t="str">
        <f>IF('Document Workflow'!A4546&lt;&gt;"",'Document Workflow'!A4546,"")</f>
        <v/>
      </c>
    </row>
    <row r="4548" spans="1:1">
      <c r="A4548" s="7" t="str">
        <f>IF('Document Workflow'!A4547&lt;&gt;"",'Document Workflow'!A4547,"")</f>
        <v/>
      </c>
    </row>
    <row r="4549" spans="1:1">
      <c r="A4549" s="7" t="str">
        <f>IF('Document Workflow'!A4548&lt;&gt;"",'Document Workflow'!A4548,"")</f>
        <v/>
      </c>
    </row>
    <row r="4550" spans="1:1">
      <c r="A4550" s="7" t="str">
        <f>IF('Document Workflow'!A4549&lt;&gt;"",'Document Workflow'!A4549,"")</f>
        <v/>
      </c>
    </row>
    <row r="4551" spans="1:1">
      <c r="A4551" s="7" t="str">
        <f>IF('Document Workflow'!A4550&lt;&gt;"",'Document Workflow'!A4550,"")</f>
        <v/>
      </c>
    </row>
    <row r="4552" spans="1:1">
      <c r="A4552" s="7" t="str">
        <f>IF('Document Workflow'!A4551&lt;&gt;"",'Document Workflow'!A4551,"")</f>
        <v/>
      </c>
    </row>
    <row r="4553" spans="1:1">
      <c r="A4553" s="7" t="str">
        <f>IF('Document Workflow'!A4552&lt;&gt;"",'Document Workflow'!A4552,"")</f>
        <v/>
      </c>
    </row>
    <row r="4554" spans="1:1">
      <c r="A4554" s="7" t="str">
        <f>IF('Document Workflow'!A4553&lt;&gt;"",'Document Workflow'!A4553,"")</f>
        <v/>
      </c>
    </row>
    <row r="4555" spans="1:1">
      <c r="A4555" s="7" t="str">
        <f>IF('Document Workflow'!A4554&lt;&gt;"",'Document Workflow'!A4554,"")</f>
        <v/>
      </c>
    </row>
    <row r="4556" spans="1:1">
      <c r="A4556" s="7" t="str">
        <f>IF('Document Workflow'!A4555&lt;&gt;"",'Document Workflow'!A4555,"")</f>
        <v/>
      </c>
    </row>
    <row r="4557" spans="1:1">
      <c r="A4557" s="7" t="str">
        <f>IF('Document Workflow'!A4556&lt;&gt;"",'Document Workflow'!A4556,"")</f>
        <v/>
      </c>
    </row>
    <row r="4558" spans="1:1">
      <c r="A4558" s="7" t="str">
        <f>IF('Document Workflow'!A4557&lt;&gt;"",'Document Workflow'!A4557,"")</f>
        <v/>
      </c>
    </row>
    <row r="4559" spans="1:1">
      <c r="A4559" s="7" t="str">
        <f>IF('Document Workflow'!A4558&lt;&gt;"",'Document Workflow'!A4558,"")</f>
        <v/>
      </c>
    </row>
    <row r="4560" spans="1:1">
      <c r="A4560" s="7" t="str">
        <f>IF('Document Workflow'!A4559&lt;&gt;"",'Document Workflow'!A4559,"")</f>
        <v/>
      </c>
    </row>
    <row r="4561" spans="1:1">
      <c r="A4561" s="7" t="str">
        <f>IF('Document Workflow'!A4560&lt;&gt;"",'Document Workflow'!A4560,"")</f>
        <v/>
      </c>
    </row>
    <row r="4562" spans="1:1">
      <c r="A4562" s="7" t="str">
        <f>IF('Document Workflow'!A4561&lt;&gt;"",'Document Workflow'!A4561,"")</f>
        <v/>
      </c>
    </row>
    <row r="4563" spans="1:1">
      <c r="A4563" s="7" t="str">
        <f>IF('Document Workflow'!A4562&lt;&gt;"",'Document Workflow'!A4562,"")</f>
        <v/>
      </c>
    </row>
    <row r="4564" spans="1:1">
      <c r="A4564" s="7" t="str">
        <f>IF('Document Workflow'!A4563&lt;&gt;"",'Document Workflow'!A4563,"")</f>
        <v/>
      </c>
    </row>
    <row r="4565" spans="1:1">
      <c r="A4565" s="7" t="str">
        <f>IF('Document Workflow'!A4564&lt;&gt;"",'Document Workflow'!A4564,"")</f>
        <v/>
      </c>
    </row>
    <row r="4566" spans="1:1">
      <c r="A4566" s="7" t="str">
        <f>IF('Document Workflow'!A4565&lt;&gt;"",'Document Workflow'!A4565,"")</f>
        <v/>
      </c>
    </row>
    <row r="4567" spans="1:1">
      <c r="A4567" s="7" t="str">
        <f>IF('Document Workflow'!A4566&lt;&gt;"",'Document Workflow'!A4566,"")</f>
        <v/>
      </c>
    </row>
    <row r="4568" spans="1:1">
      <c r="A4568" s="7" t="str">
        <f>IF('Document Workflow'!A4567&lt;&gt;"",'Document Workflow'!A4567,"")</f>
        <v/>
      </c>
    </row>
    <row r="4569" spans="1:1">
      <c r="A4569" s="7" t="str">
        <f>IF('Document Workflow'!A4568&lt;&gt;"",'Document Workflow'!A4568,"")</f>
        <v/>
      </c>
    </row>
    <row r="4570" spans="1:1">
      <c r="A4570" s="7" t="str">
        <f>IF('Document Workflow'!A4569&lt;&gt;"",'Document Workflow'!A4569,"")</f>
        <v/>
      </c>
    </row>
    <row r="4571" spans="1:1">
      <c r="A4571" s="7" t="str">
        <f>IF('Document Workflow'!A4570&lt;&gt;"",'Document Workflow'!A4570,"")</f>
        <v/>
      </c>
    </row>
    <row r="4572" spans="1:1">
      <c r="A4572" s="7" t="str">
        <f>IF('Document Workflow'!A4571&lt;&gt;"",'Document Workflow'!A4571,"")</f>
        <v/>
      </c>
    </row>
    <row r="4573" spans="1:1">
      <c r="A4573" s="7" t="str">
        <f>IF('Document Workflow'!A4572&lt;&gt;"",'Document Workflow'!A4572,"")</f>
        <v/>
      </c>
    </row>
    <row r="4574" spans="1:1">
      <c r="A4574" s="7" t="str">
        <f>IF('Document Workflow'!A4573&lt;&gt;"",'Document Workflow'!A4573,"")</f>
        <v/>
      </c>
    </row>
    <row r="4575" spans="1:1">
      <c r="A4575" s="7" t="str">
        <f>IF('Document Workflow'!A4574&lt;&gt;"",'Document Workflow'!A4574,"")</f>
        <v/>
      </c>
    </row>
    <row r="4576" spans="1:1">
      <c r="A4576" s="7" t="str">
        <f>IF('Document Workflow'!A4575&lt;&gt;"",'Document Workflow'!A4575,"")</f>
        <v/>
      </c>
    </row>
    <row r="4577" spans="1:1">
      <c r="A4577" s="7" t="str">
        <f>IF('Document Workflow'!A4576&lt;&gt;"",'Document Workflow'!A4576,"")</f>
        <v/>
      </c>
    </row>
    <row r="4578" spans="1:1">
      <c r="A4578" s="7" t="str">
        <f>IF('Document Workflow'!A4577&lt;&gt;"",'Document Workflow'!A4577,"")</f>
        <v/>
      </c>
    </row>
    <row r="4579" spans="1:1">
      <c r="A4579" s="7" t="str">
        <f>IF('Document Workflow'!A4578&lt;&gt;"",'Document Workflow'!A4578,"")</f>
        <v/>
      </c>
    </row>
    <row r="4580" spans="1:1">
      <c r="A4580" s="7" t="str">
        <f>IF('Document Workflow'!A4579&lt;&gt;"",'Document Workflow'!A4579,"")</f>
        <v/>
      </c>
    </row>
    <row r="4581" spans="1:1">
      <c r="A4581" s="7" t="str">
        <f>IF('Document Workflow'!A4580&lt;&gt;"",'Document Workflow'!A4580,"")</f>
        <v/>
      </c>
    </row>
    <row r="4582" spans="1:1">
      <c r="A4582" s="7" t="str">
        <f>IF('Document Workflow'!A4581&lt;&gt;"",'Document Workflow'!A4581,"")</f>
        <v/>
      </c>
    </row>
    <row r="4583" spans="1:1">
      <c r="A4583" s="7" t="str">
        <f>IF('Document Workflow'!A4582&lt;&gt;"",'Document Workflow'!A4582,"")</f>
        <v/>
      </c>
    </row>
    <row r="4584" spans="1:1">
      <c r="A4584" s="7" t="str">
        <f>IF('Document Workflow'!A4583&lt;&gt;"",'Document Workflow'!A4583,"")</f>
        <v/>
      </c>
    </row>
    <row r="4585" spans="1:1">
      <c r="A4585" s="7" t="str">
        <f>IF('Document Workflow'!A4584&lt;&gt;"",'Document Workflow'!A4584,"")</f>
        <v/>
      </c>
    </row>
    <row r="4586" spans="1:1">
      <c r="A4586" s="7" t="str">
        <f>IF('Document Workflow'!A4585&lt;&gt;"",'Document Workflow'!A4585,"")</f>
        <v/>
      </c>
    </row>
    <row r="4587" spans="1:1">
      <c r="A4587" s="7" t="str">
        <f>IF('Document Workflow'!A4586&lt;&gt;"",'Document Workflow'!A4586,"")</f>
        <v/>
      </c>
    </row>
    <row r="4588" spans="1:1">
      <c r="A4588" s="7" t="str">
        <f>IF('Document Workflow'!A4587&lt;&gt;"",'Document Workflow'!A4587,"")</f>
        <v/>
      </c>
    </row>
    <row r="4589" spans="1:1">
      <c r="A4589" s="7" t="str">
        <f>IF('Document Workflow'!A4588&lt;&gt;"",'Document Workflow'!A4588,"")</f>
        <v/>
      </c>
    </row>
    <row r="4590" spans="1:1">
      <c r="A4590" s="7" t="str">
        <f>IF('Document Workflow'!A4589&lt;&gt;"",'Document Workflow'!A4589,"")</f>
        <v/>
      </c>
    </row>
    <row r="4591" spans="1:1">
      <c r="A4591" s="7" t="str">
        <f>IF('Document Workflow'!A4590&lt;&gt;"",'Document Workflow'!A4590,"")</f>
        <v/>
      </c>
    </row>
    <row r="4592" spans="1:1">
      <c r="A4592" s="7" t="str">
        <f>IF('Document Workflow'!A4591&lt;&gt;"",'Document Workflow'!A4591,"")</f>
        <v/>
      </c>
    </row>
    <row r="4593" spans="1:1">
      <c r="A4593" s="7" t="str">
        <f>IF('Document Workflow'!A4592&lt;&gt;"",'Document Workflow'!A4592,"")</f>
        <v/>
      </c>
    </row>
    <row r="4594" spans="1:1">
      <c r="A4594" s="7" t="str">
        <f>IF('Document Workflow'!A4593&lt;&gt;"",'Document Workflow'!A4593,"")</f>
        <v/>
      </c>
    </row>
    <row r="4595" spans="1:1">
      <c r="A4595" s="7" t="str">
        <f>IF('Document Workflow'!A4594&lt;&gt;"",'Document Workflow'!A4594,"")</f>
        <v/>
      </c>
    </row>
    <row r="4596" spans="1:1">
      <c r="A4596" s="7" t="str">
        <f>IF('Document Workflow'!A4595&lt;&gt;"",'Document Workflow'!A4595,"")</f>
        <v/>
      </c>
    </row>
    <row r="4597" spans="1:1">
      <c r="A4597" s="7" t="str">
        <f>IF('Document Workflow'!A4596&lt;&gt;"",'Document Workflow'!A4596,"")</f>
        <v/>
      </c>
    </row>
    <row r="4598" spans="1:1">
      <c r="A4598" s="7" t="str">
        <f>IF('Document Workflow'!A4597&lt;&gt;"",'Document Workflow'!A4597,"")</f>
        <v/>
      </c>
    </row>
    <row r="4599" spans="1:1">
      <c r="A4599" s="7" t="str">
        <f>IF('Document Workflow'!A4598&lt;&gt;"",'Document Workflow'!A4598,"")</f>
        <v/>
      </c>
    </row>
    <row r="4600" spans="1:1">
      <c r="A4600" s="7" t="str">
        <f>IF('Document Workflow'!A4599&lt;&gt;"",'Document Workflow'!A4599,"")</f>
        <v/>
      </c>
    </row>
    <row r="4601" spans="1:1">
      <c r="A4601" s="7" t="str">
        <f>IF('Document Workflow'!A4600&lt;&gt;"",'Document Workflow'!A4600,"")</f>
        <v/>
      </c>
    </row>
    <row r="4602" spans="1:1">
      <c r="A4602" s="7" t="str">
        <f>IF('Document Workflow'!A4601&lt;&gt;"",'Document Workflow'!A4601,"")</f>
        <v/>
      </c>
    </row>
    <row r="4603" spans="1:1">
      <c r="A4603" s="7" t="str">
        <f>IF('Document Workflow'!A4602&lt;&gt;"",'Document Workflow'!A4602,"")</f>
        <v/>
      </c>
    </row>
    <row r="4604" spans="1:1">
      <c r="A4604" s="7" t="str">
        <f>IF('Document Workflow'!A4603&lt;&gt;"",'Document Workflow'!A4603,"")</f>
        <v/>
      </c>
    </row>
    <row r="4605" spans="1:1">
      <c r="A4605" s="7" t="str">
        <f>IF('Document Workflow'!A4604&lt;&gt;"",'Document Workflow'!A4604,"")</f>
        <v/>
      </c>
    </row>
    <row r="4606" spans="1:1">
      <c r="A4606" s="7" t="str">
        <f>IF('Document Workflow'!A4605&lt;&gt;"",'Document Workflow'!A4605,"")</f>
        <v/>
      </c>
    </row>
    <row r="4607" spans="1:1">
      <c r="A4607" s="7" t="str">
        <f>IF('Document Workflow'!A4606&lt;&gt;"",'Document Workflow'!A4606,"")</f>
        <v/>
      </c>
    </row>
    <row r="4608" spans="1:1">
      <c r="A4608" s="7" t="str">
        <f>IF('Document Workflow'!A4607&lt;&gt;"",'Document Workflow'!A4607,"")</f>
        <v/>
      </c>
    </row>
    <row r="4609" spans="1:1">
      <c r="A4609" s="7" t="str">
        <f>IF('Document Workflow'!A4608&lt;&gt;"",'Document Workflow'!A4608,"")</f>
        <v/>
      </c>
    </row>
    <row r="4610" spans="1:1">
      <c r="A4610" s="7" t="str">
        <f>IF('Document Workflow'!A4609&lt;&gt;"",'Document Workflow'!A4609,"")</f>
        <v/>
      </c>
    </row>
    <row r="4611" spans="1:1">
      <c r="A4611" s="7" t="str">
        <f>IF('Document Workflow'!A4610&lt;&gt;"",'Document Workflow'!A4610,"")</f>
        <v/>
      </c>
    </row>
    <row r="4612" spans="1:1">
      <c r="A4612" s="7" t="str">
        <f>IF('Document Workflow'!A4611&lt;&gt;"",'Document Workflow'!A4611,"")</f>
        <v/>
      </c>
    </row>
    <row r="4613" spans="1:1">
      <c r="A4613" s="7" t="str">
        <f>IF('Document Workflow'!A4612&lt;&gt;"",'Document Workflow'!A4612,"")</f>
        <v/>
      </c>
    </row>
    <row r="4614" spans="1:1">
      <c r="A4614" s="7" t="str">
        <f>IF('Document Workflow'!A4613&lt;&gt;"",'Document Workflow'!A4613,"")</f>
        <v/>
      </c>
    </row>
    <row r="4615" spans="1:1">
      <c r="A4615" s="7" t="str">
        <f>IF('Document Workflow'!A4614&lt;&gt;"",'Document Workflow'!A4614,"")</f>
        <v/>
      </c>
    </row>
    <row r="4616" spans="1:1">
      <c r="A4616" s="7" t="str">
        <f>IF('Document Workflow'!A4615&lt;&gt;"",'Document Workflow'!A4615,"")</f>
        <v/>
      </c>
    </row>
    <row r="4617" spans="1:1">
      <c r="A4617" s="7" t="str">
        <f>IF('Document Workflow'!A4616&lt;&gt;"",'Document Workflow'!A4616,"")</f>
        <v/>
      </c>
    </row>
    <row r="4618" spans="1:1">
      <c r="A4618" s="7" t="str">
        <f>IF('Document Workflow'!A4617&lt;&gt;"",'Document Workflow'!A4617,"")</f>
        <v/>
      </c>
    </row>
    <row r="4619" spans="1:1">
      <c r="A4619" s="7" t="str">
        <f>IF('Document Workflow'!A4618&lt;&gt;"",'Document Workflow'!A4618,"")</f>
        <v/>
      </c>
    </row>
    <row r="4620" spans="1:1">
      <c r="A4620" s="7" t="str">
        <f>IF('Document Workflow'!A4619&lt;&gt;"",'Document Workflow'!A4619,"")</f>
        <v/>
      </c>
    </row>
    <row r="4621" spans="1:1">
      <c r="A4621" s="7" t="str">
        <f>IF('Document Workflow'!A4620&lt;&gt;"",'Document Workflow'!A4620,"")</f>
        <v/>
      </c>
    </row>
    <row r="4622" spans="1:1">
      <c r="A4622" s="7" t="str">
        <f>IF('Document Workflow'!A4621&lt;&gt;"",'Document Workflow'!A4621,"")</f>
        <v/>
      </c>
    </row>
    <row r="4623" spans="1:1">
      <c r="A4623" s="7" t="str">
        <f>IF('Document Workflow'!A4622&lt;&gt;"",'Document Workflow'!A4622,"")</f>
        <v/>
      </c>
    </row>
    <row r="4624" spans="1:1">
      <c r="A4624" s="7" t="str">
        <f>IF('Document Workflow'!A4623&lt;&gt;"",'Document Workflow'!A4623,"")</f>
        <v/>
      </c>
    </row>
    <row r="4625" spans="1:1">
      <c r="A4625" s="7" t="str">
        <f>IF('Document Workflow'!A4624&lt;&gt;"",'Document Workflow'!A4624,"")</f>
        <v/>
      </c>
    </row>
    <row r="4626" spans="1:1">
      <c r="A4626" s="7" t="str">
        <f>IF('Document Workflow'!A4625&lt;&gt;"",'Document Workflow'!A4625,"")</f>
        <v/>
      </c>
    </row>
    <row r="4627" spans="1:1">
      <c r="A4627" s="7" t="str">
        <f>IF('Document Workflow'!A4626&lt;&gt;"",'Document Workflow'!A4626,"")</f>
        <v/>
      </c>
    </row>
    <row r="4628" spans="1:1">
      <c r="A4628" s="7" t="str">
        <f>IF('Document Workflow'!A4627&lt;&gt;"",'Document Workflow'!A4627,"")</f>
        <v/>
      </c>
    </row>
    <row r="4629" spans="1:1">
      <c r="A4629" s="7" t="str">
        <f>IF('Document Workflow'!A4628&lt;&gt;"",'Document Workflow'!A4628,"")</f>
        <v/>
      </c>
    </row>
    <row r="4630" spans="1:1">
      <c r="A4630" s="7" t="str">
        <f>IF('Document Workflow'!A4629&lt;&gt;"",'Document Workflow'!A4629,"")</f>
        <v/>
      </c>
    </row>
    <row r="4631" spans="1:1">
      <c r="A4631" s="7" t="str">
        <f>IF('Document Workflow'!A4630&lt;&gt;"",'Document Workflow'!A4630,"")</f>
        <v/>
      </c>
    </row>
    <row r="4632" spans="1:1">
      <c r="A4632" s="7" t="str">
        <f>IF('Document Workflow'!A4631&lt;&gt;"",'Document Workflow'!A4631,"")</f>
        <v/>
      </c>
    </row>
    <row r="4633" spans="1:1">
      <c r="A4633" s="7" t="str">
        <f>IF('Document Workflow'!A4632&lt;&gt;"",'Document Workflow'!A4632,"")</f>
        <v/>
      </c>
    </row>
    <row r="4634" spans="1:1">
      <c r="A4634" s="7" t="str">
        <f>IF('Document Workflow'!A4633&lt;&gt;"",'Document Workflow'!A4633,"")</f>
        <v/>
      </c>
    </row>
    <row r="4635" spans="1:1">
      <c r="A4635" s="7" t="str">
        <f>IF('Document Workflow'!A4634&lt;&gt;"",'Document Workflow'!A4634,"")</f>
        <v/>
      </c>
    </row>
    <row r="4636" spans="1:1">
      <c r="A4636" s="7" t="str">
        <f>IF('Document Workflow'!A4635&lt;&gt;"",'Document Workflow'!A4635,"")</f>
        <v/>
      </c>
    </row>
    <row r="4637" spans="1:1">
      <c r="A4637" s="7" t="str">
        <f>IF('Document Workflow'!A4636&lt;&gt;"",'Document Workflow'!A4636,"")</f>
        <v/>
      </c>
    </row>
    <row r="4638" spans="1:1">
      <c r="A4638" s="7" t="str">
        <f>IF('Document Workflow'!A4637&lt;&gt;"",'Document Workflow'!A4637,"")</f>
        <v/>
      </c>
    </row>
    <row r="4639" spans="1:1">
      <c r="A4639" s="7" t="str">
        <f>IF('Document Workflow'!A4638&lt;&gt;"",'Document Workflow'!A4638,"")</f>
        <v/>
      </c>
    </row>
    <row r="4640" spans="1:1">
      <c r="A4640" s="7" t="str">
        <f>IF('Document Workflow'!A4639&lt;&gt;"",'Document Workflow'!A4639,"")</f>
        <v/>
      </c>
    </row>
    <row r="4641" spans="1:1">
      <c r="A4641" s="7" t="str">
        <f>IF('Document Workflow'!A4640&lt;&gt;"",'Document Workflow'!A4640,"")</f>
        <v/>
      </c>
    </row>
    <row r="4642" spans="1:1">
      <c r="A4642" s="7" t="str">
        <f>IF('Document Workflow'!A4641&lt;&gt;"",'Document Workflow'!A4641,"")</f>
        <v/>
      </c>
    </row>
    <row r="4643" spans="1:1">
      <c r="A4643" s="7" t="str">
        <f>IF('Document Workflow'!A4642&lt;&gt;"",'Document Workflow'!A4642,"")</f>
        <v/>
      </c>
    </row>
    <row r="4644" spans="1:1">
      <c r="A4644" s="7" t="str">
        <f>IF('Document Workflow'!A4643&lt;&gt;"",'Document Workflow'!A4643,"")</f>
        <v/>
      </c>
    </row>
    <row r="4645" spans="1:1">
      <c r="A4645" s="7" t="str">
        <f>IF('Document Workflow'!A4644&lt;&gt;"",'Document Workflow'!A4644,"")</f>
        <v/>
      </c>
    </row>
    <row r="4646" spans="1:1">
      <c r="A4646" s="7" t="str">
        <f>IF('Document Workflow'!A4645&lt;&gt;"",'Document Workflow'!A4645,"")</f>
        <v/>
      </c>
    </row>
    <row r="4647" spans="1:1">
      <c r="A4647" s="7" t="str">
        <f>IF('Document Workflow'!A4646&lt;&gt;"",'Document Workflow'!A4646,"")</f>
        <v/>
      </c>
    </row>
    <row r="4648" spans="1:1">
      <c r="A4648" s="7" t="str">
        <f>IF('Document Workflow'!A4647&lt;&gt;"",'Document Workflow'!A4647,"")</f>
        <v/>
      </c>
    </row>
    <row r="4649" spans="1:1">
      <c r="A4649" s="7" t="str">
        <f>IF('Document Workflow'!A4648&lt;&gt;"",'Document Workflow'!A4648,"")</f>
        <v/>
      </c>
    </row>
    <row r="4650" spans="1:1">
      <c r="A4650" s="7" t="str">
        <f>IF('Document Workflow'!A4649&lt;&gt;"",'Document Workflow'!A4649,"")</f>
        <v/>
      </c>
    </row>
    <row r="4651" spans="1:1">
      <c r="A4651" s="7" t="str">
        <f>IF('Document Workflow'!A4650&lt;&gt;"",'Document Workflow'!A4650,"")</f>
        <v/>
      </c>
    </row>
    <row r="4652" spans="1:1">
      <c r="A4652" s="7" t="str">
        <f>IF('Document Workflow'!A4651&lt;&gt;"",'Document Workflow'!A4651,"")</f>
        <v/>
      </c>
    </row>
    <row r="4653" spans="1:1">
      <c r="A4653" s="7" t="str">
        <f>IF('Document Workflow'!A4652&lt;&gt;"",'Document Workflow'!A4652,"")</f>
        <v/>
      </c>
    </row>
    <row r="4654" spans="1:1">
      <c r="A4654" s="7" t="str">
        <f>IF('Document Workflow'!A4653&lt;&gt;"",'Document Workflow'!A4653,"")</f>
        <v/>
      </c>
    </row>
    <row r="4655" spans="1:1">
      <c r="A4655" s="7" t="str">
        <f>IF('Document Workflow'!A4654&lt;&gt;"",'Document Workflow'!A4654,"")</f>
        <v/>
      </c>
    </row>
    <row r="4656" spans="1:1">
      <c r="A4656" s="7" t="str">
        <f>IF('Document Workflow'!A4655&lt;&gt;"",'Document Workflow'!A4655,"")</f>
        <v/>
      </c>
    </row>
    <row r="4657" spans="1:1">
      <c r="A4657" s="7" t="str">
        <f>IF('Document Workflow'!A4656&lt;&gt;"",'Document Workflow'!A4656,"")</f>
        <v/>
      </c>
    </row>
    <row r="4658" spans="1:1">
      <c r="A4658" s="7" t="str">
        <f>IF('Document Workflow'!A4657&lt;&gt;"",'Document Workflow'!A4657,"")</f>
        <v/>
      </c>
    </row>
    <row r="4659" spans="1:1">
      <c r="A4659" s="7" t="str">
        <f>IF('Document Workflow'!A4658&lt;&gt;"",'Document Workflow'!A4658,"")</f>
        <v/>
      </c>
    </row>
    <row r="4660" spans="1:1">
      <c r="A4660" s="7" t="str">
        <f>IF('Document Workflow'!A4659&lt;&gt;"",'Document Workflow'!A4659,"")</f>
        <v/>
      </c>
    </row>
    <row r="4661" spans="1:1">
      <c r="A4661" s="7" t="str">
        <f>IF('Document Workflow'!A4660&lt;&gt;"",'Document Workflow'!A4660,"")</f>
        <v/>
      </c>
    </row>
    <row r="4662" spans="1:1">
      <c r="A4662" s="7" t="str">
        <f>IF('Document Workflow'!A4661&lt;&gt;"",'Document Workflow'!A4661,"")</f>
        <v/>
      </c>
    </row>
    <row r="4663" spans="1:1">
      <c r="A4663" s="7" t="str">
        <f>IF('Document Workflow'!A4662&lt;&gt;"",'Document Workflow'!A4662,"")</f>
        <v/>
      </c>
    </row>
    <row r="4664" spans="1:1">
      <c r="A4664" s="7" t="str">
        <f>IF('Document Workflow'!A4663&lt;&gt;"",'Document Workflow'!A4663,"")</f>
        <v/>
      </c>
    </row>
    <row r="4665" spans="1:1">
      <c r="A4665" s="7" t="str">
        <f>IF('Document Workflow'!A4664&lt;&gt;"",'Document Workflow'!A4664,"")</f>
        <v/>
      </c>
    </row>
    <row r="4666" spans="1:1">
      <c r="A4666" s="7" t="str">
        <f>IF('Document Workflow'!A4665&lt;&gt;"",'Document Workflow'!A4665,"")</f>
        <v/>
      </c>
    </row>
    <row r="4667" spans="1:1">
      <c r="A4667" s="7" t="str">
        <f>IF('Document Workflow'!A4666&lt;&gt;"",'Document Workflow'!A4666,"")</f>
        <v/>
      </c>
    </row>
    <row r="4668" spans="1:1">
      <c r="A4668" s="7" t="str">
        <f>IF('Document Workflow'!A4667&lt;&gt;"",'Document Workflow'!A4667,"")</f>
        <v/>
      </c>
    </row>
    <row r="4669" spans="1:1">
      <c r="A4669" s="7" t="str">
        <f>IF('Document Workflow'!A4668&lt;&gt;"",'Document Workflow'!A4668,"")</f>
        <v/>
      </c>
    </row>
    <row r="4670" spans="1:1">
      <c r="A4670" s="7" t="str">
        <f>IF('Document Workflow'!A4669&lt;&gt;"",'Document Workflow'!A4669,"")</f>
        <v/>
      </c>
    </row>
    <row r="4671" spans="1:1">
      <c r="A4671" s="7" t="str">
        <f>IF('Document Workflow'!A4670&lt;&gt;"",'Document Workflow'!A4670,"")</f>
        <v/>
      </c>
    </row>
    <row r="4672" spans="1:1">
      <c r="A4672" s="7" t="str">
        <f>IF('Document Workflow'!A4671&lt;&gt;"",'Document Workflow'!A4671,"")</f>
        <v/>
      </c>
    </row>
    <row r="4673" spans="1:1">
      <c r="A4673" s="7" t="str">
        <f>IF('Document Workflow'!A4672&lt;&gt;"",'Document Workflow'!A4672,"")</f>
        <v/>
      </c>
    </row>
    <row r="4674" spans="1:1">
      <c r="A4674" s="7" t="str">
        <f>IF('Document Workflow'!A4673&lt;&gt;"",'Document Workflow'!A4673,"")</f>
        <v/>
      </c>
    </row>
    <row r="4675" spans="1:1">
      <c r="A4675" s="7" t="str">
        <f>IF('Document Workflow'!A4674&lt;&gt;"",'Document Workflow'!A4674,"")</f>
        <v/>
      </c>
    </row>
    <row r="4676" spans="1:1">
      <c r="A4676" s="7" t="str">
        <f>IF('Document Workflow'!A4675&lt;&gt;"",'Document Workflow'!A4675,"")</f>
        <v/>
      </c>
    </row>
    <row r="4677" spans="1:1">
      <c r="A4677" s="7" t="str">
        <f>IF('Document Workflow'!A4676&lt;&gt;"",'Document Workflow'!A4676,"")</f>
        <v/>
      </c>
    </row>
    <row r="4678" spans="1:1">
      <c r="A4678" s="7" t="str">
        <f>IF('Document Workflow'!A4677&lt;&gt;"",'Document Workflow'!A4677,"")</f>
        <v/>
      </c>
    </row>
    <row r="4679" spans="1:1">
      <c r="A4679" s="7" t="str">
        <f>IF('Document Workflow'!A4678&lt;&gt;"",'Document Workflow'!A4678,"")</f>
        <v/>
      </c>
    </row>
    <row r="4680" spans="1:1">
      <c r="A4680" s="7" t="str">
        <f>IF('Document Workflow'!A4679&lt;&gt;"",'Document Workflow'!A4679,"")</f>
        <v/>
      </c>
    </row>
    <row r="4681" spans="1:1">
      <c r="A4681" s="7" t="str">
        <f>IF('Document Workflow'!A4680&lt;&gt;"",'Document Workflow'!A4680,"")</f>
        <v/>
      </c>
    </row>
    <row r="4682" spans="1:1">
      <c r="A4682" s="7" t="str">
        <f>IF('Document Workflow'!A4681&lt;&gt;"",'Document Workflow'!A4681,"")</f>
        <v/>
      </c>
    </row>
    <row r="4683" spans="1:1">
      <c r="A4683" s="7" t="str">
        <f>IF('Document Workflow'!A4682&lt;&gt;"",'Document Workflow'!A4682,"")</f>
        <v/>
      </c>
    </row>
    <row r="4684" spans="1:1">
      <c r="A4684" s="7" t="str">
        <f>IF('Document Workflow'!A4683&lt;&gt;"",'Document Workflow'!A4683,"")</f>
        <v/>
      </c>
    </row>
    <row r="4685" spans="1:1">
      <c r="A4685" s="7" t="str">
        <f>IF('Document Workflow'!A4684&lt;&gt;"",'Document Workflow'!A4684,"")</f>
        <v/>
      </c>
    </row>
    <row r="4686" spans="1:1">
      <c r="A4686" s="7" t="str">
        <f>IF('Document Workflow'!A4685&lt;&gt;"",'Document Workflow'!A4685,"")</f>
        <v/>
      </c>
    </row>
    <row r="4687" spans="1:1">
      <c r="A4687" s="7" t="str">
        <f>IF('Document Workflow'!A4686&lt;&gt;"",'Document Workflow'!A4686,"")</f>
        <v/>
      </c>
    </row>
    <row r="4688" spans="1:1">
      <c r="A4688" s="7" t="str">
        <f>IF('Document Workflow'!A4687&lt;&gt;"",'Document Workflow'!A4687,"")</f>
        <v/>
      </c>
    </row>
    <row r="4689" spans="1:1">
      <c r="A4689" s="7" t="str">
        <f>IF('Document Workflow'!A4688&lt;&gt;"",'Document Workflow'!A4688,"")</f>
        <v/>
      </c>
    </row>
    <row r="4690" spans="1:1">
      <c r="A4690" s="7" t="str">
        <f>IF('Document Workflow'!A4689&lt;&gt;"",'Document Workflow'!A4689,"")</f>
        <v/>
      </c>
    </row>
    <row r="4691" spans="1:1">
      <c r="A4691" s="7" t="str">
        <f>IF('Document Workflow'!A4690&lt;&gt;"",'Document Workflow'!A4690,"")</f>
        <v/>
      </c>
    </row>
    <row r="4692" spans="1:1">
      <c r="A4692" s="7" t="str">
        <f>IF('Document Workflow'!A4691&lt;&gt;"",'Document Workflow'!A4691,"")</f>
        <v/>
      </c>
    </row>
    <row r="4693" spans="1:1">
      <c r="A4693" s="7" t="str">
        <f>IF('Document Workflow'!A4692&lt;&gt;"",'Document Workflow'!A4692,"")</f>
        <v/>
      </c>
    </row>
    <row r="4694" spans="1:1">
      <c r="A4694" s="7" t="str">
        <f>IF('Document Workflow'!A4693&lt;&gt;"",'Document Workflow'!A4693,"")</f>
        <v/>
      </c>
    </row>
    <row r="4695" spans="1:1">
      <c r="A4695" s="7" t="str">
        <f>IF('Document Workflow'!A4694&lt;&gt;"",'Document Workflow'!A4694,"")</f>
        <v/>
      </c>
    </row>
    <row r="4696" spans="1:1">
      <c r="A4696" s="7" t="str">
        <f>IF('Document Workflow'!A4695&lt;&gt;"",'Document Workflow'!A4695,"")</f>
        <v/>
      </c>
    </row>
    <row r="4697" spans="1:1">
      <c r="A4697" s="7" t="str">
        <f>IF('Document Workflow'!A4696&lt;&gt;"",'Document Workflow'!A4696,"")</f>
        <v/>
      </c>
    </row>
    <row r="4698" spans="1:1">
      <c r="A4698" s="7" t="str">
        <f>IF('Document Workflow'!A4697&lt;&gt;"",'Document Workflow'!A4697,"")</f>
        <v/>
      </c>
    </row>
    <row r="4699" spans="1:1">
      <c r="A4699" s="7" t="str">
        <f>IF('Document Workflow'!A4698&lt;&gt;"",'Document Workflow'!A4698,"")</f>
        <v/>
      </c>
    </row>
    <row r="4700" spans="1:1">
      <c r="A4700" s="7" t="str">
        <f>IF('Document Workflow'!A4699&lt;&gt;"",'Document Workflow'!A4699,"")</f>
        <v/>
      </c>
    </row>
    <row r="4701" spans="1:1">
      <c r="A4701" s="7" t="str">
        <f>IF('Document Workflow'!A4700&lt;&gt;"",'Document Workflow'!A4700,"")</f>
        <v/>
      </c>
    </row>
    <row r="4702" spans="1:1">
      <c r="A4702" s="7" t="str">
        <f>IF('Document Workflow'!A4701&lt;&gt;"",'Document Workflow'!A4701,"")</f>
        <v/>
      </c>
    </row>
    <row r="4703" spans="1:1">
      <c r="A4703" s="7" t="str">
        <f>IF('Document Workflow'!A4702&lt;&gt;"",'Document Workflow'!A4702,"")</f>
        <v/>
      </c>
    </row>
    <row r="4704" spans="1:1">
      <c r="A4704" s="7" t="str">
        <f>IF('Document Workflow'!A4703&lt;&gt;"",'Document Workflow'!A4703,"")</f>
        <v/>
      </c>
    </row>
    <row r="4705" spans="1:1">
      <c r="A4705" s="7" t="str">
        <f>IF('Document Workflow'!A4704&lt;&gt;"",'Document Workflow'!A4704,"")</f>
        <v/>
      </c>
    </row>
    <row r="4706" spans="1:1">
      <c r="A4706" s="7" t="str">
        <f>IF('Document Workflow'!A4705&lt;&gt;"",'Document Workflow'!A4705,"")</f>
        <v/>
      </c>
    </row>
    <row r="4707" spans="1:1">
      <c r="A4707" s="7" t="str">
        <f>IF('Document Workflow'!A4706&lt;&gt;"",'Document Workflow'!A4706,"")</f>
        <v/>
      </c>
    </row>
    <row r="4708" spans="1:1">
      <c r="A4708" s="7" t="str">
        <f>IF('Document Workflow'!A4707&lt;&gt;"",'Document Workflow'!A4707,"")</f>
        <v/>
      </c>
    </row>
    <row r="4709" spans="1:1">
      <c r="A4709" s="7" t="str">
        <f>IF('Document Workflow'!A4708&lt;&gt;"",'Document Workflow'!A4708,"")</f>
        <v/>
      </c>
    </row>
    <row r="4710" spans="1:1">
      <c r="A4710" s="7" t="str">
        <f>IF('Document Workflow'!A4709&lt;&gt;"",'Document Workflow'!A4709,"")</f>
        <v/>
      </c>
    </row>
    <row r="4711" spans="1:1">
      <c r="A4711" s="7" t="str">
        <f>IF('Document Workflow'!A4710&lt;&gt;"",'Document Workflow'!A4710,"")</f>
        <v/>
      </c>
    </row>
    <row r="4712" spans="1:1">
      <c r="A4712" s="7" t="str">
        <f>IF('Document Workflow'!A4711&lt;&gt;"",'Document Workflow'!A4711,"")</f>
        <v/>
      </c>
    </row>
    <row r="4713" spans="1:1">
      <c r="A4713" s="7" t="str">
        <f>IF('Document Workflow'!A4712&lt;&gt;"",'Document Workflow'!A4712,"")</f>
        <v/>
      </c>
    </row>
    <row r="4714" spans="1:1">
      <c r="A4714" s="7" t="str">
        <f>IF('Document Workflow'!A4713&lt;&gt;"",'Document Workflow'!A4713,"")</f>
        <v/>
      </c>
    </row>
    <row r="4715" spans="1:1">
      <c r="A4715" s="7" t="str">
        <f>IF('Document Workflow'!A4714&lt;&gt;"",'Document Workflow'!A4714,"")</f>
        <v/>
      </c>
    </row>
    <row r="4716" spans="1:1">
      <c r="A4716" s="7" t="str">
        <f>IF('Document Workflow'!A4715&lt;&gt;"",'Document Workflow'!A4715,"")</f>
        <v/>
      </c>
    </row>
    <row r="4717" spans="1:1">
      <c r="A4717" s="7" t="str">
        <f>IF('Document Workflow'!A4716&lt;&gt;"",'Document Workflow'!A4716,"")</f>
        <v/>
      </c>
    </row>
    <row r="4718" spans="1:1">
      <c r="A4718" s="7" t="str">
        <f>IF('Document Workflow'!A4717&lt;&gt;"",'Document Workflow'!A4717,"")</f>
        <v/>
      </c>
    </row>
    <row r="4719" spans="1:1">
      <c r="A4719" s="7" t="str">
        <f>IF('Document Workflow'!A4718&lt;&gt;"",'Document Workflow'!A4718,"")</f>
        <v/>
      </c>
    </row>
    <row r="4720" spans="1:1">
      <c r="A4720" s="7" t="str">
        <f>IF('Document Workflow'!A4719&lt;&gt;"",'Document Workflow'!A4719,"")</f>
        <v/>
      </c>
    </row>
    <row r="4721" spans="1:1">
      <c r="A4721" s="7" t="str">
        <f>IF('Document Workflow'!A4720&lt;&gt;"",'Document Workflow'!A4720,"")</f>
        <v/>
      </c>
    </row>
    <row r="4722" spans="1:1">
      <c r="A4722" s="7" t="str">
        <f>IF('Document Workflow'!A4721&lt;&gt;"",'Document Workflow'!A4721,"")</f>
        <v/>
      </c>
    </row>
    <row r="4723" spans="1:1">
      <c r="A4723" s="7" t="str">
        <f>IF('Document Workflow'!A4722&lt;&gt;"",'Document Workflow'!A4722,"")</f>
        <v/>
      </c>
    </row>
    <row r="4724" spans="1:1">
      <c r="A4724" s="7" t="str">
        <f>IF('Document Workflow'!A4723&lt;&gt;"",'Document Workflow'!A4723,"")</f>
        <v/>
      </c>
    </row>
    <row r="4725" spans="1:1">
      <c r="A4725" s="7" t="str">
        <f>IF('Document Workflow'!A4724&lt;&gt;"",'Document Workflow'!A4724,"")</f>
        <v/>
      </c>
    </row>
    <row r="4726" spans="1:1">
      <c r="A4726" s="7" t="str">
        <f>IF('Document Workflow'!A4725&lt;&gt;"",'Document Workflow'!A4725,"")</f>
        <v/>
      </c>
    </row>
    <row r="4727" spans="1:1">
      <c r="A4727" s="7" t="str">
        <f>IF('Document Workflow'!A4726&lt;&gt;"",'Document Workflow'!A4726,"")</f>
        <v/>
      </c>
    </row>
    <row r="4728" spans="1:1">
      <c r="A4728" s="7" t="str">
        <f>IF('Document Workflow'!A4727&lt;&gt;"",'Document Workflow'!A4727,"")</f>
        <v/>
      </c>
    </row>
    <row r="4729" spans="1:1">
      <c r="A4729" s="7" t="str">
        <f>IF('Document Workflow'!A4728&lt;&gt;"",'Document Workflow'!A4728,"")</f>
        <v/>
      </c>
    </row>
    <row r="4730" spans="1:1">
      <c r="A4730" s="7" t="str">
        <f>IF('Document Workflow'!A4729&lt;&gt;"",'Document Workflow'!A4729,"")</f>
        <v/>
      </c>
    </row>
    <row r="4731" spans="1:1">
      <c r="A4731" s="7" t="str">
        <f>IF('Document Workflow'!A4730&lt;&gt;"",'Document Workflow'!A4730,"")</f>
        <v/>
      </c>
    </row>
    <row r="4732" spans="1:1">
      <c r="A4732" s="7" t="str">
        <f>IF('Document Workflow'!A4731&lt;&gt;"",'Document Workflow'!A4731,"")</f>
        <v/>
      </c>
    </row>
    <row r="4733" spans="1:1">
      <c r="A4733" s="7" t="str">
        <f>IF('Document Workflow'!A4732&lt;&gt;"",'Document Workflow'!A4732,"")</f>
        <v/>
      </c>
    </row>
    <row r="4734" spans="1:1">
      <c r="A4734" s="7" t="str">
        <f>IF('Document Workflow'!A4733&lt;&gt;"",'Document Workflow'!A4733,"")</f>
        <v/>
      </c>
    </row>
    <row r="4735" spans="1:1">
      <c r="A4735" s="7" t="str">
        <f>IF('Document Workflow'!A4734&lt;&gt;"",'Document Workflow'!A4734,"")</f>
        <v/>
      </c>
    </row>
    <row r="4736" spans="1:1">
      <c r="A4736" s="7" t="str">
        <f>IF('Document Workflow'!A4735&lt;&gt;"",'Document Workflow'!A4735,"")</f>
        <v/>
      </c>
    </row>
    <row r="4737" spans="1:1">
      <c r="A4737" s="7" t="str">
        <f>IF('Document Workflow'!A4736&lt;&gt;"",'Document Workflow'!A4736,"")</f>
        <v/>
      </c>
    </row>
    <row r="4738" spans="1:1">
      <c r="A4738" s="7" t="str">
        <f>IF('Document Workflow'!A4737&lt;&gt;"",'Document Workflow'!A4737,"")</f>
        <v/>
      </c>
    </row>
    <row r="4739" spans="1:1">
      <c r="A4739" s="7" t="str">
        <f>IF('Document Workflow'!A4738&lt;&gt;"",'Document Workflow'!A4738,"")</f>
        <v/>
      </c>
    </row>
    <row r="4740" spans="1:1">
      <c r="A4740" s="7" t="str">
        <f>IF('Document Workflow'!A4739&lt;&gt;"",'Document Workflow'!A4739,"")</f>
        <v/>
      </c>
    </row>
    <row r="4741" spans="1:1">
      <c r="A4741" s="7" t="str">
        <f>IF('Document Workflow'!A4740&lt;&gt;"",'Document Workflow'!A4740,"")</f>
        <v/>
      </c>
    </row>
    <row r="4742" spans="1:1">
      <c r="A4742" s="7" t="str">
        <f>IF('Document Workflow'!A4741&lt;&gt;"",'Document Workflow'!A4741,"")</f>
        <v/>
      </c>
    </row>
    <row r="4743" spans="1:1">
      <c r="A4743" s="7" t="str">
        <f>IF('Document Workflow'!A4742&lt;&gt;"",'Document Workflow'!A4742,"")</f>
        <v/>
      </c>
    </row>
    <row r="4744" spans="1:1">
      <c r="A4744" s="7" t="str">
        <f>IF('Document Workflow'!A4743&lt;&gt;"",'Document Workflow'!A4743,"")</f>
        <v/>
      </c>
    </row>
    <row r="4745" spans="1:1">
      <c r="A4745" s="7" t="str">
        <f>IF('Document Workflow'!A4744&lt;&gt;"",'Document Workflow'!A4744,"")</f>
        <v/>
      </c>
    </row>
    <row r="4746" spans="1:1">
      <c r="A4746" s="7" t="str">
        <f>IF('Document Workflow'!A4745&lt;&gt;"",'Document Workflow'!A4745,"")</f>
        <v/>
      </c>
    </row>
    <row r="4747" spans="1:1">
      <c r="A4747" s="7" t="str">
        <f>IF('Document Workflow'!A4746&lt;&gt;"",'Document Workflow'!A4746,"")</f>
        <v/>
      </c>
    </row>
    <row r="4748" spans="1:1">
      <c r="A4748" s="7" t="str">
        <f>IF('Document Workflow'!A4747&lt;&gt;"",'Document Workflow'!A4747,"")</f>
        <v/>
      </c>
    </row>
    <row r="4749" spans="1:1">
      <c r="A4749" s="7" t="str">
        <f>IF('Document Workflow'!A4748&lt;&gt;"",'Document Workflow'!A4748,"")</f>
        <v/>
      </c>
    </row>
    <row r="4750" spans="1:1">
      <c r="A4750" s="7" t="str">
        <f>IF('Document Workflow'!A4749&lt;&gt;"",'Document Workflow'!A4749,"")</f>
        <v/>
      </c>
    </row>
    <row r="4751" spans="1:1">
      <c r="A4751" s="7" t="str">
        <f>IF('Document Workflow'!A4750&lt;&gt;"",'Document Workflow'!A4750,"")</f>
        <v/>
      </c>
    </row>
    <row r="4752" spans="1:1">
      <c r="A4752" s="7" t="str">
        <f>IF('Document Workflow'!A4751&lt;&gt;"",'Document Workflow'!A4751,"")</f>
        <v/>
      </c>
    </row>
    <row r="4753" spans="1:1">
      <c r="A4753" s="7" t="str">
        <f>IF('Document Workflow'!A4752&lt;&gt;"",'Document Workflow'!A4752,"")</f>
        <v/>
      </c>
    </row>
    <row r="4754" spans="1:1">
      <c r="A4754" s="7" t="str">
        <f>IF('Document Workflow'!A4753&lt;&gt;"",'Document Workflow'!A4753,"")</f>
        <v/>
      </c>
    </row>
    <row r="4755" spans="1:1">
      <c r="A4755" s="7" t="str">
        <f>IF('Document Workflow'!A4754&lt;&gt;"",'Document Workflow'!A4754,"")</f>
        <v/>
      </c>
    </row>
    <row r="4756" spans="1:1">
      <c r="A4756" s="7" t="str">
        <f>IF('Document Workflow'!A4755&lt;&gt;"",'Document Workflow'!A4755,"")</f>
        <v/>
      </c>
    </row>
    <row r="4757" spans="1:1">
      <c r="A4757" s="7" t="str">
        <f>IF('Document Workflow'!A4756&lt;&gt;"",'Document Workflow'!A4756,"")</f>
        <v/>
      </c>
    </row>
    <row r="4758" spans="1:1">
      <c r="A4758" s="7" t="str">
        <f>IF('Document Workflow'!A4757&lt;&gt;"",'Document Workflow'!A4757,"")</f>
        <v/>
      </c>
    </row>
    <row r="4759" spans="1:1">
      <c r="A4759" s="7" t="str">
        <f>IF('Document Workflow'!A4758&lt;&gt;"",'Document Workflow'!A4758,"")</f>
        <v/>
      </c>
    </row>
    <row r="4760" spans="1:1">
      <c r="A4760" s="7" t="str">
        <f>IF('Document Workflow'!A4759&lt;&gt;"",'Document Workflow'!A4759,"")</f>
        <v/>
      </c>
    </row>
    <row r="4761" spans="1:1">
      <c r="A4761" s="7" t="str">
        <f>IF('Document Workflow'!A4760&lt;&gt;"",'Document Workflow'!A4760,"")</f>
        <v/>
      </c>
    </row>
    <row r="4762" spans="1:1">
      <c r="A4762" s="7" t="str">
        <f>IF('Document Workflow'!A4761&lt;&gt;"",'Document Workflow'!A4761,"")</f>
        <v/>
      </c>
    </row>
    <row r="4763" spans="1:1">
      <c r="A4763" s="7" t="str">
        <f>IF('Document Workflow'!A4762&lt;&gt;"",'Document Workflow'!A4762,"")</f>
        <v/>
      </c>
    </row>
    <row r="4764" spans="1:1">
      <c r="A4764" s="7" t="str">
        <f>IF('Document Workflow'!A4763&lt;&gt;"",'Document Workflow'!A4763,"")</f>
        <v/>
      </c>
    </row>
    <row r="4765" spans="1:1">
      <c r="A4765" s="7" t="str">
        <f>IF('Document Workflow'!A4764&lt;&gt;"",'Document Workflow'!A4764,"")</f>
        <v/>
      </c>
    </row>
    <row r="4766" spans="1:1">
      <c r="A4766" s="7" t="str">
        <f>IF('Document Workflow'!A4765&lt;&gt;"",'Document Workflow'!A4765,"")</f>
        <v/>
      </c>
    </row>
    <row r="4767" spans="1:1">
      <c r="A4767" s="7" t="str">
        <f>IF('Document Workflow'!A4766&lt;&gt;"",'Document Workflow'!A4766,"")</f>
        <v/>
      </c>
    </row>
    <row r="4768" spans="1:1">
      <c r="A4768" s="7" t="str">
        <f>IF('Document Workflow'!A4767&lt;&gt;"",'Document Workflow'!A4767,"")</f>
        <v/>
      </c>
    </row>
    <row r="4769" spans="1:1">
      <c r="A4769" s="7" t="str">
        <f>IF('Document Workflow'!A4768&lt;&gt;"",'Document Workflow'!A4768,"")</f>
        <v/>
      </c>
    </row>
    <row r="4770" spans="1:1">
      <c r="A4770" s="7" t="str">
        <f>IF('Document Workflow'!A4769&lt;&gt;"",'Document Workflow'!A4769,"")</f>
        <v/>
      </c>
    </row>
    <row r="4771" spans="1:1">
      <c r="A4771" s="7" t="str">
        <f>IF('Document Workflow'!A4770&lt;&gt;"",'Document Workflow'!A4770,"")</f>
        <v/>
      </c>
    </row>
    <row r="4772" spans="1:1">
      <c r="A4772" s="7" t="str">
        <f>IF('Document Workflow'!A4771&lt;&gt;"",'Document Workflow'!A4771,"")</f>
        <v/>
      </c>
    </row>
    <row r="4773" spans="1:1">
      <c r="A4773" s="7" t="str">
        <f>IF('Document Workflow'!A4772&lt;&gt;"",'Document Workflow'!A4772,"")</f>
        <v/>
      </c>
    </row>
    <row r="4774" spans="1:1">
      <c r="A4774" s="7" t="str">
        <f>IF('Document Workflow'!A4773&lt;&gt;"",'Document Workflow'!A4773,"")</f>
        <v/>
      </c>
    </row>
    <row r="4775" spans="1:1">
      <c r="A4775" s="7" t="str">
        <f>IF('Document Workflow'!A4774&lt;&gt;"",'Document Workflow'!A4774,"")</f>
        <v/>
      </c>
    </row>
    <row r="4776" spans="1:1">
      <c r="A4776" s="7" t="str">
        <f>IF('Document Workflow'!A4775&lt;&gt;"",'Document Workflow'!A4775,"")</f>
        <v/>
      </c>
    </row>
    <row r="4777" spans="1:1">
      <c r="A4777" s="7" t="str">
        <f>IF('Document Workflow'!A4776&lt;&gt;"",'Document Workflow'!A4776,"")</f>
        <v/>
      </c>
    </row>
    <row r="4778" spans="1:1">
      <c r="A4778" s="7" t="str">
        <f>IF('Document Workflow'!A4777&lt;&gt;"",'Document Workflow'!A4777,"")</f>
        <v/>
      </c>
    </row>
    <row r="4779" spans="1:1">
      <c r="A4779" s="7" t="str">
        <f>IF('Document Workflow'!A4778&lt;&gt;"",'Document Workflow'!A4778,"")</f>
        <v/>
      </c>
    </row>
    <row r="4780" spans="1:1">
      <c r="A4780" s="7" t="str">
        <f>IF('Document Workflow'!A4779&lt;&gt;"",'Document Workflow'!A4779,"")</f>
        <v/>
      </c>
    </row>
    <row r="4781" spans="1:1">
      <c r="A4781" s="7" t="str">
        <f>IF('Document Workflow'!A4780&lt;&gt;"",'Document Workflow'!A4780,"")</f>
        <v/>
      </c>
    </row>
    <row r="4782" spans="1:1">
      <c r="A4782" s="7" t="str">
        <f>IF('Document Workflow'!A4781&lt;&gt;"",'Document Workflow'!A4781,"")</f>
        <v/>
      </c>
    </row>
    <row r="4783" spans="1:1">
      <c r="A4783" s="7" t="str">
        <f>IF('Document Workflow'!A4782&lt;&gt;"",'Document Workflow'!A4782,"")</f>
        <v/>
      </c>
    </row>
    <row r="4784" spans="1:1">
      <c r="A4784" s="7" t="str">
        <f>IF('Document Workflow'!A4783&lt;&gt;"",'Document Workflow'!A4783,"")</f>
        <v/>
      </c>
    </row>
    <row r="4785" spans="1:1">
      <c r="A4785" s="7" t="str">
        <f>IF('Document Workflow'!A4784&lt;&gt;"",'Document Workflow'!A4784,"")</f>
        <v/>
      </c>
    </row>
    <row r="4786" spans="1:1">
      <c r="A4786" s="7" t="str">
        <f>IF('Document Workflow'!A4785&lt;&gt;"",'Document Workflow'!A4785,"")</f>
        <v/>
      </c>
    </row>
    <row r="4787" spans="1:1">
      <c r="A4787" s="7" t="str">
        <f>IF('Document Workflow'!A4786&lt;&gt;"",'Document Workflow'!A4786,"")</f>
        <v/>
      </c>
    </row>
    <row r="4788" spans="1:1">
      <c r="A4788" s="7" t="str">
        <f>IF('Document Workflow'!A4787&lt;&gt;"",'Document Workflow'!A4787,"")</f>
        <v/>
      </c>
    </row>
    <row r="4789" spans="1:1">
      <c r="A4789" s="7" t="str">
        <f>IF('Document Workflow'!A4788&lt;&gt;"",'Document Workflow'!A4788,"")</f>
        <v/>
      </c>
    </row>
    <row r="4790" spans="1:1">
      <c r="A4790" s="7" t="str">
        <f>IF('Document Workflow'!A4789&lt;&gt;"",'Document Workflow'!A4789,"")</f>
        <v/>
      </c>
    </row>
    <row r="4791" spans="1:1">
      <c r="A4791" s="7" t="str">
        <f>IF('Document Workflow'!A4790&lt;&gt;"",'Document Workflow'!A4790,"")</f>
        <v/>
      </c>
    </row>
    <row r="4792" spans="1:1">
      <c r="A4792" s="7" t="str">
        <f>IF('Document Workflow'!A4791&lt;&gt;"",'Document Workflow'!A4791,"")</f>
        <v/>
      </c>
    </row>
    <row r="4793" spans="1:1">
      <c r="A4793" s="7" t="str">
        <f>IF('Document Workflow'!A4792&lt;&gt;"",'Document Workflow'!A4792,"")</f>
        <v/>
      </c>
    </row>
    <row r="4794" spans="1:1">
      <c r="A4794" s="7" t="str">
        <f>IF('Document Workflow'!A4793&lt;&gt;"",'Document Workflow'!A4793,"")</f>
        <v/>
      </c>
    </row>
    <row r="4795" spans="1:1">
      <c r="A4795" s="7" t="str">
        <f>IF('Document Workflow'!A4794&lt;&gt;"",'Document Workflow'!A4794,"")</f>
        <v/>
      </c>
    </row>
    <row r="4796" spans="1:1">
      <c r="A4796" s="7" t="str">
        <f>IF('Document Workflow'!A4795&lt;&gt;"",'Document Workflow'!A4795,"")</f>
        <v/>
      </c>
    </row>
    <row r="4797" spans="1:1">
      <c r="A4797" s="7" t="str">
        <f>IF('Document Workflow'!A4796&lt;&gt;"",'Document Workflow'!A4796,"")</f>
        <v/>
      </c>
    </row>
    <row r="4798" spans="1:1">
      <c r="A4798" s="7" t="str">
        <f>IF('Document Workflow'!A4797&lt;&gt;"",'Document Workflow'!A4797,"")</f>
        <v/>
      </c>
    </row>
    <row r="4799" spans="1:1">
      <c r="A4799" s="7" t="str">
        <f>IF('Document Workflow'!A4798&lt;&gt;"",'Document Workflow'!A4798,"")</f>
        <v/>
      </c>
    </row>
    <row r="4800" spans="1:1">
      <c r="A4800" s="7" t="str">
        <f>IF('Document Workflow'!A4799&lt;&gt;"",'Document Workflow'!A4799,"")</f>
        <v/>
      </c>
    </row>
    <row r="4801" spans="1:1">
      <c r="A4801" s="7" t="str">
        <f>IF('Document Workflow'!A4800&lt;&gt;"",'Document Workflow'!A4800,"")</f>
        <v/>
      </c>
    </row>
    <row r="4802" spans="1:1">
      <c r="A4802" s="7" t="str">
        <f>IF('Document Workflow'!A4801&lt;&gt;"",'Document Workflow'!A4801,"")</f>
        <v/>
      </c>
    </row>
    <row r="4803" spans="1:1">
      <c r="A4803" s="7" t="str">
        <f>IF('Document Workflow'!A4802&lt;&gt;"",'Document Workflow'!A4802,"")</f>
        <v/>
      </c>
    </row>
    <row r="4804" spans="1:1">
      <c r="A4804" s="7" t="str">
        <f>IF('Document Workflow'!A4803&lt;&gt;"",'Document Workflow'!A4803,"")</f>
        <v/>
      </c>
    </row>
    <row r="4805" spans="1:1">
      <c r="A4805" s="7" t="str">
        <f>IF('Document Workflow'!A4804&lt;&gt;"",'Document Workflow'!A4804,"")</f>
        <v/>
      </c>
    </row>
    <row r="4806" spans="1:1">
      <c r="A4806" s="7" t="str">
        <f>IF('Document Workflow'!A4805&lt;&gt;"",'Document Workflow'!A4805,"")</f>
        <v/>
      </c>
    </row>
    <row r="4807" spans="1:1">
      <c r="A4807" s="7" t="str">
        <f>IF('Document Workflow'!A4806&lt;&gt;"",'Document Workflow'!A4806,"")</f>
        <v/>
      </c>
    </row>
    <row r="4808" spans="1:1">
      <c r="A4808" s="7" t="str">
        <f>IF('Document Workflow'!A4807&lt;&gt;"",'Document Workflow'!A4807,"")</f>
        <v/>
      </c>
    </row>
    <row r="4809" spans="1:1">
      <c r="A4809" s="7" t="str">
        <f>IF('Document Workflow'!A4808&lt;&gt;"",'Document Workflow'!A4808,"")</f>
        <v/>
      </c>
    </row>
    <row r="4810" spans="1:1">
      <c r="A4810" s="7" t="str">
        <f>IF('Document Workflow'!A4809&lt;&gt;"",'Document Workflow'!A4809,"")</f>
        <v/>
      </c>
    </row>
    <row r="4811" spans="1:1">
      <c r="A4811" s="7" t="str">
        <f>IF('Document Workflow'!A4810&lt;&gt;"",'Document Workflow'!A4810,"")</f>
        <v/>
      </c>
    </row>
    <row r="4812" spans="1:1">
      <c r="A4812" s="7" t="str">
        <f>IF('Document Workflow'!A4811&lt;&gt;"",'Document Workflow'!A4811,"")</f>
        <v/>
      </c>
    </row>
    <row r="4813" spans="1:1">
      <c r="A4813" s="7" t="str">
        <f>IF('Document Workflow'!A4812&lt;&gt;"",'Document Workflow'!A4812,"")</f>
        <v/>
      </c>
    </row>
    <row r="4814" spans="1:1">
      <c r="A4814" s="7" t="str">
        <f>IF('Document Workflow'!A4813&lt;&gt;"",'Document Workflow'!A4813,"")</f>
        <v/>
      </c>
    </row>
    <row r="4815" spans="1:1">
      <c r="A4815" s="7" t="str">
        <f>IF('Document Workflow'!A4814&lt;&gt;"",'Document Workflow'!A4814,"")</f>
        <v/>
      </c>
    </row>
    <row r="4816" spans="1:1">
      <c r="A4816" s="7" t="str">
        <f>IF('Document Workflow'!A4815&lt;&gt;"",'Document Workflow'!A4815,"")</f>
        <v/>
      </c>
    </row>
    <row r="4817" spans="1:1">
      <c r="A4817" s="7" t="str">
        <f>IF('Document Workflow'!A4816&lt;&gt;"",'Document Workflow'!A4816,"")</f>
        <v/>
      </c>
    </row>
    <row r="4818" spans="1:1">
      <c r="A4818" s="7" t="str">
        <f>IF('Document Workflow'!A4817&lt;&gt;"",'Document Workflow'!A4817,"")</f>
        <v/>
      </c>
    </row>
    <row r="4819" spans="1:1">
      <c r="A4819" s="7" t="str">
        <f>IF('Document Workflow'!A4818&lt;&gt;"",'Document Workflow'!A4818,"")</f>
        <v/>
      </c>
    </row>
    <row r="4820" spans="1:1">
      <c r="A4820" s="7" t="str">
        <f>IF('Document Workflow'!A4819&lt;&gt;"",'Document Workflow'!A4819,"")</f>
        <v/>
      </c>
    </row>
    <row r="4821" spans="1:1">
      <c r="A4821" s="7" t="str">
        <f>IF('Document Workflow'!A4820&lt;&gt;"",'Document Workflow'!A4820,"")</f>
        <v/>
      </c>
    </row>
    <row r="4822" spans="1:1">
      <c r="A4822" s="7" t="str">
        <f>IF('Document Workflow'!A4821&lt;&gt;"",'Document Workflow'!A4821,"")</f>
        <v/>
      </c>
    </row>
    <row r="4823" spans="1:1">
      <c r="A4823" s="7" t="str">
        <f>IF('Document Workflow'!A4822&lt;&gt;"",'Document Workflow'!A4822,"")</f>
        <v/>
      </c>
    </row>
    <row r="4824" spans="1:1">
      <c r="A4824" s="7" t="str">
        <f>IF('Document Workflow'!A4823&lt;&gt;"",'Document Workflow'!A4823,"")</f>
        <v/>
      </c>
    </row>
    <row r="4825" spans="1:1">
      <c r="A4825" s="7" t="str">
        <f>IF('Document Workflow'!A4824&lt;&gt;"",'Document Workflow'!A4824,"")</f>
        <v/>
      </c>
    </row>
    <row r="4826" spans="1:1">
      <c r="A4826" s="7" t="str">
        <f>IF('Document Workflow'!A4825&lt;&gt;"",'Document Workflow'!A4825,"")</f>
        <v/>
      </c>
    </row>
    <row r="4827" spans="1:1">
      <c r="A4827" s="7" t="str">
        <f>IF('Document Workflow'!A4826&lt;&gt;"",'Document Workflow'!A4826,"")</f>
        <v/>
      </c>
    </row>
    <row r="4828" spans="1:1">
      <c r="A4828" s="7" t="str">
        <f>IF('Document Workflow'!A4827&lt;&gt;"",'Document Workflow'!A4827,"")</f>
        <v/>
      </c>
    </row>
    <row r="4829" spans="1:1">
      <c r="A4829" s="7" t="str">
        <f>IF('Document Workflow'!A4828&lt;&gt;"",'Document Workflow'!A4828,"")</f>
        <v/>
      </c>
    </row>
    <row r="4830" spans="1:1">
      <c r="A4830" s="7" t="str">
        <f>IF('Document Workflow'!A4829&lt;&gt;"",'Document Workflow'!A4829,"")</f>
        <v/>
      </c>
    </row>
    <row r="4831" spans="1:1">
      <c r="A4831" s="7" t="str">
        <f>IF('Document Workflow'!A4830&lt;&gt;"",'Document Workflow'!A4830,"")</f>
        <v/>
      </c>
    </row>
    <row r="4832" spans="1:1">
      <c r="A4832" s="7" t="str">
        <f>IF('Document Workflow'!A4831&lt;&gt;"",'Document Workflow'!A4831,"")</f>
        <v/>
      </c>
    </row>
    <row r="4833" spans="1:1">
      <c r="A4833" s="7" t="str">
        <f>IF('Document Workflow'!A4832&lt;&gt;"",'Document Workflow'!A4832,"")</f>
        <v/>
      </c>
    </row>
    <row r="4834" spans="1:1">
      <c r="A4834" s="7" t="str">
        <f>IF('Document Workflow'!A4833&lt;&gt;"",'Document Workflow'!A4833,"")</f>
        <v/>
      </c>
    </row>
    <row r="4835" spans="1:1">
      <c r="A4835" s="7" t="str">
        <f>IF('Document Workflow'!A4834&lt;&gt;"",'Document Workflow'!A4834,"")</f>
        <v/>
      </c>
    </row>
    <row r="4836" spans="1:1">
      <c r="A4836" s="7" t="str">
        <f>IF('Document Workflow'!A4835&lt;&gt;"",'Document Workflow'!A4835,"")</f>
        <v/>
      </c>
    </row>
    <row r="4837" spans="1:1">
      <c r="A4837" s="7" t="str">
        <f>IF('Document Workflow'!A4836&lt;&gt;"",'Document Workflow'!A4836,"")</f>
        <v/>
      </c>
    </row>
    <row r="4838" spans="1:1">
      <c r="A4838" s="7" t="str">
        <f>IF('Document Workflow'!A4837&lt;&gt;"",'Document Workflow'!A4837,"")</f>
        <v/>
      </c>
    </row>
    <row r="4839" spans="1:1">
      <c r="A4839" s="7" t="str">
        <f>IF('Document Workflow'!A4838&lt;&gt;"",'Document Workflow'!A4838,"")</f>
        <v/>
      </c>
    </row>
    <row r="4840" spans="1:1">
      <c r="A4840" s="7" t="str">
        <f>IF('Document Workflow'!A4839&lt;&gt;"",'Document Workflow'!A4839,"")</f>
        <v/>
      </c>
    </row>
    <row r="4841" spans="1:1">
      <c r="A4841" s="7" t="str">
        <f>IF('Document Workflow'!A4840&lt;&gt;"",'Document Workflow'!A4840,"")</f>
        <v/>
      </c>
    </row>
    <row r="4842" spans="1:1">
      <c r="A4842" s="7" t="str">
        <f>IF('Document Workflow'!A4841&lt;&gt;"",'Document Workflow'!A4841,"")</f>
        <v/>
      </c>
    </row>
    <row r="4843" spans="1:1">
      <c r="A4843" s="7" t="str">
        <f>IF('Document Workflow'!A4842&lt;&gt;"",'Document Workflow'!A4842,"")</f>
        <v/>
      </c>
    </row>
    <row r="4844" spans="1:1">
      <c r="A4844" s="7" t="str">
        <f>IF('Document Workflow'!A4843&lt;&gt;"",'Document Workflow'!A4843,"")</f>
        <v/>
      </c>
    </row>
    <row r="4845" spans="1:1">
      <c r="A4845" s="7" t="str">
        <f>IF('Document Workflow'!A4844&lt;&gt;"",'Document Workflow'!A4844,"")</f>
        <v/>
      </c>
    </row>
    <row r="4846" spans="1:1">
      <c r="A4846" s="7" t="str">
        <f>IF('Document Workflow'!A4845&lt;&gt;"",'Document Workflow'!A4845,"")</f>
        <v/>
      </c>
    </row>
    <row r="4847" spans="1:1">
      <c r="A4847" s="7" t="str">
        <f>IF('Document Workflow'!A4846&lt;&gt;"",'Document Workflow'!A4846,"")</f>
        <v/>
      </c>
    </row>
    <row r="4848" spans="1:1">
      <c r="A4848" s="7" t="str">
        <f>IF('Document Workflow'!A4847&lt;&gt;"",'Document Workflow'!A4847,"")</f>
        <v/>
      </c>
    </row>
    <row r="4849" spans="1:1">
      <c r="A4849" s="7" t="str">
        <f>IF('Document Workflow'!A4848&lt;&gt;"",'Document Workflow'!A4848,"")</f>
        <v/>
      </c>
    </row>
    <row r="4850" spans="1:1">
      <c r="A4850" s="7" t="str">
        <f>IF('Document Workflow'!A4849&lt;&gt;"",'Document Workflow'!A4849,"")</f>
        <v/>
      </c>
    </row>
    <row r="4851" spans="1:1">
      <c r="A4851" s="7" t="str">
        <f>IF('Document Workflow'!A4850&lt;&gt;"",'Document Workflow'!A4850,"")</f>
        <v/>
      </c>
    </row>
    <row r="4852" spans="1:1">
      <c r="A4852" s="7" t="str">
        <f>IF('Document Workflow'!A4851&lt;&gt;"",'Document Workflow'!A4851,"")</f>
        <v/>
      </c>
    </row>
    <row r="4853" spans="1:1">
      <c r="A4853" s="7" t="str">
        <f>IF('Document Workflow'!A4852&lt;&gt;"",'Document Workflow'!A4852,"")</f>
        <v/>
      </c>
    </row>
    <row r="4854" spans="1:1">
      <c r="A4854" s="7" t="str">
        <f>IF('Document Workflow'!A4853&lt;&gt;"",'Document Workflow'!A4853,"")</f>
        <v/>
      </c>
    </row>
    <row r="4855" spans="1:1">
      <c r="A4855" s="7" t="str">
        <f>IF('Document Workflow'!A4854&lt;&gt;"",'Document Workflow'!A4854,"")</f>
        <v/>
      </c>
    </row>
    <row r="4856" spans="1:1">
      <c r="A4856" s="7" t="str">
        <f>IF('Document Workflow'!A4855&lt;&gt;"",'Document Workflow'!A4855,"")</f>
        <v/>
      </c>
    </row>
    <row r="4857" spans="1:1">
      <c r="A4857" s="7" t="str">
        <f>IF('Document Workflow'!A4856&lt;&gt;"",'Document Workflow'!A4856,"")</f>
        <v/>
      </c>
    </row>
    <row r="4858" spans="1:1">
      <c r="A4858" s="7" t="str">
        <f>IF('Document Workflow'!A4857&lt;&gt;"",'Document Workflow'!A4857,"")</f>
        <v/>
      </c>
    </row>
    <row r="4859" spans="1:1">
      <c r="A4859" s="7" t="str">
        <f>IF('Document Workflow'!A4858&lt;&gt;"",'Document Workflow'!A4858,"")</f>
        <v/>
      </c>
    </row>
    <row r="4860" spans="1:1">
      <c r="A4860" s="7" t="str">
        <f>IF('Document Workflow'!A4859&lt;&gt;"",'Document Workflow'!A4859,"")</f>
        <v/>
      </c>
    </row>
    <row r="4861" spans="1:1">
      <c r="A4861" s="7" t="str">
        <f>IF('Document Workflow'!A4860&lt;&gt;"",'Document Workflow'!A4860,"")</f>
        <v/>
      </c>
    </row>
    <row r="4862" spans="1:1">
      <c r="A4862" s="7" t="str">
        <f>IF('Document Workflow'!A4861&lt;&gt;"",'Document Workflow'!A4861,"")</f>
        <v/>
      </c>
    </row>
    <row r="4863" spans="1:1">
      <c r="A4863" s="7" t="str">
        <f>IF('Document Workflow'!A4862&lt;&gt;"",'Document Workflow'!A4862,"")</f>
        <v/>
      </c>
    </row>
    <row r="4864" spans="1:1">
      <c r="A4864" s="7" t="str">
        <f>IF('Document Workflow'!A4863&lt;&gt;"",'Document Workflow'!A4863,"")</f>
        <v/>
      </c>
    </row>
    <row r="4865" spans="1:1">
      <c r="A4865" s="7" t="str">
        <f>IF('Document Workflow'!A4864&lt;&gt;"",'Document Workflow'!A4864,"")</f>
        <v/>
      </c>
    </row>
    <row r="4866" spans="1:1">
      <c r="A4866" s="7" t="str">
        <f>IF('Document Workflow'!A4865&lt;&gt;"",'Document Workflow'!A4865,"")</f>
        <v/>
      </c>
    </row>
    <row r="4867" spans="1:1">
      <c r="A4867" s="7" t="str">
        <f>IF('Document Workflow'!A4866&lt;&gt;"",'Document Workflow'!A4866,"")</f>
        <v/>
      </c>
    </row>
    <row r="4868" spans="1:1">
      <c r="A4868" s="7" t="str">
        <f>IF('Document Workflow'!A4867&lt;&gt;"",'Document Workflow'!A4867,"")</f>
        <v/>
      </c>
    </row>
    <row r="4869" spans="1:1">
      <c r="A4869" s="7" t="str">
        <f>IF('Document Workflow'!A4868&lt;&gt;"",'Document Workflow'!A4868,"")</f>
        <v/>
      </c>
    </row>
    <row r="4870" spans="1:1">
      <c r="A4870" s="7" t="str">
        <f>IF('Document Workflow'!A4869&lt;&gt;"",'Document Workflow'!A4869,"")</f>
        <v/>
      </c>
    </row>
    <row r="4871" spans="1:1">
      <c r="A4871" s="7" t="str">
        <f>IF('Document Workflow'!A4870&lt;&gt;"",'Document Workflow'!A4870,"")</f>
        <v/>
      </c>
    </row>
    <row r="4872" spans="1:1">
      <c r="A4872" s="7" t="str">
        <f>IF('Document Workflow'!A4871&lt;&gt;"",'Document Workflow'!A4871,"")</f>
        <v/>
      </c>
    </row>
    <row r="4873" spans="1:1">
      <c r="A4873" s="7" t="str">
        <f>IF('Document Workflow'!A4872&lt;&gt;"",'Document Workflow'!A4872,"")</f>
        <v/>
      </c>
    </row>
    <row r="4874" spans="1:1">
      <c r="A4874" s="7" t="str">
        <f>IF('Document Workflow'!A4873&lt;&gt;"",'Document Workflow'!A4873,"")</f>
        <v/>
      </c>
    </row>
    <row r="4875" spans="1:1">
      <c r="A4875" s="7" t="str">
        <f>IF('Document Workflow'!A4874&lt;&gt;"",'Document Workflow'!A4874,"")</f>
        <v/>
      </c>
    </row>
    <row r="4876" spans="1:1">
      <c r="A4876" s="7" t="str">
        <f>IF('Document Workflow'!A4875&lt;&gt;"",'Document Workflow'!A4875,"")</f>
        <v/>
      </c>
    </row>
    <row r="4877" spans="1:1">
      <c r="A4877" s="7" t="str">
        <f>IF('Document Workflow'!A4876&lt;&gt;"",'Document Workflow'!A4876,"")</f>
        <v/>
      </c>
    </row>
    <row r="4878" spans="1:1">
      <c r="A4878" s="7" t="str">
        <f>IF('Document Workflow'!A4877&lt;&gt;"",'Document Workflow'!A4877,"")</f>
        <v/>
      </c>
    </row>
    <row r="4879" spans="1:1">
      <c r="A4879" s="7" t="str">
        <f>IF('Document Workflow'!A4878&lt;&gt;"",'Document Workflow'!A4878,"")</f>
        <v/>
      </c>
    </row>
    <row r="4880" spans="1:1">
      <c r="A4880" s="7" t="str">
        <f>IF('Document Workflow'!A4879&lt;&gt;"",'Document Workflow'!A4879,"")</f>
        <v/>
      </c>
    </row>
    <row r="4881" spans="1:1">
      <c r="A4881" s="7" t="str">
        <f>IF('Document Workflow'!A4880&lt;&gt;"",'Document Workflow'!A4880,"")</f>
        <v/>
      </c>
    </row>
    <row r="4882" spans="1:1">
      <c r="A4882" s="7" t="str">
        <f>IF('Document Workflow'!A4881&lt;&gt;"",'Document Workflow'!A4881,"")</f>
        <v/>
      </c>
    </row>
    <row r="4883" spans="1:1">
      <c r="A4883" s="7" t="str">
        <f>IF('Document Workflow'!A4882&lt;&gt;"",'Document Workflow'!A4882,"")</f>
        <v/>
      </c>
    </row>
    <row r="4884" spans="1:1">
      <c r="A4884" s="7" t="str">
        <f>IF('Document Workflow'!A4883&lt;&gt;"",'Document Workflow'!A4883,"")</f>
        <v/>
      </c>
    </row>
    <row r="4885" spans="1:1">
      <c r="A4885" s="7" t="str">
        <f>IF('Document Workflow'!A4884&lt;&gt;"",'Document Workflow'!A4884,"")</f>
        <v/>
      </c>
    </row>
    <row r="4886" spans="1:1">
      <c r="A4886" s="7" t="str">
        <f>IF('Document Workflow'!A4885&lt;&gt;"",'Document Workflow'!A4885,"")</f>
        <v/>
      </c>
    </row>
    <row r="4887" spans="1:1">
      <c r="A4887" s="7" t="str">
        <f>IF('Document Workflow'!A4886&lt;&gt;"",'Document Workflow'!A4886,"")</f>
        <v/>
      </c>
    </row>
    <row r="4888" spans="1:1">
      <c r="A4888" s="7" t="str">
        <f>IF('Document Workflow'!A4887&lt;&gt;"",'Document Workflow'!A4887,"")</f>
        <v/>
      </c>
    </row>
    <row r="4889" spans="1:1">
      <c r="A4889" s="7" t="str">
        <f>IF('Document Workflow'!A4888&lt;&gt;"",'Document Workflow'!A4888,"")</f>
        <v/>
      </c>
    </row>
    <row r="4890" spans="1:1">
      <c r="A4890" s="7" t="str">
        <f>IF('Document Workflow'!A4889&lt;&gt;"",'Document Workflow'!A4889,"")</f>
        <v/>
      </c>
    </row>
    <row r="4891" spans="1:1">
      <c r="A4891" s="7" t="str">
        <f>IF('Document Workflow'!A4890&lt;&gt;"",'Document Workflow'!A4890,"")</f>
        <v/>
      </c>
    </row>
    <row r="4892" spans="1:1">
      <c r="A4892" s="7" t="str">
        <f>IF('Document Workflow'!A4891&lt;&gt;"",'Document Workflow'!A4891,"")</f>
        <v/>
      </c>
    </row>
    <row r="4893" spans="1:1">
      <c r="A4893" s="7" t="str">
        <f>IF('Document Workflow'!A4892&lt;&gt;"",'Document Workflow'!A4892,"")</f>
        <v/>
      </c>
    </row>
    <row r="4894" spans="1:1">
      <c r="A4894" s="7" t="str">
        <f>IF('Document Workflow'!A4893&lt;&gt;"",'Document Workflow'!A4893,"")</f>
        <v/>
      </c>
    </row>
    <row r="4895" spans="1:1">
      <c r="A4895" s="7" t="str">
        <f>IF('Document Workflow'!A4894&lt;&gt;"",'Document Workflow'!A4894,"")</f>
        <v/>
      </c>
    </row>
    <row r="4896" spans="1:1">
      <c r="A4896" s="7" t="str">
        <f>IF('Document Workflow'!A4895&lt;&gt;"",'Document Workflow'!A4895,"")</f>
        <v/>
      </c>
    </row>
    <row r="4897" spans="1:1">
      <c r="A4897" s="7" t="str">
        <f>IF('Document Workflow'!A4896&lt;&gt;"",'Document Workflow'!A4896,"")</f>
        <v/>
      </c>
    </row>
    <row r="4898" spans="1:1">
      <c r="A4898" s="7" t="str">
        <f>IF('Document Workflow'!A4897&lt;&gt;"",'Document Workflow'!A4897,"")</f>
        <v/>
      </c>
    </row>
    <row r="4899" spans="1:1">
      <c r="A4899" s="7" t="str">
        <f>IF('Document Workflow'!A4898&lt;&gt;"",'Document Workflow'!A4898,"")</f>
        <v/>
      </c>
    </row>
    <row r="4900" spans="1:1">
      <c r="A4900" s="7" t="str">
        <f>IF('Document Workflow'!A4899&lt;&gt;"",'Document Workflow'!A4899,"")</f>
        <v/>
      </c>
    </row>
    <row r="4901" spans="1:1">
      <c r="A4901" s="7" t="str">
        <f>IF('Document Workflow'!A4900&lt;&gt;"",'Document Workflow'!A4900,"")</f>
        <v/>
      </c>
    </row>
    <row r="4902" spans="1:1">
      <c r="A4902" s="7" t="str">
        <f>IF('Document Workflow'!A4901&lt;&gt;"",'Document Workflow'!A4901,"")</f>
        <v/>
      </c>
    </row>
    <row r="4903" spans="1:1">
      <c r="A4903" s="7" t="str">
        <f>IF('Document Workflow'!A4902&lt;&gt;"",'Document Workflow'!A4902,"")</f>
        <v/>
      </c>
    </row>
    <row r="4904" spans="1:1">
      <c r="A4904" s="7" t="str">
        <f>IF('Document Workflow'!A4903&lt;&gt;"",'Document Workflow'!A4903,"")</f>
        <v/>
      </c>
    </row>
    <row r="4905" spans="1:1">
      <c r="A4905" s="7" t="str">
        <f>IF('Document Workflow'!A4904&lt;&gt;"",'Document Workflow'!A4904,"")</f>
        <v/>
      </c>
    </row>
    <row r="4906" spans="1:1">
      <c r="A4906" s="7" t="str">
        <f>IF('Document Workflow'!A4905&lt;&gt;"",'Document Workflow'!A4905,"")</f>
        <v/>
      </c>
    </row>
    <row r="4907" spans="1:1">
      <c r="A4907" s="7" t="str">
        <f>IF('Document Workflow'!A4906&lt;&gt;"",'Document Workflow'!A4906,"")</f>
        <v/>
      </c>
    </row>
    <row r="4908" spans="1:1">
      <c r="A4908" s="7" t="str">
        <f>IF('Document Workflow'!A4907&lt;&gt;"",'Document Workflow'!A4907,"")</f>
        <v/>
      </c>
    </row>
    <row r="4909" spans="1:1">
      <c r="A4909" s="7" t="str">
        <f>IF('Document Workflow'!A4908&lt;&gt;"",'Document Workflow'!A4908,"")</f>
        <v/>
      </c>
    </row>
    <row r="4910" spans="1:1">
      <c r="A4910" s="7" t="str">
        <f>IF('Document Workflow'!A4909&lt;&gt;"",'Document Workflow'!A4909,"")</f>
        <v/>
      </c>
    </row>
    <row r="4911" spans="1:1">
      <c r="A4911" s="7" t="str">
        <f>IF('Document Workflow'!A4910&lt;&gt;"",'Document Workflow'!A4910,"")</f>
        <v/>
      </c>
    </row>
    <row r="4912" spans="1:1">
      <c r="A4912" s="7" t="str">
        <f>IF('Document Workflow'!A4911&lt;&gt;"",'Document Workflow'!A4911,"")</f>
        <v/>
      </c>
    </row>
    <row r="4913" spans="1:1">
      <c r="A4913" s="7" t="str">
        <f>IF('Document Workflow'!A4912&lt;&gt;"",'Document Workflow'!A4912,"")</f>
        <v/>
      </c>
    </row>
    <row r="4914" spans="1:1">
      <c r="A4914" s="7" t="str">
        <f>IF('Document Workflow'!A4913&lt;&gt;"",'Document Workflow'!A4913,"")</f>
        <v/>
      </c>
    </row>
    <row r="4915" spans="1:1">
      <c r="A4915" s="7" t="str">
        <f>IF('Document Workflow'!A4914&lt;&gt;"",'Document Workflow'!A4914,"")</f>
        <v/>
      </c>
    </row>
    <row r="4916" spans="1:1">
      <c r="A4916" s="7" t="str">
        <f>IF('Document Workflow'!A4915&lt;&gt;"",'Document Workflow'!A4915,"")</f>
        <v/>
      </c>
    </row>
    <row r="4917" spans="1:1">
      <c r="A4917" s="7" t="str">
        <f>IF('Document Workflow'!A4916&lt;&gt;"",'Document Workflow'!A4916,"")</f>
        <v/>
      </c>
    </row>
    <row r="4918" spans="1:1">
      <c r="A4918" s="7" t="str">
        <f>IF('Document Workflow'!A4917&lt;&gt;"",'Document Workflow'!A4917,"")</f>
        <v/>
      </c>
    </row>
    <row r="4919" spans="1:1">
      <c r="A4919" s="7" t="str">
        <f>IF('Document Workflow'!A4918&lt;&gt;"",'Document Workflow'!A4918,"")</f>
        <v/>
      </c>
    </row>
    <row r="4920" spans="1:1">
      <c r="A4920" s="7" t="str">
        <f>IF('Document Workflow'!A4919&lt;&gt;"",'Document Workflow'!A4919,"")</f>
        <v/>
      </c>
    </row>
    <row r="4921" spans="1:1">
      <c r="A4921" s="7" t="str">
        <f>IF('Document Workflow'!A4920&lt;&gt;"",'Document Workflow'!A4920,"")</f>
        <v/>
      </c>
    </row>
    <row r="4922" spans="1:1">
      <c r="A4922" s="7" t="str">
        <f>IF('Document Workflow'!A4921&lt;&gt;"",'Document Workflow'!A4921,"")</f>
        <v/>
      </c>
    </row>
    <row r="4923" spans="1:1">
      <c r="A4923" s="7" t="str">
        <f>IF('Document Workflow'!A4922&lt;&gt;"",'Document Workflow'!A4922,"")</f>
        <v/>
      </c>
    </row>
    <row r="4924" spans="1:1">
      <c r="A4924" s="7" t="str">
        <f>IF('Document Workflow'!A4923&lt;&gt;"",'Document Workflow'!A4923,"")</f>
        <v/>
      </c>
    </row>
    <row r="4925" spans="1:1">
      <c r="A4925" s="7" t="str">
        <f>IF('Document Workflow'!A4924&lt;&gt;"",'Document Workflow'!A4924,"")</f>
        <v/>
      </c>
    </row>
    <row r="4926" spans="1:1">
      <c r="A4926" s="7" t="str">
        <f>IF('Document Workflow'!A4925&lt;&gt;"",'Document Workflow'!A4925,"")</f>
        <v/>
      </c>
    </row>
    <row r="4927" spans="1:1">
      <c r="A4927" s="7" t="str">
        <f>IF('Document Workflow'!A4926&lt;&gt;"",'Document Workflow'!A4926,"")</f>
        <v/>
      </c>
    </row>
    <row r="4928" spans="1:1">
      <c r="A4928" s="7" t="str">
        <f>IF('Document Workflow'!A4927&lt;&gt;"",'Document Workflow'!A4927,"")</f>
        <v/>
      </c>
    </row>
    <row r="4929" spans="1:1">
      <c r="A4929" s="7" t="str">
        <f>IF('Document Workflow'!A4928&lt;&gt;"",'Document Workflow'!A4928,"")</f>
        <v/>
      </c>
    </row>
    <row r="4930" spans="1:1">
      <c r="A4930" s="7" t="str">
        <f>IF('Document Workflow'!A4929&lt;&gt;"",'Document Workflow'!A4929,"")</f>
        <v/>
      </c>
    </row>
    <row r="4931" spans="1:1">
      <c r="A4931" s="7" t="str">
        <f>IF('Document Workflow'!A4930&lt;&gt;"",'Document Workflow'!A4930,"")</f>
        <v/>
      </c>
    </row>
    <row r="4932" spans="1:1">
      <c r="A4932" s="7" t="str">
        <f>IF('Document Workflow'!A4931&lt;&gt;"",'Document Workflow'!A4931,"")</f>
        <v/>
      </c>
    </row>
    <row r="4933" spans="1:1">
      <c r="A4933" s="7" t="str">
        <f>IF('Document Workflow'!A4932&lt;&gt;"",'Document Workflow'!A4932,"")</f>
        <v/>
      </c>
    </row>
    <row r="4934" spans="1:1">
      <c r="A4934" s="7" t="str">
        <f>IF('Document Workflow'!A4933&lt;&gt;"",'Document Workflow'!A4933,"")</f>
        <v/>
      </c>
    </row>
    <row r="4935" spans="1:1">
      <c r="A4935" s="7" t="str">
        <f>IF('Document Workflow'!A4934&lt;&gt;"",'Document Workflow'!A4934,"")</f>
        <v/>
      </c>
    </row>
    <row r="4936" spans="1:1">
      <c r="A4936" s="7" t="str">
        <f>IF('Document Workflow'!A4935&lt;&gt;"",'Document Workflow'!A4935,"")</f>
        <v/>
      </c>
    </row>
    <row r="4937" spans="1:1">
      <c r="A4937" s="7" t="str">
        <f>IF('Document Workflow'!A4936&lt;&gt;"",'Document Workflow'!A4936,"")</f>
        <v/>
      </c>
    </row>
    <row r="4938" spans="1:1">
      <c r="A4938" s="7" t="str">
        <f>IF('Document Workflow'!A4937&lt;&gt;"",'Document Workflow'!A4937,"")</f>
        <v/>
      </c>
    </row>
    <row r="4939" spans="1:1">
      <c r="A4939" s="7" t="str">
        <f>IF('Document Workflow'!A4938&lt;&gt;"",'Document Workflow'!A4938,"")</f>
        <v/>
      </c>
    </row>
    <row r="4940" spans="1:1">
      <c r="A4940" s="7" t="str">
        <f>IF('Document Workflow'!A4939&lt;&gt;"",'Document Workflow'!A4939,"")</f>
        <v/>
      </c>
    </row>
    <row r="4941" spans="1:1">
      <c r="A4941" s="7" t="str">
        <f>IF('Document Workflow'!A4940&lt;&gt;"",'Document Workflow'!A4940,"")</f>
        <v/>
      </c>
    </row>
    <row r="4942" spans="1:1">
      <c r="A4942" s="7" t="str">
        <f>IF('Document Workflow'!A4941&lt;&gt;"",'Document Workflow'!A4941,"")</f>
        <v/>
      </c>
    </row>
    <row r="4943" spans="1:1">
      <c r="A4943" s="7" t="str">
        <f>IF('Document Workflow'!A4942&lt;&gt;"",'Document Workflow'!A4942,"")</f>
        <v/>
      </c>
    </row>
    <row r="4944" spans="1:1">
      <c r="A4944" s="7" t="str">
        <f>IF('Document Workflow'!A4943&lt;&gt;"",'Document Workflow'!A4943,"")</f>
        <v/>
      </c>
    </row>
    <row r="4945" spans="1:1">
      <c r="A4945" s="7" t="str">
        <f>IF('Document Workflow'!A4944&lt;&gt;"",'Document Workflow'!A4944,"")</f>
        <v/>
      </c>
    </row>
    <row r="4946" spans="1:1">
      <c r="A4946" s="7" t="str">
        <f>IF('Document Workflow'!A4945&lt;&gt;"",'Document Workflow'!A4945,"")</f>
        <v/>
      </c>
    </row>
    <row r="4947" spans="1:1">
      <c r="A4947" s="7" t="str">
        <f>IF('Document Workflow'!A4946&lt;&gt;"",'Document Workflow'!A4946,"")</f>
        <v/>
      </c>
    </row>
    <row r="4948" spans="1:1">
      <c r="A4948" s="7" t="str">
        <f>IF('Document Workflow'!A4947&lt;&gt;"",'Document Workflow'!A4947,"")</f>
        <v/>
      </c>
    </row>
    <row r="4949" spans="1:1">
      <c r="A4949" s="7" t="str">
        <f>IF('Document Workflow'!A4948&lt;&gt;"",'Document Workflow'!A4948,"")</f>
        <v/>
      </c>
    </row>
    <row r="4950" spans="1:1">
      <c r="A4950" s="7" t="str">
        <f>IF('Document Workflow'!A4949&lt;&gt;"",'Document Workflow'!A4949,"")</f>
        <v/>
      </c>
    </row>
    <row r="4951" spans="1:1">
      <c r="A4951" s="7" t="str">
        <f>IF('Document Workflow'!A4950&lt;&gt;"",'Document Workflow'!A4950,"")</f>
        <v/>
      </c>
    </row>
    <row r="4952" spans="1:1">
      <c r="A4952" s="7" t="str">
        <f>IF('Document Workflow'!A4951&lt;&gt;"",'Document Workflow'!A4951,"")</f>
        <v/>
      </c>
    </row>
    <row r="4953" spans="1:1">
      <c r="A4953" s="7" t="str">
        <f>IF('Document Workflow'!A4952&lt;&gt;"",'Document Workflow'!A4952,"")</f>
        <v/>
      </c>
    </row>
    <row r="4954" spans="1:1">
      <c r="A4954" s="7" t="str">
        <f>IF('Document Workflow'!A4953&lt;&gt;"",'Document Workflow'!A4953,"")</f>
        <v/>
      </c>
    </row>
    <row r="4955" spans="1:1">
      <c r="A4955" s="7" t="str">
        <f>IF('Document Workflow'!A4954&lt;&gt;"",'Document Workflow'!A4954,"")</f>
        <v/>
      </c>
    </row>
    <row r="4956" spans="1:1">
      <c r="A4956" s="7" t="str">
        <f>IF('Document Workflow'!A4955&lt;&gt;"",'Document Workflow'!A4955,"")</f>
        <v/>
      </c>
    </row>
    <row r="4957" spans="1:1">
      <c r="A4957" s="7" t="str">
        <f>IF('Document Workflow'!A4956&lt;&gt;"",'Document Workflow'!A4956,"")</f>
        <v/>
      </c>
    </row>
    <row r="4958" spans="1:1">
      <c r="A4958" s="7" t="str">
        <f>IF('Document Workflow'!A4957&lt;&gt;"",'Document Workflow'!A4957,"")</f>
        <v/>
      </c>
    </row>
    <row r="4959" spans="1:1">
      <c r="A4959" s="7" t="str">
        <f>IF('Document Workflow'!A4958&lt;&gt;"",'Document Workflow'!A4958,"")</f>
        <v/>
      </c>
    </row>
    <row r="4960" spans="1:1">
      <c r="A4960" s="7" t="str">
        <f>IF('Document Workflow'!A4959&lt;&gt;"",'Document Workflow'!A4959,"")</f>
        <v/>
      </c>
    </row>
    <row r="4961" spans="1:1">
      <c r="A4961" s="7" t="str">
        <f>IF('Document Workflow'!A4960&lt;&gt;"",'Document Workflow'!A4960,"")</f>
        <v/>
      </c>
    </row>
    <row r="4962" spans="1:1">
      <c r="A4962" s="7" t="str">
        <f>IF('Document Workflow'!A4961&lt;&gt;"",'Document Workflow'!A4961,"")</f>
        <v/>
      </c>
    </row>
    <row r="4963" spans="1:1">
      <c r="A4963" s="7" t="str">
        <f>IF('Document Workflow'!A4962&lt;&gt;"",'Document Workflow'!A4962,"")</f>
        <v/>
      </c>
    </row>
    <row r="4964" spans="1:1">
      <c r="A4964" s="7" t="str">
        <f>IF('Document Workflow'!A4963&lt;&gt;"",'Document Workflow'!A4963,"")</f>
        <v/>
      </c>
    </row>
    <row r="4965" spans="1:1">
      <c r="A4965" s="7" t="str">
        <f>IF('Document Workflow'!A4964&lt;&gt;"",'Document Workflow'!A4964,"")</f>
        <v/>
      </c>
    </row>
    <row r="4966" spans="1:1">
      <c r="A4966" s="7" t="str">
        <f>IF('Document Workflow'!A4965&lt;&gt;"",'Document Workflow'!A4965,"")</f>
        <v/>
      </c>
    </row>
    <row r="4967" spans="1:1">
      <c r="A4967" s="7" t="str">
        <f>IF('Document Workflow'!A4966&lt;&gt;"",'Document Workflow'!A4966,"")</f>
        <v/>
      </c>
    </row>
    <row r="4968" spans="1:1">
      <c r="A4968" s="7" t="str">
        <f>IF('Document Workflow'!A4967&lt;&gt;"",'Document Workflow'!A4967,"")</f>
        <v/>
      </c>
    </row>
    <row r="4969" spans="1:1">
      <c r="A4969" s="7" t="str">
        <f>IF('Document Workflow'!A4968&lt;&gt;"",'Document Workflow'!A4968,"")</f>
        <v/>
      </c>
    </row>
    <row r="4970" spans="1:1">
      <c r="A4970" s="7" t="str">
        <f>IF('Document Workflow'!A4969&lt;&gt;"",'Document Workflow'!A4969,"")</f>
        <v/>
      </c>
    </row>
    <row r="4971" spans="1:1">
      <c r="A4971" s="7" t="str">
        <f>IF('Document Workflow'!A4970&lt;&gt;"",'Document Workflow'!A4970,"")</f>
        <v/>
      </c>
    </row>
    <row r="4972" spans="1:1">
      <c r="A4972" s="7" t="str">
        <f>IF('Document Workflow'!A4971&lt;&gt;"",'Document Workflow'!A4971,"")</f>
        <v/>
      </c>
    </row>
    <row r="4973" spans="1:1">
      <c r="A4973" s="7" t="str">
        <f>IF('Document Workflow'!A4972&lt;&gt;"",'Document Workflow'!A4972,"")</f>
        <v/>
      </c>
    </row>
    <row r="4974" spans="1:1">
      <c r="A4974" s="7" t="str">
        <f>IF('Document Workflow'!A4973&lt;&gt;"",'Document Workflow'!A4973,"")</f>
        <v/>
      </c>
    </row>
    <row r="4975" spans="1:1">
      <c r="A4975" s="7" t="str">
        <f>IF('Document Workflow'!A4974&lt;&gt;"",'Document Workflow'!A4974,"")</f>
        <v/>
      </c>
    </row>
    <row r="4976" spans="1:1">
      <c r="A4976" s="7" t="str">
        <f>IF('Document Workflow'!A4975&lt;&gt;"",'Document Workflow'!A4975,"")</f>
        <v/>
      </c>
    </row>
    <row r="4977" spans="1:1">
      <c r="A4977" s="7" t="str">
        <f>IF('Document Workflow'!A4976&lt;&gt;"",'Document Workflow'!A4976,"")</f>
        <v/>
      </c>
    </row>
    <row r="4978" spans="1:1">
      <c r="A4978" s="7" t="str">
        <f>IF('Document Workflow'!A4977&lt;&gt;"",'Document Workflow'!A4977,"")</f>
        <v/>
      </c>
    </row>
    <row r="4979" spans="1:1">
      <c r="A4979" s="7" t="str">
        <f>IF('Document Workflow'!A4978&lt;&gt;"",'Document Workflow'!A4978,"")</f>
        <v/>
      </c>
    </row>
    <row r="4980" spans="1:1">
      <c r="A4980" s="7" t="str">
        <f>IF('Document Workflow'!A4979&lt;&gt;"",'Document Workflow'!A4979,"")</f>
        <v/>
      </c>
    </row>
    <row r="4981" spans="1:1">
      <c r="A4981" s="7" t="str">
        <f>IF('Document Workflow'!A4980&lt;&gt;"",'Document Workflow'!A4980,"")</f>
        <v/>
      </c>
    </row>
    <row r="4982" spans="1:1">
      <c r="A4982" s="7" t="str">
        <f>IF('Document Workflow'!A4981&lt;&gt;"",'Document Workflow'!A4981,"")</f>
        <v/>
      </c>
    </row>
    <row r="4983" spans="1:1">
      <c r="A4983" s="7" t="str">
        <f>IF('Document Workflow'!A4982&lt;&gt;"",'Document Workflow'!A4982,"")</f>
        <v/>
      </c>
    </row>
    <row r="4984" spans="1:1">
      <c r="A4984" s="7" t="str">
        <f>IF('Document Workflow'!A4983&lt;&gt;"",'Document Workflow'!A4983,"")</f>
        <v/>
      </c>
    </row>
    <row r="4985" spans="1:1">
      <c r="A4985" s="7" t="str">
        <f>IF('Document Workflow'!A4984&lt;&gt;"",'Document Workflow'!A4984,"")</f>
        <v/>
      </c>
    </row>
    <row r="4986" spans="1:1">
      <c r="A4986" s="7" t="str">
        <f>IF('Document Workflow'!A4985&lt;&gt;"",'Document Workflow'!A4985,"")</f>
        <v/>
      </c>
    </row>
    <row r="4987" spans="1:1">
      <c r="A4987" s="7" t="str">
        <f>IF('Document Workflow'!A4986&lt;&gt;"",'Document Workflow'!A4986,"")</f>
        <v/>
      </c>
    </row>
    <row r="4988" spans="1:1">
      <c r="A4988" s="7" t="str">
        <f>IF('Document Workflow'!A4987&lt;&gt;"",'Document Workflow'!A4987,"")</f>
        <v/>
      </c>
    </row>
    <row r="4989" spans="1:1">
      <c r="A4989" s="7" t="str">
        <f>IF('Document Workflow'!A4988&lt;&gt;"",'Document Workflow'!A4988,"")</f>
        <v/>
      </c>
    </row>
    <row r="4990" spans="1:1">
      <c r="A4990" s="7" t="str">
        <f>IF('Document Workflow'!A4989&lt;&gt;"",'Document Workflow'!A4989,"")</f>
        <v/>
      </c>
    </row>
    <row r="4991" spans="1:1">
      <c r="A4991" s="7" t="str">
        <f>IF('Document Workflow'!A4990&lt;&gt;"",'Document Workflow'!A4990,"")</f>
        <v/>
      </c>
    </row>
    <row r="4992" spans="1:1">
      <c r="A4992" s="7" t="str">
        <f>IF('Document Workflow'!A4991&lt;&gt;"",'Document Workflow'!A4991,"")</f>
        <v/>
      </c>
    </row>
    <row r="4993" spans="1:1">
      <c r="A4993" s="7" t="str">
        <f>IF('Document Workflow'!A4992&lt;&gt;"",'Document Workflow'!A4992,"")</f>
        <v/>
      </c>
    </row>
    <row r="4994" spans="1:1">
      <c r="A4994" s="7" t="str">
        <f>IF('Document Workflow'!A4993&lt;&gt;"",'Document Workflow'!A4993,"")</f>
        <v/>
      </c>
    </row>
    <row r="4995" spans="1:1">
      <c r="A4995" s="7" t="str">
        <f>IF('Document Workflow'!A4994&lt;&gt;"",'Document Workflow'!A4994,"")</f>
        <v/>
      </c>
    </row>
    <row r="4996" spans="1:1">
      <c r="A4996" s="7" t="str">
        <f>IF('Document Workflow'!A4995&lt;&gt;"",'Document Workflow'!A4995,"")</f>
        <v/>
      </c>
    </row>
    <row r="4997" spans="1:1">
      <c r="A4997" s="7" t="str">
        <f>IF('Document Workflow'!A4996&lt;&gt;"",'Document Workflow'!A4996,"")</f>
        <v/>
      </c>
    </row>
    <row r="4998" spans="1:1">
      <c r="A4998" s="7" t="str">
        <f>IF('Document Workflow'!A4997&lt;&gt;"",'Document Workflow'!A4997,"")</f>
        <v/>
      </c>
    </row>
    <row r="4999" spans="1:1">
      <c r="A4999" s="7" t="str">
        <f>IF('Document Workflow'!A4998&lt;&gt;"",'Document Workflow'!A4998,"")</f>
        <v/>
      </c>
    </row>
    <row r="5000" spans="1:1">
      <c r="A5000" s="7" t="str">
        <f>IF('Document Workflow'!A4999&lt;&gt;"",'Document Workflow'!A4999,"")</f>
        <v/>
      </c>
    </row>
    <row r="5001" spans="1:1">
      <c r="A5001" s="7" t="str">
        <f>IF('Document Workflow'!A5000&lt;&gt;"",'Document Workflow'!A5000,"")</f>
        <v/>
      </c>
    </row>
    <row r="5002" spans="1:1">
      <c r="A5002" s="7" t="str">
        <f>IF('Document Workflow'!A5001&lt;&gt;"",'Document Workflow'!A5001,"")</f>
        <v/>
      </c>
    </row>
    <row r="5003" spans="1:1">
      <c r="A5003" s="7" t="str">
        <f>IF('Document Workflow'!A5002&lt;&gt;"",'Document Workflow'!A5002,"")</f>
        <v/>
      </c>
    </row>
    <row r="5004" spans="1:1">
      <c r="A5004" s="7" t="str">
        <f>IF('Document Workflow'!A5003&lt;&gt;"",'Document Workflow'!A5003,"")</f>
        <v/>
      </c>
    </row>
    <row r="5005" spans="1:1">
      <c r="A5005" s="7" t="str">
        <f>IF('Document Workflow'!A5004&lt;&gt;"",'Document Workflow'!A5004,"")</f>
        <v/>
      </c>
    </row>
    <row r="5006" spans="1:1">
      <c r="A5006" s="7" t="str">
        <f>IF('Document Workflow'!A5005&lt;&gt;"",'Document Workflow'!A5005,"")</f>
        <v/>
      </c>
    </row>
    <row r="5007" spans="1:1">
      <c r="A5007" s="7" t="str">
        <f>IF('Document Workflow'!A5006&lt;&gt;"",'Document Workflow'!A5006,"")</f>
        <v/>
      </c>
    </row>
    <row r="5008" spans="1:1">
      <c r="A5008" s="7" t="str">
        <f>IF('Document Workflow'!A5007&lt;&gt;"",'Document Workflow'!A5007,"")</f>
        <v/>
      </c>
    </row>
    <row r="5009" spans="1:1">
      <c r="A5009" s="7" t="str">
        <f>IF('Document Workflow'!A5008&lt;&gt;"",'Document Workflow'!A5008,"")</f>
        <v/>
      </c>
    </row>
    <row r="5010" spans="1:1">
      <c r="A5010" s="7" t="str">
        <f>IF('Document Workflow'!A5009&lt;&gt;"",'Document Workflow'!A5009,"")</f>
        <v/>
      </c>
    </row>
    <row r="5011" spans="1:1">
      <c r="A5011" s="7" t="str">
        <f>IF('Document Workflow'!A5010&lt;&gt;"",'Document Workflow'!A5010,"")</f>
        <v/>
      </c>
    </row>
    <row r="5012" spans="1:1">
      <c r="A5012" s="7" t="str">
        <f>IF('Document Workflow'!A5011&lt;&gt;"",'Document Workflow'!A5011,"")</f>
        <v/>
      </c>
    </row>
    <row r="5013" spans="1:1">
      <c r="A5013" s="7" t="str">
        <f>IF('Document Workflow'!A5012&lt;&gt;"",'Document Workflow'!A5012,"")</f>
        <v/>
      </c>
    </row>
    <row r="5014" spans="1:1">
      <c r="A5014" s="7" t="str">
        <f>IF('Document Workflow'!A5013&lt;&gt;"",'Document Workflow'!A5013,"")</f>
        <v/>
      </c>
    </row>
    <row r="5015" spans="1:1">
      <c r="A5015" s="7" t="str">
        <f>IF('Document Workflow'!A5014&lt;&gt;"",'Document Workflow'!A5014,"")</f>
        <v/>
      </c>
    </row>
    <row r="5016" spans="1:1">
      <c r="A5016" s="7" t="str">
        <f>IF('Document Workflow'!A5015&lt;&gt;"",'Document Workflow'!A5015,"")</f>
        <v/>
      </c>
    </row>
    <row r="5017" spans="1:1">
      <c r="A5017" s="7" t="str">
        <f>IF('Document Workflow'!A5016&lt;&gt;"",'Document Workflow'!A5016,"")</f>
        <v/>
      </c>
    </row>
    <row r="5018" spans="1:1">
      <c r="A5018" s="7" t="str">
        <f>IF('Document Workflow'!A5017&lt;&gt;"",'Document Workflow'!A5017,"")</f>
        <v/>
      </c>
    </row>
    <row r="5019" spans="1:1">
      <c r="A5019" s="7" t="str">
        <f>IF('Document Workflow'!A5018&lt;&gt;"",'Document Workflow'!A5018,"")</f>
        <v/>
      </c>
    </row>
    <row r="5020" spans="1:1">
      <c r="A5020" s="7" t="str">
        <f>IF('Document Workflow'!A5019&lt;&gt;"",'Document Workflow'!A5019,"")</f>
        <v/>
      </c>
    </row>
    <row r="5021" spans="1:1">
      <c r="A5021" s="7" t="str">
        <f>IF('Document Workflow'!A5020&lt;&gt;"",'Document Workflow'!A5020,"")</f>
        <v/>
      </c>
    </row>
    <row r="5022" spans="1:1">
      <c r="A5022" s="7" t="str">
        <f>IF('Document Workflow'!A5021&lt;&gt;"",'Document Workflow'!A5021,"")</f>
        <v/>
      </c>
    </row>
    <row r="5023" spans="1:1">
      <c r="A5023" s="7" t="str">
        <f>IF('Document Workflow'!A5022&lt;&gt;"",'Document Workflow'!A5022,"")</f>
        <v/>
      </c>
    </row>
    <row r="5024" spans="1:1">
      <c r="A5024" s="7" t="str">
        <f>IF('Document Workflow'!A5023&lt;&gt;"",'Document Workflow'!A5023,"")</f>
        <v/>
      </c>
    </row>
    <row r="5025" spans="1:1">
      <c r="A5025" s="7" t="str">
        <f>IF('Document Workflow'!A5024&lt;&gt;"",'Document Workflow'!A5024,"")</f>
        <v/>
      </c>
    </row>
    <row r="5026" spans="1:1">
      <c r="A5026" s="7" t="str">
        <f>IF('Document Workflow'!A5025&lt;&gt;"",'Document Workflow'!A5025,"")</f>
        <v/>
      </c>
    </row>
    <row r="5027" spans="1:1">
      <c r="A5027" s="7" t="str">
        <f>IF('Document Workflow'!A5026&lt;&gt;"",'Document Workflow'!A5026,"")</f>
        <v/>
      </c>
    </row>
    <row r="5028" spans="1:1">
      <c r="A5028" s="7" t="str">
        <f>IF('Document Workflow'!A5027&lt;&gt;"",'Document Workflow'!A5027,"")</f>
        <v/>
      </c>
    </row>
    <row r="5029" spans="1:1">
      <c r="A5029" s="7" t="str">
        <f>IF('Document Workflow'!A5028&lt;&gt;"",'Document Workflow'!A5028,"")</f>
        <v/>
      </c>
    </row>
    <row r="5030" spans="1:1">
      <c r="A5030" s="7" t="str">
        <f>IF('Document Workflow'!A5029&lt;&gt;"",'Document Workflow'!A5029,"")</f>
        <v/>
      </c>
    </row>
    <row r="5031" spans="1:1">
      <c r="A5031" s="7" t="str">
        <f>IF('Document Workflow'!A5030&lt;&gt;"",'Document Workflow'!A5030,"")</f>
        <v/>
      </c>
    </row>
    <row r="5032" spans="1:1">
      <c r="A5032" s="7" t="str">
        <f>IF('Document Workflow'!A5031&lt;&gt;"",'Document Workflow'!A5031,"")</f>
        <v/>
      </c>
    </row>
    <row r="5033" spans="1:1">
      <c r="A5033" s="7" t="str">
        <f>IF('Document Workflow'!A5032&lt;&gt;"",'Document Workflow'!A5032,"")</f>
        <v/>
      </c>
    </row>
    <row r="5034" spans="1:1">
      <c r="A5034" s="7" t="str">
        <f>IF('Document Workflow'!A5033&lt;&gt;"",'Document Workflow'!A5033,"")</f>
        <v/>
      </c>
    </row>
    <row r="5035" spans="1:1">
      <c r="A5035" s="7" t="str">
        <f>IF('Document Workflow'!A5034&lt;&gt;"",'Document Workflow'!A5034,"")</f>
        <v/>
      </c>
    </row>
    <row r="5036" spans="1:1">
      <c r="A5036" s="7" t="str">
        <f>IF('Document Workflow'!A5035&lt;&gt;"",'Document Workflow'!A5035,"")</f>
        <v/>
      </c>
    </row>
    <row r="5037" spans="1:1">
      <c r="A5037" s="7" t="str">
        <f>IF('Document Workflow'!A5036&lt;&gt;"",'Document Workflow'!A5036,"")</f>
        <v/>
      </c>
    </row>
    <row r="5038" spans="1:1">
      <c r="A5038" s="7" t="str">
        <f>IF('Document Workflow'!A5037&lt;&gt;"",'Document Workflow'!A5037,"")</f>
        <v/>
      </c>
    </row>
    <row r="5039" spans="1:1">
      <c r="A5039" s="7" t="str">
        <f>IF('Document Workflow'!A5038&lt;&gt;"",'Document Workflow'!A5038,"")</f>
        <v/>
      </c>
    </row>
    <row r="5040" spans="1:1">
      <c r="A5040" s="7" t="str">
        <f>IF('Document Workflow'!A5039&lt;&gt;"",'Document Workflow'!A5039,"")</f>
        <v/>
      </c>
    </row>
    <row r="5041" spans="1:1">
      <c r="A5041" s="7" t="str">
        <f>IF('Document Workflow'!A5040&lt;&gt;"",'Document Workflow'!A5040,"")</f>
        <v/>
      </c>
    </row>
    <row r="5042" spans="1:1">
      <c r="A5042" s="7" t="str">
        <f>IF('Document Workflow'!A5041&lt;&gt;"",'Document Workflow'!A5041,"")</f>
        <v/>
      </c>
    </row>
    <row r="5043" spans="1:1">
      <c r="A5043" s="7" t="str">
        <f>IF('Document Workflow'!A5042&lt;&gt;"",'Document Workflow'!A5042,"")</f>
        <v/>
      </c>
    </row>
    <row r="5044" spans="1:1">
      <c r="A5044" s="7" t="str">
        <f>IF('Document Workflow'!A5043&lt;&gt;"",'Document Workflow'!A5043,"")</f>
        <v/>
      </c>
    </row>
    <row r="5045" spans="1:1">
      <c r="A5045" s="7" t="str">
        <f>IF('Document Workflow'!A5044&lt;&gt;"",'Document Workflow'!A5044,"")</f>
        <v/>
      </c>
    </row>
    <row r="5046" spans="1:1">
      <c r="A5046" s="7" t="str">
        <f>IF('Document Workflow'!A5045&lt;&gt;"",'Document Workflow'!A5045,"")</f>
        <v/>
      </c>
    </row>
    <row r="5047" spans="1:1">
      <c r="A5047" s="7" t="str">
        <f>IF('Document Workflow'!A5046&lt;&gt;"",'Document Workflow'!A5046,"")</f>
        <v/>
      </c>
    </row>
    <row r="5048" spans="1:1">
      <c r="A5048" s="7" t="str">
        <f>IF('Document Workflow'!A5047&lt;&gt;"",'Document Workflow'!A5047,"")</f>
        <v/>
      </c>
    </row>
    <row r="5049" spans="1:1">
      <c r="A5049" s="7" t="str">
        <f>IF('Document Workflow'!A5048&lt;&gt;"",'Document Workflow'!A5048,"")</f>
        <v/>
      </c>
    </row>
    <row r="5050" spans="1:1">
      <c r="A5050" s="7" t="str">
        <f>IF('Document Workflow'!A5049&lt;&gt;"",'Document Workflow'!A5049,"")</f>
        <v/>
      </c>
    </row>
    <row r="5051" spans="1:1">
      <c r="A5051" s="7" t="str">
        <f>IF('Document Workflow'!A5050&lt;&gt;"",'Document Workflow'!A5050,"")</f>
        <v/>
      </c>
    </row>
    <row r="5052" spans="1:1">
      <c r="A5052" s="7" t="str">
        <f>IF('Document Workflow'!A5051&lt;&gt;"",'Document Workflow'!A5051,"")</f>
        <v/>
      </c>
    </row>
    <row r="5053" spans="1:1">
      <c r="A5053" s="7" t="str">
        <f>IF('Document Workflow'!A5052&lt;&gt;"",'Document Workflow'!A5052,"")</f>
        <v/>
      </c>
    </row>
    <row r="5054" spans="1:1">
      <c r="A5054" s="7" t="str">
        <f>IF('Document Workflow'!A5053&lt;&gt;"",'Document Workflow'!A5053,"")</f>
        <v/>
      </c>
    </row>
    <row r="5055" spans="1:1">
      <c r="A5055" s="7" t="str">
        <f>IF('Document Workflow'!A5054&lt;&gt;"",'Document Workflow'!A5054,"")</f>
        <v/>
      </c>
    </row>
    <row r="5056" spans="1:1">
      <c r="A5056" s="7" t="str">
        <f>IF('Document Workflow'!A5055&lt;&gt;"",'Document Workflow'!A5055,"")</f>
        <v/>
      </c>
    </row>
    <row r="5057" spans="1:1">
      <c r="A5057" s="7" t="str">
        <f>IF('Document Workflow'!A5056&lt;&gt;"",'Document Workflow'!A5056,"")</f>
        <v/>
      </c>
    </row>
    <row r="5058" spans="1:1">
      <c r="A5058" s="7" t="str">
        <f>IF('Document Workflow'!A5057&lt;&gt;"",'Document Workflow'!A5057,"")</f>
        <v/>
      </c>
    </row>
    <row r="5059" spans="1:1">
      <c r="A5059" s="7" t="str">
        <f>IF('Document Workflow'!A5058&lt;&gt;"",'Document Workflow'!A5058,"")</f>
        <v/>
      </c>
    </row>
    <row r="5060" spans="1:1">
      <c r="A5060" s="7" t="str">
        <f>IF('Document Workflow'!A5059&lt;&gt;"",'Document Workflow'!A5059,"")</f>
        <v/>
      </c>
    </row>
    <row r="5061" spans="1:1">
      <c r="A5061" s="7" t="str">
        <f>IF('Document Workflow'!A5060&lt;&gt;"",'Document Workflow'!A5060,"")</f>
        <v/>
      </c>
    </row>
    <row r="5062" spans="1:1">
      <c r="A5062" s="7" t="str">
        <f>IF('Document Workflow'!A5061&lt;&gt;"",'Document Workflow'!A5061,"")</f>
        <v/>
      </c>
    </row>
    <row r="5063" spans="1:1">
      <c r="A5063" s="7" t="str">
        <f>IF('Document Workflow'!A5062&lt;&gt;"",'Document Workflow'!A5062,"")</f>
        <v/>
      </c>
    </row>
    <row r="5064" spans="1:1">
      <c r="A5064" s="7" t="str">
        <f>IF('Document Workflow'!A5063&lt;&gt;"",'Document Workflow'!A5063,"")</f>
        <v/>
      </c>
    </row>
    <row r="5065" spans="1:1">
      <c r="A5065" s="7" t="str">
        <f>IF('Document Workflow'!A5064&lt;&gt;"",'Document Workflow'!A5064,"")</f>
        <v/>
      </c>
    </row>
    <row r="5066" spans="1:1">
      <c r="A5066" s="7" t="str">
        <f>IF('Document Workflow'!A5065&lt;&gt;"",'Document Workflow'!A5065,"")</f>
        <v/>
      </c>
    </row>
    <row r="5067" spans="1:1">
      <c r="A5067" s="7" t="str">
        <f>IF('Document Workflow'!A5066&lt;&gt;"",'Document Workflow'!A5066,"")</f>
        <v/>
      </c>
    </row>
    <row r="5068" spans="1:1">
      <c r="A5068" s="7" t="str">
        <f>IF('Document Workflow'!A5067&lt;&gt;"",'Document Workflow'!A5067,"")</f>
        <v/>
      </c>
    </row>
    <row r="5069" spans="1:1">
      <c r="A5069" s="7" t="str">
        <f>IF('Document Workflow'!A5068&lt;&gt;"",'Document Workflow'!A5068,"")</f>
        <v/>
      </c>
    </row>
    <row r="5070" spans="1:1">
      <c r="A5070" s="7" t="str">
        <f>IF('Document Workflow'!A5069&lt;&gt;"",'Document Workflow'!A5069,"")</f>
        <v/>
      </c>
    </row>
    <row r="5071" spans="1:1">
      <c r="A5071" s="7" t="str">
        <f>IF('Document Workflow'!A5070&lt;&gt;"",'Document Workflow'!A5070,"")</f>
        <v/>
      </c>
    </row>
    <row r="5072" spans="1:1">
      <c r="A5072" s="7" t="str">
        <f>IF('Document Workflow'!A5071&lt;&gt;"",'Document Workflow'!A5071,"")</f>
        <v/>
      </c>
    </row>
    <row r="5073" spans="1:1">
      <c r="A5073" s="7" t="str">
        <f>IF('Document Workflow'!A5072&lt;&gt;"",'Document Workflow'!A5072,"")</f>
        <v/>
      </c>
    </row>
    <row r="5074" spans="1:1">
      <c r="A5074" s="7" t="str">
        <f>IF('Document Workflow'!A5073&lt;&gt;"",'Document Workflow'!A5073,"")</f>
        <v/>
      </c>
    </row>
    <row r="5075" spans="1:1">
      <c r="A5075" s="7" t="str">
        <f>IF('Document Workflow'!A5074&lt;&gt;"",'Document Workflow'!A5074,"")</f>
        <v/>
      </c>
    </row>
    <row r="5076" spans="1:1">
      <c r="A5076" s="7" t="str">
        <f>IF('Document Workflow'!A5075&lt;&gt;"",'Document Workflow'!A5075,"")</f>
        <v/>
      </c>
    </row>
    <row r="5077" spans="1:1">
      <c r="A5077" s="7" t="str">
        <f>IF('Document Workflow'!A5076&lt;&gt;"",'Document Workflow'!A5076,"")</f>
        <v/>
      </c>
    </row>
    <row r="5078" spans="1:1">
      <c r="A5078" s="7" t="str">
        <f>IF('Document Workflow'!A5077&lt;&gt;"",'Document Workflow'!A5077,"")</f>
        <v/>
      </c>
    </row>
    <row r="5079" spans="1:1">
      <c r="A5079" s="7" t="str">
        <f>IF('Document Workflow'!A5078&lt;&gt;"",'Document Workflow'!A5078,"")</f>
        <v/>
      </c>
    </row>
    <row r="5080" spans="1:1">
      <c r="A5080" s="7" t="str">
        <f>IF('Document Workflow'!A5079&lt;&gt;"",'Document Workflow'!A5079,"")</f>
        <v/>
      </c>
    </row>
    <row r="5081" spans="1:1">
      <c r="A5081" s="7" t="str">
        <f>IF('Document Workflow'!A5080&lt;&gt;"",'Document Workflow'!A5080,"")</f>
        <v/>
      </c>
    </row>
    <row r="5082" spans="1:1">
      <c r="A5082" s="7" t="str">
        <f>IF('Document Workflow'!A5081&lt;&gt;"",'Document Workflow'!A5081,"")</f>
        <v/>
      </c>
    </row>
    <row r="5083" spans="1:1">
      <c r="A5083" s="7" t="str">
        <f>IF('Document Workflow'!A5082&lt;&gt;"",'Document Workflow'!A5082,"")</f>
        <v/>
      </c>
    </row>
    <row r="5084" spans="1:1">
      <c r="A5084" s="7" t="str">
        <f>IF('Document Workflow'!A5083&lt;&gt;"",'Document Workflow'!A5083,"")</f>
        <v/>
      </c>
    </row>
    <row r="5085" spans="1:1">
      <c r="A5085" s="7" t="str">
        <f>IF('Document Workflow'!A5084&lt;&gt;"",'Document Workflow'!A5084,"")</f>
        <v/>
      </c>
    </row>
    <row r="5086" spans="1:1">
      <c r="A5086" s="7" t="str">
        <f>IF('Document Workflow'!A5085&lt;&gt;"",'Document Workflow'!A5085,"")</f>
        <v/>
      </c>
    </row>
    <row r="5087" spans="1:1">
      <c r="A5087" s="7" t="str">
        <f>IF('Document Workflow'!A5086&lt;&gt;"",'Document Workflow'!A5086,"")</f>
        <v/>
      </c>
    </row>
    <row r="5088" spans="1:1">
      <c r="A5088" s="7" t="str">
        <f>IF('Document Workflow'!A5087&lt;&gt;"",'Document Workflow'!A5087,"")</f>
        <v/>
      </c>
    </row>
    <row r="5089" spans="1:1">
      <c r="A5089" s="7" t="str">
        <f>IF('Document Workflow'!A5088&lt;&gt;"",'Document Workflow'!A5088,"")</f>
        <v/>
      </c>
    </row>
    <row r="5090" spans="1:1">
      <c r="A5090" s="7" t="str">
        <f>IF('Document Workflow'!A5089&lt;&gt;"",'Document Workflow'!A5089,"")</f>
        <v/>
      </c>
    </row>
    <row r="5091" spans="1:1">
      <c r="A5091" s="7" t="str">
        <f>IF('Document Workflow'!A5090&lt;&gt;"",'Document Workflow'!A5090,"")</f>
        <v/>
      </c>
    </row>
    <row r="5092" spans="1:1">
      <c r="A5092" s="7" t="str">
        <f>IF('Document Workflow'!A5091&lt;&gt;"",'Document Workflow'!A5091,"")</f>
        <v/>
      </c>
    </row>
    <row r="5093" spans="1:1">
      <c r="A5093" s="7" t="str">
        <f>IF('Document Workflow'!A5092&lt;&gt;"",'Document Workflow'!A5092,"")</f>
        <v/>
      </c>
    </row>
    <row r="5094" spans="1:1">
      <c r="A5094" s="7" t="str">
        <f>IF('Document Workflow'!A5093&lt;&gt;"",'Document Workflow'!A5093,"")</f>
        <v/>
      </c>
    </row>
    <row r="5095" spans="1:1">
      <c r="A5095" s="7" t="str">
        <f>IF('Document Workflow'!A5094&lt;&gt;"",'Document Workflow'!A5094,"")</f>
        <v/>
      </c>
    </row>
    <row r="5096" spans="1:1">
      <c r="A5096" s="7" t="str">
        <f>IF('Document Workflow'!A5095&lt;&gt;"",'Document Workflow'!A5095,"")</f>
        <v/>
      </c>
    </row>
    <row r="5097" spans="1:1">
      <c r="A5097" s="7" t="str">
        <f>IF('Document Workflow'!A5096&lt;&gt;"",'Document Workflow'!A5096,"")</f>
        <v/>
      </c>
    </row>
    <row r="5098" spans="1:1">
      <c r="A5098" s="7" t="str">
        <f>IF('Document Workflow'!A5097&lt;&gt;"",'Document Workflow'!A5097,"")</f>
        <v/>
      </c>
    </row>
    <row r="5099" spans="1:1">
      <c r="A5099" s="7" t="str">
        <f>IF('Document Workflow'!A5098&lt;&gt;"",'Document Workflow'!A5098,"")</f>
        <v/>
      </c>
    </row>
    <row r="5100" spans="1:1">
      <c r="A5100" s="7" t="str">
        <f>IF('Document Workflow'!A5099&lt;&gt;"",'Document Workflow'!A5099,"")</f>
        <v/>
      </c>
    </row>
    <row r="5101" spans="1:1">
      <c r="A5101" s="7" t="str">
        <f>IF('Document Workflow'!A5100&lt;&gt;"",'Document Workflow'!A5100,"")</f>
        <v/>
      </c>
    </row>
    <row r="5102" spans="1:1">
      <c r="A5102" s="7" t="str">
        <f>IF('Document Workflow'!A5101&lt;&gt;"",'Document Workflow'!A5101,"")</f>
        <v/>
      </c>
    </row>
    <row r="5103" spans="1:1">
      <c r="A5103" s="7" t="str">
        <f>IF('Document Workflow'!A5102&lt;&gt;"",'Document Workflow'!A5102,"")</f>
        <v/>
      </c>
    </row>
    <row r="5104" spans="1:1">
      <c r="A5104" s="7" t="str">
        <f>IF('Document Workflow'!A5103&lt;&gt;"",'Document Workflow'!A5103,"")</f>
        <v/>
      </c>
    </row>
    <row r="5105" spans="1:1">
      <c r="A5105" s="7" t="str">
        <f>IF('Document Workflow'!A5104&lt;&gt;"",'Document Workflow'!A5104,"")</f>
        <v/>
      </c>
    </row>
    <row r="5106" spans="1:1">
      <c r="A5106" s="7" t="str">
        <f>IF('Document Workflow'!A5105&lt;&gt;"",'Document Workflow'!A5105,"")</f>
        <v/>
      </c>
    </row>
    <row r="5107" spans="1:1">
      <c r="A5107" s="7" t="str">
        <f>IF('Document Workflow'!A5106&lt;&gt;"",'Document Workflow'!A5106,"")</f>
        <v/>
      </c>
    </row>
    <row r="5108" spans="1:1">
      <c r="A5108" s="7" t="str">
        <f>IF('Document Workflow'!A5107&lt;&gt;"",'Document Workflow'!A5107,"")</f>
        <v/>
      </c>
    </row>
    <row r="5109" spans="1:1">
      <c r="A5109" s="7" t="str">
        <f>IF('Document Workflow'!A5108&lt;&gt;"",'Document Workflow'!A5108,"")</f>
        <v/>
      </c>
    </row>
    <row r="5110" spans="1:1">
      <c r="A5110" s="7" t="str">
        <f>IF('Document Workflow'!A5109&lt;&gt;"",'Document Workflow'!A5109,"")</f>
        <v/>
      </c>
    </row>
    <row r="5111" spans="1:1">
      <c r="A5111" s="7" t="str">
        <f>IF('Document Workflow'!A5110&lt;&gt;"",'Document Workflow'!A5110,"")</f>
        <v/>
      </c>
    </row>
    <row r="5112" spans="1:1">
      <c r="A5112" s="7" t="str">
        <f>IF('Document Workflow'!A5111&lt;&gt;"",'Document Workflow'!A5111,"")</f>
        <v/>
      </c>
    </row>
    <row r="5113" spans="1:1">
      <c r="A5113" s="7" t="str">
        <f>IF('Document Workflow'!A5112&lt;&gt;"",'Document Workflow'!A5112,"")</f>
        <v/>
      </c>
    </row>
    <row r="5114" spans="1:1">
      <c r="A5114" s="7" t="str">
        <f>IF('Document Workflow'!A5113&lt;&gt;"",'Document Workflow'!A5113,"")</f>
        <v/>
      </c>
    </row>
    <row r="5115" spans="1:1">
      <c r="A5115" s="7" t="str">
        <f>IF('Document Workflow'!A5114&lt;&gt;"",'Document Workflow'!A5114,"")</f>
        <v/>
      </c>
    </row>
    <row r="5116" spans="1:1">
      <c r="A5116" s="7" t="str">
        <f>IF('Document Workflow'!A5115&lt;&gt;"",'Document Workflow'!A5115,"")</f>
        <v/>
      </c>
    </row>
    <row r="5117" spans="1:1">
      <c r="A5117" s="7" t="str">
        <f>IF('Document Workflow'!A5116&lt;&gt;"",'Document Workflow'!A5116,"")</f>
        <v/>
      </c>
    </row>
    <row r="5118" spans="1:1">
      <c r="A5118" s="7" t="str">
        <f>IF('Document Workflow'!A5117&lt;&gt;"",'Document Workflow'!A5117,"")</f>
        <v/>
      </c>
    </row>
    <row r="5119" spans="1:1">
      <c r="A5119" s="7" t="str">
        <f>IF('Document Workflow'!A5118&lt;&gt;"",'Document Workflow'!A5118,"")</f>
        <v/>
      </c>
    </row>
    <row r="5120" spans="1:1">
      <c r="A5120" s="7" t="str">
        <f>IF('Document Workflow'!A5119&lt;&gt;"",'Document Workflow'!A5119,"")</f>
        <v/>
      </c>
    </row>
    <row r="5121" spans="1:1">
      <c r="A5121" s="7" t="str">
        <f>IF('Document Workflow'!A5120&lt;&gt;"",'Document Workflow'!A5120,"")</f>
        <v/>
      </c>
    </row>
    <row r="5122" spans="1:1">
      <c r="A5122" s="7" t="str">
        <f>IF('Document Workflow'!A5121&lt;&gt;"",'Document Workflow'!A5121,"")</f>
        <v/>
      </c>
    </row>
    <row r="5123" spans="1:1">
      <c r="A5123" s="7" t="str">
        <f>IF('Document Workflow'!A5122&lt;&gt;"",'Document Workflow'!A5122,"")</f>
        <v/>
      </c>
    </row>
    <row r="5124" spans="1:1">
      <c r="A5124" s="7" t="str">
        <f>IF('Document Workflow'!A5123&lt;&gt;"",'Document Workflow'!A5123,"")</f>
        <v/>
      </c>
    </row>
    <row r="5125" spans="1:1">
      <c r="A5125" s="7" t="str">
        <f>IF('Document Workflow'!A5124&lt;&gt;"",'Document Workflow'!A5124,"")</f>
        <v/>
      </c>
    </row>
    <row r="5126" spans="1:1">
      <c r="A5126" s="7" t="str">
        <f>IF('Document Workflow'!A5125&lt;&gt;"",'Document Workflow'!A5125,"")</f>
        <v/>
      </c>
    </row>
    <row r="5127" spans="1:1">
      <c r="A5127" s="7" t="str">
        <f>IF('Document Workflow'!A5126&lt;&gt;"",'Document Workflow'!A5126,"")</f>
        <v/>
      </c>
    </row>
    <row r="5128" spans="1:1">
      <c r="A5128" s="7" t="str">
        <f>IF('Document Workflow'!A5127&lt;&gt;"",'Document Workflow'!A5127,"")</f>
        <v/>
      </c>
    </row>
    <row r="5129" spans="1:1">
      <c r="A5129" s="7" t="str">
        <f>IF('Document Workflow'!A5128&lt;&gt;"",'Document Workflow'!A5128,"")</f>
        <v/>
      </c>
    </row>
    <row r="5130" spans="1:1">
      <c r="A5130" s="7" t="str">
        <f>IF('Document Workflow'!A5129&lt;&gt;"",'Document Workflow'!A5129,"")</f>
        <v/>
      </c>
    </row>
    <row r="5131" spans="1:1">
      <c r="A5131" s="7" t="str">
        <f>IF('Document Workflow'!A5130&lt;&gt;"",'Document Workflow'!A5130,"")</f>
        <v/>
      </c>
    </row>
    <row r="5132" spans="1:1">
      <c r="A5132" s="7" t="str">
        <f>IF('Document Workflow'!A5131&lt;&gt;"",'Document Workflow'!A5131,"")</f>
        <v/>
      </c>
    </row>
    <row r="5133" spans="1:1">
      <c r="A5133" s="7" t="str">
        <f>IF('Document Workflow'!A5132&lt;&gt;"",'Document Workflow'!A5132,"")</f>
        <v/>
      </c>
    </row>
    <row r="5134" spans="1:1">
      <c r="A5134" s="7" t="str">
        <f>IF('Document Workflow'!A5133&lt;&gt;"",'Document Workflow'!A5133,"")</f>
        <v/>
      </c>
    </row>
    <row r="5135" spans="1:1">
      <c r="A5135" s="7" t="str">
        <f>IF('Document Workflow'!A5134&lt;&gt;"",'Document Workflow'!A5134,"")</f>
        <v/>
      </c>
    </row>
    <row r="5136" spans="1:1">
      <c r="A5136" s="7" t="str">
        <f>IF('Document Workflow'!A5135&lt;&gt;"",'Document Workflow'!A5135,"")</f>
        <v/>
      </c>
    </row>
    <row r="5137" spans="1:1">
      <c r="A5137" s="7" t="str">
        <f>IF('Document Workflow'!A5136&lt;&gt;"",'Document Workflow'!A5136,"")</f>
        <v/>
      </c>
    </row>
    <row r="5138" spans="1:1">
      <c r="A5138" s="7" t="str">
        <f>IF('Document Workflow'!A5137&lt;&gt;"",'Document Workflow'!A5137,"")</f>
        <v/>
      </c>
    </row>
    <row r="5139" spans="1:1">
      <c r="A5139" s="7" t="str">
        <f>IF('Document Workflow'!A5138&lt;&gt;"",'Document Workflow'!A5138,"")</f>
        <v/>
      </c>
    </row>
    <row r="5140" spans="1:1">
      <c r="A5140" s="7" t="str">
        <f>IF('Document Workflow'!A5139&lt;&gt;"",'Document Workflow'!A5139,"")</f>
        <v/>
      </c>
    </row>
    <row r="5141" spans="1:1">
      <c r="A5141" s="7" t="str">
        <f>IF('Document Workflow'!A5140&lt;&gt;"",'Document Workflow'!A5140,"")</f>
        <v/>
      </c>
    </row>
    <row r="5142" spans="1:1">
      <c r="A5142" s="7" t="str">
        <f>IF('Document Workflow'!A5141&lt;&gt;"",'Document Workflow'!A5141,"")</f>
        <v/>
      </c>
    </row>
    <row r="5143" spans="1:1">
      <c r="A5143" s="7" t="str">
        <f>IF('Document Workflow'!A5142&lt;&gt;"",'Document Workflow'!A5142,"")</f>
        <v/>
      </c>
    </row>
    <row r="5144" spans="1:1">
      <c r="A5144" s="7" t="str">
        <f>IF('Document Workflow'!A5143&lt;&gt;"",'Document Workflow'!A5143,"")</f>
        <v/>
      </c>
    </row>
    <row r="5145" spans="1:1">
      <c r="A5145" s="7" t="str">
        <f>IF('Document Workflow'!A5144&lt;&gt;"",'Document Workflow'!A5144,"")</f>
        <v/>
      </c>
    </row>
    <row r="5146" spans="1:1">
      <c r="A5146" s="7" t="str">
        <f>IF('Document Workflow'!A5145&lt;&gt;"",'Document Workflow'!A5145,"")</f>
        <v/>
      </c>
    </row>
    <row r="5147" spans="1:1">
      <c r="A5147" s="7" t="str">
        <f>IF('Document Workflow'!A5146&lt;&gt;"",'Document Workflow'!A5146,"")</f>
        <v/>
      </c>
    </row>
    <row r="5148" spans="1:1">
      <c r="A5148" s="7" t="str">
        <f>IF('Document Workflow'!A5147&lt;&gt;"",'Document Workflow'!A5147,"")</f>
        <v/>
      </c>
    </row>
    <row r="5149" spans="1:1">
      <c r="A5149" s="7" t="str">
        <f>IF('Document Workflow'!A5148&lt;&gt;"",'Document Workflow'!A5148,"")</f>
        <v/>
      </c>
    </row>
    <row r="5150" spans="1:1">
      <c r="A5150" s="7" t="str">
        <f>IF('Document Workflow'!A5149&lt;&gt;"",'Document Workflow'!A5149,"")</f>
        <v/>
      </c>
    </row>
    <row r="5151" spans="1:1">
      <c r="A5151" s="7" t="str">
        <f>IF('Document Workflow'!A5150&lt;&gt;"",'Document Workflow'!A5150,"")</f>
        <v/>
      </c>
    </row>
    <row r="5152" spans="1:1">
      <c r="A5152" s="7" t="str">
        <f>IF('Document Workflow'!A5151&lt;&gt;"",'Document Workflow'!A5151,"")</f>
        <v/>
      </c>
    </row>
    <row r="5153" spans="1:1">
      <c r="A5153" s="7" t="str">
        <f>IF('Document Workflow'!A5152&lt;&gt;"",'Document Workflow'!A5152,"")</f>
        <v/>
      </c>
    </row>
    <row r="5154" spans="1:1">
      <c r="A5154" s="7" t="str">
        <f>IF('Document Workflow'!A5153&lt;&gt;"",'Document Workflow'!A5153,"")</f>
        <v/>
      </c>
    </row>
    <row r="5155" spans="1:1">
      <c r="A5155" s="7" t="str">
        <f>IF('Document Workflow'!A5154&lt;&gt;"",'Document Workflow'!A5154,"")</f>
        <v/>
      </c>
    </row>
    <row r="5156" spans="1:1">
      <c r="A5156" s="7" t="str">
        <f>IF('Document Workflow'!A5155&lt;&gt;"",'Document Workflow'!A5155,"")</f>
        <v/>
      </c>
    </row>
    <row r="5157" spans="1:1">
      <c r="A5157" s="7" t="str">
        <f>IF('Document Workflow'!A5156&lt;&gt;"",'Document Workflow'!A5156,"")</f>
        <v/>
      </c>
    </row>
    <row r="5158" spans="1:1">
      <c r="A5158" s="7" t="str">
        <f>IF('Document Workflow'!A5157&lt;&gt;"",'Document Workflow'!A5157,"")</f>
        <v/>
      </c>
    </row>
    <row r="5159" spans="1:1">
      <c r="A5159" s="7" t="str">
        <f>IF('Document Workflow'!A5158&lt;&gt;"",'Document Workflow'!A5158,"")</f>
        <v/>
      </c>
    </row>
    <row r="5160" spans="1:1">
      <c r="A5160" s="7" t="str">
        <f>IF('Document Workflow'!A5159&lt;&gt;"",'Document Workflow'!A5159,"")</f>
        <v/>
      </c>
    </row>
    <row r="5161" spans="1:1">
      <c r="A5161" s="7" t="str">
        <f>IF('Document Workflow'!A5160&lt;&gt;"",'Document Workflow'!A5160,"")</f>
        <v/>
      </c>
    </row>
    <row r="5162" spans="1:1">
      <c r="A5162" s="7" t="str">
        <f>IF('Document Workflow'!A5161&lt;&gt;"",'Document Workflow'!A5161,"")</f>
        <v/>
      </c>
    </row>
    <row r="5163" spans="1:1">
      <c r="A5163" s="7" t="str">
        <f>IF('Document Workflow'!A5162&lt;&gt;"",'Document Workflow'!A5162,"")</f>
        <v/>
      </c>
    </row>
    <row r="5164" spans="1:1">
      <c r="A5164" s="7" t="str">
        <f>IF('Document Workflow'!A5163&lt;&gt;"",'Document Workflow'!A5163,"")</f>
        <v/>
      </c>
    </row>
    <row r="5165" spans="1:1">
      <c r="A5165" s="7" t="str">
        <f>IF('Document Workflow'!A5164&lt;&gt;"",'Document Workflow'!A5164,"")</f>
        <v/>
      </c>
    </row>
    <row r="5166" spans="1:1">
      <c r="A5166" s="7" t="str">
        <f>IF('Document Workflow'!A5165&lt;&gt;"",'Document Workflow'!A5165,"")</f>
        <v/>
      </c>
    </row>
    <row r="5167" spans="1:1">
      <c r="A5167" s="7" t="str">
        <f>IF('Document Workflow'!A5166&lt;&gt;"",'Document Workflow'!A5166,"")</f>
        <v/>
      </c>
    </row>
    <row r="5168" spans="1:1">
      <c r="A5168" s="7" t="str">
        <f>IF('Document Workflow'!A5167&lt;&gt;"",'Document Workflow'!A5167,"")</f>
        <v/>
      </c>
    </row>
    <row r="5169" spans="1:1">
      <c r="A5169" s="7" t="str">
        <f>IF('Document Workflow'!A5168&lt;&gt;"",'Document Workflow'!A5168,"")</f>
        <v/>
      </c>
    </row>
    <row r="5170" spans="1:1">
      <c r="A5170" s="7" t="str">
        <f>IF('Document Workflow'!A5169&lt;&gt;"",'Document Workflow'!A5169,"")</f>
        <v/>
      </c>
    </row>
    <row r="5171" spans="1:1">
      <c r="A5171" s="7" t="str">
        <f>IF('Document Workflow'!A5170&lt;&gt;"",'Document Workflow'!A5170,"")</f>
        <v/>
      </c>
    </row>
    <row r="5172" spans="1:1">
      <c r="A5172" s="7" t="str">
        <f>IF('Document Workflow'!A5171&lt;&gt;"",'Document Workflow'!A5171,"")</f>
        <v/>
      </c>
    </row>
    <row r="5173" spans="1:1">
      <c r="A5173" s="7" t="str">
        <f>IF('Document Workflow'!A5172&lt;&gt;"",'Document Workflow'!A5172,"")</f>
        <v/>
      </c>
    </row>
    <row r="5174" spans="1:1">
      <c r="A5174" s="7" t="str">
        <f>IF('Document Workflow'!A5173&lt;&gt;"",'Document Workflow'!A5173,"")</f>
        <v/>
      </c>
    </row>
    <row r="5175" spans="1:1">
      <c r="A5175" s="7" t="str">
        <f>IF('Document Workflow'!A5174&lt;&gt;"",'Document Workflow'!A5174,"")</f>
        <v/>
      </c>
    </row>
    <row r="5176" spans="1:1">
      <c r="A5176" s="7" t="str">
        <f>IF('Document Workflow'!A5175&lt;&gt;"",'Document Workflow'!A5175,"")</f>
        <v/>
      </c>
    </row>
    <row r="5177" spans="1:1">
      <c r="A5177" s="7" t="str">
        <f>IF('Document Workflow'!A5176&lt;&gt;"",'Document Workflow'!A5176,"")</f>
        <v/>
      </c>
    </row>
    <row r="5178" spans="1:1">
      <c r="A5178" s="7" t="str">
        <f>IF('Document Workflow'!A5177&lt;&gt;"",'Document Workflow'!A5177,"")</f>
        <v/>
      </c>
    </row>
    <row r="5179" spans="1:1">
      <c r="A5179" s="7" t="str">
        <f>IF('Document Workflow'!A5178&lt;&gt;"",'Document Workflow'!A5178,"")</f>
        <v/>
      </c>
    </row>
    <row r="5180" spans="1:1">
      <c r="A5180" s="7" t="str">
        <f>IF('Document Workflow'!A5179&lt;&gt;"",'Document Workflow'!A5179,"")</f>
        <v/>
      </c>
    </row>
    <row r="5181" spans="1:1">
      <c r="A5181" s="7" t="str">
        <f>IF('Document Workflow'!A5180&lt;&gt;"",'Document Workflow'!A5180,"")</f>
        <v/>
      </c>
    </row>
    <row r="5182" spans="1:1">
      <c r="A5182" s="7" t="str">
        <f>IF('Document Workflow'!A5181&lt;&gt;"",'Document Workflow'!A5181,"")</f>
        <v/>
      </c>
    </row>
    <row r="5183" spans="1:1">
      <c r="A5183" s="7" t="str">
        <f>IF('Document Workflow'!A5182&lt;&gt;"",'Document Workflow'!A5182,"")</f>
        <v/>
      </c>
    </row>
    <row r="5184" spans="1:1">
      <c r="A5184" s="7" t="str">
        <f>IF('Document Workflow'!A5183&lt;&gt;"",'Document Workflow'!A5183,"")</f>
        <v/>
      </c>
    </row>
    <row r="5185" spans="1:1">
      <c r="A5185" s="7" t="str">
        <f>IF('Document Workflow'!A5184&lt;&gt;"",'Document Workflow'!A5184,"")</f>
        <v/>
      </c>
    </row>
    <row r="5186" spans="1:1">
      <c r="A5186" s="7" t="str">
        <f>IF('Document Workflow'!A5185&lt;&gt;"",'Document Workflow'!A5185,"")</f>
        <v/>
      </c>
    </row>
    <row r="5187" spans="1:1">
      <c r="A5187" s="7" t="str">
        <f>IF('Document Workflow'!A5186&lt;&gt;"",'Document Workflow'!A5186,"")</f>
        <v/>
      </c>
    </row>
    <row r="5188" spans="1:1">
      <c r="A5188" s="7" t="str">
        <f>IF('Document Workflow'!A5187&lt;&gt;"",'Document Workflow'!A5187,"")</f>
        <v/>
      </c>
    </row>
    <row r="5189" spans="1:1">
      <c r="A5189" s="7" t="str">
        <f>IF('Document Workflow'!A5188&lt;&gt;"",'Document Workflow'!A5188,"")</f>
        <v/>
      </c>
    </row>
    <row r="5190" spans="1:1">
      <c r="A5190" s="7" t="str">
        <f>IF('Document Workflow'!A5189&lt;&gt;"",'Document Workflow'!A5189,"")</f>
        <v/>
      </c>
    </row>
    <row r="5191" spans="1:1">
      <c r="A5191" s="7" t="str">
        <f>IF('Document Workflow'!A5190&lt;&gt;"",'Document Workflow'!A5190,"")</f>
        <v/>
      </c>
    </row>
    <row r="5192" spans="1:1">
      <c r="A5192" s="7" t="str">
        <f>IF('Document Workflow'!A5191&lt;&gt;"",'Document Workflow'!A5191,"")</f>
        <v/>
      </c>
    </row>
    <row r="5193" spans="1:1">
      <c r="A5193" s="7" t="str">
        <f>IF('Document Workflow'!A5192&lt;&gt;"",'Document Workflow'!A5192,"")</f>
        <v/>
      </c>
    </row>
    <row r="5194" spans="1:1">
      <c r="A5194" s="7" t="str">
        <f>IF('Document Workflow'!A5193&lt;&gt;"",'Document Workflow'!A5193,"")</f>
        <v/>
      </c>
    </row>
    <row r="5195" spans="1:1">
      <c r="A5195" s="7" t="str">
        <f>IF('Document Workflow'!A5194&lt;&gt;"",'Document Workflow'!A5194,"")</f>
        <v/>
      </c>
    </row>
    <row r="5196" spans="1:1">
      <c r="A5196" s="7" t="str">
        <f>IF('Document Workflow'!A5195&lt;&gt;"",'Document Workflow'!A5195,"")</f>
        <v/>
      </c>
    </row>
    <row r="5197" spans="1:1">
      <c r="A5197" s="7" t="str">
        <f>IF('Document Workflow'!A5196&lt;&gt;"",'Document Workflow'!A5196,"")</f>
        <v/>
      </c>
    </row>
    <row r="5198" spans="1:1">
      <c r="A5198" s="7" t="str">
        <f>IF('Document Workflow'!A5197&lt;&gt;"",'Document Workflow'!A5197,"")</f>
        <v/>
      </c>
    </row>
    <row r="5199" spans="1:1">
      <c r="A5199" s="7" t="str">
        <f>IF('Document Workflow'!A5198&lt;&gt;"",'Document Workflow'!A5198,"")</f>
        <v/>
      </c>
    </row>
    <row r="5200" spans="1:1">
      <c r="A5200" s="7" t="str">
        <f>IF('Document Workflow'!A5199&lt;&gt;"",'Document Workflow'!A5199,"")</f>
        <v/>
      </c>
    </row>
    <row r="5201" spans="1:1">
      <c r="A5201" s="7" t="str">
        <f>IF('Document Workflow'!A5200&lt;&gt;"",'Document Workflow'!A5200,"")</f>
        <v/>
      </c>
    </row>
    <row r="5202" spans="1:1">
      <c r="A5202" s="7" t="str">
        <f>IF('Document Workflow'!A5201&lt;&gt;"",'Document Workflow'!A5201,"")</f>
        <v/>
      </c>
    </row>
    <row r="5203" spans="1:1">
      <c r="A5203" s="7" t="str">
        <f>IF('Document Workflow'!A5202&lt;&gt;"",'Document Workflow'!A5202,"")</f>
        <v/>
      </c>
    </row>
    <row r="5204" spans="1:1">
      <c r="A5204" s="7" t="str">
        <f>IF('Document Workflow'!A5203&lt;&gt;"",'Document Workflow'!A5203,"")</f>
        <v/>
      </c>
    </row>
    <row r="5205" spans="1:1">
      <c r="A5205" s="7" t="str">
        <f>IF('Document Workflow'!A5204&lt;&gt;"",'Document Workflow'!A5204,"")</f>
        <v/>
      </c>
    </row>
    <row r="5206" spans="1:1">
      <c r="A5206" s="7" t="str">
        <f>IF('Document Workflow'!A5205&lt;&gt;"",'Document Workflow'!A5205,"")</f>
        <v/>
      </c>
    </row>
    <row r="5207" spans="1:1">
      <c r="A5207" s="7" t="str">
        <f>IF('Document Workflow'!A5206&lt;&gt;"",'Document Workflow'!A5206,"")</f>
        <v/>
      </c>
    </row>
    <row r="5208" spans="1:1">
      <c r="A5208" s="7" t="str">
        <f>IF('Document Workflow'!A5207&lt;&gt;"",'Document Workflow'!A5207,"")</f>
        <v/>
      </c>
    </row>
    <row r="5209" spans="1:1">
      <c r="A5209" s="7" t="str">
        <f>IF('Document Workflow'!A5208&lt;&gt;"",'Document Workflow'!A5208,"")</f>
        <v/>
      </c>
    </row>
    <row r="5210" spans="1:1">
      <c r="A5210" s="7" t="str">
        <f>IF('Document Workflow'!A5209&lt;&gt;"",'Document Workflow'!A5209,"")</f>
        <v/>
      </c>
    </row>
    <row r="5211" spans="1:1">
      <c r="A5211" s="7" t="str">
        <f>IF('Document Workflow'!A5210&lt;&gt;"",'Document Workflow'!A5210,"")</f>
        <v/>
      </c>
    </row>
    <row r="5212" spans="1:1">
      <c r="A5212" s="7" t="str">
        <f>IF('Document Workflow'!A5211&lt;&gt;"",'Document Workflow'!A5211,"")</f>
        <v/>
      </c>
    </row>
    <row r="5213" spans="1:1">
      <c r="A5213" s="7" t="str">
        <f>IF('Document Workflow'!A5212&lt;&gt;"",'Document Workflow'!A5212,"")</f>
        <v/>
      </c>
    </row>
    <row r="5214" spans="1:1">
      <c r="A5214" s="7" t="str">
        <f>IF('Document Workflow'!A5213&lt;&gt;"",'Document Workflow'!A5213,"")</f>
        <v/>
      </c>
    </row>
    <row r="5215" spans="1:1">
      <c r="A5215" s="7" t="str">
        <f>IF('Document Workflow'!A5214&lt;&gt;"",'Document Workflow'!A5214,"")</f>
        <v/>
      </c>
    </row>
    <row r="5216" spans="1:1">
      <c r="A5216" s="7" t="str">
        <f>IF('Document Workflow'!A5215&lt;&gt;"",'Document Workflow'!A5215,"")</f>
        <v/>
      </c>
    </row>
    <row r="5217" spans="1:1">
      <c r="A5217" s="7" t="str">
        <f>IF('Document Workflow'!A5216&lt;&gt;"",'Document Workflow'!A5216,"")</f>
        <v/>
      </c>
    </row>
    <row r="5218" spans="1:1">
      <c r="A5218" s="7" t="str">
        <f>IF('Document Workflow'!A5217&lt;&gt;"",'Document Workflow'!A5217,"")</f>
        <v/>
      </c>
    </row>
    <row r="5219" spans="1:1">
      <c r="A5219" s="7" t="str">
        <f>IF('Document Workflow'!A5218&lt;&gt;"",'Document Workflow'!A5218,"")</f>
        <v/>
      </c>
    </row>
    <row r="5220" spans="1:1">
      <c r="A5220" s="7" t="str">
        <f>IF('Document Workflow'!A5219&lt;&gt;"",'Document Workflow'!A5219,"")</f>
        <v/>
      </c>
    </row>
    <row r="5221" spans="1:1">
      <c r="A5221" s="7" t="str">
        <f>IF('Document Workflow'!A5220&lt;&gt;"",'Document Workflow'!A5220,"")</f>
        <v/>
      </c>
    </row>
    <row r="5222" spans="1:1">
      <c r="A5222" s="7" t="str">
        <f>IF('Document Workflow'!A5221&lt;&gt;"",'Document Workflow'!A5221,"")</f>
        <v/>
      </c>
    </row>
    <row r="5223" spans="1:1">
      <c r="A5223" s="7" t="str">
        <f>IF('Document Workflow'!A5222&lt;&gt;"",'Document Workflow'!A5222,"")</f>
        <v/>
      </c>
    </row>
    <row r="5224" spans="1:1">
      <c r="A5224" s="7" t="str">
        <f>IF('Document Workflow'!A5223&lt;&gt;"",'Document Workflow'!A5223,"")</f>
        <v/>
      </c>
    </row>
    <row r="5225" spans="1:1">
      <c r="A5225" s="7" t="str">
        <f>IF('Document Workflow'!A5224&lt;&gt;"",'Document Workflow'!A5224,"")</f>
        <v/>
      </c>
    </row>
    <row r="5226" spans="1:1">
      <c r="A5226" s="7" t="str">
        <f>IF('Document Workflow'!A5225&lt;&gt;"",'Document Workflow'!A5225,"")</f>
        <v/>
      </c>
    </row>
    <row r="5227" spans="1:1">
      <c r="A5227" s="7" t="str">
        <f>IF('Document Workflow'!A5226&lt;&gt;"",'Document Workflow'!A5226,"")</f>
        <v/>
      </c>
    </row>
    <row r="5228" spans="1:1">
      <c r="A5228" s="7" t="str">
        <f>IF('Document Workflow'!A5227&lt;&gt;"",'Document Workflow'!A5227,"")</f>
        <v/>
      </c>
    </row>
    <row r="5229" spans="1:1">
      <c r="A5229" s="7" t="str">
        <f>IF('Document Workflow'!A5228&lt;&gt;"",'Document Workflow'!A5228,"")</f>
        <v/>
      </c>
    </row>
    <row r="5230" spans="1:1">
      <c r="A5230" s="7" t="str">
        <f>IF('Document Workflow'!A5229&lt;&gt;"",'Document Workflow'!A5229,"")</f>
        <v/>
      </c>
    </row>
    <row r="5231" spans="1:1">
      <c r="A5231" s="7" t="str">
        <f>IF('Document Workflow'!A5230&lt;&gt;"",'Document Workflow'!A5230,"")</f>
        <v/>
      </c>
    </row>
    <row r="5232" spans="1:1">
      <c r="A5232" s="7" t="str">
        <f>IF('Document Workflow'!A5231&lt;&gt;"",'Document Workflow'!A5231,"")</f>
        <v/>
      </c>
    </row>
    <row r="5233" spans="1:1">
      <c r="A5233" s="7" t="str">
        <f>IF('Document Workflow'!A5232&lt;&gt;"",'Document Workflow'!A5232,"")</f>
        <v/>
      </c>
    </row>
    <row r="5234" spans="1:1">
      <c r="A5234" s="7" t="str">
        <f>IF('Document Workflow'!A5233&lt;&gt;"",'Document Workflow'!A5233,"")</f>
        <v/>
      </c>
    </row>
    <row r="5235" spans="1:1">
      <c r="A5235" s="7" t="str">
        <f>IF('Document Workflow'!A5234&lt;&gt;"",'Document Workflow'!A5234,"")</f>
        <v/>
      </c>
    </row>
    <row r="5236" spans="1:1">
      <c r="A5236" s="7" t="str">
        <f>IF('Document Workflow'!A5235&lt;&gt;"",'Document Workflow'!A5235,"")</f>
        <v/>
      </c>
    </row>
    <row r="5237" spans="1:1">
      <c r="A5237" s="7" t="str">
        <f>IF('Document Workflow'!A5236&lt;&gt;"",'Document Workflow'!A5236,"")</f>
        <v/>
      </c>
    </row>
    <row r="5238" spans="1:1">
      <c r="A5238" s="7" t="str">
        <f>IF('Document Workflow'!A5237&lt;&gt;"",'Document Workflow'!A5237,"")</f>
        <v/>
      </c>
    </row>
    <row r="5239" spans="1:1">
      <c r="A5239" s="7" t="str">
        <f>IF('Document Workflow'!A5238&lt;&gt;"",'Document Workflow'!A5238,"")</f>
        <v/>
      </c>
    </row>
    <row r="5240" spans="1:1">
      <c r="A5240" s="7" t="str">
        <f>IF('Document Workflow'!A5239&lt;&gt;"",'Document Workflow'!A5239,"")</f>
        <v/>
      </c>
    </row>
    <row r="5241" spans="1:1">
      <c r="A5241" s="7" t="str">
        <f>IF('Document Workflow'!A5240&lt;&gt;"",'Document Workflow'!A5240,"")</f>
        <v/>
      </c>
    </row>
    <row r="5242" spans="1:1">
      <c r="A5242" s="7" t="str">
        <f>IF('Document Workflow'!A5241&lt;&gt;"",'Document Workflow'!A5241,"")</f>
        <v/>
      </c>
    </row>
    <row r="5243" spans="1:1">
      <c r="A5243" s="7" t="str">
        <f>IF('Document Workflow'!A5242&lt;&gt;"",'Document Workflow'!A5242,"")</f>
        <v/>
      </c>
    </row>
    <row r="5244" spans="1:1">
      <c r="A5244" s="7" t="str">
        <f>IF('Document Workflow'!A5243&lt;&gt;"",'Document Workflow'!A5243,"")</f>
        <v/>
      </c>
    </row>
    <row r="5245" spans="1:1">
      <c r="A5245" s="7" t="str">
        <f>IF('Document Workflow'!A5244&lt;&gt;"",'Document Workflow'!A5244,"")</f>
        <v/>
      </c>
    </row>
    <row r="5246" spans="1:1">
      <c r="A5246" s="7" t="str">
        <f>IF('Document Workflow'!A5245&lt;&gt;"",'Document Workflow'!A5245,"")</f>
        <v/>
      </c>
    </row>
    <row r="5247" spans="1:1">
      <c r="A5247" s="7" t="str">
        <f>IF('Document Workflow'!A5246&lt;&gt;"",'Document Workflow'!A5246,"")</f>
        <v/>
      </c>
    </row>
    <row r="5248" spans="1:1">
      <c r="A5248" s="7" t="str">
        <f>IF('Document Workflow'!A5247&lt;&gt;"",'Document Workflow'!A5247,"")</f>
        <v/>
      </c>
    </row>
    <row r="5249" spans="1:1">
      <c r="A5249" s="7" t="str">
        <f>IF('Document Workflow'!A5248&lt;&gt;"",'Document Workflow'!A5248,"")</f>
        <v/>
      </c>
    </row>
    <row r="5250" spans="1:1">
      <c r="A5250" s="7" t="str">
        <f>IF('Document Workflow'!A5249&lt;&gt;"",'Document Workflow'!A5249,"")</f>
        <v/>
      </c>
    </row>
    <row r="5251" spans="1:1">
      <c r="A5251" s="7" t="str">
        <f>IF('Document Workflow'!A5250&lt;&gt;"",'Document Workflow'!A5250,"")</f>
        <v/>
      </c>
    </row>
    <row r="5252" spans="1:1">
      <c r="A5252" s="7" t="str">
        <f>IF('Document Workflow'!A5251&lt;&gt;"",'Document Workflow'!A5251,"")</f>
        <v/>
      </c>
    </row>
    <row r="5253" spans="1:1">
      <c r="A5253" s="7" t="str">
        <f>IF('Document Workflow'!A5252&lt;&gt;"",'Document Workflow'!A5252,"")</f>
        <v/>
      </c>
    </row>
    <row r="5254" spans="1:1">
      <c r="A5254" s="7" t="str">
        <f>IF('Document Workflow'!A5253&lt;&gt;"",'Document Workflow'!A5253,"")</f>
        <v/>
      </c>
    </row>
    <row r="5255" spans="1:1">
      <c r="A5255" s="7" t="str">
        <f>IF('Document Workflow'!A5254&lt;&gt;"",'Document Workflow'!A5254,"")</f>
        <v/>
      </c>
    </row>
    <row r="5256" spans="1:1">
      <c r="A5256" s="7" t="str">
        <f>IF('Document Workflow'!A5255&lt;&gt;"",'Document Workflow'!A5255,"")</f>
        <v/>
      </c>
    </row>
    <row r="5257" spans="1:1">
      <c r="A5257" s="7" t="str">
        <f>IF('Document Workflow'!A5256&lt;&gt;"",'Document Workflow'!A5256,"")</f>
        <v/>
      </c>
    </row>
    <row r="5258" spans="1:1">
      <c r="A5258" s="7" t="str">
        <f>IF('Document Workflow'!A5257&lt;&gt;"",'Document Workflow'!A5257,"")</f>
        <v/>
      </c>
    </row>
    <row r="5259" spans="1:1">
      <c r="A5259" s="7" t="str">
        <f>IF('Document Workflow'!A5258&lt;&gt;"",'Document Workflow'!A5258,"")</f>
        <v/>
      </c>
    </row>
    <row r="5260" spans="1:1">
      <c r="A5260" s="7" t="str">
        <f>IF('Document Workflow'!A5259&lt;&gt;"",'Document Workflow'!A5259,"")</f>
        <v/>
      </c>
    </row>
    <row r="5261" spans="1:1">
      <c r="A5261" s="7" t="str">
        <f>IF('Document Workflow'!A5260&lt;&gt;"",'Document Workflow'!A5260,"")</f>
        <v/>
      </c>
    </row>
    <row r="5262" spans="1:1">
      <c r="A5262" s="7" t="str">
        <f>IF('Document Workflow'!A5261&lt;&gt;"",'Document Workflow'!A5261,"")</f>
        <v/>
      </c>
    </row>
    <row r="5263" spans="1:1">
      <c r="A5263" s="7" t="str">
        <f>IF('Document Workflow'!A5262&lt;&gt;"",'Document Workflow'!A5262,"")</f>
        <v/>
      </c>
    </row>
    <row r="5264" spans="1:1">
      <c r="A5264" s="7" t="str">
        <f>IF('Document Workflow'!A5263&lt;&gt;"",'Document Workflow'!A5263,"")</f>
        <v/>
      </c>
    </row>
    <row r="5265" spans="1:1">
      <c r="A5265" s="7" t="str">
        <f>IF('Document Workflow'!A5264&lt;&gt;"",'Document Workflow'!A5264,"")</f>
        <v/>
      </c>
    </row>
    <row r="5266" spans="1:1">
      <c r="A5266" s="7" t="str">
        <f>IF('Document Workflow'!A5265&lt;&gt;"",'Document Workflow'!A5265,"")</f>
        <v/>
      </c>
    </row>
    <row r="5267" spans="1:1">
      <c r="A5267" s="7" t="str">
        <f>IF('Document Workflow'!A5266&lt;&gt;"",'Document Workflow'!A5266,"")</f>
        <v/>
      </c>
    </row>
    <row r="5268" spans="1:1">
      <c r="A5268" s="7" t="str">
        <f>IF('Document Workflow'!A5267&lt;&gt;"",'Document Workflow'!A5267,"")</f>
        <v/>
      </c>
    </row>
    <row r="5269" spans="1:1">
      <c r="A5269" s="7" t="str">
        <f>IF('Document Workflow'!A5268&lt;&gt;"",'Document Workflow'!A5268,"")</f>
        <v/>
      </c>
    </row>
    <row r="5270" spans="1:1">
      <c r="A5270" s="7" t="str">
        <f>IF('Document Workflow'!A5269&lt;&gt;"",'Document Workflow'!A5269,"")</f>
        <v/>
      </c>
    </row>
    <row r="5271" spans="1:1">
      <c r="A5271" s="7" t="str">
        <f>IF('Document Workflow'!A5270&lt;&gt;"",'Document Workflow'!A5270,"")</f>
        <v/>
      </c>
    </row>
    <row r="5272" spans="1:1">
      <c r="A5272" s="7" t="str">
        <f>IF('Document Workflow'!A5271&lt;&gt;"",'Document Workflow'!A5271,"")</f>
        <v/>
      </c>
    </row>
    <row r="5273" spans="1:1">
      <c r="A5273" s="7" t="str">
        <f>IF('Document Workflow'!A5272&lt;&gt;"",'Document Workflow'!A5272,"")</f>
        <v/>
      </c>
    </row>
    <row r="5274" spans="1:1">
      <c r="A5274" s="7" t="str">
        <f>IF('Document Workflow'!A5273&lt;&gt;"",'Document Workflow'!A5273,"")</f>
        <v/>
      </c>
    </row>
    <row r="5275" spans="1:1">
      <c r="A5275" s="7" t="str">
        <f>IF('Document Workflow'!A5274&lt;&gt;"",'Document Workflow'!A5274,"")</f>
        <v/>
      </c>
    </row>
    <row r="5276" spans="1:1">
      <c r="A5276" s="7" t="str">
        <f>IF('Document Workflow'!A5275&lt;&gt;"",'Document Workflow'!A5275,"")</f>
        <v/>
      </c>
    </row>
    <row r="5277" spans="1:1">
      <c r="A5277" s="7" t="str">
        <f>IF('Document Workflow'!A5276&lt;&gt;"",'Document Workflow'!A5276,"")</f>
        <v/>
      </c>
    </row>
    <row r="5278" spans="1:1">
      <c r="A5278" s="7" t="str">
        <f>IF('Document Workflow'!A5277&lt;&gt;"",'Document Workflow'!A5277,"")</f>
        <v/>
      </c>
    </row>
    <row r="5279" spans="1:1">
      <c r="A5279" s="7" t="str">
        <f>IF('Document Workflow'!A5278&lt;&gt;"",'Document Workflow'!A5278,"")</f>
        <v/>
      </c>
    </row>
    <row r="5280" spans="1:1">
      <c r="A5280" s="7" t="str">
        <f>IF('Document Workflow'!A5279&lt;&gt;"",'Document Workflow'!A5279,"")</f>
        <v/>
      </c>
    </row>
    <row r="5281" spans="1:1">
      <c r="A5281" s="7" t="str">
        <f>IF('Document Workflow'!A5280&lt;&gt;"",'Document Workflow'!A5280,"")</f>
        <v/>
      </c>
    </row>
    <row r="5282" spans="1:1">
      <c r="A5282" s="7" t="str">
        <f>IF('Document Workflow'!A5281&lt;&gt;"",'Document Workflow'!A5281,"")</f>
        <v/>
      </c>
    </row>
    <row r="5283" spans="1:1">
      <c r="A5283" s="7" t="str">
        <f>IF('Document Workflow'!A5282&lt;&gt;"",'Document Workflow'!A5282,"")</f>
        <v/>
      </c>
    </row>
    <row r="5284" spans="1:1">
      <c r="A5284" s="7" t="str">
        <f>IF('Document Workflow'!A5283&lt;&gt;"",'Document Workflow'!A5283,"")</f>
        <v/>
      </c>
    </row>
    <row r="5285" spans="1:1">
      <c r="A5285" s="7" t="str">
        <f>IF('Document Workflow'!A5284&lt;&gt;"",'Document Workflow'!A5284,"")</f>
        <v/>
      </c>
    </row>
    <row r="5286" spans="1:1">
      <c r="A5286" s="7" t="str">
        <f>IF('Document Workflow'!A5285&lt;&gt;"",'Document Workflow'!A5285,"")</f>
        <v/>
      </c>
    </row>
    <row r="5287" spans="1:1">
      <c r="A5287" s="7" t="str">
        <f>IF('Document Workflow'!A5286&lt;&gt;"",'Document Workflow'!A5286,"")</f>
        <v/>
      </c>
    </row>
    <row r="5288" spans="1:1">
      <c r="A5288" s="7" t="str">
        <f>IF('Document Workflow'!A5287&lt;&gt;"",'Document Workflow'!A5287,"")</f>
        <v/>
      </c>
    </row>
    <row r="5289" spans="1:1">
      <c r="A5289" s="7" t="str">
        <f>IF('Document Workflow'!A5288&lt;&gt;"",'Document Workflow'!A5288,"")</f>
        <v/>
      </c>
    </row>
    <row r="5290" spans="1:1">
      <c r="A5290" s="7" t="str">
        <f>IF('Document Workflow'!A5289&lt;&gt;"",'Document Workflow'!A5289,"")</f>
        <v/>
      </c>
    </row>
    <row r="5291" spans="1:1">
      <c r="A5291" s="7" t="str">
        <f>IF('Document Workflow'!A5290&lt;&gt;"",'Document Workflow'!A5290,"")</f>
        <v/>
      </c>
    </row>
    <row r="5292" spans="1:1">
      <c r="A5292" s="7" t="str">
        <f>IF('Document Workflow'!A5291&lt;&gt;"",'Document Workflow'!A5291,"")</f>
        <v/>
      </c>
    </row>
    <row r="5293" spans="1:1">
      <c r="A5293" s="7" t="str">
        <f>IF('Document Workflow'!A5292&lt;&gt;"",'Document Workflow'!A5292,"")</f>
        <v/>
      </c>
    </row>
    <row r="5294" spans="1:1">
      <c r="A5294" s="7" t="str">
        <f>IF('Document Workflow'!A5293&lt;&gt;"",'Document Workflow'!A5293,"")</f>
        <v/>
      </c>
    </row>
    <row r="5295" spans="1:1">
      <c r="A5295" s="7" t="str">
        <f>IF('Document Workflow'!A5294&lt;&gt;"",'Document Workflow'!A5294,"")</f>
        <v/>
      </c>
    </row>
    <row r="5296" spans="1:1">
      <c r="A5296" s="7" t="str">
        <f>IF('Document Workflow'!A5295&lt;&gt;"",'Document Workflow'!A5295,"")</f>
        <v/>
      </c>
    </row>
    <row r="5297" spans="1:1">
      <c r="A5297" s="7" t="str">
        <f>IF('Document Workflow'!A5296&lt;&gt;"",'Document Workflow'!A5296,"")</f>
        <v/>
      </c>
    </row>
    <row r="5298" spans="1:1">
      <c r="A5298" s="7" t="str">
        <f>IF('Document Workflow'!A5297&lt;&gt;"",'Document Workflow'!A5297,"")</f>
        <v/>
      </c>
    </row>
    <row r="5299" spans="1:1">
      <c r="A5299" s="7" t="str">
        <f>IF('Document Workflow'!A5298&lt;&gt;"",'Document Workflow'!A5298,"")</f>
        <v/>
      </c>
    </row>
    <row r="5300" spans="1:1">
      <c r="A5300" s="7" t="str">
        <f>IF('Document Workflow'!A5299&lt;&gt;"",'Document Workflow'!A5299,"")</f>
        <v/>
      </c>
    </row>
    <row r="5301" spans="1:1">
      <c r="A5301" s="7" t="str">
        <f>IF('Document Workflow'!A5300&lt;&gt;"",'Document Workflow'!A5300,"")</f>
        <v/>
      </c>
    </row>
    <row r="5302" spans="1:1">
      <c r="A5302" s="7" t="str">
        <f>IF('Document Workflow'!A5301&lt;&gt;"",'Document Workflow'!A5301,"")</f>
        <v/>
      </c>
    </row>
    <row r="5303" spans="1:1">
      <c r="A5303" s="7" t="str">
        <f>IF('Document Workflow'!A5302&lt;&gt;"",'Document Workflow'!A5302,"")</f>
        <v/>
      </c>
    </row>
    <row r="5304" spans="1:1">
      <c r="A5304" s="7" t="str">
        <f>IF('Document Workflow'!A5303&lt;&gt;"",'Document Workflow'!A5303,"")</f>
        <v/>
      </c>
    </row>
    <row r="5305" spans="1:1">
      <c r="A5305" s="7" t="str">
        <f>IF('Document Workflow'!A5304&lt;&gt;"",'Document Workflow'!A5304,"")</f>
        <v/>
      </c>
    </row>
    <row r="5306" spans="1:1">
      <c r="A5306" s="7" t="str">
        <f>IF('Document Workflow'!A5305&lt;&gt;"",'Document Workflow'!A5305,"")</f>
        <v/>
      </c>
    </row>
    <row r="5307" spans="1:1">
      <c r="A5307" s="7" t="str">
        <f>IF('Document Workflow'!A5306&lt;&gt;"",'Document Workflow'!A5306,"")</f>
        <v/>
      </c>
    </row>
    <row r="5308" spans="1:1">
      <c r="A5308" s="7" t="str">
        <f>IF('Document Workflow'!A5307&lt;&gt;"",'Document Workflow'!A5307,"")</f>
        <v/>
      </c>
    </row>
    <row r="5309" spans="1:1">
      <c r="A5309" s="7" t="str">
        <f>IF('Document Workflow'!A5308&lt;&gt;"",'Document Workflow'!A5308,"")</f>
        <v/>
      </c>
    </row>
    <row r="5310" spans="1:1">
      <c r="A5310" s="7" t="str">
        <f>IF('Document Workflow'!A5309&lt;&gt;"",'Document Workflow'!A5309,"")</f>
        <v/>
      </c>
    </row>
    <row r="5311" spans="1:1">
      <c r="A5311" s="7" t="str">
        <f>IF('Document Workflow'!A5310&lt;&gt;"",'Document Workflow'!A5310,"")</f>
        <v/>
      </c>
    </row>
    <row r="5312" spans="1:1">
      <c r="A5312" s="7" t="str">
        <f>IF('Document Workflow'!A5311&lt;&gt;"",'Document Workflow'!A5311,"")</f>
        <v/>
      </c>
    </row>
    <row r="5313" spans="1:1">
      <c r="A5313" s="7" t="str">
        <f>IF('Document Workflow'!A5312&lt;&gt;"",'Document Workflow'!A5312,"")</f>
        <v/>
      </c>
    </row>
    <row r="5314" spans="1:1">
      <c r="A5314" s="7" t="str">
        <f>IF('Document Workflow'!A5313&lt;&gt;"",'Document Workflow'!A5313,"")</f>
        <v/>
      </c>
    </row>
    <row r="5315" spans="1:1">
      <c r="A5315" s="7" t="str">
        <f>IF('Document Workflow'!A5314&lt;&gt;"",'Document Workflow'!A5314,"")</f>
        <v/>
      </c>
    </row>
    <row r="5316" spans="1:1">
      <c r="A5316" s="7" t="str">
        <f>IF('Document Workflow'!A5315&lt;&gt;"",'Document Workflow'!A5315,"")</f>
        <v/>
      </c>
    </row>
    <row r="5317" spans="1:1">
      <c r="A5317" s="7" t="str">
        <f>IF('Document Workflow'!A5316&lt;&gt;"",'Document Workflow'!A5316,"")</f>
        <v/>
      </c>
    </row>
    <row r="5318" spans="1:1">
      <c r="A5318" s="7" t="str">
        <f>IF('Document Workflow'!A5317&lt;&gt;"",'Document Workflow'!A5317,"")</f>
        <v/>
      </c>
    </row>
    <row r="5319" spans="1:1">
      <c r="A5319" s="7" t="str">
        <f>IF('Document Workflow'!A5318&lt;&gt;"",'Document Workflow'!A5318,"")</f>
        <v/>
      </c>
    </row>
    <row r="5320" spans="1:1">
      <c r="A5320" s="7" t="str">
        <f>IF('Document Workflow'!A5319&lt;&gt;"",'Document Workflow'!A5319,"")</f>
        <v/>
      </c>
    </row>
    <row r="5321" spans="1:1">
      <c r="A5321" s="7" t="str">
        <f>IF('Document Workflow'!A5320&lt;&gt;"",'Document Workflow'!A5320,"")</f>
        <v/>
      </c>
    </row>
    <row r="5322" spans="1:1">
      <c r="A5322" s="7" t="str">
        <f>IF('Document Workflow'!A5321&lt;&gt;"",'Document Workflow'!A5321,"")</f>
        <v/>
      </c>
    </row>
    <row r="5323" spans="1:1">
      <c r="A5323" s="7" t="str">
        <f>IF('Document Workflow'!A5322&lt;&gt;"",'Document Workflow'!A5322,"")</f>
        <v/>
      </c>
    </row>
    <row r="5324" spans="1:1">
      <c r="A5324" s="7" t="str">
        <f>IF('Document Workflow'!A5323&lt;&gt;"",'Document Workflow'!A5323,"")</f>
        <v/>
      </c>
    </row>
    <row r="5325" spans="1:1">
      <c r="A5325" s="7" t="str">
        <f>IF('Document Workflow'!A5324&lt;&gt;"",'Document Workflow'!A5324,"")</f>
        <v/>
      </c>
    </row>
    <row r="5326" spans="1:1">
      <c r="A5326" s="7" t="str">
        <f>IF('Document Workflow'!A5325&lt;&gt;"",'Document Workflow'!A5325,"")</f>
        <v/>
      </c>
    </row>
    <row r="5327" spans="1:1">
      <c r="A5327" s="7" t="str">
        <f>IF('Document Workflow'!A5326&lt;&gt;"",'Document Workflow'!A5326,"")</f>
        <v/>
      </c>
    </row>
    <row r="5328" spans="1:1">
      <c r="A5328" s="7" t="str">
        <f>IF('Document Workflow'!A5327&lt;&gt;"",'Document Workflow'!A5327,"")</f>
        <v/>
      </c>
    </row>
    <row r="5329" spans="1:1">
      <c r="A5329" s="7" t="str">
        <f>IF('Document Workflow'!A5328&lt;&gt;"",'Document Workflow'!A5328,"")</f>
        <v/>
      </c>
    </row>
    <row r="5330" spans="1:1">
      <c r="A5330" s="7" t="str">
        <f>IF('Document Workflow'!A5329&lt;&gt;"",'Document Workflow'!A5329,"")</f>
        <v/>
      </c>
    </row>
    <row r="5331" spans="1:1">
      <c r="A5331" s="7" t="str">
        <f>IF('Document Workflow'!A5330&lt;&gt;"",'Document Workflow'!A5330,"")</f>
        <v/>
      </c>
    </row>
    <row r="5332" spans="1:1">
      <c r="A5332" s="7" t="str">
        <f>IF('Document Workflow'!A5331&lt;&gt;"",'Document Workflow'!A5331,"")</f>
        <v/>
      </c>
    </row>
    <row r="5333" spans="1:1">
      <c r="A5333" s="7" t="str">
        <f>IF('Document Workflow'!A5332&lt;&gt;"",'Document Workflow'!A5332,"")</f>
        <v/>
      </c>
    </row>
    <row r="5334" spans="1:1">
      <c r="A5334" s="7" t="str">
        <f>IF('Document Workflow'!A5333&lt;&gt;"",'Document Workflow'!A5333,"")</f>
        <v/>
      </c>
    </row>
    <row r="5335" spans="1:1">
      <c r="A5335" s="7" t="str">
        <f>IF('Document Workflow'!A5334&lt;&gt;"",'Document Workflow'!A5334,"")</f>
        <v/>
      </c>
    </row>
    <row r="5336" spans="1:1">
      <c r="A5336" s="7" t="str">
        <f>IF('Document Workflow'!A5335&lt;&gt;"",'Document Workflow'!A5335,"")</f>
        <v/>
      </c>
    </row>
    <row r="5337" spans="1:1">
      <c r="A5337" s="7" t="str">
        <f>IF('Document Workflow'!A5336&lt;&gt;"",'Document Workflow'!A5336,"")</f>
        <v/>
      </c>
    </row>
    <row r="5338" spans="1:1">
      <c r="A5338" s="7" t="str">
        <f>IF('Document Workflow'!A5337&lt;&gt;"",'Document Workflow'!A5337,"")</f>
        <v/>
      </c>
    </row>
    <row r="5339" spans="1:1">
      <c r="A5339" s="7" t="str">
        <f>IF('Document Workflow'!A5338&lt;&gt;"",'Document Workflow'!A5338,"")</f>
        <v/>
      </c>
    </row>
    <row r="5340" spans="1:1">
      <c r="A5340" s="7" t="str">
        <f>IF('Document Workflow'!A5339&lt;&gt;"",'Document Workflow'!A5339,"")</f>
        <v/>
      </c>
    </row>
    <row r="5341" spans="1:1">
      <c r="A5341" s="7" t="str">
        <f>IF('Document Workflow'!A5340&lt;&gt;"",'Document Workflow'!A5340,"")</f>
        <v/>
      </c>
    </row>
    <row r="5342" spans="1:1">
      <c r="A5342" s="7" t="str">
        <f>IF('Document Workflow'!A5341&lt;&gt;"",'Document Workflow'!A5341,"")</f>
        <v/>
      </c>
    </row>
    <row r="5343" spans="1:1">
      <c r="A5343" s="7" t="str">
        <f>IF('Document Workflow'!A5342&lt;&gt;"",'Document Workflow'!A5342,"")</f>
        <v/>
      </c>
    </row>
    <row r="5344" spans="1:1">
      <c r="A5344" s="7" t="str">
        <f>IF('Document Workflow'!A5343&lt;&gt;"",'Document Workflow'!A5343,"")</f>
        <v/>
      </c>
    </row>
    <row r="5345" spans="1:1">
      <c r="A5345" s="7" t="str">
        <f>IF('Document Workflow'!A5344&lt;&gt;"",'Document Workflow'!A5344,"")</f>
        <v/>
      </c>
    </row>
    <row r="5346" spans="1:1">
      <c r="A5346" s="7" t="str">
        <f>IF('Document Workflow'!A5345&lt;&gt;"",'Document Workflow'!A5345,"")</f>
        <v/>
      </c>
    </row>
    <row r="5347" spans="1:1">
      <c r="A5347" s="7" t="str">
        <f>IF('Document Workflow'!A5346&lt;&gt;"",'Document Workflow'!A5346,"")</f>
        <v/>
      </c>
    </row>
    <row r="5348" spans="1:1">
      <c r="A5348" s="7" t="str">
        <f>IF('Document Workflow'!A5347&lt;&gt;"",'Document Workflow'!A5347,"")</f>
        <v/>
      </c>
    </row>
    <row r="5349" spans="1:1">
      <c r="A5349" s="7" t="str">
        <f>IF('Document Workflow'!A5348&lt;&gt;"",'Document Workflow'!A5348,"")</f>
        <v/>
      </c>
    </row>
    <row r="5350" spans="1:1">
      <c r="A5350" s="7" t="str">
        <f>IF('Document Workflow'!A5349&lt;&gt;"",'Document Workflow'!A5349,"")</f>
        <v/>
      </c>
    </row>
    <row r="5351" spans="1:1">
      <c r="A5351" s="7" t="str">
        <f>IF('Document Workflow'!A5350&lt;&gt;"",'Document Workflow'!A5350,"")</f>
        <v/>
      </c>
    </row>
    <row r="5352" spans="1:1">
      <c r="A5352" s="7" t="str">
        <f>IF('Document Workflow'!A5351&lt;&gt;"",'Document Workflow'!A5351,"")</f>
        <v/>
      </c>
    </row>
    <row r="5353" spans="1:1">
      <c r="A5353" s="7" t="str">
        <f>IF('Document Workflow'!A5352&lt;&gt;"",'Document Workflow'!A5352,"")</f>
        <v/>
      </c>
    </row>
    <row r="5354" spans="1:1">
      <c r="A5354" s="7" t="str">
        <f>IF('Document Workflow'!A5353&lt;&gt;"",'Document Workflow'!A5353,"")</f>
        <v/>
      </c>
    </row>
    <row r="5355" spans="1:1">
      <c r="A5355" s="7" t="str">
        <f>IF('Document Workflow'!A5354&lt;&gt;"",'Document Workflow'!A5354,"")</f>
        <v/>
      </c>
    </row>
    <row r="5356" spans="1:1">
      <c r="A5356" s="7" t="str">
        <f>IF('Document Workflow'!A5355&lt;&gt;"",'Document Workflow'!A5355,"")</f>
        <v/>
      </c>
    </row>
    <row r="5357" spans="1:1">
      <c r="A5357" s="7" t="str">
        <f>IF('Document Workflow'!A5356&lt;&gt;"",'Document Workflow'!A5356,"")</f>
        <v/>
      </c>
    </row>
    <row r="5358" spans="1:1">
      <c r="A5358" s="7" t="str">
        <f>IF('Document Workflow'!A5357&lt;&gt;"",'Document Workflow'!A5357,"")</f>
        <v/>
      </c>
    </row>
    <row r="5359" spans="1:1">
      <c r="A5359" s="7" t="str">
        <f>IF('Document Workflow'!A5358&lt;&gt;"",'Document Workflow'!A5358,"")</f>
        <v/>
      </c>
    </row>
    <row r="5360" spans="1:1">
      <c r="A5360" s="7" t="str">
        <f>IF('Document Workflow'!A5359&lt;&gt;"",'Document Workflow'!A5359,"")</f>
        <v/>
      </c>
    </row>
    <row r="5361" spans="1:1">
      <c r="A5361" s="7" t="str">
        <f>IF('Document Workflow'!A5360&lt;&gt;"",'Document Workflow'!A5360,"")</f>
        <v/>
      </c>
    </row>
    <row r="5362" spans="1:1">
      <c r="A5362" s="7" t="str">
        <f>IF('Document Workflow'!A5361&lt;&gt;"",'Document Workflow'!A5361,"")</f>
        <v/>
      </c>
    </row>
    <row r="5363" spans="1:1">
      <c r="A5363" s="7" t="str">
        <f>IF('Document Workflow'!A5362&lt;&gt;"",'Document Workflow'!A5362,"")</f>
        <v/>
      </c>
    </row>
    <row r="5364" spans="1:1">
      <c r="A5364" s="7" t="str">
        <f>IF('Document Workflow'!A5363&lt;&gt;"",'Document Workflow'!A5363,"")</f>
        <v/>
      </c>
    </row>
    <row r="5365" spans="1:1">
      <c r="A5365" s="7" t="str">
        <f>IF('Document Workflow'!A5364&lt;&gt;"",'Document Workflow'!A5364,"")</f>
        <v/>
      </c>
    </row>
    <row r="5366" spans="1:1">
      <c r="A5366" s="7" t="str">
        <f>IF('Document Workflow'!A5365&lt;&gt;"",'Document Workflow'!A5365,"")</f>
        <v/>
      </c>
    </row>
    <row r="5367" spans="1:1">
      <c r="A5367" s="7" t="str">
        <f>IF('Document Workflow'!A5366&lt;&gt;"",'Document Workflow'!A5366,"")</f>
        <v/>
      </c>
    </row>
    <row r="5368" spans="1:1">
      <c r="A5368" s="7" t="str">
        <f>IF('Document Workflow'!A5367&lt;&gt;"",'Document Workflow'!A5367,"")</f>
        <v/>
      </c>
    </row>
    <row r="5369" spans="1:1">
      <c r="A5369" s="7" t="str">
        <f>IF('Document Workflow'!A5368&lt;&gt;"",'Document Workflow'!A5368,"")</f>
        <v/>
      </c>
    </row>
    <row r="5370" spans="1:1">
      <c r="A5370" s="7" t="str">
        <f>IF('Document Workflow'!A5369&lt;&gt;"",'Document Workflow'!A5369,"")</f>
        <v/>
      </c>
    </row>
    <row r="5371" spans="1:1">
      <c r="A5371" s="7" t="str">
        <f>IF('Document Workflow'!A5370&lt;&gt;"",'Document Workflow'!A5370,"")</f>
        <v/>
      </c>
    </row>
    <row r="5372" spans="1:1">
      <c r="A5372" s="7" t="str">
        <f>IF('Document Workflow'!A5371&lt;&gt;"",'Document Workflow'!A5371,"")</f>
        <v/>
      </c>
    </row>
    <row r="5373" spans="1:1">
      <c r="A5373" s="7" t="str">
        <f>IF('Document Workflow'!A5372&lt;&gt;"",'Document Workflow'!A5372,"")</f>
        <v/>
      </c>
    </row>
    <row r="5374" spans="1:1">
      <c r="A5374" s="7" t="str">
        <f>IF('Document Workflow'!A5373&lt;&gt;"",'Document Workflow'!A5373,"")</f>
        <v/>
      </c>
    </row>
    <row r="5375" spans="1:1">
      <c r="A5375" s="7" t="str">
        <f>IF('Document Workflow'!A5374&lt;&gt;"",'Document Workflow'!A5374,"")</f>
        <v/>
      </c>
    </row>
    <row r="5376" spans="1:1">
      <c r="A5376" s="7" t="str">
        <f>IF('Document Workflow'!A5375&lt;&gt;"",'Document Workflow'!A5375,"")</f>
        <v/>
      </c>
    </row>
    <row r="5377" spans="1:1">
      <c r="A5377" s="7" t="str">
        <f>IF('Document Workflow'!A5376&lt;&gt;"",'Document Workflow'!A5376,"")</f>
        <v/>
      </c>
    </row>
    <row r="5378" spans="1:1">
      <c r="A5378" s="7" t="str">
        <f>IF('Document Workflow'!A5377&lt;&gt;"",'Document Workflow'!A5377,"")</f>
        <v/>
      </c>
    </row>
    <row r="5379" spans="1:1">
      <c r="A5379" s="7" t="str">
        <f>IF('Document Workflow'!A5378&lt;&gt;"",'Document Workflow'!A5378,"")</f>
        <v/>
      </c>
    </row>
    <row r="5380" spans="1:1">
      <c r="A5380" s="7" t="str">
        <f>IF('Document Workflow'!A5379&lt;&gt;"",'Document Workflow'!A5379,"")</f>
        <v/>
      </c>
    </row>
    <row r="5381" spans="1:1">
      <c r="A5381" s="7" t="str">
        <f>IF('Document Workflow'!A5380&lt;&gt;"",'Document Workflow'!A5380,"")</f>
        <v/>
      </c>
    </row>
    <row r="5382" spans="1:1">
      <c r="A5382" s="7" t="str">
        <f>IF('Document Workflow'!A5381&lt;&gt;"",'Document Workflow'!A5381,"")</f>
        <v/>
      </c>
    </row>
    <row r="5383" spans="1:1">
      <c r="A5383" s="7" t="str">
        <f>IF('Document Workflow'!A5382&lt;&gt;"",'Document Workflow'!A5382,"")</f>
        <v/>
      </c>
    </row>
    <row r="5384" spans="1:1">
      <c r="A5384" s="7" t="str">
        <f>IF('Document Workflow'!A5383&lt;&gt;"",'Document Workflow'!A5383,"")</f>
        <v/>
      </c>
    </row>
    <row r="5385" spans="1:1">
      <c r="A5385" s="7" t="str">
        <f>IF('Document Workflow'!A5384&lt;&gt;"",'Document Workflow'!A5384,"")</f>
        <v/>
      </c>
    </row>
    <row r="5386" spans="1:1">
      <c r="A5386" s="7" t="str">
        <f>IF('Document Workflow'!A5385&lt;&gt;"",'Document Workflow'!A5385,"")</f>
        <v/>
      </c>
    </row>
    <row r="5387" spans="1:1">
      <c r="A5387" s="7" t="str">
        <f>IF('Document Workflow'!A5386&lt;&gt;"",'Document Workflow'!A5386,"")</f>
        <v/>
      </c>
    </row>
    <row r="5388" spans="1:1">
      <c r="A5388" s="7" t="str">
        <f>IF('Document Workflow'!A5387&lt;&gt;"",'Document Workflow'!A5387,"")</f>
        <v/>
      </c>
    </row>
    <row r="5389" spans="1:1">
      <c r="A5389" s="7" t="str">
        <f>IF('Document Workflow'!A5388&lt;&gt;"",'Document Workflow'!A5388,"")</f>
        <v/>
      </c>
    </row>
    <row r="5390" spans="1:1">
      <c r="A5390" s="7" t="str">
        <f>IF('Document Workflow'!A5389&lt;&gt;"",'Document Workflow'!A5389,"")</f>
        <v/>
      </c>
    </row>
    <row r="5391" spans="1:1">
      <c r="A5391" s="7" t="str">
        <f>IF('Document Workflow'!A5390&lt;&gt;"",'Document Workflow'!A5390,"")</f>
        <v/>
      </c>
    </row>
    <row r="5392" spans="1:1">
      <c r="A5392" s="7" t="str">
        <f>IF('Document Workflow'!A5391&lt;&gt;"",'Document Workflow'!A5391,"")</f>
        <v/>
      </c>
    </row>
    <row r="5393" spans="1:1">
      <c r="A5393" s="7" t="str">
        <f>IF('Document Workflow'!A5392&lt;&gt;"",'Document Workflow'!A5392,"")</f>
        <v/>
      </c>
    </row>
    <row r="5394" spans="1:1">
      <c r="A5394" s="7" t="str">
        <f>IF('Document Workflow'!A5393&lt;&gt;"",'Document Workflow'!A5393,"")</f>
        <v/>
      </c>
    </row>
    <row r="5395" spans="1:1">
      <c r="A5395" s="7" t="str">
        <f>IF('Document Workflow'!A5394&lt;&gt;"",'Document Workflow'!A5394,"")</f>
        <v/>
      </c>
    </row>
    <row r="5396" spans="1:1">
      <c r="A5396" s="7" t="str">
        <f>IF('Document Workflow'!A5395&lt;&gt;"",'Document Workflow'!A5395,"")</f>
        <v/>
      </c>
    </row>
    <row r="5397" spans="1:1">
      <c r="A5397" s="7" t="str">
        <f>IF('Document Workflow'!A5396&lt;&gt;"",'Document Workflow'!A5396,"")</f>
        <v/>
      </c>
    </row>
    <row r="5398" spans="1:1">
      <c r="A5398" s="7" t="str">
        <f>IF('Document Workflow'!A5397&lt;&gt;"",'Document Workflow'!A5397,"")</f>
        <v/>
      </c>
    </row>
    <row r="5399" spans="1:1">
      <c r="A5399" s="7" t="str">
        <f>IF('Document Workflow'!A5398&lt;&gt;"",'Document Workflow'!A5398,"")</f>
        <v/>
      </c>
    </row>
    <row r="5400" spans="1:1">
      <c r="A5400" s="7" t="str">
        <f>IF('Document Workflow'!A5399&lt;&gt;"",'Document Workflow'!A5399,"")</f>
        <v/>
      </c>
    </row>
    <row r="5401" spans="1:1">
      <c r="A5401" s="7" t="str">
        <f>IF('Document Workflow'!A5400&lt;&gt;"",'Document Workflow'!A5400,"")</f>
        <v/>
      </c>
    </row>
    <row r="5402" spans="1:1">
      <c r="A5402" s="7" t="str">
        <f>IF('Document Workflow'!A5401&lt;&gt;"",'Document Workflow'!A5401,"")</f>
        <v/>
      </c>
    </row>
    <row r="5403" spans="1:1">
      <c r="A5403" s="7" t="str">
        <f>IF('Document Workflow'!A5402&lt;&gt;"",'Document Workflow'!A5402,"")</f>
        <v/>
      </c>
    </row>
    <row r="5404" spans="1:1">
      <c r="A5404" s="7" t="str">
        <f>IF('Document Workflow'!A5403&lt;&gt;"",'Document Workflow'!A5403,"")</f>
        <v/>
      </c>
    </row>
    <row r="5405" spans="1:1">
      <c r="A5405" s="7" t="str">
        <f>IF('Document Workflow'!A5404&lt;&gt;"",'Document Workflow'!A5404,"")</f>
        <v/>
      </c>
    </row>
    <row r="5406" spans="1:1">
      <c r="A5406" s="7" t="str">
        <f>IF('Document Workflow'!A5405&lt;&gt;"",'Document Workflow'!A5405,"")</f>
        <v/>
      </c>
    </row>
    <row r="5407" spans="1:1">
      <c r="A5407" s="7" t="str">
        <f>IF('Document Workflow'!A5406&lt;&gt;"",'Document Workflow'!A5406,"")</f>
        <v/>
      </c>
    </row>
    <row r="5408" spans="1:1">
      <c r="A5408" s="7" t="str">
        <f>IF('Document Workflow'!A5407&lt;&gt;"",'Document Workflow'!A5407,"")</f>
        <v/>
      </c>
    </row>
    <row r="5409" spans="1:1">
      <c r="A5409" s="7" t="str">
        <f>IF('Document Workflow'!A5408&lt;&gt;"",'Document Workflow'!A5408,"")</f>
        <v/>
      </c>
    </row>
    <row r="5410" spans="1:1">
      <c r="A5410" s="7" t="str">
        <f>IF('Document Workflow'!A5409&lt;&gt;"",'Document Workflow'!A5409,"")</f>
        <v/>
      </c>
    </row>
    <row r="5411" spans="1:1">
      <c r="A5411" s="7" t="str">
        <f>IF('Document Workflow'!A5410&lt;&gt;"",'Document Workflow'!A5410,"")</f>
        <v/>
      </c>
    </row>
    <row r="5412" spans="1:1">
      <c r="A5412" s="7" t="str">
        <f>IF('Document Workflow'!A5411&lt;&gt;"",'Document Workflow'!A5411,"")</f>
        <v/>
      </c>
    </row>
    <row r="5413" spans="1:1">
      <c r="A5413" s="7" t="str">
        <f>IF('Document Workflow'!A5412&lt;&gt;"",'Document Workflow'!A5412,"")</f>
        <v/>
      </c>
    </row>
    <row r="5414" spans="1:1">
      <c r="A5414" s="7" t="str">
        <f>IF('Document Workflow'!A5413&lt;&gt;"",'Document Workflow'!A5413,"")</f>
        <v/>
      </c>
    </row>
    <row r="5415" spans="1:1">
      <c r="A5415" s="7" t="str">
        <f>IF('Document Workflow'!A5414&lt;&gt;"",'Document Workflow'!A5414,"")</f>
        <v/>
      </c>
    </row>
    <row r="5416" spans="1:1">
      <c r="A5416" s="7" t="str">
        <f>IF('Document Workflow'!A5415&lt;&gt;"",'Document Workflow'!A5415,"")</f>
        <v/>
      </c>
    </row>
    <row r="5417" spans="1:1">
      <c r="A5417" s="7" t="str">
        <f>IF('Document Workflow'!A5416&lt;&gt;"",'Document Workflow'!A5416,"")</f>
        <v/>
      </c>
    </row>
    <row r="5418" spans="1:1">
      <c r="A5418" s="7" t="str">
        <f>IF('Document Workflow'!A5417&lt;&gt;"",'Document Workflow'!A5417,"")</f>
        <v/>
      </c>
    </row>
    <row r="5419" spans="1:1">
      <c r="A5419" s="7" t="str">
        <f>IF('Document Workflow'!A5418&lt;&gt;"",'Document Workflow'!A5418,"")</f>
        <v/>
      </c>
    </row>
    <row r="5420" spans="1:1">
      <c r="A5420" s="7" t="str">
        <f>IF('Document Workflow'!A5419&lt;&gt;"",'Document Workflow'!A5419,"")</f>
        <v/>
      </c>
    </row>
    <row r="5421" spans="1:1">
      <c r="A5421" s="7" t="str">
        <f>IF('Document Workflow'!A5420&lt;&gt;"",'Document Workflow'!A5420,"")</f>
        <v/>
      </c>
    </row>
    <row r="5422" spans="1:1">
      <c r="A5422" s="7" t="str">
        <f>IF('Document Workflow'!A5421&lt;&gt;"",'Document Workflow'!A5421,"")</f>
        <v/>
      </c>
    </row>
    <row r="5423" spans="1:1">
      <c r="A5423" s="7" t="str">
        <f>IF('Document Workflow'!A5422&lt;&gt;"",'Document Workflow'!A5422,"")</f>
        <v/>
      </c>
    </row>
    <row r="5424" spans="1:1">
      <c r="A5424" s="7" t="str">
        <f>IF('Document Workflow'!A5423&lt;&gt;"",'Document Workflow'!A5423,"")</f>
        <v/>
      </c>
    </row>
    <row r="5425" spans="1:1">
      <c r="A5425" s="7" t="str">
        <f>IF('Document Workflow'!A5424&lt;&gt;"",'Document Workflow'!A5424,"")</f>
        <v/>
      </c>
    </row>
    <row r="5426" spans="1:1">
      <c r="A5426" s="7" t="str">
        <f>IF('Document Workflow'!A5425&lt;&gt;"",'Document Workflow'!A5425,"")</f>
        <v/>
      </c>
    </row>
    <row r="5427" spans="1:1">
      <c r="A5427" s="7" t="str">
        <f>IF('Document Workflow'!A5426&lt;&gt;"",'Document Workflow'!A5426,"")</f>
        <v/>
      </c>
    </row>
    <row r="5428" spans="1:1">
      <c r="A5428" s="7" t="str">
        <f>IF('Document Workflow'!A5427&lt;&gt;"",'Document Workflow'!A5427,"")</f>
        <v/>
      </c>
    </row>
    <row r="5429" spans="1:1">
      <c r="A5429" s="7" t="str">
        <f>IF('Document Workflow'!A5428&lt;&gt;"",'Document Workflow'!A5428,"")</f>
        <v/>
      </c>
    </row>
    <row r="5430" spans="1:1">
      <c r="A5430" s="7" t="str">
        <f>IF('Document Workflow'!A5429&lt;&gt;"",'Document Workflow'!A5429,"")</f>
        <v/>
      </c>
    </row>
    <row r="5431" spans="1:1">
      <c r="A5431" s="7" t="str">
        <f>IF('Document Workflow'!A5430&lt;&gt;"",'Document Workflow'!A5430,"")</f>
        <v/>
      </c>
    </row>
    <row r="5432" spans="1:1">
      <c r="A5432" s="7" t="str">
        <f>IF('Document Workflow'!A5431&lt;&gt;"",'Document Workflow'!A5431,"")</f>
        <v/>
      </c>
    </row>
    <row r="5433" spans="1:1">
      <c r="A5433" s="7" t="str">
        <f>IF('Document Workflow'!A5432&lt;&gt;"",'Document Workflow'!A5432,"")</f>
        <v/>
      </c>
    </row>
    <row r="5434" spans="1:1">
      <c r="A5434" s="7" t="str">
        <f>IF('Document Workflow'!A5433&lt;&gt;"",'Document Workflow'!A5433,"")</f>
        <v/>
      </c>
    </row>
    <row r="5435" spans="1:1">
      <c r="A5435" s="7" t="str">
        <f>IF('Document Workflow'!A5434&lt;&gt;"",'Document Workflow'!A5434,"")</f>
        <v/>
      </c>
    </row>
    <row r="5436" spans="1:1">
      <c r="A5436" s="7" t="str">
        <f>IF('Document Workflow'!A5435&lt;&gt;"",'Document Workflow'!A5435,"")</f>
        <v/>
      </c>
    </row>
    <row r="5437" spans="1:1">
      <c r="A5437" s="7" t="str">
        <f>IF('Document Workflow'!A5436&lt;&gt;"",'Document Workflow'!A5436,"")</f>
        <v/>
      </c>
    </row>
    <row r="5438" spans="1:1">
      <c r="A5438" s="7" t="str">
        <f>IF('Document Workflow'!A5437&lt;&gt;"",'Document Workflow'!A5437,"")</f>
        <v/>
      </c>
    </row>
    <row r="5439" spans="1:1">
      <c r="A5439" s="7" t="str">
        <f>IF('Document Workflow'!A5438&lt;&gt;"",'Document Workflow'!A5438,"")</f>
        <v/>
      </c>
    </row>
    <row r="5440" spans="1:1">
      <c r="A5440" s="7" t="str">
        <f>IF('Document Workflow'!A5439&lt;&gt;"",'Document Workflow'!A5439,"")</f>
        <v/>
      </c>
    </row>
    <row r="5441" spans="1:1">
      <c r="A5441" s="7" t="str">
        <f>IF('Document Workflow'!A5440&lt;&gt;"",'Document Workflow'!A5440,"")</f>
        <v/>
      </c>
    </row>
    <row r="5442" spans="1:1">
      <c r="A5442" s="7" t="str">
        <f>IF('Document Workflow'!A5441&lt;&gt;"",'Document Workflow'!A5441,"")</f>
        <v/>
      </c>
    </row>
    <row r="5443" spans="1:1">
      <c r="A5443" s="7" t="str">
        <f>IF('Document Workflow'!A5442&lt;&gt;"",'Document Workflow'!A5442,"")</f>
        <v/>
      </c>
    </row>
    <row r="5444" spans="1:1">
      <c r="A5444" s="7" t="str">
        <f>IF('Document Workflow'!A5443&lt;&gt;"",'Document Workflow'!A5443,"")</f>
        <v/>
      </c>
    </row>
    <row r="5445" spans="1:1">
      <c r="A5445" s="7" t="str">
        <f>IF('Document Workflow'!A5444&lt;&gt;"",'Document Workflow'!A5444,"")</f>
        <v/>
      </c>
    </row>
    <row r="5446" spans="1:1">
      <c r="A5446" s="7" t="str">
        <f>IF('Document Workflow'!A5445&lt;&gt;"",'Document Workflow'!A5445,"")</f>
        <v/>
      </c>
    </row>
    <row r="5447" spans="1:1">
      <c r="A5447" s="7" t="str">
        <f>IF('Document Workflow'!A5446&lt;&gt;"",'Document Workflow'!A5446,"")</f>
        <v/>
      </c>
    </row>
    <row r="5448" spans="1:1">
      <c r="A5448" s="7" t="str">
        <f>IF('Document Workflow'!A5447&lt;&gt;"",'Document Workflow'!A5447,"")</f>
        <v/>
      </c>
    </row>
    <row r="5449" spans="1:1">
      <c r="A5449" s="7" t="str">
        <f>IF('Document Workflow'!A5448&lt;&gt;"",'Document Workflow'!A5448,"")</f>
        <v/>
      </c>
    </row>
    <row r="5450" spans="1:1">
      <c r="A5450" s="7" t="str">
        <f>IF('Document Workflow'!A5449&lt;&gt;"",'Document Workflow'!A5449,"")</f>
        <v/>
      </c>
    </row>
    <row r="5451" spans="1:1">
      <c r="A5451" s="7" t="str">
        <f>IF('Document Workflow'!A5450&lt;&gt;"",'Document Workflow'!A5450,"")</f>
        <v/>
      </c>
    </row>
    <row r="5452" spans="1:1">
      <c r="A5452" s="7" t="str">
        <f>IF('Document Workflow'!A5451&lt;&gt;"",'Document Workflow'!A5451,"")</f>
        <v/>
      </c>
    </row>
    <row r="5453" spans="1:1">
      <c r="A5453" s="7" t="str">
        <f>IF('Document Workflow'!A5452&lt;&gt;"",'Document Workflow'!A5452,"")</f>
        <v/>
      </c>
    </row>
    <row r="5454" spans="1:1">
      <c r="A5454" s="7" t="str">
        <f>IF('Document Workflow'!A5453&lt;&gt;"",'Document Workflow'!A5453,"")</f>
        <v/>
      </c>
    </row>
    <row r="5455" spans="1:1">
      <c r="A5455" s="7" t="str">
        <f>IF('Document Workflow'!A5454&lt;&gt;"",'Document Workflow'!A5454,"")</f>
        <v/>
      </c>
    </row>
    <row r="5456" spans="1:1">
      <c r="A5456" s="7" t="str">
        <f>IF('Document Workflow'!A5455&lt;&gt;"",'Document Workflow'!A5455,"")</f>
        <v/>
      </c>
    </row>
    <row r="5457" spans="1:1">
      <c r="A5457" s="7" t="str">
        <f>IF('Document Workflow'!A5456&lt;&gt;"",'Document Workflow'!A5456,"")</f>
        <v/>
      </c>
    </row>
    <row r="5458" spans="1:1">
      <c r="A5458" s="7" t="str">
        <f>IF('Document Workflow'!A5457&lt;&gt;"",'Document Workflow'!A5457,"")</f>
        <v/>
      </c>
    </row>
    <row r="5459" spans="1:1">
      <c r="A5459" s="7" t="str">
        <f>IF('Document Workflow'!A5458&lt;&gt;"",'Document Workflow'!A5458,"")</f>
        <v/>
      </c>
    </row>
    <row r="5460" spans="1:1">
      <c r="A5460" s="7" t="str">
        <f>IF('Document Workflow'!A5459&lt;&gt;"",'Document Workflow'!A5459,"")</f>
        <v/>
      </c>
    </row>
    <row r="5461" spans="1:1">
      <c r="A5461" s="7" t="str">
        <f>IF('Document Workflow'!A5460&lt;&gt;"",'Document Workflow'!A5460,"")</f>
        <v/>
      </c>
    </row>
    <row r="5462" spans="1:1">
      <c r="A5462" s="7" t="str">
        <f>IF('Document Workflow'!A5461&lt;&gt;"",'Document Workflow'!A5461,"")</f>
        <v/>
      </c>
    </row>
    <row r="5463" spans="1:1">
      <c r="A5463" s="7" t="str">
        <f>IF('Document Workflow'!A5462&lt;&gt;"",'Document Workflow'!A5462,"")</f>
        <v/>
      </c>
    </row>
    <row r="5464" spans="1:1">
      <c r="A5464" s="7" t="str">
        <f>IF('Document Workflow'!A5463&lt;&gt;"",'Document Workflow'!A5463,"")</f>
        <v/>
      </c>
    </row>
    <row r="5465" spans="1:1">
      <c r="A5465" s="7" t="str">
        <f>IF('Document Workflow'!A5464&lt;&gt;"",'Document Workflow'!A5464,"")</f>
        <v/>
      </c>
    </row>
    <row r="5466" spans="1:1">
      <c r="A5466" s="7" t="str">
        <f>IF('Document Workflow'!A5465&lt;&gt;"",'Document Workflow'!A5465,"")</f>
        <v/>
      </c>
    </row>
    <row r="5467" spans="1:1">
      <c r="A5467" s="7" t="str">
        <f>IF('Document Workflow'!A5466&lt;&gt;"",'Document Workflow'!A5466,"")</f>
        <v/>
      </c>
    </row>
    <row r="5468" spans="1:1">
      <c r="A5468" s="7" t="str">
        <f>IF('Document Workflow'!A5467&lt;&gt;"",'Document Workflow'!A5467,"")</f>
        <v/>
      </c>
    </row>
    <row r="5469" spans="1:1">
      <c r="A5469" s="7" t="str">
        <f>IF('Document Workflow'!A5468&lt;&gt;"",'Document Workflow'!A5468,"")</f>
        <v/>
      </c>
    </row>
    <row r="5470" spans="1:1">
      <c r="A5470" s="7" t="str">
        <f>IF('Document Workflow'!A5469&lt;&gt;"",'Document Workflow'!A5469,"")</f>
        <v/>
      </c>
    </row>
    <row r="5471" spans="1:1">
      <c r="A5471" s="7" t="str">
        <f>IF('Document Workflow'!A5470&lt;&gt;"",'Document Workflow'!A5470,"")</f>
        <v/>
      </c>
    </row>
    <row r="5472" spans="1:1">
      <c r="A5472" s="7" t="str">
        <f>IF('Document Workflow'!A5471&lt;&gt;"",'Document Workflow'!A5471,"")</f>
        <v/>
      </c>
    </row>
    <row r="5473" spans="1:1">
      <c r="A5473" s="7" t="str">
        <f>IF('Document Workflow'!A5472&lt;&gt;"",'Document Workflow'!A5472,"")</f>
        <v/>
      </c>
    </row>
    <row r="5474" spans="1:1">
      <c r="A5474" s="7" t="str">
        <f>IF('Document Workflow'!A5473&lt;&gt;"",'Document Workflow'!A5473,"")</f>
        <v/>
      </c>
    </row>
    <row r="5475" spans="1:1">
      <c r="A5475" s="7" t="str">
        <f>IF('Document Workflow'!A5474&lt;&gt;"",'Document Workflow'!A5474,"")</f>
        <v/>
      </c>
    </row>
    <row r="5476" spans="1:1">
      <c r="A5476" s="7" t="str">
        <f>IF('Document Workflow'!A5475&lt;&gt;"",'Document Workflow'!A5475,"")</f>
        <v/>
      </c>
    </row>
    <row r="5477" spans="1:1">
      <c r="A5477" s="7" t="str">
        <f>IF('Document Workflow'!A5476&lt;&gt;"",'Document Workflow'!A5476,"")</f>
        <v/>
      </c>
    </row>
    <row r="5478" spans="1:1">
      <c r="A5478" s="7" t="str">
        <f>IF('Document Workflow'!A5477&lt;&gt;"",'Document Workflow'!A5477,"")</f>
        <v/>
      </c>
    </row>
    <row r="5479" spans="1:1">
      <c r="A5479" s="7" t="str">
        <f>IF('Document Workflow'!A5478&lt;&gt;"",'Document Workflow'!A5478,"")</f>
        <v/>
      </c>
    </row>
    <row r="5480" spans="1:1">
      <c r="A5480" s="7" t="str">
        <f>IF('Document Workflow'!A5479&lt;&gt;"",'Document Workflow'!A5479,"")</f>
        <v/>
      </c>
    </row>
    <row r="5481" spans="1:1">
      <c r="A5481" s="7" t="str">
        <f>IF('Document Workflow'!A5480&lt;&gt;"",'Document Workflow'!A5480,"")</f>
        <v/>
      </c>
    </row>
    <row r="5482" spans="1:1">
      <c r="A5482" s="7" t="str">
        <f>IF('Document Workflow'!A5481&lt;&gt;"",'Document Workflow'!A5481,"")</f>
        <v/>
      </c>
    </row>
    <row r="5483" spans="1:1">
      <c r="A5483" s="7" t="str">
        <f>IF('Document Workflow'!A5482&lt;&gt;"",'Document Workflow'!A5482,"")</f>
        <v/>
      </c>
    </row>
    <row r="5484" spans="1:1">
      <c r="A5484" s="7" t="str">
        <f>IF('Document Workflow'!A5483&lt;&gt;"",'Document Workflow'!A5483,"")</f>
        <v/>
      </c>
    </row>
    <row r="5485" spans="1:1">
      <c r="A5485" s="7" t="str">
        <f>IF('Document Workflow'!A5484&lt;&gt;"",'Document Workflow'!A5484,"")</f>
        <v/>
      </c>
    </row>
    <row r="5486" spans="1:1">
      <c r="A5486" s="7" t="str">
        <f>IF('Document Workflow'!A5485&lt;&gt;"",'Document Workflow'!A5485,"")</f>
        <v/>
      </c>
    </row>
    <row r="5487" spans="1:1">
      <c r="A5487" s="7" t="str">
        <f>IF('Document Workflow'!A5486&lt;&gt;"",'Document Workflow'!A5486,"")</f>
        <v/>
      </c>
    </row>
    <row r="5488" spans="1:1">
      <c r="A5488" s="7" t="str">
        <f>IF('Document Workflow'!A5487&lt;&gt;"",'Document Workflow'!A5487,"")</f>
        <v/>
      </c>
    </row>
    <row r="5489" spans="1:1">
      <c r="A5489" s="7" t="str">
        <f>IF('Document Workflow'!A5488&lt;&gt;"",'Document Workflow'!A5488,"")</f>
        <v/>
      </c>
    </row>
    <row r="5490" spans="1:1">
      <c r="A5490" s="7" t="str">
        <f>IF('Document Workflow'!A5489&lt;&gt;"",'Document Workflow'!A5489,"")</f>
        <v/>
      </c>
    </row>
    <row r="5491" spans="1:1">
      <c r="A5491" s="7" t="str">
        <f>IF('Document Workflow'!A5490&lt;&gt;"",'Document Workflow'!A5490,"")</f>
        <v/>
      </c>
    </row>
    <row r="5492" spans="1:1">
      <c r="A5492" s="7" t="str">
        <f>IF('Document Workflow'!A5491&lt;&gt;"",'Document Workflow'!A5491,"")</f>
        <v/>
      </c>
    </row>
    <row r="5493" spans="1:1">
      <c r="A5493" s="7" t="str">
        <f>IF('Document Workflow'!A5492&lt;&gt;"",'Document Workflow'!A5492,"")</f>
        <v/>
      </c>
    </row>
    <row r="5494" spans="1:1">
      <c r="A5494" s="7" t="str">
        <f>IF('Document Workflow'!A5493&lt;&gt;"",'Document Workflow'!A5493,"")</f>
        <v/>
      </c>
    </row>
    <row r="5495" spans="1:1">
      <c r="A5495" s="7" t="str">
        <f>IF('Document Workflow'!A5494&lt;&gt;"",'Document Workflow'!A5494,"")</f>
        <v/>
      </c>
    </row>
    <row r="5496" spans="1:1">
      <c r="A5496" s="7" t="str">
        <f>IF('Document Workflow'!A5495&lt;&gt;"",'Document Workflow'!A5495,"")</f>
        <v/>
      </c>
    </row>
    <row r="5497" spans="1:1">
      <c r="A5497" s="7" t="str">
        <f>IF('Document Workflow'!A5496&lt;&gt;"",'Document Workflow'!A5496,"")</f>
        <v/>
      </c>
    </row>
    <row r="5498" spans="1:1">
      <c r="A5498" s="7" t="str">
        <f>IF('Document Workflow'!A5497&lt;&gt;"",'Document Workflow'!A5497,"")</f>
        <v/>
      </c>
    </row>
    <row r="5499" spans="1:1">
      <c r="A5499" s="7" t="str">
        <f>IF('Document Workflow'!A5498&lt;&gt;"",'Document Workflow'!A5498,"")</f>
        <v/>
      </c>
    </row>
    <row r="5500" spans="1:1">
      <c r="A5500" s="7" t="str">
        <f>IF('Document Workflow'!A5499&lt;&gt;"",'Document Workflow'!A5499,"")</f>
        <v/>
      </c>
    </row>
    <row r="5501" spans="1:1">
      <c r="A5501" s="7" t="str">
        <f>IF('Document Workflow'!A5500&lt;&gt;"",'Document Workflow'!A5500,"")</f>
        <v/>
      </c>
    </row>
    <row r="5502" spans="1:1">
      <c r="A5502" s="7" t="str">
        <f>IF('Document Workflow'!A5501&lt;&gt;"",'Document Workflow'!A5501,"")</f>
        <v/>
      </c>
    </row>
    <row r="5503" spans="1:1">
      <c r="A5503" s="7" t="str">
        <f>IF('Document Workflow'!A5502&lt;&gt;"",'Document Workflow'!A5502,"")</f>
        <v/>
      </c>
    </row>
    <row r="5504" spans="1:1">
      <c r="A5504" s="7" t="str">
        <f>IF('Document Workflow'!A5503&lt;&gt;"",'Document Workflow'!A5503,"")</f>
        <v/>
      </c>
    </row>
    <row r="5505" spans="1:1">
      <c r="A5505" s="7" t="str">
        <f>IF('Document Workflow'!A5504&lt;&gt;"",'Document Workflow'!A5504,"")</f>
        <v/>
      </c>
    </row>
    <row r="5506" spans="1:1">
      <c r="A5506" s="7" t="str">
        <f>IF('Document Workflow'!A5505&lt;&gt;"",'Document Workflow'!A5505,"")</f>
        <v/>
      </c>
    </row>
    <row r="5507" spans="1:1">
      <c r="A5507" s="7" t="str">
        <f>IF('Document Workflow'!A5506&lt;&gt;"",'Document Workflow'!A5506,"")</f>
        <v/>
      </c>
    </row>
    <row r="5508" spans="1:1">
      <c r="A5508" s="7" t="str">
        <f>IF('Document Workflow'!A5507&lt;&gt;"",'Document Workflow'!A5507,"")</f>
        <v/>
      </c>
    </row>
    <row r="5509" spans="1:1">
      <c r="A5509" s="7" t="str">
        <f>IF('Document Workflow'!A5508&lt;&gt;"",'Document Workflow'!A5508,"")</f>
        <v/>
      </c>
    </row>
    <row r="5510" spans="1:1">
      <c r="A5510" s="7" t="str">
        <f>IF('Document Workflow'!A5509&lt;&gt;"",'Document Workflow'!A5509,"")</f>
        <v/>
      </c>
    </row>
    <row r="5511" spans="1:1">
      <c r="A5511" s="7" t="str">
        <f>IF('Document Workflow'!A5510&lt;&gt;"",'Document Workflow'!A5510,"")</f>
        <v/>
      </c>
    </row>
    <row r="5512" spans="1:1">
      <c r="A5512" s="7" t="str">
        <f>IF('Document Workflow'!A5511&lt;&gt;"",'Document Workflow'!A5511,"")</f>
        <v/>
      </c>
    </row>
    <row r="5513" spans="1:1">
      <c r="A5513" s="7" t="str">
        <f>IF('Document Workflow'!A5512&lt;&gt;"",'Document Workflow'!A5512,"")</f>
        <v/>
      </c>
    </row>
    <row r="5514" spans="1:1">
      <c r="A5514" s="7" t="str">
        <f>IF('Document Workflow'!A5513&lt;&gt;"",'Document Workflow'!A5513,"")</f>
        <v/>
      </c>
    </row>
    <row r="5515" spans="1:1">
      <c r="A5515" s="7" t="str">
        <f>IF('Document Workflow'!A5514&lt;&gt;"",'Document Workflow'!A5514,"")</f>
        <v/>
      </c>
    </row>
    <row r="5516" spans="1:1">
      <c r="A5516" s="7" t="str">
        <f>IF('Document Workflow'!A5515&lt;&gt;"",'Document Workflow'!A5515,"")</f>
        <v/>
      </c>
    </row>
    <row r="5517" spans="1:1">
      <c r="A5517" s="7" t="str">
        <f>IF('Document Workflow'!A5516&lt;&gt;"",'Document Workflow'!A5516,"")</f>
        <v/>
      </c>
    </row>
    <row r="5518" spans="1:1">
      <c r="A5518" s="7" t="str">
        <f>IF('Document Workflow'!A5517&lt;&gt;"",'Document Workflow'!A5517,"")</f>
        <v/>
      </c>
    </row>
    <row r="5519" spans="1:1">
      <c r="A5519" s="7" t="str">
        <f>IF('Document Workflow'!A5518&lt;&gt;"",'Document Workflow'!A5518,"")</f>
        <v/>
      </c>
    </row>
    <row r="5520" spans="1:1">
      <c r="A5520" s="7" t="str">
        <f>IF('Document Workflow'!A5519&lt;&gt;"",'Document Workflow'!A5519,"")</f>
        <v/>
      </c>
    </row>
    <row r="5521" spans="1:1">
      <c r="A5521" s="7" t="str">
        <f>IF('Document Workflow'!A5520&lt;&gt;"",'Document Workflow'!A5520,"")</f>
        <v/>
      </c>
    </row>
    <row r="5522" spans="1:1">
      <c r="A5522" s="7" t="str">
        <f>IF('Document Workflow'!A5521&lt;&gt;"",'Document Workflow'!A5521,"")</f>
        <v/>
      </c>
    </row>
    <row r="5523" spans="1:1">
      <c r="A5523" s="7" t="str">
        <f>IF('Document Workflow'!A5522&lt;&gt;"",'Document Workflow'!A5522,"")</f>
        <v/>
      </c>
    </row>
    <row r="5524" spans="1:1">
      <c r="A5524" s="7" t="str">
        <f>IF('Document Workflow'!A5523&lt;&gt;"",'Document Workflow'!A5523,"")</f>
        <v/>
      </c>
    </row>
    <row r="5525" spans="1:1">
      <c r="A5525" s="7" t="str">
        <f>IF('Document Workflow'!A5524&lt;&gt;"",'Document Workflow'!A5524,"")</f>
        <v/>
      </c>
    </row>
    <row r="5526" spans="1:1">
      <c r="A5526" s="7" t="str">
        <f>IF('Document Workflow'!A5525&lt;&gt;"",'Document Workflow'!A5525,"")</f>
        <v/>
      </c>
    </row>
    <row r="5527" spans="1:1">
      <c r="A5527" s="7" t="str">
        <f>IF('Document Workflow'!A5526&lt;&gt;"",'Document Workflow'!A5526,"")</f>
        <v/>
      </c>
    </row>
    <row r="5528" spans="1:1">
      <c r="A5528" s="7" t="str">
        <f>IF('Document Workflow'!A5527&lt;&gt;"",'Document Workflow'!A5527,"")</f>
        <v/>
      </c>
    </row>
    <row r="5529" spans="1:1">
      <c r="A5529" s="7" t="str">
        <f>IF('Document Workflow'!A5528&lt;&gt;"",'Document Workflow'!A5528,"")</f>
        <v/>
      </c>
    </row>
    <row r="5530" spans="1:1">
      <c r="A5530" s="7" t="str">
        <f>IF('Document Workflow'!A5529&lt;&gt;"",'Document Workflow'!A5529,"")</f>
        <v/>
      </c>
    </row>
    <row r="5531" spans="1:1">
      <c r="A5531" s="7" t="str">
        <f>IF('Document Workflow'!A5530&lt;&gt;"",'Document Workflow'!A5530,"")</f>
        <v/>
      </c>
    </row>
    <row r="5532" spans="1:1">
      <c r="A5532" s="7" t="str">
        <f>IF('Document Workflow'!A5531&lt;&gt;"",'Document Workflow'!A5531,"")</f>
        <v/>
      </c>
    </row>
    <row r="5533" spans="1:1">
      <c r="A5533" s="7" t="str">
        <f>IF('Document Workflow'!A5532&lt;&gt;"",'Document Workflow'!A5532,"")</f>
        <v/>
      </c>
    </row>
    <row r="5534" spans="1:1">
      <c r="A5534" s="7" t="str">
        <f>IF('Document Workflow'!A5533&lt;&gt;"",'Document Workflow'!A5533,"")</f>
        <v/>
      </c>
    </row>
    <row r="5535" spans="1:1">
      <c r="A5535" s="7" t="str">
        <f>IF('Document Workflow'!A5534&lt;&gt;"",'Document Workflow'!A5534,"")</f>
        <v/>
      </c>
    </row>
    <row r="5536" spans="1:1">
      <c r="A5536" s="7" t="str">
        <f>IF('Document Workflow'!A5535&lt;&gt;"",'Document Workflow'!A5535,"")</f>
        <v/>
      </c>
    </row>
    <row r="5537" spans="1:1">
      <c r="A5537" s="7" t="str">
        <f>IF('Document Workflow'!A5536&lt;&gt;"",'Document Workflow'!A5536,"")</f>
        <v/>
      </c>
    </row>
    <row r="5538" spans="1:1">
      <c r="A5538" s="7" t="str">
        <f>IF('Document Workflow'!A5537&lt;&gt;"",'Document Workflow'!A5537,"")</f>
        <v/>
      </c>
    </row>
    <row r="5539" spans="1:1">
      <c r="A5539" s="7" t="str">
        <f>IF('Document Workflow'!A5538&lt;&gt;"",'Document Workflow'!A5538,"")</f>
        <v/>
      </c>
    </row>
    <row r="5540" spans="1:1">
      <c r="A5540" s="7" t="str">
        <f>IF('Document Workflow'!A5539&lt;&gt;"",'Document Workflow'!A5539,"")</f>
        <v/>
      </c>
    </row>
    <row r="5541" spans="1:1">
      <c r="A5541" s="7" t="str">
        <f>IF('Document Workflow'!A5540&lt;&gt;"",'Document Workflow'!A5540,"")</f>
        <v/>
      </c>
    </row>
    <row r="5542" spans="1:1">
      <c r="A5542" s="7" t="str">
        <f>IF('Document Workflow'!A5541&lt;&gt;"",'Document Workflow'!A5541,"")</f>
        <v/>
      </c>
    </row>
    <row r="5543" spans="1:1">
      <c r="A5543" s="7" t="str">
        <f>IF('Document Workflow'!A5542&lt;&gt;"",'Document Workflow'!A5542,"")</f>
        <v/>
      </c>
    </row>
    <row r="5544" spans="1:1">
      <c r="A5544" s="7" t="str">
        <f>IF('Document Workflow'!A5543&lt;&gt;"",'Document Workflow'!A5543,"")</f>
        <v/>
      </c>
    </row>
    <row r="5545" spans="1:1">
      <c r="A5545" s="7" t="str">
        <f>IF('Document Workflow'!A5544&lt;&gt;"",'Document Workflow'!A5544,"")</f>
        <v/>
      </c>
    </row>
    <row r="5546" spans="1:1">
      <c r="A5546" s="7" t="str">
        <f>IF('Document Workflow'!A5545&lt;&gt;"",'Document Workflow'!A5545,"")</f>
        <v/>
      </c>
    </row>
    <row r="5547" spans="1:1">
      <c r="A5547" s="7" t="str">
        <f>IF('Document Workflow'!A5546&lt;&gt;"",'Document Workflow'!A5546,"")</f>
        <v/>
      </c>
    </row>
    <row r="5548" spans="1:1">
      <c r="A5548" s="7" t="str">
        <f>IF('Document Workflow'!A5547&lt;&gt;"",'Document Workflow'!A5547,"")</f>
        <v/>
      </c>
    </row>
    <row r="5549" spans="1:1">
      <c r="A5549" s="7" t="str">
        <f>IF('Document Workflow'!A5548&lt;&gt;"",'Document Workflow'!A5548,"")</f>
        <v/>
      </c>
    </row>
    <row r="5550" spans="1:1">
      <c r="A5550" s="7" t="str">
        <f>IF('Document Workflow'!A5549&lt;&gt;"",'Document Workflow'!A5549,"")</f>
        <v/>
      </c>
    </row>
    <row r="5551" spans="1:1">
      <c r="A5551" s="7" t="str">
        <f>IF('Document Workflow'!A5550&lt;&gt;"",'Document Workflow'!A5550,"")</f>
        <v/>
      </c>
    </row>
    <row r="5552" spans="1:1">
      <c r="A5552" s="7" t="str">
        <f>IF('Document Workflow'!A5551&lt;&gt;"",'Document Workflow'!A5551,"")</f>
        <v/>
      </c>
    </row>
    <row r="5553" spans="1:1">
      <c r="A5553" s="7" t="str">
        <f>IF('Document Workflow'!A5552&lt;&gt;"",'Document Workflow'!A5552,"")</f>
        <v/>
      </c>
    </row>
    <row r="5554" spans="1:1">
      <c r="A5554" s="7" t="str">
        <f>IF('Document Workflow'!A5553&lt;&gt;"",'Document Workflow'!A5553,"")</f>
        <v/>
      </c>
    </row>
    <row r="5555" spans="1:1">
      <c r="A5555" s="7" t="str">
        <f>IF('Document Workflow'!A5554&lt;&gt;"",'Document Workflow'!A5554,"")</f>
        <v/>
      </c>
    </row>
    <row r="5556" spans="1:1">
      <c r="A5556" s="7" t="str">
        <f>IF('Document Workflow'!A5555&lt;&gt;"",'Document Workflow'!A5555,"")</f>
        <v/>
      </c>
    </row>
    <row r="5557" spans="1:1">
      <c r="A5557" s="7" t="str">
        <f>IF('Document Workflow'!A5556&lt;&gt;"",'Document Workflow'!A5556,"")</f>
        <v/>
      </c>
    </row>
    <row r="5558" spans="1:1">
      <c r="A5558" s="7" t="str">
        <f>IF('Document Workflow'!A5557&lt;&gt;"",'Document Workflow'!A5557,"")</f>
        <v/>
      </c>
    </row>
    <row r="5559" spans="1:1">
      <c r="A5559" s="7" t="str">
        <f>IF('Document Workflow'!A5558&lt;&gt;"",'Document Workflow'!A5558,"")</f>
        <v/>
      </c>
    </row>
    <row r="5560" spans="1:1">
      <c r="A5560" s="7" t="str">
        <f>IF('Document Workflow'!A5559&lt;&gt;"",'Document Workflow'!A5559,"")</f>
        <v/>
      </c>
    </row>
    <row r="5561" spans="1:1">
      <c r="A5561" s="7" t="str">
        <f>IF('Document Workflow'!A5560&lt;&gt;"",'Document Workflow'!A5560,"")</f>
        <v/>
      </c>
    </row>
    <row r="5562" spans="1:1">
      <c r="A5562" s="7" t="str">
        <f>IF('Document Workflow'!A5561&lt;&gt;"",'Document Workflow'!A5561,"")</f>
        <v/>
      </c>
    </row>
    <row r="5563" spans="1:1">
      <c r="A5563" s="7" t="str">
        <f>IF('Document Workflow'!A5562&lt;&gt;"",'Document Workflow'!A5562,"")</f>
        <v/>
      </c>
    </row>
    <row r="5564" spans="1:1">
      <c r="A5564" s="7" t="str">
        <f>IF('Document Workflow'!A5563&lt;&gt;"",'Document Workflow'!A5563,"")</f>
        <v/>
      </c>
    </row>
    <row r="5565" spans="1:1">
      <c r="A5565" s="7" t="str">
        <f>IF('Document Workflow'!A5564&lt;&gt;"",'Document Workflow'!A5564,"")</f>
        <v/>
      </c>
    </row>
    <row r="5566" spans="1:1">
      <c r="A5566" s="7" t="str">
        <f>IF('Document Workflow'!A5565&lt;&gt;"",'Document Workflow'!A5565,"")</f>
        <v/>
      </c>
    </row>
    <row r="5567" spans="1:1">
      <c r="A5567" s="7" t="str">
        <f>IF('Document Workflow'!A5566&lt;&gt;"",'Document Workflow'!A5566,"")</f>
        <v/>
      </c>
    </row>
    <row r="5568" spans="1:1">
      <c r="A5568" s="7" t="str">
        <f>IF('Document Workflow'!A5567&lt;&gt;"",'Document Workflow'!A5567,"")</f>
        <v/>
      </c>
    </row>
    <row r="5569" spans="1:1">
      <c r="A5569" s="7" t="str">
        <f>IF('Document Workflow'!A5568&lt;&gt;"",'Document Workflow'!A5568,"")</f>
        <v/>
      </c>
    </row>
    <row r="5570" spans="1:1">
      <c r="A5570" s="7" t="str">
        <f>IF('Document Workflow'!A5569&lt;&gt;"",'Document Workflow'!A5569,"")</f>
        <v/>
      </c>
    </row>
    <row r="5571" spans="1:1">
      <c r="A5571" s="7" t="str">
        <f>IF('Document Workflow'!A5570&lt;&gt;"",'Document Workflow'!A5570,"")</f>
        <v/>
      </c>
    </row>
    <row r="5572" spans="1:1">
      <c r="A5572" s="7" t="str">
        <f>IF('Document Workflow'!A5571&lt;&gt;"",'Document Workflow'!A5571,"")</f>
        <v/>
      </c>
    </row>
    <row r="5573" spans="1:1">
      <c r="A5573" s="7" t="str">
        <f>IF('Document Workflow'!A5572&lt;&gt;"",'Document Workflow'!A5572,"")</f>
        <v/>
      </c>
    </row>
    <row r="5574" spans="1:1">
      <c r="A5574" s="7" t="str">
        <f>IF('Document Workflow'!A5573&lt;&gt;"",'Document Workflow'!A5573,"")</f>
        <v/>
      </c>
    </row>
    <row r="5575" spans="1:1">
      <c r="A5575" s="7" t="str">
        <f>IF('Document Workflow'!A5574&lt;&gt;"",'Document Workflow'!A5574,"")</f>
        <v/>
      </c>
    </row>
    <row r="5576" spans="1:1">
      <c r="A5576" s="7" t="str">
        <f>IF('Document Workflow'!A5575&lt;&gt;"",'Document Workflow'!A5575,"")</f>
        <v/>
      </c>
    </row>
    <row r="5577" spans="1:1">
      <c r="A5577" s="7" t="str">
        <f>IF('Document Workflow'!A5576&lt;&gt;"",'Document Workflow'!A5576,"")</f>
        <v/>
      </c>
    </row>
    <row r="5578" spans="1:1">
      <c r="A5578" s="7" t="str">
        <f>IF('Document Workflow'!A5577&lt;&gt;"",'Document Workflow'!A5577,"")</f>
        <v/>
      </c>
    </row>
    <row r="5579" spans="1:1">
      <c r="A5579" s="7" t="str">
        <f>IF('Document Workflow'!A5578&lt;&gt;"",'Document Workflow'!A5578,"")</f>
        <v/>
      </c>
    </row>
    <row r="5580" spans="1:1">
      <c r="A5580" s="7" t="str">
        <f>IF('Document Workflow'!A5579&lt;&gt;"",'Document Workflow'!A5579,"")</f>
        <v/>
      </c>
    </row>
    <row r="5581" spans="1:1">
      <c r="A5581" s="7" t="str">
        <f>IF('Document Workflow'!A5580&lt;&gt;"",'Document Workflow'!A5580,"")</f>
        <v/>
      </c>
    </row>
    <row r="5582" spans="1:1">
      <c r="A5582" s="7" t="str">
        <f>IF('Document Workflow'!A5581&lt;&gt;"",'Document Workflow'!A5581,"")</f>
        <v/>
      </c>
    </row>
    <row r="5583" spans="1:1">
      <c r="A5583" s="7" t="str">
        <f>IF('Document Workflow'!A5582&lt;&gt;"",'Document Workflow'!A5582,"")</f>
        <v/>
      </c>
    </row>
    <row r="5584" spans="1:1">
      <c r="A5584" s="7" t="str">
        <f>IF('Document Workflow'!A5583&lt;&gt;"",'Document Workflow'!A5583,"")</f>
        <v/>
      </c>
    </row>
    <row r="5585" spans="1:1">
      <c r="A5585" s="7" t="str">
        <f>IF('Document Workflow'!A5584&lt;&gt;"",'Document Workflow'!A5584,"")</f>
        <v/>
      </c>
    </row>
    <row r="5586" spans="1:1">
      <c r="A5586" s="7" t="str">
        <f>IF('Document Workflow'!A5585&lt;&gt;"",'Document Workflow'!A5585,"")</f>
        <v/>
      </c>
    </row>
    <row r="5587" spans="1:1">
      <c r="A5587" s="7" t="str">
        <f>IF('Document Workflow'!A5586&lt;&gt;"",'Document Workflow'!A5586,"")</f>
        <v/>
      </c>
    </row>
    <row r="5588" spans="1:1">
      <c r="A5588" s="7" t="str">
        <f>IF('Document Workflow'!A5587&lt;&gt;"",'Document Workflow'!A5587,"")</f>
        <v/>
      </c>
    </row>
    <row r="5589" spans="1:1">
      <c r="A5589" s="7" t="str">
        <f>IF('Document Workflow'!A5588&lt;&gt;"",'Document Workflow'!A5588,"")</f>
        <v/>
      </c>
    </row>
    <row r="5590" spans="1:1">
      <c r="A5590" s="7" t="str">
        <f>IF('Document Workflow'!A5589&lt;&gt;"",'Document Workflow'!A5589,"")</f>
        <v/>
      </c>
    </row>
    <row r="5591" spans="1:1">
      <c r="A5591" s="7" t="str">
        <f>IF('Document Workflow'!A5590&lt;&gt;"",'Document Workflow'!A5590,"")</f>
        <v/>
      </c>
    </row>
    <row r="5592" spans="1:1">
      <c r="A5592" s="7" t="str">
        <f>IF('Document Workflow'!A5591&lt;&gt;"",'Document Workflow'!A5591,"")</f>
        <v/>
      </c>
    </row>
    <row r="5593" spans="1:1">
      <c r="A5593" s="7" t="str">
        <f>IF('Document Workflow'!A5592&lt;&gt;"",'Document Workflow'!A5592,"")</f>
        <v/>
      </c>
    </row>
    <row r="5594" spans="1:1">
      <c r="A5594" s="7" t="str">
        <f>IF('Document Workflow'!A5593&lt;&gt;"",'Document Workflow'!A5593,"")</f>
        <v/>
      </c>
    </row>
    <row r="5595" spans="1:1">
      <c r="A5595" s="7" t="str">
        <f>IF('Document Workflow'!A5594&lt;&gt;"",'Document Workflow'!A5594,"")</f>
        <v/>
      </c>
    </row>
    <row r="5596" spans="1:1">
      <c r="A5596" s="7" t="str">
        <f>IF('Document Workflow'!A5595&lt;&gt;"",'Document Workflow'!A5595,"")</f>
        <v/>
      </c>
    </row>
    <row r="5597" spans="1:1">
      <c r="A5597" s="7" t="str">
        <f>IF('Document Workflow'!A5596&lt;&gt;"",'Document Workflow'!A5596,"")</f>
        <v/>
      </c>
    </row>
    <row r="5598" spans="1:1">
      <c r="A5598" s="7" t="str">
        <f>IF('Document Workflow'!A5597&lt;&gt;"",'Document Workflow'!A5597,"")</f>
        <v/>
      </c>
    </row>
    <row r="5599" spans="1:1">
      <c r="A5599" s="7" t="str">
        <f>IF('Document Workflow'!A5598&lt;&gt;"",'Document Workflow'!A5598,"")</f>
        <v/>
      </c>
    </row>
    <row r="5600" spans="1:1">
      <c r="A5600" s="7" t="str">
        <f>IF('Document Workflow'!A5599&lt;&gt;"",'Document Workflow'!A5599,"")</f>
        <v/>
      </c>
    </row>
    <row r="5601" spans="1:1">
      <c r="A5601" s="7" t="str">
        <f>IF('Document Workflow'!A5600&lt;&gt;"",'Document Workflow'!A5600,"")</f>
        <v/>
      </c>
    </row>
    <row r="5602" spans="1:1">
      <c r="A5602" s="7" t="str">
        <f>IF('Document Workflow'!A5601&lt;&gt;"",'Document Workflow'!A5601,"")</f>
        <v/>
      </c>
    </row>
    <row r="5603" spans="1:1">
      <c r="A5603" s="7" t="str">
        <f>IF('Document Workflow'!A5602&lt;&gt;"",'Document Workflow'!A5602,"")</f>
        <v/>
      </c>
    </row>
    <row r="5604" spans="1:1">
      <c r="A5604" s="7" t="str">
        <f>IF('Document Workflow'!A5603&lt;&gt;"",'Document Workflow'!A5603,"")</f>
        <v/>
      </c>
    </row>
    <row r="5605" spans="1:1">
      <c r="A5605" s="7" t="str">
        <f>IF('Document Workflow'!A5604&lt;&gt;"",'Document Workflow'!A5604,"")</f>
        <v/>
      </c>
    </row>
    <row r="5606" spans="1:1">
      <c r="A5606" s="7" t="str">
        <f>IF('Document Workflow'!A5605&lt;&gt;"",'Document Workflow'!A5605,"")</f>
        <v/>
      </c>
    </row>
    <row r="5607" spans="1:1">
      <c r="A5607" s="7" t="str">
        <f>IF('Document Workflow'!A5606&lt;&gt;"",'Document Workflow'!A5606,"")</f>
        <v/>
      </c>
    </row>
    <row r="5608" spans="1:1">
      <c r="A5608" s="7" t="str">
        <f>IF('Document Workflow'!A5607&lt;&gt;"",'Document Workflow'!A5607,"")</f>
        <v/>
      </c>
    </row>
    <row r="5609" spans="1:1">
      <c r="A5609" s="7" t="str">
        <f>IF('Document Workflow'!A5608&lt;&gt;"",'Document Workflow'!A5608,"")</f>
        <v/>
      </c>
    </row>
    <row r="5610" spans="1:1">
      <c r="A5610" s="7" t="str">
        <f>IF('Document Workflow'!A5609&lt;&gt;"",'Document Workflow'!A5609,"")</f>
        <v/>
      </c>
    </row>
    <row r="5611" spans="1:1">
      <c r="A5611" s="7" t="str">
        <f>IF('Document Workflow'!A5610&lt;&gt;"",'Document Workflow'!A5610,"")</f>
        <v/>
      </c>
    </row>
    <row r="5612" spans="1:1">
      <c r="A5612" s="7" t="str">
        <f>IF('Document Workflow'!A5611&lt;&gt;"",'Document Workflow'!A5611,"")</f>
        <v/>
      </c>
    </row>
    <row r="5613" spans="1:1">
      <c r="A5613" s="7" t="str">
        <f>IF('Document Workflow'!A5612&lt;&gt;"",'Document Workflow'!A5612,"")</f>
        <v/>
      </c>
    </row>
    <row r="5614" spans="1:1">
      <c r="A5614" s="7" t="str">
        <f>IF('Document Workflow'!A5613&lt;&gt;"",'Document Workflow'!A5613,"")</f>
        <v/>
      </c>
    </row>
    <row r="5615" spans="1:1">
      <c r="A5615" s="7" t="str">
        <f>IF('Document Workflow'!A5614&lt;&gt;"",'Document Workflow'!A5614,"")</f>
        <v/>
      </c>
    </row>
    <row r="5616" spans="1:1">
      <c r="A5616" s="7" t="str">
        <f>IF('Document Workflow'!A5615&lt;&gt;"",'Document Workflow'!A5615,"")</f>
        <v/>
      </c>
    </row>
    <row r="5617" spans="1:1">
      <c r="A5617" s="7" t="str">
        <f>IF('Document Workflow'!A5616&lt;&gt;"",'Document Workflow'!A5616,"")</f>
        <v/>
      </c>
    </row>
    <row r="5618" spans="1:1">
      <c r="A5618" s="7" t="str">
        <f>IF('Document Workflow'!A5617&lt;&gt;"",'Document Workflow'!A5617,"")</f>
        <v/>
      </c>
    </row>
    <row r="5619" spans="1:1">
      <c r="A5619" s="7" t="str">
        <f>IF('Document Workflow'!A5618&lt;&gt;"",'Document Workflow'!A5618,"")</f>
        <v/>
      </c>
    </row>
    <row r="5620" spans="1:1">
      <c r="A5620" s="7" t="str">
        <f>IF('Document Workflow'!A5619&lt;&gt;"",'Document Workflow'!A5619,"")</f>
        <v/>
      </c>
    </row>
    <row r="5621" spans="1:1">
      <c r="A5621" s="7" t="str">
        <f>IF('Document Workflow'!A5620&lt;&gt;"",'Document Workflow'!A5620,"")</f>
        <v/>
      </c>
    </row>
    <row r="5622" spans="1:1">
      <c r="A5622" s="7" t="str">
        <f>IF('Document Workflow'!A5621&lt;&gt;"",'Document Workflow'!A5621,"")</f>
        <v/>
      </c>
    </row>
    <row r="5623" spans="1:1">
      <c r="A5623" s="7" t="str">
        <f>IF('Document Workflow'!A5622&lt;&gt;"",'Document Workflow'!A5622,"")</f>
        <v/>
      </c>
    </row>
    <row r="5624" spans="1:1">
      <c r="A5624" s="7" t="str">
        <f>IF('Document Workflow'!A5623&lt;&gt;"",'Document Workflow'!A5623,"")</f>
        <v/>
      </c>
    </row>
    <row r="5625" spans="1:1">
      <c r="A5625" s="7" t="str">
        <f>IF('Document Workflow'!A5624&lt;&gt;"",'Document Workflow'!A5624,"")</f>
        <v/>
      </c>
    </row>
    <row r="5626" spans="1:1">
      <c r="A5626" s="7" t="str">
        <f>IF('Document Workflow'!A5625&lt;&gt;"",'Document Workflow'!A5625,"")</f>
        <v/>
      </c>
    </row>
    <row r="5627" spans="1:1">
      <c r="A5627" s="7" t="str">
        <f>IF('Document Workflow'!A5626&lt;&gt;"",'Document Workflow'!A5626,"")</f>
        <v/>
      </c>
    </row>
    <row r="5628" spans="1:1">
      <c r="A5628" s="7" t="str">
        <f>IF('Document Workflow'!A5627&lt;&gt;"",'Document Workflow'!A5627,"")</f>
        <v/>
      </c>
    </row>
    <row r="5629" spans="1:1">
      <c r="A5629" s="7" t="str">
        <f>IF('Document Workflow'!A5628&lt;&gt;"",'Document Workflow'!A5628,"")</f>
        <v/>
      </c>
    </row>
    <row r="5630" spans="1:1">
      <c r="A5630" s="7" t="str">
        <f>IF('Document Workflow'!A5629&lt;&gt;"",'Document Workflow'!A5629,"")</f>
        <v/>
      </c>
    </row>
    <row r="5631" spans="1:1">
      <c r="A5631" s="7" t="str">
        <f>IF('Document Workflow'!A5630&lt;&gt;"",'Document Workflow'!A5630,"")</f>
        <v/>
      </c>
    </row>
    <row r="5632" spans="1:1">
      <c r="A5632" s="7" t="str">
        <f>IF('Document Workflow'!A5631&lt;&gt;"",'Document Workflow'!A5631,"")</f>
        <v/>
      </c>
    </row>
    <row r="5633" spans="1:1">
      <c r="A5633" s="7" t="str">
        <f>IF('Document Workflow'!A5632&lt;&gt;"",'Document Workflow'!A5632,"")</f>
        <v/>
      </c>
    </row>
    <row r="5634" spans="1:1">
      <c r="A5634" s="7" t="str">
        <f>IF('Document Workflow'!A5633&lt;&gt;"",'Document Workflow'!A5633,"")</f>
        <v/>
      </c>
    </row>
    <row r="5635" spans="1:1">
      <c r="A5635" s="7" t="str">
        <f>IF('Document Workflow'!A5634&lt;&gt;"",'Document Workflow'!A5634,"")</f>
        <v/>
      </c>
    </row>
    <row r="5636" spans="1:1">
      <c r="A5636" s="7" t="str">
        <f>IF('Document Workflow'!A5635&lt;&gt;"",'Document Workflow'!A5635,"")</f>
        <v/>
      </c>
    </row>
    <row r="5637" spans="1:1">
      <c r="A5637" s="7" t="str">
        <f>IF('Document Workflow'!A5636&lt;&gt;"",'Document Workflow'!A5636,"")</f>
        <v/>
      </c>
    </row>
    <row r="5638" spans="1:1">
      <c r="A5638" s="7" t="str">
        <f>IF('Document Workflow'!A5637&lt;&gt;"",'Document Workflow'!A5637,"")</f>
        <v/>
      </c>
    </row>
    <row r="5639" spans="1:1">
      <c r="A5639" s="7" t="str">
        <f>IF('Document Workflow'!A5638&lt;&gt;"",'Document Workflow'!A5638,"")</f>
        <v/>
      </c>
    </row>
    <row r="5640" spans="1:1">
      <c r="A5640" s="7" t="str">
        <f>IF('Document Workflow'!A5639&lt;&gt;"",'Document Workflow'!A5639,"")</f>
        <v/>
      </c>
    </row>
    <row r="5641" spans="1:1">
      <c r="A5641" s="7" t="str">
        <f>IF('Document Workflow'!A5640&lt;&gt;"",'Document Workflow'!A5640,"")</f>
        <v/>
      </c>
    </row>
    <row r="5642" spans="1:1">
      <c r="A5642" s="7" t="str">
        <f>IF('Document Workflow'!A5641&lt;&gt;"",'Document Workflow'!A5641,"")</f>
        <v/>
      </c>
    </row>
    <row r="5643" spans="1:1">
      <c r="A5643" s="7" t="str">
        <f>IF('Document Workflow'!A5642&lt;&gt;"",'Document Workflow'!A5642,"")</f>
        <v/>
      </c>
    </row>
    <row r="5644" spans="1:1">
      <c r="A5644" s="7" t="str">
        <f>IF('Document Workflow'!A5643&lt;&gt;"",'Document Workflow'!A5643,"")</f>
        <v/>
      </c>
    </row>
    <row r="5645" spans="1:1">
      <c r="A5645" s="7" t="str">
        <f>IF('Document Workflow'!A5644&lt;&gt;"",'Document Workflow'!A5644,"")</f>
        <v/>
      </c>
    </row>
    <row r="5646" spans="1:1">
      <c r="A5646" s="7" t="str">
        <f>IF('Document Workflow'!A5645&lt;&gt;"",'Document Workflow'!A5645,"")</f>
        <v/>
      </c>
    </row>
    <row r="5647" spans="1:1">
      <c r="A5647" s="7" t="str">
        <f>IF('Document Workflow'!A5646&lt;&gt;"",'Document Workflow'!A5646,"")</f>
        <v/>
      </c>
    </row>
    <row r="5648" spans="1:1">
      <c r="A5648" s="7" t="str">
        <f>IF('Document Workflow'!A5647&lt;&gt;"",'Document Workflow'!A5647,"")</f>
        <v/>
      </c>
    </row>
    <row r="5649" spans="1:1">
      <c r="A5649" s="7" t="str">
        <f>IF('Document Workflow'!A5648&lt;&gt;"",'Document Workflow'!A5648,"")</f>
        <v/>
      </c>
    </row>
    <row r="5650" spans="1:1">
      <c r="A5650" s="7" t="str">
        <f>IF('Document Workflow'!A5649&lt;&gt;"",'Document Workflow'!A5649,"")</f>
        <v/>
      </c>
    </row>
    <row r="5651" spans="1:1">
      <c r="A5651" s="7" t="str">
        <f>IF('Document Workflow'!A5650&lt;&gt;"",'Document Workflow'!A5650,"")</f>
        <v/>
      </c>
    </row>
    <row r="5652" spans="1:1">
      <c r="A5652" s="7" t="str">
        <f>IF('Document Workflow'!A5651&lt;&gt;"",'Document Workflow'!A5651,"")</f>
        <v/>
      </c>
    </row>
    <row r="5653" spans="1:1">
      <c r="A5653" s="7" t="str">
        <f>IF('Document Workflow'!A5652&lt;&gt;"",'Document Workflow'!A5652,"")</f>
        <v/>
      </c>
    </row>
    <row r="5654" spans="1:1">
      <c r="A5654" s="7" t="str">
        <f>IF('Document Workflow'!A5653&lt;&gt;"",'Document Workflow'!A5653,"")</f>
        <v/>
      </c>
    </row>
    <row r="5655" spans="1:1">
      <c r="A5655" s="7" t="str">
        <f>IF('Document Workflow'!A5654&lt;&gt;"",'Document Workflow'!A5654,"")</f>
        <v/>
      </c>
    </row>
    <row r="5656" spans="1:1">
      <c r="A5656" s="7" t="str">
        <f>IF('Document Workflow'!A5655&lt;&gt;"",'Document Workflow'!A5655,"")</f>
        <v/>
      </c>
    </row>
    <row r="5657" spans="1:1">
      <c r="A5657" s="7" t="str">
        <f>IF('Document Workflow'!A5656&lt;&gt;"",'Document Workflow'!A5656,"")</f>
        <v/>
      </c>
    </row>
    <row r="5658" spans="1:1">
      <c r="A5658" s="7" t="str">
        <f>IF('Document Workflow'!A5657&lt;&gt;"",'Document Workflow'!A5657,"")</f>
        <v/>
      </c>
    </row>
    <row r="5659" spans="1:1">
      <c r="A5659" s="7" t="str">
        <f>IF('Document Workflow'!A5658&lt;&gt;"",'Document Workflow'!A5658,"")</f>
        <v/>
      </c>
    </row>
    <row r="5660" spans="1:1">
      <c r="A5660" s="7" t="str">
        <f>IF('Document Workflow'!A5659&lt;&gt;"",'Document Workflow'!A5659,"")</f>
        <v/>
      </c>
    </row>
    <row r="5661" spans="1:1">
      <c r="A5661" s="7" t="str">
        <f>IF('Document Workflow'!A5660&lt;&gt;"",'Document Workflow'!A5660,"")</f>
        <v/>
      </c>
    </row>
    <row r="5662" spans="1:1">
      <c r="A5662" s="7" t="str">
        <f>IF('Document Workflow'!A5661&lt;&gt;"",'Document Workflow'!A5661,"")</f>
        <v/>
      </c>
    </row>
    <row r="5663" spans="1:1">
      <c r="A5663" s="7" t="str">
        <f>IF('Document Workflow'!A5662&lt;&gt;"",'Document Workflow'!A5662,"")</f>
        <v/>
      </c>
    </row>
    <row r="5664" spans="1:1">
      <c r="A5664" s="7" t="str">
        <f>IF('Document Workflow'!A5663&lt;&gt;"",'Document Workflow'!A5663,"")</f>
        <v/>
      </c>
    </row>
    <row r="5665" spans="1:1">
      <c r="A5665" s="7" t="str">
        <f>IF('Document Workflow'!A5664&lt;&gt;"",'Document Workflow'!A5664,"")</f>
        <v/>
      </c>
    </row>
    <row r="5666" spans="1:1">
      <c r="A5666" s="7" t="str">
        <f>IF('Document Workflow'!A5665&lt;&gt;"",'Document Workflow'!A5665,"")</f>
        <v/>
      </c>
    </row>
    <row r="5667" spans="1:1">
      <c r="A5667" s="7" t="str">
        <f>IF('Document Workflow'!A5666&lt;&gt;"",'Document Workflow'!A5666,"")</f>
        <v/>
      </c>
    </row>
    <row r="5668" spans="1:1">
      <c r="A5668" s="7" t="str">
        <f>IF('Document Workflow'!A5667&lt;&gt;"",'Document Workflow'!A5667,"")</f>
        <v/>
      </c>
    </row>
    <row r="5669" spans="1:1">
      <c r="A5669" s="7" t="str">
        <f>IF('Document Workflow'!A5668&lt;&gt;"",'Document Workflow'!A5668,"")</f>
        <v/>
      </c>
    </row>
    <row r="5670" spans="1:1">
      <c r="A5670" s="7" t="str">
        <f>IF('Document Workflow'!A5669&lt;&gt;"",'Document Workflow'!A5669,"")</f>
        <v/>
      </c>
    </row>
    <row r="5671" spans="1:1">
      <c r="A5671" s="7" t="str">
        <f>IF('Document Workflow'!A5670&lt;&gt;"",'Document Workflow'!A5670,"")</f>
        <v/>
      </c>
    </row>
    <row r="5672" spans="1:1">
      <c r="A5672" s="7" t="str">
        <f>IF('Document Workflow'!A5671&lt;&gt;"",'Document Workflow'!A5671,"")</f>
        <v/>
      </c>
    </row>
    <row r="5673" spans="1:1">
      <c r="A5673" s="7" t="str">
        <f>IF('Document Workflow'!A5672&lt;&gt;"",'Document Workflow'!A5672,"")</f>
        <v/>
      </c>
    </row>
    <row r="5674" spans="1:1">
      <c r="A5674" s="7" t="str">
        <f>IF('Document Workflow'!A5673&lt;&gt;"",'Document Workflow'!A5673,"")</f>
        <v/>
      </c>
    </row>
    <row r="5675" spans="1:1">
      <c r="A5675" s="7" t="str">
        <f>IF('Document Workflow'!A5674&lt;&gt;"",'Document Workflow'!A5674,"")</f>
        <v/>
      </c>
    </row>
    <row r="5676" spans="1:1">
      <c r="A5676" s="7" t="str">
        <f>IF('Document Workflow'!A5675&lt;&gt;"",'Document Workflow'!A5675,"")</f>
        <v/>
      </c>
    </row>
    <row r="5677" spans="1:1">
      <c r="A5677" s="7" t="str">
        <f>IF('Document Workflow'!A5676&lt;&gt;"",'Document Workflow'!A5676,"")</f>
        <v/>
      </c>
    </row>
    <row r="5678" spans="1:1">
      <c r="A5678" s="7" t="str">
        <f>IF('Document Workflow'!A5677&lt;&gt;"",'Document Workflow'!A5677,"")</f>
        <v/>
      </c>
    </row>
    <row r="5679" spans="1:1">
      <c r="A5679" s="7" t="str">
        <f>IF('Document Workflow'!A5678&lt;&gt;"",'Document Workflow'!A5678,"")</f>
        <v/>
      </c>
    </row>
    <row r="5680" spans="1:1">
      <c r="A5680" s="7" t="str">
        <f>IF('Document Workflow'!A5679&lt;&gt;"",'Document Workflow'!A5679,"")</f>
        <v/>
      </c>
    </row>
    <row r="5681" spans="1:1">
      <c r="A5681" s="7" t="str">
        <f>IF('Document Workflow'!A5680&lt;&gt;"",'Document Workflow'!A5680,"")</f>
        <v/>
      </c>
    </row>
    <row r="5682" spans="1:1">
      <c r="A5682" s="7" t="str">
        <f>IF('Document Workflow'!A5681&lt;&gt;"",'Document Workflow'!A5681,"")</f>
        <v/>
      </c>
    </row>
    <row r="5683" spans="1:1">
      <c r="A5683" s="7" t="str">
        <f>IF('Document Workflow'!A5682&lt;&gt;"",'Document Workflow'!A5682,"")</f>
        <v/>
      </c>
    </row>
    <row r="5684" spans="1:1">
      <c r="A5684" s="7" t="str">
        <f>IF('Document Workflow'!A5683&lt;&gt;"",'Document Workflow'!A5683,"")</f>
        <v/>
      </c>
    </row>
    <row r="5685" spans="1:1">
      <c r="A5685" s="7" t="str">
        <f>IF('Document Workflow'!A5684&lt;&gt;"",'Document Workflow'!A5684,"")</f>
        <v/>
      </c>
    </row>
    <row r="5686" spans="1:1">
      <c r="A5686" s="7" t="str">
        <f>IF('Document Workflow'!A5685&lt;&gt;"",'Document Workflow'!A5685,"")</f>
        <v/>
      </c>
    </row>
    <row r="5687" spans="1:1">
      <c r="A5687" s="7" t="str">
        <f>IF('Document Workflow'!A5686&lt;&gt;"",'Document Workflow'!A5686,"")</f>
        <v/>
      </c>
    </row>
    <row r="5688" spans="1:1">
      <c r="A5688" s="7" t="str">
        <f>IF('Document Workflow'!A5687&lt;&gt;"",'Document Workflow'!A5687,"")</f>
        <v/>
      </c>
    </row>
    <row r="5689" spans="1:1">
      <c r="A5689" s="7" t="str">
        <f>IF('Document Workflow'!A5688&lt;&gt;"",'Document Workflow'!A5688,"")</f>
        <v/>
      </c>
    </row>
    <row r="5690" spans="1:1">
      <c r="A5690" s="7" t="str">
        <f>IF('Document Workflow'!A5689&lt;&gt;"",'Document Workflow'!A5689,"")</f>
        <v/>
      </c>
    </row>
    <row r="5691" spans="1:1">
      <c r="A5691" s="7" t="str">
        <f>IF('Document Workflow'!A5690&lt;&gt;"",'Document Workflow'!A5690,"")</f>
        <v/>
      </c>
    </row>
    <row r="5692" spans="1:1">
      <c r="A5692" s="7" t="str">
        <f>IF('Document Workflow'!A5691&lt;&gt;"",'Document Workflow'!A5691,"")</f>
        <v/>
      </c>
    </row>
    <row r="5693" spans="1:1">
      <c r="A5693" s="7" t="str">
        <f>IF('Document Workflow'!A5692&lt;&gt;"",'Document Workflow'!A5692,"")</f>
        <v/>
      </c>
    </row>
    <row r="5694" spans="1:1">
      <c r="A5694" s="7" t="str">
        <f>IF('Document Workflow'!A5693&lt;&gt;"",'Document Workflow'!A5693,"")</f>
        <v/>
      </c>
    </row>
    <row r="5695" spans="1:1">
      <c r="A5695" s="7" t="str">
        <f>IF('Document Workflow'!A5694&lt;&gt;"",'Document Workflow'!A5694,"")</f>
        <v/>
      </c>
    </row>
    <row r="5696" spans="1:1">
      <c r="A5696" s="7" t="str">
        <f>IF('Document Workflow'!A5695&lt;&gt;"",'Document Workflow'!A5695,"")</f>
        <v/>
      </c>
    </row>
    <row r="5697" spans="1:1">
      <c r="A5697" s="7" t="str">
        <f>IF('Document Workflow'!A5696&lt;&gt;"",'Document Workflow'!A5696,"")</f>
        <v/>
      </c>
    </row>
    <row r="5698" spans="1:1">
      <c r="A5698" s="7" t="str">
        <f>IF('Document Workflow'!A5697&lt;&gt;"",'Document Workflow'!A5697,"")</f>
        <v/>
      </c>
    </row>
    <row r="5699" spans="1:1">
      <c r="A5699" s="7" t="str">
        <f>IF('Document Workflow'!A5698&lt;&gt;"",'Document Workflow'!A5698,"")</f>
        <v/>
      </c>
    </row>
    <row r="5700" spans="1:1">
      <c r="A5700" s="7" t="str">
        <f>IF('Document Workflow'!A5699&lt;&gt;"",'Document Workflow'!A5699,"")</f>
        <v/>
      </c>
    </row>
    <row r="5701" spans="1:1">
      <c r="A5701" s="7" t="str">
        <f>IF('Document Workflow'!A5700&lt;&gt;"",'Document Workflow'!A5700,"")</f>
        <v/>
      </c>
    </row>
    <row r="5702" spans="1:1">
      <c r="A5702" s="7" t="str">
        <f>IF('Document Workflow'!A5701&lt;&gt;"",'Document Workflow'!A5701,"")</f>
        <v/>
      </c>
    </row>
    <row r="5703" spans="1:1">
      <c r="A5703" s="7" t="str">
        <f>IF('Document Workflow'!A5702&lt;&gt;"",'Document Workflow'!A5702,"")</f>
        <v/>
      </c>
    </row>
    <row r="5704" spans="1:1">
      <c r="A5704" s="7" t="str">
        <f>IF('Document Workflow'!A5703&lt;&gt;"",'Document Workflow'!A5703,"")</f>
        <v/>
      </c>
    </row>
    <row r="5705" spans="1:1">
      <c r="A5705" s="7" t="str">
        <f>IF('Document Workflow'!A5704&lt;&gt;"",'Document Workflow'!A5704,"")</f>
        <v/>
      </c>
    </row>
    <row r="5706" spans="1:1">
      <c r="A5706" s="7" t="str">
        <f>IF('Document Workflow'!A5705&lt;&gt;"",'Document Workflow'!A5705,"")</f>
        <v/>
      </c>
    </row>
    <row r="5707" spans="1:1">
      <c r="A5707" s="7" t="str">
        <f>IF('Document Workflow'!A5706&lt;&gt;"",'Document Workflow'!A5706,"")</f>
        <v/>
      </c>
    </row>
    <row r="5708" spans="1:1">
      <c r="A5708" s="7" t="str">
        <f>IF('Document Workflow'!A5707&lt;&gt;"",'Document Workflow'!A5707,"")</f>
        <v/>
      </c>
    </row>
    <row r="5709" spans="1:1">
      <c r="A5709" s="7" t="str">
        <f>IF('Document Workflow'!A5708&lt;&gt;"",'Document Workflow'!A5708,"")</f>
        <v/>
      </c>
    </row>
    <row r="5710" spans="1:1">
      <c r="A5710" s="7" t="str">
        <f>IF('Document Workflow'!A5709&lt;&gt;"",'Document Workflow'!A5709,"")</f>
        <v/>
      </c>
    </row>
    <row r="5711" spans="1:1">
      <c r="A5711" s="7" t="str">
        <f>IF('Document Workflow'!A5710&lt;&gt;"",'Document Workflow'!A5710,"")</f>
        <v/>
      </c>
    </row>
    <row r="5712" spans="1:1">
      <c r="A5712" s="7" t="str">
        <f>IF('Document Workflow'!A5711&lt;&gt;"",'Document Workflow'!A5711,"")</f>
        <v/>
      </c>
    </row>
    <row r="5713" spans="1:1">
      <c r="A5713" s="7" t="str">
        <f>IF('Document Workflow'!A5712&lt;&gt;"",'Document Workflow'!A5712,"")</f>
        <v/>
      </c>
    </row>
    <row r="5714" spans="1:1">
      <c r="A5714" s="7" t="str">
        <f>IF('Document Workflow'!A5713&lt;&gt;"",'Document Workflow'!A5713,"")</f>
        <v/>
      </c>
    </row>
    <row r="5715" spans="1:1">
      <c r="A5715" s="7" t="str">
        <f>IF('Document Workflow'!A5714&lt;&gt;"",'Document Workflow'!A5714,"")</f>
        <v/>
      </c>
    </row>
    <row r="5716" spans="1:1">
      <c r="A5716" s="7" t="str">
        <f>IF('Document Workflow'!A5715&lt;&gt;"",'Document Workflow'!A5715,"")</f>
        <v/>
      </c>
    </row>
    <row r="5717" spans="1:1">
      <c r="A5717" s="7" t="str">
        <f>IF('Document Workflow'!A5716&lt;&gt;"",'Document Workflow'!A5716,"")</f>
        <v/>
      </c>
    </row>
    <row r="5718" spans="1:1">
      <c r="A5718" s="7" t="str">
        <f>IF('Document Workflow'!A5717&lt;&gt;"",'Document Workflow'!A5717,"")</f>
        <v/>
      </c>
    </row>
    <row r="5719" spans="1:1">
      <c r="A5719" s="7" t="str">
        <f>IF('Document Workflow'!A5718&lt;&gt;"",'Document Workflow'!A5718,"")</f>
        <v/>
      </c>
    </row>
    <row r="5720" spans="1:1">
      <c r="A5720" s="7" t="str">
        <f>IF('Document Workflow'!A5719&lt;&gt;"",'Document Workflow'!A5719,"")</f>
        <v/>
      </c>
    </row>
    <row r="5721" spans="1:1">
      <c r="A5721" s="7" t="str">
        <f>IF('Document Workflow'!A5720&lt;&gt;"",'Document Workflow'!A5720,"")</f>
        <v/>
      </c>
    </row>
    <row r="5722" spans="1:1">
      <c r="A5722" s="7" t="str">
        <f>IF('Document Workflow'!A5721&lt;&gt;"",'Document Workflow'!A5721,"")</f>
        <v/>
      </c>
    </row>
    <row r="5723" spans="1:1">
      <c r="A5723" s="7" t="str">
        <f>IF('Document Workflow'!A5722&lt;&gt;"",'Document Workflow'!A5722,"")</f>
        <v/>
      </c>
    </row>
    <row r="5724" spans="1:1">
      <c r="A5724" s="7" t="str">
        <f>IF('Document Workflow'!A5723&lt;&gt;"",'Document Workflow'!A5723,"")</f>
        <v/>
      </c>
    </row>
    <row r="5725" spans="1:1">
      <c r="A5725" s="7" t="str">
        <f>IF('Document Workflow'!A5724&lt;&gt;"",'Document Workflow'!A5724,"")</f>
        <v/>
      </c>
    </row>
    <row r="5726" spans="1:1">
      <c r="A5726" s="7" t="str">
        <f>IF('Document Workflow'!A5725&lt;&gt;"",'Document Workflow'!A5725,"")</f>
        <v/>
      </c>
    </row>
    <row r="5727" spans="1:1">
      <c r="A5727" s="7" t="str">
        <f>IF('Document Workflow'!A5726&lt;&gt;"",'Document Workflow'!A5726,"")</f>
        <v/>
      </c>
    </row>
    <row r="5728" spans="1:1">
      <c r="A5728" s="7" t="str">
        <f>IF('Document Workflow'!A5727&lt;&gt;"",'Document Workflow'!A5727,"")</f>
        <v/>
      </c>
    </row>
    <row r="5729" spans="1:1">
      <c r="A5729" s="7" t="str">
        <f>IF('Document Workflow'!A5728&lt;&gt;"",'Document Workflow'!A5728,"")</f>
        <v/>
      </c>
    </row>
    <row r="5730" spans="1:1">
      <c r="A5730" s="7" t="str">
        <f>IF('Document Workflow'!A5729&lt;&gt;"",'Document Workflow'!A5729,"")</f>
        <v/>
      </c>
    </row>
    <row r="5731" spans="1:1">
      <c r="A5731" s="7" t="str">
        <f>IF('Document Workflow'!A5730&lt;&gt;"",'Document Workflow'!A5730,"")</f>
        <v/>
      </c>
    </row>
    <row r="5732" spans="1:1">
      <c r="A5732" s="7" t="str">
        <f>IF('Document Workflow'!A5731&lt;&gt;"",'Document Workflow'!A5731,"")</f>
        <v/>
      </c>
    </row>
    <row r="5733" spans="1:1">
      <c r="A5733" s="7" t="str">
        <f>IF('Document Workflow'!A5732&lt;&gt;"",'Document Workflow'!A5732,"")</f>
        <v/>
      </c>
    </row>
    <row r="5734" spans="1:1">
      <c r="A5734" s="7" t="str">
        <f>IF('Document Workflow'!A5733&lt;&gt;"",'Document Workflow'!A5733,"")</f>
        <v/>
      </c>
    </row>
    <row r="5735" spans="1:1">
      <c r="A5735" s="7" t="str">
        <f>IF('Document Workflow'!A5734&lt;&gt;"",'Document Workflow'!A5734,"")</f>
        <v/>
      </c>
    </row>
    <row r="5736" spans="1:1">
      <c r="A5736" s="7" t="str">
        <f>IF('Document Workflow'!A5735&lt;&gt;"",'Document Workflow'!A5735,"")</f>
        <v/>
      </c>
    </row>
    <row r="5737" spans="1:1">
      <c r="A5737" s="7" t="str">
        <f>IF('Document Workflow'!A5736&lt;&gt;"",'Document Workflow'!A5736,"")</f>
        <v/>
      </c>
    </row>
    <row r="5738" spans="1:1">
      <c r="A5738" s="7" t="str">
        <f>IF('Document Workflow'!A5737&lt;&gt;"",'Document Workflow'!A5737,"")</f>
        <v/>
      </c>
    </row>
    <row r="5739" spans="1:1">
      <c r="A5739" s="7" t="str">
        <f>IF('Document Workflow'!A5738&lt;&gt;"",'Document Workflow'!A5738,"")</f>
        <v/>
      </c>
    </row>
    <row r="5740" spans="1:1">
      <c r="A5740" s="7" t="str">
        <f>IF('Document Workflow'!A5739&lt;&gt;"",'Document Workflow'!A5739,"")</f>
        <v/>
      </c>
    </row>
    <row r="5741" spans="1:1">
      <c r="A5741" s="7" t="str">
        <f>IF('Document Workflow'!A5740&lt;&gt;"",'Document Workflow'!A5740,"")</f>
        <v/>
      </c>
    </row>
    <row r="5742" spans="1:1">
      <c r="A5742" s="7" t="str">
        <f>IF('Document Workflow'!A5741&lt;&gt;"",'Document Workflow'!A5741,"")</f>
        <v/>
      </c>
    </row>
    <row r="5743" spans="1:1">
      <c r="A5743" s="7" t="str">
        <f>IF('Document Workflow'!A5742&lt;&gt;"",'Document Workflow'!A5742,"")</f>
        <v/>
      </c>
    </row>
    <row r="5744" spans="1:1">
      <c r="A5744" s="7" t="str">
        <f>IF('Document Workflow'!A5743&lt;&gt;"",'Document Workflow'!A5743,"")</f>
        <v/>
      </c>
    </row>
    <row r="5745" spans="1:1">
      <c r="A5745" s="7" t="str">
        <f>IF('Document Workflow'!A5744&lt;&gt;"",'Document Workflow'!A5744,"")</f>
        <v/>
      </c>
    </row>
    <row r="5746" spans="1:1">
      <c r="A5746" s="7" t="str">
        <f>IF('Document Workflow'!A5745&lt;&gt;"",'Document Workflow'!A5745,"")</f>
        <v/>
      </c>
    </row>
    <row r="5747" spans="1:1">
      <c r="A5747" s="7" t="str">
        <f>IF('Document Workflow'!A5746&lt;&gt;"",'Document Workflow'!A5746,"")</f>
        <v/>
      </c>
    </row>
    <row r="5748" spans="1:1">
      <c r="A5748" s="7" t="str">
        <f>IF('Document Workflow'!A5747&lt;&gt;"",'Document Workflow'!A5747,"")</f>
        <v/>
      </c>
    </row>
    <row r="5749" spans="1:1">
      <c r="A5749" s="7" t="str">
        <f>IF('Document Workflow'!A5748&lt;&gt;"",'Document Workflow'!A5748,"")</f>
        <v/>
      </c>
    </row>
    <row r="5750" spans="1:1">
      <c r="A5750" s="7" t="str">
        <f>IF('Document Workflow'!A5749&lt;&gt;"",'Document Workflow'!A5749,"")</f>
        <v/>
      </c>
    </row>
    <row r="5751" spans="1:1">
      <c r="A5751" s="7" t="str">
        <f>IF('Document Workflow'!A5750&lt;&gt;"",'Document Workflow'!A5750,"")</f>
        <v/>
      </c>
    </row>
    <row r="5752" spans="1:1">
      <c r="A5752" s="7" t="str">
        <f>IF('Document Workflow'!A5751&lt;&gt;"",'Document Workflow'!A5751,"")</f>
        <v/>
      </c>
    </row>
    <row r="5753" spans="1:1">
      <c r="A5753" s="7" t="str">
        <f>IF('Document Workflow'!A5752&lt;&gt;"",'Document Workflow'!A5752,"")</f>
        <v/>
      </c>
    </row>
    <row r="5754" spans="1:1">
      <c r="A5754" s="7" t="str">
        <f>IF('Document Workflow'!A5753&lt;&gt;"",'Document Workflow'!A5753,"")</f>
        <v/>
      </c>
    </row>
    <row r="5755" spans="1:1">
      <c r="A5755" s="7" t="str">
        <f>IF('Document Workflow'!A5754&lt;&gt;"",'Document Workflow'!A5754,"")</f>
        <v/>
      </c>
    </row>
    <row r="5756" spans="1:1">
      <c r="A5756" s="7" t="str">
        <f>IF('Document Workflow'!A5755&lt;&gt;"",'Document Workflow'!A5755,"")</f>
        <v/>
      </c>
    </row>
    <row r="5757" spans="1:1">
      <c r="A5757" s="7" t="str">
        <f>IF('Document Workflow'!A5756&lt;&gt;"",'Document Workflow'!A5756,"")</f>
        <v/>
      </c>
    </row>
    <row r="5758" spans="1:1">
      <c r="A5758" s="7" t="str">
        <f>IF('Document Workflow'!A5757&lt;&gt;"",'Document Workflow'!A5757,"")</f>
        <v/>
      </c>
    </row>
    <row r="5759" spans="1:1">
      <c r="A5759" s="7" t="str">
        <f>IF('Document Workflow'!A5758&lt;&gt;"",'Document Workflow'!A5758,"")</f>
        <v/>
      </c>
    </row>
    <row r="5760" spans="1:1">
      <c r="A5760" s="7" t="str">
        <f>IF('Document Workflow'!A5759&lt;&gt;"",'Document Workflow'!A5759,"")</f>
        <v/>
      </c>
    </row>
    <row r="5761" spans="1:1">
      <c r="A5761" s="7" t="str">
        <f>IF('Document Workflow'!A5760&lt;&gt;"",'Document Workflow'!A5760,"")</f>
        <v/>
      </c>
    </row>
    <row r="5762" spans="1:1">
      <c r="A5762" s="7" t="str">
        <f>IF('Document Workflow'!A5761&lt;&gt;"",'Document Workflow'!A5761,"")</f>
        <v/>
      </c>
    </row>
    <row r="5763" spans="1:1">
      <c r="A5763" s="7" t="str">
        <f>IF('Document Workflow'!A5762&lt;&gt;"",'Document Workflow'!A5762,"")</f>
        <v/>
      </c>
    </row>
    <row r="5764" spans="1:1">
      <c r="A5764" s="7" t="str">
        <f>IF('Document Workflow'!A5763&lt;&gt;"",'Document Workflow'!A5763,"")</f>
        <v/>
      </c>
    </row>
    <row r="5765" spans="1:1">
      <c r="A5765" s="7" t="str">
        <f>IF('Document Workflow'!A5764&lt;&gt;"",'Document Workflow'!A5764,"")</f>
        <v/>
      </c>
    </row>
    <row r="5766" spans="1:1">
      <c r="A5766" s="7" t="str">
        <f>IF('Document Workflow'!A5765&lt;&gt;"",'Document Workflow'!A5765,"")</f>
        <v/>
      </c>
    </row>
    <row r="5767" spans="1:1">
      <c r="A5767" s="7" t="str">
        <f>IF('Document Workflow'!A5766&lt;&gt;"",'Document Workflow'!A5766,"")</f>
        <v/>
      </c>
    </row>
    <row r="5768" spans="1:1">
      <c r="A5768" s="7" t="str">
        <f>IF('Document Workflow'!A5767&lt;&gt;"",'Document Workflow'!A5767,"")</f>
        <v/>
      </c>
    </row>
    <row r="5769" spans="1:1">
      <c r="A5769" s="7" t="str">
        <f>IF('Document Workflow'!A5768&lt;&gt;"",'Document Workflow'!A5768,"")</f>
        <v/>
      </c>
    </row>
    <row r="5770" spans="1:1">
      <c r="A5770" s="7" t="str">
        <f>IF('Document Workflow'!A5769&lt;&gt;"",'Document Workflow'!A5769,"")</f>
        <v/>
      </c>
    </row>
    <row r="5771" spans="1:1">
      <c r="A5771" s="7" t="str">
        <f>IF('Document Workflow'!A5770&lt;&gt;"",'Document Workflow'!A5770,"")</f>
        <v/>
      </c>
    </row>
    <row r="5772" spans="1:1">
      <c r="A5772" s="7" t="str">
        <f>IF('Document Workflow'!A5771&lt;&gt;"",'Document Workflow'!A5771,"")</f>
        <v/>
      </c>
    </row>
    <row r="5773" spans="1:1">
      <c r="A5773" s="7" t="str">
        <f>IF('Document Workflow'!A5772&lt;&gt;"",'Document Workflow'!A5772,"")</f>
        <v/>
      </c>
    </row>
    <row r="5774" spans="1:1">
      <c r="A5774" s="7" t="str">
        <f>IF('Document Workflow'!A5773&lt;&gt;"",'Document Workflow'!A5773,"")</f>
        <v/>
      </c>
    </row>
    <row r="5775" spans="1:1">
      <c r="A5775" s="7" t="str">
        <f>IF('Document Workflow'!A5774&lt;&gt;"",'Document Workflow'!A5774,"")</f>
        <v/>
      </c>
    </row>
    <row r="5776" spans="1:1">
      <c r="A5776" s="7" t="str">
        <f>IF('Document Workflow'!A5775&lt;&gt;"",'Document Workflow'!A5775,"")</f>
        <v/>
      </c>
    </row>
    <row r="5777" spans="1:1">
      <c r="A5777" s="7" t="str">
        <f>IF('Document Workflow'!A5776&lt;&gt;"",'Document Workflow'!A5776,"")</f>
        <v/>
      </c>
    </row>
    <row r="5778" spans="1:1">
      <c r="A5778" s="7" t="str">
        <f>IF('Document Workflow'!A5777&lt;&gt;"",'Document Workflow'!A5777,"")</f>
        <v/>
      </c>
    </row>
    <row r="5779" spans="1:1">
      <c r="A5779" s="7" t="str">
        <f>IF('Document Workflow'!A5778&lt;&gt;"",'Document Workflow'!A5778,"")</f>
        <v/>
      </c>
    </row>
    <row r="5780" spans="1:1">
      <c r="A5780" s="7" t="str">
        <f>IF('Document Workflow'!A5779&lt;&gt;"",'Document Workflow'!A5779,"")</f>
        <v/>
      </c>
    </row>
    <row r="5781" spans="1:1">
      <c r="A5781" s="7" t="str">
        <f>IF('Document Workflow'!A5780&lt;&gt;"",'Document Workflow'!A5780,"")</f>
        <v/>
      </c>
    </row>
    <row r="5782" spans="1:1">
      <c r="A5782" s="7" t="str">
        <f>IF('Document Workflow'!A5781&lt;&gt;"",'Document Workflow'!A5781,"")</f>
        <v/>
      </c>
    </row>
    <row r="5783" spans="1:1">
      <c r="A5783" s="7" t="str">
        <f>IF('Document Workflow'!A5782&lt;&gt;"",'Document Workflow'!A5782,"")</f>
        <v/>
      </c>
    </row>
    <row r="5784" spans="1:1">
      <c r="A5784" s="7" t="str">
        <f>IF('Document Workflow'!A5783&lt;&gt;"",'Document Workflow'!A5783,"")</f>
        <v/>
      </c>
    </row>
    <row r="5785" spans="1:1">
      <c r="A5785" s="7" t="str">
        <f>IF('Document Workflow'!A5784&lt;&gt;"",'Document Workflow'!A5784,"")</f>
        <v/>
      </c>
    </row>
    <row r="5786" spans="1:1">
      <c r="A5786" s="7" t="str">
        <f>IF('Document Workflow'!A5785&lt;&gt;"",'Document Workflow'!A5785,"")</f>
        <v/>
      </c>
    </row>
    <row r="5787" spans="1:1">
      <c r="A5787" s="7" t="str">
        <f>IF('Document Workflow'!A5786&lt;&gt;"",'Document Workflow'!A5786,"")</f>
        <v/>
      </c>
    </row>
    <row r="5788" spans="1:1">
      <c r="A5788" s="7" t="str">
        <f>IF('Document Workflow'!A5787&lt;&gt;"",'Document Workflow'!A5787,"")</f>
        <v/>
      </c>
    </row>
    <row r="5789" spans="1:1">
      <c r="A5789" s="7" t="str">
        <f>IF('Document Workflow'!A5788&lt;&gt;"",'Document Workflow'!A5788,"")</f>
        <v/>
      </c>
    </row>
    <row r="5790" spans="1:1">
      <c r="A5790" s="7" t="str">
        <f>IF('Document Workflow'!A5789&lt;&gt;"",'Document Workflow'!A5789,"")</f>
        <v/>
      </c>
    </row>
    <row r="5791" spans="1:1">
      <c r="A5791" s="7" t="str">
        <f>IF('Document Workflow'!A5790&lt;&gt;"",'Document Workflow'!A5790,"")</f>
        <v/>
      </c>
    </row>
    <row r="5792" spans="1:1">
      <c r="A5792" s="7" t="str">
        <f>IF('Document Workflow'!A5791&lt;&gt;"",'Document Workflow'!A5791,"")</f>
        <v/>
      </c>
    </row>
    <row r="5793" spans="1:1">
      <c r="A5793" s="7" t="str">
        <f>IF('Document Workflow'!A5792&lt;&gt;"",'Document Workflow'!A5792,"")</f>
        <v/>
      </c>
    </row>
    <row r="5794" spans="1:1">
      <c r="A5794" s="7" t="str">
        <f>IF('Document Workflow'!A5793&lt;&gt;"",'Document Workflow'!A5793,"")</f>
        <v/>
      </c>
    </row>
    <row r="5795" spans="1:1">
      <c r="A5795" s="7" t="str">
        <f>IF('Document Workflow'!A5794&lt;&gt;"",'Document Workflow'!A5794,"")</f>
        <v/>
      </c>
    </row>
    <row r="5796" spans="1:1">
      <c r="A5796" s="7" t="str">
        <f>IF('Document Workflow'!A5795&lt;&gt;"",'Document Workflow'!A5795,"")</f>
        <v/>
      </c>
    </row>
    <row r="5797" spans="1:1">
      <c r="A5797" s="7" t="str">
        <f>IF('Document Workflow'!A5796&lt;&gt;"",'Document Workflow'!A5796,"")</f>
        <v/>
      </c>
    </row>
    <row r="5798" spans="1:1">
      <c r="A5798" s="7" t="str">
        <f>IF('Document Workflow'!A5797&lt;&gt;"",'Document Workflow'!A5797,"")</f>
        <v/>
      </c>
    </row>
    <row r="5799" spans="1:1">
      <c r="A5799" s="7" t="str">
        <f>IF('Document Workflow'!A5798&lt;&gt;"",'Document Workflow'!A5798,"")</f>
        <v/>
      </c>
    </row>
    <row r="5800" spans="1:1">
      <c r="A5800" s="7" t="str">
        <f>IF('Document Workflow'!A5799&lt;&gt;"",'Document Workflow'!A5799,"")</f>
        <v/>
      </c>
    </row>
    <row r="5801" spans="1:1">
      <c r="A5801" s="7" t="str">
        <f>IF('Document Workflow'!A5800&lt;&gt;"",'Document Workflow'!A5800,"")</f>
        <v/>
      </c>
    </row>
    <row r="5802" spans="1:1">
      <c r="A5802" s="7" t="str">
        <f>IF('Document Workflow'!A5801&lt;&gt;"",'Document Workflow'!A5801,"")</f>
        <v/>
      </c>
    </row>
    <row r="5803" spans="1:1">
      <c r="A5803" s="7" t="str">
        <f>IF('Document Workflow'!A5802&lt;&gt;"",'Document Workflow'!A5802,"")</f>
        <v/>
      </c>
    </row>
    <row r="5804" spans="1:1">
      <c r="A5804" s="7" t="str">
        <f>IF('Document Workflow'!A5803&lt;&gt;"",'Document Workflow'!A5803,"")</f>
        <v/>
      </c>
    </row>
    <row r="5805" spans="1:1">
      <c r="A5805" s="7" t="str">
        <f>IF('Document Workflow'!A5804&lt;&gt;"",'Document Workflow'!A5804,"")</f>
        <v/>
      </c>
    </row>
    <row r="5806" spans="1:1">
      <c r="A5806" s="7" t="str">
        <f>IF('Document Workflow'!A5805&lt;&gt;"",'Document Workflow'!A5805,"")</f>
        <v/>
      </c>
    </row>
    <row r="5807" spans="1:1">
      <c r="A5807" s="7" t="str">
        <f>IF('Document Workflow'!A5806&lt;&gt;"",'Document Workflow'!A5806,"")</f>
        <v/>
      </c>
    </row>
    <row r="5808" spans="1:1">
      <c r="A5808" s="7" t="str">
        <f>IF('Document Workflow'!A5807&lt;&gt;"",'Document Workflow'!A5807,"")</f>
        <v/>
      </c>
    </row>
    <row r="5809" spans="1:1">
      <c r="A5809" s="7" t="str">
        <f>IF('Document Workflow'!A5808&lt;&gt;"",'Document Workflow'!A5808,"")</f>
        <v/>
      </c>
    </row>
    <row r="5810" spans="1:1">
      <c r="A5810" s="7" t="str">
        <f>IF('Document Workflow'!A5809&lt;&gt;"",'Document Workflow'!A5809,"")</f>
        <v/>
      </c>
    </row>
    <row r="5811" spans="1:1">
      <c r="A5811" s="7" t="str">
        <f>IF('Document Workflow'!A5810&lt;&gt;"",'Document Workflow'!A5810,"")</f>
        <v/>
      </c>
    </row>
    <row r="5812" spans="1:1">
      <c r="A5812" s="7" t="str">
        <f>IF('Document Workflow'!A5811&lt;&gt;"",'Document Workflow'!A5811,"")</f>
        <v/>
      </c>
    </row>
    <row r="5813" spans="1:1">
      <c r="A5813" s="7" t="str">
        <f>IF('Document Workflow'!A5812&lt;&gt;"",'Document Workflow'!A5812,"")</f>
        <v/>
      </c>
    </row>
    <row r="5814" spans="1:1">
      <c r="A5814" s="7" t="str">
        <f>IF('Document Workflow'!A5813&lt;&gt;"",'Document Workflow'!A5813,"")</f>
        <v/>
      </c>
    </row>
    <row r="5815" spans="1:1">
      <c r="A5815" s="7" t="str">
        <f>IF('Document Workflow'!A5814&lt;&gt;"",'Document Workflow'!A5814,"")</f>
        <v/>
      </c>
    </row>
    <row r="5816" spans="1:1">
      <c r="A5816" s="7" t="str">
        <f>IF('Document Workflow'!A5815&lt;&gt;"",'Document Workflow'!A5815,"")</f>
        <v/>
      </c>
    </row>
    <row r="5817" spans="1:1">
      <c r="A5817" s="7" t="str">
        <f>IF('Document Workflow'!A5816&lt;&gt;"",'Document Workflow'!A5816,"")</f>
        <v/>
      </c>
    </row>
    <row r="5818" spans="1:1">
      <c r="A5818" s="7" t="str">
        <f>IF('Document Workflow'!A5817&lt;&gt;"",'Document Workflow'!A5817,"")</f>
        <v/>
      </c>
    </row>
    <row r="5819" spans="1:1">
      <c r="A5819" s="7" t="str">
        <f>IF('Document Workflow'!A5818&lt;&gt;"",'Document Workflow'!A5818,"")</f>
        <v/>
      </c>
    </row>
    <row r="5820" spans="1:1">
      <c r="A5820" s="7" t="str">
        <f>IF('Document Workflow'!A5819&lt;&gt;"",'Document Workflow'!A5819,"")</f>
        <v/>
      </c>
    </row>
    <row r="5821" spans="1:1">
      <c r="A5821" s="7" t="str">
        <f>IF('Document Workflow'!A5820&lt;&gt;"",'Document Workflow'!A5820,"")</f>
        <v/>
      </c>
    </row>
    <row r="5822" spans="1:1">
      <c r="A5822" s="7" t="str">
        <f>IF('Document Workflow'!A5821&lt;&gt;"",'Document Workflow'!A5821,"")</f>
        <v/>
      </c>
    </row>
    <row r="5823" spans="1:1">
      <c r="A5823" s="7" t="str">
        <f>IF('Document Workflow'!A5822&lt;&gt;"",'Document Workflow'!A5822,"")</f>
        <v/>
      </c>
    </row>
    <row r="5824" spans="1:1">
      <c r="A5824" s="7" t="str">
        <f>IF('Document Workflow'!A5823&lt;&gt;"",'Document Workflow'!A5823,"")</f>
        <v/>
      </c>
    </row>
    <row r="5825" spans="1:1">
      <c r="A5825" s="7" t="str">
        <f>IF('Document Workflow'!A5824&lt;&gt;"",'Document Workflow'!A5824,"")</f>
        <v/>
      </c>
    </row>
    <row r="5826" spans="1:1">
      <c r="A5826" s="7" t="str">
        <f>IF('Document Workflow'!A5825&lt;&gt;"",'Document Workflow'!A5825,"")</f>
        <v/>
      </c>
    </row>
    <row r="5827" spans="1:1">
      <c r="A5827" s="7" t="str">
        <f>IF('Document Workflow'!A5826&lt;&gt;"",'Document Workflow'!A5826,"")</f>
        <v/>
      </c>
    </row>
    <row r="5828" spans="1:1">
      <c r="A5828" s="7" t="str">
        <f>IF('Document Workflow'!A5827&lt;&gt;"",'Document Workflow'!A5827,"")</f>
        <v/>
      </c>
    </row>
    <row r="5829" spans="1:1">
      <c r="A5829" s="7" t="str">
        <f>IF('Document Workflow'!A5828&lt;&gt;"",'Document Workflow'!A5828,"")</f>
        <v/>
      </c>
    </row>
    <row r="5830" spans="1:1">
      <c r="A5830" s="7" t="str">
        <f>IF('Document Workflow'!A5829&lt;&gt;"",'Document Workflow'!A5829,"")</f>
        <v/>
      </c>
    </row>
    <row r="5831" spans="1:1">
      <c r="A5831" s="7" t="str">
        <f>IF('Document Workflow'!A5830&lt;&gt;"",'Document Workflow'!A5830,"")</f>
        <v/>
      </c>
    </row>
    <row r="5832" spans="1:1">
      <c r="A5832" s="7" t="str">
        <f>IF('Document Workflow'!A5831&lt;&gt;"",'Document Workflow'!A5831,"")</f>
        <v/>
      </c>
    </row>
    <row r="5833" spans="1:1">
      <c r="A5833" s="7" t="str">
        <f>IF('Document Workflow'!A5832&lt;&gt;"",'Document Workflow'!A5832,"")</f>
        <v/>
      </c>
    </row>
    <row r="5834" spans="1:1">
      <c r="A5834" s="7" t="str">
        <f>IF('Document Workflow'!A5833&lt;&gt;"",'Document Workflow'!A5833,"")</f>
        <v/>
      </c>
    </row>
    <row r="5835" spans="1:1">
      <c r="A5835" s="7" t="str">
        <f>IF('Document Workflow'!A5834&lt;&gt;"",'Document Workflow'!A5834,"")</f>
        <v/>
      </c>
    </row>
    <row r="5836" spans="1:1">
      <c r="A5836" s="7" t="str">
        <f>IF('Document Workflow'!A5835&lt;&gt;"",'Document Workflow'!A5835,"")</f>
        <v/>
      </c>
    </row>
    <row r="5837" spans="1:1">
      <c r="A5837" s="7" t="str">
        <f>IF('Document Workflow'!A5836&lt;&gt;"",'Document Workflow'!A5836,"")</f>
        <v/>
      </c>
    </row>
    <row r="5838" spans="1:1">
      <c r="A5838" s="7" t="str">
        <f>IF('Document Workflow'!A5837&lt;&gt;"",'Document Workflow'!A5837,"")</f>
        <v/>
      </c>
    </row>
    <row r="5839" spans="1:1">
      <c r="A5839" s="7" t="str">
        <f>IF('Document Workflow'!A5838&lt;&gt;"",'Document Workflow'!A5838,"")</f>
        <v/>
      </c>
    </row>
    <row r="5840" spans="1:1">
      <c r="A5840" s="7" t="str">
        <f>IF('Document Workflow'!A5839&lt;&gt;"",'Document Workflow'!A5839,"")</f>
        <v/>
      </c>
    </row>
    <row r="5841" spans="1:1">
      <c r="A5841" s="7" t="str">
        <f>IF('Document Workflow'!A5840&lt;&gt;"",'Document Workflow'!A5840,"")</f>
        <v/>
      </c>
    </row>
    <row r="5842" spans="1:1">
      <c r="A5842" s="7" t="str">
        <f>IF('Document Workflow'!A5841&lt;&gt;"",'Document Workflow'!A5841,"")</f>
        <v/>
      </c>
    </row>
    <row r="5843" spans="1:1">
      <c r="A5843" s="7" t="str">
        <f>IF('Document Workflow'!A5842&lt;&gt;"",'Document Workflow'!A5842,"")</f>
        <v/>
      </c>
    </row>
    <row r="5844" spans="1:1">
      <c r="A5844" s="7" t="str">
        <f>IF('Document Workflow'!A5843&lt;&gt;"",'Document Workflow'!A5843,"")</f>
        <v/>
      </c>
    </row>
    <row r="5845" spans="1:1">
      <c r="A5845" s="7" t="str">
        <f>IF('Document Workflow'!A5844&lt;&gt;"",'Document Workflow'!A5844,"")</f>
        <v/>
      </c>
    </row>
    <row r="5846" spans="1:1">
      <c r="A5846" s="7" t="str">
        <f>IF('Document Workflow'!A5845&lt;&gt;"",'Document Workflow'!A5845,"")</f>
        <v/>
      </c>
    </row>
    <row r="5847" spans="1:1">
      <c r="A5847" s="7" t="str">
        <f>IF('Document Workflow'!A5846&lt;&gt;"",'Document Workflow'!A5846,"")</f>
        <v/>
      </c>
    </row>
    <row r="5848" spans="1:1">
      <c r="A5848" s="7" t="str">
        <f>IF('Document Workflow'!A5847&lt;&gt;"",'Document Workflow'!A5847,"")</f>
        <v/>
      </c>
    </row>
    <row r="5849" spans="1:1">
      <c r="A5849" s="7" t="str">
        <f>IF('Document Workflow'!A5848&lt;&gt;"",'Document Workflow'!A5848,"")</f>
        <v/>
      </c>
    </row>
    <row r="5850" spans="1:1">
      <c r="A5850" s="7" t="str">
        <f>IF('Document Workflow'!A5849&lt;&gt;"",'Document Workflow'!A5849,"")</f>
        <v/>
      </c>
    </row>
    <row r="5851" spans="1:1">
      <c r="A5851" s="7" t="str">
        <f>IF('Document Workflow'!A5850&lt;&gt;"",'Document Workflow'!A5850,"")</f>
        <v/>
      </c>
    </row>
    <row r="5852" spans="1:1">
      <c r="A5852" s="7" t="str">
        <f>IF('Document Workflow'!A5851&lt;&gt;"",'Document Workflow'!A5851,"")</f>
        <v/>
      </c>
    </row>
    <row r="5853" spans="1:1">
      <c r="A5853" s="7" t="str">
        <f>IF('Document Workflow'!A5852&lt;&gt;"",'Document Workflow'!A5852,"")</f>
        <v/>
      </c>
    </row>
    <row r="5854" spans="1:1">
      <c r="A5854" s="7" t="str">
        <f>IF('Document Workflow'!A5853&lt;&gt;"",'Document Workflow'!A5853,"")</f>
        <v/>
      </c>
    </row>
    <row r="5855" spans="1:1">
      <c r="A5855" s="7" t="str">
        <f>IF('Document Workflow'!A5854&lt;&gt;"",'Document Workflow'!A5854,"")</f>
        <v/>
      </c>
    </row>
    <row r="5856" spans="1:1">
      <c r="A5856" s="7" t="str">
        <f>IF('Document Workflow'!A5855&lt;&gt;"",'Document Workflow'!A5855,"")</f>
        <v/>
      </c>
    </row>
    <row r="5857" spans="1:1">
      <c r="A5857" s="7" t="str">
        <f>IF('Document Workflow'!A5856&lt;&gt;"",'Document Workflow'!A5856,"")</f>
        <v/>
      </c>
    </row>
    <row r="5858" spans="1:1">
      <c r="A5858" s="7" t="str">
        <f>IF('Document Workflow'!A5857&lt;&gt;"",'Document Workflow'!A5857,"")</f>
        <v/>
      </c>
    </row>
    <row r="5859" spans="1:1">
      <c r="A5859" s="7" t="str">
        <f>IF('Document Workflow'!A5858&lt;&gt;"",'Document Workflow'!A5858,"")</f>
        <v/>
      </c>
    </row>
    <row r="5860" spans="1:1">
      <c r="A5860" s="7" t="str">
        <f>IF('Document Workflow'!A5859&lt;&gt;"",'Document Workflow'!A5859,"")</f>
        <v/>
      </c>
    </row>
    <row r="5861" spans="1:1">
      <c r="A5861" s="7" t="str">
        <f>IF('Document Workflow'!A5860&lt;&gt;"",'Document Workflow'!A5860,"")</f>
        <v/>
      </c>
    </row>
    <row r="5862" spans="1:1">
      <c r="A5862" s="7" t="str">
        <f>IF('Document Workflow'!A5861&lt;&gt;"",'Document Workflow'!A5861,"")</f>
        <v/>
      </c>
    </row>
    <row r="5863" spans="1:1">
      <c r="A5863" s="7" t="str">
        <f>IF('Document Workflow'!A5862&lt;&gt;"",'Document Workflow'!A5862,"")</f>
        <v/>
      </c>
    </row>
    <row r="5864" spans="1:1">
      <c r="A5864" s="7" t="str">
        <f>IF('Document Workflow'!A5863&lt;&gt;"",'Document Workflow'!A5863,"")</f>
        <v/>
      </c>
    </row>
    <row r="5865" spans="1:1">
      <c r="A5865" s="7" t="str">
        <f>IF('Document Workflow'!A5864&lt;&gt;"",'Document Workflow'!A5864,"")</f>
        <v/>
      </c>
    </row>
    <row r="5866" spans="1:1">
      <c r="A5866" s="7" t="str">
        <f>IF('Document Workflow'!A5865&lt;&gt;"",'Document Workflow'!A5865,"")</f>
        <v/>
      </c>
    </row>
    <row r="5867" spans="1:1">
      <c r="A5867" s="7" t="str">
        <f>IF('Document Workflow'!A5866&lt;&gt;"",'Document Workflow'!A5866,"")</f>
        <v/>
      </c>
    </row>
    <row r="5868" spans="1:1">
      <c r="A5868" s="7" t="str">
        <f>IF('Document Workflow'!A5867&lt;&gt;"",'Document Workflow'!A5867,"")</f>
        <v/>
      </c>
    </row>
    <row r="5869" spans="1:1">
      <c r="A5869" s="7" t="str">
        <f>IF('Document Workflow'!A5868&lt;&gt;"",'Document Workflow'!A5868,"")</f>
        <v/>
      </c>
    </row>
    <row r="5870" spans="1:1">
      <c r="A5870" s="7" t="str">
        <f>IF('Document Workflow'!A5869&lt;&gt;"",'Document Workflow'!A5869,"")</f>
        <v/>
      </c>
    </row>
    <row r="5871" spans="1:1">
      <c r="A5871" s="7" t="str">
        <f>IF('Document Workflow'!A5870&lt;&gt;"",'Document Workflow'!A5870,"")</f>
        <v/>
      </c>
    </row>
    <row r="5872" spans="1:1">
      <c r="A5872" s="7" t="str">
        <f>IF('Document Workflow'!A5871&lt;&gt;"",'Document Workflow'!A5871,"")</f>
        <v/>
      </c>
    </row>
    <row r="5873" spans="1:1">
      <c r="A5873" s="7" t="str">
        <f>IF('Document Workflow'!A5872&lt;&gt;"",'Document Workflow'!A5872,"")</f>
        <v/>
      </c>
    </row>
    <row r="5874" spans="1:1">
      <c r="A5874" s="7" t="str">
        <f>IF('Document Workflow'!A5873&lt;&gt;"",'Document Workflow'!A5873,"")</f>
        <v/>
      </c>
    </row>
    <row r="5875" spans="1:1">
      <c r="A5875" s="7" t="str">
        <f>IF('Document Workflow'!A5874&lt;&gt;"",'Document Workflow'!A5874,"")</f>
        <v/>
      </c>
    </row>
    <row r="5876" spans="1:1">
      <c r="A5876" s="7" t="str">
        <f>IF('Document Workflow'!A5875&lt;&gt;"",'Document Workflow'!A5875,"")</f>
        <v/>
      </c>
    </row>
    <row r="5877" spans="1:1">
      <c r="A5877" s="7" t="str">
        <f>IF('Document Workflow'!A5876&lt;&gt;"",'Document Workflow'!A5876,"")</f>
        <v/>
      </c>
    </row>
    <row r="5878" spans="1:1">
      <c r="A5878" s="7" t="str">
        <f>IF('Document Workflow'!A5877&lt;&gt;"",'Document Workflow'!A5877,"")</f>
        <v/>
      </c>
    </row>
    <row r="5879" spans="1:1">
      <c r="A5879" s="7" t="str">
        <f>IF('Document Workflow'!A5878&lt;&gt;"",'Document Workflow'!A5878,"")</f>
        <v/>
      </c>
    </row>
    <row r="5880" spans="1:1">
      <c r="A5880" s="7" t="str">
        <f>IF('Document Workflow'!A5879&lt;&gt;"",'Document Workflow'!A5879,"")</f>
        <v/>
      </c>
    </row>
    <row r="5881" spans="1:1">
      <c r="A5881" s="7" t="str">
        <f>IF('Document Workflow'!A5880&lt;&gt;"",'Document Workflow'!A5880,"")</f>
        <v/>
      </c>
    </row>
    <row r="5882" spans="1:1">
      <c r="A5882" s="7" t="str">
        <f>IF('Document Workflow'!A5881&lt;&gt;"",'Document Workflow'!A5881,"")</f>
        <v/>
      </c>
    </row>
    <row r="5883" spans="1:1">
      <c r="A5883" s="7" t="str">
        <f>IF('Document Workflow'!A5882&lt;&gt;"",'Document Workflow'!A5882,"")</f>
        <v/>
      </c>
    </row>
    <row r="5884" spans="1:1">
      <c r="A5884" s="7" t="str">
        <f>IF('Document Workflow'!A5883&lt;&gt;"",'Document Workflow'!A5883,"")</f>
        <v/>
      </c>
    </row>
    <row r="5885" spans="1:1">
      <c r="A5885" s="7" t="str">
        <f>IF('Document Workflow'!A5884&lt;&gt;"",'Document Workflow'!A5884,"")</f>
        <v/>
      </c>
    </row>
    <row r="5886" spans="1:1">
      <c r="A5886" s="7" t="str">
        <f>IF('Document Workflow'!A5885&lt;&gt;"",'Document Workflow'!A5885,"")</f>
        <v/>
      </c>
    </row>
    <row r="5887" spans="1:1">
      <c r="A5887" s="7" t="str">
        <f>IF('Document Workflow'!A5886&lt;&gt;"",'Document Workflow'!A5886,"")</f>
        <v/>
      </c>
    </row>
    <row r="5888" spans="1:1">
      <c r="A5888" s="7" t="str">
        <f>IF('Document Workflow'!A5887&lt;&gt;"",'Document Workflow'!A5887,"")</f>
        <v/>
      </c>
    </row>
    <row r="5889" spans="1:1">
      <c r="A5889" s="7" t="str">
        <f>IF('Document Workflow'!A5888&lt;&gt;"",'Document Workflow'!A5888,"")</f>
        <v/>
      </c>
    </row>
    <row r="5890" spans="1:1">
      <c r="A5890" s="7" t="str">
        <f>IF('Document Workflow'!A5889&lt;&gt;"",'Document Workflow'!A5889,"")</f>
        <v/>
      </c>
    </row>
    <row r="5891" spans="1:1">
      <c r="A5891" s="7" t="str">
        <f>IF('Document Workflow'!A5890&lt;&gt;"",'Document Workflow'!A5890,"")</f>
        <v/>
      </c>
    </row>
    <row r="5892" spans="1:1">
      <c r="A5892" s="7" t="str">
        <f>IF('Document Workflow'!A5891&lt;&gt;"",'Document Workflow'!A5891,"")</f>
        <v/>
      </c>
    </row>
    <row r="5893" spans="1:1">
      <c r="A5893" s="7" t="str">
        <f>IF('Document Workflow'!A5892&lt;&gt;"",'Document Workflow'!A5892,"")</f>
        <v/>
      </c>
    </row>
    <row r="5894" spans="1:1">
      <c r="A5894" s="7" t="str">
        <f>IF('Document Workflow'!A5893&lt;&gt;"",'Document Workflow'!A5893,"")</f>
        <v/>
      </c>
    </row>
    <row r="5895" spans="1:1">
      <c r="A5895" s="7" t="str">
        <f>IF('Document Workflow'!A5894&lt;&gt;"",'Document Workflow'!A5894,"")</f>
        <v/>
      </c>
    </row>
    <row r="5896" spans="1:1">
      <c r="A5896" s="7" t="str">
        <f>IF('Document Workflow'!A5895&lt;&gt;"",'Document Workflow'!A5895,"")</f>
        <v/>
      </c>
    </row>
    <row r="5897" spans="1:1">
      <c r="A5897" s="7" t="str">
        <f>IF('Document Workflow'!A5896&lt;&gt;"",'Document Workflow'!A5896,"")</f>
        <v/>
      </c>
    </row>
    <row r="5898" spans="1:1">
      <c r="A5898" s="7" t="str">
        <f>IF('Document Workflow'!A5897&lt;&gt;"",'Document Workflow'!A5897,"")</f>
        <v/>
      </c>
    </row>
    <row r="5899" spans="1:1">
      <c r="A5899" s="7" t="str">
        <f>IF('Document Workflow'!A5898&lt;&gt;"",'Document Workflow'!A5898,"")</f>
        <v/>
      </c>
    </row>
    <row r="5900" spans="1:1">
      <c r="A5900" s="7" t="str">
        <f>IF('Document Workflow'!A5899&lt;&gt;"",'Document Workflow'!A5899,"")</f>
        <v/>
      </c>
    </row>
    <row r="5901" spans="1:1">
      <c r="A5901" s="7" t="str">
        <f>IF('Document Workflow'!A5900&lt;&gt;"",'Document Workflow'!A5900,"")</f>
        <v/>
      </c>
    </row>
    <row r="5902" spans="1:1">
      <c r="A5902" s="7" t="str">
        <f>IF('Document Workflow'!A5901&lt;&gt;"",'Document Workflow'!A5901,"")</f>
        <v/>
      </c>
    </row>
    <row r="5903" spans="1:1">
      <c r="A5903" s="7" t="str">
        <f>IF('Document Workflow'!A5902&lt;&gt;"",'Document Workflow'!A5902,"")</f>
        <v/>
      </c>
    </row>
    <row r="5904" spans="1:1">
      <c r="A5904" s="7" t="str">
        <f>IF('Document Workflow'!A5903&lt;&gt;"",'Document Workflow'!A5903,"")</f>
        <v/>
      </c>
    </row>
    <row r="5905" spans="1:1">
      <c r="A5905" s="7" t="str">
        <f>IF('Document Workflow'!A5904&lt;&gt;"",'Document Workflow'!A5904,"")</f>
        <v/>
      </c>
    </row>
    <row r="5906" spans="1:1">
      <c r="A5906" s="7" t="str">
        <f>IF('Document Workflow'!A5905&lt;&gt;"",'Document Workflow'!A5905,"")</f>
        <v/>
      </c>
    </row>
    <row r="5907" spans="1:1">
      <c r="A5907" s="7" t="str">
        <f>IF('Document Workflow'!A5906&lt;&gt;"",'Document Workflow'!A5906,"")</f>
        <v/>
      </c>
    </row>
    <row r="5908" spans="1:1">
      <c r="A5908" s="7" t="str">
        <f>IF('Document Workflow'!A5907&lt;&gt;"",'Document Workflow'!A5907,"")</f>
        <v/>
      </c>
    </row>
    <row r="5909" spans="1:1">
      <c r="A5909" s="7" t="str">
        <f>IF('Document Workflow'!A5908&lt;&gt;"",'Document Workflow'!A5908,"")</f>
        <v/>
      </c>
    </row>
    <row r="5910" spans="1:1">
      <c r="A5910" s="7" t="str">
        <f>IF('Document Workflow'!A5909&lt;&gt;"",'Document Workflow'!A5909,"")</f>
        <v/>
      </c>
    </row>
    <row r="5911" spans="1:1">
      <c r="A5911" s="7" t="str">
        <f>IF('Document Workflow'!A5910&lt;&gt;"",'Document Workflow'!A5910,"")</f>
        <v/>
      </c>
    </row>
    <row r="5912" spans="1:1">
      <c r="A5912" s="7" t="str">
        <f>IF('Document Workflow'!A5911&lt;&gt;"",'Document Workflow'!A5911,"")</f>
        <v/>
      </c>
    </row>
    <row r="5913" spans="1:1">
      <c r="A5913" s="7" t="str">
        <f>IF('Document Workflow'!A5912&lt;&gt;"",'Document Workflow'!A5912,"")</f>
        <v/>
      </c>
    </row>
    <row r="5914" spans="1:1">
      <c r="A5914" s="7" t="str">
        <f>IF('Document Workflow'!A5913&lt;&gt;"",'Document Workflow'!A5913,"")</f>
        <v/>
      </c>
    </row>
    <row r="5915" spans="1:1">
      <c r="A5915" s="7" t="str">
        <f>IF('Document Workflow'!A5914&lt;&gt;"",'Document Workflow'!A5914,"")</f>
        <v/>
      </c>
    </row>
    <row r="5916" spans="1:1">
      <c r="A5916" s="7" t="str">
        <f>IF('Document Workflow'!A5915&lt;&gt;"",'Document Workflow'!A5915,"")</f>
        <v/>
      </c>
    </row>
    <row r="5917" spans="1:1">
      <c r="A5917" s="7" t="str">
        <f>IF('Document Workflow'!A5916&lt;&gt;"",'Document Workflow'!A5916,"")</f>
        <v/>
      </c>
    </row>
    <row r="5918" spans="1:1">
      <c r="A5918" s="7" t="str">
        <f>IF('Document Workflow'!A5917&lt;&gt;"",'Document Workflow'!A5917,"")</f>
        <v/>
      </c>
    </row>
    <row r="5919" spans="1:1">
      <c r="A5919" s="7" t="str">
        <f>IF('Document Workflow'!A5918&lt;&gt;"",'Document Workflow'!A5918,"")</f>
        <v/>
      </c>
    </row>
    <row r="5920" spans="1:1">
      <c r="A5920" s="7" t="str">
        <f>IF('Document Workflow'!A5919&lt;&gt;"",'Document Workflow'!A5919,"")</f>
        <v/>
      </c>
    </row>
    <row r="5921" spans="1:1">
      <c r="A5921" s="7" t="str">
        <f>IF('Document Workflow'!A5920&lt;&gt;"",'Document Workflow'!A5920,"")</f>
        <v/>
      </c>
    </row>
    <row r="5922" spans="1:1">
      <c r="A5922" s="7" t="str">
        <f>IF('Document Workflow'!A5921&lt;&gt;"",'Document Workflow'!A5921,"")</f>
        <v/>
      </c>
    </row>
    <row r="5923" spans="1:1">
      <c r="A5923" s="7" t="str">
        <f>IF('Document Workflow'!A5922&lt;&gt;"",'Document Workflow'!A5922,"")</f>
        <v/>
      </c>
    </row>
    <row r="5924" spans="1:1">
      <c r="A5924" s="7" t="str">
        <f>IF('Document Workflow'!A5923&lt;&gt;"",'Document Workflow'!A5923,"")</f>
        <v/>
      </c>
    </row>
    <row r="5925" spans="1:1">
      <c r="A5925" s="7" t="str">
        <f>IF('Document Workflow'!A5924&lt;&gt;"",'Document Workflow'!A5924,"")</f>
        <v/>
      </c>
    </row>
    <row r="5926" spans="1:1">
      <c r="A5926" s="7" t="str">
        <f>IF('Document Workflow'!A5925&lt;&gt;"",'Document Workflow'!A5925,"")</f>
        <v/>
      </c>
    </row>
    <row r="5927" spans="1:1">
      <c r="A5927" s="7" t="str">
        <f>IF('Document Workflow'!A5926&lt;&gt;"",'Document Workflow'!A5926,"")</f>
        <v/>
      </c>
    </row>
    <row r="5928" spans="1:1">
      <c r="A5928" s="7" t="str">
        <f>IF('Document Workflow'!A5927&lt;&gt;"",'Document Workflow'!A5927,"")</f>
        <v/>
      </c>
    </row>
    <row r="5929" spans="1:1">
      <c r="A5929" s="7" t="str">
        <f>IF('Document Workflow'!A5928&lt;&gt;"",'Document Workflow'!A5928,"")</f>
        <v/>
      </c>
    </row>
    <row r="5930" spans="1:1">
      <c r="A5930" s="7" t="str">
        <f>IF('Document Workflow'!A5929&lt;&gt;"",'Document Workflow'!A5929,"")</f>
        <v/>
      </c>
    </row>
    <row r="5931" spans="1:1">
      <c r="A5931" s="7" t="str">
        <f>IF('Document Workflow'!A5930&lt;&gt;"",'Document Workflow'!A5930,"")</f>
        <v/>
      </c>
    </row>
    <row r="5932" spans="1:1">
      <c r="A5932" s="7" t="str">
        <f>IF('Document Workflow'!A5931&lt;&gt;"",'Document Workflow'!A5931,"")</f>
        <v/>
      </c>
    </row>
    <row r="5933" spans="1:1">
      <c r="A5933" s="7" t="str">
        <f>IF('Document Workflow'!A5932&lt;&gt;"",'Document Workflow'!A5932,"")</f>
        <v/>
      </c>
    </row>
    <row r="5934" spans="1:1">
      <c r="A5934" s="7" t="str">
        <f>IF('Document Workflow'!A5933&lt;&gt;"",'Document Workflow'!A5933,"")</f>
        <v/>
      </c>
    </row>
    <row r="5935" spans="1:1">
      <c r="A5935" s="7" t="str">
        <f>IF('Document Workflow'!A5934&lt;&gt;"",'Document Workflow'!A5934,"")</f>
        <v/>
      </c>
    </row>
    <row r="5936" spans="1:1">
      <c r="A5936" s="7" t="str">
        <f>IF('Document Workflow'!A5935&lt;&gt;"",'Document Workflow'!A5935,"")</f>
        <v/>
      </c>
    </row>
    <row r="5937" spans="1:1">
      <c r="A5937" s="7" t="str">
        <f>IF('Document Workflow'!A5936&lt;&gt;"",'Document Workflow'!A5936,"")</f>
        <v/>
      </c>
    </row>
    <row r="5938" spans="1:1">
      <c r="A5938" s="7" t="str">
        <f>IF('Document Workflow'!A5937&lt;&gt;"",'Document Workflow'!A5937,"")</f>
        <v/>
      </c>
    </row>
    <row r="5939" spans="1:1">
      <c r="A5939" s="7" t="str">
        <f>IF('Document Workflow'!A5938&lt;&gt;"",'Document Workflow'!A5938,"")</f>
        <v/>
      </c>
    </row>
    <row r="5940" spans="1:1">
      <c r="A5940" s="7" t="str">
        <f>IF('Document Workflow'!A5939&lt;&gt;"",'Document Workflow'!A5939,"")</f>
        <v/>
      </c>
    </row>
    <row r="5941" spans="1:1">
      <c r="A5941" s="7" t="str">
        <f>IF('Document Workflow'!A5940&lt;&gt;"",'Document Workflow'!A5940,"")</f>
        <v/>
      </c>
    </row>
    <row r="5942" spans="1:1">
      <c r="A5942" s="7" t="str">
        <f>IF('Document Workflow'!A5941&lt;&gt;"",'Document Workflow'!A5941,"")</f>
        <v/>
      </c>
    </row>
    <row r="5943" spans="1:1">
      <c r="A5943" s="7" t="str">
        <f>IF('Document Workflow'!A5942&lt;&gt;"",'Document Workflow'!A5942,"")</f>
        <v/>
      </c>
    </row>
    <row r="5944" spans="1:1">
      <c r="A5944" s="7" t="str">
        <f>IF('Document Workflow'!A5943&lt;&gt;"",'Document Workflow'!A5943,"")</f>
        <v/>
      </c>
    </row>
    <row r="5945" spans="1:1">
      <c r="A5945" s="7" t="str">
        <f>IF('Document Workflow'!A5944&lt;&gt;"",'Document Workflow'!A5944,"")</f>
        <v/>
      </c>
    </row>
    <row r="5946" spans="1:1">
      <c r="A5946" s="7" t="str">
        <f>IF('Document Workflow'!A5945&lt;&gt;"",'Document Workflow'!A5945,"")</f>
        <v/>
      </c>
    </row>
    <row r="5947" spans="1:1">
      <c r="A5947" s="7" t="str">
        <f>IF('Document Workflow'!A5946&lt;&gt;"",'Document Workflow'!A5946,"")</f>
        <v/>
      </c>
    </row>
    <row r="5948" spans="1:1">
      <c r="A5948" s="7" t="str">
        <f>IF('Document Workflow'!A5947&lt;&gt;"",'Document Workflow'!A5947,"")</f>
        <v/>
      </c>
    </row>
    <row r="5949" spans="1:1">
      <c r="A5949" s="7" t="str">
        <f>IF('Document Workflow'!A5948&lt;&gt;"",'Document Workflow'!A5948,"")</f>
        <v/>
      </c>
    </row>
    <row r="5950" spans="1:1">
      <c r="A5950" s="7" t="str">
        <f>IF('Document Workflow'!A5949&lt;&gt;"",'Document Workflow'!A5949,"")</f>
        <v/>
      </c>
    </row>
    <row r="5951" spans="1:1">
      <c r="A5951" s="7" t="str">
        <f>IF('Document Workflow'!A5950&lt;&gt;"",'Document Workflow'!A5950,"")</f>
        <v/>
      </c>
    </row>
    <row r="5952" spans="1:1">
      <c r="A5952" s="7" t="str">
        <f>IF('Document Workflow'!A5951&lt;&gt;"",'Document Workflow'!A5951,"")</f>
        <v/>
      </c>
    </row>
    <row r="5953" spans="1:1">
      <c r="A5953" s="7" t="str">
        <f>IF('Document Workflow'!A5952&lt;&gt;"",'Document Workflow'!A5952,"")</f>
        <v/>
      </c>
    </row>
    <row r="5954" spans="1:1">
      <c r="A5954" s="7" t="str">
        <f>IF('Document Workflow'!A5953&lt;&gt;"",'Document Workflow'!A5953,"")</f>
        <v/>
      </c>
    </row>
    <row r="5955" spans="1:1">
      <c r="A5955" s="7" t="str">
        <f>IF('Document Workflow'!A5954&lt;&gt;"",'Document Workflow'!A5954,"")</f>
        <v/>
      </c>
    </row>
    <row r="5956" spans="1:1">
      <c r="A5956" s="7" t="str">
        <f>IF('Document Workflow'!A5955&lt;&gt;"",'Document Workflow'!A5955,"")</f>
        <v/>
      </c>
    </row>
    <row r="5957" spans="1:1">
      <c r="A5957" s="7" t="str">
        <f>IF('Document Workflow'!A5956&lt;&gt;"",'Document Workflow'!A5956,"")</f>
        <v/>
      </c>
    </row>
    <row r="5958" spans="1:1">
      <c r="A5958" s="7" t="str">
        <f>IF('Document Workflow'!A5957&lt;&gt;"",'Document Workflow'!A5957,"")</f>
        <v/>
      </c>
    </row>
    <row r="5959" spans="1:1">
      <c r="A5959" s="7" t="str">
        <f>IF('Document Workflow'!A5958&lt;&gt;"",'Document Workflow'!A5958,"")</f>
        <v/>
      </c>
    </row>
    <row r="5960" spans="1:1">
      <c r="A5960" s="7" t="str">
        <f>IF('Document Workflow'!A5959&lt;&gt;"",'Document Workflow'!A5959,"")</f>
        <v/>
      </c>
    </row>
    <row r="5961" spans="1:1">
      <c r="A5961" s="7" t="str">
        <f>IF('Document Workflow'!A5960&lt;&gt;"",'Document Workflow'!A5960,"")</f>
        <v/>
      </c>
    </row>
    <row r="5962" spans="1:1">
      <c r="A5962" s="7" t="str">
        <f>IF('Document Workflow'!A5961&lt;&gt;"",'Document Workflow'!A5961,"")</f>
        <v/>
      </c>
    </row>
    <row r="5963" spans="1:1">
      <c r="A5963" s="7" t="str">
        <f>IF('Document Workflow'!A5962&lt;&gt;"",'Document Workflow'!A5962,"")</f>
        <v/>
      </c>
    </row>
    <row r="5964" spans="1:1">
      <c r="A5964" s="7" t="str">
        <f>IF('Document Workflow'!A5963&lt;&gt;"",'Document Workflow'!A5963,"")</f>
        <v/>
      </c>
    </row>
    <row r="5965" spans="1:1">
      <c r="A5965" s="7" t="str">
        <f>IF('Document Workflow'!A5964&lt;&gt;"",'Document Workflow'!A5964,"")</f>
        <v/>
      </c>
    </row>
    <row r="5966" spans="1:1">
      <c r="A5966" s="7" t="str">
        <f>IF('Document Workflow'!A5965&lt;&gt;"",'Document Workflow'!A5965,"")</f>
        <v/>
      </c>
    </row>
    <row r="5967" spans="1:1">
      <c r="A5967" s="7" t="str">
        <f>IF('Document Workflow'!A5966&lt;&gt;"",'Document Workflow'!A5966,"")</f>
        <v/>
      </c>
    </row>
    <row r="5968" spans="1:1">
      <c r="A5968" s="7" t="str">
        <f>IF('Document Workflow'!A5967&lt;&gt;"",'Document Workflow'!A5967,"")</f>
        <v/>
      </c>
    </row>
    <row r="5969" spans="1:1">
      <c r="A5969" s="7" t="str">
        <f>IF('Document Workflow'!A5968&lt;&gt;"",'Document Workflow'!A5968,"")</f>
        <v/>
      </c>
    </row>
    <row r="5970" spans="1:1">
      <c r="A5970" s="7" t="str">
        <f>IF('Document Workflow'!A5969&lt;&gt;"",'Document Workflow'!A5969,"")</f>
        <v/>
      </c>
    </row>
    <row r="5971" spans="1:1">
      <c r="A5971" s="7" t="str">
        <f>IF('Document Workflow'!A5970&lt;&gt;"",'Document Workflow'!A5970,"")</f>
        <v/>
      </c>
    </row>
    <row r="5972" spans="1:1">
      <c r="A5972" s="7" t="str">
        <f>IF('Document Workflow'!A5971&lt;&gt;"",'Document Workflow'!A5971,"")</f>
        <v/>
      </c>
    </row>
    <row r="5973" spans="1:1">
      <c r="A5973" s="7" t="str">
        <f>IF('Document Workflow'!A5972&lt;&gt;"",'Document Workflow'!A5972,"")</f>
        <v/>
      </c>
    </row>
    <row r="5974" spans="1:1">
      <c r="A5974" s="7" t="str">
        <f>IF('Document Workflow'!A5973&lt;&gt;"",'Document Workflow'!A5973,"")</f>
        <v/>
      </c>
    </row>
    <row r="5975" spans="1:1">
      <c r="A5975" s="7" t="str">
        <f>IF('Document Workflow'!A5974&lt;&gt;"",'Document Workflow'!A5974,"")</f>
        <v/>
      </c>
    </row>
    <row r="5976" spans="1:1">
      <c r="A5976" s="7" t="str">
        <f>IF('Document Workflow'!A5975&lt;&gt;"",'Document Workflow'!A5975,"")</f>
        <v/>
      </c>
    </row>
    <row r="5977" spans="1:1">
      <c r="A5977" s="7" t="str">
        <f>IF('Document Workflow'!A5976&lt;&gt;"",'Document Workflow'!A5976,"")</f>
        <v/>
      </c>
    </row>
    <row r="5978" spans="1:1">
      <c r="A5978" s="7" t="str">
        <f>IF('Document Workflow'!A5977&lt;&gt;"",'Document Workflow'!A5977,"")</f>
        <v/>
      </c>
    </row>
    <row r="5979" spans="1:1">
      <c r="A5979" s="7" t="str">
        <f>IF('Document Workflow'!A5978&lt;&gt;"",'Document Workflow'!A5978,"")</f>
        <v/>
      </c>
    </row>
    <row r="5980" spans="1:1">
      <c r="A5980" s="7" t="str">
        <f>IF('Document Workflow'!A5979&lt;&gt;"",'Document Workflow'!A5979,"")</f>
        <v/>
      </c>
    </row>
    <row r="5981" spans="1:1">
      <c r="A5981" s="7" t="str">
        <f>IF('Document Workflow'!A5980&lt;&gt;"",'Document Workflow'!A5980,"")</f>
        <v/>
      </c>
    </row>
    <row r="5982" spans="1:1">
      <c r="A5982" s="7" t="str">
        <f>IF('Document Workflow'!A5981&lt;&gt;"",'Document Workflow'!A5981,"")</f>
        <v/>
      </c>
    </row>
    <row r="5983" spans="1:1">
      <c r="A5983" s="7" t="str">
        <f>IF('Document Workflow'!A5982&lt;&gt;"",'Document Workflow'!A5982,"")</f>
        <v/>
      </c>
    </row>
    <row r="5984" spans="1:1">
      <c r="A5984" s="7" t="str">
        <f>IF('Document Workflow'!A5983&lt;&gt;"",'Document Workflow'!A5983,"")</f>
        <v/>
      </c>
    </row>
    <row r="5985" spans="1:1">
      <c r="A5985" s="7" t="str">
        <f>IF('Document Workflow'!A5984&lt;&gt;"",'Document Workflow'!A5984,"")</f>
        <v/>
      </c>
    </row>
    <row r="5986" spans="1:1">
      <c r="A5986" s="7" t="str">
        <f>IF('Document Workflow'!A5985&lt;&gt;"",'Document Workflow'!A5985,"")</f>
        <v/>
      </c>
    </row>
    <row r="5987" spans="1:1">
      <c r="A5987" s="7" t="str">
        <f>IF('Document Workflow'!A5986&lt;&gt;"",'Document Workflow'!A5986,"")</f>
        <v/>
      </c>
    </row>
    <row r="5988" spans="1:1">
      <c r="A5988" s="7" t="str">
        <f>IF('Document Workflow'!A5987&lt;&gt;"",'Document Workflow'!A5987,"")</f>
        <v/>
      </c>
    </row>
    <row r="5989" spans="1:1">
      <c r="A5989" s="7" t="str">
        <f>IF('Document Workflow'!A5988&lt;&gt;"",'Document Workflow'!A5988,"")</f>
        <v/>
      </c>
    </row>
    <row r="5990" spans="1:1">
      <c r="A5990" s="7" t="str">
        <f>IF('Document Workflow'!A5989&lt;&gt;"",'Document Workflow'!A5989,"")</f>
        <v/>
      </c>
    </row>
    <row r="5991" spans="1:1">
      <c r="A5991" s="7" t="str">
        <f>IF('Document Workflow'!A5990&lt;&gt;"",'Document Workflow'!A5990,"")</f>
        <v/>
      </c>
    </row>
    <row r="5992" spans="1:1">
      <c r="A5992" s="7" t="str">
        <f>IF('Document Workflow'!A5991&lt;&gt;"",'Document Workflow'!A5991,"")</f>
        <v/>
      </c>
    </row>
    <row r="5993" spans="1:1">
      <c r="A5993" s="7" t="str">
        <f>IF('Document Workflow'!A5992&lt;&gt;"",'Document Workflow'!A5992,"")</f>
        <v/>
      </c>
    </row>
    <row r="5994" spans="1:1">
      <c r="A5994" s="7" t="str">
        <f>IF('Document Workflow'!A5993&lt;&gt;"",'Document Workflow'!A5993,"")</f>
        <v/>
      </c>
    </row>
    <row r="5995" spans="1:1">
      <c r="A5995" s="7" t="str">
        <f>IF('Document Workflow'!A5994&lt;&gt;"",'Document Workflow'!A5994,"")</f>
        <v/>
      </c>
    </row>
    <row r="5996" spans="1:1">
      <c r="A5996" s="7" t="str">
        <f>IF('Document Workflow'!A5995&lt;&gt;"",'Document Workflow'!A5995,"")</f>
        <v/>
      </c>
    </row>
    <row r="5997" spans="1:1">
      <c r="A5997" s="7" t="str">
        <f>IF('Document Workflow'!A5996&lt;&gt;"",'Document Workflow'!A5996,"")</f>
        <v/>
      </c>
    </row>
    <row r="5998" spans="1:1">
      <c r="A5998" s="7" t="str">
        <f>IF('Document Workflow'!A5997&lt;&gt;"",'Document Workflow'!A5997,"")</f>
        <v/>
      </c>
    </row>
    <row r="5999" spans="1:1">
      <c r="A5999" s="7" t="str">
        <f>IF('Document Workflow'!A5998&lt;&gt;"",'Document Workflow'!A5998,"")</f>
        <v/>
      </c>
    </row>
    <row r="6000" spans="1:1">
      <c r="A6000" s="7" t="str">
        <f>IF('Document Workflow'!A5999&lt;&gt;"",'Document Workflow'!A5999,"")</f>
        <v/>
      </c>
    </row>
    <row r="6001" spans="1:1">
      <c r="A6001" s="7" t="str">
        <f>IF('Document Workflow'!A6000&lt;&gt;"",'Document Workflow'!A6000,"")</f>
        <v/>
      </c>
    </row>
    <row r="6002" spans="1:1">
      <c r="A6002" s="7" t="str">
        <f>IF('Document Workflow'!A6001&lt;&gt;"",'Document Workflow'!A6001,"")</f>
        <v/>
      </c>
    </row>
    <row r="6003" spans="1:1">
      <c r="A6003" s="7" t="str">
        <f>IF('Document Workflow'!A6002&lt;&gt;"",'Document Workflow'!A6002,"")</f>
        <v/>
      </c>
    </row>
    <row r="6004" spans="1:1">
      <c r="A6004" s="7" t="str">
        <f>IF('Document Workflow'!A6003&lt;&gt;"",'Document Workflow'!A6003,"")</f>
        <v/>
      </c>
    </row>
    <row r="6005" spans="1:1">
      <c r="A6005" s="7" t="str">
        <f>IF('Document Workflow'!A6004&lt;&gt;"",'Document Workflow'!A6004,"")</f>
        <v/>
      </c>
    </row>
    <row r="6006" spans="1:1">
      <c r="A6006" s="7" t="str">
        <f>IF('Document Workflow'!A6005&lt;&gt;"",'Document Workflow'!A6005,"")</f>
        <v/>
      </c>
    </row>
    <row r="6007" spans="1:1">
      <c r="A6007" s="7" t="str">
        <f>IF('Document Workflow'!A6006&lt;&gt;"",'Document Workflow'!A6006,"")</f>
        <v/>
      </c>
    </row>
    <row r="6008" spans="1:1">
      <c r="A6008" s="7" t="str">
        <f>IF('Document Workflow'!A6007&lt;&gt;"",'Document Workflow'!A6007,"")</f>
        <v/>
      </c>
    </row>
    <row r="6009" spans="1:1">
      <c r="A6009" s="7" t="str">
        <f>IF('Document Workflow'!A6008&lt;&gt;"",'Document Workflow'!A6008,"")</f>
        <v/>
      </c>
    </row>
    <row r="6010" spans="1:1">
      <c r="A6010" s="7" t="str">
        <f>IF('Document Workflow'!A6009&lt;&gt;"",'Document Workflow'!A6009,"")</f>
        <v/>
      </c>
    </row>
    <row r="6011" spans="1:1">
      <c r="A6011" s="7" t="str">
        <f>IF('Document Workflow'!A6010&lt;&gt;"",'Document Workflow'!A6010,"")</f>
        <v/>
      </c>
    </row>
    <row r="6012" spans="1:1">
      <c r="A6012" s="7" t="str">
        <f>IF('Document Workflow'!A6011&lt;&gt;"",'Document Workflow'!A6011,"")</f>
        <v/>
      </c>
    </row>
    <row r="6013" spans="1:1">
      <c r="A6013" s="7" t="str">
        <f>IF('Document Workflow'!A6012&lt;&gt;"",'Document Workflow'!A6012,"")</f>
        <v/>
      </c>
    </row>
    <row r="6014" spans="1:1">
      <c r="A6014" s="7" t="str">
        <f>IF('Document Workflow'!A6013&lt;&gt;"",'Document Workflow'!A6013,"")</f>
        <v/>
      </c>
    </row>
    <row r="6015" spans="1:1">
      <c r="A6015" s="7" t="str">
        <f>IF('Document Workflow'!A6014&lt;&gt;"",'Document Workflow'!A6014,"")</f>
        <v/>
      </c>
    </row>
    <row r="6016" spans="1:1">
      <c r="A6016" s="7" t="str">
        <f>IF('Document Workflow'!A6015&lt;&gt;"",'Document Workflow'!A6015,"")</f>
        <v/>
      </c>
    </row>
    <row r="6017" spans="1:1">
      <c r="A6017" s="7" t="str">
        <f>IF('Document Workflow'!A6016&lt;&gt;"",'Document Workflow'!A6016,"")</f>
        <v/>
      </c>
    </row>
    <row r="6018" spans="1:1">
      <c r="A6018" s="7" t="str">
        <f>IF('Document Workflow'!A6017&lt;&gt;"",'Document Workflow'!A6017,"")</f>
        <v/>
      </c>
    </row>
    <row r="6019" spans="1:1">
      <c r="A6019" s="7" t="str">
        <f>IF('Document Workflow'!A6018&lt;&gt;"",'Document Workflow'!A6018,"")</f>
        <v/>
      </c>
    </row>
    <row r="6020" spans="1:1">
      <c r="A6020" s="7" t="str">
        <f>IF('Document Workflow'!A6019&lt;&gt;"",'Document Workflow'!A6019,"")</f>
        <v/>
      </c>
    </row>
    <row r="6021" spans="1:1">
      <c r="A6021" s="7" t="str">
        <f>IF('Document Workflow'!A6020&lt;&gt;"",'Document Workflow'!A6020,"")</f>
        <v/>
      </c>
    </row>
    <row r="6022" spans="1:1">
      <c r="A6022" s="7" t="str">
        <f>IF('Document Workflow'!A6021&lt;&gt;"",'Document Workflow'!A6021,"")</f>
        <v/>
      </c>
    </row>
    <row r="6023" spans="1:1">
      <c r="A6023" s="7" t="str">
        <f>IF('Document Workflow'!A6022&lt;&gt;"",'Document Workflow'!A6022,"")</f>
        <v/>
      </c>
    </row>
    <row r="6024" spans="1:1">
      <c r="A6024" s="7" t="str">
        <f>IF('Document Workflow'!A6023&lt;&gt;"",'Document Workflow'!A6023,"")</f>
        <v/>
      </c>
    </row>
    <row r="6025" spans="1:1">
      <c r="A6025" s="7" t="str">
        <f>IF('Document Workflow'!A6024&lt;&gt;"",'Document Workflow'!A6024,"")</f>
        <v/>
      </c>
    </row>
    <row r="6026" spans="1:1">
      <c r="A6026" s="7" t="str">
        <f>IF('Document Workflow'!A6025&lt;&gt;"",'Document Workflow'!A6025,"")</f>
        <v/>
      </c>
    </row>
    <row r="6027" spans="1:1">
      <c r="A6027" s="7" t="str">
        <f>IF('Document Workflow'!A6026&lt;&gt;"",'Document Workflow'!A6026,"")</f>
        <v/>
      </c>
    </row>
    <row r="6028" spans="1:1">
      <c r="A6028" s="7" t="str">
        <f>IF('Document Workflow'!A6027&lt;&gt;"",'Document Workflow'!A6027,"")</f>
        <v/>
      </c>
    </row>
    <row r="6029" spans="1:1">
      <c r="A6029" s="7" t="str">
        <f>IF('Document Workflow'!A6028&lt;&gt;"",'Document Workflow'!A6028,"")</f>
        <v/>
      </c>
    </row>
    <row r="6030" spans="1:1">
      <c r="A6030" s="7" t="str">
        <f>IF('Document Workflow'!A6029&lt;&gt;"",'Document Workflow'!A6029,"")</f>
        <v/>
      </c>
    </row>
    <row r="6031" spans="1:1">
      <c r="A6031" s="7" t="str">
        <f>IF('Document Workflow'!A6030&lt;&gt;"",'Document Workflow'!A6030,"")</f>
        <v/>
      </c>
    </row>
    <row r="6032" spans="1:1">
      <c r="A6032" s="7" t="str">
        <f>IF('Document Workflow'!A6031&lt;&gt;"",'Document Workflow'!A6031,"")</f>
        <v/>
      </c>
    </row>
    <row r="6033" spans="1:1">
      <c r="A6033" s="7" t="str">
        <f>IF('Document Workflow'!A6032&lt;&gt;"",'Document Workflow'!A6032,"")</f>
        <v/>
      </c>
    </row>
    <row r="6034" spans="1:1">
      <c r="A6034" s="7" t="str">
        <f>IF('Document Workflow'!A6033&lt;&gt;"",'Document Workflow'!A6033,"")</f>
        <v/>
      </c>
    </row>
    <row r="6035" spans="1:1">
      <c r="A6035" s="7" t="str">
        <f>IF('Document Workflow'!A6034&lt;&gt;"",'Document Workflow'!A6034,"")</f>
        <v/>
      </c>
    </row>
    <row r="6036" spans="1:1">
      <c r="A6036" s="7" t="str">
        <f>IF('Document Workflow'!A6035&lt;&gt;"",'Document Workflow'!A6035,"")</f>
        <v/>
      </c>
    </row>
    <row r="6037" spans="1:1">
      <c r="A6037" s="7" t="str">
        <f>IF('Document Workflow'!A6036&lt;&gt;"",'Document Workflow'!A6036,"")</f>
        <v/>
      </c>
    </row>
    <row r="6038" spans="1:1">
      <c r="A6038" s="7" t="str">
        <f>IF('Document Workflow'!A6037&lt;&gt;"",'Document Workflow'!A6037,"")</f>
        <v/>
      </c>
    </row>
    <row r="6039" spans="1:1">
      <c r="A6039" s="7" t="str">
        <f>IF('Document Workflow'!A6038&lt;&gt;"",'Document Workflow'!A6038,"")</f>
        <v/>
      </c>
    </row>
    <row r="6040" spans="1:1">
      <c r="A6040" s="7" t="str">
        <f>IF('Document Workflow'!A6039&lt;&gt;"",'Document Workflow'!A6039,"")</f>
        <v/>
      </c>
    </row>
    <row r="6041" spans="1:1">
      <c r="A6041" s="7" t="str">
        <f>IF('Document Workflow'!A6040&lt;&gt;"",'Document Workflow'!A6040,"")</f>
        <v/>
      </c>
    </row>
    <row r="6042" spans="1:1">
      <c r="A6042" s="7" t="str">
        <f>IF('Document Workflow'!A6041&lt;&gt;"",'Document Workflow'!A6041,"")</f>
        <v/>
      </c>
    </row>
    <row r="6043" spans="1:1">
      <c r="A6043" s="7" t="str">
        <f>IF('Document Workflow'!A6042&lt;&gt;"",'Document Workflow'!A6042,"")</f>
        <v/>
      </c>
    </row>
    <row r="6044" spans="1:1">
      <c r="A6044" s="7" t="str">
        <f>IF('Document Workflow'!A6043&lt;&gt;"",'Document Workflow'!A6043,"")</f>
        <v/>
      </c>
    </row>
    <row r="6045" spans="1:1">
      <c r="A6045" s="7" t="str">
        <f>IF('Document Workflow'!A6044&lt;&gt;"",'Document Workflow'!A6044,"")</f>
        <v/>
      </c>
    </row>
    <row r="6046" spans="1:1">
      <c r="A6046" s="7" t="str">
        <f>IF('Document Workflow'!A6045&lt;&gt;"",'Document Workflow'!A6045,"")</f>
        <v/>
      </c>
    </row>
    <row r="6047" spans="1:1">
      <c r="A6047" s="7" t="str">
        <f>IF('Document Workflow'!A6046&lt;&gt;"",'Document Workflow'!A6046,"")</f>
        <v/>
      </c>
    </row>
    <row r="6048" spans="1:1">
      <c r="A6048" s="7" t="str">
        <f>IF('Document Workflow'!A6047&lt;&gt;"",'Document Workflow'!A6047,"")</f>
        <v/>
      </c>
    </row>
    <row r="6049" spans="1:1">
      <c r="A6049" s="7" t="str">
        <f>IF('Document Workflow'!A6048&lt;&gt;"",'Document Workflow'!A6048,"")</f>
        <v/>
      </c>
    </row>
    <row r="6050" spans="1:1">
      <c r="A6050" s="7" t="str">
        <f>IF('Document Workflow'!A6049&lt;&gt;"",'Document Workflow'!A6049,"")</f>
        <v/>
      </c>
    </row>
    <row r="6051" spans="1:1">
      <c r="A6051" s="7" t="str">
        <f>IF('Document Workflow'!A6050&lt;&gt;"",'Document Workflow'!A6050,"")</f>
        <v/>
      </c>
    </row>
    <row r="6052" spans="1:1">
      <c r="A6052" s="7" t="str">
        <f>IF('Document Workflow'!A6051&lt;&gt;"",'Document Workflow'!A6051,"")</f>
        <v/>
      </c>
    </row>
    <row r="6053" spans="1:1">
      <c r="A6053" s="7" t="str">
        <f>IF('Document Workflow'!A6052&lt;&gt;"",'Document Workflow'!A6052,"")</f>
        <v/>
      </c>
    </row>
    <row r="6054" spans="1:1">
      <c r="A6054" s="7" t="str">
        <f>IF('Document Workflow'!A6053&lt;&gt;"",'Document Workflow'!A6053,"")</f>
        <v/>
      </c>
    </row>
    <row r="6055" spans="1:1">
      <c r="A6055" s="7" t="str">
        <f>IF('Document Workflow'!A6054&lt;&gt;"",'Document Workflow'!A6054,"")</f>
        <v/>
      </c>
    </row>
    <row r="6056" spans="1:1">
      <c r="A6056" s="7" t="str">
        <f>IF('Document Workflow'!A6055&lt;&gt;"",'Document Workflow'!A6055,"")</f>
        <v/>
      </c>
    </row>
    <row r="6057" spans="1:1">
      <c r="A6057" s="7" t="str">
        <f>IF('Document Workflow'!A6056&lt;&gt;"",'Document Workflow'!A6056,"")</f>
        <v/>
      </c>
    </row>
    <row r="6058" spans="1:1">
      <c r="A6058" s="7" t="str">
        <f>IF('Document Workflow'!A6057&lt;&gt;"",'Document Workflow'!A6057,"")</f>
        <v/>
      </c>
    </row>
    <row r="6059" spans="1:1">
      <c r="A6059" s="7" t="str">
        <f>IF('Document Workflow'!A6058&lt;&gt;"",'Document Workflow'!A6058,"")</f>
        <v/>
      </c>
    </row>
    <row r="6060" spans="1:1">
      <c r="A6060" s="7" t="str">
        <f>IF('Document Workflow'!A6059&lt;&gt;"",'Document Workflow'!A6059,"")</f>
        <v/>
      </c>
    </row>
    <row r="6061" spans="1:1">
      <c r="A6061" s="7" t="str">
        <f>IF('Document Workflow'!A6060&lt;&gt;"",'Document Workflow'!A6060,"")</f>
        <v/>
      </c>
    </row>
    <row r="6062" spans="1:1">
      <c r="A6062" s="7" t="str">
        <f>IF('Document Workflow'!A6061&lt;&gt;"",'Document Workflow'!A6061,"")</f>
        <v/>
      </c>
    </row>
    <row r="6063" spans="1:1">
      <c r="A6063" s="7" t="str">
        <f>IF('Document Workflow'!A6062&lt;&gt;"",'Document Workflow'!A6062,"")</f>
        <v/>
      </c>
    </row>
    <row r="6064" spans="1:1">
      <c r="A6064" s="7" t="str">
        <f>IF('Document Workflow'!A6063&lt;&gt;"",'Document Workflow'!A6063,"")</f>
        <v/>
      </c>
    </row>
    <row r="6065" spans="1:1">
      <c r="A6065" s="7" t="str">
        <f>IF('Document Workflow'!A6064&lt;&gt;"",'Document Workflow'!A6064,"")</f>
        <v/>
      </c>
    </row>
    <row r="6066" spans="1:1">
      <c r="A6066" s="7" t="str">
        <f>IF('Document Workflow'!A6065&lt;&gt;"",'Document Workflow'!A6065,"")</f>
        <v/>
      </c>
    </row>
    <row r="6067" spans="1:1">
      <c r="A6067" s="7" t="str">
        <f>IF('Document Workflow'!A6066&lt;&gt;"",'Document Workflow'!A6066,"")</f>
        <v/>
      </c>
    </row>
    <row r="6068" spans="1:1">
      <c r="A6068" s="7" t="str">
        <f>IF('Document Workflow'!A6067&lt;&gt;"",'Document Workflow'!A6067,"")</f>
        <v/>
      </c>
    </row>
    <row r="6069" spans="1:1">
      <c r="A6069" s="7" t="str">
        <f>IF('Document Workflow'!A6068&lt;&gt;"",'Document Workflow'!A6068,"")</f>
        <v/>
      </c>
    </row>
    <row r="6070" spans="1:1">
      <c r="A6070" s="7" t="str">
        <f>IF('Document Workflow'!A6069&lt;&gt;"",'Document Workflow'!A6069,"")</f>
        <v/>
      </c>
    </row>
    <row r="6071" spans="1:1">
      <c r="A6071" s="7" t="str">
        <f>IF('Document Workflow'!A6070&lt;&gt;"",'Document Workflow'!A6070,"")</f>
        <v/>
      </c>
    </row>
    <row r="6072" spans="1:1">
      <c r="A6072" s="7" t="str">
        <f>IF('Document Workflow'!A6071&lt;&gt;"",'Document Workflow'!A6071,"")</f>
        <v/>
      </c>
    </row>
    <row r="6073" spans="1:1">
      <c r="A6073" s="7" t="str">
        <f>IF('Document Workflow'!A6072&lt;&gt;"",'Document Workflow'!A6072,"")</f>
        <v/>
      </c>
    </row>
    <row r="6074" spans="1:1">
      <c r="A6074" s="7" t="str">
        <f>IF('Document Workflow'!A6073&lt;&gt;"",'Document Workflow'!A6073,"")</f>
        <v/>
      </c>
    </row>
    <row r="6075" spans="1:1">
      <c r="A6075" s="7" t="str">
        <f>IF('Document Workflow'!A6074&lt;&gt;"",'Document Workflow'!A6074,"")</f>
        <v/>
      </c>
    </row>
    <row r="6076" spans="1:1">
      <c r="A6076" s="7" t="str">
        <f>IF('Document Workflow'!A6075&lt;&gt;"",'Document Workflow'!A6075,"")</f>
        <v/>
      </c>
    </row>
    <row r="6077" spans="1:1">
      <c r="A6077" s="7" t="str">
        <f>IF('Document Workflow'!A6076&lt;&gt;"",'Document Workflow'!A6076,"")</f>
        <v/>
      </c>
    </row>
    <row r="6078" spans="1:1">
      <c r="A6078" s="7" t="str">
        <f>IF('Document Workflow'!A6077&lt;&gt;"",'Document Workflow'!A6077,"")</f>
        <v/>
      </c>
    </row>
    <row r="6079" spans="1:1">
      <c r="A6079" s="7" t="str">
        <f>IF('Document Workflow'!A6078&lt;&gt;"",'Document Workflow'!A6078,"")</f>
        <v/>
      </c>
    </row>
    <row r="6080" spans="1:1">
      <c r="A6080" s="7" t="str">
        <f>IF('Document Workflow'!A6079&lt;&gt;"",'Document Workflow'!A6079,"")</f>
        <v/>
      </c>
    </row>
    <row r="6081" spans="1:1">
      <c r="A6081" s="7" t="str">
        <f>IF('Document Workflow'!A6080&lt;&gt;"",'Document Workflow'!A6080,"")</f>
        <v/>
      </c>
    </row>
    <row r="6082" spans="1:1">
      <c r="A6082" s="7" t="str">
        <f>IF('Document Workflow'!A6081&lt;&gt;"",'Document Workflow'!A6081,"")</f>
        <v/>
      </c>
    </row>
    <row r="6083" spans="1:1">
      <c r="A6083" s="7" t="str">
        <f>IF('Document Workflow'!A6082&lt;&gt;"",'Document Workflow'!A6082,"")</f>
        <v/>
      </c>
    </row>
    <row r="6084" spans="1:1">
      <c r="A6084" s="7" t="str">
        <f>IF('Document Workflow'!A6083&lt;&gt;"",'Document Workflow'!A6083,"")</f>
        <v/>
      </c>
    </row>
    <row r="6085" spans="1:1">
      <c r="A6085" s="7" t="str">
        <f>IF('Document Workflow'!A6084&lt;&gt;"",'Document Workflow'!A6084,"")</f>
        <v/>
      </c>
    </row>
    <row r="6086" spans="1:1">
      <c r="A6086" s="7" t="str">
        <f>IF('Document Workflow'!A6085&lt;&gt;"",'Document Workflow'!A6085,"")</f>
        <v/>
      </c>
    </row>
    <row r="6087" spans="1:1">
      <c r="A6087" s="7" t="str">
        <f>IF('Document Workflow'!A6086&lt;&gt;"",'Document Workflow'!A6086,"")</f>
        <v/>
      </c>
    </row>
    <row r="6088" spans="1:1">
      <c r="A6088" s="7" t="str">
        <f>IF('Document Workflow'!A6087&lt;&gt;"",'Document Workflow'!A6087,"")</f>
        <v/>
      </c>
    </row>
    <row r="6089" spans="1:1">
      <c r="A6089" s="7" t="str">
        <f>IF('Document Workflow'!A6088&lt;&gt;"",'Document Workflow'!A6088,"")</f>
        <v/>
      </c>
    </row>
    <row r="6090" spans="1:1">
      <c r="A6090" s="7" t="str">
        <f>IF('Document Workflow'!A6089&lt;&gt;"",'Document Workflow'!A6089,"")</f>
        <v/>
      </c>
    </row>
    <row r="6091" spans="1:1">
      <c r="A6091" s="7" t="str">
        <f>IF('Document Workflow'!A6090&lt;&gt;"",'Document Workflow'!A6090,"")</f>
        <v/>
      </c>
    </row>
    <row r="6092" spans="1:1">
      <c r="A6092" s="7" t="str">
        <f>IF('Document Workflow'!A6091&lt;&gt;"",'Document Workflow'!A6091,"")</f>
        <v/>
      </c>
    </row>
    <row r="6093" spans="1:1">
      <c r="A6093" s="7" t="str">
        <f>IF('Document Workflow'!A6092&lt;&gt;"",'Document Workflow'!A6092,"")</f>
        <v/>
      </c>
    </row>
    <row r="6094" spans="1:1">
      <c r="A6094" s="7" t="str">
        <f>IF('Document Workflow'!A6093&lt;&gt;"",'Document Workflow'!A6093,"")</f>
        <v/>
      </c>
    </row>
    <row r="6095" spans="1:1">
      <c r="A6095" s="7" t="str">
        <f>IF('Document Workflow'!A6094&lt;&gt;"",'Document Workflow'!A6094,"")</f>
        <v/>
      </c>
    </row>
    <row r="6096" spans="1:1">
      <c r="A6096" s="7" t="str">
        <f>IF('Document Workflow'!A6095&lt;&gt;"",'Document Workflow'!A6095,"")</f>
        <v/>
      </c>
    </row>
    <row r="6097" spans="1:1">
      <c r="A6097" s="7" t="str">
        <f>IF('Document Workflow'!A6096&lt;&gt;"",'Document Workflow'!A6096,"")</f>
        <v/>
      </c>
    </row>
    <row r="6098" spans="1:1">
      <c r="A6098" s="7" t="str">
        <f>IF('Document Workflow'!A6097&lt;&gt;"",'Document Workflow'!A6097,"")</f>
        <v/>
      </c>
    </row>
    <row r="6099" spans="1:1">
      <c r="A6099" s="7" t="str">
        <f>IF('Document Workflow'!A6098&lt;&gt;"",'Document Workflow'!A6098,"")</f>
        <v/>
      </c>
    </row>
    <row r="6100" spans="1:1">
      <c r="A6100" s="7" t="str">
        <f>IF('Document Workflow'!A6099&lt;&gt;"",'Document Workflow'!A6099,"")</f>
        <v/>
      </c>
    </row>
    <row r="6101" spans="1:1">
      <c r="A6101" s="7" t="str">
        <f>IF('Document Workflow'!A6100&lt;&gt;"",'Document Workflow'!A6100,"")</f>
        <v/>
      </c>
    </row>
    <row r="6102" spans="1:1">
      <c r="A6102" s="7" t="str">
        <f>IF('Document Workflow'!A6101&lt;&gt;"",'Document Workflow'!A6101,"")</f>
        <v/>
      </c>
    </row>
    <row r="6103" spans="1:1">
      <c r="A6103" s="7" t="str">
        <f>IF('Document Workflow'!A6102&lt;&gt;"",'Document Workflow'!A6102,"")</f>
        <v/>
      </c>
    </row>
    <row r="6104" spans="1:1">
      <c r="A6104" s="7" t="str">
        <f>IF('Document Workflow'!A6103&lt;&gt;"",'Document Workflow'!A6103,"")</f>
        <v/>
      </c>
    </row>
    <row r="6105" spans="1:1">
      <c r="A6105" s="7" t="str">
        <f>IF('Document Workflow'!A6104&lt;&gt;"",'Document Workflow'!A6104,"")</f>
        <v/>
      </c>
    </row>
    <row r="6106" spans="1:1">
      <c r="A6106" s="7" t="str">
        <f>IF('Document Workflow'!A6105&lt;&gt;"",'Document Workflow'!A6105,"")</f>
        <v/>
      </c>
    </row>
    <row r="6107" spans="1:1">
      <c r="A6107" s="7" t="str">
        <f>IF('Document Workflow'!A6106&lt;&gt;"",'Document Workflow'!A6106,"")</f>
        <v/>
      </c>
    </row>
    <row r="6108" spans="1:1">
      <c r="A6108" s="7" t="str">
        <f>IF('Document Workflow'!A6107&lt;&gt;"",'Document Workflow'!A6107,"")</f>
        <v/>
      </c>
    </row>
    <row r="6109" spans="1:1">
      <c r="A6109" s="7" t="str">
        <f>IF('Document Workflow'!A6108&lt;&gt;"",'Document Workflow'!A6108,"")</f>
        <v/>
      </c>
    </row>
    <row r="6110" spans="1:1">
      <c r="A6110" s="7" t="str">
        <f>IF('Document Workflow'!A6109&lt;&gt;"",'Document Workflow'!A6109,"")</f>
        <v/>
      </c>
    </row>
    <row r="6111" spans="1:1">
      <c r="A6111" s="7" t="str">
        <f>IF('Document Workflow'!A6110&lt;&gt;"",'Document Workflow'!A6110,"")</f>
        <v/>
      </c>
    </row>
    <row r="6112" spans="1:1">
      <c r="A6112" s="7" t="str">
        <f>IF('Document Workflow'!A6111&lt;&gt;"",'Document Workflow'!A6111,"")</f>
        <v/>
      </c>
    </row>
    <row r="6113" spans="1:1">
      <c r="A6113" s="7" t="str">
        <f>IF('Document Workflow'!A6112&lt;&gt;"",'Document Workflow'!A6112,"")</f>
        <v/>
      </c>
    </row>
    <row r="6114" spans="1:1">
      <c r="A6114" s="7" t="str">
        <f>IF('Document Workflow'!A6113&lt;&gt;"",'Document Workflow'!A6113,"")</f>
        <v/>
      </c>
    </row>
    <row r="6115" spans="1:1">
      <c r="A6115" s="7" t="str">
        <f>IF('Document Workflow'!A6114&lt;&gt;"",'Document Workflow'!A6114,"")</f>
        <v/>
      </c>
    </row>
    <row r="6116" spans="1:1">
      <c r="A6116" s="7" t="str">
        <f>IF('Document Workflow'!A6115&lt;&gt;"",'Document Workflow'!A6115,"")</f>
        <v/>
      </c>
    </row>
    <row r="6117" spans="1:1">
      <c r="A6117" s="7" t="str">
        <f>IF('Document Workflow'!A6116&lt;&gt;"",'Document Workflow'!A6116,"")</f>
        <v/>
      </c>
    </row>
    <row r="6118" spans="1:1">
      <c r="A6118" s="7" t="str">
        <f>IF('Document Workflow'!A6117&lt;&gt;"",'Document Workflow'!A6117,"")</f>
        <v/>
      </c>
    </row>
    <row r="6119" spans="1:1">
      <c r="A6119" s="7" t="str">
        <f>IF('Document Workflow'!A6118&lt;&gt;"",'Document Workflow'!A6118,"")</f>
        <v/>
      </c>
    </row>
    <row r="6120" spans="1:1">
      <c r="A6120" s="7" t="str">
        <f>IF('Document Workflow'!A6119&lt;&gt;"",'Document Workflow'!A6119,"")</f>
        <v/>
      </c>
    </row>
    <row r="6121" spans="1:1">
      <c r="A6121" s="7" t="str">
        <f>IF('Document Workflow'!A6120&lt;&gt;"",'Document Workflow'!A6120,"")</f>
        <v/>
      </c>
    </row>
    <row r="6122" spans="1:1">
      <c r="A6122" s="7" t="str">
        <f>IF('Document Workflow'!A6121&lt;&gt;"",'Document Workflow'!A6121,"")</f>
        <v/>
      </c>
    </row>
    <row r="6123" spans="1:1">
      <c r="A6123" s="7" t="str">
        <f>IF('Document Workflow'!A6122&lt;&gt;"",'Document Workflow'!A6122,"")</f>
        <v/>
      </c>
    </row>
    <row r="6124" spans="1:1">
      <c r="A6124" s="7" t="str">
        <f>IF('Document Workflow'!A6123&lt;&gt;"",'Document Workflow'!A6123,"")</f>
        <v/>
      </c>
    </row>
    <row r="6125" spans="1:1">
      <c r="A6125" s="7" t="str">
        <f>IF('Document Workflow'!A6124&lt;&gt;"",'Document Workflow'!A6124,"")</f>
        <v/>
      </c>
    </row>
    <row r="6126" spans="1:1">
      <c r="A6126" s="7" t="str">
        <f>IF('Document Workflow'!A6125&lt;&gt;"",'Document Workflow'!A6125,"")</f>
        <v/>
      </c>
    </row>
    <row r="6127" spans="1:1">
      <c r="A6127" s="7" t="str">
        <f>IF('Document Workflow'!A6126&lt;&gt;"",'Document Workflow'!A6126,"")</f>
        <v/>
      </c>
    </row>
    <row r="6128" spans="1:1">
      <c r="A6128" s="7" t="str">
        <f>IF('Document Workflow'!A6127&lt;&gt;"",'Document Workflow'!A6127,"")</f>
        <v/>
      </c>
    </row>
    <row r="6129" spans="1:1">
      <c r="A6129" s="7" t="str">
        <f>IF('Document Workflow'!A6128&lt;&gt;"",'Document Workflow'!A6128,"")</f>
        <v/>
      </c>
    </row>
    <row r="6130" spans="1:1">
      <c r="A6130" s="7" t="str">
        <f>IF('Document Workflow'!A6129&lt;&gt;"",'Document Workflow'!A6129,"")</f>
        <v/>
      </c>
    </row>
    <row r="6131" spans="1:1">
      <c r="A6131" s="7" t="str">
        <f>IF('Document Workflow'!A6130&lt;&gt;"",'Document Workflow'!A6130,"")</f>
        <v/>
      </c>
    </row>
    <row r="6132" spans="1:1">
      <c r="A6132" s="7" t="str">
        <f>IF('Document Workflow'!A6131&lt;&gt;"",'Document Workflow'!A6131,"")</f>
        <v/>
      </c>
    </row>
    <row r="6133" spans="1:1">
      <c r="A6133" s="7" t="str">
        <f>IF('Document Workflow'!A6132&lt;&gt;"",'Document Workflow'!A6132,"")</f>
        <v/>
      </c>
    </row>
    <row r="6134" spans="1:1">
      <c r="A6134" s="7" t="str">
        <f>IF('Document Workflow'!A6133&lt;&gt;"",'Document Workflow'!A6133,"")</f>
        <v/>
      </c>
    </row>
    <row r="6135" spans="1:1">
      <c r="A6135" s="7" t="str">
        <f>IF('Document Workflow'!A6134&lt;&gt;"",'Document Workflow'!A6134,"")</f>
        <v/>
      </c>
    </row>
    <row r="6136" spans="1:1">
      <c r="A6136" s="7" t="str">
        <f>IF('Document Workflow'!A6135&lt;&gt;"",'Document Workflow'!A6135,"")</f>
        <v/>
      </c>
    </row>
    <row r="6137" spans="1:1">
      <c r="A6137" s="7" t="str">
        <f>IF('Document Workflow'!A6136&lt;&gt;"",'Document Workflow'!A6136,"")</f>
        <v/>
      </c>
    </row>
    <row r="6138" spans="1:1">
      <c r="A6138" s="7" t="str">
        <f>IF('Document Workflow'!A6137&lt;&gt;"",'Document Workflow'!A6137,"")</f>
        <v/>
      </c>
    </row>
    <row r="6139" spans="1:1">
      <c r="A6139" s="7" t="str">
        <f>IF('Document Workflow'!A6138&lt;&gt;"",'Document Workflow'!A6138,"")</f>
        <v/>
      </c>
    </row>
    <row r="6140" spans="1:1">
      <c r="A6140" s="7" t="str">
        <f>IF('Document Workflow'!A6139&lt;&gt;"",'Document Workflow'!A6139,"")</f>
        <v/>
      </c>
    </row>
    <row r="6141" spans="1:1">
      <c r="A6141" s="7" t="str">
        <f>IF('Document Workflow'!A6140&lt;&gt;"",'Document Workflow'!A6140,"")</f>
        <v/>
      </c>
    </row>
    <row r="6142" spans="1:1">
      <c r="A6142" s="7" t="str">
        <f>IF('Document Workflow'!A6141&lt;&gt;"",'Document Workflow'!A6141,"")</f>
        <v/>
      </c>
    </row>
    <row r="6143" spans="1:1">
      <c r="A6143" s="7" t="str">
        <f>IF('Document Workflow'!A6142&lt;&gt;"",'Document Workflow'!A6142,"")</f>
        <v/>
      </c>
    </row>
    <row r="6144" spans="1:1">
      <c r="A6144" s="7" t="str">
        <f>IF('Document Workflow'!A6143&lt;&gt;"",'Document Workflow'!A6143,"")</f>
        <v/>
      </c>
    </row>
    <row r="6145" spans="1:1">
      <c r="A6145" s="7" t="str">
        <f>IF('Document Workflow'!A6144&lt;&gt;"",'Document Workflow'!A6144,"")</f>
        <v/>
      </c>
    </row>
    <row r="6146" spans="1:1">
      <c r="A6146" s="7" t="str">
        <f>IF('Document Workflow'!A6145&lt;&gt;"",'Document Workflow'!A6145,"")</f>
        <v/>
      </c>
    </row>
    <row r="6147" spans="1:1">
      <c r="A6147" s="7" t="str">
        <f>IF('Document Workflow'!A6146&lt;&gt;"",'Document Workflow'!A6146,"")</f>
        <v/>
      </c>
    </row>
    <row r="6148" spans="1:1">
      <c r="A6148" s="7" t="str">
        <f>IF('Document Workflow'!A6147&lt;&gt;"",'Document Workflow'!A6147,"")</f>
        <v/>
      </c>
    </row>
    <row r="6149" spans="1:1">
      <c r="A6149" s="7" t="str">
        <f>IF('Document Workflow'!A6148&lt;&gt;"",'Document Workflow'!A6148,"")</f>
        <v/>
      </c>
    </row>
    <row r="6150" spans="1:1">
      <c r="A6150" s="7" t="str">
        <f>IF('Document Workflow'!A6149&lt;&gt;"",'Document Workflow'!A6149,"")</f>
        <v/>
      </c>
    </row>
    <row r="6151" spans="1:1">
      <c r="A6151" s="7" t="str">
        <f>IF('Document Workflow'!A6150&lt;&gt;"",'Document Workflow'!A6150,"")</f>
        <v/>
      </c>
    </row>
    <row r="6152" spans="1:1">
      <c r="A6152" s="7" t="str">
        <f>IF('Document Workflow'!A6151&lt;&gt;"",'Document Workflow'!A6151,"")</f>
        <v/>
      </c>
    </row>
    <row r="6153" spans="1:1">
      <c r="A6153" s="7" t="str">
        <f>IF('Document Workflow'!A6152&lt;&gt;"",'Document Workflow'!A6152,"")</f>
        <v/>
      </c>
    </row>
    <row r="6154" spans="1:1">
      <c r="A6154" s="7" t="str">
        <f>IF('Document Workflow'!A6153&lt;&gt;"",'Document Workflow'!A6153,"")</f>
        <v/>
      </c>
    </row>
    <row r="6155" spans="1:1">
      <c r="A6155" s="7" t="str">
        <f>IF('Document Workflow'!A6154&lt;&gt;"",'Document Workflow'!A6154,"")</f>
        <v/>
      </c>
    </row>
    <row r="6156" spans="1:1">
      <c r="A6156" s="7" t="str">
        <f>IF('Document Workflow'!A6155&lt;&gt;"",'Document Workflow'!A6155,"")</f>
        <v/>
      </c>
    </row>
    <row r="6157" spans="1:1">
      <c r="A6157" s="7" t="str">
        <f>IF('Document Workflow'!A6156&lt;&gt;"",'Document Workflow'!A6156,"")</f>
        <v/>
      </c>
    </row>
    <row r="6158" spans="1:1">
      <c r="A6158" s="7" t="str">
        <f>IF('Document Workflow'!A6157&lt;&gt;"",'Document Workflow'!A6157,"")</f>
        <v/>
      </c>
    </row>
    <row r="6159" spans="1:1">
      <c r="A6159" s="7" t="str">
        <f>IF('Document Workflow'!A6158&lt;&gt;"",'Document Workflow'!A6158,"")</f>
        <v/>
      </c>
    </row>
    <row r="6160" spans="1:1">
      <c r="A6160" s="7" t="str">
        <f>IF('Document Workflow'!A6159&lt;&gt;"",'Document Workflow'!A6159,"")</f>
        <v/>
      </c>
    </row>
    <row r="6161" spans="1:1">
      <c r="A6161" s="7" t="str">
        <f>IF('Document Workflow'!A6160&lt;&gt;"",'Document Workflow'!A6160,"")</f>
        <v/>
      </c>
    </row>
    <row r="6162" spans="1:1">
      <c r="A6162" s="7" t="str">
        <f>IF('Document Workflow'!A6161&lt;&gt;"",'Document Workflow'!A6161,"")</f>
        <v/>
      </c>
    </row>
    <row r="6163" spans="1:1">
      <c r="A6163" s="7" t="str">
        <f>IF('Document Workflow'!A6162&lt;&gt;"",'Document Workflow'!A6162,"")</f>
        <v/>
      </c>
    </row>
    <row r="6164" spans="1:1">
      <c r="A6164" s="7" t="str">
        <f>IF('Document Workflow'!A6163&lt;&gt;"",'Document Workflow'!A6163,"")</f>
        <v/>
      </c>
    </row>
    <row r="6165" spans="1:1">
      <c r="A6165" s="7" t="str">
        <f>IF('Document Workflow'!A6164&lt;&gt;"",'Document Workflow'!A6164,"")</f>
        <v/>
      </c>
    </row>
    <row r="6166" spans="1:1">
      <c r="A6166" s="7" t="str">
        <f>IF('Document Workflow'!A6165&lt;&gt;"",'Document Workflow'!A6165,"")</f>
        <v/>
      </c>
    </row>
    <row r="6167" spans="1:1">
      <c r="A6167" s="7" t="str">
        <f>IF('Document Workflow'!A6166&lt;&gt;"",'Document Workflow'!A6166,"")</f>
        <v/>
      </c>
    </row>
    <row r="6168" spans="1:1">
      <c r="A6168" s="7" t="str">
        <f>IF('Document Workflow'!A6167&lt;&gt;"",'Document Workflow'!A6167,"")</f>
        <v/>
      </c>
    </row>
    <row r="6169" spans="1:1">
      <c r="A6169" s="7" t="str">
        <f>IF('Document Workflow'!A6168&lt;&gt;"",'Document Workflow'!A6168,"")</f>
        <v/>
      </c>
    </row>
    <row r="6170" spans="1:1">
      <c r="A6170" s="7" t="str">
        <f>IF('Document Workflow'!A6169&lt;&gt;"",'Document Workflow'!A6169,"")</f>
        <v/>
      </c>
    </row>
    <row r="6171" spans="1:1">
      <c r="A6171" s="7" t="str">
        <f>IF('Document Workflow'!A6170&lt;&gt;"",'Document Workflow'!A6170,"")</f>
        <v/>
      </c>
    </row>
    <row r="6172" spans="1:1">
      <c r="A6172" s="7" t="str">
        <f>IF('Document Workflow'!A6171&lt;&gt;"",'Document Workflow'!A6171,"")</f>
        <v/>
      </c>
    </row>
    <row r="6173" spans="1:1">
      <c r="A6173" s="7" t="str">
        <f>IF('Document Workflow'!A6172&lt;&gt;"",'Document Workflow'!A6172,"")</f>
        <v/>
      </c>
    </row>
    <row r="6174" spans="1:1">
      <c r="A6174" s="7" t="str">
        <f>IF('Document Workflow'!A6173&lt;&gt;"",'Document Workflow'!A6173,"")</f>
        <v/>
      </c>
    </row>
    <row r="6175" spans="1:1">
      <c r="A6175" s="7" t="str">
        <f>IF('Document Workflow'!A6174&lt;&gt;"",'Document Workflow'!A6174,"")</f>
        <v/>
      </c>
    </row>
    <row r="6176" spans="1:1">
      <c r="A6176" s="7" t="str">
        <f>IF('Document Workflow'!A6175&lt;&gt;"",'Document Workflow'!A6175,"")</f>
        <v/>
      </c>
    </row>
    <row r="6177" spans="1:1">
      <c r="A6177" s="7" t="str">
        <f>IF('Document Workflow'!A6176&lt;&gt;"",'Document Workflow'!A6176,"")</f>
        <v/>
      </c>
    </row>
    <row r="6178" spans="1:1">
      <c r="A6178" s="7" t="str">
        <f>IF('Document Workflow'!A6177&lt;&gt;"",'Document Workflow'!A6177,"")</f>
        <v/>
      </c>
    </row>
    <row r="6179" spans="1:1">
      <c r="A6179" s="7" t="str">
        <f>IF('Document Workflow'!A6178&lt;&gt;"",'Document Workflow'!A6178,"")</f>
        <v/>
      </c>
    </row>
    <row r="6180" spans="1:1">
      <c r="A6180" s="7" t="str">
        <f>IF('Document Workflow'!A6179&lt;&gt;"",'Document Workflow'!A6179,"")</f>
        <v/>
      </c>
    </row>
    <row r="6181" spans="1:1">
      <c r="A6181" s="7" t="str">
        <f>IF('Document Workflow'!A6180&lt;&gt;"",'Document Workflow'!A6180,"")</f>
        <v/>
      </c>
    </row>
    <row r="6182" spans="1:1">
      <c r="A6182" s="7" t="str">
        <f>IF('Document Workflow'!A6181&lt;&gt;"",'Document Workflow'!A6181,"")</f>
        <v/>
      </c>
    </row>
    <row r="6183" spans="1:1">
      <c r="A6183" s="7" t="str">
        <f>IF('Document Workflow'!A6182&lt;&gt;"",'Document Workflow'!A6182,"")</f>
        <v/>
      </c>
    </row>
    <row r="6184" spans="1:1">
      <c r="A6184" s="7" t="str">
        <f>IF('Document Workflow'!A6183&lt;&gt;"",'Document Workflow'!A6183,"")</f>
        <v/>
      </c>
    </row>
    <row r="6185" spans="1:1">
      <c r="A6185" s="7" t="str">
        <f>IF('Document Workflow'!A6184&lt;&gt;"",'Document Workflow'!A6184,"")</f>
        <v/>
      </c>
    </row>
    <row r="6186" spans="1:1">
      <c r="A6186" s="7" t="str">
        <f>IF('Document Workflow'!A6185&lt;&gt;"",'Document Workflow'!A6185,"")</f>
        <v/>
      </c>
    </row>
    <row r="6187" spans="1:1">
      <c r="A6187" s="7" t="str">
        <f>IF('Document Workflow'!A6186&lt;&gt;"",'Document Workflow'!A6186,"")</f>
        <v/>
      </c>
    </row>
    <row r="6188" spans="1:1">
      <c r="A6188" s="7" t="str">
        <f>IF('Document Workflow'!A6187&lt;&gt;"",'Document Workflow'!A6187,"")</f>
        <v/>
      </c>
    </row>
    <row r="6189" spans="1:1">
      <c r="A6189" s="7" t="str">
        <f>IF('Document Workflow'!A6188&lt;&gt;"",'Document Workflow'!A6188,"")</f>
        <v/>
      </c>
    </row>
    <row r="6190" spans="1:1">
      <c r="A6190" s="7" t="str">
        <f>IF('Document Workflow'!A6189&lt;&gt;"",'Document Workflow'!A6189,"")</f>
        <v/>
      </c>
    </row>
    <row r="6191" spans="1:1">
      <c r="A6191" s="7" t="str">
        <f>IF('Document Workflow'!A6190&lt;&gt;"",'Document Workflow'!A6190,"")</f>
        <v/>
      </c>
    </row>
    <row r="6192" spans="1:1">
      <c r="A6192" s="7" t="str">
        <f>IF('Document Workflow'!A6191&lt;&gt;"",'Document Workflow'!A6191,"")</f>
        <v/>
      </c>
    </row>
    <row r="6193" spans="1:1">
      <c r="A6193" s="7" t="str">
        <f>IF('Document Workflow'!A6192&lt;&gt;"",'Document Workflow'!A6192,"")</f>
        <v/>
      </c>
    </row>
    <row r="6194" spans="1:1">
      <c r="A6194" s="7" t="str">
        <f>IF('Document Workflow'!A6193&lt;&gt;"",'Document Workflow'!A6193,"")</f>
        <v/>
      </c>
    </row>
    <row r="6195" spans="1:1">
      <c r="A6195" s="7" t="str">
        <f>IF('Document Workflow'!A6194&lt;&gt;"",'Document Workflow'!A6194,"")</f>
        <v/>
      </c>
    </row>
    <row r="6196" spans="1:1">
      <c r="A6196" s="7" t="str">
        <f>IF('Document Workflow'!A6195&lt;&gt;"",'Document Workflow'!A6195,"")</f>
        <v/>
      </c>
    </row>
    <row r="6197" spans="1:1">
      <c r="A6197" s="7" t="str">
        <f>IF('Document Workflow'!A6196&lt;&gt;"",'Document Workflow'!A6196,"")</f>
        <v/>
      </c>
    </row>
    <row r="6198" spans="1:1">
      <c r="A6198" s="7" t="str">
        <f>IF('Document Workflow'!A6197&lt;&gt;"",'Document Workflow'!A6197,"")</f>
        <v/>
      </c>
    </row>
    <row r="6199" spans="1:1">
      <c r="A6199" s="7" t="str">
        <f>IF('Document Workflow'!A6198&lt;&gt;"",'Document Workflow'!A6198,"")</f>
        <v/>
      </c>
    </row>
    <row r="6200" spans="1:1">
      <c r="A6200" s="7" t="str">
        <f>IF('Document Workflow'!A6199&lt;&gt;"",'Document Workflow'!A6199,"")</f>
        <v/>
      </c>
    </row>
    <row r="6201" spans="1:1">
      <c r="A6201" s="7" t="str">
        <f>IF('Document Workflow'!A6200&lt;&gt;"",'Document Workflow'!A6200,"")</f>
        <v/>
      </c>
    </row>
    <row r="6202" spans="1:1">
      <c r="A6202" s="7" t="str">
        <f>IF('Document Workflow'!A6201&lt;&gt;"",'Document Workflow'!A6201,"")</f>
        <v/>
      </c>
    </row>
    <row r="6203" spans="1:1">
      <c r="A6203" s="7" t="str">
        <f>IF('Document Workflow'!A6202&lt;&gt;"",'Document Workflow'!A6202,"")</f>
        <v/>
      </c>
    </row>
    <row r="6204" spans="1:1">
      <c r="A6204" s="7" t="str">
        <f>IF('Document Workflow'!A6203&lt;&gt;"",'Document Workflow'!A6203,"")</f>
        <v/>
      </c>
    </row>
    <row r="6205" spans="1:1">
      <c r="A6205" s="7" t="str">
        <f>IF('Document Workflow'!A6204&lt;&gt;"",'Document Workflow'!A6204,"")</f>
        <v/>
      </c>
    </row>
    <row r="6206" spans="1:1">
      <c r="A6206" s="7" t="str">
        <f>IF('Document Workflow'!A6205&lt;&gt;"",'Document Workflow'!A6205,"")</f>
        <v/>
      </c>
    </row>
    <row r="6207" spans="1:1">
      <c r="A6207" s="7" t="str">
        <f>IF('Document Workflow'!A6206&lt;&gt;"",'Document Workflow'!A6206,"")</f>
        <v/>
      </c>
    </row>
    <row r="6208" spans="1:1">
      <c r="A6208" s="7" t="str">
        <f>IF('Document Workflow'!A6207&lt;&gt;"",'Document Workflow'!A6207,"")</f>
        <v/>
      </c>
    </row>
    <row r="6209" spans="1:1">
      <c r="A6209" s="7" t="str">
        <f>IF('Document Workflow'!A6208&lt;&gt;"",'Document Workflow'!A6208,"")</f>
        <v/>
      </c>
    </row>
    <row r="6210" spans="1:1">
      <c r="A6210" s="7" t="str">
        <f>IF('Document Workflow'!A6209&lt;&gt;"",'Document Workflow'!A6209,"")</f>
        <v/>
      </c>
    </row>
    <row r="6211" spans="1:1">
      <c r="A6211" s="7" t="str">
        <f>IF('Document Workflow'!A6210&lt;&gt;"",'Document Workflow'!A6210,"")</f>
        <v/>
      </c>
    </row>
    <row r="6212" spans="1:1">
      <c r="A6212" s="7" t="str">
        <f>IF('Document Workflow'!A6211&lt;&gt;"",'Document Workflow'!A6211,"")</f>
        <v/>
      </c>
    </row>
    <row r="6213" spans="1:1">
      <c r="A6213" s="7" t="str">
        <f>IF('Document Workflow'!A6212&lt;&gt;"",'Document Workflow'!A6212,"")</f>
        <v/>
      </c>
    </row>
    <row r="6214" spans="1:1">
      <c r="A6214" s="7" t="str">
        <f>IF('Document Workflow'!A6213&lt;&gt;"",'Document Workflow'!A6213,"")</f>
        <v/>
      </c>
    </row>
    <row r="6215" spans="1:1">
      <c r="A6215" s="7" t="str">
        <f>IF('Document Workflow'!A6214&lt;&gt;"",'Document Workflow'!A6214,"")</f>
        <v/>
      </c>
    </row>
    <row r="6216" spans="1:1">
      <c r="A6216" s="7" t="str">
        <f>IF('Document Workflow'!A6215&lt;&gt;"",'Document Workflow'!A6215,"")</f>
        <v/>
      </c>
    </row>
    <row r="6217" spans="1:1">
      <c r="A6217" s="7" t="str">
        <f>IF('Document Workflow'!A6216&lt;&gt;"",'Document Workflow'!A6216,"")</f>
        <v/>
      </c>
    </row>
    <row r="6218" spans="1:1">
      <c r="A6218" s="7" t="str">
        <f>IF('Document Workflow'!A6217&lt;&gt;"",'Document Workflow'!A6217,"")</f>
        <v/>
      </c>
    </row>
    <row r="6219" spans="1:1">
      <c r="A6219" s="7" t="str">
        <f>IF('Document Workflow'!A6218&lt;&gt;"",'Document Workflow'!A6218,"")</f>
        <v/>
      </c>
    </row>
    <row r="6220" spans="1:1">
      <c r="A6220" s="7" t="str">
        <f>IF('Document Workflow'!A6219&lt;&gt;"",'Document Workflow'!A6219,"")</f>
        <v/>
      </c>
    </row>
    <row r="6221" spans="1:1">
      <c r="A6221" s="7" t="str">
        <f>IF('Document Workflow'!A6220&lt;&gt;"",'Document Workflow'!A6220,"")</f>
        <v/>
      </c>
    </row>
    <row r="6222" spans="1:1">
      <c r="A6222" s="7" t="str">
        <f>IF('Document Workflow'!A6221&lt;&gt;"",'Document Workflow'!A6221,"")</f>
        <v/>
      </c>
    </row>
    <row r="6223" spans="1:1">
      <c r="A6223" s="7" t="str">
        <f>IF('Document Workflow'!A6222&lt;&gt;"",'Document Workflow'!A6222,"")</f>
        <v/>
      </c>
    </row>
    <row r="6224" spans="1:1">
      <c r="A6224" s="7" t="str">
        <f>IF('Document Workflow'!A6223&lt;&gt;"",'Document Workflow'!A6223,"")</f>
        <v/>
      </c>
    </row>
    <row r="6225" spans="1:1">
      <c r="A6225" s="7" t="str">
        <f>IF('Document Workflow'!A6224&lt;&gt;"",'Document Workflow'!A6224,"")</f>
        <v/>
      </c>
    </row>
    <row r="6226" spans="1:1">
      <c r="A6226" s="7" t="str">
        <f>IF('Document Workflow'!A6225&lt;&gt;"",'Document Workflow'!A6225,"")</f>
        <v/>
      </c>
    </row>
    <row r="6227" spans="1:1">
      <c r="A6227" s="7" t="str">
        <f>IF('Document Workflow'!A6226&lt;&gt;"",'Document Workflow'!A6226,"")</f>
        <v/>
      </c>
    </row>
    <row r="6228" spans="1:1">
      <c r="A6228" s="7" t="str">
        <f>IF('Document Workflow'!A6227&lt;&gt;"",'Document Workflow'!A6227,"")</f>
        <v/>
      </c>
    </row>
    <row r="6229" spans="1:1">
      <c r="A6229" s="7" t="str">
        <f>IF('Document Workflow'!A6228&lt;&gt;"",'Document Workflow'!A6228,"")</f>
        <v/>
      </c>
    </row>
    <row r="6230" spans="1:1">
      <c r="A6230" s="7" t="str">
        <f>IF('Document Workflow'!A6229&lt;&gt;"",'Document Workflow'!A6229,"")</f>
        <v/>
      </c>
    </row>
    <row r="6231" spans="1:1">
      <c r="A6231" s="7" t="str">
        <f>IF('Document Workflow'!A6230&lt;&gt;"",'Document Workflow'!A6230,"")</f>
        <v/>
      </c>
    </row>
    <row r="6232" spans="1:1">
      <c r="A6232" s="7" t="str">
        <f>IF('Document Workflow'!A6231&lt;&gt;"",'Document Workflow'!A6231,"")</f>
        <v/>
      </c>
    </row>
    <row r="6233" spans="1:1">
      <c r="A6233" s="7" t="str">
        <f>IF('Document Workflow'!A6232&lt;&gt;"",'Document Workflow'!A6232,"")</f>
        <v/>
      </c>
    </row>
    <row r="6234" spans="1:1">
      <c r="A6234" s="7" t="str">
        <f>IF('Document Workflow'!A6233&lt;&gt;"",'Document Workflow'!A6233,"")</f>
        <v/>
      </c>
    </row>
    <row r="6235" spans="1:1">
      <c r="A6235" s="7" t="str">
        <f>IF('Document Workflow'!A6234&lt;&gt;"",'Document Workflow'!A6234,"")</f>
        <v/>
      </c>
    </row>
    <row r="6236" spans="1:1">
      <c r="A6236" s="7" t="str">
        <f>IF('Document Workflow'!A6235&lt;&gt;"",'Document Workflow'!A6235,"")</f>
        <v/>
      </c>
    </row>
    <row r="6237" spans="1:1">
      <c r="A6237" s="7" t="str">
        <f>IF('Document Workflow'!A6236&lt;&gt;"",'Document Workflow'!A6236,"")</f>
        <v/>
      </c>
    </row>
    <row r="6238" spans="1:1">
      <c r="A6238" s="7" t="str">
        <f>IF('Document Workflow'!A6237&lt;&gt;"",'Document Workflow'!A6237,"")</f>
        <v/>
      </c>
    </row>
    <row r="6239" spans="1:1">
      <c r="A6239" s="7" t="str">
        <f>IF('Document Workflow'!A6238&lt;&gt;"",'Document Workflow'!A6238,"")</f>
        <v/>
      </c>
    </row>
    <row r="6240" spans="1:1">
      <c r="A6240" s="7" t="str">
        <f>IF('Document Workflow'!A6239&lt;&gt;"",'Document Workflow'!A6239,"")</f>
        <v/>
      </c>
    </row>
    <row r="6241" spans="1:1">
      <c r="A6241" s="7" t="str">
        <f>IF('Document Workflow'!A6240&lt;&gt;"",'Document Workflow'!A6240,"")</f>
        <v/>
      </c>
    </row>
    <row r="6242" spans="1:1">
      <c r="A6242" s="7" t="str">
        <f>IF('Document Workflow'!A6241&lt;&gt;"",'Document Workflow'!A6241,"")</f>
        <v/>
      </c>
    </row>
    <row r="6243" spans="1:1">
      <c r="A6243" s="7" t="str">
        <f>IF('Document Workflow'!A6242&lt;&gt;"",'Document Workflow'!A6242,"")</f>
        <v/>
      </c>
    </row>
    <row r="6244" spans="1:1">
      <c r="A6244" s="7" t="str">
        <f>IF('Document Workflow'!A6243&lt;&gt;"",'Document Workflow'!A6243,"")</f>
        <v/>
      </c>
    </row>
    <row r="6245" spans="1:1">
      <c r="A6245" s="7" t="str">
        <f>IF('Document Workflow'!A6244&lt;&gt;"",'Document Workflow'!A6244,"")</f>
        <v/>
      </c>
    </row>
    <row r="6246" spans="1:1">
      <c r="A6246" s="7" t="str">
        <f>IF('Document Workflow'!A6245&lt;&gt;"",'Document Workflow'!A6245,"")</f>
        <v/>
      </c>
    </row>
    <row r="6247" spans="1:1">
      <c r="A6247" s="7" t="str">
        <f>IF('Document Workflow'!A6246&lt;&gt;"",'Document Workflow'!A6246,"")</f>
        <v/>
      </c>
    </row>
    <row r="6248" spans="1:1">
      <c r="A6248" s="7" t="str">
        <f>IF('Document Workflow'!A6247&lt;&gt;"",'Document Workflow'!A6247,"")</f>
        <v/>
      </c>
    </row>
    <row r="6249" spans="1:1">
      <c r="A6249" s="7" t="str">
        <f>IF('Document Workflow'!A6248&lt;&gt;"",'Document Workflow'!A6248,"")</f>
        <v/>
      </c>
    </row>
    <row r="6250" spans="1:1">
      <c r="A6250" s="7" t="str">
        <f>IF('Document Workflow'!A6249&lt;&gt;"",'Document Workflow'!A6249,"")</f>
        <v/>
      </c>
    </row>
    <row r="6251" spans="1:1">
      <c r="A6251" s="7" t="str">
        <f>IF('Document Workflow'!A6250&lt;&gt;"",'Document Workflow'!A6250,"")</f>
        <v/>
      </c>
    </row>
    <row r="6252" spans="1:1">
      <c r="A6252" s="7" t="str">
        <f>IF('Document Workflow'!A6251&lt;&gt;"",'Document Workflow'!A6251,"")</f>
        <v/>
      </c>
    </row>
    <row r="6253" spans="1:1">
      <c r="A6253" s="7" t="str">
        <f>IF('Document Workflow'!A6252&lt;&gt;"",'Document Workflow'!A6252,"")</f>
        <v/>
      </c>
    </row>
    <row r="6254" spans="1:1">
      <c r="A6254" s="7" t="str">
        <f>IF('Document Workflow'!A6253&lt;&gt;"",'Document Workflow'!A6253,"")</f>
        <v/>
      </c>
    </row>
    <row r="6255" spans="1:1">
      <c r="A6255" s="7" t="str">
        <f>IF('Document Workflow'!A6254&lt;&gt;"",'Document Workflow'!A6254,"")</f>
        <v/>
      </c>
    </row>
    <row r="6256" spans="1:1">
      <c r="A6256" s="7" t="str">
        <f>IF('Document Workflow'!A6255&lt;&gt;"",'Document Workflow'!A6255,"")</f>
        <v/>
      </c>
    </row>
    <row r="6257" spans="1:1">
      <c r="A6257" s="7" t="str">
        <f>IF('Document Workflow'!A6256&lt;&gt;"",'Document Workflow'!A6256,"")</f>
        <v/>
      </c>
    </row>
    <row r="6258" spans="1:1">
      <c r="A6258" s="7" t="str">
        <f>IF('Document Workflow'!A6257&lt;&gt;"",'Document Workflow'!A6257,"")</f>
        <v/>
      </c>
    </row>
    <row r="6259" spans="1:1">
      <c r="A6259" s="7" t="str">
        <f>IF('Document Workflow'!A6258&lt;&gt;"",'Document Workflow'!A6258,"")</f>
        <v/>
      </c>
    </row>
    <row r="6260" spans="1:1">
      <c r="A6260" s="7" t="str">
        <f>IF('Document Workflow'!A6259&lt;&gt;"",'Document Workflow'!A6259,"")</f>
        <v/>
      </c>
    </row>
    <row r="6261" spans="1:1">
      <c r="A6261" s="7" t="str">
        <f>IF('Document Workflow'!A6260&lt;&gt;"",'Document Workflow'!A6260,"")</f>
        <v/>
      </c>
    </row>
    <row r="6262" spans="1:1">
      <c r="A6262" s="7" t="str">
        <f>IF('Document Workflow'!A6261&lt;&gt;"",'Document Workflow'!A6261,"")</f>
        <v/>
      </c>
    </row>
    <row r="6263" spans="1:1">
      <c r="A6263" s="7" t="str">
        <f>IF('Document Workflow'!A6262&lt;&gt;"",'Document Workflow'!A6262,"")</f>
        <v/>
      </c>
    </row>
    <row r="6264" spans="1:1">
      <c r="A6264" s="7" t="str">
        <f>IF('Document Workflow'!A6263&lt;&gt;"",'Document Workflow'!A6263,"")</f>
        <v/>
      </c>
    </row>
    <row r="6265" spans="1:1">
      <c r="A6265" s="7" t="str">
        <f>IF('Document Workflow'!A6264&lt;&gt;"",'Document Workflow'!A6264,"")</f>
        <v/>
      </c>
    </row>
    <row r="6266" spans="1:1">
      <c r="A6266" s="7" t="str">
        <f>IF('Document Workflow'!A6265&lt;&gt;"",'Document Workflow'!A6265,"")</f>
        <v/>
      </c>
    </row>
    <row r="6267" spans="1:1">
      <c r="A6267" s="7" t="str">
        <f>IF('Document Workflow'!A6266&lt;&gt;"",'Document Workflow'!A6266,"")</f>
        <v/>
      </c>
    </row>
    <row r="6268" spans="1:1">
      <c r="A6268" s="7" t="str">
        <f>IF('Document Workflow'!A6267&lt;&gt;"",'Document Workflow'!A6267,"")</f>
        <v/>
      </c>
    </row>
    <row r="6269" spans="1:1">
      <c r="A6269" s="7" t="str">
        <f>IF('Document Workflow'!A6268&lt;&gt;"",'Document Workflow'!A6268,"")</f>
        <v/>
      </c>
    </row>
    <row r="6270" spans="1:1">
      <c r="A6270" s="7" t="str">
        <f>IF('Document Workflow'!A6269&lt;&gt;"",'Document Workflow'!A6269,"")</f>
        <v/>
      </c>
    </row>
    <row r="6271" spans="1:1">
      <c r="A6271" s="7" t="str">
        <f>IF('Document Workflow'!A6270&lt;&gt;"",'Document Workflow'!A6270,"")</f>
        <v/>
      </c>
    </row>
    <row r="6272" spans="1:1">
      <c r="A6272" s="7" t="str">
        <f>IF('Document Workflow'!A6271&lt;&gt;"",'Document Workflow'!A6271,"")</f>
        <v/>
      </c>
    </row>
    <row r="6273" spans="1:1">
      <c r="A6273" s="7" t="str">
        <f>IF('Document Workflow'!A6272&lt;&gt;"",'Document Workflow'!A6272,"")</f>
        <v/>
      </c>
    </row>
    <row r="6274" spans="1:1">
      <c r="A6274" s="7" t="str">
        <f>IF('Document Workflow'!A6273&lt;&gt;"",'Document Workflow'!A6273,"")</f>
        <v/>
      </c>
    </row>
    <row r="6275" spans="1:1">
      <c r="A6275" s="7" t="str">
        <f>IF('Document Workflow'!A6274&lt;&gt;"",'Document Workflow'!A6274,"")</f>
        <v/>
      </c>
    </row>
    <row r="6276" spans="1:1">
      <c r="A6276" s="7" t="str">
        <f>IF('Document Workflow'!A6275&lt;&gt;"",'Document Workflow'!A6275,"")</f>
        <v/>
      </c>
    </row>
    <row r="6277" spans="1:1">
      <c r="A6277" s="7" t="str">
        <f>IF('Document Workflow'!A6276&lt;&gt;"",'Document Workflow'!A6276,"")</f>
        <v/>
      </c>
    </row>
    <row r="6278" spans="1:1">
      <c r="A6278" s="7" t="str">
        <f>IF('Document Workflow'!A6277&lt;&gt;"",'Document Workflow'!A6277,"")</f>
        <v/>
      </c>
    </row>
    <row r="6279" spans="1:1">
      <c r="A6279" s="7" t="str">
        <f>IF('Document Workflow'!A6278&lt;&gt;"",'Document Workflow'!A6278,"")</f>
        <v/>
      </c>
    </row>
    <row r="6280" spans="1:1">
      <c r="A6280" s="7" t="str">
        <f>IF('Document Workflow'!A6279&lt;&gt;"",'Document Workflow'!A6279,"")</f>
        <v/>
      </c>
    </row>
    <row r="6281" spans="1:1">
      <c r="A6281" s="7" t="str">
        <f>IF('Document Workflow'!A6280&lt;&gt;"",'Document Workflow'!A6280,"")</f>
        <v/>
      </c>
    </row>
    <row r="6282" spans="1:1">
      <c r="A6282" s="7" t="str">
        <f>IF('Document Workflow'!A6281&lt;&gt;"",'Document Workflow'!A6281,"")</f>
        <v/>
      </c>
    </row>
    <row r="6283" spans="1:1">
      <c r="A6283" s="7" t="str">
        <f>IF('Document Workflow'!A6282&lt;&gt;"",'Document Workflow'!A6282,"")</f>
        <v/>
      </c>
    </row>
    <row r="6284" spans="1:1">
      <c r="A6284" s="7" t="str">
        <f>IF('Document Workflow'!A6283&lt;&gt;"",'Document Workflow'!A6283,"")</f>
        <v/>
      </c>
    </row>
    <row r="6285" spans="1:1">
      <c r="A6285" s="7" t="str">
        <f>IF('Document Workflow'!A6284&lt;&gt;"",'Document Workflow'!A6284,"")</f>
        <v/>
      </c>
    </row>
    <row r="6286" spans="1:1">
      <c r="A6286" s="7" t="str">
        <f>IF('Document Workflow'!A6285&lt;&gt;"",'Document Workflow'!A6285,"")</f>
        <v/>
      </c>
    </row>
    <row r="6287" spans="1:1">
      <c r="A6287" s="7" t="str">
        <f>IF('Document Workflow'!A6286&lt;&gt;"",'Document Workflow'!A6286,"")</f>
        <v/>
      </c>
    </row>
    <row r="6288" spans="1:1">
      <c r="A6288" s="7" t="str">
        <f>IF('Document Workflow'!A6287&lt;&gt;"",'Document Workflow'!A6287,"")</f>
        <v/>
      </c>
    </row>
    <row r="6289" spans="1:1">
      <c r="A6289" s="7" t="str">
        <f>IF('Document Workflow'!A6288&lt;&gt;"",'Document Workflow'!A6288,"")</f>
        <v/>
      </c>
    </row>
    <row r="6290" spans="1:1">
      <c r="A6290" s="7" t="str">
        <f>IF('Document Workflow'!A6289&lt;&gt;"",'Document Workflow'!A6289,"")</f>
        <v/>
      </c>
    </row>
    <row r="6291" spans="1:1">
      <c r="A6291" s="7" t="str">
        <f>IF('Document Workflow'!A6290&lt;&gt;"",'Document Workflow'!A6290,"")</f>
        <v/>
      </c>
    </row>
    <row r="6292" spans="1:1">
      <c r="A6292" s="7" t="str">
        <f>IF('Document Workflow'!A6291&lt;&gt;"",'Document Workflow'!A6291,"")</f>
        <v/>
      </c>
    </row>
    <row r="6293" spans="1:1">
      <c r="A6293" s="7" t="str">
        <f>IF('Document Workflow'!A6292&lt;&gt;"",'Document Workflow'!A6292,"")</f>
        <v/>
      </c>
    </row>
    <row r="6294" spans="1:1">
      <c r="A6294" s="7" t="str">
        <f>IF('Document Workflow'!A6293&lt;&gt;"",'Document Workflow'!A6293,"")</f>
        <v/>
      </c>
    </row>
    <row r="6295" spans="1:1">
      <c r="A6295" s="7" t="str">
        <f>IF('Document Workflow'!A6294&lt;&gt;"",'Document Workflow'!A6294,"")</f>
        <v/>
      </c>
    </row>
    <row r="6296" spans="1:1">
      <c r="A6296" s="7" t="str">
        <f>IF('Document Workflow'!A6295&lt;&gt;"",'Document Workflow'!A6295,"")</f>
        <v/>
      </c>
    </row>
    <row r="6297" spans="1:1">
      <c r="A6297" s="7" t="str">
        <f>IF('Document Workflow'!A6296&lt;&gt;"",'Document Workflow'!A6296,"")</f>
        <v/>
      </c>
    </row>
    <row r="6298" spans="1:1">
      <c r="A6298" s="7" t="str">
        <f>IF('Document Workflow'!A6297&lt;&gt;"",'Document Workflow'!A6297,"")</f>
        <v/>
      </c>
    </row>
    <row r="6299" spans="1:1">
      <c r="A6299" s="7" t="str">
        <f>IF('Document Workflow'!A6298&lt;&gt;"",'Document Workflow'!A6298,"")</f>
        <v/>
      </c>
    </row>
    <row r="6300" spans="1:1">
      <c r="A6300" s="7" t="str">
        <f>IF('Document Workflow'!A6299&lt;&gt;"",'Document Workflow'!A6299,"")</f>
        <v/>
      </c>
    </row>
    <row r="6301" spans="1:1">
      <c r="A6301" s="7" t="str">
        <f>IF('Document Workflow'!A6300&lt;&gt;"",'Document Workflow'!A6300,"")</f>
        <v/>
      </c>
    </row>
    <row r="6302" spans="1:1">
      <c r="A6302" s="7" t="str">
        <f>IF('Document Workflow'!A6301&lt;&gt;"",'Document Workflow'!A6301,"")</f>
        <v/>
      </c>
    </row>
    <row r="6303" spans="1:1">
      <c r="A6303" s="7" t="str">
        <f>IF('Document Workflow'!A6302&lt;&gt;"",'Document Workflow'!A6302,"")</f>
        <v/>
      </c>
    </row>
    <row r="6304" spans="1:1">
      <c r="A6304" s="7" t="str">
        <f>IF('Document Workflow'!A6303&lt;&gt;"",'Document Workflow'!A6303,"")</f>
        <v/>
      </c>
    </row>
    <row r="6305" spans="1:1">
      <c r="A6305" s="7" t="str">
        <f>IF('Document Workflow'!A6304&lt;&gt;"",'Document Workflow'!A6304,"")</f>
        <v/>
      </c>
    </row>
    <row r="6306" spans="1:1">
      <c r="A6306" s="7" t="str">
        <f>IF('Document Workflow'!A6305&lt;&gt;"",'Document Workflow'!A6305,"")</f>
        <v/>
      </c>
    </row>
    <row r="6307" spans="1:1">
      <c r="A6307" s="7" t="str">
        <f>IF('Document Workflow'!A6306&lt;&gt;"",'Document Workflow'!A6306,"")</f>
        <v/>
      </c>
    </row>
    <row r="6308" spans="1:1">
      <c r="A6308" s="7" t="str">
        <f>IF('Document Workflow'!A6307&lt;&gt;"",'Document Workflow'!A6307,"")</f>
        <v/>
      </c>
    </row>
    <row r="6309" spans="1:1">
      <c r="A6309" s="7" t="str">
        <f>IF('Document Workflow'!A6308&lt;&gt;"",'Document Workflow'!A6308,"")</f>
        <v/>
      </c>
    </row>
    <row r="6310" spans="1:1">
      <c r="A6310" s="7" t="str">
        <f>IF('Document Workflow'!A6309&lt;&gt;"",'Document Workflow'!A6309,"")</f>
        <v/>
      </c>
    </row>
    <row r="6311" spans="1:1">
      <c r="A6311" s="7" t="str">
        <f>IF('Document Workflow'!A6310&lt;&gt;"",'Document Workflow'!A6310,"")</f>
        <v/>
      </c>
    </row>
    <row r="6312" spans="1:1">
      <c r="A6312" s="7" t="str">
        <f>IF('Document Workflow'!A6311&lt;&gt;"",'Document Workflow'!A6311,"")</f>
        <v/>
      </c>
    </row>
    <row r="6313" spans="1:1">
      <c r="A6313" s="7" t="str">
        <f>IF('Document Workflow'!A6312&lt;&gt;"",'Document Workflow'!A6312,"")</f>
        <v/>
      </c>
    </row>
    <row r="6314" spans="1:1">
      <c r="A6314" s="7" t="str">
        <f>IF('Document Workflow'!A6313&lt;&gt;"",'Document Workflow'!A6313,"")</f>
        <v/>
      </c>
    </row>
    <row r="6315" spans="1:1">
      <c r="A6315" s="7" t="str">
        <f>IF('Document Workflow'!A6314&lt;&gt;"",'Document Workflow'!A6314,"")</f>
        <v/>
      </c>
    </row>
    <row r="6316" spans="1:1">
      <c r="A6316" s="7" t="str">
        <f>IF('Document Workflow'!A6315&lt;&gt;"",'Document Workflow'!A6315,"")</f>
        <v/>
      </c>
    </row>
    <row r="6317" spans="1:1">
      <c r="A6317" s="7" t="str">
        <f>IF('Document Workflow'!A6316&lt;&gt;"",'Document Workflow'!A6316,"")</f>
        <v/>
      </c>
    </row>
    <row r="6318" spans="1:1">
      <c r="A6318" s="7" t="str">
        <f>IF('Document Workflow'!A6317&lt;&gt;"",'Document Workflow'!A6317,"")</f>
        <v/>
      </c>
    </row>
    <row r="6319" spans="1:1">
      <c r="A6319" s="7" t="str">
        <f>IF('Document Workflow'!A6318&lt;&gt;"",'Document Workflow'!A6318,"")</f>
        <v/>
      </c>
    </row>
    <row r="6320" spans="1:1">
      <c r="A6320" s="7" t="str">
        <f>IF('Document Workflow'!A6319&lt;&gt;"",'Document Workflow'!A6319,"")</f>
        <v/>
      </c>
    </row>
    <row r="6321" spans="1:1">
      <c r="A6321" s="7" t="str">
        <f>IF('Document Workflow'!A6320&lt;&gt;"",'Document Workflow'!A6320,"")</f>
        <v/>
      </c>
    </row>
    <row r="6322" spans="1:1">
      <c r="A6322" s="7" t="str">
        <f>IF('Document Workflow'!A6321&lt;&gt;"",'Document Workflow'!A6321,"")</f>
        <v/>
      </c>
    </row>
    <row r="6323" spans="1:1">
      <c r="A6323" s="7" t="str">
        <f>IF('Document Workflow'!A6322&lt;&gt;"",'Document Workflow'!A6322,"")</f>
        <v/>
      </c>
    </row>
    <row r="6324" spans="1:1">
      <c r="A6324" s="7" t="str">
        <f>IF('Document Workflow'!A6323&lt;&gt;"",'Document Workflow'!A6323,"")</f>
        <v/>
      </c>
    </row>
    <row r="6325" spans="1:1">
      <c r="A6325" s="7" t="str">
        <f>IF('Document Workflow'!A6324&lt;&gt;"",'Document Workflow'!A6324,"")</f>
        <v/>
      </c>
    </row>
    <row r="6326" spans="1:1">
      <c r="A6326" s="7" t="str">
        <f>IF('Document Workflow'!A6325&lt;&gt;"",'Document Workflow'!A6325,"")</f>
        <v/>
      </c>
    </row>
    <row r="6327" spans="1:1">
      <c r="A6327" s="7" t="str">
        <f>IF('Document Workflow'!A6326&lt;&gt;"",'Document Workflow'!A6326,"")</f>
        <v/>
      </c>
    </row>
    <row r="6328" spans="1:1">
      <c r="A6328" s="7" t="str">
        <f>IF('Document Workflow'!A6327&lt;&gt;"",'Document Workflow'!A6327,"")</f>
        <v/>
      </c>
    </row>
    <row r="6329" spans="1:1">
      <c r="A6329" s="7" t="str">
        <f>IF('Document Workflow'!A6328&lt;&gt;"",'Document Workflow'!A6328,"")</f>
        <v/>
      </c>
    </row>
    <row r="6330" spans="1:1">
      <c r="A6330" s="7" t="str">
        <f>IF('Document Workflow'!A6329&lt;&gt;"",'Document Workflow'!A6329,"")</f>
        <v/>
      </c>
    </row>
    <row r="6331" spans="1:1">
      <c r="A6331" s="7" t="str">
        <f>IF('Document Workflow'!A6330&lt;&gt;"",'Document Workflow'!A6330,"")</f>
        <v/>
      </c>
    </row>
    <row r="6332" spans="1:1">
      <c r="A6332" s="7" t="str">
        <f>IF('Document Workflow'!A6331&lt;&gt;"",'Document Workflow'!A6331,"")</f>
        <v/>
      </c>
    </row>
    <row r="6333" spans="1:1">
      <c r="A6333" s="7" t="str">
        <f>IF('Document Workflow'!A6332&lt;&gt;"",'Document Workflow'!A6332,"")</f>
        <v/>
      </c>
    </row>
    <row r="6334" spans="1:1">
      <c r="A6334" s="7" t="str">
        <f>IF('Document Workflow'!A6333&lt;&gt;"",'Document Workflow'!A6333,"")</f>
        <v/>
      </c>
    </row>
    <row r="6335" spans="1:1">
      <c r="A6335" s="7" t="str">
        <f>IF('Document Workflow'!A6334&lt;&gt;"",'Document Workflow'!A6334,"")</f>
        <v/>
      </c>
    </row>
    <row r="6336" spans="1:1">
      <c r="A6336" s="7" t="str">
        <f>IF('Document Workflow'!A6335&lt;&gt;"",'Document Workflow'!A6335,"")</f>
        <v/>
      </c>
    </row>
    <row r="6337" spans="1:1">
      <c r="A6337" s="7" t="str">
        <f>IF('Document Workflow'!A6336&lt;&gt;"",'Document Workflow'!A6336,"")</f>
        <v/>
      </c>
    </row>
    <row r="6338" spans="1:1">
      <c r="A6338" s="7" t="str">
        <f>IF('Document Workflow'!A6337&lt;&gt;"",'Document Workflow'!A6337,"")</f>
        <v/>
      </c>
    </row>
    <row r="6339" spans="1:1">
      <c r="A6339" s="7" t="str">
        <f>IF('Document Workflow'!A6338&lt;&gt;"",'Document Workflow'!A6338,"")</f>
        <v/>
      </c>
    </row>
    <row r="6340" spans="1:1">
      <c r="A6340" s="7" t="str">
        <f>IF('Document Workflow'!A6339&lt;&gt;"",'Document Workflow'!A6339,"")</f>
        <v/>
      </c>
    </row>
    <row r="6341" spans="1:1">
      <c r="A6341" s="7" t="str">
        <f>IF('Document Workflow'!A6340&lt;&gt;"",'Document Workflow'!A6340,"")</f>
        <v/>
      </c>
    </row>
    <row r="6342" spans="1:1">
      <c r="A6342" s="7" t="str">
        <f>IF('Document Workflow'!A6341&lt;&gt;"",'Document Workflow'!A6341,"")</f>
        <v/>
      </c>
    </row>
    <row r="6343" spans="1:1">
      <c r="A6343" s="7" t="str">
        <f>IF('Document Workflow'!A6342&lt;&gt;"",'Document Workflow'!A6342,"")</f>
        <v/>
      </c>
    </row>
    <row r="6344" spans="1:1">
      <c r="A6344" s="7" t="str">
        <f>IF('Document Workflow'!A6343&lt;&gt;"",'Document Workflow'!A6343,"")</f>
        <v/>
      </c>
    </row>
    <row r="6345" spans="1:1">
      <c r="A6345" s="7" t="str">
        <f>IF('Document Workflow'!A6344&lt;&gt;"",'Document Workflow'!A6344,"")</f>
        <v/>
      </c>
    </row>
    <row r="6346" spans="1:1">
      <c r="A6346" s="7" t="str">
        <f>IF('Document Workflow'!A6345&lt;&gt;"",'Document Workflow'!A6345,"")</f>
        <v/>
      </c>
    </row>
    <row r="6347" spans="1:1">
      <c r="A6347" s="7" t="str">
        <f>IF('Document Workflow'!A6346&lt;&gt;"",'Document Workflow'!A6346,"")</f>
        <v/>
      </c>
    </row>
    <row r="6348" spans="1:1">
      <c r="A6348" s="7" t="str">
        <f>IF('Document Workflow'!A6347&lt;&gt;"",'Document Workflow'!A6347,"")</f>
        <v/>
      </c>
    </row>
    <row r="6349" spans="1:1">
      <c r="A6349" s="7" t="str">
        <f>IF('Document Workflow'!A6348&lt;&gt;"",'Document Workflow'!A6348,"")</f>
        <v/>
      </c>
    </row>
    <row r="6350" spans="1:1">
      <c r="A6350" s="7" t="str">
        <f>IF('Document Workflow'!A6349&lt;&gt;"",'Document Workflow'!A6349,"")</f>
        <v/>
      </c>
    </row>
    <row r="6351" spans="1:1">
      <c r="A6351" s="7" t="str">
        <f>IF('Document Workflow'!A6350&lt;&gt;"",'Document Workflow'!A6350,"")</f>
        <v/>
      </c>
    </row>
    <row r="6352" spans="1:1">
      <c r="A6352" s="7" t="str">
        <f>IF('Document Workflow'!A6351&lt;&gt;"",'Document Workflow'!A6351,"")</f>
        <v/>
      </c>
    </row>
    <row r="6353" spans="1:1">
      <c r="A6353" s="7" t="str">
        <f>IF('Document Workflow'!A6352&lt;&gt;"",'Document Workflow'!A6352,"")</f>
        <v/>
      </c>
    </row>
    <row r="6354" spans="1:1">
      <c r="A6354" s="7" t="str">
        <f>IF('Document Workflow'!A6353&lt;&gt;"",'Document Workflow'!A6353,"")</f>
        <v/>
      </c>
    </row>
    <row r="6355" spans="1:1">
      <c r="A6355" s="7" t="str">
        <f>IF('Document Workflow'!A6354&lt;&gt;"",'Document Workflow'!A6354,"")</f>
        <v/>
      </c>
    </row>
    <row r="6356" spans="1:1">
      <c r="A6356" s="7" t="str">
        <f>IF('Document Workflow'!A6355&lt;&gt;"",'Document Workflow'!A6355,"")</f>
        <v/>
      </c>
    </row>
    <row r="6357" spans="1:1">
      <c r="A6357" s="7" t="str">
        <f>IF('Document Workflow'!A6356&lt;&gt;"",'Document Workflow'!A6356,"")</f>
        <v/>
      </c>
    </row>
    <row r="6358" spans="1:1">
      <c r="A6358" s="7" t="str">
        <f>IF('Document Workflow'!A6357&lt;&gt;"",'Document Workflow'!A6357,"")</f>
        <v/>
      </c>
    </row>
    <row r="6359" spans="1:1">
      <c r="A6359" s="7" t="str">
        <f>IF('Document Workflow'!A6358&lt;&gt;"",'Document Workflow'!A6358,"")</f>
        <v/>
      </c>
    </row>
    <row r="6360" spans="1:1">
      <c r="A6360" s="7" t="str">
        <f>IF('Document Workflow'!A6359&lt;&gt;"",'Document Workflow'!A6359,"")</f>
        <v/>
      </c>
    </row>
    <row r="6361" spans="1:1">
      <c r="A6361" s="7" t="str">
        <f>IF('Document Workflow'!A6360&lt;&gt;"",'Document Workflow'!A6360,"")</f>
        <v/>
      </c>
    </row>
    <row r="6362" spans="1:1">
      <c r="A6362" s="7" t="str">
        <f>IF('Document Workflow'!A6361&lt;&gt;"",'Document Workflow'!A6361,"")</f>
        <v/>
      </c>
    </row>
    <row r="6363" spans="1:1">
      <c r="A6363" s="7" t="str">
        <f>IF('Document Workflow'!A6362&lt;&gt;"",'Document Workflow'!A6362,"")</f>
        <v/>
      </c>
    </row>
    <row r="6364" spans="1:1">
      <c r="A6364" s="7" t="str">
        <f>IF('Document Workflow'!A6363&lt;&gt;"",'Document Workflow'!A6363,"")</f>
        <v/>
      </c>
    </row>
    <row r="6365" spans="1:1">
      <c r="A6365" s="7" t="str">
        <f>IF('Document Workflow'!A6364&lt;&gt;"",'Document Workflow'!A6364,"")</f>
        <v/>
      </c>
    </row>
    <row r="6366" spans="1:1">
      <c r="A6366" s="7" t="str">
        <f>IF('Document Workflow'!A6365&lt;&gt;"",'Document Workflow'!A6365,"")</f>
        <v/>
      </c>
    </row>
    <row r="6367" spans="1:1">
      <c r="A6367" s="7" t="str">
        <f>IF('Document Workflow'!A6366&lt;&gt;"",'Document Workflow'!A6366,"")</f>
        <v/>
      </c>
    </row>
    <row r="6368" spans="1:1">
      <c r="A6368" s="7" t="str">
        <f>IF('Document Workflow'!A6367&lt;&gt;"",'Document Workflow'!A6367,"")</f>
        <v/>
      </c>
    </row>
    <row r="6369" spans="1:1">
      <c r="A6369" s="7" t="str">
        <f>IF('Document Workflow'!A6368&lt;&gt;"",'Document Workflow'!A6368,"")</f>
        <v/>
      </c>
    </row>
    <row r="6370" spans="1:1">
      <c r="A6370" s="7" t="str">
        <f>IF('Document Workflow'!A6369&lt;&gt;"",'Document Workflow'!A6369,"")</f>
        <v/>
      </c>
    </row>
    <row r="6371" spans="1:1">
      <c r="A6371" s="7" t="str">
        <f>IF('Document Workflow'!A6370&lt;&gt;"",'Document Workflow'!A6370,"")</f>
        <v/>
      </c>
    </row>
    <row r="6372" spans="1:1">
      <c r="A6372" s="7" t="str">
        <f>IF('Document Workflow'!A6371&lt;&gt;"",'Document Workflow'!A6371,"")</f>
        <v/>
      </c>
    </row>
    <row r="6373" spans="1:1">
      <c r="A6373" s="7" t="str">
        <f>IF('Document Workflow'!A6372&lt;&gt;"",'Document Workflow'!A6372,"")</f>
        <v/>
      </c>
    </row>
    <row r="6374" spans="1:1">
      <c r="A6374" s="7" t="str">
        <f>IF('Document Workflow'!A6373&lt;&gt;"",'Document Workflow'!A6373,"")</f>
        <v/>
      </c>
    </row>
    <row r="6375" spans="1:1">
      <c r="A6375" s="7" t="str">
        <f>IF('Document Workflow'!A6374&lt;&gt;"",'Document Workflow'!A6374,"")</f>
        <v/>
      </c>
    </row>
    <row r="6376" spans="1:1">
      <c r="A6376" s="7" t="str">
        <f>IF('Document Workflow'!A6375&lt;&gt;"",'Document Workflow'!A6375,"")</f>
        <v/>
      </c>
    </row>
    <row r="6377" spans="1:1">
      <c r="A6377" s="7" t="str">
        <f>IF('Document Workflow'!A6376&lt;&gt;"",'Document Workflow'!A6376,"")</f>
        <v/>
      </c>
    </row>
    <row r="6378" spans="1:1">
      <c r="A6378" s="7" t="str">
        <f>IF('Document Workflow'!A6377&lt;&gt;"",'Document Workflow'!A6377,"")</f>
        <v/>
      </c>
    </row>
    <row r="6379" spans="1:1">
      <c r="A6379" s="7" t="str">
        <f>IF('Document Workflow'!A6378&lt;&gt;"",'Document Workflow'!A6378,"")</f>
        <v/>
      </c>
    </row>
    <row r="6380" spans="1:1">
      <c r="A6380" s="7" t="str">
        <f>IF('Document Workflow'!A6379&lt;&gt;"",'Document Workflow'!A6379,"")</f>
        <v/>
      </c>
    </row>
    <row r="6381" spans="1:1">
      <c r="A6381" s="7" t="str">
        <f>IF('Document Workflow'!A6380&lt;&gt;"",'Document Workflow'!A6380,"")</f>
        <v/>
      </c>
    </row>
    <row r="6382" spans="1:1">
      <c r="A6382" s="7" t="str">
        <f>IF('Document Workflow'!A6381&lt;&gt;"",'Document Workflow'!A6381,"")</f>
        <v/>
      </c>
    </row>
    <row r="6383" spans="1:1">
      <c r="A6383" s="7" t="str">
        <f>IF('Document Workflow'!A6382&lt;&gt;"",'Document Workflow'!A6382,"")</f>
        <v/>
      </c>
    </row>
    <row r="6384" spans="1:1">
      <c r="A6384" s="7" t="str">
        <f>IF('Document Workflow'!A6383&lt;&gt;"",'Document Workflow'!A6383,"")</f>
        <v/>
      </c>
    </row>
    <row r="6385" spans="1:1">
      <c r="A6385" s="7" t="str">
        <f>IF('Document Workflow'!A6384&lt;&gt;"",'Document Workflow'!A6384,"")</f>
        <v/>
      </c>
    </row>
    <row r="6386" spans="1:1">
      <c r="A6386" s="7" t="str">
        <f>IF('Document Workflow'!A6385&lt;&gt;"",'Document Workflow'!A6385,"")</f>
        <v/>
      </c>
    </row>
    <row r="6387" spans="1:1">
      <c r="A6387" s="7" t="str">
        <f>IF('Document Workflow'!A6386&lt;&gt;"",'Document Workflow'!A6386,"")</f>
        <v/>
      </c>
    </row>
    <row r="6388" spans="1:1">
      <c r="A6388" s="7" t="str">
        <f>IF('Document Workflow'!A6387&lt;&gt;"",'Document Workflow'!A6387,"")</f>
        <v/>
      </c>
    </row>
    <row r="6389" spans="1:1">
      <c r="A6389" s="7" t="str">
        <f>IF('Document Workflow'!A6388&lt;&gt;"",'Document Workflow'!A6388,"")</f>
        <v/>
      </c>
    </row>
    <row r="6390" spans="1:1">
      <c r="A6390" s="7" t="str">
        <f>IF('Document Workflow'!A6389&lt;&gt;"",'Document Workflow'!A6389,"")</f>
        <v/>
      </c>
    </row>
    <row r="6391" spans="1:1">
      <c r="A6391" s="7" t="str">
        <f>IF('Document Workflow'!A6390&lt;&gt;"",'Document Workflow'!A6390,"")</f>
        <v/>
      </c>
    </row>
    <row r="6392" spans="1:1">
      <c r="A6392" s="7" t="str">
        <f>IF('Document Workflow'!A6391&lt;&gt;"",'Document Workflow'!A6391,"")</f>
        <v/>
      </c>
    </row>
    <row r="6393" spans="1:1">
      <c r="A6393" s="7" t="str">
        <f>IF('Document Workflow'!A6392&lt;&gt;"",'Document Workflow'!A6392,"")</f>
        <v/>
      </c>
    </row>
    <row r="6394" spans="1:1">
      <c r="A6394" s="7" t="str">
        <f>IF('Document Workflow'!A6393&lt;&gt;"",'Document Workflow'!A6393,"")</f>
        <v/>
      </c>
    </row>
    <row r="6395" spans="1:1">
      <c r="A6395" s="7" t="str">
        <f>IF('Document Workflow'!A6394&lt;&gt;"",'Document Workflow'!A6394,"")</f>
        <v/>
      </c>
    </row>
    <row r="6396" spans="1:1">
      <c r="A6396" s="7" t="str">
        <f>IF('Document Workflow'!A6395&lt;&gt;"",'Document Workflow'!A6395,"")</f>
        <v/>
      </c>
    </row>
    <row r="6397" spans="1:1">
      <c r="A6397" s="7" t="str">
        <f>IF('Document Workflow'!A6396&lt;&gt;"",'Document Workflow'!A6396,"")</f>
        <v/>
      </c>
    </row>
    <row r="6398" spans="1:1">
      <c r="A6398" s="7" t="str">
        <f>IF('Document Workflow'!A6397&lt;&gt;"",'Document Workflow'!A6397,"")</f>
        <v/>
      </c>
    </row>
    <row r="6399" spans="1:1">
      <c r="A6399" s="7" t="str">
        <f>IF('Document Workflow'!A6398&lt;&gt;"",'Document Workflow'!A6398,"")</f>
        <v/>
      </c>
    </row>
    <row r="6400" spans="1:1">
      <c r="A6400" s="7" t="str">
        <f>IF('Document Workflow'!A6399&lt;&gt;"",'Document Workflow'!A6399,"")</f>
        <v/>
      </c>
    </row>
    <row r="6401" spans="1:1">
      <c r="A6401" s="7" t="str">
        <f>IF('Document Workflow'!A6400&lt;&gt;"",'Document Workflow'!A6400,"")</f>
        <v/>
      </c>
    </row>
    <row r="6402" spans="1:1">
      <c r="A6402" s="7" t="str">
        <f>IF('Document Workflow'!A6401&lt;&gt;"",'Document Workflow'!A6401,"")</f>
        <v/>
      </c>
    </row>
    <row r="6403" spans="1:1">
      <c r="A6403" s="7" t="str">
        <f>IF('Document Workflow'!A6402&lt;&gt;"",'Document Workflow'!A6402,"")</f>
        <v/>
      </c>
    </row>
    <row r="6404" spans="1:1">
      <c r="A6404" s="7" t="str">
        <f>IF('Document Workflow'!A6403&lt;&gt;"",'Document Workflow'!A6403,"")</f>
        <v/>
      </c>
    </row>
    <row r="6405" spans="1:1">
      <c r="A6405" s="7" t="str">
        <f>IF('Document Workflow'!A6404&lt;&gt;"",'Document Workflow'!A6404,"")</f>
        <v/>
      </c>
    </row>
    <row r="6406" spans="1:1">
      <c r="A6406" s="7" t="str">
        <f>IF('Document Workflow'!A6405&lt;&gt;"",'Document Workflow'!A6405,"")</f>
        <v/>
      </c>
    </row>
    <row r="6407" spans="1:1">
      <c r="A6407" s="7" t="str">
        <f>IF('Document Workflow'!A6406&lt;&gt;"",'Document Workflow'!A6406,"")</f>
        <v/>
      </c>
    </row>
    <row r="6408" spans="1:1">
      <c r="A6408" s="7" t="str">
        <f>IF('Document Workflow'!A6407&lt;&gt;"",'Document Workflow'!A6407,"")</f>
        <v/>
      </c>
    </row>
    <row r="6409" spans="1:1">
      <c r="A6409" s="7" t="str">
        <f>IF('Document Workflow'!A6408&lt;&gt;"",'Document Workflow'!A6408,"")</f>
        <v/>
      </c>
    </row>
    <row r="6410" spans="1:1">
      <c r="A6410" s="7" t="str">
        <f>IF('Document Workflow'!A6409&lt;&gt;"",'Document Workflow'!A6409,"")</f>
        <v/>
      </c>
    </row>
    <row r="6411" spans="1:1">
      <c r="A6411" s="7" t="str">
        <f>IF('Document Workflow'!A6410&lt;&gt;"",'Document Workflow'!A6410,"")</f>
        <v/>
      </c>
    </row>
    <row r="6412" spans="1:1">
      <c r="A6412" s="7" t="str">
        <f>IF('Document Workflow'!A6411&lt;&gt;"",'Document Workflow'!A6411,"")</f>
        <v/>
      </c>
    </row>
    <row r="6413" spans="1:1">
      <c r="A6413" s="7" t="str">
        <f>IF('Document Workflow'!A6412&lt;&gt;"",'Document Workflow'!A6412,"")</f>
        <v/>
      </c>
    </row>
    <row r="6414" spans="1:1">
      <c r="A6414" s="7" t="str">
        <f>IF('Document Workflow'!A6413&lt;&gt;"",'Document Workflow'!A6413,"")</f>
        <v/>
      </c>
    </row>
    <row r="6415" spans="1:1">
      <c r="A6415" s="7" t="str">
        <f>IF('Document Workflow'!A6414&lt;&gt;"",'Document Workflow'!A6414,"")</f>
        <v/>
      </c>
    </row>
    <row r="6416" spans="1:1">
      <c r="A6416" s="7" t="str">
        <f>IF('Document Workflow'!A6415&lt;&gt;"",'Document Workflow'!A6415,"")</f>
        <v/>
      </c>
    </row>
    <row r="6417" spans="1:1">
      <c r="A6417" s="7" t="str">
        <f>IF('Document Workflow'!A6416&lt;&gt;"",'Document Workflow'!A6416,"")</f>
        <v/>
      </c>
    </row>
    <row r="6418" spans="1:1">
      <c r="A6418" s="7" t="str">
        <f>IF('Document Workflow'!A6417&lt;&gt;"",'Document Workflow'!A6417,"")</f>
        <v/>
      </c>
    </row>
    <row r="6419" spans="1:1">
      <c r="A6419" s="7" t="str">
        <f>IF('Document Workflow'!A6418&lt;&gt;"",'Document Workflow'!A6418,"")</f>
        <v/>
      </c>
    </row>
    <row r="6420" spans="1:1">
      <c r="A6420" s="7" t="str">
        <f>IF('Document Workflow'!A6419&lt;&gt;"",'Document Workflow'!A6419,"")</f>
        <v/>
      </c>
    </row>
    <row r="6421" spans="1:1">
      <c r="A6421" s="7" t="str">
        <f>IF('Document Workflow'!A6420&lt;&gt;"",'Document Workflow'!A6420,"")</f>
        <v/>
      </c>
    </row>
    <row r="6422" spans="1:1">
      <c r="A6422" s="7" t="str">
        <f>IF('Document Workflow'!A6421&lt;&gt;"",'Document Workflow'!A6421,"")</f>
        <v/>
      </c>
    </row>
    <row r="6423" spans="1:1">
      <c r="A6423" s="7" t="str">
        <f>IF('Document Workflow'!A6422&lt;&gt;"",'Document Workflow'!A6422,"")</f>
        <v/>
      </c>
    </row>
    <row r="6424" spans="1:1">
      <c r="A6424" s="7" t="str">
        <f>IF('Document Workflow'!A6423&lt;&gt;"",'Document Workflow'!A6423,"")</f>
        <v/>
      </c>
    </row>
    <row r="6425" spans="1:1">
      <c r="A6425" s="7" t="str">
        <f>IF('Document Workflow'!A6424&lt;&gt;"",'Document Workflow'!A6424,"")</f>
        <v/>
      </c>
    </row>
    <row r="6426" spans="1:1">
      <c r="A6426" s="7" t="str">
        <f>IF('Document Workflow'!A6425&lt;&gt;"",'Document Workflow'!A6425,"")</f>
        <v/>
      </c>
    </row>
    <row r="6427" spans="1:1">
      <c r="A6427" s="7" t="str">
        <f>IF('Document Workflow'!A6426&lt;&gt;"",'Document Workflow'!A6426,"")</f>
        <v/>
      </c>
    </row>
    <row r="6428" spans="1:1">
      <c r="A6428" s="7" t="str">
        <f>IF('Document Workflow'!A6427&lt;&gt;"",'Document Workflow'!A6427,"")</f>
        <v/>
      </c>
    </row>
    <row r="6429" spans="1:1">
      <c r="A6429" s="7" t="str">
        <f>IF('Document Workflow'!A6428&lt;&gt;"",'Document Workflow'!A6428,"")</f>
        <v/>
      </c>
    </row>
    <row r="6430" spans="1:1">
      <c r="A6430" s="7" t="str">
        <f>IF('Document Workflow'!A6429&lt;&gt;"",'Document Workflow'!A6429,"")</f>
        <v/>
      </c>
    </row>
    <row r="6431" spans="1:1">
      <c r="A6431" s="7" t="str">
        <f>IF('Document Workflow'!A6430&lt;&gt;"",'Document Workflow'!A6430,"")</f>
        <v/>
      </c>
    </row>
    <row r="6432" spans="1:1">
      <c r="A6432" s="7" t="str">
        <f>IF('Document Workflow'!A6431&lt;&gt;"",'Document Workflow'!A6431,"")</f>
        <v/>
      </c>
    </row>
    <row r="6433" spans="1:1">
      <c r="A6433" s="7" t="str">
        <f>IF('Document Workflow'!A6432&lt;&gt;"",'Document Workflow'!A6432,"")</f>
        <v/>
      </c>
    </row>
    <row r="6434" spans="1:1">
      <c r="A6434" s="7" t="str">
        <f>IF('Document Workflow'!A6433&lt;&gt;"",'Document Workflow'!A6433,"")</f>
        <v/>
      </c>
    </row>
    <row r="6435" spans="1:1">
      <c r="A6435" s="7" t="str">
        <f>IF('Document Workflow'!A6434&lt;&gt;"",'Document Workflow'!A6434,"")</f>
        <v/>
      </c>
    </row>
    <row r="6436" spans="1:1">
      <c r="A6436" s="7" t="str">
        <f>IF('Document Workflow'!A6435&lt;&gt;"",'Document Workflow'!A6435,"")</f>
        <v/>
      </c>
    </row>
    <row r="6437" spans="1:1">
      <c r="A6437" s="7" t="str">
        <f>IF('Document Workflow'!A6436&lt;&gt;"",'Document Workflow'!A6436,"")</f>
        <v/>
      </c>
    </row>
    <row r="6438" spans="1:1">
      <c r="A6438" s="7" t="str">
        <f>IF('Document Workflow'!A6437&lt;&gt;"",'Document Workflow'!A6437,"")</f>
        <v/>
      </c>
    </row>
    <row r="6439" spans="1:1">
      <c r="A6439" s="7" t="str">
        <f>IF('Document Workflow'!A6438&lt;&gt;"",'Document Workflow'!A6438,"")</f>
        <v/>
      </c>
    </row>
    <row r="6440" spans="1:1">
      <c r="A6440" s="7" t="str">
        <f>IF('Document Workflow'!A6439&lt;&gt;"",'Document Workflow'!A6439,"")</f>
        <v/>
      </c>
    </row>
    <row r="6441" spans="1:1">
      <c r="A6441" s="7" t="str">
        <f>IF('Document Workflow'!A6440&lt;&gt;"",'Document Workflow'!A6440,"")</f>
        <v/>
      </c>
    </row>
    <row r="6442" spans="1:1">
      <c r="A6442" s="7" t="str">
        <f>IF('Document Workflow'!A6441&lt;&gt;"",'Document Workflow'!A6441,"")</f>
        <v/>
      </c>
    </row>
    <row r="6443" spans="1:1">
      <c r="A6443" s="7" t="str">
        <f>IF('Document Workflow'!A6442&lt;&gt;"",'Document Workflow'!A6442,"")</f>
        <v/>
      </c>
    </row>
    <row r="6444" spans="1:1">
      <c r="A6444" s="7" t="str">
        <f>IF('Document Workflow'!A6443&lt;&gt;"",'Document Workflow'!A6443,"")</f>
        <v/>
      </c>
    </row>
    <row r="6445" spans="1:1">
      <c r="A6445" s="7" t="str">
        <f>IF('Document Workflow'!A6444&lt;&gt;"",'Document Workflow'!A6444,"")</f>
        <v/>
      </c>
    </row>
    <row r="6446" spans="1:1">
      <c r="A6446" s="7" t="str">
        <f>IF('Document Workflow'!A6445&lt;&gt;"",'Document Workflow'!A6445,"")</f>
        <v/>
      </c>
    </row>
    <row r="6447" spans="1:1">
      <c r="A6447" s="7" t="str">
        <f>IF('Document Workflow'!A6446&lt;&gt;"",'Document Workflow'!A6446,"")</f>
        <v/>
      </c>
    </row>
    <row r="6448" spans="1:1">
      <c r="A6448" s="7" t="str">
        <f>IF('Document Workflow'!A6447&lt;&gt;"",'Document Workflow'!A6447,"")</f>
        <v/>
      </c>
    </row>
    <row r="6449" spans="1:1">
      <c r="A6449" s="7" t="str">
        <f>IF('Document Workflow'!A6448&lt;&gt;"",'Document Workflow'!A6448,"")</f>
        <v/>
      </c>
    </row>
    <row r="6450" spans="1:1">
      <c r="A6450" s="7" t="str">
        <f>IF('Document Workflow'!A6449&lt;&gt;"",'Document Workflow'!A6449,"")</f>
        <v/>
      </c>
    </row>
    <row r="6451" spans="1:1">
      <c r="A6451" s="7" t="str">
        <f>IF('Document Workflow'!A6450&lt;&gt;"",'Document Workflow'!A6450,"")</f>
        <v/>
      </c>
    </row>
    <row r="6452" spans="1:1">
      <c r="A6452" s="7" t="str">
        <f>IF('Document Workflow'!A6451&lt;&gt;"",'Document Workflow'!A6451,"")</f>
        <v/>
      </c>
    </row>
    <row r="6453" spans="1:1">
      <c r="A6453" s="7" t="str">
        <f>IF('Document Workflow'!A6452&lt;&gt;"",'Document Workflow'!A6452,"")</f>
        <v/>
      </c>
    </row>
    <row r="6454" spans="1:1">
      <c r="A6454" s="7" t="str">
        <f>IF('Document Workflow'!A6453&lt;&gt;"",'Document Workflow'!A6453,"")</f>
        <v/>
      </c>
    </row>
    <row r="6455" spans="1:1">
      <c r="A6455" s="7" t="str">
        <f>IF('Document Workflow'!A6454&lt;&gt;"",'Document Workflow'!A6454,"")</f>
        <v/>
      </c>
    </row>
    <row r="6456" spans="1:1">
      <c r="A6456" s="7" t="str">
        <f>IF('Document Workflow'!A6455&lt;&gt;"",'Document Workflow'!A6455,"")</f>
        <v/>
      </c>
    </row>
    <row r="6457" spans="1:1">
      <c r="A6457" s="7" t="str">
        <f>IF('Document Workflow'!A6456&lt;&gt;"",'Document Workflow'!A6456,"")</f>
        <v/>
      </c>
    </row>
    <row r="6458" spans="1:1">
      <c r="A6458" s="7" t="str">
        <f>IF('Document Workflow'!A6457&lt;&gt;"",'Document Workflow'!A6457,"")</f>
        <v/>
      </c>
    </row>
    <row r="6459" spans="1:1">
      <c r="A6459" s="7" t="str">
        <f>IF('Document Workflow'!A6458&lt;&gt;"",'Document Workflow'!A6458,"")</f>
        <v/>
      </c>
    </row>
    <row r="6460" spans="1:1">
      <c r="A6460" s="7" t="str">
        <f>IF('Document Workflow'!A6459&lt;&gt;"",'Document Workflow'!A6459,"")</f>
        <v/>
      </c>
    </row>
    <row r="6461" spans="1:1">
      <c r="A6461" s="7" t="str">
        <f>IF('Document Workflow'!A6460&lt;&gt;"",'Document Workflow'!A6460,"")</f>
        <v/>
      </c>
    </row>
    <row r="6462" spans="1:1">
      <c r="A6462" s="7" t="str">
        <f>IF('Document Workflow'!A6461&lt;&gt;"",'Document Workflow'!A6461,"")</f>
        <v/>
      </c>
    </row>
    <row r="6463" spans="1:1">
      <c r="A6463" s="7" t="str">
        <f>IF('Document Workflow'!A6462&lt;&gt;"",'Document Workflow'!A6462,"")</f>
        <v/>
      </c>
    </row>
    <row r="6464" spans="1:1">
      <c r="A6464" s="7" t="str">
        <f>IF('Document Workflow'!A6463&lt;&gt;"",'Document Workflow'!A6463,"")</f>
        <v/>
      </c>
    </row>
    <row r="6465" spans="1:1">
      <c r="A6465" s="7" t="str">
        <f>IF('Document Workflow'!A6464&lt;&gt;"",'Document Workflow'!A6464,"")</f>
        <v/>
      </c>
    </row>
    <row r="6466" spans="1:1">
      <c r="A6466" s="7" t="str">
        <f>IF('Document Workflow'!A6465&lt;&gt;"",'Document Workflow'!A6465,"")</f>
        <v/>
      </c>
    </row>
    <row r="6467" spans="1:1">
      <c r="A6467" s="7" t="str">
        <f>IF('Document Workflow'!A6466&lt;&gt;"",'Document Workflow'!A6466,"")</f>
        <v/>
      </c>
    </row>
    <row r="6468" spans="1:1">
      <c r="A6468" s="7" t="str">
        <f>IF('Document Workflow'!A6467&lt;&gt;"",'Document Workflow'!A6467,"")</f>
        <v/>
      </c>
    </row>
    <row r="6469" spans="1:1">
      <c r="A6469" s="7" t="str">
        <f>IF('Document Workflow'!A6468&lt;&gt;"",'Document Workflow'!A6468,"")</f>
        <v/>
      </c>
    </row>
    <row r="6470" spans="1:1">
      <c r="A6470" s="7" t="str">
        <f>IF('Document Workflow'!A6469&lt;&gt;"",'Document Workflow'!A6469,"")</f>
        <v/>
      </c>
    </row>
    <row r="6471" spans="1:1">
      <c r="A6471" s="7" t="str">
        <f>IF('Document Workflow'!A6470&lt;&gt;"",'Document Workflow'!A6470,"")</f>
        <v/>
      </c>
    </row>
    <row r="6472" spans="1:1">
      <c r="A6472" s="7" t="str">
        <f>IF('Document Workflow'!A6471&lt;&gt;"",'Document Workflow'!A6471,"")</f>
        <v/>
      </c>
    </row>
    <row r="6473" spans="1:1">
      <c r="A6473" s="7" t="str">
        <f>IF('Document Workflow'!A6472&lt;&gt;"",'Document Workflow'!A6472,"")</f>
        <v/>
      </c>
    </row>
    <row r="6474" spans="1:1">
      <c r="A6474" s="7" t="str">
        <f>IF('Document Workflow'!A6473&lt;&gt;"",'Document Workflow'!A6473,"")</f>
        <v/>
      </c>
    </row>
    <row r="6475" spans="1:1">
      <c r="A6475" s="7" t="str">
        <f>IF('Document Workflow'!A6474&lt;&gt;"",'Document Workflow'!A6474,"")</f>
        <v/>
      </c>
    </row>
    <row r="6476" spans="1:1">
      <c r="A6476" s="7" t="str">
        <f>IF('Document Workflow'!A6475&lt;&gt;"",'Document Workflow'!A6475,"")</f>
        <v/>
      </c>
    </row>
    <row r="6477" spans="1:1">
      <c r="A6477" s="7" t="str">
        <f>IF('Document Workflow'!A6476&lt;&gt;"",'Document Workflow'!A6476,"")</f>
        <v/>
      </c>
    </row>
    <row r="6478" spans="1:1">
      <c r="A6478" s="7" t="str">
        <f>IF('Document Workflow'!A6477&lt;&gt;"",'Document Workflow'!A6477,"")</f>
        <v/>
      </c>
    </row>
    <row r="6479" spans="1:1">
      <c r="A6479" s="7" t="str">
        <f>IF('Document Workflow'!A6478&lt;&gt;"",'Document Workflow'!A6478,"")</f>
        <v/>
      </c>
    </row>
    <row r="6480" spans="1:1">
      <c r="A6480" s="7" t="str">
        <f>IF('Document Workflow'!A6479&lt;&gt;"",'Document Workflow'!A6479,"")</f>
        <v/>
      </c>
    </row>
    <row r="6481" spans="1:1">
      <c r="A6481" s="7" t="str">
        <f>IF('Document Workflow'!A6480&lt;&gt;"",'Document Workflow'!A6480,"")</f>
        <v/>
      </c>
    </row>
    <row r="6482" spans="1:1">
      <c r="A6482" s="7" t="str">
        <f>IF('Document Workflow'!A6481&lt;&gt;"",'Document Workflow'!A6481,"")</f>
        <v/>
      </c>
    </row>
    <row r="6483" spans="1:1">
      <c r="A6483" s="7" t="str">
        <f>IF('Document Workflow'!A6482&lt;&gt;"",'Document Workflow'!A6482,"")</f>
        <v/>
      </c>
    </row>
    <row r="6484" spans="1:1">
      <c r="A6484" s="7" t="str">
        <f>IF('Document Workflow'!A6483&lt;&gt;"",'Document Workflow'!A6483,"")</f>
        <v/>
      </c>
    </row>
    <row r="6485" spans="1:1">
      <c r="A6485" s="7" t="str">
        <f>IF('Document Workflow'!A6484&lt;&gt;"",'Document Workflow'!A6484,"")</f>
        <v/>
      </c>
    </row>
    <row r="6486" spans="1:1">
      <c r="A6486" s="7" t="str">
        <f>IF('Document Workflow'!A6485&lt;&gt;"",'Document Workflow'!A6485,"")</f>
        <v/>
      </c>
    </row>
    <row r="6487" spans="1:1">
      <c r="A6487" s="7" t="str">
        <f>IF('Document Workflow'!A6486&lt;&gt;"",'Document Workflow'!A6486,"")</f>
        <v/>
      </c>
    </row>
    <row r="6488" spans="1:1">
      <c r="A6488" s="7" t="str">
        <f>IF('Document Workflow'!A6487&lt;&gt;"",'Document Workflow'!A6487,"")</f>
        <v/>
      </c>
    </row>
    <row r="6489" spans="1:1">
      <c r="A6489" s="7" t="str">
        <f>IF('Document Workflow'!A6488&lt;&gt;"",'Document Workflow'!A6488,"")</f>
        <v/>
      </c>
    </row>
    <row r="6490" spans="1:1">
      <c r="A6490" s="7" t="str">
        <f>IF('Document Workflow'!A6489&lt;&gt;"",'Document Workflow'!A6489,"")</f>
        <v/>
      </c>
    </row>
    <row r="6491" spans="1:1">
      <c r="A6491" s="7" t="str">
        <f>IF('Document Workflow'!A6490&lt;&gt;"",'Document Workflow'!A6490,"")</f>
        <v/>
      </c>
    </row>
    <row r="6492" spans="1:1">
      <c r="A6492" s="7" t="str">
        <f>IF('Document Workflow'!A6491&lt;&gt;"",'Document Workflow'!A6491,"")</f>
        <v/>
      </c>
    </row>
    <row r="6493" spans="1:1">
      <c r="A6493" s="7" t="str">
        <f>IF('Document Workflow'!A6492&lt;&gt;"",'Document Workflow'!A6492,"")</f>
        <v/>
      </c>
    </row>
    <row r="6494" spans="1:1">
      <c r="A6494" s="7" t="str">
        <f>IF('Document Workflow'!A6493&lt;&gt;"",'Document Workflow'!A6493,"")</f>
        <v/>
      </c>
    </row>
    <row r="6495" spans="1:1">
      <c r="A6495" s="7" t="str">
        <f>IF('Document Workflow'!A6494&lt;&gt;"",'Document Workflow'!A6494,"")</f>
        <v/>
      </c>
    </row>
    <row r="6496" spans="1:1">
      <c r="A6496" s="7" t="str">
        <f>IF('Document Workflow'!A6495&lt;&gt;"",'Document Workflow'!A6495,"")</f>
        <v/>
      </c>
    </row>
    <row r="6497" spans="1:1">
      <c r="A6497" s="7" t="str">
        <f>IF('Document Workflow'!A6496&lt;&gt;"",'Document Workflow'!A6496,"")</f>
        <v/>
      </c>
    </row>
    <row r="6498" spans="1:1">
      <c r="A6498" s="7" t="str">
        <f>IF('Document Workflow'!A6497&lt;&gt;"",'Document Workflow'!A6497,"")</f>
        <v/>
      </c>
    </row>
    <row r="6499" spans="1:1">
      <c r="A6499" s="7" t="str">
        <f>IF('Document Workflow'!A6498&lt;&gt;"",'Document Workflow'!A6498,"")</f>
        <v/>
      </c>
    </row>
    <row r="6500" spans="1:1">
      <c r="A6500" s="7" t="str">
        <f>IF('Document Workflow'!A6499&lt;&gt;"",'Document Workflow'!A6499,"")</f>
        <v/>
      </c>
    </row>
    <row r="6501" spans="1:1">
      <c r="A6501" s="7" t="str">
        <f>IF('Document Workflow'!A6500&lt;&gt;"",'Document Workflow'!A6500,"")</f>
        <v/>
      </c>
    </row>
    <row r="6502" spans="1:1">
      <c r="A6502" s="7" t="str">
        <f>IF('Document Workflow'!A6501&lt;&gt;"",'Document Workflow'!A6501,"")</f>
        <v/>
      </c>
    </row>
    <row r="6503" spans="1:1">
      <c r="A6503" s="7" t="str">
        <f>IF('Document Workflow'!A6502&lt;&gt;"",'Document Workflow'!A6502,"")</f>
        <v/>
      </c>
    </row>
    <row r="6504" spans="1:1">
      <c r="A6504" s="7" t="str">
        <f>IF('Document Workflow'!A6503&lt;&gt;"",'Document Workflow'!A6503,"")</f>
        <v/>
      </c>
    </row>
    <row r="6505" spans="1:1">
      <c r="A6505" s="7" t="str">
        <f>IF('Document Workflow'!A6504&lt;&gt;"",'Document Workflow'!A6504,"")</f>
        <v/>
      </c>
    </row>
    <row r="6506" spans="1:1">
      <c r="A6506" s="7" t="str">
        <f>IF('Document Workflow'!A6505&lt;&gt;"",'Document Workflow'!A6505,"")</f>
        <v/>
      </c>
    </row>
    <row r="6507" spans="1:1">
      <c r="A6507" s="7" t="str">
        <f>IF('Document Workflow'!A6506&lt;&gt;"",'Document Workflow'!A6506,"")</f>
        <v/>
      </c>
    </row>
    <row r="6508" spans="1:1">
      <c r="A6508" s="7" t="str">
        <f>IF('Document Workflow'!A6507&lt;&gt;"",'Document Workflow'!A6507,"")</f>
        <v/>
      </c>
    </row>
    <row r="6509" spans="1:1">
      <c r="A6509" s="7" t="str">
        <f>IF('Document Workflow'!A6508&lt;&gt;"",'Document Workflow'!A6508,"")</f>
        <v/>
      </c>
    </row>
    <row r="6510" spans="1:1">
      <c r="A6510" s="7" t="str">
        <f>IF('Document Workflow'!A6509&lt;&gt;"",'Document Workflow'!A6509,"")</f>
        <v/>
      </c>
    </row>
    <row r="6511" spans="1:1">
      <c r="A6511" s="7" t="str">
        <f>IF('Document Workflow'!A6510&lt;&gt;"",'Document Workflow'!A6510,"")</f>
        <v/>
      </c>
    </row>
    <row r="6512" spans="1:1">
      <c r="A6512" s="7" t="str">
        <f>IF('Document Workflow'!A6511&lt;&gt;"",'Document Workflow'!A6511,"")</f>
        <v/>
      </c>
    </row>
    <row r="6513" spans="1:1">
      <c r="A6513" s="7" t="str">
        <f>IF('Document Workflow'!A6512&lt;&gt;"",'Document Workflow'!A6512,"")</f>
        <v/>
      </c>
    </row>
    <row r="6514" spans="1:1">
      <c r="A6514" s="7" t="str">
        <f>IF('Document Workflow'!A6513&lt;&gt;"",'Document Workflow'!A6513,"")</f>
        <v/>
      </c>
    </row>
    <row r="6515" spans="1:1">
      <c r="A6515" s="7" t="str">
        <f>IF('Document Workflow'!A6514&lt;&gt;"",'Document Workflow'!A6514,"")</f>
        <v/>
      </c>
    </row>
    <row r="6516" spans="1:1">
      <c r="A6516" s="7" t="str">
        <f>IF('Document Workflow'!A6515&lt;&gt;"",'Document Workflow'!A6515,"")</f>
        <v/>
      </c>
    </row>
    <row r="6517" spans="1:1">
      <c r="A6517" s="7" t="str">
        <f>IF('Document Workflow'!A6516&lt;&gt;"",'Document Workflow'!A6516,"")</f>
        <v/>
      </c>
    </row>
    <row r="6518" spans="1:1">
      <c r="A6518" s="7" t="str">
        <f>IF('Document Workflow'!A6517&lt;&gt;"",'Document Workflow'!A6517,"")</f>
        <v/>
      </c>
    </row>
    <row r="6519" spans="1:1">
      <c r="A6519" s="7" t="str">
        <f>IF('Document Workflow'!A6518&lt;&gt;"",'Document Workflow'!A6518,"")</f>
        <v/>
      </c>
    </row>
    <row r="6520" spans="1:1">
      <c r="A6520" s="7" t="str">
        <f>IF('Document Workflow'!A6519&lt;&gt;"",'Document Workflow'!A6519,"")</f>
        <v/>
      </c>
    </row>
    <row r="6521" spans="1:1">
      <c r="A6521" s="7" t="str">
        <f>IF('Document Workflow'!A6520&lt;&gt;"",'Document Workflow'!A6520,"")</f>
        <v/>
      </c>
    </row>
    <row r="6522" spans="1:1">
      <c r="A6522" s="7" t="str">
        <f>IF('Document Workflow'!A6521&lt;&gt;"",'Document Workflow'!A6521,"")</f>
        <v/>
      </c>
    </row>
    <row r="6523" spans="1:1">
      <c r="A6523" s="7" t="str">
        <f>IF('Document Workflow'!A6522&lt;&gt;"",'Document Workflow'!A6522,"")</f>
        <v/>
      </c>
    </row>
    <row r="6524" spans="1:1">
      <c r="A6524" s="7" t="str">
        <f>IF('Document Workflow'!A6523&lt;&gt;"",'Document Workflow'!A6523,"")</f>
        <v/>
      </c>
    </row>
    <row r="6525" spans="1:1">
      <c r="A6525" s="7" t="str">
        <f>IF('Document Workflow'!A6524&lt;&gt;"",'Document Workflow'!A6524,"")</f>
        <v/>
      </c>
    </row>
    <row r="6526" spans="1:1">
      <c r="A6526" s="7" t="str">
        <f>IF('Document Workflow'!A6525&lt;&gt;"",'Document Workflow'!A6525,"")</f>
        <v/>
      </c>
    </row>
    <row r="6527" spans="1:1">
      <c r="A6527" s="7" t="str">
        <f>IF('Document Workflow'!A6526&lt;&gt;"",'Document Workflow'!A6526,"")</f>
        <v/>
      </c>
    </row>
    <row r="6528" spans="1:1">
      <c r="A6528" s="7" t="str">
        <f>IF('Document Workflow'!A6527&lt;&gt;"",'Document Workflow'!A6527,"")</f>
        <v/>
      </c>
    </row>
    <row r="6529" spans="1:1">
      <c r="A6529" s="7" t="str">
        <f>IF('Document Workflow'!A6528&lt;&gt;"",'Document Workflow'!A6528,"")</f>
        <v/>
      </c>
    </row>
    <row r="6530" spans="1:1">
      <c r="A6530" s="7" t="str">
        <f>IF('Document Workflow'!A6529&lt;&gt;"",'Document Workflow'!A6529,"")</f>
        <v/>
      </c>
    </row>
    <row r="6531" spans="1:1">
      <c r="A6531" s="7" t="str">
        <f>IF('Document Workflow'!A6530&lt;&gt;"",'Document Workflow'!A6530,"")</f>
        <v/>
      </c>
    </row>
    <row r="6532" spans="1:1">
      <c r="A6532" s="7" t="str">
        <f>IF('Document Workflow'!A6531&lt;&gt;"",'Document Workflow'!A6531,"")</f>
        <v/>
      </c>
    </row>
    <row r="6533" spans="1:1">
      <c r="A6533" s="7" t="str">
        <f>IF('Document Workflow'!A6532&lt;&gt;"",'Document Workflow'!A6532,"")</f>
        <v/>
      </c>
    </row>
    <row r="6534" spans="1:1">
      <c r="A6534" s="7" t="str">
        <f>IF('Document Workflow'!A6533&lt;&gt;"",'Document Workflow'!A6533,"")</f>
        <v/>
      </c>
    </row>
    <row r="6535" spans="1:1">
      <c r="A6535" s="7" t="str">
        <f>IF('Document Workflow'!A6534&lt;&gt;"",'Document Workflow'!A6534,"")</f>
        <v/>
      </c>
    </row>
    <row r="6536" spans="1:1">
      <c r="A6536" s="7" t="str">
        <f>IF('Document Workflow'!A6535&lt;&gt;"",'Document Workflow'!A6535,"")</f>
        <v/>
      </c>
    </row>
    <row r="6537" spans="1:1">
      <c r="A6537" s="7" t="str">
        <f>IF('Document Workflow'!A6536&lt;&gt;"",'Document Workflow'!A6536,"")</f>
        <v/>
      </c>
    </row>
    <row r="6538" spans="1:1">
      <c r="A6538" s="7" t="str">
        <f>IF('Document Workflow'!A6537&lt;&gt;"",'Document Workflow'!A6537,"")</f>
        <v/>
      </c>
    </row>
    <row r="6539" spans="1:1">
      <c r="A6539" s="7" t="str">
        <f>IF('Document Workflow'!A6538&lt;&gt;"",'Document Workflow'!A6538,"")</f>
        <v/>
      </c>
    </row>
    <row r="6540" spans="1:1">
      <c r="A6540" s="7" t="str">
        <f>IF('Document Workflow'!A6539&lt;&gt;"",'Document Workflow'!A6539,"")</f>
        <v/>
      </c>
    </row>
    <row r="6541" spans="1:1">
      <c r="A6541" s="7" t="str">
        <f>IF('Document Workflow'!A6540&lt;&gt;"",'Document Workflow'!A6540,"")</f>
        <v/>
      </c>
    </row>
    <row r="6542" spans="1:1">
      <c r="A6542" s="7" t="str">
        <f>IF('Document Workflow'!A6541&lt;&gt;"",'Document Workflow'!A6541,"")</f>
        <v/>
      </c>
    </row>
    <row r="6543" spans="1:1">
      <c r="A6543" s="7" t="str">
        <f>IF('Document Workflow'!A6542&lt;&gt;"",'Document Workflow'!A6542,"")</f>
        <v/>
      </c>
    </row>
    <row r="6544" spans="1:1">
      <c r="A6544" s="7" t="str">
        <f>IF('Document Workflow'!A6543&lt;&gt;"",'Document Workflow'!A6543,"")</f>
        <v/>
      </c>
    </row>
    <row r="6545" spans="1:1">
      <c r="A6545" s="7" t="str">
        <f>IF('Document Workflow'!A6544&lt;&gt;"",'Document Workflow'!A6544,"")</f>
        <v/>
      </c>
    </row>
    <row r="6546" spans="1:1">
      <c r="A6546" s="7" t="str">
        <f>IF('Document Workflow'!A6545&lt;&gt;"",'Document Workflow'!A6545,"")</f>
        <v/>
      </c>
    </row>
    <row r="6547" spans="1:1">
      <c r="A6547" s="7" t="str">
        <f>IF('Document Workflow'!A6546&lt;&gt;"",'Document Workflow'!A6546,"")</f>
        <v/>
      </c>
    </row>
    <row r="6548" spans="1:1">
      <c r="A6548" s="7" t="str">
        <f>IF('Document Workflow'!A6547&lt;&gt;"",'Document Workflow'!A6547,"")</f>
        <v/>
      </c>
    </row>
    <row r="6549" spans="1:1">
      <c r="A6549" s="7" t="str">
        <f>IF('Document Workflow'!A6548&lt;&gt;"",'Document Workflow'!A6548,"")</f>
        <v/>
      </c>
    </row>
    <row r="6550" spans="1:1">
      <c r="A6550" s="7" t="str">
        <f>IF('Document Workflow'!A6549&lt;&gt;"",'Document Workflow'!A6549,"")</f>
        <v/>
      </c>
    </row>
    <row r="6551" spans="1:1">
      <c r="A6551" s="7" t="str">
        <f>IF('Document Workflow'!A6550&lt;&gt;"",'Document Workflow'!A6550,"")</f>
        <v/>
      </c>
    </row>
    <row r="6552" spans="1:1">
      <c r="A6552" s="7" t="str">
        <f>IF('Document Workflow'!A6551&lt;&gt;"",'Document Workflow'!A6551,"")</f>
        <v/>
      </c>
    </row>
    <row r="6553" spans="1:1">
      <c r="A6553" s="7" t="str">
        <f>IF('Document Workflow'!A6552&lt;&gt;"",'Document Workflow'!A6552,"")</f>
        <v/>
      </c>
    </row>
    <row r="6554" spans="1:1">
      <c r="A6554" s="7" t="str">
        <f>IF('Document Workflow'!A6553&lt;&gt;"",'Document Workflow'!A6553,"")</f>
        <v/>
      </c>
    </row>
    <row r="6555" spans="1:1">
      <c r="A6555" s="7" t="str">
        <f>IF('Document Workflow'!A6554&lt;&gt;"",'Document Workflow'!A6554,"")</f>
        <v/>
      </c>
    </row>
    <row r="6556" spans="1:1">
      <c r="A6556" s="7" t="str">
        <f>IF('Document Workflow'!A6555&lt;&gt;"",'Document Workflow'!A6555,"")</f>
        <v/>
      </c>
    </row>
    <row r="6557" spans="1:1">
      <c r="A6557" s="7" t="str">
        <f>IF('Document Workflow'!A6556&lt;&gt;"",'Document Workflow'!A6556,"")</f>
        <v/>
      </c>
    </row>
    <row r="6558" spans="1:1">
      <c r="A6558" s="7" t="str">
        <f>IF('Document Workflow'!A6557&lt;&gt;"",'Document Workflow'!A6557,"")</f>
        <v/>
      </c>
    </row>
    <row r="6559" spans="1:1">
      <c r="A6559" s="7" t="str">
        <f>IF('Document Workflow'!A6558&lt;&gt;"",'Document Workflow'!A6558,"")</f>
        <v/>
      </c>
    </row>
    <row r="6560" spans="1:1">
      <c r="A6560" s="7" t="str">
        <f>IF('Document Workflow'!A6559&lt;&gt;"",'Document Workflow'!A6559,"")</f>
        <v/>
      </c>
    </row>
    <row r="6561" spans="1:1">
      <c r="A6561" s="7" t="str">
        <f>IF('Document Workflow'!A6560&lt;&gt;"",'Document Workflow'!A6560,"")</f>
        <v/>
      </c>
    </row>
    <row r="6562" spans="1:1">
      <c r="A6562" s="7" t="str">
        <f>IF('Document Workflow'!A6561&lt;&gt;"",'Document Workflow'!A6561,"")</f>
        <v/>
      </c>
    </row>
    <row r="6563" spans="1:1">
      <c r="A6563" s="7" t="str">
        <f>IF('Document Workflow'!A6562&lt;&gt;"",'Document Workflow'!A6562,"")</f>
        <v/>
      </c>
    </row>
    <row r="6564" spans="1:1">
      <c r="A6564" s="7" t="str">
        <f>IF('Document Workflow'!A6563&lt;&gt;"",'Document Workflow'!A6563,"")</f>
        <v/>
      </c>
    </row>
    <row r="6565" spans="1:1">
      <c r="A6565" s="7" t="str">
        <f>IF('Document Workflow'!A6564&lt;&gt;"",'Document Workflow'!A6564,"")</f>
        <v/>
      </c>
    </row>
    <row r="6566" spans="1:1">
      <c r="A6566" s="7" t="str">
        <f>IF('Document Workflow'!A6565&lt;&gt;"",'Document Workflow'!A6565,"")</f>
        <v/>
      </c>
    </row>
    <row r="6567" spans="1:1">
      <c r="A6567" s="7" t="str">
        <f>IF('Document Workflow'!A6566&lt;&gt;"",'Document Workflow'!A6566,"")</f>
        <v/>
      </c>
    </row>
    <row r="6568" spans="1:1">
      <c r="A6568" s="7" t="str">
        <f>IF('Document Workflow'!A6567&lt;&gt;"",'Document Workflow'!A6567,"")</f>
        <v/>
      </c>
    </row>
    <row r="6569" spans="1:1">
      <c r="A6569" s="7" t="str">
        <f>IF('Document Workflow'!A6568&lt;&gt;"",'Document Workflow'!A6568,"")</f>
        <v/>
      </c>
    </row>
    <row r="6570" spans="1:1">
      <c r="A6570" s="7" t="str">
        <f>IF('Document Workflow'!A6569&lt;&gt;"",'Document Workflow'!A6569,"")</f>
        <v/>
      </c>
    </row>
    <row r="6571" spans="1:1">
      <c r="A6571" s="7" t="str">
        <f>IF('Document Workflow'!A6570&lt;&gt;"",'Document Workflow'!A6570,"")</f>
        <v/>
      </c>
    </row>
    <row r="6572" spans="1:1">
      <c r="A6572" s="7" t="str">
        <f>IF('Document Workflow'!A6571&lt;&gt;"",'Document Workflow'!A6571,"")</f>
        <v/>
      </c>
    </row>
    <row r="6573" spans="1:1">
      <c r="A6573" s="7" t="str">
        <f>IF('Document Workflow'!A6572&lt;&gt;"",'Document Workflow'!A6572,"")</f>
        <v/>
      </c>
    </row>
    <row r="6574" spans="1:1">
      <c r="A6574" s="7" t="str">
        <f>IF('Document Workflow'!A6573&lt;&gt;"",'Document Workflow'!A6573,"")</f>
        <v/>
      </c>
    </row>
    <row r="6575" spans="1:1">
      <c r="A6575" s="7" t="str">
        <f>IF('Document Workflow'!A6574&lt;&gt;"",'Document Workflow'!A6574,"")</f>
        <v/>
      </c>
    </row>
    <row r="6576" spans="1:1">
      <c r="A6576" s="7" t="str">
        <f>IF('Document Workflow'!A6575&lt;&gt;"",'Document Workflow'!A6575,"")</f>
        <v/>
      </c>
    </row>
    <row r="6577" spans="1:1">
      <c r="A6577" s="7" t="str">
        <f>IF('Document Workflow'!A6576&lt;&gt;"",'Document Workflow'!A6576,"")</f>
        <v/>
      </c>
    </row>
    <row r="6578" spans="1:1">
      <c r="A6578" s="7" t="str">
        <f>IF('Document Workflow'!A6577&lt;&gt;"",'Document Workflow'!A6577,"")</f>
        <v/>
      </c>
    </row>
    <row r="6579" spans="1:1">
      <c r="A6579" s="7" t="str">
        <f>IF('Document Workflow'!A6578&lt;&gt;"",'Document Workflow'!A6578,"")</f>
        <v/>
      </c>
    </row>
    <row r="6580" spans="1:1">
      <c r="A6580" s="7" t="str">
        <f>IF('Document Workflow'!A6579&lt;&gt;"",'Document Workflow'!A6579,"")</f>
        <v/>
      </c>
    </row>
    <row r="6581" spans="1:1">
      <c r="A6581" s="7" t="str">
        <f>IF('Document Workflow'!A6580&lt;&gt;"",'Document Workflow'!A6580,"")</f>
        <v/>
      </c>
    </row>
    <row r="6582" spans="1:1">
      <c r="A6582" s="7" t="str">
        <f>IF('Document Workflow'!A6581&lt;&gt;"",'Document Workflow'!A6581,"")</f>
        <v/>
      </c>
    </row>
    <row r="6583" spans="1:1">
      <c r="A6583" s="7" t="str">
        <f>IF('Document Workflow'!A6582&lt;&gt;"",'Document Workflow'!A6582,"")</f>
        <v/>
      </c>
    </row>
    <row r="6584" spans="1:1">
      <c r="A6584" s="7" t="str">
        <f>IF('Document Workflow'!A6583&lt;&gt;"",'Document Workflow'!A6583,"")</f>
        <v/>
      </c>
    </row>
    <row r="6585" spans="1:1">
      <c r="A6585" s="7" t="str">
        <f>IF('Document Workflow'!A6584&lt;&gt;"",'Document Workflow'!A6584,"")</f>
        <v/>
      </c>
    </row>
    <row r="6586" spans="1:1">
      <c r="A6586" s="7" t="str">
        <f>IF('Document Workflow'!A6585&lt;&gt;"",'Document Workflow'!A6585,"")</f>
        <v/>
      </c>
    </row>
    <row r="6587" spans="1:1">
      <c r="A6587" s="7" t="str">
        <f>IF('Document Workflow'!A6586&lt;&gt;"",'Document Workflow'!A6586,"")</f>
        <v/>
      </c>
    </row>
    <row r="6588" spans="1:1">
      <c r="A6588" s="7" t="str">
        <f>IF('Document Workflow'!A6587&lt;&gt;"",'Document Workflow'!A6587,"")</f>
        <v/>
      </c>
    </row>
    <row r="6589" spans="1:1">
      <c r="A6589" s="7" t="str">
        <f>IF('Document Workflow'!A6588&lt;&gt;"",'Document Workflow'!A6588,"")</f>
        <v/>
      </c>
    </row>
    <row r="6590" spans="1:1">
      <c r="A6590" s="7" t="str">
        <f>IF('Document Workflow'!A6589&lt;&gt;"",'Document Workflow'!A6589,"")</f>
        <v/>
      </c>
    </row>
    <row r="6591" spans="1:1">
      <c r="A6591" s="7" t="str">
        <f>IF('Document Workflow'!A6590&lt;&gt;"",'Document Workflow'!A6590,"")</f>
        <v/>
      </c>
    </row>
    <row r="6592" spans="1:1">
      <c r="A6592" s="7" t="str">
        <f>IF('Document Workflow'!A6591&lt;&gt;"",'Document Workflow'!A6591,"")</f>
        <v/>
      </c>
    </row>
    <row r="6593" spans="1:1">
      <c r="A6593" s="7" t="str">
        <f>IF('Document Workflow'!A6592&lt;&gt;"",'Document Workflow'!A6592,"")</f>
        <v/>
      </c>
    </row>
    <row r="6594" spans="1:1">
      <c r="A6594" s="7" t="str">
        <f>IF('Document Workflow'!A6593&lt;&gt;"",'Document Workflow'!A6593,"")</f>
        <v/>
      </c>
    </row>
    <row r="6595" spans="1:1">
      <c r="A6595" s="7" t="str">
        <f>IF('Document Workflow'!A6594&lt;&gt;"",'Document Workflow'!A6594,"")</f>
        <v/>
      </c>
    </row>
    <row r="6596" spans="1:1">
      <c r="A6596" s="7" t="str">
        <f>IF('Document Workflow'!A6595&lt;&gt;"",'Document Workflow'!A6595,"")</f>
        <v/>
      </c>
    </row>
    <row r="6597" spans="1:1">
      <c r="A6597" s="7" t="str">
        <f>IF('Document Workflow'!A6596&lt;&gt;"",'Document Workflow'!A6596,"")</f>
        <v/>
      </c>
    </row>
    <row r="6598" spans="1:1">
      <c r="A6598" s="7" t="str">
        <f>IF('Document Workflow'!A6597&lt;&gt;"",'Document Workflow'!A6597,"")</f>
        <v/>
      </c>
    </row>
    <row r="6599" spans="1:1">
      <c r="A6599" s="7" t="str">
        <f>IF('Document Workflow'!A6598&lt;&gt;"",'Document Workflow'!A6598,"")</f>
        <v/>
      </c>
    </row>
    <row r="6600" spans="1:1">
      <c r="A6600" s="7" t="str">
        <f>IF('Document Workflow'!A6599&lt;&gt;"",'Document Workflow'!A6599,"")</f>
        <v/>
      </c>
    </row>
    <row r="6601" spans="1:1">
      <c r="A6601" s="7" t="str">
        <f>IF('Document Workflow'!A6600&lt;&gt;"",'Document Workflow'!A6600,"")</f>
        <v/>
      </c>
    </row>
    <row r="6602" spans="1:1">
      <c r="A6602" s="7" t="str">
        <f>IF('Document Workflow'!A6601&lt;&gt;"",'Document Workflow'!A6601,"")</f>
        <v/>
      </c>
    </row>
    <row r="6603" spans="1:1">
      <c r="A6603" s="7" t="str">
        <f>IF('Document Workflow'!A6602&lt;&gt;"",'Document Workflow'!A6602,"")</f>
        <v/>
      </c>
    </row>
    <row r="6604" spans="1:1">
      <c r="A6604" s="7" t="str">
        <f>IF('Document Workflow'!A6603&lt;&gt;"",'Document Workflow'!A6603,"")</f>
        <v/>
      </c>
    </row>
    <row r="6605" spans="1:1">
      <c r="A6605" s="7" t="str">
        <f>IF('Document Workflow'!A6604&lt;&gt;"",'Document Workflow'!A6604,"")</f>
        <v/>
      </c>
    </row>
    <row r="6606" spans="1:1">
      <c r="A6606" s="7" t="str">
        <f>IF('Document Workflow'!A6605&lt;&gt;"",'Document Workflow'!A6605,"")</f>
        <v/>
      </c>
    </row>
    <row r="6607" spans="1:1">
      <c r="A6607" s="7" t="str">
        <f>IF('Document Workflow'!A6606&lt;&gt;"",'Document Workflow'!A6606,"")</f>
        <v/>
      </c>
    </row>
    <row r="6608" spans="1:1">
      <c r="A6608" s="7" t="str">
        <f>IF('Document Workflow'!A6607&lt;&gt;"",'Document Workflow'!A6607,"")</f>
        <v/>
      </c>
    </row>
    <row r="6609" spans="1:1">
      <c r="A6609" s="7" t="str">
        <f>IF('Document Workflow'!A6608&lt;&gt;"",'Document Workflow'!A6608,"")</f>
        <v/>
      </c>
    </row>
    <row r="6610" spans="1:1">
      <c r="A6610" s="7" t="str">
        <f>IF('Document Workflow'!A6609&lt;&gt;"",'Document Workflow'!A6609,"")</f>
        <v/>
      </c>
    </row>
    <row r="6611" spans="1:1">
      <c r="A6611" s="7" t="str">
        <f>IF('Document Workflow'!A6610&lt;&gt;"",'Document Workflow'!A6610,"")</f>
        <v/>
      </c>
    </row>
    <row r="6612" spans="1:1">
      <c r="A6612" s="7" t="str">
        <f>IF('Document Workflow'!A6611&lt;&gt;"",'Document Workflow'!A6611,"")</f>
        <v/>
      </c>
    </row>
    <row r="6613" spans="1:1">
      <c r="A6613" s="7" t="str">
        <f>IF('Document Workflow'!A6612&lt;&gt;"",'Document Workflow'!A6612,"")</f>
        <v/>
      </c>
    </row>
    <row r="6614" spans="1:1">
      <c r="A6614" s="7" t="str">
        <f>IF('Document Workflow'!A6613&lt;&gt;"",'Document Workflow'!A6613,"")</f>
        <v/>
      </c>
    </row>
    <row r="6615" spans="1:1">
      <c r="A6615" s="7" t="str">
        <f>IF('Document Workflow'!A6614&lt;&gt;"",'Document Workflow'!A6614,"")</f>
        <v/>
      </c>
    </row>
    <row r="6616" spans="1:1">
      <c r="A6616" s="7" t="str">
        <f>IF('Document Workflow'!A6615&lt;&gt;"",'Document Workflow'!A6615,"")</f>
        <v/>
      </c>
    </row>
    <row r="6617" spans="1:1">
      <c r="A6617" s="7" t="str">
        <f>IF('Document Workflow'!A6616&lt;&gt;"",'Document Workflow'!A6616,"")</f>
        <v/>
      </c>
    </row>
    <row r="6618" spans="1:1">
      <c r="A6618" s="7" t="str">
        <f>IF('Document Workflow'!A6617&lt;&gt;"",'Document Workflow'!A6617,"")</f>
        <v/>
      </c>
    </row>
    <row r="6619" spans="1:1">
      <c r="A6619" s="7" t="str">
        <f>IF('Document Workflow'!A6618&lt;&gt;"",'Document Workflow'!A6618,"")</f>
        <v/>
      </c>
    </row>
    <row r="6620" spans="1:1">
      <c r="A6620" s="7" t="str">
        <f>IF('Document Workflow'!A6619&lt;&gt;"",'Document Workflow'!A6619,"")</f>
        <v/>
      </c>
    </row>
    <row r="6621" spans="1:1">
      <c r="A6621" s="7" t="str">
        <f>IF('Document Workflow'!A6620&lt;&gt;"",'Document Workflow'!A6620,"")</f>
        <v/>
      </c>
    </row>
    <row r="6622" spans="1:1">
      <c r="A6622" s="7" t="str">
        <f>IF('Document Workflow'!A6621&lt;&gt;"",'Document Workflow'!A6621,"")</f>
        <v/>
      </c>
    </row>
    <row r="6623" spans="1:1">
      <c r="A6623" s="7" t="str">
        <f>IF('Document Workflow'!A6622&lt;&gt;"",'Document Workflow'!A6622,"")</f>
        <v/>
      </c>
    </row>
    <row r="6624" spans="1:1">
      <c r="A6624" s="7" t="str">
        <f>IF('Document Workflow'!A6623&lt;&gt;"",'Document Workflow'!A6623,"")</f>
        <v/>
      </c>
    </row>
    <row r="6625" spans="1:1">
      <c r="A6625" s="7" t="str">
        <f>IF('Document Workflow'!A6624&lt;&gt;"",'Document Workflow'!A6624,"")</f>
        <v/>
      </c>
    </row>
    <row r="6626" spans="1:1">
      <c r="A6626" s="7" t="str">
        <f>IF('Document Workflow'!A6625&lt;&gt;"",'Document Workflow'!A6625,"")</f>
        <v/>
      </c>
    </row>
    <row r="6627" spans="1:1">
      <c r="A6627" s="7" t="str">
        <f>IF('Document Workflow'!A6626&lt;&gt;"",'Document Workflow'!A6626,"")</f>
        <v/>
      </c>
    </row>
    <row r="6628" spans="1:1">
      <c r="A6628" s="7" t="str">
        <f>IF('Document Workflow'!A6627&lt;&gt;"",'Document Workflow'!A6627,"")</f>
        <v/>
      </c>
    </row>
    <row r="6629" spans="1:1">
      <c r="A6629" s="7" t="str">
        <f>IF('Document Workflow'!A6628&lt;&gt;"",'Document Workflow'!A6628,"")</f>
        <v/>
      </c>
    </row>
    <row r="6630" spans="1:1">
      <c r="A6630" s="7" t="str">
        <f>IF('Document Workflow'!A6629&lt;&gt;"",'Document Workflow'!A6629,"")</f>
        <v/>
      </c>
    </row>
    <row r="6631" spans="1:1">
      <c r="A6631" s="7" t="str">
        <f>IF('Document Workflow'!A6630&lt;&gt;"",'Document Workflow'!A6630,"")</f>
        <v/>
      </c>
    </row>
    <row r="6632" spans="1:1">
      <c r="A6632" s="7" t="str">
        <f>IF('Document Workflow'!A6631&lt;&gt;"",'Document Workflow'!A6631,"")</f>
        <v/>
      </c>
    </row>
    <row r="6633" spans="1:1">
      <c r="A6633" s="7" t="str">
        <f>IF('Document Workflow'!A6632&lt;&gt;"",'Document Workflow'!A6632,"")</f>
        <v/>
      </c>
    </row>
    <row r="6634" spans="1:1">
      <c r="A6634" s="7" t="str">
        <f>IF('Document Workflow'!A6633&lt;&gt;"",'Document Workflow'!A6633,"")</f>
        <v/>
      </c>
    </row>
    <row r="6635" spans="1:1">
      <c r="A6635" s="7" t="str">
        <f>IF('Document Workflow'!A6634&lt;&gt;"",'Document Workflow'!A6634,"")</f>
        <v/>
      </c>
    </row>
    <row r="6636" spans="1:1">
      <c r="A6636" s="7" t="str">
        <f>IF('Document Workflow'!A6635&lt;&gt;"",'Document Workflow'!A6635,"")</f>
        <v/>
      </c>
    </row>
    <row r="6637" spans="1:1">
      <c r="A6637" s="7" t="str">
        <f>IF('Document Workflow'!A6636&lt;&gt;"",'Document Workflow'!A6636,"")</f>
        <v/>
      </c>
    </row>
    <row r="6638" spans="1:1">
      <c r="A6638" s="7" t="str">
        <f>IF('Document Workflow'!A6637&lt;&gt;"",'Document Workflow'!A6637,"")</f>
        <v/>
      </c>
    </row>
    <row r="6639" spans="1:1">
      <c r="A6639" s="7" t="str">
        <f>IF('Document Workflow'!A6638&lt;&gt;"",'Document Workflow'!A6638,"")</f>
        <v/>
      </c>
    </row>
    <row r="6640" spans="1:1">
      <c r="A6640" s="7" t="str">
        <f>IF('Document Workflow'!A6639&lt;&gt;"",'Document Workflow'!A6639,"")</f>
        <v/>
      </c>
    </row>
    <row r="6641" spans="1:1">
      <c r="A6641" s="7" t="str">
        <f>IF('Document Workflow'!A6640&lt;&gt;"",'Document Workflow'!A6640,"")</f>
        <v/>
      </c>
    </row>
    <row r="6642" spans="1:1">
      <c r="A6642" s="7" t="str">
        <f>IF('Document Workflow'!A6641&lt;&gt;"",'Document Workflow'!A6641,"")</f>
        <v/>
      </c>
    </row>
    <row r="6643" spans="1:1">
      <c r="A6643" s="7" t="str">
        <f>IF('Document Workflow'!A6642&lt;&gt;"",'Document Workflow'!A6642,"")</f>
        <v/>
      </c>
    </row>
    <row r="6644" spans="1:1">
      <c r="A6644" s="7" t="str">
        <f>IF('Document Workflow'!A6643&lt;&gt;"",'Document Workflow'!A6643,"")</f>
        <v/>
      </c>
    </row>
    <row r="6645" spans="1:1">
      <c r="A6645" s="7" t="str">
        <f>IF('Document Workflow'!A6644&lt;&gt;"",'Document Workflow'!A6644,"")</f>
        <v/>
      </c>
    </row>
    <row r="6646" spans="1:1">
      <c r="A6646" s="7" t="str">
        <f>IF('Document Workflow'!A6645&lt;&gt;"",'Document Workflow'!A6645,"")</f>
        <v/>
      </c>
    </row>
    <row r="6647" spans="1:1">
      <c r="A6647" s="7" t="str">
        <f>IF('Document Workflow'!A6646&lt;&gt;"",'Document Workflow'!A6646,"")</f>
        <v/>
      </c>
    </row>
    <row r="6648" spans="1:1">
      <c r="A6648" s="7" t="str">
        <f>IF('Document Workflow'!A6647&lt;&gt;"",'Document Workflow'!A6647,"")</f>
        <v/>
      </c>
    </row>
    <row r="6649" spans="1:1">
      <c r="A6649" s="7" t="str">
        <f>IF('Document Workflow'!A6648&lt;&gt;"",'Document Workflow'!A6648,"")</f>
        <v/>
      </c>
    </row>
    <row r="6650" spans="1:1">
      <c r="A6650" s="7" t="str">
        <f>IF('Document Workflow'!A6649&lt;&gt;"",'Document Workflow'!A6649,"")</f>
        <v/>
      </c>
    </row>
    <row r="6651" spans="1:1">
      <c r="A6651" s="7" t="str">
        <f>IF('Document Workflow'!A6650&lt;&gt;"",'Document Workflow'!A6650,"")</f>
        <v/>
      </c>
    </row>
    <row r="6652" spans="1:1">
      <c r="A6652" s="7" t="str">
        <f>IF('Document Workflow'!A6651&lt;&gt;"",'Document Workflow'!A6651,"")</f>
        <v/>
      </c>
    </row>
    <row r="6653" spans="1:1">
      <c r="A6653" s="7" t="str">
        <f>IF('Document Workflow'!A6652&lt;&gt;"",'Document Workflow'!A6652,"")</f>
        <v/>
      </c>
    </row>
    <row r="6654" spans="1:1">
      <c r="A6654" s="7" t="str">
        <f>IF('Document Workflow'!A6653&lt;&gt;"",'Document Workflow'!A6653,"")</f>
        <v/>
      </c>
    </row>
    <row r="6655" spans="1:1">
      <c r="A6655" s="7" t="str">
        <f>IF('Document Workflow'!A6654&lt;&gt;"",'Document Workflow'!A6654,"")</f>
        <v/>
      </c>
    </row>
    <row r="6656" spans="1:1">
      <c r="A6656" s="7" t="str">
        <f>IF('Document Workflow'!A6655&lt;&gt;"",'Document Workflow'!A6655,"")</f>
        <v/>
      </c>
    </row>
    <row r="6657" spans="1:1">
      <c r="A6657" s="7" t="str">
        <f>IF('Document Workflow'!A6656&lt;&gt;"",'Document Workflow'!A6656,"")</f>
        <v/>
      </c>
    </row>
    <row r="6658" spans="1:1">
      <c r="A6658" s="7" t="str">
        <f>IF('Document Workflow'!A6657&lt;&gt;"",'Document Workflow'!A6657,"")</f>
        <v/>
      </c>
    </row>
    <row r="6659" spans="1:1">
      <c r="A6659" s="7" t="str">
        <f>IF('Document Workflow'!A6658&lt;&gt;"",'Document Workflow'!A6658,"")</f>
        <v/>
      </c>
    </row>
    <row r="6660" spans="1:1">
      <c r="A6660" s="7" t="str">
        <f>IF('Document Workflow'!A6659&lt;&gt;"",'Document Workflow'!A6659,"")</f>
        <v/>
      </c>
    </row>
    <row r="6661" spans="1:1">
      <c r="A6661" s="7" t="str">
        <f>IF('Document Workflow'!A6660&lt;&gt;"",'Document Workflow'!A6660,"")</f>
        <v/>
      </c>
    </row>
    <row r="6662" spans="1:1">
      <c r="A6662" s="7" t="str">
        <f>IF('Document Workflow'!A6661&lt;&gt;"",'Document Workflow'!A6661,"")</f>
        <v/>
      </c>
    </row>
    <row r="6663" spans="1:1">
      <c r="A6663" s="7" t="str">
        <f>IF('Document Workflow'!A6662&lt;&gt;"",'Document Workflow'!A6662,"")</f>
        <v/>
      </c>
    </row>
    <row r="6664" spans="1:1">
      <c r="A6664" s="7" t="str">
        <f>IF('Document Workflow'!A6663&lt;&gt;"",'Document Workflow'!A6663,"")</f>
        <v/>
      </c>
    </row>
    <row r="6665" spans="1:1">
      <c r="A6665" s="7" t="str">
        <f>IF('Document Workflow'!A6664&lt;&gt;"",'Document Workflow'!A6664,"")</f>
        <v/>
      </c>
    </row>
    <row r="6666" spans="1:1">
      <c r="A6666" s="7" t="str">
        <f>IF('Document Workflow'!A6665&lt;&gt;"",'Document Workflow'!A6665,"")</f>
        <v/>
      </c>
    </row>
    <row r="6667" spans="1:1">
      <c r="A6667" s="7" t="str">
        <f>IF('Document Workflow'!A6666&lt;&gt;"",'Document Workflow'!A6666,"")</f>
        <v/>
      </c>
    </row>
    <row r="6668" spans="1:1">
      <c r="A6668" s="7" t="str">
        <f>IF('Document Workflow'!A6667&lt;&gt;"",'Document Workflow'!A6667,"")</f>
        <v/>
      </c>
    </row>
    <row r="6669" spans="1:1">
      <c r="A6669" s="7" t="str">
        <f>IF('Document Workflow'!A6668&lt;&gt;"",'Document Workflow'!A6668,"")</f>
        <v/>
      </c>
    </row>
    <row r="6670" spans="1:1">
      <c r="A6670" s="7" t="str">
        <f>IF('Document Workflow'!A6669&lt;&gt;"",'Document Workflow'!A6669,"")</f>
        <v/>
      </c>
    </row>
    <row r="6671" spans="1:1">
      <c r="A6671" s="7" t="str">
        <f>IF('Document Workflow'!A6670&lt;&gt;"",'Document Workflow'!A6670,"")</f>
        <v/>
      </c>
    </row>
    <row r="6672" spans="1:1">
      <c r="A6672" s="7" t="str">
        <f>IF('Document Workflow'!A6671&lt;&gt;"",'Document Workflow'!A6671,"")</f>
        <v/>
      </c>
    </row>
    <row r="6673" spans="1:1">
      <c r="A6673" s="7" t="str">
        <f>IF('Document Workflow'!A6672&lt;&gt;"",'Document Workflow'!A6672,"")</f>
        <v/>
      </c>
    </row>
    <row r="6674" spans="1:1">
      <c r="A6674" s="7" t="str">
        <f>IF('Document Workflow'!A6673&lt;&gt;"",'Document Workflow'!A6673,"")</f>
        <v/>
      </c>
    </row>
    <row r="6675" spans="1:1">
      <c r="A6675" s="7" t="str">
        <f>IF('Document Workflow'!A6674&lt;&gt;"",'Document Workflow'!A6674,"")</f>
        <v/>
      </c>
    </row>
    <row r="6676" spans="1:1">
      <c r="A6676" s="7" t="str">
        <f>IF('Document Workflow'!A6675&lt;&gt;"",'Document Workflow'!A6675,"")</f>
        <v/>
      </c>
    </row>
    <row r="6677" spans="1:1">
      <c r="A6677" s="7" t="str">
        <f>IF('Document Workflow'!A6676&lt;&gt;"",'Document Workflow'!A6676,"")</f>
        <v/>
      </c>
    </row>
    <row r="6678" spans="1:1">
      <c r="A6678" s="7" t="str">
        <f>IF('Document Workflow'!A6677&lt;&gt;"",'Document Workflow'!A6677,"")</f>
        <v/>
      </c>
    </row>
    <row r="6679" spans="1:1">
      <c r="A6679" s="7" t="str">
        <f>IF('Document Workflow'!A6678&lt;&gt;"",'Document Workflow'!A6678,"")</f>
        <v/>
      </c>
    </row>
    <row r="6680" spans="1:1">
      <c r="A6680" s="7" t="str">
        <f>IF('Document Workflow'!A6679&lt;&gt;"",'Document Workflow'!A6679,"")</f>
        <v/>
      </c>
    </row>
    <row r="6681" spans="1:1">
      <c r="A6681" s="7" t="str">
        <f>IF('Document Workflow'!A6680&lt;&gt;"",'Document Workflow'!A6680,"")</f>
        <v/>
      </c>
    </row>
    <row r="6682" spans="1:1">
      <c r="A6682" s="7" t="str">
        <f>IF('Document Workflow'!A6681&lt;&gt;"",'Document Workflow'!A6681,"")</f>
        <v/>
      </c>
    </row>
    <row r="6683" spans="1:1">
      <c r="A6683" s="7" t="str">
        <f>IF('Document Workflow'!A6682&lt;&gt;"",'Document Workflow'!A6682,"")</f>
        <v/>
      </c>
    </row>
    <row r="6684" spans="1:1">
      <c r="A6684" s="7" t="str">
        <f>IF('Document Workflow'!A6683&lt;&gt;"",'Document Workflow'!A6683,"")</f>
        <v/>
      </c>
    </row>
    <row r="6685" spans="1:1">
      <c r="A6685" s="7" t="str">
        <f>IF('Document Workflow'!A6684&lt;&gt;"",'Document Workflow'!A6684,"")</f>
        <v/>
      </c>
    </row>
    <row r="6686" spans="1:1">
      <c r="A6686" s="7" t="str">
        <f>IF('Document Workflow'!A6685&lt;&gt;"",'Document Workflow'!A6685,"")</f>
        <v/>
      </c>
    </row>
    <row r="6687" spans="1:1">
      <c r="A6687" s="7" t="str">
        <f>IF('Document Workflow'!A6686&lt;&gt;"",'Document Workflow'!A6686,"")</f>
        <v/>
      </c>
    </row>
    <row r="6688" spans="1:1">
      <c r="A6688" s="7" t="str">
        <f>IF('Document Workflow'!A6687&lt;&gt;"",'Document Workflow'!A6687,"")</f>
        <v/>
      </c>
    </row>
    <row r="6689" spans="1:1">
      <c r="A6689" s="7" t="str">
        <f>IF('Document Workflow'!A6688&lt;&gt;"",'Document Workflow'!A6688,"")</f>
        <v/>
      </c>
    </row>
    <row r="6690" spans="1:1">
      <c r="A6690" s="7" t="str">
        <f>IF('Document Workflow'!A6689&lt;&gt;"",'Document Workflow'!A6689,"")</f>
        <v/>
      </c>
    </row>
    <row r="6691" spans="1:1">
      <c r="A6691" s="7" t="str">
        <f>IF('Document Workflow'!A6690&lt;&gt;"",'Document Workflow'!A6690,"")</f>
        <v/>
      </c>
    </row>
    <row r="6692" spans="1:1">
      <c r="A6692" s="7" t="str">
        <f>IF('Document Workflow'!A6691&lt;&gt;"",'Document Workflow'!A6691,"")</f>
        <v/>
      </c>
    </row>
    <row r="6693" spans="1:1">
      <c r="A6693" s="7" t="str">
        <f>IF('Document Workflow'!A6692&lt;&gt;"",'Document Workflow'!A6692,"")</f>
        <v/>
      </c>
    </row>
    <row r="6694" spans="1:1">
      <c r="A6694" s="7" t="str">
        <f>IF('Document Workflow'!A6693&lt;&gt;"",'Document Workflow'!A6693,"")</f>
        <v/>
      </c>
    </row>
    <row r="6695" spans="1:1">
      <c r="A6695" s="7" t="str">
        <f>IF('Document Workflow'!A6694&lt;&gt;"",'Document Workflow'!A6694,"")</f>
        <v/>
      </c>
    </row>
    <row r="6696" spans="1:1">
      <c r="A6696" s="7" t="str">
        <f>IF('Document Workflow'!A6695&lt;&gt;"",'Document Workflow'!A6695,"")</f>
        <v/>
      </c>
    </row>
    <row r="6697" spans="1:1">
      <c r="A6697" s="7" t="str">
        <f>IF('Document Workflow'!A6696&lt;&gt;"",'Document Workflow'!A6696,"")</f>
        <v/>
      </c>
    </row>
    <row r="6698" spans="1:1">
      <c r="A6698" s="7" t="str">
        <f>IF('Document Workflow'!A6697&lt;&gt;"",'Document Workflow'!A6697,"")</f>
        <v/>
      </c>
    </row>
    <row r="6699" spans="1:1">
      <c r="A6699" s="7" t="str">
        <f>IF('Document Workflow'!A6698&lt;&gt;"",'Document Workflow'!A6698,"")</f>
        <v/>
      </c>
    </row>
    <row r="6700" spans="1:1">
      <c r="A6700" s="7" t="str">
        <f>IF('Document Workflow'!A6699&lt;&gt;"",'Document Workflow'!A6699,"")</f>
        <v/>
      </c>
    </row>
    <row r="6701" spans="1:1">
      <c r="A6701" s="7" t="str">
        <f>IF('Document Workflow'!A6700&lt;&gt;"",'Document Workflow'!A6700,"")</f>
        <v/>
      </c>
    </row>
    <row r="6702" spans="1:1">
      <c r="A6702" s="7" t="str">
        <f>IF('Document Workflow'!A6701&lt;&gt;"",'Document Workflow'!A6701,"")</f>
        <v/>
      </c>
    </row>
    <row r="6703" spans="1:1">
      <c r="A6703" s="7" t="str">
        <f>IF('Document Workflow'!A6702&lt;&gt;"",'Document Workflow'!A6702,"")</f>
        <v/>
      </c>
    </row>
    <row r="6704" spans="1:1">
      <c r="A6704" s="7" t="str">
        <f>IF('Document Workflow'!A6703&lt;&gt;"",'Document Workflow'!A6703,"")</f>
        <v/>
      </c>
    </row>
    <row r="6705" spans="1:1">
      <c r="A6705" s="7" t="str">
        <f>IF('Document Workflow'!A6704&lt;&gt;"",'Document Workflow'!A6704,"")</f>
        <v/>
      </c>
    </row>
    <row r="6706" spans="1:1">
      <c r="A6706" s="7" t="str">
        <f>IF('Document Workflow'!A6705&lt;&gt;"",'Document Workflow'!A6705,"")</f>
        <v/>
      </c>
    </row>
    <row r="6707" spans="1:1">
      <c r="A6707" s="7" t="str">
        <f>IF('Document Workflow'!A6706&lt;&gt;"",'Document Workflow'!A6706,"")</f>
        <v/>
      </c>
    </row>
    <row r="6708" spans="1:1">
      <c r="A6708" s="7" t="str">
        <f>IF('Document Workflow'!A6707&lt;&gt;"",'Document Workflow'!A6707,"")</f>
        <v/>
      </c>
    </row>
    <row r="6709" spans="1:1">
      <c r="A6709" s="7" t="str">
        <f>IF('Document Workflow'!A6708&lt;&gt;"",'Document Workflow'!A6708,"")</f>
        <v/>
      </c>
    </row>
    <row r="6710" spans="1:1">
      <c r="A6710" s="7" t="str">
        <f>IF('Document Workflow'!A6709&lt;&gt;"",'Document Workflow'!A6709,"")</f>
        <v/>
      </c>
    </row>
    <row r="6711" spans="1:1">
      <c r="A6711" s="7" t="str">
        <f>IF('Document Workflow'!A6710&lt;&gt;"",'Document Workflow'!A6710,"")</f>
        <v/>
      </c>
    </row>
    <row r="6712" spans="1:1">
      <c r="A6712" s="7" t="str">
        <f>IF('Document Workflow'!A6711&lt;&gt;"",'Document Workflow'!A6711,"")</f>
        <v/>
      </c>
    </row>
    <row r="6713" spans="1:1">
      <c r="A6713" s="7" t="str">
        <f>IF('Document Workflow'!A6712&lt;&gt;"",'Document Workflow'!A6712,"")</f>
        <v/>
      </c>
    </row>
    <row r="6714" spans="1:1">
      <c r="A6714" s="7" t="str">
        <f>IF('Document Workflow'!A6713&lt;&gt;"",'Document Workflow'!A6713,"")</f>
        <v/>
      </c>
    </row>
    <row r="6715" spans="1:1">
      <c r="A6715" s="7" t="str">
        <f>IF('Document Workflow'!A6714&lt;&gt;"",'Document Workflow'!A6714,"")</f>
        <v/>
      </c>
    </row>
    <row r="6716" spans="1:1">
      <c r="A6716" s="7" t="str">
        <f>IF('Document Workflow'!A6715&lt;&gt;"",'Document Workflow'!A6715,"")</f>
        <v/>
      </c>
    </row>
    <row r="6717" spans="1:1">
      <c r="A6717" s="7" t="str">
        <f>IF('Document Workflow'!A6716&lt;&gt;"",'Document Workflow'!A6716,"")</f>
        <v/>
      </c>
    </row>
    <row r="6718" spans="1:1">
      <c r="A6718" s="7" t="str">
        <f>IF('Document Workflow'!A6717&lt;&gt;"",'Document Workflow'!A6717,"")</f>
        <v/>
      </c>
    </row>
    <row r="6719" spans="1:1">
      <c r="A6719" s="7" t="str">
        <f>IF('Document Workflow'!A6718&lt;&gt;"",'Document Workflow'!A6718,"")</f>
        <v/>
      </c>
    </row>
    <row r="6720" spans="1:1">
      <c r="A6720" s="7" t="str">
        <f>IF('Document Workflow'!A6719&lt;&gt;"",'Document Workflow'!A6719,"")</f>
        <v/>
      </c>
    </row>
    <row r="6721" spans="1:1">
      <c r="A6721" s="7" t="str">
        <f>IF('Document Workflow'!A6720&lt;&gt;"",'Document Workflow'!A6720,"")</f>
        <v/>
      </c>
    </row>
    <row r="6722" spans="1:1">
      <c r="A6722" s="7" t="str">
        <f>IF('Document Workflow'!A6721&lt;&gt;"",'Document Workflow'!A6721,"")</f>
        <v/>
      </c>
    </row>
    <row r="6723" spans="1:1">
      <c r="A6723" s="7" t="str">
        <f>IF('Document Workflow'!A6722&lt;&gt;"",'Document Workflow'!A6722,"")</f>
        <v/>
      </c>
    </row>
    <row r="6724" spans="1:1">
      <c r="A6724" s="7" t="str">
        <f>IF('Document Workflow'!A6723&lt;&gt;"",'Document Workflow'!A6723,"")</f>
        <v/>
      </c>
    </row>
    <row r="6725" spans="1:1">
      <c r="A6725" s="7" t="str">
        <f>IF('Document Workflow'!A6724&lt;&gt;"",'Document Workflow'!A6724,"")</f>
        <v/>
      </c>
    </row>
    <row r="6726" spans="1:1">
      <c r="A6726" s="7" t="str">
        <f>IF('Document Workflow'!A6725&lt;&gt;"",'Document Workflow'!A6725,"")</f>
        <v/>
      </c>
    </row>
    <row r="6727" spans="1:1">
      <c r="A6727" s="7" t="str">
        <f>IF('Document Workflow'!A6726&lt;&gt;"",'Document Workflow'!A6726,"")</f>
        <v/>
      </c>
    </row>
    <row r="6728" spans="1:1">
      <c r="A6728" s="7" t="str">
        <f>IF('Document Workflow'!A6727&lt;&gt;"",'Document Workflow'!A6727,"")</f>
        <v/>
      </c>
    </row>
    <row r="6729" spans="1:1">
      <c r="A6729" s="7" t="str">
        <f>IF('Document Workflow'!A6728&lt;&gt;"",'Document Workflow'!A6728,"")</f>
        <v/>
      </c>
    </row>
    <row r="6730" spans="1:1">
      <c r="A6730" s="7" t="str">
        <f>IF('Document Workflow'!A6729&lt;&gt;"",'Document Workflow'!A6729,"")</f>
        <v/>
      </c>
    </row>
    <row r="6731" spans="1:1">
      <c r="A6731" s="7" t="str">
        <f>IF('Document Workflow'!A6730&lt;&gt;"",'Document Workflow'!A6730,"")</f>
        <v/>
      </c>
    </row>
    <row r="6732" spans="1:1">
      <c r="A6732" s="7" t="str">
        <f>IF('Document Workflow'!A6731&lt;&gt;"",'Document Workflow'!A6731,"")</f>
        <v/>
      </c>
    </row>
    <row r="6733" spans="1:1">
      <c r="A6733" s="7" t="str">
        <f>IF('Document Workflow'!A6732&lt;&gt;"",'Document Workflow'!A6732,"")</f>
        <v/>
      </c>
    </row>
    <row r="6734" spans="1:1">
      <c r="A6734" s="7" t="str">
        <f>IF('Document Workflow'!A6733&lt;&gt;"",'Document Workflow'!A6733,"")</f>
        <v/>
      </c>
    </row>
    <row r="6735" spans="1:1">
      <c r="A6735" s="7" t="str">
        <f>IF('Document Workflow'!A6734&lt;&gt;"",'Document Workflow'!A6734,"")</f>
        <v/>
      </c>
    </row>
    <row r="6736" spans="1:1">
      <c r="A6736" s="7" t="str">
        <f>IF('Document Workflow'!A6735&lt;&gt;"",'Document Workflow'!A6735,"")</f>
        <v/>
      </c>
    </row>
    <row r="6737" spans="1:1">
      <c r="A6737" s="7" t="str">
        <f>IF('Document Workflow'!A6736&lt;&gt;"",'Document Workflow'!A6736,"")</f>
        <v/>
      </c>
    </row>
    <row r="6738" spans="1:1">
      <c r="A6738" s="7" t="str">
        <f>IF('Document Workflow'!A6737&lt;&gt;"",'Document Workflow'!A6737,"")</f>
        <v/>
      </c>
    </row>
    <row r="6739" spans="1:1">
      <c r="A6739" s="7" t="str">
        <f>IF('Document Workflow'!A6738&lt;&gt;"",'Document Workflow'!A6738,"")</f>
        <v/>
      </c>
    </row>
    <row r="6740" spans="1:1">
      <c r="A6740" s="7" t="str">
        <f>IF('Document Workflow'!A6739&lt;&gt;"",'Document Workflow'!A6739,"")</f>
        <v/>
      </c>
    </row>
    <row r="6741" spans="1:1">
      <c r="A6741" s="7" t="str">
        <f>IF('Document Workflow'!A6740&lt;&gt;"",'Document Workflow'!A6740,"")</f>
        <v/>
      </c>
    </row>
    <row r="6742" spans="1:1">
      <c r="A6742" s="7" t="str">
        <f>IF('Document Workflow'!A6741&lt;&gt;"",'Document Workflow'!A6741,"")</f>
        <v/>
      </c>
    </row>
    <row r="6743" spans="1:1">
      <c r="A6743" s="7" t="str">
        <f>IF('Document Workflow'!A6742&lt;&gt;"",'Document Workflow'!A6742,"")</f>
        <v/>
      </c>
    </row>
    <row r="6744" spans="1:1">
      <c r="A6744" s="7" t="str">
        <f>IF('Document Workflow'!A6743&lt;&gt;"",'Document Workflow'!A6743,"")</f>
        <v/>
      </c>
    </row>
    <row r="6745" spans="1:1">
      <c r="A6745" s="7" t="str">
        <f>IF('Document Workflow'!A6744&lt;&gt;"",'Document Workflow'!A6744,"")</f>
        <v/>
      </c>
    </row>
    <row r="6746" spans="1:1">
      <c r="A6746" s="7" t="str">
        <f>IF('Document Workflow'!A6745&lt;&gt;"",'Document Workflow'!A6745,"")</f>
        <v/>
      </c>
    </row>
    <row r="6747" spans="1:1">
      <c r="A6747" s="7" t="str">
        <f>IF('Document Workflow'!A6746&lt;&gt;"",'Document Workflow'!A6746,"")</f>
        <v/>
      </c>
    </row>
    <row r="6748" spans="1:1">
      <c r="A6748" s="7" t="str">
        <f>IF('Document Workflow'!A6747&lt;&gt;"",'Document Workflow'!A6747,"")</f>
        <v/>
      </c>
    </row>
    <row r="6749" spans="1:1">
      <c r="A6749" s="7" t="str">
        <f>IF('Document Workflow'!A6748&lt;&gt;"",'Document Workflow'!A6748,"")</f>
        <v/>
      </c>
    </row>
    <row r="6750" spans="1:1">
      <c r="A6750" s="7" t="str">
        <f>IF('Document Workflow'!A6749&lt;&gt;"",'Document Workflow'!A6749,"")</f>
        <v/>
      </c>
    </row>
    <row r="6751" spans="1:1">
      <c r="A6751" s="7" t="str">
        <f>IF('Document Workflow'!A6750&lt;&gt;"",'Document Workflow'!A6750,"")</f>
        <v/>
      </c>
    </row>
    <row r="6752" spans="1:1">
      <c r="A6752" s="7" t="str">
        <f>IF('Document Workflow'!A6751&lt;&gt;"",'Document Workflow'!A6751,"")</f>
        <v/>
      </c>
    </row>
    <row r="6753" spans="1:1">
      <c r="A6753" s="7" t="str">
        <f>IF('Document Workflow'!A6752&lt;&gt;"",'Document Workflow'!A6752,"")</f>
        <v/>
      </c>
    </row>
    <row r="6754" spans="1:1">
      <c r="A6754" s="7" t="str">
        <f>IF('Document Workflow'!A6753&lt;&gt;"",'Document Workflow'!A6753,"")</f>
        <v/>
      </c>
    </row>
    <row r="6755" spans="1:1">
      <c r="A6755" s="7" t="str">
        <f>IF('Document Workflow'!A6754&lt;&gt;"",'Document Workflow'!A6754,"")</f>
        <v/>
      </c>
    </row>
    <row r="6756" spans="1:1">
      <c r="A6756" s="7" t="str">
        <f>IF('Document Workflow'!A6755&lt;&gt;"",'Document Workflow'!A6755,"")</f>
        <v/>
      </c>
    </row>
    <row r="6757" spans="1:1">
      <c r="A6757" s="7" t="str">
        <f>IF('Document Workflow'!A6756&lt;&gt;"",'Document Workflow'!A6756,"")</f>
        <v/>
      </c>
    </row>
    <row r="6758" spans="1:1">
      <c r="A6758" s="7" t="str">
        <f>IF('Document Workflow'!A6757&lt;&gt;"",'Document Workflow'!A6757,"")</f>
        <v/>
      </c>
    </row>
    <row r="6759" spans="1:1">
      <c r="A6759" s="7" t="str">
        <f>IF('Document Workflow'!A6758&lt;&gt;"",'Document Workflow'!A6758,"")</f>
        <v/>
      </c>
    </row>
    <row r="6760" spans="1:1">
      <c r="A6760" s="7" t="str">
        <f>IF('Document Workflow'!A6759&lt;&gt;"",'Document Workflow'!A6759,"")</f>
        <v/>
      </c>
    </row>
    <row r="6761" spans="1:1">
      <c r="A6761" s="7" t="str">
        <f>IF('Document Workflow'!A6760&lt;&gt;"",'Document Workflow'!A6760,"")</f>
        <v/>
      </c>
    </row>
    <row r="6762" spans="1:1">
      <c r="A6762" s="7" t="str">
        <f>IF('Document Workflow'!A6761&lt;&gt;"",'Document Workflow'!A6761,"")</f>
        <v/>
      </c>
    </row>
    <row r="6763" spans="1:1">
      <c r="A6763" s="7" t="str">
        <f>IF('Document Workflow'!A6762&lt;&gt;"",'Document Workflow'!A6762,"")</f>
        <v/>
      </c>
    </row>
    <row r="6764" spans="1:1">
      <c r="A6764" s="7" t="str">
        <f>IF('Document Workflow'!A6763&lt;&gt;"",'Document Workflow'!A6763,"")</f>
        <v/>
      </c>
    </row>
    <row r="6765" spans="1:1">
      <c r="A6765" s="7" t="str">
        <f>IF('Document Workflow'!A6764&lt;&gt;"",'Document Workflow'!A6764,"")</f>
        <v/>
      </c>
    </row>
    <row r="6766" spans="1:1">
      <c r="A6766" s="7" t="str">
        <f>IF('Document Workflow'!A6765&lt;&gt;"",'Document Workflow'!A6765,"")</f>
        <v/>
      </c>
    </row>
    <row r="6767" spans="1:1">
      <c r="A6767" s="7" t="str">
        <f>IF('Document Workflow'!A6766&lt;&gt;"",'Document Workflow'!A6766,"")</f>
        <v/>
      </c>
    </row>
    <row r="6768" spans="1:1">
      <c r="A6768" s="7" t="str">
        <f>IF('Document Workflow'!A6767&lt;&gt;"",'Document Workflow'!A6767,"")</f>
        <v/>
      </c>
    </row>
    <row r="6769" spans="1:1">
      <c r="A6769" s="7" t="str">
        <f>IF('Document Workflow'!A6768&lt;&gt;"",'Document Workflow'!A6768,"")</f>
        <v/>
      </c>
    </row>
    <row r="6770" spans="1:1">
      <c r="A6770" s="7" t="str">
        <f>IF('Document Workflow'!A6769&lt;&gt;"",'Document Workflow'!A6769,"")</f>
        <v/>
      </c>
    </row>
    <row r="6771" spans="1:1">
      <c r="A6771" s="7" t="str">
        <f>IF('Document Workflow'!A6770&lt;&gt;"",'Document Workflow'!A6770,"")</f>
        <v/>
      </c>
    </row>
    <row r="6772" spans="1:1">
      <c r="A6772" s="7" t="str">
        <f>IF('Document Workflow'!A6771&lt;&gt;"",'Document Workflow'!A6771,"")</f>
        <v/>
      </c>
    </row>
    <row r="6773" spans="1:1">
      <c r="A6773" s="7" t="str">
        <f>IF('Document Workflow'!A6772&lt;&gt;"",'Document Workflow'!A6772,"")</f>
        <v/>
      </c>
    </row>
    <row r="6774" spans="1:1">
      <c r="A6774" s="7" t="str">
        <f>IF('Document Workflow'!A6773&lt;&gt;"",'Document Workflow'!A6773,"")</f>
        <v/>
      </c>
    </row>
    <row r="6775" spans="1:1">
      <c r="A6775" s="7" t="str">
        <f>IF('Document Workflow'!A6774&lt;&gt;"",'Document Workflow'!A6774,"")</f>
        <v/>
      </c>
    </row>
    <row r="6776" spans="1:1">
      <c r="A6776" s="7" t="str">
        <f>IF('Document Workflow'!A6775&lt;&gt;"",'Document Workflow'!A6775,"")</f>
        <v/>
      </c>
    </row>
    <row r="6777" spans="1:1">
      <c r="A6777" s="7" t="str">
        <f>IF('Document Workflow'!A6776&lt;&gt;"",'Document Workflow'!A6776,"")</f>
        <v/>
      </c>
    </row>
    <row r="6778" spans="1:1">
      <c r="A6778" s="7" t="str">
        <f>IF('Document Workflow'!A6777&lt;&gt;"",'Document Workflow'!A6777,"")</f>
        <v/>
      </c>
    </row>
    <row r="6779" spans="1:1">
      <c r="A6779" s="7" t="str">
        <f>IF('Document Workflow'!A6778&lt;&gt;"",'Document Workflow'!A6778,"")</f>
        <v/>
      </c>
    </row>
    <row r="6780" spans="1:1">
      <c r="A6780" s="7" t="str">
        <f>IF('Document Workflow'!A6779&lt;&gt;"",'Document Workflow'!A6779,"")</f>
        <v/>
      </c>
    </row>
    <row r="6781" spans="1:1">
      <c r="A6781" s="7" t="str">
        <f>IF('Document Workflow'!A6780&lt;&gt;"",'Document Workflow'!A6780,"")</f>
        <v/>
      </c>
    </row>
    <row r="6782" spans="1:1">
      <c r="A6782" s="7" t="str">
        <f>IF('Document Workflow'!A6781&lt;&gt;"",'Document Workflow'!A6781,"")</f>
        <v/>
      </c>
    </row>
    <row r="6783" spans="1:1">
      <c r="A6783" s="7" t="str">
        <f>IF('Document Workflow'!A6782&lt;&gt;"",'Document Workflow'!A6782,"")</f>
        <v/>
      </c>
    </row>
    <row r="6784" spans="1:1">
      <c r="A6784" s="7" t="str">
        <f>IF('Document Workflow'!A6783&lt;&gt;"",'Document Workflow'!A6783,"")</f>
        <v/>
      </c>
    </row>
    <row r="6785" spans="1:1">
      <c r="A6785" s="7" t="str">
        <f>IF('Document Workflow'!A6784&lt;&gt;"",'Document Workflow'!A6784,"")</f>
        <v/>
      </c>
    </row>
    <row r="6786" spans="1:1">
      <c r="A6786" s="7" t="str">
        <f>IF('Document Workflow'!A6785&lt;&gt;"",'Document Workflow'!A6785,"")</f>
        <v/>
      </c>
    </row>
    <row r="6787" spans="1:1">
      <c r="A6787" s="7" t="str">
        <f>IF('Document Workflow'!A6786&lt;&gt;"",'Document Workflow'!A6786,"")</f>
        <v/>
      </c>
    </row>
    <row r="6788" spans="1:1">
      <c r="A6788" s="7" t="str">
        <f>IF('Document Workflow'!A6787&lt;&gt;"",'Document Workflow'!A6787,"")</f>
        <v/>
      </c>
    </row>
    <row r="6789" spans="1:1">
      <c r="A6789" s="7" t="str">
        <f>IF('Document Workflow'!A6788&lt;&gt;"",'Document Workflow'!A6788,"")</f>
        <v/>
      </c>
    </row>
    <row r="6790" spans="1:1">
      <c r="A6790" s="7" t="str">
        <f>IF('Document Workflow'!A6789&lt;&gt;"",'Document Workflow'!A6789,"")</f>
        <v/>
      </c>
    </row>
    <row r="6791" spans="1:1">
      <c r="A6791" s="7" t="str">
        <f>IF('Document Workflow'!A6790&lt;&gt;"",'Document Workflow'!A6790,"")</f>
        <v/>
      </c>
    </row>
    <row r="6792" spans="1:1">
      <c r="A6792" s="7" t="str">
        <f>IF('Document Workflow'!A6791&lt;&gt;"",'Document Workflow'!A6791,"")</f>
        <v/>
      </c>
    </row>
    <row r="6793" spans="1:1">
      <c r="A6793" s="7" t="str">
        <f>IF('Document Workflow'!A6792&lt;&gt;"",'Document Workflow'!A6792,"")</f>
        <v/>
      </c>
    </row>
    <row r="6794" spans="1:1">
      <c r="A6794" s="7" t="str">
        <f>IF('Document Workflow'!A6793&lt;&gt;"",'Document Workflow'!A6793,"")</f>
        <v/>
      </c>
    </row>
    <row r="6795" spans="1:1">
      <c r="A6795" s="7" t="str">
        <f>IF('Document Workflow'!A6794&lt;&gt;"",'Document Workflow'!A6794,"")</f>
        <v/>
      </c>
    </row>
    <row r="6796" spans="1:1">
      <c r="A6796" s="7" t="str">
        <f>IF('Document Workflow'!A6795&lt;&gt;"",'Document Workflow'!A6795,"")</f>
        <v/>
      </c>
    </row>
    <row r="6797" spans="1:1">
      <c r="A6797" s="7" t="str">
        <f>IF('Document Workflow'!A6796&lt;&gt;"",'Document Workflow'!A6796,"")</f>
        <v/>
      </c>
    </row>
    <row r="6798" spans="1:1">
      <c r="A6798" s="7" t="str">
        <f>IF('Document Workflow'!A6797&lt;&gt;"",'Document Workflow'!A6797,"")</f>
        <v/>
      </c>
    </row>
    <row r="6799" spans="1:1">
      <c r="A6799" s="7" t="str">
        <f>IF('Document Workflow'!A6798&lt;&gt;"",'Document Workflow'!A6798,"")</f>
        <v/>
      </c>
    </row>
    <row r="6800" spans="1:1">
      <c r="A6800" s="7" t="str">
        <f>IF('Document Workflow'!A6799&lt;&gt;"",'Document Workflow'!A6799,"")</f>
        <v/>
      </c>
    </row>
    <row r="6801" spans="1:1">
      <c r="A6801" s="7" t="str">
        <f>IF('Document Workflow'!A6800&lt;&gt;"",'Document Workflow'!A6800,"")</f>
        <v/>
      </c>
    </row>
    <row r="6802" spans="1:1">
      <c r="A6802" s="7" t="str">
        <f>IF('Document Workflow'!A6801&lt;&gt;"",'Document Workflow'!A6801,"")</f>
        <v/>
      </c>
    </row>
    <row r="6803" spans="1:1">
      <c r="A6803" s="7" t="str">
        <f>IF('Document Workflow'!A6802&lt;&gt;"",'Document Workflow'!A6802,"")</f>
        <v/>
      </c>
    </row>
    <row r="6804" spans="1:1">
      <c r="A6804" s="7" t="str">
        <f>IF('Document Workflow'!A6803&lt;&gt;"",'Document Workflow'!A6803,"")</f>
        <v/>
      </c>
    </row>
    <row r="6805" spans="1:1">
      <c r="A6805" s="7" t="str">
        <f>IF('Document Workflow'!A6804&lt;&gt;"",'Document Workflow'!A6804,"")</f>
        <v/>
      </c>
    </row>
    <row r="6806" spans="1:1">
      <c r="A6806" s="7" t="str">
        <f>IF('Document Workflow'!A6805&lt;&gt;"",'Document Workflow'!A6805,"")</f>
        <v/>
      </c>
    </row>
    <row r="6807" spans="1:1">
      <c r="A6807" s="7" t="str">
        <f>IF('Document Workflow'!A6806&lt;&gt;"",'Document Workflow'!A6806,"")</f>
        <v/>
      </c>
    </row>
    <row r="6808" spans="1:1">
      <c r="A6808" s="7" t="str">
        <f>IF('Document Workflow'!A6807&lt;&gt;"",'Document Workflow'!A6807,"")</f>
        <v/>
      </c>
    </row>
    <row r="6809" spans="1:1">
      <c r="A6809" s="7" t="str">
        <f>IF('Document Workflow'!A6808&lt;&gt;"",'Document Workflow'!A6808,"")</f>
        <v/>
      </c>
    </row>
    <row r="6810" spans="1:1">
      <c r="A6810" s="7" t="str">
        <f>IF('Document Workflow'!A6809&lt;&gt;"",'Document Workflow'!A6809,"")</f>
        <v/>
      </c>
    </row>
    <row r="6811" spans="1:1">
      <c r="A6811" s="7" t="str">
        <f>IF('Document Workflow'!A6810&lt;&gt;"",'Document Workflow'!A6810,"")</f>
        <v/>
      </c>
    </row>
    <row r="6812" spans="1:1">
      <c r="A6812" s="7" t="str">
        <f>IF('Document Workflow'!A6811&lt;&gt;"",'Document Workflow'!A6811,"")</f>
        <v/>
      </c>
    </row>
    <row r="6813" spans="1:1">
      <c r="A6813" s="7" t="str">
        <f>IF('Document Workflow'!A6812&lt;&gt;"",'Document Workflow'!A6812,"")</f>
        <v/>
      </c>
    </row>
    <row r="6814" spans="1:1">
      <c r="A6814" s="7" t="str">
        <f>IF('Document Workflow'!A6813&lt;&gt;"",'Document Workflow'!A6813,"")</f>
        <v/>
      </c>
    </row>
    <row r="6815" spans="1:1">
      <c r="A6815" s="7" t="str">
        <f>IF('Document Workflow'!A6814&lt;&gt;"",'Document Workflow'!A6814,"")</f>
        <v/>
      </c>
    </row>
    <row r="6816" spans="1:1">
      <c r="A6816" s="7" t="str">
        <f>IF('Document Workflow'!A6815&lt;&gt;"",'Document Workflow'!A6815,"")</f>
        <v/>
      </c>
    </row>
    <row r="6817" spans="1:1">
      <c r="A6817" s="7" t="str">
        <f>IF('Document Workflow'!A6816&lt;&gt;"",'Document Workflow'!A6816,"")</f>
        <v/>
      </c>
    </row>
    <row r="6818" spans="1:1">
      <c r="A6818" s="7" t="str">
        <f>IF('Document Workflow'!A6817&lt;&gt;"",'Document Workflow'!A6817,"")</f>
        <v/>
      </c>
    </row>
    <row r="6819" spans="1:1">
      <c r="A6819" s="7" t="str">
        <f>IF('Document Workflow'!A6818&lt;&gt;"",'Document Workflow'!A6818,"")</f>
        <v/>
      </c>
    </row>
    <row r="6820" spans="1:1">
      <c r="A6820" s="7" t="str">
        <f>IF('Document Workflow'!A6819&lt;&gt;"",'Document Workflow'!A6819,"")</f>
        <v/>
      </c>
    </row>
    <row r="6821" spans="1:1">
      <c r="A6821" s="7" t="str">
        <f>IF('Document Workflow'!A6820&lt;&gt;"",'Document Workflow'!A6820,"")</f>
        <v/>
      </c>
    </row>
    <row r="6822" spans="1:1">
      <c r="A6822" s="7" t="str">
        <f>IF('Document Workflow'!A6821&lt;&gt;"",'Document Workflow'!A6821,"")</f>
        <v/>
      </c>
    </row>
    <row r="6823" spans="1:1">
      <c r="A6823" s="7" t="str">
        <f>IF('Document Workflow'!A6822&lt;&gt;"",'Document Workflow'!A6822,"")</f>
        <v/>
      </c>
    </row>
    <row r="6824" spans="1:1">
      <c r="A6824" s="7" t="str">
        <f>IF('Document Workflow'!A6823&lt;&gt;"",'Document Workflow'!A6823,"")</f>
        <v/>
      </c>
    </row>
    <row r="6825" spans="1:1">
      <c r="A6825" s="7" t="str">
        <f>IF('Document Workflow'!A6824&lt;&gt;"",'Document Workflow'!A6824,"")</f>
        <v/>
      </c>
    </row>
    <row r="6826" spans="1:1">
      <c r="A6826" s="7" t="str">
        <f>IF('Document Workflow'!A6825&lt;&gt;"",'Document Workflow'!A6825,"")</f>
        <v/>
      </c>
    </row>
    <row r="6827" spans="1:1">
      <c r="A6827" s="7" t="str">
        <f>IF('Document Workflow'!A6826&lt;&gt;"",'Document Workflow'!A6826,"")</f>
        <v/>
      </c>
    </row>
    <row r="6828" spans="1:1">
      <c r="A6828" s="7" t="str">
        <f>IF('Document Workflow'!A6827&lt;&gt;"",'Document Workflow'!A6827,"")</f>
        <v/>
      </c>
    </row>
    <row r="6829" spans="1:1">
      <c r="A6829" s="7" t="str">
        <f>IF('Document Workflow'!A6828&lt;&gt;"",'Document Workflow'!A6828,"")</f>
        <v/>
      </c>
    </row>
    <row r="6830" spans="1:1">
      <c r="A6830" s="7" t="str">
        <f>IF('Document Workflow'!A6829&lt;&gt;"",'Document Workflow'!A6829,"")</f>
        <v/>
      </c>
    </row>
    <row r="6831" spans="1:1">
      <c r="A6831" s="7" t="str">
        <f>IF('Document Workflow'!A6830&lt;&gt;"",'Document Workflow'!A6830,"")</f>
        <v/>
      </c>
    </row>
    <row r="6832" spans="1:1">
      <c r="A6832" s="7" t="str">
        <f>IF('Document Workflow'!A6831&lt;&gt;"",'Document Workflow'!A6831,"")</f>
        <v/>
      </c>
    </row>
    <row r="6833" spans="1:1">
      <c r="A6833" s="7" t="str">
        <f>IF('Document Workflow'!A6832&lt;&gt;"",'Document Workflow'!A6832,"")</f>
        <v/>
      </c>
    </row>
    <row r="6834" spans="1:1">
      <c r="A6834" s="7" t="str">
        <f>IF('Document Workflow'!A6833&lt;&gt;"",'Document Workflow'!A6833,"")</f>
        <v/>
      </c>
    </row>
    <row r="6835" spans="1:1">
      <c r="A6835" s="7" t="str">
        <f>IF('Document Workflow'!A6834&lt;&gt;"",'Document Workflow'!A6834,"")</f>
        <v/>
      </c>
    </row>
    <row r="6836" spans="1:1">
      <c r="A6836" s="7" t="str">
        <f>IF('Document Workflow'!A6835&lt;&gt;"",'Document Workflow'!A6835,"")</f>
        <v/>
      </c>
    </row>
    <row r="6837" spans="1:1">
      <c r="A6837" s="7" t="str">
        <f>IF('Document Workflow'!A6836&lt;&gt;"",'Document Workflow'!A6836,"")</f>
        <v/>
      </c>
    </row>
    <row r="6838" spans="1:1">
      <c r="A6838" s="7" t="str">
        <f>IF('Document Workflow'!A6837&lt;&gt;"",'Document Workflow'!A6837,"")</f>
        <v/>
      </c>
    </row>
    <row r="6839" spans="1:1">
      <c r="A6839" s="7" t="str">
        <f>IF('Document Workflow'!A6838&lt;&gt;"",'Document Workflow'!A6838,"")</f>
        <v/>
      </c>
    </row>
    <row r="6840" spans="1:1">
      <c r="A6840" s="7" t="str">
        <f>IF('Document Workflow'!A6839&lt;&gt;"",'Document Workflow'!A6839,"")</f>
        <v/>
      </c>
    </row>
    <row r="6841" spans="1:1">
      <c r="A6841" s="7" t="str">
        <f>IF('Document Workflow'!A6840&lt;&gt;"",'Document Workflow'!A6840,"")</f>
        <v/>
      </c>
    </row>
    <row r="6842" spans="1:1">
      <c r="A6842" s="7" t="str">
        <f>IF('Document Workflow'!A6841&lt;&gt;"",'Document Workflow'!A6841,"")</f>
        <v/>
      </c>
    </row>
    <row r="6843" spans="1:1">
      <c r="A6843" s="7" t="str">
        <f>IF('Document Workflow'!A6842&lt;&gt;"",'Document Workflow'!A6842,"")</f>
        <v/>
      </c>
    </row>
    <row r="6844" spans="1:1">
      <c r="A6844" s="7" t="str">
        <f>IF('Document Workflow'!A6843&lt;&gt;"",'Document Workflow'!A6843,"")</f>
        <v/>
      </c>
    </row>
    <row r="6845" spans="1:1">
      <c r="A6845" s="7" t="str">
        <f>IF('Document Workflow'!A6844&lt;&gt;"",'Document Workflow'!A6844,"")</f>
        <v/>
      </c>
    </row>
    <row r="6846" spans="1:1">
      <c r="A6846" s="7" t="str">
        <f>IF('Document Workflow'!A6845&lt;&gt;"",'Document Workflow'!A6845,"")</f>
        <v/>
      </c>
    </row>
    <row r="6847" spans="1:1">
      <c r="A6847" s="7" t="str">
        <f>IF('Document Workflow'!A6846&lt;&gt;"",'Document Workflow'!A6846,"")</f>
        <v/>
      </c>
    </row>
    <row r="6848" spans="1:1">
      <c r="A6848" s="7" t="str">
        <f>IF('Document Workflow'!A6847&lt;&gt;"",'Document Workflow'!A6847,"")</f>
        <v/>
      </c>
    </row>
    <row r="6849" spans="1:1">
      <c r="A6849" s="7" t="str">
        <f>IF('Document Workflow'!A6848&lt;&gt;"",'Document Workflow'!A6848,"")</f>
        <v/>
      </c>
    </row>
    <row r="6850" spans="1:1">
      <c r="A6850" s="7" t="str">
        <f>IF('Document Workflow'!A6849&lt;&gt;"",'Document Workflow'!A6849,"")</f>
        <v/>
      </c>
    </row>
    <row r="6851" spans="1:1">
      <c r="A6851" s="7" t="str">
        <f>IF('Document Workflow'!A6850&lt;&gt;"",'Document Workflow'!A6850,"")</f>
        <v/>
      </c>
    </row>
    <row r="6852" spans="1:1">
      <c r="A6852" s="7" t="str">
        <f>IF('Document Workflow'!A6851&lt;&gt;"",'Document Workflow'!A6851,"")</f>
        <v/>
      </c>
    </row>
    <row r="6853" spans="1:1">
      <c r="A6853" s="7" t="str">
        <f>IF('Document Workflow'!A6852&lt;&gt;"",'Document Workflow'!A6852,"")</f>
        <v/>
      </c>
    </row>
    <row r="6854" spans="1:1">
      <c r="A6854" s="7" t="str">
        <f>IF('Document Workflow'!A6853&lt;&gt;"",'Document Workflow'!A6853,"")</f>
        <v/>
      </c>
    </row>
    <row r="6855" spans="1:1">
      <c r="A6855" s="7" t="str">
        <f>IF('Document Workflow'!A6854&lt;&gt;"",'Document Workflow'!A6854,"")</f>
        <v/>
      </c>
    </row>
    <row r="6856" spans="1:1">
      <c r="A6856" s="7" t="str">
        <f>IF('Document Workflow'!A6855&lt;&gt;"",'Document Workflow'!A6855,"")</f>
        <v/>
      </c>
    </row>
    <row r="6857" spans="1:1">
      <c r="A6857" s="7" t="str">
        <f>IF('Document Workflow'!A6856&lt;&gt;"",'Document Workflow'!A6856,"")</f>
        <v/>
      </c>
    </row>
    <row r="6858" spans="1:1">
      <c r="A6858" s="7" t="str">
        <f>IF('Document Workflow'!A6857&lt;&gt;"",'Document Workflow'!A6857,"")</f>
        <v/>
      </c>
    </row>
    <row r="6859" spans="1:1">
      <c r="A6859" s="7" t="str">
        <f>IF('Document Workflow'!A6858&lt;&gt;"",'Document Workflow'!A6858,"")</f>
        <v/>
      </c>
    </row>
    <row r="6860" spans="1:1">
      <c r="A6860" s="7" t="str">
        <f>IF('Document Workflow'!A6859&lt;&gt;"",'Document Workflow'!A6859,"")</f>
        <v/>
      </c>
    </row>
    <row r="6861" spans="1:1">
      <c r="A6861" s="7" t="str">
        <f>IF('Document Workflow'!A6860&lt;&gt;"",'Document Workflow'!A6860,"")</f>
        <v/>
      </c>
    </row>
    <row r="6862" spans="1:1">
      <c r="A6862" s="7" t="str">
        <f>IF('Document Workflow'!A6861&lt;&gt;"",'Document Workflow'!A6861,"")</f>
        <v/>
      </c>
    </row>
    <row r="6863" spans="1:1">
      <c r="A6863" s="7" t="str">
        <f>IF('Document Workflow'!A6862&lt;&gt;"",'Document Workflow'!A6862,"")</f>
        <v/>
      </c>
    </row>
    <row r="6864" spans="1:1">
      <c r="A6864" s="7" t="str">
        <f>IF('Document Workflow'!A6863&lt;&gt;"",'Document Workflow'!A6863,"")</f>
        <v/>
      </c>
    </row>
    <row r="6865" spans="1:1">
      <c r="A6865" s="7" t="str">
        <f>IF('Document Workflow'!A6864&lt;&gt;"",'Document Workflow'!A6864,"")</f>
        <v/>
      </c>
    </row>
    <row r="6866" spans="1:1">
      <c r="A6866" s="7" t="str">
        <f>IF('Document Workflow'!A6865&lt;&gt;"",'Document Workflow'!A6865,"")</f>
        <v/>
      </c>
    </row>
    <row r="6867" spans="1:1">
      <c r="A6867" s="7" t="str">
        <f>IF('Document Workflow'!A6866&lt;&gt;"",'Document Workflow'!A6866,"")</f>
        <v/>
      </c>
    </row>
    <row r="6868" spans="1:1">
      <c r="A6868" s="7" t="str">
        <f>IF('Document Workflow'!A6867&lt;&gt;"",'Document Workflow'!A6867,"")</f>
        <v/>
      </c>
    </row>
    <row r="6869" spans="1:1">
      <c r="A6869" s="7" t="str">
        <f>IF('Document Workflow'!A6868&lt;&gt;"",'Document Workflow'!A6868,"")</f>
        <v/>
      </c>
    </row>
    <row r="6870" spans="1:1">
      <c r="A6870" s="7" t="str">
        <f>IF('Document Workflow'!A6869&lt;&gt;"",'Document Workflow'!A6869,"")</f>
        <v/>
      </c>
    </row>
    <row r="6871" spans="1:1">
      <c r="A6871" s="7" t="str">
        <f>IF('Document Workflow'!A6870&lt;&gt;"",'Document Workflow'!A6870,"")</f>
        <v/>
      </c>
    </row>
    <row r="6872" spans="1:1">
      <c r="A6872" s="7" t="str">
        <f>IF('Document Workflow'!A6871&lt;&gt;"",'Document Workflow'!A6871,"")</f>
        <v/>
      </c>
    </row>
    <row r="6873" spans="1:1">
      <c r="A6873" s="7" t="str">
        <f>IF('Document Workflow'!A6872&lt;&gt;"",'Document Workflow'!A6872,"")</f>
        <v/>
      </c>
    </row>
    <row r="6874" spans="1:1">
      <c r="A6874" s="7" t="str">
        <f>IF('Document Workflow'!A6873&lt;&gt;"",'Document Workflow'!A6873,"")</f>
        <v/>
      </c>
    </row>
    <row r="6875" spans="1:1">
      <c r="A6875" s="7" t="str">
        <f>IF('Document Workflow'!A6874&lt;&gt;"",'Document Workflow'!A6874,"")</f>
        <v/>
      </c>
    </row>
    <row r="6876" spans="1:1">
      <c r="A6876" s="7" t="str">
        <f>IF('Document Workflow'!A6875&lt;&gt;"",'Document Workflow'!A6875,"")</f>
        <v/>
      </c>
    </row>
    <row r="6877" spans="1:1">
      <c r="A6877" s="7" t="str">
        <f>IF('Document Workflow'!A6876&lt;&gt;"",'Document Workflow'!A6876,"")</f>
        <v/>
      </c>
    </row>
    <row r="6878" spans="1:1">
      <c r="A6878" s="7" t="str">
        <f>IF('Document Workflow'!A6877&lt;&gt;"",'Document Workflow'!A6877,"")</f>
        <v/>
      </c>
    </row>
    <row r="6879" spans="1:1">
      <c r="A6879" s="7" t="str">
        <f>IF('Document Workflow'!A6878&lt;&gt;"",'Document Workflow'!A6878,"")</f>
        <v/>
      </c>
    </row>
    <row r="6880" spans="1:1">
      <c r="A6880" s="7" t="str">
        <f>IF('Document Workflow'!A6879&lt;&gt;"",'Document Workflow'!A6879,"")</f>
        <v/>
      </c>
    </row>
    <row r="6881" spans="1:1">
      <c r="A6881" s="7" t="str">
        <f>IF('Document Workflow'!A6880&lt;&gt;"",'Document Workflow'!A6880,"")</f>
        <v/>
      </c>
    </row>
    <row r="6882" spans="1:1">
      <c r="A6882" s="7" t="str">
        <f>IF('Document Workflow'!A6881&lt;&gt;"",'Document Workflow'!A6881,"")</f>
        <v/>
      </c>
    </row>
    <row r="6883" spans="1:1">
      <c r="A6883" s="7" t="str">
        <f>IF('Document Workflow'!A6882&lt;&gt;"",'Document Workflow'!A6882,"")</f>
        <v/>
      </c>
    </row>
    <row r="6884" spans="1:1">
      <c r="A6884" s="7" t="str">
        <f>IF('Document Workflow'!A6883&lt;&gt;"",'Document Workflow'!A6883,"")</f>
        <v/>
      </c>
    </row>
    <row r="6885" spans="1:1">
      <c r="A6885" s="7" t="str">
        <f>IF('Document Workflow'!A6884&lt;&gt;"",'Document Workflow'!A6884,"")</f>
        <v/>
      </c>
    </row>
    <row r="6886" spans="1:1">
      <c r="A6886" s="7" t="str">
        <f>IF('Document Workflow'!A6885&lt;&gt;"",'Document Workflow'!A6885,"")</f>
        <v/>
      </c>
    </row>
    <row r="6887" spans="1:1">
      <c r="A6887" s="7" t="str">
        <f>IF('Document Workflow'!A6886&lt;&gt;"",'Document Workflow'!A6886,"")</f>
        <v/>
      </c>
    </row>
    <row r="6888" spans="1:1">
      <c r="A6888" s="7" t="str">
        <f>IF('Document Workflow'!A6887&lt;&gt;"",'Document Workflow'!A6887,"")</f>
        <v/>
      </c>
    </row>
    <row r="6889" spans="1:1">
      <c r="A6889" s="7" t="str">
        <f>IF('Document Workflow'!A6888&lt;&gt;"",'Document Workflow'!A6888,"")</f>
        <v/>
      </c>
    </row>
    <row r="6890" spans="1:1">
      <c r="A6890" s="7" t="str">
        <f>IF('Document Workflow'!A6889&lt;&gt;"",'Document Workflow'!A6889,"")</f>
        <v/>
      </c>
    </row>
    <row r="6891" spans="1:1">
      <c r="A6891" s="7" t="str">
        <f>IF('Document Workflow'!A6890&lt;&gt;"",'Document Workflow'!A6890,"")</f>
        <v/>
      </c>
    </row>
    <row r="6892" spans="1:1">
      <c r="A6892" s="7" t="str">
        <f>IF('Document Workflow'!A6891&lt;&gt;"",'Document Workflow'!A6891,"")</f>
        <v/>
      </c>
    </row>
    <row r="6893" spans="1:1">
      <c r="A6893" s="7" t="str">
        <f>IF('Document Workflow'!A6892&lt;&gt;"",'Document Workflow'!A6892,"")</f>
        <v/>
      </c>
    </row>
    <row r="6894" spans="1:1">
      <c r="A6894" s="7" t="str">
        <f>IF('Document Workflow'!A6893&lt;&gt;"",'Document Workflow'!A6893,"")</f>
        <v/>
      </c>
    </row>
    <row r="6895" spans="1:1">
      <c r="A6895" s="7" t="str">
        <f>IF('Document Workflow'!A6894&lt;&gt;"",'Document Workflow'!A6894,"")</f>
        <v/>
      </c>
    </row>
    <row r="6896" spans="1:1">
      <c r="A6896" s="7" t="str">
        <f>IF('Document Workflow'!A6895&lt;&gt;"",'Document Workflow'!A6895,"")</f>
        <v/>
      </c>
    </row>
    <row r="6897" spans="1:1">
      <c r="A6897" s="7" t="str">
        <f>IF('Document Workflow'!A6896&lt;&gt;"",'Document Workflow'!A6896,"")</f>
        <v/>
      </c>
    </row>
    <row r="6898" spans="1:1">
      <c r="A6898" s="7" t="str">
        <f>IF('Document Workflow'!A6897&lt;&gt;"",'Document Workflow'!A6897,"")</f>
        <v/>
      </c>
    </row>
    <row r="6899" spans="1:1">
      <c r="A6899" s="7" t="str">
        <f>IF('Document Workflow'!A6898&lt;&gt;"",'Document Workflow'!A6898,"")</f>
        <v/>
      </c>
    </row>
    <row r="6900" spans="1:1">
      <c r="A6900" s="7" t="str">
        <f>IF('Document Workflow'!A6899&lt;&gt;"",'Document Workflow'!A6899,"")</f>
        <v/>
      </c>
    </row>
    <row r="6901" spans="1:1">
      <c r="A6901" s="7" t="str">
        <f>IF('Document Workflow'!A6900&lt;&gt;"",'Document Workflow'!A6900,"")</f>
        <v/>
      </c>
    </row>
    <row r="6902" spans="1:1">
      <c r="A6902" s="7" t="str">
        <f>IF('Document Workflow'!A6901&lt;&gt;"",'Document Workflow'!A6901,"")</f>
        <v/>
      </c>
    </row>
    <row r="6903" spans="1:1">
      <c r="A6903" s="7" t="str">
        <f>IF('Document Workflow'!A6902&lt;&gt;"",'Document Workflow'!A6902,"")</f>
        <v/>
      </c>
    </row>
    <row r="6904" spans="1:1">
      <c r="A6904" s="7" t="str">
        <f>IF('Document Workflow'!A6903&lt;&gt;"",'Document Workflow'!A6903,"")</f>
        <v/>
      </c>
    </row>
    <row r="6905" spans="1:1">
      <c r="A6905" s="7" t="str">
        <f>IF('Document Workflow'!A6904&lt;&gt;"",'Document Workflow'!A6904,"")</f>
        <v/>
      </c>
    </row>
    <row r="6906" spans="1:1">
      <c r="A6906" s="7" t="str">
        <f>IF('Document Workflow'!A6905&lt;&gt;"",'Document Workflow'!A6905,"")</f>
        <v/>
      </c>
    </row>
    <row r="6907" spans="1:1">
      <c r="A6907" s="7" t="str">
        <f>IF('Document Workflow'!A6906&lt;&gt;"",'Document Workflow'!A6906,"")</f>
        <v/>
      </c>
    </row>
    <row r="6908" spans="1:1">
      <c r="A6908" s="7" t="str">
        <f>IF('Document Workflow'!A6907&lt;&gt;"",'Document Workflow'!A6907,"")</f>
        <v/>
      </c>
    </row>
    <row r="6909" spans="1:1">
      <c r="A6909" s="7" t="str">
        <f>IF('Document Workflow'!A6908&lt;&gt;"",'Document Workflow'!A6908,"")</f>
        <v/>
      </c>
    </row>
    <row r="6910" spans="1:1">
      <c r="A6910" s="7" t="str">
        <f>IF('Document Workflow'!A6909&lt;&gt;"",'Document Workflow'!A6909,"")</f>
        <v/>
      </c>
    </row>
    <row r="6911" spans="1:1">
      <c r="A6911" s="7" t="str">
        <f>IF('Document Workflow'!A6910&lt;&gt;"",'Document Workflow'!A6910,"")</f>
        <v/>
      </c>
    </row>
    <row r="6912" spans="1:1">
      <c r="A6912" s="7" t="str">
        <f>IF('Document Workflow'!A6911&lt;&gt;"",'Document Workflow'!A6911,"")</f>
        <v/>
      </c>
    </row>
    <row r="6913" spans="1:1">
      <c r="A6913" s="7" t="str">
        <f>IF('Document Workflow'!A6912&lt;&gt;"",'Document Workflow'!A6912,"")</f>
        <v/>
      </c>
    </row>
    <row r="6914" spans="1:1">
      <c r="A6914" s="7" t="str">
        <f>IF('Document Workflow'!A6913&lt;&gt;"",'Document Workflow'!A6913,"")</f>
        <v/>
      </c>
    </row>
    <row r="6915" spans="1:1">
      <c r="A6915" s="7" t="str">
        <f>IF('Document Workflow'!A6914&lt;&gt;"",'Document Workflow'!A6914,"")</f>
        <v/>
      </c>
    </row>
    <row r="6916" spans="1:1">
      <c r="A6916" s="7" t="str">
        <f>IF('Document Workflow'!A6915&lt;&gt;"",'Document Workflow'!A6915,"")</f>
        <v/>
      </c>
    </row>
    <row r="6917" spans="1:1">
      <c r="A6917" s="7" t="str">
        <f>IF('Document Workflow'!A6916&lt;&gt;"",'Document Workflow'!A6916,"")</f>
        <v/>
      </c>
    </row>
    <row r="6918" spans="1:1">
      <c r="A6918" s="7" t="str">
        <f>IF('Document Workflow'!A6917&lt;&gt;"",'Document Workflow'!A6917,"")</f>
        <v/>
      </c>
    </row>
    <row r="6919" spans="1:1">
      <c r="A6919" s="7" t="str">
        <f>IF('Document Workflow'!A6918&lt;&gt;"",'Document Workflow'!A6918,"")</f>
        <v/>
      </c>
    </row>
    <row r="6920" spans="1:1">
      <c r="A6920" s="7" t="str">
        <f>IF('Document Workflow'!A6919&lt;&gt;"",'Document Workflow'!A6919,"")</f>
        <v/>
      </c>
    </row>
    <row r="6921" spans="1:1">
      <c r="A6921" s="7" t="str">
        <f>IF('Document Workflow'!A6920&lt;&gt;"",'Document Workflow'!A6920,"")</f>
        <v/>
      </c>
    </row>
    <row r="6922" spans="1:1">
      <c r="A6922" s="7" t="str">
        <f>IF('Document Workflow'!A6921&lt;&gt;"",'Document Workflow'!A6921,"")</f>
        <v/>
      </c>
    </row>
    <row r="6923" spans="1:1">
      <c r="A6923" s="7" t="str">
        <f>IF('Document Workflow'!A6922&lt;&gt;"",'Document Workflow'!A6922,"")</f>
        <v/>
      </c>
    </row>
    <row r="6924" spans="1:1">
      <c r="A6924" s="7" t="str">
        <f>IF('Document Workflow'!A6923&lt;&gt;"",'Document Workflow'!A6923,"")</f>
        <v/>
      </c>
    </row>
    <row r="6925" spans="1:1">
      <c r="A6925" s="7" t="str">
        <f>IF('Document Workflow'!A6924&lt;&gt;"",'Document Workflow'!A6924,"")</f>
        <v/>
      </c>
    </row>
    <row r="6926" spans="1:1">
      <c r="A6926" s="7" t="str">
        <f>IF('Document Workflow'!A6925&lt;&gt;"",'Document Workflow'!A6925,"")</f>
        <v/>
      </c>
    </row>
    <row r="6927" spans="1:1">
      <c r="A6927" s="7" t="str">
        <f>IF('Document Workflow'!A6926&lt;&gt;"",'Document Workflow'!A6926,"")</f>
        <v/>
      </c>
    </row>
    <row r="6928" spans="1:1">
      <c r="A6928" s="7" t="str">
        <f>IF('Document Workflow'!A6927&lt;&gt;"",'Document Workflow'!A6927,"")</f>
        <v/>
      </c>
    </row>
    <row r="6929" spans="1:1">
      <c r="A6929" s="7" t="str">
        <f>IF('Document Workflow'!A6928&lt;&gt;"",'Document Workflow'!A6928,"")</f>
        <v/>
      </c>
    </row>
    <row r="6930" spans="1:1">
      <c r="A6930" s="7" t="str">
        <f>IF('Document Workflow'!A6929&lt;&gt;"",'Document Workflow'!A6929,"")</f>
        <v/>
      </c>
    </row>
    <row r="6931" spans="1:1">
      <c r="A6931" s="7" t="str">
        <f>IF('Document Workflow'!A6930&lt;&gt;"",'Document Workflow'!A6930,"")</f>
        <v/>
      </c>
    </row>
    <row r="6932" spans="1:1">
      <c r="A6932" s="7" t="str">
        <f>IF('Document Workflow'!A6931&lt;&gt;"",'Document Workflow'!A6931,"")</f>
        <v/>
      </c>
    </row>
    <row r="6933" spans="1:1">
      <c r="A6933" s="7" t="str">
        <f>IF('Document Workflow'!A6932&lt;&gt;"",'Document Workflow'!A6932,"")</f>
        <v/>
      </c>
    </row>
    <row r="6934" spans="1:1">
      <c r="A6934" s="7" t="str">
        <f>IF('Document Workflow'!A6933&lt;&gt;"",'Document Workflow'!A6933,"")</f>
        <v/>
      </c>
    </row>
    <row r="6935" spans="1:1">
      <c r="A6935" s="7" t="str">
        <f>IF('Document Workflow'!A6934&lt;&gt;"",'Document Workflow'!A6934,"")</f>
        <v/>
      </c>
    </row>
    <row r="6936" spans="1:1">
      <c r="A6936" s="7" t="str">
        <f>IF('Document Workflow'!A6935&lt;&gt;"",'Document Workflow'!A6935,"")</f>
        <v/>
      </c>
    </row>
    <row r="6937" spans="1:1">
      <c r="A6937" s="7" t="str">
        <f>IF('Document Workflow'!A6936&lt;&gt;"",'Document Workflow'!A6936,"")</f>
        <v/>
      </c>
    </row>
    <row r="6938" spans="1:1">
      <c r="A6938" s="7" t="str">
        <f>IF('Document Workflow'!A6937&lt;&gt;"",'Document Workflow'!A6937,"")</f>
        <v/>
      </c>
    </row>
    <row r="6939" spans="1:1">
      <c r="A6939" s="7" t="str">
        <f>IF('Document Workflow'!A6938&lt;&gt;"",'Document Workflow'!A6938,"")</f>
        <v/>
      </c>
    </row>
    <row r="6940" spans="1:1">
      <c r="A6940" s="7" t="str">
        <f>IF('Document Workflow'!A6939&lt;&gt;"",'Document Workflow'!A6939,"")</f>
        <v/>
      </c>
    </row>
    <row r="6941" spans="1:1">
      <c r="A6941" s="7" t="str">
        <f>IF('Document Workflow'!A6940&lt;&gt;"",'Document Workflow'!A6940,"")</f>
        <v/>
      </c>
    </row>
    <row r="6942" spans="1:1">
      <c r="A6942" s="7" t="str">
        <f>IF('Document Workflow'!A6941&lt;&gt;"",'Document Workflow'!A6941,"")</f>
        <v/>
      </c>
    </row>
    <row r="6943" spans="1:1">
      <c r="A6943" s="7" t="str">
        <f>IF('Document Workflow'!A6942&lt;&gt;"",'Document Workflow'!A6942,"")</f>
        <v/>
      </c>
    </row>
    <row r="6944" spans="1:1">
      <c r="A6944" s="7" t="str">
        <f>IF('Document Workflow'!A6943&lt;&gt;"",'Document Workflow'!A6943,"")</f>
        <v/>
      </c>
    </row>
    <row r="6945" spans="1:1">
      <c r="A6945" s="7" t="str">
        <f>IF('Document Workflow'!A6944&lt;&gt;"",'Document Workflow'!A6944,"")</f>
        <v/>
      </c>
    </row>
    <row r="6946" spans="1:1">
      <c r="A6946" s="7" t="str">
        <f>IF('Document Workflow'!A6945&lt;&gt;"",'Document Workflow'!A6945,"")</f>
        <v/>
      </c>
    </row>
    <row r="6947" spans="1:1">
      <c r="A6947" s="7" t="str">
        <f>IF('Document Workflow'!A6946&lt;&gt;"",'Document Workflow'!A6946,"")</f>
        <v/>
      </c>
    </row>
    <row r="6948" spans="1:1">
      <c r="A6948" s="7" t="str">
        <f>IF('Document Workflow'!A6947&lt;&gt;"",'Document Workflow'!A6947,"")</f>
        <v/>
      </c>
    </row>
    <row r="6949" spans="1:1">
      <c r="A6949" s="7" t="str">
        <f>IF('Document Workflow'!A6948&lt;&gt;"",'Document Workflow'!A6948,"")</f>
        <v/>
      </c>
    </row>
    <row r="6950" spans="1:1">
      <c r="A6950" s="7" t="str">
        <f>IF('Document Workflow'!A6949&lt;&gt;"",'Document Workflow'!A6949,"")</f>
        <v/>
      </c>
    </row>
    <row r="6951" spans="1:1">
      <c r="A6951" s="7" t="str">
        <f>IF('Document Workflow'!A6950&lt;&gt;"",'Document Workflow'!A6950,"")</f>
        <v/>
      </c>
    </row>
    <row r="6952" spans="1:1">
      <c r="A6952" s="7" t="str">
        <f>IF('Document Workflow'!A6951&lt;&gt;"",'Document Workflow'!A6951,"")</f>
        <v/>
      </c>
    </row>
    <row r="6953" spans="1:1">
      <c r="A6953" s="7" t="str">
        <f>IF('Document Workflow'!A6952&lt;&gt;"",'Document Workflow'!A6952,"")</f>
        <v/>
      </c>
    </row>
    <row r="6954" spans="1:1">
      <c r="A6954" s="7" t="str">
        <f>IF('Document Workflow'!A6953&lt;&gt;"",'Document Workflow'!A6953,"")</f>
        <v/>
      </c>
    </row>
    <row r="6955" spans="1:1">
      <c r="A6955" s="7" t="str">
        <f>IF('Document Workflow'!A6954&lt;&gt;"",'Document Workflow'!A6954,"")</f>
        <v/>
      </c>
    </row>
    <row r="6956" spans="1:1">
      <c r="A6956" s="7" t="str">
        <f>IF('Document Workflow'!A6955&lt;&gt;"",'Document Workflow'!A6955,"")</f>
        <v/>
      </c>
    </row>
    <row r="6957" spans="1:1">
      <c r="A6957" s="7" t="str">
        <f>IF('Document Workflow'!A6956&lt;&gt;"",'Document Workflow'!A6956,"")</f>
        <v/>
      </c>
    </row>
    <row r="6958" spans="1:1">
      <c r="A6958" s="7" t="str">
        <f>IF('Document Workflow'!A6957&lt;&gt;"",'Document Workflow'!A6957,"")</f>
        <v/>
      </c>
    </row>
    <row r="6959" spans="1:1">
      <c r="A6959" s="7" t="str">
        <f>IF('Document Workflow'!A6958&lt;&gt;"",'Document Workflow'!A6958,"")</f>
        <v/>
      </c>
    </row>
    <row r="6960" spans="1:1">
      <c r="A6960" s="7" t="str">
        <f>IF('Document Workflow'!A6959&lt;&gt;"",'Document Workflow'!A6959,"")</f>
        <v/>
      </c>
    </row>
    <row r="6961" spans="1:1">
      <c r="A6961" s="7" t="str">
        <f>IF('Document Workflow'!A6960&lt;&gt;"",'Document Workflow'!A6960,"")</f>
        <v/>
      </c>
    </row>
    <row r="6962" spans="1:1">
      <c r="A6962" s="7" t="str">
        <f>IF('Document Workflow'!A6961&lt;&gt;"",'Document Workflow'!A6961,"")</f>
        <v/>
      </c>
    </row>
    <row r="6963" spans="1:1">
      <c r="A6963" s="7" t="str">
        <f>IF('Document Workflow'!A6962&lt;&gt;"",'Document Workflow'!A6962,"")</f>
        <v/>
      </c>
    </row>
    <row r="6964" spans="1:1">
      <c r="A6964" s="7" t="str">
        <f>IF('Document Workflow'!A6963&lt;&gt;"",'Document Workflow'!A6963,"")</f>
        <v/>
      </c>
    </row>
    <row r="6965" spans="1:1">
      <c r="A6965" s="7" t="str">
        <f>IF('Document Workflow'!A6964&lt;&gt;"",'Document Workflow'!A6964,"")</f>
        <v/>
      </c>
    </row>
    <row r="6966" spans="1:1">
      <c r="A6966" s="7" t="str">
        <f>IF('Document Workflow'!A6965&lt;&gt;"",'Document Workflow'!A6965,"")</f>
        <v/>
      </c>
    </row>
    <row r="6967" spans="1:1">
      <c r="A6967" s="7" t="str">
        <f>IF('Document Workflow'!A6966&lt;&gt;"",'Document Workflow'!A6966,"")</f>
        <v/>
      </c>
    </row>
    <row r="6968" spans="1:1">
      <c r="A6968" s="7" t="str">
        <f>IF('Document Workflow'!A6967&lt;&gt;"",'Document Workflow'!A6967,"")</f>
        <v/>
      </c>
    </row>
    <row r="6969" spans="1:1">
      <c r="A6969" s="7" t="str">
        <f>IF('Document Workflow'!A6968&lt;&gt;"",'Document Workflow'!A6968,"")</f>
        <v/>
      </c>
    </row>
    <row r="6970" spans="1:1">
      <c r="A6970" s="7" t="str">
        <f>IF('Document Workflow'!A6969&lt;&gt;"",'Document Workflow'!A6969,"")</f>
        <v/>
      </c>
    </row>
    <row r="6971" spans="1:1">
      <c r="A6971" s="7" t="str">
        <f>IF('Document Workflow'!A6970&lt;&gt;"",'Document Workflow'!A6970,"")</f>
        <v/>
      </c>
    </row>
    <row r="6972" spans="1:1">
      <c r="A6972" s="7" t="str">
        <f>IF('Document Workflow'!A6971&lt;&gt;"",'Document Workflow'!A6971,"")</f>
        <v/>
      </c>
    </row>
    <row r="6973" spans="1:1">
      <c r="A6973" s="7" t="str">
        <f>IF('Document Workflow'!A6972&lt;&gt;"",'Document Workflow'!A6972,"")</f>
        <v/>
      </c>
    </row>
    <row r="6974" spans="1:1">
      <c r="A6974" s="7" t="str">
        <f>IF('Document Workflow'!A6973&lt;&gt;"",'Document Workflow'!A6973,"")</f>
        <v/>
      </c>
    </row>
    <row r="6975" spans="1:1">
      <c r="A6975" s="7" t="str">
        <f>IF('Document Workflow'!A6974&lt;&gt;"",'Document Workflow'!A6974,"")</f>
        <v/>
      </c>
    </row>
    <row r="6976" spans="1:1">
      <c r="A6976" s="7" t="str">
        <f>IF('Document Workflow'!A6975&lt;&gt;"",'Document Workflow'!A6975,"")</f>
        <v/>
      </c>
    </row>
    <row r="6977" spans="1:1">
      <c r="A6977" s="7" t="str">
        <f>IF('Document Workflow'!A6976&lt;&gt;"",'Document Workflow'!A6976,"")</f>
        <v/>
      </c>
    </row>
    <row r="6978" spans="1:1">
      <c r="A6978" s="7" t="str">
        <f>IF('Document Workflow'!A6977&lt;&gt;"",'Document Workflow'!A6977,"")</f>
        <v/>
      </c>
    </row>
    <row r="6979" spans="1:1">
      <c r="A6979" s="7" t="str">
        <f>IF('Document Workflow'!A6978&lt;&gt;"",'Document Workflow'!A6978,"")</f>
        <v/>
      </c>
    </row>
    <row r="6980" spans="1:1">
      <c r="A6980" s="7" t="str">
        <f>IF('Document Workflow'!A6979&lt;&gt;"",'Document Workflow'!A6979,"")</f>
        <v/>
      </c>
    </row>
    <row r="6981" spans="1:1">
      <c r="A6981" s="7" t="str">
        <f>IF('Document Workflow'!A6980&lt;&gt;"",'Document Workflow'!A6980,"")</f>
        <v/>
      </c>
    </row>
    <row r="6982" spans="1:1">
      <c r="A6982" s="7" t="str">
        <f>IF('Document Workflow'!A6981&lt;&gt;"",'Document Workflow'!A6981,"")</f>
        <v/>
      </c>
    </row>
    <row r="6983" spans="1:1">
      <c r="A6983" s="7" t="str">
        <f>IF('Document Workflow'!A6982&lt;&gt;"",'Document Workflow'!A6982,"")</f>
        <v/>
      </c>
    </row>
    <row r="6984" spans="1:1">
      <c r="A6984" s="7" t="str">
        <f>IF('Document Workflow'!A6983&lt;&gt;"",'Document Workflow'!A6983,"")</f>
        <v/>
      </c>
    </row>
    <row r="6985" spans="1:1">
      <c r="A6985" s="7" t="str">
        <f>IF('Document Workflow'!A6984&lt;&gt;"",'Document Workflow'!A6984,"")</f>
        <v/>
      </c>
    </row>
    <row r="6986" spans="1:1">
      <c r="A6986" s="7" t="str">
        <f>IF('Document Workflow'!A6985&lt;&gt;"",'Document Workflow'!A6985,"")</f>
        <v/>
      </c>
    </row>
    <row r="6987" spans="1:1">
      <c r="A6987" s="7" t="str">
        <f>IF('Document Workflow'!A6986&lt;&gt;"",'Document Workflow'!A6986,"")</f>
        <v/>
      </c>
    </row>
    <row r="6988" spans="1:1">
      <c r="A6988" s="7" t="str">
        <f>IF('Document Workflow'!A6987&lt;&gt;"",'Document Workflow'!A6987,"")</f>
        <v/>
      </c>
    </row>
    <row r="6989" spans="1:1">
      <c r="A6989" s="7" t="str">
        <f>IF('Document Workflow'!A6988&lt;&gt;"",'Document Workflow'!A6988,"")</f>
        <v/>
      </c>
    </row>
    <row r="6990" spans="1:1">
      <c r="A6990" s="7" t="str">
        <f>IF('Document Workflow'!A6989&lt;&gt;"",'Document Workflow'!A6989,"")</f>
        <v/>
      </c>
    </row>
    <row r="6991" spans="1:1">
      <c r="A6991" s="7" t="str">
        <f>IF('Document Workflow'!A6990&lt;&gt;"",'Document Workflow'!A6990,"")</f>
        <v/>
      </c>
    </row>
    <row r="6992" spans="1:1">
      <c r="A6992" s="7" t="str">
        <f>IF('Document Workflow'!A6991&lt;&gt;"",'Document Workflow'!A6991,"")</f>
        <v/>
      </c>
    </row>
    <row r="6993" spans="1:1">
      <c r="A6993" s="7" t="str">
        <f>IF('Document Workflow'!A6992&lt;&gt;"",'Document Workflow'!A6992,"")</f>
        <v/>
      </c>
    </row>
    <row r="6994" spans="1:1">
      <c r="A6994" s="7" t="str">
        <f>IF('Document Workflow'!A6993&lt;&gt;"",'Document Workflow'!A6993,"")</f>
        <v/>
      </c>
    </row>
    <row r="6995" spans="1:1">
      <c r="A6995" s="7" t="str">
        <f>IF('Document Workflow'!A6994&lt;&gt;"",'Document Workflow'!A6994,"")</f>
        <v/>
      </c>
    </row>
    <row r="6996" spans="1:1">
      <c r="A6996" s="7" t="str">
        <f>IF('Document Workflow'!A6995&lt;&gt;"",'Document Workflow'!A6995,"")</f>
        <v/>
      </c>
    </row>
    <row r="6997" spans="1:1">
      <c r="A6997" s="7" t="str">
        <f>IF('Document Workflow'!A6996&lt;&gt;"",'Document Workflow'!A6996,"")</f>
        <v/>
      </c>
    </row>
    <row r="6998" spans="1:1">
      <c r="A6998" s="7" t="str">
        <f>IF('Document Workflow'!A6997&lt;&gt;"",'Document Workflow'!A6997,"")</f>
        <v/>
      </c>
    </row>
    <row r="6999" spans="1:1">
      <c r="A6999" s="7" t="str">
        <f>IF('Document Workflow'!A6998&lt;&gt;"",'Document Workflow'!A6998,"")</f>
        <v/>
      </c>
    </row>
    <row r="7000" spans="1:1">
      <c r="A7000" s="7" t="str">
        <f>IF('Document Workflow'!A6999&lt;&gt;"",'Document Workflow'!A6999,"")</f>
        <v/>
      </c>
    </row>
    <row r="7001" spans="1:1">
      <c r="A7001" s="7" t="str">
        <f>IF('Document Workflow'!A7000&lt;&gt;"",'Document Workflow'!A7000,"")</f>
        <v/>
      </c>
    </row>
    <row r="7002" spans="1:1">
      <c r="A7002" s="7" t="str">
        <f>IF('Document Workflow'!A7001&lt;&gt;"",'Document Workflow'!A7001,"")</f>
        <v/>
      </c>
    </row>
    <row r="7003" spans="1:1">
      <c r="A7003" s="7" t="str">
        <f>IF('Document Workflow'!A7002&lt;&gt;"",'Document Workflow'!A7002,"")</f>
        <v/>
      </c>
    </row>
    <row r="7004" spans="1:1">
      <c r="A7004" s="7" t="str">
        <f>IF('Document Workflow'!A7003&lt;&gt;"",'Document Workflow'!A7003,"")</f>
        <v/>
      </c>
    </row>
    <row r="7005" spans="1:1">
      <c r="A7005" s="7" t="str">
        <f>IF('Document Workflow'!A7004&lt;&gt;"",'Document Workflow'!A7004,"")</f>
        <v/>
      </c>
    </row>
    <row r="7006" spans="1:1">
      <c r="A7006" s="7" t="str">
        <f>IF('Document Workflow'!A7005&lt;&gt;"",'Document Workflow'!A7005,"")</f>
        <v/>
      </c>
    </row>
    <row r="7007" spans="1:1">
      <c r="A7007" s="7" t="str">
        <f>IF('Document Workflow'!A7006&lt;&gt;"",'Document Workflow'!A7006,"")</f>
        <v/>
      </c>
    </row>
    <row r="7008" spans="1:1">
      <c r="A7008" s="7" t="str">
        <f>IF('Document Workflow'!A7007&lt;&gt;"",'Document Workflow'!A7007,"")</f>
        <v/>
      </c>
    </row>
    <row r="7009" spans="1:1">
      <c r="A7009" s="7" t="str">
        <f>IF('Document Workflow'!A7008&lt;&gt;"",'Document Workflow'!A7008,"")</f>
        <v/>
      </c>
    </row>
    <row r="7010" spans="1:1">
      <c r="A7010" s="7" t="str">
        <f>IF('Document Workflow'!A7009&lt;&gt;"",'Document Workflow'!A7009,"")</f>
        <v/>
      </c>
    </row>
    <row r="7011" spans="1:1">
      <c r="A7011" s="7" t="str">
        <f>IF('Document Workflow'!A7010&lt;&gt;"",'Document Workflow'!A7010,"")</f>
        <v/>
      </c>
    </row>
    <row r="7012" spans="1:1">
      <c r="A7012" s="7" t="str">
        <f>IF('Document Workflow'!A7011&lt;&gt;"",'Document Workflow'!A7011,"")</f>
        <v/>
      </c>
    </row>
    <row r="7013" spans="1:1">
      <c r="A7013" s="7" t="str">
        <f>IF('Document Workflow'!A7012&lt;&gt;"",'Document Workflow'!A7012,"")</f>
        <v/>
      </c>
    </row>
    <row r="7014" spans="1:1">
      <c r="A7014" s="7" t="str">
        <f>IF('Document Workflow'!A7013&lt;&gt;"",'Document Workflow'!A7013,"")</f>
        <v/>
      </c>
    </row>
    <row r="7015" spans="1:1">
      <c r="A7015" s="7" t="str">
        <f>IF('Document Workflow'!A7014&lt;&gt;"",'Document Workflow'!A7014,"")</f>
        <v/>
      </c>
    </row>
    <row r="7016" spans="1:1">
      <c r="A7016" s="7" t="str">
        <f>IF('Document Workflow'!A7015&lt;&gt;"",'Document Workflow'!A7015,"")</f>
        <v/>
      </c>
    </row>
    <row r="7017" spans="1:1">
      <c r="A7017" s="7" t="str">
        <f>IF('Document Workflow'!A7016&lt;&gt;"",'Document Workflow'!A7016,"")</f>
        <v/>
      </c>
    </row>
    <row r="7018" spans="1:1">
      <c r="A7018" s="7" t="str">
        <f>IF('Document Workflow'!A7017&lt;&gt;"",'Document Workflow'!A7017,"")</f>
        <v/>
      </c>
    </row>
    <row r="7019" spans="1:1">
      <c r="A7019" s="7" t="str">
        <f>IF('Document Workflow'!A7018&lt;&gt;"",'Document Workflow'!A7018,"")</f>
        <v/>
      </c>
    </row>
    <row r="7020" spans="1:1">
      <c r="A7020" s="7" t="str">
        <f>IF('Document Workflow'!A7019&lt;&gt;"",'Document Workflow'!A7019,"")</f>
        <v/>
      </c>
    </row>
    <row r="7021" spans="1:1">
      <c r="A7021" s="7" t="str">
        <f>IF('Document Workflow'!A7020&lt;&gt;"",'Document Workflow'!A7020,"")</f>
        <v/>
      </c>
    </row>
    <row r="7022" spans="1:1">
      <c r="A7022" s="7" t="str">
        <f>IF('Document Workflow'!A7021&lt;&gt;"",'Document Workflow'!A7021,"")</f>
        <v/>
      </c>
    </row>
    <row r="7023" spans="1:1">
      <c r="A7023" s="7" t="str">
        <f>IF('Document Workflow'!A7022&lt;&gt;"",'Document Workflow'!A7022,"")</f>
        <v/>
      </c>
    </row>
    <row r="7024" spans="1:1">
      <c r="A7024" s="7" t="str">
        <f>IF('Document Workflow'!A7023&lt;&gt;"",'Document Workflow'!A7023,"")</f>
        <v/>
      </c>
    </row>
    <row r="7025" spans="1:1">
      <c r="A7025" s="7" t="str">
        <f>IF('Document Workflow'!A7024&lt;&gt;"",'Document Workflow'!A7024,"")</f>
        <v/>
      </c>
    </row>
    <row r="7026" spans="1:1">
      <c r="A7026" s="7" t="str">
        <f>IF('Document Workflow'!A7025&lt;&gt;"",'Document Workflow'!A7025,"")</f>
        <v/>
      </c>
    </row>
    <row r="7027" spans="1:1">
      <c r="A7027" s="7" t="str">
        <f>IF('Document Workflow'!A7026&lt;&gt;"",'Document Workflow'!A7026,"")</f>
        <v/>
      </c>
    </row>
    <row r="7028" spans="1:1">
      <c r="A7028" s="7" t="str">
        <f>IF('Document Workflow'!A7027&lt;&gt;"",'Document Workflow'!A7027,"")</f>
        <v/>
      </c>
    </row>
    <row r="7029" spans="1:1">
      <c r="A7029" s="7" t="str">
        <f>IF('Document Workflow'!A7028&lt;&gt;"",'Document Workflow'!A7028,"")</f>
        <v/>
      </c>
    </row>
    <row r="7030" spans="1:1">
      <c r="A7030" s="7" t="str">
        <f>IF('Document Workflow'!A7029&lt;&gt;"",'Document Workflow'!A7029,"")</f>
        <v/>
      </c>
    </row>
    <row r="7031" spans="1:1">
      <c r="A7031" s="7" t="str">
        <f>IF('Document Workflow'!A7030&lt;&gt;"",'Document Workflow'!A7030,"")</f>
        <v/>
      </c>
    </row>
    <row r="7032" spans="1:1">
      <c r="A7032" s="7" t="str">
        <f>IF('Document Workflow'!A7031&lt;&gt;"",'Document Workflow'!A7031,"")</f>
        <v/>
      </c>
    </row>
    <row r="7033" spans="1:1">
      <c r="A7033" s="7" t="str">
        <f>IF('Document Workflow'!A7032&lt;&gt;"",'Document Workflow'!A7032,"")</f>
        <v/>
      </c>
    </row>
    <row r="7034" spans="1:1">
      <c r="A7034" s="7" t="str">
        <f>IF('Document Workflow'!A7033&lt;&gt;"",'Document Workflow'!A7033,"")</f>
        <v/>
      </c>
    </row>
    <row r="7035" spans="1:1">
      <c r="A7035" s="7" t="str">
        <f>IF('Document Workflow'!A7034&lt;&gt;"",'Document Workflow'!A7034,"")</f>
        <v/>
      </c>
    </row>
    <row r="7036" spans="1:1">
      <c r="A7036" s="7" t="str">
        <f>IF('Document Workflow'!A7035&lt;&gt;"",'Document Workflow'!A7035,"")</f>
        <v/>
      </c>
    </row>
    <row r="7037" spans="1:1">
      <c r="A7037" s="7" t="str">
        <f>IF('Document Workflow'!A7036&lt;&gt;"",'Document Workflow'!A7036,"")</f>
        <v/>
      </c>
    </row>
    <row r="7038" spans="1:1">
      <c r="A7038" s="7" t="str">
        <f>IF('Document Workflow'!A7037&lt;&gt;"",'Document Workflow'!A7037,"")</f>
        <v/>
      </c>
    </row>
    <row r="7039" spans="1:1">
      <c r="A7039" s="7" t="str">
        <f>IF('Document Workflow'!A7038&lt;&gt;"",'Document Workflow'!A7038,"")</f>
        <v/>
      </c>
    </row>
    <row r="7040" spans="1:1">
      <c r="A7040" s="7" t="str">
        <f>IF('Document Workflow'!A7039&lt;&gt;"",'Document Workflow'!A7039,"")</f>
        <v/>
      </c>
    </row>
    <row r="7041" spans="1:1">
      <c r="A7041" s="7" t="str">
        <f>IF('Document Workflow'!A7040&lt;&gt;"",'Document Workflow'!A7040,"")</f>
        <v/>
      </c>
    </row>
    <row r="7042" spans="1:1">
      <c r="A7042" s="7" t="str">
        <f>IF('Document Workflow'!A7041&lt;&gt;"",'Document Workflow'!A7041,"")</f>
        <v/>
      </c>
    </row>
    <row r="7043" spans="1:1">
      <c r="A7043" s="7" t="str">
        <f>IF('Document Workflow'!A7042&lt;&gt;"",'Document Workflow'!A7042,"")</f>
        <v/>
      </c>
    </row>
    <row r="7044" spans="1:1">
      <c r="A7044" s="7" t="str">
        <f>IF('Document Workflow'!A7043&lt;&gt;"",'Document Workflow'!A7043,"")</f>
        <v/>
      </c>
    </row>
    <row r="7045" spans="1:1">
      <c r="A7045" s="7" t="str">
        <f>IF('Document Workflow'!A7044&lt;&gt;"",'Document Workflow'!A7044,"")</f>
        <v/>
      </c>
    </row>
    <row r="7046" spans="1:1">
      <c r="A7046" s="7" t="str">
        <f>IF('Document Workflow'!A7045&lt;&gt;"",'Document Workflow'!A7045,"")</f>
        <v/>
      </c>
    </row>
    <row r="7047" spans="1:1">
      <c r="A7047" s="7" t="str">
        <f>IF('Document Workflow'!A7046&lt;&gt;"",'Document Workflow'!A7046,"")</f>
        <v/>
      </c>
    </row>
    <row r="7048" spans="1:1">
      <c r="A7048" s="7" t="str">
        <f>IF('Document Workflow'!A7047&lt;&gt;"",'Document Workflow'!A7047,"")</f>
        <v/>
      </c>
    </row>
    <row r="7049" spans="1:1">
      <c r="A7049" s="7" t="str">
        <f>IF('Document Workflow'!A7048&lt;&gt;"",'Document Workflow'!A7048,"")</f>
        <v/>
      </c>
    </row>
    <row r="7050" spans="1:1">
      <c r="A7050" s="7" t="str">
        <f>IF('Document Workflow'!A7049&lt;&gt;"",'Document Workflow'!A7049,"")</f>
        <v/>
      </c>
    </row>
    <row r="7051" spans="1:1">
      <c r="A7051" s="7" t="str">
        <f>IF('Document Workflow'!A7050&lt;&gt;"",'Document Workflow'!A7050,"")</f>
        <v/>
      </c>
    </row>
    <row r="7052" spans="1:1">
      <c r="A7052" s="7" t="str">
        <f>IF('Document Workflow'!A7051&lt;&gt;"",'Document Workflow'!A7051,"")</f>
        <v/>
      </c>
    </row>
    <row r="7053" spans="1:1">
      <c r="A7053" s="7" t="str">
        <f>IF('Document Workflow'!A7052&lt;&gt;"",'Document Workflow'!A7052,"")</f>
        <v/>
      </c>
    </row>
    <row r="7054" spans="1:1">
      <c r="A7054" s="7" t="str">
        <f>IF('Document Workflow'!A7053&lt;&gt;"",'Document Workflow'!A7053,"")</f>
        <v/>
      </c>
    </row>
    <row r="7055" spans="1:1">
      <c r="A7055" s="7" t="str">
        <f>IF('Document Workflow'!A7054&lt;&gt;"",'Document Workflow'!A7054,"")</f>
        <v/>
      </c>
    </row>
    <row r="7056" spans="1:1">
      <c r="A7056" s="7" t="str">
        <f>IF('Document Workflow'!A7055&lt;&gt;"",'Document Workflow'!A7055,"")</f>
        <v/>
      </c>
    </row>
    <row r="7057" spans="1:1">
      <c r="A7057" s="7" t="str">
        <f>IF('Document Workflow'!A7056&lt;&gt;"",'Document Workflow'!A7056,"")</f>
        <v/>
      </c>
    </row>
    <row r="7058" spans="1:1">
      <c r="A7058" s="7" t="str">
        <f>IF('Document Workflow'!A7057&lt;&gt;"",'Document Workflow'!A7057,"")</f>
        <v/>
      </c>
    </row>
    <row r="7059" spans="1:1">
      <c r="A7059" s="7" t="str">
        <f>IF('Document Workflow'!A7058&lt;&gt;"",'Document Workflow'!A7058,"")</f>
        <v/>
      </c>
    </row>
    <row r="7060" spans="1:1">
      <c r="A7060" s="7" t="str">
        <f>IF('Document Workflow'!A7059&lt;&gt;"",'Document Workflow'!A7059,"")</f>
        <v/>
      </c>
    </row>
    <row r="7061" spans="1:1">
      <c r="A7061" s="7" t="str">
        <f>IF('Document Workflow'!A7060&lt;&gt;"",'Document Workflow'!A7060,"")</f>
        <v/>
      </c>
    </row>
    <row r="7062" spans="1:1">
      <c r="A7062" s="7" t="str">
        <f>IF('Document Workflow'!A7061&lt;&gt;"",'Document Workflow'!A7061,"")</f>
        <v/>
      </c>
    </row>
    <row r="7063" spans="1:1">
      <c r="A7063" s="7" t="str">
        <f>IF('Document Workflow'!A7062&lt;&gt;"",'Document Workflow'!A7062,"")</f>
        <v/>
      </c>
    </row>
    <row r="7064" spans="1:1">
      <c r="A7064" s="7" t="str">
        <f>IF('Document Workflow'!A7063&lt;&gt;"",'Document Workflow'!A7063,"")</f>
        <v/>
      </c>
    </row>
    <row r="7065" spans="1:1">
      <c r="A7065" s="7" t="str">
        <f>IF('Document Workflow'!A7064&lt;&gt;"",'Document Workflow'!A7064,"")</f>
        <v/>
      </c>
    </row>
    <row r="7066" spans="1:1">
      <c r="A7066" s="7" t="str">
        <f>IF('Document Workflow'!A7065&lt;&gt;"",'Document Workflow'!A7065,"")</f>
        <v/>
      </c>
    </row>
    <row r="7067" spans="1:1">
      <c r="A7067" s="7" t="str">
        <f>IF('Document Workflow'!A7066&lt;&gt;"",'Document Workflow'!A7066,"")</f>
        <v/>
      </c>
    </row>
    <row r="7068" spans="1:1">
      <c r="A7068" s="7" t="str">
        <f>IF('Document Workflow'!A7067&lt;&gt;"",'Document Workflow'!A7067,"")</f>
        <v/>
      </c>
    </row>
    <row r="7069" spans="1:1">
      <c r="A7069" s="7" t="str">
        <f>IF('Document Workflow'!A7068&lt;&gt;"",'Document Workflow'!A7068,"")</f>
        <v/>
      </c>
    </row>
    <row r="7070" spans="1:1">
      <c r="A7070" s="7" t="str">
        <f>IF('Document Workflow'!A7069&lt;&gt;"",'Document Workflow'!A7069,"")</f>
        <v/>
      </c>
    </row>
    <row r="7071" spans="1:1">
      <c r="A7071" s="7" t="str">
        <f>IF('Document Workflow'!A7070&lt;&gt;"",'Document Workflow'!A7070,"")</f>
        <v/>
      </c>
    </row>
    <row r="7072" spans="1:1">
      <c r="A7072" s="7" t="str">
        <f>IF('Document Workflow'!A7071&lt;&gt;"",'Document Workflow'!A7071,"")</f>
        <v/>
      </c>
    </row>
    <row r="7073" spans="1:1">
      <c r="A7073" s="7" t="str">
        <f>IF('Document Workflow'!A7072&lt;&gt;"",'Document Workflow'!A7072,"")</f>
        <v/>
      </c>
    </row>
    <row r="7074" spans="1:1">
      <c r="A7074" s="7" t="str">
        <f>IF('Document Workflow'!A7073&lt;&gt;"",'Document Workflow'!A7073,"")</f>
        <v/>
      </c>
    </row>
    <row r="7075" spans="1:1">
      <c r="A7075" s="7" t="str">
        <f>IF('Document Workflow'!A7074&lt;&gt;"",'Document Workflow'!A7074,"")</f>
        <v/>
      </c>
    </row>
    <row r="7076" spans="1:1">
      <c r="A7076" s="7" t="str">
        <f>IF('Document Workflow'!A7075&lt;&gt;"",'Document Workflow'!A7075,"")</f>
        <v/>
      </c>
    </row>
    <row r="7077" spans="1:1">
      <c r="A7077" s="7" t="str">
        <f>IF('Document Workflow'!A7076&lt;&gt;"",'Document Workflow'!A7076,"")</f>
        <v/>
      </c>
    </row>
    <row r="7078" spans="1:1">
      <c r="A7078" s="7" t="str">
        <f>IF('Document Workflow'!A7077&lt;&gt;"",'Document Workflow'!A7077,"")</f>
        <v/>
      </c>
    </row>
    <row r="7079" spans="1:1">
      <c r="A7079" s="7" t="str">
        <f>IF('Document Workflow'!A7078&lt;&gt;"",'Document Workflow'!A7078,"")</f>
        <v/>
      </c>
    </row>
    <row r="7080" spans="1:1">
      <c r="A7080" s="7" t="str">
        <f>IF('Document Workflow'!A7079&lt;&gt;"",'Document Workflow'!A7079,"")</f>
        <v/>
      </c>
    </row>
    <row r="7081" spans="1:1">
      <c r="A7081" s="7" t="str">
        <f>IF('Document Workflow'!A7080&lt;&gt;"",'Document Workflow'!A7080,"")</f>
        <v/>
      </c>
    </row>
    <row r="7082" spans="1:1">
      <c r="A7082" s="7" t="str">
        <f>IF('Document Workflow'!A7081&lt;&gt;"",'Document Workflow'!A7081,"")</f>
        <v/>
      </c>
    </row>
    <row r="7083" spans="1:1">
      <c r="A7083" s="7" t="str">
        <f>IF('Document Workflow'!A7082&lt;&gt;"",'Document Workflow'!A7082,"")</f>
        <v/>
      </c>
    </row>
    <row r="7084" spans="1:1">
      <c r="A7084" s="7" t="str">
        <f>IF('Document Workflow'!A7083&lt;&gt;"",'Document Workflow'!A7083,"")</f>
        <v/>
      </c>
    </row>
    <row r="7085" spans="1:1">
      <c r="A7085" s="7" t="str">
        <f>IF('Document Workflow'!A7084&lt;&gt;"",'Document Workflow'!A7084,"")</f>
        <v/>
      </c>
    </row>
    <row r="7086" spans="1:1">
      <c r="A7086" s="7" t="str">
        <f>IF('Document Workflow'!A7085&lt;&gt;"",'Document Workflow'!A7085,"")</f>
        <v/>
      </c>
    </row>
    <row r="7087" spans="1:1">
      <c r="A7087" s="7" t="str">
        <f>IF('Document Workflow'!A7086&lt;&gt;"",'Document Workflow'!A7086,"")</f>
        <v/>
      </c>
    </row>
    <row r="7088" spans="1:1">
      <c r="A7088" s="7" t="str">
        <f>IF('Document Workflow'!A7087&lt;&gt;"",'Document Workflow'!A7087,"")</f>
        <v/>
      </c>
    </row>
    <row r="7089" spans="1:1">
      <c r="A7089" s="7" t="str">
        <f>IF('Document Workflow'!A7088&lt;&gt;"",'Document Workflow'!A7088,"")</f>
        <v/>
      </c>
    </row>
    <row r="7090" spans="1:1">
      <c r="A7090" s="7" t="str">
        <f>IF('Document Workflow'!A7089&lt;&gt;"",'Document Workflow'!A7089,"")</f>
        <v/>
      </c>
    </row>
    <row r="7091" spans="1:1">
      <c r="A7091" s="7" t="str">
        <f>IF('Document Workflow'!A7090&lt;&gt;"",'Document Workflow'!A7090,"")</f>
        <v/>
      </c>
    </row>
    <row r="7092" spans="1:1">
      <c r="A7092" s="7" t="str">
        <f>IF('Document Workflow'!A7091&lt;&gt;"",'Document Workflow'!A7091,"")</f>
        <v/>
      </c>
    </row>
    <row r="7093" spans="1:1">
      <c r="A7093" s="7" t="str">
        <f>IF('Document Workflow'!A7092&lt;&gt;"",'Document Workflow'!A7092,"")</f>
        <v/>
      </c>
    </row>
    <row r="7094" spans="1:1">
      <c r="A7094" s="7" t="str">
        <f>IF('Document Workflow'!A7093&lt;&gt;"",'Document Workflow'!A7093,"")</f>
        <v/>
      </c>
    </row>
    <row r="7095" spans="1:1">
      <c r="A7095" s="7" t="str">
        <f>IF('Document Workflow'!A7094&lt;&gt;"",'Document Workflow'!A7094,"")</f>
        <v/>
      </c>
    </row>
    <row r="7096" spans="1:1">
      <c r="A7096" s="7" t="str">
        <f>IF('Document Workflow'!A7095&lt;&gt;"",'Document Workflow'!A7095,"")</f>
        <v/>
      </c>
    </row>
    <row r="7097" spans="1:1">
      <c r="A7097" s="7" t="str">
        <f>IF('Document Workflow'!A7096&lt;&gt;"",'Document Workflow'!A7096,"")</f>
        <v/>
      </c>
    </row>
    <row r="7098" spans="1:1">
      <c r="A7098" s="7" t="str">
        <f>IF('Document Workflow'!A7097&lt;&gt;"",'Document Workflow'!A7097,"")</f>
        <v/>
      </c>
    </row>
    <row r="7099" spans="1:1">
      <c r="A7099" s="7" t="str">
        <f>IF('Document Workflow'!A7098&lt;&gt;"",'Document Workflow'!A7098,"")</f>
        <v/>
      </c>
    </row>
    <row r="7100" spans="1:1">
      <c r="A7100" s="7" t="str">
        <f>IF('Document Workflow'!A7099&lt;&gt;"",'Document Workflow'!A7099,"")</f>
        <v/>
      </c>
    </row>
    <row r="7101" spans="1:1">
      <c r="A7101" s="7" t="str">
        <f>IF('Document Workflow'!A7100&lt;&gt;"",'Document Workflow'!A7100,"")</f>
        <v/>
      </c>
    </row>
    <row r="7102" spans="1:1">
      <c r="A7102" s="7" t="str">
        <f>IF('Document Workflow'!A7101&lt;&gt;"",'Document Workflow'!A7101,"")</f>
        <v/>
      </c>
    </row>
    <row r="7103" spans="1:1">
      <c r="A7103" s="7" t="str">
        <f>IF('Document Workflow'!A7102&lt;&gt;"",'Document Workflow'!A7102,"")</f>
        <v/>
      </c>
    </row>
    <row r="7104" spans="1:1">
      <c r="A7104" s="7" t="str">
        <f>IF('Document Workflow'!A7103&lt;&gt;"",'Document Workflow'!A7103,"")</f>
        <v/>
      </c>
    </row>
    <row r="7105" spans="1:1">
      <c r="A7105" s="7" t="str">
        <f>IF('Document Workflow'!A7104&lt;&gt;"",'Document Workflow'!A7104,"")</f>
        <v/>
      </c>
    </row>
    <row r="7106" spans="1:1">
      <c r="A7106" s="7" t="str">
        <f>IF('Document Workflow'!A7105&lt;&gt;"",'Document Workflow'!A7105,"")</f>
        <v/>
      </c>
    </row>
    <row r="7107" spans="1:1">
      <c r="A7107" s="7" t="str">
        <f>IF('Document Workflow'!A7106&lt;&gt;"",'Document Workflow'!A7106,"")</f>
        <v/>
      </c>
    </row>
    <row r="7108" spans="1:1">
      <c r="A7108" s="7" t="str">
        <f>IF('Document Workflow'!A7107&lt;&gt;"",'Document Workflow'!A7107,"")</f>
        <v/>
      </c>
    </row>
    <row r="7109" spans="1:1">
      <c r="A7109" s="7" t="str">
        <f>IF('Document Workflow'!A7108&lt;&gt;"",'Document Workflow'!A7108,"")</f>
        <v/>
      </c>
    </row>
    <row r="7110" spans="1:1">
      <c r="A7110" s="7" t="str">
        <f>IF('Document Workflow'!A7109&lt;&gt;"",'Document Workflow'!A7109,"")</f>
        <v/>
      </c>
    </row>
    <row r="7111" spans="1:1">
      <c r="A7111" s="7" t="str">
        <f>IF('Document Workflow'!A7110&lt;&gt;"",'Document Workflow'!A7110,"")</f>
        <v/>
      </c>
    </row>
    <row r="7112" spans="1:1">
      <c r="A7112" s="7" t="str">
        <f>IF('Document Workflow'!A7111&lt;&gt;"",'Document Workflow'!A7111,"")</f>
        <v/>
      </c>
    </row>
    <row r="7113" spans="1:1">
      <c r="A7113" s="7" t="str">
        <f>IF('Document Workflow'!A7112&lt;&gt;"",'Document Workflow'!A7112,"")</f>
        <v/>
      </c>
    </row>
    <row r="7114" spans="1:1">
      <c r="A7114" s="7" t="str">
        <f>IF('Document Workflow'!A7113&lt;&gt;"",'Document Workflow'!A7113,"")</f>
        <v/>
      </c>
    </row>
    <row r="7115" spans="1:1">
      <c r="A7115" s="7" t="str">
        <f>IF('Document Workflow'!A7114&lt;&gt;"",'Document Workflow'!A7114,"")</f>
        <v/>
      </c>
    </row>
    <row r="7116" spans="1:1">
      <c r="A7116" s="7" t="str">
        <f>IF('Document Workflow'!A7115&lt;&gt;"",'Document Workflow'!A7115,"")</f>
        <v/>
      </c>
    </row>
    <row r="7117" spans="1:1">
      <c r="A7117" s="7" t="str">
        <f>IF('Document Workflow'!A7116&lt;&gt;"",'Document Workflow'!A7116,"")</f>
        <v/>
      </c>
    </row>
    <row r="7118" spans="1:1">
      <c r="A7118" s="7" t="str">
        <f>IF('Document Workflow'!A7117&lt;&gt;"",'Document Workflow'!A7117,"")</f>
        <v/>
      </c>
    </row>
    <row r="7119" spans="1:1">
      <c r="A7119" s="7" t="str">
        <f>IF('Document Workflow'!A7118&lt;&gt;"",'Document Workflow'!A7118,"")</f>
        <v/>
      </c>
    </row>
    <row r="7120" spans="1:1">
      <c r="A7120" s="7" t="str">
        <f>IF('Document Workflow'!A7119&lt;&gt;"",'Document Workflow'!A7119,"")</f>
        <v/>
      </c>
    </row>
    <row r="7121" spans="1:1">
      <c r="A7121" s="7" t="str">
        <f>IF('Document Workflow'!A7120&lt;&gt;"",'Document Workflow'!A7120,"")</f>
        <v/>
      </c>
    </row>
    <row r="7122" spans="1:1">
      <c r="A7122" s="7" t="str">
        <f>IF('Document Workflow'!A7121&lt;&gt;"",'Document Workflow'!A7121,"")</f>
        <v/>
      </c>
    </row>
    <row r="7123" spans="1:1">
      <c r="A7123" s="7" t="str">
        <f>IF('Document Workflow'!A7122&lt;&gt;"",'Document Workflow'!A7122,"")</f>
        <v/>
      </c>
    </row>
    <row r="7124" spans="1:1">
      <c r="A7124" s="7" t="str">
        <f>IF('Document Workflow'!A7123&lt;&gt;"",'Document Workflow'!A7123,"")</f>
        <v/>
      </c>
    </row>
    <row r="7125" spans="1:1">
      <c r="A7125" s="7" t="str">
        <f>IF('Document Workflow'!A7124&lt;&gt;"",'Document Workflow'!A7124,"")</f>
        <v/>
      </c>
    </row>
    <row r="7126" spans="1:1">
      <c r="A7126" s="7" t="str">
        <f>IF('Document Workflow'!A7125&lt;&gt;"",'Document Workflow'!A7125,"")</f>
        <v/>
      </c>
    </row>
    <row r="7127" spans="1:1">
      <c r="A7127" s="7" t="str">
        <f>IF('Document Workflow'!A7126&lt;&gt;"",'Document Workflow'!A7126,"")</f>
        <v/>
      </c>
    </row>
    <row r="7128" spans="1:1">
      <c r="A7128" s="7" t="str">
        <f>IF('Document Workflow'!A7127&lt;&gt;"",'Document Workflow'!A7127,"")</f>
        <v/>
      </c>
    </row>
    <row r="7129" spans="1:1">
      <c r="A7129" s="7" t="str">
        <f>IF('Document Workflow'!A7128&lt;&gt;"",'Document Workflow'!A7128,"")</f>
        <v/>
      </c>
    </row>
    <row r="7130" spans="1:1">
      <c r="A7130" s="7" t="str">
        <f>IF('Document Workflow'!A7129&lt;&gt;"",'Document Workflow'!A7129,"")</f>
        <v/>
      </c>
    </row>
    <row r="7131" spans="1:1">
      <c r="A7131" s="7" t="str">
        <f>IF('Document Workflow'!A7130&lt;&gt;"",'Document Workflow'!A7130,"")</f>
        <v/>
      </c>
    </row>
    <row r="7132" spans="1:1">
      <c r="A7132" s="7" t="str">
        <f>IF('Document Workflow'!A7131&lt;&gt;"",'Document Workflow'!A7131,"")</f>
        <v/>
      </c>
    </row>
    <row r="7133" spans="1:1">
      <c r="A7133" s="7" t="str">
        <f>IF('Document Workflow'!A7132&lt;&gt;"",'Document Workflow'!A7132,"")</f>
        <v/>
      </c>
    </row>
    <row r="7134" spans="1:1">
      <c r="A7134" s="7" t="str">
        <f>IF('Document Workflow'!A7133&lt;&gt;"",'Document Workflow'!A7133,"")</f>
        <v/>
      </c>
    </row>
    <row r="7135" spans="1:1">
      <c r="A7135" s="7" t="str">
        <f>IF('Document Workflow'!A7134&lt;&gt;"",'Document Workflow'!A7134,"")</f>
        <v/>
      </c>
    </row>
    <row r="7136" spans="1:1">
      <c r="A7136" s="7" t="str">
        <f>IF('Document Workflow'!A7135&lt;&gt;"",'Document Workflow'!A7135,"")</f>
        <v/>
      </c>
    </row>
    <row r="7137" spans="1:1">
      <c r="A7137" s="7" t="str">
        <f>IF('Document Workflow'!A7136&lt;&gt;"",'Document Workflow'!A7136,"")</f>
        <v/>
      </c>
    </row>
    <row r="7138" spans="1:1">
      <c r="A7138" s="7" t="str">
        <f>IF('Document Workflow'!A7137&lt;&gt;"",'Document Workflow'!A7137,"")</f>
        <v/>
      </c>
    </row>
    <row r="7139" spans="1:1">
      <c r="A7139" s="7" t="str">
        <f>IF('Document Workflow'!A7138&lt;&gt;"",'Document Workflow'!A7138,"")</f>
        <v/>
      </c>
    </row>
    <row r="7140" spans="1:1">
      <c r="A7140" s="7" t="str">
        <f>IF('Document Workflow'!A7139&lt;&gt;"",'Document Workflow'!A7139,"")</f>
        <v/>
      </c>
    </row>
    <row r="7141" spans="1:1">
      <c r="A7141" s="7" t="str">
        <f>IF('Document Workflow'!A7140&lt;&gt;"",'Document Workflow'!A7140,"")</f>
        <v/>
      </c>
    </row>
    <row r="7142" spans="1:1">
      <c r="A7142" s="7" t="str">
        <f>IF('Document Workflow'!A7141&lt;&gt;"",'Document Workflow'!A7141,"")</f>
        <v/>
      </c>
    </row>
    <row r="7143" spans="1:1">
      <c r="A7143" s="7" t="str">
        <f>IF('Document Workflow'!A7142&lt;&gt;"",'Document Workflow'!A7142,"")</f>
        <v/>
      </c>
    </row>
    <row r="7144" spans="1:1">
      <c r="A7144" s="7" t="str">
        <f>IF('Document Workflow'!A7143&lt;&gt;"",'Document Workflow'!A7143,"")</f>
        <v/>
      </c>
    </row>
    <row r="7145" spans="1:1">
      <c r="A7145" s="7" t="str">
        <f>IF('Document Workflow'!A7144&lt;&gt;"",'Document Workflow'!A7144,"")</f>
        <v/>
      </c>
    </row>
    <row r="7146" spans="1:1">
      <c r="A7146" s="7" t="str">
        <f>IF('Document Workflow'!A7145&lt;&gt;"",'Document Workflow'!A7145,"")</f>
        <v/>
      </c>
    </row>
    <row r="7147" spans="1:1">
      <c r="A7147" s="7" t="str">
        <f>IF('Document Workflow'!A7146&lt;&gt;"",'Document Workflow'!A7146,"")</f>
        <v/>
      </c>
    </row>
    <row r="7148" spans="1:1">
      <c r="A7148" s="7" t="str">
        <f>IF('Document Workflow'!A7147&lt;&gt;"",'Document Workflow'!A7147,"")</f>
        <v/>
      </c>
    </row>
    <row r="7149" spans="1:1">
      <c r="A7149" s="7" t="str">
        <f>IF('Document Workflow'!A7148&lt;&gt;"",'Document Workflow'!A7148,"")</f>
        <v/>
      </c>
    </row>
    <row r="7150" spans="1:1">
      <c r="A7150" s="7" t="str">
        <f>IF('Document Workflow'!A7149&lt;&gt;"",'Document Workflow'!A7149,"")</f>
        <v/>
      </c>
    </row>
    <row r="7151" spans="1:1">
      <c r="A7151" s="7" t="str">
        <f>IF('Document Workflow'!A7150&lt;&gt;"",'Document Workflow'!A7150,"")</f>
        <v/>
      </c>
    </row>
    <row r="7152" spans="1:1">
      <c r="A7152" s="7" t="str">
        <f>IF('Document Workflow'!A7151&lt;&gt;"",'Document Workflow'!A7151,"")</f>
        <v/>
      </c>
    </row>
    <row r="7153" spans="1:1">
      <c r="A7153" s="7" t="str">
        <f>IF('Document Workflow'!A7152&lt;&gt;"",'Document Workflow'!A7152,"")</f>
        <v/>
      </c>
    </row>
    <row r="7154" spans="1:1">
      <c r="A7154" s="7" t="str">
        <f>IF('Document Workflow'!A7153&lt;&gt;"",'Document Workflow'!A7153,"")</f>
        <v/>
      </c>
    </row>
    <row r="7155" spans="1:1">
      <c r="A7155" s="7" t="str">
        <f>IF('Document Workflow'!A7154&lt;&gt;"",'Document Workflow'!A7154,"")</f>
        <v/>
      </c>
    </row>
    <row r="7156" spans="1:1">
      <c r="A7156" s="7" t="str">
        <f>IF('Document Workflow'!A7155&lt;&gt;"",'Document Workflow'!A7155,"")</f>
        <v/>
      </c>
    </row>
    <row r="7157" spans="1:1">
      <c r="A7157" s="7" t="str">
        <f>IF('Document Workflow'!A7156&lt;&gt;"",'Document Workflow'!A7156,"")</f>
        <v/>
      </c>
    </row>
    <row r="7158" spans="1:1">
      <c r="A7158" s="7" t="str">
        <f>IF('Document Workflow'!A7157&lt;&gt;"",'Document Workflow'!A7157,"")</f>
        <v/>
      </c>
    </row>
    <row r="7159" spans="1:1">
      <c r="A7159" s="7" t="str">
        <f>IF('Document Workflow'!A7158&lt;&gt;"",'Document Workflow'!A7158,"")</f>
        <v/>
      </c>
    </row>
    <row r="7160" spans="1:1">
      <c r="A7160" s="7" t="str">
        <f>IF('Document Workflow'!A7159&lt;&gt;"",'Document Workflow'!A7159,"")</f>
        <v/>
      </c>
    </row>
    <row r="7161" spans="1:1">
      <c r="A7161" s="7" t="str">
        <f>IF('Document Workflow'!A7160&lt;&gt;"",'Document Workflow'!A7160,"")</f>
        <v/>
      </c>
    </row>
    <row r="7162" spans="1:1">
      <c r="A7162" s="7" t="str">
        <f>IF('Document Workflow'!A7161&lt;&gt;"",'Document Workflow'!A7161,"")</f>
        <v/>
      </c>
    </row>
    <row r="7163" spans="1:1">
      <c r="A7163" s="7" t="str">
        <f>IF('Document Workflow'!A7162&lt;&gt;"",'Document Workflow'!A7162,"")</f>
        <v/>
      </c>
    </row>
    <row r="7164" spans="1:1">
      <c r="A7164" s="7" t="str">
        <f>IF('Document Workflow'!A7163&lt;&gt;"",'Document Workflow'!A7163,"")</f>
        <v/>
      </c>
    </row>
    <row r="7165" spans="1:1">
      <c r="A7165" s="7" t="str">
        <f>IF('Document Workflow'!A7164&lt;&gt;"",'Document Workflow'!A7164,"")</f>
        <v/>
      </c>
    </row>
    <row r="7166" spans="1:1">
      <c r="A7166" s="7" t="str">
        <f>IF('Document Workflow'!A7165&lt;&gt;"",'Document Workflow'!A7165,"")</f>
        <v/>
      </c>
    </row>
    <row r="7167" spans="1:1">
      <c r="A7167" s="7" t="str">
        <f>IF('Document Workflow'!A7166&lt;&gt;"",'Document Workflow'!A7166,"")</f>
        <v/>
      </c>
    </row>
    <row r="7168" spans="1:1">
      <c r="A7168" s="7" t="str">
        <f>IF('Document Workflow'!A7167&lt;&gt;"",'Document Workflow'!A7167,"")</f>
        <v/>
      </c>
    </row>
    <row r="7169" spans="1:1">
      <c r="A7169" s="7" t="str">
        <f>IF('Document Workflow'!A7168&lt;&gt;"",'Document Workflow'!A7168,"")</f>
        <v/>
      </c>
    </row>
    <row r="7170" spans="1:1">
      <c r="A7170" s="7" t="str">
        <f>IF('Document Workflow'!A7169&lt;&gt;"",'Document Workflow'!A7169,"")</f>
        <v/>
      </c>
    </row>
    <row r="7171" spans="1:1">
      <c r="A7171" s="7" t="str">
        <f>IF('Document Workflow'!A7170&lt;&gt;"",'Document Workflow'!A7170,"")</f>
        <v/>
      </c>
    </row>
    <row r="7172" spans="1:1">
      <c r="A7172" s="7" t="str">
        <f>IF('Document Workflow'!A7171&lt;&gt;"",'Document Workflow'!A7171,"")</f>
        <v/>
      </c>
    </row>
    <row r="7173" spans="1:1">
      <c r="A7173" s="7" t="str">
        <f>IF('Document Workflow'!A7172&lt;&gt;"",'Document Workflow'!A7172,"")</f>
        <v/>
      </c>
    </row>
    <row r="7174" spans="1:1">
      <c r="A7174" s="7" t="str">
        <f>IF('Document Workflow'!A7173&lt;&gt;"",'Document Workflow'!A7173,"")</f>
        <v/>
      </c>
    </row>
    <row r="7175" spans="1:1">
      <c r="A7175" s="7" t="str">
        <f>IF('Document Workflow'!A7174&lt;&gt;"",'Document Workflow'!A7174,"")</f>
        <v/>
      </c>
    </row>
    <row r="7176" spans="1:1">
      <c r="A7176" s="7" t="str">
        <f>IF('Document Workflow'!A7175&lt;&gt;"",'Document Workflow'!A7175,"")</f>
        <v/>
      </c>
    </row>
    <row r="7177" spans="1:1">
      <c r="A7177" s="7" t="str">
        <f>IF('Document Workflow'!A7176&lt;&gt;"",'Document Workflow'!A7176,"")</f>
        <v/>
      </c>
    </row>
    <row r="7178" spans="1:1">
      <c r="A7178" s="7" t="str">
        <f>IF('Document Workflow'!A7177&lt;&gt;"",'Document Workflow'!A7177,"")</f>
        <v/>
      </c>
    </row>
    <row r="7179" spans="1:1">
      <c r="A7179" s="7" t="str">
        <f>IF('Document Workflow'!A7178&lt;&gt;"",'Document Workflow'!A7178,"")</f>
        <v/>
      </c>
    </row>
    <row r="7180" spans="1:1">
      <c r="A7180" s="7" t="str">
        <f>IF('Document Workflow'!A7179&lt;&gt;"",'Document Workflow'!A7179,"")</f>
        <v/>
      </c>
    </row>
    <row r="7181" spans="1:1">
      <c r="A7181" s="7" t="str">
        <f>IF('Document Workflow'!A7180&lt;&gt;"",'Document Workflow'!A7180,"")</f>
        <v/>
      </c>
    </row>
    <row r="7182" spans="1:1">
      <c r="A7182" s="7" t="str">
        <f>IF('Document Workflow'!A7181&lt;&gt;"",'Document Workflow'!A7181,"")</f>
        <v/>
      </c>
    </row>
    <row r="7183" spans="1:1">
      <c r="A7183" s="7" t="str">
        <f>IF('Document Workflow'!A7182&lt;&gt;"",'Document Workflow'!A7182,"")</f>
        <v/>
      </c>
    </row>
    <row r="7184" spans="1:1">
      <c r="A7184" s="7" t="str">
        <f>IF('Document Workflow'!A7183&lt;&gt;"",'Document Workflow'!A7183,"")</f>
        <v/>
      </c>
    </row>
    <row r="7185" spans="1:1">
      <c r="A7185" s="7" t="str">
        <f>IF('Document Workflow'!A7184&lt;&gt;"",'Document Workflow'!A7184,"")</f>
        <v/>
      </c>
    </row>
    <row r="7186" spans="1:1">
      <c r="A7186" s="7" t="str">
        <f>IF('Document Workflow'!A7185&lt;&gt;"",'Document Workflow'!A7185,"")</f>
        <v/>
      </c>
    </row>
    <row r="7187" spans="1:1">
      <c r="A7187" s="7" t="str">
        <f>IF('Document Workflow'!A7186&lt;&gt;"",'Document Workflow'!A7186,"")</f>
        <v/>
      </c>
    </row>
    <row r="7188" spans="1:1">
      <c r="A7188" s="7" t="str">
        <f>IF('Document Workflow'!A7187&lt;&gt;"",'Document Workflow'!A7187,"")</f>
        <v/>
      </c>
    </row>
    <row r="7189" spans="1:1">
      <c r="A7189" s="7" t="str">
        <f>IF('Document Workflow'!A7188&lt;&gt;"",'Document Workflow'!A7188,"")</f>
        <v/>
      </c>
    </row>
    <row r="7190" spans="1:1">
      <c r="A7190" s="7" t="str">
        <f>IF('Document Workflow'!A7189&lt;&gt;"",'Document Workflow'!A7189,"")</f>
        <v/>
      </c>
    </row>
    <row r="7191" spans="1:1">
      <c r="A7191" s="7" t="str">
        <f>IF('Document Workflow'!A7190&lt;&gt;"",'Document Workflow'!A7190,"")</f>
        <v/>
      </c>
    </row>
    <row r="7192" spans="1:1">
      <c r="A7192" s="7" t="str">
        <f>IF('Document Workflow'!A7191&lt;&gt;"",'Document Workflow'!A7191,"")</f>
        <v/>
      </c>
    </row>
    <row r="7193" spans="1:1">
      <c r="A7193" s="7" t="str">
        <f>IF('Document Workflow'!A7192&lt;&gt;"",'Document Workflow'!A7192,"")</f>
        <v/>
      </c>
    </row>
    <row r="7194" spans="1:1">
      <c r="A7194" s="7" t="str">
        <f>IF('Document Workflow'!A7193&lt;&gt;"",'Document Workflow'!A7193,"")</f>
        <v/>
      </c>
    </row>
    <row r="7195" spans="1:1">
      <c r="A7195" s="7" t="str">
        <f>IF('Document Workflow'!A7194&lt;&gt;"",'Document Workflow'!A7194,"")</f>
        <v/>
      </c>
    </row>
    <row r="7196" spans="1:1">
      <c r="A7196" s="7" t="str">
        <f>IF('Document Workflow'!A7195&lt;&gt;"",'Document Workflow'!A7195,"")</f>
        <v/>
      </c>
    </row>
    <row r="7197" spans="1:1">
      <c r="A7197" s="7" t="str">
        <f>IF('Document Workflow'!A7196&lt;&gt;"",'Document Workflow'!A7196,"")</f>
        <v/>
      </c>
    </row>
    <row r="7198" spans="1:1">
      <c r="A7198" s="7" t="str">
        <f>IF('Document Workflow'!A7197&lt;&gt;"",'Document Workflow'!A7197,"")</f>
        <v/>
      </c>
    </row>
    <row r="7199" spans="1:1">
      <c r="A7199" s="7" t="str">
        <f>IF('Document Workflow'!A7198&lt;&gt;"",'Document Workflow'!A7198,"")</f>
        <v/>
      </c>
    </row>
    <row r="7200" spans="1:1">
      <c r="A7200" s="7" t="str">
        <f>IF('Document Workflow'!A7199&lt;&gt;"",'Document Workflow'!A7199,"")</f>
        <v/>
      </c>
    </row>
    <row r="7201" spans="1:1">
      <c r="A7201" s="7" t="str">
        <f>IF('Document Workflow'!A7200&lt;&gt;"",'Document Workflow'!A7200,"")</f>
        <v/>
      </c>
    </row>
    <row r="7202" spans="1:1">
      <c r="A7202" s="7" t="str">
        <f>IF('Document Workflow'!A7201&lt;&gt;"",'Document Workflow'!A7201,"")</f>
        <v/>
      </c>
    </row>
    <row r="7203" spans="1:1">
      <c r="A7203" s="7" t="str">
        <f>IF('Document Workflow'!A7202&lt;&gt;"",'Document Workflow'!A7202,"")</f>
        <v/>
      </c>
    </row>
    <row r="7204" spans="1:1">
      <c r="A7204" s="7" t="str">
        <f>IF('Document Workflow'!A7203&lt;&gt;"",'Document Workflow'!A7203,"")</f>
        <v/>
      </c>
    </row>
    <row r="7205" spans="1:1">
      <c r="A7205" s="7" t="str">
        <f>IF('Document Workflow'!A7204&lt;&gt;"",'Document Workflow'!A7204,"")</f>
        <v/>
      </c>
    </row>
    <row r="7206" spans="1:1">
      <c r="A7206" s="7" t="str">
        <f>IF('Document Workflow'!A7205&lt;&gt;"",'Document Workflow'!A7205,"")</f>
        <v/>
      </c>
    </row>
    <row r="7207" spans="1:1">
      <c r="A7207" s="7" t="str">
        <f>IF('Document Workflow'!A7206&lt;&gt;"",'Document Workflow'!A7206,"")</f>
        <v/>
      </c>
    </row>
    <row r="7208" spans="1:1">
      <c r="A7208" s="7" t="str">
        <f>IF('Document Workflow'!A7207&lt;&gt;"",'Document Workflow'!A7207,"")</f>
        <v/>
      </c>
    </row>
    <row r="7209" spans="1:1">
      <c r="A7209" s="7" t="str">
        <f>IF('Document Workflow'!A7208&lt;&gt;"",'Document Workflow'!A7208,"")</f>
        <v/>
      </c>
    </row>
    <row r="7210" spans="1:1">
      <c r="A7210" s="7" t="str">
        <f>IF('Document Workflow'!A7209&lt;&gt;"",'Document Workflow'!A7209,"")</f>
        <v/>
      </c>
    </row>
    <row r="7211" spans="1:1">
      <c r="A7211" s="7" t="str">
        <f>IF('Document Workflow'!A7210&lt;&gt;"",'Document Workflow'!A7210,"")</f>
        <v/>
      </c>
    </row>
    <row r="7212" spans="1:1">
      <c r="A7212" s="7" t="str">
        <f>IF('Document Workflow'!A7211&lt;&gt;"",'Document Workflow'!A7211,"")</f>
        <v/>
      </c>
    </row>
    <row r="7213" spans="1:1">
      <c r="A7213" s="7" t="str">
        <f>IF('Document Workflow'!A7212&lt;&gt;"",'Document Workflow'!A7212,"")</f>
        <v/>
      </c>
    </row>
    <row r="7214" spans="1:1">
      <c r="A7214" s="7" t="str">
        <f>IF('Document Workflow'!A7213&lt;&gt;"",'Document Workflow'!A7213,"")</f>
        <v/>
      </c>
    </row>
    <row r="7215" spans="1:1">
      <c r="A7215" s="7" t="str">
        <f>IF('Document Workflow'!A7214&lt;&gt;"",'Document Workflow'!A7214,"")</f>
        <v/>
      </c>
    </row>
    <row r="7216" spans="1:1">
      <c r="A7216" s="7" t="str">
        <f>IF('Document Workflow'!A7215&lt;&gt;"",'Document Workflow'!A7215,"")</f>
        <v/>
      </c>
    </row>
    <row r="7217" spans="1:1">
      <c r="A7217" s="7" t="str">
        <f>IF('Document Workflow'!A7216&lt;&gt;"",'Document Workflow'!A7216,"")</f>
        <v/>
      </c>
    </row>
    <row r="7218" spans="1:1">
      <c r="A7218" s="7" t="str">
        <f>IF('Document Workflow'!A7217&lt;&gt;"",'Document Workflow'!A7217,"")</f>
        <v/>
      </c>
    </row>
    <row r="7219" spans="1:1">
      <c r="A7219" s="7" t="str">
        <f>IF('Document Workflow'!A7218&lt;&gt;"",'Document Workflow'!A7218,"")</f>
        <v/>
      </c>
    </row>
    <row r="7220" spans="1:1">
      <c r="A7220" s="7" t="str">
        <f>IF('Document Workflow'!A7219&lt;&gt;"",'Document Workflow'!A7219,"")</f>
        <v/>
      </c>
    </row>
    <row r="7221" spans="1:1">
      <c r="A7221" s="7" t="str">
        <f>IF('Document Workflow'!A7220&lt;&gt;"",'Document Workflow'!A7220,"")</f>
        <v/>
      </c>
    </row>
    <row r="7222" spans="1:1">
      <c r="A7222" s="7" t="str">
        <f>IF('Document Workflow'!A7221&lt;&gt;"",'Document Workflow'!A7221,"")</f>
        <v/>
      </c>
    </row>
    <row r="7223" spans="1:1">
      <c r="A7223" s="7" t="str">
        <f>IF('Document Workflow'!A7222&lt;&gt;"",'Document Workflow'!A7222,"")</f>
        <v/>
      </c>
    </row>
    <row r="7224" spans="1:1">
      <c r="A7224" s="7" t="str">
        <f>IF('Document Workflow'!A7223&lt;&gt;"",'Document Workflow'!A7223,"")</f>
        <v/>
      </c>
    </row>
    <row r="7225" spans="1:1">
      <c r="A7225" s="7" t="str">
        <f>IF('Document Workflow'!A7224&lt;&gt;"",'Document Workflow'!A7224,"")</f>
        <v/>
      </c>
    </row>
    <row r="7226" spans="1:1">
      <c r="A7226" s="7" t="str">
        <f>IF('Document Workflow'!A7225&lt;&gt;"",'Document Workflow'!A7225,"")</f>
        <v/>
      </c>
    </row>
    <row r="7227" spans="1:1">
      <c r="A7227" s="7" t="str">
        <f>IF('Document Workflow'!A7226&lt;&gt;"",'Document Workflow'!A7226,"")</f>
        <v/>
      </c>
    </row>
    <row r="7228" spans="1:1">
      <c r="A7228" s="7" t="str">
        <f>IF('Document Workflow'!A7227&lt;&gt;"",'Document Workflow'!A7227,"")</f>
        <v/>
      </c>
    </row>
    <row r="7229" spans="1:1">
      <c r="A7229" s="7" t="str">
        <f>IF('Document Workflow'!A7228&lt;&gt;"",'Document Workflow'!A7228,"")</f>
        <v/>
      </c>
    </row>
    <row r="7230" spans="1:1">
      <c r="A7230" s="7" t="str">
        <f>IF('Document Workflow'!A7229&lt;&gt;"",'Document Workflow'!A7229,"")</f>
        <v/>
      </c>
    </row>
    <row r="7231" spans="1:1">
      <c r="A7231" s="7" t="str">
        <f>IF('Document Workflow'!A7230&lt;&gt;"",'Document Workflow'!A7230,"")</f>
        <v/>
      </c>
    </row>
    <row r="7232" spans="1:1">
      <c r="A7232" s="7" t="str">
        <f>IF('Document Workflow'!A7231&lt;&gt;"",'Document Workflow'!A7231,"")</f>
        <v/>
      </c>
    </row>
    <row r="7233" spans="1:1">
      <c r="A7233" s="7" t="str">
        <f>IF('Document Workflow'!A7232&lt;&gt;"",'Document Workflow'!A7232,"")</f>
        <v/>
      </c>
    </row>
    <row r="7234" spans="1:1">
      <c r="A7234" s="7" t="str">
        <f>IF('Document Workflow'!A7233&lt;&gt;"",'Document Workflow'!A7233,"")</f>
        <v/>
      </c>
    </row>
    <row r="7235" spans="1:1">
      <c r="A7235" s="7" t="str">
        <f>IF('Document Workflow'!A7234&lt;&gt;"",'Document Workflow'!A7234,"")</f>
        <v/>
      </c>
    </row>
    <row r="7236" spans="1:1">
      <c r="A7236" s="7" t="str">
        <f>IF('Document Workflow'!A7235&lt;&gt;"",'Document Workflow'!A7235,"")</f>
        <v/>
      </c>
    </row>
    <row r="7237" spans="1:1">
      <c r="A7237" s="7" t="str">
        <f>IF('Document Workflow'!A7236&lt;&gt;"",'Document Workflow'!A7236,"")</f>
        <v/>
      </c>
    </row>
    <row r="7238" spans="1:1">
      <c r="A7238" s="7" t="str">
        <f>IF('Document Workflow'!A7237&lt;&gt;"",'Document Workflow'!A7237,"")</f>
        <v/>
      </c>
    </row>
    <row r="7239" spans="1:1">
      <c r="A7239" s="7" t="str">
        <f>IF('Document Workflow'!A7238&lt;&gt;"",'Document Workflow'!A7238,"")</f>
        <v/>
      </c>
    </row>
    <row r="7240" spans="1:1">
      <c r="A7240" s="7" t="str">
        <f>IF('Document Workflow'!A7239&lt;&gt;"",'Document Workflow'!A7239,"")</f>
        <v/>
      </c>
    </row>
    <row r="7241" spans="1:1">
      <c r="A7241" s="7" t="str">
        <f>IF('Document Workflow'!A7240&lt;&gt;"",'Document Workflow'!A7240,"")</f>
        <v/>
      </c>
    </row>
    <row r="7242" spans="1:1">
      <c r="A7242" s="7" t="str">
        <f>IF('Document Workflow'!A7241&lt;&gt;"",'Document Workflow'!A7241,"")</f>
        <v/>
      </c>
    </row>
    <row r="7243" spans="1:1">
      <c r="A7243" s="7" t="str">
        <f>IF('Document Workflow'!A7242&lt;&gt;"",'Document Workflow'!A7242,"")</f>
        <v/>
      </c>
    </row>
    <row r="7244" spans="1:1">
      <c r="A7244" s="7" t="str">
        <f>IF('Document Workflow'!A7243&lt;&gt;"",'Document Workflow'!A7243,"")</f>
        <v/>
      </c>
    </row>
    <row r="7245" spans="1:1">
      <c r="A7245" s="7" t="str">
        <f>IF('Document Workflow'!A7244&lt;&gt;"",'Document Workflow'!A7244,"")</f>
        <v/>
      </c>
    </row>
    <row r="7246" spans="1:1">
      <c r="A7246" s="7" t="str">
        <f>IF('Document Workflow'!A7245&lt;&gt;"",'Document Workflow'!A7245,"")</f>
        <v/>
      </c>
    </row>
    <row r="7247" spans="1:1">
      <c r="A7247" s="7" t="str">
        <f>IF('Document Workflow'!A7246&lt;&gt;"",'Document Workflow'!A7246,"")</f>
        <v/>
      </c>
    </row>
    <row r="7248" spans="1:1">
      <c r="A7248" s="7" t="str">
        <f>IF('Document Workflow'!A7247&lt;&gt;"",'Document Workflow'!A7247,"")</f>
        <v/>
      </c>
    </row>
    <row r="7249" spans="1:1">
      <c r="A7249" s="7" t="str">
        <f>IF('Document Workflow'!A7248&lt;&gt;"",'Document Workflow'!A7248,"")</f>
        <v/>
      </c>
    </row>
    <row r="7250" spans="1:1">
      <c r="A7250" s="7" t="str">
        <f>IF('Document Workflow'!A7249&lt;&gt;"",'Document Workflow'!A7249,"")</f>
        <v/>
      </c>
    </row>
    <row r="7251" spans="1:1">
      <c r="A7251" s="7" t="str">
        <f>IF('Document Workflow'!A7250&lt;&gt;"",'Document Workflow'!A7250,"")</f>
        <v/>
      </c>
    </row>
    <row r="7252" spans="1:1">
      <c r="A7252" s="7" t="str">
        <f>IF('Document Workflow'!A7251&lt;&gt;"",'Document Workflow'!A7251,"")</f>
        <v/>
      </c>
    </row>
    <row r="7253" spans="1:1">
      <c r="A7253" s="7" t="str">
        <f>IF('Document Workflow'!A7252&lt;&gt;"",'Document Workflow'!A7252,"")</f>
        <v/>
      </c>
    </row>
    <row r="7254" spans="1:1">
      <c r="A7254" s="7" t="str">
        <f>IF('Document Workflow'!A7253&lt;&gt;"",'Document Workflow'!A7253,"")</f>
        <v/>
      </c>
    </row>
    <row r="7255" spans="1:1">
      <c r="A7255" s="7" t="str">
        <f>IF('Document Workflow'!A7254&lt;&gt;"",'Document Workflow'!A7254,"")</f>
        <v/>
      </c>
    </row>
    <row r="7256" spans="1:1">
      <c r="A7256" s="7" t="str">
        <f>IF('Document Workflow'!A7255&lt;&gt;"",'Document Workflow'!A7255,"")</f>
        <v/>
      </c>
    </row>
    <row r="7257" spans="1:1">
      <c r="A7257" s="7" t="str">
        <f>IF('Document Workflow'!A7256&lt;&gt;"",'Document Workflow'!A7256,"")</f>
        <v/>
      </c>
    </row>
    <row r="7258" spans="1:1">
      <c r="A7258" s="7" t="str">
        <f>IF('Document Workflow'!A7257&lt;&gt;"",'Document Workflow'!A7257,"")</f>
        <v/>
      </c>
    </row>
    <row r="7259" spans="1:1">
      <c r="A7259" s="7" t="str">
        <f>IF('Document Workflow'!A7258&lt;&gt;"",'Document Workflow'!A7258,"")</f>
        <v/>
      </c>
    </row>
    <row r="7260" spans="1:1">
      <c r="A7260" s="7" t="str">
        <f>IF('Document Workflow'!A7259&lt;&gt;"",'Document Workflow'!A7259,"")</f>
        <v/>
      </c>
    </row>
    <row r="7261" spans="1:1">
      <c r="A7261" s="7" t="str">
        <f>IF('Document Workflow'!A7260&lt;&gt;"",'Document Workflow'!A7260,"")</f>
        <v/>
      </c>
    </row>
    <row r="7262" spans="1:1">
      <c r="A7262" s="7" t="str">
        <f>IF('Document Workflow'!A7261&lt;&gt;"",'Document Workflow'!A7261,"")</f>
        <v/>
      </c>
    </row>
    <row r="7263" spans="1:1">
      <c r="A7263" s="7" t="str">
        <f>IF('Document Workflow'!A7262&lt;&gt;"",'Document Workflow'!A7262,"")</f>
        <v/>
      </c>
    </row>
    <row r="7264" spans="1:1">
      <c r="A7264" s="7" t="str">
        <f>IF('Document Workflow'!A7263&lt;&gt;"",'Document Workflow'!A7263,"")</f>
        <v/>
      </c>
    </row>
    <row r="7265" spans="1:1">
      <c r="A7265" s="7" t="str">
        <f>IF('Document Workflow'!A7264&lt;&gt;"",'Document Workflow'!A7264,"")</f>
        <v/>
      </c>
    </row>
    <row r="7266" spans="1:1">
      <c r="A7266" s="7" t="str">
        <f>IF('Document Workflow'!A7265&lt;&gt;"",'Document Workflow'!A7265,"")</f>
        <v/>
      </c>
    </row>
    <row r="7267" spans="1:1">
      <c r="A7267" s="7" t="str">
        <f>IF('Document Workflow'!A7266&lt;&gt;"",'Document Workflow'!A7266,"")</f>
        <v/>
      </c>
    </row>
    <row r="7268" spans="1:1">
      <c r="A7268" s="7" t="str">
        <f>IF('Document Workflow'!A7267&lt;&gt;"",'Document Workflow'!A7267,"")</f>
        <v/>
      </c>
    </row>
    <row r="7269" spans="1:1">
      <c r="A7269" s="7" t="str">
        <f>IF('Document Workflow'!A7268&lt;&gt;"",'Document Workflow'!A7268,"")</f>
        <v/>
      </c>
    </row>
    <row r="7270" spans="1:1">
      <c r="A7270" s="7" t="str">
        <f>IF('Document Workflow'!A7269&lt;&gt;"",'Document Workflow'!A7269,"")</f>
        <v/>
      </c>
    </row>
    <row r="7271" spans="1:1">
      <c r="A7271" s="7" t="str">
        <f>IF('Document Workflow'!A7270&lt;&gt;"",'Document Workflow'!A7270,"")</f>
        <v/>
      </c>
    </row>
    <row r="7272" spans="1:1">
      <c r="A7272" s="7" t="str">
        <f>IF('Document Workflow'!A7271&lt;&gt;"",'Document Workflow'!A7271,"")</f>
        <v/>
      </c>
    </row>
    <row r="7273" spans="1:1">
      <c r="A7273" s="7" t="str">
        <f>IF('Document Workflow'!A7272&lt;&gt;"",'Document Workflow'!A7272,"")</f>
        <v/>
      </c>
    </row>
    <row r="7274" spans="1:1">
      <c r="A7274" s="7" t="str">
        <f>IF('Document Workflow'!A7273&lt;&gt;"",'Document Workflow'!A7273,"")</f>
        <v/>
      </c>
    </row>
    <row r="7275" spans="1:1">
      <c r="A7275" s="7" t="str">
        <f>IF('Document Workflow'!A7274&lt;&gt;"",'Document Workflow'!A7274,"")</f>
        <v/>
      </c>
    </row>
    <row r="7276" spans="1:1">
      <c r="A7276" s="7" t="str">
        <f>IF('Document Workflow'!A7275&lt;&gt;"",'Document Workflow'!A7275,"")</f>
        <v/>
      </c>
    </row>
    <row r="7277" spans="1:1">
      <c r="A7277" s="7" t="str">
        <f>IF('Document Workflow'!A7276&lt;&gt;"",'Document Workflow'!A7276,"")</f>
        <v/>
      </c>
    </row>
    <row r="7278" spans="1:1">
      <c r="A7278" s="7" t="str">
        <f>IF('Document Workflow'!A7277&lt;&gt;"",'Document Workflow'!A7277,"")</f>
        <v/>
      </c>
    </row>
    <row r="7279" spans="1:1">
      <c r="A7279" s="7" t="str">
        <f>IF('Document Workflow'!A7278&lt;&gt;"",'Document Workflow'!A7278,"")</f>
        <v/>
      </c>
    </row>
    <row r="7280" spans="1:1">
      <c r="A7280" s="7" t="str">
        <f>IF('Document Workflow'!A7279&lt;&gt;"",'Document Workflow'!A7279,"")</f>
        <v/>
      </c>
    </row>
    <row r="7281" spans="1:1">
      <c r="A7281" s="7" t="str">
        <f>IF('Document Workflow'!A7280&lt;&gt;"",'Document Workflow'!A7280,"")</f>
        <v/>
      </c>
    </row>
    <row r="7282" spans="1:1">
      <c r="A7282" s="7" t="str">
        <f>IF('Document Workflow'!A7281&lt;&gt;"",'Document Workflow'!A7281,"")</f>
        <v/>
      </c>
    </row>
    <row r="7283" spans="1:1">
      <c r="A7283" s="7" t="str">
        <f>IF('Document Workflow'!A7282&lt;&gt;"",'Document Workflow'!A7282,"")</f>
        <v/>
      </c>
    </row>
    <row r="7284" spans="1:1">
      <c r="A7284" s="7" t="str">
        <f>IF('Document Workflow'!A7283&lt;&gt;"",'Document Workflow'!A7283,"")</f>
        <v/>
      </c>
    </row>
    <row r="7285" spans="1:1">
      <c r="A7285" s="7" t="str">
        <f>IF('Document Workflow'!A7284&lt;&gt;"",'Document Workflow'!A7284,"")</f>
        <v/>
      </c>
    </row>
    <row r="7286" spans="1:1">
      <c r="A7286" s="7" t="str">
        <f>IF('Document Workflow'!A7285&lt;&gt;"",'Document Workflow'!A7285,"")</f>
        <v/>
      </c>
    </row>
    <row r="7287" spans="1:1">
      <c r="A7287" s="7" t="str">
        <f>IF('Document Workflow'!A7286&lt;&gt;"",'Document Workflow'!A7286,"")</f>
        <v/>
      </c>
    </row>
    <row r="7288" spans="1:1">
      <c r="A7288" s="7" t="str">
        <f>IF('Document Workflow'!A7287&lt;&gt;"",'Document Workflow'!A7287,"")</f>
        <v/>
      </c>
    </row>
    <row r="7289" spans="1:1">
      <c r="A7289" s="7" t="str">
        <f>IF('Document Workflow'!A7288&lt;&gt;"",'Document Workflow'!A7288,"")</f>
        <v/>
      </c>
    </row>
    <row r="7290" spans="1:1">
      <c r="A7290" s="7" t="str">
        <f>IF('Document Workflow'!A7289&lt;&gt;"",'Document Workflow'!A7289,"")</f>
        <v/>
      </c>
    </row>
    <row r="7291" spans="1:1">
      <c r="A7291" s="7" t="str">
        <f>IF('Document Workflow'!A7290&lt;&gt;"",'Document Workflow'!A7290,"")</f>
        <v/>
      </c>
    </row>
    <row r="7292" spans="1:1">
      <c r="A7292" s="7" t="str">
        <f>IF('Document Workflow'!A7291&lt;&gt;"",'Document Workflow'!A7291,"")</f>
        <v/>
      </c>
    </row>
    <row r="7293" spans="1:1">
      <c r="A7293" s="7" t="str">
        <f>IF('Document Workflow'!A7292&lt;&gt;"",'Document Workflow'!A7292,"")</f>
        <v/>
      </c>
    </row>
    <row r="7294" spans="1:1">
      <c r="A7294" s="7" t="str">
        <f>IF('Document Workflow'!A7293&lt;&gt;"",'Document Workflow'!A7293,"")</f>
        <v/>
      </c>
    </row>
    <row r="7295" spans="1:1">
      <c r="A7295" s="7" t="str">
        <f>IF('Document Workflow'!A7294&lt;&gt;"",'Document Workflow'!A7294,"")</f>
        <v/>
      </c>
    </row>
    <row r="7296" spans="1:1">
      <c r="A7296" s="7" t="str">
        <f>IF('Document Workflow'!A7295&lt;&gt;"",'Document Workflow'!A7295,"")</f>
        <v/>
      </c>
    </row>
    <row r="7297" spans="1:1">
      <c r="A7297" s="7" t="str">
        <f>IF('Document Workflow'!A7296&lt;&gt;"",'Document Workflow'!A7296,"")</f>
        <v/>
      </c>
    </row>
    <row r="7298" spans="1:1">
      <c r="A7298" s="7" t="str">
        <f>IF('Document Workflow'!A7297&lt;&gt;"",'Document Workflow'!A7297,"")</f>
        <v/>
      </c>
    </row>
    <row r="7299" spans="1:1">
      <c r="A7299" s="7" t="str">
        <f>IF('Document Workflow'!A7298&lt;&gt;"",'Document Workflow'!A7298,"")</f>
        <v/>
      </c>
    </row>
    <row r="7300" spans="1:1">
      <c r="A7300" s="7" t="str">
        <f>IF('Document Workflow'!A7299&lt;&gt;"",'Document Workflow'!A7299,"")</f>
        <v/>
      </c>
    </row>
    <row r="7301" spans="1:1">
      <c r="A7301" s="7" t="str">
        <f>IF('Document Workflow'!A7300&lt;&gt;"",'Document Workflow'!A7300,"")</f>
        <v/>
      </c>
    </row>
    <row r="7302" spans="1:1">
      <c r="A7302" s="7" t="str">
        <f>IF('Document Workflow'!A7301&lt;&gt;"",'Document Workflow'!A7301,"")</f>
        <v/>
      </c>
    </row>
    <row r="7303" spans="1:1">
      <c r="A7303" s="7" t="str">
        <f>IF('Document Workflow'!A7302&lt;&gt;"",'Document Workflow'!A7302,"")</f>
        <v/>
      </c>
    </row>
    <row r="7304" spans="1:1">
      <c r="A7304" s="7" t="str">
        <f>IF('Document Workflow'!A7303&lt;&gt;"",'Document Workflow'!A7303,"")</f>
        <v/>
      </c>
    </row>
    <row r="7305" spans="1:1">
      <c r="A7305" s="7" t="str">
        <f>IF('Document Workflow'!A7304&lt;&gt;"",'Document Workflow'!A7304,"")</f>
        <v/>
      </c>
    </row>
    <row r="7306" spans="1:1">
      <c r="A7306" s="7" t="str">
        <f>IF('Document Workflow'!A7305&lt;&gt;"",'Document Workflow'!A7305,"")</f>
        <v/>
      </c>
    </row>
    <row r="7307" spans="1:1">
      <c r="A7307" s="7" t="str">
        <f>IF('Document Workflow'!A7306&lt;&gt;"",'Document Workflow'!A7306,"")</f>
        <v/>
      </c>
    </row>
    <row r="7308" spans="1:1">
      <c r="A7308" s="7" t="str">
        <f>IF('Document Workflow'!A7307&lt;&gt;"",'Document Workflow'!A7307,"")</f>
        <v/>
      </c>
    </row>
    <row r="7309" spans="1:1">
      <c r="A7309" s="7" t="str">
        <f>IF('Document Workflow'!A7308&lt;&gt;"",'Document Workflow'!A7308,"")</f>
        <v/>
      </c>
    </row>
    <row r="7310" spans="1:1">
      <c r="A7310" s="7" t="str">
        <f>IF('Document Workflow'!A7309&lt;&gt;"",'Document Workflow'!A7309,"")</f>
        <v/>
      </c>
    </row>
    <row r="7311" spans="1:1">
      <c r="A7311" s="7" t="str">
        <f>IF('Document Workflow'!A7310&lt;&gt;"",'Document Workflow'!A7310,"")</f>
        <v/>
      </c>
    </row>
    <row r="7312" spans="1:1">
      <c r="A7312" s="7" t="str">
        <f>IF('Document Workflow'!A7311&lt;&gt;"",'Document Workflow'!A7311,"")</f>
        <v/>
      </c>
    </row>
    <row r="7313" spans="1:1">
      <c r="A7313" s="7" t="str">
        <f>IF('Document Workflow'!A7312&lt;&gt;"",'Document Workflow'!A7312,"")</f>
        <v/>
      </c>
    </row>
    <row r="7314" spans="1:1">
      <c r="A7314" s="7" t="str">
        <f>IF('Document Workflow'!A7313&lt;&gt;"",'Document Workflow'!A7313,"")</f>
        <v/>
      </c>
    </row>
    <row r="7315" spans="1:1">
      <c r="A7315" s="7" t="str">
        <f>IF('Document Workflow'!A7314&lt;&gt;"",'Document Workflow'!A7314,"")</f>
        <v/>
      </c>
    </row>
    <row r="7316" spans="1:1">
      <c r="A7316" s="7" t="str">
        <f>IF('Document Workflow'!A7315&lt;&gt;"",'Document Workflow'!A7315,"")</f>
        <v/>
      </c>
    </row>
    <row r="7317" spans="1:1">
      <c r="A7317" s="7" t="str">
        <f>IF('Document Workflow'!A7316&lt;&gt;"",'Document Workflow'!A7316,"")</f>
        <v/>
      </c>
    </row>
    <row r="7318" spans="1:1">
      <c r="A7318" s="7" t="str">
        <f>IF('Document Workflow'!A7317&lt;&gt;"",'Document Workflow'!A7317,"")</f>
        <v/>
      </c>
    </row>
    <row r="7319" spans="1:1">
      <c r="A7319" s="7" t="str">
        <f>IF('Document Workflow'!A7318&lt;&gt;"",'Document Workflow'!A7318,"")</f>
        <v/>
      </c>
    </row>
    <row r="7320" spans="1:1">
      <c r="A7320" s="7" t="str">
        <f>IF('Document Workflow'!A7319&lt;&gt;"",'Document Workflow'!A7319,"")</f>
        <v/>
      </c>
    </row>
    <row r="7321" spans="1:1">
      <c r="A7321" s="7" t="str">
        <f>IF('Document Workflow'!A7320&lt;&gt;"",'Document Workflow'!A7320,"")</f>
        <v/>
      </c>
    </row>
    <row r="7322" spans="1:1">
      <c r="A7322" s="7" t="str">
        <f>IF('Document Workflow'!A7321&lt;&gt;"",'Document Workflow'!A7321,"")</f>
        <v/>
      </c>
    </row>
    <row r="7323" spans="1:1">
      <c r="A7323" s="7" t="str">
        <f>IF('Document Workflow'!A7322&lt;&gt;"",'Document Workflow'!A7322,"")</f>
        <v/>
      </c>
    </row>
    <row r="7324" spans="1:1">
      <c r="A7324" s="7" t="str">
        <f>IF('Document Workflow'!A7323&lt;&gt;"",'Document Workflow'!A7323,"")</f>
        <v/>
      </c>
    </row>
    <row r="7325" spans="1:1">
      <c r="A7325" s="7" t="str">
        <f>IF('Document Workflow'!A7324&lt;&gt;"",'Document Workflow'!A7324,"")</f>
        <v/>
      </c>
    </row>
    <row r="7326" spans="1:1">
      <c r="A7326" s="7" t="str">
        <f>IF('Document Workflow'!A7325&lt;&gt;"",'Document Workflow'!A7325,"")</f>
        <v/>
      </c>
    </row>
    <row r="7327" spans="1:1">
      <c r="A7327" s="7" t="str">
        <f>IF('Document Workflow'!A7326&lt;&gt;"",'Document Workflow'!A7326,"")</f>
        <v/>
      </c>
    </row>
    <row r="7328" spans="1:1">
      <c r="A7328" s="7" t="str">
        <f>IF('Document Workflow'!A7327&lt;&gt;"",'Document Workflow'!A7327,"")</f>
        <v/>
      </c>
    </row>
    <row r="7329" spans="1:1">
      <c r="A7329" s="7" t="str">
        <f>IF('Document Workflow'!A7328&lt;&gt;"",'Document Workflow'!A7328,"")</f>
        <v/>
      </c>
    </row>
    <row r="7330" spans="1:1">
      <c r="A7330" s="7" t="str">
        <f>IF('Document Workflow'!A7329&lt;&gt;"",'Document Workflow'!A7329,"")</f>
        <v/>
      </c>
    </row>
    <row r="7331" spans="1:1">
      <c r="A7331" s="7" t="str">
        <f>IF('Document Workflow'!A7330&lt;&gt;"",'Document Workflow'!A7330,"")</f>
        <v/>
      </c>
    </row>
    <row r="7332" spans="1:1">
      <c r="A7332" s="7" t="str">
        <f>IF('Document Workflow'!A7331&lt;&gt;"",'Document Workflow'!A7331,"")</f>
        <v/>
      </c>
    </row>
    <row r="7333" spans="1:1">
      <c r="A7333" s="7" t="str">
        <f>IF('Document Workflow'!A7332&lt;&gt;"",'Document Workflow'!A7332,"")</f>
        <v/>
      </c>
    </row>
    <row r="7334" spans="1:1">
      <c r="A7334" s="7" t="str">
        <f>IF('Document Workflow'!A7333&lt;&gt;"",'Document Workflow'!A7333,"")</f>
        <v/>
      </c>
    </row>
    <row r="7335" spans="1:1">
      <c r="A7335" s="7" t="str">
        <f>IF('Document Workflow'!A7334&lt;&gt;"",'Document Workflow'!A7334,"")</f>
        <v/>
      </c>
    </row>
    <row r="7336" spans="1:1">
      <c r="A7336" s="7" t="str">
        <f>IF('Document Workflow'!A7335&lt;&gt;"",'Document Workflow'!A7335,"")</f>
        <v/>
      </c>
    </row>
    <row r="7337" spans="1:1">
      <c r="A7337" s="7" t="str">
        <f>IF('Document Workflow'!A7336&lt;&gt;"",'Document Workflow'!A7336,"")</f>
        <v/>
      </c>
    </row>
    <row r="7338" spans="1:1">
      <c r="A7338" s="7" t="str">
        <f>IF('Document Workflow'!A7337&lt;&gt;"",'Document Workflow'!A7337,"")</f>
        <v/>
      </c>
    </row>
    <row r="7339" spans="1:1">
      <c r="A7339" s="7" t="str">
        <f>IF('Document Workflow'!A7338&lt;&gt;"",'Document Workflow'!A7338,"")</f>
        <v/>
      </c>
    </row>
    <row r="7340" spans="1:1">
      <c r="A7340" s="7" t="str">
        <f>IF('Document Workflow'!A7339&lt;&gt;"",'Document Workflow'!A7339,"")</f>
        <v/>
      </c>
    </row>
    <row r="7341" spans="1:1">
      <c r="A7341" s="7" t="str">
        <f>IF('Document Workflow'!A7340&lt;&gt;"",'Document Workflow'!A7340,"")</f>
        <v/>
      </c>
    </row>
    <row r="7342" spans="1:1">
      <c r="A7342" s="7" t="str">
        <f>IF('Document Workflow'!A7341&lt;&gt;"",'Document Workflow'!A7341,"")</f>
        <v/>
      </c>
    </row>
    <row r="7343" spans="1:1">
      <c r="A7343" s="7" t="str">
        <f>IF('Document Workflow'!A7342&lt;&gt;"",'Document Workflow'!A7342,"")</f>
        <v/>
      </c>
    </row>
    <row r="7344" spans="1:1">
      <c r="A7344" s="7" t="str">
        <f>IF('Document Workflow'!A7343&lt;&gt;"",'Document Workflow'!A7343,"")</f>
        <v/>
      </c>
    </row>
    <row r="7345" spans="1:1">
      <c r="A7345" s="7" t="str">
        <f>IF('Document Workflow'!A7344&lt;&gt;"",'Document Workflow'!A7344,"")</f>
        <v/>
      </c>
    </row>
    <row r="7346" spans="1:1">
      <c r="A7346" s="7" t="str">
        <f>IF('Document Workflow'!A7345&lt;&gt;"",'Document Workflow'!A7345,"")</f>
        <v/>
      </c>
    </row>
    <row r="7347" spans="1:1">
      <c r="A7347" s="7" t="str">
        <f>IF('Document Workflow'!A7346&lt;&gt;"",'Document Workflow'!A7346,"")</f>
        <v/>
      </c>
    </row>
    <row r="7348" spans="1:1">
      <c r="A7348" s="7" t="str">
        <f>IF('Document Workflow'!A7347&lt;&gt;"",'Document Workflow'!A7347,"")</f>
        <v/>
      </c>
    </row>
    <row r="7349" spans="1:1">
      <c r="A7349" s="7" t="str">
        <f>IF('Document Workflow'!A7348&lt;&gt;"",'Document Workflow'!A7348,"")</f>
        <v/>
      </c>
    </row>
    <row r="7350" spans="1:1">
      <c r="A7350" s="7" t="str">
        <f>IF('Document Workflow'!A7349&lt;&gt;"",'Document Workflow'!A7349,"")</f>
        <v/>
      </c>
    </row>
    <row r="7351" spans="1:1">
      <c r="A7351" s="7" t="str">
        <f>IF('Document Workflow'!A7350&lt;&gt;"",'Document Workflow'!A7350,"")</f>
        <v/>
      </c>
    </row>
    <row r="7352" spans="1:1">
      <c r="A7352" s="7" t="str">
        <f>IF('Document Workflow'!A7351&lt;&gt;"",'Document Workflow'!A7351,"")</f>
        <v/>
      </c>
    </row>
    <row r="7353" spans="1:1">
      <c r="A7353" s="7" t="str">
        <f>IF('Document Workflow'!A7352&lt;&gt;"",'Document Workflow'!A7352,"")</f>
        <v/>
      </c>
    </row>
    <row r="7354" spans="1:1">
      <c r="A7354" s="7" t="str">
        <f>IF('Document Workflow'!A7353&lt;&gt;"",'Document Workflow'!A7353,"")</f>
        <v/>
      </c>
    </row>
    <row r="7355" spans="1:1">
      <c r="A7355" s="7" t="str">
        <f>IF('Document Workflow'!A7354&lt;&gt;"",'Document Workflow'!A7354,"")</f>
        <v/>
      </c>
    </row>
    <row r="7356" spans="1:1">
      <c r="A7356" s="7" t="str">
        <f>IF('Document Workflow'!A7355&lt;&gt;"",'Document Workflow'!A7355,"")</f>
        <v/>
      </c>
    </row>
    <row r="7357" spans="1:1">
      <c r="A7357" s="7" t="str">
        <f>IF('Document Workflow'!A7356&lt;&gt;"",'Document Workflow'!A7356,"")</f>
        <v/>
      </c>
    </row>
    <row r="7358" spans="1:1">
      <c r="A7358" s="7" t="str">
        <f>IF('Document Workflow'!A7357&lt;&gt;"",'Document Workflow'!A7357,"")</f>
        <v/>
      </c>
    </row>
    <row r="7359" spans="1:1">
      <c r="A7359" s="7" t="str">
        <f>IF('Document Workflow'!A7358&lt;&gt;"",'Document Workflow'!A7358,"")</f>
        <v/>
      </c>
    </row>
    <row r="7360" spans="1:1">
      <c r="A7360" s="7" t="str">
        <f>IF('Document Workflow'!A7359&lt;&gt;"",'Document Workflow'!A7359,"")</f>
        <v/>
      </c>
    </row>
    <row r="7361" spans="1:1">
      <c r="A7361" s="7" t="str">
        <f>IF('Document Workflow'!A7360&lt;&gt;"",'Document Workflow'!A7360,"")</f>
        <v/>
      </c>
    </row>
    <row r="7362" spans="1:1">
      <c r="A7362" s="7" t="str">
        <f>IF('Document Workflow'!A7361&lt;&gt;"",'Document Workflow'!A7361,"")</f>
        <v/>
      </c>
    </row>
    <row r="7363" spans="1:1">
      <c r="A7363" s="7" t="str">
        <f>IF('Document Workflow'!A7362&lt;&gt;"",'Document Workflow'!A7362,"")</f>
        <v/>
      </c>
    </row>
    <row r="7364" spans="1:1">
      <c r="A7364" s="7" t="str">
        <f>IF('Document Workflow'!A7363&lt;&gt;"",'Document Workflow'!A7363,"")</f>
        <v/>
      </c>
    </row>
    <row r="7365" spans="1:1">
      <c r="A7365" s="7" t="str">
        <f>IF('Document Workflow'!A7364&lt;&gt;"",'Document Workflow'!A7364,"")</f>
        <v/>
      </c>
    </row>
    <row r="7366" spans="1:1">
      <c r="A7366" s="7" t="str">
        <f>IF('Document Workflow'!A7365&lt;&gt;"",'Document Workflow'!A7365,"")</f>
        <v/>
      </c>
    </row>
    <row r="7367" spans="1:1">
      <c r="A7367" s="7" t="str">
        <f>IF('Document Workflow'!A7366&lt;&gt;"",'Document Workflow'!A7366,"")</f>
        <v/>
      </c>
    </row>
    <row r="7368" spans="1:1">
      <c r="A7368" s="7" t="str">
        <f>IF('Document Workflow'!A7367&lt;&gt;"",'Document Workflow'!A7367,"")</f>
        <v/>
      </c>
    </row>
    <row r="7369" spans="1:1">
      <c r="A7369" s="7" t="str">
        <f>IF('Document Workflow'!A7368&lt;&gt;"",'Document Workflow'!A7368,"")</f>
        <v/>
      </c>
    </row>
    <row r="7370" spans="1:1">
      <c r="A7370" s="7" t="str">
        <f>IF('Document Workflow'!A7369&lt;&gt;"",'Document Workflow'!A7369,"")</f>
        <v/>
      </c>
    </row>
    <row r="7371" spans="1:1">
      <c r="A7371" s="7" t="str">
        <f>IF('Document Workflow'!A7370&lt;&gt;"",'Document Workflow'!A7370,"")</f>
        <v/>
      </c>
    </row>
    <row r="7372" spans="1:1">
      <c r="A7372" s="7" t="str">
        <f>IF('Document Workflow'!A7371&lt;&gt;"",'Document Workflow'!A7371,"")</f>
        <v/>
      </c>
    </row>
    <row r="7373" spans="1:1">
      <c r="A7373" s="7" t="str">
        <f>IF('Document Workflow'!A7372&lt;&gt;"",'Document Workflow'!A7372,"")</f>
        <v/>
      </c>
    </row>
    <row r="7374" spans="1:1">
      <c r="A7374" s="7" t="str">
        <f>IF('Document Workflow'!A7373&lt;&gt;"",'Document Workflow'!A7373,"")</f>
        <v/>
      </c>
    </row>
    <row r="7375" spans="1:1">
      <c r="A7375" s="7" t="str">
        <f>IF('Document Workflow'!A7374&lt;&gt;"",'Document Workflow'!A7374,"")</f>
        <v/>
      </c>
    </row>
    <row r="7376" spans="1:1">
      <c r="A7376" s="7" t="str">
        <f>IF('Document Workflow'!A7375&lt;&gt;"",'Document Workflow'!A7375,"")</f>
        <v/>
      </c>
    </row>
    <row r="7377" spans="1:1">
      <c r="A7377" s="7" t="str">
        <f>IF('Document Workflow'!A7376&lt;&gt;"",'Document Workflow'!A7376,"")</f>
        <v/>
      </c>
    </row>
    <row r="7378" spans="1:1">
      <c r="A7378" s="7" t="str">
        <f>IF('Document Workflow'!A7377&lt;&gt;"",'Document Workflow'!A7377,"")</f>
        <v/>
      </c>
    </row>
    <row r="7379" spans="1:1">
      <c r="A7379" s="7" t="str">
        <f>IF('Document Workflow'!A7378&lt;&gt;"",'Document Workflow'!A7378,"")</f>
        <v/>
      </c>
    </row>
    <row r="7380" spans="1:1">
      <c r="A7380" s="7" t="str">
        <f>IF('Document Workflow'!A7379&lt;&gt;"",'Document Workflow'!A7379,"")</f>
        <v/>
      </c>
    </row>
    <row r="7381" spans="1:1">
      <c r="A7381" s="7" t="str">
        <f>IF('Document Workflow'!A7380&lt;&gt;"",'Document Workflow'!A7380,"")</f>
        <v/>
      </c>
    </row>
    <row r="7382" spans="1:1">
      <c r="A7382" s="7" t="str">
        <f>IF('Document Workflow'!A7381&lt;&gt;"",'Document Workflow'!A7381,"")</f>
        <v/>
      </c>
    </row>
    <row r="7383" spans="1:1">
      <c r="A7383" s="7" t="str">
        <f>IF('Document Workflow'!A7382&lt;&gt;"",'Document Workflow'!A7382,"")</f>
        <v/>
      </c>
    </row>
    <row r="7384" spans="1:1">
      <c r="A7384" s="7" t="str">
        <f>IF('Document Workflow'!A7383&lt;&gt;"",'Document Workflow'!A7383,"")</f>
        <v/>
      </c>
    </row>
    <row r="7385" spans="1:1">
      <c r="A7385" s="7" t="str">
        <f>IF('Document Workflow'!A7384&lt;&gt;"",'Document Workflow'!A7384,"")</f>
        <v/>
      </c>
    </row>
    <row r="7386" spans="1:1">
      <c r="A7386" s="7" t="str">
        <f>IF('Document Workflow'!A7385&lt;&gt;"",'Document Workflow'!A7385,"")</f>
        <v/>
      </c>
    </row>
    <row r="7387" spans="1:1">
      <c r="A7387" s="7" t="str">
        <f>IF('Document Workflow'!A7386&lt;&gt;"",'Document Workflow'!A7386,"")</f>
        <v/>
      </c>
    </row>
    <row r="7388" spans="1:1">
      <c r="A7388" s="7" t="str">
        <f>IF('Document Workflow'!A7387&lt;&gt;"",'Document Workflow'!A7387,"")</f>
        <v/>
      </c>
    </row>
    <row r="7389" spans="1:1">
      <c r="A7389" s="7" t="str">
        <f>IF('Document Workflow'!A7388&lt;&gt;"",'Document Workflow'!A7388,"")</f>
        <v/>
      </c>
    </row>
    <row r="7390" spans="1:1">
      <c r="A7390" s="7" t="str">
        <f>IF('Document Workflow'!A7389&lt;&gt;"",'Document Workflow'!A7389,"")</f>
        <v/>
      </c>
    </row>
    <row r="7391" spans="1:1">
      <c r="A7391" s="7" t="str">
        <f>IF('Document Workflow'!A7390&lt;&gt;"",'Document Workflow'!A7390,"")</f>
        <v/>
      </c>
    </row>
    <row r="7392" spans="1:1">
      <c r="A7392" s="7" t="str">
        <f>IF('Document Workflow'!A7391&lt;&gt;"",'Document Workflow'!A7391,"")</f>
        <v/>
      </c>
    </row>
    <row r="7393" spans="1:1">
      <c r="A7393" s="7" t="str">
        <f>IF('Document Workflow'!A7392&lt;&gt;"",'Document Workflow'!A7392,"")</f>
        <v/>
      </c>
    </row>
    <row r="7394" spans="1:1">
      <c r="A7394" s="7" t="str">
        <f>IF('Document Workflow'!A7393&lt;&gt;"",'Document Workflow'!A7393,"")</f>
        <v/>
      </c>
    </row>
    <row r="7395" spans="1:1">
      <c r="A7395" s="7" t="str">
        <f>IF('Document Workflow'!A7394&lt;&gt;"",'Document Workflow'!A7394,"")</f>
        <v/>
      </c>
    </row>
    <row r="7396" spans="1:1">
      <c r="A7396" s="7" t="str">
        <f>IF('Document Workflow'!A7395&lt;&gt;"",'Document Workflow'!A7395,"")</f>
        <v/>
      </c>
    </row>
    <row r="7397" spans="1:1">
      <c r="A7397" s="7" t="str">
        <f>IF('Document Workflow'!A7396&lt;&gt;"",'Document Workflow'!A7396,"")</f>
        <v/>
      </c>
    </row>
    <row r="7398" spans="1:1">
      <c r="A7398" s="7" t="str">
        <f>IF('Document Workflow'!A7397&lt;&gt;"",'Document Workflow'!A7397,"")</f>
        <v/>
      </c>
    </row>
    <row r="7399" spans="1:1">
      <c r="A7399" s="7" t="str">
        <f>IF('Document Workflow'!A7398&lt;&gt;"",'Document Workflow'!A7398,"")</f>
        <v/>
      </c>
    </row>
    <row r="7400" spans="1:1">
      <c r="A7400" s="7" t="str">
        <f>IF('Document Workflow'!A7399&lt;&gt;"",'Document Workflow'!A7399,"")</f>
        <v/>
      </c>
    </row>
    <row r="7401" spans="1:1">
      <c r="A7401" s="7" t="str">
        <f>IF('Document Workflow'!A7400&lt;&gt;"",'Document Workflow'!A7400,"")</f>
        <v/>
      </c>
    </row>
    <row r="7402" spans="1:1">
      <c r="A7402" s="7" t="str">
        <f>IF('Document Workflow'!A7401&lt;&gt;"",'Document Workflow'!A7401,"")</f>
        <v/>
      </c>
    </row>
    <row r="7403" spans="1:1">
      <c r="A7403" s="7" t="str">
        <f>IF('Document Workflow'!A7402&lt;&gt;"",'Document Workflow'!A7402,"")</f>
        <v/>
      </c>
    </row>
    <row r="7404" spans="1:1">
      <c r="A7404" s="7" t="str">
        <f>IF('Document Workflow'!A7403&lt;&gt;"",'Document Workflow'!A7403,"")</f>
        <v/>
      </c>
    </row>
    <row r="7405" spans="1:1">
      <c r="A7405" s="7" t="str">
        <f>IF('Document Workflow'!A7404&lt;&gt;"",'Document Workflow'!A7404,"")</f>
        <v/>
      </c>
    </row>
    <row r="7406" spans="1:1">
      <c r="A7406" s="7" t="str">
        <f>IF('Document Workflow'!A7405&lt;&gt;"",'Document Workflow'!A7405,"")</f>
        <v/>
      </c>
    </row>
    <row r="7407" spans="1:1">
      <c r="A7407" s="7" t="str">
        <f>IF('Document Workflow'!A7406&lt;&gt;"",'Document Workflow'!A7406,"")</f>
        <v/>
      </c>
    </row>
    <row r="7408" spans="1:1">
      <c r="A7408" s="7" t="str">
        <f>IF('Document Workflow'!A7407&lt;&gt;"",'Document Workflow'!A7407,"")</f>
        <v/>
      </c>
    </row>
    <row r="7409" spans="1:1">
      <c r="A7409" s="7" t="str">
        <f>IF('Document Workflow'!A7408&lt;&gt;"",'Document Workflow'!A7408,"")</f>
        <v/>
      </c>
    </row>
    <row r="7410" spans="1:1">
      <c r="A7410" s="7" t="str">
        <f>IF('Document Workflow'!A7409&lt;&gt;"",'Document Workflow'!A7409,"")</f>
        <v/>
      </c>
    </row>
    <row r="7411" spans="1:1">
      <c r="A7411" s="7" t="str">
        <f>IF('Document Workflow'!A7410&lt;&gt;"",'Document Workflow'!A7410,"")</f>
        <v/>
      </c>
    </row>
    <row r="7412" spans="1:1">
      <c r="A7412" s="7" t="str">
        <f>IF('Document Workflow'!A7411&lt;&gt;"",'Document Workflow'!A7411,"")</f>
        <v/>
      </c>
    </row>
    <row r="7413" spans="1:1">
      <c r="A7413" s="7" t="str">
        <f>IF('Document Workflow'!A7412&lt;&gt;"",'Document Workflow'!A7412,"")</f>
        <v/>
      </c>
    </row>
    <row r="7414" spans="1:1">
      <c r="A7414" s="7" t="str">
        <f>IF('Document Workflow'!A7413&lt;&gt;"",'Document Workflow'!A7413,"")</f>
        <v/>
      </c>
    </row>
    <row r="7415" spans="1:1">
      <c r="A7415" s="7" t="str">
        <f>IF('Document Workflow'!A7414&lt;&gt;"",'Document Workflow'!A7414,"")</f>
        <v/>
      </c>
    </row>
    <row r="7416" spans="1:1">
      <c r="A7416" s="7" t="str">
        <f>IF('Document Workflow'!A7415&lt;&gt;"",'Document Workflow'!A7415,"")</f>
        <v/>
      </c>
    </row>
    <row r="7417" spans="1:1">
      <c r="A7417" s="7" t="str">
        <f>IF('Document Workflow'!A7416&lt;&gt;"",'Document Workflow'!A7416,"")</f>
        <v/>
      </c>
    </row>
    <row r="7418" spans="1:1">
      <c r="A7418" s="7" t="str">
        <f>IF('Document Workflow'!A7417&lt;&gt;"",'Document Workflow'!A7417,"")</f>
        <v/>
      </c>
    </row>
    <row r="7419" spans="1:1">
      <c r="A7419" s="7" t="str">
        <f>IF('Document Workflow'!A7418&lt;&gt;"",'Document Workflow'!A7418,"")</f>
        <v/>
      </c>
    </row>
    <row r="7420" spans="1:1">
      <c r="A7420" s="7" t="str">
        <f>IF('Document Workflow'!A7419&lt;&gt;"",'Document Workflow'!A7419,"")</f>
        <v/>
      </c>
    </row>
    <row r="7421" spans="1:1">
      <c r="A7421" s="7" t="str">
        <f>IF('Document Workflow'!A7420&lt;&gt;"",'Document Workflow'!A7420,"")</f>
        <v/>
      </c>
    </row>
    <row r="7422" spans="1:1">
      <c r="A7422" s="7" t="str">
        <f>IF('Document Workflow'!A7421&lt;&gt;"",'Document Workflow'!A7421,"")</f>
        <v/>
      </c>
    </row>
    <row r="7423" spans="1:1">
      <c r="A7423" s="7" t="str">
        <f>IF('Document Workflow'!A7422&lt;&gt;"",'Document Workflow'!A7422,"")</f>
        <v/>
      </c>
    </row>
    <row r="7424" spans="1:1">
      <c r="A7424" s="7" t="str">
        <f>IF('Document Workflow'!A7423&lt;&gt;"",'Document Workflow'!A7423,"")</f>
        <v/>
      </c>
    </row>
    <row r="7425" spans="1:1">
      <c r="A7425" s="7" t="str">
        <f>IF('Document Workflow'!A7424&lt;&gt;"",'Document Workflow'!A7424,"")</f>
        <v/>
      </c>
    </row>
    <row r="7426" spans="1:1">
      <c r="A7426" s="7" t="str">
        <f>IF('Document Workflow'!A7425&lt;&gt;"",'Document Workflow'!A7425,"")</f>
        <v/>
      </c>
    </row>
    <row r="7427" spans="1:1">
      <c r="A7427" s="7" t="str">
        <f>IF('Document Workflow'!A7426&lt;&gt;"",'Document Workflow'!A7426,"")</f>
        <v/>
      </c>
    </row>
    <row r="7428" spans="1:1">
      <c r="A7428" s="7" t="str">
        <f>IF('Document Workflow'!A7427&lt;&gt;"",'Document Workflow'!A7427,"")</f>
        <v/>
      </c>
    </row>
    <row r="7429" spans="1:1">
      <c r="A7429" s="7" t="str">
        <f>IF('Document Workflow'!A7428&lt;&gt;"",'Document Workflow'!A7428,"")</f>
        <v/>
      </c>
    </row>
    <row r="7430" spans="1:1">
      <c r="A7430" s="7" t="str">
        <f>IF('Document Workflow'!A7429&lt;&gt;"",'Document Workflow'!A7429,"")</f>
        <v/>
      </c>
    </row>
    <row r="7431" spans="1:1">
      <c r="A7431" s="7" t="str">
        <f>IF('Document Workflow'!A7430&lt;&gt;"",'Document Workflow'!A7430,"")</f>
        <v/>
      </c>
    </row>
    <row r="7432" spans="1:1">
      <c r="A7432" s="7" t="str">
        <f>IF('Document Workflow'!A7431&lt;&gt;"",'Document Workflow'!A7431,"")</f>
        <v/>
      </c>
    </row>
    <row r="7433" spans="1:1">
      <c r="A7433" s="7" t="str">
        <f>IF('Document Workflow'!A7432&lt;&gt;"",'Document Workflow'!A7432,"")</f>
        <v/>
      </c>
    </row>
    <row r="7434" spans="1:1">
      <c r="A7434" s="7" t="str">
        <f>IF('Document Workflow'!A7433&lt;&gt;"",'Document Workflow'!A7433,"")</f>
        <v/>
      </c>
    </row>
    <row r="7435" spans="1:1">
      <c r="A7435" s="7" t="str">
        <f>IF('Document Workflow'!A7434&lt;&gt;"",'Document Workflow'!A7434,"")</f>
        <v/>
      </c>
    </row>
    <row r="7436" spans="1:1">
      <c r="A7436" s="7" t="str">
        <f>IF('Document Workflow'!A7435&lt;&gt;"",'Document Workflow'!A7435,"")</f>
        <v/>
      </c>
    </row>
    <row r="7437" spans="1:1">
      <c r="A7437" s="7" t="str">
        <f>IF('Document Workflow'!A7436&lt;&gt;"",'Document Workflow'!A7436,"")</f>
        <v/>
      </c>
    </row>
    <row r="7438" spans="1:1">
      <c r="A7438" s="7" t="str">
        <f>IF('Document Workflow'!A7437&lt;&gt;"",'Document Workflow'!A7437,"")</f>
        <v/>
      </c>
    </row>
    <row r="7439" spans="1:1">
      <c r="A7439" s="7" t="str">
        <f>IF('Document Workflow'!A7438&lt;&gt;"",'Document Workflow'!A7438,"")</f>
        <v/>
      </c>
    </row>
    <row r="7440" spans="1:1">
      <c r="A7440" s="7" t="str">
        <f>IF('Document Workflow'!A7439&lt;&gt;"",'Document Workflow'!A7439,"")</f>
        <v/>
      </c>
    </row>
    <row r="7441" spans="1:1">
      <c r="A7441" s="7" t="str">
        <f>IF('Document Workflow'!A7440&lt;&gt;"",'Document Workflow'!A7440,"")</f>
        <v/>
      </c>
    </row>
    <row r="7442" spans="1:1">
      <c r="A7442" s="7" t="str">
        <f>IF('Document Workflow'!A7441&lt;&gt;"",'Document Workflow'!A7441,"")</f>
        <v/>
      </c>
    </row>
    <row r="7443" spans="1:1">
      <c r="A7443" s="7" t="str">
        <f>IF('Document Workflow'!A7442&lt;&gt;"",'Document Workflow'!A7442,"")</f>
        <v/>
      </c>
    </row>
    <row r="7444" spans="1:1">
      <c r="A7444" s="7" t="str">
        <f>IF('Document Workflow'!A7443&lt;&gt;"",'Document Workflow'!A7443,"")</f>
        <v/>
      </c>
    </row>
    <row r="7445" spans="1:1">
      <c r="A7445" s="7" t="str">
        <f>IF('Document Workflow'!A7444&lt;&gt;"",'Document Workflow'!A7444,"")</f>
        <v/>
      </c>
    </row>
    <row r="7446" spans="1:1">
      <c r="A7446" s="7" t="str">
        <f>IF('Document Workflow'!A7445&lt;&gt;"",'Document Workflow'!A7445,"")</f>
        <v/>
      </c>
    </row>
    <row r="7447" spans="1:1">
      <c r="A7447" s="7" t="str">
        <f>IF('Document Workflow'!A7446&lt;&gt;"",'Document Workflow'!A7446,"")</f>
        <v/>
      </c>
    </row>
    <row r="7448" spans="1:1">
      <c r="A7448" s="7" t="str">
        <f>IF('Document Workflow'!A7447&lt;&gt;"",'Document Workflow'!A7447,"")</f>
        <v/>
      </c>
    </row>
    <row r="7449" spans="1:1">
      <c r="A7449" s="7" t="str">
        <f>IF('Document Workflow'!A7448&lt;&gt;"",'Document Workflow'!A7448,"")</f>
        <v/>
      </c>
    </row>
    <row r="7450" spans="1:1">
      <c r="A7450" s="7" t="str">
        <f>IF('Document Workflow'!A7449&lt;&gt;"",'Document Workflow'!A7449,"")</f>
        <v/>
      </c>
    </row>
    <row r="7451" spans="1:1">
      <c r="A7451" s="7" t="str">
        <f>IF('Document Workflow'!A7450&lt;&gt;"",'Document Workflow'!A7450,"")</f>
        <v/>
      </c>
    </row>
    <row r="7452" spans="1:1">
      <c r="A7452" s="7" t="str">
        <f>IF('Document Workflow'!A7451&lt;&gt;"",'Document Workflow'!A7451,"")</f>
        <v/>
      </c>
    </row>
    <row r="7453" spans="1:1">
      <c r="A7453" s="7" t="str">
        <f>IF('Document Workflow'!A7452&lt;&gt;"",'Document Workflow'!A7452,"")</f>
        <v/>
      </c>
    </row>
    <row r="7454" spans="1:1">
      <c r="A7454" s="7" t="str">
        <f>IF('Document Workflow'!A7453&lt;&gt;"",'Document Workflow'!A7453,"")</f>
        <v/>
      </c>
    </row>
    <row r="7455" spans="1:1">
      <c r="A7455" s="7" t="str">
        <f>IF('Document Workflow'!A7454&lt;&gt;"",'Document Workflow'!A7454,"")</f>
        <v/>
      </c>
    </row>
    <row r="7456" spans="1:1">
      <c r="A7456" s="7" t="str">
        <f>IF('Document Workflow'!A7455&lt;&gt;"",'Document Workflow'!A7455,"")</f>
        <v/>
      </c>
    </row>
    <row r="7457" spans="1:1">
      <c r="A7457" s="7" t="str">
        <f>IF('Document Workflow'!A7456&lt;&gt;"",'Document Workflow'!A7456,"")</f>
        <v/>
      </c>
    </row>
    <row r="7458" spans="1:1">
      <c r="A7458" s="7" t="str">
        <f>IF('Document Workflow'!A7457&lt;&gt;"",'Document Workflow'!A7457,"")</f>
        <v/>
      </c>
    </row>
    <row r="7459" spans="1:1">
      <c r="A7459" s="7" t="str">
        <f>IF('Document Workflow'!A7458&lt;&gt;"",'Document Workflow'!A7458,"")</f>
        <v/>
      </c>
    </row>
    <row r="7460" spans="1:1">
      <c r="A7460" s="7" t="str">
        <f>IF('Document Workflow'!A7459&lt;&gt;"",'Document Workflow'!A7459,"")</f>
        <v/>
      </c>
    </row>
    <row r="7461" spans="1:1">
      <c r="A7461" s="7" t="str">
        <f>IF('Document Workflow'!A7460&lt;&gt;"",'Document Workflow'!A7460,"")</f>
        <v/>
      </c>
    </row>
    <row r="7462" spans="1:1">
      <c r="A7462" s="7" t="str">
        <f>IF('Document Workflow'!A7461&lt;&gt;"",'Document Workflow'!A7461,"")</f>
        <v/>
      </c>
    </row>
    <row r="7463" spans="1:1">
      <c r="A7463" s="7" t="str">
        <f>IF('Document Workflow'!A7462&lt;&gt;"",'Document Workflow'!A7462,"")</f>
        <v/>
      </c>
    </row>
    <row r="7464" spans="1:1">
      <c r="A7464" s="7" t="str">
        <f>IF('Document Workflow'!A7463&lt;&gt;"",'Document Workflow'!A7463,"")</f>
        <v/>
      </c>
    </row>
    <row r="7465" spans="1:1">
      <c r="A7465" s="7" t="str">
        <f>IF('Document Workflow'!A7464&lt;&gt;"",'Document Workflow'!A7464,"")</f>
        <v/>
      </c>
    </row>
    <row r="7466" spans="1:1">
      <c r="A7466" s="7" t="str">
        <f>IF('Document Workflow'!A7465&lt;&gt;"",'Document Workflow'!A7465,"")</f>
        <v/>
      </c>
    </row>
    <row r="7467" spans="1:1">
      <c r="A7467" s="7" t="str">
        <f>IF('Document Workflow'!A7466&lt;&gt;"",'Document Workflow'!A7466,"")</f>
        <v/>
      </c>
    </row>
    <row r="7468" spans="1:1">
      <c r="A7468" s="7" t="str">
        <f>IF('Document Workflow'!A7467&lt;&gt;"",'Document Workflow'!A7467,"")</f>
        <v/>
      </c>
    </row>
    <row r="7469" spans="1:1">
      <c r="A7469" s="7" t="str">
        <f>IF('Document Workflow'!A7468&lt;&gt;"",'Document Workflow'!A7468,"")</f>
        <v/>
      </c>
    </row>
    <row r="7470" spans="1:1">
      <c r="A7470" s="7" t="str">
        <f>IF('Document Workflow'!A7469&lt;&gt;"",'Document Workflow'!A7469,"")</f>
        <v/>
      </c>
    </row>
    <row r="7471" spans="1:1">
      <c r="A7471" s="7" t="str">
        <f>IF('Document Workflow'!A7470&lt;&gt;"",'Document Workflow'!A7470,"")</f>
        <v/>
      </c>
    </row>
    <row r="7472" spans="1:1">
      <c r="A7472" s="7" t="str">
        <f>IF('Document Workflow'!A7471&lt;&gt;"",'Document Workflow'!A7471,"")</f>
        <v/>
      </c>
    </row>
    <row r="7473" spans="1:1">
      <c r="A7473" s="7" t="str">
        <f>IF('Document Workflow'!A7472&lt;&gt;"",'Document Workflow'!A7472,"")</f>
        <v/>
      </c>
    </row>
    <row r="7474" spans="1:1">
      <c r="A7474" s="7" t="str">
        <f>IF('Document Workflow'!A7473&lt;&gt;"",'Document Workflow'!A7473,"")</f>
        <v/>
      </c>
    </row>
    <row r="7475" spans="1:1">
      <c r="A7475" s="7" t="str">
        <f>IF('Document Workflow'!A7474&lt;&gt;"",'Document Workflow'!A7474,"")</f>
        <v/>
      </c>
    </row>
    <row r="7476" spans="1:1">
      <c r="A7476" s="7" t="str">
        <f>IF('Document Workflow'!A7475&lt;&gt;"",'Document Workflow'!A7475,"")</f>
        <v/>
      </c>
    </row>
    <row r="7477" spans="1:1">
      <c r="A7477" s="7" t="str">
        <f>IF('Document Workflow'!A7476&lt;&gt;"",'Document Workflow'!A7476,"")</f>
        <v/>
      </c>
    </row>
    <row r="7478" spans="1:1">
      <c r="A7478" s="7" t="str">
        <f>IF('Document Workflow'!A7477&lt;&gt;"",'Document Workflow'!A7477,"")</f>
        <v/>
      </c>
    </row>
    <row r="7479" spans="1:1">
      <c r="A7479" s="7" t="str">
        <f>IF('Document Workflow'!A7478&lt;&gt;"",'Document Workflow'!A7478,"")</f>
        <v/>
      </c>
    </row>
    <row r="7480" spans="1:1">
      <c r="A7480" s="7" t="str">
        <f>IF('Document Workflow'!A7479&lt;&gt;"",'Document Workflow'!A7479,"")</f>
        <v/>
      </c>
    </row>
    <row r="7481" spans="1:1">
      <c r="A7481" s="7" t="str">
        <f>IF('Document Workflow'!A7480&lt;&gt;"",'Document Workflow'!A7480,"")</f>
        <v/>
      </c>
    </row>
    <row r="7482" spans="1:1">
      <c r="A7482" s="7" t="str">
        <f>IF('Document Workflow'!A7481&lt;&gt;"",'Document Workflow'!A7481,"")</f>
        <v/>
      </c>
    </row>
    <row r="7483" spans="1:1">
      <c r="A7483" s="7" t="str">
        <f>IF('Document Workflow'!A7482&lt;&gt;"",'Document Workflow'!A7482,"")</f>
        <v/>
      </c>
    </row>
    <row r="7484" spans="1:1">
      <c r="A7484" s="7" t="str">
        <f>IF('Document Workflow'!A7483&lt;&gt;"",'Document Workflow'!A7483,"")</f>
        <v/>
      </c>
    </row>
    <row r="7485" spans="1:1">
      <c r="A7485" s="7" t="str">
        <f>IF('Document Workflow'!A7484&lt;&gt;"",'Document Workflow'!A7484,"")</f>
        <v/>
      </c>
    </row>
    <row r="7486" spans="1:1">
      <c r="A7486" s="7" t="str">
        <f>IF('Document Workflow'!A7485&lt;&gt;"",'Document Workflow'!A7485,"")</f>
        <v/>
      </c>
    </row>
    <row r="7487" spans="1:1">
      <c r="A7487" s="7" t="str">
        <f>IF('Document Workflow'!A7486&lt;&gt;"",'Document Workflow'!A7486,"")</f>
        <v/>
      </c>
    </row>
    <row r="7488" spans="1:1">
      <c r="A7488" s="7" t="str">
        <f>IF('Document Workflow'!A7487&lt;&gt;"",'Document Workflow'!A7487,"")</f>
        <v/>
      </c>
    </row>
    <row r="7489" spans="1:1">
      <c r="A7489" s="7" t="str">
        <f>IF('Document Workflow'!A7488&lt;&gt;"",'Document Workflow'!A7488,"")</f>
        <v/>
      </c>
    </row>
    <row r="7490" spans="1:1">
      <c r="A7490" s="7" t="str">
        <f>IF('Document Workflow'!A7489&lt;&gt;"",'Document Workflow'!A7489,"")</f>
        <v/>
      </c>
    </row>
    <row r="7491" spans="1:1">
      <c r="A7491" s="7" t="str">
        <f>IF('Document Workflow'!A7490&lt;&gt;"",'Document Workflow'!A7490,"")</f>
        <v/>
      </c>
    </row>
    <row r="7492" spans="1:1">
      <c r="A7492" s="7" t="str">
        <f>IF('Document Workflow'!A7491&lt;&gt;"",'Document Workflow'!A7491,"")</f>
        <v/>
      </c>
    </row>
    <row r="7493" spans="1:1">
      <c r="A7493" s="7" t="str">
        <f>IF('Document Workflow'!A7492&lt;&gt;"",'Document Workflow'!A7492,"")</f>
        <v/>
      </c>
    </row>
    <row r="7494" spans="1:1">
      <c r="A7494" s="7" t="str">
        <f>IF('Document Workflow'!A7493&lt;&gt;"",'Document Workflow'!A7493,"")</f>
        <v/>
      </c>
    </row>
    <row r="7495" spans="1:1">
      <c r="A7495" s="7" t="str">
        <f>IF('Document Workflow'!A7494&lt;&gt;"",'Document Workflow'!A7494,"")</f>
        <v/>
      </c>
    </row>
    <row r="7496" spans="1:1">
      <c r="A7496" s="7" t="str">
        <f>IF('Document Workflow'!A7495&lt;&gt;"",'Document Workflow'!A7495,"")</f>
        <v/>
      </c>
    </row>
    <row r="7497" spans="1:1">
      <c r="A7497" s="7" t="str">
        <f>IF('Document Workflow'!A7496&lt;&gt;"",'Document Workflow'!A7496,"")</f>
        <v/>
      </c>
    </row>
    <row r="7498" spans="1:1">
      <c r="A7498" s="7" t="str">
        <f>IF('Document Workflow'!A7497&lt;&gt;"",'Document Workflow'!A7497,"")</f>
        <v/>
      </c>
    </row>
    <row r="7499" spans="1:1">
      <c r="A7499" s="7" t="str">
        <f>IF('Document Workflow'!A7498&lt;&gt;"",'Document Workflow'!A7498,"")</f>
        <v/>
      </c>
    </row>
    <row r="7500" spans="1:1">
      <c r="A7500" s="7" t="str">
        <f>IF('Document Workflow'!A7499&lt;&gt;"",'Document Workflow'!A7499,"")</f>
        <v/>
      </c>
    </row>
    <row r="7501" spans="1:1">
      <c r="A7501" s="7" t="str">
        <f>IF('Document Workflow'!A7500&lt;&gt;"",'Document Workflow'!A7500,"")</f>
        <v/>
      </c>
    </row>
    <row r="7502" spans="1:1">
      <c r="A7502" s="7" t="str">
        <f>IF('Document Workflow'!A7501&lt;&gt;"",'Document Workflow'!A7501,"")</f>
        <v/>
      </c>
    </row>
    <row r="7503" spans="1:1">
      <c r="A7503" s="7" t="str">
        <f>IF('Document Workflow'!A7502&lt;&gt;"",'Document Workflow'!A7502,"")</f>
        <v/>
      </c>
    </row>
    <row r="7504" spans="1:1">
      <c r="A7504" s="7" t="str">
        <f>IF('Document Workflow'!A7503&lt;&gt;"",'Document Workflow'!A7503,"")</f>
        <v/>
      </c>
    </row>
    <row r="7505" spans="1:1">
      <c r="A7505" s="7" t="str">
        <f>IF('Document Workflow'!A7504&lt;&gt;"",'Document Workflow'!A7504,"")</f>
        <v/>
      </c>
    </row>
    <row r="7506" spans="1:1">
      <c r="A7506" s="7" t="str">
        <f>IF('Document Workflow'!A7505&lt;&gt;"",'Document Workflow'!A7505,"")</f>
        <v/>
      </c>
    </row>
    <row r="7507" spans="1:1">
      <c r="A7507" s="7" t="str">
        <f>IF('Document Workflow'!A7506&lt;&gt;"",'Document Workflow'!A7506,"")</f>
        <v/>
      </c>
    </row>
    <row r="7508" spans="1:1">
      <c r="A7508" s="7" t="str">
        <f>IF('Document Workflow'!A7507&lt;&gt;"",'Document Workflow'!A7507,"")</f>
        <v/>
      </c>
    </row>
    <row r="7509" spans="1:1">
      <c r="A7509" s="7" t="str">
        <f>IF('Document Workflow'!A7508&lt;&gt;"",'Document Workflow'!A7508,"")</f>
        <v/>
      </c>
    </row>
    <row r="7510" spans="1:1">
      <c r="A7510" s="7" t="str">
        <f>IF('Document Workflow'!A7509&lt;&gt;"",'Document Workflow'!A7509,"")</f>
        <v/>
      </c>
    </row>
    <row r="7511" spans="1:1">
      <c r="A7511" s="7" t="str">
        <f>IF('Document Workflow'!A7510&lt;&gt;"",'Document Workflow'!A7510,"")</f>
        <v/>
      </c>
    </row>
    <row r="7512" spans="1:1">
      <c r="A7512" s="7" t="str">
        <f>IF('Document Workflow'!A7511&lt;&gt;"",'Document Workflow'!A7511,"")</f>
        <v/>
      </c>
    </row>
    <row r="7513" spans="1:1">
      <c r="A7513" s="7" t="str">
        <f>IF('Document Workflow'!A7512&lt;&gt;"",'Document Workflow'!A7512,"")</f>
        <v/>
      </c>
    </row>
    <row r="7514" spans="1:1">
      <c r="A7514" s="7" t="str">
        <f>IF('Document Workflow'!A7513&lt;&gt;"",'Document Workflow'!A7513,"")</f>
        <v/>
      </c>
    </row>
    <row r="7515" spans="1:1">
      <c r="A7515" s="7" t="str">
        <f>IF('Document Workflow'!A7514&lt;&gt;"",'Document Workflow'!A7514,"")</f>
        <v/>
      </c>
    </row>
    <row r="7516" spans="1:1">
      <c r="A7516" s="7" t="str">
        <f>IF('Document Workflow'!A7515&lt;&gt;"",'Document Workflow'!A7515,"")</f>
        <v/>
      </c>
    </row>
    <row r="7517" spans="1:1">
      <c r="A7517" s="7" t="str">
        <f>IF('Document Workflow'!A7516&lt;&gt;"",'Document Workflow'!A7516,"")</f>
        <v/>
      </c>
    </row>
    <row r="7518" spans="1:1">
      <c r="A7518" s="7" t="str">
        <f>IF('Document Workflow'!A7517&lt;&gt;"",'Document Workflow'!A7517,"")</f>
        <v/>
      </c>
    </row>
    <row r="7519" spans="1:1">
      <c r="A7519" s="7" t="str">
        <f>IF('Document Workflow'!A7518&lt;&gt;"",'Document Workflow'!A7518,"")</f>
        <v/>
      </c>
    </row>
    <row r="7520" spans="1:1">
      <c r="A7520" s="7" t="str">
        <f>IF('Document Workflow'!A7519&lt;&gt;"",'Document Workflow'!A7519,"")</f>
        <v/>
      </c>
    </row>
    <row r="7521" spans="1:1">
      <c r="A7521" s="7" t="str">
        <f>IF('Document Workflow'!A7520&lt;&gt;"",'Document Workflow'!A7520,"")</f>
        <v/>
      </c>
    </row>
    <row r="7522" spans="1:1">
      <c r="A7522" s="7" t="str">
        <f>IF('Document Workflow'!A7521&lt;&gt;"",'Document Workflow'!A7521,"")</f>
        <v/>
      </c>
    </row>
    <row r="7523" spans="1:1">
      <c r="A7523" s="7" t="str">
        <f>IF('Document Workflow'!A7522&lt;&gt;"",'Document Workflow'!A7522,"")</f>
        <v/>
      </c>
    </row>
    <row r="7524" spans="1:1">
      <c r="A7524" s="7" t="str">
        <f>IF('Document Workflow'!A7523&lt;&gt;"",'Document Workflow'!A7523,"")</f>
        <v/>
      </c>
    </row>
    <row r="7525" spans="1:1">
      <c r="A7525" s="7" t="str">
        <f>IF('Document Workflow'!A7524&lt;&gt;"",'Document Workflow'!A7524,"")</f>
        <v/>
      </c>
    </row>
    <row r="7526" spans="1:1">
      <c r="A7526" s="7" t="str">
        <f>IF('Document Workflow'!A7525&lt;&gt;"",'Document Workflow'!A7525,"")</f>
        <v/>
      </c>
    </row>
    <row r="7527" spans="1:1">
      <c r="A7527" s="7" t="str">
        <f>IF('Document Workflow'!A7526&lt;&gt;"",'Document Workflow'!A7526,"")</f>
        <v/>
      </c>
    </row>
    <row r="7528" spans="1:1">
      <c r="A7528" s="7" t="str">
        <f>IF('Document Workflow'!A7527&lt;&gt;"",'Document Workflow'!A7527,"")</f>
        <v/>
      </c>
    </row>
    <row r="7529" spans="1:1">
      <c r="A7529" s="7" t="str">
        <f>IF('Document Workflow'!A7528&lt;&gt;"",'Document Workflow'!A7528,"")</f>
        <v/>
      </c>
    </row>
    <row r="7530" spans="1:1">
      <c r="A7530" s="7" t="str">
        <f>IF('Document Workflow'!A7529&lt;&gt;"",'Document Workflow'!A7529,"")</f>
        <v/>
      </c>
    </row>
    <row r="7531" spans="1:1">
      <c r="A7531" s="7" t="str">
        <f>IF('Document Workflow'!A7530&lt;&gt;"",'Document Workflow'!A7530,"")</f>
        <v/>
      </c>
    </row>
    <row r="7532" spans="1:1">
      <c r="A7532" s="7" t="str">
        <f>IF('Document Workflow'!A7531&lt;&gt;"",'Document Workflow'!A7531,"")</f>
        <v/>
      </c>
    </row>
    <row r="7533" spans="1:1">
      <c r="A7533" s="7" t="str">
        <f>IF('Document Workflow'!A7532&lt;&gt;"",'Document Workflow'!A7532,"")</f>
        <v/>
      </c>
    </row>
    <row r="7534" spans="1:1">
      <c r="A7534" s="7" t="str">
        <f>IF('Document Workflow'!A7533&lt;&gt;"",'Document Workflow'!A7533,"")</f>
        <v/>
      </c>
    </row>
    <row r="7535" spans="1:1">
      <c r="A7535" s="7" t="str">
        <f>IF('Document Workflow'!A7534&lt;&gt;"",'Document Workflow'!A7534,"")</f>
        <v/>
      </c>
    </row>
    <row r="7536" spans="1:1">
      <c r="A7536" s="7" t="str">
        <f>IF('Document Workflow'!A7535&lt;&gt;"",'Document Workflow'!A7535,"")</f>
        <v/>
      </c>
    </row>
    <row r="7537" spans="1:1">
      <c r="A7537" s="7" t="str">
        <f>IF('Document Workflow'!A7536&lt;&gt;"",'Document Workflow'!A7536,"")</f>
        <v/>
      </c>
    </row>
    <row r="7538" spans="1:1">
      <c r="A7538" s="7" t="str">
        <f>IF('Document Workflow'!A7537&lt;&gt;"",'Document Workflow'!A7537,"")</f>
        <v/>
      </c>
    </row>
    <row r="7539" spans="1:1">
      <c r="A7539" s="7" t="str">
        <f>IF('Document Workflow'!A7538&lt;&gt;"",'Document Workflow'!A7538,"")</f>
        <v/>
      </c>
    </row>
    <row r="7540" spans="1:1">
      <c r="A7540" s="7" t="str">
        <f>IF('Document Workflow'!A7539&lt;&gt;"",'Document Workflow'!A7539,"")</f>
        <v/>
      </c>
    </row>
    <row r="7541" spans="1:1">
      <c r="A7541" s="7" t="str">
        <f>IF('Document Workflow'!A7540&lt;&gt;"",'Document Workflow'!A7540,"")</f>
        <v/>
      </c>
    </row>
    <row r="7542" spans="1:1">
      <c r="A7542" s="7" t="str">
        <f>IF('Document Workflow'!A7541&lt;&gt;"",'Document Workflow'!A7541,"")</f>
        <v/>
      </c>
    </row>
    <row r="7543" spans="1:1">
      <c r="A7543" s="7" t="str">
        <f>IF('Document Workflow'!A7542&lt;&gt;"",'Document Workflow'!A7542,"")</f>
        <v/>
      </c>
    </row>
    <row r="7544" spans="1:1">
      <c r="A7544" s="7" t="str">
        <f>IF('Document Workflow'!A7543&lt;&gt;"",'Document Workflow'!A7543,"")</f>
        <v/>
      </c>
    </row>
    <row r="7545" spans="1:1">
      <c r="A7545" s="7" t="str">
        <f>IF('Document Workflow'!A7544&lt;&gt;"",'Document Workflow'!A7544,"")</f>
        <v/>
      </c>
    </row>
    <row r="7546" spans="1:1">
      <c r="A7546" s="7" t="str">
        <f>IF('Document Workflow'!A7545&lt;&gt;"",'Document Workflow'!A7545,"")</f>
        <v/>
      </c>
    </row>
    <row r="7547" spans="1:1">
      <c r="A7547" s="7" t="str">
        <f>IF('Document Workflow'!A7546&lt;&gt;"",'Document Workflow'!A7546,"")</f>
        <v/>
      </c>
    </row>
    <row r="7548" spans="1:1">
      <c r="A7548" s="7" t="str">
        <f>IF('Document Workflow'!A7547&lt;&gt;"",'Document Workflow'!A7547,"")</f>
        <v/>
      </c>
    </row>
    <row r="7549" spans="1:1">
      <c r="A7549" s="7" t="str">
        <f>IF('Document Workflow'!A7548&lt;&gt;"",'Document Workflow'!A7548,"")</f>
        <v/>
      </c>
    </row>
    <row r="7550" spans="1:1">
      <c r="A7550" s="7" t="str">
        <f>IF('Document Workflow'!A7549&lt;&gt;"",'Document Workflow'!A7549,"")</f>
        <v/>
      </c>
    </row>
    <row r="7551" spans="1:1">
      <c r="A7551" s="7" t="str">
        <f>IF('Document Workflow'!A7550&lt;&gt;"",'Document Workflow'!A7550,"")</f>
        <v/>
      </c>
    </row>
    <row r="7552" spans="1:1">
      <c r="A7552" s="7" t="str">
        <f>IF('Document Workflow'!A7551&lt;&gt;"",'Document Workflow'!A7551,"")</f>
        <v/>
      </c>
    </row>
    <row r="7553" spans="1:1">
      <c r="A7553" s="7" t="str">
        <f>IF('Document Workflow'!A7552&lt;&gt;"",'Document Workflow'!A7552,"")</f>
        <v/>
      </c>
    </row>
    <row r="7554" spans="1:1">
      <c r="A7554" s="7" t="str">
        <f>IF('Document Workflow'!A7553&lt;&gt;"",'Document Workflow'!A7553,"")</f>
        <v/>
      </c>
    </row>
    <row r="7555" spans="1:1">
      <c r="A7555" s="7" t="str">
        <f>IF('Document Workflow'!A7554&lt;&gt;"",'Document Workflow'!A7554,"")</f>
        <v/>
      </c>
    </row>
    <row r="7556" spans="1:1">
      <c r="A7556" s="7" t="str">
        <f>IF('Document Workflow'!A7555&lt;&gt;"",'Document Workflow'!A7555,"")</f>
        <v/>
      </c>
    </row>
    <row r="7557" spans="1:1">
      <c r="A7557" s="7" t="str">
        <f>IF('Document Workflow'!A7556&lt;&gt;"",'Document Workflow'!A7556,"")</f>
        <v/>
      </c>
    </row>
    <row r="7558" spans="1:1">
      <c r="A7558" s="7" t="str">
        <f>IF('Document Workflow'!A7557&lt;&gt;"",'Document Workflow'!A7557,"")</f>
        <v/>
      </c>
    </row>
    <row r="7559" spans="1:1">
      <c r="A7559" s="7" t="str">
        <f>IF('Document Workflow'!A7558&lt;&gt;"",'Document Workflow'!A7558,"")</f>
        <v/>
      </c>
    </row>
    <row r="7560" spans="1:1">
      <c r="A7560" s="7" t="str">
        <f>IF('Document Workflow'!A7559&lt;&gt;"",'Document Workflow'!A7559,"")</f>
        <v/>
      </c>
    </row>
    <row r="7561" spans="1:1">
      <c r="A7561" s="7" t="str">
        <f>IF('Document Workflow'!A7560&lt;&gt;"",'Document Workflow'!A7560,"")</f>
        <v/>
      </c>
    </row>
    <row r="7562" spans="1:1">
      <c r="A7562" s="7" t="str">
        <f>IF('Document Workflow'!A7561&lt;&gt;"",'Document Workflow'!A7561,"")</f>
        <v/>
      </c>
    </row>
    <row r="7563" spans="1:1">
      <c r="A7563" s="7" t="str">
        <f>IF('Document Workflow'!A7562&lt;&gt;"",'Document Workflow'!A7562,"")</f>
        <v/>
      </c>
    </row>
    <row r="7564" spans="1:1">
      <c r="A7564" s="7" t="str">
        <f>IF('Document Workflow'!A7563&lt;&gt;"",'Document Workflow'!A7563,"")</f>
        <v/>
      </c>
    </row>
    <row r="7565" spans="1:1">
      <c r="A7565" s="7" t="str">
        <f>IF('Document Workflow'!A7564&lt;&gt;"",'Document Workflow'!A7564,"")</f>
        <v/>
      </c>
    </row>
    <row r="7566" spans="1:1">
      <c r="A7566" s="7" t="str">
        <f>IF('Document Workflow'!A7565&lt;&gt;"",'Document Workflow'!A7565,"")</f>
        <v/>
      </c>
    </row>
    <row r="7567" spans="1:1">
      <c r="A7567" s="7" t="str">
        <f>IF('Document Workflow'!A7566&lt;&gt;"",'Document Workflow'!A7566,"")</f>
        <v/>
      </c>
    </row>
    <row r="7568" spans="1:1">
      <c r="A7568" s="7" t="str">
        <f>IF('Document Workflow'!A7567&lt;&gt;"",'Document Workflow'!A7567,"")</f>
        <v/>
      </c>
    </row>
    <row r="7569" spans="1:1">
      <c r="A7569" s="7" t="str">
        <f>IF('Document Workflow'!A7568&lt;&gt;"",'Document Workflow'!A7568,"")</f>
        <v/>
      </c>
    </row>
    <row r="7570" spans="1:1">
      <c r="A7570" s="7" t="str">
        <f>IF('Document Workflow'!A7569&lt;&gt;"",'Document Workflow'!A7569,"")</f>
        <v/>
      </c>
    </row>
    <row r="7571" spans="1:1">
      <c r="A7571" s="7" t="str">
        <f>IF('Document Workflow'!A7570&lt;&gt;"",'Document Workflow'!A7570,"")</f>
        <v/>
      </c>
    </row>
    <row r="7572" spans="1:1">
      <c r="A7572" s="7" t="str">
        <f>IF('Document Workflow'!A7571&lt;&gt;"",'Document Workflow'!A7571,"")</f>
        <v/>
      </c>
    </row>
    <row r="7573" spans="1:1">
      <c r="A7573" s="7" t="str">
        <f>IF('Document Workflow'!A7572&lt;&gt;"",'Document Workflow'!A7572,"")</f>
        <v/>
      </c>
    </row>
    <row r="7574" spans="1:1">
      <c r="A7574" s="7" t="str">
        <f>IF('Document Workflow'!A7573&lt;&gt;"",'Document Workflow'!A7573,"")</f>
        <v/>
      </c>
    </row>
    <row r="7575" spans="1:1">
      <c r="A7575" s="7" t="str">
        <f>IF('Document Workflow'!A7574&lt;&gt;"",'Document Workflow'!A7574,"")</f>
        <v/>
      </c>
    </row>
    <row r="7576" spans="1:1">
      <c r="A7576" s="7" t="str">
        <f>IF('Document Workflow'!A7575&lt;&gt;"",'Document Workflow'!A7575,"")</f>
        <v/>
      </c>
    </row>
    <row r="7577" spans="1:1">
      <c r="A7577" s="7" t="str">
        <f>IF('Document Workflow'!A7576&lt;&gt;"",'Document Workflow'!A7576,"")</f>
        <v/>
      </c>
    </row>
    <row r="7578" spans="1:1">
      <c r="A7578" s="7" t="str">
        <f>IF('Document Workflow'!A7577&lt;&gt;"",'Document Workflow'!A7577,"")</f>
        <v/>
      </c>
    </row>
    <row r="7579" spans="1:1">
      <c r="A7579" s="7" t="str">
        <f>IF('Document Workflow'!A7578&lt;&gt;"",'Document Workflow'!A7578,"")</f>
        <v/>
      </c>
    </row>
    <row r="7580" spans="1:1">
      <c r="A7580" s="7" t="str">
        <f>IF('Document Workflow'!A7579&lt;&gt;"",'Document Workflow'!A7579,"")</f>
        <v/>
      </c>
    </row>
    <row r="7581" spans="1:1">
      <c r="A7581" s="7" t="str">
        <f>IF('Document Workflow'!A7580&lt;&gt;"",'Document Workflow'!A7580,"")</f>
        <v/>
      </c>
    </row>
    <row r="7582" spans="1:1">
      <c r="A7582" s="7" t="str">
        <f>IF('Document Workflow'!A7581&lt;&gt;"",'Document Workflow'!A7581,"")</f>
        <v/>
      </c>
    </row>
    <row r="7583" spans="1:1">
      <c r="A7583" s="7" t="str">
        <f>IF('Document Workflow'!A7582&lt;&gt;"",'Document Workflow'!A7582,"")</f>
        <v/>
      </c>
    </row>
    <row r="7584" spans="1:1">
      <c r="A7584" s="7" t="str">
        <f>IF('Document Workflow'!A7583&lt;&gt;"",'Document Workflow'!A7583,"")</f>
        <v/>
      </c>
    </row>
    <row r="7585" spans="1:1">
      <c r="A7585" s="7" t="str">
        <f>IF('Document Workflow'!A7584&lt;&gt;"",'Document Workflow'!A7584,"")</f>
        <v/>
      </c>
    </row>
    <row r="7586" spans="1:1">
      <c r="A7586" s="7" t="str">
        <f>IF('Document Workflow'!A7585&lt;&gt;"",'Document Workflow'!A7585,"")</f>
        <v/>
      </c>
    </row>
    <row r="7587" spans="1:1">
      <c r="A7587" s="7" t="str">
        <f>IF('Document Workflow'!A7586&lt;&gt;"",'Document Workflow'!A7586,"")</f>
        <v/>
      </c>
    </row>
    <row r="7588" spans="1:1">
      <c r="A7588" s="7" t="str">
        <f>IF('Document Workflow'!A7587&lt;&gt;"",'Document Workflow'!A7587,"")</f>
        <v/>
      </c>
    </row>
    <row r="7589" spans="1:1">
      <c r="A7589" s="7" t="str">
        <f>IF('Document Workflow'!A7588&lt;&gt;"",'Document Workflow'!A7588,"")</f>
        <v/>
      </c>
    </row>
    <row r="7590" spans="1:1">
      <c r="A7590" s="7" t="str">
        <f>IF('Document Workflow'!A7589&lt;&gt;"",'Document Workflow'!A7589,"")</f>
        <v/>
      </c>
    </row>
    <row r="7591" spans="1:1">
      <c r="A7591" s="7" t="str">
        <f>IF('Document Workflow'!A7590&lt;&gt;"",'Document Workflow'!A7590,"")</f>
        <v/>
      </c>
    </row>
    <row r="7592" spans="1:1">
      <c r="A7592" s="7" t="str">
        <f>IF('Document Workflow'!A7591&lt;&gt;"",'Document Workflow'!A7591,"")</f>
        <v/>
      </c>
    </row>
    <row r="7593" spans="1:1">
      <c r="A7593" s="7" t="str">
        <f>IF('Document Workflow'!A7592&lt;&gt;"",'Document Workflow'!A7592,"")</f>
        <v/>
      </c>
    </row>
    <row r="7594" spans="1:1">
      <c r="A7594" s="7" t="str">
        <f>IF('Document Workflow'!A7593&lt;&gt;"",'Document Workflow'!A7593,"")</f>
        <v/>
      </c>
    </row>
    <row r="7595" spans="1:1">
      <c r="A7595" s="7" t="str">
        <f>IF('Document Workflow'!A7594&lt;&gt;"",'Document Workflow'!A7594,"")</f>
        <v/>
      </c>
    </row>
    <row r="7596" spans="1:1">
      <c r="A7596" s="7" t="str">
        <f>IF('Document Workflow'!A7595&lt;&gt;"",'Document Workflow'!A7595,"")</f>
        <v/>
      </c>
    </row>
    <row r="7597" spans="1:1">
      <c r="A7597" s="7" t="str">
        <f>IF('Document Workflow'!A7596&lt;&gt;"",'Document Workflow'!A7596,"")</f>
        <v/>
      </c>
    </row>
    <row r="7598" spans="1:1">
      <c r="A7598" s="7" t="str">
        <f>IF('Document Workflow'!A7597&lt;&gt;"",'Document Workflow'!A7597,"")</f>
        <v/>
      </c>
    </row>
    <row r="7599" spans="1:1">
      <c r="A7599" s="7" t="str">
        <f>IF('Document Workflow'!A7598&lt;&gt;"",'Document Workflow'!A7598,"")</f>
        <v/>
      </c>
    </row>
    <row r="7600" spans="1:1">
      <c r="A7600" s="7" t="str">
        <f>IF('Document Workflow'!A7599&lt;&gt;"",'Document Workflow'!A7599,"")</f>
        <v/>
      </c>
    </row>
    <row r="7601" spans="1:1">
      <c r="A7601" s="7" t="str">
        <f>IF('Document Workflow'!A7600&lt;&gt;"",'Document Workflow'!A7600,"")</f>
        <v/>
      </c>
    </row>
    <row r="7602" spans="1:1">
      <c r="A7602" s="7" t="str">
        <f>IF('Document Workflow'!A7601&lt;&gt;"",'Document Workflow'!A7601,"")</f>
        <v/>
      </c>
    </row>
    <row r="7603" spans="1:1">
      <c r="A7603" s="7" t="str">
        <f>IF('Document Workflow'!A7602&lt;&gt;"",'Document Workflow'!A7602,"")</f>
        <v/>
      </c>
    </row>
    <row r="7604" spans="1:1">
      <c r="A7604" s="7" t="str">
        <f>IF('Document Workflow'!A7603&lt;&gt;"",'Document Workflow'!A7603,"")</f>
        <v/>
      </c>
    </row>
    <row r="7605" spans="1:1">
      <c r="A7605" s="7" t="str">
        <f>IF('Document Workflow'!A7604&lt;&gt;"",'Document Workflow'!A7604,"")</f>
        <v/>
      </c>
    </row>
    <row r="7606" spans="1:1">
      <c r="A7606" s="7" t="str">
        <f>IF('Document Workflow'!A7605&lt;&gt;"",'Document Workflow'!A7605,"")</f>
        <v/>
      </c>
    </row>
    <row r="7607" spans="1:1">
      <c r="A7607" s="7" t="str">
        <f>IF('Document Workflow'!A7606&lt;&gt;"",'Document Workflow'!A7606,"")</f>
        <v/>
      </c>
    </row>
    <row r="7608" spans="1:1">
      <c r="A7608" s="7" t="str">
        <f>IF('Document Workflow'!A7607&lt;&gt;"",'Document Workflow'!A7607,"")</f>
        <v/>
      </c>
    </row>
    <row r="7609" spans="1:1">
      <c r="A7609" s="7" t="str">
        <f>IF('Document Workflow'!A7608&lt;&gt;"",'Document Workflow'!A7608,"")</f>
        <v/>
      </c>
    </row>
    <row r="7610" spans="1:1">
      <c r="A7610" s="7" t="str">
        <f>IF('Document Workflow'!A7609&lt;&gt;"",'Document Workflow'!A7609,"")</f>
        <v/>
      </c>
    </row>
    <row r="7611" spans="1:1">
      <c r="A7611" s="7" t="str">
        <f>IF('Document Workflow'!A7610&lt;&gt;"",'Document Workflow'!A7610,"")</f>
        <v/>
      </c>
    </row>
    <row r="7612" spans="1:1">
      <c r="A7612" s="7" t="str">
        <f>IF('Document Workflow'!A7611&lt;&gt;"",'Document Workflow'!A7611,"")</f>
        <v/>
      </c>
    </row>
    <row r="7613" spans="1:1">
      <c r="A7613" s="7" t="str">
        <f>IF('Document Workflow'!A7612&lt;&gt;"",'Document Workflow'!A7612,"")</f>
        <v/>
      </c>
    </row>
    <row r="7614" spans="1:1">
      <c r="A7614" s="7" t="str">
        <f>IF('Document Workflow'!A7613&lt;&gt;"",'Document Workflow'!A7613,"")</f>
        <v/>
      </c>
    </row>
    <row r="7615" spans="1:1">
      <c r="A7615" s="7" t="str">
        <f>IF('Document Workflow'!A7614&lt;&gt;"",'Document Workflow'!A7614,"")</f>
        <v/>
      </c>
    </row>
    <row r="7616" spans="1:1">
      <c r="A7616" s="7" t="str">
        <f>IF('Document Workflow'!A7615&lt;&gt;"",'Document Workflow'!A7615,"")</f>
        <v/>
      </c>
    </row>
    <row r="7617" spans="1:1">
      <c r="A7617" s="7" t="str">
        <f>IF('Document Workflow'!A7616&lt;&gt;"",'Document Workflow'!A7616,"")</f>
        <v/>
      </c>
    </row>
    <row r="7618" spans="1:1">
      <c r="A7618" s="7" t="str">
        <f>IF('Document Workflow'!A7617&lt;&gt;"",'Document Workflow'!A7617,"")</f>
        <v/>
      </c>
    </row>
    <row r="7619" spans="1:1">
      <c r="A7619" s="7" t="str">
        <f>IF('Document Workflow'!A7618&lt;&gt;"",'Document Workflow'!A7618,"")</f>
        <v/>
      </c>
    </row>
    <row r="7620" spans="1:1">
      <c r="A7620" s="7" t="str">
        <f>IF('Document Workflow'!A7619&lt;&gt;"",'Document Workflow'!A7619,"")</f>
        <v/>
      </c>
    </row>
    <row r="7621" spans="1:1">
      <c r="A7621" s="7" t="str">
        <f>IF('Document Workflow'!A7620&lt;&gt;"",'Document Workflow'!A7620,"")</f>
        <v/>
      </c>
    </row>
    <row r="7622" spans="1:1">
      <c r="A7622" s="7" t="str">
        <f>IF('Document Workflow'!A7621&lt;&gt;"",'Document Workflow'!A7621,"")</f>
        <v/>
      </c>
    </row>
    <row r="7623" spans="1:1">
      <c r="A7623" s="7" t="str">
        <f>IF('Document Workflow'!A7622&lt;&gt;"",'Document Workflow'!A7622,"")</f>
        <v/>
      </c>
    </row>
    <row r="7624" spans="1:1">
      <c r="A7624" s="7" t="str">
        <f>IF('Document Workflow'!A7623&lt;&gt;"",'Document Workflow'!A7623,"")</f>
        <v/>
      </c>
    </row>
    <row r="7625" spans="1:1">
      <c r="A7625" s="7" t="str">
        <f>IF('Document Workflow'!A7624&lt;&gt;"",'Document Workflow'!A7624,"")</f>
        <v/>
      </c>
    </row>
    <row r="7626" spans="1:1">
      <c r="A7626" s="7" t="str">
        <f>IF('Document Workflow'!A7625&lt;&gt;"",'Document Workflow'!A7625,"")</f>
        <v/>
      </c>
    </row>
    <row r="7627" spans="1:1">
      <c r="A7627" s="7" t="str">
        <f>IF('Document Workflow'!A7626&lt;&gt;"",'Document Workflow'!A7626,"")</f>
        <v/>
      </c>
    </row>
    <row r="7628" spans="1:1">
      <c r="A7628" s="7" t="str">
        <f>IF('Document Workflow'!A7627&lt;&gt;"",'Document Workflow'!A7627,"")</f>
        <v/>
      </c>
    </row>
    <row r="7629" spans="1:1">
      <c r="A7629" s="7" t="str">
        <f>IF('Document Workflow'!A7628&lt;&gt;"",'Document Workflow'!A7628,"")</f>
        <v/>
      </c>
    </row>
    <row r="7630" spans="1:1">
      <c r="A7630" s="7" t="str">
        <f>IF('Document Workflow'!A7629&lt;&gt;"",'Document Workflow'!A7629,"")</f>
        <v/>
      </c>
    </row>
    <row r="7631" spans="1:1">
      <c r="A7631" s="7" t="str">
        <f>IF('Document Workflow'!A7630&lt;&gt;"",'Document Workflow'!A7630,"")</f>
        <v/>
      </c>
    </row>
    <row r="7632" spans="1:1">
      <c r="A7632" s="7" t="str">
        <f>IF('Document Workflow'!A7631&lt;&gt;"",'Document Workflow'!A7631,"")</f>
        <v/>
      </c>
    </row>
    <row r="7633" spans="1:1">
      <c r="A7633" s="7" t="str">
        <f>IF('Document Workflow'!A7632&lt;&gt;"",'Document Workflow'!A7632,"")</f>
        <v/>
      </c>
    </row>
    <row r="7634" spans="1:1">
      <c r="A7634" s="7" t="str">
        <f>IF('Document Workflow'!A7633&lt;&gt;"",'Document Workflow'!A7633,"")</f>
        <v/>
      </c>
    </row>
    <row r="7635" spans="1:1">
      <c r="A7635" s="7" t="str">
        <f>IF('Document Workflow'!A7634&lt;&gt;"",'Document Workflow'!A7634,"")</f>
        <v/>
      </c>
    </row>
    <row r="7636" spans="1:1">
      <c r="A7636" s="7" t="str">
        <f>IF('Document Workflow'!A7635&lt;&gt;"",'Document Workflow'!A7635,"")</f>
        <v/>
      </c>
    </row>
    <row r="7637" spans="1:1">
      <c r="A7637" s="7" t="str">
        <f>IF('Document Workflow'!A7636&lt;&gt;"",'Document Workflow'!A7636,"")</f>
        <v/>
      </c>
    </row>
    <row r="7638" spans="1:1">
      <c r="A7638" s="7" t="str">
        <f>IF('Document Workflow'!A7637&lt;&gt;"",'Document Workflow'!A7637,"")</f>
        <v/>
      </c>
    </row>
    <row r="7639" spans="1:1">
      <c r="A7639" s="7" t="str">
        <f>IF('Document Workflow'!A7638&lt;&gt;"",'Document Workflow'!A7638,"")</f>
        <v/>
      </c>
    </row>
    <row r="7640" spans="1:1">
      <c r="A7640" s="7" t="str">
        <f>IF('Document Workflow'!A7639&lt;&gt;"",'Document Workflow'!A7639,"")</f>
        <v/>
      </c>
    </row>
    <row r="7641" spans="1:1">
      <c r="A7641" s="7" t="str">
        <f>IF('Document Workflow'!A7640&lt;&gt;"",'Document Workflow'!A7640,"")</f>
        <v/>
      </c>
    </row>
    <row r="7642" spans="1:1">
      <c r="A7642" s="7" t="str">
        <f>IF('Document Workflow'!A7641&lt;&gt;"",'Document Workflow'!A7641,"")</f>
        <v/>
      </c>
    </row>
    <row r="7643" spans="1:1">
      <c r="A7643" s="7" t="str">
        <f>IF('Document Workflow'!A7642&lt;&gt;"",'Document Workflow'!A7642,"")</f>
        <v/>
      </c>
    </row>
    <row r="7644" spans="1:1">
      <c r="A7644" s="7" t="str">
        <f>IF('Document Workflow'!A7643&lt;&gt;"",'Document Workflow'!A7643,"")</f>
        <v/>
      </c>
    </row>
    <row r="7645" spans="1:1">
      <c r="A7645" s="7" t="str">
        <f>IF('Document Workflow'!A7644&lt;&gt;"",'Document Workflow'!A7644,"")</f>
        <v/>
      </c>
    </row>
    <row r="7646" spans="1:1">
      <c r="A7646" s="7" t="str">
        <f>IF('Document Workflow'!A7645&lt;&gt;"",'Document Workflow'!A7645,"")</f>
        <v/>
      </c>
    </row>
    <row r="7647" spans="1:1">
      <c r="A7647" s="7" t="str">
        <f>IF('Document Workflow'!A7646&lt;&gt;"",'Document Workflow'!A7646,"")</f>
        <v/>
      </c>
    </row>
    <row r="7648" spans="1:1">
      <c r="A7648" s="7" t="str">
        <f>IF('Document Workflow'!A7647&lt;&gt;"",'Document Workflow'!A7647,"")</f>
        <v/>
      </c>
    </row>
    <row r="7649" spans="1:1">
      <c r="A7649" s="7" t="str">
        <f>IF('Document Workflow'!A7648&lt;&gt;"",'Document Workflow'!A7648,"")</f>
        <v/>
      </c>
    </row>
    <row r="7650" spans="1:1">
      <c r="A7650" s="7" t="str">
        <f>IF('Document Workflow'!A7649&lt;&gt;"",'Document Workflow'!A7649,"")</f>
        <v/>
      </c>
    </row>
    <row r="7651" spans="1:1">
      <c r="A7651" s="7" t="str">
        <f>IF('Document Workflow'!A7650&lt;&gt;"",'Document Workflow'!A7650,"")</f>
        <v/>
      </c>
    </row>
    <row r="7652" spans="1:1">
      <c r="A7652" s="7" t="str">
        <f>IF('Document Workflow'!A7651&lt;&gt;"",'Document Workflow'!A7651,"")</f>
        <v/>
      </c>
    </row>
    <row r="7653" spans="1:1">
      <c r="A7653" s="7" t="str">
        <f>IF('Document Workflow'!A7652&lt;&gt;"",'Document Workflow'!A7652,"")</f>
        <v/>
      </c>
    </row>
    <row r="7654" spans="1:1">
      <c r="A7654" s="7" t="str">
        <f>IF('Document Workflow'!A7653&lt;&gt;"",'Document Workflow'!A7653,"")</f>
        <v/>
      </c>
    </row>
    <row r="7655" spans="1:1">
      <c r="A7655" s="7" t="str">
        <f>IF('Document Workflow'!A7654&lt;&gt;"",'Document Workflow'!A7654,"")</f>
        <v/>
      </c>
    </row>
    <row r="7656" spans="1:1">
      <c r="A7656" s="7" t="str">
        <f>IF('Document Workflow'!A7655&lt;&gt;"",'Document Workflow'!A7655,"")</f>
        <v/>
      </c>
    </row>
    <row r="7657" spans="1:1">
      <c r="A7657" s="7" t="str">
        <f>IF('Document Workflow'!A7656&lt;&gt;"",'Document Workflow'!A7656,"")</f>
        <v/>
      </c>
    </row>
    <row r="7658" spans="1:1">
      <c r="A7658" s="7" t="str">
        <f>IF('Document Workflow'!A7657&lt;&gt;"",'Document Workflow'!A7657,"")</f>
        <v/>
      </c>
    </row>
    <row r="7659" spans="1:1">
      <c r="A7659" s="7" t="str">
        <f>IF('Document Workflow'!A7658&lt;&gt;"",'Document Workflow'!A7658,"")</f>
        <v/>
      </c>
    </row>
    <row r="7660" spans="1:1">
      <c r="A7660" s="7" t="str">
        <f>IF('Document Workflow'!A7659&lt;&gt;"",'Document Workflow'!A7659,"")</f>
        <v/>
      </c>
    </row>
    <row r="7661" spans="1:1">
      <c r="A7661" s="7" t="str">
        <f>IF('Document Workflow'!A7660&lt;&gt;"",'Document Workflow'!A7660,"")</f>
        <v/>
      </c>
    </row>
    <row r="7662" spans="1:1">
      <c r="A7662" s="7" t="str">
        <f>IF('Document Workflow'!A7661&lt;&gt;"",'Document Workflow'!A7661,"")</f>
        <v/>
      </c>
    </row>
    <row r="7663" spans="1:1">
      <c r="A7663" s="7" t="str">
        <f>IF('Document Workflow'!A7662&lt;&gt;"",'Document Workflow'!A7662,"")</f>
        <v/>
      </c>
    </row>
    <row r="7664" spans="1:1">
      <c r="A7664" s="7" t="str">
        <f>IF('Document Workflow'!A7663&lt;&gt;"",'Document Workflow'!A7663,"")</f>
        <v/>
      </c>
    </row>
    <row r="7665" spans="1:1">
      <c r="A7665" s="7" t="str">
        <f>IF('Document Workflow'!A7664&lt;&gt;"",'Document Workflow'!A7664,"")</f>
        <v/>
      </c>
    </row>
    <row r="7666" spans="1:1">
      <c r="A7666" s="7" t="str">
        <f>IF('Document Workflow'!A7665&lt;&gt;"",'Document Workflow'!A7665,"")</f>
        <v/>
      </c>
    </row>
    <row r="7667" spans="1:1">
      <c r="A7667" s="7" t="str">
        <f>IF('Document Workflow'!A7666&lt;&gt;"",'Document Workflow'!A7666,"")</f>
        <v/>
      </c>
    </row>
    <row r="7668" spans="1:1">
      <c r="A7668" s="7" t="str">
        <f>IF('Document Workflow'!A7667&lt;&gt;"",'Document Workflow'!A7667,"")</f>
        <v/>
      </c>
    </row>
    <row r="7669" spans="1:1">
      <c r="A7669" s="7" t="str">
        <f>IF('Document Workflow'!A7668&lt;&gt;"",'Document Workflow'!A7668,"")</f>
        <v/>
      </c>
    </row>
    <row r="7670" spans="1:1">
      <c r="A7670" s="7" t="str">
        <f>IF('Document Workflow'!A7669&lt;&gt;"",'Document Workflow'!A7669,"")</f>
        <v/>
      </c>
    </row>
    <row r="7671" spans="1:1">
      <c r="A7671" s="7" t="str">
        <f>IF('Document Workflow'!A7670&lt;&gt;"",'Document Workflow'!A7670,"")</f>
        <v/>
      </c>
    </row>
    <row r="7672" spans="1:1">
      <c r="A7672" s="7" t="str">
        <f>IF('Document Workflow'!A7671&lt;&gt;"",'Document Workflow'!A7671,"")</f>
        <v/>
      </c>
    </row>
    <row r="7673" spans="1:1">
      <c r="A7673" s="7" t="str">
        <f>IF('Document Workflow'!A7672&lt;&gt;"",'Document Workflow'!A7672,"")</f>
        <v/>
      </c>
    </row>
    <row r="7674" spans="1:1">
      <c r="A7674" s="7" t="str">
        <f>IF('Document Workflow'!A7673&lt;&gt;"",'Document Workflow'!A7673,"")</f>
        <v/>
      </c>
    </row>
    <row r="7675" spans="1:1">
      <c r="A7675" s="7" t="str">
        <f>IF('Document Workflow'!A7674&lt;&gt;"",'Document Workflow'!A7674,"")</f>
        <v/>
      </c>
    </row>
    <row r="7676" spans="1:1">
      <c r="A7676" s="7" t="str">
        <f>IF('Document Workflow'!A7675&lt;&gt;"",'Document Workflow'!A7675,"")</f>
        <v/>
      </c>
    </row>
    <row r="7677" spans="1:1">
      <c r="A7677" s="7" t="str">
        <f>IF('Document Workflow'!A7676&lt;&gt;"",'Document Workflow'!A7676,"")</f>
        <v/>
      </c>
    </row>
    <row r="7678" spans="1:1">
      <c r="A7678" s="7" t="str">
        <f>IF('Document Workflow'!A7677&lt;&gt;"",'Document Workflow'!A7677,"")</f>
        <v/>
      </c>
    </row>
    <row r="7679" spans="1:1">
      <c r="A7679" s="7" t="str">
        <f>IF('Document Workflow'!A7678&lt;&gt;"",'Document Workflow'!A7678,"")</f>
        <v/>
      </c>
    </row>
    <row r="7680" spans="1:1">
      <c r="A7680" s="7" t="str">
        <f>IF('Document Workflow'!A7679&lt;&gt;"",'Document Workflow'!A7679,"")</f>
        <v/>
      </c>
    </row>
    <row r="7681" spans="1:1">
      <c r="A7681" s="7" t="str">
        <f>IF('Document Workflow'!A7680&lt;&gt;"",'Document Workflow'!A7680,"")</f>
        <v/>
      </c>
    </row>
    <row r="7682" spans="1:1">
      <c r="A7682" s="7" t="str">
        <f>IF('Document Workflow'!A7681&lt;&gt;"",'Document Workflow'!A7681,"")</f>
        <v/>
      </c>
    </row>
    <row r="7683" spans="1:1">
      <c r="A7683" s="7" t="str">
        <f>IF('Document Workflow'!A7682&lt;&gt;"",'Document Workflow'!A7682,"")</f>
        <v/>
      </c>
    </row>
    <row r="7684" spans="1:1">
      <c r="A7684" s="7" t="str">
        <f>IF('Document Workflow'!A7683&lt;&gt;"",'Document Workflow'!A7683,"")</f>
        <v/>
      </c>
    </row>
    <row r="7685" spans="1:1">
      <c r="A7685" s="7" t="str">
        <f>IF('Document Workflow'!A7684&lt;&gt;"",'Document Workflow'!A7684,"")</f>
        <v/>
      </c>
    </row>
    <row r="7686" spans="1:1">
      <c r="A7686" s="7" t="str">
        <f>IF('Document Workflow'!A7685&lt;&gt;"",'Document Workflow'!A7685,"")</f>
        <v/>
      </c>
    </row>
    <row r="7687" spans="1:1">
      <c r="A7687" s="7" t="str">
        <f>IF('Document Workflow'!A7686&lt;&gt;"",'Document Workflow'!A7686,"")</f>
        <v/>
      </c>
    </row>
    <row r="7688" spans="1:1">
      <c r="A7688" s="7" t="str">
        <f>IF('Document Workflow'!A7687&lt;&gt;"",'Document Workflow'!A7687,"")</f>
        <v/>
      </c>
    </row>
    <row r="7689" spans="1:1">
      <c r="A7689" s="7" t="str">
        <f>IF('Document Workflow'!A7688&lt;&gt;"",'Document Workflow'!A7688,"")</f>
        <v/>
      </c>
    </row>
    <row r="7690" spans="1:1">
      <c r="A7690" s="7" t="str">
        <f>IF('Document Workflow'!A7689&lt;&gt;"",'Document Workflow'!A7689,"")</f>
        <v/>
      </c>
    </row>
    <row r="7691" spans="1:1">
      <c r="A7691" s="7" t="str">
        <f>IF('Document Workflow'!A7690&lt;&gt;"",'Document Workflow'!A7690,"")</f>
        <v/>
      </c>
    </row>
    <row r="7692" spans="1:1">
      <c r="A7692" s="7" t="str">
        <f>IF('Document Workflow'!A7691&lt;&gt;"",'Document Workflow'!A7691,"")</f>
        <v/>
      </c>
    </row>
    <row r="7693" spans="1:1">
      <c r="A7693" s="7" t="str">
        <f>IF('Document Workflow'!A7692&lt;&gt;"",'Document Workflow'!A7692,"")</f>
        <v/>
      </c>
    </row>
    <row r="7694" spans="1:1">
      <c r="A7694" s="7" t="str">
        <f>IF('Document Workflow'!A7693&lt;&gt;"",'Document Workflow'!A7693,"")</f>
        <v/>
      </c>
    </row>
    <row r="7695" spans="1:1">
      <c r="A7695" s="7" t="str">
        <f>IF('Document Workflow'!A7694&lt;&gt;"",'Document Workflow'!A7694,"")</f>
        <v/>
      </c>
    </row>
    <row r="7696" spans="1:1">
      <c r="A7696" s="7" t="str">
        <f>IF('Document Workflow'!A7695&lt;&gt;"",'Document Workflow'!A7695,"")</f>
        <v/>
      </c>
    </row>
    <row r="7697" spans="1:1">
      <c r="A7697" s="7" t="str">
        <f>IF('Document Workflow'!A7696&lt;&gt;"",'Document Workflow'!A7696,"")</f>
        <v/>
      </c>
    </row>
    <row r="7698" spans="1:1">
      <c r="A7698" s="7" t="str">
        <f>IF('Document Workflow'!A7697&lt;&gt;"",'Document Workflow'!A7697,"")</f>
        <v/>
      </c>
    </row>
    <row r="7699" spans="1:1">
      <c r="A7699" s="7" t="str">
        <f>IF('Document Workflow'!A7698&lt;&gt;"",'Document Workflow'!A7698,"")</f>
        <v/>
      </c>
    </row>
    <row r="7700" spans="1:1">
      <c r="A7700" s="7" t="str">
        <f>IF('Document Workflow'!A7699&lt;&gt;"",'Document Workflow'!A7699,"")</f>
        <v/>
      </c>
    </row>
    <row r="7701" spans="1:1">
      <c r="A7701" s="7" t="str">
        <f>IF('Document Workflow'!A7700&lt;&gt;"",'Document Workflow'!A7700,"")</f>
        <v/>
      </c>
    </row>
    <row r="7702" spans="1:1">
      <c r="A7702" s="7" t="str">
        <f>IF('Document Workflow'!A7701&lt;&gt;"",'Document Workflow'!A7701,"")</f>
        <v/>
      </c>
    </row>
    <row r="7703" spans="1:1">
      <c r="A7703" s="7" t="str">
        <f>IF('Document Workflow'!A7702&lt;&gt;"",'Document Workflow'!A7702,"")</f>
        <v/>
      </c>
    </row>
    <row r="7704" spans="1:1">
      <c r="A7704" s="7" t="str">
        <f>IF('Document Workflow'!A7703&lt;&gt;"",'Document Workflow'!A7703,"")</f>
        <v/>
      </c>
    </row>
    <row r="7705" spans="1:1">
      <c r="A7705" s="7" t="str">
        <f>IF('Document Workflow'!A7704&lt;&gt;"",'Document Workflow'!A7704,"")</f>
        <v/>
      </c>
    </row>
    <row r="7706" spans="1:1">
      <c r="A7706" s="7" t="str">
        <f>IF('Document Workflow'!A7705&lt;&gt;"",'Document Workflow'!A7705,"")</f>
        <v/>
      </c>
    </row>
    <row r="7707" spans="1:1">
      <c r="A7707" s="7" t="str">
        <f>IF('Document Workflow'!A7706&lt;&gt;"",'Document Workflow'!A7706,"")</f>
        <v/>
      </c>
    </row>
    <row r="7708" spans="1:1">
      <c r="A7708" s="7" t="str">
        <f>IF('Document Workflow'!A7707&lt;&gt;"",'Document Workflow'!A7707,"")</f>
        <v/>
      </c>
    </row>
    <row r="7709" spans="1:1">
      <c r="A7709" s="7" t="str">
        <f>IF('Document Workflow'!A7708&lt;&gt;"",'Document Workflow'!A7708,"")</f>
        <v/>
      </c>
    </row>
    <row r="7710" spans="1:1">
      <c r="A7710" s="7" t="str">
        <f>IF('Document Workflow'!A7709&lt;&gt;"",'Document Workflow'!A7709,"")</f>
        <v/>
      </c>
    </row>
    <row r="7711" spans="1:1">
      <c r="A7711" s="7" t="str">
        <f>IF('Document Workflow'!A7710&lt;&gt;"",'Document Workflow'!A7710,"")</f>
        <v/>
      </c>
    </row>
    <row r="7712" spans="1:1">
      <c r="A7712" s="7" t="str">
        <f>IF('Document Workflow'!A7711&lt;&gt;"",'Document Workflow'!A7711,"")</f>
        <v/>
      </c>
    </row>
    <row r="7713" spans="1:1">
      <c r="A7713" s="7" t="str">
        <f>IF('Document Workflow'!A7712&lt;&gt;"",'Document Workflow'!A7712,"")</f>
        <v/>
      </c>
    </row>
    <row r="7714" spans="1:1">
      <c r="A7714" s="7" t="str">
        <f>IF('Document Workflow'!A7713&lt;&gt;"",'Document Workflow'!A7713,"")</f>
        <v/>
      </c>
    </row>
    <row r="7715" spans="1:1">
      <c r="A7715" s="7" t="str">
        <f>IF('Document Workflow'!A7714&lt;&gt;"",'Document Workflow'!A7714,"")</f>
        <v/>
      </c>
    </row>
    <row r="7716" spans="1:1">
      <c r="A7716" s="7" t="str">
        <f>IF('Document Workflow'!A7715&lt;&gt;"",'Document Workflow'!A7715,"")</f>
        <v/>
      </c>
    </row>
    <row r="7717" spans="1:1">
      <c r="A7717" s="7" t="str">
        <f>IF('Document Workflow'!A7716&lt;&gt;"",'Document Workflow'!A7716,"")</f>
        <v/>
      </c>
    </row>
    <row r="7718" spans="1:1">
      <c r="A7718" s="7" t="str">
        <f>IF('Document Workflow'!A7717&lt;&gt;"",'Document Workflow'!A7717,"")</f>
        <v/>
      </c>
    </row>
    <row r="7719" spans="1:1">
      <c r="A7719" s="7" t="str">
        <f>IF('Document Workflow'!A7718&lt;&gt;"",'Document Workflow'!A7718,"")</f>
        <v/>
      </c>
    </row>
    <row r="7720" spans="1:1">
      <c r="A7720" s="7" t="str">
        <f>IF('Document Workflow'!A7719&lt;&gt;"",'Document Workflow'!A7719,"")</f>
        <v/>
      </c>
    </row>
    <row r="7721" spans="1:1">
      <c r="A7721" s="7" t="str">
        <f>IF('Document Workflow'!A7720&lt;&gt;"",'Document Workflow'!A7720,"")</f>
        <v/>
      </c>
    </row>
    <row r="7722" spans="1:1">
      <c r="A7722" s="7" t="str">
        <f>IF('Document Workflow'!A7721&lt;&gt;"",'Document Workflow'!A7721,"")</f>
        <v/>
      </c>
    </row>
    <row r="7723" spans="1:1">
      <c r="A7723" s="7" t="str">
        <f>IF('Document Workflow'!A7722&lt;&gt;"",'Document Workflow'!A7722,"")</f>
        <v/>
      </c>
    </row>
    <row r="7724" spans="1:1">
      <c r="A7724" s="7" t="str">
        <f>IF('Document Workflow'!A7723&lt;&gt;"",'Document Workflow'!A7723,"")</f>
        <v/>
      </c>
    </row>
    <row r="7725" spans="1:1">
      <c r="A7725" s="7" t="str">
        <f>IF('Document Workflow'!A7724&lt;&gt;"",'Document Workflow'!A7724,"")</f>
        <v/>
      </c>
    </row>
    <row r="7726" spans="1:1">
      <c r="A7726" s="7" t="str">
        <f>IF('Document Workflow'!A7725&lt;&gt;"",'Document Workflow'!A7725,"")</f>
        <v/>
      </c>
    </row>
    <row r="7727" spans="1:1">
      <c r="A7727" s="7" t="str">
        <f>IF('Document Workflow'!A7726&lt;&gt;"",'Document Workflow'!A7726,"")</f>
        <v/>
      </c>
    </row>
    <row r="7728" spans="1:1">
      <c r="A7728" s="7" t="str">
        <f>IF('Document Workflow'!A7727&lt;&gt;"",'Document Workflow'!A7727,"")</f>
        <v/>
      </c>
    </row>
    <row r="7729" spans="1:1">
      <c r="A7729" s="7" t="str">
        <f>IF('Document Workflow'!A7728&lt;&gt;"",'Document Workflow'!A7728,"")</f>
        <v/>
      </c>
    </row>
    <row r="7730" spans="1:1">
      <c r="A7730" s="7" t="str">
        <f>IF('Document Workflow'!A7729&lt;&gt;"",'Document Workflow'!A7729,"")</f>
        <v/>
      </c>
    </row>
    <row r="7731" spans="1:1">
      <c r="A7731" s="7" t="str">
        <f>IF('Document Workflow'!A7730&lt;&gt;"",'Document Workflow'!A7730,"")</f>
        <v/>
      </c>
    </row>
    <row r="7732" spans="1:1">
      <c r="A7732" s="7" t="str">
        <f>IF('Document Workflow'!A7731&lt;&gt;"",'Document Workflow'!A7731,"")</f>
        <v/>
      </c>
    </row>
    <row r="7733" spans="1:1">
      <c r="A7733" s="7" t="str">
        <f>IF('Document Workflow'!A7732&lt;&gt;"",'Document Workflow'!A7732,"")</f>
        <v/>
      </c>
    </row>
    <row r="7734" spans="1:1">
      <c r="A7734" s="7" t="str">
        <f>IF('Document Workflow'!A7733&lt;&gt;"",'Document Workflow'!A7733,"")</f>
        <v/>
      </c>
    </row>
    <row r="7735" spans="1:1">
      <c r="A7735" s="7" t="str">
        <f>IF('Document Workflow'!A7734&lt;&gt;"",'Document Workflow'!A7734,"")</f>
        <v/>
      </c>
    </row>
    <row r="7736" spans="1:1">
      <c r="A7736" s="7" t="str">
        <f>IF('Document Workflow'!A7735&lt;&gt;"",'Document Workflow'!A7735,"")</f>
        <v/>
      </c>
    </row>
    <row r="7737" spans="1:1">
      <c r="A7737" s="7" t="str">
        <f>IF('Document Workflow'!A7736&lt;&gt;"",'Document Workflow'!A7736,"")</f>
        <v/>
      </c>
    </row>
    <row r="7738" spans="1:1">
      <c r="A7738" s="7" t="str">
        <f>IF('Document Workflow'!A7737&lt;&gt;"",'Document Workflow'!A7737,"")</f>
        <v/>
      </c>
    </row>
    <row r="7739" spans="1:1">
      <c r="A7739" s="7" t="str">
        <f>IF('Document Workflow'!A7738&lt;&gt;"",'Document Workflow'!A7738,"")</f>
        <v/>
      </c>
    </row>
    <row r="7740" spans="1:1">
      <c r="A7740" s="7" t="str">
        <f>IF('Document Workflow'!A7739&lt;&gt;"",'Document Workflow'!A7739,"")</f>
        <v/>
      </c>
    </row>
    <row r="7741" spans="1:1">
      <c r="A7741" s="7" t="str">
        <f>IF('Document Workflow'!A7740&lt;&gt;"",'Document Workflow'!A7740,"")</f>
        <v/>
      </c>
    </row>
    <row r="7742" spans="1:1">
      <c r="A7742" s="7" t="str">
        <f>IF('Document Workflow'!A7741&lt;&gt;"",'Document Workflow'!A7741,"")</f>
        <v/>
      </c>
    </row>
    <row r="7743" spans="1:1">
      <c r="A7743" s="7" t="str">
        <f>IF('Document Workflow'!A7742&lt;&gt;"",'Document Workflow'!A7742,"")</f>
        <v/>
      </c>
    </row>
    <row r="7744" spans="1:1">
      <c r="A7744" s="7" t="str">
        <f>IF('Document Workflow'!A7743&lt;&gt;"",'Document Workflow'!A7743,"")</f>
        <v/>
      </c>
    </row>
    <row r="7745" spans="1:1">
      <c r="A7745" s="7" t="str">
        <f>IF('Document Workflow'!A7744&lt;&gt;"",'Document Workflow'!A7744,"")</f>
        <v/>
      </c>
    </row>
    <row r="7746" spans="1:1">
      <c r="A7746" s="7" t="str">
        <f>IF('Document Workflow'!A7745&lt;&gt;"",'Document Workflow'!A7745,"")</f>
        <v/>
      </c>
    </row>
    <row r="7747" spans="1:1">
      <c r="A7747" s="7" t="str">
        <f>IF('Document Workflow'!A7746&lt;&gt;"",'Document Workflow'!A7746,"")</f>
        <v/>
      </c>
    </row>
    <row r="7748" spans="1:1">
      <c r="A7748" s="7" t="str">
        <f>IF('Document Workflow'!A7747&lt;&gt;"",'Document Workflow'!A7747,"")</f>
        <v/>
      </c>
    </row>
    <row r="7749" spans="1:1">
      <c r="A7749" s="7" t="str">
        <f>IF('Document Workflow'!A7748&lt;&gt;"",'Document Workflow'!A7748,"")</f>
        <v/>
      </c>
    </row>
    <row r="7750" spans="1:1">
      <c r="A7750" s="7" t="str">
        <f>IF('Document Workflow'!A7749&lt;&gt;"",'Document Workflow'!A7749,"")</f>
        <v/>
      </c>
    </row>
    <row r="7751" spans="1:1">
      <c r="A7751" s="7" t="str">
        <f>IF('Document Workflow'!A7750&lt;&gt;"",'Document Workflow'!A7750,"")</f>
        <v/>
      </c>
    </row>
    <row r="7752" spans="1:1">
      <c r="A7752" s="7" t="str">
        <f>IF('Document Workflow'!A7751&lt;&gt;"",'Document Workflow'!A7751,"")</f>
        <v/>
      </c>
    </row>
    <row r="7753" spans="1:1">
      <c r="A7753" s="7" t="str">
        <f>IF('Document Workflow'!A7752&lt;&gt;"",'Document Workflow'!A7752,"")</f>
        <v/>
      </c>
    </row>
    <row r="7754" spans="1:1">
      <c r="A7754" s="7" t="str">
        <f>IF('Document Workflow'!A7753&lt;&gt;"",'Document Workflow'!A7753,"")</f>
        <v/>
      </c>
    </row>
    <row r="7755" spans="1:1">
      <c r="A7755" s="7" t="str">
        <f>IF('Document Workflow'!A7754&lt;&gt;"",'Document Workflow'!A7754,"")</f>
        <v/>
      </c>
    </row>
    <row r="7756" spans="1:1">
      <c r="A7756" s="7" t="str">
        <f>IF('Document Workflow'!A7755&lt;&gt;"",'Document Workflow'!A7755,"")</f>
        <v/>
      </c>
    </row>
    <row r="7757" spans="1:1">
      <c r="A7757" s="7" t="str">
        <f>IF('Document Workflow'!A7756&lt;&gt;"",'Document Workflow'!A7756,"")</f>
        <v/>
      </c>
    </row>
    <row r="7758" spans="1:1">
      <c r="A7758" s="7" t="str">
        <f>IF('Document Workflow'!A7757&lt;&gt;"",'Document Workflow'!A7757,"")</f>
        <v/>
      </c>
    </row>
    <row r="7759" spans="1:1">
      <c r="A7759" s="7" t="str">
        <f>IF('Document Workflow'!A7758&lt;&gt;"",'Document Workflow'!A7758,"")</f>
        <v/>
      </c>
    </row>
    <row r="7760" spans="1:1">
      <c r="A7760" s="7" t="str">
        <f>IF('Document Workflow'!A7759&lt;&gt;"",'Document Workflow'!A7759,"")</f>
        <v/>
      </c>
    </row>
    <row r="7761" spans="1:1">
      <c r="A7761" s="7" t="str">
        <f>IF('Document Workflow'!A7760&lt;&gt;"",'Document Workflow'!A7760,"")</f>
        <v/>
      </c>
    </row>
    <row r="7762" spans="1:1">
      <c r="A7762" s="7" t="str">
        <f>IF('Document Workflow'!A7761&lt;&gt;"",'Document Workflow'!A7761,"")</f>
        <v/>
      </c>
    </row>
    <row r="7763" spans="1:1">
      <c r="A7763" s="7" t="str">
        <f>IF('Document Workflow'!A7762&lt;&gt;"",'Document Workflow'!A7762,"")</f>
        <v/>
      </c>
    </row>
    <row r="7764" spans="1:1">
      <c r="A7764" s="7" t="str">
        <f>IF('Document Workflow'!A7763&lt;&gt;"",'Document Workflow'!A7763,"")</f>
        <v/>
      </c>
    </row>
    <row r="7765" spans="1:1">
      <c r="A7765" s="7" t="str">
        <f>IF('Document Workflow'!A7764&lt;&gt;"",'Document Workflow'!A7764,"")</f>
        <v/>
      </c>
    </row>
    <row r="7766" spans="1:1">
      <c r="A7766" s="7" t="str">
        <f>IF('Document Workflow'!A7765&lt;&gt;"",'Document Workflow'!A7765,"")</f>
        <v/>
      </c>
    </row>
    <row r="7767" spans="1:1">
      <c r="A7767" s="7" t="str">
        <f>IF('Document Workflow'!A7766&lt;&gt;"",'Document Workflow'!A7766,"")</f>
        <v/>
      </c>
    </row>
    <row r="7768" spans="1:1">
      <c r="A7768" s="7" t="str">
        <f>IF('Document Workflow'!A7767&lt;&gt;"",'Document Workflow'!A7767,"")</f>
        <v/>
      </c>
    </row>
    <row r="7769" spans="1:1">
      <c r="A7769" s="7" t="str">
        <f>IF('Document Workflow'!A7768&lt;&gt;"",'Document Workflow'!A7768,"")</f>
        <v/>
      </c>
    </row>
    <row r="7770" spans="1:1">
      <c r="A7770" s="7" t="str">
        <f>IF('Document Workflow'!A7769&lt;&gt;"",'Document Workflow'!A7769,"")</f>
        <v/>
      </c>
    </row>
    <row r="7771" spans="1:1">
      <c r="A7771" s="7" t="str">
        <f>IF('Document Workflow'!A7770&lt;&gt;"",'Document Workflow'!A7770,"")</f>
        <v/>
      </c>
    </row>
    <row r="7772" spans="1:1">
      <c r="A7772" s="7" t="str">
        <f>IF('Document Workflow'!A7771&lt;&gt;"",'Document Workflow'!A7771,"")</f>
        <v/>
      </c>
    </row>
    <row r="7773" spans="1:1">
      <c r="A7773" s="7" t="str">
        <f>IF('Document Workflow'!A7772&lt;&gt;"",'Document Workflow'!A7772,"")</f>
        <v/>
      </c>
    </row>
    <row r="7774" spans="1:1">
      <c r="A7774" s="7" t="str">
        <f>IF('Document Workflow'!A7773&lt;&gt;"",'Document Workflow'!A7773,"")</f>
        <v/>
      </c>
    </row>
    <row r="7775" spans="1:1">
      <c r="A7775" s="7" t="str">
        <f>IF('Document Workflow'!A7774&lt;&gt;"",'Document Workflow'!A7774,"")</f>
        <v/>
      </c>
    </row>
    <row r="7776" spans="1:1">
      <c r="A7776" s="7" t="str">
        <f>IF('Document Workflow'!A7775&lt;&gt;"",'Document Workflow'!A7775,"")</f>
        <v/>
      </c>
    </row>
    <row r="7777" spans="1:1">
      <c r="A7777" s="7" t="str">
        <f>IF('Document Workflow'!A7776&lt;&gt;"",'Document Workflow'!A7776,"")</f>
        <v/>
      </c>
    </row>
    <row r="7778" spans="1:1">
      <c r="A7778" s="7" t="str">
        <f>IF('Document Workflow'!A7777&lt;&gt;"",'Document Workflow'!A7777,"")</f>
        <v/>
      </c>
    </row>
    <row r="7779" spans="1:1">
      <c r="A7779" s="7" t="str">
        <f>IF('Document Workflow'!A7778&lt;&gt;"",'Document Workflow'!A7778,"")</f>
        <v/>
      </c>
    </row>
    <row r="7780" spans="1:1">
      <c r="A7780" s="7" t="str">
        <f>IF('Document Workflow'!A7779&lt;&gt;"",'Document Workflow'!A7779,"")</f>
        <v/>
      </c>
    </row>
    <row r="7781" spans="1:1">
      <c r="A7781" s="7" t="str">
        <f>IF('Document Workflow'!A7780&lt;&gt;"",'Document Workflow'!A7780,"")</f>
        <v/>
      </c>
    </row>
    <row r="7782" spans="1:1">
      <c r="A7782" s="7" t="str">
        <f>IF('Document Workflow'!A7781&lt;&gt;"",'Document Workflow'!A7781,"")</f>
        <v/>
      </c>
    </row>
    <row r="7783" spans="1:1">
      <c r="A7783" s="7" t="str">
        <f>IF('Document Workflow'!A7782&lt;&gt;"",'Document Workflow'!A7782,"")</f>
        <v/>
      </c>
    </row>
    <row r="7784" spans="1:1">
      <c r="A7784" s="7" t="str">
        <f>IF('Document Workflow'!A7783&lt;&gt;"",'Document Workflow'!A7783,"")</f>
        <v/>
      </c>
    </row>
    <row r="7785" spans="1:1">
      <c r="A7785" s="7" t="str">
        <f>IF('Document Workflow'!A7784&lt;&gt;"",'Document Workflow'!A7784,"")</f>
        <v/>
      </c>
    </row>
    <row r="7786" spans="1:1">
      <c r="A7786" s="7" t="str">
        <f>IF('Document Workflow'!A7785&lt;&gt;"",'Document Workflow'!A7785,"")</f>
        <v/>
      </c>
    </row>
    <row r="7787" spans="1:1">
      <c r="A7787" s="7" t="str">
        <f>IF('Document Workflow'!A7786&lt;&gt;"",'Document Workflow'!A7786,"")</f>
        <v/>
      </c>
    </row>
    <row r="7788" spans="1:1">
      <c r="A7788" s="7" t="str">
        <f>IF('Document Workflow'!A7787&lt;&gt;"",'Document Workflow'!A7787,"")</f>
        <v/>
      </c>
    </row>
    <row r="7789" spans="1:1">
      <c r="A7789" s="7" t="str">
        <f>IF('Document Workflow'!A7788&lt;&gt;"",'Document Workflow'!A7788,"")</f>
        <v/>
      </c>
    </row>
    <row r="7790" spans="1:1">
      <c r="A7790" s="7" t="str">
        <f>IF('Document Workflow'!A7789&lt;&gt;"",'Document Workflow'!A7789,"")</f>
        <v/>
      </c>
    </row>
    <row r="7791" spans="1:1">
      <c r="A7791" s="7" t="str">
        <f>IF('Document Workflow'!A7790&lt;&gt;"",'Document Workflow'!A7790,"")</f>
        <v/>
      </c>
    </row>
    <row r="7792" spans="1:1">
      <c r="A7792" s="7" t="str">
        <f>IF('Document Workflow'!A7791&lt;&gt;"",'Document Workflow'!A7791,"")</f>
        <v/>
      </c>
    </row>
    <row r="7793" spans="1:1">
      <c r="A7793" s="7" t="str">
        <f>IF('Document Workflow'!A7792&lt;&gt;"",'Document Workflow'!A7792,"")</f>
        <v/>
      </c>
    </row>
    <row r="7794" spans="1:1">
      <c r="A7794" s="7" t="str">
        <f>IF('Document Workflow'!A7793&lt;&gt;"",'Document Workflow'!A7793,"")</f>
        <v/>
      </c>
    </row>
    <row r="7795" spans="1:1">
      <c r="A7795" s="7" t="str">
        <f>IF('Document Workflow'!A7794&lt;&gt;"",'Document Workflow'!A7794,"")</f>
        <v/>
      </c>
    </row>
    <row r="7796" spans="1:1">
      <c r="A7796" s="7" t="str">
        <f>IF('Document Workflow'!A7795&lt;&gt;"",'Document Workflow'!A7795,"")</f>
        <v/>
      </c>
    </row>
    <row r="7797" spans="1:1">
      <c r="A7797" s="7" t="str">
        <f>IF('Document Workflow'!A7796&lt;&gt;"",'Document Workflow'!A7796,"")</f>
        <v/>
      </c>
    </row>
    <row r="7798" spans="1:1">
      <c r="A7798" s="7" t="str">
        <f>IF('Document Workflow'!A7797&lt;&gt;"",'Document Workflow'!A7797,"")</f>
        <v/>
      </c>
    </row>
    <row r="7799" spans="1:1">
      <c r="A7799" s="7" t="str">
        <f>IF('Document Workflow'!A7798&lt;&gt;"",'Document Workflow'!A7798,"")</f>
        <v/>
      </c>
    </row>
    <row r="7800" spans="1:1">
      <c r="A7800" s="7" t="str">
        <f>IF('Document Workflow'!A7799&lt;&gt;"",'Document Workflow'!A7799,"")</f>
        <v/>
      </c>
    </row>
    <row r="7801" spans="1:1">
      <c r="A7801" s="7" t="str">
        <f>IF('Document Workflow'!A7800&lt;&gt;"",'Document Workflow'!A7800,"")</f>
        <v/>
      </c>
    </row>
    <row r="7802" spans="1:1">
      <c r="A7802" s="7" t="str">
        <f>IF('Document Workflow'!A7801&lt;&gt;"",'Document Workflow'!A7801,"")</f>
        <v/>
      </c>
    </row>
    <row r="7803" spans="1:1">
      <c r="A7803" s="7" t="str">
        <f>IF('Document Workflow'!A7802&lt;&gt;"",'Document Workflow'!A7802,"")</f>
        <v/>
      </c>
    </row>
    <row r="7804" spans="1:1">
      <c r="A7804" s="7" t="str">
        <f>IF('Document Workflow'!A7803&lt;&gt;"",'Document Workflow'!A7803,"")</f>
        <v/>
      </c>
    </row>
    <row r="7805" spans="1:1">
      <c r="A7805" s="7" t="str">
        <f>IF('Document Workflow'!A7804&lt;&gt;"",'Document Workflow'!A7804,"")</f>
        <v/>
      </c>
    </row>
    <row r="7806" spans="1:1">
      <c r="A7806" s="7" t="str">
        <f>IF('Document Workflow'!A7805&lt;&gt;"",'Document Workflow'!A7805,"")</f>
        <v/>
      </c>
    </row>
    <row r="7807" spans="1:1">
      <c r="A7807" s="7" t="str">
        <f>IF('Document Workflow'!A7806&lt;&gt;"",'Document Workflow'!A7806,"")</f>
        <v/>
      </c>
    </row>
    <row r="7808" spans="1:1">
      <c r="A7808" s="7" t="str">
        <f>IF('Document Workflow'!A7807&lt;&gt;"",'Document Workflow'!A7807,"")</f>
        <v/>
      </c>
    </row>
    <row r="7809" spans="1:1">
      <c r="A7809" s="7" t="str">
        <f>IF('Document Workflow'!A7808&lt;&gt;"",'Document Workflow'!A7808,"")</f>
        <v/>
      </c>
    </row>
    <row r="7810" spans="1:1">
      <c r="A7810" s="7" t="str">
        <f>IF('Document Workflow'!A7809&lt;&gt;"",'Document Workflow'!A7809,"")</f>
        <v/>
      </c>
    </row>
    <row r="7811" spans="1:1">
      <c r="A7811" s="7" t="str">
        <f>IF('Document Workflow'!A7810&lt;&gt;"",'Document Workflow'!A7810,"")</f>
        <v/>
      </c>
    </row>
    <row r="7812" spans="1:1">
      <c r="A7812" s="7" t="str">
        <f>IF('Document Workflow'!A7811&lt;&gt;"",'Document Workflow'!A7811,"")</f>
        <v/>
      </c>
    </row>
    <row r="7813" spans="1:1">
      <c r="A7813" s="7" t="str">
        <f>IF('Document Workflow'!A7812&lt;&gt;"",'Document Workflow'!A7812,"")</f>
        <v/>
      </c>
    </row>
    <row r="7814" spans="1:1">
      <c r="A7814" s="7" t="str">
        <f>IF('Document Workflow'!A7813&lt;&gt;"",'Document Workflow'!A7813,"")</f>
        <v/>
      </c>
    </row>
    <row r="7815" spans="1:1">
      <c r="A7815" s="7" t="str">
        <f>IF('Document Workflow'!A7814&lt;&gt;"",'Document Workflow'!A7814,"")</f>
        <v/>
      </c>
    </row>
    <row r="7816" spans="1:1">
      <c r="A7816" s="7" t="str">
        <f>IF('Document Workflow'!A7815&lt;&gt;"",'Document Workflow'!A7815,"")</f>
        <v/>
      </c>
    </row>
    <row r="7817" spans="1:1">
      <c r="A7817" s="7" t="str">
        <f>IF('Document Workflow'!A7816&lt;&gt;"",'Document Workflow'!A7816,"")</f>
        <v/>
      </c>
    </row>
    <row r="7818" spans="1:1">
      <c r="A7818" s="7" t="str">
        <f>IF('Document Workflow'!A7817&lt;&gt;"",'Document Workflow'!A7817,"")</f>
        <v/>
      </c>
    </row>
    <row r="7819" spans="1:1">
      <c r="A7819" s="7" t="str">
        <f>IF('Document Workflow'!A7818&lt;&gt;"",'Document Workflow'!A7818,"")</f>
        <v/>
      </c>
    </row>
    <row r="7820" spans="1:1">
      <c r="A7820" s="7" t="str">
        <f>IF('Document Workflow'!A7819&lt;&gt;"",'Document Workflow'!A7819,"")</f>
        <v/>
      </c>
    </row>
    <row r="7821" spans="1:1">
      <c r="A7821" s="7" t="str">
        <f>IF('Document Workflow'!A7820&lt;&gt;"",'Document Workflow'!A7820,"")</f>
        <v/>
      </c>
    </row>
    <row r="7822" spans="1:1">
      <c r="A7822" s="7" t="str">
        <f>IF('Document Workflow'!A7821&lt;&gt;"",'Document Workflow'!A7821,"")</f>
        <v/>
      </c>
    </row>
    <row r="7823" spans="1:1">
      <c r="A7823" s="7" t="str">
        <f>IF('Document Workflow'!A7822&lt;&gt;"",'Document Workflow'!A7822,"")</f>
        <v/>
      </c>
    </row>
    <row r="7824" spans="1:1">
      <c r="A7824" s="7" t="str">
        <f>IF('Document Workflow'!A7823&lt;&gt;"",'Document Workflow'!A7823,"")</f>
        <v/>
      </c>
    </row>
    <row r="7825" spans="1:1">
      <c r="A7825" s="7" t="str">
        <f>IF('Document Workflow'!A7824&lt;&gt;"",'Document Workflow'!A7824,"")</f>
        <v/>
      </c>
    </row>
    <row r="7826" spans="1:1">
      <c r="A7826" s="7" t="str">
        <f>IF('Document Workflow'!A7825&lt;&gt;"",'Document Workflow'!A7825,"")</f>
        <v/>
      </c>
    </row>
    <row r="7827" spans="1:1">
      <c r="A7827" s="7" t="str">
        <f>IF('Document Workflow'!A7826&lt;&gt;"",'Document Workflow'!A7826,"")</f>
        <v/>
      </c>
    </row>
    <row r="7828" spans="1:1">
      <c r="A7828" s="7" t="str">
        <f>IF('Document Workflow'!A7827&lt;&gt;"",'Document Workflow'!A7827,"")</f>
        <v/>
      </c>
    </row>
    <row r="7829" spans="1:1">
      <c r="A7829" s="7" t="str">
        <f>IF('Document Workflow'!A7828&lt;&gt;"",'Document Workflow'!A7828,"")</f>
        <v/>
      </c>
    </row>
    <row r="7830" spans="1:1">
      <c r="A7830" s="7" t="str">
        <f>IF('Document Workflow'!A7829&lt;&gt;"",'Document Workflow'!A7829,"")</f>
        <v/>
      </c>
    </row>
    <row r="7831" spans="1:1">
      <c r="A7831" s="7" t="str">
        <f>IF('Document Workflow'!A7830&lt;&gt;"",'Document Workflow'!A7830,"")</f>
        <v/>
      </c>
    </row>
    <row r="7832" spans="1:1">
      <c r="A7832" s="7" t="str">
        <f>IF('Document Workflow'!A7831&lt;&gt;"",'Document Workflow'!A7831,"")</f>
        <v/>
      </c>
    </row>
    <row r="7833" spans="1:1">
      <c r="A7833" s="7" t="str">
        <f>IF('Document Workflow'!A7832&lt;&gt;"",'Document Workflow'!A7832,"")</f>
        <v/>
      </c>
    </row>
    <row r="7834" spans="1:1">
      <c r="A7834" s="7" t="str">
        <f>IF('Document Workflow'!A7833&lt;&gt;"",'Document Workflow'!A7833,"")</f>
        <v/>
      </c>
    </row>
    <row r="7835" spans="1:1">
      <c r="A7835" s="7" t="str">
        <f>IF('Document Workflow'!A7834&lt;&gt;"",'Document Workflow'!A7834,"")</f>
        <v/>
      </c>
    </row>
    <row r="7836" spans="1:1">
      <c r="A7836" s="7" t="str">
        <f>IF('Document Workflow'!A7835&lt;&gt;"",'Document Workflow'!A7835,"")</f>
        <v/>
      </c>
    </row>
    <row r="7837" spans="1:1">
      <c r="A7837" s="7" t="str">
        <f>IF('Document Workflow'!A7836&lt;&gt;"",'Document Workflow'!A7836,"")</f>
        <v/>
      </c>
    </row>
    <row r="7838" spans="1:1">
      <c r="A7838" s="7" t="str">
        <f>IF('Document Workflow'!A7837&lt;&gt;"",'Document Workflow'!A7837,"")</f>
        <v/>
      </c>
    </row>
    <row r="7839" spans="1:1">
      <c r="A7839" s="7" t="str">
        <f>IF('Document Workflow'!A7838&lt;&gt;"",'Document Workflow'!A7838,"")</f>
        <v/>
      </c>
    </row>
    <row r="7840" spans="1:1">
      <c r="A7840" s="7" t="str">
        <f>IF('Document Workflow'!A7839&lt;&gt;"",'Document Workflow'!A7839,"")</f>
        <v/>
      </c>
    </row>
    <row r="7841" spans="1:1">
      <c r="A7841" s="7" t="str">
        <f>IF('Document Workflow'!A7840&lt;&gt;"",'Document Workflow'!A7840,"")</f>
        <v/>
      </c>
    </row>
    <row r="7842" spans="1:1">
      <c r="A7842" s="7" t="str">
        <f>IF('Document Workflow'!A7841&lt;&gt;"",'Document Workflow'!A7841,"")</f>
        <v/>
      </c>
    </row>
    <row r="7843" spans="1:1">
      <c r="A7843" s="7" t="str">
        <f>IF('Document Workflow'!A7842&lt;&gt;"",'Document Workflow'!A7842,"")</f>
        <v/>
      </c>
    </row>
    <row r="7844" spans="1:1">
      <c r="A7844" s="7" t="str">
        <f>IF('Document Workflow'!A7843&lt;&gt;"",'Document Workflow'!A7843,"")</f>
        <v/>
      </c>
    </row>
    <row r="7845" spans="1:1">
      <c r="A7845" s="7" t="str">
        <f>IF('Document Workflow'!A7844&lt;&gt;"",'Document Workflow'!A7844,"")</f>
        <v/>
      </c>
    </row>
    <row r="7846" spans="1:1">
      <c r="A7846" s="7" t="str">
        <f>IF('Document Workflow'!A7845&lt;&gt;"",'Document Workflow'!A7845,"")</f>
        <v/>
      </c>
    </row>
    <row r="7847" spans="1:1">
      <c r="A7847" s="7" t="str">
        <f>IF('Document Workflow'!A7846&lt;&gt;"",'Document Workflow'!A7846,"")</f>
        <v/>
      </c>
    </row>
    <row r="7848" spans="1:1">
      <c r="A7848" s="7" t="str">
        <f>IF('Document Workflow'!A7847&lt;&gt;"",'Document Workflow'!A7847,"")</f>
        <v/>
      </c>
    </row>
    <row r="7849" spans="1:1">
      <c r="A7849" s="7" t="str">
        <f>IF('Document Workflow'!A7848&lt;&gt;"",'Document Workflow'!A7848,"")</f>
        <v/>
      </c>
    </row>
    <row r="7850" spans="1:1">
      <c r="A7850" s="7" t="str">
        <f>IF('Document Workflow'!A7849&lt;&gt;"",'Document Workflow'!A7849,"")</f>
        <v/>
      </c>
    </row>
    <row r="7851" spans="1:1">
      <c r="A7851" s="7" t="str">
        <f>IF('Document Workflow'!A7850&lt;&gt;"",'Document Workflow'!A7850,"")</f>
        <v/>
      </c>
    </row>
    <row r="7852" spans="1:1">
      <c r="A7852" s="7" t="str">
        <f>IF('Document Workflow'!A7851&lt;&gt;"",'Document Workflow'!A7851,"")</f>
        <v/>
      </c>
    </row>
    <row r="7853" spans="1:1">
      <c r="A7853" s="7" t="str">
        <f>IF('Document Workflow'!A7852&lt;&gt;"",'Document Workflow'!A7852,"")</f>
        <v/>
      </c>
    </row>
    <row r="7854" spans="1:1">
      <c r="A7854" s="7" t="str">
        <f>IF('Document Workflow'!A7853&lt;&gt;"",'Document Workflow'!A7853,"")</f>
        <v/>
      </c>
    </row>
    <row r="7855" spans="1:1">
      <c r="A7855" s="7" t="str">
        <f>IF('Document Workflow'!A7854&lt;&gt;"",'Document Workflow'!A7854,"")</f>
        <v/>
      </c>
    </row>
    <row r="7856" spans="1:1">
      <c r="A7856" s="7" t="str">
        <f>IF('Document Workflow'!A7855&lt;&gt;"",'Document Workflow'!A7855,"")</f>
        <v/>
      </c>
    </row>
    <row r="7857" spans="1:1">
      <c r="A7857" s="7" t="str">
        <f>IF('Document Workflow'!A7856&lt;&gt;"",'Document Workflow'!A7856,"")</f>
        <v/>
      </c>
    </row>
    <row r="7858" spans="1:1">
      <c r="A7858" s="7" t="str">
        <f>IF('Document Workflow'!A7857&lt;&gt;"",'Document Workflow'!A7857,"")</f>
        <v/>
      </c>
    </row>
    <row r="7859" spans="1:1">
      <c r="A7859" s="7" t="str">
        <f>IF('Document Workflow'!A7858&lt;&gt;"",'Document Workflow'!A7858,"")</f>
        <v/>
      </c>
    </row>
    <row r="7860" spans="1:1">
      <c r="A7860" s="7" t="str">
        <f>IF('Document Workflow'!A7859&lt;&gt;"",'Document Workflow'!A7859,"")</f>
        <v/>
      </c>
    </row>
    <row r="7861" spans="1:1">
      <c r="A7861" s="7" t="str">
        <f>IF('Document Workflow'!A7860&lt;&gt;"",'Document Workflow'!A7860,"")</f>
        <v/>
      </c>
    </row>
    <row r="7862" spans="1:1">
      <c r="A7862" s="7" t="str">
        <f>IF('Document Workflow'!A7861&lt;&gt;"",'Document Workflow'!A7861,"")</f>
        <v/>
      </c>
    </row>
    <row r="7863" spans="1:1">
      <c r="A7863" s="7" t="str">
        <f>IF('Document Workflow'!A7862&lt;&gt;"",'Document Workflow'!A7862,"")</f>
        <v/>
      </c>
    </row>
    <row r="7864" spans="1:1">
      <c r="A7864" s="7" t="str">
        <f>IF('Document Workflow'!A7863&lt;&gt;"",'Document Workflow'!A7863,"")</f>
        <v/>
      </c>
    </row>
    <row r="7865" spans="1:1">
      <c r="A7865" s="7" t="str">
        <f>IF('Document Workflow'!A7864&lt;&gt;"",'Document Workflow'!A7864,"")</f>
        <v/>
      </c>
    </row>
    <row r="7866" spans="1:1">
      <c r="A7866" s="7" t="str">
        <f>IF('Document Workflow'!A7865&lt;&gt;"",'Document Workflow'!A7865,"")</f>
        <v/>
      </c>
    </row>
    <row r="7867" spans="1:1">
      <c r="A7867" s="7" t="str">
        <f>IF('Document Workflow'!A7866&lt;&gt;"",'Document Workflow'!A7866,"")</f>
        <v/>
      </c>
    </row>
    <row r="7868" spans="1:1">
      <c r="A7868" s="7" t="str">
        <f>IF('Document Workflow'!A7867&lt;&gt;"",'Document Workflow'!A7867,"")</f>
        <v/>
      </c>
    </row>
    <row r="7869" spans="1:1">
      <c r="A7869" s="7" t="str">
        <f>IF('Document Workflow'!A7868&lt;&gt;"",'Document Workflow'!A7868,"")</f>
        <v/>
      </c>
    </row>
    <row r="7870" spans="1:1">
      <c r="A7870" s="7" t="str">
        <f>IF('Document Workflow'!A7869&lt;&gt;"",'Document Workflow'!A7869,"")</f>
        <v/>
      </c>
    </row>
    <row r="7871" spans="1:1">
      <c r="A7871" s="7" t="str">
        <f>IF('Document Workflow'!A7870&lt;&gt;"",'Document Workflow'!A7870,"")</f>
        <v/>
      </c>
    </row>
    <row r="7872" spans="1:1">
      <c r="A7872" s="7" t="str">
        <f>IF('Document Workflow'!A7871&lt;&gt;"",'Document Workflow'!A7871,"")</f>
        <v/>
      </c>
    </row>
    <row r="7873" spans="1:1">
      <c r="A7873" s="7" t="str">
        <f>IF('Document Workflow'!A7872&lt;&gt;"",'Document Workflow'!A7872,"")</f>
        <v/>
      </c>
    </row>
    <row r="7874" spans="1:1">
      <c r="A7874" s="7" t="str">
        <f>IF('Document Workflow'!A7873&lt;&gt;"",'Document Workflow'!A7873,"")</f>
        <v/>
      </c>
    </row>
    <row r="7875" spans="1:1">
      <c r="A7875" s="7" t="str">
        <f>IF('Document Workflow'!A7874&lt;&gt;"",'Document Workflow'!A7874,"")</f>
        <v/>
      </c>
    </row>
    <row r="7876" spans="1:1">
      <c r="A7876" s="7" t="str">
        <f>IF('Document Workflow'!A7875&lt;&gt;"",'Document Workflow'!A7875,"")</f>
        <v/>
      </c>
    </row>
    <row r="7877" spans="1:1">
      <c r="A7877" s="7" t="str">
        <f>IF('Document Workflow'!A7876&lt;&gt;"",'Document Workflow'!A7876,"")</f>
        <v/>
      </c>
    </row>
    <row r="7878" spans="1:1">
      <c r="A7878" s="7" t="str">
        <f>IF('Document Workflow'!A7877&lt;&gt;"",'Document Workflow'!A7877,"")</f>
        <v/>
      </c>
    </row>
    <row r="7879" spans="1:1">
      <c r="A7879" s="7" t="str">
        <f>IF('Document Workflow'!A7878&lt;&gt;"",'Document Workflow'!A7878,"")</f>
        <v/>
      </c>
    </row>
    <row r="7880" spans="1:1">
      <c r="A7880" s="7" t="str">
        <f>IF('Document Workflow'!A7879&lt;&gt;"",'Document Workflow'!A7879,"")</f>
        <v/>
      </c>
    </row>
    <row r="7881" spans="1:1">
      <c r="A7881" s="7" t="str">
        <f>IF('Document Workflow'!A7880&lt;&gt;"",'Document Workflow'!A7880,"")</f>
        <v/>
      </c>
    </row>
    <row r="7882" spans="1:1">
      <c r="A7882" s="7" t="str">
        <f>IF('Document Workflow'!A7881&lt;&gt;"",'Document Workflow'!A7881,"")</f>
        <v/>
      </c>
    </row>
    <row r="7883" spans="1:1">
      <c r="A7883" s="7" t="str">
        <f>IF('Document Workflow'!A7882&lt;&gt;"",'Document Workflow'!A7882,"")</f>
        <v/>
      </c>
    </row>
    <row r="7884" spans="1:1">
      <c r="A7884" s="7" t="str">
        <f>IF('Document Workflow'!A7883&lt;&gt;"",'Document Workflow'!A7883,"")</f>
        <v/>
      </c>
    </row>
    <row r="7885" spans="1:1">
      <c r="A7885" s="7" t="str">
        <f>IF('Document Workflow'!A7884&lt;&gt;"",'Document Workflow'!A7884,"")</f>
        <v/>
      </c>
    </row>
    <row r="7886" spans="1:1">
      <c r="A7886" s="7" t="str">
        <f>IF('Document Workflow'!A7885&lt;&gt;"",'Document Workflow'!A7885,"")</f>
        <v/>
      </c>
    </row>
    <row r="7887" spans="1:1">
      <c r="A7887" s="7" t="str">
        <f>IF('Document Workflow'!A7886&lt;&gt;"",'Document Workflow'!A7886,"")</f>
        <v/>
      </c>
    </row>
    <row r="7888" spans="1:1">
      <c r="A7888" s="7" t="str">
        <f>IF('Document Workflow'!A7887&lt;&gt;"",'Document Workflow'!A7887,"")</f>
        <v/>
      </c>
    </row>
    <row r="7889" spans="1:1">
      <c r="A7889" s="7" t="str">
        <f>IF('Document Workflow'!A7888&lt;&gt;"",'Document Workflow'!A7888,"")</f>
        <v/>
      </c>
    </row>
    <row r="7890" spans="1:1">
      <c r="A7890" s="7" t="str">
        <f>IF('Document Workflow'!A7889&lt;&gt;"",'Document Workflow'!A7889,"")</f>
        <v/>
      </c>
    </row>
    <row r="7891" spans="1:1">
      <c r="A7891" s="7" t="str">
        <f>IF('Document Workflow'!A7890&lt;&gt;"",'Document Workflow'!A7890,"")</f>
        <v/>
      </c>
    </row>
    <row r="7892" spans="1:1">
      <c r="A7892" s="7" t="str">
        <f>IF('Document Workflow'!A7891&lt;&gt;"",'Document Workflow'!A7891,"")</f>
        <v/>
      </c>
    </row>
    <row r="7893" spans="1:1">
      <c r="A7893" s="7" t="str">
        <f>IF('Document Workflow'!A7892&lt;&gt;"",'Document Workflow'!A7892,"")</f>
        <v/>
      </c>
    </row>
    <row r="7894" spans="1:1">
      <c r="A7894" s="7" t="str">
        <f>IF('Document Workflow'!A7893&lt;&gt;"",'Document Workflow'!A7893,"")</f>
        <v/>
      </c>
    </row>
    <row r="7895" spans="1:1">
      <c r="A7895" s="7" t="str">
        <f>IF('Document Workflow'!A7894&lt;&gt;"",'Document Workflow'!A7894,"")</f>
        <v/>
      </c>
    </row>
    <row r="7896" spans="1:1">
      <c r="A7896" s="7" t="str">
        <f>IF('Document Workflow'!A7895&lt;&gt;"",'Document Workflow'!A7895,"")</f>
        <v/>
      </c>
    </row>
    <row r="7897" spans="1:1">
      <c r="A7897" s="7" t="str">
        <f>IF('Document Workflow'!A7896&lt;&gt;"",'Document Workflow'!A7896,"")</f>
        <v/>
      </c>
    </row>
    <row r="7898" spans="1:1">
      <c r="A7898" s="7" t="str">
        <f>IF('Document Workflow'!A7897&lt;&gt;"",'Document Workflow'!A7897,"")</f>
        <v/>
      </c>
    </row>
    <row r="7899" spans="1:1">
      <c r="A7899" s="7" t="str">
        <f>IF('Document Workflow'!A7898&lt;&gt;"",'Document Workflow'!A7898,"")</f>
        <v/>
      </c>
    </row>
    <row r="7900" spans="1:1">
      <c r="A7900" s="7" t="str">
        <f>IF('Document Workflow'!A7899&lt;&gt;"",'Document Workflow'!A7899,"")</f>
        <v/>
      </c>
    </row>
    <row r="7901" spans="1:1">
      <c r="A7901" s="7" t="str">
        <f>IF('Document Workflow'!A7900&lt;&gt;"",'Document Workflow'!A7900,"")</f>
        <v/>
      </c>
    </row>
    <row r="7902" spans="1:1">
      <c r="A7902" s="7" t="str">
        <f>IF('Document Workflow'!A7901&lt;&gt;"",'Document Workflow'!A7901,"")</f>
        <v/>
      </c>
    </row>
    <row r="7903" spans="1:1">
      <c r="A7903" s="7" t="str">
        <f>IF('Document Workflow'!A7902&lt;&gt;"",'Document Workflow'!A7902,"")</f>
        <v/>
      </c>
    </row>
    <row r="7904" spans="1:1">
      <c r="A7904" s="7" t="str">
        <f>IF('Document Workflow'!A7903&lt;&gt;"",'Document Workflow'!A7903,"")</f>
        <v/>
      </c>
    </row>
    <row r="7905" spans="1:1">
      <c r="A7905" s="7" t="str">
        <f>IF('Document Workflow'!A7904&lt;&gt;"",'Document Workflow'!A7904,"")</f>
        <v/>
      </c>
    </row>
    <row r="7906" spans="1:1">
      <c r="A7906" s="7" t="str">
        <f>IF('Document Workflow'!A7905&lt;&gt;"",'Document Workflow'!A7905,"")</f>
        <v/>
      </c>
    </row>
    <row r="7907" spans="1:1">
      <c r="A7907" s="7" t="str">
        <f>IF('Document Workflow'!A7906&lt;&gt;"",'Document Workflow'!A7906,"")</f>
        <v/>
      </c>
    </row>
    <row r="7908" spans="1:1">
      <c r="A7908" s="7" t="str">
        <f>IF('Document Workflow'!A7907&lt;&gt;"",'Document Workflow'!A7907,"")</f>
        <v/>
      </c>
    </row>
    <row r="7909" spans="1:1">
      <c r="A7909" s="7" t="str">
        <f>IF('Document Workflow'!A7908&lt;&gt;"",'Document Workflow'!A7908,"")</f>
        <v/>
      </c>
    </row>
    <row r="7910" spans="1:1">
      <c r="A7910" s="7" t="str">
        <f>IF('Document Workflow'!A7909&lt;&gt;"",'Document Workflow'!A7909,"")</f>
        <v/>
      </c>
    </row>
    <row r="7911" spans="1:1">
      <c r="A7911" s="7" t="str">
        <f>IF('Document Workflow'!A7910&lt;&gt;"",'Document Workflow'!A7910,"")</f>
        <v/>
      </c>
    </row>
    <row r="7912" spans="1:1">
      <c r="A7912" s="7" t="str">
        <f>IF('Document Workflow'!A7911&lt;&gt;"",'Document Workflow'!A7911,"")</f>
        <v/>
      </c>
    </row>
    <row r="7913" spans="1:1">
      <c r="A7913" s="7" t="str">
        <f>IF('Document Workflow'!A7912&lt;&gt;"",'Document Workflow'!A7912,"")</f>
        <v/>
      </c>
    </row>
    <row r="7914" spans="1:1">
      <c r="A7914" s="7" t="str">
        <f>IF('Document Workflow'!A7913&lt;&gt;"",'Document Workflow'!A7913,"")</f>
        <v/>
      </c>
    </row>
    <row r="7915" spans="1:1">
      <c r="A7915" s="7" t="str">
        <f>IF('Document Workflow'!A7914&lt;&gt;"",'Document Workflow'!A7914,"")</f>
        <v/>
      </c>
    </row>
    <row r="7916" spans="1:1">
      <c r="A7916" s="7" t="str">
        <f>IF('Document Workflow'!A7915&lt;&gt;"",'Document Workflow'!A7915,"")</f>
        <v/>
      </c>
    </row>
    <row r="7917" spans="1:1">
      <c r="A7917" s="7" t="str">
        <f>IF('Document Workflow'!A7916&lt;&gt;"",'Document Workflow'!A7916,"")</f>
        <v/>
      </c>
    </row>
    <row r="7918" spans="1:1">
      <c r="A7918" s="7" t="str">
        <f>IF('Document Workflow'!A7917&lt;&gt;"",'Document Workflow'!A7917,"")</f>
        <v/>
      </c>
    </row>
    <row r="7919" spans="1:1">
      <c r="A7919" s="7" t="str">
        <f>IF('Document Workflow'!A7918&lt;&gt;"",'Document Workflow'!A7918,"")</f>
        <v/>
      </c>
    </row>
    <row r="7920" spans="1:1">
      <c r="A7920" s="7" t="str">
        <f>IF('Document Workflow'!A7919&lt;&gt;"",'Document Workflow'!A7919,"")</f>
        <v/>
      </c>
    </row>
    <row r="7921" spans="1:1">
      <c r="A7921" s="7" t="str">
        <f>IF('Document Workflow'!A7920&lt;&gt;"",'Document Workflow'!A7920,"")</f>
        <v/>
      </c>
    </row>
    <row r="7922" spans="1:1">
      <c r="A7922" s="7" t="str">
        <f>IF('Document Workflow'!A7921&lt;&gt;"",'Document Workflow'!A7921,"")</f>
        <v/>
      </c>
    </row>
    <row r="7923" spans="1:1">
      <c r="A7923" s="7" t="str">
        <f>IF('Document Workflow'!A7922&lt;&gt;"",'Document Workflow'!A7922,"")</f>
        <v/>
      </c>
    </row>
    <row r="7924" spans="1:1">
      <c r="A7924" s="7" t="str">
        <f>IF('Document Workflow'!A7923&lt;&gt;"",'Document Workflow'!A7923,"")</f>
        <v/>
      </c>
    </row>
    <row r="7925" spans="1:1">
      <c r="A7925" s="7" t="str">
        <f>IF('Document Workflow'!A7924&lt;&gt;"",'Document Workflow'!A7924,"")</f>
        <v/>
      </c>
    </row>
    <row r="7926" spans="1:1">
      <c r="A7926" s="7" t="str">
        <f>IF('Document Workflow'!A7925&lt;&gt;"",'Document Workflow'!A7925,"")</f>
        <v/>
      </c>
    </row>
    <row r="7927" spans="1:1">
      <c r="A7927" s="7" t="str">
        <f>IF('Document Workflow'!A7926&lt;&gt;"",'Document Workflow'!A7926,"")</f>
        <v/>
      </c>
    </row>
    <row r="7928" spans="1:1">
      <c r="A7928" s="7" t="str">
        <f>IF('Document Workflow'!A7927&lt;&gt;"",'Document Workflow'!A7927,"")</f>
        <v/>
      </c>
    </row>
    <row r="7929" spans="1:1">
      <c r="A7929" s="7" t="str">
        <f>IF('Document Workflow'!A7928&lt;&gt;"",'Document Workflow'!A7928,"")</f>
        <v/>
      </c>
    </row>
    <row r="7930" spans="1:1">
      <c r="A7930" s="7" t="str">
        <f>IF('Document Workflow'!A7929&lt;&gt;"",'Document Workflow'!A7929,"")</f>
        <v/>
      </c>
    </row>
    <row r="7931" spans="1:1">
      <c r="A7931" s="7" t="str">
        <f>IF('Document Workflow'!A7930&lt;&gt;"",'Document Workflow'!A7930,"")</f>
        <v/>
      </c>
    </row>
    <row r="7932" spans="1:1">
      <c r="A7932" s="7" t="str">
        <f>IF('Document Workflow'!A7931&lt;&gt;"",'Document Workflow'!A7931,"")</f>
        <v/>
      </c>
    </row>
    <row r="7933" spans="1:1">
      <c r="A7933" s="7" t="str">
        <f>IF('Document Workflow'!A7932&lt;&gt;"",'Document Workflow'!A7932,"")</f>
        <v/>
      </c>
    </row>
    <row r="7934" spans="1:1">
      <c r="A7934" s="7" t="str">
        <f>IF('Document Workflow'!A7933&lt;&gt;"",'Document Workflow'!A7933,"")</f>
        <v/>
      </c>
    </row>
    <row r="7935" spans="1:1">
      <c r="A7935" s="7" t="str">
        <f>IF('Document Workflow'!A7934&lt;&gt;"",'Document Workflow'!A7934,"")</f>
        <v/>
      </c>
    </row>
    <row r="7936" spans="1:1">
      <c r="A7936" s="7" t="str">
        <f>IF('Document Workflow'!A7935&lt;&gt;"",'Document Workflow'!A7935,"")</f>
        <v/>
      </c>
    </row>
    <row r="7937" spans="1:1">
      <c r="A7937" s="7" t="str">
        <f>IF('Document Workflow'!A7936&lt;&gt;"",'Document Workflow'!A7936,"")</f>
        <v/>
      </c>
    </row>
    <row r="7938" spans="1:1">
      <c r="A7938" s="7" t="str">
        <f>IF('Document Workflow'!A7937&lt;&gt;"",'Document Workflow'!A7937,"")</f>
        <v/>
      </c>
    </row>
    <row r="7939" spans="1:1">
      <c r="A7939" s="7" t="str">
        <f>IF('Document Workflow'!A7938&lt;&gt;"",'Document Workflow'!A7938,"")</f>
        <v/>
      </c>
    </row>
    <row r="7940" spans="1:1">
      <c r="A7940" s="7" t="str">
        <f>IF('Document Workflow'!A7939&lt;&gt;"",'Document Workflow'!A7939,"")</f>
        <v/>
      </c>
    </row>
    <row r="7941" spans="1:1">
      <c r="A7941" s="7" t="str">
        <f>IF('Document Workflow'!A7940&lt;&gt;"",'Document Workflow'!A7940,"")</f>
        <v/>
      </c>
    </row>
    <row r="7942" spans="1:1">
      <c r="A7942" s="7" t="str">
        <f>IF('Document Workflow'!A7941&lt;&gt;"",'Document Workflow'!A7941,"")</f>
        <v/>
      </c>
    </row>
    <row r="7943" spans="1:1">
      <c r="A7943" s="7" t="str">
        <f>IF('Document Workflow'!A7942&lt;&gt;"",'Document Workflow'!A7942,"")</f>
        <v/>
      </c>
    </row>
    <row r="7944" spans="1:1">
      <c r="A7944" s="7" t="str">
        <f>IF('Document Workflow'!A7943&lt;&gt;"",'Document Workflow'!A7943,"")</f>
        <v/>
      </c>
    </row>
    <row r="7945" spans="1:1">
      <c r="A7945" s="7" t="str">
        <f>IF('Document Workflow'!A7944&lt;&gt;"",'Document Workflow'!A7944,"")</f>
        <v/>
      </c>
    </row>
    <row r="7946" spans="1:1">
      <c r="A7946" s="7" t="str">
        <f>IF('Document Workflow'!A7945&lt;&gt;"",'Document Workflow'!A7945,"")</f>
        <v/>
      </c>
    </row>
    <row r="7947" spans="1:1">
      <c r="A7947" s="7" t="str">
        <f>IF('Document Workflow'!A7946&lt;&gt;"",'Document Workflow'!A7946,"")</f>
        <v/>
      </c>
    </row>
    <row r="7948" spans="1:1">
      <c r="A7948" s="7" t="str">
        <f>IF('Document Workflow'!A7947&lt;&gt;"",'Document Workflow'!A7947,"")</f>
        <v/>
      </c>
    </row>
    <row r="7949" spans="1:1">
      <c r="A7949" s="7" t="str">
        <f>IF('Document Workflow'!A7948&lt;&gt;"",'Document Workflow'!A7948,"")</f>
        <v/>
      </c>
    </row>
    <row r="7950" spans="1:1">
      <c r="A7950" s="7" t="str">
        <f>IF('Document Workflow'!A7949&lt;&gt;"",'Document Workflow'!A7949,"")</f>
        <v/>
      </c>
    </row>
    <row r="7951" spans="1:1">
      <c r="A7951" s="7" t="str">
        <f>IF('Document Workflow'!A7950&lt;&gt;"",'Document Workflow'!A7950,"")</f>
        <v/>
      </c>
    </row>
    <row r="7952" spans="1:1">
      <c r="A7952" s="7" t="str">
        <f>IF('Document Workflow'!A7951&lt;&gt;"",'Document Workflow'!A7951,"")</f>
        <v/>
      </c>
    </row>
    <row r="7953" spans="1:1">
      <c r="A7953" s="7" t="str">
        <f>IF('Document Workflow'!A7952&lt;&gt;"",'Document Workflow'!A7952,"")</f>
        <v/>
      </c>
    </row>
    <row r="7954" spans="1:1">
      <c r="A7954" s="7" t="str">
        <f>IF('Document Workflow'!A7953&lt;&gt;"",'Document Workflow'!A7953,"")</f>
        <v/>
      </c>
    </row>
    <row r="7955" spans="1:1">
      <c r="A7955" s="7" t="str">
        <f>IF('Document Workflow'!A7954&lt;&gt;"",'Document Workflow'!A7954,"")</f>
        <v/>
      </c>
    </row>
    <row r="7956" spans="1:1">
      <c r="A7956" s="7" t="str">
        <f>IF('Document Workflow'!A7955&lt;&gt;"",'Document Workflow'!A7955,"")</f>
        <v/>
      </c>
    </row>
    <row r="7957" spans="1:1">
      <c r="A7957" s="7" t="str">
        <f>IF('Document Workflow'!A7956&lt;&gt;"",'Document Workflow'!A7956,"")</f>
        <v/>
      </c>
    </row>
    <row r="7958" spans="1:1">
      <c r="A7958" s="7" t="str">
        <f>IF('Document Workflow'!A7957&lt;&gt;"",'Document Workflow'!A7957,"")</f>
        <v/>
      </c>
    </row>
    <row r="7959" spans="1:1">
      <c r="A7959" s="7" t="str">
        <f>IF('Document Workflow'!A7958&lt;&gt;"",'Document Workflow'!A7958,"")</f>
        <v/>
      </c>
    </row>
    <row r="7960" spans="1:1">
      <c r="A7960" s="7" t="str">
        <f>IF('Document Workflow'!A7959&lt;&gt;"",'Document Workflow'!A7959,"")</f>
        <v/>
      </c>
    </row>
    <row r="7961" spans="1:1">
      <c r="A7961" s="7" t="str">
        <f>IF('Document Workflow'!A7960&lt;&gt;"",'Document Workflow'!A7960,"")</f>
        <v/>
      </c>
    </row>
    <row r="7962" spans="1:1">
      <c r="A7962" s="7" t="str">
        <f>IF('Document Workflow'!A7961&lt;&gt;"",'Document Workflow'!A7961,"")</f>
        <v/>
      </c>
    </row>
    <row r="7963" spans="1:1">
      <c r="A7963" s="7" t="str">
        <f>IF('Document Workflow'!A7962&lt;&gt;"",'Document Workflow'!A7962,"")</f>
        <v/>
      </c>
    </row>
    <row r="7964" spans="1:1">
      <c r="A7964" s="7" t="str">
        <f>IF('Document Workflow'!A7963&lt;&gt;"",'Document Workflow'!A7963,"")</f>
        <v/>
      </c>
    </row>
    <row r="7965" spans="1:1">
      <c r="A7965" s="7" t="str">
        <f>IF('Document Workflow'!A7964&lt;&gt;"",'Document Workflow'!A7964,"")</f>
        <v/>
      </c>
    </row>
    <row r="7966" spans="1:1">
      <c r="A7966" s="7" t="str">
        <f>IF('Document Workflow'!A7965&lt;&gt;"",'Document Workflow'!A7965,"")</f>
        <v/>
      </c>
    </row>
    <row r="7967" spans="1:1">
      <c r="A7967" s="7" t="str">
        <f>IF('Document Workflow'!A7966&lt;&gt;"",'Document Workflow'!A7966,"")</f>
        <v/>
      </c>
    </row>
    <row r="7968" spans="1:1">
      <c r="A7968" s="7" t="str">
        <f>IF('Document Workflow'!A7967&lt;&gt;"",'Document Workflow'!A7967,"")</f>
        <v/>
      </c>
    </row>
    <row r="7969" spans="1:1">
      <c r="A7969" s="7" t="str">
        <f>IF('Document Workflow'!A7968&lt;&gt;"",'Document Workflow'!A7968,"")</f>
        <v/>
      </c>
    </row>
    <row r="7970" spans="1:1">
      <c r="A7970" s="7" t="str">
        <f>IF('Document Workflow'!A7969&lt;&gt;"",'Document Workflow'!A7969,"")</f>
        <v/>
      </c>
    </row>
    <row r="7971" spans="1:1">
      <c r="A7971" s="7" t="str">
        <f>IF('Document Workflow'!A7970&lt;&gt;"",'Document Workflow'!A7970,"")</f>
        <v/>
      </c>
    </row>
    <row r="7972" spans="1:1">
      <c r="A7972" s="7" t="str">
        <f>IF('Document Workflow'!A7971&lt;&gt;"",'Document Workflow'!A7971,"")</f>
        <v/>
      </c>
    </row>
    <row r="7973" spans="1:1">
      <c r="A7973" s="7" t="str">
        <f>IF('Document Workflow'!A7972&lt;&gt;"",'Document Workflow'!A7972,"")</f>
        <v/>
      </c>
    </row>
    <row r="7974" spans="1:1">
      <c r="A7974" s="7" t="str">
        <f>IF('Document Workflow'!A7973&lt;&gt;"",'Document Workflow'!A7973,"")</f>
        <v/>
      </c>
    </row>
    <row r="7975" spans="1:1">
      <c r="A7975" s="7" t="str">
        <f>IF('Document Workflow'!A7974&lt;&gt;"",'Document Workflow'!A7974,"")</f>
        <v/>
      </c>
    </row>
    <row r="7976" spans="1:1">
      <c r="A7976" s="7" t="str">
        <f>IF('Document Workflow'!A7975&lt;&gt;"",'Document Workflow'!A7975,"")</f>
        <v/>
      </c>
    </row>
    <row r="7977" spans="1:1">
      <c r="A7977" s="7" t="str">
        <f>IF('Document Workflow'!A7976&lt;&gt;"",'Document Workflow'!A7976,"")</f>
        <v/>
      </c>
    </row>
    <row r="7978" spans="1:1">
      <c r="A7978" s="7" t="str">
        <f>IF('Document Workflow'!A7977&lt;&gt;"",'Document Workflow'!A7977,"")</f>
        <v/>
      </c>
    </row>
    <row r="7979" spans="1:1">
      <c r="A7979" s="7" t="str">
        <f>IF('Document Workflow'!A7978&lt;&gt;"",'Document Workflow'!A7978,"")</f>
        <v/>
      </c>
    </row>
    <row r="7980" spans="1:1">
      <c r="A7980" s="7" t="str">
        <f>IF('Document Workflow'!A7979&lt;&gt;"",'Document Workflow'!A7979,"")</f>
        <v/>
      </c>
    </row>
    <row r="7981" spans="1:1">
      <c r="A7981" s="7" t="str">
        <f>IF('Document Workflow'!A7980&lt;&gt;"",'Document Workflow'!A7980,"")</f>
        <v/>
      </c>
    </row>
    <row r="7982" spans="1:1">
      <c r="A7982" s="7" t="str">
        <f>IF('Document Workflow'!A7981&lt;&gt;"",'Document Workflow'!A7981,"")</f>
        <v/>
      </c>
    </row>
    <row r="7983" spans="1:1">
      <c r="A7983" s="7" t="str">
        <f>IF('Document Workflow'!A7982&lt;&gt;"",'Document Workflow'!A7982,"")</f>
        <v/>
      </c>
    </row>
    <row r="7984" spans="1:1">
      <c r="A7984" s="7" t="str">
        <f>IF('Document Workflow'!A7983&lt;&gt;"",'Document Workflow'!A7983,"")</f>
        <v/>
      </c>
    </row>
    <row r="7985" spans="1:1">
      <c r="A7985" s="7" t="str">
        <f>IF('Document Workflow'!A7984&lt;&gt;"",'Document Workflow'!A7984,"")</f>
        <v/>
      </c>
    </row>
    <row r="7986" spans="1:1">
      <c r="A7986" s="7" t="str">
        <f>IF('Document Workflow'!A7985&lt;&gt;"",'Document Workflow'!A7985,"")</f>
        <v/>
      </c>
    </row>
    <row r="7987" spans="1:1">
      <c r="A7987" s="7" t="str">
        <f>IF('Document Workflow'!A7986&lt;&gt;"",'Document Workflow'!A7986,"")</f>
        <v/>
      </c>
    </row>
    <row r="7988" spans="1:1">
      <c r="A7988" s="7" t="str">
        <f>IF('Document Workflow'!A7987&lt;&gt;"",'Document Workflow'!A7987,"")</f>
        <v/>
      </c>
    </row>
    <row r="7989" spans="1:1">
      <c r="A7989" s="7" t="str">
        <f>IF('Document Workflow'!A7988&lt;&gt;"",'Document Workflow'!A7988,"")</f>
        <v/>
      </c>
    </row>
    <row r="7990" spans="1:1">
      <c r="A7990" s="7" t="str">
        <f>IF('Document Workflow'!A7989&lt;&gt;"",'Document Workflow'!A7989,"")</f>
        <v/>
      </c>
    </row>
    <row r="7991" spans="1:1">
      <c r="A7991" s="7" t="str">
        <f>IF('Document Workflow'!A7990&lt;&gt;"",'Document Workflow'!A7990,"")</f>
        <v/>
      </c>
    </row>
    <row r="7992" spans="1:1">
      <c r="A7992" s="7" t="str">
        <f>IF('Document Workflow'!A7991&lt;&gt;"",'Document Workflow'!A7991,"")</f>
        <v/>
      </c>
    </row>
    <row r="7993" spans="1:1">
      <c r="A7993" s="7" t="str">
        <f>IF('Document Workflow'!A7992&lt;&gt;"",'Document Workflow'!A7992,"")</f>
        <v/>
      </c>
    </row>
    <row r="7994" spans="1:1">
      <c r="A7994" s="7" t="str">
        <f>IF('Document Workflow'!A7993&lt;&gt;"",'Document Workflow'!A7993,"")</f>
        <v/>
      </c>
    </row>
    <row r="7995" spans="1:1">
      <c r="A7995" s="7" t="str">
        <f>IF('Document Workflow'!A7994&lt;&gt;"",'Document Workflow'!A7994,"")</f>
        <v/>
      </c>
    </row>
    <row r="7996" spans="1:1">
      <c r="A7996" s="7" t="str">
        <f>IF('Document Workflow'!A7995&lt;&gt;"",'Document Workflow'!A7995,"")</f>
        <v/>
      </c>
    </row>
    <row r="7997" spans="1:1">
      <c r="A7997" s="7" t="str">
        <f>IF('Document Workflow'!A7996&lt;&gt;"",'Document Workflow'!A7996,"")</f>
        <v/>
      </c>
    </row>
    <row r="7998" spans="1:1">
      <c r="A7998" s="7" t="str">
        <f>IF('Document Workflow'!A7997&lt;&gt;"",'Document Workflow'!A7997,"")</f>
        <v/>
      </c>
    </row>
    <row r="7999" spans="1:1">
      <c r="A7999" s="7" t="str">
        <f>IF('Document Workflow'!A7998&lt;&gt;"",'Document Workflow'!A7998,"")</f>
        <v/>
      </c>
    </row>
    <row r="8000" spans="1:1">
      <c r="A8000" s="7" t="str">
        <f>IF('Document Workflow'!A7999&lt;&gt;"",'Document Workflow'!A7999,"")</f>
        <v/>
      </c>
    </row>
    <row r="8001" spans="1:1">
      <c r="A8001" s="7" t="str">
        <f>IF('Document Workflow'!A8000&lt;&gt;"",'Document Workflow'!A8000,"")</f>
        <v/>
      </c>
    </row>
    <row r="8002" spans="1:1">
      <c r="A8002" s="7" t="str">
        <f>IF('Document Workflow'!A8001&lt;&gt;"",'Document Workflow'!A8001,"")</f>
        <v/>
      </c>
    </row>
    <row r="8003" spans="1:1">
      <c r="A8003" s="7" t="str">
        <f>IF('Document Workflow'!A8002&lt;&gt;"",'Document Workflow'!A8002,"")</f>
        <v/>
      </c>
    </row>
    <row r="8004" spans="1:1">
      <c r="A8004" s="7" t="str">
        <f>IF('Document Workflow'!A8003&lt;&gt;"",'Document Workflow'!A8003,"")</f>
        <v/>
      </c>
    </row>
    <row r="8005" spans="1:1">
      <c r="A8005" s="7" t="str">
        <f>IF('Document Workflow'!A8004&lt;&gt;"",'Document Workflow'!A8004,"")</f>
        <v/>
      </c>
    </row>
    <row r="8006" spans="1:1">
      <c r="A8006" s="7" t="str">
        <f>IF('Document Workflow'!A8005&lt;&gt;"",'Document Workflow'!A8005,"")</f>
        <v/>
      </c>
    </row>
    <row r="8007" spans="1:1">
      <c r="A8007" s="7" t="str">
        <f>IF('Document Workflow'!A8006&lt;&gt;"",'Document Workflow'!A8006,"")</f>
        <v/>
      </c>
    </row>
    <row r="8008" spans="1:1">
      <c r="A8008" s="7" t="str">
        <f>IF('Document Workflow'!A8007&lt;&gt;"",'Document Workflow'!A8007,"")</f>
        <v/>
      </c>
    </row>
    <row r="8009" spans="1:1">
      <c r="A8009" s="7" t="str">
        <f>IF('Document Workflow'!A8008&lt;&gt;"",'Document Workflow'!A8008,"")</f>
        <v/>
      </c>
    </row>
    <row r="8010" spans="1:1">
      <c r="A8010" s="7" t="str">
        <f>IF('Document Workflow'!A8009&lt;&gt;"",'Document Workflow'!A8009,"")</f>
        <v/>
      </c>
    </row>
    <row r="8011" spans="1:1">
      <c r="A8011" s="7" t="str">
        <f>IF('Document Workflow'!A8010&lt;&gt;"",'Document Workflow'!A8010,"")</f>
        <v/>
      </c>
    </row>
    <row r="8012" spans="1:1">
      <c r="A8012" s="7" t="str">
        <f>IF('Document Workflow'!A8011&lt;&gt;"",'Document Workflow'!A8011,"")</f>
        <v/>
      </c>
    </row>
    <row r="8013" spans="1:1">
      <c r="A8013" s="7" t="str">
        <f>IF('Document Workflow'!A8012&lt;&gt;"",'Document Workflow'!A8012,"")</f>
        <v/>
      </c>
    </row>
    <row r="8014" spans="1:1">
      <c r="A8014" s="7" t="str">
        <f>IF('Document Workflow'!A8013&lt;&gt;"",'Document Workflow'!A8013,"")</f>
        <v/>
      </c>
    </row>
    <row r="8015" spans="1:1">
      <c r="A8015" s="7" t="str">
        <f>IF('Document Workflow'!A8014&lt;&gt;"",'Document Workflow'!A8014,"")</f>
        <v/>
      </c>
    </row>
    <row r="8016" spans="1:1">
      <c r="A8016" s="7" t="str">
        <f>IF('Document Workflow'!A8015&lt;&gt;"",'Document Workflow'!A8015,"")</f>
        <v/>
      </c>
    </row>
    <row r="8017" spans="1:1">
      <c r="A8017" s="7" t="str">
        <f>IF('Document Workflow'!A8016&lt;&gt;"",'Document Workflow'!A8016,"")</f>
        <v/>
      </c>
    </row>
    <row r="8018" spans="1:1">
      <c r="A8018" s="7" t="str">
        <f>IF('Document Workflow'!A8017&lt;&gt;"",'Document Workflow'!A8017,"")</f>
        <v/>
      </c>
    </row>
    <row r="8019" spans="1:1">
      <c r="A8019" s="7" t="str">
        <f>IF('Document Workflow'!A8018&lt;&gt;"",'Document Workflow'!A8018,"")</f>
        <v/>
      </c>
    </row>
    <row r="8020" spans="1:1">
      <c r="A8020" s="7" t="str">
        <f>IF('Document Workflow'!A8019&lt;&gt;"",'Document Workflow'!A8019,"")</f>
        <v/>
      </c>
    </row>
    <row r="8021" spans="1:1">
      <c r="A8021" s="7" t="str">
        <f>IF('Document Workflow'!A8020&lt;&gt;"",'Document Workflow'!A8020,"")</f>
        <v/>
      </c>
    </row>
    <row r="8022" spans="1:1">
      <c r="A8022" s="7" t="str">
        <f>IF('Document Workflow'!A8021&lt;&gt;"",'Document Workflow'!A8021,"")</f>
        <v/>
      </c>
    </row>
    <row r="8023" spans="1:1">
      <c r="A8023" s="7" t="str">
        <f>IF('Document Workflow'!A8022&lt;&gt;"",'Document Workflow'!A8022,"")</f>
        <v/>
      </c>
    </row>
    <row r="8024" spans="1:1">
      <c r="A8024" s="7" t="str">
        <f>IF('Document Workflow'!A8023&lt;&gt;"",'Document Workflow'!A8023,"")</f>
        <v/>
      </c>
    </row>
    <row r="8025" spans="1:1">
      <c r="A8025" s="7" t="str">
        <f>IF('Document Workflow'!A8024&lt;&gt;"",'Document Workflow'!A8024,"")</f>
        <v/>
      </c>
    </row>
    <row r="8026" spans="1:1">
      <c r="A8026" s="7" t="str">
        <f>IF('Document Workflow'!A8025&lt;&gt;"",'Document Workflow'!A8025,"")</f>
        <v/>
      </c>
    </row>
    <row r="8027" spans="1:1">
      <c r="A8027" s="7" t="str">
        <f>IF('Document Workflow'!A8026&lt;&gt;"",'Document Workflow'!A8026,"")</f>
        <v/>
      </c>
    </row>
    <row r="8028" spans="1:1">
      <c r="A8028" s="7" t="str">
        <f>IF('Document Workflow'!A8027&lt;&gt;"",'Document Workflow'!A8027,"")</f>
        <v/>
      </c>
    </row>
    <row r="8029" spans="1:1">
      <c r="A8029" s="7" t="str">
        <f>IF('Document Workflow'!A8028&lt;&gt;"",'Document Workflow'!A8028,"")</f>
        <v/>
      </c>
    </row>
    <row r="8030" spans="1:1">
      <c r="A8030" s="7" t="str">
        <f>IF('Document Workflow'!A8029&lt;&gt;"",'Document Workflow'!A8029,"")</f>
        <v/>
      </c>
    </row>
    <row r="8031" spans="1:1">
      <c r="A8031" s="7" t="str">
        <f>IF('Document Workflow'!A8030&lt;&gt;"",'Document Workflow'!A8030,"")</f>
        <v/>
      </c>
    </row>
    <row r="8032" spans="1:1">
      <c r="A8032" s="7" t="str">
        <f>IF('Document Workflow'!A8031&lt;&gt;"",'Document Workflow'!A8031,"")</f>
        <v/>
      </c>
    </row>
    <row r="8033" spans="1:1">
      <c r="A8033" s="7" t="str">
        <f>IF('Document Workflow'!A8032&lt;&gt;"",'Document Workflow'!A8032,"")</f>
        <v/>
      </c>
    </row>
    <row r="8034" spans="1:1">
      <c r="A8034" s="7" t="str">
        <f>IF('Document Workflow'!A8033&lt;&gt;"",'Document Workflow'!A8033,"")</f>
        <v/>
      </c>
    </row>
    <row r="8035" spans="1:1">
      <c r="A8035" s="7" t="str">
        <f>IF('Document Workflow'!A8034&lt;&gt;"",'Document Workflow'!A8034,"")</f>
        <v/>
      </c>
    </row>
    <row r="8036" spans="1:1">
      <c r="A8036" s="7" t="str">
        <f>IF('Document Workflow'!A8035&lt;&gt;"",'Document Workflow'!A8035,"")</f>
        <v/>
      </c>
    </row>
    <row r="8037" spans="1:1">
      <c r="A8037" s="7" t="str">
        <f>IF('Document Workflow'!A8036&lt;&gt;"",'Document Workflow'!A8036,"")</f>
        <v/>
      </c>
    </row>
    <row r="8038" spans="1:1">
      <c r="A8038" s="7" t="str">
        <f>IF('Document Workflow'!A8037&lt;&gt;"",'Document Workflow'!A8037,"")</f>
        <v/>
      </c>
    </row>
    <row r="8039" spans="1:1">
      <c r="A8039" s="7" t="str">
        <f>IF('Document Workflow'!A8038&lt;&gt;"",'Document Workflow'!A8038,"")</f>
        <v/>
      </c>
    </row>
    <row r="8040" spans="1:1">
      <c r="A8040" s="7" t="str">
        <f>IF('Document Workflow'!A8039&lt;&gt;"",'Document Workflow'!A8039,"")</f>
        <v/>
      </c>
    </row>
    <row r="8041" spans="1:1">
      <c r="A8041" s="7" t="str">
        <f>IF('Document Workflow'!A8040&lt;&gt;"",'Document Workflow'!A8040,"")</f>
        <v/>
      </c>
    </row>
    <row r="8042" spans="1:1">
      <c r="A8042" s="7" t="str">
        <f>IF('Document Workflow'!A8041&lt;&gt;"",'Document Workflow'!A8041,"")</f>
        <v/>
      </c>
    </row>
    <row r="8043" spans="1:1">
      <c r="A8043" s="7" t="str">
        <f>IF('Document Workflow'!A8042&lt;&gt;"",'Document Workflow'!A8042,"")</f>
        <v/>
      </c>
    </row>
    <row r="8044" spans="1:1">
      <c r="A8044" s="7" t="str">
        <f>IF('Document Workflow'!A8043&lt;&gt;"",'Document Workflow'!A8043,"")</f>
        <v/>
      </c>
    </row>
    <row r="8045" spans="1:1">
      <c r="A8045" s="7" t="str">
        <f>IF('Document Workflow'!A8044&lt;&gt;"",'Document Workflow'!A8044,"")</f>
        <v/>
      </c>
    </row>
    <row r="8046" spans="1:1">
      <c r="A8046" s="7" t="str">
        <f>IF('Document Workflow'!A8045&lt;&gt;"",'Document Workflow'!A8045,"")</f>
        <v/>
      </c>
    </row>
    <row r="8047" spans="1:1">
      <c r="A8047" s="7" t="str">
        <f>IF('Document Workflow'!A8046&lt;&gt;"",'Document Workflow'!A8046,"")</f>
        <v/>
      </c>
    </row>
    <row r="8048" spans="1:1">
      <c r="A8048" s="7" t="str">
        <f>IF('Document Workflow'!A8047&lt;&gt;"",'Document Workflow'!A8047,"")</f>
        <v/>
      </c>
    </row>
    <row r="8049" spans="1:1">
      <c r="A8049" s="7" t="str">
        <f>IF('Document Workflow'!A8048&lt;&gt;"",'Document Workflow'!A8048,"")</f>
        <v/>
      </c>
    </row>
    <row r="8050" spans="1:1">
      <c r="A8050" s="7" t="str">
        <f>IF('Document Workflow'!A8049&lt;&gt;"",'Document Workflow'!A8049,"")</f>
        <v/>
      </c>
    </row>
    <row r="8051" spans="1:1">
      <c r="A8051" s="7" t="str">
        <f>IF('Document Workflow'!A8050&lt;&gt;"",'Document Workflow'!A8050,"")</f>
        <v/>
      </c>
    </row>
    <row r="8052" spans="1:1">
      <c r="A8052" s="7" t="str">
        <f>IF('Document Workflow'!A8051&lt;&gt;"",'Document Workflow'!A8051,"")</f>
        <v/>
      </c>
    </row>
    <row r="8053" spans="1:1">
      <c r="A8053" s="7" t="str">
        <f>IF('Document Workflow'!A8052&lt;&gt;"",'Document Workflow'!A8052,"")</f>
        <v/>
      </c>
    </row>
    <row r="8054" spans="1:1">
      <c r="A8054" s="7" t="str">
        <f>IF('Document Workflow'!A8053&lt;&gt;"",'Document Workflow'!A8053,"")</f>
        <v/>
      </c>
    </row>
    <row r="8055" spans="1:1">
      <c r="A8055" s="7" t="str">
        <f>IF('Document Workflow'!A8054&lt;&gt;"",'Document Workflow'!A8054,"")</f>
        <v/>
      </c>
    </row>
    <row r="8056" spans="1:1">
      <c r="A8056" s="7" t="str">
        <f>IF('Document Workflow'!A8055&lt;&gt;"",'Document Workflow'!A8055,"")</f>
        <v/>
      </c>
    </row>
    <row r="8057" spans="1:1">
      <c r="A8057" s="7" t="str">
        <f>IF('Document Workflow'!A8056&lt;&gt;"",'Document Workflow'!A8056,"")</f>
        <v/>
      </c>
    </row>
    <row r="8058" spans="1:1">
      <c r="A8058" s="7" t="str">
        <f>IF('Document Workflow'!A8057&lt;&gt;"",'Document Workflow'!A8057,"")</f>
        <v/>
      </c>
    </row>
    <row r="8059" spans="1:1">
      <c r="A8059" s="7" t="str">
        <f>IF('Document Workflow'!A8058&lt;&gt;"",'Document Workflow'!A8058,"")</f>
        <v/>
      </c>
    </row>
    <row r="8060" spans="1:1">
      <c r="A8060" s="7" t="str">
        <f>IF('Document Workflow'!A8059&lt;&gt;"",'Document Workflow'!A8059,"")</f>
        <v/>
      </c>
    </row>
    <row r="8061" spans="1:1">
      <c r="A8061" s="7" t="str">
        <f>IF('Document Workflow'!A8060&lt;&gt;"",'Document Workflow'!A8060,"")</f>
        <v/>
      </c>
    </row>
    <row r="8062" spans="1:1">
      <c r="A8062" s="7" t="str">
        <f>IF('Document Workflow'!A8061&lt;&gt;"",'Document Workflow'!A8061,"")</f>
        <v/>
      </c>
    </row>
    <row r="8063" spans="1:1">
      <c r="A8063" s="7" t="str">
        <f>IF('Document Workflow'!A8062&lt;&gt;"",'Document Workflow'!A8062,"")</f>
        <v/>
      </c>
    </row>
    <row r="8064" spans="1:1">
      <c r="A8064" s="7" t="str">
        <f>IF('Document Workflow'!A8063&lt;&gt;"",'Document Workflow'!A8063,"")</f>
        <v/>
      </c>
    </row>
    <row r="8065" spans="1:1">
      <c r="A8065" s="7" t="str">
        <f>IF('Document Workflow'!A8064&lt;&gt;"",'Document Workflow'!A8064,"")</f>
        <v/>
      </c>
    </row>
    <row r="8066" spans="1:1">
      <c r="A8066" s="7" t="str">
        <f>IF('Document Workflow'!A8065&lt;&gt;"",'Document Workflow'!A8065,"")</f>
        <v/>
      </c>
    </row>
    <row r="8067" spans="1:1">
      <c r="A8067" s="7" t="str">
        <f>IF('Document Workflow'!A8066&lt;&gt;"",'Document Workflow'!A8066,"")</f>
        <v/>
      </c>
    </row>
    <row r="8068" spans="1:1">
      <c r="A8068" s="7" t="str">
        <f>IF('Document Workflow'!A8067&lt;&gt;"",'Document Workflow'!A8067,"")</f>
        <v/>
      </c>
    </row>
    <row r="8069" spans="1:1">
      <c r="A8069" s="7" t="str">
        <f>IF('Document Workflow'!A8068&lt;&gt;"",'Document Workflow'!A8068,"")</f>
        <v/>
      </c>
    </row>
    <row r="8070" spans="1:1">
      <c r="A8070" s="7" t="str">
        <f>IF('Document Workflow'!A8069&lt;&gt;"",'Document Workflow'!A8069,"")</f>
        <v/>
      </c>
    </row>
    <row r="8071" spans="1:1">
      <c r="A8071" s="7" t="str">
        <f>IF('Document Workflow'!A8070&lt;&gt;"",'Document Workflow'!A8070,"")</f>
        <v/>
      </c>
    </row>
    <row r="8072" spans="1:1">
      <c r="A8072" s="7" t="str">
        <f>IF('Document Workflow'!A8071&lt;&gt;"",'Document Workflow'!A8071,"")</f>
        <v/>
      </c>
    </row>
    <row r="8073" spans="1:1">
      <c r="A8073" s="7" t="str">
        <f>IF('Document Workflow'!A8072&lt;&gt;"",'Document Workflow'!A8072,"")</f>
        <v/>
      </c>
    </row>
    <row r="8074" spans="1:1">
      <c r="A8074" s="7" t="str">
        <f>IF('Document Workflow'!A8073&lt;&gt;"",'Document Workflow'!A8073,"")</f>
        <v/>
      </c>
    </row>
    <row r="8075" spans="1:1">
      <c r="A8075" s="7" t="str">
        <f>IF('Document Workflow'!A8074&lt;&gt;"",'Document Workflow'!A8074,"")</f>
        <v/>
      </c>
    </row>
    <row r="8076" spans="1:1">
      <c r="A8076" s="7" t="str">
        <f>IF('Document Workflow'!A8075&lt;&gt;"",'Document Workflow'!A8075,"")</f>
        <v/>
      </c>
    </row>
    <row r="8077" spans="1:1">
      <c r="A8077" s="7" t="str">
        <f>IF('Document Workflow'!A8076&lt;&gt;"",'Document Workflow'!A8076,"")</f>
        <v/>
      </c>
    </row>
    <row r="8078" spans="1:1">
      <c r="A8078" s="7" t="str">
        <f>IF('Document Workflow'!A8077&lt;&gt;"",'Document Workflow'!A8077,"")</f>
        <v/>
      </c>
    </row>
    <row r="8079" spans="1:1">
      <c r="A8079" s="7" t="str">
        <f>IF('Document Workflow'!A8078&lt;&gt;"",'Document Workflow'!A8078,"")</f>
        <v/>
      </c>
    </row>
    <row r="8080" spans="1:1">
      <c r="A8080" s="7" t="str">
        <f>IF('Document Workflow'!A8079&lt;&gt;"",'Document Workflow'!A8079,"")</f>
        <v/>
      </c>
    </row>
    <row r="8081" spans="1:1">
      <c r="A8081" s="7" t="str">
        <f>IF('Document Workflow'!A8080&lt;&gt;"",'Document Workflow'!A8080,"")</f>
        <v/>
      </c>
    </row>
    <row r="8082" spans="1:1">
      <c r="A8082" s="7" t="str">
        <f>IF('Document Workflow'!A8081&lt;&gt;"",'Document Workflow'!A8081,"")</f>
        <v/>
      </c>
    </row>
    <row r="8083" spans="1:1">
      <c r="A8083" s="7" t="str">
        <f>IF('Document Workflow'!A8082&lt;&gt;"",'Document Workflow'!A8082,"")</f>
        <v/>
      </c>
    </row>
    <row r="8084" spans="1:1">
      <c r="A8084" s="7" t="str">
        <f>IF('Document Workflow'!A8083&lt;&gt;"",'Document Workflow'!A8083,"")</f>
        <v/>
      </c>
    </row>
    <row r="8085" spans="1:1">
      <c r="A8085" s="7" t="str">
        <f>IF('Document Workflow'!A8084&lt;&gt;"",'Document Workflow'!A8084,"")</f>
        <v/>
      </c>
    </row>
    <row r="8086" spans="1:1">
      <c r="A8086" s="7" t="str">
        <f>IF('Document Workflow'!A8085&lt;&gt;"",'Document Workflow'!A8085,"")</f>
        <v/>
      </c>
    </row>
    <row r="8087" spans="1:1">
      <c r="A8087" s="7" t="str">
        <f>IF('Document Workflow'!A8086&lt;&gt;"",'Document Workflow'!A8086,"")</f>
        <v/>
      </c>
    </row>
    <row r="8088" spans="1:1">
      <c r="A8088" s="7" t="str">
        <f>IF('Document Workflow'!A8087&lt;&gt;"",'Document Workflow'!A8087,"")</f>
        <v/>
      </c>
    </row>
    <row r="8089" spans="1:1">
      <c r="A8089" s="7" t="str">
        <f>IF('Document Workflow'!A8088&lt;&gt;"",'Document Workflow'!A8088,"")</f>
        <v/>
      </c>
    </row>
    <row r="8090" spans="1:1">
      <c r="A8090" s="7" t="str">
        <f>IF('Document Workflow'!A8089&lt;&gt;"",'Document Workflow'!A8089,"")</f>
        <v/>
      </c>
    </row>
    <row r="8091" spans="1:1">
      <c r="A8091" s="7" t="str">
        <f>IF('Document Workflow'!A8090&lt;&gt;"",'Document Workflow'!A8090,"")</f>
        <v/>
      </c>
    </row>
    <row r="8092" spans="1:1">
      <c r="A8092" s="7" t="str">
        <f>IF('Document Workflow'!A8091&lt;&gt;"",'Document Workflow'!A8091,"")</f>
        <v/>
      </c>
    </row>
    <row r="8093" spans="1:1">
      <c r="A8093" s="7" t="str">
        <f>IF('Document Workflow'!A8092&lt;&gt;"",'Document Workflow'!A8092,"")</f>
        <v/>
      </c>
    </row>
    <row r="8094" spans="1:1">
      <c r="A8094" s="7" t="str">
        <f>IF('Document Workflow'!A8093&lt;&gt;"",'Document Workflow'!A8093,"")</f>
        <v/>
      </c>
    </row>
    <row r="8095" spans="1:1">
      <c r="A8095" s="7" t="str">
        <f>IF('Document Workflow'!A8094&lt;&gt;"",'Document Workflow'!A8094,"")</f>
        <v/>
      </c>
    </row>
    <row r="8096" spans="1:1">
      <c r="A8096" s="7" t="str">
        <f>IF('Document Workflow'!A8095&lt;&gt;"",'Document Workflow'!A8095,"")</f>
        <v/>
      </c>
    </row>
    <row r="8097" spans="1:1">
      <c r="A8097" s="7" t="str">
        <f>IF('Document Workflow'!A8096&lt;&gt;"",'Document Workflow'!A8096,"")</f>
        <v/>
      </c>
    </row>
    <row r="8098" spans="1:1">
      <c r="A8098" s="7" t="str">
        <f>IF('Document Workflow'!A8097&lt;&gt;"",'Document Workflow'!A8097,"")</f>
        <v/>
      </c>
    </row>
    <row r="8099" spans="1:1">
      <c r="A8099" s="7" t="str">
        <f>IF('Document Workflow'!A8098&lt;&gt;"",'Document Workflow'!A8098,"")</f>
        <v/>
      </c>
    </row>
    <row r="8100" spans="1:1">
      <c r="A8100" s="7" t="str">
        <f>IF('Document Workflow'!A8099&lt;&gt;"",'Document Workflow'!A8099,"")</f>
        <v/>
      </c>
    </row>
    <row r="8101" spans="1:1">
      <c r="A8101" s="7" t="str">
        <f>IF('Document Workflow'!A8100&lt;&gt;"",'Document Workflow'!A8100,"")</f>
        <v/>
      </c>
    </row>
    <row r="8102" spans="1:1">
      <c r="A8102" s="7" t="str">
        <f>IF('Document Workflow'!A8101&lt;&gt;"",'Document Workflow'!A8101,"")</f>
        <v/>
      </c>
    </row>
    <row r="8103" spans="1:1">
      <c r="A8103" s="7" t="str">
        <f>IF('Document Workflow'!A8102&lt;&gt;"",'Document Workflow'!A8102,"")</f>
        <v/>
      </c>
    </row>
    <row r="8104" spans="1:1">
      <c r="A8104" s="7" t="str">
        <f>IF('Document Workflow'!A8103&lt;&gt;"",'Document Workflow'!A8103,"")</f>
        <v/>
      </c>
    </row>
    <row r="8105" spans="1:1">
      <c r="A8105" s="7" t="str">
        <f>IF('Document Workflow'!A8104&lt;&gt;"",'Document Workflow'!A8104,"")</f>
        <v/>
      </c>
    </row>
    <row r="8106" spans="1:1">
      <c r="A8106" s="7" t="str">
        <f>IF('Document Workflow'!A8105&lt;&gt;"",'Document Workflow'!A8105,"")</f>
        <v/>
      </c>
    </row>
    <row r="8107" spans="1:1">
      <c r="A8107" s="7" t="str">
        <f>IF('Document Workflow'!A8106&lt;&gt;"",'Document Workflow'!A8106,"")</f>
        <v/>
      </c>
    </row>
    <row r="8108" spans="1:1">
      <c r="A8108" s="7" t="str">
        <f>IF('Document Workflow'!A8107&lt;&gt;"",'Document Workflow'!A8107,"")</f>
        <v/>
      </c>
    </row>
    <row r="8109" spans="1:1">
      <c r="A8109" s="7" t="str">
        <f>IF('Document Workflow'!A8108&lt;&gt;"",'Document Workflow'!A8108,"")</f>
        <v/>
      </c>
    </row>
    <row r="8110" spans="1:1">
      <c r="A8110" s="7" t="str">
        <f>IF('Document Workflow'!A8109&lt;&gt;"",'Document Workflow'!A8109,"")</f>
        <v/>
      </c>
    </row>
    <row r="8111" spans="1:1">
      <c r="A8111" s="7" t="str">
        <f>IF('Document Workflow'!A8110&lt;&gt;"",'Document Workflow'!A8110,"")</f>
        <v/>
      </c>
    </row>
    <row r="8112" spans="1:1">
      <c r="A8112" s="7" t="str">
        <f>IF('Document Workflow'!A8111&lt;&gt;"",'Document Workflow'!A8111,"")</f>
        <v/>
      </c>
    </row>
    <row r="8113" spans="1:1">
      <c r="A8113" s="7" t="str">
        <f>IF('Document Workflow'!A8112&lt;&gt;"",'Document Workflow'!A8112,"")</f>
        <v/>
      </c>
    </row>
    <row r="8114" spans="1:1">
      <c r="A8114" s="7" t="str">
        <f>IF('Document Workflow'!A8113&lt;&gt;"",'Document Workflow'!A8113,"")</f>
        <v/>
      </c>
    </row>
    <row r="8115" spans="1:1">
      <c r="A8115" s="7" t="str">
        <f>IF('Document Workflow'!A8114&lt;&gt;"",'Document Workflow'!A8114,"")</f>
        <v/>
      </c>
    </row>
    <row r="8116" spans="1:1">
      <c r="A8116" s="7" t="str">
        <f>IF('Document Workflow'!A8115&lt;&gt;"",'Document Workflow'!A8115,"")</f>
        <v/>
      </c>
    </row>
    <row r="8117" spans="1:1">
      <c r="A8117" s="7" t="str">
        <f>IF('Document Workflow'!A8116&lt;&gt;"",'Document Workflow'!A8116,"")</f>
        <v/>
      </c>
    </row>
    <row r="8118" spans="1:1">
      <c r="A8118" s="7" t="str">
        <f>IF('Document Workflow'!A8117&lt;&gt;"",'Document Workflow'!A8117,"")</f>
        <v/>
      </c>
    </row>
    <row r="8119" spans="1:1">
      <c r="A8119" s="7" t="str">
        <f>IF('Document Workflow'!A8118&lt;&gt;"",'Document Workflow'!A8118,"")</f>
        <v/>
      </c>
    </row>
    <row r="8120" spans="1:1">
      <c r="A8120" s="7" t="str">
        <f>IF('Document Workflow'!A8119&lt;&gt;"",'Document Workflow'!A8119,"")</f>
        <v/>
      </c>
    </row>
    <row r="8121" spans="1:1">
      <c r="A8121" s="7" t="str">
        <f>IF('Document Workflow'!A8120&lt;&gt;"",'Document Workflow'!A8120,"")</f>
        <v/>
      </c>
    </row>
    <row r="8122" spans="1:1">
      <c r="A8122" s="7" t="str">
        <f>IF('Document Workflow'!A8121&lt;&gt;"",'Document Workflow'!A8121,"")</f>
        <v/>
      </c>
    </row>
    <row r="8123" spans="1:1">
      <c r="A8123" s="7" t="str">
        <f>IF('Document Workflow'!A8122&lt;&gt;"",'Document Workflow'!A8122,"")</f>
        <v/>
      </c>
    </row>
    <row r="8124" spans="1:1">
      <c r="A8124" s="7" t="str">
        <f>IF('Document Workflow'!A8123&lt;&gt;"",'Document Workflow'!A8123,"")</f>
        <v/>
      </c>
    </row>
    <row r="8125" spans="1:1">
      <c r="A8125" s="7" t="str">
        <f>IF('Document Workflow'!A8124&lt;&gt;"",'Document Workflow'!A8124,"")</f>
        <v/>
      </c>
    </row>
    <row r="8126" spans="1:1">
      <c r="A8126" s="7" t="str">
        <f>IF('Document Workflow'!A8125&lt;&gt;"",'Document Workflow'!A8125,"")</f>
        <v/>
      </c>
    </row>
    <row r="8127" spans="1:1">
      <c r="A8127" s="7" t="str">
        <f>IF('Document Workflow'!A8126&lt;&gt;"",'Document Workflow'!A8126,"")</f>
        <v/>
      </c>
    </row>
    <row r="8128" spans="1:1">
      <c r="A8128" s="7" t="str">
        <f>IF('Document Workflow'!A8127&lt;&gt;"",'Document Workflow'!A8127,"")</f>
        <v/>
      </c>
    </row>
    <row r="8129" spans="1:1">
      <c r="A8129" s="7" t="str">
        <f>IF('Document Workflow'!A8128&lt;&gt;"",'Document Workflow'!A8128,"")</f>
        <v/>
      </c>
    </row>
    <row r="8130" spans="1:1">
      <c r="A8130" s="7" t="str">
        <f>IF('Document Workflow'!A8129&lt;&gt;"",'Document Workflow'!A8129,"")</f>
        <v/>
      </c>
    </row>
    <row r="8131" spans="1:1">
      <c r="A8131" s="7" t="str">
        <f>IF('Document Workflow'!A8130&lt;&gt;"",'Document Workflow'!A8130,"")</f>
        <v/>
      </c>
    </row>
    <row r="8132" spans="1:1">
      <c r="A8132" s="7" t="str">
        <f>IF('Document Workflow'!A8131&lt;&gt;"",'Document Workflow'!A8131,"")</f>
        <v/>
      </c>
    </row>
    <row r="8133" spans="1:1">
      <c r="A8133" s="7" t="str">
        <f>IF('Document Workflow'!A8132&lt;&gt;"",'Document Workflow'!A8132,"")</f>
        <v/>
      </c>
    </row>
    <row r="8134" spans="1:1">
      <c r="A8134" s="7" t="str">
        <f>IF('Document Workflow'!A8133&lt;&gt;"",'Document Workflow'!A8133,"")</f>
        <v/>
      </c>
    </row>
    <row r="8135" spans="1:1">
      <c r="A8135" s="7" t="str">
        <f>IF('Document Workflow'!A8134&lt;&gt;"",'Document Workflow'!A8134,"")</f>
        <v/>
      </c>
    </row>
    <row r="8136" spans="1:1">
      <c r="A8136" s="7" t="str">
        <f>IF('Document Workflow'!A8135&lt;&gt;"",'Document Workflow'!A8135,"")</f>
        <v/>
      </c>
    </row>
    <row r="8137" spans="1:1">
      <c r="A8137" s="7" t="str">
        <f>IF('Document Workflow'!A8136&lt;&gt;"",'Document Workflow'!A8136,"")</f>
        <v/>
      </c>
    </row>
    <row r="8138" spans="1:1">
      <c r="A8138" s="7" t="str">
        <f>IF('Document Workflow'!A8137&lt;&gt;"",'Document Workflow'!A8137,"")</f>
        <v/>
      </c>
    </row>
    <row r="8139" spans="1:1">
      <c r="A8139" s="7" t="str">
        <f>IF('Document Workflow'!A8138&lt;&gt;"",'Document Workflow'!A8138,"")</f>
        <v/>
      </c>
    </row>
    <row r="8140" spans="1:1">
      <c r="A8140" s="7" t="str">
        <f>IF('Document Workflow'!A8139&lt;&gt;"",'Document Workflow'!A8139,"")</f>
        <v/>
      </c>
    </row>
    <row r="8141" spans="1:1">
      <c r="A8141" s="7" t="str">
        <f>IF('Document Workflow'!A8140&lt;&gt;"",'Document Workflow'!A8140,"")</f>
        <v/>
      </c>
    </row>
    <row r="8142" spans="1:1">
      <c r="A8142" s="7" t="str">
        <f>IF('Document Workflow'!A8141&lt;&gt;"",'Document Workflow'!A8141,"")</f>
        <v/>
      </c>
    </row>
    <row r="8143" spans="1:1">
      <c r="A8143" s="7" t="str">
        <f>IF('Document Workflow'!A8142&lt;&gt;"",'Document Workflow'!A8142,"")</f>
        <v/>
      </c>
    </row>
    <row r="8144" spans="1:1">
      <c r="A8144" s="7" t="str">
        <f>IF('Document Workflow'!A8143&lt;&gt;"",'Document Workflow'!A8143,"")</f>
        <v/>
      </c>
    </row>
    <row r="8145" spans="1:1">
      <c r="A8145" s="7" t="str">
        <f>IF('Document Workflow'!A8144&lt;&gt;"",'Document Workflow'!A8144,"")</f>
        <v/>
      </c>
    </row>
    <row r="8146" spans="1:1">
      <c r="A8146" s="7" t="str">
        <f>IF('Document Workflow'!A8145&lt;&gt;"",'Document Workflow'!A8145,"")</f>
        <v/>
      </c>
    </row>
    <row r="8147" spans="1:1">
      <c r="A8147" s="7" t="str">
        <f>IF('Document Workflow'!A8146&lt;&gt;"",'Document Workflow'!A8146,"")</f>
        <v/>
      </c>
    </row>
    <row r="8148" spans="1:1">
      <c r="A8148" s="7" t="str">
        <f>IF('Document Workflow'!A8147&lt;&gt;"",'Document Workflow'!A8147,"")</f>
        <v/>
      </c>
    </row>
    <row r="8149" spans="1:1">
      <c r="A8149" s="7" t="str">
        <f>IF('Document Workflow'!A8148&lt;&gt;"",'Document Workflow'!A8148,"")</f>
        <v/>
      </c>
    </row>
    <row r="8150" spans="1:1">
      <c r="A8150" s="7" t="str">
        <f>IF('Document Workflow'!A8149&lt;&gt;"",'Document Workflow'!A8149,"")</f>
        <v/>
      </c>
    </row>
    <row r="8151" spans="1:1">
      <c r="A8151" s="7" t="str">
        <f>IF('Document Workflow'!A8150&lt;&gt;"",'Document Workflow'!A8150,"")</f>
        <v/>
      </c>
    </row>
    <row r="8152" spans="1:1">
      <c r="A8152" s="7" t="str">
        <f>IF('Document Workflow'!A8151&lt;&gt;"",'Document Workflow'!A8151,"")</f>
        <v/>
      </c>
    </row>
    <row r="8153" spans="1:1">
      <c r="A8153" s="7" t="str">
        <f>IF('Document Workflow'!A8152&lt;&gt;"",'Document Workflow'!A8152,"")</f>
        <v/>
      </c>
    </row>
    <row r="8154" spans="1:1">
      <c r="A8154" s="7" t="str">
        <f>IF('Document Workflow'!A8153&lt;&gt;"",'Document Workflow'!A8153,"")</f>
        <v/>
      </c>
    </row>
    <row r="8155" spans="1:1">
      <c r="A8155" s="7" t="str">
        <f>IF('Document Workflow'!A8154&lt;&gt;"",'Document Workflow'!A8154,"")</f>
        <v/>
      </c>
    </row>
    <row r="8156" spans="1:1">
      <c r="A8156" s="7" t="str">
        <f>IF('Document Workflow'!A8155&lt;&gt;"",'Document Workflow'!A8155,"")</f>
        <v/>
      </c>
    </row>
    <row r="8157" spans="1:1">
      <c r="A8157" s="7" t="str">
        <f>IF('Document Workflow'!A8156&lt;&gt;"",'Document Workflow'!A8156,"")</f>
        <v/>
      </c>
    </row>
    <row r="8158" spans="1:1">
      <c r="A8158" s="7" t="str">
        <f>IF('Document Workflow'!A8157&lt;&gt;"",'Document Workflow'!A8157,"")</f>
        <v/>
      </c>
    </row>
    <row r="8159" spans="1:1">
      <c r="A8159" s="7" t="str">
        <f>IF('Document Workflow'!A8158&lt;&gt;"",'Document Workflow'!A8158,"")</f>
        <v/>
      </c>
    </row>
    <row r="8160" spans="1:1">
      <c r="A8160" s="7" t="str">
        <f>IF('Document Workflow'!A8159&lt;&gt;"",'Document Workflow'!A8159,"")</f>
        <v/>
      </c>
    </row>
    <row r="8161" spans="1:1">
      <c r="A8161" s="7" t="str">
        <f>IF('Document Workflow'!A8160&lt;&gt;"",'Document Workflow'!A8160,"")</f>
        <v/>
      </c>
    </row>
    <row r="8162" spans="1:1">
      <c r="A8162" s="7" t="str">
        <f>IF('Document Workflow'!A8161&lt;&gt;"",'Document Workflow'!A8161,"")</f>
        <v/>
      </c>
    </row>
    <row r="8163" spans="1:1">
      <c r="A8163" s="7" t="str">
        <f>IF('Document Workflow'!A8162&lt;&gt;"",'Document Workflow'!A8162,"")</f>
        <v/>
      </c>
    </row>
    <row r="8164" spans="1:1">
      <c r="A8164" s="7" t="str">
        <f>IF('Document Workflow'!A8163&lt;&gt;"",'Document Workflow'!A8163,"")</f>
        <v/>
      </c>
    </row>
    <row r="8165" spans="1:1">
      <c r="A8165" s="7" t="str">
        <f>IF('Document Workflow'!A8164&lt;&gt;"",'Document Workflow'!A8164,"")</f>
        <v/>
      </c>
    </row>
    <row r="8166" spans="1:1">
      <c r="A8166" s="7" t="str">
        <f>IF('Document Workflow'!A8165&lt;&gt;"",'Document Workflow'!A8165,"")</f>
        <v/>
      </c>
    </row>
    <row r="8167" spans="1:1">
      <c r="A8167" s="7" t="str">
        <f>IF('Document Workflow'!A8166&lt;&gt;"",'Document Workflow'!A8166,"")</f>
        <v/>
      </c>
    </row>
    <row r="8168" spans="1:1">
      <c r="A8168" s="7" t="str">
        <f>IF('Document Workflow'!A8167&lt;&gt;"",'Document Workflow'!A8167,"")</f>
        <v/>
      </c>
    </row>
    <row r="8169" spans="1:1">
      <c r="A8169" s="7" t="str">
        <f>IF('Document Workflow'!A8168&lt;&gt;"",'Document Workflow'!A8168,"")</f>
        <v/>
      </c>
    </row>
    <row r="8170" spans="1:1">
      <c r="A8170" s="7" t="str">
        <f>IF('Document Workflow'!A8169&lt;&gt;"",'Document Workflow'!A8169,"")</f>
        <v/>
      </c>
    </row>
    <row r="8171" spans="1:1">
      <c r="A8171" s="7" t="str">
        <f>IF('Document Workflow'!A8170&lt;&gt;"",'Document Workflow'!A8170,"")</f>
        <v/>
      </c>
    </row>
    <row r="8172" spans="1:1">
      <c r="A8172" s="7" t="str">
        <f>IF('Document Workflow'!A8171&lt;&gt;"",'Document Workflow'!A8171,"")</f>
        <v/>
      </c>
    </row>
    <row r="8173" spans="1:1">
      <c r="A8173" s="7" t="str">
        <f>IF('Document Workflow'!A8172&lt;&gt;"",'Document Workflow'!A8172,"")</f>
        <v/>
      </c>
    </row>
    <row r="8174" spans="1:1">
      <c r="A8174" s="7" t="str">
        <f>IF('Document Workflow'!A8173&lt;&gt;"",'Document Workflow'!A8173,"")</f>
        <v/>
      </c>
    </row>
    <row r="8175" spans="1:1">
      <c r="A8175" s="7" t="str">
        <f>IF('Document Workflow'!A8174&lt;&gt;"",'Document Workflow'!A8174,"")</f>
        <v/>
      </c>
    </row>
    <row r="8176" spans="1:1">
      <c r="A8176" s="7" t="str">
        <f>IF('Document Workflow'!A8175&lt;&gt;"",'Document Workflow'!A8175,"")</f>
        <v/>
      </c>
    </row>
    <row r="8177" spans="1:1">
      <c r="A8177" s="7" t="str">
        <f>IF('Document Workflow'!A8176&lt;&gt;"",'Document Workflow'!A8176,"")</f>
        <v/>
      </c>
    </row>
    <row r="8178" spans="1:1">
      <c r="A8178" s="7" t="str">
        <f>IF('Document Workflow'!A8177&lt;&gt;"",'Document Workflow'!A8177,"")</f>
        <v/>
      </c>
    </row>
    <row r="8179" spans="1:1">
      <c r="A8179" s="7" t="str">
        <f>IF('Document Workflow'!A8178&lt;&gt;"",'Document Workflow'!A8178,"")</f>
        <v/>
      </c>
    </row>
    <row r="8180" spans="1:1">
      <c r="A8180" s="7" t="str">
        <f>IF('Document Workflow'!A8179&lt;&gt;"",'Document Workflow'!A8179,"")</f>
        <v/>
      </c>
    </row>
    <row r="8181" spans="1:1">
      <c r="A8181" s="7" t="str">
        <f>IF('Document Workflow'!A8180&lt;&gt;"",'Document Workflow'!A8180,"")</f>
        <v/>
      </c>
    </row>
    <row r="8182" spans="1:1">
      <c r="A8182" s="7" t="str">
        <f>IF('Document Workflow'!A8181&lt;&gt;"",'Document Workflow'!A8181,"")</f>
        <v/>
      </c>
    </row>
    <row r="8183" spans="1:1">
      <c r="A8183" s="7" t="str">
        <f>IF('Document Workflow'!A8182&lt;&gt;"",'Document Workflow'!A8182,"")</f>
        <v/>
      </c>
    </row>
    <row r="8184" spans="1:1">
      <c r="A8184" s="7" t="str">
        <f>IF('Document Workflow'!A8183&lt;&gt;"",'Document Workflow'!A8183,"")</f>
        <v/>
      </c>
    </row>
    <row r="8185" spans="1:1">
      <c r="A8185" s="7" t="str">
        <f>IF('Document Workflow'!A8184&lt;&gt;"",'Document Workflow'!A8184,"")</f>
        <v/>
      </c>
    </row>
    <row r="8186" spans="1:1">
      <c r="A8186" s="7" t="str">
        <f>IF('Document Workflow'!A8185&lt;&gt;"",'Document Workflow'!A8185,"")</f>
        <v/>
      </c>
    </row>
    <row r="8187" spans="1:1">
      <c r="A8187" s="7" t="str">
        <f>IF('Document Workflow'!A8186&lt;&gt;"",'Document Workflow'!A8186,"")</f>
        <v/>
      </c>
    </row>
    <row r="8188" spans="1:1">
      <c r="A8188" s="7" t="str">
        <f>IF('Document Workflow'!A8187&lt;&gt;"",'Document Workflow'!A8187,"")</f>
        <v/>
      </c>
    </row>
    <row r="8189" spans="1:1">
      <c r="A8189" s="7" t="str">
        <f>IF('Document Workflow'!A8188&lt;&gt;"",'Document Workflow'!A8188,"")</f>
        <v/>
      </c>
    </row>
    <row r="8190" spans="1:1">
      <c r="A8190" s="7" t="str">
        <f>IF('Document Workflow'!A8189&lt;&gt;"",'Document Workflow'!A8189,"")</f>
        <v/>
      </c>
    </row>
    <row r="8191" spans="1:1">
      <c r="A8191" s="7" t="str">
        <f>IF('Document Workflow'!A8190&lt;&gt;"",'Document Workflow'!A8190,"")</f>
        <v/>
      </c>
    </row>
    <row r="8192" spans="1:1">
      <c r="A8192" s="7" t="str">
        <f>IF('Document Workflow'!A8191&lt;&gt;"",'Document Workflow'!A8191,"")</f>
        <v/>
      </c>
    </row>
    <row r="8193" spans="1:1">
      <c r="A8193" s="7" t="str">
        <f>IF('Document Workflow'!A8192&lt;&gt;"",'Document Workflow'!A8192,"")</f>
        <v/>
      </c>
    </row>
    <row r="8194" spans="1:1">
      <c r="A8194" s="7" t="str">
        <f>IF('Document Workflow'!A8193&lt;&gt;"",'Document Workflow'!A8193,"")</f>
        <v/>
      </c>
    </row>
    <row r="8195" spans="1:1">
      <c r="A8195" s="7" t="str">
        <f>IF('Document Workflow'!A8194&lt;&gt;"",'Document Workflow'!A8194,"")</f>
        <v/>
      </c>
    </row>
    <row r="8196" spans="1:1">
      <c r="A8196" s="7" t="str">
        <f>IF('Document Workflow'!A8195&lt;&gt;"",'Document Workflow'!A8195,"")</f>
        <v/>
      </c>
    </row>
    <row r="8197" spans="1:1">
      <c r="A8197" s="7" t="str">
        <f>IF('Document Workflow'!A8196&lt;&gt;"",'Document Workflow'!A8196,"")</f>
        <v/>
      </c>
    </row>
    <row r="8198" spans="1:1">
      <c r="A8198" s="7" t="str">
        <f>IF('Document Workflow'!A8197&lt;&gt;"",'Document Workflow'!A8197,"")</f>
        <v/>
      </c>
    </row>
    <row r="8199" spans="1:1">
      <c r="A8199" s="7" t="str">
        <f>IF('Document Workflow'!A8198&lt;&gt;"",'Document Workflow'!A8198,"")</f>
        <v/>
      </c>
    </row>
    <row r="8200" spans="1:1">
      <c r="A8200" s="7" t="str">
        <f>IF('Document Workflow'!A8199&lt;&gt;"",'Document Workflow'!A8199,"")</f>
        <v/>
      </c>
    </row>
    <row r="8201" spans="1:1">
      <c r="A8201" s="7" t="str">
        <f>IF('Document Workflow'!A8200&lt;&gt;"",'Document Workflow'!A8200,"")</f>
        <v/>
      </c>
    </row>
    <row r="8202" spans="1:1">
      <c r="A8202" s="7" t="str">
        <f>IF('Document Workflow'!A8201&lt;&gt;"",'Document Workflow'!A8201,"")</f>
        <v/>
      </c>
    </row>
    <row r="8203" spans="1:1">
      <c r="A8203" s="7" t="str">
        <f>IF('Document Workflow'!A8202&lt;&gt;"",'Document Workflow'!A8202,"")</f>
        <v/>
      </c>
    </row>
    <row r="8204" spans="1:1">
      <c r="A8204" s="7" t="str">
        <f>IF('Document Workflow'!A8203&lt;&gt;"",'Document Workflow'!A8203,"")</f>
        <v/>
      </c>
    </row>
    <row r="8205" spans="1:1">
      <c r="A8205" s="7" t="str">
        <f>IF('Document Workflow'!A8204&lt;&gt;"",'Document Workflow'!A8204,"")</f>
        <v/>
      </c>
    </row>
    <row r="8206" spans="1:1">
      <c r="A8206" s="7" t="str">
        <f>IF('Document Workflow'!A8205&lt;&gt;"",'Document Workflow'!A8205,"")</f>
        <v/>
      </c>
    </row>
    <row r="8207" spans="1:1">
      <c r="A8207" s="7" t="str">
        <f>IF('Document Workflow'!A8206&lt;&gt;"",'Document Workflow'!A8206,"")</f>
        <v/>
      </c>
    </row>
    <row r="8208" spans="1:1">
      <c r="A8208" s="7" t="str">
        <f>IF('Document Workflow'!A8207&lt;&gt;"",'Document Workflow'!A8207,"")</f>
        <v/>
      </c>
    </row>
    <row r="8209" spans="1:1">
      <c r="A8209" s="7" t="str">
        <f>IF('Document Workflow'!A8208&lt;&gt;"",'Document Workflow'!A8208,"")</f>
        <v/>
      </c>
    </row>
    <row r="8210" spans="1:1">
      <c r="A8210" s="7" t="str">
        <f>IF('Document Workflow'!A8209&lt;&gt;"",'Document Workflow'!A8209,"")</f>
        <v/>
      </c>
    </row>
    <row r="8211" spans="1:1">
      <c r="A8211" s="7" t="str">
        <f>IF('Document Workflow'!A8210&lt;&gt;"",'Document Workflow'!A8210,"")</f>
        <v/>
      </c>
    </row>
    <row r="8212" spans="1:1">
      <c r="A8212" s="7" t="str">
        <f>IF('Document Workflow'!A8211&lt;&gt;"",'Document Workflow'!A8211,"")</f>
        <v/>
      </c>
    </row>
    <row r="8213" spans="1:1">
      <c r="A8213" s="7" t="str">
        <f>IF('Document Workflow'!A8212&lt;&gt;"",'Document Workflow'!A8212,"")</f>
        <v/>
      </c>
    </row>
    <row r="8214" spans="1:1">
      <c r="A8214" s="7" t="str">
        <f>IF('Document Workflow'!A8213&lt;&gt;"",'Document Workflow'!A8213,"")</f>
        <v/>
      </c>
    </row>
    <row r="8215" spans="1:1">
      <c r="A8215" s="7" t="str">
        <f>IF('Document Workflow'!A8214&lt;&gt;"",'Document Workflow'!A8214,"")</f>
        <v/>
      </c>
    </row>
    <row r="8216" spans="1:1">
      <c r="A8216" s="7" t="str">
        <f>IF('Document Workflow'!A8215&lt;&gt;"",'Document Workflow'!A8215,"")</f>
        <v/>
      </c>
    </row>
    <row r="8217" spans="1:1">
      <c r="A8217" s="7" t="str">
        <f>IF('Document Workflow'!A8216&lt;&gt;"",'Document Workflow'!A8216,"")</f>
        <v/>
      </c>
    </row>
    <row r="8218" spans="1:1">
      <c r="A8218" s="7" t="str">
        <f>IF('Document Workflow'!A8217&lt;&gt;"",'Document Workflow'!A8217,"")</f>
        <v/>
      </c>
    </row>
    <row r="8219" spans="1:1">
      <c r="A8219" s="7" t="str">
        <f>IF('Document Workflow'!A8218&lt;&gt;"",'Document Workflow'!A8218,"")</f>
        <v/>
      </c>
    </row>
    <row r="8220" spans="1:1">
      <c r="A8220" s="7" t="str">
        <f>IF('Document Workflow'!A8219&lt;&gt;"",'Document Workflow'!A8219,"")</f>
        <v/>
      </c>
    </row>
    <row r="8221" spans="1:1">
      <c r="A8221" s="7" t="str">
        <f>IF('Document Workflow'!A8220&lt;&gt;"",'Document Workflow'!A8220,"")</f>
        <v/>
      </c>
    </row>
    <row r="8222" spans="1:1">
      <c r="A8222" s="7" t="str">
        <f>IF('Document Workflow'!A8221&lt;&gt;"",'Document Workflow'!A8221,"")</f>
        <v/>
      </c>
    </row>
    <row r="8223" spans="1:1">
      <c r="A8223" s="7" t="str">
        <f>IF('Document Workflow'!A8222&lt;&gt;"",'Document Workflow'!A8222,"")</f>
        <v/>
      </c>
    </row>
    <row r="8224" spans="1:1">
      <c r="A8224" s="7" t="str">
        <f>IF('Document Workflow'!A8223&lt;&gt;"",'Document Workflow'!A8223,"")</f>
        <v/>
      </c>
    </row>
    <row r="8225" spans="1:1">
      <c r="A8225" s="7" t="str">
        <f>IF('Document Workflow'!A8224&lt;&gt;"",'Document Workflow'!A8224,"")</f>
        <v/>
      </c>
    </row>
    <row r="8226" spans="1:1">
      <c r="A8226" s="7" t="str">
        <f>IF('Document Workflow'!A8225&lt;&gt;"",'Document Workflow'!A8225,"")</f>
        <v/>
      </c>
    </row>
    <row r="8227" spans="1:1">
      <c r="A8227" s="7" t="str">
        <f>IF('Document Workflow'!A8226&lt;&gt;"",'Document Workflow'!A8226,"")</f>
        <v/>
      </c>
    </row>
    <row r="8228" spans="1:1">
      <c r="A8228" s="7" t="str">
        <f>IF('Document Workflow'!A8227&lt;&gt;"",'Document Workflow'!A8227,"")</f>
        <v/>
      </c>
    </row>
    <row r="8229" spans="1:1">
      <c r="A8229" s="7" t="str">
        <f>IF('Document Workflow'!A8228&lt;&gt;"",'Document Workflow'!A8228,"")</f>
        <v/>
      </c>
    </row>
    <row r="8230" spans="1:1">
      <c r="A8230" s="7" t="str">
        <f>IF('Document Workflow'!A8229&lt;&gt;"",'Document Workflow'!A8229,"")</f>
        <v/>
      </c>
    </row>
    <row r="8231" spans="1:1">
      <c r="A8231" s="7" t="str">
        <f>IF('Document Workflow'!A8230&lt;&gt;"",'Document Workflow'!A8230,"")</f>
        <v/>
      </c>
    </row>
    <row r="8232" spans="1:1">
      <c r="A8232" s="7" t="str">
        <f>IF('Document Workflow'!A8231&lt;&gt;"",'Document Workflow'!A8231,"")</f>
        <v/>
      </c>
    </row>
    <row r="8233" spans="1:1">
      <c r="A8233" s="7" t="str">
        <f>IF('Document Workflow'!A8232&lt;&gt;"",'Document Workflow'!A8232,"")</f>
        <v/>
      </c>
    </row>
    <row r="8234" spans="1:1">
      <c r="A8234" s="7" t="str">
        <f>IF('Document Workflow'!A8233&lt;&gt;"",'Document Workflow'!A8233,"")</f>
        <v/>
      </c>
    </row>
    <row r="8235" spans="1:1">
      <c r="A8235" s="7" t="str">
        <f>IF('Document Workflow'!A8234&lt;&gt;"",'Document Workflow'!A8234,"")</f>
        <v/>
      </c>
    </row>
    <row r="8236" spans="1:1">
      <c r="A8236" s="7" t="str">
        <f>IF('Document Workflow'!A8235&lt;&gt;"",'Document Workflow'!A8235,"")</f>
        <v/>
      </c>
    </row>
    <row r="8237" spans="1:1">
      <c r="A8237" s="7" t="str">
        <f>IF('Document Workflow'!A8236&lt;&gt;"",'Document Workflow'!A8236,"")</f>
        <v/>
      </c>
    </row>
    <row r="8238" spans="1:1">
      <c r="A8238" s="7" t="str">
        <f>IF('Document Workflow'!A8237&lt;&gt;"",'Document Workflow'!A8237,"")</f>
        <v/>
      </c>
    </row>
    <row r="8239" spans="1:1">
      <c r="A8239" s="7" t="str">
        <f>IF('Document Workflow'!A8238&lt;&gt;"",'Document Workflow'!A8238,"")</f>
        <v/>
      </c>
    </row>
    <row r="8240" spans="1:1">
      <c r="A8240" s="7" t="str">
        <f>IF('Document Workflow'!A8239&lt;&gt;"",'Document Workflow'!A8239,"")</f>
        <v/>
      </c>
    </row>
    <row r="8241" spans="1:1">
      <c r="A8241" s="7" t="str">
        <f>IF('Document Workflow'!A8240&lt;&gt;"",'Document Workflow'!A8240,"")</f>
        <v/>
      </c>
    </row>
    <row r="8242" spans="1:1">
      <c r="A8242" s="7" t="str">
        <f>IF('Document Workflow'!A8241&lt;&gt;"",'Document Workflow'!A8241,"")</f>
        <v/>
      </c>
    </row>
    <row r="8243" spans="1:1">
      <c r="A8243" s="7" t="str">
        <f>IF('Document Workflow'!A8242&lt;&gt;"",'Document Workflow'!A8242,"")</f>
        <v/>
      </c>
    </row>
    <row r="8244" spans="1:1">
      <c r="A8244" s="7" t="str">
        <f>IF('Document Workflow'!A8243&lt;&gt;"",'Document Workflow'!A8243,"")</f>
        <v/>
      </c>
    </row>
    <row r="8245" spans="1:1">
      <c r="A8245" s="7" t="str">
        <f>IF('Document Workflow'!A8244&lt;&gt;"",'Document Workflow'!A8244,"")</f>
        <v/>
      </c>
    </row>
    <row r="8246" spans="1:1">
      <c r="A8246" s="7" t="str">
        <f>IF('Document Workflow'!A8245&lt;&gt;"",'Document Workflow'!A8245,"")</f>
        <v/>
      </c>
    </row>
    <row r="8247" spans="1:1">
      <c r="A8247" s="7" t="str">
        <f>IF('Document Workflow'!A8246&lt;&gt;"",'Document Workflow'!A8246,"")</f>
        <v/>
      </c>
    </row>
    <row r="8248" spans="1:1">
      <c r="A8248" s="7" t="str">
        <f>IF('Document Workflow'!A8247&lt;&gt;"",'Document Workflow'!A8247,"")</f>
        <v/>
      </c>
    </row>
    <row r="8249" spans="1:1">
      <c r="A8249" s="7" t="str">
        <f>IF('Document Workflow'!A8248&lt;&gt;"",'Document Workflow'!A8248,"")</f>
        <v/>
      </c>
    </row>
    <row r="8250" spans="1:1">
      <c r="A8250" s="7" t="str">
        <f>IF('Document Workflow'!A8249&lt;&gt;"",'Document Workflow'!A8249,"")</f>
        <v/>
      </c>
    </row>
    <row r="8251" spans="1:1">
      <c r="A8251" s="7" t="str">
        <f>IF('Document Workflow'!A8250&lt;&gt;"",'Document Workflow'!A8250,"")</f>
        <v/>
      </c>
    </row>
    <row r="8252" spans="1:1">
      <c r="A8252" s="7" t="str">
        <f>IF('Document Workflow'!A8251&lt;&gt;"",'Document Workflow'!A8251,"")</f>
        <v/>
      </c>
    </row>
    <row r="8253" spans="1:1">
      <c r="A8253" s="7" t="str">
        <f>IF('Document Workflow'!A8252&lt;&gt;"",'Document Workflow'!A8252,"")</f>
        <v/>
      </c>
    </row>
    <row r="8254" spans="1:1">
      <c r="A8254" s="7" t="str">
        <f>IF('Document Workflow'!A8253&lt;&gt;"",'Document Workflow'!A8253,"")</f>
        <v/>
      </c>
    </row>
    <row r="8255" spans="1:1">
      <c r="A8255" s="7" t="str">
        <f>IF('Document Workflow'!A8254&lt;&gt;"",'Document Workflow'!A8254,"")</f>
        <v/>
      </c>
    </row>
    <row r="8256" spans="1:1">
      <c r="A8256" s="7" t="str">
        <f>IF('Document Workflow'!A8255&lt;&gt;"",'Document Workflow'!A8255,"")</f>
        <v/>
      </c>
    </row>
    <row r="8257" spans="1:1">
      <c r="A8257" s="7" t="str">
        <f>IF('Document Workflow'!A8256&lt;&gt;"",'Document Workflow'!A8256,"")</f>
        <v/>
      </c>
    </row>
    <row r="8258" spans="1:1">
      <c r="A8258" s="7" t="str">
        <f>IF('Document Workflow'!A8257&lt;&gt;"",'Document Workflow'!A8257,"")</f>
        <v/>
      </c>
    </row>
    <row r="8259" spans="1:1">
      <c r="A8259" s="7" t="str">
        <f>IF('Document Workflow'!A8258&lt;&gt;"",'Document Workflow'!A8258,"")</f>
        <v/>
      </c>
    </row>
    <row r="8260" spans="1:1">
      <c r="A8260" s="7" t="str">
        <f>IF('Document Workflow'!A8259&lt;&gt;"",'Document Workflow'!A8259,"")</f>
        <v/>
      </c>
    </row>
    <row r="8261" spans="1:1">
      <c r="A8261" s="7" t="str">
        <f>IF('Document Workflow'!A8260&lt;&gt;"",'Document Workflow'!A8260,"")</f>
        <v/>
      </c>
    </row>
    <row r="8262" spans="1:1">
      <c r="A8262" s="7" t="str">
        <f>IF('Document Workflow'!A8261&lt;&gt;"",'Document Workflow'!A8261,"")</f>
        <v/>
      </c>
    </row>
    <row r="8263" spans="1:1">
      <c r="A8263" s="7" t="str">
        <f>IF('Document Workflow'!A8262&lt;&gt;"",'Document Workflow'!A8262,"")</f>
        <v/>
      </c>
    </row>
    <row r="8264" spans="1:1">
      <c r="A8264" s="7" t="str">
        <f>IF('Document Workflow'!A8263&lt;&gt;"",'Document Workflow'!A8263,"")</f>
        <v/>
      </c>
    </row>
    <row r="8265" spans="1:1">
      <c r="A8265" s="7" t="str">
        <f>IF('Document Workflow'!A8264&lt;&gt;"",'Document Workflow'!A8264,"")</f>
        <v/>
      </c>
    </row>
    <row r="8266" spans="1:1">
      <c r="A8266" s="7" t="str">
        <f>IF('Document Workflow'!A8265&lt;&gt;"",'Document Workflow'!A8265,"")</f>
        <v/>
      </c>
    </row>
    <row r="8267" spans="1:1">
      <c r="A8267" s="7" t="str">
        <f>IF('Document Workflow'!A8266&lt;&gt;"",'Document Workflow'!A8266,"")</f>
        <v/>
      </c>
    </row>
    <row r="8268" spans="1:1">
      <c r="A8268" s="7" t="str">
        <f>IF('Document Workflow'!A8267&lt;&gt;"",'Document Workflow'!A8267,"")</f>
        <v/>
      </c>
    </row>
    <row r="8269" spans="1:1">
      <c r="A8269" s="7" t="str">
        <f>IF('Document Workflow'!A8268&lt;&gt;"",'Document Workflow'!A8268,"")</f>
        <v/>
      </c>
    </row>
    <row r="8270" spans="1:1">
      <c r="A8270" s="7" t="str">
        <f>IF('Document Workflow'!A8269&lt;&gt;"",'Document Workflow'!A8269,"")</f>
        <v/>
      </c>
    </row>
    <row r="8271" spans="1:1">
      <c r="A8271" s="7" t="str">
        <f>IF('Document Workflow'!A8270&lt;&gt;"",'Document Workflow'!A8270,"")</f>
        <v/>
      </c>
    </row>
    <row r="8272" spans="1:1">
      <c r="A8272" s="7" t="str">
        <f>IF('Document Workflow'!A8271&lt;&gt;"",'Document Workflow'!A8271,"")</f>
        <v/>
      </c>
    </row>
    <row r="8273" spans="1:1">
      <c r="A8273" s="7" t="str">
        <f>IF('Document Workflow'!A8272&lt;&gt;"",'Document Workflow'!A8272,"")</f>
        <v/>
      </c>
    </row>
    <row r="8274" spans="1:1">
      <c r="A8274" s="7" t="str">
        <f>IF('Document Workflow'!A8273&lt;&gt;"",'Document Workflow'!A8273,"")</f>
        <v/>
      </c>
    </row>
    <row r="8275" spans="1:1">
      <c r="A8275" s="7" t="str">
        <f>IF('Document Workflow'!A8274&lt;&gt;"",'Document Workflow'!A8274,"")</f>
        <v/>
      </c>
    </row>
    <row r="8276" spans="1:1">
      <c r="A8276" s="7" t="str">
        <f>IF('Document Workflow'!A8275&lt;&gt;"",'Document Workflow'!A8275,"")</f>
        <v/>
      </c>
    </row>
    <row r="8277" spans="1:1">
      <c r="A8277" s="7" t="str">
        <f>IF('Document Workflow'!A8276&lt;&gt;"",'Document Workflow'!A8276,"")</f>
        <v/>
      </c>
    </row>
    <row r="8278" spans="1:1">
      <c r="A8278" s="7" t="str">
        <f>IF('Document Workflow'!A8277&lt;&gt;"",'Document Workflow'!A8277,"")</f>
        <v/>
      </c>
    </row>
    <row r="8279" spans="1:1">
      <c r="A8279" s="7" t="str">
        <f>IF('Document Workflow'!A8278&lt;&gt;"",'Document Workflow'!A8278,"")</f>
        <v/>
      </c>
    </row>
    <row r="8280" spans="1:1">
      <c r="A8280" s="7" t="str">
        <f>IF('Document Workflow'!A8279&lt;&gt;"",'Document Workflow'!A8279,"")</f>
        <v/>
      </c>
    </row>
    <row r="8281" spans="1:1">
      <c r="A8281" s="7" t="str">
        <f>IF('Document Workflow'!A8280&lt;&gt;"",'Document Workflow'!A8280,"")</f>
        <v/>
      </c>
    </row>
    <row r="8282" spans="1:1">
      <c r="A8282" s="7" t="str">
        <f>IF('Document Workflow'!A8281&lt;&gt;"",'Document Workflow'!A8281,"")</f>
        <v/>
      </c>
    </row>
    <row r="8283" spans="1:1">
      <c r="A8283" s="7" t="str">
        <f>IF('Document Workflow'!A8282&lt;&gt;"",'Document Workflow'!A8282,"")</f>
        <v/>
      </c>
    </row>
    <row r="8284" spans="1:1">
      <c r="A8284" s="7" t="str">
        <f>IF('Document Workflow'!A8283&lt;&gt;"",'Document Workflow'!A8283,"")</f>
        <v/>
      </c>
    </row>
    <row r="8285" spans="1:1">
      <c r="A8285" s="7" t="str">
        <f>IF('Document Workflow'!A8284&lt;&gt;"",'Document Workflow'!A8284,"")</f>
        <v/>
      </c>
    </row>
    <row r="8286" spans="1:1">
      <c r="A8286" s="7" t="str">
        <f>IF('Document Workflow'!A8285&lt;&gt;"",'Document Workflow'!A8285,"")</f>
        <v/>
      </c>
    </row>
    <row r="8287" spans="1:1">
      <c r="A8287" s="7" t="str">
        <f>IF('Document Workflow'!A8286&lt;&gt;"",'Document Workflow'!A8286,"")</f>
        <v/>
      </c>
    </row>
    <row r="8288" spans="1:1">
      <c r="A8288" s="7" t="str">
        <f>IF('Document Workflow'!A8287&lt;&gt;"",'Document Workflow'!A8287,"")</f>
        <v/>
      </c>
    </row>
    <row r="8289" spans="1:1">
      <c r="A8289" s="7" t="str">
        <f>IF('Document Workflow'!A8288&lt;&gt;"",'Document Workflow'!A8288,"")</f>
        <v/>
      </c>
    </row>
    <row r="8290" spans="1:1">
      <c r="A8290" s="7" t="str">
        <f>IF('Document Workflow'!A8289&lt;&gt;"",'Document Workflow'!A8289,"")</f>
        <v/>
      </c>
    </row>
    <row r="8291" spans="1:1">
      <c r="A8291" s="7" t="str">
        <f>IF('Document Workflow'!A8290&lt;&gt;"",'Document Workflow'!A8290,"")</f>
        <v/>
      </c>
    </row>
    <row r="8292" spans="1:1">
      <c r="A8292" s="7" t="str">
        <f>IF('Document Workflow'!A8291&lt;&gt;"",'Document Workflow'!A8291,"")</f>
        <v/>
      </c>
    </row>
    <row r="8293" spans="1:1">
      <c r="A8293" s="7" t="str">
        <f>IF('Document Workflow'!A8292&lt;&gt;"",'Document Workflow'!A8292,"")</f>
        <v/>
      </c>
    </row>
    <row r="8294" spans="1:1">
      <c r="A8294" s="7" t="str">
        <f>IF('Document Workflow'!A8293&lt;&gt;"",'Document Workflow'!A8293,"")</f>
        <v/>
      </c>
    </row>
    <row r="8295" spans="1:1">
      <c r="A8295" s="7" t="str">
        <f>IF('Document Workflow'!A8294&lt;&gt;"",'Document Workflow'!A8294,"")</f>
        <v/>
      </c>
    </row>
    <row r="8296" spans="1:1">
      <c r="A8296" s="7" t="str">
        <f>IF('Document Workflow'!A8295&lt;&gt;"",'Document Workflow'!A8295,"")</f>
        <v/>
      </c>
    </row>
    <row r="8297" spans="1:1">
      <c r="A8297" s="7" t="str">
        <f>IF('Document Workflow'!A8296&lt;&gt;"",'Document Workflow'!A8296,"")</f>
        <v/>
      </c>
    </row>
    <row r="8298" spans="1:1">
      <c r="A8298" s="7" t="str">
        <f>IF('Document Workflow'!A8297&lt;&gt;"",'Document Workflow'!A8297,"")</f>
        <v/>
      </c>
    </row>
    <row r="8299" spans="1:1">
      <c r="A8299" s="7" t="str">
        <f>IF('Document Workflow'!A8298&lt;&gt;"",'Document Workflow'!A8298,"")</f>
        <v/>
      </c>
    </row>
    <row r="8300" spans="1:1">
      <c r="A8300" s="7" t="str">
        <f>IF('Document Workflow'!A8299&lt;&gt;"",'Document Workflow'!A8299,"")</f>
        <v/>
      </c>
    </row>
    <row r="8301" spans="1:1">
      <c r="A8301" s="7" t="str">
        <f>IF('Document Workflow'!A8300&lt;&gt;"",'Document Workflow'!A8300,"")</f>
        <v/>
      </c>
    </row>
    <row r="8302" spans="1:1">
      <c r="A8302" s="7" t="str">
        <f>IF('Document Workflow'!A8301&lt;&gt;"",'Document Workflow'!A8301,"")</f>
        <v/>
      </c>
    </row>
    <row r="8303" spans="1:1">
      <c r="A8303" s="7" t="str">
        <f>IF('Document Workflow'!A8302&lt;&gt;"",'Document Workflow'!A8302,"")</f>
        <v/>
      </c>
    </row>
    <row r="8304" spans="1:1">
      <c r="A8304" s="7" t="str">
        <f>IF('Document Workflow'!A8303&lt;&gt;"",'Document Workflow'!A8303,"")</f>
        <v/>
      </c>
    </row>
    <row r="8305" spans="1:1">
      <c r="A8305" s="7" t="str">
        <f>IF('Document Workflow'!A8304&lt;&gt;"",'Document Workflow'!A8304,"")</f>
        <v/>
      </c>
    </row>
    <row r="8306" spans="1:1">
      <c r="A8306" s="7" t="str">
        <f>IF('Document Workflow'!A8305&lt;&gt;"",'Document Workflow'!A8305,"")</f>
        <v/>
      </c>
    </row>
    <row r="8307" spans="1:1">
      <c r="A8307" s="7" t="str">
        <f>IF('Document Workflow'!A8306&lt;&gt;"",'Document Workflow'!A8306,"")</f>
        <v/>
      </c>
    </row>
    <row r="8308" spans="1:1">
      <c r="A8308" s="7" t="str">
        <f>IF('Document Workflow'!A8307&lt;&gt;"",'Document Workflow'!A8307,"")</f>
        <v/>
      </c>
    </row>
    <row r="8309" spans="1:1">
      <c r="A8309" s="7" t="str">
        <f>IF('Document Workflow'!A8308&lt;&gt;"",'Document Workflow'!A8308,"")</f>
        <v/>
      </c>
    </row>
    <row r="8310" spans="1:1">
      <c r="A8310" s="7" t="str">
        <f>IF('Document Workflow'!A8309&lt;&gt;"",'Document Workflow'!A8309,"")</f>
        <v/>
      </c>
    </row>
    <row r="8311" spans="1:1">
      <c r="A8311" s="7" t="str">
        <f>IF('Document Workflow'!A8310&lt;&gt;"",'Document Workflow'!A8310,"")</f>
        <v/>
      </c>
    </row>
    <row r="8312" spans="1:1">
      <c r="A8312" s="7" t="str">
        <f>IF('Document Workflow'!A8311&lt;&gt;"",'Document Workflow'!A8311,"")</f>
        <v/>
      </c>
    </row>
    <row r="8313" spans="1:1">
      <c r="A8313" s="7" t="str">
        <f>IF('Document Workflow'!A8312&lt;&gt;"",'Document Workflow'!A8312,"")</f>
        <v/>
      </c>
    </row>
    <row r="8314" spans="1:1">
      <c r="A8314" s="7" t="str">
        <f>IF('Document Workflow'!A8313&lt;&gt;"",'Document Workflow'!A8313,"")</f>
        <v/>
      </c>
    </row>
    <row r="8315" spans="1:1">
      <c r="A8315" s="7" t="str">
        <f>IF('Document Workflow'!A8314&lt;&gt;"",'Document Workflow'!A8314,"")</f>
        <v/>
      </c>
    </row>
    <row r="8316" spans="1:1">
      <c r="A8316" s="7" t="str">
        <f>IF('Document Workflow'!A8315&lt;&gt;"",'Document Workflow'!A8315,"")</f>
        <v/>
      </c>
    </row>
    <row r="8317" spans="1:1">
      <c r="A8317" s="7" t="str">
        <f>IF('Document Workflow'!A8316&lt;&gt;"",'Document Workflow'!A8316,"")</f>
        <v/>
      </c>
    </row>
    <row r="8318" spans="1:1">
      <c r="A8318" s="7" t="str">
        <f>IF('Document Workflow'!A8317&lt;&gt;"",'Document Workflow'!A8317,"")</f>
        <v/>
      </c>
    </row>
    <row r="8319" spans="1:1">
      <c r="A8319" s="7" t="str">
        <f>IF('Document Workflow'!A8318&lt;&gt;"",'Document Workflow'!A8318,"")</f>
        <v/>
      </c>
    </row>
    <row r="8320" spans="1:1">
      <c r="A8320" s="7" t="str">
        <f>IF('Document Workflow'!A8319&lt;&gt;"",'Document Workflow'!A8319,"")</f>
        <v/>
      </c>
    </row>
    <row r="8321" spans="1:1">
      <c r="A8321" s="7" t="str">
        <f>IF('Document Workflow'!A8320&lt;&gt;"",'Document Workflow'!A8320,"")</f>
        <v/>
      </c>
    </row>
    <row r="8322" spans="1:1">
      <c r="A8322" s="7" t="str">
        <f>IF('Document Workflow'!A8321&lt;&gt;"",'Document Workflow'!A8321,"")</f>
        <v/>
      </c>
    </row>
    <row r="8323" spans="1:1">
      <c r="A8323" s="7" t="str">
        <f>IF('Document Workflow'!A8322&lt;&gt;"",'Document Workflow'!A8322,"")</f>
        <v/>
      </c>
    </row>
    <row r="8324" spans="1:1">
      <c r="A8324" s="7" t="str">
        <f>IF('Document Workflow'!A8323&lt;&gt;"",'Document Workflow'!A8323,"")</f>
        <v/>
      </c>
    </row>
    <row r="8325" spans="1:1">
      <c r="A8325" s="7" t="str">
        <f>IF('Document Workflow'!A8324&lt;&gt;"",'Document Workflow'!A8324,"")</f>
        <v/>
      </c>
    </row>
    <row r="8326" spans="1:1">
      <c r="A8326" s="7" t="str">
        <f>IF('Document Workflow'!A8325&lt;&gt;"",'Document Workflow'!A8325,"")</f>
        <v/>
      </c>
    </row>
    <row r="8327" spans="1:1">
      <c r="A8327" s="7" t="str">
        <f>IF('Document Workflow'!A8326&lt;&gt;"",'Document Workflow'!A8326,"")</f>
        <v/>
      </c>
    </row>
    <row r="8328" spans="1:1">
      <c r="A8328" s="7" t="str">
        <f>IF('Document Workflow'!A8327&lt;&gt;"",'Document Workflow'!A8327,"")</f>
        <v/>
      </c>
    </row>
    <row r="8329" spans="1:1">
      <c r="A8329" s="7" t="str">
        <f>IF('Document Workflow'!A8328&lt;&gt;"",'Document Workflow'!A8328,"")</f>
        <v/>
      </c>
    </row>
    <row r="8330" spans="1:1">
      <c r="A8330" s="7" t="str">
        <f>IF('Document Workflow'!A8329&lt;&gt;"",'Document Workflow'!A8329,"")</f>
        <v/>
      </c>
    </row>
    <row r="8331" spans="1:1">
      <c r="A8331" s="7" t="str">
        <f>IF('Document Workflow'!A8330&lt;&gt;"",'Document Workflow'!A8330,"")</f>
        <v/>
      </c>
    </row>
    <row r="8332" spans="1:1">
      <c r="A8332" s="7" t="str">
        <f>IF('Document Workflow'!A8331&lt;&gt;"",'Document Workflow'!A8331,"")</f>
        <v/>
      </c>
    </row>
    <row r="8333" spans="1:1">
      <c r="A8333" s="7" t="str">
        <f>IF('Document Workflow'!A8332&lt;&gt;"",'Document Workflow'!A8332,"")</f>
        <v/>
      </c>
    </row>
    <row r="8334" spans="1:1">
      <c r="A8334" s="7" t="str">
        <f>IF('Document Workflow'!A8333&lt;&gt;"",'Document Workflow'!A8333,"")</f>
        <v/>
      </c>
    </row>
    <row r="8335" spans="1:1">
      <c r="A8335" s="7" t="str">
        <f>IF('Document Workflow'!A8334&lt;&gt;"",'Document Workflow'!A8334,"")</f>
        <v/>
      </c>
    </row>
    <row r="8336" spans="1:1">
      <c r="A8336" s="7" t="str">
        <f>IF('Document Workflow'!A8335&lt;&gt;"",'Document Workflow'!A8335,"")</f>
        <v/>
      </c>
    </row>
    <row r="8337" spans="1:1">
      <c r="A8337" s="7" t="str">
        <f>IF('Document Workflow'!A8336&lt;&gt;"",'Document Workflow'!A8336,"")</f>
        <v/>
      </c>
    </row>
    <row r="8338" spans="1:1">
      <c r="A8338" s="7" t="str">
        <f>IF('Document Workflow'!A8337&lt;&gt;"",'Document Workflow'!A8337,"")</f>
        <v/>
      </c>
    </row>
    <row r="8339" spans="1:1">
      <c r="A8339" s="7" t="str">
        <f>IF('Document Workflow'!A8338&lt;&gt;"",'Document Workflow'!A8338,"")</f>
        <v/>
      </c>
    </row>
    <row r="8340" spans="1:1">
      <c r="A8340" s="7" t="str">
        <f>IF('Document Workflow'!A8339&lt;&gt;"",'Document Workflow'!A8339,"")</f>
        <v/>
      </c>
    </row>
    <row r="8341" spans="1:1">
      <c r="A8341" s="7" t="str">
        <f>IF('Document Workflow'!A8340&lt;&gt;"",'Document Workflow'!A8340,"")</f>
        <v/>
      </c>
    </row>
    <row r="8342" spans="1:1">
      <c r="A8342" s="7" t="str">
        <f>IF('Document Workflow'!A8341&lt;&gt;"",'Document Workflow'!A8341,"")</f>
        <v/>
      </c>
    </row>
    <row r="8343" spans="1:1">
      <c r="A8343" s="7" t="str">
        <f>IF('Document Workflow'!A8342&lt;&gt;"",'Document Workflow'!A8342,"")</f>
        <v/>
      </c>
    </row>
    <row r="8344" spans="1:1">
      <c r="A8344" s="7" t="str">
        <f>IF('Document Workflow'!A8343&lt;&gt;"",'Document Workflow'!A8343,"")</f>
        <v/>
      </c>
    </row>
    <row r="8345" spans="1:1">
      <c r="A8345" s="7" t="str">
        <f>IF('Document Workflow'!A8344&lt;&gt;"",'Document Workflow'!A8344,"")</f>
        <v/>
      </c>
    </row>
    <row r="8346" spans="1:1">
      <c r="A8346" s="7" t="str">
        <f>IF('Document Workflow'!A8345&lt;&gt;"",'Document Workflow'!A8345,"")</f>
        <v/>
      </c>
    </row>
    <row r="8347" spans="1:1">
      <c r="A8347" s="7" t="str">
        <f>IF('Document Workflow'!A8346&lt;&gt;"",'Document Workflow'!A8346,"")</f>
        <v/>
      </c>
    </row>
    <row r="8348" spans="1:1">
      <c r="A8348" s="7" t="str">
        <f>IF('Document Workflow'!A8347&lt;&gt;"",'Document Workflow'!A8347,"")</f>
        <v/>
      </c>
    </row>
    <row r="8349" spans="1:1">
      <c r="A8349" s="7" t="str">
        <f>IF('Document Workflow'!A8348&lt;&gt;"",'Document Workflow'!A8348,"")</f>
        <v/>
      </c>
    </row>
    <row r="8350" spans="1:1">
      <c r="A8350" s="7" t="str">
        <f>IF('Document Workflow'!A8349&lt;&gt;"",'Document Workflow'!A8349,"")</f>
        <v/>
      </c>
    </row>
    <row r="8351" spans="1:1">
      <c r="A8351" s="7" t="str">
        <f>IF('Document Workflow'!A8350&lt;&gt;"",'Document Workflow'!A8350,"")</f>
        <v/>
      </c>
    </row>
    <row r="8352" spans="1:1">
      <c r="A8352" s="7" t="str">
        <f>IF('Document Workflow'!A8351&lt;&gt;"",'Document Workflow'!A8351,"")</f>
        <v/>
      </c>
    </row>
    <row r="8353" spans="1:1">
      <c r="A8353" s="7" t="str">
        <f>IF('Document Workflow'!A8352&lt;&gt;"",'Document Workflow'!A8352,"")</f>
        <v/>
      </c>
    </row>
    <row r="8354" spans="1:1">
      <c r="A8354" s="7" t="str">
        <f>IF('Document Workflow'!A8353&lt;&gt;"",'Document Workflow'!A8353,"")</f>
        <v/>
      </c>
    </row>
    <row r="8355" spans="1:1">
      <c r="A8355" s="7" t="str">
        <f>IF('Document Workflow'!A8354&lt;&gt;"",'Document Workflow'!A8354,"")</f>
        <v/>
      </c>
    </row>
    <row r="8356" spans="1:1">
      <c r="A8356" s="7" t="str">
        <f>IF('Document Workflow'!A8355&lt;&gt;"",'Document Workflow'!A8355,"")</f>
        <v/>
      </c>
    </row>
    <row r="8357" spans="1:1">
      <c r="A8357" s="7" t="str">
        <f>IF('Document Workflow'!A8356&lt;&gt;"",'Document Workflow'!A8356,"")</f>
        <v/>
      </c>
    </row>
    <row r="8358" spans="1:1">
      <c r="A8358" s="7" t="str">
        <f>IF('Document Workflow'!A8357&lt;&gt;"",'Document Workflow'!A8357,"")</f>
        <v/>
      </c>
    </row>
    <row r="8359" spans="1:1">
      <c r="A8359" s="7" t="str">
        <f>IF('Document Workflow'!A8358&lt;&gt;"",'Document Workflow'!A8358,"")</f>
        <v/>
      </c>
    </row>
    <row r="8360" spans="1:1">
      <c r="A8360" s="7" t="str">
        <f>IF('Document Workflow'!A8359&lt;&gt;"",'Document Workflow'!A8359,"")</f>
        <v/>
      </c>
    </row>
    <row r="8361" spans="1:1">
      <c r="A8361" s="7" t="str">
        <f>IF('Document Workflow'!A8360&lt;&gt;"",'Document Workflow'!A8360,"")</f>
        <v/>
      </c>
    </row>
    <row r="8362" spans="1:1">
      <c r="A8362" s="7" t="str">
        <f>IF('Document Workflow'!A8361&lt;&gt;"",'Document Workflow'!A8361,"")</f>
        <v/>
      </c>
    </row>
    <row r="8363" spans="1:1">
      <c r="A8363" s="7" t="str">
        <f>IF('Document Workflow'!A8362&lt;&gt;"",'Document Workflow'!A8362,"")</f>
        <v/>
      </c>
    </row>
    <row r="8364" spans="1:1">
      <c r="A8364" s="7" t="str">
        <f>IF('Document Workflow'!A8363&lt;&gt;"",'Document Workflow'!A8363,"")</f>
        <v/>
      </c>
    </row>
    <row r="8365" spans="1:1">
      <c r="A8365" s="7" t="str">
        <f>IF('Document Workflow'!A8364&lt;&gt;"",'Document Workflow'!A8364,"")</f>
        <v/>
      </c>
    </row>
    <row r="8366" spans="1:1">
      <c r="A8366" s="7" t="str">
        <f>IF('Document Workflow'!A8365&lt;&gt;"",'Document Workflow'!A8365,"")</f>
        <v/>
      </c>
    </row>
    <row r="8367" spans="1:1">
      <c r="A8367" s="7" t="str">
        <f>IF('Document Workflow'!A8366&lt;&gt;"",'Document Workflow'!A8366,"")</f>
        <v/>
      </c>
    </row>
    <row r="8368" spans="1:1">
      <c r="A8368" s="7" t="str">
        <f>IF('Document Workflow'!A8367&lt;&gt;"",'Document Workflow'!A8367,"")</f>
        <v/>
      </c>
    </row>
    <row r="8369" spans="1:1">
      <c r="A8369" s="7" t="str">
        <f>IF('Document Workflow'!A8368&lt;&gt;"",'Document Workflow'!A8368,"")</f>
        <v/>
      </c>
    </row>
    <row r="8370" spans="1:1">
      <c r="A8370" s="7" t="str">
        <f>IF('Document Workflow'!A8369&lt;&gt;"",'Document Workflow'!A8369,"")</f>
        <v/>
      </c>
    </row>
    <row r="8371" spans="1:1">
      <c r="A8371" s="7" t="str">
        <f>IF('Document Workflow'!A8370&lt;&gt;"",'Document Workflow'!A8370,"")</f>
        <v/>
      </c>
    </row>
    <row r="8372" spans="1:1">
      <c r="A8372" s="7" t="str">
        <f>IF('Document Workflow'!A8371&lt;&gt;"",'Document Workflow'!A8371,"")</f>
        <v/>
      </c>
    </row>
    <row r="8373" spans="1:1">
      <c r="A8373" s="7" t="str">
        <f>IF('Document Workflow'!A8372&lt;&gt;"",'Document Workflow'!A8372,"")</f>
        <v/>
      </c>
    </row>
    <row r="8374" spans="1:1">
      <c r="A8374" s="7" t="str">
        <f>IF('Document Workflow'!A8373&lt;&gt;"",'Document Workflow'!A8373,"")</f>
        <v/>
      </c>
    </row>
    <row r="8375" spans="1:1">
      <c r="A8375" s="7" t="str">
        <f>IF('Document Workflow'!A8374&lt;&gt;"",'Document Workflow'!A8374,"")</f>
        <v/>
      </c>
    </row>
    <row r="8376" spans="1:1">
      <c r="A8376" s="7" t="str">
        <f>IF('Document Workflow'!A8375&lt;&gt;"",'Document Workflow'!A8375,"")</f>
        <v/>
      </c>
    </row>
    <row r="8377" spans="1:1">
      <c r="A8377" s="7" t="str">
        <f>IF('Document Workflow'!A8376&lt;&gt;"",'Document Workflow'!A8376,"")</f>
        <v/>
      </c>
    </row>
    <row r="8378" spans="1:1">
      <c r="A8378" s="7" t="str">
        <f>IF('Document Workflow'!A8377&lt;&gt;"",'Document Workflow'!A8377,"")</f>
        <v/>
      </c>
    </row>
    <row r="8379" spans="1:1">
      <c r="A8379" s="7" t="str">
        <f>IF('Document Workflow'!A8378&lt;&gt;"",'Document Workflow'!A8378,"")</f>
        <v/>
      </c>
    </row>
    <row r="8380" spans="1:1">
      <c r="A8380" s="7" t="str">
        <f>IF('Document Workflow'!A8379&lt;&gt;"",'Document Workflow'!A8379,"")</f>
        <v/>
      </c>
    </row>
    <row r="8381" spans="1:1">
      <c r="A8381" s="7" t="str">
        <f>IF('Document Workflow'!A8380&lt;&gt;"",'Document Workflow'!A8380,"")</f>
        <v/>
      </c>
    </row>
    <row r="8382" spans="1:1">
      <c r="A8382" s="7" t="str">
        <f>IF('Document Workflow'!A8381&lt;&gt;"",'Document Workflow'!A8381,"")</f>
        <v/>
      </c>
    </row>
    <row r="8383" spans="1:1">
      <c r="A8383" s="7" t="str">
        <f>IF('Document Workflow'!A8382&lt;&gt;"",'Document Workflow'!A8382,"")</f>
        <v/>
      </c>
    </row>
    <row r="8384" spans="1:1">
      <c r="A8384" s="7" t="str">
        <f>IF('Document Workflow'!A8383&lt;&gt;"",'Document Workflow'!A8383,"")</f>
        <v/>
      </c>
    </row>
    <row r="8385" spans="1:1">
      <c r="A8385" s="7" t="str">
        <f>IF('Document Workflow'!A8384&lt;&gt;"",'Document Workflow'!A8384,"")</f>
        <v/>
      </c>
    </row>
    <row r="8386" spans="1:1">
      <c r="A8386" s="7" t="str">
        <f>IF('Document Workflow'!A8385&lt;&gt;"",'Document Workflow'!A8385,"")</f>
        <v/>
      </c>
    </row>
    <row r="8387" spans="1:1">
      <c r="A8387" s="7" t="str">
        <f>IF('Document Workflow'!A8386&lt;&gt;"",'Document Workflow'!A8386,"")</f>
        <v/>
      </c>
    </row>
    <row r="8388" spans="1:1">
      <c r="A8388" s="7" t="str">
        <f>IF('Document Workflow'!A8387&lt;&gt;"",'Document Workflow'!A8387,"")</f>
        <v/>
      </c>
    </row>
    <row r="8389" spans="1:1">
      <c r="A8389" s="7" t="str">
        <f>IF('Document Workflow'!A8388&lt;&gt;"",'Document Workflow'!A8388,"")</f>
        <v/>
      </c>
    </row>
    <row r="8390" spans="1:1">
      <c r="A8390" s="7" t="str">
        <f>IF('Document Workflow'!A8389&lt;&gt;"",'Document Workflow'!A8389,"")</f>
        <v/>
      </c>
    </row>
    <row r="8391" spans="1:1">
      <c r="A8391" s="7" t="str">
        <f>IF('Document Workflow'!A8390&lt;&gt;"",'Document Workflow'!A8390,"")</f>
        <v/>
      </c>
    </row>
    <row r="8392" spans="1:1">
      <c r="A8392" s="7" t="str">
        <f>IF('Document Workflow'!A8391&lt;&gt;"",'Document Workflow'!A8391,"")</f>
        <v/>
      </c>
    </row>
    <row r="8393" spans="1:1">
      <c r="A8393" s="7" t="str">
        <f>IF('Document Workflow'!A8392&lt;&gt;"",'Document Workflow'!A8392,"")</f>
        <v/>
      </c>
    </row>
    <row r="8394" spans="1:1">
      <c r="A8394" s="7" t="str">
        <f>IF('Document Workflow'!A8393&lt;&gt;"",'Document Workflow'!A8393,"")</f>
        <v/>
      </c>
    </row>
    <row r="8395" spans="1:1">
      <c r="A8395" s="7" t="str">
        <f>IF('Document Workflow'!A8394&lt;&gt;"",'Document Workflow'!A8394,"")</f>
        <v/>
      </c>
    </row>
    <row r="8396" spans="1:1">
      <c r="A8396" s="7" t="str">
        <f>IF('Document Workflow'!A8395&lt;&gt;"",'Document Workflow'!A8395,"")</f>
        <v/>
      </c>
    </row>
    <row r="8397" spans="1:1">
      <c r="A8397" s="7" t="str">
        <f>IF('Document Workflow'!A8396&lt;&gt;"",'Document Workflow'!A8396,"")</f>
        <v/>
      </c>
    </row>
    <row r="8398" spans="1:1">
      <c r="A8398" s="7" t="str">
        <f>IF('Document Workflow'!A8397&lt;&gt;"",'Document Workflow'!A8397,"")</f>
        <v/>
      </c>
    </row>
    <row r="8399" spans="1:1">
      <c r="A8399" s="7" t="str">
        <f>IF('Document Workflow'!A8398&lt;&gt;"",'Document Workflow'!A8398,"")</f>
        <v/>
      </c>
    </row>
    <row r="8400" spans="1:1">
      <c r="A8400" s="7" t="str">
        <f>IF('Document Workflow'!A8399&lt;&gt;"",'Document Workflow'!A8399,"")</f>
        <v/>
      </c>
    </row>
    <row r="8401" spans="1:1">
      <c r="A8401" s="7" t="str">
        <f>IF('Document Workflow'!A8400&lt;&gt;"",'Document Workflow'!A8400,"")</f>
        <v/>
      </c>
    </row>
    <row r="8402" spans="1:1">
      <c r="A8402" s="7" t="str">
        <f>IF('Document Workflow'!A8401&lt;&gt;"",'Document Workflow'!A8401,"")</f>
        <v/>
      </c>
    </row>
    <row r="8403" spans="1:1">
      <c r="A8403" s="7" t="str">
        <f>IF('Document Workflow'!A8402&lt;&gt;"",'Document Workflow'!A8402,"")</f>
        <v/>
      </c>
    </row>
    <row r="8404" spans="1:1">
      <c r="A8404" s="7" t="str">
        <f>IF('Document Workflow'!A8403&lt;&gt;"",'Document Workflow'!A8403,"")</f>
        <v/>
      </c>
    </row>
    <row r="8405" spans="1:1">
      <c r="A8405" s="7" t="str">
        <f>IF('Document Workflow'!A8404&lt;&gt;"",'Document Workflow'!A8404,"")</f>
        <v/>
      </c>
    </row>
    <row r="8406" spans="1:1">
      <c r="A8406" s="7" t="str">
        <f>IF('Document Workflow'!A8405&lt;&gt;"",'Document Workflow'!A8405,"")</f>
        <v/>
      </c>
    </row>
    <row r="8407" spans="1:1">
      <c r="A8407" s="7" t="str">
        <f>IF('Document Workflow'!A8406&lt;&gt;"",'Document Workflow'!A8406,"")</f>
        <v/>
      </c>
    </row>
    <row r="8408" spans="1:1">
      <c r="A8408" s="7" t="str">
        <f>IF('Document Workflow'!A8407&lt;&gt;"",'Document Workflow'!A8407,"")</f>
        <v/>
      </c>
    </row>
    <row r="8409" spans="1:1">
      <c r="A8409" s="7" t="str">
        <f>IF('Document Workflow'!A8408&lt;&gt;"",'Document Workflow'!A8408,"")</f>
        <v/>
      </c>
    </row>
    <row r="8410" spans="1:1">
      <c r="A8410" s="7" t="str">
        <f>IF('Document Workflow'!A8409&lt;&gt;"",'Document Workflow'!A8409,"")</f>
        <v/>
      </c>
    </row>
    <row r="8411" spans="1:1">
      <c r="A8411" s="7" t="str">
        <f>IF('Document Workflow'!A8410&lt;&gt;"",'Document Workflow'!A8410,"")</f>
        <v/>
      </c>
    </row>
    <row r="8412" spans="1:1">
      <c r="A8412" s="7" t="str">
        <f>IF('Document Workflow'!A8411&lt;&gt;"",'Document Workflow'!A8411,"")</f>
        <v/>
      </c>
    </row>
    <row r="8413" spans="1:1">
      <c r="A8413" s="7" t="str">
        <f>IF('Document Workflow'!A8412&lt;&gt;"",'Document Workflow'!A8412,"")</f>
        <v/>
      </c>
    </row>
    <row r="8414" spans="1:1">
      <c r="A8414" s="7" t="str">
        <f>IF('Document Workflow'!A8413&lt;&gt;"",'Document Workflow'!A8413,"")</f>
        <v/>
      </c>
    </row>
    <row r="8415" spans="1:1">
      <c r="A8415" s="7" t="str">
        <f>IF('Document Workflow'!A8414&lt;&gt;"",'Document Workflow'!A8414,"")</f>
        <v/>
      </c>
    </row>
    <row r="8416" spans="1:1">
      <c r="A8416" s="7" t="str">
        <f>IF('Document Workflow'!A8415&lt;&gt;"",'Document Workflow'!A8415,"")</f>
        <v/>
      </c>
    </row>
    <row r="8417" spans="1:1">
      <c r="A8417" s="7" t="str">
        <f>IF('Document Workflow'!A8416&lt;&gt;"",'Document Workflow'!A8416,"")</f>
        <v/>
      </c>
    </row>
    <row r="8418" spans="1:1">
      <c r="A8418" s="7" t="str">
        <f>IF('Document Workflow'!A8417&lt;&gt;"",'Document Workflow'!A8417,"")</f>
        <v/>
      </c>
    </row>
    <row r="8419" spans="1:1">
      <c r="A8419" s="7" t="str">
        <f>IF('Document Workflow'!A8418&lt;&gt;"",'Document Workflow'!A8418,"")</f>
        <v/>
      </c>
    </row>
    <row r="8420" spans="1:1">
      <c r="A8420" s="7" t="str">
        <f>IF('Document Workflow'!A8419&lt;&gt;"",'Document Workflow'!A8419,"")</f>
        <v/>
      </c>
    </row>
    <row r="8421" spans="1:1">
      <c r="A8421" s="7" t="str">
        <f>IF('Document Workflow'!A8420&lt;&gt;"",'Document Workflow'!A8420,"")</f>
        <v/>
      </c>
    </row>
    <row r="8422" spans="1:1">
      <c r="A8422" s="7" t="str">
        <f>IF('Document Workflow'!A8421&lt;&gt;"",'Document Workflow'!A8421,"")</f>
        <v/>
      </c>
    </row>
    <row r="8423" spans="1:1">
      <c r="A8423" s="7" t="str">
        <f>IF('Document Workflow'!A8422&lt;&gt;"",'Document Workflow'!A8422,"")</f>
        <v/>
      </c>
    </row>
    <row r="8424" spans="1:1">
      <c r="A8424" s="7" t="str">
        <f>IF('Document Workflow'!A8423&lt;&gt;"",'Document Workflow'!A8423,"")</f>
        <v/>
      </c>
    </row>
    <row r="8425" spans="1:1">
      <c r="A8425" s="7" t="str">
        <f>IF('Document Workflow'!A8424&lt;&gt;"",'Document Workflow'!A8424,"")</f>
        <v/>
      </c>
    </row>
    <row r="8426" spans="1:1">
      <c r="A8426" s="7" t="str">
        <f>IF('Document Workflow'!A8425&lt;&gt;"",'Document Workflow'!A8425,"")</f>
        <v/>
      </c>
    </row>
    <row r="8427" spans="1:1">
      <c r="A8427" s="7" t="str">
        <f>IF('Document Workflow'!A8426&lt;&gt;"",'Document Workflow'!A8426,"")</f>
        <v/>
      </c>
    </row>
    <row r="8428" spans="1:1">
      <c r="A8428" s="7" t="str">
        <f>IF('Document Workflow'!A8427&lt;&gt;"",'Document Workflow'!A8427,"")</f>
        <v/>
      </c>
    </row>
    <row r="8429" spans="1:1">
      <c r="A8429" s="7" t="str">
        <f>IF('Document Workflow'!A8428&lt;&gt;"",'Document Workflow'!A8428,"")</f>
        <v/>
      </c>
    </row>
    <row r="8430" spans="1:1">
      <c r="A8430" s="7" t="str">
        <f>IF('Document Workflow'!A8429&lt;&gt;"",'Document Workflow'!A8429,"")</f>
        <v/>
      </c>
    </row>
    <row r="8431" spans="1:1">
      <c r="A8431" s="7" t="str">
        <f>IF('Document Workflow'!A8430&lt;&gt;"",'Document Workflow'!A8430,"")</f>
        <v/>
      </c>
    </row>
    <row r="8432" spans="1:1">
      <c r="A8432" s="7" t="str">
        <f>IF('Document Workflow'!A8431&lt;&gt;"",'Document Workflow'!A8431,"")</f>
        <v/>
      </c>
    </row>
    <row r="8433" spans="1:1">
      <c r="A8433" s="7" t="str">
        <f>IF('Document Workflow'!A8432&lt;&gt;"",'Document Workflow'!A8432,"")</f>
        <v/>
      </c>
    </row>
    <row r="8434" spans="1:1">
      <c r="A8434" s="7" t="str">
        <f>IF('Document Workflow'!A8433&lt;&gt;"",'Document Workflow'!A8433,"")</f>
        <v/>
      </c>
    </row>
    <row r="8435" spans="1:1">
      <c r="A8435" s="7" t="str">
        <f>IF('Document Workflow'!A8434&lt;&gt;"",'Document Workflow'!A8434,"")</f>
        <v/>
      </c>
    </row>
    <row r="8436" spans="1:1">
      <c r="A8436" s="7" t="str">
        <f>IF('Document Workflow'!A8435&lt;&gt;"",'Document Workflow'!A8435,"")</f>
        <v/>
      </c>
    </row>
    <row r="8437" spans="1:1">
      <c r="A8437" s="7" t="str">
        <f>IF('Document Workflow'!A8436&lt;&gt;"",'Document Workflow'!A8436,"")</f>
        <v/>
      </c>
    </row>
    <row r="8438" spans="1:1">
      <c r="A8438" s="7" t="str">
        <f>IF('Document Workflow'!A8437&lt;&gt;"",'Document Workflow'!A8437,"")</f>
        <v/>
      </c>
    </row>
    <row r="8439" spans="1:1">
      <c r="A8439" s="7" t="str">
        <f>IF('Document Workflow'!A8438&lt;&gt;"",'Document Workflow'!A8438,"")</f>
        <v/>
      </c>
    </row>
    <row r="8440" spans="1:1">
      <c r="A8440" s="7" t="str">
        <f>IF('Document Workflow'!A8439&lt;&gt;"",'Document Workflow'!A8439,"")</f>
        <v/>
      </c>
    </row>
    <row r="8441" spans="1:1">
      <c r="A8441" s="7" t="str">
        <f>IF('Document Workflow'!A8440&lt;&gt;"",'Document Workflow'!A8440,"")</f>
        <v/>
      </c>
    </row>
    <row r="8442" spans="1:1">
      <c r="A8442" s="7" t="str">
        <f>IF('Document Workflow'!A8441&lt;&gt;"",'Document Workflow'!A8441,"")</f>
        <v/>
      </c>
    </row>
    <row r="8443" spans="1:1">
      <c r="A8443" s="7" t="str">
        <f>IF('Document Workflow'!A8442&lt;&gt;"",'Document Workflow'!A8442,"")</f>
        <v/>
      </c>
    </row>
    <row r="8444" spans="1:1">
      <c r="A8444" s="7" t="str">
        <f>IF('Document Workflow'!A8443&lt;&gt;"",'Document Workflow'!A8443,"")</f>
        <v/>
      </c>
    </row>
    <row r="8445" spans="1:1">
      <c r="A8445" s="7" t="str">
        <f>IF('Document Workflow'!A8444&lt;&gt;"",'Document Workflow'!A8444,"")</f>
        <v/>
      </c>
    </row>
    <row r="8446" spans="1:1">
      <c r="A8446" s="7" t="str">
        <f>IF('Document Workflow'!A8445&lt;&gt;"",'Document Workflow'!A8445,"")</f>
        <v/>
      </c>
    </row>
    <row r="8447" spans="1:1">
      <c r="A8447" s="7" t="str">
        <f>IF('Document Workflow'!A8446&lt;&gt;"",'Document Workflow'!A8446,"")</f>
        <v/>
      </c>
    </row>
    <row r="8448" spans="1:1">
      <c r="A8448" s="7" t="str">
        <f>IF('Document Workflow'!A8447&lt;&gt;"",'Document Workflow'!A8447,"")</f>
        <v/>
      </c>
    </row>
    <row r="8449" spans="1:1">
      <c r="A8449" s="7" t="str">
        <f>IF('Document Workflow'!A8448&lt;&gt;"",'Document Workflow'!A8448,"")</f>
        <v/>
      </c>
    </row>
    <row r="8450" spans="1:1">
      <c r="A8450" s="7" t="str">
        <f>IF('Document Workflow'!A8449&lt;&gt;"",'Document Workflow'!A8449,"")</f>
        <v/>
      </c>
    </row>
    <row r="8451" spans="1:1">
      <c r="A8451" s="7" t="str">
        <f>IF('Document Workflow'!A8450&lt;&gt;"",'Document Workflow'!A8450,"")</f>
        <v/>
      </c>
    </row>
    <row r="8452" spans="1:1">
      <c r="A8452" s="7" t="str">
        <f>IF('Document Workflow'!A8451&lt;&gt;"",'Document Workflow'!A8451,"")</f>
        <v/>
      </c>
    </row>
    <row r="8453" spans="1:1">
      <c r="A8453" s="7" t="str">
        <f>IF('Document Workflow'!A8452&lt;&gt;"",'Document Workflow'!A8452,"")</f>
        <v/>
      </c>
    </row>
    <row r="8454" spans="1:1">
      <c r="A8454" s="7" t="str">
        <f>IF('Document Workflow'!A8453&lt;&gt;"",'Document Workflow'!A8453,"")</f>
        <v/>
      </c>
    </row>
    <row r="8455" spans="1:1">
      <c r="A8455" s="7" t="str">
        <f>IF('Document Workflow'!A8454&lt;&gt;"",'Document Workflow'!A8454,"")</f>
        <v/>
      </c>
    </row>
    <row r="8456" spans="1:1">
      <c r="A8456" s="7" t="str">
        <f>IF('Document Workflow'!A8455&lt;&gt;"",'Document Workflow'!A8455,"")</f>
        <v/>
      </c>
    </row>
    <row r="8457" spans="1:1">
      <c r="A8457" s="7" t="str">
        <f>IF('Document Workflow'!A8456&lt;&gt;"",'Document Workflow'!A8456,"")</f>
        <v/>
      </c>
    </row>
    <row r="8458" spans="1:1">
      <c r="A8458" s="7" t="str">
        <f>IF('Document Workflow'!A8457&lt;&gt;"",'Document Workflow'!A8457,"")</f>
        <v/>
      </c>
    </row>
    <row r="8459" spans="1:1">
      <c r="A8459" s="7" t="str">
        <f>IF('Document Workflow'!A8458&lt;&gt;"",'Document Workflow'!A8458,"")</f>
        <v/>
      </c>
    </row>
    <row r="8460" spans="1:1">
      <c r="A8460" s="7" t="str">
        <f>IF('Document Workflow'!A8459&lt;&gt;"",'Document Workflow'!A8459,"")</f>
        <v/>
      </c>
    </row>
    <row r="8461" spans="1:1">
      <c r="A8461" s="7" t="str">
        <f>IF('Document Workflow'!A8460&lt;&gt;"",'Document Workflow'!A8460,"")</f>
        <v/>
      </c>
    </row>
    <row r="8462" spans="1:1">
      <c r="A8462" s="7" t="str">
        <f>IF('Document Workflow'!A8461&lt;&gt;"",'Document Workflow'!A8461,"")</f>
        <v/>
      </c>
    </row>
    <row r="8463" spans="1:1">
      <c r="A8463" s="7" t="str">
        <f>IF('Document Workflow'!A8462&lt;&gt;"",'Document Workflow'!A8462,"")</f>
        <v/>
      </c>
    </row>
    <row r="8464" spans="1:1">
      <c r="A8464" s="7" t="str">
        <f>IF('Document Workflow'!A8463&lt;&gt;"",'Document Workflow'!A8463,"")</f>
        <v/>
      </c>
    </row>
    <row r="8465" spans="1:1">
      <c r="A8465" s="7" t="str">
        <f>IF('Document Workflow'!A8464&lt;&gt;"",'Document Workflow'!A8464,"")</f>
        <v/>
      </c>
    </row>
    <row r="8466" spans="1:1">
      <c r="A8466" s="7" t="str">
        <f>IF('Document Workflow'!A8465&lt;&gt;"",'Document Workflow'!A8465,"")</f>
        <v/>
      </c>
    </row>
    <row r="8467" spans="1:1">
      <c r="A8467" s="7" t="str">
        <f>IF('Document Workflow'!A8466&lt;&gt;"",'Document Workflow'!A8466,"")</f>
        <v/>
      </c>
    </row>
    <row r="8468" spans="1:1">
      <c r="A8468" s="7" t="str">
        <f>IF('Document Workflow'!A8467&lt;&gt;"",'Document Workflow'!A8467,"")</f>
        <v/>
      </c>
    </row>
    <row r="8469" spans="1:1">
      <c r="A8469" s="7" t="str">
        <f>IF('Document Workflow'!A8468&lt;&gt;"",'Document Workflow'!A8468,"")</f>
        <v/>
      </c>
    </row>
    <row r="8470" spans="1:1">
      <c r="A8470" s="7" t="str">
        <f>IF('Document Workflow'!A8469&lt;&gt;"",'Document Workflow'!A8469,"")</f>
        <v/>
      </c>
    </row>
    <row r="8471" spans="1:1">
      <c r="A8471" s="7" t="str">
        <f>IF('Document Workflow'!A8470&lt;&gt;"",'Document Workflow'!A8470,"")</f>
        <v/>
      </c>
    </row>
    <row r="8472" spans="1:1">
      <c r="A8472" s="7" t="str">
        <f>IF('Document Workflow'!A8471&lt;&gt;"",'Document Workflow'!A8471,"")</f>
        <v/>
      </c>
    </row>
    <row r="8473" spans="1:1">
      <c r="A8473" s="7" t="str">
        <f>IF('Document Workflow'!A8472&lt;&gt;"",'Document Workflow'!A8472,"")</f>
        <v/>
      </c>
    </row>
    <row r="8474" spans="1:1">
      <c r="A8474" s="7" t="str">
        <f>IF('Document Workflow'!A8473&lt;&gt;"",'Document Workflow'!A8473,"")</f>
        <v/>
      </c>
    </row>
    <row r="8475" spans="1:1">
      <c r="A8475" s="7" t="str">
        <f>IF('Document Workflow'!A8474&lt;&gt;"",'Document Workflow'!A8474,"")</f>
        <v/>
      </c>
    </row>
    <row r="8476" spans="1:1">
      <c r="A8476" s="7" t="str">
        <f>IF('Document Workflow'!A8475&lt;&gt;"",'Document Workflow'!A8475,"")</f>
        <v/>
      </c>
    </row>
    <row r="8477" spans="1:1">
      <c r="A8477" s="7" t="str">
        <f>IF('Document Workflow'!A8476&lt;&gt;"",'Document Workflow'!A8476,"")</f>
        <v/>
      </c>
    </row>
    <row r="8478" spans="1:1">
      <c r="A8478" s="7" t="str">
        <f>IF('Document Workflow'!A8477&lt;&gt;"",'Document Workflow'!A8477,"")</f>
        <v/>
      </c>
    </row>
    <row r="8479" spans="1:1">
      <c r="A8479" s="7" t="str">
        <f>IF('Document Workflow'!A8478&lt;&gt;"",'Document Workflow'!A8478,"")</f>
        <v/>
      </c>
    </row>
    <row r="8480" spans="1:1">
      <c r="A8480" s="7" t="str">
        <f>IF('Document Workflow'!A8479&lt;&gt;"",'Document Workflow'!A8479,"")</f>
        <v/>
      </c>
    </row>
    <row r="8481" spans="1:1">
      <c r="A8481" s="7" t="str">
        <f>IF('Document Workflow'!A8480&lt;&gt;"",'Document Workflow'!A8480,"")</f>
        <v/>
      </c>
    </row>
    <row r="8482" spans="1:1">
      <c r="A8482" s="7" t="str">
        <f>IF('Document Workflow'!A8481&lt;&gt;"",'Document Workflow'!A8481,"")</f>
        <v/>
      </c>
    </row>
    <row r="8483" spans="1:1">
      <c r="A8483" s="7" t="str">
        <f>IF('Document Workflow'!A8482&lt;&gt;"",'Document Workflow'!A8482,"")</f>
        <v/>
      </c>
    </row>
    <row r="8484" spans="1:1">
      <c r="A8484" s="7" t="str">
        <f>IF('Document Workflow'!A8483&lt;&gt;"",'Document Workflow'!A8483,"")</f>
        <v/>
      </c>
    </row>
    <row r="8485" spans="1:1">
      <c r="A8485" s="7" t="str">
        <f>IF('Document Workflow'!A8484&lt;&gt;"",'Document Workflow'!A8484,"")</f>
        <v/>
      </c>
    </row>
    <row r="8486" spans="1:1">
      <c r="A8486" s="7" t="str">
        <f>IF('Document Workflow'!A8485&lt;&gt;"",'Document Workflow'!A8485,"")</f>
        <v/>
      </c>
    </row>
    <row r="8487" spans="1:1">
      <c r="A8487" s="7" t="str">
        <f>IF('Document Workflow'!A8486&lt;&gt;"",'Document Workflow'!A8486,"")</f>
        <v/>
      </c>
    </row>
    <row r="8488" spans="1:1">
      <c r="A8488" s="7" t="str">
        <f>IF('Document Workflow'!A8487&lt;&gt;"",'Document Workflow'!A8487,"")</f>
        <v/>
      </c>
    </row>
    <row r="8489" spans="1:1">
      <c r="A8489" s="7" t="str">
        <f>IF('Document Workflow'!A8488&lt;&gt;"",'Document Workflow'!A8488,"")</f>
        <v/>
      </c>
    </row>
    <row r="8490" spans="1:1">
      <c r="A8490" s="7" t="str">
        <f>IF('Document Workflow'!A8489&lt;&gt;"",'Document Workflow'!A8489,"")</f>
        <v/>
      </c>
    </row>
    <row r="8491" spans="1:1">
      <c r="A8491" s="7" t="str">
        <f>IF('Document Workflow'!A8490&lt;&gt;"",'Document Workflow'!A8490,"")</f>
        <v/>
      </c>
    </row>
    <row r="8492" spans="1:1">
      <c r="A8492" s="7" t="str">
        <f>IF('Document Workflow'!A8491&lt;&gt;"",'Document Workflow'!A8491,"")</f>
        <v/>
      </c>
    </row>
    <row r="8493" spans="1:1">
      <c r="A8493" s="7" t="str">
        <f>IF('Document Workflow'!A8492&lt;&gt;"",'Document Workflow'!A8492,"")</f>
        <v/>
      </c>
    </row>
    <row r="8494" spans="1:1">
      <c r="A8494" s="7" t="str">
        <f>IF('Document Workflow'!A8493&lt;&gt;"",'Document Workflow'!A8493,"")</f>
        <v/>
      </c>
    </row>
    <row r="8495" spans="1:1">
      <c r="A8495" s="7" t="str">
        <f>IF('Document Workflow'!A8494&lt;&gt;"",'Document Workflow'!A8494,"")</f>
        <v/>
      </c>
    </row>
    <row r="8496" spans="1:1">
      <c r="A8496" s="7" t="str">
        <f>IF('Document Workflow'!A8495&lt;&gt;"",'Document Workflow'!A8495,"")</f>
        <v/>
      </c>
    </row>
    <row r="8497" spans="1:1">
      <c r="A8497" s="7" t="str">
        <f>IF('Document Workflow'!A8496&lt;&gt;"",'Document Workflow'!A8496,"")</f>
        <v/>
      </c>
    </row>
    <row r="8498" spans="1:1">
      <c r="A8498" s="7" t="str">
        <f>IF('Document Workflow'!A8497&lt;&gt;"",'Document Workflow'!A8497,"")</f>
        <v/>
      </c>
    </row>
    <row r="8499" spans="1:1">
      <c r="A8499" s="7" t="str">
        <f>IF('Document Workflow'!A8498&lt;&gt;"",'Document Workflow'!A8498,"")</f>
        <v/>
      </c>
    </row>
    <row r="8500" spans="1:1">
      <c r="A8500" s="7" t="str">
        <f>IF('Document Workflow'!A8499&lt;&gt;"",'Document Workflow'!A8499,"")</f>
        <v/>
      </c>
    </row>
    <row r="8501" spans="1:1">
      <c r="A8501" s="7" t="str">
        <f>IF('Document Workflow'!A8500&lt;&gt;"",'Document Workflow'!A8500,"")</f>
        <v/>
      </c>
    </row>
    <row r="8502" spans="1:1">
      <c r="A8502" s="7" t="str">
        <f>IF('Document Workflow'!A8501&lt;&gt;"",'Document Workflow'!A8501,"")</f>
        <v/>
      </c>
    </row>
    <row r="8503" spans="1:1">
      <c r="A8503" s="7" t="str">
        <f>IF('Document Workflow'!A8502&lt;&gt;"",'Document Workflow'!A8502,"")</f>
        <v/>
      </c>
    </row>
    <row r="8504" spans="1:1">
      <c r="A8504" s="7" t="str">
        <f>IF('Document Workflow'!A8503&lt;&gt;"",'Document Workflow'!A8503,"")</f>
        <v/>
      </c>
    </row>
    <row r="8505" spans="1:1">
      <c r="A8505" s="7" t="str">
        <f>IF('Document Workflow'!A8504&lt;&gt;"",'Document Workflow'!A8504,"")</f>
        <v/>
      </c>
    </row>
    <row r="8506" spans="1:1">
      <c r="A8506" s="7" t="str">
        <f>IF('Document Workflow'!A8505&lt;&gt;"",'Document Workflow'!A8505,"")</f>
        <v/>
      </c>
    </row>
    <row r="8507" spans="1:1">
      <c r="A8507" s="7" t="str">
        <f>IF('Document Workflow'!A8506&lt;&gt;"",'Document Workflow'!A8506,"")</f>
        <v/>
      </c>
    </row>
    <row r="8508" spans="1:1">
      <c r="A8508" s="7" t="str">
        <f>IF('Document Workflow'!A8507&lt;&gt;"",'Document Workflow'!A8507,"")</f>
        <v/>
      </c>
    </row>
    <row r="8509" spans="1:1">
      <c r="A8509" s="7" t="str">
        <f>IF('Document Workflow'!A8508&lt;&gt;"",'Document Workflow'!A8508,"")</f>
        <v/>
      </c>
    </row>
    <row r="8510" spans="1:1">
      <c r="A8510" s="7" t="str">
        <f>IF('Document Workflow'!A8509&lt;&gt;"",'Document Workflow'!A8509,"")</f>
        <v/>
      </c>
    </row>
    <row r="8511" spans="1:1">
      <c r="A8511" s="7" t="str">
        <f>IF('Document Workflow'!A8510&lt;&gt;"",'Document Workflow'!A8510,"")</f>
        <v/>
      </c>
    </row>
    <row r="8512" spans="1:1">
      <c r="A8512" s="7" t="str">
        <f>IF('Document Workflow'!A8511&lt;&gt;"",'Document Workflow'!A8511,"")</f>
        <v/>
      </c>
    </row>
    <row r="8513" spans="1:1">
      <c r="A8513" s="7" t="str">
        <f>IF('Document Workflow'!A8512&lt;&gt;"",'Document Workflow'!A8512,"")</f>
        <v/>
      </c>
    </row>
    <row r="8514" spans="1:1">
      <c r="A8514" s="7" t="str">
        <f>IF('Document Workflow'!A8513&lt;&gt;"",'Document Workflow'!A8513,"")</f>
        <v/>
      </c>
    </row>
    <row r="8515" spans="1:1">
      <c r="A8515" s="7" t="str">
        <f>IF('Document Workflow'!A8514&lt;&gt;"",'Document Workflow'!A8514,"")</f>
        <v/>
      </c>
    </row>
    <row r="8516" spans="1:1">
      <c r="A8516" s="7" t="str">
        <f>IF('Document Workflow'!A8515&lt;&gt;"",'Document Workflow'!A8515,"")</f>
        <v/>
      </c>
    </row>
    <row r="8517" spans="1:1">
      <c r="A8517" s="7" t="str">
        <f>IF('Document Workflow'!A8516&lt;&gt;"",'Document Workflow'!A8516,"")</f>
        <v/>
      </c>
    </row>
    <row r="8518" spans="1:1">
      <c r="A8518" s="7" t="str">
        <f>IF('Document Workflow'!A8517&lt;&gt;"",'Document Workflow'!A8517,"")</f>
        <v/>
      </c>
    </row>
    <row r="8519" spans="1:1">
      <c r="A8519" s="7" t="str">
        <f>IF('Document Workflow'!A8518&lt;&gt;"",'Document Workflow'!A8518,"")</f>
        <v/>
      </c>
    </row>
    <row r="8520" spans="1:1">
      <c r="A8520" s="7" t="str">
        <f>IF('Document Workflow'!A8519&lt;&gt;"",'Document Workflow'!A8519,"")</f>
        <v/>
      </c>
    </row>
    <row r="8521" spans="1:1">
      <c r="A8521" s="7" t="str">
        <f>IF('Document Workflow'!A8520&lt;&gt;"",'Document Workflow'!A8520,"")</f>
        <v/>
      </c>
    </row>
    <row r="8522" spans="1:1">
      <c r="A8522" s="7" t="str">
        <f>IF('Document Workflow'!A8521&lt;&gt;"",'Document Workflow'!A8521,"")</f>
        <v/>
      </c>
    </row>
    <row r="8523" spans="1:1">
      <c r="A8523" s="7" t="str">
        <f>IF('Document Workflow'!A8522&lt;&gt;"",'Document Workflow'!A8522,"")</f>
        <v/>
      </c>
    </row>
    <row r="8524" spans="1:1">
      <c r="A8524" s="7" t="str">
        <f>IF('Document Workflow'!A8523&lt;&gt;"",'Document Workflow'!A8523,"")</f>
        <v/>
      </c>
    </row>
    <row r="8525" spans="1:1">
      <c r="A8525" s="7" t="str">
        <f>IF('Document Workflow'!A8524&lt;&gt;"",'Document Workflow'!A8524,"")</f>
        <v/>
      </c>
    </row>
    <row r="8526" spans="1:1">
      <c r="A8526" s="7" t="str">
        <f>IF('Document Workflow'!A8525&lt;&gt;"",'Document Workflow'!A8525,"")</f>
        <v/>
      </c>
    </row>
    <row r="8527" spans="1:1">
      <c r="A8527" s="7" t="str">
        <f>IF('Document Workflow'!A8526&lt;&gt;"",'Document Workflow'!A8526,"")</f>
        <v/>
      </c>
    </row>
    <row r="8528" spans="1:1">
      <c r="A8528" s="7" t="str">
        <f>IF('Document Workflow'!A8527&lt;&gt;"",'Document Workflow'!A8527,"")</f>
        <v/>
      </c>
    </row>
    <row r="8529" spans="1:1">
      <c r="A8529" s="7" t="str">
        <f>IF('Document Workflow'!A8528&lt;&gt;"",'Document Workflow'!A8528,"")</f>
        <v/>
      </c>
    </row>
    <row r="8530" spans="1:1">
      <c r="A8530" s="7" t="str">
        <f>IF('Document Workflow'!A8529&lt;&gt;"",'Document Workflow'!A8529,"")</f>
        <v/>
      </c>
    </row>
    <row r="8531" spans="1:1">
      <c r="A8531" s="7" t="str">
        <f>IF('Document Workflow'!A8530&lt;&gt;"",'Document Workflow'!A8530,"")</f>
        <v/>
      </c>
    </row>
    <row r="8532" spans="1:1">
      <c r="A8532" s="7" t="str">
        <f>IF('Document Workflow'!A8531&lt;&gt;"",'Document Workflow'!A8531,"")</f>
        <v/>
      </c>
    </row>
    <row r="8533" spans="1:1">
      <c r="A8533" s="7" t="str">
        <f>IF('Document Workflow'!A8532&lt;&gt;"",'Document Workflow'!A8532,"")</f>
        <v/>
      </c>
    </row>
    <row r="8534" spans="1:1">
      <c r="A8534" s="7" t="str">
        <f>IF('Document Workflow'!A8533&lt;&gt;"",'Document Workflow'!A8533,"")</f>
        <v/>
      </c>
    </row>
    <row r="8535" spans="1:1">
      <c r="A8535" s="7" t="str">
        <f>IF('Document Workflow'!A8534&lt;&gt;"",'Document Workflow'!A8534,"")</f>
        <v/>
      </c>
    </row>
    <row r="8536" spans="1:1">
      <c r="A8536" s="7" t="str">
        <f>IF('Document Workflow'!A8535&lt;&gt;"",'Document Workflow'!A8535,"")</f>
        <v/>
      </c>
    </row>
    <row r="8537" spans="1:1">
      <c r="A8537" s="7" t="str">
        <f>IF('Document Workflow'!A8536&lt;&gt;"",'Document Workflow'!A8536,"")</f>
        <v/>
      </c>
    </row>
    <row r="8538" spans="1:1">
      <c r="A8538" s="7" t="str">
        <f>IF('Document Workflow'!A8537&lt;&gt;"",'Document Workflow'!A8537,"")</f>
        <v/>
      </c>
    </row>
    <row r="8539" spans="1:1">
      <c r="A8539" s="7" t="str">
        <f>IF('Document Workflow'!A8538&lt;&gt;"",'Document Workflow'!A8538,"")</f>
        <v/>
      </c>
    </row>
    <row r="8540" spans="1:1">
      <c r="A8540" s="7" t="str">
        <f>IF('Document Workflow'!A8539&lt;&gt;"",'Document Workflow'!A8539,"")</f>
        <v/>
      </c>
    </row>
    <row r="8541" spans="1:1">
      <c r="A8541" s="7" t="str">
        <f>IF('Document Workflow'!A8540&lt;&gt;"",'Document Workflow'!A8540,"")</f>
        <v/>
      </c>
    </row>
    <row r="8542" spans="1:1">
      <c r="A8542" s="7" t="str">
        <f>IF('Document Workflow'!A8541&lt;&gt;"",'Document Workflow'!A8541,"")</f>
        <v/>
      </c>
    </row>
    <row r="8543" spans="1:1">
      <c r="A8543" s="7" t="str">
        <f>IF('Document Workflow'!A8542&lt;&gt;"",'Document Workflow'!A8542,"")</f>
        <v/>
      </c>
    </row>
    <row r="8544" spans="1:1">
      <c r="A8544" s="7" t="str">
        <f>IF('Document Workflow'!A8543&lt;&gt;"",'Document Workflow'!A8543,"")</f>
        <v/>
      </c>
    </row>
    <row r="8545" spans="1:1">
      <c r="A8545" s="7" t="str">
        <f>IF('Document Workflow'!A8544&lt;&gt;"",'Document Workflow'!A8544,"")</f>
        <v/>
      </c>
    </row>
    <row r="8546" spans="1:1">
      <c r="A8546" s="7" t="str">
        <f>IF('Document Workflow'!A8545&lt;&gt;"",'Document Workflow'!A8545,"")</f>
        <v/>
      </c>
    </row>
    <row r="8547" spans="1:1">
      <c r="A8547" s="7" t="str">
        <f>IF('Document Workflow'!A8546&lt;&gt;"",'Document Workflow'!A8546,"")</f>
        <v/>
      </c>
    </row>
    <row r="8548" spans="1:1">
      <c r="A8548" s="7" t="str">
        <f>IF('Document Workflow'!A8547&lt;&gt;"",'Document Workflow'!A8547,"")</f>
        <v/>
      </c>
    </row>
    <row r="8549" spans="1:1">
      <c r="A8549" s="7" t="str">
        <f>IF('Document Workflow'!A8548&lt;&gt;"",'Document Workflow'!A8548,"")</f>
        <v/>
      </c>
    </row>
    <row r="8550" spans="1:1">
      <c r="A8550" s="7" t="str">
        <f>IF('Document Workflow'!A8549&lt;&gt;"",'Document Workflow'!A8549,"")</f>
        <v/>
      </c>
    </row>
    <row r="8551" spans="1:1">
      <c r="A8551" s="7" t="str">
        <f>IF('Document Workflow'!A8550&lt;&gt;"",'Document Workflow'!A8550,"")</f>
        <v/>
      </c>
    </row>
    <row r="8552" spans="1:1">
      <c r="A8552" s="7" t="str">
        <f>IF('Document Workflow'!A8551&lt;&gt;"",'Document Workflow'!A8551,"")</f>
        <v/>
      </c>
    </row>
    <row r="8553" spans="1:1">
      <c r="A8553" s="7" t="str">
        <f>IF('Document Workflow'!A8552&lt;&gt;"",'Document Workflow'!A8552,"")</f>
        <v/>
      </c>
    </row>
    <row r="8554" spans="1:1">
      <c r="A8554" s="7" t="str">
        <f>IF('Document Workflow'!A8553&lt;&gt;"",'Document Workflow'!A8553,"")</f>
        <v/>
      </c>
    </row>
    <row r="8555" spans="1:1">
      <c r="A8555" s="7" t="str">
        <f>IF('Document Workflow'!A8554&lt;&gt;"",'Document Workflow'!A8554,"")</f>
        <v/>
      </c>
    </row>
    <row r="8556" spans="1:1">
      <c r="A8556" s="7" t="str">
        <f>IF('Document Workflow'!A8555&lt;&gt;"",'Document Workflow'!A8555,"")</f>
        <v/>
      </c>
    </row>
    <row r="8557" spans="1:1">
      <c r="A8557" s="7" t="str">
        <f>IF('Document Workflow'!A8556&lt;&gt;"",'Document Workflow'!A8556,"")</f>
        <v/>
      </c>
    </row>
    <row r="8558" spans="1:1">
      <c r="A8558" s="7" t="str">
        <f>IF('Document Workflow'!A8557&lt;&gt;"",'Document Workflow'!A8557,"")</f>
        <v/>
      </c>
    </row>
    <row r="8559" spans="1:1">
      <c r="A8559" s="7" t="str">
        <f>IF('Document Workflow'!A8558&lt;&gt;"",'Document Workflow'!A8558,"")</f>
        <v/>
      </c>
    </row>
    <row r="8560" spans="1:1">
      <c r="A8560" s="7" t="str">
        <f>IF('Document Workflow'!A8559&lt;&gt;"",'Document Workflow'!A8559,"")</f>
        <v/>
      </c>
    </row>
    <row r="8561" spans="1:1">
      <c r="A8561" s="7" t="str">
        <f>IF('Document Workflow'!A8560&lt;&gt;"",'Document Workflow'!A8560,"")</f>
        <v/>
      </c>
    </row>
    <row r="8562" spans="1:1">
      <c r="A8562" s="7" t="str">
        <f>IF('Document Workflow'!A8561&lt;&gt;"",'Document Workflow'!A8561,"")</f>
        <v/>
      </c>
    </row>
    <row r="8563" spans="1:1">
      <c r="A8563" s="7" t="str">
        <f>IF('Document Workflow'!A8562&lt;&gt;"",'Document Workflow'!A8562,"")</f>
        <v/>
      </c>
    </row>
    <row r="8564" spans="1:1">
      <c r="A8564" s="7" t="str">
        <f>IF('Document Workflow'!A8563&lt;&gt;"",'Document Workflow'!A8563,"")</f>
        <v/>
      </c>
    </row>
    <row r="8565" spans="1:1">
      <c r="A8565" s="7" t="str">
        <f>IF('Document Workflow'!A8564&lt;&gt;"",'Document Workflow'!A8564,"")</f>
        <v/>
      </c>
    </row>
    <row r="8566" spans="1:1">
      <c r="A8566" s="7" t="str">
        <f>IF('Document Workflow'!A8565&lt;&gt;"",'Document Workflow'!A8565,"")</f>
        <v/>
      </c>
    </row>
    <row r="8567" spans="1:1">
      <c r="A8567" s="7" t="str">
        <f>IF('Document Workflow'!A8566&lt;&gt;"",'Document Workflow'!A8566,"")</f>
        <v/>
      </c>
    </row>
    <row r="8568" spans="1:1">
      <c r="A8568" s="7" t="str">
        <f>IF('Document Workflow'!A8567&lt;&gt;"",'Document Workflow'!A8567,"")</f>
        <v/>
      </c>
    </row>
    <row r="8569" spans="1:1">
      <c r="A8569" s="7" t="str">
        <f>IF('Document Workflow'!A8568&lt;&gt;"",'Document Workflow'!A8568,"")</f>
        <v/>
      </c>
    </row>
    <row r="8570" spans="1:1">
      <c r="A8570" s="7" t="str">
        <f>IF('Document Workflow'!A8569&lt;&gt;"",'Document Workflow'!A8569,"")</f>
        <v/>
      </c>
    </row>
    <row r="8571" spans="1:1">
      <c r="A8571" s="7" t="str">
        <f>IF('Document Workflow'!A8570&lt;&gt;"",'Document Workflow'!A8570,"")</f>
        <v/>
      </c>
    </row>
    <row r="8572" spans="1:1">
      <c r="A8572" s="7" t="str">
        <f>IF('Document Workflow'!A8571&lt;&gt;"",'Document Workflow'!A8571,"")</f>
        <v/>
      </c>
    </row>
    <row r="8573" spans="1:1">
      <c r="A8573" s="7" t="str">
        <f>IF('Document Workflow'!A8572&lt;&gt;"",'Document Workflow'!A8572,"")</f>
        <v/>
      </c>
    </row>
    <row r="8574" spans="1:1">
      <c r="A8574" s="7" t="str">
        <f>IF('Document Workflow'!A8573&lt;&gt;"",'Document Workflow'!A8573,"")</f>
        <v/>
      </c>
    </row>
    <row r="8575" spans="1:1">
      <c r="A8575" s="7" t="str">
        <f>IF('Document Workflow'!A8574&lt;&gt;"",'Document Workflow'!A8574,"")</f>
        <v/>
      </c>
    </row>
    <row r="8576" spans="1:1">
      <c r="A8576" s="7" t="str">
        <f>IF('Document Workflow'!A8575&lt;&gt;"",'Document Workflow'!A8575,"")</f>
        <v/>
      </c>
    </row>
    <row r="8577" spans="1:1">
      <c r="A8577" s="7" t="str">
        <f>IF('Document Workflow'!A8576&lt;&gt;"",'Document Workflow'!A8576,"")</f>
        <v/>
      </c>
    </row>
    <row r="8578" spans="1:1">
      <c r="A8578" s="7" t="str">
        <f>IF('Document Workflow'!A8577&lt;&gt;"",'Document Workflow'!A8577,"")</f>
        <v/>
      </c>
    </row>
    <row r="8579" spans="1:1">
      <c r="A8579" s="7" t="str">
        <f>IF('Document Workflow'!A8578&lt;&gt;"",'Document Workflow'!A8578,"")</f>
        <v/>
      </c>
    </row>
    <row r="8580" spans="1:1">
      <c r="A8580" s="7" t="str">
        <f>IF('Document Workflow'!A8579&lt;&gt;"",'Document Workflow'!A8579,"")</f>
        <v/>
      </c>
    </row>
    <row r="8581" spans="1:1">
      <c r="A8581" s="7" t="str">
        <f>IF('Document Workflow'!A8580&lt;&gt;"",'Document Workflow'!A8580,"")</f>
        <v/>
      </c>
    </row>
    <row r="8582" spans="1:1">
      <c r="A8582" s="7" t="str">
        <f>IF('Document Workflow'!A8581&lt;&gt;"",'Document Workflow'!A8581,"")</f>
        <v/>
      </c>
    </row>
    <row r="8583" spans="1:1">
      <c r="A8583" s="7" t="str">
        <f>IF('Document Workflow'!A8582&lt;&gt;"",'Document Workflow'!A8582,"")</f>
        <v/>
      </c>
    </row>
    <row r="8584" spans="1:1">
      <c r="A8584" s="7" t="str">
        <f>IF('Document Workflow'!A8583&lt;&gt;"",'Document Workflow'!A8583,"")</f>
        <v/>
      </c>
    </row>
    <row r="8585" spans="1:1">
      <c r="A8585" s="7" t="str">
        <f>IF('Document Workflow'!A8584&lt;&gt;"",'Document Workflow'!A8584,"")</f>
        <v/>
      </c>
    </row>
    <row r="8586" spans="1:1">
      <c r="A8586" s="7" t="str">
        <f>IF('Document Workflow'!A8585&lt;&gt;"",'Document Workflow'!A8585,"")</f>
        <v/>
      </c>
    </row>
    <row r="8587" spans="1:1">
      <c r="A8587" s="7" t="str">
        <f>IF('Document Workflow'!A8586&lt;&gt;"",'Document Workflow'!A8586,"")</f>
        <v/>
      </c>
    </row>
    <row r="8588" spans="1:1">
      <c r="A8588" s="7" t="str">
        <f>IF('Document Workflow'!A8587&lt;&gt;"",'Document Workflow'!A8587,"")</f>
        <v/>
      </c>
    </row>
    <row r="8589" spans="1:1">
      <c r="A8589" s="7" t="str">
        <f>IF('Document Workflow'!A8588&lt;&gt;"",'Document Workflow'!A8588,"")</f>
        <v/>
      </c>
    </row>
    <row r="8590" spans="1:1">
      <c r="A8590" s="7" t="str">
        <f>IF('Document Workflow'!A8589&lt;&gt;"",'Document Workflow'!A8589,"")</f>
        <v/>
      </c>
    </row>
    <row r="8591" spans="1:1">
      <c r="A8591" s="7" t="str">
        <f>IF('Document Workflow'!A8590&lt;&gt;"",'Document Workflow'!A8590,"")</f>
        <v/>
      </c>
    </row>
    <row r="8592" spans="1:1">
      <c r="A8592" s="7" t="str">
        <f>IF('Document Workflow'!A8591&lt;&gt;"",'Document Workflow'!A8591,"")</f>
        <v/>
      </c>
    </row>
    <row r="8593" spans="1:1">
      <c r="A8593" s="7" t="str">
        <f>IF('Document Workflow'!A8592&lt;&gt;"",'Document Workflow'!A8592,"")</f>
        <v/>
      </c>
    </row>
    <row r="8594" spans="1:1">
      <c r="A8594" s="7" t="str">
        <f>IF('Document Workflow'!A8593&lt;&gt;"",'Document Workflow'!A8593,"")</f>
        <v/>
      </c>
    </row>
    <row r="8595" spans="1:1">
      <c r="A8595" s="7" t="str">
        <f>IF('Document Workflow'!A8594&lt;&gt;"",'Document Workflow'!A8594,"")</f>
        <v/>
      </c>
    </row>
    <row r="8596" spans="1:1">
      <c r="A8596" s="7" t="str">
        <f>IF('Document Workflow'!A8595&lt;&gt;"",'Document Workflow'!A8595,"")</f>
        <v/>
      </c>
    </row>
    <row r="8597" spans="1:1">
      <c r="A8597" s="7" t="str">
        <f>IF('Document Workflow'!A8596&lt;&gt;"",'Document Workflow'!A8596,"")</f>
        <v/>
      </c>
    </row>
    <row r="8598" spans="1:1">
      <c r="A8598" s="7" t="str">
        <f>IF('Document Workflow'!A8597&lt;&gt;"",'Document Workflow'!A8597,"")</f>
        <v/>
      </c>
    </row>
    <row r="8599" spans="1:1">
      <c r="A8599" s="7" t="str">
        <f>IF('Document Workflow'!A8598&lt;&gt;"",'Document Workflow'!A8598,"")</f>
        <v/>
      </c>
    </row>
    <row r="8600" spans="1:1">
      <c r="A8600" s="7" t="str">
        <f>IF('Document Workflow'!A8599&lt;&gt;"",'Document Workflow'!A8599,"")</f>
        <v/>
      </c>
    </row>
    <row r="8601" spans="1:1">
      <c r="A8601" s="7" t="str">
        <f>IF('Document Workflow'!A8600&lt;&gt;"",'Document Workflow'!A8600,"")</f>
        <v/>
      </c>
    </row>
    <row r="8602" spans="1:1">
      <c r="A8602" s="7" t="str">
        <f>IF('Document Workflow'!A8601&lt;&gt;"",'Document Workflow'!A8601,"")</f>
        <v/>
      </c>
    </row>
    <row r="8603" spans="1:1">
      <c r="A8603" s="7" t="str">
        <f>IF('Document Workflow'!A8602&lt;&gt;"",'Document Workflow'!A8602,"")</f>
        <v/>
      </c>
    </row>
    <row r="8604" spans="1:1">
      <c r="A8604" s="7" t="str">
        <f>IF('Document Workflow'!A8603&lt;&gt;"",'Document Workflow'!A8603,"")</f>
        <v/>
      </c>
    </row>
    <row r="8605" spans="1:1">
      <c r="A8605" s="7" t="str">
        <f>IF('Document Workflow'!A8604&lt;&gt;"",'Document Workflow'!A8604,"")</f>
        <v/>
      </c>
    </row>
    <row r="8606" spans="1:1">
      <c r="A8606" s="7" t="str">
        <f>IF('Document Workflow'!A8605&lt;&gt;"",'Document Workflow'!A8605,"")</f>
        <v/>
      </c>
    </row>
    <row r="8607" spans="1:1">
      <c r="A8607" s="7" t="str">
        <f>IF('Document Workflow'!A8606&lt;&gt;"",'Document Workflow'!A8606,"")</f>
        <v/>
      </c>
    </row>
    <row r="8608" spans="1:1">
      <c r="A8608" s="7" t="str">
        <f>IF('Document Workflow'!A8607&lt;&gt;"",'Document Workflow'!A8607,"")</f>
        <v/>
      </c>
    </row>
    <row r="8609" spans="1:1">
      <c r="A8609" s="7" t="str">
        <f>IF('Document Workflow'!A8608&lt;&gt;"",'Document Workflow'!A8608,"")</f>
        <v/>
      </c>
    </row>
    <row r="8610" spans="1:1">
      <c r="A8610" s="7" t="str">
        <f>IF('Document Workflow'!A8609&lt;&gt;"",'Document Workflow'!A8609,"")</f>
        <v/>
      </c>
    </row>
    <row r="8611" spans="1:1">
      <c r="A8611" s="7" t="str">
        <f>IF('Document Workflow'!A8610&lt;&gt;"",'Document Workflow'!A8610,"")</f>
        <v/>
      </c>
    </row>
    <row r="8612" spans="1:1">
      <c r="A8612" s="7" t="str">
        <f>IF('Document Workflow'!A8611&lt;&gt;"",'Document Workflow'!A8611,"")</f>
        <v/>
      </c>
    </row>
    <row r="8613" spans="1:1">
      <c r="A8613" s="7" t="str">
        <f>IF('Document Workflow'!A8612&lt;&gt;"",'Document Workflow'!A8612,"")</f>
        <v/>
      </c>
    </row>
    <row r="8614" spans="1:1">
      <c r="A8614" s="7" t="str">
        <f>IF('Document Workflow'!A8613&lt;&gt;"",'Document Workflow'!A8613,"")</f>
        <v/>
      </c>
    </row>
    <row r="8615" spans="1:1">
      <c r="A8615" s="7" t="str">
        <f>IF('Document Workflow'!A8614&lt;&gt;"",'Document Workflow'!A8614,"")</f>
        <v/>
      </c>
    </row>
    <row r="8616" spans="1:1">
      <c r="A8616" s="7" t="str">
        <f>IF('Document Workflow'!A8615&lt;&gt;"",'Document Workflow'!A8615,"")</f>
        <v/>
      </c>
    </row>
    <row r="8617" spans="1:1">
      <c r="A8617" s="7" t="str">
        <f>IF('Document Workflow'!A8616&lt;&gt;"",'Document Workflow'!A8616,"")</f>
        <v/>
      </c>
    </row>
    <row r="8618" spans="1:1">
      <c r="A8618" s="7" t="str">
        <f>IF('Document Workflow'!A8617&lt;&gt;"",'Document Workflow'!A8617,"")</f>
        <v/>
      </c>
    </row>
    <row r="8619" spans="1:1">
      <c r="A8619" s="7" t="str">
        <f>IF('Document Workflow'!A8618&lt;&gt;"",'Document Workflow'!A8618,"")</f>
        <v/>
      </c>
    </row>
    <row r="8620" spans="1:1">
      <c r="A8620" s="7" t="str">
        <f>IF('Document Workflow'!A8619&lt;&gt;"",'Document Workflow'!A8619,"")</f>
        <v/>
      </c>
    </row>
    <row r="8621" spans="1:1">
      <c r="A8621" s="7" t="str">
        <f>IF('Document Workflow'!A8620&lt;&gt;"",'Document Workflow'!A8620,"")</f>
        <v/>
      </c>
    </row>
    <row r="8622" spans="1:1">
      <c r="A8622" s="7" t="str">
        <f>IF('Document Workflow'!A8621&lt;&gt;"",'Document Workflow'!A8621,"")</f>
        <v/>
      </c>
    </row>
    <row r="8623" spans="1:1">
      <c r="A8623" s="7" t="str">
        <f>IF('Document Workflow'!A8622&lt;&gt;"",'Document Workflow'!A8622,"")</f>
        <v/>
      </c>
    </row>
    <row r="8624" spans="1:1">
      <c r="A8624" s="7" t="str">
        <f>IF('Document Workflow'!A8623&lt;&gt;"",'Document Workflow'!A8623,"")</f>
        <v/>
      </c>
    </row>
    <row r="8625" spans="1:1">
      <c r="A8625" s="7" t="str">
        <f>IF('Document Workflow'!A8624&lt;&gt;"",'Document Workflow'!A8624,"")</f>
        <v/>
      </c>
    </row>
    <row r="8626" spans="1:1">
      <c r="A8626" s="7" t="str">
        <f>IF('Document Workflow'!A8625&lt;&gt;"",'Document Workflow'!A8625,"")</f>
        <v/>
      </c>
    </row>
    <row r="8627" spans="1:1">
      <c r="A8627" s="7" t="str">
        <f>IF('Document Workflow'!A8626&lt;&gt;"",'Document Workflow'!A8626,"")</f>
        <v/>
      </c>
    </row>
    <row r="8628" spans="1:1">
      <c r="A8628" s="7" t="str">
        <f>IF('Document Workflow'!A8627&lt;&gt;"",'Document Workflow'!A8627,"")</f>
        <v/>
      </c>
    </row>
    <row r="8629" spans="1:1">
      <c r="A8629" s="7" t="str">
        <f>IF('Document Workflow'!A8628&lt;&gt;"",'Document Workflow'!A8628,"")</f>
        <v/>
      </c>
    </row>
    <row r="8630" spans="1:1">
      <c r="A8630" s="7" t="str">
        <f>IF('Document Workflow'!A8629&lt;&gt;"",'Document Workflow'!A8629,"")</f>
        <v/>
      </c>
    </row>
    <row r="8631" spans="1:1">
      <c r="A8631" s="7" t="str">
        <f>IF('Document Workflow'!A8630&lt;&gt;"",'Document Workflow'!A8630,"")</f>
        <v/>
      </c>
    </row>
    <row r="8632" spans="1:1">
      <c r="A8632" s="7" t="str">
        <f>IF('Document Workflow'!A8631&lt;&gt;"",'Document Workflow'!A8631,"")</f>
        <v/>
      </c>
    </row>
    <row r="8633" spans="1:1">
      <c r="A8633" s="7" t="str">
        <f>IF('Document Workflow'!A8632&lt;&gt;"",'Document Workflow'!A8632,"")</f>
        <v/>
      </c>
    </row>
    <row r="8634" spans="1:1">
      <c r="A8634" s="7" t="str">
        <f>IF('Document Workflow'!A8633&lt;&gt;"",'Document Workflow'!A8633,"")</f>
        <v/>
      </c>
    </row>
    <row r="8635" spans="1:1">
      <c r="A8635" s="7" t="str">
        <f>IF('Document Workflow'!A8634&lt;&gt;"",'Document Workflow'!A8634,"")</f>
        <v/>
      </c>
    </row>
    <row r="8636" spans="1:1">
      <c r="A8636" s="7" t="str">
        <f>IF('Document Workflow'!A8635&lt;&gt;"",'Document Workflow'!A8635,"")</f>
        <v/>
      </c>
    </row>
    <row r="8637" spans="1:1">
      <c r="A8637" s="7" t="str">
        <f>IF('Document Workflow'!A8636&lt;&gt;"",'Document Workflow'!A8636,"")</f>
        <v/>
      </c>
    </row>
    <row r="8638" spans="1:1">
      <c r="A8638" s="7" t="str">
        <f>IF('Document Workflow'!A8637&lt;&gt;"",'Document Workflow'!A8637,"")</f>
        <v/>
      </c>
    </row>
    <row r="8639" spans="1:1">
      <c r="A8639" s="7" t="str">
        <f>IF('Document Workflow'!A8638&lt;&gt;"",'Document Workflow'!A8638,"")</f>
        <v/>
      </c>
    </row>
    <row r="8640" spans="1:1">
      <c r="A8640" s="7" t="str">
        <f>IF('Document Workflow'!A8639&lt;&gt;"",'Document Workflow'!A8639,"")</f>
        <v/>
      </c>
    </row>
    <row r="8641" spans="1:1">
      <c r="A8641" s="7" t="str">
        <f>IF('Document Workflow'!A8640&lt;&gt;"",'Document Workflow'!A8640,"")</f>
        <v/>
      </c>
    </row>
    <row r="8642" spans="1:1">
      <c r="A8642" s="7" t="str">
        <f>IF('Document Workflow'!A8641&lt;&gt;"",'Document Workflow'!A8641,"")</f>
        <v/>
      </c>
    </row>
    <row r="8643" spans="1:1">
      <c r="A8643" s="7" t="str">
        <f>IF('Document Workflow'!A8642&lt;&gt;"",'Document Workflow'!A8642,"")</f>
        <v/>
      </c>
    </row>
    <row r="8644" spans="1:1">
      <c r="A8644" s="7" t="str">
        <f>IF('Document Workflow'!A8643&lt;&gt;"",'Document Workflow'!A8643,"")</f>
        <v/>
      </c>
    </row>
    <row r="8645" spans="1:1">
      <c r="A8645" s="7" t="str">
        <f>IF('Document Workflow'!A8644&lt;&gt;"",'Document Workflow'!A8644,"")</f>
        <v/>
      </c>
    </row>
    <row r="8646" spans="1:1">
      <c r="A8646" s="7" t="str">
        <f>IF('Document Workflow'!A8645&lt;&gt;"",'Document Workflow'!A8645,"")</f>
        <v/>
      </c>
    </row>
    <row r="8647" spans="1:1">
      <c r="A8647" s="7" t="str">
        <f>IF('Document Workflow'!A8646&lt;&gt;"",'Document Workflow'!A8646,"")</f>
        <v/>
      </c>
    </row>
    <row r="8648" spans="1:1">
      <c r="A8648" s="7" t="str">
        <f>IF('Document Workflow'!A8647&lt;&gt;"",'Document Workflow'!A8647,"")</f>
        <v/>
      </c>
    </row>
    <row r="8649" spans="1:1">
      <c r="A8649" s="7" t="str">
        <f>IF('Document Workflow'!A8648&lt;&gt;"",'Document Workflow'!A8648,"")</f>
        <v/>
      </c>
    </row>
    <row r="8650" spans="1:1">
      <c r="A8650" s="7" t="str">
        <f>IF('Document Workflow'!A8649&lt;&gt;"",'Document Workflow'!A8649,"")</f>
        <v/>
      </c>
    </row>
    <row r="8651" spans="1:1">
      <c r="A8651" s="7" t="str">
        <f>IF('Document Workflow'!A8650&lt;&gt;"",'Document Workflow'!A8650,"")</f>
        <v/>
      </c>
    </row>
    <row r="8652" spans="1:1">
      <c r="A8652" s="7" t="str">
        <f>IF('Document Workflow'!A8651&lt;&gt;"",'Document Workflow'!A8651,"")</f>
        <v/>
      </c>
    </row>
    <row r="8653" spans="1:1">
      <c r="A8653" s="7" t="str">
        <f>IF('Document Workflow'!A8652&lt;&gt;"",'Document Workflow'!A8652,"")</f>
        <v/>
      </c>
    </row>
    <row r="8654" spans="1:1">
      <c r="A8654" s="7" t="str">
        <f>IF('Document Workflow'!A8653&lt;&gt;"",'Document Workflow'!A8653,"")</f>
        <v/>
      </c>
    </row>
    <row r="8655" spans="1:1">
      <c r="A8655" s="7" t="str">
        <f>IF('Document Workflow'!A8654&lt;&gt;"",'Document Workflow'!A8654,"")</f>
        <v/>
      </c>
    </row>
    <row r="8656" spans="1:1">
      <c r="A8656" s="7" t="str">
        <f>IF('Document Workflow'!A8655&lt;&gt;"",'Document Workflow'!A8655,"")</f>
        <v/>
      </c>
    </row>
    <row r="8657" spans="1:1">
      <c r="A8657" s="7" t="str">
        <f>IF('Document Workflow'!A8656&lt;&gt;"",'Document Workflow'!A8656,"")</f>
        <v/>
      </c>
    </row>
    <row r="8658" spans="1:1">
      <c r="A8658" s="7" t="str">
        <f>IF('Document Workflow'!A8657&lt;&gt;"",'Document Workflow'!A8657,"")</f>
        <v/>
      </c>
    </row>
    <row r="8659" spans="1:1">
      <c r="A8659" s="7" t="str">
        <f>IF('Document Workflow'!A8658&lt;&gt;"",'Document Workflow'!A8658,"")</f>
        <v/>
      </c>
    </row>
    <row r="8660" spans="1:1">
      <c r="A8660" s="7" t="str">
        <f>IF('Document Workflow'!A8659&lt;&gt;"",'Document Workflow'!A8659,"")</f>
        <v/>
      </c>
    </row>
    <row r="8661" spans="1:1">
      <c r="A8661" s="7" t="str">
        <f>IF('Document Workflow'!A8660&lt;&gt;"",'Document Workflow'!A8660,"")</f>
        <v/>
      </c>
    </row>
    <row r="8662" spans="1:1">
      <c r="A8662" s="7" t="str">
        <f>IF('Document Workflow'!A8661&lt;&gt;"",'Document Workflow'!A8661,"")</f>
        <v/>
      </c>
    </row>
    <row r="8663" spans="1:1">
      <c r="A8663" s="7" t="str">
        <f>IF('Document Workflow'!A8662&lt;&gt;"",'Document Workflow'!A8662,"")</f>
        <v/>
      </c>
    </row>
    <row r="8664" spans="1:1">
      <c r="A8664" s="7" t="str">
        <f>IF('Document Workflow'!A8663&lt;&gt;"",'Document Workflow'!A8663,"")</f>
        <v/>
      </c>
    </row>
    <row r="8665" spans="1:1">
      <c r="A8665" s="7" t="str">
        <f>IF('Document Workflow'!A8664&lt;&gt;"",'Document Workflow'!A8664,"")</f>
        <v/>
      </c>
    </row>
    <row r="8666" spans="1:1">
      <c r="A8666" s="7" t="str">
        <f>IF('Document Workflow'!A8665&lt;&gt;"",'Document Workflow'!A8665,"")</f>
        <v/>
      </c>
    </row>
    <row r="8667" spans="1:1">
      <c r="A8667" s="7" t="str">
        <f>IF('Document Workflow'!A8666&lt;&gt;"",'Document Workflow'!A8666,"")</f>
        <v/>
      </c>
    </row>
    <row r="8668" spans="1:1">
      <c r="A8668" s="7" t="str">
        <f>IF('Document Workflow'!A8667&lt;&gt;"",'Document Workflow'!A8667,"")</f>
        <v/>
      </c>
    </row>
    <row r="8669" spans="1:1">
      <c r="A8669" s="7" t="str">
        <f>IF('Document Workflow'!A8668&lt;&gt;"",'Document Workflow'!A8668,"")</f>
        <v/>
      </c>
    </row>
    <row r="8670" spans="1:1">
      <c r="A8670" s="7" t="str">
        <f>IF('Document Workflow'!A8669&lt;&gt;"",'Document Workflow'!A8669,"")</f>
        <v/>
      </c>
    </row>
    <row r="8671" spans="1:1">
      <c r="A8671" s="7" t="str">
        <f>IF('Document Workflow'!A8670&lt;&gt;"",'Document Workflow'!A8670,"")</f>
        <v/>
      </c>
    </row>
    <row r="8672" spans="1:1">
      <c r="A8672" s="7" t="str">
        <f>IF('Document Workflow'!A8671&lt;&gt;"",'Document Workflow'!A8671,"")</f>
        <v/>
      </c>
    </row>
    <row r="8673" spans="1:1">
      <c r="A8673" s="7" t="str">
        <f>IF('Document Workflow'!A8672&lt;&gt;"",'Document Workflow'!A8672,"")</f>
        <v/>
      </c>
    </row>
    <row r="8674" spans="1:1">
      <c r="A8674" s="7" t="str">
        <f>IF('Document Workflow'!A8673&lt;&gt;"",'Document Workflow'!A8673,"")</f>
        <v/>
      </c>
    </row>
    <row r="8675" spans="1:1">
      <c r="A8675" s="7" t="str">
        <f>IF('Document Workflow'!A8674&lt;&gt;"",'Document Workflow'!A8674,"")</f>
        <v/>
      </c>
    </row>
    <row r="8676" spans="1:1">
      <c r="A8676" s="7" t="str">
        <f>IF('Document Workflow'!A8675&lt;&gt;"",'Document Workflow'!A8675,"")</f>
        <v/>
      </c>
    </row>
    <row r="8677" spans="1:1">
      <c r="A8677" s="7" t="str">
        <f>IF('Document Workflow'!A8676&lt;&gt;"",'Document Workflow'!A8676,"")</f>
        <v/>
      </c>
    </row>
    <row r="8678" spans="1:1">
      <c r="A8678" s="7" t="str">
        <f>IF('Document Workflow'!A8677&lt;&gt;"",'Document Workflow'!A8677,"")</f>
        <v/>
      </c>
    </row>
    <row r="8679" spans="1:1">
      <c r="A8679" s="7" t="str">
        <f>IF('Document Workflow'!A8678&lt;&gt;"",'Document Workflow'!A8678,"")</f>
        <v/>
      </c>
    </row>
    <row r="8680" spans="1:1">
      <c r="A8680" s="7" t="str">
        <f>IF('Document Workflow'!A8679&lt;&gt;"",'Document Workflow'!A8679,"")</f>
        <v/>
      </c>
    </row>
    <row r="8681" spans="1:1">
      <c r="A8681" s="7" t="str">
        <f>IF('Document Workflow'!A8680&lt;&gt;"",'Document Workflow'!A8680,"")</f>
        <v/>
      </c>
    </row>
    <row r="8682" spans="1:1">
      <c r="A8682" s="7" t="str">
        <f>IF('Document Workflow'!A8681&lt;&gt;"",'Document Workflow'!A8681,"")</f>
        <v/>
      </c>
    </row>
    <row r="8683" spans="1:1">
      <c r="A8683" s="7" t="str">
        <f>IF('Document Workflow'!A8682&lt;&gt;"",'Document Workflow'!A8682,"")</f>
        <v/>
      </c>
    </row>
    <row r="8684" spans="1:1">
      <c r="A8684" s="7" t="str">
        <f>IF('Document Workflow'!A8683&lt;&gt;"",'Document Workflow'!A8683,"")</f>
        <v/>
      </c>
    </row>
    <row r="8685" spans="1:1">
      <c r="A8685" s="7" t="str">
        <f>IF('Document Workflow'!A8684&lt;&gt;"",'Document Workflow'!A8684,"")</f>
        <v/>
      </c>
    </row>
    <row r="8686" spans="1:1">
      <c r="A8686" s="7" t="str">
        <f>IF('Document Workflow'!A8685&lt;&gt;"",'Document Workflow'!A8685,"")</f>
        <v/>
      </c>
    </row>
    <row r="8687" spans="1:1">
      <c r="A8687" s="7" t="str">
        <f>IF('Document Workflow'!A8686&lt;&gt;"",'Document Workflow'!A8686,"")</f>
        <v/>
      </c>
    </row>
    <row r="8688" spans="1:1">
      <c r="A8688" s="7" t="str">
        <f>IF('Document Workflow'!A8687&lt;&gt;"",'Document Workflow'!A8687,"")</f>
        <v/>
      </c>
    </row>
    <row r="8689" spans="1:1">
      <c r="A8689" s="7" t="str">
        <f>IF('Document Workflow'!A8688&lt;&gt;"",'Document Workflow'!A8688,"")</f>
        <v/>
      </c>
    </row>
    <row r="8690" spans="1:1">
      <c r="A8690" s="7" t="str">
        <f>IF('Document Workflow'!A8689&lt;&gt;"",'Document Workflow'!A8689,"")</f>
        <v/>
      </c>
    </row>
    <row r="8691" spans="1:1">
      <c r="A8691" s="7" t="str">
        <f>IF('Document Workflow'!A8690&lt;&gt;"",'Document Workflow'!A8690,"")</f>
        <v/>
      </c>
    </row>
    <row r="8692" spans="1:1">
      <c r="A8692" s="7" t="str">
        <f>IF('Document Workflow'!A8691&lt;&gt;"",'Document Workflow'!A8691,"")</f>
        <v/>
      </c>
    </row>
    <row r="8693" spans="1:1">
      <c r="A8693" s="7" t="str">
        <f>IF('Document Workflow'!A8692&lt;&gt;"",'Document Workflow'!A8692,"")</f>
        <v/>
      </c>
    </row>
    <row r="8694" spans="1:1">
      <c r="A8694" s="7" t="str">
        <f>IF('Document Workflow'!A8693&lt;&gt;"",'Document Workflow'!A8693,"")</f>
        <v/>
      </c>
    </row>
    <row r="8695" spans="1:1">
      <c r="A8695" s="7" t="str">
        <f>IF('Document Workflow'!A8694&lt;&gt;"",'Document Workflow'!A8694,"")</f>
        <v/>
      </c>
    </row>
    <row r="8696" spans="1:1">
      <c r="A8696" s="7" t="str">
        <f>IF('Document Workflow'!A8695&lt;&gt;"",'Document Workflow'!A8695,"")</f>
        <v/>
      </c>
    </row>
    <row r="8697" spans="1:1">
      <c r="A8697" s="7" t="str">
        <f>IF('Document Workflow'!A8696&lt;&gt;"",'Document Workflow'!A8696,"")</f>
        <v/>
      </c>
    </row>
    <row r="8698" spans="1:1">
      <c r="A8698" s="7" t="str">
        <f>IF('Document Workflow'!A8697&lt;&gt;"",'Document Workflow'!A8697,"")</f>
        <v/>
      </c>
    </row>
    <row r="8699" spans="1:1">
      <c r="A8699" s="7" t="str">
        <f>IF('Document Workflow'!A8698&lt;&gt;"",'Document Workflow'!A8698,"")</f>
        <v/>
      </c>
    </row>
    <row r="8700" spans="1:1">
      <c r="A8700" s="7" t="str">
        <f>IF('Document Workflow'!A8699&lt;&gt;"",'Document Workflow'!A8699,"")</f>
        <v/>
      </c>
    </row>
    <row r="8701" spans="1:1">
      <c r="A8701" s="7" t="str">
        <f>IF('Document Workflow'!A8700&lt;&gt;"",'Document Workflow'!A8700,"")</f>
        <v/>
      </c>
    </row>
    <row r="8702" spans="1:1">
      <c r="A8702" s="7" t="str">
        <f>IF('Document Workflow'!A8701&lt;&gt;"",'Document Workflow'!A8701,"")</f>
        <v/>
      </c>
    </row>
    <row r="8703" spans="1:1">
      <c r="A8703" s="7" t="str">
        <f>IF('Document Workflow'!A8702&lt;&gt;"",'Document Workflow'!A8702,"")</f>
        <v/>
      </c>
    </row>
    <row r="8704" spans="1:1">
      <c r="A8704" s="7" t="str">
        <f>IF('Document Workflow'!A8703&lt;&gt;"",'Document Workflow'!A8703,"")</f>
        <v/>
      </c>
    </row>
    <row r="8705" spans="1:1">
      <c r="A8705" s="7" t="str">
        <f>IF('Document Workflow'!A8704&lt;&gt;"",'Document Workflow'!A8704,"")</f>
        <v/>
      </c>
    </row>
    <row r="8706" spans="1:1">
      <c r="A8706" s="7" t="str">
        <f>IF('Document Workflow'!A8705&lt;&gt;"",'Document Workflow'!A8705,"")</f>
        <v/>
      </c>
    </row>
    <row r="8707" spans="1:1">
      <c r="A8707" s="7" t="str">
        <f>IF('Document Workflow'!A8706&lt;&gt;"",'Document Workflow'!A8706,"")</f>
        <v/>
      </c>
    </row>
    <row r="8708" spans="1:1">
      <c r="A8708" s="7" t="str">
        <f>IF('Document Workflow'!A8707&lt;&gt;"",'Document Workflow'!A8707,"")</f>
        <v/>
      </c>
    </row>
    <row r="8709" spans="1:1">
      <c r="A8709" s="7" t="str">
        <f>IF('Document Workflow'!A8708&lt;&gt;"",'Document Workflow'!A8708,"")</f>
        <v/>
      </c>
    </row>
    <row r="8710" spans="1:1">
      <c r="A8710" s="7" t="str">
        <f>IF('Document Workflow'!A8709&lt;&gt;"",'Document Workflow'!A8709,"")</f>
        <v/>
      </c>
    </row>
    <row r="8711" spans="1:1">
      <c r="A8711" s="7" t="str">
        <f>IF('Document Workflow'!A8710&lt;&gt;"",'Document Workflow'!A8710,"")</f>
        <v/>
      </c>
    </row>
    <row r="8712" spans="1:1">
      <c r="A8712" s="7" t="str">
        <f>IF('Document Workflow'!A8711&lt;&gt;"",'Document Workflow'!A8711,"")</f>
        <v/>
      </c>
    </row>
    <row r="8713" spans="1:1">
      <c r="A8713" s="7" t="str">
        <f>IF('Document Workflow'!A8712&lt;&gt;"",'Document Workflow'!A8712,"")</f>
        <v/>
      </c>
    </row>
    <row r="8714" spans="1:1">
      <c r="A8714" s="7" t="str">
        <f>IF('Document Workflow'!A8713&lt;&gt;"",'Document Workflow'!A8713,"")</f>
        <v/>
      </c>
    </row>
    <row r="8715" spans="1:1">
      <c r="A8715" s="7" t="str">
        <f>IF('Document Workflow'!A8714&lt;&gt;"",'Document Workflow'!A8714,"")</f>
        <v/>
      </c>
    </row>
    <row r="8716" spans="1:1">
      <c r="A8716" s="7" t="str">
        <f>IF('Document Workflow'!A8715&lt;&gt;"",'Document Workflow'!A8715,"")</f>
        <v/>
      </c>
    </row>
    <row r="8717" spans="1:1">
      <c r="A8717" s="7" t="str">
        <f>IF('Document Workflow'!A8716&lt;&gt;"",'Document Workflow'!A8716,"")</f>
        <v/>
      </c>
    </row>
    <row r="8718" spans="1:1">
      <c r="A8718" s="7" t="str">
        <f>IF('Document Workflow'!A8717&lt;&gt;"",'Document Workflow'!A8717,"")</f>
        <v/>
      </c>
    </row>
    <row r="8719" spans="1:1">
      <c r="A8719" s="7" t="str">
        <f>IF('Document Workflow'!A8718&lt;&gt;"",'Document Workflow'!A8718,"")</f>
        <v/>
      </c>
    </row>
    <row r="8720" spans="1:1">
      <c r="A8720" s="7" t="str">
        <f>IF('Document Workflow'!A8719&lt;&gt;"",'Document Workflow'!A8719,"")</f>
        <v/>
      </c>
    </row>
    <row r="8721" spans="1:1">
      <c r="A8721" s="7" t="str">
        <f>IF('Document Workflow'!A8720&lt;&gt;"",'Document Workflow'!A8720,"")</f>
        <v/>
      </c>
    </row>
    <row r="8722" spans="1:1">
      <c r="A8722" s="7" t="str">
        <f>IF('Document Workflow'!A8721&lt;&gt;"",'Document Workflow'!A8721,"")</f>
        <v/>
      </c>
    </row>
    <row r="8723" spans="1:1">
      <c r="A8723" s="7" t="str">
        <f>IF('Document Workflow'!A8722&lt;&gt;"",'Document Workflow'!A8722,"")</f>
        <v/>
      </c>
    </row>
    <row r="8724" spans="1:1">
      <c r="A8724" s="7" t="str">
        <f>IF('Document Workflow'!A8723&lt;&gt;"",'Document Workflow'!A8723,"")</f>
        <v/>
      </c>
    </row>
    <row r="8725" spans="1:1">
      <c r="A8725" s="7" t="str">
        <f>IF('Document Workflow'!A8724&lt;&gt;"",'Document Workflow'!A8724,"")</f>
        <v/>
      </c>
    </row>
    <row r="8726" spans="1:1">
      <c r="A8726" s="7" t="str">
        <f>IF('Document Workflow'!A8725&lt;&gt;"",'Document Workflow'!A8725,"")</f>
        <v/>
      </c>
    </row>
    <row r="8727" spans="1:1">
      <c r="A8727" s="7" t="str">
        <f>IF('Document Workflow'!A8726&lt;&gt;"",'Document Workflow'!A8726,"")</f>
        <v/>
      </c>
    </row>
    <row r="8728" spans="1:1">
      <c r="A8728" s="7" t="str">
        <f>IF('Document Workflow'!A8727&lt;&gt;"",'Document Workflow'!A8727,"")</f>
        <v/>
      </c>
    </row>
    <row r="8729" spans="1:1">
      <c r="A8729" s="7" t="str">
        <f>IF('Document Workflow'!A8728&lt;&gt;"",'Document Workflow'!A8728,"")</f>
        <v/>
      </c>
    </row>
    <row r="8730" spans="1:1">
      <c r="A8730" s="7" t="str">
        <f>IF('Document Workflow'!A8729&lt;&gt;"",'Document Workflow'!A8729,"")</f>
        <v/>
      </c>
    </row>
    <row r="8731" spans="1:1">
      <c r="A8731" s="7" t="str">
        <f>IF('Document Workflow'!A8730&lt;&gt;"",'Document Workflow'!A8730,"")</f>
        <v/>
      </c>
    </row>
    <row r="8732" spans="1:1">
      <c r="A8732" s="7" t="str">
        <f>IF('Document Workflow'!A8731&lt;&gt;"",'Document Workflow'!A8731,"")</f>
        <v/>
      </c>
    </row>
    <row r="8733" spans="1:1">
      <c r="A8733" s="7" t="str">
        <f>IF('Document Workflow'!A8732&lt;&gt;"",'Document Workflow'!A8732,"")</f>
        <v/>
      </c>
    </row>
    <row r="8734" spans="1:1">
      <c r="A8734" s="7" t="str">
        <f>IF('Document Workflow'!A8733&lt;&gt;"",'Document Workflow'!A8733,"")</f>
        <v/>
      </c>
    </row>
    <row r="8735" spans="1:1">
      <c r="A8735" s="7" t="str">
        <f>IF('Document Workflow'!A8734&lt;&gt;"",'Document Workflow'!A8734,"")</f>
        <v/>
      </c>
    </row>
    <row r="8736" spans="1:1">
      <c r="A8736" s="7" t="str">
        <f>IF('Document Workflow'!A8735&lt;&gt;"",'Document Workflow'!A8735,"")</f>
        <v/>
      </c>
    </row>
    <row r="8737" spans="1:1">
      <c r="A8737" s="7" t="str">
        <f>IF('Document Workflow'!A8736&lt;&gt;"",'Document Workflow'!A8736,"")</f>
        <v/>
      </c>
    </row>
    <row r="8738" spans="1:1">
      <c r="A8738" s="7" t="str">
        <f>IF('Document Workflow'!A8737&lt;&gt;"",'Document Workflow'!A8737,"")</f>
        <v/>
      </c>
    </row>
    <row r="8739" spans="1:1">
      <c r="A8739" s="7" t="str">
        <f>IF('Document Workflow'!A8738&lt;&gt;"",'Document Workflow'!A8738,"")</f>
        <v/>
      </c>
    </row>
    <row r="8740" spans="1:1">
      <c r="A8740" s="7" t="str">
        <f>IF('Document Workflow'!A8739&lt;&gt;"",'Document Workflow'!A8739,"")</f>
        <v/>
      </c>
    </row>
    <row r="8741" spans="1:1">
      <c r="A8741" s="7" t="str">
        <f>IF('Document Workflow'!A8740&lt;&gt;"",'Document Workflow'!A8740,"")</f>
        <v/>
      </c>
    </row>
    <row r="8742" spans="1:1">
      <c r="A8742" s="7" t="str">
        <f>IF('Document Workflow'!A8741&lt;&gt;"",'Document Workflow'!A8741,"")</f>
        <v/>
      </c>
    </row>
    <row r="8743" spans="1:1">
      <c r="A8743" s="7" t="str">
        <f>IF('Document Workflow'!A8742&lt;&gt;"",'Document Workflow'!A8742,"")</f>
        <v/>
      </c>
    </row>
    <row r="8744" spans="1:1">
      <c r="A8744" s="7" t="str">
        <f>IF('Document Workflow'!A8743&lt;&gt;"",'Document Workflow'!A8743,"")</f>
        <v/>
      </c>
    </row>
    <row r="8745" spans="1:1">
      <c r="A8745" s="7" t="str">
        <f>IF('Document Workflow'!A8744&lt;&gt;"",'Document Workflow'!A8744,"")</f>
        <v/>
      </c>
    </row>
    <row r="8746" spans="1:1">
      <c r="A8746" s="7" t="str">
        <f>IF('Document Workflow'!A8745&lt;&gt;"",'Document Workflow'!A8745,"")</f>
        <v/>
      </c>
    </row>
    <row r="8747" spans="1:1">
      <c r="A8747" s="7" t="str">
        <f>IF('Document Workflow'!A8746&lt;&gt;"",'Document Workflow'!A8746,"")</f>
        <v/>
      </c>
    </row>
    <row r="8748" spans="1:1">
      <c r="A8748" s="7" t="str">
        <f>IF('Document Workflow'!A8747&lt;&gt;"",'Document Workflow'!A8747,"")</f>
        <v/>
      </c>
    </row>
    <row r="8749" spans="1:1">
      <c r="A8749" s="7" t="str">
        <f>IF('Document Workflow'!A8748&lt;&gt;"",'Document Workflow'!A8748,"")</f>
        <v/>
      </c>
    </row>
    <row r="8750" spans="1:1">
      <c r="A8750" s="7" t="str">
        <f>IF('Document Workflow'!A8749&lt;&gt;"",'Document Workflow'!A8749,"")</f>
        <v/>
      </c>
    </row>
    <row r="8751" spans="1:1">
      <c r="A8751" s="7" t="str">
        <f>IF('Document Workflow'!A8750&lt;&gt;"",'Document Workflow'!A8750,"")</f>
        <v/>
      </c>
    </row>
    <row r="8752" spans="1:1">
      <c r="A8752" s="7" t="str">
        <f>IF('Document Workflow'!A8751&lt;&gt;"",'Document Workflow'!A8751,"")</f>
        <v/>
      </c>
    </row>
    <row r="8753" spans="1:1">
      <c r="A8753" s="7" t="str">
        <f>IF('Document Workflow'!A8752&lt;&gt;"",'Document Workflow'!A8752,"")</f>
        <v/>
      </c>
    </row>
    <row r="8754" spans="1:1">
      <c r="A8754" s="7" t="str">
        <f>IF('Document Workflow'!A8753&lt;&gt;"",'Document Workflow'!A8753,"")</f>
        <v/>
      </c>
    </row>
    <row r="8755" spans="1:1">
      <c r="A8755" s="7" t="str">
        <f>IF('Document Workflow'!A8754&lt;&gt;"",'Document Workflow'!A8754,"")</f>
        <v/>
      </c>
    </row>
    <row r="8756" spans="1:1">
      <c r="A8756" s="7" t="str">
        <f>IF('Document Workflow'!A8755&lt;&gt;"",'Document Workflow'!A8755,"")</f>
        <v/>
      </c>
    </row>
    <row r="8757" spans="1:1">
      <c r="A8757" s="7" t="str">
        <f>IF('Document Workflow'!A8756&lt;&gt;"",'Document Workflow'!A8756,"")</f>
        <v/>
      </c>
    </row>
    <row r="8758" spans="1:1">
      <c r="A8758" s="7" t="str">
        <f>IF('Document Workflow'!A8757&lt;&gt;"",'Document Workflow'!A8757,"")</f>
        <v/>
      </c>
    </row>
    <row r="8759" spans="1:1">
      <c r="A8759" s="7" t="str">
        <f>IF('Document Workflow'!A8758&lt;&gt;"",'Document Workflow'!A8758,"")</f>
        <v/>
      </c>
    </row>
    <row r="8760" spans="1:1">
      <c r="A8760" s="7" t="str">
        <f>IF('Document Workflow'!A8759&lt;&gt;"",'Document Workflow'!A8759,"")</f>
        <v/>
      </c>
    </row>
    <row r="8761" spans="1:1">
      <c r="A8761" s="7" t="str">
        <f>IF('Document Workflow'!A8760&lt;&gt;"",'Document Workflow'!A8760,"")</f>
        <v/>
      </c>
    </row>
    <row r="8762" spans="1:1">
      <c r="A8762" s="7" t="str">
        <f>IF('Document Workflow'!A8761&lt;&gt;"",'Document Workflow'!A8761,"")</f>
        <v/>
      </c>
    </row>
    <row r="8763" spans="1:1">
      <c r="A8763" s="7" t="str">
        <f>IF('Document Workflow'!A8762&lt;&gt;"",'Document Workflow'!A8762,"")</f>
        <v/>
      </c>
    </row>
    <row r="8764" spans="1:1">
      <c r="A8764" s="7" t="str">
        <f>IF('Document Workflow'!A8763&lt;&gt;"",'Document Workflow'!A8763,"")</f>
        <v/>
      </c>
    </row>
    <row r="8765" spans="1:1">
      <c r="A8765" s="7" t="str">
        <f>IF('Document Workflow'!A8764&lt;&gt;"",'Document Workflow'!A8764,"")</f>
        <v/>
      </c>
    </row>
    <row r="8766" spans="1:1">
      <c r="A8766" s="7" t="str">
        <f>IF('Document Workflow'!A8765&lt;&gt;"",'Document Workflow'!A8765,"")</f>
        <v/>
      </c>
    </row>
    <row r="8767" spans="1:1">
      <c r="A8767" s="7" t="str">
        <f>IF('Document Workflow'!A8766&lt;&gt;"",'Document Workflow'!A8766,"")</f>
        <v/>
      </c>
    </row>
    <row r="8768" spans="1:1">
      <c r="A8768" s="7" t="str">
        <f>IF('Document Workflow'!A8767&lt;&gt;"",'Document Workflow'!A8767,"")</f>
        <v/>
      </c>
    </row>
    <row r="8769" spans="1:1">
      <c r="A8769" s="7" t="str">
        <f>IF('Document Workflow'!A8768&lt;&gt;"",'Document Workflow'!A8768,"")</f>
        <v/>
      </c>
    </row>
    <row r="8770" spans="1:1">
      <c r="A8770" s="7" t="str">
        <f>IF('Document Workflow'!A8769&lt;&gt;"",'Document Workflow'!A8769,"")</f>
        <v/>
      </c>
    </row>
    <row r="8771" spans="1:1">
      <c r="A8771" s="7" t="str">
        <f>IF('Document Workflow'!A8770&lt;&gt;"",'Document Workflow'!A8770,"")</f>
        <v/>
      </c>
    </row>
    <row r="8772" spans="1:1">
      <c r="A8772" s="7" t="str">
        <f>IF('Document Workflow'!A8771&lt;&gt;"",'Document Workflow'!A8771,"")</f>
        <v/>
      </c>
    </row>
    <row r="8773" spans="1:1">
      <c r="A8773" s="7" t="str">
        <f>IF('Document Workflow'!A8772&lt;&gt;"",'Document Workflow'!A8772,"")</f>
        <v/>
      </c>
    </row>
    <row r="8774" spans="1:1">
      <c r="A8774" s="7" t="str">
        <f>IF('Document Workflow'!A8773&lt;&gt;"",'Document Workflow'!A8773,"")</f>
        <v/>
      </c>
    </row>
    <row r="8775" spans="1:1">
      <c r="A8775" s="7" t="str">
        <f>IF('Document Workflow'!A8774&lt;&gt;"",'Document Workflow'!A8774,"")</f>
        <v/>
      </c>
    </row>
    <row r="8776" spans="1:1">
      <c r="A8776" s="7" t="str">
        <f>IF('Document Workflow'!A8775&lt;&gt;"",'Document Workflow'!A8775,"")</f>
        <v/>
      </c>
    </row>
    <row r="8777" spans="1:1">
      <c r="A8777" s="7" t="str">
        <f>IF('Document Workflow'!A8776&lt;&gt;"",'Document Workflow'!A8776,"")</f>
        <v/>
      </c>
    </row>
    <row r="8778" spans="1:1">
      <c r="A8778" s="7" t="str">
        <f>IF('Document Workflow'!A8777&lt;&gt;"",'Document Workflow'!A8777,"")</f>
        <v/>
      </c>
    </row>
    <row r="8779" spans="1:1">
      <c r="A8779" s="7" t="str">
        <f>IF('Document Workflow'!A8778&lt;&gt;"",'Document Workflow'!A8778,"")</f>
        <v/>
      </c>
    </row>
    <row r="8780" spans="1:1">
      <c r="A8780" s="7" t="str">
        <f>IF('Document Workflow'!A8779&lt;&gt;"",'Document Workflow'!A8779,"")</f>
        <v/>
      </c>
    </row>
    <row r="8781" spans="1:1">
      <c r="A8781" s="7" t="str">
        <f>IF('Document Workflow'!A8780&lt;&gt;"",'Document Workflow'!A8780,"")</f>
        <v/>
      </c>
    </row>
    <row r="8782" spans="1:1">
      <c r="A8782" s="7" t="str">
        <f>IF('Document Workflow'!A8781&lt;&gt;"",'Document Workflow'!A8781,"")</f>
        <v/>
      </c>
    </row>
    <row r="8783" spans="1:1">
      <c r="A8783" s="7" t="str">
        <f>IF('Document Workflow'!A8782&lt;&gt;"",'Document Workflow'!A8782,"")</f>
        <v/>
      </c>
    </row>
    <row r="8784" spans="1:1">
      <c r="A8784" s="7" t="str">
        <f>IF('Document Workflow'!A8783&lt;&gt;"",'Document Workflow'!A8783,"")</f>
        <v/>
      </c>
    </row>
    <row r="8785" spans="1:1">
      <c r="A8785" s="7" t="str">
        <f>IF('Document Workflow'!A8784&lt;&gt;"",'Document Workflow'!A8784,"")</f>
        <v/>
      </c>
    </row>
    <row r="8786" spans="1:1">
      <c r="A8786" s="7" t="str">
        <f>IF('Document Workflow'!A8785&lt;&gt;"",'Document Workflow'!A8785,"")</f>
        <v/>
      </c>
    </row>
    <row r="8787" spans="1:1">
      <c r="A8787" s="7" t="str">
        <f>IF('Document Workflow'!A8786&lt;&gt;"",'Document Workflow'!A8786,"")</f>
        <v/>
      </c>
    </row>
    <row r="8788" spans="1:1">
      <c r="A8788" s="7" t="str">
        <f>IF('Document Workflow'!A8787&lt;&gt;"",'Document Workflow'!A8787,"")</f>
        <v/>
      </c>
    </row>
    <row r="8789" spans="1:1">
      <c r="A8789" s="7" t="str">
        <f>IF('Document Workflow'!A8788&lt;&gt;"",'Document Workflow'!A8788,"")</f>
        <v/>
      </c>
    </row>
    <row r="8790" spans="1:1">
      <c r="A8790" s="7" t="str">
        <f>IF('Document Workflow'!A8789&lt;&gt;"",'Document Workflow'!A8789,"")</f>
        <v/>
      </c>
    </row>
    <row r="8791" spans="1:1">
      <c r="A8791" s="7" t="str">
        <f>IF('Document Workflow'!A8790&lt;&gt;"",'Document Workflow'!A8790,"")</f>
        <v/>
      </c>
    </row>
    <row r="8792" spans="1:1">
      <c r="A8792" s="7" t="str">
        <f>IF('Document Workflow'!A8791&lt;&gt;"",'Document Workflow'!A8791,"")</f>
        <v/>
      </c>
    </row>
    <row r="8793" spans="1:1">
      <c r="A8793" s="7" t="str">
        <f>IF('Document Workflow'!A8792&lt;&gt;"",'Document Workflow'!A8792,"")</f>
        <v/>
      </c>
    </row>
    <row r="8794" spans="1:1">
      <c r="A8794" s="7" t="str">
        <f>IF('Document Workflow'!A8793&lt;&gt;"",'Document Workflow'!A8793,"")</f>
        <v/>
      </c>
    </row>
    <row r="8795" spans="1:1">
      <c r="A8795" s="7" t="str">
        <f>IF('Document Workflow'!A8794&lt;&gt;"",'Document Workflow'!A8794,"")</f>
        <v/>
      </c>
    </row>
    <row r="8796" spans="1:1">
      <c r="A8796" s="7" t="str">
        <f>IF('Document Workflow'!A8795&lt;&gt;"",'Document Workflow'!A8795,"")</f>
        <v/>
      </c>
    </row>
    <row r="8797" spans="1:1">
      <c r="A8797" s="7" t="str">
        <f>IF('Document Workflow'!A8796&lt;&gt;"",'Document Workflow'!A8796,"")</f>
        <v/>
      </c>
    </row>
    <row r="8798" spans="1:1">
      <c r="A8798" s="7" t="str">
        <f>IF('Document Workflow'!A8797&lt;&gt;"",'Document Workflow'!A8797,"")</f>
        <v/>
      </c>
    </row>
    <row r="8799" spans="1:1">
      <c r="A8799" s="7" t="str">
        <f>IF('Document Workflow'!A8798&lt;&gt;"",'Document Workflow'!A8798,"")</f>
        <v/>
      </c>
    </row>
    <row r="8800" spans="1:1">
      <c r="A8800" s="7" t="str">
        <f>IF('Document Workflow'!A8799&lt;&gt;"",'Document Workflow'!A8799,"")</f>
        <v/>
      </c>
    </row>
    <row r="8801" spans="1:1">
      <c r="A8801" s="7" t="str">
        <f>IF('Document Workflow'!A8800&lt;&gt;"",'Document Workflow'!A8800,"")</f>
        <v/>
      </c>
    </row>
    <row r="8802" spans="1:1">
      <c r="A8802" s="7" t="str">
        <f>IF('Document Workflow'!A8801&lt;&gt;"",'Document Workflow'!A8801,"")</f>
        <v/>
      </c>
    </row>
    <row r="8803" spans="1:1">
      <c r="A8803" s="7" t="str">
        <f>IF('Document Workflow'!A8802&lt;&gt;"",'Document Workflow'!A8802,"")</f>
        <v/>
      </c>
    </row>
    <row r="8804" spans="1:1">
      <c r="A8804" s="7" t="str">
        <f>IF('Document Workflow'!A8803&lt;&gt;"",'Document Workflow'!A8803,"")</f>
        <v/>
      </c>
    </row>
    <row r="8805" spans="1:1">
      <c r="A8805" s="7" t="str">
        <f>IF('Document Workflow'!A8804&lt;&gt;"",'Document Workflow'!A8804,"")</f>
        <v/>
      </c>
    </row>
    <row r="8806" spans="1:1">
      <c r="A8806" s="7" t="str">
        <f>IF('Document Workflow'!A8805&lt;&gt;"",'Document Workflow'!A8805,"")</f>
        <v/>
      </c>
    </row>
    <row r="8807" spans="1:1">
      <c r="A8807" s="7" t="str">
        <f>IF('Document Workflow'!A8806&lt;&gt;"",'Document Workflow'!A8806,"")</f>
        <v/>
      </c>
    </row>
    <row r="8808" spans="1:1">
      <c r="A8808" s="7" t="str">
        <f>IF('Document Workflow'!A8807&lt;&gt;"",'Document Workflow'!A8807,"")</f>
        <v/>
      </c>
    </row>
    <row r="8809" spans="1:1">
      <c r="A8809" s="7" t="str">
        <f>IF('Document Workflow'!A8808&lt;&gt;"",'Document Workflow'!A8808,"")</f>
        <v/>
      </c>
    </row>
    <row r="8810" spans="1:1">
      <c r="A8810" s="7" t="str">
        <f>IF('Document Workflow'!A8809&lt;&gt;"",'Document Workflow'!A8809,"")</f>
        <v/>
      </c>
    </row>
    <row r="8811" spans="1:1">
      <c r="A8811" s="7" t="str">
        <f>IF('Document Workflow'!A8810&lt;&gt;"",'Document Workflow'!A8810,"")</f>
        <v/>
      </c>
    </row>
    <row r="8812" spans="1:1">
      <c r="A8812" s="7" t="str">
        <f>IF('Document Workflow'!A8811&lt;&gt;"",'Document Workflow'!A8811,"")</f>
        <v/>
      </c>
    </row>
    <row r="8813" spans="1:1">
      <c r="A8813" s="7" t="str">
        <f>IF('Document Workflow'!A8812&lt;&gt;"",'Document Workflow'!A8812,"")</f>
        <v/>
      </c>
    </row>
    <row r="8814" spans="1:1">
      <c r="A8814" s="7" t="str">
        <f>IF('Document Workflow'!A8813&lt;&gt;"",'Document Workflow'!A8813,"")</f>
        <v/>
      </c>
    </row>
    <row r="8815" spans="1:1">
      <c r="A8815" s="7" t="str">
        <f>IF('Document Workflow'!A8814&lt;&gt;"",'Document Workflow'!A8814,"")</f>
        <v/>
      </c>
    </row>
    <row r="8816" spans="1:1">
      <c r="A8816" s="7" t="str">
        <f>IF('Document Workflow'!A8815&lt;&gt;"",'Document Workflow'!A8815,"")</f>
        <v/>
      </c>
    </row>
    <row r="8817" spans="1:1">
      <c r="A8817" s="7" t="str">
        <f>IF('Document Workflow'!A8816&lt;&gt;"",'Document Workflow'!A8816,"")</f>
        <v/>
      </c>
    </row>
    <row r="8818" spans="1:1">
      <c r="A8818" s="7" t="str">
        <f>IF('Document Workflow'!A8817&lt;&gt;"",'Document Workflow'!A8817,"")</f>
        <v/>
      </c>
    </row>
    <row r="8819" spans="1:1">
      <c r="A8819" s="7" t="str">
        <f>IF('Document Workflow'!A8818&lt;&gt;"",'Document Workflow'!A8818,"")</f>
        <v/>
      </c>
    </row>
    <row r="8820" spans="1:1">
      <c r="A8820" s="7" t="str">
        <f>IF('Document Workflow'!A8819&lt;&gt;"",'Document Workflow'!A8819,"")</f>
        <v/>
      </c>
    </row>
    <row r="8821" spans="1:1">
      <c r="A8821" s="7" t="str">
        <f>IF('Document Workflow'!A8820&lt;&gt;"",'Document Workflow'!A8820,"")</f>
        <v/>
      </c>
    </row>
    <row r="8822" spans="1:1">
      <c r="A8822" s="7" t="str">
        <f>IF('Document Workflow'!A8821&lt;&gt;"",'Document Workflow'!A8821,"")</f>
        <v/>
      </c>
    </row>
    <row r="8823" spans="1:1">
      <c r="A8823" s="7" t="str">
        <f>IF('Document Workflow'!A8822&lt;&gt;"",'Document Workflow'!A8822,"")</f>
        <v/>
      </c>
    </row>
    <row r="8824" spans="1:1">
      <c r="A8824" s="7" t="str">
        <f>IF('Document Workflow'!A8823&lt;&gt;"",'Document Workflow'!A8823,"")</f>
        <v/>
      </c>
    </row>
    <row r="8825" spans="1:1">
      <c r="A8825" s="7" t="str">
        <f>IF('Document Workflow'!A8824&lt;&gt;"",'Document Workflow'!A8824,"")</f>
        <v/>
      </c>
    </row>
    <row r="8826" spans="1:1">
      <c r="A8826" s="7" t="str">
        <f>IF('Document Workflow'!A8825&lt;&gt;"",'Document Workflow'!A8825,"")</f>
        <v/>
      </c>
    </row>
    <row r="8827" spans="1:1">
      <c r="A8827" s="7" t="str">
        <f>IF('Document Workflow'!A8826&lt;&gt;"",'Document Workflow'!A8826,"")</f>
        <v/>
      </c>
    </row>
    <row r="8828" spans="1:1">
      <c r="A8828" s="7" t="str">
        <f>IF('Document Workflow'!A8827&lt;&gt;"",'Document Workflow'!A8827,"")</f>
        <v/>
      </c>
    </row>
    <row r="8829" spans="1:1">
      <c r="A8829" s="7" t="str">
        <f>IF('Document Workflow'!A8828&lt;&gt;"",'Document Workflow'!A8828,"")</f>
        <v/>
      </c>
    </row>
    <row r="8830" spans="1:1">
      <c r="A8830" s="7" t="str">
        <f>IF('Document Workflow'!A8829&lt;&gt;"",'Document Workflow'!A8829,"")</f>
        <v/>
      </c>
    </row>
    <row r="8831" spans="1:1">
      <c r="A8831" s="7" t="str">
        <f>IF('Document Workflow'!A8830&lt;&gt;"",'Document Workflow'!A8830,"")</f>
        <v/>
      </c>
    </row>
    <row r="8832" spans="1:1">
      <c r="A8832" s="7" t="str">
        <f>IF('Document Workflow'!A8831&lt;&gt;"",'Document Workflow'!A8831,"")</f>
        <v/>
      </c>
    </row>
    <row r="8833" spans="1:1">
      <c r="A8833" s="7" t="str">
        <f>IF('Document Workflow'!A8832&lt;&gt;"",'Document Workflow'!A8832,"")</f>
        <v/>
      </c>
    </row>
    <row r="8834" spans="1:1">
      <c r="A8834" s="7" t="str">
        <f>IF('Document Workflow'!A8833&lt;&gt;"",'Document Workflow'!A8833,"")</f>
        <v/>
      </c>
    </row>
    <row r="8835" spans="1:1">
      <c r="A8835" s="7" t="str">
        <f>IF('Document Workflow'!A8834&lt;&gt;"",'Document Workflow'!A8834,"")</f>
        <v/>
      </c>
    </row>
    <row r="8836" spans="1:1">
      <c r="A8836" s="7" t="str">
        <f>IF('Document Workflow'!A8835&lt;&gt;"",'Document Workflow'!A8835,"")</f>
        <v/>
      </c>
    </row>
    <row r="8837" spans="1:1">
      <c r="A8837" s="7" t="str">
        <f>IF('Document Workflow'!A8836&lt;&gt;"",'Document Workflow'!A8836,"")</f>
        <v/>
      </c>
    </row>
    <row r="8838" spans="1:1">
      <c r="A8838" s="7" t="str">
        <f>IF('Document Workflow'!A8837&lt;&gt;"",'Document Workflow'!A8837,"")</f>
        <v/>
      </c>
    </row>
    <row r="8839" spans="1:1">
      <c r="A8839" s="7" t="str">
        <f>IF('Document Workflow'!A8838&lt;&gt;"",'Document Workflow'!A8838,"")</f>
        <v/>
      </c>
    </row>
    <row r="8840" spans="1:1">
      <c r="A8840" s="7" t="str">
        <f>IF('Document Workflow'!A8839&lt;&gt;"",'Document Workflow'!A8839,"")</f>
        <v/>
      </c>
    </row>
    <row r="8841" spans="1:1">
      <c r="A8841" s="7" t="str">
        <f>IF('Document Workflow'!A8840&lt;&gt;"",'Document Workflow'!A8840,"")</f>
        <v/>
      </c>
    </row>
    <row r="8842" spans="1:1">
      <c r="A8842" s="7" t="str">
        <f>IF('Document Workflow'!A8841&lt;&gt;"",'Document Workflow'!A8841,"")</f>
        <v/>
      </c>
    </row>
    <row r="8843" spans="1:1">
      <c r="A8843" s="7" t="str">
        <f>IF('Document Workflow'!A8842&lt;&gt;"",'Document Workflow'!A8842,"")</f>
        <v/>
      </c>
    </row>
    <row r="8844" spans="1:1">
      <c r="A8844" s="7" t="str">
        <f>IF('Document Workflow'!A8843&lt;&gt;"",'Document Workflow'!A8843,"")</f>
        <v/>
      </c>
    </row>
    <row r="8845" spans="1:1">
      <c r="A8845" s="7" t="str">
        <f>IF('Document Workflow'!A8844&lt;&gt;"",'Document Workflow'!A8844,"")</f>
        <v/>
      </c>
    </row>
    <row r="8846" spans="1:1">
      <c r="A8846" s="7" t="str">
        <f>IF('Document Workflow'!A8845&lt;&gt;"",'Document Workflow'!A8845,"")</f>
        <v/>
      </c>
    </row>
    <row r="8847" spans="1:1">
      <c r="A8847" s="7" t="str">
        <f>IF('Document Workflow'!A8846&lt;&gt;"",'Document Workflow'!A8846,"")</f>
        <v/>
      </c>
    </row>
    <row r="8848" spans="1:1">
      <c r="A8848" s="7" t="str">
        <f>IF('Document Workflow'!A8847&lt;&gt;"",'Document Workflow'!A8847,"")</f>
        <v/>
      </c>
    </row>
    <row r="8849" spans="1:1">
      <c r="A8849" s="7" t="str">
        <f>IF('Document Workflow'!A8848&lt;&gt;"",'Document Workflow'!A8848,"")</f>
        <v/>
      </c>
    </row>
    <row r="8850" spans="1:1">
      <c r="A8850" s="7" t="str">
        <f>IF('Document Workflow'!A8849&lt;&gt;"",'Document Workflow'!A8849,"")</f>
        <v/>
      </c>
    </row>
    <row r="8851" spans="1:1">
      <c r="A8851" s="7" t="str">
        <f>IF('Document Workflow'!A8850&lt;&gt;"",'Document Workflow'!A8850,"")</f>
        <v/>
      </c>
    </row>
    <row r="8852" spans="1:1">
      <c r="A8852" s="7" t="str">
        <f>IF('Document Workflow'!A8851&lt;&gt;"",'Document Workflow'!A8851,"")</f>
        <v/>
      </c>
    </row>
    <row r="8853" spans="1:1">
      <c r="A8853" s="7" t="str">
        <f>IF('Document Workflow'!A8852&lt;&gt;"",'Document Workflow'!A8852,"")</f>
        <v/>
      </c>
    </row>
    <row r="8854" spans="1:1">
      <c r="A8854" s="7" t="str">
        <f>IF('Document Workflow'!A8853&lt;&gt;"",'Document Workflow'!A8853,"")</f>
        <v/>
      </c>
    </row>
    <row r="8855" spans="1:1">
      <c r="A8855" s="7" t="str">
        <f>IF('Document Workflow'!A8854&lt;&gt;"",'Document Workflow'!A8854,"")</f>
        <v/>
      </c>
    </row>
    <row r="8856" spans="1:1">
      <c r="A8856" s="7" t="str">
        <f>IF('Document Workflow'!A8855&lt;&gt;"",'Document Workflow'!A8855,"")</f>
        <v/>
      </c>
    </row>
    <row r="8857" spans="1:1">
      <c r="A8857" s="7" t="str">
        <f>IF('Document Workflow'!A8856&lt;&gt;"",'Document Workflow'!A8856,"")</f>
        <v/>
      </c>
    </row>
    <row r="8858" spans="1:1">
      <c r="A8858" s="7" t="str">
        <f>IF('Document Workflow'!A8857&lt;&gt;"",'Document Workflow'!A8857,"")</f>
        <v/>
      </c>
    </row>
    <row r="8859" spans="1:1">
      <c r="A8859" s="7" t="str">
        <f>IF('Document Workflow'!A8858&lt;&gt;"",'Document Workflow'!A8858,"")</f>
        <v/>
      </c>
    </row>
    <row r="8860" spans="1:1">
      <c r="A8860" s="7" t="str">
        <f>IF('Document Workflow'!A8859&lt;&gt;"",'Document Workflow'!A8859,"")</f>
        <v/>
      </c>
    </row>
    <row r="8861" spans="1:1">
      <c r="A8861" s="7" t="str">
        <f>IF('Document Workflow'!A8860&lt;&gt;"",'Document Workflow'!A8860,"")</f>
        <v/>
      </c>
    </row>
    <row r="8862" spans="1:1">
      <c r="A8862" s="7" t="str">
        <f>IF('Document Workflow'!A8861&lt;&gt;"",'Document Workflow'!A8861,"")</f>
        <v/>
      </c>
    </row>
    <row r="8863" spans="1:1">
      <c r="A8863" s="7" t="str">
        <f>IF('Document Workflow'!A8862&lt;&gt;"",'Document Workflow'!A8862,"")</f>
        <v/>
      </c>
    </row>
    <row r="8864" spans="1:1">
      <c r="A8864" s="7" t="str">
        <f>IF('Document Workflow'!A8863&lt;&gt;"",'Document Workflow'!A8863,"")</f>
        <v/>
      </c>
    </row>
    <row r="8865" spans="1:1">
      <c r="A8865" s="7" t="str">
        <f>IF('Document Workflow'!A8864&lt;&gt;"",'Document Workflow'!A8864,"")</f>
        <v/>
      </c>
    </row>
    <row r="8866" spans="1:1">
      <c r="A8866" s="7" t="str">
        <f>IF('Document Workflow'!A8865&lt;&gt;"",'Document Workflow'!A8865,"")</f>
        <v/>
      </c>
    </row>
    <row r="8867" spans="1:1">
      <c r="A8867" s="7" t="str">
        <f>IF('Document Workflow'!A8866&lt;&gt;"",'Document Workflow'!A8866,"")</f>
        <v/>
      </c>
    </row>
    <row r="8868" spans="1:1">
      <c r="A8868" s="7" t="str">
        <f>IF('Document Workflow'!A8867&lt;&gt;"",'Document Workflow'!A8867,"")</f>
        <v/>
      </c>
    </row>
    <row r="8869" spans="1:1">
      <c r="A8869" s="7" t="str">
        <f>IF('Document Workflow'!A8868&lt;&gt;"",'Document Workflow'!A8868,"")</f>
        <v/>
      </c>
    </row>
    <row r="8870" spans="1:1">
      <c r="A8870" s="7" t="str">
        <f>IF('Document Workflow'!A8869&lt;&gt;"",'Document Workflow'!A8869,"")</f>
        <v/>
      </c>
    </row>
    <row r="8871" spans="1:1">
      <c r="A8871" s="7" t="str">
        <f>IF('Document Workflow'!A8870&lt;&gt;"",'Document Workflow'!A8870,"")</f>
        <v/>
      </c>
    </row>
    <row r="8872" spans="1:1">
      <c r="A8872" s="7" t="str">
        <f>IF('Document Workflow'!A8871&lt;&gt;"",'Document Workflow'!A8871,"")</f>
        <v/>
      </c>
    </row>
    <row r="8873" spans="1:1">
      <c r="A8873" s="7" t="str">
        <f>IF('Document Workflow'!A8872&lt;&gt;"",'Document Workflow'!A8872,"")</f>
        <v/>
      </c>
    </row>
    <row r="8874" spans="1:1">
      <c r="A8874" s="7" t="str">
        <f>IF('Document Workflow'!A8873&lt;&gt;"",'Document Workflow'!A8873,"")</f>
        <v/>
      </c>
    </row>
    <row r="8875" spans="1:1">
      <c r="A8875" s="7" t="str">
        <f>IF('Document Workflow'!A8874&lt;&gt;"",'Document Workflow'!A8874,"")</f>
        <v/>
      </c>
    </row>
    <row r="8876" spans="1:1">
      <c r="A8876" s="7" t="str">
        <f>IF('Document Workflow'!A8875&lt;&gt;"",'Document Workflow'!A8875,"")</f>
        <v/>
      </c>
    </row>
    <row r="8877" spans="1:1">
      <c r="A8877" s="7" t="str">
        <f>IF('Document Workflow'!A8876&lt;&gt;"",'Document Workflow'!A8876,"")</f>
        <v/>
      </c>
    </row>
    <row r="8878" spans="1:1">
      <c r="A8878" s="7" t="str">
        <f>IF('Document Workflow'!A8877&lt;&gt;"",'Document Workflow'!A8877,"")</f>
        <v/>
      </c>
    </row>
    <row r="8879" spans="1:1">
      <c r="A8879" s="7" t="str">
        <f>IF('Document Workflow'!A8878&lt;&gt;"",'Document Workflow'!A8878,"")</f>
        <v/>
      </c>
    </row>
    <row r="8880" spans="1:1">
      <c r="A8880" s="7" t="str">
        <f>IF('Document Workflow'!A8879&lt;&gt;"",'Document Workflow'!A8879,"")</f>
        <v/>
      </c>
    </row>
    <row r="8881" spans="1:1">
      <c r="A8881" s="7" t="str">
        <f>IF('Document Workflow'!A8880&lt;&gt;"",'Document Workflow'!A8880,"")</f>
        <v/>
      </c>
    </row>
    <row r="8882" spans="1:1">
      <c r="A8882" s="7" t="str">
        <f>IF('Document Workflow'!A8881&lt;&gt;"",'Document Workflow'!A8881,"")</f>
        <v/>
      </c>
    </row>
    <row r="8883" spans="1:1">
      <c r="A8883" s="7" t="str">
        <f>IF('Document Workflow'!A8882&lt;&gt;"",'Document Workflow'!A8882,"")</f>
        <v/>
      </c>
    </row>
    <row r="8884" spans="1:1">
      <c r="A8884" s="7" t="str">
        <f>IF('Document Workflow'!A8883&lt;&gt;"",'Document Workflow'!A8883,"")</f>
        <v/>
      </c>
    </row>
    <row r="8885" spans="1:1">
      <c r="A8885" s="7" t="str">
        <f>IF('Document Workflow'!A8884&lt;&gt;"",'Document Workflow'!A8884,"")</f>
        <v/>
      </c>
    </row>
    <row r="8886" spans="1:1">
      <c r="A8886" s="7" t="str">
        <f>IF('Document Workflow'!A8885&lt;&gt;"",'Document Workflow'!A8885,"")</f>
        <v/>
      </c>
    </row>
    <row r="8887" spans="1:1">
      <c r="A8887" s="7" t="str">
        <f>IF('Document Workflow'!A8886&lt;&gt;"",'Document Workflow'!A8886,"")</f>
        <v/>
      </c>
    </row>
    <row r="8888" spans="1:1">
      <c r="A8888" s="7" t="str">
        <f>IF('Document Workflow'!A8887&lt;&gt;"",'Document Workflow'!A8887,"")</f>
        <v/>
      </c>
    </row>
    <row r="8889" spans="1:1">
      <c r="A8889" s="7" t="str">
        <f>IF('Document Workflow'!A8888&lt;&gt;"",'Document Workflow'!A8888,"")</f>
        <v/>
      </c>
    </row>
    <row r="8890" spans="1:1">
      <c r="A8890" s="7" t="str">
        <f>IF('Document Workflow'!A8889&lt;&gt;"",'Document Workflow'!A8889,"")</f>
        <v/>
      </c>
    </row>
    <row r="8891" spans="1:1">
      <c r="A8891" s="7" t="str">
        <f>IF('Document Workflow'!A8890&lt;&gt;"",'Document Workflow'!A8890,"")</f>
        <v/>
      </c>
    </row>
    <row r="8892" spans="1:1">
      <c r="A8892" s="7" t="str">
        <f>IF('Document Workflow'!A8891&lt;&gt;"",'Document Workflow'!A8891,"")</f>
        <v/>
      </c>
    </row>
    <row r="8893" spans="1:1">
      <c r="A8893" s="7" t="str">
        <f>IF('Document Workflow'!A8892&lt;&gt;"",'Document Workflow'!A8892,"")</f>
        <v/>
      </c>
    </row>
    <row r="8894" spans="1:1">
      <c r="A8894" s="7" t="str">
        <f>IF('Document Workflow'!A8893&lt;&gt;"",'Document Workflow'!A8893,"")</f>
        <v/>
      </c>
    </row>
    <row r="8895" spans="1:1">
      <c r="A8895" s="7" t="str">
        <f>IF('Document Workflow'!A8894&lt;&gt;"",'Document Workflow'!A8894,"")</f>
        <v/>
      </c>
    </row>
    <row r="8896" spans="1:1">
      <c r="A8896" s="7" t="str">
        <f>IF('Document Workflow'!A8895&lt;&gt;"",'Document Workflow'!A8895,"")</f>
        <v/>
      </c>
    </row>
    <row r="8897" spans="1:1">
      <c r="A8897" s="7" t="str">
        <f>IF('Document Workflow'!A8896&lt;&gt;"",'Document Workflow'!A8896,"")</f>
        <v/>
      </c>
    </row>
    <row r="8898" spans="1:1">
      <c r="A8898" s="7" t="str">
        <f>IF('Document Workflow'!A8897&lt;&gt;"",'Document Workflow'!A8897,"")</f>
        <v/>
      </c>
    </row>
    <row r="8899" spans="1:1">
      <c r="A8899" s="7" t="str">
        <f>IF('Document Workflow'!A8898&lt;&gt;"",'Document Workflow'!A8898,"")</f>
        <v/>
      </c>
    </row>
    <row r="8900" spans="1:1">
      <c r="A8900" s="7" t="str">
        <f>IF('Document Workflow'!A8899&lt;&gt;"",'Document Workflow'!A8899,"")</f>
        <v/>
      </c>
    </row>
    <row r="8901" spans="1:1">
      <c r="A8901" s="7" t="str">
        <f>IF('Document Workflow'!A8900&lt;&gt;"",'Document Workflow'!A8900,"")</f>
        <v/>
      </c>
    </row>
    <row r="8902" spans="1:1">
      <c r="A8902" s="7" t="str">
        <f>IF('Document Workflow'!A8901&lt;&gt;"",'Document Workflow'!A8901,"")</f>
        <v/>
      </c>
    </row>
    <row r="8903" spans="1:1">
      <c r="A8903" s="7" t="str">
        <f>IF('Document Workflow'!A8902&lt;&gt;"",'Document Workflow'!A8902,"")</f>
        <v/>
      </c>
    </row>
    <row r="8904" spans="1:1">
      <c r="A8904" s="7" t="str">
        <f>IF('Document Workflow'!A8903&lt;&gt;"",'Document Workflow'!A8903,"")</f>
        <v/>
      </c>
    </row>
    <row r="8905" spans="1:1">
      <c r="A8905" s="7" t="str">
        <f>IF('Document Workflow'!A8904&lt;&gt;"",'Document Workflow'!A8904,"")</f>
        <v/>
      </c>
    </row>
    <row r="8906" spans="1:1">
      <c r="A8906" s="7" t="str">
        <f>IF('Document Workflow'!A8905&lt;&gt;"",'Document Workflow'!A8905,"")</f>
        <v/>
      </c>
    </row>
    <row r="8907" spans="1:1">
      <c r="A8907" s="7" t="str">
        <f>IF('Document Workflow'!A8906&lt;&gt;"",'Document Workflow'!A8906,"")</f>
        <v/>
      </c>
    </row>
    <row r="8908" spans="1:1">
      <c r="A8908" s="7" t="str">
        <f>IF('Document Workflow'!A8907&lt;&gt;"",'Document Workflow'!A8907,"")</f>
        <v/>
      </c>
    </row>
    <row r="8909" spans="1:1">
      <c r="A8909" s="7" t="str">
        <f>IF('Document Workflow'!A8908&lt;&gt;"",'Document Workflow'!A8908,"")</f>
        <v/>
      </c>
    </row>
    <row r="8910" spans="1:1">
      <c r="A8910" s="7" t="str">
        <f>IF('Document Workflow'!A8909&lt;&gt;"",'Document Workflow'!A8909,"")</f>
        <v/>
      </c>
    </row>
    <row r="8911" spans="1:1">
      <c r="A8911" s="7" t="str">
        <f>IF('Document Workflow'!A8910&lt;&gt;"",'Document Workflow'!A8910,"")</f>
        <v/>
      </c>
    </row>
    <row r="8912" spans="1:1">
      <c r="A8912" s="7" t="str">
        <f>IF('Document Workflow'!A8911&lt;&gt;"",'Document Workflow'!A8911,"")</f>
        <v/>
      </c>
    </row>
    <row r="8913" spans="1:1">
      <c r="A8913" s="7" t="str">
        <f>IF('Document Workflow'!A8912&lt;&gt;"",'Document Workflow'!A8912,"")</f>
        <v/>
      </c>
    </row>
    <row r="8914" spans="1:1">
      <c r="A8914" s="7" t="str">
        <f>IF('Document Workflow'!A8913&lt;&gt;"",'Document Workflow'!A8913,"")</f>
        <v/>
      </c>
    </row>
    <row r="8915" spans="1:1">
      <c r="A8915" s="7" t="str">
        <f>IF('Document Workflow'!A8914&lt;&gt;"",'Document Workflow'!A8914,"")</f>
        <v/>
      </c>
    </row>
    <row r="8916" spans="1:1">
      <c r="A8916" s="7" t="str">
        <f>IF('Document Workflow'!A8915&lt;&gt;"",'Document Workflow'!A8915,"")</f>
        <v/>
      </c>
    </row>
    <row r="8917" spans="1:1">
      <c r="A8917" s="7" t="str">
        <f>IF('Document Workflow'!A8916&lt;&gt;"",'Document Workflow'!A8916,"")</f>
        <v/>
      </c>
    </row>
    <row r="8918" spans="1:1">
      <c r="A8918" s="7" t="str">
        <f>IF('Document Workflow'!A8917&lt;&gt;"",'Document Workflow'!A8917,"")</f>
        <v/>
      </c>
    </row>
    <row r="8919" spans="1:1">
      <c r="A8919" s="7" t="str">
        <f>IF('Document Workflow'!A8918&lt;&gt;"",'Document Workflow'!A8918,"")</f>
        <v/>
      </c>
    </row>
    <row r="8920" spans="1:1">
      <c r="A8920" s="7" t="str">
        <f>IF('Document Workflow'!A8919&lt;&gt;"",'Document Workflow'!A8919,"")</f>
        <v/>
      </c>
    </row>
    <row r="8921" spans="1:1">
      <c r="A8921" s="7" t="str">
        <f>IF('Document Workflow'!A8920&lt;&gt;"",'Document Workflow'!A8920,"")</f>
        <v/>
      </c>
    </row>
    <row r="8922" spans="1:1">
      <c r="A8922" s="7" t="str">
        <f>IF('Document Workflow'!A8921&lt;&gt;"",'Document Workflow'!A8921,"")</f>
        <v/>
      </c>
    </row>
    <row r="8923" spans="1:1">
      <c r="A8923" s="7" t="str">
        <f>IF('Document Workflow'!A8922&lt;&gt;"",'Document Workflow'!A8922,"")</f>
        <v/>
      </c>
    </row>
    <row r="8924" spans="1:1">
      <c r="A8924" s="7" t="str">
        <f>IF('Document Workflow'!A8923&lt;&gt;"",'Document Workflow'!A8923,"")</f>
        <v/>
      </c>
    </row>
    <row r="8925" spans="1:1">
      <c r="A8925" s="7" t="str">
        <f>IF('Document Workflow'!A8924&lt;&gt;"",'Document Workflow'!A8924,"")</f>
        <v/>
      </c>
    </row>
    <row r="8926" spans="1:1">
      <c r="A8926" s="7" t="str">
        <f>IF('Document Workflow'!A8925&lt;&gt;"",'Document Workflow'!A8925,"")</f>
        <v/>
      </c>
    </row>
    <row r="8927" spans="1:1">
      <c r="A8927" s="7" t="str">
        <f>IF('Document Workflow'!A8926&lt;&gt;"",'Document Workflow'!A8926,"")</f>
        <v/>
      </c>
    </row>
    <row r="8928" spans="1:1">
      <c r="A8928" s="7" t="str">
        <f>IF('Document Workflow'!A8927&lt;&gt;"",'Document Workflow'!A8927,"")</f>
        <v/>
      </c>
    </row>
    <row r="8929" spans="1:1">
      <c r="A8929" s="7" t="str">
        <f>IF('Document Workflow'!A8928&lt;&gt;"",'Document Workflow'!A8928,"")</f>
        <v/>
      </c>
    </row>
    <row r="8930" spans="1:1">
      <c r="A8930" s="7" t="str">
        <f>IF('Document Workflow'!A8929&lt;&gt;"",'Document Workflow'!A8929,"")</f>
        <v/>
      </c>
    </row>
    <row r="8931" spans="1:1">
      <c r="A8931" s="7" t="str">
        <f>IF('Document Workflow'!A8930&lt;&gt;"",'Document Workflow'!A8930,"")</f>
        <v/>
      </c>
    </row>
    <row r="8932" spans="1:1">
      <c r="A8932" s="7" t="str">
        <f>IF('Document Workflow'!A8931&lt;&gt;"",'Document Workflow'!A8931,"")</f>
        <v/>
      </c>
    </row>
    <row r="8933" spans="1:1">
      <c r="A8933" s="7" t="str">
        <f>IF('Document Workflow'!A8932&lt;&gt;"",'Document Workflow'!A8932,"")</f>
        <v/>
      </c>
    </row>
    <row r="8934" spans="1:1">
      <c r="A8934" s="7" t="str">
        <f>IF('Document Workflow'!A8933&lt;&gt;"",'Document Workflow'!A8933,"")</f>
        <v/>
      </c>
    </row>
    <row r="8935" spans="1:1">
      <c r="A8935" s="7" t="str">
        <f>IF('Document Workflow'!A8934&lt;&gt;"",'Document Workflow'!A8934,"")</f>
        <v/>
      </c>
    </row>
    <row r="8936" spans="1:1">
      <c r="A8936" s="7" t="str">
        <f>IF('Document Workflow'!A8935&lt;&gt;"",'Document Workflow'!A8935,"")</f>
        <v/>
      </c>
    </row>
    <row r="8937" spans="1:1">
      <c r="A8937" s="7" t="str">
        <f>IF('Document Workflow'!A8936&lt;&gt;"",'Document Workflow'!A8936,"")</f>
        <v/>
      </c>
    </row>
    <row r="8938" spans="1:1">
      <c r="A8938" s="7" t="str">
        <f>IF('Document Workflow'!A8937&lt;&gt;"",'Document Workflow'!A8937,"")</f>
        <v/>
      </c>
    </row>
    <row r="8939" spans="1:1">
      <c r="A8939" s="7" t="str">
        <f>IF('Document Workflow'!A8938&lt;&gt;"",'Document Workflow'!A8938,"")</f>
        <v/>
      </c>
    </row>
    <row r="8940" spans="1:1">
      <c r="A8940" s="7" t="str">
        <f>IF('Document Workflow'!A8939&lt;&gt;"",'Document Workflow'!A8939,"")</f>
        <v/>
      </c>
    </row>
    <row r="8941" spans="1:1">
      <c r="A8941" s="7" t="str">
        <f>IF('Document Workflow'!A8940&lt;&gt;"",'Document Workflow'!A8940,"")</f>
        <v/>
      </c>
    </row>
    <row r="8942" spans="1:1">
      <c r="A8942" s="7" t="str">
        <f>IF('Document Workflow'!A8941&lt;&gt;"",'Document Workflow'!A8941,"")</f>
        <v/>
      </c>
    </row>
    <row r="8943" spans="1:1">
      <c r="A8943" s="7" t="str">
        <f>IF('Document Workflow'!A8942&lt;&gt;"",'Document Workflow'!A8942,"")</f>
        <v/>
      </c>
    </row>
    <row r="8944" spans="1:1">
      <c r="A8944" s="7" t="str">
        <f>IF('Document Workflow'!A8943&lt;&gt;"",'Document Workflow'!A8943,"")</f>
        <v/>
      </c>
    </row>
    <row r="8945" spans="1:1">
      <c r="A8945" s="7" t="str">
        <f>IF('Document Workflow'!A8944&lt;&gt;"",'Document Workflow'!A8944,"")</f>
        <v/>
      </c>
    </row>
    <row r="8946" spans="1:1">
      <c r="A8946" s="7" t="str">
        <f>IF('Document Workflow'!A8945&lt;&gt;"",'Document Workflow'!A8945,"")</f>
        <v/>
      </c>
    </row>
    <row r="8947" spans="1:1">
      <c r="A8947" s="7" t="str">
        <f>IF('Document Workflow'!A8946&lt;&gt;"",'Document Workflow'!A8946,"")</f>
        <v/>
      </c>
    </row>
    <row r="8948" spans="1:1">
      <c r="A8948" s="7" t="str">
        <f>IF('Document Workflow'!A8947&lt;&gt;"",'Document Workflow'!A8947,"")</f>
        <v/>
      </c>
    </row>
    <row r="8949" spans="1:1">
      <c r="A8949" s="7" t="str">
        <f>IF('Document Workflow'!A8948&lt;&gt;"",'Document Workflow'!A8948,"")</f>
        <v/>
      </c>
    </row>
    <row r="8950" spans="1:1">
      <c r="A8950" s="7" t="str">
        <f>IF('Document Workflow'!A8949&lt;&gt;"",'Document Workflow'!A8949,"")</f>
        <v/>
      </c>
    </row>
    <row r="8951" spans="1:1">
      <c r="A8951" s="7" t="str">
        <f>IF('Document Workflow'!A8950&lt;&gt;"",'Document Workflow'!A8950,"")</f>
        <v/>
      </c>
    </row>
    <row r="8952" spans="1:1">
      <c r="A8952" s="7" t="str">
        <f>IF('Document Workflow'!A8951&lt;&gt;"",'Document Workflow'!A8951,"")</f>
        <v/>
      </c>
    </row>
    <row r="8953" spans="1:1">
      <c r="A8953" s="7" t="str">
        <f>IF('Document Workflow'!A8952&lt;&gt;"",'Document Workflow'!A8952,"")</f>
        <v/>
      </c>
    </row>
    <row r="8954" spans="1:1">
      <c r="A8954" s="7" t="str">
        <f>IF('Document Workflow'!A8953&lt;&gt;"",'Document Workflow'!A8953,"")</f>
        <v/>
      </c>
    </row>
    <row r="8955" spans="1:1">
      <c r="A8955" s="7" t="str">
        <f>IF('Document Workflow'!A8954&lt;&gt;"",'Document Workflow'!A8954,"")</f>
        <v/>
      </c>
    </row>
    <row r="8956" spans="1:1">
      <c r="A8956" s="7" t="str">
        <f>IF('Document Workflow'!A8955&lt;&gt;"",'Document Workflow'!A8955,"")</f>
        <v/>
      </c>
    </row>
    <row r="8957" spans="1:1">
      <c r="A8957" s="7" t="str">
        <f>IF('Document Workflow'!A8956&lt;&gt;"",'Document Workflow'!A8956,"")</f>
        <v/>
      </c>
    </row>
    <row r="8958" spans="1:1">
      <c r="A8958" s="7" t="str">
        <f>IF('Document Workflow'!A8957&lt;&gt;"",'Document Workflow'!A8957,"")</f>
        <v/>
      </c>
    </row>
    <row r="8959" spans="1:1">
      <c r="A8959" s="7" t="str">
        <f>IF('Document Workflow'!A8958&lt;&gt;"",'Document Workflow'!A8958,"")</f>
        <v/>
      </c>
    </row>
    <row r="8960" spans="1:1">
      <c r="A8960" s="7" t="str">
        <f>IF('Document Workflow'!A8959&lt;&gt;"",'Document Workflow'!A8959,"")</f>
        <v/>
      </c>
    </row>
    <row r="8961" spans="1:1">
      <c r="A8961" s="7" t="str">
        <f>IF('Document Workflow'!A8960&lt;&gt;"",'Document Workflow'!A8960,"")</f>
        <v/>
      </c>
    </row>
    <row r="8962" spans="1:1">
      <c r="A8962" s="7" t="str">
        <f>IF('Document Workflow'!A8961&lt;&gt;"",'Document Workflow'!A8961,"")</f>
        <v/>
      </c>
    </row>
    <row r="8963" spans="1:1">
      <c r="A8963" s="7" t="str">
        <f>IF('Document Workflow'!A8962&lt;&gt;"",'Document Workflow'!A8962,"")</f>
        <v/>
      </c>
    </row>
    <row r="8964" spans="1:1">
      <c r="A8964" s="7" t="str">
        <f>IF('Document Workflow'!A8963&lt;&gt;"",'Document Workflow'!A8963,"")</f>
        <v/>
      </c>
    </row>
    <row r="8965" spans="1:1">
      <c r="A8965" s="7" t="str">
        <f>IF('Document Workflow'!A8964&lt;&gt;"",'Document Workflow'!A8964,"")</f>
        <v/>
      </c>
    </row>
    <row r="8966" spans="1:1">
      <c r="A8966" s="7" t="str">
        <f>IF('Document Workflow'!A8965&lt;&gt;"",'Document Workflow'!A8965,"")</f>
        <v/>
      </c>
    </row>
    <row r="8967" spans="1:1">
      <c r="A8967" s="7" t="str">
        <f>IF('Document Workflow'!A8966&lt;&gt;"",'Document Workflow'!A8966,"")</f>
        <v/>
      </c>
    </row>
    <row r="8968" spans="1:1">
      <c r="A8968" s="7" t="str">
        <f>IF('Document Workflow'!A8967&lt;&gt;"",'Document Workflow'!A8967,"")</f>
        <v/>
      </c>
    </row>
    <row r="8969" spans="1:1">
      <c r="A8969" s="7" t="str">
        <f>IF('Document Workflow'!A8968&lt;&gt;"",'Document Workflow'!A8968,"")</f>
        <v/>
      </c>
    </row>
    <row r="8970" spans="1:1">
      <c r="A8970" s="7" t="str">
        <f>IF('Document Workflow'!A8969&lt;&gt;"",'Document Workflow'!A8969,"")</f>
        <v/>
      </c>
    </row>
    <row r="8971" spans="1:1">
      <c r="A8971" s="7" t="str">
        <f>IF('Document Workflow'!A8970&lt;&gt;"",'Document Workflow'!A8970,"")</f>
        <v/>
      </c>
    </row>
    <row r="8972" spans="1:1">
      <c r="A8972" s="7" t="str">
        <f>IF('Document Workflow'!A8971&lt;&gt;"",'Document Workflow'!A8971,"")</f>
        <v/>
      </c>
    </row>
    <row r="8973" spans="1:1">
      <c r="A8973" s="7" t="str">
        <f>IF('Document Workflow'!A8972&lt;&gt;"",'Document Workflow'!A8972,"")</f>
        <v/>
      </c>
    </row>
    <row r="8974" spans="1:1">
      <c r="A8974" s="7" t="str">
        <f>IF('Document Workflow'!A8973&lt;&gt;"",'Document Workflow'!A8973,"")</f>
        <v/>
      </c>
    </row>
    <row r="8975" spans="1:1">
      <c r="A8975" s="7" t="str">
        <f>IF('Document Workflow'!A8974&lt;&gt;"",'Document Workflow'!A8974,"")</f>
        <v/>
      </c>
    </row>
    <row r="8976" spans="1:1">
      <c r="A8976" s="7" t="str">
        <f>IF('Document Workflow'!A8975&lt;&gt;"",'Document Workflow'!A8975,"")</f>
        <v/>
      </c>
    </row>
    <row r="8977" spans="1:1">
      <c r="A8977" s="7" t="str">
        <f>IF('Document Workflow'!A8976&lt;&gt;"",'Document Workflow'!A8976,"")</f>
        <v/>
      </c>
    </row>
    <row r="8978" spans="1:1">
      <c r="A8978" s="7" t="str">
        <f>IF('Document Workflow'!A8977&lt;&gt;"",'Document Workflow'!A8977,"")</f>
        <v/>
      </c>
    </row>
    <row r="8979" spans="1:1">
      <c r="A8979" s="7" t="str">
        <f>IF('Document Workflow'!A8978&lt;&gt;"",'Document Workflow'!A8978,"")</f>
        <v/>
      </c>
    </row>
    <row r="8980" spans="1:1">
      <c r="A8980" s="7" t="str">
        <f>IF('Document Workflow'!A8979&lt;&gt;"",'Document Workflow'!A8979,"")</f>
        <v/>
      </c>
    </row>
    <row r="8981" spans="1:1">
      <c r="A8981" s="7" t="str">
        <f>IF('Document Workflow'!A8980&lt;&gt;"",'Document Workflow'!A8980,"")</f>
        <v/>
      </c>
    </row>
    <row r="8982" spans="1:1">
      <c r="A8982" s="7" t="str">
        <f>IF('Document Workflow'!A8981&lt;&gt;"",'Document Workflow'!A8981,"")</f>
        <v/>
      </c>
    </row>
    <row r="8983" spans="1:1">
      <c r="A8983" s="7" t="str">
        <f>IF('Document Workflow'!A8982&lt;&gt;"",'Document Workflow'!A8982,"")</f>
        <v/>
      </c>
    </row>
    <row r="8984" spans="1:1">
      <c r="A8984" s="7" t="str">
        <f>IF('Document Workflow'!A8983&lt;&gt;"",'Document Workflow'!A8983,"")</f>
        <v/>
      </c>
    </row>
    <row r="8985" spans="1:1">
      <c r="A8985" s="7" t="str">
        <f>IF('Document Workflow'!A8984&lt;&gt;"",'Document Workflow'!A8984,"")</f>
        <v/>
      </c>
    </row>
    <row r="8986" spans="1:1">
      <c r="A8986" s="7" t="str">
        <f>IF('Document Workflow'!A8985&lt;&gt;"",'Document Workflow'!A8985,"")</f>
        <v/>
      </c>
    </row>
    <row r="8987" spans="1:1">
      <c r="A8987" s="7" t="str">
        <f>IF('Document Workflow'!A8986&lt;&gt;"",'Document Workflow'!A8986,"")</f>
        <v/>
      </c>
    </row>
    <row r="8988" spans="1:1">
      <c r="A8988" s="7" t="str">
        <f>IF('Document Workflow'!A8987&lt;&gt;"",'Document Workflow'!A8987,"")</f>
        <v/>
      </c>
    </row>
    <row r="8989" spans="1:1">
      <c r="A8989" s="7" t="str">
        <f>IF('Document Workflow'!A8988&lt;&gt;"",'Document Workflow'!A8988,"")</f>
        <v/>
      </c>
    </row>
    <row r="8990" spans="1:1">
      <c r="A8990" s="7" t="str">
        <f>IF('Document Workflow'!A8989&lt;&gt;"",'Document Workflow'!A8989,"")</f>
        <v/>
      </c>
    </row>
    <row r="8991" spans="1:1">
      <c r="A8991" s="7" t="str">
        <f>IF('Document Workflow'!A8990&lt;&gt;"",'Document Workflow'!A8990,"")</f>
        <v/>
      </c>
    </row>
    <row r="8992" spans="1:1">
      <c r="A8992" s="7" t="str">
        <f>IF('Document Workflow'!A8991&lt;&gt;"",'Document Workflow'!A8991,"")</f>
        <v/>
      </c>
    </row>
    <row r="8993" spans="1:1">
      <c r="A8993" s="7" t="str">
        <f>IF('Document Workflow'!A8992&lt;&gt;"",'Document Workflow'!A8992,"")</f>
        <v/>
      </c>
    </row>
    <row r="8994" spans="1:1">
      <c r="A8994" s="7" t="str">
        <f>IF('Document Workflow'!A8993&lt;&gt;"",'Document Workflow'!A8993,"")</f>
        <v/>
      </c>
    </row>
    <row r="8995" spans="1:1">
      <c r="A8995" s="7" t="str">
        <f>IF('Document Workflow'!A8994&lt;&gt;"",'Document Workflow'!A8994,"")</f>
        <v/>
      </c>
    </row>
    <row r="8996" spans="1:1">
      <c r="A8996" s="7" t="str">
        <f>IF('Document Workflow'!A8995&lt;&gt;"",'Document Workflow'!A8995,"")</f>
        <v/>
      </c>
    </row>
    <row r="8997" spans="1:1">
      <c r="A8997" s="7" t="str">
        <f>IF('Document Workflow'!A8996&lt;&gt;"",'Document Workflow'!A8996,"")</f>
        <v/>
      </c>
    </row>
    <row r="8998" spans="1:1">
      <c r="A8998" s="7" t="str">
        <f>IF('Document Workflow'!A8997&lt;&gt;"",'Document Workflow'!A8997,"")</f>
        <v/>
      </c>
    </row>
    <row r="8999" spans="1:1">
      <c r="A8999" s="7" t="str">
        <f>IF('Document Workflow'!A8998&lt;&gt;"",'Document Workflow'!A8998,"")</f>
        <v/>
      </c>
    </row>
    <row r="9000" spans="1:1">
      <c r="A9000" s="7" t="str">
        <f>IF('Document Workflow'!A8999&lt;&gt;"",'Document Workflow'!A8999,"")</f>
        <v/>
      </c>
    </row>
    <row r="9001" spans="1:1">
      <c r="A9001" s="7" t="str">
        <f>IF('Document Workflow'!A9000&lt;&gt;"",'Document Workflow'!A9000,"")</f>
        <v/>
      </c>
    </row>
    <row r="9002" spans="1:1">
      <c r="A9002" s="7" t="str">
        <f>IF('Document Workflow'!A9001&lt;&gt;"",'Document Workflow'!A9001,"")</f>
        <v/>
      </c>
    </row>
    <row r="9003" spans="1:1">
      <c r="A9003" s="7" t="str">
        <f>IF('Document Workflow'!A9002&lt;&gt;"",'Document Workflow'!A9002,"")</f>
        <v/>
      </c>
    </row>
    <row r="9004" spans="1:1">
      <c r="A9004" s="7" t="str">
        <f>IF('Document Workflow'!A9003&lt;&gt;"",'Document Workflow'!A9003,"")</f>
        <v/>
      </c>
    </row>
    <row r="9005" spans="1:1">
      <c r="A9005" s="7" t="str">
        <f>IF('Document Workflow'!A9004&lt;&gt;"",'Document Workflow'!A9004,"")</f>
        <v/>
      </c>
    </row>
    <row r="9006" spans="1:1">
      <c r="A9006" s="7" t="str">
        <f>IF('Document Workflow'!A9005&lt;&gt;"",'Document Workflow'!A9005,"")</f>
        <v/>
      </c>
    </row>
    <row r="9007" spans="1:1">
      <c r="A9007" s="7" t="str">
        <f>IF('Document Workflow'!A9006&lt;&gt;"",'Document Workflow'!A9006,"")</f>
        <v/>
      </c>
    </row>
    <row r="9008" spans="1:1">
      <c r="A9008" s="7" t="str">
        <f>IF('Document Workflow'!A9007&lt;&gt;"",'Document Workflow'!A9007,"")</f>
        <v/>
      </c>
    </row>
    <row r="9009" spans="1:1">
      <c r="A9009" s="7" t="str">
        <f>IF('Document Workflow'!A9008&lt;&gt;"",'Document Workflow'!A9008,"")</f>
        <v/>
      </c>
    </row>
    <row r="9010" spans="1:1">
      <c r="A9010" s="7" t="str">
        <f>IF('Document Workflow'!A9009&lt;&gt;"",'Document Workflow'!A9009,"")</f>
        <v/>
      </c>
    </row>
    <row r="9011" spans="1:1">
      <c r="A9011" s="7" t="str">
        <f>IF('Document Workflow'!A9010&lt;&gt;"",'Document Workflow'!A9010,"")</f>
        <v/>
      </c>
    </row>
    <row r="9012" spans="1:1">
      <c r="A9012" s="7" t="str">
        <f>IF('Document Workflow'!A9011&lt;&gt;"",'Document Workflow'!A9011,"")</f>
        <v/>
      </c>
    </row>
    <row r="9013" spans="1:1">
      <c r="A9013" s="7" t="str">
        <f>IF('Document Workflow'!A9012&lt;&gt;"",'Document Workflow'!A9012,"")</f>
        <v/>
      </c>
    </row>
    <row r="9014" spans="1:1">
      <c r="A9014" s="7" t="str">
        <f>IF('Document Workflow'!A9013&lt;&gt;"",'Document Workflow'!A9013,"")</f>
        <v/>
      </c>
    </row>
    <row r="9015" spans="1:1">
      <c r="A9015" s="7" t="str">
        <f>IF('Document Workflow'!A9014&lt;&gt;"",'Document Workflow'!A9014,"")</f>
        <v/>
      </c>
    </row>
    <row r="9016" spans="1:1">
      <c r="A9016" s="7" t="str">
        <f>IF('Document Workflow'!A9015&lt;&gt;"",'Document Workflow'!A9015,"")</f>
        <v/>
      </c>
    </row>
    <row r="9017" spans="1:1">
      <c r="A9017" s="7" t="str">
        <f>IF('Document Workflow'!A9016&lt;&gt;"",'Document Workflow'!A9016,"")</f>
        <v/>
      </c>
    </row>
    <row r="9018" spans="1:1">
      <c r="A9018" s="7" t="str">
        <f>IF('Document Workflow'!A9017&lt;&gt;"",'Document Workflow'!A9017,"")</f>
        <v/>
      </c>
    </row>
    <row r="9019" spans="1:1">
      <c r="A9019" s="7" t="str">
        <f>IF('Document Workflow'!A9018&lt;&gt;"",'Document Workflow'!A9018,"")</f>
        <v/>
      </c>
    </row>
    <row r="9020" spans="1:1">
      <c r="A9020" s="7" t="str">
        <f>IF('Document Workflow'!A9019&lt;&gt;"",'Document Workflow'!A9019,"")</f>
        <v/>
      </c>
    </row>
    <row r="9021" spans="1:1">
      <c r="A9021" s="7" t="str">
        <f>IF('Document Workflow'!A9020&lt;&gt;"",'Document Workflow'!A9020,"")</f>
        <v/>
      </c>
    </row>
    <row r="9022" spans="1:1">
      <c r="A9022" s="7" t="str">
        <f>IF('Document Workflow'!A9021&lt;&gt;"",'Document Workflow'!A9021,"")</f>
        <v/>
      </c>
    </row>
    <row r="9023" spans="1:1">
      <c r="A9023" s="7" t="str">
        <f>IF('Document Workflow'!A9022&lt;&gt;"",'Document Workflow'!A9022,"")</f>
        <v/>
      </c>
    </row>
    <row r="9024" spans="1:1">
      <c r="A9024" s="7" t="str">
        <f>IF('Document Workflow'!A9023&lt;&gt;"",'Document Workflow'!A9023,"")</f>
        <v/>
      </c>
    </row>
    <row r="9025" spans="1:1">
      <c r="A9025" s="7" t="str">
        <f>IF('Document Workflow'!A9024&lt;&gt;"",'Document Workflow'!A9024,"")</f>
        <v/>
      </c>
    </row>
    <row r="9026" spans="1:1">
      <c r="A9026" s="7" t="str">
        <f>IF('Document Workflow'!A9025&lt;&gt;"",'Document Workflow'!A9025,"")</f>
        <v/>
      </c>
    </row>
    <row r="9027" spans="1:1">
      <c r="A9027" s="7" t="str">
        <f>IF('Document Workflow'!A9026&lt;&gt;"",'Document Workflow'!A9026,"")</f>
        <v/>
      </c>
    </row>
    <row r="9028" spans="1:1">
      <c r="A9028" s="7" t="str">
        <f>IF('Document Workflow'!A9027&lt;&gt;"",'Document Workflow'!A9027,"")</f>
        <v/>
      </c>
    </row>
    <row r="9029" spans="1:1">
      <c r="A9029" s="7" t="str">
        <f>IF('Document Workflow'!A9028&lt;&gt;"",'Document Workflow'!A9028,"")</f>
        <v/>
      </c>
    </row>
    <row r="9030" spans="1:1">
      <c r="A9030" s="7" t="str">
        <f>IF('Document Workflow'!A9029&lt;&gt;"",'Document Workflow'!A9029,"")</f>
        <v/>
      </c>
    </row>
    <row r="9031" spans="1:1">
      <c r="A9031" s="7" t="str">
        <f>IF('Document Workflow'!A9030&lt;&gt;"",'Document Workflow'!A9030,"")</f>
        <v/>
      </c>
    </row>
    <row r="9032" spans="1:1">
      <c r="A9032" s="7" t="str">
        <f>IF('Document Workflow'!A9031&lt;&gt;"",'Document Workflow'!A9031,"")</f>
        <v/>
      </c>
    </row>
    <row r="9033" spans="1:1">
      <c r="A9033" s="7" t="str">
        <f>IF('Document Workflow'!A9032&lt;&gt;"",'Document Workflow'!A9032,"")</f>
        <v/>
      </c>
    </row>
    <row r="9034" spans="1:1">
      <c r="A9034" s="7" t="str">
        <f>IF('Document Workflow'!A9033&lt;&gt;"",'Document Workflow'!A9033,"")</f>
        <v/>
      </c>
    </row>
    <row r="9035" spans="1:1">
      <c r="A9035" s="7" t="str">
        <f>IF('Document Workflow'!A9034&lt;&gt;"",'Document Workflow'!A9034,"")</f>
        <v/>
      </c>
    </row>
    <row r="9036" spans="1:1">
      <c r="A9036" s="7" t="str">
        <f>IF('Document Workflow'!A9035&lt;&gt;"",'Document Workflow'!A9035,"")</f>
        <v/>
      </c>
    </row>
    <row r="9037" spans="1:1">
      <c r="A9037" s="7" t="str">
        <f>IF('Document Workflow'!A9036&lt;&gt;"",'Document Workflow'!A9036,"")</f>
        <v/>
      </c>
    </row>
    <row r="9038" spans="1:1">
      <c r="A9038" s="7" t="str">
        <f>IF('Document Workflow'!A9037&lt;&gt;"",'Document Workflow'!A9037,"")</f>
        <v/>
      </c>
    </row>
    <row r="9039" spans="1:1">
      <c r="A9039" s="7" t="str">
        <f>IF('Document Workflow'!A9038&lt;&gt;"",'Document Workflow'!A9038,"")</f>
        <v/>
      </c>
    </row>
    <row r="9040" spans="1:1">
      <c r="A9040" s="7" t="str">
        <f>IF('Document Workflow'!A9039&lt;&gt;"",'Document Workflow'!A9039,"")</f>
        <v/>
      </c>
    </row>
    <row r="9041" spans="1:1">
      <c r="A9041" s="7" t="str">
        <f>IF('Document Workflow'!A9040&lt;&gt;"",'Document Workflow'!A9040,"")</f>
        <v/>
      </c>
    </row>
    <row r="9042" spans="1:1">
      <c r="A9042" s="7" t="str">
        <f>IF('Document Workflow'!A9041&lt;&gt;"",'Document Workflow'!A9041,"")</f>
        <v/>
      </c>
    </row>
    <row r="9043" spans="1:1">
      <c r="A9043" s="7" t="str">
        <f>IF('Document Workflow'!A9042&lt;&gt;"",'Document Workflow'!A9042,"")</f>
        <v/>
      </c>
    </row>
    <row r="9044" spans="1:1">
      <c r="A9044" s="7" t="str">
        <f>IF('Document Workflow'!A9043&lt;&gt;"",'Document Workflow'!A9043,"")</f>
        <v/>
      </c>
    </row>
    <row r="9045" spans="1:1">
      <c r="A9045" s="7" t="str">
        <f>IF('Document Workflow'!A9044&lt;&gt;"",'Document Workflow'!A9044,"")</f>
        <v/>
      </c>
    </row>
    <row r="9046" spans="1:1">
      <c r="A9046" s="7" t="str">
        <f>IF('Document Workflow'!A9045&lt;&gt;"",'Document Workflow'!A9045,"")</f>
        <v/>
      </c>
    </row>
    <row r="9047" spans="1:1">
      <c r="A9047" s="7" t="str">
        <f>IF('Document Workflow'!A9046&lt;&gt;"",'Document Workflow'!A9046,"")</f>
        <v/>
      </c>
    </row>
    <row r="9048" spans="1:1">
      <c r="A9048" s="7" t="str">
        <f>IF('Document Workflow'!A9047&lt;&gt;"",'Document Workflow'!A9047,"")</f>
        <v/>
      </c>
    </row>
    <row r="9049" spans="1:1">
      <c r="A9049" s="7" t="str">
        <f>IF('Document Workflow'!A9048&lt;&gt;"",'Document Workflow'!A9048,"")</f>
        <v/>
      </c>
    </row>
    <row r="9050" spans="1:1">
      <c r="A9050" s="7" t="str">
        <f>IF('Document Workflow'!A9049&lt;&gt;"",'Document Workflow'!A9049,"")</f>
        <v/>
      </c>
    </row>
    <row r="9051" spans="1:1">
      <c r="A9051" s="7" t="str">
        <f>IF('Document Workflow'!A9050&lt;&gt;"",'Document Workflow'!A9050,"")</f>
        <v/>
      </c>
    </row>
    <row r="9052" spans="1:1">
      <c r="A9052" s="7" t="str">
        <f>IF('Document Workflow'!A9051&lt;&gt;"",'Document Workflow'!A9051,"")</f>
        <v/>
      </c>
    </row>
    <row r="9053" spans="1:1">
      <c r="A9053" s="7" t="str">
        <f>IF('Document Workflow'!A9052&lt;&gt;"",'Document Workflow'!A9052,"")</f>
        <v/>
      </c>
    </row>
    <row r="9054" spans="1:1">
      <c r="A9054" s="7" t="str">
        <f>IF('Document Workflow'!A9053&lt;&gt;"",'Document Workflow'!A9053,"")</f>
        <v/>
      </c>
    </row>
    <row r="9055" spans="1:1">
      <c r="A9055" s="7" t="str">
        <f>IF('Document Workflow'!A9054&lt;&gt;"",'Document Workflow'!A9054,"")</f>
        <v/>
      </c>
    </row>
    <row r="9056" spans="1:1">
      <c r="A9056" s="7" t="str">
        <f>IF('Document Workflow'!A9055&lt;&gt;"",'Document Workflow'!A9055,"")</f>
        <v/>
      </c>
    </row>
    <row r="9057" spans="1:1">
      <c r="A9057" s="7" t="str">
        <f>IF('Document Workflow'!A9056&lt;&gt;"",'Document Workflow'!A9056,"")</f>
        <v/>
      </c>
    </row>
    <row r="9058" spans="1:1">
      <c r="A9058" s="7" t="str">
        <f>IF('Document Workflow'!A9057&lt;&gt;"",'Document Workflow'!A9057,"")</f>
        <v/>
      </c>
    </row>
    <row r="9059" spans="1:1">
      <c r="A9059" s="7" t="str">
        <f>IF('Document Workflow'!A9058&lt;&gt;"",'Document Workflow'!A9058,"")</f>
        <v/>
      </c>
    </row>
    <row r="9060" spans="1:1">
      <c r="A9060" s="7" t="str">
        <f>IF('Document Workflow'!A9059&lt;&gt;"",'Document Workflow'!A9059,"")</f>
        <v/>
      </c>
    </row>
    <row r="9061" spans="1:1">
      <c r="A9061" s="7" t="str">
        <f>IF('Document Workflow'!A9060&lt;&gt;"",'Document Workflow'!A9060,"")</f>
        <v/>
      </c>
    </row>
    <row r="9062" spans="1:1">
      <c r="A9062" s="7" t="str">
        <f>IF('Document Workflow'!A9061&lt;&gt;"",'Document Workflow'!A9061,"")</f>
        <v/>
      </c>
    </row>
    <row r="9063" spans="1:1">
      <c r="A9063" s="7" t="str">
        <f>IF('Document Workflow'!A9062&lt;&gt;"",'Document Workflow'!A9062,"")</f>
        <v/>
      </c>
    </row>
    <row r="9064" spans="1:1">
      <c r="A9064" s="7" t="str">
        <f>IF('Document Workflow'!A9063&lt;&gt;"",'Document Workflow'!A9063,"")</f>
        <v/>
      </c>
    </row>
    <row r="9065" spans="1:1">
      <c r="A9065" s="7" t="str">
        <f>IF('Document Workflow'!A9064&lt;&gt;"",'Document Workflow'!A9064,"")</f>
        <v/>
      </c>
    </row>
    <row r="9066" spans="1:1">
      <c r="A9066" s="7" t="str">
        <f>IF('Document Workflow'!A9065&lt;&gt;"",'Document Workflow'!A9065,"")</f>
        <v/>
      </c>
    </row>
    <row r="9067" spans="1:1">
      <c r="A9067" s="7" t="str">
        <f>IF('Document Workflow'!A9066&lt;&gt;"",'Document Workflow'!A9066,"")</f>
        <v/>
      </c>
    </row>
    <row r="9068" spans="1:1">
      <c r="A9068" s="7" t="str">
        <f>IF('Document Workflow'!A9067&lt;&gt;"",'Document Workflow'!A9067,"")</f>
        <v/>
      </c>
    </row>
    <row r="9069" spans="1:1">
      <c r="A9069" s="7" t="str">
        <f>IF('Document Workflow'!A9068&lt;&gt;"",'Document Workflow'!A9068,"")</f>
        <v/>
      </c>
    </row>
    <row r="9070" spans="1:1">
      <c r="A9070" s="7" t="str">
        <f>IF('Document Workflow'!A9069&lt;&gt;"",'Document Workflow'!A9069,"")</f>
        <v/>
      </c>
    </row>
    <row r="9071" spans="1:1">
      <c r="A9071" s="7" t="str">
        <f>IF('Document Workflow'!A9070&lt;&gt;"",'Document Workflow'!A9070,"")</f>
        <v/>
      </c>
    </row>
    <row r="9072" spans="1:1">
      <c r="A9072" s="7" t="str">
        <f>IF('Document Workflow'!A9071&lt;&gt;"",'Document Workflow'!A9071,"")</f>
        <v/>
      </c>
    </row>
    <row r="9073" spans="1:1">
      <c r="A9073" s="7" t="str">
        <f>IF('Document Workflow'!A9072&lt;&gt;"",'Document Workflow'!A9072,"")</f>
        <v/>
      </c>
    </row>
    <row r="9074" spans="1:1">
      <c r="A9074" s="7" t="str">
        <f>IF('Document Workflow'!A9073&lt;&gt;"",'Document Workflow'!A9073,"")</f>
        <v/>
      </c>
    </row>
    <row r="9075" spans="1:1">
      <c r="A9075" s="7" t="str">
        <f>IF('Document Workflow'!A9074&lt;&gt;"",'Document Workflow'!A9074,"")</f>
        <v/>
      </c>
    </row>
    <row r="9076" spans="1:1">
      <c r="A9076" s="7" t="str">
        <f>IF('Document Workflow'!A9075&lt;&gt;"",'Document Workflow'!A9075,"")</f>
        <v/>
      </c>
    </row>
    <row r="9077" spans="1:1">
      <c r="A9077" s="7" t="str">
        <f>IF('Document Workflow'!A9076&lt;&gt;"",'Document Workflow'!A9076,"")</f>
        <v/>
      </c>
    </row>
    <row r="9078" spans="1:1">
      <c r="A9078" s="7" t="str">
        <f>IF('Document Workflow'!A9077&lt;&gt;"",'Document Workflow'!A9077,"")</f>
        <v/>
      </c>
    </row>
    <row r="9079" spans="1:1">
      <c r="A9079" s="7" t="str">
        <f>IF('Document Workflow'!A9078&lt;&gt;"",'Document Workflow'!A9078,"")</f>
        <v/>
      </c>
    </row>
    <row r="9080" spans="1:1">
      <c r="A9080" s="7" t="str">
        <f>IF('Document Workflow'!A9079&lt;&gt;"",'Document Workflow'!A9079,"")</f>
        <v/>
      </c>
    </row>
    <row r="9081" spans="1:1">
      <c r="A9081" s="7" t="str">
        <f>IF('Document Workflow'!A9080&lt;&gt;"",'Document Workflow'!A9080,"")</f>
        <v/>
      </c>
    </row>
    <row r="9082" spans="1:1">
      <c r="A9082" s="7" t="str">
        <f>IF('Document Workflow'!A9081&lt;&gt;"",'Document Workflow'!A9081,"")</f>
        <v/>
      </c>
    </row>
    <row r="9083" spans="1:1">
      <c r="A9083" s="7" t="str">
        <f>IF('Document Workflow'!A9082&lt;&gt;"",'Document Workflow'!A9082,"")</f>
        <v/>
      </c>
    </row>
    <row r="9084" spans="1:1">
      <c r="A9084" s="7" t="str">
        <f>IF('Document Workflow'!A9083&lt;&gt;"",'Document Workflow'!A9083,"")</f>
        <v/>
      </c>
    </row>
    <row r="9085" spans="1:1">
      <c r="A9085" s="7" t="str">
        <f>IF('Document Workflow'!A9084&lt;&gt;"",'Document Workflow'!A9084,"")</f>
        <v/>
      </c>
    </row>
    <row r="9086" spans="1:1">
      <c r="A9086" s="7" t="str">
        <f>IF('Document Workflow'!A9085&lt;&gt;"",'Document Workflow'!A9085,"")</f>
        <v/>
      </c>
    </row>
    <row r="9087" spans="1:1">
      <c r="A9087" s="7" t="str">
        <f>IF('Document Workflow'!A9086&lt;&gt;"",'Document Workflow'!A9086,"")</f>
        <v/>
      </c>
    </row>
    <row r="9088" spans="1:1">
      <c r="A9088" s="7" t="str">
        <f>IF('Document Workflow'!A9087&lt;&gt;"",'Document Workflow'!A9087,"")</f>
        <v/>
      </c>
    </row>
    <row r="9089" spans="1:1">
      <c r="A9089" s="7" t="str">
        <f>IF('Document Workflow'!A9088&lt;&gt;"",'Document Workflow'!A9088,"")</f>
        <v/>
      </c>
    </row>
    <row r="9090" spans="1:1">
      <c r="A9090" s="7" t="str">
        <f>IF('Document Workflow'!A9089&lt;&gt;"",'Document Workflow'!A9089,"")</f>
        <v/>
      </c>
    </row>
    <row r="9091" spans="1:1">
      <c r="A9091" s="7" t="str">
        <f>IF('Document Workflow'!A9090&lt;&gt;"",'Document Workflow'!A9090,"")</f>
        <v/>
      </c>
    </row>
    <row r="9092" spans="1:1">
      <c r="A9092" s="7" t="str">
        <f>IF('Document Workflow'!A9091&lt;&gt;"",'Document Workflow'!A9091,"")</f>
        <v/>
      </c>
    </row>
    <row r="9093" spans="1:1">
      <c r="A9093" s="7" t="str">
        <f>IF('Document Workflow'!A9092&lt;&gt;"",'Document Workflow'!A9092,"")</f>
        <v/>
      </c>
    </row>
    <row r="9094" spans="1:1">
      <c r="A9094" s="7" t="str">
        <f>IF('Document Workflow'!A9093&lt;&gt;"",'Document Workflow'!A9093,"")</f>
        <v/>
      </c>
    </row>
    <row r="9095" spans="1:1">
      <c r="A9095" s="7" t="str">
        <f>IF('Document Workflow'!A9094&lt;&gt;"",'Document Workflow'!A9094,"")</f>
        <v/>
      </c>
    </row>
    <row r="9096" spans="1:1">
      <c r="A9096" s="7" t="str">
        <f>IF('Document Workflow'!A9095&lt;&gt;"",'Document Workflow'!A9095,"")</f>
        <v/>
      </c>
    </row>
    <row r="9097" spans="1:1">
      <c r="A9097" s="7" t="str">
        <f>IF('Document Workflow'!A9096&lt;&gt;"",'Document Workflow'!A9096,"")</f>
        <v/>
      </c>
    </row>
    <row r="9098" spans="1:1">
      <c r="A9098" s="7" t="str">
        <f>IF('Document Workflow'!A9097&lt;&gt;"",'Document Workflow'!A9097,"")</f>
        <v/>
      </c>
    </row>
    <row r="9099" spans="1:1">
      <c r="A9099" s="7" t="str">
        <f>IF('Document Workflow'!A9098&lt;&gt;"",'Document Workflow'!A9098,"")</f>
        <v/>
      </c>
    </row>
    <row r="9100" spans="1:1">
      <c r="A9100" s="7" t="str">
        <f>IF('Document Workflow'!A9099&lt;&gt;"",'Document Workflow'!A9099,"")</f>
        <v/>
      </c>
    </row>
    <row r="9101" spans="1:1">
      <c r="A9101" s="7" t="str">
        <f>IF('Document Workflow'!A9100&lt;&gt;"",'Document Workflow'!A9100,"")</f>
        <v/>
      </c>
    </row>
    <row r="9102" spans="1:1">
      <c r="A9102" s="7" t="str">
        <f>IF('Document Workflow'!A9101&lt;&gt;"",'Document Workflow'!A9101,"")</f>
        <v/>
      </c>
    </row>
    <row r="9103" spans="1:1">
      <c r="A9103" s="7" t="str">
        <f>IF('Document Workflow'!A9102&lt;&gt;"",'Document Workflow'!A9102,"")</f>
        <v/>
      </c>
    </row>
    <row r="9104" spans="1:1">
      <c r="A9104" s="7" t="str">
        <f>IF('Document Workflow'!A9103&lt;&gt;"",'Document Workflow'!A9103,"")</f>
        <v/>
      </c>
    </row>
    <row r="9105" spans="1:1">
      <c r="A9105" s="7" t="str">
        <f>IF('Document Workflow'!A9104&lt;&gt;"",'Document Workflow'!A9104,"")</f>
        <v/>
      </c>
    </row>
    <row r="9106" spans="1:1">
      <c r="A9106" s="7" t="str">
        <f>IF('Document Workflow'!A9105&lt;&gt;"",'Document Workflow'!A9105,"")</f>
        <v/>
      </c>
    </row>
    <row r="9107" spans="1:1">
      <c r="A9107" s="7" t="str">
        <f>IF('Document Workflow'!A9106&lt;&gt;"",'Document Workflow'!A9106,"")</f>
        <v/>
      </c>
    </row>
    <row r="9108" spans="1:1">
      <c r="A9108" s="7" t="str">
        <f>IF('Document Workflow'!A9107&lt;&gt;"",'Document Workflow'!A9107,"")</f>
        <v/>
      </c>
    </row>
    <row r="9109" spans="1:1">
      <c r="A9109" s="7" t="str">
        <f>IF('Document Workflow'!A9108&lt;&gt;"",'Document Workflow'!A9108,"")</f>
        <v/>
      </c>
    </row>
    <row r="9110" spans="1:1">
      <c r="A9110" s="7" t="str">
        <f>IF('Document Workflow'!A9109&lt;&gt;"",'Document Workflow'!A9109,"")</f>
        <v/>
      </c>
    </row>
    <row r="9111" spans="1:1">
      <c r="A9111" s="7" t="str">
        <f>IF('Document Workflow'!A9110&lt;&gt;"",'Document Workflow'!A9110,"")</f>
        <v/>
      </c>
    </row>
    <row r="9112" spans="1:1">
      <c r="A9112" s="7" t="str">
        <f>IF('Document Workflow'!A9111&lt;&gt;"",'Document Workflow'!A9111,"")</f>
        <v/>
      </c>
    </row>
    <row r="9113" spans="1:1">
      <c r="A9113" s="7" t="str">
        <f>IF('Document Workflow'!A9112&lt;&gt;"",'Document Workflow'!A9112,"")</f>
        <v/>
      </c>
    </row>
    <row r="9114" spans="1:1">
      <c r="A9114" s="7" t="str">
        <f>IF('Document Workflow'!A9113&lt;&gt;"",'Document Workflow'!A9113,"")</f>
        <v/>
      </c>
    </row>
    <row r="9115" spans="1:1">
      <c r="A9115" s="7" t="str">
        <f>IF('Document Workflow'!A9114&lt;&gt;"",'Document Workflow'!A9114,"")</f>
        <v/>
      </c>
    </row>
    <row r="9116" spans="1:1">
      <c r="A9116" s="7" t="str">
        <f>IF('Document Workflow'!A9115&lt;&gt;"",'Document Workflow'!A9115,"")</f>
        <v/>
      </c>
    </row>
    <row r="9117" spans="1:1">
      <c r="A9117" s="7" t="str">
        <f>IF('Document Workflow'!A9116&lt;&gt;"",'Document Workflow'!A9116,"")</f>
        <v/>
      </c>
    </row>
    <row r="9118" spans="1:1">
      <c r="A9118" s="7" t="str">
        <f>IF('Document Workflow'!A9117&lt;&gt;"",'Document Workflow'!A9117,"")</f>
        <v/>
      </c>
    </row>
    <row r="9119" spans="1:1">
      <c r="A9119" s="7" t="str">
        <f>IF('Document Workflow'!A9118&lt;&gt;"",'Document Workflow'!A9118,"")</f>
        <v/>
      </c>
    </row>
    <row r="9120" spans="1:1">
      <c r="A9120" s="7" t="str">
        <f>IF('Document Workflow'!A9119&lt;&gt;"",'Document Workflow'!A9119,"")</f>
        <v/>
      </c>
    </row>
    <row r="9121" spans="1:1">
      <c r="A9121" s="7" t="str">
        <f>IF('Document Workflow'!A9120&lt;&gt;"",'Document Workflow'!A9120,"")</f>
        <v/>
      </c>
    </row>
    <row r="9122" spans="1:1">
      <c r="A9122" s="7" t="str">
        <f>IF('Document Workflow'!A9121&lt;&gt;"",'Document Workflow'!A9121,"")</f>
        <v/>
      </c>
    </row>
    <row r="9123" spans="1:1">
      <c r="A9123" s="7" t="str">
        <f>IF('Document Workflow'!A9122&lt;&gt;"",'Document Workflow'!A9122,"")</f>
        <v/>
      </c>
    </row>
    <row r="9124" spans="1:1">
      <c r="A9124" s="7" t="str">
        <f>IF('Document Workflow'!A9123&lt;&gt;"",'Document Workflow'!A9123,"")</f>
        <v/>
      </c>
    </row>
    <row r="9125" spans="1:1">
      <c r="A9125" s="7" t="str">
        <f>IF('Document Workflow'!A9124&lt;&gt;"",'Document Workflow'!A9124,"")</f>
        <v/>
      </c>
    </row>
    <row r="9126" spans="1:1">
      <c r="A9126" s="7" t="str">
        <f>IF('Document Workflow'!A9125&lt;&gt;"",'Document Workflow'!A9125,"")</f>
        <v/>
      </c>
    </row>
    <row r="9127" spans="1:1">
      <c r="A9127" s="7" t="str">
        <f>IF('Document Workflow'!A9126&lt;&gt;"",'Document Workflow'!A9126,"")</f>
        <v/>
      </c>
    </row>
    <row r="9128" spans="1:1">
      <c r="A9128" s="7" t="str">
        <f>IF('Document Workflow'!A9127&lt;&gt;"",'Document Workflow'!A9127,"")</f>
        <v/>
      </c>
    </row>
    <row r="9129" spans="1:1">
      <c r="A9129" s="7" t="str">
        <f>IF('Document Workflow'!A9128&lt;&gt;"",'Document Workflow'!A9128,"")</f>
        <v/>
      </c>
    </row>
    <row r="9130" spans="1:1">
      <c r="A9130" s="7" t="str">
        <f>IF('Document Workflow'!A9129&lt;&gt;"",'Document Workflow'!A9129,"")</f>
        <v/>
      </c>
    </row>
    <row r="9131" spans="1:1">
      <c r="A9131" s="7" t="str">
        <f>IF('Document Workflow'!A9130&lt;&gt;"",'Document Workflow'!A9130,"")</f>
        <v/>
      </c>
    </row>
    <row r="9132" spans="1:1">
      <c r="A9132" s="7" t="str">
        <f>IF('Document Workflow'!A9131&lt;&gt;"",'Document Workflow'!A9131,"")</f>
        <v/>
      </c>
    </row>
    <row r="9133" spans="1:1">
      <c r="A9133" s="7" t="str">
        <f>IF('Document Workflow'!A9132&lt;&gt;"",'Document Workflow'!A9132,"")</f>
        <v/>
      </c>
    </row>
    <row r="9134" spans="1:1">
      <c r="A9134" s="7" t="str">
        <f>IF('Document Workflow'!A9133&lt;&gt;"",'Document Workflow'!A9133,"")</f>
        <v/>
      </c>
    </row>
    <row r="9135" spans="1:1">
      <c r="A9135" s="7" t="str">
        <f>IF('Document Workflow'!A9134&lt;&gt;"",'Document Workflow'!A9134,"")</f>
        <v/>
      </c>
    </row>
    <row r="9136" spans="1:1">
      <c r="A9136" s="7" t="str">
        <f>IF('Document Workflow'!A9135&lt;&gt;"",'Document Workflow'!A9135,"")</f>
        <v/>
      </c>
    </row>
    <row r="9137" spans="1:1">
      <c r="A9137" s="7" t="str">
        <f>IF('Document Workflow'!A9136&lt;&gt;"",'Document Workflow'!A9136,"")</f>
        <v/>
      </c>
    </row>
    <row r="9138" spans="1:1">
      <c r="A9138" s="7" t="str">
        <f>IF('Document Workflow'!A9137&lt;&gt;"",'Document Workflow'!A9137,"")</f>
        <v/>
      </c>
    </row>
    <row r="9139" spans="1:1">
      <c r="A9139" s="7" t="str">
        <f>IF('Document Workflow'!A9138&lt;&gt;"",'Document Workflow'!A9138,"")</f>
        <v/>
      </c>
    </row>
    <row r="9140" spans="1:1">
      <c r="A9140" s="7" t="str">
        <f>IF('Document Workflow'!A9139&lt;&gt;"",'Document Workflow'!A9139,"")</f>
        <v/>
      </c>
    </row>
    <row r="9141" spans="1:1">
      <c r="A9141" s="7" t="str">
        <f>IF('Document Workflow'!A9140&lt;&gt;"",'Document Workflow'!A9140,"")</f>
        <v/>
      </c>
    </row>
    <row r="9142" spans="1:1">
      <c r="A9142" s="7" t="str">
        <f>IF('Document Workflow'!A9141&lt;&gt;"",'Document Workflow'!A9141,"")</f>
        <v/>
      </c>
    </row>
    <row r="9143" spans="1:1">
      <c r="A9143" s="7" t="str">
        <f>IF('Document Workflow'!A9142&lt;&gt;"",'Document Workflow'!A9142,"")</f>
        <v/>
      </c>
    </row>
    <row r="9144" spans="1:1">
      <c r="A9144" s="7" t="str">
        <f>IF('Document Workflow'!A9143&lt;&gt;"",'Document Workflow'!A9143,"")</f>
        <v/>
      </c>
    </row>
    <row r="9145" spans="1:1">
      <c r="A9145" s="7" t="str">
        <f>IF('Document Workflow'!A9144&lt;&gt;"",'Document Workflow'!A9144,"")</f>
        <v/>
      </c>
    </row>
    <row r="9146" spans="1:1">
      <c r="A9146" s="7" t="str">
        <f>IF('Document Workflow'!A9145&lt;&gt;"",'Document Workflow'!A9145,"")</f>
        <v/>
      </c>
    </row>
    <row r="9147" spans="1:1">
      <c r="A9147" s="7" t="str">
        <f>IF('Document Workflow'!A9146&lt;&gt;"",'Document Workflow'!A9146,"")</f>
        <v/>
      </c>
    </row>
    <row r="9148" spans="1:1">
      <c r="A9148" s="7" t="str">
        <f>IF('Document Workflow'!A9147&lt;&gt;"",'Document Workflow'!A9147,"")</f>
        <v/>
      </c>
    </row>
    <row r="9149" spans="1:1">
      <c r="A9149" s="7" t="str">
        <f>IF('Document Workflow'!A9148&lt;&gt;"",'Document Workflow'!A9148,"")</f>
        <v/>
      </c>
    </row>
    <row r="9150" spans="1:1">
      <c r="A9150" s="7" t="str">
        <f>IF('Document Workflow'!A9149&lt;&gt;"",'Document Workflow'!A9149,"")</f>
        <v/>
      </c>
    </row>
    <row r="9151" spans="1:1">
      <c r="A9151" s="7" t="str">
        <f>IF('Document Workflow'!A9150&lt;&gt;"",'Document Workflow'!A9150,"")</f>
        <v/>
      </c>
    </row>
    <row r="9152" spans="1:1">
      <c r="A9152" s="7" t="str">
        <f>IF('Document Workflow'!A9151&lt;&gt;"",'Document Workflow'!A9151,"")</f>
        <v/>
      </c>
    </row>
    <row r="9153" spans="1:1">
      <c r="A9153" s="7" t="str">
        <f>IF('Document Workflow'!A9152&lt;&gt;"",'Document Workflow'!A9152,"")</f>
        <v/>
      </c>
    </row>
    <row r="9154" spans="1:1">
      <c r="A9154" s="7" t="str">
        <f>IF('Document Workflow'!A9153&lt;&gt;"",'Document Workflow'!A9153,"")</f>
        <v/>
      </c>
    </row>
    <row r="9155" spans="1:1">
      <c r="A9155" s="7" t="str">
        <f>IF('Document Workflow'!A9154&lt;&gt;"",'Document Workflow'!A9154,"")</f>
        <v/>
      </c>
    </row>
    <row r="9156" spans="1:1">
      <c r="A9156" s="7" t="str">
        <f>IF('Document Workflow'!A9155&lt;&gt;"",'Document Workflow'!A9155,"")</f>
        <v/>
      </c>
    </row>
    <row r="9157" spans="1:1">
      <c r="A9157" s="7" t="str">
        <f>IF('Document Workflow'!A9156&lt;&gt;"",'Document Workflow'!A9156,"")</f>
        <v/>
      </c>
    </row>
    <row r="9158" spans="1:1">
      <c r="A9158" s="7" t="str">
        <f>IF('Document Workflow'!A9157&lt;&gt;"",'Document Workflow'!A9157,"")</f>
        <v/>
      </c>
    </row>
    <row r="9159" spans="1:1">
      <c r="A9159" s="7" t="str">
        <f>IF('Document Workflow'!A9158&lt;&gt;"",'Document Workflow'!A9158,"")</f>
        <v/>
      </c>
    </row>
    <row r="9160" spans="1:1">
      <c r="A9160" s="7" t="str">
        <f>IF('Document Workflow'!A9159&lt;&gt;"",'Document Workflow'!A9159,"")</f>
        <v/>
      </c>
    </row>
    <row r="9161" spans="1:1">
      <c r="A9161" s="7" t="str">
        <f>IF('Document Workflow'!A9160&lt;&gt;"",'Document Workflow'!A9160,"")</f>
        <v/>
      </c>
    </row>
    <row r="9162" spans="1:1">
      <c r="A9162" s="7" t="str">
        <f>IF('Document Workflow'!A9161&lt;&gt;"",'Document Workflow'!A9161,"")</f>
        <v/>
      </c>
    </row>
    <row r="9163" spans="1:1">
      <c r="A9163" s="7" t="str">
        <f>IF('Document Workflow'!A9162&lt;&gt;"",'Document Workflow'!A9162,"")</f>
        <v/>
      </c>
    </row>
    <row r="9164" spans="1:1">
      <c r="A9164" s="7" t="str">
        <f>IF('Document Workflow'!A9163&lt;&gt;"",'Document Workflow'!A9163,"")</f>
        <v/>
      </c>
    </row>
    <row r="9165" spans="1:1">
      <c r="A9165" s="7" t="str">
        <f>IF('Document Workflow'!A9164&lt;&gt;"",'Document Workflow'!A9164,"")</f>
        <v/>
      </c>
    </row>
    <row r="9166" spans="1:1">
      <c r="A9166" s="7" t="str">
        <f>IF('Document Workflow'!A9165&lt;&gt;"",'Document Workflow'!A9165,"")</f>
        <v/>
      </c>
    </row>
    <row r="9167" spans="1:1">
      <c r="A9167" s="7" t="str">
        <f>IF('Document Workflow'!A9166&lt;&gt;"",'Document Workflow'!A9166,"")</f>
        <v/>
      </c>
    </row>
    <row r="9168" spans="1:1">
      <c r="A9168" s="7" t="str">
        <f>IF('Document Workflow'!A9167&lt;&gt;"",'Document Workflow'!A9167,"")</f>
        <v/>
      </c>
    </row>
    <row r="9169" spans="1:1">
      <c r="A9169" s="7" t="str">
        <f>IF('Document Workflow'!A9168&lt;&gt;"",'Document Workflow'!A9168,"")</f>
        <v/>
      </c>
    </row>
    <row r="9170" spans="1:1">
      <c r="A9170" s="7" t="str">
        <f>IF('Document Workflow'!A9169&lt;&gt;"",'Document Workflow'!A9169,"")</f>
        <v/>
      </c>
    </row>
    <row r="9171" spans="1:1">
      <c r="A9171" s="7" t="str">
        <f>IF('Document Workflow'!A9170&lt;&gt;"",'Document Workflow'!A9170,"")</f>
        <v/>
      </c>
    </row>
    <row r="9172" spans="1:1">
      <c r="A9172" s="7" t="str">
        <f>IF('Document Workflow'!A9171&lt;&gt;"",'Document Workflow'!A9171,"")</f>
        <v/>
      </c>
    </row>
    <row r="9173" spans="1:1">
      <c r="A9173" s="7" t="str">
        <f>IF('Document Workflow'!A9172&lt;&gt;"",'Document Workflow'!A9172,"")</f>
        <v/>
      </c>
    </row>
    <row r="9174" spans="1:1">
      <c r="A9174" s="7" t="str">
        <f>IF('Document Workflow'!A9173&lt;&gt;"",'Document Workflow'!A9173,"")</f>
        <v/>
      </c>
    </row>
    <row r="9175" spans="1:1">
      <c r="A9175" s="7" t="str">
        <f>IF('Document Workflow'!A9174&lt;&gt;"",'Document Workflow'!A9174,"")</f>
        <v/>
      </c>
    </row>
    <row r="9176" spans="1:1">
      <c r="A9176" s="7" t="str">
        <f>IF('Document Workflow'!A9175&lt;&gt;"",'Document Workflow'!A9175,"")</f>
        <v/>
      </c>
    </row>
    <row r="9177" spans="1:1">
      <c r="A9177" s="7" t="str">
        <f>IF('Document Workflow'!A9176&lt;&gt;"",'Document Workflow'!A9176,"")</f>
        <v/>
      </c>
    </row>
    <row r="9178" spans="1:1">
      <c r="A9178" s="7" t="str">
        <f>IF('Document Workflow'!A9177&lt;&gt;"",'Document Workflow'!A9177,"")</f>
        <v/>
      </c>
    </row>
    <row r="9179" spans="1:1">
      <c r="A9179" s="7" t="str">
        <f>IF('Document Workflow'!A9178&lt;&gt;"",'Document Workflow'!A9178,"")</f>
        <v/>
      </c>
    </row>
    <row r="9180" spans="1:1">
      <c r="A9180" s="7" t="str">
        <f>IF('Document Workflow'!A9179&lt;&gt;"",'Document Workflow'!A9179,"")</f>
        <v/>
      </c>
    </row>
    <row r="9181" spans="1:1">
      <c r="A9181" s="7" t="str">
        <f>IF('Document Workflow'!A9180&lt;&gt;"",'Document Workflow'!A9180,"")</f>
        <v/>
      </c>
    </row>
    <row r="9182" spans="1:1">
      <c r="A9182" s="7" t="str">
        <f>IF('Document Workflow'!A9181&lt;&gt;"",'Document Workflow'!A9181,"")</f>
        <v/>
      </c>
    </row>
    <row r="9183" spans="1:1">
      <c r="A9183" s="7" t="str">
        <f>IF('Document Workflow'!A9182&lt;&gt;"",'Document Workflow'!A9182,"")</f>
        <v/>
      </c>
    </row>
    <row r="9184" spans="1:1">
      <c r="A9184" s="7" t="str">
        <f>IF('Document Workflow'!A9183&lt;&gt;"",'Document Workflow'!A9183,"")</f>
        <v/>
      </c>
    </row>
    <row r="9185" spans="1:1">
      <c r="A9185" s="7" t="str">
        <f>IF('Document Workflow'!A9184&lt;&gt;"",'Document Workflow'!A9184,"")</f>
        <v/>
      </c>
    </row>
    <row r="9186" spans="1:1">
      <c r="A9186" s="7" t="str">
        <f>IF('Document Workflow'!A9185&lt;&gt;"",'Document Workflow'!A9185,"")</f>
        <v/>
      </c>
    </row>
    <row r="9187" spans="1:1">
      <c r="A9187" s="7" t="str">
        <f>IF('Document Workflow'!A9186&lt;&gt;"",'Document Workflow'!A9186,"")</f>
        <v/>
      </c>
    </row>
    <row r="9188" spans="1:1">
      <c r="A9188" s="7" t="str">
        <f>IF('Document Workflow'!A9187&lt;&gt;"",'Document Workflow'!A9187,"")</f>
        <v/>
      </c>
    </row>
    <row r="9189" spans="1:1">
      <c r="A9189" s="7" t="str">
        <f>IF('Document Workflow'!A9188&lt;&gt;"",'Document Workflow'!A9188,"")</f>
        <v/>
      </c>
    </row>
    <row r="9190" spans="1:1">
      <c r="A9190" s="7" t="str">
        <f>IF('Document Workflow'!A9189&lt;&gt;"",'Document Workflow'!A9189,"")</f>
        <v/>
      </c>
    </row>
    <row r="9191" spans="1:1">
      <c r="A9191" s="7" t="str">
        <f>IF('Document Workflow'!A9190&lt;&gt;"",'Document Workflow'!A9190,"")</f>
        <v/>
      </c>
    </row>
    <row r="9192" spans="1:1">
      <c r="A9192" s="7" t="str">
        <f>IF('Document Workflow'!A9191&lt;&gt;"",'Document Workflow'!A9191,"")</f>
        <v/>
      </c>
    </row>
    <row r="9193" spans="1:1">
      <c r="A9193" s="7" t="str">
        <f>IF('Document Workflow'!A9192&lt;&gt;"",'Document Workflow'!A9192,"")</f>
        <v/>
      </c>
    </row>
    <row r="9194" spans="1:1">
      <c r="A9194" s="7" t="str">
        <f>IF('Document Workflow'!A9193&lt;&gt;"",'Document Workflow'!A9193,"")</f>
        <v/>
      </c>
    </row>
    <row r="9195" spans="1:1">
      <c r="A9195" s="7" t="str">
        <f>IF('Document Workflow'!A9194&lt;&gt;"",'Document Workflow'!A9194,"")</f>
        <v/>
      </c>
    </row>
    <row r="9196" spans="1:1">
      <c r="A9196" s="7" t="str">
        <f>IF('Document Workflow'!A9195&lt;&gt;"",'Document Workflow'!A9195,"")</f>
        <v/>
      </c>
    </row>
    <row r="9197" spans="1:1">
      <c r="A9197" s="7" t="str">
        <f>IF('Document Workflow'!A9196&lt;&gt;"",'Document Workflow'!A9196,"")</f>
        <v/>
      </c>
    </row>
    <row r="9198" spans="1:1">
      <c r="A9198" s="7" t="str">
        <f>IF('Document Workflow'!A9197&lt;&gt;"",'Document Workflow'!A9197,"")</f>
        <v/>
      </c>
    </row>
    <row r="9199" spans="1:1">
      <c r="A9199" s="7" t="str">
        <f>IF('Document Workflow'!A9198&lt;&gt;"",'Document Workflow'!A9198,"")</f>
        <v/>
      </c>
    </row>
    <row r="9200" spans="1:1">
      <c r="A9200" s="7" t="str">
        <f>IF('Document Workflow'!A9199&lt;&gt;"",'Document Workflow'!A9199,"")</f>
        <v/>
      </c>
    </row>
    <row r="9201" spans="1:1">
      <c r="A9201" s="7" t="str">
        <f>IF('Document Workflow'!A9200&lt;&gt;"",'Document Workflow'!A9200,"")</f>
        <v/>
      </c>
    </row>
    <row r="9202" spans="1:1">
      <c r="A9202" s="7" t="str">
        <f>IF('Document Workflow'!A9201&lt;&gt;"",'Document Workflow'!A9201,"")</f>
        <v/>
      </c>
    </row>
    <row r="9203" spans="1:1">
      <c r="A9203" s="7" t="str">
        <f>IF('Document Workflow'!A9202&lt;&gt;"",'Document Workflow'!A9202,"")</f>
        <v/>
      </c>
    </row>
    <row r="9204" spans="1:1">
      <c r="A9204" s="7" t="str">
        <f>IF('Document Workflow'!A9203&lt;&gt;"",'Document Workflow'!A9203,"")</f>
        <v/>
      </c>
    </row>
    <row r="9205" spans="1:1">
      <c r="A9205" s="7" t="str">
        <f>IF('Document Workflow'!A9204&lt;&gt;"",'Document Workflow'!A9204,"")</f>
        <v/>
      </c>
    </row>
    <row r="9206" spans="1:1">
      <c r="A9206" s="7" t="str">
        <f>IF('Document Workflow'!A9205&lt;&gt;"",'Document Workflow'!A9205,"")</f>
        <v/>
      </c>
    </row>
    <row r="9207" spans="1:1">
      <c r="A9207" s="7" t="str">
        <f>IF('Document Workflow'!A9206&lt;&gt;"",'Document Workflow'!A9206,"")</f>
        <v/>
      </c>
    </row>
    <row r="9208" spans="1:1">
      <c r="A9208" s="7" t="str">
        <f>IF('Document Workflow'!A9207&lt;&gt;"",'Document Workflow'!A9207,"")</f>
        <v/>
      </c>
    </row>
    <row r="9209" spans="1:1">
      <c r="A9209" s="7" t="str">
        <f>IF('Document Workflow'!A9208&lt;&gt;"",'Document Workflow'!A9208,"")</f>
        <v/>
      </c>
    </row>
    <row r="9210" spans="1:1">
      <c r="A9210" s="7" t="str">
        <f>IF('Document Workflow'!A9209&lt;&gt;"",'Document Workflow'!A9209,"")</f>
        <v/>
      </c>
    </row>
    <row r="9211" spans="1:1">
      <c r="A9211" s="7" t="str">
        <f>IF('Document Workflow'!A9210&lt;&gt;"",'Document Workflow'!A9210,"")</f>
        <v/>
      </c>
    </row>
    <row r="9212" spans="1:1">
      <c r="A9212" s="7" t="str">
        <f>IF('Document Workflow'!A9211&lt;&gt;"",'Document Workflow'!A9211,"")</f>
        <v/>
      </c>
    </row>
    <row r="9213" spans="1:1">
      <c r="A9213" s="7" t="str">
        <f>IF('Document Workflow'!A9212&lt;&gt;"",'Document Workflow'!A9212,"")</f>
        <v/>
      </c>
    </row>
    <row r="9214" spans="1:1">
      <c r="A9214" s="7" t="str">
        <f>IF('Document Workflow'!A9213&lt;&gt;"",'Document Workflow'!A9213,"")</f>
        <v/>
      </c>
    </row>
    <row r="9215" spans="1:1">
      <c r="A9215" s="7" t="str">
        <f>IF('Document Workflow'!A9214&lt;&gt;"",'Document Workflow'!A9214,"")</f>
        <v/>
      </c>
    </row>
    <row r="9216" spans="1:1">
      <c r="A9216" s="7" t="str">
        <f>IF('Document Workflow'!A9215&lt;&gt;"",'Document Workflow'!A9215,"")</f>
        <v/>
      </c>
    </row>
    <row r="9217" spans="1:1">
      <c r="A9217" s="7" t="str">
        <f>IF('Document Workflow'!A9216&lt;&gt;"",'Document Workflow'!A9216,"")</f>
        <v/>
      </c>
    </row>
    <row r="9218" spans="1:1">
      <c r="A9218" s="7" t="str">
        <f>IF('Document Workflow'!A9217&lt;&gt;"",'Document Workflow'!A9217,"")</f>
        <v/>
      </c>
    </row>
    <row r="9219" spans="1:1">
      <c r="A9219" s="7" t="str">
        <f>IF('Document Workflow'!A9218&lt;&gt;"",'Document Workflow'!A9218,"")</f>
        <v/>
      </c>
    </row>
    <row r="9220" spans="1:1">
      <c r="A9220" s="7" t="str">
        <f>IF('Document Workflow'!A9219&lt;&gt;"",'Document Workflow'!A9219,"")</f>
        <v/>
      </c>
    </row>
    <row r="9221" spans="1:1">
      <c r="A9221" s="7" t="str">
        <f>IF('Document Workflow'!A9220&lt;&gt;"",'Document Workflow'!A9220,"")</f>
        <v/>
      </c>
    </row>
    <row r="9222" spans="1:1">
      <c r="A9222" s="7" t="str">
        <f>IF('Document Workflow'!A9221&lt;&gt;"",'Document Workflow'!A9221,"")</f>
        <v/>
      </c>
    </row>
    <row r="9223" spans="1:1">
      <c r="A9223" s="7" t="str">
        <f>IF('Document Workflow'!A9222&lt;&gt;"",'Document Workflow'!A9222,"")</f>
        <v/>
      </c>
    </row>
    <row r="9224" spans="1:1">
      <c r="A9224" s="7" t="str">
        <f>IF('Document Workflow'!A9223&lt;&gt;"",'Document Workflow'!A9223,"")</f>
        <v/>
      </c>
    </row>
    <row r="9225" spans="1:1">
      <c r="A9225" s="7" t="str">
        <f>IF('Document Workflow'!A9224&lt;&gt;"",'Document Workflow'!A9224,"")</f>
        <v/>
      </c>
    </row>
    <row r="9226" spans="1:1">
      <c r="A9226" s="7" t="str">
        <f>IF('Document Workflow'!A9225&lt;&gt;"",'Document Workflow'!A9225,"")</f>
        <v/>
      </c>
    </row>
    <row r="9227" spans="1:1">
      <c r="A9227" s="7" t="str">
        <f>IF('Document Workflow'!A9226&lt;&gt;"",'Document Workflow'!A9226,"")</f>
        <v/>
      </c>
    </row>
    <row r="9228" spans="1:1">
      <c r="A9228" s="7" t="str">
        <f>IF('Document Workflow'!A9227&lt;&gt;"",'Document Workflow'!A9227,"")</f>
        <v/>
      </c>
    </row>
    <row r="9229" spans="1:1">
      <c r="A9229" s="7" t="str">
        <f>IF('Document Workflow'!A9228&lt;&gt;"",'Document Workflow'!A9228,"")</f>
        <v/>
      </c>
    </row>
    <row r="9230" spans="1:1">
      <c r="A9230" s="7" t="str">
        <f>IF('Document Workflow'!A9229&lt;&gt;"",'Document Workflow'!A9229,"")</f>
        <v/>
      </c>
    </row>
    <row r="9231" spans="1:1">
      <c r="A9231" s="7" t="str">
        <f>IF('Document Workflow'!A9230&lt;&gt;"",'Document Workflow'!A9230,"")</f>
        <v/>
      </c>
    </row>
    <row r="9232" spans="1:1">
      <c r="A9232" s="7" t="str">
        <f>IF('Document Workflow'!A9231&lt;&gt;"",'Document Workflow'!A9231,"")</f>
        <v/>
      </c>
    </row>
    <row r="9233" spans="1:1">
      <c r="A9233" s="7" t="str">
        <f>IF('Document Workflow'!A9232&lt;&gt;"",'Document Workflow'!A9232,"")</f>
        <v/>
      </c>
    </row>
    <row r="9234" spans="1:1">
      <c r="A9234" s="7" t="str">
        <f>IF('Document Workflow'!A9233&lt;&gt;"",'Document Workflow'!A9233,"")</f>
        <v/>
      </c>
    </row>
    <row r="9235" spans="1:1">
      <c r="A9235" s="7" t="str">
        <f>IF('Document Workflow'!A9234&lt;&gt;"",'Document Workflow'!A9234,"")</f>
        <v/>
      </c>
    </row>
    <row r="9236" spans="1:1">
      <c r="A9236" s="7" t="str">
        <f>IF('Document Workflow'!A9235&lt;&gt;"",'Document Workflow'!A9235,"")</f>
        <v/>
      </c>
    </row>
    <row r="9237" spans="1:1">
      <c r="A9237" s="7" t="str">
        <f>IF('Document Workflow'!A9236&lt;&gt;"",'Document Workflow'!A9236,"")</f>
        <v/>
      </c>
    </row>
    <row r="9238" spans="1:1">
      <c r="A9238" s="7" t="str">
        <f>IF('Document Workflow'!A9237&lt;&gt;"",'Document Workflow'!A9237,"")</f>
        <v/>
      </c>
    </row>
    <row r="9239" spans="1:1">
      <c r="A9239" s="7" t="str">
        <f>IF('Document Workflow'!A9238&lt;&gt;"",'Document Workflow'!A9238,"")</f>
        <v/>
      </c>
    </row>
    <row r="9240" spans="1:1">
      <c r="A9240" s="7" t="str">
        <f>IF('Document Workflow'!A9239&lt;&gt;"",'Document Workflow'!A9239,"")</f>
        <v/>
      </c>
    </row>
    <row r="9241" spans="1:1">
      <c r="A9241" s="7" t="str">
        <f>IF('Document Workflow'!A9240&lt;&gt;"",'Document Workflow'!A9240,"")</f>
        <v/>
      </c>
    </row>
    <row r="9242" spans="1:1">
      <c r="A9242" s="7" t="str">
        <f>IF('Document Workflow'!A9241&lt;&gt;"",'Document Workflow'!A9241,"")</f>
        <v/>
      </c>
    </row>
    <row r="9243" spans="1:1">
      <c r="A9243" s="7" t="str">
        <f>IF('Document Workflow'!A9242&lt;&gt;"",'Document Workflow'!A9242,"")</f>
        <v/>
      </c>
    </row>
    <row r="9244" spans="1:1">
      <c r="A9244" s="7" t="str">
        <f>IF('Document Workflow'!A9243&lt;&gt;"",'Document Workflow'!A9243,"")</f>
        <v/>
      </c>
    </row>
    <row r="9245" spans="1:1">
      <c r="A9245" s="7" t="str">
        <f>IF('Document Workflow'!A9244&lt;&gt;"",'Document Workflow'!A9244,"")</f>
        <v/>
      </c>
    </row>
    <row r="9246" spans="1:1">
      <c r="A9246" s="7" t="str">
        <f>IF('Document Workflow'!A9245&lt;&gt;"",'Document Workflow'!A9245,"")</f>
        <v/>
      </c>
    </row>
    <row r="9247" spans="1:1">
      <c r="A9247" s="7" t="str">
        <f>IF('Document Workflow'!A9246&lt;&gt;"",'Document Workflow'!A9246,"")</f>
        <v/>
      </c>
    </row>
    <row r="9248" spans="1:1">
      <c r="A9248" s="7" t="str">
        <f>IF('Document Workflow'!A9247&lt;&gt;"",'Document Workflow'!A9247,"")</f>
        <v/>
      </c>
    </row>
    <row r="9249" spans="1:1">
      <c r="A9249" s="7" t="str">
        <f>IF('Document Workflow'!A9248&lt;&gt;"",'Document Workflow'!A9248,"")</f>
        <v/>
      </c>
    </row>
    <row r="9250" spans="1:1">
      <c r="A9250" s="7" t="str">
        <f>IF('Document Workflow'!A9249&lt;&gt;"",'Document Workflow'!A9249,"")</f>
        <v/>
      </c>
    </row>
    <row r="9251" spans="1:1">
      <c r="A9251" s="7" t="str">
        <f>IF('Document Workflow'!A9250&lt;&gt;"",'Document Workflow'!A9250,"")</f>
        <v/>
      </c>
    </row>
    <row r="9252" spans="1:1">
      <c r="A9252" s="7" t="str">
        <f>IF('Document Workflow'!A9251&lt;&gt;"",'Document Workflow'!A9251,"")</f>
        <v/>
      </c>
    </row>
    <row r="9253" spans="1:1">
      <c r="A9253" s="7" t="str">
        <f>IF('Document Workflow'!A9252&lt;&gt;"",'Document Workflow'!A9252,"")</f>
        <v/>
      </c>
    </row>
    <row r="9254" spans="1:1">
      <c r="A9254" s="7" t="str">
        <f>IF('Document Workflow'!A9253&lt;&gt;"",'Document Workflow'!A9253,"")</f>
        <v/>
      </c>
    </row>
    <row r="9255" spans="1:1">
      <c r="A9255" s="7" t="str">
        <f>IF('Document Workflow'!A9254&lt;&gt;"",'Document Workflow'!A9254,"")</f>
        <v/>
      </c>
    </row>
    <row r="9256" spans="1:1">
      <c r="A9256" s="7" t="str">
        <f>IF('Document Workflow'!A9255&lt;&gt;"",'Document Workflow'!A9255,"")</f>
        <v/>
      </c>
    </row>
    <row r="9257" spans="1:1">
      <c r="A9257" s="7" t="str">
        <f>IF('Document Workflow'!A9256&lt;&gt;"",'Document Workflow'!A9256,"")</f>
        <v/>
      </c>
    </row>
    <row r="9258" spans="1:1">
      <c r="A9258" s="7" t="str">
        <f>IF('Document Workflow'!A9257&lt;&gt;"",'Document Workflow'!A9257,"")</f>
        <v/>
      </c>
    </row>
    <row r="9259" spans="1:1">
      <c r="A9259" s="7" t="str">
        <f>IF('Document Workflow'!A9258&lt;&gt;"",'Document Workflow'!A9258,"")</f>
        <v/>
      </c>
    </row>
    <row r="9260" spans="1:1">
      <c r="A9260" s="7" t="str">
        <f>IF('Document Workflow'!A9259&lt;&gt;"",'Document Workflow'!A9259,"")</f>
        <v/>
      </c>
    </row>
    <row r="9261" spans="1:1">
      <c r="A9261" s="7" t="str">
        <f>IF('Document Workflow'!A9260&lt;&gt;"",'Document Workflow'!A9260,"")</f>
        <v/>
      </c>
    </row>
    <row r="9262" spans="1:1">
      <c r="A9262" s="7" t="str">
        <f>IF('Document Workflow'!A9261&lt;&gt;"",'Document Workflow'!A9261,"")</f>
        <v/>
      </c>
    </row>
    <row r="9263" spans="1:1">
      <c r="A9263" s="7" t="str">
        <f>IF('Document Workflow'!A9262&lt;&gt;"",'Document Workflow'!A9262,"")</f>
        <v/>
      </c>
    </row>
    <row r="9264" spans="1:1">
      <c r="A9264" s="7" t="str">
        <f>IF('Document Workflow'!A9263&lt;&gt;"",'Document Workflow'!A9263,"")</f>
        <v/>
      </c>
    </row>
    <row r="9265" spans="1:1">
      <c r="A9265" s="7" t="str">
        <f>IF('Document Workflow'!A9264&lt;&gt;"",'Document Workflow'!A9264,"")</f>
        <v/>
      </c>
    </row>
    <row r="9266" spans="1:1">
      <c r="A9266" s="7" t="str">
        <f>IF('Document Workflow'!A9265&lt;&gt;"",'Document Workflow'!A9265,"")</f>
        <v/>
      </c>
    </row>
    <row r="9267" spans="1:1">
      <c r="A9267" s="7" t="str">
        <f>IF('Document Workflow'!A9266&lt;&gt;"",'Document Workflow'!A9266,"")</f>
        <v/>
      </c>
    </row>
    <row r="9268" spans="1:1">
      <c r="A9268" s="7" t="str">
        <f>IF('Document Workflow'!A9267&lt;&gt;"",'Document Workflow'!A9267,"")</f>
        <v/>
      </c>
    </row>
    <row r="9269" spans="1:1">
      <c r="A9269" s="7" t="str">
        <f>IF('Document Workflow'!A9268&lt;&gt;"",'Document Workflow'!A9268,"")</f>
        <v/>
      </c>
    </row>
    <row r="9270" spans="1:1">
      <c r="A9270" s="7" t="str">
        <f>IF('Document Workflow'!A9269&lt;&gt;"",'Document Workflow'!A9269,"")</f>
        <v/>
      </c>
    </row>
    <row r="9271" spans="1:1">
      <c r="A9271" s="7" t="str">
        <f>IF('Document Workflow'!A9270&lt;&gt;"",'Document Workflow'!A9270,"")</f>
        <v/>
      </c>
    </row>
    <row r="9272" spans="1:1">
      <c r="A9272" s="7" t="str">
        <f>IF('Document Workflow'!A9271&lt;&gt;"",'Document Workflow'!A9271,"")</f>
        <v/>
      </c>
    </row>
    <row r="9273" spans="1:1">
      <c r="A9273" s="7" t="str">
        <f>IF('Document Workflow'!A9272&lt;&gt;"",'Document Workflow'!A9272,"")</f>
        <v/>
      </c>
    </row>
    <row r="9274" spans="1:1">
      <c r="A9274" s="7" t="str">
        <f>IF('Document Workflow'!A9273&lt;&gt;"",'Document Workflow'!A9273,"")</f>
        <v/>
      </c>
    </row>
    <row r="9275" spans="1:1">
      <c r="A9275" s="7" t="str">
        <f>IF('Document Workflow'!A9274&lt;&gt;"",'Document Workflow'!A9274,"")</f>
        <v/>
      </c>
    </row>
    <row r="9276" spans="1:1">
      <c r="A9276" s="7" t="str">
        <f>IF('Document Workflow'!A9275&lt;&gt;"",'Document Workflow'!A9275,"")</f>
        <v/>
      </c>
    </row>
    <row r="9277" spans="1:1">
      <c r="A9277" s="7" t="str">
        <f>IF('Document Workflow'!A9276&lt;&gt;"",'Document Workflow'!A9276,"")</f>
        <v/>
      </c>
    </row>
    <row r="9278" spans="1:1">
      <c r="A9278" s="7" t="str">
        <f>IF('Document Workflow'!A9277&lt;&gt;"",'Document Workflow'!A9277,"")</f>
        <v/>
      </c>
    </row>
    <row r="9279" spans="1:1">
      <c r="A9279" s="7" t="str">
        <f>IF('Document Workflow'!A9278&lt;&gt;"",'Document Workflow'!A9278,"")</f>
        <v/>
      </c>
    </row>
    <row r="9280" spans="1:1">
      <c r="A9280" s="7" t="str">
        <f>IF('Document Workflow'!A9279&lt;&gt;"",'Document Workflow'!A9279,"")</f>
        <v/>
      </c>
    </row>
    <row r="9281" spans="1:1">
      <c r="A9281" s="7" t="str">
        <f>IF('Document Workflow'!A9280&lt;&gt;"",'Document Workflow'!A9280,"")</f>
        <v/>
      </c>
    </row>
    <row r="9282" spans="1:1">
      <c r="A9282" s="7" t="str">
        <f>IF('Document Workflow'!A9281&lt;&gt;"",'Document Workflow'!A9281,"")</f>
        <v/>
      </c>
    </row>
    <row r="9283" spans="1:1">
      <c r="A9283" s="7" t="str">
        <f>IF('Document Workflow'!A9282&lt;&gt;"",'Document Workflow'!A9282,"")</f>
        <v/>
      </c>
    </row>
    <row r="9284" spans="1:1">
      <c r="A9284" s="7" t="str">
        <f>IF('Document Workflow'!A9283&lt;&gt;"",'Document Workflow'!A9283,"")</f>
        <v/>
      </c>
    </row>
    <row r="9285" spans="1:1">
      <c r="A9285" s="7" t="str">
        <f>IF('Document Workflow'!A9284&lt;&gt;"",'Document Workflow'!A9284,"")</f>
        <v/>
      </c>
    </row>
    <row r="9286" spans="1:1">
      <c r="A9286" s="7" t="str">
        <f>IF('Document Workflow'!A9285&lt;&gt;"",'Document Workflow'!A9285,"")</f>
        <v/>
      </c>
    </row>
    <row r="9287" spans="1:1">
      <c r="A9287" s="7" t="str">
        <f>IF('Document Workflow'!A9286&lt;&gt;"",'Document Workflow'!A9286,"")</f>
        <v/>
      </c>
    </row>
    <row r="9288" spans="1:1">
      <c r="A9288" s="7" t="str">
        <f>IF('Document Workflow'!A9287&lt;&gt;"",'Document Workflow'!A9287,"")</f>
        <v/>
      </c>
    </row>
    <row r="9289" spans="1:1">
      <c r="A9289" s="7" t="str">
        <f>IF('Document Workflow'!A9288&lt;&gt;"",'Document Workflow'!A9288,"")</f>
        <v/>
      </c>
    </row>
    <row r="9290" spans="1:1">
      <c r="A9290" s="7" t="str">
        <f>IF('Document Workflow'!A9289&lt;&gt;"",'Document Workflow'!A9289,"")</f>
        <v/>
      </c>
    </row>
    <row r="9291" spans="1:1">
      <c r="A9291" s="7" t="str">
        <f>IF('Document Workflow'!A9290&lt;&gt;"",'Document Workflow'!A9290,"")</f>
        <v/>
      </c>
    </row>
    <row r="9292" spans="1:1">
      <c r="A9292" s="7" t="str">
        <f>IF('Document Workflow'!A9291&lt;&gt;"",'Document Workflow'!A9291,"")</f>
        <v/>
      </c>
    </row>
    <row r="9293" spans="1:1">
      <c r="A9293" s="7" t="str">
        <f>IF('Document Workflow'!A9292&lt;&gt;"",'Document Workflow'!A9292,"")</f>
        <v/>
      </c>
    </row>
    <row r="9294" spans="1:1">
      <c r="A9294" s="7" t="str">
        <f>IF('Document Workflow'!A9293&lt;&gt;"",'Document Workflow'!A9293,"")</f>
        <v/>
      </c>
    </row>
    <row r="9295" spans="1:1">
      <c r="A9295" s="7" t="str">
        <f>IF('Document Workflow'!A9294&lt;&gt;"",'Document Workflow'!A9294,"")</f>
        <v/>
      </c>
    </row>
    <row r="9296" spans="1:1">
      <c r="A9296" s="7" t="str">
        <f>IF('Document Workflow'!A9295&lt;&gt;"",'Document Workflow'!A9295,"")</f>
        <v/>
      </c>
    </row>
    <row r="9297" spans="1:1">
      <c r="A9297" s="7" t="str">
        <f>IF('Document Workflow'!A9296&lt;&gt;"",'Document Workflow'!A9296,"")</f>
        <v/>
      </c>
    </row>
    <row r="9298" spans="1:1">
      <c r="A9298" s="7" t="str">
        <f>IF('Document Workflow'!A9297&lt;&gt;"",'Document Workflow'!A9297,"")</f>
        <v/>
      </c>
    </row>
    <row r="9299" spans="1:1">
      <c r="A9299" s="7" t="str">
        <f>IF('Document Workflow'!A9298&lt;&gt;"",'Document Workflow'!A9298,"")</f>
        <v/>
      </c>
    </row>
    <row r="9300" spans="1:1">
      <c r="A9300" s="7" t="str">
        <f>IF('Document Workflow'!A9299&lt;&gt;"",'Document Workflow'!A9299,"")</f>
        <v/>
      </c>
    </row>
    <row r="9301" spans="1:1">
      <c r="A9301" s="7" t="str">
        <f>IF('Document Workflow'!A9300&lt;&gt;"",'Document Workflow'!A9300,"")</f>
        <v/>
      </c>
    </row>
    <row r="9302" spans="1:1">
      <c r="A9302" s="7" t="str">
        <f>IF('Document Workflow'!A9301&lt;&gt;"",'Document Workflow'!A9301,"")</f>
        <v/>
      </c>
    </row>
    <row r="9303" spans="1:1">
      <c r="A9303" s="7" t="str">
        <f>IF('Document Workflow'!A9302&lt;&gt;"",'Document Workflow'!A9302,"")</f>
        <v/>
      </c>
    </row>
    <row r="9304" spans="1:1">
      <c r="A9304" s="7" t="str">
        <f>IF('Document Workflow'!A9303&lt;&gt;"",'Document Workflow'!A9303,"")</f>
        <v/>
      </c>
    </row>
    <row r="9305" spans="1:1">
      <c r="A9305" s="7" t="str">
        <f>IF('Document Workflow'!A9304&lt;&gt;"",'Document Workflow'!A9304,"")</f>
        <v/>
      </c>
    </row>
    <row r="9306" spans="1:1">
      <c r="A9306" s="7" t="str">
        <f>IF('Document Workflow'!A9305&lt;&gt;"",'Document Workflow'!A9305,"")</f>
        <v/>
      </c>
    </row>
    <row r="9307" spans="1:1">
      <c r="A9307" s="7" t="str">
        <f>IF('Document Workflow'!A9306&lt;&gt;"",'Document Workflow'!A9306,"")</f>
        <v/>
      </c>
    </row>
    <row r="9308" spans="1:1">
      <c r="A9308" s="7" t="str">
        <f>IF('Document Workflow'!A9307&lt;&gt;"",'Document Workflow'!A9307,"")</f>
        <v/>
      </c>
    </row>
    <row r="9309" spans="1:1">
      <c r="A9309" s="7" t="str">
        <f>IF('Document Workflow'!A9308&lt;&gt;"",'Document Workflow'!A9308,"")</f>
        <v/>
      </c>
    </row>
    <row r="9310" spans="1:1">
      <c r="A9310" s="7" t="str">
        <f>IF('Document Workflow'!A9309&lt;&gt;"",'Document Workflow'!A9309,"")</f>
        <v/>
      </c>
    </row>
    <row r="9311" spans="1:1">
      <c r="A9311" s="7" t="str">
        <f>IF('Document Workflow'!A9310&lt;&gt;"",'Document Workflow'!A9310,"")</f>
        <v/>
      </c>
    </row>
    <row r="9312" spans="1:1">
      <c r="A9312" s="7" t="str">
        <f>IF('Document Workflow'!A9311&lt;&gt;"",'Document Workflow'!A9311,"")</f>
        <v/>
      </c>
    </row>
    <row r="9313" spans="1:1">
      <c r="A9313" s="7" t="str">
        <f>IF('Document Workflow'!A9312&lt;&gt;"",'Document Workflow'!A9312,"")</f>
        <v/>
      </c>
    </row>
    <row r="9314" spans="1:1">
      <c r="A9314" s="7" t="str">
        <f>IF('Document Workflow'!A9313&lt;&gt;"",'Document Workflow'!A9313,"")</f>
        <v/>
      </c>
    </row>
    <row r="9315" spans="1:1">
      <c r="A9315" s="7" t="str">
        <f>IF('Document Workflow'!A9314&lt;&gt;"",'Document Workflow'!A9314,"")</f>
        <v/>
      </c>
    </row>
    <row r="9316" spans="1:1">
      <c r="A9316" s="7" t="str">
        <f>IF('Document Workflow'!A9315&lt;&gt;"",'Document Workflow'!A9315,"")</f>
        <v/>
      </c>
    </row>
    <row r="9317" spans="1:1">
      <c r="A9317" s="7" t="str">
        <f>IF('Document Workflow'!A9316&lt;&gt;"",'Document Workflow'!A9316,"")</f>
        <v/>
      </c>
    </row>
    <row r="9318" spans="1:1">
      <c r="A9318" s="7" t="str">
        <f>IF('Document Workflow'!A9317&lt;&gt;"",'Document Workflow'!A9317,"")</f>
        <v/>
      </c>
    </row>
    <row r="9319" spans="1:1">
      <c r="A9319" s="7" t="str">
        <f>IF('Document Workflow'!A9318&lt;&gt;"",'Document Workflow'!A9318,"")</f>
        <v/>
      </c>
    </row>
    <row r="9320" spans="1:1">
      <c r="A9320" s="7" t="str">
        <f>IF('Document Workflow'!A9319&lt;&gt;"",'Document Workflow'!A9319,"")</f>
        <v/>
      </c>
    </row>
    <row r="9321" spans="1:1">
      <c r="A9321" s="7" t="str">
        <f>IF('Document Workflow'!A9320&lt;&gt;"",'Document Workflow'!A9320,"")</f>
        <v/>
      </c>
    </row>
    <row r="9322" spans="1:1">
      <c r="A9322" s="7" t="str">
        <f>IF('Document Workflow'!A9321&lt;&gt;"",'Document Workflow'!A9321,"")</f>
        <v/>
      </c>
    </row>
    <row r="9323" spans="1:1">
      <c r="A9323" s="7" t="str">
        <f>IF('Document Workflow'!A9322&lt;&gt;"",'Document Workflow'!A9322,"")</f>
        <v/>
      </c>
    </row>
    <row r="9324" spans="1:1">
      <c r="A9324" s="7" t="str">
        <f>IF('Document Workflow'!A9323&lt;&gt;"",'Document Workflow'!A9323,"")</f>
        <v/>
      </c>
    </row>
    <row r="9325" spans="1:1">
      <c r="A9325" s="7" t="str">
        <f>IF('Document Workflow'!A9324&lt;&gt;"",'Document Workflow'!A9324,"")</f>
        <v/>
      </c>
    </row>
    <row r="9326" spans="1:1">
      <c r="A9326" s="7" t="str">
        <f>IF('Document Workflow'!A9325&lt;&gt;"",'Document Workflow'!A9325,"")</f>
        <v/>
      </c>
    </row>
    <row r="9327" spans="1:1">
      <c r="A9327" s="7" t="str">
        <f>IF('Document Workflow'!A9326&lt;&gt;"",'Document Workflow'!A9326,"")</f>
        <v/>
      </c>
    </row>
    <row r="9328" spans="1:1">
      <c r="A9328" s="7" t="str">
        <f>IF('Document Workflow'!A9327&lt;&gt;"",'Document Workflow'!A9327,"")</f>
        <v/>
      </c>
    </row>
    <row r="9329" spans="1:1">
      <c r="A9329" s="7" t="str">
        <f>IF('Document Workflow'!A9328&lt;&gt;"",'Document Workflow'!A9328,"")</f>
        <v/>
      </c>
    </row>
    <row r="9330" spans="1:1">
      <c r="A9330" s="7" t="str">
        <f>IF('Document Workflow'!A9329&lt;&gt;"",'Document Workflow'!A9329,"")</f>
        <v/>
      </c>
    </row>
    <row r="9331" spans="1:1">
      <c r="A9331" s="7" t="str">
        <f>IF('Document Workflow'!A9330&lt;&gt;"",'Document Workflow'!A9330,"")</f>
        <v/>
      </c>
    </row>
    <row r="9332" spans="1:1">
      <c r="A9332" s="7" t="str">
        <f>IF('Document Workflow'!A9331&lt;&gt;"",'Document Workflow'!A9331,"")</f>
        <v/>
      </c>
    </row>
    <row r="9333" spans="1:1">
      <c r="A9333" s="7" t="str">
        <f>IF('Document Workflow'!A9332&lt;&gt;"",'Document Workflow'!A9332,"")</f>
        <v/>
      </c>
    </row>
    <row r="9334" spans="1:1">
      <c r="A9334" s="7" t="str">
        <f>IF('Document Workflow'!A9333&lt;&gt;"",'Document Workflow'!A9333,"")</f>
        <v/>
      </c>
    </row>
    <row r="9335" spans="1:1">
      <c r="A9335" s="7" t="str">
        <f>IF('Document Workflow'!A9334&lt;&gt;"",'Document Workflow'!A9334,"")</f>
        <v/>
      </c>
    </row>
    <row r="9336" spans="1:1">
      <c r="A9336" s="7" t="str">
        <f>IF('Document Workflow'!A9335&lt;&gt;"",'Document Workflow'!A9335,"")</f>
        <v/>
      </c>
    </row>
    <row r="9337" spans="1:1">
      <c r="A9337" s="7" t="str">
        <f>IF('Document Workflow'!A9336&lt;&gt;"",'Document Workflow'!A9336,"")</f>
        <v/>
      </c>
    </row>
    <row r="9338" spans="1:1">
      <c r="A9338" s="7" t="str">
        <f>IF('Document Workflow'!A9337&lt;&gt;"",'Document Workflow'!A9337,"")</f>
        <v/>
      </c>
    </row>
    <row r="9339" spans="1:1">
      <c r="A9339" s="7" t="str">
        <f>IF('Document Workflow'!A9338&lt;&gt;"",'Document Workflow'!A9338,"")</f>
        <v/>
      </c>
    </row>
    <row r="9340" spans="1:1">
      <c r="A9340" s="7" t="str">
        <f>IF('Document Workflow'!A9339&lt;&gt;"",'Document Workflow'!A9339,"")</f>
        <v/>
      </c>
    </row>
    <row r="9341" spans="1:1">
      <c r="A9341" s="7" t="str">
        <f>IF('Document Workflow'!A9340&lt;&gt;"",'Document Workflow'!A9340,"")</f>
        <v/>
      </c>
    </row>
    <row r="9342" spans="1:1">
      <c r="A9342" s="7" t="str">
        <f>IF('Document Workflow'!A9341&lt;&gt;"",'Document Workflow'!A9341,"")</f>
        <v/>
      </c>
    </row>
    <row r="9343" spans="1:1">
      <c r="A9343" s="7" t="str">
        <f>IF('Document Workflow'!A9342&lt;&gt;"",'Document Workflow'!A9342,"")</f>
        <v/>
      </c>
    </row>
    <row r="9344" spans="1:1">
      <c r="A9344" s="7" t="str">
        <f>IF('Document Workflow'!A9343&lt;&gt;"",'Document Workflow'!A9343,"")</f>
        <v/>
      </c>
    </row>
    <row r="9345" spans="1:1">
      <c r="A9345" s="7" t="str">
        <f>IF('Document Workflow'!A9344&lt;&gt;"",'Document Workflow'!A9344,"")</f>
        <v/>
      </c>
    </row>
    <row r="9346" spans="1:1">
      <c r="A9346" s="7" t="str">
        <f>IF('Document Workflow'!A9345&lt;&gt;"",'Document Workflow'!A9345,"")</f>
        <v/>
      </c>
    </row>
    <row r="9347" spans="1:1">
      <c r="A9347" s="7" t="str">
        <f>IF('Document Workflow'!A9346&lt;&gt;"",'Document Workflow'!A9346,"")</f>
        <v/>
      </c>
    </row>
    <row r="9348" spans="1:1">
      <c r="A9348" s="7" t="str">
        <f>IF('Document Workflow'!A9347&lt;&gt;"",'Document Workflow'!A9347,"")</f>
        <v/>
      </c>
    </row>
    <row r="9349" spans="1:1">
      <c r="A9349" s="7" t="str">
        <f>IF('Document Workflow'!A9348&lt;&gt;"",'Document Workflow'!A9348,"")</f>
        <v/>
      </c>
    </row>
    <row r="9350" spans="1:1">
      <c r="A9350" s="7" t="str">
        <f>IF('Document Workflow'!A9349&lt;&gt;"",'Document Workflow'!A9349,"")</f>
        <v/>
      </c>
    </row>
    <row r="9351" spans="1:1">
      <c r="A9351" s="7" t="str">
        <f>IF('Document Workflow'!A9350&lt;&gt;"",'Document Workflow'!A9350,"")</f>
        <v/>
      </c>
    </row>
    <row r="9352" spans="1:1">
      <c r="A9352" s="7" t="str">
        <f>IF('Document Workflow'!A9351&lt;&gt;"",'Document Workflow'!A9351,"")</f>
        <v/>
      </c>
    </row>
    <row r="9353" spans="1:1">
      <c r="A9353" s="7" t="str">
        <f>IF('Document Workflow'!A9352&lt;&gt;"",'Document Workflow'!A9352,"")</f>
        <v/>
      </c>
    </row>
    <row r="9354" spans="1:1">
      <c r="A9354" s="7" t="str">
        <f>IF('Document Workflow'!A9353&lt;&gt;"",'Document Workflow'!A9353,"")</f>
        <v/>
      </c>
    </row>
    <row r="9355" spans="1:1">
      <c r="A9355" s="7" t="str">
        <f>IF('Document Workflow'!A9354&lt;&gt;"",'Document Workflow'!A9354,"")</f>
        <v/>
      </c>
    </row>
    <row r="9356" spans="1:1">
      <c r="A9356" s="7" t="str">
        <f>IF('Document Workflow'!A9355&lt;&gt;"",'Document Workflow'!A9355,"")</f>
        <v/>
      </c>
    </row>
    <row r="9357" spans="1:1">
      <c r="A9357" s="7" t="str">
        <f>IF('Document Workflow'!A9356&lt;&gt;"",'Document Workflow'!A9356,"")</f>
        <v/>
      </c>
    </row>
    <row r="9358" spans="1:1">
      <c r="A9358" s="7" t="str">
        <f>IF('Document Workflow'!A9357&lt;&gt;"",'Document Workflow'!A9357,"")</f>
        <v/>
      </c>
    </row>
    <row r="9359" spans="1:1">
      <c r="A9359" s="7" t="str">
        <f>IF('Document Workflow'!A9358&lt;&gt;"",'Document Workflow'!A9358,"")</f>
        <v/>
      </c>
    </row>
    <row r="9360" spans="1:1">
      <c r="A9360" s="7" t="str">
        <f>IF('Document Workflow'!A9359&lt;&gt;"",'Document Workflow'!A9359,"")</f>
        <v/>
      </c>
    </row>
    <row r="9361" spans="1:1">
      <c r="A9361" s="7" t="str">
        <f>IF('Document Workflow'!A9360&lt;&gt;"",'Document Workflow'!A9360,"")</f>
        <v/>
      </c>
    </row>
    <row r="9362" spans="1:1">
      <c r="A9362" s="7" t="str">
        <f>IF('Document Workflow'!A9361&lt;&gt;"",'Document Workflow'!A9361,"")</f>
        <v/>
      </c>
    </row>
    <row r="9363" spans="1:1">
      <c r="A9363" s="7" t="str">
        <f>IF('Document Workflow'!A9362&lt;&gt;"",'Document Workflow'!A9362,"")</f>
        <v/>
      </c>
    </row>
    <row r="9364" spans="1:1">
      <c r="A9364" s="7" t="str">
        <f>IF('Document Workflow'!A9363&lt;&gt;"",'Document Workflow'!A9363,"")</f>
        <v/>
      </c>
    </row>
    <row r="9365" spans="1:1">
      <c r="A9365" s="7" t="str">
        <f>IF('Document Workflow'!A9364&lt;&gt;"",'Document Workflow'!A9364,"")</f>
        <v/>
      </c>
    </row>
    <row r="9366" spans="1:1">
      <c r="A9366" s="7" t="str">
        <f>IF('Document Workflow'!A9365&lt;&gt;"",'Document Workflow'!A9365,"")</f>
        <v/>
      </c>
    </row>
    <row r="9367" spans="1:1">
      <c r="A9367" s="7" t="str">
        <f>IF('Document Workflow'!A9366&lt;&gt;"",'Document Workflow'!A9366,"")</f>
        <v/>
      </c>
    </row>
    <row r="9368" spans="1:1">
      <c r="A9368" s="7" t="str">
        <f>IF('Document Workflow'!A9367&lt;&gt;"",'Document Workflow'!A9367,"")</f>
        <v/>
      </c>
    </row>
    <row r="9369" spans="1:1">
      <c r="A9369" s="7" t="str">
        <f>IF('Document Workflow'!A9368&lt;&gt;"",'Document Workflow'!A9368,"")</f>
        <v/>
      </c>
    </row>
    <row r="9370" spans="1:1">
      <c r="A9370" s="7" t="str">
        <f>IF('Document Workflow'!A9369&lt;&gt;"",'Document Workflow'!A9369,"")</f>
        <v/>
      </c>
    </row>
    <row r="9371" spans="1:1">
      <c r="A9371" s="7" t="str">
        <f>IF('Document Workflow'!A9370&lt;&gt;"",'Document Workflow'!A9370,"")</f>
        <v/>
      </c>
    </row>
    <row r="9372" spans="1:1">
      <c r="A9372" s="7" t="str">
        <f>IF('Document Workflow'!A9371&lt;&gt;"",'Document Workflow'!A9371,"")</f>
        <v/>
      </c>
    </row>
    <row r="9373" spans="1:1">
      <c r="A9373" s="7" t="str">
        <f>IF('Document Workflow'!A9372&lt;&gt;"",'Document Workflow'!A9372,"")</f>
        <v/>
      </c>
    </row>
    <row r="9374" spans="1:1">
      <c r="A9374" s="7" t="str">
        <f>IF('Document Workflow'!A9373&lt;&gt;"",'Document Workflow'!A9373,"")</f>
        <v/>
      </c>
    </row>
    <row r="9375" spans="1:1">
      <c r="A9375" s="7" t="str">
        <f>IF('Document Workflow'!A9374&lt;&gt;"",'Document Workflow'!A9374,"")</f>
        <v/>
      </c>
    </row>
    <row r="9376" spans="1:1">
      <c r="A9376" s="7" t="str">
        <f>IF('Document Workflow'!A9375&lt;&gt;"",'Document Workflow'!A9375,"")</f>
        <v/>
      </c>
    </row>
    <row r="9377" spans="1:1">
      <c r="A9377" s="7" t="str">
        <f>IF('Document Workflow'!A9376&lt;&gt;"",'Document Workflow'!A9376,"")</f>
        <v/>
      </c>
    </row>
    <row r="9378" spans="1:1">
      <c r="A9378" s="7" t="str">
        <f>IF('Document Workflow'!A9377&lt;&gt;"",'Document Workflow'!A9377,"")</f>
        <v/>
      </c>
    </row>
    <row r="9379" spans="1:1">
      <c r="A9379" s="7" t="str">
        <f>IF('Document Workflow'!A9378&lt;&gt;"",'Document Workflow'!A9378,"")</f>
        <v/>
      </c>
    </row>
    <row r="9380" spans="1:1">
      <c r="A9380" s="7" t="str">
        <f>IF('Document Workflow'!A9379&lt;&gt;"",'Document Workflow'!A9379,"")</f>
        <v/>
      </c>
    </row>
    <row r="9381" spans="1:1">
      <c r="A9381" s="7" t="str">
        <f>IF('Document Workflow'!A9380&lt;&gt;"",'Document Workflow'!A9380,"")</f>
        <v/>
      </c>
    </row>
    <row r="9382" spans="1:1">
      <c r="A9382" s="7" t="str">
        <f>IF('Document Workflow'!A9381&lt;&gt;"",'Document Workflow'!A9381,"")</f>
        <v/>
      </c>
    </row>
    <row r="9383" spans="1:1">
      <c r="A9383" s="7" t="str">
        <f>IF('Document Workflow'!A9382&lt;&gt;"",'Document Workflow'!A9382,"")</f>
        <v/>
      </c>
    </row>
    <row r="9384" spans="1:1">
      <c r="A9384" s="7" t="str">
        <f>IF('Document Workflow'!A9383&lt;&gt;"",'Document Workflow'!A9383,"")</f>
        <v/>
      </c>
    </row>
    <row r="9385" spans="1:1">
      <c r="A9385" s="7" t="str">
        <f>IF('Document Workflow'!A9384&lt;&gt;"",'Document Workflow'!A9384,"")</f>
        <v/>
      </c>
    </row>
    <row r="9386" spans="1:1">
      <c r="A9386" s="7" t="str">
        <f>IF('Document Workflow'!A9385&lt;&gt;"",'Document Workflow'!A9385,"")</f>
        <v/>
      </c>
    </row>
    <row r="9387" spans="1:1">
      <c r="A9387" s="7" t="str">
        <f>IF('Document Workflow'!A9386&lt;&gt;"",'Document Workflow'!A9386,"")</f>
        <v/>
      </c>
    </row>
    <row r="9388" spans="1:1">
      <c r="A9388" s="7" t="str">
        <f>IF('Document Workflow'!A9387&lt;&gt;"",'Document Workflow'!A9387,"")</f>
        <v/>
      </c>
    </row>
    <row r="9389" spans="1:1">
      <c r="A9389" s="7" t="str">
        <f>IF('Document Workflow'!A9388&lt;&gt;"",'Document Workflow'!A9388,"")</f>
        <v/>
      </c>
    </row>
    <row r="9390" spans="1:1">
      <c r="A9390" s="7" t="str">
        <f>IF('Document Workflow'!A9389&lt;&gt;"",'Document Workflow'!A9389,"")</f>
        <v/>
      </c>
    </row>
    <row r="9391" spans="1:1">
      <c r="A9391" s="7" t="str">
        <f>IF('Document Workflow'!A9390&lt;&gt;"",'Document Workflow'!A9390,"")</f>
        <v/>
      </c>
    </row>
    <row r="9392" spans="1:1">
      <c r="A9392" s="7" t="str">
        <f>IF('Document Workflow'!A9391&lt;&gt;"",'Document Workflow'!A9391,"")</f>
        <v/>
      </c>
    </row>
    <row r="9393" spans="1:1">
      <c r="A9393" s="7" t="str">
        <f>IF('Document Workflow'!A9392&lt;&gt;"",'Document Workflow'!A9392,"")</f>
        <v/>
      </c>
    </row>
    <row r="9394" spans="1:1">
      <c r="A9394" s="7" t="str">
        <f>IF('Document Workflow'!A9393&lt;&gt;"",'Document Workflow'!A9393,"")</f>
        <v/>
      </c>
    </row>
    <row r="9395" spans="1:1">
      <c r="A9395" s="7" t="str">
        <f>IF('Document Workflow'!A9394&lt;&gt;"",'Document Workflow'!A9394,"")</f>
        <v/>
      </c>
    </row>
    <row r="9396" spans="1:1">
      <c r="A9396" s="7" t="str">
        <f>IF('Document Workflow'!A9395&lt;&gt;"",'Document Workflow'!A9395,"")</f>
        <v/>
      </c>
    </row>
    <row r="9397" spans="1:1">
      <c r="A9397" s="7" t="str">
        <f>IF('Document Workflow'!A9396&lt;&gt;"",'Document Workflow'!A9396,"")</f>
        <v/>
      </c>
    </row>
    <row r="9398" spans="1:1">
      <c r="A9398" s="7" t="str">
        <f>IF('Document Workflow'!A9397&lt;&gt;"",'Document Workflow'!A9397,"")</f>
        <v/>
      </c>
    </row>
    <row r="9399" spans="1:1">
      <c r="A9399" s="7" t="str">
        <f>IF('Document Workflow'!A9398&lt;&gt;"",'Document Workflow'!A9398,"")</f>
        <v/>
      </c>
    </row>
    <row r="9400" spans="1:1">
      <c r="A9400" s="7" t="str">
        <f>IF('Document Workflow'!A9399&lt;&gt;"",'Document Workflow'!A9399,"")</f>
        <v/>
      </c>
    </row>
    <row r="9401" spans="1:1">
      <c r="A9401" s="7" t="str">
        <f>IF('Document Workflow'!A9400&lt;&gt;"",'Document Workflow'!A9400,"")</f>
        <v/>
      </c>
    </row>
    <row r="9402" spans="1:1">
      <c r="A9402" s="7" t="str">
        <f>IF('Document Workflow'!A9401&lt;&gt;"",'Document Workflow'!A9401,"")</f>
        <v/>
      </c>
    </row>
    <row r="9403" spans="1:1">
      <c r="A9403" s="7" t="str">
        <f>IF('Document Workflow'!A9402&lt;&gt;"",'Document Workflow'!A9402,"")</f>
        <v/>
      </c>
    </row>
    <row r="9404" spans="1:1">
      <c r="A9404" s="7" t="str">
        <f>IF('Document Workflow'!A9403&lt;&gt;"",'Document Workflow'!A9403,"")</f>
        <v/>
      </c>
    </row>
    <row r="9405" spans="1:1">
      <c r="A9405" s="7" t="str">
        <f>IF('Document Workflow'!A9404&lt;&gt;"",'Document Workflow'!A9404,"")</f>
        <v/>
      </c>
    </row>
    <row r="9406" spans="1:1">
      <c r="A9406" s="7" t="str">
        <f>IF('Document Workflow'!A9405&lt;&gt;"",'Document Workflow'!A9405,"")</f>
        <v/>
      </c>
    </row>
    <row r="9407" spans="1:1">
      <c r="A9407" s="7" t="str">
        <f>IF('Document Workflow'!A9406&lt;&gt;"",'Document Workflow'!A9406,"")</f>
        <v/>
      </c>
    </row>
    <row r="9408" spans="1:1">
      <c r="A9408" s="7" t="str">
        <f>IF('Document Workflow'!A9407&lt;&gt;"",'Document Workflow'!A9407,"")</f>
        <v/>
      </c>
    </row>
    <row r="9409" spans="1:1">
      <c r="A9409" s="7" t="str">
        <f>IF('Document Workflow'!A9408&lt;&gt;"",'Document Workflow'!A9408,"")</f>
        <v/>
      </c>
    </row>
    <row r="9410" spans="1:1">
      <c r="A9410" s="7" t="str">
        <f>IF('Document Workflow'!A9409&lt;&gt;"",'Document Workflow'!A9409,"")</f>
        <v/>
      </c>
    </row>
    <row r="9411" spans="1:1">
      <c r="A9411" s="7" t="str">
        <f>IF('Document Workflow'!A9410&lt;&gt;"",'Document Workflow'!A9410,"")</f>
        <v/>
      </c>
    </row>
    <row r="9412" spans="1:1">
      <c r="A9412" s="7" t="str">
        <f>IF('Document Workflow'!A9411&lt;&gt;"",'Document Workflow'!A9411,"")</f>
        <v/>
      </c>
    </row>
    <row r="9413" spans="1:1">
      <c r="A9413" s="7" t="str">
        <f>IF('Document Workflow'!A9412&lt;&gt;"",'Document Workflow'!A9412,"")</f>
        <v/>
      </c>
    </row>
    <row r="9414" spans="1:1">
      <c r="A9414" s="7" t="str">
        <f>IF('Document Workflow'!A9413&lt;&gt;"",'Document Workflow'!A9413,"")</f>
        <v/>
      </c>
    </row>
    <row r="9415" spans="1:1">
      <c r="A9415" s="7" t="str">
        <f>IF('Document Workflow'!A9414&lt;&gt;"",'Document Workflow'!A9414,"")</f>
        <v/>
      </c>
    </row>
    <row r="9416" spans="1:1">
      <c r="A9416" s="7" t="str">
        <f>IF('Document Workflow'!A9415&lt;&gt;"",'Document Workflow'!A9415,"")</f>
        <v/>
      </c>
    </row>
    <row r="9417" spans="1:1">
      <c r="A9417" s="7" t="str">
        <f>IF('Document Workflow'!A9416&lt;&gt;"",'Document Workflow'!A9416,"")</f>
        <v/>
      </c>
    </row>
    <row r="9418" spans="1:1">
      <c r="A9418" s="7" t="str">
        <f>IF('Document Workflow'!A9417&lt;&gt;"",'Document Workflow'!A9417,"")</f>
        <v/>
      </c>
    </row>
    <row r="9419" spans="1:1">
      <c r="A9419" s="7" t="str">
        <f>IF('Document Workflow'!A9418&lt;&gt;"",'Document Workflow'!A9418,"")</f>
        <v/>
      </c>
    </row>
    <row r="9420" spans="1:1">
      <c r="A9420" s="7" t="str">
        <f>IF('Document Workflow'!A9419&lt;&gt;"",'Document Workflow'!A9419,"")</f>
        <v/>
      </c>
    </row>
    <row r="9421" spans="1:1">
      <c r="A9421" s="7" t="str">
        <f>IF('Document Workflow'!A9420&lt;&gt;"",'Document Workflow'!A9420,"")</f>
        <v/>
      </c>
    </row>
    <row r="9422" spans="1:1">
      <c r="A9422" s="7" t="str">
        <f>IF('Document Workflow'!A9421&lt;&gt;"",'Document Workflow'!A9421,"")</f>
        <v/>
      </c>
    </row>
    <row r="9423" spans="1:1">
      <c r="A9423" s="7" t="str">
        <f>IF('Document Workflow'!A9422&lt;&gt;"",'Document Workflow'!A9422,"")</f>
        <v/>
      </c>
    </row>
    <row r="9424" spans="1:1">
      <c r="A9424" s="7" t="str">
        <f>IF('Document Workflow'!A9423&lt;&gt;"",'Document Workflow'!A9423,"")</f>
        <v/>
      </c>
    </row>
    <row r="9425" spans="1:1">
      <c r="A9425" s="7" t="str">
        <f>IF('Document Workflow'!A9424&lt;&gt;"",'Document Workflow'!A9424,"")</f>
        <v/>
      </c>
    </row>
    <row r="9426" spans="1:1">
      <c r="A9426" s="7" t="str">
        <f>IF('Document Workflow'!A9425&lt;&gt;"",'Document Workflow'!A9425,"")</f>
        <v/>
      </c>
    </row>
    <row r="9427" spans="1:1">
      <c r="A9427" s="7" t="str">
        <f>IF('Document Workflow'!A9426&lt;&gt;"",'Document Workflow'!A9426,"")</f>
        <v/>
      </c>
    </row>
    <row r="9428" spans="1:1">
      <c r="A9428" s="7" t="str">
        <f>IF('Document Workflow'!A9427&lt;&gt;"",'Document Workflow'!A9427,"")</f>
        <v/>
      </c>
    </row>
    <row r="9429" spans="1:1">
      <c r="A9429" s="7" t="str">
        <f>IF('Document Workflow'!A9428&lt;&gt;"",'Document Workflow'!A9428,"")</f>
        <v/>
      </c>
    </row>
    <row r="9430" spans="1:1">
      <c r="A9430" s="7" t="str">
        <f>IF('Document Workflow'!A9429&lt;&gt;"",'Document Workflow'!A9429,"")</f>
        <v/>
      </c>
    </row>
    <row r="9431" spans="1:1">
      <c r="A9431" s="7" t="str">
        <f>IF('Document Workflow'!A9430&lt;&gt;"",'Document Workflow'!A9430,"")</f>
        <v/>
      </c>
    </row>
    <row r="9432" spans="1:1">
      <c r="A9432" s="7" t="str">
        <f>IF('Document Workflow'!A9431&lt;&gt;"",'Document Workflow'!A9431,"")</f>
        <v/>
      </c>
    </row>
    <row r="9433" spans="1:1">
      <c r="A9433" s="7" t="str">
        <f>IF('Document Workflow'!A9432&lt;&gt;"",'Document Workflow'!A9432,"")</f>
        <v/>
      </c>
    </row>
    <row r="9434" spans="1:1">
      <c r="A9434" s="7" t="str">
        <f>IF('Document Workflow'!A9433&lt;&gt;"",'Document Workflow'!A9433,"")</f>
        <v/>
      </c>
    </row>
    <row r="9435" spans="1:1">
      <c r="A9435" s="7" t="str">
        <f>IF('Document Workflow'!A9434&lt;&gt;"",'Document Workflow'!A9434,"")</f>
        <v/>
      </c>
    </row>
    <row r="9436" spans="1:1">
      <c r="A9436" s="7" t="str">
        <f>IF('Document Workflow'!A9435&lt;&gt;"",'Document Workflow'!A9435,"")</f>
        <v/>
      </c>
    </row>
    <row r="9437" spans="1:1">
      <c r="A9437" s="7" t="str">
        <f>IF('Document Workflow'!A9436&lt;&gt;"",'Document Workflow'!A9436,"")</f>
        <v/>
      </c>
    </row>
    <row r="9438" spans="1:1">
      <c r="A9438" s="7" t="str">
        <f>IF('Document Workflow'!A9437&lt;&gt;"",'Document Workflow'!A9437,"")</f>
        <v/>
      </c>
    </row>
    <row r="9439" spans="1:1">
      <c r="A9439" s="7" t="str">
        <f>IF('Document Workflow'!A9438&lt;&gt;"",'Document Workflow'!A9438,"")</f>
        <v/>
      </c>
    </row>
    <row r="9440" spans="1:1">
      <c r="A9440" s="7" t="str">
        <f>IF('Document Workflow'!A9439&lt;&gt;"",'Document Workflow'!A9439,"")</f>
        <v/>
      </c>
    </row>
    <row r="9441" spans="1:1">
      <c r="A9441" s="7" t="str">
        <f>IF('Document Workflow'!A9440&lt;&gt;"",'Document Workflow'!A9440,"")</f>
        <v/>
      </c>
    </row>
    <row r="9442" spans="1:1">
      <c r="A9442" s="7" t="str">
        <f>IF('Document Workflow'!A9441&lt;&gt;"",'Document Workflow'!A9441,"")</f>
        <v/>
      </c>
    </row>
    <row r="9443" spans="1:1">
      <c r="A9443" s="7" t="str">
        <f>IF('Document Workflow'!A9442&lt;&gt;"",'Document Workflow'!A9442,"")</f>
        <v/>
      </c>
    </row>
    <row r="9444" spans="1:1">
      <c r="A9444" s="7" t="str">
        <f>IF('Document Workflow'!A9443&lt;&gt;"",'Document Workflow'!A9443,"")</f>
        <v/>
      </c>
    </row>
    <row r="9445" spans="1:1">
      <c r="A9445" s="7" t="str">
        <f>IF('Document Workflow'!A9444&lt;&gt;"",'Document Workflow'!A9444,"")</f>
        <v/>
      </c>
    </row>
    <row r="9446" spans="1:1">
      <c r="A9446" s="7" t="str">
        <f>IF('Document Workflow'!A9445&lt;&gt;"",'Document Workflow'!A9445,"")</f>
        <v/>
      </c>
    </row>
    <row r="9447" spans="1:1">
      <c r="A9447" s="7" t="str">
        <f>IF('Document Workflow'!A9446&lt;&gt;"",'Document Workflow'!A9446,"")</f>
        <v/>
      </c>
    </row>
    <row r="9448" spans="1:1">
      <c r="A9448" s="7" t="str">
        <f>IF('Document Workflow'!A9447&lt;&gt;"",'Document Workflow'!A9447,"")</f>
        <v/>
      </c>
    </row>
    <row r="9449" spans="1:1">
      <c r="A9449" s="7" t="str">
        <f>IF('Document Workflow'!A9448&lt;&gt;"",'Document Workflow'!A9448,"")</f>
        <v/>
      </c>
    </row>
    <row r="9450" spans="1:1">
      <c r="A9450" s="7" t="str">
        <f>IF('Document Workflow'!A9449&lt;&gt;"",'Document Workflow'!A9449,"")</f>
        <v/>
      </c>
    </row>
    <row r="9451" spans="1:1">
      <c r="A9451" s="7" t="str">
        <f>IF('Document Workflow'!A9450&lt;&gt;"",'Document Workflow'!A9450,"")</f>
        <v/>
      </c>
    </row>
    <row r="9452" spans="1:1">
      <c r="A9452" s="7" t="str">
        <f>IF('Document Workflow'!A9451&lt;&gt;"",'Document Workflow'!A9451,"")</f>
        <v/>
      </c>
    </row>
    <row r="9453" spans="1:1">
      <c r="A9453" s="7" t="str">
        <f>IF('Document Workflow'!A9452&lt;&gt;"",'Document Workflow'!A9452,"")</f>
        <v/>
      </c>
    </row>
    <row r="9454" spans="1:1">
      <c r="A9454" s="7" t="str">
        <f>IF('Document Workflow'!A9453&lt;&gt;"",'Document Workflow'!A9453,"")</f>
        <v/>
      </c>
    </row>
    <row r="9455" spans="1:1">
      <c r="A9455" s="7" t="str">
        <f>IF('Document Workflow'!A9454&lt;&gt;"",'Document Workflow'!A9454,"")</f>
        <v/>
      </c>
    </row>
    <row r="9456" spans="1:1">
      <c r="A9456" s="7" t="str">
        <f>IF('Document Workflow'!A9455&lt;&gt;"",'Document Workflow'!A9455,"")</f>
        <v/>
      </c>
    </row>
    <row r="9457" spans="1:1">
      <c r="A9457" s="7" t="str">
        <f>IF('Document Workflow'!A9456&lt;&gt;"",'Document Workflow'!A9456,"")</f>
        <v/>
      </c>
    </row>
    <row r="9458" spans="1:1">
      <c r="A9458" s="7" t="str">
        <f>IF('Document Workflow'!A9457&lt;&gt;"",'Document Workflow'!A9457,"")</f>
        <v/>
      </c>
    </row>
    <row r="9459" spans="1:1">
      <c r="A9459" s="7" t="str">
        <f>IF('Document Workflow'!A9458&lt;&gt;"",'Document Workflow'!A9458,"")</f>
        <v/>
      </c>
    </row>
    <row r="9460" spans="1:1">
      <c r="A9460" s="7" t="str">
        <f>IF('Document Workflow'!A9459&lt;&gt;"",'Document Workflow'!A9459,"")</f>
        <v/>
      </c>
    </row>
    <row r="9461" spans="1:1">
      <c r="A9461" s="7" t="str">
        <f>IF('Document Workflow'!A9460&lt;&gt;"",'Document Workflow'!A9460,"")</f>
        <v/>
      </c>
    </row>
    <row r="9462" spans="1:1">
      <c r="A9462" s="7" t="str">
        <f>IF('Document Workflow'!A9461&lt;&gt;"",'Document Workflow'!A9461,"")</f>
        <v/>
      </c>
    </row>
    <row r="9463" spans="1:1">
      <c r="A9463" s="7" t="str">
        <f>IF('Document Workflow'!A9462&lt;&gt;"",'Document Workflow'!A9462,"")</f>
        <v/>
      </c>
    </row>
    <row r="9464" spans="1:1">
      <c r="A9464" s="7" t="str">
        <f>IF('Document Workflow'!A9463&lt;&gt;"",'Document Workflow'!A9463,"")</f>
        <v/>
      </c>
    </row>
    <row r="9465" spans="1:1">
      <c r="A9465" s="7" t="str">
        <f>IF('Document Workflow'!A9464&lt;&gt;"",'Document Workflow'!A9464,"")</f>
        <v/>
      </c>
    </row>
    <row r="9466" spans="1:1">
      <c r="A9466" s="7" t="str">
        <f>IF('Document Workflow'!A9465&lt;&gt;"",'Document Workflow'!A9465,"")</f>
        <v/>
      </c>
    </row>
    <row r="9467" spans="1:1">
      <c r="A9467" s="7" t="str">
        <f>IF('Document Workflow'!A9466&lt;&gt;"",'Document Workflow'!A9466,"")</f>
        <v/>
      </c>
    </row>
    <row r="9468" spans="1:1">
      <c r="A9468" s="7" t="str">
        <f>IF('Document Workflow'!A9467&lt;&gt;"",'Document Workflow'!A9467,"")</f>
        <v/>
      </c>
    </row>
    <row r="9469" spans="1:1">
      <c r="A9469" s="7" t="str">
        <f>IF('Document Workflow'!A9468&lt;&gt;"",'Document Workflow'!A9468,"")</f>
        <v/>
      </c>
    </row>
    <row r="9470" spans="1:1">
      <c r="A9470" s="7" t="str">
        <f>IF('Document Workflow'!A9469&lt;&gt;"",'Document Workflow'!A9469,"")</f>
        <v/>
      </c>
    </row>
    <row r="9471" spans="1:1">
      <c r="A9471" s="7" t="str">
        <f>IF('Document Workflow'!A9470&lt;&gt;"",'Document Workflow'!A9470,"")</f>
        <v/>
      </c>
    </row>
    <row r="9472" spans="1:1">
      <c r="A9472" s="7" t="str">
        <f>IF('Document Workflow'!A9471&lt;&gt;"",'Document Workflow'!A9471,"")</f>
        <v/>
      </c>
    </row>
    <row r="9473" spans="1:1">
      <c r="A9473" s="7" t="str">
        <f>IF('Document Workflow'!A9472&lt;&gt;"",'Document Workflow'!A9472,"")</f>
        <v/>
      </c>
    </row>
    <row r="9474" spans="1:1">
      <c r="A9474" s="7" t="str">
        <f>IF('Document Workflow'!A9473&lt;&gt;"",'Document Workflow'!A9473,"")</f>
        <v/>
      </c>
    </row>
    <row r="9475" spans="1:1">
      <c r="A9475" s="7" t="str">
        <f>IF('Document Workflow'!A9474&lt;&gt;"",'Document Workflow'!A9474,"")</f>
        <v/>
      </c>
    </row>
    <row r="9476" spans="1:1">
      <c r="A9476" s="7" t="str">
        <f>IF('Document Workflow'!A9475&lt;&gt;"",'Document Workflow'!A9475,"")</f>
        <v/>
      </c>
    </row>
    <row r="9477" spans="1:1">
      <c r="A9477" s="7" t="str">
        <f>IF('Document Workflow'!A9476&lt;&gt;"",'Document Workflow'!A9476,"")</f>
        <v/>
      </c>
    </row>
    <row r="9478" spans="1:1">
      <c r="A9478" s="7" t="str">
        <f>IF('Document Workflow'!A9477&lt;&gt;"",'Document Workflow'!A9477,"")</f>
        <v/>
      </c>
    </row>
    <row r="9479" spans="1:1">
      <c r="A9479" s="7" t="str">
        <f>IF('Document Workflow'!A9478&lt;&gt;"",'Document Workflow'!A9478,"")</f>
        <v/>
      </c>
    </row>
    <row r="9480" spans="1:1">
      <c r="A9480" s="7" t="str">
        <f>IF('Document Workflow'!A9479&lt;&gt;"",'Document Workflow'!A9479,"")</f>
        <v/>
      </c>
    </row>
    <row r="9481" spans="1:1">
      <c r="A9481" s="7" t="str">
        <f>IF('Document Workflow'!A9480&lt;&gt;"",'Document Workflow'!A9480,"")</f>
        <v/>
      </c>
    </row>
    <row r="9482" spans="1:1">
      <c r="A9482" s="7" t="str">
        <f>IF('Document Workflow'!A9481&lt;&gt;"",'Document Workflow'!A9481,"")</f>
        <v/>
      </c>
    </row>
    <row r="9483" spans="1:1">
      <c r="A9483" s="7" t="str">
        <f>IF('Document Workflow'!A9482&lt;&gt;"",'Document Workflow'!A9482,"")</f>
        <v/>
      </c>
    </row>
    <row r="9484" spans="1:1">
      <c r="A9484" s="7" t="str">
        <f>IF('Document Workflow'!A9483&lt;&gt;"",'Document Workflow'!A9483,"")</f>
        <v/>
      </c>
    </row>
    <row r="9485" spans="1:1">
      <c r="A9485" s="7" t="str">
        <f>IF('Document Workflow'!A9484&lt;&gt;"",'Document Workflow'!A9484,"")</f>
        <v/>
      </c>
    </row>
    <row r="9486" spans="1:1">
      <c r="A9486" s="7" t="str">
        <f>IF('Document Workflow'!A9485&lt;&gt;"",'Document Workflow'!A9485,"")</f>
        <v/>
      </c>
    </row>
    <row r="9487" spans="1:1">
      <c r="A9487" s="7" t="str">
        <f>IF('Document Workflow'!A9486&lt;&gt;"",'Document Workflow'!A9486,"")</f>
        <v/>
      </c>
    </row>
    <row r="9488" spans="1:1">
      <c r="A9488" s="7" t="str">
        <f>IF('Document Workflow'!A9487&lt;&gt;"",'Document Workflow'!A9487,"")</f>
        <v/>
      </c>
    </row>
    <row r="9489" spans="1:1">
      <c r="A9489" s="7" t="str">
        <f>IF('Document Workflow'!A9488&lt;&gt;"",'Document Workflow'!A9488,"")</f>
        <v/>
      </c>
    </row>
    <row r="9490" spans="1:1">
      <c r="A9490" s="7" t="str">
        <f>IF('Document Workflow'!A9489&lt;&gt;"",'Document Workflow'!A9489,"")</f>
        <v/>
      </c>
    </row>
    <row r="9491" spans="1:1">
      <c r="A9491" s="7" t="str">
        <f>IF('Document Workflow'!A9490&lt;&gt;"",'Document Workflow'!A9490,"")</f>
        <v/>
      </c>
    </row>
    <row r="9492" spans="1:1">
      <c r="A9492" s="7" t="str">
        <f>IF('Document Workflow'!A9491&lt;&gt;"",'Document Workflow'!A9491,"")</f>
        <v/>
      </c>
    </row>
    <row r="9493" spans="1:1">
      <c r="A9493" s="7" t="str">
        <f>IF('Document Workflow'!A9492&lt;&gt;"",'Document Workflow'!A9492,"")</f>
        <v/>
      </c>
    </row>
    <row r="9494" spans="1:1">
      <c r="A9494" s="7" t="str">
        <f>IF('Document Workflow'!A9493&lt;&gt;"",'Document Workflow'!A9493,"")</f>
        <v/>
      </c>
    </row>
    <row r="9495" spans="1:1">
      <c r="A9495" s="7" t="str">
        <f>IF('Document Workflow'!A9494&lt;&gt;"",'Document Workflow'!A9494,"")</f>
        <v/>
      </c>
    </row>
    <row r="9496" spans="1:1">
      <c r="A9496" s="7" t="str">
        <f>IF('Document Workflow'!A9495&lt;&gt;"",'Document Workflow'!A9495,"")</f>
        <v/>
      </c>
    </row>
    <row r="9497" spans="1:1">
      <c r="A9497" s="7" t="str">
        <f>IF('Document Workflow'!A9496&lt;&gt;"",'Document Workflow'!A9496,"")</f>
        <v/>
      </c>
    </row>
    <row r="9498" spans="1:1">
      <c r="A9498" s="7" t="str">
        <f>IF('Document Workflow'!A9497&lt;&gt;"",'Document Workflow'!A9497,"")</f>
        <v/>
      </c>
    </row>
    <row r="9499" spans="1:1">
      <c r="A9499" s="7" t="str">
        <f>IF('Document Workflow'!A9498&lt;&gt;"",'Document Workflow'!A9498,"")</f>
        <v/>
      </c>
    </row>
    <row r="9500" spans="1:1">
      <c r="A9500" s="7" t="str">
        <f>IF('Document Workflow'!A9499&lt;&gt;"",'Document Workflow'!A9499,"")</f>
        <v/>
      </c>
    </row>
    <row r="9501" spans="1:1">
      <c r="A9501" s="7" t="str">
        <f>IF('Document Workflow'!A9500&lt;&gt;"",'Document Workflow'!A9500,"")</f>
        <v/>
      </c>
    </row>
    <row r="9502" spans="1:1">
      <c r="A9502" s="7" t="str">
        <f>IF('Document Workflow'!A9501&lt;&gt;"",'Document Workflow'!A9501,"")</f>
        <v/>
      </c>
    </row>
    <row r="9503" spans="1:1">
      <c r="A9503" s="7" t="str">
        <f>IF('Document Workflow'!A9502&lt;&gt;"",'Document Workflow'!A9502,"")</f>
        <v/>
      </c>
    </row>
    <row r="9504" spans="1:1">
      <c r="A9504" s="7" t="str">
        <f>IF('Document Workflow'!A9503&lt;&gt;"",'Document Workflow'!A9503,"")</f>
        <v/>
      </c>
    </row>
    <row r="9505" spans="1:1">
      <c r="A9505" s="7" t="str">
        <f>IF('Document Workflow'!A9504&lt;&gt;"",'Document Workflow'!A9504,"")</f>
        <v/>
      </c>
    </row>
    <row r="9506" spans="1:1">
      <c r="A9506" s="7" t="str">
        <f>IF('Document Workflow'!A9505&lt;&gt;"",'Document Workflow'!A9505,"")</f>
        <v/>
      </c>
    </row>
    <row r="9507" spans="1:1">
      <c r="A9507" s="7" t="str">
        <f>IF('Document Workflow'!A9506&lt;&gt;"",'Document Workflow'!A9506,"")</f>
        <v/>
      </c>
    </row>
    <row r="9508" spans="1:1">
      <c r="A9508" s="7" t="str">
        <f>IF('Document Workflow'!A9507&lt;&gt;"",'Document Workflow'!A9507,"")</f>
        <v/>
      </c>
    </row>
    <row r="9509" spans="1:1">
      <c r="A9509" s="7" t="str">
        <f>IF('Document Workflow'!A9508&lt;&gt;"",'Document Workflow'!A9508,"")</f>
        <v/>
      </c>
    </row>
    <row r="9510" spans="1:1">
      <c r="A9510" s="7" t="str">
        <f>IF('Document Workflow'!A9509&lt;&gt;"",'Document Workflow'!A9509,"")</f>
        <v/>
      </c>
    </row>
    <row r="9511" spans="1:1">
      <c r="A9511" s="7" t="str">
        <f>IF('Document Workflow'!A9510&lt;&gt;"",'Document Workflow'!A9510,"")</f>
        <v/>
      </c>
    </row>
    <row r="9512" spans="1:1">
      <c r="A9512" s="7" t="str">
        <f>IF('Document Workflow'!A9511&lt;&gt;"",'Document Workflow'!A9511,"")</f>
        <v/>
      </c>
    </row>
    <row r="9513" spans="1:1">
      <c r="A9513" s="7" t="str">
        <f>IF('Document Workflow'!A9512&lt;&gt;"",'Document Workflow'!A9512,"")</f>
        <v/>
      </c>
    </row>
    <row r="9514" spans="1:1">
      <c r="A9514" s="7" t="str">
        <f>IF('Document Workflow'!A9513&lt;&gt;"",'Document Workflow'!A9513,"")</f>
        <v/>
      </c>
    </row>
    <row r="9515" spans="1:1">
      <c r="A9515" s="7" t="str">
        <f>IF('Document Workflow'!A9514&lt;&gt;"",'Document Workflow'!A9514,"")</f>
        <v/>
      </c>
    </row>
    <row r="9516" spans="1:1">
      <c r="A9516" s="7" t="str">
        <f>IF('Document Workflow'!A9515&lt;&gt;"",'Document Workflow'!A9515,"")</f>
        <v/>
      </c>
    </row>
    <row r="9517" spans="1:1">
      <c r="A9517" s="7" t="str">
        <f>IF('Document Workflow'!A9516&lt;&gt;"",'Document Workflow'!A9516,"")</f>
        <v/>
      </c>
    </row>
    <row r="9518" spans="1:1">
      <c r="A9518" s="7" t="str">
        <f>IF('Document Workflow'!A9517&lt;&gt;"",'Document Workflow'!A9517,"")</f>
        <v/>
      </c>
    </row>
    <row r="9519" spans="1:1">
      <c r="A9519" s="7" t="str">
        <f>IF('Document Workflow'!A9518&lt;&gt;"",'Document Workflow'!A9518,"")</f>
        <v/>
      </c>
    </row>
    <row r="9520" spans="1:1">
      <c r="A9520" s="7" t="str">
        <f>IF('Document Workflow'!A9519&lt;&gt;"",'Document Workflow'!A9519,"")</f>
        <v/>
      </c>
    </row>
    <row r="9521" spans="1:1">
      <c r="A9521" s="7" t="str">
        <f>IF('Document Workflow'!A9520&lt;&gt;"",'Document Workflow'!A9520,"")</f>
        <v/>
      </c>
    </row>
    <row r="9522" spans="1:1">
      <c r="A9522" s="7" t="str">
        <f>IF('Document Workflow'!A9521&lt;&gt;"",'Document Workflow'!A9521,"")</f>
        <v/>
      </c>
    </row>
    <row r="9523" spans="1:1">
      <c r="A9523" s="7" t="str">
        <f>IF('Document Workflow'!A9522&lt;&gt;"",'Document Workflow'!A9522,"")</f>
        <v/>
      </c>
    </row>
    <row r="9524" spans="1:1">
      <c r="A9524" s="7" t="str">
        <f>IF('Document Workflow'!A9523&lt;&gt;"",'Document Workflow'!A9523,"")</f>
        <v/>
      </c>
    </row>
    <row r="9525" spans="1:1">
      <c r="A9525" s="7" t="str">
        <f>IF('Document Workflow'!A9524&lt;&gt;"",'Document Workflow'!A9524,"")</f>
        <v/>
      </c>
    </row>
    <row r="9526" spans="1:1">
      <c r="A9526" s="7" t="str">
        <f>IF('Document Workflow'!A9525&lt;&gt;"",'Document Workflow'!A9525,"")</f>
        <v/>
      </c>
    </row>
    <row r="9527" spans="1:1">
      <c r="A9527" s="7" t="str">
        <f>IF('Document Workflow'!A9526&lt;&gt;"",'Document Workflow'!A9526,"")</f>
        <v/>
      </c>
    </row>
    <row r="9528" spans="1:1">
      <c r="A9528" s="7" t="str">
        <f>IF('Document Workflow'!A9527&lt;&gt;"",'Document Workflow'!A9527,"")</f>
        <v/>
      </c>
    </row>
    <row r="9529" spans="1:1">
      <c r="A9529" s="7" t="str">
        <f>IF('Document Workflow'!A9528&lt;&gt;"",'Document Workflow'!A9528,"")</f>
        <v/>
      </c>
    </row>
    <row r="9530" spans="1:1">
      <c r="A9530" s="7" t="str">
        <f>IF('Document Workflow'!A9529&lt;&gt;"",'Document Workflow'!A9529,"")</f>
        <v/>
      </c>
    </row>
    <row r="9531" spans="1:1">
      <c r="A9531" s="7" t="str">
        <f>IF('Document Workflow'!A9530&lt;&gt;"",'Document Workflow'!A9530,"")</f>
        <v/>
      </c>
    </row>
    <row r="9532" spans="1:1">
      <c r="A9532" s="7" t="str">
        <f>IF('Document Workflow'!A9531&lt;&gt;"",'Document Workflow'!A9531,"")</f>
        <v/>
      </c>
    </row>
    <row r="9533" spans="1:1">
      <c r="A9533" s="7" t="str">
        <f>IF('Document Workflow'!A9532&lt;&gt;"",'Document Workflow'!A9532,"")</f>
        <v/>
      </c>
    </row>
    <row r="9534" spans="1:1">
      <c r="A9534" s="7" t="str">
        <f>IF('Document Workflow'!A9533&lt;&gt;"",'Document Workflow'!A9533,"")</f>
        <v/>
      </c>
    </row>
    <row r="9535" spans="1:1">
      <c r="A9535" s="7" t="str">
        <f>IF('Document Workflow'!A9534&lt;&gt;"",'Document Workflow'!A9534,"")</f>
        <v/>
      </c>
    </row>
    <row r="9536" spans="1:1">
      <c r="A9536" s="7" t="str">
        <f>IF('Document Workflow'!A9535&lt;&gt;"",'Document Workflow'!A9535,"")</f>
        <v/>
      </c>
    </row>
    <row r="9537" spans="1:1">
      <c r="A9537" s="7" t="str">
        <f>IF('Document Workflow'!A9536&lt;&gt;"",'Document Workflow'!A9536,"")</f>
        <v/>
      </c>
    </row>
    <row r="9538" spans="1:1">
      <c r="A9538" s="7" t="str">
        <f>IF('Document Workflow'!A9537&lt;&gt;"",'Document Workflow'!A9537,"")</f>
        <v/>
      </c>
    </row>
    <row r="9539" spans="1:1">
      <c r="A9539" s="7" t="str">
        <f>IF('Document Workflow'!A9538&lt;&gt;"",'Document Workflow'!A9538,"")</f>
        <v/>
      </c>
    </row>
    <row r="9540" spans="1:1">
      <c r="A9540" s="7" t="str">
        <f>IF('Document Workflow'!A9539&lt;&gt;"",'Document Workflow'!A9539,"")</f>
        <v/>
      </c>
    </row>
    <row r="9541" spans="1:1">
      <c r="A9541" s="7" t="str">
        <f>IF('Document Workflow'!A9540&lt;&gt;"",'Document Workflow'!A9540,"")</f>
        <v/>
      </c>
    </row>
    <row r="9542" spans="1:1">
      <c r="A9542" s="7" t="str">
        <f>IF('Document Workflow'!A9541&lt;&gt;"",'Document Workflow'!A9541,"")</f>
        <v/>
      </c>
    </row>
    <row r="9543" spans="1:1">
      <c r="A9543" s="7" t="str">
        <f>IF('Document Workflow'!A9542&lt;&gt;"",'Document Workflow'!A9542,"")</f>
        <v/>
      </c>
    </row>
    <row r="9544" spans="1:1">
      <c r="A9544" s="7" t="str">
        <f>IF('Document Workflow'!A9543&lt;&gt;"",'Document Workflow'!A9543,"")</f>
        <v/>
      </c>
    </row>
    <row r="9545" spans="1:1">
      <c r="A9545" s="7" t="str">
        <f>IF('Document Workflow'!A9544&lt;&gt;"",'Document Workflow'!A9544,"")</f>
        <v/>
      </c>
    </row>
    <row r="9546" spans="1:1">
      <c r="A9546" s="7" t="str">
        <f>IF('Document Workflow'!A9545&lt;&gt;"",'Document Workflow'!A9545,"")</f>
        <v/>
      </c>
    </row>
    <row r="9547" spans="1:1">
      <c r="A9547" s="7" t="str">
        <f>IF('Document Workflow'!A9546&lt;&gt;"",'Document Workflow'!A9546,"")</f>
        <v/>
      </c>
    </row>
    <row r="9548" spans="1:1">
      <c r="A9548" s="7" t="str">
        <f>IF('Document Workflow'!A9547&lt;&gt;"",'Document Workflow'!A9547,"")</f>
        <v/>
      </c>
    </row>
    <row r="9549" spans="1:1">
      <c r="A9549" s="7" t="str">
        <f>IF('Document Workflow'!A9548&lt;&gt;"",'Document Workflow'!A9548,"")</f>
        <v/>
      </c>
    </row>
    <row r="9550" spans="1:1">
      <c r="A9550" s="7" t="str">
        <f>IF('Document Workflow'!A9549&lt;&gt;"",'Document Workflow'!A9549,"")</f>
        <v/>
      </c>
    </row>
    <row r="9551" spans="1:1">
      <c r="A9551" s="7" t="str">
        <f>IF('Document Workflow'!A9550&lt;&gt;"",'Document Workflow'!A9550,"")</f>
        <v/>
      </c>
    </row>
    <row r="9552" spans="1:1">
      <c r="A9552" s="7" t="str">
        <f>IF('Document Workflow'!A9551&lt;&gt;"",'Document Workflow'!A9551,"")</f>
        <v/>
      </c>
    </row>
    <row r="9553" spans="1:1">
      <c r="A9553" s="7" t="str">
        <f>IF('Document Workflow'!A9552&lt;&gt;"",'Document Workflow'!A9552,"")</f>
        <v/>
      </c>
    </row>
    <row r="9554" spans="1:1">
      <c r="A9554" s="7" t="str">
        <f>IF('Document Workflow'!A9553&lt;&gt;"",'Document Workflow'!A9553,"")</f>
        <v/>
      </c>
    </row>
    <row r="9555" spans="1:1">
      <c r="A9555" s="7" t="str">
        <f>IF('Document Workflow'!A9554&lt;&gt;"",'Document Workflow'!A9554,"")</f>
        <v/>
      </c>
    </row>
    <row r="9556" spans="1:1">
      <c r="A9556" s="7" t="str">
        <f>IF('Document Workflow'!A9555&lt;&gt;"",'Document Workflow'!A9555,"")</f>
        <v/>
      </c>
    </row>
    <row r="9557" spans="1:1">
      <c r="A9557" s="7" t="str">
        <f>IF('Document Workflow'!A9556&lt;&gt;"",'Document Workflow'!A9556,"")</f>
        <v/>
      </c>
    </row>
    <row r="9558" spans="1:1">
      <c r="A9558" s="7" t="str">
        <f>IF('Document Workflow'!A9557&lt;&gt;"",'Document Workflow'!A9557,"")</f>
        <v/>
      </c>
    </row>
    <row r="9559" spans="1:1">
      <c r="A9559" s="7" t="str">
        <f>IF('Document Workflow'!A9558&lt;&gt;"",'Document Workflow'!A9558,"")</f>
        <v/>
      </c>
    </row>
    <row r="9560" spans="1:1">
      <c r="A9560" s="7" t="str">
        <f>IF('Document Workflow'!A9559&lt;&gt;"",'Document Workflow'!A9559,"")</f>
        <v/>
      </c>
    </row>
    <row r="9561" spans="1:1">
      <c r="A9561" s="7" t="str">
        <f>IF('Document Workflow'!A9560&lt;&gt;"",'Document Workflow'!A9560,"")</f>
        <v/>
      </c>
    </row>
    <row r="9562" spans="1:1">
      <c r="A9562" s="7" t="str">
        <f>IF('Document Workflow'!A9561&lt;&gt;"",'Document Workflow'!A9561,"")</f>
        <v/>
      </c>
    </row>
    <row r="9563" spans="1:1">
      <c r="A9563" s="7" t="str">
        <f>IF('Document Workflow'!A9562&lt;&gt;"",'Document Workflow'!A9562,"")</f>
        <v/>
      </c>
    </row>
    <row r="9564" spans="1:1">
      <c r="A9564" s="7" t="str">
        <f>IF('Document Workflow'!A9563&lt;&gt;"",'Document Workflow'!A9563,"")</f>
        <v/>
      </c>
    </row>
    <row r="9565" spans="1:1">
      <c r="A9565" s="7" t="str">
        <f>IF('Document Workflow'!A9564&lt;&gt;"",'Document Workflow'!A9564,"")</f>
        <v/>
      </c>
    </row>
    <row r="9566" spans="1:1">
      <c r="A9566" s="7" t="str">
        <f>IF('Document Workflow'!A9565&lt;&gt;"",'Document Workflow'!A9565,"")</f>
        <v/>
      </c>
    </row>
    <row r="9567" spans="1:1">
      <c r="A9567" s="7" t="str">
        <f>IF('Document Workflow'!A9566&lt;&gt;"",'Document Workflow'!A9566,"")</f>
        <v/>
      </c>
    </row>
    <row r="9568" spans="1:1">
      <c r="A9568" s="7" t="str">
        <f>IF('Document Workflow'!A9567&lt;&gt;"",'Document Workflow'!A9567,"")</f>
        <v/>
      </c>
    </row>
    <row r="9569" spans="1:1">
      <c r="A9569" s="7" t="str">
        <f>IF('Document Workflow'!A9568&lt;&gt;"",'Document Workflow'!A9568,"")</f>
        <v/>
      </c>
    </row>
    <row r="9570" spans="1:1">
      <c r="A9570" s="7" t="str">
        <f>IF('Document Workflow'!A9569&lt;&gt;"",'Document Workflow'!A9569,"")</f>
        <v/>
      </c>
    </row>
    <row r="9571" spans="1:1">
      <c r="A9571" s="7" t="str">
        <f>IF('Document Workflow'!A9570&lt;&gt;"",'Document Workflow'!A9570,"")</f>
        <v/>
      </c>
    </row>
    <row r="9572" spans="1:1">
      <c r="A9572" s="7" t="str">
        <f>IF('Document Workflow'!A9571&lt;&gt;"",'Document Workflow'!A9571,"")</f>
        <v/>
      </c>
    </row>
    <row r="9573" spans="1:1">
      <c r="A9573" s="7" t="str">
        <f>IF('Document Workflow'!A9572&lt;&gt;"",'Document Workflow'!A9572,"")</f>
        <v/>
      </c>
    </row>
    <row r="9574" spans="1:1">
      <c r="A9574" s="7" t="str">
        <f>IF('Document Workflow'!A9573&lt;&gt;"",'Document Workflow'!A9573,"")</f>
        <v/>
      </c>
    </row>
    <row r="9575" spans="1:1">
      <c r="A9575" s="7" t="str">
        <f>IF('Document Workflow'!A9574&lt;&gt;"",'Document Workflow'!A9574,"")</f>
        <v/>
      </c>
    </row>
    <row r="9576" spans="1:1">
      <c r="A9576" s="7" t="str">
        <f>IF('Document Workflow'!A9575&lt;&gt;"",'Document Workflow'!A9575,"")</f>
        <v/>
      </c>
    </row>
    <row r="9577" spans="1:1">
      <c r="A9577" s="7" t="str">
        <f>IF('Document Workflow'!A9576&lt;&gt;"",'Document Workflow'!A9576,"")</f>
        <v/>
      </c>
    </row>
    <row r="9578" spans="1:1">
      <c r="A9578" s="7" t="str">
        <f>IF('Document Workflow'!A9577&lt;&gt;"",'Document Workflow'!A9577,"")</f>
        <v/>
      </c>
    </row>
    <row r="9579" spans="1:1">
      <c r="A9579" s="7" t="str">
        <f>IF('Document Workflow'!A9578&lt;&gt;"",'Document Workflow'!A9578,"")</f>
        <v/>
      </c>
    </row>
    <row r="9580" spans="1:1">
      <c r="A9580" s="7" t="str">
        <f>IF('Document Workflow'!A9579&lt;&gt;"",'Document Workflow'!A9579,"")</f>
        <v/>
      </c>
    </row>
    <row r="9581" spans="1:1">
      <c r="A9581" s="7" t="str">
        <f>IF('Document Workflow'!A9580&lt;&gt;"",'Document Workflow'!A9580,"")</f>
        <v/>
      </c>
    </row>
    <row r="9582" spans="1:1">
      <c r="A9582" s="7" t="str">
        <f>IF('Document Workflow'!A9581&lt;&gt;"",'Document Workflow'!A9581,"")</f>
        <v/>
      </c>
    </row>
    <row r="9583" spans="1:1">
      <c r="A9583" s="7" t="str">
        <f>IF('Document Workflow'!A9582&lt;&gt;"",'Document Workflow'!A9582,"")</f>
        <v/>
      </c>
    </row>
    <row r="9584" spans="1:1">
      <c r="A9584" s="7" t="str">
        <f>IF('Document Workflow'!A9583&lt;&gt;"",'Document Workflow'!A9583,"")</f>
        <v/>
      </c>
    </row>
    <row r="9585" spans="1:1">
      <c r="A9585" s="7" t="str">
        <f>IF('Document Workflow'!A9584&lt;&gt;"",'Document Workflow'!A9584,"")</f>
        <v/>
      </c>
    </row>
    <row r="9586" spans="1:1">
      <c r="A9586" s="7" t="str">
        <f>IF('Document Workflow'!A9585&lt;&gt;"",'Document Workflow'!A9585,"")</f>
        <v/>
      </c>
    </row>
    <row r="9587" spans="1:1">
      <c r="A9587" s="7" t="str">
        <f>IF('Document Workflow'!A9586&lt;&gt;"",'Document Workflow'!A9586,"")</f>
        <v/>
      </c>
    </row>
    <row r="9588" spans="1:1">
      <c r="A9588" s="7" t="str">
        <f>IF('Document Workflow'!A9587&lt;&gt;"",'Document Workflow'!A9587,"")</f>
        <v/>
      </c>
    </row>
    <row r="9589" spans="1:1">
      <c r="A9589" s="7" t="str">
        <f>IF('Document Workflow'!A9588&lt;&gt;"",'Document Workflow'!A9588,"")</f>
        <v/>
      </c>
    </row>
    <row r="9590" spans="1:1">
      <c r="A9590" s="7" t="str">
        <f>IF('Document Workflow'!A9589&lt;&gt;"",'Document Workflow'!A9589,"")</f>
        <v/>
      </c>
    </row>
    <row r="9591" spans="1:1">
      <c r="A9591" s="7" t="str">
        <f>IF('Document Workflow'!A9590&lt;&gt;"",'Document Workflow'!A9590,"")</f>
        <v/>
      </c>
    </row>
    <row r="9592" spans="1:1">
      <c r="A9592" s="7" t="str">
        <f>IF('Document Workflow'!A9591&lt;&gt;"",'Document Workflow'!A9591,"")</f>
        <v/>
      </c>
    </row>
    <row r="9593" spans="1:1">
      <c r="A9593" s="7" t="str">
        <f>IF('Document Workflow'!A9592&lt;&gt;"",'Document Workflow'!A9592,"")</f>
        <v/>
      </c>
    </row>
    <row r="9594" spans="1:1">
      <c r="A9594" s="7" t="str">
        <f>IF('Document Workflow'!A9593&lt;&gt;"",'Document Workflow'!A9593,"")</f>
        <v/>
      </c>
    </row>
    <row r="9595" spans="1:1">
      <c r="A9595" s="7" t="str">
        <f>IF('Document Workflow'!A9594&lt;&gt;"",'Document Workflow'!A9594,"")</f>
        <v/>
      </c>
    </row>
    <row r="9596" spans="1:1">
      <c r="A9596" s="7" t="str">
        <f>IF('Document Workflow'!A9595&lt;&gt;"",'Document Workflow'!A9595,"")</f>
        <v/>
      </c>
    </row>
    <row r="9597" spans="1:1">
      <c r="A9597" s="7" t="str">
        <f>IF('Document Workflow'!A9596&lt;&gt;"",'Document Workflow'!A9596,"")</f>
        <v/>
      </c>
    </row>
    <row r="9598" spans="1:1">
      <c r="A9598" s="7" t="str">
        <f>IF('Document Workflow'!A9597&lt;&gt;"",'Document Workflow'!A9597,"")</f>
        <v/>
      </c>
    </row>
    <row r="9599" spans="1:1">
      <c r="A9599" s="7" t="str">
        <f>IF('Document Workflow'!A9598&lt;&gt;"",'Document Workflow'!A9598,"")</f>
        <v/>
      </c>
    </row>
    <row r="9600" spans="1:1">
      <c r="A9600" s="7" t="str">
        <f>IF('Document Workflow'!A9599&lt;&gt;"",'Document Workflow'!A9599,"")</f>
        <v/>
      </c>
    </row>
    <row r="9601" spans="1:1">
      <c r="A9601" s="7" t="str">
        <f>IF('Document Workflow'!A9600&lt;&gt;"",'Document Workflow'!A9600,"")</f>
        <v/>
      </c>
    </row>
    <row r="9602" spans="1:1">
      <c r="A9602" s="7" t="str">
        <f>IF('Document Workflow'!A9601&lt;&gt;"",'Document Workflow'!A9601,"")</f>
        <v/>
      </c>
    </row>
    <row r="9603" spans="1:1">
      <c r="A9603" s="7" t="str">
        <f>IF('Document Workflow'!A9602&lt;&gt;"",'Document Workflow'!A9602,"")</f>
        <v/>
      </c>
    </row>
    <row r="9604" spans="1:1">
      <c r="A9604" s="7" t="str">
        <f>IF('Document Workflow'!A9603&lt;&gt;"",'Document Workflow'!A9603,"")</f>
        <v/>
      </c>
    </row>
    <row r="9605" spans="1:1">
      <c r="A9605" s="7" t="str">
        <f>IF('Document Workflow'!A9604&lt;&gt;"",'Document Workflow'!A9604,"")</f>
        <v/>
      </c>
    </row>
    <row r="9606" spans="1:1">
      <c r="A9606" s="7" t="str">
        <f>IF('Document Workflow'!A9605&lt;&gt;"",'Document Workflow'!A9605,"")</f>
        <v/>
      </c>
    </row>
    <row r="9607" spans="1:1">
      <c r="A9607" s="7" t="str">
        <f>IF('Document Workflow'!A9606&lt;&gt;"",'Document Workflow'!A9606,"")</f>
        <v/>
      </c>
    </row>
    <row r="9608" spans="1:1">
      <c r="A9608" s="7" t="str">
        <f>IF('Document Workflow'!A9607&lt;&gt;"",'Document Workflow'!A9607,"")</f>
        <v/>
      </c>
    </row>
    <row r="9609" spans="1:1">
      <c r="A9609" s="7" t="str">
        <f>IF('Document Workflow'!A9608&lt;&gt;"",'Document Workflow'!A9608,"")</f>
        <v/>
      </c>
    </row>
    <row r="9610" spans="1:1">
      <c r="A9610" s="7" t="str">
        <f>IF('Document Workflow'!A9609&lt;&gt;"",'Document Workflow'!A9609,"")</f>
        <v/>
      </c>
    </row>
    <row r="9611" spans="1:1">
      <c r="A9611" s="7" t="str">
        <f>IF('Document Workflow'!A9610&lt;&gt;"",'Document Workflow'!A9610,"")</f>
        <v/>
      </c>
    </row>
    <row r="9612" spans="1:1">
      <c r="A9612" s="7" t="str">
        <f>IF('Document Workflow'!A9611&lt;&gt;"",'Document Workflow'!A9611,"")</f>
        <v/>
      </c>
    </row>
    <row r="9613" spans="1:1">
      <c r="A9613" s="7" t="str">
        <f>IF('Document Workflow'!A9612&lt;&gt;"",'Document Workflow'!A9612,"")</f>
        <v/>
      </c>
    </row>
    <row r="9614" spans="1:1">
      <c r="A9614" s="7" t="str">
        <f>IF('Document Workflow'!A9613&lt;&gt;"",'Document Workflow'!A9613,"")</f>
        <v/>
      </c>
    </row>
    <row r="9615" spans="1:1">
      <c r="A9615" s="7" t="str">
        <f>IF('Document Workflow'!A9614&lt;&gt;"",'Document Workflow'!A9614,"")</f>
        <v/>
      </c>
    </row>
    <row r="9616" spans="1:1">
      <c r="A9616" s="7" t="str">
        <f>IF('Document Workflow'!A9615&lt;&gt;"",'Document Workflow'!A9615,"")</f>
        <v/>
      </c>
    </row>
    <row r="9617" spans="1:1">
      <c r="A9617" s="7" t="str">
        <f>IF('Document Workflow'!A9616&lt;&gt;"",'Document Workflow'!A9616,"")</f>
        <v/>
      </c>
    </row>
    <row r="9618" spans="1:1">
      <c r="A9618" s="7" t="str">
        <f>IF('Document Workflow'!A9617&lt;&gt;"",'Document Workflow'!A9617,"")</f>
        <v/>
      </c>
    </row>
    <row r="9619" spans="1:1">
      <c r="A9619" s="7" t="str">
        <f>IF('Document Workflow'!A9618&lt;&gt;"",'Document Workflow'!A9618,"")</f>
        <v/>
      </c>
    </row>
    <row r="9620" spans="1:1">
      <c r="A9620" s="7" t="str">
        <f>IF('Document Workflow'!A9619&lt;&gt;"",'Document Workflow'!A9619,"")</f>
        <v/>
      </c>
    </row>
    <row r="9621" spans="1:1">
      <c r="A9621" s="7" t="str">
        <f>IF('Document Workflow'!A9620&lt;&gt;"",'Document Workflow'!A9620,"")</f>
        <v/>
      </c>
    </row>
    <row r="9622" spans="1:1">
      <c r="A9622" s="7" t="str">
        <f>IF('Document Workflow'!A9621&lt;&gt;"",'Document Workflow'!A9621,"")</f>
        <v/>
      </c>
    </row>
    <row r="9623" spans="1:1">
      <c r="A9623" s="7" t="str">
        <f>IF('Document Workflow'!A9622&lt;&gt;"",'Document Workflow'!A9622,"")</f>
        <v/>
      </c>
    </row>
    <row r="9624" spans="1:1">
      <c r="A9624" s="7" t="str">
        <f>IF('Document Workflow'!A9623&lt;&gt;"",'Document Workflow'!A9623,"")</f>
        <v/>
      </c>
    </row>
    <row r="9625" spans="1:1">
      <c r="A9625" s="7" t="str">
        <f>IF('Document Workflow'!A9624&lt;&gt;"",'Document Workflow'!A9624,"")</f>
        <v/>
      </c>
    </row>
    <row r="9626" spans="1:1">
      <c r="A9626" s="7" t="str">
        <f>IF('Document Workflow'!A9625&lt;&gt;"",'Document Workflow'!A9625,"")</f>
        <v/>
      </c>
    </row>
    <row r="9627" spans="1:1">
      <c r="A9627" s="7" t="str">
        <f>IF('Document Workflow'!A9626&lt;&gt;"",'Document Workflow'!A9626,"")</f>
        <v/>
      </c>
    </row>
    <row r="9628" spans="1:1">
      <c r="A9628" s="7" t="str">
        <f>IF('Document Workflow'!A9627&lt;&gt;"",'Document Workflow'!A9627,"")</f>
        <v/>
      </c>
    </row>
    <row r="9629" spans="1:1">
      <c r="A9629" s="7" t="str">
        <f>IF('Document Workflow'!A9628&lt;&gt;"",'Document Workflow'!A9628,"")</f>
        <v/>
      </c>
    </row>
    <row r="9630" spans="1:1">
      <c r="A9630" s="7" t="str">
        <f>IF('Document Workflow'!A9629&lt;&gt;"",'Document Workflow'!A9629,"")</f>
        <v/>
      </c>
    </row>
    <row r="9631" spans="1:1">
      <c r="A9631" s="7" t="str">
        <f>IF('Document Workflow'!A9630&lt;&gt;"",'Document Workflow'!A9630,"")</f>
        <v/>
      </c>
    </row>
    <row r="9632" spans="1:1">
      <c r="A9632" s="7" t="str">
        <f>IF('Document Workflow'!A9631&lt;&gt;"",'Document Workflow'!A9631,"")</f>
        <v/>
      </c>
    </row>
    <row r="9633" spans="1:1">
      <c r="A9633" s="7" t="str">
        <f>IF('Document Workflow'!A9632&lt;&gt;"",'Document Workflow'!A9632,"")</f>
        <v/>
      </c>
    </row>
    <row r="9634" spans="1:1">
      <c r="A9634" s="7" t="str">
        <f>IF('Document Workflow'!A9633&lt;&gt;"",'Document Workflow'!A9633,"")</f>
        <v/>
      </c>
    </row>
    <row r="9635" spans="1:1">
      <c r="A9635" s="7" t="str">
        <f>IF('Document Workflow'!A9634&lt;&gt;"",'Document Workflow'!A9634,"")</f>
        <v/>
      </c>
    </row>
    <row r="9636" spans="1:1">
      <c r="A9636" s="7" t="str">
        <f>IF('Document Workflow'!A9635&lt;&gt;"",'Document Workflow'!A9635,"")</f>
        <v/>
      </c>
    </row>
    <row r="9637" spans="1:1">
      <c r="A9637" s="7" t="str">
        <f>IF('Document Workflow'!A9636&lt;&gt;"",'Document Workflow'!A9636,"")</f>
        <v/>
      </c>
    </row>
    <row r="9638" spans="1:1">
      <c r="A9638" s="7" t="str">
        <f>IF('Document Workflow'!A9637&lt;&gt;"",'Document Workflow'!A9637,"")</f>
        <v/>
      </c>
    </row>
    <row r="9639" spans="1:1">
      <c r="A9639" s="7" t="str">
        <f>IF('Document Workflow'!A9638&lt;&gt;"",'Document Workflow'!A9638,"")</f>
        <v/>
      </c>
    </row>
    <row r="9640" spans="1:1">
      <c r="A9640" s="7" t="str">
        <f>IF('Document Workflow'!A9639&lt;&gt;"",'Document Workflow'!A9639,"")</f>
        <v/>
      </c>
    </row>
    <row r="9641" spans="1:1">
      <c r="A9641" s="7" t="str">
        <f>IF('Document Workflow'!A9640&lt;&gt;"",'Document Workflow'!A9640,"")</f>
        <v/>
      </c>
    </row>
    <row r="9642" spans="1:1">
      <c r="A9642" s="7" t="str">
        <f>IF('Document Workflow'!A9641&lt;&gt;"",'Document Workflow'!A9641,"")</f>
        <v/>
      </c>
    </row>
    <row r="9643" spans="1:1">
      <c r="A9643" s="7" t="str">
        <f>IF('Document Workflow'!A9642&lt;&gt;"",'Document Workflow'!A9642,"")</f>
        <v/>
      </c>
    </row>
    <row r="9644" spans="1:1">
      <c r="A9644" s="7" t="str">
        <f>IF('Document Workflow'!A9643&lt;&gt;"",'Document Workflow'!A9643,"")</f>
        <v/>
      </c>
    </row>
    <row r="9645" spans="1:1">
      <c r="A9645" s="7" t="str">
        <f>IF('Document Workflow'!A9644&lt;&gt;"",'Document Workflow'!A9644,"")</f>
        <v/>
      </c>
    </row>
    <row r="9646" spans="1:1">
      <c r="A9646" s="7" t="str">
        <f>IF('Document Workflow'!A9645&lt;&gt;"",'Document Workflow'!A9645,"")</f>
        <v/>
      </c>
    </row>
    <row r="9647" spans="1:1">
      <c r="A9647" s="7" t="str">
        <f>IF('Document Workflow'!A9646&lt;&gt;"",'Document Workflow'!A9646,"")</f>
        <v/>
      </c>
    </row>
    <row r="9648" spans="1:1">
      <c r="A9648" s="7" t="str">
        <f>IF('Document Workflow'!A9647&lt;&gt;"",'Document Workflow'!A9647,"")</f>
        <v/>
      </c>
    </row>
    <row r="9649" spans="1:1">
      <c r="A9649" s="7" t="str">
        <f>IF('Document Workflow'!A9648&lt;&gt;"",'Document Workflow'!A9648,"")</f>
        <v/>
      </c>
    </row>
    <row r="9650" spans="1:1">
      <c r="A9650" s="7" t="str">
        <f>IF('Document Workflow'!A9649&lt;&gt;"",'Document Workflow'!A9649,"")</f>
        <v/>
      </c>
    </row>
    <row r="9651" spans="1:1">
      <c r="A9651" s="7" t="str">
        <f>IF('Document Workflow'!A9650&lt;&gt;"",'Document Workflow'!A9650,"")</f>
        <v/>
      </c>
    </row>
    <row r="9652" spans="1:1">
      <c r="A9652" s="7" t="str">
        <f>IF('Document Workflow'!A9651&lt;&gt;"",'Document Workflow'!A9651,"")</f>
        <v/>
      </c>
    </row>
    <row r="9653" spans="1:1">
      <c r="A9653" s="7" t="str">
        <f>IF('Document Workflow'!A9652&lt;&gt;"",'Document Workflow'!A9652,"")</f>
        <v/>
      </c>
    </row>
    <row r="9654" spans="1:1">
      <c r="A9654" s="7" t="str">
        <f>IF('Document Workflow'!A9653&lt;&gt;"",'Document Workflow'!A9653,"")</f>
        <v/>
      </c>
    </row>
    <row r="9655" spans="1:1">
      <c r="A9655" s="7" t="str">
        <f>IF('Document Workflow'!A9654&lt;&gt;"",'Document Workflow'!A9654,"")</f>
        <v/>
      </c>
    </row>
    <row r="9656" spans="1:1">
      <c r="A9656" s="7" t="str">
        <f>IF('Document Workflow'!A9655&lt;&gt;"",'Document Workflow'!A9655,"")</f>
        <v/>
      </c>
    </row>
    <row r="9657" spans="1:1">
      <c r="A9657" s="7" t="str">
        <f>IF('Document Workflow'!A9656&lt;&gt;"",'Document Workflow'!A9656,"")</f>
        <v/>
      </c>
    </row>
    <row r="9658" spans="1:1">
      <c r="A9658" s="7" t="str">
        <f>IF('Document Workflow'!A9657&lt;&gt;"",'Document Workflow'!A9657,"")</f>
        <v/>
      </c>
    </row>
    <row r="9659" spans="1:1">
      <c r="A9659" s="7" t="str">
        <f>IF('Document Workflow'!A9658&lt;&gt;"",'Document Workflow'!A9658,"")</f>
        <v/>
      </c>
    </row>
    <row r="9660" spans="1:1">
      <c r="A9660" s="7" t="str">
        <f>IF('Document Workflow'!A9659&lt;&gt;"",'Document Workflow'!A9659,"")</f>
        <v/>
      </c>
    </row>
    <row r="9661" spans="1:1">
      <c r="A9661" s="7" t="str">
        <f>IF('Document Workflow'!A9660&lt;&gt;"",'Document Workflow'!A9660,"")</f>
        <v/>
      </c>
    </row>
    <row r="9662" spans="1:1">
      <c r="A9662" s="7" t="str">
        <f>IF('Document Workflow'!A9661&lt;&gt;"",'Document Workflow'!A9661,"")</f>
        <v/>
      </c>
    </row>
    <row r="9663" spans="1:1">
      <c r="A9663" s="7" t="str">
        <f>IF('Document Workflow'!A9662&lt;&gt;"",'Document Workflow'!A9662,"")</f>
        <v/>
      </c>
    </row>
    <row r="9664" spans="1:1">
      <c r="A9664" s="7" t="str">
        <f>IF('Document Workflow'!A9663&lt;&gt;"",'Document Workflow'!A9663,"")</f>
        <v/>
      </c>
    </row>
    <row r="9665" spans="1:1">
      <c r="A9665" s="7" t="str">
        <f>IF('Document Workflow'!A9664&lt;&gt;"",'Document Workflow'!A9664,"")</f>
        <v/>
      </c>
    </row>
    <row r="9666" spans="1:1">
      <c r="A9666" s="7" t="str">
        <f>IF('Document Workflow'!A9665&lt;&gt;"",'Document Workflow'!A9665,"")</f>
        <v/>
      </c>
    </row>
    <row r="9667" spans="1:1">
      <c r="A9667" s="7" t="str">
        <f>IF('Document Workflow'!A9666&lt;&gt;"",'Document Workflow'!A9666,"")</f>
        <v/>
      </c>
    </row>
    <row r="9668" spans="1:1">
      <c r="A9668" s="7" t="str">
        <f>IF('Document Workflow'!A9667&lt;&gt;"",'Document Workflow'!A9667,"")</f>
        <v/>
      </c>
    </row>
    <row r="9669" spans="1:1">
      <c r="A9669" s="7" t="str">
        <f>IF('Document Workflow'!A9668&lt;&gt;"",'Document Workflow'!A9668,"")</f>
        <v/>
      </c>
    </row>
    <row r="9670" spans="1:1">
      <c r="A9670" s="7" t="str">
        <f>IF('Document Workflow'!A9669&lt;&gt;"",'Document Workflow'!A9669,"")</f>
        <v/>
      </c>
    </row>
    <row r="9671" spans="1:1">
      <c r="A9671" s="7" t="str">
        <f>IF('Document Workflow'!A9670&lt;&gt;"",'Document Workflow'!A9670,"")</f>
        <v/>
      </c>
    </row>
    <row r="9672" spans="1:1">
      <c r="A9672" s="7" t="str">
        <f>IF('Document Workflow'!A9671&lt;&gt;"",'Document Workflow'!A9671,"")</f>
        <v/>
      </c>
    </row>
    <row r="9673" spans="1:1">
      <c r="A9673" s="7" t="str">
        <f>IF('Document Workflow'!A9672&lt;&gt;"",'Document Workflow'!A9672,"")</f>
        <v/>
      </c>
    </row>
    <row r="9674" spans="1:1">
      <c r="A9674" s="7" t="str">
        <f>IF('Document Workflow'!A9673&lt;&gt;"",'Document Workflow'!A9673,"")</f>
        <v/>
      </c>
    </row>
    <row r="9675" spans="1:1">
      <c r="A9675" s="7" t="str">
        <f>IF('Document Workflow'!A9674&lt;&gt;"",'Document Workflow'!A9674,"")</f>
        <v/>
      </c>
    </row>
    <row r="9676" spans="1:1">
      <c r="A9676" s="7" t="str">
        <f>IF('Document Workflow'!A9675&lt;&gt;"",'Document Workflow'!A9675,"")</f>
        <v/>
      </c>
    </row>
    <row r="9677" spans="1:1">
      <c r="A9677" s="7" t="str">
        <f>IF('Document Workflow'!A9676&lt;&gt;"",'Document Workflow'!A9676,"")</f>
        <v/>
      </c>
    </row>
    <row r="9678" spans="1:1">
      <c r="A9678" s="7" t="str">
        <f>IF('Document Workflow'!A9677&lt;&gt;"",'Document Workflow'!A9677,"")</f>
        <v/>
      </c>
    </row>
    <row r="9679" spans="1:1">
      <c r="A9679" s="7" t="str">
        <f>IF('Document Workflow'!A9678&lt;&gt;"",'Document Workflow'!A9678,"")</f>
        <v/>
      </c>
    </row>
    <row r="9680" spans="1:1">
      <c r="A9680" s="7" t="str">
        <f>IF('Document Workflow'!A9679&lt;&gt;"",'Document Workflow'!A9679,"")</f>
        <v/>
      </c>
    </row>
    <row r="9681" spans="1:1">
      <c r="A9681" s="7" t="str">
        <f>IF('Document Workflow'!A9680&lt;&gt;"",'Document Workflow'!A9680,"")</f>
        <v/>
      </c>
    </row>
    <row r="9682" spans="1:1">
      <c r="A9682" s="7" t="str">
        <f>IF('Document Workflow'!A9681&lt;&gt;"",'Document Workflow'!A9681,"")</f>
        <v/>
      </c>
    </row>
    <row r="9683" spans="1:1">
      <c r="A9683" s="7" t="str">
        <f>IF('Document Workflow'!A9682&lt;&gt;"",'Document Workflow'!A9682,"")</f>
        <v/>
      </c>
    </row>
    <row r="9684" spans="1:1">
      <c r="A9684" s="7" t="str">
        <f>IF('Document Workflow'!A9683&lt;&gt;"",'Document Workflow'!A9683,"")</f>
        <v/>
      </c>
    </row>
    <row r="9685" spans="1:1">
      <c r="A9685" s="7" t="str">
        <f>IF('Document Workflow'!A9684&lt;&gt;"",'Document Workflow'!A9684,"")</f>
        <v/>
      </c>
    </row>
    <row r="9686" spans="1:1">
      <c r="A9686" s="7" t="str">
        <f>IF('Document Workflow'!A9685&lt;&gt;"",'Document Workflow'!A9685,"")</f>
        <v/>
      </c>
    </row>
    <row r="9687" spans="1:1">
      <c r="A9687" s="7" t="str">
        <f>IF('Document Workflow'!A9686&lt;&gt;"",'Document Workflow'!A9686,"")</f>
        <v/>
      </c>
    </row>
    <row r="9688" spans="1:1">
      <c r="A9688" s="7" t="str">
        <f>IF('Document Workflow'!A9687&lt;&gt;"",'Document Workflow'!A9687,"")</f>
        <v/>
      </c>
    </row>
    <row r="9689" spans="1:1">
      <c r="A9689" s="7" t="str">
        <f>IF('Document Workflow'!A9688&lt;&gt;"",'Document Workflow'!A9688,"")</f>
        <v/>
      </c>
    </row>
    <row r="9690" spans="1:1">
      <c r="A9690" s="7" t="str">
        <f>IF('Document Workflow'!A9689&lt;&gt;"",'Document Workflow'!A9689,"")</f>
        <v/>
      </c>
    </row>
    <row r="9691" spans="1:1">
      <c r="A9691" s="7" t="str">
        <f>IF('Document Workflow'!A9690&lt;&gt;"",'Document Workflow'!A9690,"")</f>
        <v/>
      </c>
    </row>
    <row r="9692" spans="1:1">
      <c r="A9692" s="7" t="str">
        <f>IF('Document Workflow'!A9691&lt;&gt;"",'Document Workflow'!A9691,"")</f>
        <v/>
      </c>
    </row>
    <row r="9693" spans="1:1">
      <c r="A9693" s="7" t="str">
        <f>IF('Document Workflow'!A9692&lt;&gt;"",'Document Workflow'!A9692,"")</f>
        <v/>
      </c>
    </row>
    <row r="9694" spans="1:1">
      <c r="A9694" s="7" t="str">
        <f>IF('Document Workflow'!A9693&lt;&gt;"",'Document Workflow'!A9693,"")</f>
        <v/>
      </c>
    </row>
    <row r="9695" spans="1:1">
      <c r="A9695" s="7" t="str">
        <f>IF('Document Workflow'!A9694&lt;&gt;"",'Document Workflow'!A9694,"")</f>
        <v/>
      </c>
    </row>
    <row r="9696" spans="1:1">
      <c r="A9696" s="7" t="str">
        <f>IF('Document Workflow'!A9695&lt;&gt;"",'Document Workflow'!A9695,"")</f>
        <v/>
      </c>
    </row>
    <row r="9697" spans="1:1">
      <c r="A9697" s="7" t="str">
        <f>IF('Document Workflow'!A9696&lt;&gt;"",'Document Workflow'!A9696,"")</f>
        <v/>
      </c>
    </row>
    <row r="9698" spans="1:1">
      <c r="A9698" s="7" t="str">
        <f>IF('Document Workflow'!A9697&lt;&gt;"",'Document Workflow'!A9697,"")</f>
        <v/>
      </c>
    </row>
    <row r="9699" spans="1:1">
      <c r="A9699" s="7" t="str">
        <f>IF('Document Workflow'!A9698&lt;&gt;"",'Document Workflow'!A9698,"")</f>
        <v/>
      </c>
    </row>
    <row r="9700" spans="1:1">
      <c r="A9700" s="7" t="str">
        <f>IF('Document Workflow'!A9699&lt;&gt;"",'Document Workflow'!A9699,"")</f>
        <v/>
      </c>
    </row>
    <row r="9701" spans="1:1">
      <c r="A9701" s="7" t="str">
        <f>IF('Document Workflow'!A9700&lt;&gt;"",'Document Workflow'!A9700,"")</f>
        <v/>
      </c>
    </row>
    <row r="9702" spans="1:1">
      <c r="A9702" s="7" t="str">
        <f>IF('Document Workflow'!A9701&lt;&gt;"",'Document Workflow'!A9701,"")</f>
        <v/>
      </c>
    </row>
    <row r="9703" spans="1:1">
      <c r="A9703" s="7" t="str">
        <f>IF('Document Workflow'!A9702&lt;&gt;"",'Document Workflow'!A9702,"")</f>
        <v/>
      </c>
    </row>
    <row r="9704" spans="1:1">
      <c r="A9704" s="7" t="str">
        <f>IF('Document Workflow'!A9703&lt;&gt;"",'Document Workflow'!A9703,"")</f>
        <v/>
      </c>
    </row>
    <row r="9705" spans="1:1">
      <c r="A9705" s="7" t="str">
        <f>IF('Document Workflow'!A9704&lt;&gt;"",'Document Workflow'!A9704,"")</f>
        <v/>
      </c>
    </row>
    <row r="9706" spans="1:1">
      <c r="A9706" s="7" t="str">
        <f>IF('Document Workflow'!A9705&lt;&gt;"",'Document Workflow'!A9705,"")</f>
        <v/>
      </c>
    </row>
    <row r="9707" spans="1:1">
      <c r="A9707" s="7" t="str">
        <f>IF('Document Workflow'!A9706&lt;&gt;"",'Document Workflow'!A9706,"")</f>
        <v/>
      </c>
    </row>
    <row r="9708" spans="1:1">
      <c r="A9708" s="7" t="str">
        <f>IF('Document Workflow'!A9707&lt;&gt;"",'Document Workflow'!A9707,"")</f>
        <v/>
      </c>
    </row>
    <row r="9709" spans="1:1">
      <c r="A9709" s="7" t="str">
        <f>IF('Document Workflow'!A9708&lt;&gt;"",'Document Workflow'!A9708,"")</f>
        <v/>
      </c>
    </row>
    <row r="9710" spans="1:1">
      <c r="A9710" s="7" t="str">
        <f>IF('Document Workflow'!A9709&lt;&gt;"",'Document Workflow'!A9709,"")</f>
        <v/>
      </c>
    </row>
    <row r="9711" spans="1:1">
      <c r="A9711" s="7" t="str">
        <f>IF('Document Workflow'!A9710&lt;&gt;"",'Document Workflow'!A9710,"")</f>
        <v/>
      </c>
    </row>
    <row r="9712" spans="1:1">
      <c r="A9712" s="7" t="str">
        <f>IF('Document Workflow'!A9711&lt;&gt;"",'Document Workflow'!A9711,"")</f>
        <v/>
      </c>
    </row>
    <row r="9713" spans="1:1">
      <c r="A9713" s="7" t="str">
        <f>IF('Document Workflow'!A9712&lt;&gt;"",'Document Workflow'!A9712,"")</f>
        <v/>
      </c>
    </row>
    <row r="9714" spans="1:1">
      <c r="A9714" s="7" t="str">
        <f>IF('Document Workflow'!A9713&lt;&gt;"",'Document Workflow'!A9713,"")</f>
        <v/>
      </c>
    </row>
    <row r="9715" spans="1:1">
      <c r="A9715" s="7" t="str">
        <f>IF('Document Workflow'!A9714&lt;&gt;"",'Document Workflow'!A9714,"")</f>
        <v/>
      </c>
    </row>
    <row r="9716" spans="1:1">
      <c r="A9716" s="7" t="str">
        <f>IF('Document Workflow'!A9715&lt;&gt;"",'Document Workflow'!A9715,"")</f>
        <v/>
      </c>
    </row>
    <row r="9717" spans="1:1">
      <c r="A9717" s="7" t="str">
        <f>IF('Document Workflow'!A9716&lt;&gt;"",'Document Workflow'!A9716,"")</f>
        <v/>
      </c>
    </row>
    <row r="9718" spans="1:1">
      <c r="A9718" s="7" t="str">
        <f>IF('Document Workflow'!A9717&lt;&gt;"",'Document Workflow'!A9717,"")</f>
        <v/>
      </c>
    </row>
    <row r="9719" spans="1:1">
      <c r="A9719" s="7" t="str">
        <f>IF('Document Workflow'!A9718&lt;&gt;"",'Document Workflow'!A9718,"")</f>
        <v/>
      </c>
    </row>
    <row r="9720" spans="1:1">
      <c r="A9720" s="7" t="str">
        <f>IF('Document Workflow'!A9719&lt;&gt;"",'Document Workflow'!A9719,"")</f>
        <v/>
      </c>
    </row>
    <row r="9721" spans="1:1">
      <c r="A9721" s="7" t="str">
        <f>IF('Document Workflow'!A9720&lt;&gt;"",'Document Workflow'!A9720,"")</f>
        <v/>
      </c>
    </row>
    <row r="9722" spans="1:1">
      <c r="A9722" s="7" t="str">
        <f>IF('Document Workflow'!A9721&lt;&gt;"",'Document Workflow'!A9721,"")</f>
        <v/>
      </c>
    </row>
    <row r="9723" spans="1:1">
      <c r="A9723" s="7" t="str">
        <f>IF('Document Workflow'!A9722&lt;&gt;"",'Document Workflow'!A9722,"")</f>
        <v/>
      </c>
    </row>
    <row r="9724" spans="1:1">
      <c r="A9724" s="7" t="str">
        <f>IF('Document Workflow'!A9723&lt;&gt;"",'Document Workflow'!A9723,"")</f>
        <v/>
      </c>
    </row>
    <row r="9725" spans="1:1">
      <c r="A9725" s="7" t="str">
        <f>IF('Document Workflow'!A9724&lt;&gt;"",'Document Workflow'!A9724,"")</f>
        <v/>
      </c>
    </row>
    <row r="9726" spans="1:1">
      <c r="A9726" s="7" t="str">
        <f>IF('Document Workflow'!A9725&lt;&gt;"",'Document Workflow'!A9725,"")</f>
        <v/>
      </c>
    </row>
    <row r="9727" spans="1:1">
      <c r="A9727" s="7" t="str">
        <f>IF('Document Workflow'!A9726&lt;&gt;"",'Document Workflow'!A9726,"")</f>
        <v/>
      </c>
    </row>
    <row r="9728" spans="1:1">
      <c r="A9728" s="7" t="str">
        <f>IF('Document Workflow'!A9727&lt;&gt;"",'Document Workflow'!A9727,"")</f>
        <v/>
      </c>
    </row>
    <row r="9729" spans="1:1">
      <c r="A9729" s="7" t="str">
        <f>IF('Document Workflow'!A9728&lt;&gt;"",'Document Workflow'!A9728,"")</f>
        <v/>
      </c>
    </row>
    <row r="9730" spans="1:1">
      <c r="A9730" s="7" t="str">
        <f>IF('Document Workflow'!A9729&lt;&gt;"",'Document Workflow'!A9729,"")</f>
        <v/>
      </c>
    </row>
    <row r="9731" spans="1:1">
      <c r="A9731" s="7" t="str">
        <f>IF('Document Workflow'!A9730&lt;&gt;"",'Document Workflow'!A9730,"")</f>
        <v/>
      </c>
    </row>
    <row r="9732" spans="1:1">
      <c r="A9732" s="7" t="str">
        <f>IF('Document Workflow'!A9731&lt;&gt;"",'Document Workflow'!A9731,"")</f>
        <v/>
      </c>
    </row>
    <row r="9733" spans="1:1">
      <c r="A9733" s="7" t="str">
        <f>IF('Document Workflow'!A9732&lt;&gt;"",'Document Workflow'!A9732,"")</f>
        <v/>
      </c>
    </row>
    <row r="9734" spans="1:1">
      <c r="A9734" s="7" t="str">
        <f>IF('Document Workflow'!A9733&lt;&gt;"",'Document Workflow'!A9733,"")</f>
        <v/>
      </c>
    </row>
    <row r="9735" spans="1:1">
      <c r="A9735" s="7" t="str">
        <f>IF('Document Workflow'!A9734&lt;&gt;"",'Document Workflow'!A9734,"")</f>
        <v/>
      </c>
    </row>
    <row r="9736" spans="1:1">
      <c r="A9736" s="7" t="str">
        <f>IF('Document Workflow'!A9735&lt;&gt;"",'Document Workflow'!A9735,"")</f>
        <v/>
      </c>
    </row>
    <row r="9737" spans="1:1">
      <c r="A9737" s="7" t="str">
        <f>IF('Document Workflow'!A9736&lt;&gt;"",'Document Workflow'!A9736,"")</f>
        <v/>
      </c>
    </row>
    <row r="9738" spans="1:1">
      <c r="A9738" s="7" t="str">
        <f>IF('Document Workflow'!A9737&lt;&gt;"",'Document Workflow'!A9737,"")</f>
        <v/>
      </c>
    </row>
    <row r="9739" spans="1:1">
      <c r="A9739" s="7" t="str">
        <f>IF('Document Workflow'!A9738&lt;&gt;"",'Document Workflow'!A9738,"")</f>
        <v/>
      </c>
    </row>
    <row r="9740" spans="1:1">
      <c r="A9740" s="7" t="str">
        <f>IF('Document Workflow'!A9739&lt;&gt;"",'Document Workflow'!A9739,"")</f>
        <v/>
      </c>
    </row>
    <row r="9741" spans="1:1">
      <c r="A9741" s="7" t="str">
        <f>IF('Document Workflow'!A9740&lt;&gt;"",'Document Workflow'!A9740,"")</f>
        <v/>
      </c>
    </row>
    <row r="9742" spans="1:1">
      <c r="A9742" s="7" t="str">
        <f>IF('Document Workflow'!A9741&lt;&gt;"",'Document Workflow'!A9741,"")</f>
        <v/>
      </c>
    </row>
    <row r="9743" spans="1:1">
      <c r="A9743" s="7" t="str">
        <f>IF('Document Workflow'!A9742&lt;&gt;"",'Document Workflow'!A9742,"")</f>
        <v/>
      </c>
    </row>
    <row r="9744" spans="1:1">
      <c r="A9744" s="7" t="str">
        <f>IF('Document Workflow'!A9743&lt;&gt;"",'Document Workflow'!A9743,"")</f>
        <v/>
      </c>
    </row>
    <row r="9745" spans="1:1">
      <c r="A9745" s="7" t="str">
        <f>IF('Document Workflow'!A9744&lt;&gt;"",'Document Workflow'!A9744,"")</f>
        <v/>
      </c>
    </row>
    <row r="9746" spans="1:1">
      <c r="A9746" s="7" t="str">
        <f>IF('Document Workflow'!A9745&lt;&gt;"",'Document Workflow'!A9745,"")</f>
        <v/>
      </c>
    </row>
    <row r="9747" spans="1:1">
      <c r="A9747" s="7" t="str">
        <f>IF('Document Workflow'!A9746&lt;&gt;"",'Document Workflow'!A9746,"")</f>
        <v/>
      </c>
    </row>
    <row r="9748" spans="1:1">
      <c r="A9748" s="7" t="str">
        <f>IF('Document Workflow'!A9747&lt;&gt;"",'Document Workflow'!A9747,"")</f>
        <v/>
      </c>
    </row>
    <row r="9749" spans="1:1">
      <c r="A9749" s="7" t="str">
        <f>IF('Document Workflow'!A9748&lt;&gt;"",'Document Workflow'!A9748,"")</f>
        <v/>
      </c>
    </row>
    <row r="9750" spans="1:1">
      <c r="A9750" s="7" t="str">
        <f>IF('Document Workflow'!A9749&lt;&gt;"",'Document Workflow'!A9749,"")</f>
        <v/>
      </c>
    </row>
    <row r="9751" spans="1:1">
      <c r="A9751" s="7" t="str">
        <f>IF('Document Workflow'!A9750&lt;&gt;"",'Document Workflow'!A9750,"")</f>
        <v/>
      </c>
    </row>
    <row r="9752" spans="1:1">
      <c r="A9752" s="7" t="str">
        <f>IF('Document Workflow'!A9751&lt;&gt;"",'Document Workflow'!A9751,"")</f>
        <v/>
      </c>
    </row>
    <row r="9753" spans="1:1">
      <c r="A9753" s="7" t="str">
        <f>IF('Document Workflow'!A9752&lt;&gt;"",'Document Workflow'!A9752,"")</f>
        <v/>
      </c>
    </row>
    <row r="9754" spans="1:1">
      <c r="A9754" s="7" t="str">
        <f>IF('Document Workflow'!A9753&lt;&gt;"",'Document Workflow'!A9753,"")</f>
        <v/>
      </c>
    </row>
    <row r="9755" spans="1:1">
      <c r="A9755" s="7" t="str">
        <f>IF('Document Workflow'!A9754&lt;&gt;"",'Document Workflow'!A9754,"")</f>
        <v/>
      </c>
    </row>
    <row r="9756" spans="1:1">
      <c r="A9756" s="7" t="str">
        <f>IF('Document Workflow'!A9755&lt;&gt;"",'Document Workflow'!A9755,"")</f>
        <v/>
      </c>
    </row>
    <row r="9757" spans="1:1">
      <c r="A9757" s="7" t="str">
        <f>IF('Document Workflow'!A9756&lt;&gt;"",'Document Workflow'!A9756,"")</f>
        <v/>
      </c>
    </row>
    <row r="9758" spans="1:1">
      <c r="A9758" s="7" t="str">
        <f>IF('Document Workflow'!A9757&lt;&gt;"",'Document Workflow'!A9757,"")</f>
        <v/>
      </c>
    </row>
    <row r="9759" spans="1:1">
      <c r="A9759" s="7" t="str">
        <f>IF('Document Workflow'!A9758&lt;&gt;"",'Document Workflow'!A9758,"")</f>
        <v/>
      </c>
    </row>
    <row r="9760" spans="1:1">
      <c r="A9760" s="7" t="str">
        <f>IF('Document Workflow'!A9759&lt;&gt;"",'Document Workflow'!A9759,"")</f>
        <v/>
      </c>
    </row>
    <row r="9761" spans="1:1">
      <c r="A9761" s="7" t="str">
        <f>IF('Document Workflow'!A9760&lt;&gt;"",'Document Workflow'!A9760,"")</f>
        <v/>
      </c>
    </row>
    <row r="9762" spans="1:1">
      <c r="A9762" s="7" t="str">
        <f>IF('Document Workflow'!A9761&lt;&gt;"",'Document Workflow'!A9761,"")</f>
        <v/>
      </c>
    </row>
    <row r="9763" spans="1:1">
      <c r="A9763" s="7" t="str">
        <f>IF('Document Workflow'!A9762&lt;&gt;"",'Document Workflow'!A9762,"")</f>
        <v/>
      </c>
    </row>
    <row r="9764" spans="1:1">
      <c r="A9764" s="7" t="str">
        <f>IF('Document Workflow'!A9763&lt;&gt;"",'Document Workflow'!A9763,"")</f>
        <v/>
      </c>
    </row>
    <row r="9765" spans="1:1">
      <c r="A9765" s="7" t="str">
        <f>IF('Document Workflow'!A9764&lt;&gt;"",'Document Workflow'!A9764,"")</f>
        <v/>
      </c>
    </row>
    <row r="9766" spans="1:1">
      <c r="A9766" s="7" t="str">
        <f>IF('Document Workflow'!A9765&lt;&gt;"",'Document Workflow'!A9765,"")</f>
        <v/>
      </c>
    </row>
    <row r="9767" spans="1:1">
      <c r="A9767" s="7" t="str">
        <f>IF('Document Workflow'!A9766&lt;&gt;"",'Document Workflow'!A9766,"")</f>
        <v/>
      </c>
    </row>
    <row r="9768" spans="1:1">
      <c r="A9768" s="7" t="str">
        <f>IF('Document Workflow'!A9767&lt;&gt;"",'Document Workflow'!A9767,"")</f>
        <v/>
      </c>
    </row>
    <row r="9769" spans="1:1">
      <c r="A9769" s="7" t="str">
        <f>IF('Document Workflow'!A9768&lt;&gt;"",'Document Workflow'!A9768,"")</f>
        <v/>
      </c>
    </row>
    <row r="9770" spans="1:1">
      <c r="A9770" s="7" t="str">
        <f>IF('Document Workflow'!A9769&lt;&gt;"",'Document Workflow'!A9769,"")</f>
        <v/>
      </c>
    </row>
    <row r="9771" spans="1:1">
      <c r="A9771" s="7" t="str">
        <f>IF('Document Workflow'!A9770&lt;&gt;"",'Document Workflow'!A9770,"")</f>
        <v/>
      </c>
    </row>
    <row r="9772" spans="1:1">
      <c r="A9772" s="7" t="str">
        <f>IF('Document Workflow'!A9771&lt;&gt;"",'Document Workflow'!A9771,"")</f>
        <v/>
      </c>
    </row>
    <row r="9773" spans="1:1">
      <c r="A9773" s="7" t="str">
        <f>IF('Document Workflow'!A9772&lt;&gt;"",'Document Workflow'!A9772,"")</f>
        <v/>
      </c>
    </row>
    <row r="9774" spans="1:1">
      <c r="A9774" s="7" t="str">
        <f>IF('Document Workflow'!A9773&lt;&gt;"",'Document Workflow'!A9773,"")</f>
        <v/>
      </c>
    </row>
    <row r="9775" spans="1:1">
      <c r="A9775" s="7" t="str">
        <f>IF('Document Workflow'!A9774&lt;&gt;"",'Document Workflow'!A9774,"")</f>
        <v/>
      </c>
    </row>
    <row r="9776" spans="1:1">
      <c r="A9776" s="7" t="str">
        <f>IF('Document Workflow'!A9775&lt;&gt;"",'Document Workflow'!A9775,"")</f>
        <v/>
      </c>
    </row>
    <row r="9777" spans="1:1">
      <c r="A9777" s="7" t="str">
        <f>IF('Document Workflow'!A9776&lt;&gt;"",'Document Workflow'!A9776,"")</f>
        <v/>
      </c>
    </row>
    <row r="9778" spans="1:1">
      <c r="A9778" s="7" t="str">
        <f>IF('Document Workflow'!A9777&lt;&gt;"",'Document Workflow'!A9777,"")</f>
        <v/>
      </c>
    </row>
    <row r="9779" spans="1:1">
      <c r="A9779" s="7" t="str">
        <f>IF('Document Workflow'!A9778&lt;&gt;"",'Document Workflow'!A9778,"")</f>
        <v/>
      </c>
    </row>
    <row r="9780" spans="1:1">
      <c r="A9780" s="7" t="str">
        <f>IF('Document Workflow'!A9779&lt;&gt;"",'Document Workflow'!A9779,"")</f>
        <v/>
      </c>
    </row>
    <row r="9781" spans="1:1">
      <c r="A9781" s="7" t="str">
        <f>IF('Document Workflow'!A9780&lt;&gt;"",'Document Workflow'!A9780,"")</f>
        <v/>
      </c>
    </row>
    <row r="9782" spans="1:1">
      <c r="A9782" s="7" t="str">
        <f>IF('Document Workflow'!A9781&lt;&gt;"",'Document Workflow'!A9781,"")</f>
        <v/>
      </c>
    </row>
    <row r="9783" spans="1:1">
      <c r="A9783" s="7" t="str">
        <f>IF('Document Workflow'!A9782&lt;&gt;"",'Document Workflow'!A9782,"")</f>
        <v/>
      </c>
    </row>
    <row r="9784" spans="1:1">
      <c r="A9784" s="7" t="str">
        <f>IF('Document Workflow'!A9783&lt;&gt;"",'Document Workflow'!A9783,"")</f>
        <v/>
      </c>
    </row>
    <row r="9785" spans="1:1">
      <c r="A9785" s="7" t="str">
        <f>IF('Document Workflow'!A9784&lt;&gt;"",'Document Workflow'!A9784,"")</f>
        <v/>
      </c>
    </row>
    <row r="9786" spans="1:1">
      <c r="A9786" s="7" t="str">
        <f>IF('Document Workflow'!A9785&lt;&gt;"",'Document Workflow'!A9785,"")</f>
        <v/>
      </c>
    </row>
    <row r="9787" spans="1:1">
      <c r="A9787" s="7" t="str">
        <f>IF('Document Workflow'!A9786&lt;&gt;"",'Document Workflow'!A9786,"")</f>
        <v/>
      </c>
    </row>
    <row r="9788" spans="1:1">
      <c r="A9788" s="7" t="str">
        <f>IF('Document Workflow'!A9787&lt;&gt;"",'Document Workflow'!A9787,"")</f>
        <v/>
      </c>
    </row>
    <row r="9789" spans="1:1">
      <c r="A9789" s="7" t="str">
        <f>IF('Document Workflow'!A9788&lt;&gt;"",'Document Workflow'!A9788,"")</f>
        <v/>
      </c>
    </row>
    <row r="9790" spans="1:1">
      <c r="A9790" s="7" t="str">
        <f>IF('Document Workflow'!A9789&lt;&gt;"",'Document Workflow'!A9789,"")</f>
        <v/>
      </c>
    </row>
    <row r="9791" spans="1:1">
      <c r="A9791" s="7" t="str">
        <f>IF('Document Workflow'!A9790&lt;&gt;"",'Document Workflow'!A9790,"")</f>
        <v/>
      </c>
    </row>
    <row r="9792" spans="1:1">
      <c r="A9792" s="7" t="str">
        <f>IF('Document Workflow'!A9791&lt;&gt;"",'Document Workflow'!A9791,"")</f>
        <v/>
      </c>
    </row>
    <row r="9793" spans="1:1">
      <c r="A9793" s="7" t="str">
        <f>IF('Document Workflow'!A9792&lt;&gt;"",'Document Workflow'!A9792,"")</f>
        <v/>
      </c>
    </row>
    <row r="9794" spans="1:1">
      <c r="A9794" s="7" t="str">
        <f>IF('Document Workflow'!A9793&lt;&gt;"",'Document Workflow'!A9793,"")</f>
        <v/>
      </c>
    </row>
    <row r="9795" spans="1:1">
      <c r="A9795" s="7" t="str">
        <f>IF('Document Workflow'!A9794&lt;&gt;"",'Document Workflow'!A9794,"")</f>
        <v/>
      </c>
    </row>
    <row r="9796" spans="1:1">
      <c r="A9796" s="7" t="str">
        <f>IF('Document Workflow'!A9795&lt;&gt;"",'Document Workflow'!A9795,"")</f>
        <v/>
      </c>
    </row>
    <row r="9797" spans="1:1">
      <c r="A9797" s="7" t="str">
        <f>IF('Document Workflow'!A9796&lt;&gt;"",'Document Workflow'!A9796,"")</f>
        <v/>
      </c>
    </row>
    <row r="9798" spans="1:1">
      <c r="A9798" s="7" t="str">
        <f>IF('Document Workflow'!A9797&lt;&gt;"",'Document Workflow'!A9797,"")</f>
        <v/>
      </c>
    </row>
    <row r="9799" spans="1:1">
      <c r="A9799" s="7" t="str">
        <f>IF('Document Workflow'!A9798&lt;&gt;"",'Document Workflow'!A9798,"")</f>
        <v/>
      </c>
    </row>
    <row r="9800" spans="1:1">
      <c r="A9800" s="7" t="str">
        <f>IF('Document Workflow'!A9799&lt;&gt;"",'Document Workflow'!A9799,"")</f>
        <v/>
      </c>
    </row>
    <row r="9801" spans="1:1">
      <c r="A9801" s="7" t="str">
        <f>IF('Document Workflow'!A9800&lt;&gt;"",'Document Workflow'!A9800,"")</f>
        <v/>
      </c>
    </row>
    <row r="9802" spans="1:1">
      <c r="A9802" s="7" t="str">
        <f>IF('Document Workflow'!A9801&lt;&gt;"",'Document Workflow'!A9801,"")</f>
        <v/>
      </c>
    </row>
    <row r="9803" spans="1:1">
      <c r="A9803" s="7" t="str">
        <f>IF('Document Workflow'!A9802&lt;&gt;"",'Document Workflow'!A9802,"")</f>
        <v/>
      </c>
    </row>
    <row r="9804" spans="1:1">
      <c r="A9804" s="7" t="str">
        <f>IF('Document Workflow'!A9803&lt;&gt;"",'Document Workflow'!A9803,"")</f>
        <v/>
      </c>
    </row>
    <row r="9805" spans="1:1">
      <c r="A9805" s="7" t="str">
        <f>IF('Document Workflow'!A9804&lt;&gt;"",'Document Workflow'!A9804,"")</f>
        <v/>
      </c>
    </row>
    <row r="9806" spans="1:1">
      <c r="A9806" s="7" t="str">
        <f>IF('Document Workflow'!A9805&lt;&gt;"",'Document Workflow'!A9805,"")</f>
        <v/>
      </c>
    </row>
    <row r="9807" spans="1:1">
      <c r="A9807" s="7" t="str">
        <f>IF('Document Workflow'!A9806&lt;&gt;"",'Document Workflow'!A9806,"")</f>
        <v/>
      </c>
    </row>
    <row r="9808" spans="1:1">
      <c r="A9808" s="7" t="str">
        <f>IF('Document Workflow'!A9807&lt;&gt;"",'Document Workflow'!A9807,"")</f>
        <v/>
      </c>
    </row>
    <row r="9809" spans="1:1">
      <c r="A9809" s="7" t="str">
        <f>IF('Document Workflow'!A9808&lt;&gt;"",'Document Workflow'!A9808,"")</f>
        <v/>
      </c>
    </row>
    <row r="9810" spans="1:1">
      <c r="A9810" s="7" t="str">
        <f>IF('Document Workflow'!A9809&lt;&gt;"",'Document Workflow'!A9809,"")</f>
        <v/>
      </c>
    </row>
    <row r="9811" spans="1:1">
      <c r="A9811" s="7" t="str">
        <f>IF('Document Workflow'!A9810&lt;&gt;"",'Document Workflow'!A9810,"")</f>
        <v/>
      </c>
    </row>
    <row r="9812" spans="1:1">
      <c r="A9812" s="7" t="str">
        <f>IF('Document Workflow'!A9811&lt;&gt;"",'Document Workflow'!A9811,"")</f>
        <v/>
      </c>
    </row>
    <row r="9813" spans="1:1">
      <c r="A9813" s="7" t="str">
        <f>IF('Document Workflow'!A9812&lt;&gt;"",'Document Workflow'!A9812,"")</f>
        <v/>
      </c>
    </row>
    <row r="9814" spans="1:1">
      <c r="A9814" s="7" t="str">
        <f>IF('Document Workflow'!A9813&lt;&gt;"",'Document Workflow'!A9813,"")</f>
        <v/>
      </c>
    </row>
    <row r="9815" spans="1:1">
      <c r="A9815" s="7" t="str">
        <f>IF('Document Workflow'!A9814&lt;&gt;"",'Document Workflow'!A9814,"")</f>
        <v/>
      </c>
    </row>
    <row r="9816" spans="1:1">
      <c r="A9816" s="7" t="str">
        <f>IF('Document Workflow'!A9815&lt;&gt;"",'Document Workflow'!A9815,"")</f>
        <v/>
      </c>
    </row>
    <row r="9817" spans="1:1">
      <c r="A9817" s="7" t="str">
        <f>IF('Document Workflow'!A9816&lt;&gt;"",'Document Workflow'!A9816,"")</f>
        <v/>
      </c>
    </row>
    <row r="9818" spans="1:1">
      <c r="A9818" s="7" t="str">
        <f>IF('Document Workflow'!A9817&lt;&gt;"",'Document Workflow'!A9817,"")</f>
        <v/>
      </c>
    </row>
    <row r="9819" spans="1:1">
      <c r="A9819" s="7" t="str">
        <f>IF('Document Workflow'!A9818&lt;&gt;"",'Document Workflow'!A9818,"")</f>
        <v/>
      </c>
    </row>
    <row r="9820" spans="1:1">
      <c r="A9820" s="7" t="str">
        <f>IF('Document Workflow'!A9819&lt;&gt;"",'Document Workflow'!A9819,"")</f>
        <v/>
      </c>
    </row>
    <row r="9821" spans="1:1">
      <c r="A9821" s="7" t="str">
        <f>IF('Document Workflow'!A9820&lt;&gt;"",'Document Workflow'!A9820,"")</f>
        <v/>
      </c>
    </row>
    <row r="9822" spans="1:1">
      <c r="A9822" s="7" t="str">
        <f>IF('Document Workflow'!A9821&lt;&gt;"",'Document Workflow'!A9821,"")</f>
        <v/>
      </c>
    </row>
    <row r="9823" spans="1:1">
      <c r="A9823" s="7" t="str">
        <f>IF('Document Workflow'!A9822&lt;&gt;"",'Document Workflow'!A9822,"")</f>
        <v/>
      </c>
    </row>
    <row r="9824" spans="1:1">
      <c r="A9824" s="7" t="str">
        <f>IF('Document Workflow'!A9823&lt;&gt;"",'Document Workflow'!A9823,"")</f>
        <v/>
      </c>
    </row>
    <row r="9825" spans="1:1">
      <c r="A9825" s="7" t="str">
        <f>IF('Document Workflow'!A9824&lt;&gt;"",'Document Workflow'!A9824,"")</f>
        <v/>
      </c>
    </row>
    <row r="9826" spans="1:1">
      <c r="A9826" s="7" t="str">
        <f>IF('Document Workflow'!A9825&lt;&gt;"",'Document Workflow'!A9825,"")</f>
        <v/>
      </c>
    </row>
    <row r="9827" spans="1:1">
      <c r="A9827" s="7" t="str">
        <f>IF('Document Workflow'!A9826&lt;&gt;"",'Document Workflow'!A9826,"")</f>
        <v/>
      </c>
    </row>
    <row r="9828" spans="1:1">
      <c r="A9828" s="7" t="str">
        <f>IF('Document Workflow'!A9827&lt;&gt;"",'Document Workflow'!A9827,"")</f>
        <v/>
      </c>
    </row>
    <row r="9829" spans="1:1">
      <c r="A9829" s="7" t="str">
        <f>IF('Document Workflow'!A9828&lt;&gt;"",'Document Workflow'!A9828,"")</f>
        <v/>
      </c>
    </row>
    <row r="9830" spans="1:1">
      <c r="A9830" s="7" t="str">
        <f>IF('Document Workflow'!A9829&lt;&gt;"",'Document Workflow'!A9829,"")</f>
        <v/>
      </c>
    </row>
    <row r="9831" spans="1:1">
      <c r="A9831" s="7" t="str">
        <f>IF('Document Workflow'!A9830&lt;&gt;"",'Document Workflow'!A9830,"")</f>
        <v/>
      </c>
    </row>
    <row r="9832" spans="1:1">
      <c r="A9832" s="7" t="str">
        <f>IF('Document Workflow'!A9831&lt;&gt;"",'Document Workflow'!A9831,"")</f>
        <v/>
      </c>
    </row>
    <row r="9833" spans="1:1">
      <c r="A9833" s="7" t="str">
        <f>IF('Document Workflow'!A9832&lt;&gt;"",'Document Workflow'!A9832,"")</f>
        <v/>
      </c>
    </row>
    <row r="9834" spans="1:1">
      <c r="A9834" s="7" t="str">
        <f>IF('Document Workflow'!A9833&lt;&gt;"",'Document Workflow'!A9833,"")</f>
        <v/>
      </c>
    </row>
    <row r="9835" spans="1:1">
      <c r="A9835" s="7" t="str">
        <f>IF('Document Workflow'!A9834&lt;&gt;"",'Document Workflow'!A9834,"")</f>
        <v/>
      </c>
    </row>
    <row r="9836" spans="1:1">
      <c r="A9836" s="7" t="str">
        <f>IF('Document Workflow'!A9835&lt;&gt;"",'Document Workflow'!A9835,"")</f>
        <v/>
      </c>
    </row>
    <row r="9837" spans="1:1">
      <c r="A9837" s="7" t="str">
        <f>IF('Document Workflow'!A9836&lt;&gt;"",'Document Workflow'!A9836,"")</f>
        <v/>
      </c>
    </row>
    <row r="9838" spans="1:1">
      <c r="A9838" s="7" t="str">
        <f>IF('Document Workflow'!A9837&lt;&gt;"",'Document Workflow'!A9837,"")</f>
        <v/>
      </c>
    </row>
    <row r="9839" spans="1:1">
      <c r="A9839" s="7" t="str">
        <f>IF('Document Workflow'!A9838&lt;&gt;"",'Document Workflow'!A9838,"")</f>
        <v/>
      </c>
    </row>
    <row r="9840" spans="1:1">
      <c r="A9840" s="7" t="str">
        <f>IF('Document Workflow'!A9839&lt;&gt;"",'Document Workflow'!A9839,"")</f>
        <v/>
      </c>
    </row>
    <row r="9841" spans="1:1">
      <c r="A9841" s="7" t="str">
        <f>IF('Document Workflow'!A9840&lt;&gt;"",'Document Workflow'!A9840,"")</f>
        <v/>
      </c>
    </row>
    <row r="9842" spans="1:1">
      <c r="A9842" s="7" t="str">
        <f>IF('Document Workflow'!A9841&lt;&gt;"",'Document Workflow'!A9841,"")</f>
        <v/>
      </c>
    </row>
    <row r="9843" spans="1:1">
      <c r="A9843" s="7" t="str">
        <f>IF('Document Workflow'!A9842&lt;&gt;"",'Document Workflow'!A9842,"")</f>
        <v/>
      </c>
    </row>
    <row r="9844" spans="1:1">
      <c r="A9844" s="7" t="str">
        <f>IF('Document Workflow'!A9843&lt;&gt;"",'Document Workflow'!A9843,"")</f>
        <v/>
      </c>
    </row>
    <row r="9845" spans="1:1">
      <c r="A9845" s="7" t="str">
        <f>IF('Document Workflow'!A9844&lt;&gt;"",'Document Workflow'!A9844,"")</f>
        <v/>
      </c>
    </row>
    <row r="9846" spans="1:1">
      <c r="A9846" s="7" t="str">
        <f>IF('Document Workflow'!A9845&lt;&gt;"",'Document Workflow'!A9845,"")</f>
        <v/>
      </c>
    </row>
    <row r="9847" spans="1:1">
      <c r="A9847" s="7" t="str">
        <f>IF('Document Workflow'!A9846&lt;&gt;"",'Document Workflow'!A9846,"")</f>
        <v/>
      </c>
    </row>
    <row r="9848" spans="1:1">
      <c r="A9848" s="7" t="str">
        <f>IF('Document Workflow'!A9847&lt;&gt;"",'Document Workflow'!A9847,"")</f>
        <v/>
      </c>
    </row>
    <row r="9849" spans="1:1">
      <c r="A9849" s="7" t="str">
        <f>IF('Document Workflow'!A9848&lt;&gt;"",'Document Workflow'!A9848,"")</f>
        <v/>
      </c>
    </row>
    <row r="9850" spans="1:1">
      <c r="A9850" s="7" t="str">
        <f>IF('Document Workflow'!A9849&lt;&gt;"",'Document Workflow'!A9849,"")</f>
        <v/>
      </c>
    </row>
    <row r="9851" spans="1:1">
      <c r="A9851" s="7" t="str">
        <f>IF('Document Workflow'!A9850&lt;&gt;"",'Document Workflow'!A9850,"")</f>
        <v/>
      </c>
    </row>
    <row r="9852" spans="1:1">
      <c r="A9852" s="7" t="str">
        <f>IF('Document Workflow'!A9851&lt;&gt;"",'Document Workflow'!A9851,"")</f>
        <v/>
      </c>
    </row>
    <row r="9853" spans="1:1">
      <c r="A9853" s="7" t="str">
        <f>IF('Document Workflow'!A9852&lt;&gt;"",'Document Workflow'!A9852,"")</f>
        <v/>
      </c>
    </row>
    <row r="9854" spans="1:1">
      <c r="A9854" s="7" t="str">
        <f>IF('Document Workflow'!A9853&lt;&gt;"",'Document Workflow'!A9853,"")</f>
        <v/>
      </c>
    </row>
    <row r="9855" spans="1:1">
      <c r="A9855" s="7" t="str">
        <f>IF('Document Workflow'!A9854&lt;&gt;"",'Document Workflow'!A9854,"")</f>
        <v/>
      </c>
    </row>
    <row r="9856" spans="1:1">
      <c r="A9856" s="7" t="str">
        <f>IF('Document Workflow'!A9855&lt;&gt;"",'Document Workflow'!A9855,"")</f>
        <v/>
      </c>
    </row>
    <row r="9857" spans="1:1">
      <c r="A9857" s="7" t="str">
        <f>IF('Document Workflow'!A9856&lt;&gt;"",'Document Workflow'!A9856,"")</f>
        <v/>
      </c>
    </row>
    <row r="9858" spans="1:1">
      <c r="A9858" s="7" t="str">
        <f>IF('Document Workflow'!A9857&lt;&gt;"",'Document Workflow'!A9857,"")</f>
        <v/>
      </c>
    </row>
    <row r="9859" spans="1:1">
      <c r="A9859" s="7" t="str">
        <f>IF('Document Workflow'!A9858&lt;&gt;"",'Document Workflow'!A9858,"")</f>
        <v/>
      </c>
    </row>
    <row r="9860" spans="1:1">
      <c r="A9860" s="7" t="str">
        <f>IF('Document Workflow'!A9859&lt;&gt;"",'Document Workflow'!A9859,"")</f>
        <v/>
      </c>
    </row>
    <row r="9861" spans="1:1">
      <c r="A9861" s="7" t="str">
        <f>IF('Document Workflow'!A9860&lt;&gt;"",'Document Workflow'!A9860,"")</f>
        <v/>
      </c>
    </row>
    <row r="9862" spans="1:1">
      <c r="A9862" s="7" t="str">
        <f>IF('Document Workflow'!A9861&lt;&gt;"",'Document Workflow'!A9861,"")</f>
        <v/>
      </c>
    </row>
    <row r="9863" spans="1:1">
      <c r="A9863" s="7" t="str">
        <f>IF('Document Workflow'!A9862&lt;&gt;"",'Document Workflow'!A9862,"")</f>
        <v/>
      </c>
    </row>
    <row r="9864" spans="1:1">
      <c r="A9864" s="7" t="str">
        <f>IF('Document Workflow'!A9863&lt;&gt;"",'Document Workflow'!A9863,"")</f>
        <v/>
      </c>
    </row>
    <row r="9865" spans="1:1">
      <c r="A9865" s="7" t="str">
        <f>IF('Document Workflow'!A9864&lt;&gt;"",'Document Workflow'!A9864,"")</f>
        <v/>
      </c>
    </row>
    <row r="9866" spans="1:1">
      <c r="A9866" s="7" t="str">
        <f>IF('Document Workflow'!A9865&lt;&gt;"",'Document Workflow'!A9865,"")</f>
        <v/>
      </c>
    </row>
    <row r="9867" spans="1:1">
      <c r="A9867" s="7" t="str">
        <f>IF('Document Workflow'!A9866&lt;&gt;"",'Document Workflow'!A9866,"")</f>
        <v/>
      </c>
    </row>
    <row r="9868" spans="1:1">
      <c r="A9868" s="7" t="str">
        <f>IF('Document Workflow'!A9867&lt;&gt;"",'Document Workflow'!A9867,"")</f>
        <v/>
      </c>
    </row>
    <row r="9869" spans="1:1">
      <c r="A9869" s="7" t="str">
        <f>IF('Document Workflow'!A9868&lt;&gt;"",'Document Workflow'!A9868,"")</f>
        <v/>
      </c>
    </row>
    <row r="9870" spans="1:1">
      <c r="A9870" s="7" t="str">
        <f>IF('Document Workflow'!A9869&lt;&gt;"",'Document Workflow'!A9869,"")</f>
        <v/>
      </c>
    </row>
    <row r="9871" spans="1:1">
      <c r="A9871" s="7" t="str">
        <f>IF('Document Workflow'!A9870&lt;&gt;"",'Document Workflow'!A9870,"")</f>
        <v/>
      </c>
    </row>
    <row r="9872" spans="1:1">
      <c r="A9872" s="7" t="str">
        <f>IF('Document Workflow'!A9871&lt;&gt;"",'Document Workflow'!A9871,"")</f>
        <v/>
      </c>
    </row>
    <row r="9873" spans="1:1">
      <c r="A9873" s="7" t="str">
        <f>IF('Document Workflow'!A9872&lt;&gt;"",'Document Workflow'!A9872,"")</f>
        <v/>
      </c>
    </row>
    <row r="9874" spans="1:1">
      <c r="A9874" s="7" t="str">
        <f>IF('Document Workflow'!A9873&lt;&gt;"",'Document Workflow'!A9873,"")</f>
        <v/>
      </c>
    </row>
    <row r="9875" spans="1:1">
      <c r="A9875" s="7" t="str">
        <f>IF('Document Workflow'!A9874&lt;&gt;"",'Document Workflow'!A9874,"")</f>
        <v/>
      </c>
    </row>
    <row r="9876" spans="1:1">
      <c r="A9876" s="7" t="str">
        <f>IF('Document Workflow'!A9875&lt;&gt;"",'Document Workflow'!A9875,"")</f>
        <v/>
      </c>
    </row>
    <row r="9877" spans="1:1">
      <c r="A9877" s="7" t="str">
        <f>IF('Document Workflow'!A9876&lt;&gt;"",'Document Workflow'!A9876,"")</f>
        <v/>
      </c>
    </row>
    <row r="9878" spans="1:1">
      <c r="A9878" s="7" t="str">
        <f>IF('Document Workflow'!A9877&lt;&gt;"",'Document Workflow'!A9877,"")</f>
        <v/>
      </c>
    </row>
    <row r="9879" spans="1:1">
      <c r="A9879" s="7" t="str">
        <f>IF('Document Workflow'!A9878&lt;&gt;"",'Document Workflow'!A9878,"")</f>
        <v/>
      </c>
    </row>
    <row r="9880" spans="1:1">
      <c r="A9880" s="7" t="str">
        <f>IF('Document Workflow'!A9879&lt;&gt;"",'Document Workflow'!A9879,"")</f>
        <v/>
      </c>
    </row>
    <row r="9881" spans="1:1">
      <c r="A9881" s="7" t="str">
        <f>IF('Document Workflow'!A9880&lt;&gt;"",'Document Workflow'!A9880,"")</f>
        <v/>
      </c>
    </row>
    <row r="9882" spans="1:1">
      <c r="A9882" s="7" t="str">
        <f>IF('Document Workflow'!A9881&lt;&gt;"",'Document Workflow'!A9881,"")</f>
        <v/>
      </c>
    </row>
    <row r="9883" spans="1:1">
      <c r="A9883" s="7" t="str">
        <f>IF('Document Workflow'!A9882&lt;&gt;"",'Document Workflow'!A9882,"")</f>
        <v/>
      </c>
    </row>
    <row r="9884" spans="1:1">
      <c r="A9884" s="7" t="str">
        <f>IF('Document Workflow'!A9883&lt;&gt;"",'Document Workflow'!A9883,"")</f>
        <v/>
      </c>
    </row>
    <row r="9885" spans="1:1">
      <c r="A9885" s="7" t="str">
        <f>IF('Document Workflow'!A9884&lt;&gt;"",'Document Workflow'!A9884,"")</f>
        <v/>
      </c>
    </row>
    <row r="9886" spans="1:1">
      <c r="A9886" s="7" t="str">
        <f>IF('Document Workflow'!A9885&lt;&gt;"",'Document Workflow'!A9885,"")</f>
        <v/>
      </c>
    </row>
    <row r="9887" spans="1:1">
      <c r="A9887" s="7" t="str">
        <f>IF('Document Workflow'!A9886&lt;&gt;"",'Document Workflow'!A9886,"")</f>
        <v/>
      </c>
    </row>
    <row r="9888" spans="1:1">
      <c r="A9888" s="7" t="str">
        <f>IF('Document Workflow'!A9887&lt;&gt;"",'Document Workflow'!A9887,"")</f>
        <v/>
      </c>
    </row>
    <row r="9889" spans="1:1">
      <c r="A9889" s="7" t="str">
        <f>IF('Document Workflow'!A9888&lt;&gt;"",'Document Workflow'!A9888,"")</f>
        <v/>
      </c>
    </row>
    <row r="9890" spans="1:1">
      <c r="A9890" s="7" t="str">
        <f>IF('Document Workflow'!A9889&lt;&gt;"",'Document Workflow'!A9889,"")</f>
        <v/>
      </c>
    </row>
    <row r="9891" spans="1:1">
      <c r="A9891" s="7" t="str">
        <f>IF('Document Workflow'!A9890&lt;&gt;"",'Document Workflow'!A9890,"")</f>
        <v/>
      </c>
    </row>
    <row r="9892" spans="1:1">
      <c r="A9892" s="7" t="str">
        <f>IF('Document Workflow'!A9891&lt;&gt;"",'Document Workflow'!A9891,"")</f>
        <v/>
      </c>
    </row>
    <row r="9893" spans="1:1">
      <c r="A9893" s="7" t="str">
        <f>IF('Document Workflow'!A9892&lt;&gt;"",'Document Workflow'!A9892,"")</f>
        <v/>
      </c>
    </row>
    <row r="9894" spans="1:1">
      <c r="A9894" s="7" t="str">
        <f>IF('Document Workflow'!A9893&lt;&gt;"",'Document Workflow'!A9893,"")</f>
        <v/>
      </c>
    </row>
    <row r="9895" spans="1:1">
      <c r="A9895" s="7" t="str">
        <f>IF('Document Workflow'!A9894&lt;&gt;"",'Document Workflow'!A9894,"")</f>
        <v/>
      </c>
    </row>
    <row r="9896" spans="1:1">
      <c r="A9896" s="7" t="str">
        <f>IF('Document Workflow'!A9895&lt;&gt;"",'Document Workflow'!A9895,"")</f>
        <v/>
      </c>
    </row>
    <row r="9897" spans="1:1">
      <c r="A9897" s="7" t="str">
        <f>IF('Document Workflow'!A9896&lt;&gt;"",'Document Workflow'!A9896,"")</f>
        <v/>
      </c>
    </row>
    <row r="9898" spans="1:1">
      <c r="A9898" s="7" t="str">
        <f>IF('Document Workflow'!A9897&lt;&gt;"",'Document Workflow'!A9897,"")</f>
        <v/>
      </c>
    </row>
    <row r="9899" spans="1:1">
      <c r="A9899" s="7" t="str">
        <f>IF('Document Workflow'!A9898&lt;&gt;"",'Document Workflow'!A9898,"")</f>
        <v/>
      </c>
    </row>
    <row r="9900" spans="1:1">
      <c r="A9900" s="7" t="str">
        <f>IF('Document Workflow'!A9899&lt;&gt;"",'Document Workflow'!A9899,"")</f>
        <v/>
      </c>
    </row>
    <row r="9901" spans="1:1">
      <c r="A9901" s="7" t="str">
        <f>IF('Document Workflow'!A9900&lt;&gt;"",'Document Workflow'!A9900,"")</f>
        <v/>
      </c>
    </row>
    <row r="9902" spans="1:1">
      <c r="A9902" s="7" t="str">
        <f>IF('Document Workflow'!A9901&lt;&gt;"",'Document Workflow'!A9901,"")</f>
        <v/>
      </c>
    </row>
    <row r="9903" spans="1:1">
      <c r="A9903" s="7" t="str">
        <f>IF('Document Workflow'!A9902&lt;&gt;"",'Document Workflow'!A9902,"")</f>
        <v/>
      </c>
    </row>
    <row r="9904" spans="1:1">
      <c r="A9904" s="7" t="str">
        <f>IF('Document Workflow'!A9903&lt;&gt;"",'Document Workflow'!A9903,"")</f>
        <v/>
      </c>
    </row>
    <row r="9905" spans="1:1">
      <c r="A9905" s="7" t="str">
        <f>IF('Document Workflow'!A9904&lt;&gt;"",'Document Workflow'!A9904,"")</f>
        <v/>
      </c>
    </row>
    <row r="9906" spans="1:1">
      <c r="A9906" s="7" t="str">
        <f>IF('Document Workflow'!A9905&lt;&gt;"",'Document Workflow'!A9905,"")</f>
        <v/>
      </c>
    </row>
    <row r="9907" spans="1:1">
      <c r="A9907" s="7" t="str">
        <f>IF('Document Workflow'!A9906&lt;&gt;"",'Document Workflow'!A9906,"")</f>
        <v/>
      </c>
    </row>
    <row r="9908" spans="1:1">
      <c r="A9908" s="7" t="str">
        <f>IF('Document Workflow'!A9907&lt;&gt;"",'Document Workflow'!A9907,"")</f>
        <v/>
      </c>
    </row>
    <row r="9909" spans="1:1">
      <c r="A9909" s="7" t="str">
        <f>IF('Document Workflow'!A9908&lt;&gt;"",'Document Workflow'!A9908,"")</f>
        <v/>
      </c>
    </row>
    <row r="9910" spans="1:1">
      <c r="A9910" s="7" t="str">
        <f>IF('Document Workflow'!A9909&lt;&gt;"",'Document Workflow'!A9909,"")</f>
        <v/>
      </c>
    </row>
    <row r="9911" spans="1:1">
      <c r="A9911" s="7" t="str">
        <f>IF('Document Workflow'!A9910&lt;&gt;"",'Document Workflow'!A9910,"")</f>
        <v/>
      </c>
    </row>
    <row r="9912" spans="1:1">
      <c r="A9912" s="7" t="str">
        <f>IF('Document Workflow'!A9911&lt;&gt;"",'Document Workflow'!A9911,"")</f>
        <v/>
      </c>
    </row>
    <row r="9913" spans="1:1">
      <c r="A9913" s="7" t="str">
        <f>IF('Document Workflow'!A9912&lt;&gt;"",'Document Workflow'!A9912,"")</f>
        <v/>
      </c>
    </row>
    <row r="9914" spans="1:1">
      <c r="A9914" s="7" t="str">
        <f>IF('Document Workflow'!A9913&lt;&gt;"",'Document Workflow'!A9913,"")</f>
        <v/>
      </c>
    </row>
    <row r="9915" spans="1:1">
      <c r="A9915" s="7" t="str">
        <f>IF('Document Workflow'!A9914&lt;&gt;"",'Document Workflow'!A9914,"")</f>
        <v/>
      </c>
    </row>
    <row r="9916" spans="1:1">
      <c r="A9916" s="7" t="str">
        <f>IF('Document Workflow'!A9915&lt;&gt;"",'Document Workflow'!A9915,"")</f>
        <v/>
      </c>
    </row>
    <row r="9917" spans="1:1">
      <c r="A9917" s="7" t="str">
        <f>IF('Document Workflow'!A9916&lt;&gt;"",'Document Workflow'!A9916,"")</f>
        <v/>
      </c>
    </row>
    <row r="9918" spans="1:1">
      <c r="A9918" s="7" t="str">
        <f>IF('Document Workflow'!A9917&lt;&gt;"",'Document Workflow'!A9917,"")</f>
        <v/>
      </c>
    </row>
    <row r="9919" spans="1:1">
      <c r="A9919" s="7" t="str">
        <f>IF('Document Workflow'!A9918&lt;&gt;"",'Document Workflow'!A9918,"")</f>
        <v/>
      </c>
    </row>
    <row r="9920" spans="1:1">
      <c r="A9920" s="7" t="str">
        <f>IF('Document Workflow'!A9919&lt;&gt;"",'Document Workflow'!A9919,"")</f>
        <v/>
      </c>
    </row>
    <row r="9921" spans="1:1">
      <c r="A9921" s="7" t="str">
        <f>IF('Document Workflow'!A9920&lt;&gt;"",'Document Workflow'!A9920,"")</f>
        <v/>
      </c>
    </row>
    <row r="9922" spans="1:1">
      <c r="A9922" s="7" t="str">
        <f>IF('Document Workflow'!A9921&lt;&gt;"",'Document Workflow'!A9921,"")</f>
        <v/>
      </c>
    </row>
    <row r="9923" spans="1:1">
      <c r="A9923" s="7" t="str">
        <f>IF('Document Workflow'!A9922&lt;&gt;"",'Document Workflow'!A9922,"")</f>
        <v/>
      </c>
    </row>
    <row r="9924" spans="1:1">
      <c r="A9924" s="7" t="str">
        <f>IF('Document Workflow'!A9923&lt;&gt;"",'Document Workflow'!A9923,"")</f>
        <v/>
      </c>
    </row>
    <row r="9925" spans="1:1">
      <c r="A9925" s="7" t="str">
        <f>IF('Document Workflow'!A9924&lt;&gt;"",'Document Workflow'!A9924,"")</f>
        <v/>
      </c>
    </row>
    <row r="9926" spans="1:1">
      <c r="A9926" s="7" t="str">
        <f>IF('Document Workflow'!A9925&lt;&gt;"",'Document Workflow'!A9925,"")</f>
        <v/>
      </c>
    </row>
    <row r="9927" spans="1:1">
      <c r="A9927" s="7" t="str">
        <f>IF('Document Workflow'!A9926&lt;&gt;"",'Document Workflow'!A9926,"")</f>
        <v/>
      </c>
    </row>
    <row r="9928" spans="1:1">
      <c r="A9928" s="7" t="str">
        <f>IF('Document Workflow'!A9927&lt;&gt;"",'Document Workflow'!A9927,"")</f>
        <v/>
      </c>
    </row>
    <row r="9929" spans="1:1">
      <c r="A9929" s="7" t="str">
        <f>IF('Document Workflow'!A9928&lt;&gt;"",'Document Workflow'!A9928,"")</f>
        <v/>
      </c>
    </row>
    <row r="9930" spans="1:1">
      <c r="A9930" s="7" t="str">
        <f>IF('Document Workflow'!A9929&lt;&gt;"",'Document Workflow'!A9929,"")</f>
        <v/>
      </c>
    </row>
    <row r="9931" spans="1:1">
      <c r="A9931" s="7" t="str">
        <f>IF('Document Workflow'!A9930&lt;&gt;"",'Document Workflow'!A9930,"")</f>
        <v/>
      </c>
    </row>
    <row r="9932" spans="1:1">
      <c r="A9932" s="7" t="str">
        <f>IF('Document Workflow'!A9931&lt;&gt;"",'Document Workflow'!A9931,"")</f>
        <v/>
      </c>
    </row>
    <row r="9933" spans="1:1">
      <c r="A9933" s="7" t="str">
        <f>IF('Document Workflow'!A9932&lt;&gt;"",'Document Workflow'!A9932,"")</f>
        <v/>
      </c>
    </row>
    <row r="9934" spans="1:1">
      <c r="A9934" s="7" t="str">
        <f>IF('Document Workflow'!A9933&lt;&gt;"",'Document Workflow'!A9933,"")</f>
        <v/>
      </c>
    </row>
    <row r="9935" spans="1:1">
      <c r="A9935" s="7" t="str">
        <f>IF('Document Workflow'!A9934&lt;&gt;"",'Document Workflow'!A9934,"")</f>
        <v/>
      </c>
    </row>
    <row r="9936" spans="1:1">
      <c r="A9936" s="7" t="str">
        <f>IF('Document Workflow'!A9935&lt;&gt;"",'Document Workflow'!A9935,"")</f>
        <v/>
      </c>
    </row>
    <row r="9937" spans="1:1">
      <c r="A9937" s="7" t="str">
        <f>IF('Document Workflow'!A9936&lt;&gt;"",'Document Workflow'!A9936,"")</f>
        <v/>
      </c>
    </row>
    <row r="9938" spans="1:1">
      <c r="A9938" s="7" t="str">
        <f>IF('Document Workflow'!A9937&lt;&gt;"",'Document Workflow'!A9937,"")</f>
        <v/>
      </c>
    </row>
    <row r="9939" spans="1:1">
      <c r="A9939" s="7" t="str">
        <f>IF('Document Workflow'!A9938&lt;&gt;"",'Document Workflow'!A9938,"")</f>
        <v/>
      </c>
    </row>
    <row r="9940" spans="1:1">
      <c r="A9940" s="7" t="str">
        <f>IF('Document Workflow'!A9939&lt;&gt;"",'Document Workflow'!A9939,"")</f>
        <v/>
      </c>
    </row>
    <row r="9941" spans="1:1">
      <c r="A9941" s="7" t="str">
        <f>IF('Document Workflow'!A9940&lt;&gt;"",'Document Workflow'!A9940,"")</f>
        <v/>
      </c>
    </row>
    <row r="9942" spans="1:1">
      <c r="A9942" s="7" t="str">
        <f>IF('Document Workflow'!A9941&lt;&gt;"",'Document Workflow'!A9941,"")</f>
        <v/>
      </c>
    </row>
    <row r="9943" spans="1:1">
      <c r="A9943" s="7" t="str">
        <f>IF('Document Workflow'!A9942&lt;&gt;"",'Document Workflow'!A9942,"")</f>
        <v/>
      </c>
    </row>
    <row r="9944" spans="1:1">
      <c r="A9944" s="7" t="str">
        <f>IF('Document Workflow'!A9943&lt;&gt;"",'Document Workflow'!A9943,"")</f>
        <v/>
      </c>
    </row>
    <row r="9945" spans="1:1">
      <c r="A9945" s="7" t="str">
        <f>IF('Document Workflow'!A9944&lt;&gt;"",'Document Workflow'!A9944,"")</f>
        <v/>
      </c>
    </row>
    <row r="9946" spans="1:1">
      <c r="A9946" s="7" t="str">
        <f>IF('Document Workflow'!A9945&lt;&gt;"",'Document Workflow'!A9945,"")</f>
        <v/>
      </c>
    </row>
    <row r="9947" spans="1:1">
      <c r="A9947" s="7" t="str">
        <f>IF('Document Workflow'!A9946&lt;&gt;"",'Document Workflow'!A9946,"")</f>
        <v/>
      </c>
    </row>
    <row r="9948" spans="1:1">
      <c r="A9948" s="7" t="str">
        <f>IF('Document Workflow'!A9947&lt;&gt;"",'Document Workflow'!A9947,"")</f>
        <v/>
      </c>
    </row>
    <row r="9949" spans="1:1">
      <c r="A9949" s="7" t="str">
        <f>IF('Document Workflow'!A9948&lt;&gt;"",'Document Workflow'!A9948,"")</f>
        <v/>
      </c>
    </row>
    <row r="9950" spans="1:1">
      <c r="A9950" s="7" t="str">
        <f>IF('Document Workflow'!A9949&lt;&gt;"",'Document Workflow'!A9949,"")</f>
        <v/>
      </c>
    </row>
    <row r="9951" spans="1:1">
      <c r="A9951" s="7" t="str">
        <f>IF('Document Workflow'!A9950&lt;&gt;"",'Document Workflow'!A9950,"")</f>
        <v/>
      </c>
    </row>
    <row r="9952" spans="1:1">
      <c r="A9952" s="7" t="str">
        <f>IF('Document Workflow'!A9951&lt;&gt;"",'Document Workflow'!A9951,"")</f>
        <v/>
      </c>
    </row>
    <row r="9953" spans="1:1">
      <c r="A9953" s="7" t="str">
        <f>IF('Document Workflow'!A9952&lt;&gt;"",'Document Workflow'!A9952,"")</f>
        <v/>
      </c>
    </row>
    <row r="9954" spans="1:1">
      <c r="A9954" s="7" t="str">
        <f>IF('Document Workflow'!A9953&lt;&gt;"",'Document Workflow'!A9953,"")</f>
        <v/>
      </c>
    </row>
    <row r="9955" spans="1:1">
      <c r="A9955" s="7" t="str">
        <f>IF('Document Workflow'!A9954&lt;&gt;"",'Document Workflow'!A9954,"")</f>
        <v/>
      </c>
    </row>
    <row r="9956" spans="1:1">
      <c r="A9956" s="7" t="str">
        <f>IF('Document Workflow'!A9955&lt;&gt;"",'Document Workflow'!A9955,"")</f>
        <v/>
      </c>
    </row>
    <row r="9957" spans="1:1">
      <c r="A9957" s="7" t="str">
        <f>IF('Document Workflow'!A9956&lt;&gt;"",'Document Workflow'!A9956,"")</f>
        <v/>
      </c>
    </row>
    <row r="9958" spans="1:1">
      <c r="A9958" s="7" t="str">
        <f>IF('Document Workflow'!A9957&lt;&gt;"",'Document Workflow'!A9957,"")</f>
        <v/>
      </c>
    </row>
    <row r="9959" spans="1:1">
      <c r="A9959" s="7" t="str">
        <f>IF('Document Workflow'!A9958&lt;&gt;"",'Document Workflow'!A9958,"")</f>
        <v/>
      </c>
    </row>
    <row r="9960" spans="1:1">
      <c r="A9960" s="7" t="str">
        <f>IF('Document Workflow'!A9959&lt;&gt;"",'Document Workflow'!A9959,"")</f>
        <v/>
      </c>
    </row>
    <row r="9961" spans="1:1">
      <c r="A9961" s="7" t="str">
        <f>IF('Document Workflow'!A9960&lt;&gt;"",'Document Workflow'!A9960,"")</f>
        <v/>
      </c>
    </row>
    <row r="9962" spans="1:1">
      <c r="A9962" s="7" t="str">
        <f>IF('Document Workflow'!A9961&lt;&gt;"",'Document Workflow'!A9961,"")</f>
        <v/>
      </c>
    </row>
    <row r="9963" spans="1:1">
      <c r="A9963" s="7" t="str">
        <f>IF('Document Workflow'!A9962&lt;&gt;"",'Document Workflow'!A9962,"")</f>
        <v/>
      </c>
    </row>
    <row r="9964" spans="1:1">
      <c r="A9964" s="7" t="str">
        <f>IF('Document Workflow'!A9963&lt;&gt;"",'Document Workflow'!A9963,"")</f>
        <v/>
      </c>
    </row>
    <row r="9965" spans="1:1">
      <c r="A9965" s="7" t="str">
        <f>IF('Document Workflow'!A9964&lt;&gt;"",'Document Workflow'!A9964,"")</f>
        <v/>
      </c>
    </row>
    <row r="9966" spans="1:1">
      <c r="A9966" s="7" t="str">
        <f>IF('Document Workflow'!A9965&lt;&gt;"",'Document Workflow'!A9965,"")</f>
        <v/>
      </c>
    </row>
    <row r="9967" spans="1:1">
      <c r="A9967" s="7" t="str">
        <f>IF('Document Workflow'!A9966&lt;&gt;"",'Document Workflow'!A9966,"")</f>
        <v/>
      </c>
    </row>
    <row r="9968" spans="1:1">
      <c r="A9968" s="7" t="str">
        <f>IF('Document Workflow'!A9967&lt;&gt;"",'Document Workflow'!A9967,"")</f>
        <v/>
      </c>
    </row>
    <row r="9969" spans="1:1">
      <c r="A9969" s="7" t="str">
        <f>IF('Document Workflow'!A9968&lt;&gt;"",'Document Workflow'!A9968,"")</f>
        <v/>
      </c>
    </row>
    <row r="9970" spans="1:1">
      <c r="A9970" s="7" t="str">
        <f>IF('Document Workflow'!A9969&lt;&gt;"",'Document Workflow'!A9969,"")</f>
        <v/>
      </c>
    </row>
    <row r="9971" spans="1:1">
      <c r="A9971" s="7" t="str">
        <f>IF('Document Workflow'!A9970&lt;&gt;"",'Document Workflow'!A9970,"")</f>
        <v/>
      </c>
    </row>
    <row r="9972" spans="1:1">
      <c r="A9972" s="7" t="str">
        <f>IF('Document Workflow'!A9971&lt;&gt;"",'Document Workflow'!A9971,"")</f>
        <v/>
      </c>
    </row>
    <row r="9973" spans="1:1">
      <c r="A9973" s="7" t="str">
        <f>IF('Document Workflow'!A9972&lt;&gt;"",'Document Workflow'!A9972,"")</f>
        <v/>
      </c>
    </row>
    <row r="9974" spans="1:1">
      <c r="A9974" s="7" t="str">
        <f>IF('Document Workflow'!A9973&lt;&gt;"",'Document Workflow'!A9973,"")</f>
        <v/>
      </c>
    </row>
    <row r="9975" spans="1:1">
      <c r="A9975" s="7" t="str">
        <f>IF('Document Workflow'!A9974&lt;&gt;"",'Document Workflow'!A9974,"")</f>
        <v/>
      </c>
    </row>
    <row r="9976" spans="1:1">
      <c r="A9976" s="7" t="str">
        <f>IF('Document Workflow'!A9975&lt;&gt;"",'Document Workflow'!A9975,"")</f>
        <v/>
      </c>
    </row>
    <row r="9977" spans="1:1">
      <c r="A9977" s="7" t="str">
        <f>IF('Document Workflow'!A9976&lt;&gt;"",'Document Workflow'!A9976,"")</f>
        <v/>
      </c>
    </row>
    <row r="9978" spans="1:1">
      <c r="A9978" s="7" t="str">
        <f>IF('Document Workflow'!A9977&lt;&gt;"",'Document Workflow'!A9977,"")</f>
        <v/>
      </c>
    </row>
    <row r="9979" spans="1:1">
      <c r="A9979" s="7" t="str">
        <f>IF('Document Workflow'!A9978&lt;&gt;"",'Document Workflow'!A9978,"")</f>
        <v/>
      </c>
    </row>
    <row r="9980" spans="1:1">
      <c r="A9980" s="7" t="str">
        <f>IF('Document Workflow'!A9979&lt;&gt;"",'Document Workflow'!A9979,"")</f>
        <v/>
      </c>
    </row>
    <row r="9981" spans="1:1">
      <c r="A9981" s="7" t="str">
        <f>IF('Document Workflow'!A9980&lt;&gt;"",'Document Workflow'!A9980,"")</f>
        <v/>
      </c>
    </row>
    <row r="9982" spans="1:1">
      <c r="A9982" s="7" t="str">
        <f>IF('Document Workflow'!A9981&lt;&gt;"",'Document Workflow'!A9981,"")</f>
        <v/>
      </c>
    </row>
    <row r="9983" spans="1:1">
      <c r="A9983" s="7" t="str">
        <f>IF('Document Workflow'!A9982&lt;&gt;"",'Document Workflow'!A9982,"")</f>
        <v/>
      </c>
    </row>
    <row r="9984" spans="1:1">
      <c r="A9984" s="7" t="str">
        <f>IF('Document Workflow'!A9983&lt;&gt;"",'Document Workflow'!A9983,"")</f>
        <v/>
      </c>
    </row>
    <row r="9985" spans="1:1">
      <c r="A9985" s="7" t="str">
        <f>IF('Document Workflow'!A9984&lt;&gt;"",'Document Workflow'!A9984,"")</f>
        <v/>
      </c>
    </row>
    <row r="9986" spans="1:1">
      <c r="A9986" s="7" t="str">
        <f>IF('Document Workflow'!A9985&lt;&gt;"",'Document Workflow'!A9985,"")</f>
        <v/>
      </c>
    </row>
    <row r="9987" spans="1:1">
      <c r="A9987" s="7" t="str">
        <f>IF('Document Workflow'!A9986&lt;&gt;"",'Document Workflow'!A9986,"")</f>
        <v/>
      </c>
    </row>
    <row r="9988" spans="1:1">
      <c r="A9988" s="7" t="str">
        <f>IF('Document Workflow'!A9987&lt;&gt;"",'Document Workflow'!A9987,"")</f>
        <v/>
      </c>
    </row>
    <row r="9989" spans="1:1">
      <c r="A9989" s="7" t="str">
        <f>IF('Document Workflow'!A9988&lt;&gt;"",'Document Workflow'!A9988,"")</f>
        <v/>
      </c>
    </row>
    <row r="9990" spans="1:1">
      <c r="A9990" s="7" t="str">
        <f>IF('Document Workflow'!A9989&lt;&gt;"",'Document Workflow'!A9989,"")</f>
        <v/>
      </c>
    </row>
    <row r="9991" spans="1:1">
      <c r="A9991" s="7" t="str">
        <f>IF('Document Workflow'!A9990&lt;&gt;"",'Document Workflow'!A9990,"")</f>
        <v/>
      </c>
    </row>
    <row r="9992" spans="1:1">
      <c r="A9992" s="7" t="str">
        <f>IF('Document Workflow'!A9991&lt;&gt;"",'Document Workflow'!A9991,"")</f>
        <v/>
      </c>
    </row>
    <row r="9993" spans="1:1">
      <c r="A9993" s="7" t="str">
        <f>IF('Document Workflow'!A9992&lt;&gt;"",'Document Workflow'!A9992,"")</f>
        <v/>
      </c>
    </row>
    <row r="9994" spans="1:1">
      <c r="A9994" s="7" t="str">
        <f>IF('Document Workflow'!A9993&lt;&gt;"",'Document Workflow'!A9993,"")</f>
        <v/>
      </c>
    </row>
    <row r="9995" spans="1:1">
      <c r="A9995" s="7" t="str">
        <f>IF('Document Workflow'!A9994&lt;&gt;"",'Document Workflow'!A9994,"")</f>
        <v/>
      </c>
    </row>
    <row r="9996" spans="1:1">
      <c r="A9996" s="7" t="str">
        <f>IF('Document Workflow'!A9995&lt;&gt;"",'Document Workflow'!A9995,"")</f>
        <v/>
      </c>
    </row>
    <row r="9997" spans="1:1">
      <c r="A9997" s="7" t="str">
        <f>IF('Document Workflow'!A9996&lt;&gt;"",'Document Workflow'!A9996,"")</f>
        <v/>
      </c>
    </row>
    <row r="9998" spans="1:1">
      <c r="A9998" s="7" t="str">
        <f>IF('Document Workflow'!A9997&lt;&gt;"",'Document Workflow'!A9997,"")</f>
        <v/>
      </c>
    </row>
    <row r="9999" spans="1:1">
      <c r="A9999" s="7" t="str">
        <f>IF('Document Workflow'!A9998&lt;&gt;"",'Document Workflow'!A9998,"")</f>
        <v/>
      </c>
    </row>
    <row r="10000" spans="1:1">
      <c r="A10000" s="7" t="str">
        <f>IF('Document Workflow'!A9999&lt;&gt;"",'Document Workflow'!A9999,"")</f>
        <v/>
      </c>
    </row>
    <row r="10001" spans="1:1">
      <c r="A10001" s="7" t="str">
        <f>IF('Document Workflow'!A10000&lt;&gt;"",'Document Workflow'!A10000,"")</f>
        <v/>
      </c>
    </row>
    <row r="10002" spans="1:1">
      <c r="A10002" s="7" t="str">
        <f>IF('Document Workflow'!A10001&lt;&gt;"",'Document Workflow'!A10001,"")</f>
        <v/>
      </c>
    </row>
    <row r="10003" spans="1:1">
      <c r="A10003" s="7" t="str">
        <f>IF('Document Workflow'!A10002&lt;&gt;"",'Document Workflow'!A10002,"")</f>
        <v/>
      </c>
    </row>
    <row r="10004" spans="1:1">
      <c r="A10004" s="7" t="str">
        <f>IF('Document Workflow'!A10003&lt;&gt;"",'Document Workflow'!A10003,"")</f>
        <v/>
      </c>
    </row>
    <row r="10005" spans="1:1">
      <c r="A10005" s="7" t="str">
        <f>IF('Document Workflow'!A10004&lt;&gt;"",'Document Workflow'!A10004,"")</f>
        <v/>
      </c>
    </row>
    <row r="10006" spans="1:1">
      <c r="A10006" s="7" t="str">
        <f>IF('Document Workflow'!A10005&lt;&gt;"",'Document Workflow'!A10005,"")</f>
        <v/>
      </c>
    </row>
    <row r="10007" spans="1:1">
      <c r="A10007" s="7" t="str">
        <f>IF('Document Workflow'!A10006&lt;&gt;"",'Document Workflow'!A10006,"")</f>
        <v/>
      </c>
    </row>
    <row r="10008" spans="1:1">
      <c r="A10008" s="7" t="str">
        <f>IF('Document Workflow'!A10007&lt;&gt;"",'Document Workflow'!A10007,"")</f>
        <v/>
      </c>
    </row>
    <row r="10009" spans="1:1">
      <c r="A10009" s="7" t="str">
        <f>IF('Document Workflow'!A10008&lt;&gt;"",'Document Workflow'!A10008,"")</f>
        <v/>
      </c>
    </row>
    <row r="10010" spans="1:1">
      <c r="A10010" s="7" t="str">
        <f>IF('Document Workflow'!A10009&lt;&gt;"",'Document Workflow'!A10009,"")</f>
        <v/>
      </c>
    </row>
    <row r="10011" spans="1:1">
      <c r="A10011" s="7" t="str">
        <f>IF('Document Workflow'!A10010&lt;&gt;"",'Document Workflow'!A10010,"")</f>
        <v/>
      </c>
    </row>
    <row r="10012" spans="1:1">
      <c r="A10012" s="7" t="str">
        <f>IF('Document Workflow'!A10011&lt;&gt;"",'Document Workflow'!A10011,"")</f>
        <v/>
      </c>
    </row>
    <row r="10013" spans="1:1">
      <c r="A10013" s="7" t="str">
        <f>IF('Document Workflow'!A10012&lt;&gt;"",'Document Workflow'!A10012,"")</f>
        <v/>
      </c>
    </row>
    <row r="10014" spans="1:1">
      <c r="A10014" s="7" t="str">
        <f>IF('Document Workflow'!A10013&lt;&gt;"",'Document Workflow'!A10013,"")</f>
        <v/>
      </c>
    </row>
    <row r="10015" spans="1:1">
      <c r="A10015" s="7" t="str">
        <f>IF('Document Workflow'!A10014&lt;&gt;"",'Document Workflow'!A10014,"")</f>
        <v/>
      </c>
    </row>
    <row r="10016" spans="1:1">
      <c r="A10016" s="7" t="str">
        <f>IF('Document Workflow'!A10015&lt;&gt;"",'Document Workflow'!A10015,"")</f>
        <v/>
      </c>
    </row>
    <row r="10017" spans="1:1">
      <c r="A10017" s="7" t="str">
        <f>IF('Document Workflow'!A10016&lt;&gt;"",'Document Workflow'!A10016,"")</f>
        <v/>
      </c>
    </row>
    <row r="10018" spans="1:1">
      <c r="A10018" s="7" t="str">
        <f>IF('Document Workflow'!A10017&lt;&gt;"",'Document Workflow'!A10017,"")</f>
        <v/>
      </c>
    </row>
    <row r="10019" spans="1:1">
      <c r="A10019" s="7" t="str">
        <f>IF('Document Workflow'!A10018&lt;&gt;"",'Document Workflow'!A10018,"")</f>
        <v/>
      </c>
    </row>
    <row r="10020" spans="1:1">
      <c r="A10020" s="7" t="str">
        <f>IF('Document Workflow'!A10019&lt;&gt;"",'Document Workflow'!A10019,"")</f>
        <v/>
      </c>
    </row>
    <row r="10021" spans="1:1">
      <c r="A10021" s="7" t="str">
        <f>IF('Document Workflow'!A10020&lt;&gt;"",'Document Workflow'!A10020,"")</f>
        <v/>
      </c>
    </row>
    <row r="10022" spans="1:1">
      <c r="A10022" s="7" t="str">
        <f>IF('Document Workflow'!A10021&lt;&gt;"",'Document Workflow'!A10021,"")</f>
        <v/>
      </c>
    </row>
    <row r="10023" spans="1:1">
      <c r="A10023" s="7" t="str">
        <f>IF('Document Workflow'!A10022&lt;&gt;"",'Document Workflow'!A10022,"")</f>
        <v/>
      </c>
    </row>
    <row r="10024" spans="1:1">
      <c r="A10024" s="7" t="str">
        <f>IF('Document Workflow'!A10023&lt;&gt;"",'Document Workflow'!A10023,"")</f>
        <v/>
      </c>
    </row>
    <row r="10025" spans="1:1">
      <c r="A10025" s="7" t="str">
        <f>IF('Document Workflow'!A10024&lt;&gt;"",'Document Workflow'!A10024,"")</f>
        <v/>
      </c>
    </row>
    <row r="10026" spans="1:1">
      <c r="A10026" s="7" t="str">
        <f>IF('Document Workflow'!A10025&lt;&gt;"",'Document Workflow'!A10025,"")</f>
        <v/>
      </c>
    </row>
    <row r="10027" spans="1:1">
      <c r="A10027" s="7" t="str">
        <f>IF('Document Workflow'!A10026&lt;&gt;"",'Document Workflow'!A10026,"")</f>
        <v/>
      </c>
    </row>
    <row r="10028" spans="1:1">
      <c r="A10028" s="7" t="str">
        <f>IF('Document Workflow'!A10027&lt;&gt;"",'Document Workflow'!A10027,"")</f>
        <v/>
      </c>
    </row>
    <row r="10029" spans="1:1">
      <c r="A10029" s="7" t="str">
        <f>IF('Document Workflow'!A10028&lt;&gt;"",'Document Workflow'!A10028,"")</f>
        <v/>
      </c>
    </row>
    <row r="10030" spans="1:1">
      <c r="A10030" s="7" t="str">
        <f>IF('Document Workflow'!A10029&lt;&gt;"",'Document Workflow'!A10029,"")</f>
        <v/>
      </c>
    </row>
    <row r="10031" spans="1:1">
      <c r="A10031" s="7" t="str">
        <f>IF('Document Workflow'!A10030&lt;&gt;"",'Document Workflow'!A10030,"")</f>
        <v/>
      </c>
    </row>
    <row r="10032" spans="1:1">
      <c r="A10032" s="7" t="str">
        <f>IF('Document Workflow'!A10031&lt;&gt;"",'Document Workflow'!A10031,"")</f>
        <v/>
      </c>
    </row>
    <row r="10033" spans="1:1">
      <c r="A10033" s="7" t="str">
        <f>IF('Document Workflow'!A10032&lt;&gt;"",'Document Workflow'!A10032,"")</f>
        <v/>
      </c>
    </row>
    <row r="10034" spans="1:1">
      <c r="A10034" s="7" t="str">
        <f>IF('Document Workflow'!A10033&lt;&gt;"",'Document Workflow'!A10033,"")</f>
        <v/>
      </c>
    </row>
    <row r="10035" spans="1:1">
      <c r="A10035" s="7" t="str">
        <f>IF('Document Workflow'!A10034&lt;&gt;"",'Document Workflow'!A10034,"")</f>
        <v/>
      </c>
    </row>
    <row r="10036" spans="1:1">
      <c r="A10036" s="7" t="str">
        <f>IF('Document Workflow'!A10035&lt;&gt;"",'Document Workflow'!A10035,"")</f>
        <v/>
      </c>
    </row>
    <row r="10037" spans="1:1">
      <c r="A10037" s="7" t="str">
        <f>IF('Document Workflow'!A10036&lt;&gt;"",'Document Workflow'!A10036,"")</f>
        <v/>
      </c>
    </row>
    <row r="10038" spans="1:1">
      <c r="A10038" s="7" t="str">
        <f>IF('Document Workflow'!A10037&lt;&gt;"",'Document Workflow'!A10037,"")</f>
        <v/>
      </c>
    </row>
    <row r="10039" spans="1:1">
      <c r="A10039" s="7" t="str">
        <f>IF('Document Workflow'!A10038&lt;&gt;"",'Document Workflow'!A10038,"")</f>
        <v/>
      </c>
    </row>
    <row r="10040" spans="1:1">
      <c r="A10040" s="7" t="str">
        <f>IF('Document Workflow'!A10039&lt;&gt;"",'Document Workflow'!A10039,"")</f>
        <v/>
      </c>
    </row>
    <row r="10041" spans="1:1">
      <c r="A10041" s="7" t="str">
        <f>IF('Document Workflow'!A10040&lt;&gt;"",'Document Workflow'!A10040,"")</f>
        <v/>
      </c>
    </row>
    <row r="10042" spans="1:1">
      <c r="A10042" s="7" t="str">
        <f>IF('Document Workflow'!A10041&lt;&gt;"",'Document Workflow'!A10041,"")</f>
        <v/>
      </c>
    </row>
    <row r="10043" spans="1:1">
      <c r="A10043" s="7" t="str">
        <f>IF('Document Workflow'!A10042&lt;&gt;"",'Document Workflow'!A10042,"")</f>
        <v/>
      </c>
    </row>
    <row r="10044" spans="1:1">
      <c r="A10044" s="7" t="str">
        <f>IF('Document Workflow'!A10043&lt;&gt;"",'Document Workflow'!A10043,"")</f>
        <v/>
      </c>
    </row>
    <row r="10045" spans="1:1">
      <c r="A10045" s="7" t="str">
        <f>IF('Document Workflow'!A10044&lt;&gt;"",'Document Workflow'!A10044,"")</f>
        <v/>
      </c>
    </row>
    <row r="10046" spans="1:1">
      <c r="A10046" s="7" t="str">
        <f>IF('Document Workflow'!A10045&lt;&gt;"",'Document Workflow'!A10045,"")</f>
        <v/>
      </c>
    </row>
    <row r="10047" spans="1:1">
      <c r="A10047" s="7" t="str">
        <f>IF('Document Workflow'!A10046&lt;&gt;"",'Document Workflow'!A10046,"")</f>
        <v/>
      </c>
    </row>
    <row r="10048" spans="1:1">
      <c r="A10048" s="7" t="str">
        <f>IF('Document Workflow'!A10047&lt;&gt;"",'Document Workflow'!A10047,"")</f>
        <v/>
      </c>
    </row>
    <row r="10049" spans="1:1">
      <c r="A10049" s="7" t="str">
        <f>IF('Document Workflow'!A10048&lt;&gt;"",'Document Workflow'!A10048,"")</f>
        <v/>
      </c>
    </row>
    <row r="10050" spans="1:1">
      <c r="A10050" s="7" t="str">
        <f>IF('Document Workflow'!A10049&lt;&gt;"",'Document Workflow'!A10049,"")</f>
        <v/>
      </c>
    </row>
    <row r="10051" spans="1:1">
      <c r="A10051" s="7" t="str">
        <f>IF('Document Workflow'!A10050&lt;&gt;"",'Document Workflow'!A10050,"")</f>
        <v/>
      </c>
    </row>
    <row r="10052" spans="1:1">
      <c r="A10052" s="7" t="str">
        <f>IF('Document Workflow'!A10051&lt;&gt;"",'Document Workflow'!A10051,"")</f>
        <v/>
      </c>
    </row>
    <row r="10053" spans="1:1">
      <c r="A10053" s="7" t="str">
        <f>IF('Document Workflow'!A10052&lt;&gt;"",'Document Workflow'!A10052,"")</f>
        <v/>
      </c>
    </row>
    <row r="10054" spans="1:1">
      <c r="A10054" s="7" t="str">
        <f>IF('Document Workflow'!A10053&lt;&gt;"",'Document Workflow'!A10053,"")</f>
        <v/>
      </c>
    </row>
    <row r="10055" spans="1:1">
      <c r="A10055" s="7" t="str">
        <f>IF('Document Workflow'!A10054&lt;&gt;"",'Document Workflow'!A10054,"")</f>
        <v/>
      </c>
    </row>
    <row r="10056" spans="1:1">
      <c r="A10056" s="7" t="str">
        <f>IF('Document Workflow'!A10055&lt;&gt;"",'Document Workflow'!A10055,"")</f>
        <v/>
      </c>
    </row>
    <row r="10057" spans="1:1">
      <c r="A10057" s="7" t="str">
        <f>IF('Document Workflow'!A10056&lt;&gt;"",'Document Workflow'!A10056,"")</f>
        <v/>
      </c>
    </row>
    <row r="10058" spans="1:1">
      <c r="A10058" s="7" t="str">
        <f>IF('Document Workflow'!A10057&lt;&gt;"",'Document Workflow'!A10057,"")</f>
        <v/>
      </c>
    </row>
    <row r="10059" spans="1:1">
      <c r="A10059" s="7" t="str">
        <f>IF('Document Workflow'!A10058&lt;&gt;"",'Document Workflow'!A10058,"")</f>
        <v/>
      </c>
    </row>
    <row r="10060" spans="1:1">
      <c r="A10060" s="7" t="str">
        <f>IF('Document Workflow'!A10059&lt;&gt;"",'Document Workflow'!A10059,"")</f>
        <v/>
      </c>
    </row>
    <row r="10061" spans="1:1">
      <c r="A10061" s="7" t="str">
        <f>IF('Document Workflow'!A10060&lt;&gt;"",'Document Workflow'!A10060,"")</f>
        <v/>
      </c>
    </row>
    <row r="10062" spans="1:1">
      <c r="A10062" s="7" t="str">
        <f>IF('Document Workflow'!A10061&lt;&gt;"",'Document Workflow'!A10061,"")</f>
        <v/>
      </c>
    </row>
    <row r="10063" spans="1:1">
      <c r="A10063" s="7" t="str">
        <f>IF('Document Workflow'!A10062&lt;&gt;"",'Document Workflow'!A10062,"")</f>
        <v/>
      </c>
    </row>
    <row r="10064" spans="1:1">
      <c r="A10064" s="7" t="str">
        <f>IF('Document Workflow'!A10063&lt;&gt;"",'Document Workflow'!A10063,"")</f>
        <v/>
      </c>
    </row>
    <row r="10065" spans="1:1">
      <c r="A10065" s="7" t="str">
        <f>IF('Document Workflow'!A10064&lt;&gt;"",'Document Workflow'!A10064,"")</f>
        <v/>
      </c>
    </row>
    <row r="10066" spans="1:1">
      <c r="A10066" s="7" t="str">
        <f>IF('Document Workflow'!A10065&lt;&gt;"",'Document Workflow'!A10065,"")</f>
        <v/>
      </c>
    </row>
    <row r="10067" spans="1:1">
      <c r="A10067" s="7" t="str">
        <f>IF('Document Workflow'!A10066&lt;&gt;"",'Document Workflow'!A10066,"")</f>
        <v/>
      </c>
    </row>
    <row r="10068" spans="1:1">
      <c r="A10068" s="7" t="str">
        <f>IF('Document Workflow'!A10067&lt;&gt;"",'Document Workflow'!A10067,"")</f>
        <v/>
      </c>
    </row>
    <row r="10069" spans="1:1">
      <c r="A10069" s="7" t="str">
        <f>IF('Document Workflow'!A10068&lt;&gt;"",'Document Workflow'!A10068,"")</f>
        <v/>
      </c>
    </row>
    <row r="10070" spans="1:1">
      <c r="A10070" s="7" t="str">
        <f>IF('Document Workflow'!A10069&lt;&gt;"",'Document Workflow'!A10069,"")</f>
        <v/>
      </c>
    </row>
    <row r="10071" spans="1:1">
      <c r="A10071" s="7" t="str">
        <f>IF('Document Workflow'!A10070&lt;&gt;"",'Document Workflow'!A10070,"")</f>
        <v/>
      </c>
    </row>
    <row r="10072" spans="1:1">
      <c r="A10072" s="7" t="str">
        <f>IF('Document Workflow'!A10071&lt;&gt;"",'Document Workflow'!A10071,"")</f>
        <v/>
      </c>
    </row>
    <row r="10073" spans="1:1">
      <c r="A10073" s="7" t="str">
        <f>IF('Document Workflow'!A10072&lt;&gt;"",'Document Workflow'!A10072,"")</f>
        <v/>
      </c>
    </row>
    <row r="10074" spans="1:1">
      <c r="A10074" s="7" t="str">
        <f>IF('Document Workflow'!A10073&lt;&gt;"",'Document Workflow'!A10073,"")</f>
        <v/>
      </c>
    </row>
    <row r="10075" spans="1:1">
      <c r="A10075" s="7" t="str">
        <f>IF('Document Workflow'!A10074&lt;&gt;"",'Document Workflow'!A10074,"")</f>
        <v/>
      </c>
    </row>
    <row r="10076" spans="1:1">
      <c r="A10076" s="7" t="str">
        <f>IF('Document Workflow'!A10075&lt;&gt;"",'Document Workflow'!A10075,"")</f>
        <v/>
      </c>
    </row>
    <row r="10077" spans="1:1">
      <c r="A10077" s="7" t="str">
        <f>IF('Document Workflow'!A10076&lt;&gt;"",'Document Workflow'!A10076,"")</f>
        <v/>
      </c>
    </row>
    <row r="10078" spans="1:1">
      <c r="A10078" s="7" t="str">
        <f>IF('Document Workflow'!A10077&lt;&gt;"",'Document Workflow'!A10077,"")</f>
        <v/>
      </c>
    </row>
    <row r="10079" spans="1:1">
      <c r="A10079" s="7" t="str">
        <f>IF('Document Workflow'!A10078&lt;&gt;"",'Document Workflow'!A10078,"")</f>
        <v/>
      </c>
    </row>
    <row r="10080" spans="1:1">
      <c r="A10080" s="7" t="str">
        <f>IF('Document Workflow'!A10079&lt;&gt;"",'Document Workflow'!A10079,"")</f>
        <v/>
      </c>
    </row>
    <row r="10081" spans="1:1">
      <c r="A10081" s="7" t="str">
        <f>IF('Document Workflow'!A10080&lt;&gt;"",'Document Workflow'!A10080,"")</f>
        <v/>
      </c>
    </row>
    <row r="10082" spans="1:1">
      <c r="A10082" s="7" t="str">
        <f>IF('Document Workflow'!A10081&lt;&gt;"",'Document Workflow'!A10081,"")</f>
        <v/>
      </c>
    </row>
    <row r="10083" spans="1:1">
      <c r="A10083" s="7" t="str">
        <f>IF('Document Workflow'!A10082&lt;&gt;"",'Document Workflow'!A10082,"")</f>
        <v/>
      </c>
    </row>
    <row r="10084" spans="1:1">
      <c r="A10084" s="7" t="str">
        <f>IF('Document Workflow'!A10083&lt;&gt;"",'Document Workflow'!A10083,"")</f>
        <v/>
      </c>
    </row>
    <row r="10085" spans="1:1">
      <c r="A10085" s="7" t="str">
        <f>IF('Document Workflow'!A10084&lt;&gt;"",'Document Workflow'!A10084,"")</f>
        <v/>
      </c>
    </row>
    <row r="10086" spans="1:1">
      <c r="A10086" s="7" t="str">
        <f>IF('Document Workflow'!A10085&lt;&gt;"",'Document Workflow'!A10085,"")</f>
        <v/>
      </c>
    </row>
    <row r="10087" spans="1:1">
      <c r="A10087" s="7" t="str">
        <f>IF('Document Workflow'!A10086&lt;&gt;"",'Document Workflow'!A10086,"")</f>
        <v/>
      </c>
    </row>
    <row r="10088" spans="1:1">
      <c r="A10088" s="7" t="str">
        <f>IF('Document Workflow'!A10087&lt;&gt;"",'Document Workflow'!A10087,"")</f>
        <v/>
      </c>
    </row>
    <row r="10089" spans="1:1">
      <c r="A10089" s="7" t="str">
        <f>IF('Document Workflow'!A10088&lt;&gt;"",'Document Workflow'!A10088,"")</f>
        <v/>
      </c>
    </row>
    <row r="10090" spans="1:1">
      <c r="A10090" s="7" t="str">
        <f>IF('Document Workflow'!A10089&lt;&gt;"",'Document Workflow'!A10089,"")</f>
        <v/>
      </c>
    </row>
    <row r="10091" spans="1:1">
      <c r="A10091" s="7" t="str">
        <f>IF('Document Workflow'!A10090&lt;&gt;"",'Document Workflow'!A10090,"")</f>
        <v/>
      </c>
    </row>
    <row r="10092" spans="1:1">
      <c r="A10092" s="7" t="str">
        <f>IF('Document Workflow'!A10091&lt;&gt;"",'Document Workflow'!A10091,"")</f>
        <v/>
      </c>
    </row>
    <row r="10093" spans="1:1">
      <c r="A10093" s="7" t="str">
        <f>IF('Document Workflow'!A10092&lt;&gt;"",'Document Workflow'!A10092,"")</f>
        <v/>
      </c>
    </row>
    <row r="10094" spans="1:1">
      <c r="A10094" s="7" t="str">
        <f>IF('Document Workflow'!A10093&lt;&gt;"",'Document Workflow'!A10093,"")</f>
        <v/>
      </c>
    </row>
    <row r="10095" spans="1:1">
      <c r="A10095" s="7" t="str">
        <f>IF('Document Workflow'!A10094&lt;&gt;"",'Document Workflow'!A10094,"")</f>
        <v/>
      </c>
    </row>
    <row r="10096" spans="1:1">
      <c r="A10096" s="7" t="str">
        <f>IF('Document Workflow'!A10095&lt;&gt;"",'Document Workflow'!A10095,"")</f>
        <v/>
      </c>
    </row>
    <row r="10097" spans="1:1">
      <c r="A10097" s="7" t="str">
        <f>IF('Document Workflow'!A10096&lt;&gt;"",'Document Workflow'!A10096,"")</f>
        <v/>
      </c>
    </row>
    <row r="10098" spans="1:1">
      <c r="A10098" s="7" t="str">
        <f>IF('Document Workflow'!A10097&lt;&gt;"",'Document Workflow'!A10097,"")</f>
        <v/>
      </c>
    </row>
    <row r="10099" spans="1:1">
      <c r="A10099" s="7" t="str">
        <f>IF('Document Workflow'!A10098&lt;&gt;"",'Document Workflow'!A10098,"")</f>
        <v/>
      </c>
    </row>
    <row r="10100" spans="1:1">
      <c r="A10100" s="7" t="str">
        <f>IF('Document Workflow'!A10099&lt;&gt;"",'Document Workflow'!A10099,"")</f>
        <v/>
      </c>
    </row>
    <row r="10101" spans="1:1">
      <c r="A10101" s="7" t="str">
        <f>IF('Document Workflow'!A10100&lt;&gt;"",'Document Workflow'!A10100,"")</f>
        <v/>
      </c>
    </row>
    <row r="10102" spans="1:1">
      <c r="A10102" s="7" t="str">
        <f>IF('Document Workflow'!A10101&lt;&gt;"",'Document Workflow'!A10101,"")</f>
        <v/>
      </c>
    </row>
    <row r="10103" spans="1:1">
      <c r="A10103" s="7" t="str">
        <f>IF('Document Workflow'!A10102&lt;&gt;"",'Document Workflow'!A10102,"")</f>
        <v/>
      </c>
    </row>
    <row r="10104" spans="1:1">
      <c r="A10104" s="7" t="str">
        <f>IF('Document Workflow'!A10103&lt;&gt;"",'Document Workflow'!A10103,"")</f>
        <v/>
      </c>
    </row>
    <row r="10105" spans="1:1">
      <c r="A10105" s="7" t="str">
        <f>IF('Document Workflow'!A10104&lt;&gt;"",'Document Workflow'!A10104,"")</f>
        <v/>
      </c>
    </row>
    <row r="10106" spans="1:1">
      <c r="A10106" s="7" t="str">
        <f>IF('Document Workflow'!A10105&lt;&gt;"",'Document Workflow'!A10105,"")</f>
        <v/>
      </c>
    </row>
    <row r="10107" spans="1:1">
      <c r="A10107" s="7" t="str">
        <f>IF('Document Workflow'!A10106&lt;&gt;"",'Document Workflow'!A10106,"")</f>
        <v/>
      </c>
    </row>
    <row r="10108" spans="1:1">
      <c r="A10108" s="7" t="str">
        <f>IF('Document Workflow'!A10107&lt;&gt;"",'Document Workflow'!A10107,"")</f>
        <v/>
      </c>
    </row>
    <row r="10109" spans="1:1">
      <c r="A10109" s="7" t="str">
        <f>IF('Document Workflow'!A10108&lt;&gt;"",'Document Workflow'!A10108,"")</f>
        <v/>
      </c>
    </row>
    <row r="10110" spans="1:1">
      <c r="A10110" s="7" t="str">
        <f>IF('Document Workflow'!A10109&lt;&gt;"",'Document Workflow'!A10109,"")</f>
        <v/>
      </c>
    </row>
    <row r="10111" spans="1:1">
      <c r="A10111" s="7" t="str">
        <f>IF('Document Workflow'!A10110&lt;&gt;"",'Document Workflow'!A10110,"")</f>
        <v/>
      </c>
    </row>
    <row r="10112" spans="1:1">
      <c r="A10112" s="7" t="str">
        <f>IF('Document Workflow'!A10111&lt;&gt;"",'Document Workflow'!A10111,"")</f>
        <v/>
      </c>
    </row>
    <row r="10113" spans="1:1">
      <c r="A10113" s="7" t="str">
        <f>IF('Document Workflow'!A10112&lt;&gt;"",'Document Workflow'!A10112,"")</f>
        <v/>
      </c>
    </row>
    <row r="10114" spans="1:1">
      <c r="A10114" s="7" t="str">
        <f>IF('Document Workflow'!A10113&lt;&gt;"",'Document Workflow'!A10113,"")</f>
        <v/>
      </c>
    </row>
    <row r="10115" spans="1:1">
      <c r="A10115" s="7" t="str">
        <f>IF('Document Workflow'!A10114&lt;&gt;"",'Document Workflow'!A10114,"")</f>
        <v/>
      </c>
    </row>
    <row r="10116" spans="1:1">
      <c r="A10116" s="7" t="str">
        <f>IF('Document Workflow'!A10115&lt;&gt;"",'Document Workflow'!A10115,"")</f>
        <v/>
      </c>
    </row>
    <row r="10117" spans="1:1">
      <c r="A10117" s="7" t="str">
        <f>IF('Document Workflow'!A10116&lt;&gt;"",'Document Workflow'!A10116,"")</f>
        <v/>
      </c>
    </row>
    <row r="10118" spans="1:1">
      <c r="A10118" s="7" t="str">
        <f>IF('Document Workflow'!A10117&lt;&gt;"",'Document Workflow'!A10117,"")</f>
        <v/>
      </c>
    </row>
    <row r="10119" spans="1:1">
      <c r="A10119" s="7" t="str">
        <f>IF('Document Workflow'!A10118&lt;&gt;"",'Document Workflow'!A10118,"")</f>
        <v/>
      </c>
    </row>
    <row r="10120" spans="1:1">
      <c r="A10120" s="7" t="str">
        <f>IF('Document Workflow'!A10119&lt;&gt;"",'Document Workflow'!A10119,"")</f>
        <v/>
      </c>
    </row>
    <row r="10121" spans="1:1">
      <c r="A10121" s="7" t="str">
        <f>IF('Document Workflow'!A10120&lt;&gt;"",'Document Workflow'!A10120,"")</f>
        <v/>
      </c>
    </row>
    <row r="10122" spans="1:1">
      <c r="A10122" s="7" t="str">
        <f>IF('Document Workflow'!A10121&lt;&gt;"",'Document Workflow'!A10121,"")</f>
        <v/>
      </c>
    </row>
    <row r="10123" spans="1:1">
      <c r="A10123" s="7" t="str">
        <f>IF('Document Workflow'!A10122&lt;&gt;"",'Document Workflow'!A10122,"")</f>
        <v/>
      </c>
    </row>
    <row r="10124" spans="1:1">
      <c r="A10124" s="7" t="str">
        <f>IF('Document Workflow'!A10123&lt;&gt;"",'Document Workflow'!A10123,"")</f>
        <v/>
      </c>
    </row>
    <row r="10125" spans="1:1">
      <c r="A10125" s="7" t="str">
        <f>IF('Document Workflow'!A10124&lt;&gt;"",'Document Workflow'!A10124,"")</f>
        <v/>
      </c>
    </row>
    <row r="10126" spans="1:1">
      <c r="A10126" s="7" t="str">
        <f>IF('Document Workflow'!A10125&lt;&gt;"",'Document Workflow'!A10125,"")</f>
        <v/>
      </c>
    </row>
    <row r="10127" spans="1:1">
      <c r="A10127" s="7" t="str">
        <f>IF('Document Workflow'!A10126&lt;&gt;"",'Document Workflow'!A10126,"")</f>
        <v/>
      </c>
    </row>
    <row r="10128" spans="1:1">
      <c r="A10128" s="7" t="str">
        <f>IF('Document Workflow'!A10127&lt;&gt;"",'Document Workflow'!A10127,"")</f>
        <v/>
      </c>
    </row>
    <row r="10129" spans="1:1">
      <c r="A10129" s="7" t="str">
        <f>IF('Document Workflow'!A10128&lt;&gt;"",'Document Workflow'!A10128,"")</f>
        <v/>
      </c>
    </row>
    <row r="10130" spans="1:1">
      <c r="A10130" s="7" t="str">
        <f>IF('Document Workflow'!A10129&lt;&gt;"",'Document Workflow'!A10129,"")</f>
        <v/>
      </c>
    </row>
    <row r="10131" spans="1:1">
      <c r="A10131" s="7" t="str">
        <f>IF('Document Workflow'!A10130&lt;&gt;"",'Document Workflow'!A10130,"")</f>
        <v/>
      </c>
    </row>
    <row r="10132" spans="1:1">
      <c r="A10132" s="7" t="str">
        <f>IF('Document Workflow'!A10131&lt;&gt;"",'Document Workflow'!A10131,"")</f>
        <v/>
      </c>
    </row>
    <row r="10133" spans="1:1">
      <c r="A10133" s="7" t="str">
        <f>IF('Document Workflow'!A10132&lt;&gt;"",'Document Workflow'!A10132,"")</f>
        <v/>
      </c>
    </row>
    <row r="10134" spans="1:1">
      <c r="A10134" s="7" t="str">
        <f>IF('Document Workflow'!A10133&lt;&gt;"",'Document Workflow'!A10133,"")</f>
        <v/>
      </c>
    </row>
    <row r="10135" spans="1:1">
      <c r="A10135" s="7" t="str">
        <f>IF('Document Workflow'!A10134&lt;&gt;"",'Document Workflow'!A10134,"")</f>
        <v/>
      </c>
    </row>
    <row r="10136" spans="1:1">
      <c r="A10136" s="7" t="str">
        <f>IF('Document Workflow'!A10135&lt;&gt;"",'Document Workflow'!A10135,"")</f>
        <v/>
      </c>
    </row>
    <row r="10137" spans="1:1">
      <c r="A10137" s="7" t="str">
        <f>IF('Document Workflow'!A10136&lt;&gt;"",'Document Workflow'!A10136,"")</f>
        <v/>
      </c>
    </row>
    <row r="10138" spans="1:1">
      <c r="A10138" s="7" t="str">
        <f>IF('Document Workflow'!A10137&lt;&gt;"",'Document Workflow'!A10137,"")</f>
        <v/>
      </c>
    </row>
    <row r="10139" spans="1:1">
      <c r="A10139" s="7" t="str">
        <f>IF('Document Workflow'!A10138&lt;&gt;"",'Document Workflow'!A10138,"")</f>
        <v/>
      </c>
    </row>
    <row r="10140" spans="1:1">
      <c r="A10140" s="7" t="str">
        <f>IF('Document Workflow'!A10139&lt;&gt;"",'Document Workflow'!A10139,"")</f>
        <v/>
      </c>
    </row>
    <row r="10141" spans="1:1">
      <c r="A10141" s="7" t="str">
        <f>IF('Document Workflow'!A10140&lt;&gt;"",'Document Workflow'!A10140,"")</f>
        <v/>
      </c>
    </row>
    <row r="10142" spans="1:1">
      <c r="A10142" s="7" t="str">
        <f>IF('Document Workflow'!A10141&lt;&gt;"",'Document Workflow'!A10141,"")</f>
        <v/>
      </c>
    </row>
    <row r="10143" spans="1:1">
      <c r="A10143" s="7" t="str">
        <f>IF('Document Workflow'!A10142&lt;&gt;"",'Document Workflow'!A10142,"")</f>
        <v/>
      </c>
    </row>
    <row r="10144" spans="1:1">
      <c r="A10144" s="7" t="str">
        <f>IF('Document Workflow'!A10143&lt;&gt;"",'Document Workflow'!A10143,"")</f>
        <v/>
      </c>
    </row>
    <row r="10145" spans="1:1">
      <c r="A10145" s="7" t="str">
        <f>IF('Document Workflow'!A10144&lt;&gt;"",'Document Workflow'!A10144,"")</f>
        <v/>
      </c>
    </row>
    <row r="10146" spans="1:1">
      <c r="A10146" s="7" t="str">
        <f>IF('Document Workflow'!A10145&lt;&gt;"",'Document Workflow'!A10145,"")</f>
        <v/>
      </c>
    </row>
    <row r="10147" spans="1:1">
      <c r="A10147" s="7" t="str">
        <f>IF('Document Workflow'!A10146&lt;&gt;"",'Document Workflow'!A10146,"")</f>
        <v/>
      </c>
    </row>
    <row r="10148" spans="1:1">
      <c r="A10148" s="7" t="str">
        <f>IF('Document Workflow'!A10147&lt;&gt;"",'Document Workflow'!A10147,"")</f>
        <v/>
      </c>
    </row>
    <row r="10149" spans="1:1">
      <c r="A10149" s="7" t="str">
        <f>IF('Document Workflow'!A10148&lt;&gt;"",'Document Workflow'!A10148,"")</f>
        <v/>
      </c>
    </row>
    <row r="10150" spans="1:1">
      <c r="A10150" s="7" t="str">
        <f>IF('Document Workflow'!A10149&lt;&gt;"",'Document Workflow'!A10149,"")</f>
        <v/>
      </c>
    </row>
    <row r="10151" spans="1:1">
      <c r="A10151" s="7" t="str">
        <f>IF('Document Workflow'!A10150&lt;&gt;"",'Document Workflow'!A10150,"")</f>
        <v/>
      </c>
    </row>
    <row r="10152" spans="1:1">
      <c r="A10152" s="7" t="str">
        <f>IF('Document Workflow'!A10151&lt;&gt;"",'Document Workflow'!A10151,"")</f>
        <v/>
      </c>
    </row>
    <row r="10153" spans="1:1">
      <c r="A10153" s="7" t="str">
        <f>IF('Document Workflow'!A10152&lt;&gt;"",'Document Workflow'!A10152,"")</f>
        <v/>
      </c>
    </row>
    <row r="10154" spans="1:1">
      <c r="A10154" s="7" t="str">
        <f>IF('Document Workflow'!A10153&lt;&gt;"",'Document Workflow'!A10153,"")</f>
        <v/>
      </c>
    </row>
    <row r="10155" spans="1:1">
      <c r="A10155" s="7" t="str">
        <f>IF('Document Workflow'!A10154&lt;&gt;"",'Document Workflow'!A10154,"")</f>
        <v/>
      </c>
    </row>
    <row r="10156" spans="1:1">
      <c r="A10156" s="7" t="str">
        <f>IF('Document Workflow'!A10155&lt;&gt;"",'Document Workflow'!A10155,"")</f>
        <v/>
      </c>
    </row>
    <row r="10157" spans="1:1">
      <c r="A10157" s="7" t="str">
        <f>IF('Document Workflow'!A10156&lt;&gt;"",'Document Workflow'!A10156,"")</f>
        <v/>
      </c>
    </row>
    <row r="10158" spans="1:1">
      <c r="A10158" s="7" t="str">
        <f>IF('Document Workflow'!A10157&lt;&gt;"",'Document Workflow'!A10157,"")</f>
        <v/>
      </c>
    </row>
    <row r="10159" spans="1:1">
      <c r="A10159" s="7" t="str">
        <f>IF('Document Workflow'!A10158&lt;&gt;"",'Document Workflow'!A10158,"")</f>
        <v/>
      </c>
    </row>
    <row r="10160" spans="1:1">
      <c r="A10160" s="7" t="str">
        <f>IF('Document Workflow'!A10159&lt;&gt;"",'Document Workflow'!A10159,"")</f>
        <v/>
      </c>
    </row>
    <row r="10161" spans="1:1">
      <c r="A10161" s="7" t="str">
        <f>IF('Document Workflow'!A10160&lt;&gt;"",'Document Workflow'!A10160,"")</f>
        <v/>
      </c>
    </row>
    <row r="10162" spans="1:1">
      <c r="A10162" s="7" t="str">
        <f>IF('Document Workflow'!A10161&lt;&gt;"",'Document Workflow'!A10161,"")</f>
        <v/>
      </c>
    </row>
    <row r="10163" spans="1:1">
      <c r="A10163" s="7" t="str">
        <f>IF('Document Workflow'!A10162&lt;&gt;"",'Document Workflow'!A10162,"")</f>
        <v/>
      </c>
    </row>
    <row r="10164" spans="1:1">
      <c r="A10164" s="7" t="str">
        <f>IF('Document Workflow'!A10163&lt;&gt;"",'Document Workflow'!A10163,"")</f>
        <v/>
      </c>
    </row>
    <row r="10165" spans="1:1">
      <c r="A10165" s="7" t="str">
        <f>IF('Document Workflow'!A10164&lt;&gt;"",'Document Workflow'!A10164,"")</f>
        <v/>
      </c>
    </row>
    <row r="10166" spans="1:1">
      <c r="A10166" s="7" t="str">
        <f>IF('Document Workflow'!A10165&lt;&gt;"",'Document Workflow'!A10165,"")</f>
        <v/>
      </c>
    </row>
    <row r="10167" spans="1:1">
      <c r="A10167" s="7" t="str">
        <f>IF('Document Workflow'!A10166&lt;&gt;"",'Document Workflow'!A10166,"")</f>
        <v/>
      </c>
    </row>
    <row r="10168" spans="1:1">
      <c r="A10168" s="7" t="str">
        <f>IF('Document Workflow'!A10167&lt;&gt;"",'Document Workflow'!A10167,"")</f>
        <v/>
      </c>
    </row>
    <row r="10169" spans="1:1">
      <c r="A10169" s="7" t="str">
        <f>IF('Document Workflow'!A10168&lt;&gt;"",'Document Workflow'!A10168,"")</f>
        <v/>
      </c>
    </row>
    <row r="10170" spans="1:1">
      <c r="A10170" s="7" t="str">
        <f>IF('Document Workflow'!A10169&lt;&gt;"",'Document Workflow'!A10169,"")</f>
        <v/>
      </c>
    </row>
    <row r="10171" spans="1:1">
      <c r="A10171" s="7" t="str">
        <f>IF('Document Workflow'!A10170&lt;&gt;"",'Document Workflow'!A10170,"")</f>
        <v/>
      </c>
    </row>
    <row r="10172" spans="1:1">
      <c r="A10172" s="7" t="str">
        <f>IF('Document Workflow'!A10171&lt;&gt;"",'Document Workflow'!A10171,"")</f>
        <v/>
      </c>
    </row>
    <row r="10173" spans="1:1">
      <c r="A10173" s="7" t="str">
        <f>IF('Document Workflow'!A10172&lt;&gt;"",'Document Workflow'!A10172,"")</f>
        <v/>
      </c>
    </row>
    <row r="10174" spans="1:1">
      <c r="A10174" s="7" t="str">
        <f>IF('Document Workflow'!A10173&lt;&gt;"",'Document Workflow'!A10173,"")</f>
        <v/>
      </c>
    </row>
    <row r="10175" spans="1:1">
      <c r="A10175" s="7" t="str">
        <f>IF('Document Workflow'!A10174&lt;&gt;"",'Document Workflow'!A10174,"")</f>
        <v/>
      </c>
    </row>
    <row r="10176" spans="1:1">
      <c r="A10176" s="7" t="str">
        <f>IF('Document Workflow'!A10175&lt;&gt;"",'Document Workflow'!A10175,"")</f>
        <v/>
      </c>
    </row>
    <row r="10177" spans="1:1">
      <c r="A10177" s="7" t="str">
        <f>IF('Document Workflow'!A10176&lt;&gt;"",'Document Workflow'!A10176,"")</f>
        <v/>
      </c>
    </row>
    <row r="10178" spans="1:1">
      <c r="A10178" s="7" t="str">
        <f>IF('Document Workflow'!A10177&lt;&gt;"",'Document Workflow'!A10177,"")</f>
        <v/>
      </c>
    </row>
    <row r="10179" spans="1:1">
      <c r="A10179" s="7" t="str">
        <f>IF('Document Workflow'!A10178&lt;&gt;"",'Document Workflow'!A10178,"")</f>
        <v/>
      </c>
    </row>
    <row r="10180" spans="1:1">
      <c r="A10180" s="7" t="str">
        <f>IF('Document Workflow'!A10179&lt;&gt;"",'Document Workflow'!A10179,"")</f>
        <v/>
      </c>
    </row>
    <row r="10181" spans="1:1">
      <c r="A10181" s="7" t="str">
        <f>IF('Document Workflow'!A10180&lt;&gt;"",'Document Workflow'!A10180,"")</f>
        <v/>
      </c>
    </row>
    <row r="10182" spans="1:1">
      <c r="A10182" s="7" t="str">
        <f>IF('Document Workflow'!A10181&lt;&gt;"",'Document Workflow'!A10181,"")</f>
        <v/>
      </c>
    </row>
    <row r="10183" spans="1:1">
      <c r="A10183" s="7" t="str">
        <f>IF('Document Workflow'!A10182&lt;&gt;"",'Document Workflow'!A10182,"")</f>
        <v/>
      </c>
    </row>
    <row r="10184" spans="1:1">
      <c r="A10184" s="7" t="str">
        <f>IF('Document Workflow'!A10183&lt;&gt;"",'Document Workflow'!A10183,"")</f>
        <v/>
      </c>
    </row>
    <row r="10185" spans="1:1">
      <c r="A10185" s="7" t="str">
        <f>IF('Document Workflow'!A10184&lt;&gt;"",'Document Workflow'!A10184,"")</f>
        <v/>
      </c>
    </row>
    <row r="10186" spans="1:1">
      <c r="A10186" s="7" t="str">
        <f>IF('Document Workflow'!A10185&lt;&gt;"",'Document Workflow'!A10185,"")</f>
        <v/>
      </c>
    </row>
    <row r="10187" spans="1:1">
      <c r="A10187" s="7" t="str">
        <f>IF('Document Workflow'!A10186&lt;&gt;"",'Document Workflow'!A10186,"")</f>
        <v/>
      </c>
    </row>
    <row r="10188" spans="1:1">
      <c r="A10188" s="7" t="str">
        <f>IF('Document Workflow'!A10187&lt;&gt;"",'Document Workflow'!A10187,"")</f>
        <v/>
      </c>
    </row>
    <row r="10189" spans="1:1">
      <c r="A10189" s="7" t="str">
        <f>IF('Document Workflow'!A10188&lt;&gt;"",'Document Workflow'!A10188,"")</f>
        <v/>
      </c>
    </row>
    <row r="10190" spans="1:1">
      <c r="A10190" s="7" t="str">
        <f>IF('Document Workflow'!A10189&lt;&gt;"",'Document Workflow'!A10189,"")</f>
        <v/>
      </c>
    </row>
    <row r="10191" spans="1:1">
      <c r="A10191" s="7" t="str">
        <f>IF('Document Workflow'!A10190&lt;&gt;"",'Document Workflow'!A10190,"")</f>
        <v/>
      </c>
    </row>
    <row r="10192" spans="1:1">
      <c r="A10192" s="7" t="str">
        <f>IF('Document Workflow'!A10191&lt;&gt;"",'Document Workflow'!A10191,"")</f>
        <v/>
      </c>
    </row>
    <row r="10193" spans="1:1">
      <c r="A10193" s="7" t="str">
        <f>IF('Document Workflow'!A10192&lt;&gt;"",'Document Workflow'!A10192,"")</f>
        <v/>
      </c>
    </row>
    <row r="10194" spans="1:1">
      <c r="A10194" s="7" t="str">
        <f>IF('Document Workflow'!A10193&lt;&gt;"",'Document Workflow'!A10193,"")</f>
        <v/>
      </c>
    </row>
    <row r="10195" spans="1:1">
      <c r="A10195" s="7" t="str">
        <f>IF('Document Workflow'!A10194&lt;&gt;"",'Document Workflow'!A10194,"")</f>
        <v/>
      </c>
    </row>
    <row r="10196" spans="1:1">
      <c r="A10196" s="7" t="str">
        <f>IF('Document Workflow'!A10195&lt;&gt;"",'Document Workflow'!A10195,"")</f>
        <v/>
      </c>
    </row>
    <row r="10197" spans="1:1">
      <c r="A10197" s="7" t="str">
        <f>IF('Document Workflow'!A10196&lt;&gt;"",'Document Workflow'!A10196,"")</f>
        <v/>
      </c>
    </row>
    <row r="10198" spans="1:1">
      <c r="A10198" s="7" t="str">
        <f>IF('Document Workflow'!A10197&lt;&gt;"",'Document Workflow'!A10197,"")</f>
        <v/>
      </c>
    </row>
    <row r="10199" spans="1:1">
      <c r="A10199" s="7" t="str">
        <f>IF('Document Workflow'!A10198&lt;&gt;"",'Document Workflow'!A10198,"")</f>
        <v/>
      </c>
    </row>
    <row r="10200" spans="1:1">
      <c r="A10200" s="7" t="str">
        <f>IF('Document Workflow'!A10199&lt;&gt;"",'Document Workflow'!A10199,"")</f>
        <v/>
      </c>
    </row>
    <row r="10201" spans="1:1">
      <c r="A10201" s="7" t="str">
        <f>IF('Document Workflow'!A10200&lt;&gt;"",'Document Workflow'!A10200,"")</f>
        <v/>
      </c>
    </row>
    <row r="10202" spans="1:1">
      <c r="A10202" s="7" t="str">
        <f>IF('Document Workflow'!A10201&lt;&gt;"",'Document Workflow'!A10201,"")</f>
        <v/>
      </c>
    </row>
    <row r="10203" spans="1:1">
      <c r="A10203" s="7" t="str">
        <f>IF('Document Workflow'!A10202&lt;&gt;"",'Document Workflow'!A10202,"")</f>
        <v/>
      </c>
    </row>
    <row r="10204" spans="1:1">
      <c r="A10204" s="7" t="str">
        <f>IF('Document Workflow'!A10203&lt;&gt;"",'Document Workflow'!A10203,"")</f>
        <v/>
      </c>
    </row>
    <row r="10205" spans="1:1">
      <c r="A10205" s="7" t="str">
        <f>IF('Document Workflow'!A10204&lt;&gt;"",'Document Workflow'!A10204,"")</f>
        <v/>
      </c>
    </row>
    <row r="10206" spans="1:1">
      <c r="A10206" s="7" t="str">
        <f>IF('Document Workflow'!A10205&lt;&gt;"",'Document Workflow'!A10205,"")</f>
        <v/>
      </c>
    </row>
    <row r="10207" spans="1:1">
      <c r="A10207" s="7" t="str">
        <f>IF('Document Workflow'!A10206&lt;&gt;"",'Document Workflow'!A10206,"")</f>
        <v/>
      </c>
    </row>
    <row r="10208" spans="1:1">
      <c r="A10208" s="7" t="str">
        <f>IF('Document Workflow'!A10207&lt;&gt;"",'Document Workflow'!A10207,"")</f>
        <v/>
      </c>
    </row>
    <row r="10209" spans="1:1">
      <c r="A10209" s="7" t="str">
        <f>IF('Document Workflow'!A10208&lt;&gt;"",'Document Workflow'!A10208,"")</f>
        <v/>
      </c>
    </row>
    <row r="10210" spans="1:1">
      <c r="A10210" s="7" t="str">
        <f>IF('Document Workflow'!A10209&lt;&gt;"",'Document Workflow'!A10209,"")</f>
        <v/>
      </c>
    </row>
    <row r="10211" spans="1:1">
      <c r="A10211" s="7" t="str">
        <f>IF('Document Workflow'!A10210&lt;&gt;"",'Document Workflow'!A10210,"")</f>
        <v/>
      </c>
    </row>
    <row r="10212" spans="1:1">
      <c r="A10212" s="7" t="str">
        <f>IF('Document Workflow'!A10211&lt;&gt;"",'Document Workflow'!A10211,"")</f>
        <v/>
      </c>
    </row>
    <row r="10213" spans="1:1">
      <c r="A10213" s="7" t="str">
        <f>IF('Document Workflow'!A10212&lt;&gt;"",'Document Workflow'!A10212,"")</f>
        <v/>
      </c>
    </row>
    <row r="10214" spans="1:1">
      <c r="A10214" s="7" t="str">
        <f>IF('Document Workflow'!A10213&lt;&gt;"",'Document Workflow'!A10213,"")</f>
        <v/>
      </c>
    </row>
    <row r="10215" spans="1:1">
      <c r="A10215" s="7" t="str">
        <f>IF('Document Workflow'!A10214&lt;&gt;"",'Document Workflow'!A10214,"")</f>
        <v/>
      </c>
    </row>
    <row r="10216" spans="1:1">
      <c r="A10216" s="7" t="str">
        <f>IF('Document Workflow'!A10215&lt;&gt;"",'Document Workflow'!A10215,"")</f>
        <v/>
      </c>
    </row>
    <row r="10217" spans="1:1">
      <c r="A10217" s="7" t="str">
        <f>IF('Document Workflow'!A10216&lt;&gt;"",'Document Workflow'!A10216,"")</f>
        <v/>
      </c>
    </row>
    <row r="10218" spans="1:1">
      <c r="A10218" s="7" t="str">
        <f>IF('Document Workflow'!A10217&lt;&gt;"",'Document Workflow'!A10217,"")</f>
        <v/>
      </c>
    </row>
    <row r="10219" spans="1:1">
      <c r="A10219" s="7" t="str">
        <f>IF('Document Workflow'!A10218&lt;&gt;"",'Document Workflow'!A10218,"")</f>
        <v/>
      </c>
    </row>
    <row r="10220" spans="1:1">
      <c r="A10220" s="7" t="str">
        <f>IF('Document Workflow'!A10219&lt;&gt;"",'Document Workflow'!A10219,"")</f>
        <v/>
      </c>
    </row>
    <row r="10221" spans="1:1">
      <c r="A10221" s="7" t="str">
        <f>IF('Document Workflow'!A10220&lt;&gt;"",'Document Workflow'!A10220,"")</f>
        <v/>
      </c>
    </row>
    <row r="10222" spans="1:1">
      <c r="A10222" s="7" t="str">
        <f>IF('Document Workflow'!A10221&lt;&gt;"",'Document Workflow'!A10221,"")</f>
        <v/>
      </c>
    </row>
    <row r="10223" spans="1:1">
      <c r="A10223" s="7" t="str">
        <f>IF('Document Workflow'!A10222&lt;&gt;"",'Document Workflow'!A10222,"")</f>
        <v/>
      </c>
    </row>
    <row r="10224" spans="1:1">
      <c r="A10224" s="7" t="str">
        <f>IF('Document Workflow'!A10223&lt;&gt;"",'Document Workflow'!A10223,"")</f>
        <v/>
      </c>
    </row>
    <row r="10225" spans="1:1">
      <c r="A10225" s="7" t="str">
        <f>IF('Document Workflow'!A10224&lt;&gt;"",'Document Workflow'!A10224,"")</f>
        <v/>
      </c>
    </row>
    <row r="10226" spans="1:1">
      <c r="A10226" s="7" t="str">
        <f>IF('Document Workflow'!A10225&lt;&gt;"",'Document Workflow'!A10225,"")</f>
        <v/>
      </c>
    </row>
    <row r="10227" spans="1:1">
      <c r="A10227" s="7" t="str">
        <f>IF('Document Workflow'!A10226&lt;&gt;"",'Document Workflow'!A10226,"")</f>
        <v/>
      </c>
    </row>
    <row r="10228" spans="1:1">
      <c r="A10228" s="7" t="str">
        <f>IF('Document Workflow'!A10227&lt;&gt;"",'Document Workflow'!A10227,"")</f>
        <v/>
      </c>
    </row>
    <row r="10229" spans="1:1">
      <c r="A10229" s="7" t="str">
        <f>IF('Document Workflow'!A10228&lt;&gt;"",'Document Workflow'!A10228,"")</f>
        <v/>
      </c>
    </row>
    <row r="10230" spans="1:1">
      <c r="A10230" s="7" t="str">
        <f>IF('Document Workflow'!A10229&lt;&gt;"",'Document Workflow'!A10229,"")</f>
        <v/>
      </c>
    </row>
    <row r="10231" spans="1:1">
      <c r="A10231" s="7" t="str">
        <f>IF('Document Workflow'!A10230&lt;&gt;"",'Document Workflow'!A10230,"")</f>
        <v/>
      </c>
    </row>
    <row r="10232" spans="1:1">
      <c r="A10232" s="7" t="str">
        <f>IF('Document Workflow'!A10231&lt;&gt;"",'Document Workflow'!A10231,"")</f>
        <v/>
      </c>
    </row>
    <row r="10233" spans="1:1">
      <c r="A10233" s="7" t="str">
        <f>IF('Document Workflow'!A10232&lt;&gt;"",'Document Workflow'!A10232,"")</f>
        <v/>
      </c>
    </row>
    <row r="10234" spans="1:1">
      <c r="A10234" s="7" t="str">
        <f>IF('Document Workflow'!A10233&lt;&gt;"",'Document Workflow'!A10233,"")</f>
        <v/>
      </c>
    </row>
    <row r="10235" spans="1:1">
      <c r="A10235" s="7" t="str">
        <f>IF('Document Workflow'!A10234&lt;&gt;"",'Document Workflow'!A10234,"")</f>
        <v/>
      </c>
    </row>
    <row r="10236" spans="1:1">
      <c r="A10236" s="7" t="str">
        <f>IF('Document Workflow'!A10235&lt;&gt;"",'Document Workflow'!A10235,"")</f>
        <v/>
      </c>
    </row>
    <row r="10237" spans="1:1">
      <c r="A10237" s="7" t="str">
        <f>IF('Document Workflow'!A10236&lt;&gt;"",'Document Workflow'!A10236,"")</f>
        <v/>
      </c>
    </row>
    <row r="10238" spans="1:1">
      <c r="A10238" s="7" t="str">
        <f>IF('Document Workflow'!A10237&lt;&gt;"",'Document Workflow'!A10237,"")</f>
        <v/>
      </c>
    </row>
    <row r="10239" spans="1:1">
      <c r="A10239" s="7" t="str">
        <f>IF('Document Workflow'!A10238&lt;&gt;"",'Document Workflow'!A10238,"")</f>
        <v/>
      </c>
    </row>
    <row r="10240" spans="1:1">
      <c r="A10240" s="7" t="str">
        <f>IF('Document Workflow'!A10239&lt;&gt;"",'Document Workflow'!A10239,"")</f>
        <v/>
      </c>
    </row>
    <row r="10241" spans="1:1">
      <c r="A10241" s="7" t="str">
        <f>IF('Document Workflow'!A10240&lt;&gt;"",'Document Workflow'!A10240,"")</f>
        <v/>
      </c>
    </row>
    <row r="10242" spans="1:1">
      <c r="A10242" s="7" t="str">
        <f>IF('Document Workflow'!A10241&lt;&gt;"",'Document Workflow'!A10241,"")</f>
        <v/>
      </c>
    </row>
    <row r="10243" spans="1:1">
      <c r="A10243" s="7" t="str">
        <f>IF('Document Workflow'!A10242&lt;&gt;"",'Document Workflow'!A10242,"")</f>
        <v/>
      </c>
    </row>
    <row r="10244" spans="1:1">
      <c r="A10244" s="7" t="str">
        <f>IF('Document Workflow'!A10243&lt;&gt;"",'Document Workflow'!A10243,"")</f>
        <v/>
      </c>
    </row>
    <row r="10245" spans="1:1">
      <c r="A10245" s="7" t="str">
        <f>IF('Document Workflow'!A10244&lt;&gt;"",'Document Workflow'!A10244,"")</f>
        <v/>
      </c>
    </row>
    <row r="10246" spans="1:1">
      <c r="A10246" s="7" t="str">
        <f>IF('Document Workflow'!A10245&lt;&gt;"",'Document Workflow'!A10245,"")</f>
        <v/>
      </c>
    </row>
    <row r="10247" spans="1:1">
      <c r="A10247" s="7" t="str">
        <f>IF('Document Workflow'!A10246&lt;&gt;"",'Document Workflow'!A10246,"")</f>
        <v/>
      </c>
    </row>
    <row r="10248" spans="1:1">
      <c r="A10248" s="7" t="str">
        <f>IF('Document Workflow'!A10247&lt;&gt;"",'Document Workflow'!A10247,"")</f>
        <v/>
      </c>
    </row>
    <row r="10249" spans="1:1">
      <c r="A10249" s="7" t="str">
        <f>IF('Document Workflow'!A10248&lt;&gt;"",'Document Workflow'!A10248,"")</f>
        <v/>
      </c>
    </row>
    <row r="10250" spans="1:1">
      <c r="A10250" s="7" t="str">
        <f>IF('Document Workflow'!A10249&lt;&gt;"",'Document Workflow'!A10249,"")</f>
        <v/>
      </c>
    </row>
    <row r="10251" spans="1:1">
      <c r="A10251" s="7" t="str">
        <f>IF('Document Workflow'!A10250&lt;&gt;"",'Document Workflow'!A10250,"")</f>
        <v/>
      </c>
    </row>
    <row r="10252" spans="1:1">
      <c r="A10252" s="7" t="str">
        <f>IF('Document Workflow'!A10251&lt;&gt;"",'Document Workflow'!A10251,"")</f>
        <v/>
      </c>
    </row>
    <row r="10253" spans="1:1">
      <c r="A10253" s="7" t="str">
        <f>IF('Document Workflow'!A10252&lt;&gt;"",'Document Workflow'!A10252,"")</f>
        <v/>
      </c>
    </row>
    <row r="10254" spans="1:1">
      <c r="A10254" s="7" t="str">
        <f>IF('Document Workflow'!A10253&lt;&gt;"",'Document Workflow'!A10253,"")</f>
        <v/>
      </c>
    </row>
    <row r="10255" spans="1:1">
      <c r="A10255" s="7" t="str">
        <f>IF('Document Workflow'!A10254&lt;&gt;"",'Document Workflow'!A10254,"")</f>
        <v/>
      </c>
    </row>
    <row r="10256" spans="1:1">
      <c r="A10256" s="7" t="str">
        <f>IF('Document Workflow'!A10255&lt;&gt;"",'Document Workflow'!A10255,"")</f>
        <v/>
      </c>
    </row>
    <row r="10257" spans="1:1">
      <c r="A10257" s="7" t="str">
        <f>IF('Document Workflow'!A10256&lt;&gt;"",'Document Workflow'!A10256,"")</f>
        <v/>
      </c>
    </row>
    <row r="10258" spans="1:1">
      <c r="A10258" s="7" t="str">
        <f>IF('Document Workflow'!A10257&lt;&gt;"",'Document Workflow'!A10257,"")</f>
        <v/>
      </c>
    </row>
    <row r="10259" spans="1:1">
      <c r="A10259" s="7" t="str">
        <f>IF('Document Workflow'!A10258&lt;&gt;"",'Document Workflow'!A10258,"")</f>
        <v/>
      </c>
    </row>
    <row r="10260" spans="1:1">
      <c r="A10260" s="7" t="str">
        <f>IF('Document Workflow'!A10259&lt;&gt;"",'Document Workflow'!A10259,"")</f>
        <v/>
      </c>
    </row>
    <row r="10261" spans="1:1">
      <c r="A10261" s="7" t="str">
        <f>IF('Document Workflow'!A10260&lt;&gt;"",'Document Workflow'!A10260,"")</f>
        <v/>
      </c>
    </row>
    <row r="10262" spans="1:1">
      <c r="A10262" s="7" t="str">
        <f>IF('Document Workflow'!A10261&lt;&gt;"",'Document Workflow'!A10261,"")</f>
        <v/>
      </c>
    </row>
    <row r="10263" spans="1:1">
      <c r="A10263" s="7" t="str">
        <f>IF('Document Workflow'!A10262&lt;&gt;"",'Document Workflow'!A10262,"")</f>
        <v/>
      </c>
    </row>
    <row r="10264" spans="1:1">
      <c r="A10264" s="7" t="str">
        <f>IF('Document Workflow'!A10263&lt;&gt;"",'Document Workflow'!A10263,"")</f>
        <v/>
      </c>
    </row>
    <row r="10265" spans="1:1">
      <c r="A10265" s="7" t="str">
        <f>IF('Document Workflow'!A10264&lt;&gt;"",'Document Workflow'!A10264,"")</f>
        <v/>
      </c>
    </row>
    <row r="10266" spans="1:1">
      <c r="A10266" s="7" t="str">
        <f>IF('Document Workflow'!A10265&lt;&gt;"",'Document Workflow'!A10265,"")</f>
        <v/>
      </c>
    </row>
    <row r="10267" spans="1:1">
      <c r="A10267" s="7" t="str">
        <f>IF('Document Workflow'!A10266&lt;&gt;"",'Document Workflow'!A10266,"")</f>
        <v/>
      </c>
    </row>
    <row r="10268" spans="1:1">
      <c r="A10268" s="7" t="str">
        <f>IF('Document Workflow'!A10267&lt;&gt;"",'Document Workflow'!A10267,"")</f>
        <v/>
      </c>
    </row>
    <row r="10269" spans="1:1">
      <c r="A10269" s="7" t="str">
        <f>IF('Document Workflow'!A10268&lt;&gt;"",'Document Workflow'!A10268,"")</f>
        <v/>
      </c>
    </row>
    <row r="10270" spans="1:1">
      <c r="A10270" s="7" t="str">
        <f>IF('Document Workflow'!A10269&lt;&gt;"",'Document Workflow'!A10269,"")</f>
        <v/>
      </c>
    </row>
    <row r="10271" spans="1:1">
      <c r="A10271" s="7" t="str">
        <f>IF('Document Workflow'!A10270&lt;&gt;"",'Document Workflow'!A10270,"")</f>
        <v/>
      </c>
    </row>
    <row r="10272" spans="1:1">
      <c r="A10272" s="7" t="str">
        <f>IF('Document Workflow'!A10271&lt;&gt;"",'Document Workflow'!A10271,"")</f>
        <v/>
      </c>
    </row>
    <row r="10273" spans="1:1">
      <c r="A10273" s="7" t="str">
        <f>IF('Document Workflow'!A10272&lt;&gt;"",'Document Workflow'!A10272,"")</f>
        <v/>
      </c>
    </row>
    <row r="10274" spans="1:1">
      <c r="A10274" s="7" t="str">
        <f>IF('Document Workflow'!A10273&lt;&gt;"",'Document Workflow'!A10273,"")</f>
        <v/>
      </c>
    </row>
    <row r="10275" spans="1:1">
      <c r="A10275" s="7" t="str">
        <f>IF('Document Workflow'!A10274&lt;&gt;"",'Document Workflow'!A10274,"")</f>
        <v/>
      </c>
    </row>
    <row r="10276" spans="1:1">
      <c r="A10276" s="7" t="str">
        <f>IF('Document Workflow'!A10275&lt;&gt;"",'Document Workflow'!A10275,"")</f>
        <v/>
      </c>
    </row>
    <row r="10277" spans="1:1">
      <c r="A10277" s="7" t="str">
        <f>IF('Document Workflow'!A10276&lt;&gt;"",'Document Workflow'!A10276,"")</f>
        <v/>
      </c>
    </row>
    <row r="10278" spans="1:1">
      <c r="A10278" s="7" t="str">
        <f>IF('Document Workflow'!A10277&lt;&gt;"",'Document Workflow'!A10277,"")</f>
        <v/>
      </c>
    </row>
    <row r="10279" spans="1:1">
      <c r="A10279" s="7" t="str">
        <f>IF('Document Workflow'!A10278&lt;&gt;"",'Document Workflow'!A10278,"")</f>
        <v/>
      </c>
    </row>
    <row r="10280" spans="1:1">
      <c r="A10280" s="7" t="str">
        <f>IF('Document Workflow'!A10279&lt;&gt;"",'Document Workflow'!A10279,"")</f>
        <v/>
      </c>
    </row>
    <row r="10281" spans="1:1">
      <c r="A10281" s="7" t="str">
        <f>IF('Document Workflow'!A10280&lt;&gt;"",'Document Workflow'!A10280,"")</f>
        <v/>
      </c>
    </row>
    <row r="10282" spans="1:1">
      <c r="A10282" s="7" t="str">
        <f>IF('Document Workflow'!A10281&lt;&gt;"",'Document Workflow'!A10281,"")</f>
        <v/>
      </c>
    </row>
    <row r="10283" spans="1:1">
      <c r="A10283" s="7" t="str">
        <f>IF('Document Workflow'!A10282&lt;&gt;"",'Document Workflow'!A10282,"")</f>
        <v/>
      </c>
    </row>
    <row r="10284" spans="1:1">
      <c r="A10284" s="7" t="str">
        <f>IF('Document Workflow'!A10283&lt;&gt;"",'Document Workflow'!A10283,"")</f>
        <v/>
      </c>
    </row>
    <row r="10285" spans="1:1">
      <c r="A10285" s="7" t="str">
        <f>IF('Document Workflow'!A10284&lt;&gt;"",'Document Workflow'!A10284,"")</f>
        <v/>
      </c>
    </row>
    <row r="10286" spans="1:1">
      <c r="A10286" s="7" t="str">
        <f>IF('Document Workflow'!A10285&lt;&gt;"",'Document Workflow'!A10285,"")</f>
        <v/>
      </c>
    </row>
    <row r="10287" spans="1:1">
      <c r="A10287" s="7" t="str">
        <f>IF('Document Workflow'!A10286&lt;&gt;"",'Document Workflow'!A10286,"")</f>
        <v/>
      </c>
    </row>
    <row r="10288" spans="1:1">
      <c r="A10288" s="7" t="str">
        <f>IF('Document Workflow'!A10287&lt;&gt;"",'Document Workflow'!A10287,"")</f>
        <v/>
      </c>
    </row>
    <row r="10289" spans="1:1">
      <c r="A10289" s="7" t="str">
        <f>IF('Document Workflow'!A10288&lt;&gt;"",'Document Workflow'!A10288,"")</f>
        <v/>
      </c>
    </row>
    <row r="10290" spans="1:1">
      <c r="A10290" s="7" t="str">
        <f>IF('Document Workflow'!A10289&lt;&gt;"",'Document Workflow'!A10289,"")</f>
        <v/>
      </c>
    </row>
    <row r="10291" spans="1:1">
      <c r="A10291" s="7" t="str">
        <f>IF('Document Workflow'!A10290&lt;&gt;"",'Document Workflow'!A10290,"")</f>
        <v/>
      </c>
    </row>
    <row r="10292" spans="1:1">
      <c r="A10292" s="7" t="str">
        <f>IF('Document Workflow'!A10291&lt;&gt;"",'Document Workflow'!A10291,"")</f>
        <v/>
      </c>
    </row>
    <row r="10293" spans="1:1">
      <c r="A10293" s="7" t="str">
        <f>IF('Document Workflow'!A10292&lt;&gt;"",'Document Workflow'!A10292,"")</f>
        <v/>
      </c>
    </row>
    <row r="10294" spans="1:1">
      <c r="A10294" s="7" t="str">
        <f>IF('Document Workflow'!A10293&lt;&gt;"",'Document Workflow'!A10293,"")</f>
        <v/>
      </c>
    </row>
    <row r="10295" spans="1:1">
      <c r="A10295" s="7" t="str">
        <f>IF('Document Workflow'!A10294&lt;&gt;"",'Document Workflow'!A10294,"")</f>
        <v/>
      </c>
    </row>
    <row r="10296" spans="1:1">
      <c r="A10296" s="7" t="str">
        <f>IF('Document Workflow'!A10295&lt;&gt;"",'Document Workflow'!A10295,"")</f>
        <v/>
      </c>
    </row>
    <row r="10297" spans="1:1">
      <c r="A10297" s="7" t="str">
        <f>IF('Document Workflow'!A10296&lt;&gt;"",'Document Workflow'!A10296,"")</f>
        <v/>
      </c>
    </row>
    <row r="10298" spans="1:1">
      <c r="A10298" s="7" t="str">
        <f>IF('Document Workflow'!A10297&lt;&gt;"",'Document Workflow'!A10297,"")</f>
        <v/>
      </c>
    </row>
    <row r="10299" spans="1:1">
      <c r="A10299" s="7" t="str">
        <f>IF('Document Workflow'!A10298&lt;&gt;"",'Document Workflow'!A10298,"")</f>
        <v/>
      </c>
    </row>
    <row r="10300" spans="1:1">
      <c r="A10300" s="7" t="str">
        <f>IF('Document Workflow'!A10299&lt;&gt;"",'Document Workflow'!A10299,"")</f>
        <v/>
      </c>
    </row>
    <row r="10301" spans="1:1">
      <c r="A10301" s="7" t="str">
        <f>IF('Document Workflow'!A10300&lt;&gt;"",'Document Workflow'!A10300,"")</f>
        <v/>
      </c>
    </row>
    <row r="10302" spans="1:1">
      <c r="A10302" s="7" t="str">
        <f>IF('Document Workflow'!A10301&lt;&gt;"",'Document Workflow'!A10301,"")</f>
        <v/>
      </c>
    </row>
    <row r="10303" spans="1:1">
      <c r="A10303" s="7" t="str">
        <f>IF('Document Workflow'!A10302&lt;&gt;"",'Document Workflow'!A10302,"")</f>
        <v/>
      </c>
    </row>
    <row r="10304" spans="1:1">
      <c r="A10304" s="7" t="str">
        <f>IF('Document Workflow'!A10303&lt;&gt;"",'Document Workflow'!A10303,"")</f>
        <v/>
      </c>
    </row>
    <row r="10305" spans="1:1">
      <c r="A10305" s="7" t="str">
        <f>IF('Document Workflow'!A10304&lt;&gt;"",'Document Workflow'!A10304,"")</f>
        <v/>
      </c>
    </row>
    <row r="10306" spans="1:1">
      <c r="A10306" s="7" t="str">
        <f>IF('Document Workflow'!A10305&lt;&gt;"",'Document Workflow'!A10305,"")</f>
        <v/>
      </c>
    </row>
    <row r="10307" spans="1:1">
      <c r="A10307" s="7" t="str">
        <f>IF('Document Workflow'!A10306&lt;&gt;"",'Document Workflow'!A10306,"")</f>
        <v/>
      </c>
    </row>
    <row r="10308" spans="1:1">
      <c r="A10308" s="7" t="str">
        <f>IF('Document Workflow'!A10307&lt;&gt;"",'Document Workflow'!A10307,"")</f>
        <v/>
      </c>
    </row>
    <row r="10309" spans="1:1">
      <c r="A10309" s="7" t="str">
        <f>IF('Document Workflow'!A10308&lt;&gt;"",'Document Workflow'!A10308,"")</f>
        <v/>
      </c>
    </row>
    <row r="10310" spans="1:1">
      <c r="A10310" s="7" t="str">
        <f>IF('Document Workflow'!A10309&lt;&gt;"",'Document Workflow'!A10309,"")</f>
        <v/>
      </c>
    </row>
    <row r="10311" spans="1:1">
      <c r="A10311" s="7" t="str">
        <f>IF('Document Workflow'!A10310&lt;&gt;"",'Document Workflow'!A10310,"")</f>
        <v/>
      </c>
    </row>
    <row r="10312" spans="1:1">
      <c r="A10312" s="7" t="str">
        <f>IF('Document Workflow'!A10311&lt;&gt;"",'Document Workflow'!A10311,"")</f>
        <v/>
      </c>
    </row>
    <row r="10313" spans="1:1">
      <c r="A10313" s="7" t="str">
        <f>IF('Document Workflow'!A10312&lt;&gt;"",'Document Workflow'!A10312,"")</f>
        <v/>
      </c>
    </row>
    <row r="10314" spans="1:1">
      <c r="A10314" s="7" t="str">
        <f>IF('Document Workflow'!A10313&lt;&gt;"",'Document Workflow'!A10313,"")</f>
        <v/>
      </c>
    </row>
    <row r="10315" spans="1:1">
      <c r="A10315" s="7" t="str">
        <f>IF('Document Workflow'!A10314&lt;&gt;"",'Document Workflow'!A10314,"")</f>
        <v/>
      </c>
    </row>
    <row r="10316" spans="1:1">
      <c r="A10316" s="7" t="str">
        <f>IF('Document Workflow'!A10315&lt;&gt;"",'Document Workflow'!A10315,"")</f>
        <v/>
      </c>
    </row>
    <row r="10317" spans="1:1">
      <c r="A10317" s="7" t="str">
        <f>IF('Document Workflow'!A10316&lt;&gt;"",'Document Workflow'!A10316,"")</f>
        <v/>
      </c>
    </row>
    <row r="10318" spans="1:1">
      <c r="A10318" s="7" t="str">
        <f>IF('Document Workflow'!A10317&lt;&gt;"",'Document Workflow'!A10317,"")</f>
        <v/>
      </c>
    </row>
    <row r="10319" spans="1:1">
      <c r="A10319" s="7" t="str">
        <f>IF('Document Workflow'!A10318&lt;&gt;"",'Document Workflow'!A10318,"")</f>
        <v/>
      </c>
    </row>
    <row r="10320" spans="1:1">
      <c r="A10320" s="7" t="str">
        <f>IF('Document Workflow'!A10319&lt;&gt;"",'Document Workflow'!A10319,"")</f>
        <v/>
      </c>
    </row>
    <row r="10321" spans="1:1">
      <c r="A10321" s="7" t="str">
        <f>IF('Document Workflow'!A10320&lt;&gt;"",'Document Workflow'!A10320,"")</f>
        <v/>
      </c>
    </row>
    <row r="10322" spans="1:1">
      <c r="A10322" s="7" t="str">
        <f>IF('Document Workflow'!A10321&lt;&gt;"",'Document Workflow'!A10321,"")</f>
        <v/>
      </c>
    </row>
    <row r="10323" spans="1:1">
      <c r="A10323" s="7" t="str">
        <f>IF('Document Workflow'!A10322&lt;&gt;"",'Document Workflow'!A10322,"")</f>
        <v/>
      </c>
    </row>
    <row r="10324" spans="1:1">
      <c r="A10324" s="7" t="str">
        <f>IF('Document Workflow'!A10323&lt;&gt;"",'Document Workflow'!A10323,"")</f>
        <v/>
      </c>
    </row>
    <row r="10325" spans="1:1">
      <c r="A10325" s="7" t="str">
        <f>IF('Document Workflow'!A10324&lt;&gt;"",'Document Workflow'!A10324,"")</f>
        <v/>
      </c>
    </row>
    <row r="10326" spans="1:1">
      <c r="A10326" s="7" t="str">
        <f>IF('Document Workflow'!A10325&lt;&gt;"",'Document Workflow'!A10325,"")</f>
        <v/>
      </c>
    </row>
    <row r="10327" spans="1:1">
      <c r="A10327" s="7" t="str">
        <f>IF('Document Workflow'!A10326&lt;&gt;"",'Document Workflow'!A10326,"")</f>
        <v/>
      </c>
    </row>
    <row r="10328" spans="1:1">
      <c r="A10328" s="7" t="str">
        <f>IF('Document Workflow'!A10327&lt;&gt;"",'Document Workflow'!A10327,"")</f>
        <v/>
      </c>
    </row>
    <row r="10329" spans="1:1">
      <c r="A10329" s="7" t="str">
        <f>IF('Document Workflow'!A10328&lt;&gt;"",'Document Workflow'!A10328,"")</f>
        <v/>
      </c>
    </row>
    <row r="10330" spans="1:1">
      <c r="A10330" s="7" t="str">
        <f>IF('Document Workflow'!A10329&lt;&gt;"",'Document Workflow'!A10329,"")</f>
        <v/>
      </c>
    </row>
    <row r="10331" spans="1:1">
      <c r="A10331" s="7" t="str">
        <f>IF('Document Workflow'!A10330&lt;&gt;"",'Document Workflow'!A10330,"")</f>
        <v/>
      </c>
    </row>
    <row r="10332" spans="1:1">
      <c r="A10332" s="7" t="str">
        <f>IF('Document Workflow'!A10331&lt;&gt;"",'Document Workflow'!A10331,"")</f>
        <v/>
      </c>
    </row>
    <row r="10333" spans="1:1">
      <c r="A10333" s="7" t="str">
        <f>IF('Document Workflow'!A10332&lt;&gt;"",'Document Workflow'!A10332,"")</f>
        <v/>
      </c>
    </row>
    <row r="10334" spans="1:1">
      <c r="A10334" s="7" t="str">
        <f>IF('Document Workflow'!A10333&lt;&gt;"",'Document Workflow'!A10333,"")</f>
        <v/>
      </c>
    </row>
    <row r="10335" spans="1:1">
      <c r="A10335" s="7" t="str">
        <f>IF('Document Workflow'!A10334&lt;&gt;"",'Document Workflow'!A10334,"")</f>
        <v/>
      </c>
    </row>
    <row r="10336" spans="1:1">
      <c r="A10336" s="7" t="str">
        <f>IF('Document Workflow'!A10335&lt;&gt;"",'Document Workflow'!A10335,"")</f>
        <v/>
      </c>
    </row>
    <row r="10337" spans="1:1">
      <c r="A10337" s="7" t="str">
        <f>IF('Document Workflow'!A10336&lt;&gt;"",'Document Workflow'!A10336,"")</f>
        <v/>
      </c>
    </row>
    <row r="10338" spans="1:1">
      <c r="A10338" s="7" t="str">
        <f>IF('Document Workflow'!A10337&lt;&gt;"",'Document Workflow'!A10337,"")</f>
        <v/>
      </c>
    </row>
    <row r="10339" spans="1:1">
      <c r="A10339" s="7" t="str">
        <f>IF('Document Workflow'!A10338&lt;&gt;"",'Document Workflow'!A10338,"")</f>
        <v/>
      </c>
    </row>
    <row r="10340" spans="1:1">
      <c r="A10340" s="7" t="str">
        <f>IF('Document Workflow'!A10339&lt;&gt;"",'Document Workflow'!A10339,"")</f>
        <v/>
      </c>
    </row>
    <row r="10341" spans="1:1">
      <c r="A10341" s="7" t="str">
        <f>IF('Document Workflow'!A10340&lt;&gt;"",'Document Workflow'!A10340,"")</f>
        <v/>
      </c>
    </row>
    <row r="10342" spans="1:1">
      <c r="A10342" s="7" t="str">
        <f>IF('Document Workflow'!A10341&lt;&gt;"",'Document Workflow'!A10341,"")</f>
        <v/>
      </c>
    </row>
    <row r="10343" spans="1:1">
      <c r="A10343" s="7" t="str">
        <f>IF('Document Workflow'!A10342&lt;&gt;"",'Document Workflow'!A10342,"")</f>
        <v/>
      </c>
    </row>
    <row r="10344" spans="1:1">
      <c r="A10344" s="7" t="str">
        <f>IF('Document Workflow'!A10343&lt;&gt;"",'Document Workflow'!A10343,"")</f>
        <v/>
      </c>
    </row>
    <row r="10345" spans="1:1">
      <c r="A10345" s="7" t="str">
        <f>IF('Document Workflow'!A10344&lt;&gt;"",'Document Workflow'!A10344,"")</f>
        <v/>
      </c>
    </row>
    <row r="10346" spans="1:1">
      <c r="A10346" s="7" t="str">
        <f>IF('Document Workflow'!A10345&lt;&gt;"",'Document Workflow'!A10345,"")</f>
        <v/>
      </c>
    </row>
    <row r="10347" spans="1:1">
      <c r="A10347" s="7" t="str">
        <f>IF('Document Workflow'!A10346&lt;&gt;"",'Document Workflow'!A10346,"")</f>
        <v/>
      </c>
    </row>
    <row r="10348" spans="1:1">
      <c r="A10348" s="7" t="str">
        <f>IF('Document Workflow'!A10347&lt;&gt;"",'Document Workflow'!A10347,"")</f>
        <v/>
      </c>
    </row>
    <row r="10349" spans="1:1">
      <c r="A10349" s="7" t="str">
        <f>IF('Document Workflow'!A10348&lt;&gt;"",'Document Workflow'!A10348,"")</f>
        <v/>
      </c>
    </row>
    <row r="10350" spans="1:1">
      <c r="A10350" s="7" t="str">
        <f>IF('Document Workflow'!A10349&lt;&gt;"",'Document Workflow'!A10349,"")</f>
        <v/>
      </c>
    </row>
    <row r="10351" spans="1:1">
      <c r="A10351" s="7" t="str">
        <f>IF('Document Workflow'!A10350&lt;&gt;"",'Document Workflow'!A10350,"")</f>
        <v/>
      </c>
    </row>
    <row r="10352" spans="1:1">
      <c r="A10352" s="7" t="str">
        <f>IF('Document Workflow'!A10351&lt;&gt;"",'Document Workflow'!A10351,"")</f>
        <v/>
      </c>
    </row>
    <row r="10353" spans="1:1">
      <c r="A10353" s="7" t="str">
        <f>IF('Document Workflow'!A10352&lt;&gt;"",'Document Workflow'!A10352,"")</f>
        <v/>
      </c>
    </row>
    <row r="10354" spans="1:1">
      <c r="A10354" s="7" t="str">
        <f>IF('Document Workflow'!A10353&lt;&gt;"",'Document Workflow'!A10353,"")</f>
        <v/>
      </c>
    </row>
    <row r="10355" spans="1:1">
      <c r="A10355" s="7" t="str">
        <f>IF('Document Workflow'!A10354&lt;&gt;"",'Document Workflow'!A10354,"")</f>
        <v/>
      </c>
    </row>
    <row r="10356" spans="1:1">
      <c r="A10356" s="7" t="str">
        <f>IF('Document Workflow'!A10355&lt;&gt;"",'Document Workflow'!A10355,"")</f>
        <v/>
      </c>
    </row>
    <row r="10357" spans="1:1">
      <c r="A10357" s="7" t="str">
        <f>IF('Document Workflow'!A10356&lt;&gt;"",'Document Workflow'!A10356,"")</f>
        <v/>
      </c>
    </row>
    <row r="10358" spans="1:1">
      <c r="A10358" s="7" t="str">
        <f>IF('Document Workflow'!A10357&lt;&gt;"",'Document Workflow'!A10357,"")</f>
        <v/>
      </c>
    </row>
    <row r="10359" spans="1:1">
      <c r="A10359" s="7" t="str">
        <f>IF('Document Workflow'!A10358&lt;&gt;"",'Document Workflow'!A10358,"")</f>
        <v/>
      </c>
    </row>
    <row r="10360" spans="1:1">
      <c r="A10360" s="7" t="str">
        <f>IF('Document Workflow'!A10359&lt;&gt;"",'Document Workflow'!A10359,"")</f>
        <v/>
      </c>
    </row>
    <row r="10361" spans="1:1">
      <c r="A10361" s="7" t="str">
        <f>IF('Document Workflow'!A10360&lt;&gt;"",'Document Workflow'!A10360,"")</f>
        <v/>
      </c>
    </row>
    <row r="10362" spans="1:1">
      <c r="A10362" s="7" t="str">
        <f>IF('Document Workflow'!A10361&lt;&gt;"",'Document Workflow'!A10361,"")</f>
        <v/>
      </c>
    </row>
    <row r="10363" spans="1:1">
      <c r="A10363" s="7" t="str">
        <f>IF('Document Workflow'!A10362&lt;&gt;"",'Document Workflow'!A10362,"")</f>
        <v/>
      </c>
    </row>
    <row r="10364" spans="1:1">
      <c r="A10364" s="7" t="str">
        <f>IF('Document Workflow'!A10363&lt;&gt;"",'Document Workflow'!A10363,"")</f>
        <v/>
      </c>
    </row>
    <row r="10365" spans="1:1">
      <c r="A10365" s="7" t="str">
        <f>IF('Document Workflow'!A10364&lt;&gt;"",'Document Workflow'!A10364,"")</f>
        <v/>
      </c>
    </row>
    <row r="10366" spans="1:1">
      <c r="A10366" s="7" t="str">
        <f>IF('Document Workflow'!A10365&lt;&gt;"",'Document Workflow'!A10365,"")</f>
        <v/>
      </c>
    </row>
    <row r="10367" spans="1:1">
      <c r="A10367" s="7" t="str">
        <f>IF('Document Workflow'!A10366&lt;&gt;"",'Document Workflow'!A10366,"")</f>
        <v/>
      </c>
    </row>
    <row r="10368" spans="1:1">
      <c r="A10368" s="7" t="str">
        <f>IF('Document Workflow'!A10367&lt;&gt;"",'Document Workflow'!A10367,"")</f>
        <v/>
      </c>
    </row>
    <row r="10369" spans="1:1">
      <c r="A10369" s="7" t="str">
        <f>IF('Document Workflow'!A10368&lt;&gt;"",'Document Workflow'!A10368,"")</f>
        <v/>
      </c>
    </row>
    <row r="10370" spans="1:1">
      <c r="A10370" s="7" t="str">
        <f>IF('Document Workflow'!A10369&lt;&gt;"",'Document Workflow'!A10369,"")</f>
        <v/>
      </c>
    </row>
    <row r="10371" spans="1:1">
      <c r="A10371" s="7" t="str">
        <f>IF('Document Workflow'!A10370&lt;&gt;"",'Document Workflow'!A10370,"")</f>
        <v/>
      </c>
    </row>
    <row r="10372" spans="1:1">
      <c r="A10372" s="7" t="str">
        <f>IF('Document Workflow'!A10371&lt;&gt;"",'Document Workflow'!A10371,"")</f>
        <v/>
      </c>
    </row>
    <row r="10373" spans="1:1">
      <c r="A10373" s="7" t="str">
        <f>IF('Document Workflow'!A10372&lt;&gt;"",'Document Workflow'!A10372,"")</f>
        <v/>
      </c>
    </row>
    <row r="10374" spans="1:1">
      <c r="A10374" s="7" t="str">
        <f>IF('Document Workflow'!A10373&lt;&gt;"",'Document Workflow'!A10373,"")</f>
        <v/>
      </c>
    </row>
    <row r="10375" spans="1:1">
      <c r="A10375" s="7" t="str">
        <f>IF('Document Workflow'!A10374&lt;&gt;"",'Document Workflow'!A10374,"")</f>
        <v/>
      </c>
    </row>
    <row r="10376" spans="1:1">
      <c r="A10376" s="7" t="str">
        <f>IF('Document Workflow'!A10375&lt;&gt;"",'Document Workflow'!A10375,"")</f>
        <v/>
      </c>
    </row>
    <row r="10377" spans="1:1">
      <c r="A10377" s="7" t="str">
        <f>IF('Document Workflow'!A10376&lt;&gt;"",'Document Workflow'!A10376,"")</f>
        <v/>
      </c>
    </row>
    <row r="10378" spans="1:1">
      <c r="A10378" s="7" t="str">
        <f>IF('Document Workflow'!A10377&lt;&gt;"",'Document Workflow'!A10377,"")</f>
        <v/>
      </c>
    </row>
    <row r="10379" spans="1:1">
      <c r="A10379" s="7" t="str">
        <f>IF('Document Workflow'!A10378&lt;&gt;"",'Document Workflow'!A10378,"")</f>
        <v/>
      </c>
    </row>
    <row r="10380" spans="1:1">
      <c r="A10380" s="7" t="str">
        <f>IF('Document Workflow'!A10379&lt;&gt;"",'Document Workflow'!A10379,"")</f>
        <v/>
      </c>
    </row>
    <row r="10381" spans="1:1">
      <c r="A10381" s="7" t="str">
        <f>IF('Document Workflow'!A10380&lt;&gt;"",'Document Workflow'!A10380,"")</f>
        <v/>
      </c>
    </row>
    <row r="10382" spans="1:1">
      <c r="A10382" s="7" t="str">
        <f>IF('Document Workflow'!A10381&lt;&gt;"",'Document Workflow'!A10381,"")</f>
        <v/>
      </c>
    </row>
    <row r="10383" spans="1:1">
      <c r="A10383" s="7" t="str">
        <f>IF('Document Workflow'!A10382&lt;&gt;"",'Document Workflow'!A10382,"")</f>
        <v/>
      </c>
    </row>
    <row r="10384" spans="1:1">
      <c r="A10384" s="7" t="str">
        <f>IF('Document Workflow'!A10383&lt;&gt;"",'Document Workflow'!A10383,"")</f>
        <v/>
      </c>
    </row>
    <row r="10385" spans="1:1">
      <c r="A10385" s="7" t="str">
        <f>IF('Document Workflow'!A10384&lt;&gt;"",'Document Workflow'!A10384,"")</f>
        <v/>
      </c>
    </row>
    <row r="10386" spans="1:1">
      <c r="A10386" s="7" t="str">
        <f>IF('Document Workflow'!A10385&lt;&gt;"",'Document Workflow'!A10385,"")</f>
        <v/>
      </c>
    </row>
    <row r="10387" spans="1:1">
      <c r="A10387" s="7" t="str">
        <f>IF('Document Workflow'!A10386&lt;&gt;"",'Document Workflow'!A10386,"")</f>
        <v/>
      </c>
    </row>
    <row r="10388" spans="1:1">
      <c r="A10388" s="7" t="str">
        <f>IF('Document Workflow'!A10387&lt;&gt;"",'Document Workflow'!A10387,"")</f>
        <v/>
      </c>
    </row>
    <row r="10389" spans="1:1">
      <c r="A10389" s="7" t="str">
        <f>IF('Document Workflow'!A10388&lt;&gt;"",'Document Workflow'!A10388,"")</f>
        <v/>
      </c>
    </row>
    <row r="10390" spans="1:1">
      <c r="A10390" s="7" t="str">
        <f>IF('Document Workflow'!A10389&lt;&gt;"",'Document Workflow'!A10389,"")</f>
        <v/>
      </c>
    </row>
    <row r="10391" spans="1:1">
      <c r="A10391" s="7" t="str">
        <f>IF('Document Workflow'!A10390&lt;&gt;"",'Document Workflow'!A10390,"")</f>
        <v/>
      </c>
    </row>
    <row r="10392" spans="1:1">
      <c r="A10392" s="7" t="str">
        <f>IF('Document Workflow'!A10391&lt;&gt;"",'Document Workflow'!A10391,"")</f>
        <v/>
      </c>
    </row>
    <row r="10393" spans="1:1">
      <c r="A10393" s="7" t="str">
        <f>IF('Document Workflow'!A10392&lt;&gt;"",'Document Workflow'!A10392,"")</f>
        <v/>
      </c>
    </row>
    <row r="10394" spans="1:1">
      <c r="A10394" s="7" t="str">
        <f>IF('Document Workflow'!A10393&lt;&gt;"",'Document Workflow'!A10393,"")</f>
        <v/>
      </c>
    </row>
    <row r="10395" spans="1:1">
      <c r="A10395" s="7" t="str">
        <f>IF('Document Workflow'!A10394&lt;&gt;"",'Document Workflow'!A10394,"")</f>
        <v/>
      </c>
    </row>
    <row r="10396" spans="1:1">
      <c r="A10396" s="7" t="str">
        <f>IF('Document Workflow'!A10395&lt;&gt;"",'Document Workflow'!A10395,"")</f>
        <v/>
      </c>
    </row>
    <row r="10397" spans="1:1">
      <c r="A10397" s="7" t="str">
        <f>IF('Document Workflow'!A10396&lt;&gt;"",'Document Workflow'!A10396,"")</f>
        <v/>
      </c>
    </row>
    <row r="10398" spans="1:1">
      <c r="A10398" s="7" t="str">
        <f>IF('Document Workflow'!A10397&lt;&gt;"",'Document Workflow'!A10397,"")</f>
        <v/>
      </c>
    </row>
    <row r="10399" spans="1:1">
      <c r="A10399" s="7" t="str">
        <f>IF('Document Workflow'!A10398&lt;&gt;"",'Document Workflow'!A10398,"")</f>
        <v/>
      </c>
    </row>
    <row r="10400" spans="1:1">
      <c r="A10400" s="7" t="str">
        <f>IF('Document Workflow'!A10399&lt;&gt;"",'Document Workflow'!A10399,"")</f>
        <v/>
      </c>
    </row>
    <row r="10401" spans="1:1">
      <c r="A10401" s="7" t="str">
        <f>IF('Document Workflow'!A10400&lt;&gt;"",'Document Workflow'!A10400,"")</f>
        <v/>
      </c>
    </row>
    <row r="10402" spans="1:1">
      <c r="A10402" s="7" t="str">
        <f>IF('Document Workflow'!A10401&lt;&gt;"",'Document Workflow'!A10401,"")</f>
        <v/>
      </c>
    </row>
    <row r="10403" spans="1:1">
      <c r="A10403" s="7" t="str">
        <f>IF('Document Workflow'!A10402&lt;&gt;"",'Document Workflow'!A10402,"")</f>
        <v/>
      </c>
    </row>
    <row r="10404" spans="1:1">
      <c r="A10404" s="7" t="str">
        <f>IF('Document Workflow'!A10403&lt;&gt;"",'Document Workflow'!A10403,"")</f>
        <v/>
      </c>
    </row>
    <row r="10405" spans="1:1">
      <c r="A10405" s="7" t="str">
        <f>IF('Document Workflow'!A10404&lt;&gt;"",'Document Workflow'!A10404,"")</f>
        <v/>
      </c>
    </row>
    <row r="10406" spans="1:1">
      <c r="A10406" s="7" t="str">
        <f>IF('Document Workflow'!A10405&lt;&gt;"",'Document Workflow'!A10405,"")</f>
        <v/>
      </c>
    </row>
    <row r="10407" spans="1:1">
      <c r="A10407" s="7" t="str">
        <f>IF('Document Workflow'!A10406&lt;&gt;"",'Document Workflow'!A10406,"")</f>
        <v/>
      </c>
    </row>
    <row r="10408" spans="1:1">
      <c r="A10408" s="7" t="str">
        <f>IF('Document Workflow'!A10407&lt;&gt;"",'Document Workflow'!A10407,"")</f>
        <v/>
      </c>
    </row>
    <row r="10409" spans="1:1">
      <c r="A10409" s="7" t="str">
        <f>IF('Document Workflow'!A10408&lt;&gt;"",'Document Workflow'!A10408,"")</f>
        <v/>
      </c>
    </row>
    <row r="10410" spans="1:1">
      <c r="A10410" s="7" t="str">
        <f>IF('Document Workflow'!A10409&lt;&gt;"",'Document Workflow'!A10409,"")</f>
        <v/>
      </c>
    </row>
    <row r="10411" spans="1:1">
      <c r="A10411" s="7" t="str">
        <f>IF('Document Workflow'!A10410&lt;&gt;"",'Document Workflow'!A10410,"")</f>
        <v/>
      </c>
    </row>
    <row r="10412" spans="1:1">
      <c r="A10412" s="7" t="str">
        <f>IF('Document Workflow'!A10411&lt;&gt;"",'Document Workflow'!A10411,"")</f>
        <v/>
      </c>
    </row>
    <row r="10413" spans="1:1">
      <c r="A10413" s="7" t="str">
        <f>IF('Document Workflow'!A10412&lt;&gt;"",'Document Workflow'!A10412,"")</f>
        <v/>
      </c>
    </row>
    <row r="10414" spans="1:1">
      <c r="A10414" s="7" t="str">
        <f>IF('Document Workflow'!A10413&lt;&gt;"",'Document Workflow'!A10413,"")</f>
        <v/>
      </c>
    </row>
    <row r="10415" spans="1:1">
      <c r="A10415" s="7" t="str">
        <f>IF('Document Workflow'!A10414&lt;&gt;"",'Document Workflow'!A10414,"")</f>
        <v/>
      </c>
    </row>
    <row r="10416" spans="1:1">
      <c r="A10416" s="7" t="str">
        <f>IF('Document Workflow'!A10415&lt;&gt;"",'Document Workflow'!A10415,"")</f>
        <v/>
      </c>
    </row>
    <row r="10417" spans="1:1">
      <c r="A10417" s="7" t="str">
        <f>IF('Document Workflow'!A10416&lt;&gt;"",'Document Workflow'!A10416,"")</f>
        <v/>
      </c>
    </row>
    <row r="10418" spans="1:1">
      <c r="A10418" s="7" t="str">
        <f>IF('Document Workflow'!A10417&lt;&gt;"",'Document Workflow'!A10417,"")</f>
        <v/>
      </c>
    </row>
    <row r="10419" spans="1:1">
      <c r="A10419" s="7" t="str">
        <f>IF('Document Workflow'!A10418&lt;&gt;"",'Document Workflow'!A10418,"")</f>
        <v/>
      </c>
    </row>
    <row r="10420" spans="1:1">
      <c r="A10420" s="7" t="str">
        <f>IF('Document Workflow'!A10419&lt;&gt;"",'Document Workflow'!A10419,"")</f>
        <v/>
      </c>
    </row>
    <row r="10421" spans="1:1">
      <c r="A10421" s="7" t="str">
        <f>IF('Document Workflow'!A10420&lt;&gt;"",'Document Workflow'!A10420,"")</f>
        <v/>
      </c>
    </row>
    <row r="10422" spans="1:1">
      <c r="A10422" s="7" t="str">
        <f>IF('Document Workflow'!A10421&lt;&gt;"",'Document Workflow'!A10421,"")</f>
        <v/>
      </c>
    </row>
    <row r="10423" spans="1:1">
      <c r="A10423" s="7" t="str">
        <f>IF('Document Workflow'!A10422&lt;&gt;"",'Document Workflow'!A10422,"")</f>
        <v/>
      </c>
    </row>
    <row r="10424" spans="1:1">
      <c r="A10424" s="7" t="str">
        <f>IF('Document Workflow'!A10423&lt;&gt;"",'Document Workflow'!A10423,"")</f>
        <v/>
      </c>
    </row>
    <row r="10425" spans="1:1">
      <c r="A10425" s="7" t="str">
        <f>IF('Document Workflow'!A10424&lt;&gt;"",'Document Workflow'!A10424,"")</f>
        <v/>
      </c>
    </row>
    <row r="10426" spans="1:1">
      <c r="A10426" s="7" t="str">
        <f>IF('Document Workflow'!A10425&lt;&gt;"",'Document Workflow'!A10425,"")</f>
        <v/>
      </c>
    </row>
    <row r="10427" spans="1:1">
      <c r="A10427" s="7" t="str">
        <f>IF('Document Workflow'!A10426&lt;&gt;"",'Document Workflow'!A10426,"")</f>
        <v/>
      </c>
    </row>
    <row r="10428" spans="1:1">
      <c r="A10428" s="7" t="str">
        <f>IF('Document Workflow'!A10427&lt;&gt;"",'Document Workflow'!A10427,"")</f>
        <v/>
      </c>
    </row>
    <row r="10429" spans="1:1">
      <c r="A10429" s="7" t="str">
        <f>IF('Document Workflow'!A10428&lt;&gt;"",'Document Workflow'!A10428,"")</f>
        <v/>
      </c>
    </row>
    <row r="10430" spans="1:1">
      <c r="A10430" s="7" t="str">
        <f>IF('Document Workflow'!A10429&lt;&gt;"",'Document Workflow'!A10429,"")</f>
        <v/>
      </c>
    </row>
    <row r="10431" spans="1:1">
      <c r="A10431" s="7" t="str">
        <f>IF('Document Workflow'!A10430&lt;&gt;"",'Document Workflow'!A10430,"")</f>
        <v/>
      </c>
    </row>
    <row r="10432" spans="1:1">
      <c r="A10432" s="7" t="str">
        <f>IF('Document Workflow'!A10431&lt;&gt;"",'Document Workflow'!A10431,"")</f>
        <v/>
      </c>
    </row>
    <row r="10433" spans="1:1">
      <c r="A10433" s="7" t="str">
        <f>IF('Document Workflow'!A10432&lt;&gt;"",'Document Workflow'!A10432,"")</f>
        <v/>
      </c>
    </row>
    <row r="10434" spans="1:1">
      <c r="A10434" s="7" t="str">
        <f>IF('Document Workflow'!A10433&lt;&gt;"",'Document Workflow'!A10433,"")</f>
        <v/>
      </c>
    </row>
    <row r="10435" spans="1:1">
      <c r="A10435" s="7" t="str">
        <f>IF('Document Workflow'!A10434&lt;&gt;"",'Document Workflow'!A10434,"")</f>
        <v/>
      </c>
    </row>
    <row r="10436" spans="1:1">
      <c r="A10436" s="7" t="str">
        <f>IF('Document Workflow'!A10435&lt;&gt;"",'Document Workflow'!A10435,"")</f>
        <v/>
      </c>
    </row>
    <row r="10437" spans="1:1">
      <c r="A10437" s="7" t="str">
        <f>IF('Document Workflow'!A10436&lt;&gt;"",'Document Workflow'!A10436,"")</f>
        <v/>
      </c>
    </row>
    <row r="10438" spans="1:1">
      <c r="A10438" s="7" t="str">
        <f>IF('Document Workflow'!A10437&lt;&gt;"",'Document Workflow'!A10437,"")</f>
        <v/>
      </c>
    </row>
    <row r="10439" spans="1:1">
      <c r="A10439" s="7" t="str">
        <f>IF('Document Workflow'!A10438&lt;&gt;"",'Document Workflow'!A10438,"")</f>
        <v/>
      </c>
    </row>
    <row r="10440" spans="1:1">
      <c r="A10440" s="7" t="str">
        <f>IF('Document Workflow'!A10439&lt;&gt;"",'Document Workflow'!A10439,"")</f>
        <v/>
      </c>
    </row>
    <row r="10441" spans="1:1">
      <c r="A10441" s="7" t="str">
        <f>IF('Document Workflow'!A10440&lt;&gt;"",'Document Workflow'!A10440,"")</f>
        <v/>
      </c>
    </row>
    <row r="10442" spans="1:1">
      <c r="A10442" s="7" t="str">
        <f>IF('Document Workflow'!A10441&lt;&gt;"",'Document Workflow'!A10441,"")</f>
        <v/>
      </c>
    </row>
    <row r="10443" spans="1:1">
      <c r="A10443" s="7" t="str">
        <f>IF('Document Workflow'!A10442&lt;&gt;"",'Document Workflow'!A10442,"")</f>
        <v/>
      </c>
    </row>
    <row r="10444" spans="1:1">
      <c r="A10444" s="7" t="str">
        <f>IF('Document Workflow'!A10443&lt;&gt;"",'Document Workflow'!A10443,"")</f>
        <v/>
      </c>
    </row>
    <row r="10445" spans="1:1">
      <c r="A10445" s="7" t="str">
        <f>IF('Document Workflow'!A10444&lt;&gt;"",'Document Workflow'!A10444,"")</f>
        <v/>
      </c>
    </row>
    <row r="10446" spans="1:1">
      <c r="A10446" s="7" t="str">
        <f>IF('Document Workflow'!A10445&lt;&gt;"",'Document Workflow'!A10445,"")</f>
        <v/>
      </c>
    </row>
    <row r="10447" spans="1:1">
      <c r="A10447" s="7" t="str">
        <f>IF('Document Workflow'!A10446&lt;&gt;"",'Document Workflow'!A10446,"")</f>
        <v/>
      </c>
    </row>
    <row r="10448" spans="1:1">
      <c r="A10448" s="7" t="str">
        <f>IF('Document Workflow'!A10447&lt;&gt;"",'Document Workflow'!A10447,"")</f>
        <v/>
      </c>
    </row>
    <row r="10449" spans="1:1">
      <c r="A10449" s="7" t="str">
        <f>IF('Document Workflow'!A10448&lt;&gt;"",'Document Workflow'!A10448,"")</f>
        <v/>
      </c>
    </row>
    <row r="10450" spans="1:1">
      <c r="A10450" s="7" t="str">
        <f>IF('Document Workflow'!A10449&lt;&gt;"",'Document Workflow'!A10449,"")</f>
        <v/>
      </c>
    </row>
    <row r="10451" spans="1:1">
      <c r="A10451" s="7" t="str">
        <f>IF('Document Workflow'!A10450&lt;&gt;"",'Document Workflow'!A10450,"")</f>
        <v/>
      </c>
    </row>
    <row r="10452" spans="1:1">
      <c r="A10452" s="7" t="str">
        <f>IF('Document Workflow'!A10451&lt;&gt;"",'Document Workflow'!A10451,"")</f>
        <v/>
      </c>
    </row>
    <row r="10453" spans="1:1">
      <c r="A10453" s="7" t="str">
        <f>IF('Document Workflow'!A10452&lt;&gt;"",'Document Workflow'!A10452,"")</f>
        <v/>
      </c>
    </row>
    <row r="10454" spans="1:1">
      <c r="A10454" s="7" t="str">
        <f>IF('Document Workflow'!A10453&lt;&gt;"",'Document Workflow'!A10453,"")</f>
        <v/>
      </c>
    </row>
    <row r="10455" spans="1:1">
      <c r="A10455" s="7" t="str">
        <f>IF('Document Workflow'!A10454&lt;&gt;"",'Document Workflow'!A10454,"")</f>
        <v/>
      </c>
    </row>
    <row r="10456" spans="1:1">
      <c r="A10456" s="7" t="str">
        <f>IF('Document Workflow'!A10455&lt;&gt;"",'Document Workflow'!A10455,"")</f>
        <v/>
      </c>
    </row>
    <row r="10457" spans="1:1">
      <c r="A10457" s="7" t="str">
        <f>IF('Document Workflow'!A10456&lt;&gt;"",'Document Workflow'!A10456,"")</f>
        <v/>
      </c>
    </row>
    <row r="10458" spans="1:1">
      <c r="A10458" s="7" t="str">
        <f>IF('Document Workflow'!A10457&lt;&gt;"",'Document Workflow'!A10457,"")</f>
        <v/>
      </c>
    </row>
    <row r="10459" spans="1:1">
      <c r="A10459" s="7" t="str">
        <f>IF('Document Workflow'!A10458&lt;&gt;"",'Document Workflow'!A10458,"")</f>
        <v/>
      </c>
    </row>
    <row r="10460" spans="1:1">
      <c r="A10460" s="7" t="str">
        <f>IF('Document Workflow'!A10459&lt;&gt;"",'Document Workflow'!A10459,"")</f>
        <v/>
      </c>
    </row>
    <row r="10461" spans="1:1">
      <c r="A10461" s="7" t="str">
        <f>IF('Document Workflow'!A10460&lt;&gt;"",'Document Workflow'!A10460,"")</f>
        <v/>
      </c>
    </row>
    <row r="10462" spans="1:1">
      <c r="A10462" s="7" t="str">
        <f>IF('Document Workflow'!A10461&lt;&gt;"",'Document Workflow'!A10461,"")</f>
        <v/>
      </c>
    </row>
    <row r="10463" spans="1:1">
      <c r="A10463" s="7" t="str">
        <f>IF('Document Workflow'!A10462&lt;&gt;"",'Document Workflow'!A10462,"")</f>
        <v/>
      </c>
    </row>
    <row r="10464" spans="1:1">
      <c r="A10464" s="7" t="str">
        <f>IF('Document Workflow'!A10463&lt;&gt;"",'Document Workflow'!A10463,"")</f>
        <v/>
      </c>
    </row>
    <row r="10465" spans="1:1">
      <c r="A10465" s="7" t="str">
        <f>IF('Document Workflow'!A10464&lt;&gt;"",'Document Workflow'!A10464,"")</f>
        <v/>
      </c>
    </row>
    <row r="10466" spans="1:1">
      <c r="A10466" s="7" t="str">
        <f>IF('Document Workflow'!A10465&lt;&gt;"",'Document Workflow'!A10465,"")</f>
        <v/>
      </c>
    </row>
    <row r="10467" spans="1:1">
      <c r="A10467" s="7" t="str">
        <f>IF('Document Workflow'!A10466&lt;&gt;"",'Document Workflow'!A10466,"")</f>
        <v/>
      </c>
    </row>
    <row r="10468" spans="1:1">
      <c r="A10468" s="7" t="str">
        <f>IF('Document Workflow'!A10467&lt;&gt;"",'Document Workflow'!A10467,"")</f>
        <v/>
      </c>
    </row>
    <row r="10469" spans="1:1">
      <c r="A10469" s="7" t="str">
        <f>IF('Document Workflow'!A10468&lt;&gt;"",'Document Workflow'!A10468,"")</f>
        <v/>
      </c>
    </row>
    <row r="10470" spans="1:1">
      <c r="A10470" s="7" t="str">
        <f>IF('Document Workflow'!A10469&lt;&gt;"",'Document Workflow'!A10469,"")</f>
        <v/>
      </c>
    </row>
    <row r="10471" spans="1:1">
      <c r="A10471" s="7" t="str">
        <f>IF('Document Workflow'!A10470&lt;&gt;"",'Document Workflow'!A10470,"")</f>
        <v/>
      </c>
    </row>
    <row r="10472" spans="1:1">
      <c r="A10472" s="7" t="str">
        <f>IF('Document Workflow'!A10471&lt;&gt;"",'Document Workflow'!A10471,"")</f>
        <v/>
      </c>
    </row>
    <row r="10473" spans="1:1">
      <c r="A10473" s="7" t="str">
        <f>IF('Document Workflow'!A10472&lt;&gt;"",'Document Workflow'!A10472,"")</f>
        <v/>
      </c>
    </row>
    <row r="10474" spans="1:1">
      <c r="A10474" s="7" t="str">
        <f>IF('Document Workflow'!A10473&lt;&gt;"",'Document Workflow'!A10473,"")</f>
        <v/>
      </c>
    </row>
    <row r="10475" spans="1:1">
      <c r="A10475" s="7" t="str">
        <f>IF('Document Workflow'!A10474&lt;&gt;"",'Document Workflow'!A10474,"")</f>
        <v/>
      </c>
    </row>
    <row r="10476" spans="1:1">
      <c r="A10476" s="7" t="str">
        <f>IF('Document Workflow'!A10475&lt;&gt;"",'Document Workflow'!A10475,"")</f>
        <v/>
      </c>
    </row>
    <row r="10477" spans="1:1">
      <c r="A10477" s="7" t="str">
        <f>IF('Document Workflow'!A10476&lt;&gt;"",'Document Workflow'!A10476,"")</f>
        <v/>
      </c>
    </row>
    <row r="10478" spans="1:1">
      <c r="A10478" s="7" t="str">
        <f>IF('Document Workflow'!A10477&lt;&gt;"",'Document Workflow'!A10477,"")</f>
        <v/>
      </c>
    </row>
    <row r="10479" spans="1:1">
      <c r="A10479" s="7" t="str">
        <f>IF('Document Workflow'!A10478&lt;&gt;"",'Document Workflow'!A10478,"")</f>
        <v/>
      </c>
    </row>
    <row r="10480" spans="1:1">
      <c r="A10480" s="7" t="str">
        <f>IF('Document Workflow'!A10479&lt;&gt;"",'Document Workflow'!A10479,"")</f>
        <v/>
      </c>
    </row>
    <row r="10481" spans="1:1">
      <c r="A10481" s="7" t="str">
        <f>IF('Document Workflow'!A10480&lt;&gt;"",'Document Workflow'!A10480,"")</f>
        <v/>
      </c>
    </row>
    <row r="10482" spans="1:1">
      <c r="A10482" s="7" t="str">
        <f>IF('Document Workflow'!A10481&lt;&gt;"",'Document Workflow'!A10481,"")</f>
        <v/>
      </c>
    </row>
    <row r="10483" spans="1:1">
      <c r="A10483" s="7" t="str">
        <f>IF('Document Workflow'!A10482&lt;&gt;"",'Document Workflow'!A10482,"")</f>
        <v/>
      </c>
    </row>
    <row r="10484" spans="1:1">
      <c r="A10484" s="7" t="str">
        <f>IF('Document Workflow'!A10483&lt;&gt;"",'Document Workflow'!A10483,"")</f>
        <v/>
      </c>
    </row>
    <row r="10485" spans="1:1">
      <c r="A10485" s="7" t="str">
        <f>IF('Document Workflow'!A10484&lt;&gt;"",'Document Workflow'!A10484,"")</f>
        <v/>
      </c>
    </row>
    <row r="10486" spans="1:1">
      <c r="A10486" s="7" t="str">
        <f>IF('Document Workflow'!A10485&lt;&gt;"",'Document Workflow'!A10485,"")</f>
        <v/>
      </c>
    </row>
    <row r="10487" spans="1:1">
      <c r="A10487" s="7" t="str">
        <f>IF('Document Workflow'!A10486&lt;&gt;"",'Document Workflow'!A10486,"")</f>
        <v/>
      </c>
    </row>
    <row r="10488" spans="1:1">
      <c r="A10488" s="7" t="str">
        <f>IF('Document Workflow'!A10487&lt;&gt;"",'Document Workflow'!A10487,"")</f>
        <v/>
      </c>
    </row>
    <row r="10489" spans="1:1">
      <c r="A10489" s="7" t="str">
        <f>IF('Document Workflow'!A10488&lt;&gt;"",'Document Workflow'!A10488,"")</f>
        <v/>
      </c>
    </row>
    <row r="10490" spans="1:1">
      <c r="A10490" s="7" t="str">
        <f>IF('Document Workflow'!A10489&lt;&gt;"",'Document Workflow'!A10489,"")</f>
        <v/>
      </c>
    </row>
    <row r="10491" spans="1:1">
      <c r="A10491" s="7" t="str">
        <f>IF('Document Workflow'!A10490&lt;&gt;"",'Document Workflow'!A10490,"")</f>
        <v/>
      </c>
    </row>
    <row r="10492" spans="1:1">
      <c r="A10492" s="7" t="str">
        <f>IF('Document Workflow'!A10491&lt;&gt;"",'Document Workflow'!A10491,"")</f>
        <v/>
      </c>
    </row>
    <row r="10493" spans="1:1">
      <c r="A10493" s="7" t="str">
        <f>IF('Document Workflow'!A10492&lt;&gt;"",'Document Workflow'!A10492,"")</f>
        <v/>
      </c>
    </row>
    <row r="10494" spans="1:1">
      <c r="A10494" s="7" t="str">
        <f>IF('Document Workflow'!A10493&lt;&gt;"",'Document Workflow'!A10493,"")</f>
        <v/>
      </c>
    </row>
    <row r="10495" spans="1:1">
      <c r="A10495" s="7" t="str">
        <f>IF('Document Workflow'!A10494&lt;&gt;"",'Document Workflow'!A10494,"")</f>
        <v/>
      </c>
    </row>
    <row r="10496" spans="1:1">
      <c r="A10496" s="7" t="str">
        <f>IF('Document Workflow'!A10495&lt;&gt;"",'Document Workflow'!A10495,"")</f>
        <v/>
      </c>
    </row>
    <row r="10497" spans="1:1">
      <c r="A10497" s="7" t="str">
        <f>IF('Document Workflow'!A10496&lt;&gt;"",'Document Workflow'!A10496,"")</f>
        <v/>
      </c>
    </row>
    <row r="10498" spans="1:1">
      <c r="A10498" s="7" t="str">
        <f>IF('Document Workflow'!A10497&lt;&gt;"",'Document Workflow'!A10497,"")</f>
        <v/>
      </c>
    </row>
    <row r="10499" spans="1:1">
      <c r="A10499" s="7" t="str">
        <f>IF('Document Workflow'!A10498&lt;&gt;"",'Document Workflow'!A10498,"")</f>
        <v/>
      </c>
    </row>
    <row r="10500" spans="1:1">
      <c r="A10500" s="7" t="str">
        <f>IF('Document Workflow'!A10499&lt;&gt;"",'Document Workflow'!A10499,"")</f>
        <v/>
      </c>
    </row>
    <row r="10501" spans="1:1">
      <c r="A10501" s="7" t="str">
        <f>IF('Document Workflow'!A10500&lt;&gt;"",'Document Workflow'!A10500,"")</f>
        <v/>
      </c>
    </row>
    <row r="10502" spans="1:1">
      <c r="A10502" s="7" t="str">
        <f>IF('Document Workflow'!A10501&lt;&gt;"",'Document Workflow'!A10501,"")</f>
        <v/>
      </c>
    </row>
    <row r="10503" spans="1:1">
      <c r="A10503" s="7" t="str">
        <f>IF('Document Workflow'!A10502&lt;&gt;"",'Document Workflow'!A10502,"")</f>
        <v/>
      </c>
    </row>
    <row r="10504" spans="1:1">
      <c r="A10504" s="7" t="str">
        <f>IF('Document Workflow'!A10503&lt;&gt;"",'Document Workflow'!A10503,"")</f>
        <v/>
      </c>
    </row>
    <row r="10505" spans="1:1">
      <c r="A10505" s="7" t="str">
        <f>IF('Document Workflow'!A10504&lt;&gt;"",'Document Workflow'!A10504,"")</f>
        <v/>
      </c>
    </row>
    <row r="10506" spans="1:1">
      <c r="A10506" s="7" t="str">
        <f>IF('Document Workflow'!A10505&lt;&gt;"",'Document Workflow'!A10505,"")</f>
        <v/>
      </c>
    </row>
    <row r="10507" spans="1:1">
      <c r="A10507" s="7" t="str">
        <f>IF('Document Workflow'!A10506&lt;&gt;"",'Document Workflow'!A10506,"")</f>
        <v/>
      </c>
    </row>
    <row r="10508" spans="1:1">
      <c r="A10508" s="7" t="str">
        <f>IF('Document Workflow'!A10507&lt;&gt;"",'Document Workflow'!A10507,"")</f>
        <v/>
      </c>
    </row>
    <row r="10509" spans="1:1">
      <c r="A10509" s="7" t="str">
        <f>IF('Document Workflow'!A10508&lt;&gt;"",'Document Workflow'!A10508,"")</f>
        <v/>
      </c>
    </row>
    <row r="10510" spans="1:1">
      <c r="A10510" s="7" t="str">
        <f>IF('Document Workflow'!A10509&lt;&gt;"",'Document Workflow'!A10509,"")</f>
        <v/>
      </c>
    </row>
    <row r="10511" spans="1:1">
      <c r="A10511" s="7" t="str">
        <f>IF('Document Workflow'!A10510&lt;&gt;"",'Document Workflow'!A10510,"")</f>
        <v/>
      </c>
    </row>
    <row r="10512" spans="1:1">
      <c r="A10512" s="7" t="str">
        <f>IF('Document Workflow'!A10511&lt;&gt;"",'Document Workflow'!A10511,"")</f>
        <v/>
      </c>
    </row>
    <row r="10513" spans="1:1">
      <c r="A10513" s="7" t="str">
        <f>IF('Document Workflow'!A10512&lt;&gt;"",'Document Workflow'!A10512,"")</f>
        <v/>
      </c>
    </row>
    <row r="10514" spans="1:1">
      <c r="A10514" s="7" t="str">
        <f>IF('Document Workflow'!A10513&lt;&gt;"",'Document Workflow'!A10513,"")</f>
        <v/>
      </c>
    </row>
    <row r="10515" spans="1:1">
      <c r="A10515" s="7" t="str">
        <f>IF('Document Workflow'!A10514&lt;&gt;"",'Document Workflow'!A10514,"")</f>
        <v/>
      </c>
    </row>
    <row r="10516" spans="1:1">
      <c r="A10516" s="7" t="str">
        <f>IF('Document Workflow'!A10515&lt;&gt;"",'Document Workflow'!A10515,"")</f>
        <v/>
      </c>
    </row>
    <row r="10517" spans="1:1">
      <c r="A10517" s="7" t="str">
        <f>IF('Document Workflow'!A10516&lt;&gt;"",'Document Workflow'!A10516,"")</f>
        <v/>
      </c>
    </row>
    <row r="10518" spans="1:1">
      <c r="A10518" s="7" t="str">
        <f>IF('Document Workflow'!A10517&lt;&gt;"",'Document Workflow'!A10517,"")</f>
        <v/>
      </c>
    </row>
    <row r="10519" spans="1:1">
      <c r="A10519" s="7" t="str">
        <f>IF('Document Workflow'!A10518&lt;&gt;"",'Document Workflow'!A10518,"")</f>
        <v/>
      </c>
    </row>
    <row r="10520" spans="1:1">
      <c r="A10520" s="7" t="str">
        <f>IF('Document Workflow'!A10519&lt;&gt;"",'Document Workflow'!A10519,"")</f>
        <v/>
      </c>
    </row>
    <row r="10521" spans="1:1">
      <c r="A10521" s="7" t="str">
        <f>IF('Document Workflow'!A10520&lt;&gt;"",'Document Workflow'!A10520,"")</f>
        <v/>
      </c>
    </row>
    <row r="10522" spans="1:1">
      <c r="A10522" s="7" t="str">
        <f>IF('Document Workflow'!A10521&lt;&gt;"",'Document Workflow'!A10521,"")</f>
        <v/>
      </c>
    </row>
    <row r="10523" spans="1:1">
      <c r="A10523" s="7" t="str">
        <f>IF('Document Workflow'!A10522&lt;&gt;"",'Document Workflow'!A10522,"")</f>
        <v/>
      </c>
    </row>
    <row r="10524" spans="1:1">
      <c r="A10524" s="7" t="str">
        <f>IF('Document Workflow'!A10523&lt;&gt;"",'Document Workflow'!A10523,"")</f>
        <v/>
      </c>
    </row>
    <row r="10525" spans="1:1">
      <c r="A10525" s="7" t="str">
        <f>IF('Document Workflow'!A10524&lt;&gt;"",'Document Workflow'!A10524,"")</f>
        <v/>
      </c>
    </row>
    <row r="10526" spans="1:1">
      <c r="A10526" s="7" t="str">
        <f>IF('Document Workflow'!A10525&lt;&gt;"",'Document Workflow'!A10525,"")</f>
        <v/>
      </c>
    </row>
    <row r="10527" spans="1:1">
      <c r="A10527" s="7" t="str">
        <f>IF('Document Workflow'!A10526&lt;&gt;"",'Document Workflow'!A10526,"")</f>
        <v/>
      </c>
    </row>
    <row r="10528" spans="1:1">
      <c r="A10528" s="7" t="str">
        <f>IF('Document Workflow'!A10527&lt;&gt;"",'Document Workflow'!A10527,"")</f>
        <v/>
      </c>
    </row>
    <row r="10529" spans="1:1">
      <c r="A10529" s="7" t="str">
        <f>IF('Document Workflow'!A10528&lt;&gt;"",'Document Workflow'!A10528,"")</f>
        <v/>
      </c>
    </row>
    <row r="10530" spans="1:1">
      <c r="A10530" s="7" t="str">
        <f>IF('Document Workflow'!A10529&lt;&gt;"",'Document Workflow'!A10529,"")</f>
        <v/>
      </c>
    </row>
    <row r="10531" spans="1:1">
      <c r="A10531" s="7" t="str">
        <f>IF('Document Workflow'!A10530&lt;&gt;"",'Document Workflow'!A10530,"")</f>
        <v/>
      </c>
    </row>
    <row r="10532" spans="1:1">
      <c r="A10532" s="7" t="str">
        <f>IF('Document Workflow'!A10531&lt;&gt;"",'Document Workflow'!A10531,"")</f>
        <v/>
      </c>
    </row>
    <row r="10533" spans="1:1">
      <c r="A10533" s="7" t="str">
        <f>IF('Document Workflow'!A10532&lt;&gt;"",'Document Workflow'!A10532,"")</f>
        <v/>
      </c>
    </row>
    <row r="10534" spans="1:1">
      <c r="A10534" s="7" t="str">
        <f>IF('Document Workflow'!A10533&lt;&gt;"",'Document Workflow'!A10533,"")</f>
        <v/>
      </c>
    </row>
    <row r="10535" spans="1:1">
      <c r="A10535" s="7" t="str">
        <f>IF('Document Workflow'!A10534&lt;&gt;"",'Document Workflow'!A10534,"")</f>
        <v/>
      </c>
    </row>
    <row r="10536" spans="1:1">
      <c r="A10536" s="7" t="str">
        <f>IF('Document Workflow'!A10535&lt;&gt;"",'Document Workflow'!A10535,"")</f>
        <v/>
      </c>
    </row>
    <row r="10537" spans="1:1">
      <c r="A10537" s="7" t="str">
        <f>IF('Document Workflow'!A10536&lt;&gt;"",'Document Workflow'!A10536,"")</f>
        <v/>
      </c>
    </row>
    <row r="10538" spans="1:1">
      <c r="A10538" s="7" t="str">
        <f>IF('Document Workflow'!A10537&lt;&gt;"",'Document Workflow'!A10537,"")</f>
        <v/>
      </c>
    </row>
    <row r="10539" spans="1:1">
      <c r="A10539" s="7" t="str">
        <f>IF('Document Workflow'!A10538&lt;&gt;"",'Document Workflow'!A10538,"")</f>
        <v/>
      </c>
    </row>
    <row r="10540" spans="1:1">
      <c r="A10540" s="7" t="str">
        <f>IF('Document Workflow'!A10539&lt;&gt;"",'Document Workflow'!A10539,"")</f>
        <v/>
      </c>
    </row>
    <row r="10541" spans="1:1">
      <c r="A10541" s="7" t="str">
        <f>IF('Document Workflow'!A10540&lt;&gt;"",'Document Workflow'!A10540,"")</f>
        <v/>
      </c>
    </row>
    <row r="10542" spans="1:1">
      <c r="A10542" s="7" t="str">
        <f>IF('Document Workflow'!A10541&lt;&gt;"",'Document Workflow'!A10541,"")</f>
        <v/>
      </c>
    </row>
    <row r="10543" spans="1:1">
      <c r="A10543" s="7" t="str">
        <f>IF('Document Workflow'!A10542&lt;&gt;"",'Document Workflow'!A10542,"")</f>
        <v/>
      </c>
    </row>
    <row r="10544" spans="1:1">
      <c r="A10544" s="7" t="str">
        <f>IF('Document Workflow'!A10543&lt;&gt;"",'Document Workflow'!A10543,"")</f>
        <v/>
      </c>
    </row>
    <row r="10545" spans="1:1">
      <c r="A10545" s="7" t="str">
        <f>IF('Document Workflow'!A10544&lt;&gt;"",'Document Workflow'!A10544,"")</f>
        <v/>
      </c>
    </row>
    <row r="10546" spans="1:1">
      <c r="A10546" s="7" t="str">
        <f>IF('Document Workflow'!A10545&lt;&gt;"",'Document Workflow'!A10545,"")</f>
        <v/>
      </c>
    </row>
    <row r="10547" spans="1:1">
      <c r="A10547" s="7" t="str">
        <f>IF('Document Workflow'!A10546&lt;&gt;"",'Document Workflow'!A10546,"")</f>
        <v/>
      </c>
    </row>
    <row r="10548" spans="1:1">
      <c r="A10548" s="7" t="str">
        <f>IF('Document Workflow'!A10547&lt;&gt;"",'Document Workflow'!A10547,"")</f>
        <v/>
      </c>
    </row>
    <row r="10549" spans="1:1">
      <c r="A10549" s="7" t="str">
        <f>IF('Document Workflow'!A10548&lt;&gt;"",'Document Workflow'!A10548,"")</f>
        <v/>
      </c>
    </row>
    <row r="10550" spans="1:1">
      <c r="A10550" s="7" t="str">
        <f>IF('Document Workflow'!A10549&lt;&gt;"",'Document Workflow'!A10549,"")</f>
        <v/>
      </c>
    </row>
    <row r="10551" spans="1:1">
      <c r="A10551" s="7" t="str">
        <f>IF('Document Workflow'!A10550&lt;&gt;"",'Document Workflow'!A10550,"")</f>
        <v/>
      </c>
    </row>
    <row r="10552" spans="1:1">
      <c r="A10552" s="7" t="str">
        <f>IF('Document Workflow'!A10551&lt;&gt;"",'Document Workflow'!A10551,"")</f>
        <v/>
      </c>
    </row>
    <row r="10553" spans="1:1">
      <c r="A10553" s="7" t="str">
        <f>IF('Document Workflow'!A10552&lt;&gt;"",'Document Workflow'!A10552,"")</f>
        <v/>
      </c>
    </row>
    <row r="10554" spans="1:1">
      <c r="A10554" s="7" t="str">
        <f>IF('Document Workflow'!A10553&lt;&gt;"",'Document Workflow'!A10553,"")</f>
        <v/>
      </c>
    </row>
    <row r="10555" spans="1:1">
      <c r="A10555" s="7" t="str">
        <f>IF('Document Workflow'!A10554&lt;&gt;"",'Document Workflow'!A10554,"")</f>
        <v/>
      </c>
    </row>
    <row r="10556" spans="1:1">
      <c r="A10556" s="7" t="str">
        <f>IF('Document Workflow'!A10555&lt;&gt;"",'Document Workflow'!A10555,"")</f>
        <v/>
      </c>
    </row>
    <row r="10557" spans="1:1">
      <c r="A10557" s="7" t="str">
        <f>IF('Document Workflow'!A10556&lt;&gt;"",'Document Workflow'!A10556,"")</f>
        <v/>
      </c>
    </row>
    <row r="10558" spans="1:1">
      <c r="A10558" s="7" t="str">
        <f>IF('Document Workflow'!A10557&lt;&gt;"",'Document Workflow'!A10557,"")</f>
        <v/>
      </c>
    </row>
    <row r="10559" spans="1:1">
      <c r="A10559" s="7" t="str">
        <f>IF('Document Workflow'!A10558&lt;&gt;"",'Document Workflow'!A10558,"")</f>
        <v/>
      </c>
    </row>
    <row r="10560" spans="1:1">
      <c r="A10560" s="7" t="str">
        <f>IF('Document Workflow'!A10559&lt;&gt;"",'Document Workflow'!A10559,"")</f>
        <v/>
      </c>
    </row>
    <row r="10561" spans="1:1">
      <c r="A10561" s="7" t="str">
        <f>IF('Document Workflow'!A10560&lt;&gt;"",'Document Workflow'!A10560,"")</f>
        <v/>
      </c>
    </row>
    <row r="10562" spans="1:1">
      <c r="A10562" s="7" t="str">
        <f>IF('Document Workflow'!A10561&lt;&gt;"",'Document Workflow'!A10561,"")</f>
        <v/>
      </c>
    </row>
    <row r="10563" spans="1:1">
      <c r="A10563" s="7" t="str">
        <f>IF('Document Workflow'!A10562&lt;&gt;"",'Document Workflow'!A10562,"")</f>
        <v/>
      </c>
    </row>
    <row r="10564" spans="1:1">
      <c r="A10564" s="7" t="str">
        <f>IF('Document Workflow'!A10563&lt;&gt;"",'Document Workflow'!A10563,"")</f>
        <v/>
      </c>
    </row>
    <row r="10565" spans="1:1">
      <c r="A10565" s="7" t="str">
        <f>IF('Document Workflow'!A10564&lt;&gt;"",'Document Workflow'!A10564,"")</f>
        <v/>
      </c>
    </row>
    <row r="10566" spans="1:1">
      <c r="A10566" s="7" t="str">
        <f>IF('Document Workflow'!A10565&lt;&gt;"",'Document Workflow'!A10565,"")</f>
        <v/>
      </c>
    </row>
    <row r="10567" spans="1:1">
      <c r="A10567" s="7" t="str">
        <f>IF('Document Workflow'!A10566&lt;&gt;"",'Document Workflow'!A10566,"")</f>
        <v/>
      </c>
    </row>
    <row r="10568" spans="1:1">
      <c r="A10568" s="7" t="str">
        <f>IF('Document Workflow'!A10567&lt;&gt;"",'Document Workflow'!A10567,"")</f>
        <v/>
      </c>
    </row>
    <row r="10569" spans="1:1">
      <c r="A10569" s="7" t="str">
        <f>IF('Document Workflow'!A10568&lt;&gt;"",'Document Workflow'!A10568,"")</f>
        <v/>
      </c>
    </row>
    <row r="10570" spans="1:1">
      <c r="A10570" s="7" t="str">
        <f>IF('Document Workflow'!A10569&lt;&gt;"",'Document Workflow'!A10569,"")</f>
        <v/>
      </c>
    </row>
    <row r="10571" spans="1:1">
      <c r="A10571" s="7" t="str">
        <f>IF('Document Workflow'!A10570&lt;&gt;"",'Document Workflow'!A10570,"")</f>
        <v/>
      </c>
    </row>
    <row r="10572" spans="1:1">
      <c r="A10572" s="7" t="str">
        <f>IF('Document Workflow'!A10571&lt;&gt;"",'Document Workflow'!A10571,"")</f>
        <v/>
      </c>
    </row>
    <row r="10573" spans="1:1">
      <c r="A10573" s="7" t="str">
        <f>IF('Document Workflow'!A10572&lt;&gt;"",'Document Workflow'!A10572,"")</f>
        <v/>
      </c>
    </row>
    <row r="10574" spans="1:1">
      <c r="A10574" s="7" t="str">
        <f>IF('Document Workflow'!A10573&lt;&gt;"",'Document Workflow'!A10573,"")</f>
        <v/>
      </c>
    </row>
    <row r="10575" spans="1:1">
      <c r="A10575" s="7" t="str">
        <f>IF('Document Workflow'!A10574&lt;&gt;"",'Document Workflow'!A10574,"")</f>
        <v/>
      </c>
    </row>
    <row r="10576" spans="1:1">
      <c r="A10576" s="7" t="str">
        <f>IF('Document Workflow'!A10575&lt;&gt;"",'Document Workflow'!A10575,"")</f>
        <v/>
      </c>
    </row>
    <row r="10577" spans="1:1">
      <c r="A10577" s="7" t="str">
        <f>IF('Document Workflow'!A10576&lt;&gt;"",'Document Workflow'!A10576,"")</f>
        <v/>
      </c>
    </row>
    <row r="10578" spans="1:1">
      <c r="A10578" s="7" t="str">
        <f>IF('Document Workflow'!A10577&lt;&gt;"",'Document Workflow'!A10577,"")</f>
        <v/>
      </c>
    </row>
    <row r="10579" spans="1:1">
      <c r="A10579" s="7" t="str">
        <f>IF('Document Workflow'!A10578&lt;&gt;"",'Document Workflow'!A10578,"")</f>
        <v/>
      </c>
    </row>
    <row r="10580" spans="1:1">
      <c r="A10580" s="7" t="str">
        <f>IF('Document Workflow'!A10579&lt;&gt;"",'Document Workflow'!A10579,"")</f>
        <v/>
      </c>
    </row>
    <row r="10581" spans="1:1">
      <c r="A10581" s="7" t="str">
        <f>IF('Document Workflow'!A10580&lt;&gt;"",'Document Workflow'!A10580,"")</f>
        <v/>
      </c>
    </row>
    <row r="10582" spans="1:1">
      <c r="A10582" s="7" t="str">
        <f>IF('Document Workflow'!A10581&lt;&gt;"",'Document Workflow'!A10581,"")</f>
        <v/>
      </c>
    </row>
    <row r="10583" spans="1:1">
      <c r="A10583" s="7" t="str">
        <f>IF('Document Workflow'!A10582&lt;&gt;"",'Document Workflow'!A10582,"")</f>
        <v/>
      </c>
    </row>
    <row r="10584" spans="1:1">
      <c r="A10584" s="7" t="str">
        <f>IF('Document Workflow'!A10583&lt;&gt;"",'Document Workflow'!A10583,"")</f>
        <v/>
      </c>
    </row>
    <row r="10585" spans="1:1">
      <c r="A10585" s="7" t="str">
        <f>IF('Document Workflow'!A10584&lt;&gt;"",'Document Workflow'!A10584,"")</f>
        <v/>
      </c>
    </row>
    <row r="10586" spans="1:1">
      <c r="A10586" s="7" t="str">
        <f>IF('Document Workflow'!A10585&lt;&gt;"",'Document Workflow'!A10585,"")</f>
        <v/>
      </c>
    </row>
    <row r="10587" spans="1:1">
      <c r="A10587" s="7" t="str">
        <f>IF('Document Workflow'!A10586&lt;&gt;"",'Document Workflow'!A10586,"")</f>
        <v/>
      </c>
    </row>
    <row r="10588" spans="1:1">
      <c r="A10588" s="7" t="str">
        <f>IF('Document Workflow'!A10587&lt;&gt;"",'Document Workflow'!A10587,"")</f>
        <v/>
      </c>
    </row>
    <row r="10589" spans="1:1">
      <c r="A10589" s="7" t="str">
        <f>IF('Document Workflow'!A10588&lt;&gt;"",'Document Workflow'!A10588,"")</f>
        <v/>
      </c>
    </row>
    <row r="10590" spans="1:1">
      <c r="A10590" s="7" t="str">
        <f>IF('Document Workflow'!A10589&lt;&gt;"",'Document Workflow'!A10589,"")</f>
        <v/>
      </c>
    </row>
    <row r="10591" spans="1:1">
      <c r="A10591" s="7" t="str">
        <f>IF('Document Workflow'!A10590&lt;&gt;"",'Document Workflow'!A10590,"")</f>
        <v/>
      </c>
    </row>
    <row r="10592" spans="1:1">
      <c r="A10592" s="7" t="str">
        <f>IF('Document Workflow'!A10591&lt;&gt;"",'Document Workflow'!A10591,"")</f>
        <v/>
      </c>
    </row>
    <row r="10593" spans="1:1">
      <c r="A10593" s="7" t="str">
        <f>IF('Document Workflow'!A10592&lt;&gt;"",'Document Workflow'!A10592,"")</f>
        <v/>
      </c>
    </row>
    <row r="10594" spans="1:1">
      <c r="A10594" s="7" t="str">
        <f>IF('Document Workflow'!A10593&lt;&gt;"",'Document Workflow'!A10593,"")</f>
        <v/>
      </c>
    </row>
    <row r="10595" spans="1:1">
      <c r="A10595" s="7" t="str">
        <f>IF('Document Workflow'!A10594&lt;&gt;"",'Document Workflow'!A10594,"")</f>
        <v/>
      </c>
    </row>
    <row r="10596" spans="1:1">
      <c r="A10596" s="7" t="str">
        <f>IF('Document Workflow'!A10595&lt;&gt;"",'Document Workflow'!A10595,"")</f>
        <v/>
      </c>
    </row>
    <row r="10597" spans="1:1">
      <c r="A10597" s="7" t="str">
        <f>IF('Document Workflow'!A10596&lt;&gt;"",'Document Workflow'!A10596,"")</f>
        <v/>
      </c>
    </row>
    <row r="10598" spans="1:1">
      <c r="A10598" s="7" t="str">
        <f>IF('Document Workflow'!A10597&lt;&gt;"",'Document Workflow'!A10597,"")</f>
        <v/>
      </c>
    </row>
    <row r="10599" spans="1:1">
      <c r="A10599" s="7" t="str">
        <f>IF('Document Workflow'!A10598&lt;&gt;"",'Document Workflow'!A10598,"")</f>
        <v/>
      </c>
    </row>
    <row r="10600" spans="1:1">
      <c r="A10600" s="7" t="str">
        <f>IF('Document Workflow'!A10599&lt;&gt;"",'Document Workflow'!A10599,"")</f>
        <v/>
      </c>
    </row>
    <row r="10601" spans="1:1">
      <c r="A10601" s="7" t="str">
        <f>IF('Document Workflow'!A10600&lt;&gt;"",'Document Workflow'!A10600,"")</f>
        <v/>
      </c>
    </row>
    <row r="10602" spans="1:1">
      <c r="A10602" s="7" t="str">
        <f>IF('Document Workflow'!A10601&lt;&gt;"",'Document Workflow'!A10601,"")</f>
        <v/>
      </c>
    </row>
    <row r="10603" spans="1:1">
      <c r="A10603" s="7" t="str">
        <f>IF('Document Workflow'!A10602&lt;&gt;"",'Document Workflow'!A10602,"")</f>
        <v/>
      </c>
    </row>
    <row r="10604" spans="1:1">
      <c r="A10604" s="7" t="str">
        <f>IF('Document Workflow'!A10603&lt;&gt;"",'Document Workflow'!A10603,"")</f>
        <v/>
      </c>
    </row>
    <row r="10605" spans="1:1">
      <c r="A10605" s="7" t="str">
        <f>IF('Document Workflow'!A10604&lt;&gt;"",'Document Workflow'!A10604,"")</f>
        <v/>
      </c>
    </row>
    <row r="10606" spans="1:1">
      <c r="A10606" s="7" t="str">
        <f>IF('Document Workflow'!A10605&lt;&gt;"",'Document Workflow'!A10605,"")</f>
        <v/>
      </c>
    </row>
    <row r="10607" spans="1:1">
      <c r="A10607" s="7" t="str">
        <f>IF('Document Workflow'!A10606&lt;&gt;"",'Document Workflow'!A10606,"")</f>
        <v/>
      </c>
    </row>
    <row r="10608" spans="1:1">
      <c r="A10608" s="7" t="str">
        <f>IF('Document Workflow'!A10607&lt;&gt;"",'Document Workflow'!A10607,"")</f>
        <v/>
      </c>
    </row>
    <row r="10609" spans="1:1">
      <c r="A10609" s="7" t="str">
        <f>IF('Document Workflow'!A10608&lt;&gt;"",'Document Workflow'!A10608,"")</f>
        <v/>
      </c>
    </row>
    <row r="10610" spans="1:1">
      <c r="A10610" s="7" t="str">
        <f>IF('Document Workflow'!A10609&lt;&gt;"",'Document Workflow'!A10609,"")</f>
        <v/>
      </c>
    </row>
    <row r="10611" spans="1:1">
      <c r="A10611" s="7" t="str">
        <f>IF('Document Workflow'!A10610&lt;&gt;"",'Document Workflow'!A10610,"")</f>
        <v/>
      </c>
    </row>
    <row r="10612" spans="1:1">
      <c r="A10612" s="7" t="str">
        <f>IF('Document Workflow'!A10611&lt;&gt;"",'Document Workflow'!A10611,"")</f>
        <v/>
      </c>
    </row>
    <row r="10613" spans="1:1">
      <c r="A10613" s="7" t="str">
        <f>IF('Document Workflow'!A10612&lt;&gt;"",'Document Workflow'!A10612,"")</f>
        <v/>
      </c>
    </row>
    <row r="10614" spans="1:1">
      <c r="A10614" s="7" t="str">
        <f>IF('Document Workflow'!A10613&lt;&gt;"",'Document Workflow'!A10613,"")</f>
        <v/>
      </c>
    </row>
    <row r="10615" spans="1:1">
      <c r="A10615" s="7" t="str">
        <f>IF('Document Workflow'!A10614&lt;&gt;"",'Document Workflow'!A10614,"")</f>
        <v/>
      </c>
    </row>
    <row r="10616" spans="1:1">
      <c r="A10616" s="7" t="str">
        <f>IF('Document Workflow'!A10615&lt;&gt;"",'Document Workflow'!A10615,"")</f>
        <v/>
      </c>
    </row>
    <row r="10617" spans="1:1">
      <c r="A10617" s="7" t="str">
        <f>IF('Document Workflow'!A10616&lt;&gt;"",'Document Workflow'!A10616,"")</f>
        <v/>
      </c>
    </row>
    <row r="10618" spans="1:1">
      <c r="A10618" s="7" t="str">
        <f>IF('Document Workflow'!A10617&lt;&gt;"",'Document Workflow'!A10617,"")</f>
        <v/>
      </c>
    </row>
    <row r="10619" spans="1:1">
      <c r="A10619" s="7" t="str">
        <f>IF('Document Workflow'!A10618&lt;&gt;"",'Document Workflow'!A10618,"")</f>
        <v/>
      </c>
    </row>
    <row r="10620" spans="1:1">
      <c r="A10620" s="7" t="str">
        <f>IF('Document Workflow'!A10619&lt;&gt;"",'Document Workflow'!A10619,"")</f>
        <v/>
      </c>
    </row>
    <row r="10621" spans="1:1">
      <c r="A10621" s="7" t="str">
        <f>IF('Document Workflow'!A10620&lt;&gt;"",'Document Workflow'!A10620,"")</f>
        <v/>
      </c>
    </row>
    <row r="10622" spans="1:1">
      <c r="A10622" s="7" t="str">
        <f>IF('Document Workflow'!A10621&lt;&gt;"",'Document Workflow'!A10621,"")</f>
        <v/>
      </c>
    </row>
    <row r="10623" spans="1:1">
      <c r="A10623" s="7" t="str">
        <f>IF('Document Workflow'!A10622&lt;&gt;"",'Document Workflow'!A10622,"")</f>
        <v/>
      </c>
    </row>
    <row r="10624" spans="1:1">
      <c r="A10624" s="7" t="str">
        <f>IF('Document Workflow'!A10623&lt;&gt;"",'Document Workflow'!A10623,"")</f>
        <v/>
      </c>
    </row>
    <row r="10625" spans="1:1">
      <c r="A10625" s="7" t="str">
        <f>IF('Document Workflow'!A10624&lt;&gt;"",'Document Workflow'!A10624,"")</f>
        <v/>
      </c>
    </row>
    <row r="10626" spans="1:1">
      <c r="A10626" s="7" t="str">
        <f>IF('Document Workflow'!A10625&lt;&gt;"",'Document Workflow'!A10625,"")</f>
        <v/>
      </c>
    </row>
    <row r="10627" spans="1:1">
      <c r="A10627" s="7" t="str">
        <f>IF('Document Workflow'!A10626&lt;&gt;"",'Document Workflow'!A10626,"")</f>
        <v/>
      </c>
    </row>
    <row r="10628" spans="1:1">
      <c r="A10628" s="7" t="str">
        <f>IF('Document Workflow'!A10627&lt;&gt;"",'Document Workflow'!A10627,"")</f>
        <v/>
      </c>
    </row>
    <row r="10629" spans="1:1">
      <c r="A10629" s="7" t="str">
        <f>IF('Document Workflow'!A10628&lt;&gt;"",'Document Workflow'!A10628,"")</f>
        <v/>
      </c>
    </row>
    <row r="10630" spans="1:1">
      <c r="A10630" s="7" t="str">
        <f>IF('Document Workflow'!A10629&lt;&gt;"",'Document Workflow'!A10629,"")</f>
        <v/>
      </c>
    </row>
    <row r="10631" spans="1:1">
      <c r="A10631" s="7" t="str">
        <f>IF('Document Workflow'!A10630&lt;&gt;"",'Document Workflow'!A10630,"")</f>
        <v/>
      </c>
    </row>
    <row r="10632" spans="1:1">
      <c r="A10632" s="7" t="str">
        <f>IF('Document Workflow'!A10631&lt;&gt;"",'Document Workflow'!A10631,"")</f>
        <v/>
      </c>
    </row>
    <row r="10633" spans="1:1">
      <c r="A10633" s="7" t="str">
        <f>IF('Document Workflow'!A10632&lt;&gt;"",'Document Workflow'!A10632,"")</f>
        <v/>
      </c>
    </row>
    <row r="10634" spans="1:1">
      <c r="A10634" s="7" t="str">
        <f>IF('Document Workflow'!A10633&lt;&gt;"",'Document Workflow'!A10633,"")</f>
        <v/>
      </c>
    </row>
    <row r="10635" spans="1:1">
      <c r="A10635" s="7" t="str">
        <f>IF('Document Workflow'!A10634&lt;&gt;"",'Document Workflow'!A10634,"")</f>
        <v/>
      </c>
    </row>
    <row r="10636" spans="1:1">
      <c r="A10636" s="7" t="str">
        <f>IF('Document Workflow'!A10635&lt;&gt;"",'Document Workflow'!A10635,"")</f>
        <v/>
      </c>
    </row>
    <row r="10637" spans="1:1">
      <c r="A10637" s="7" t="str">
        <f>IF('Document Workflow'!A10636&lt;&gt;"",'Document Workflow'!A10636,"")</f>
        <v/>
      </c>
    </row>
    <row r="10638" spans="1:1">
      <c r="A10638" s="7" t="str">
        <f>IF('Document Workflow'!A10637&lt;&gt;"",'Document Workflow'!A10637,"")</f>
        <v/>
      </c>
    </row>
    <row r="10639" spans="1:1">
      <c r="A10639" s="7" t="str">
        <f>IF('Document Workflow'!A10638&lt;&gt;"",'Document Workflow'!A10638,"")</f>
        <v/>
      </c>
    </row>
    <row r="10640" spans="1:1">
      <c r="A10640" s="7" t="str">
        <f>IF('Document Workflow'!A10639&lt;&gt;"",'Document Workflow'!A10639,"")</f>
        <v/>
      </c>
    </row>
    <row r="10641" spans="1:1">
      <c r="A10641" s="7" t="str">
        <f>IF('Document Workflow'!A10640&lt;&gt;"",'Document Workflow'!A10640,"")</f>
        <v/>
      </c>
    </row>
    <row r="10642" spans="1:1">
      <c r="A10642" s="7" t="str">
        <f>IF('Document Workflow'!A10641&lt;&gt;"",'Document Workflow'!A10641,"")</f>
        <v/>
      </c>
    </row>
    <row r="10643" spans="1:1">
      <c r="A10643" s="7" t="str">
        <f>IF('Document Workflow'!A10642&lt;&gt;"",'Document Workflow'!A10642,"")</f>
        <v/>
      </c>
    </row>
    <row r="10644" spans="1:1">
      <c r="A10644" s="7" t="str">
        <f>IF('Document Workflow'!A10643&lt;&gt;"",'Document Workflow'!A10643,"")</f>
        <v/>
      </c>
    </row>
    <row r="10645" spans="1:1">
      <c r="A10645" s="7" t="str">
        <f>IF('Document Workflow'!A10644&lt;&gt;"",'Document Workflow'!A10644,"")</f>
        <v/>
      </c>
    </row>
    <row r="10646" spans="1:1">
      <c r="A10646" s="7" t="str">
        <f>IF('Document Workflow'!A10645&lt;&gt;"",'Document Workflow'!A10645,"")</f>
        <v/>
      </c>
    </row>
    <row r="10647" spans="1:1">
      <c r="A10647" s="7" t="str">
        <f>IF('Document Workflow'!A10646&lt;&gt;"",'Document Workflow'!A10646,"")</f>
        <v/>
      </c>
    </row>
    <row r="10648" spans="1:1">
      <c r="A10648" s="7" t="str">
        <f>IF('Document Workflow'!A10647&lt;&gt;"",'Document Workflow'!A10647,"")</f>
        <v/>
      </c>
    </row>
    <row r="10649" spans="1:1">
      <c r="A10649" s="7" t="str">
        <f>IF('Document Workflow'!A10648&lt;&gt;"",'Document Workflow'!A10648,"")</f>
        <v/>
      </c>
    </row>
    <row r="10650" spans="1:1">
      <c r="A10650" s="7" t="str">
        <f>IF('Document Workflow'!A10649&lt;&gt;"",'Document Workflow'!A10649,"")</f>
        <v/>
      </c>
    </row>
    <row r="10651" spans="1:1">
      <c r="A10651" s="7" t="str">
        <f>IF('Document Workflow'!A10650&lt;&gt;"",'Document Workflow'!A10650,"")</f>
        <v/>
      </c>
    </row>
    <row r="10652" spans="1:1">
      <c r="A10652" s="7" t="str">
        <f>IF('Document Workflow'!A10651&lt;&gt;"",'Document Workflow'!A10651,"")</f>
        <v/>
      </c>
    </row>
    <row r="10653" spans="1:1">
      <c r="A10653" s="7" t="str">
        <f>IF('Document Workflow'!A10652&lt;&gt;"",'Document Workflow'!A10652,"")</f>
        <v/>
      </c>
    </row>
    <row r="10654" spans="1:1">
      <c r="A10654" s="7" t="str">
        <f>IF('Document Workflow'!A10653&lt;&gt;"",'Document Workflow'!A10653,"")</f>
        <v/>
      </c>
    </row>
    <row r="10655" spans="1:1">
      <c r="A10655" s="7" t="str">
        <f>IF('Document Workflow'!A10654&lt;&gt;"",'Document Workflow'!A10654,"")</f>
        <v/>
      </c>
    </row>
    <row r="10656" spans="1:1">
      <c r="A10656" s="7" t="str">
        <f>IF('Document Workflow'!A10655&lt;&gt;"",'Document Workflow'!A10655,"")</f>
        <v/>
      </c>
    </row>
    <row r="10657" spans="1:1">
      <c r="A10657" s="7" t="str">
        <f>IF('Document Workflow'!A10656&lt;&gt;"",'Document Workflow'!A10656,"")</f>
        <v/>
      </c>
    </row>
    <row r="10658" spans="1:1">
      <c r="A10658" s="7" t="str">
        <f>IF('Document Workflow'!A10657&lt;&gt;"",'Document Workflow'!A10657,"")</f>
        <v/>
      </c>
    </row>
    <row r="10659" spans="1:1">
      <c r="A10659" s="7" t="str">
        <f>IF('Document Workflow'!A10658&lt;&gt;"",'Document Workflow'!A10658,"")</f>
        <v/>
      </c>
    </row>
    <row r="10660" spans="1:1">
      <c r="A10660" s="7" t="str">
        <f>IF('Document Workflow'!A10659&lt;&gt;"",'Document Workflow'!A10659,"")</f>
        <v/>
      </c>
    </row>
    <row r="10661" spans="1:1">
      <c r="A10661" s="7" t="str">
        <f>IF('Document Workflow'!A10660&lt;&gt;"",'Document Workflow'!A10660,"")</f>
        <v/>
      </c>
    </row>
    <row r="10662" spans="1:1">
      <c r="A10662" s="7" t="str">
        <f>IF('Document Workflow'!A10661&lt;&gt;"",'Document Workflow'!A10661,"")</f>
        <v/>
      </c>
    </row>
    <row r="10663" spans="1:1">
      <c r="A10663" s="7" t="str">
        <f>IF('Document Workflow'!A10662&lt;&gt;"",'Document Workflow'!A10662,"")</f>
        <v/>
      </c>
    </row>
    <row r="10664" spans="1:1">
      <c r="A10664" s="7" t="str">
        <f>IF('Document Workflow'!A10663&lt;&gt;"",'Document Workflow'!A10663,"")</f>
        <v/>
      </c>
    </row>
    <row r="10665" spans="1:1">
      <c r="A10665" s="7" t="str">
        <f>IF('Document Workflow'!A10664&lt;&gt;"",'Document Workflow'!A10664,"")</f>
        <v/>
      </c>
    </row>
    <row r="10666" spans="1:1">
      <c r="A10666" s="7" t="str">
        <f>IF('Document Workflow'!A10665&lt;&gt;"",'Document Workflow'!A10665,"")</f>
        <v/>
      </c>
    </row>
    <row r="10667" spans="1:1">
      <c r="A10667" s="7" t="str">
        <f>IF('Document Workflow'!A10666&lt;&gt;"",'Document Workflow'!A10666,"")</f>
        <v/>
      </c>
    </row>
    <row r="10668" spans="1:1">
      <c r="A10668" s="7" t="str">
        <f>IF('Document Workflow'!A10667&lt;&gt;"",'Document Workflow'!A10667,"")</f>
        <v/>
      </c>
    </row>
    <row r="10669" spans="1:1">
      <c r="A10669" s="7" t="str">
        <f>IF('Document Workflow'!A10668&lt;&gt;"",'Document Workflow'!A10668,"")</f>
        <v/>
      </c>
    </row>
    <row r="10670" spans="1:1">
      <c r="A10670" s="7" t="str">
        <f>IF('Document Workflow'!A10669&lt;&gt;"",'Document Workflow'!A10669,"")</f>
        <v/>
      </c>
    </row>
    <row r="10671" spans="1:1">
      <c r="A10671" s="7" t="str">
        <f>IF('Document Workflow'!A10670&lt;&gt;"",'Document Workflow'!A10670,"")</f>
        <v/>
      </c>
    </row>
    <row r="10672" spans="1:1">
      <c r="A10672" s="7" t="str">
        <f>IF('Document Workflow'!A10671&lt;&gt;"",'Document Workflow'!A10671,"")</f>
        <v/>
      </c>
    </row>
    <row r="10673" spans="1:1">
      <c r="A10673" s="7" t="str">
        <f>IF('Document Workflow'!A10672&lt;&gt;"",'Document Workflow'!A10672,"")</f>
        <v/>
      </c>
    </row>
    <row r="10674" spans="1:1">
      <c r="A10674" s="7" t="str">
        <f>IF('Document Workflow'!A10673&lt;&gt;"",'Document Workflow'!A10673,"")</f>
        <v/>
      </c>
    </row>
    <row r="10675" spans="1:1">
      <c r="A10675" s="7" t="str">
        <f>IF('Document Workflow'!A10674&lt;&gt;"",'Document Workflow'!A10674,"")</f>
        <v/>
      </c>
    </row>
    <row r="10676" spans="1:1">
      <c r="A10676" s="7" t="str">
        <f>IF('Document Workflow'!A10675&lt;&gt;"",'Document Workflow'!A10675,"")</f>
        <v/>
      </c>
    </row>
    <row r="10677" spans="1:1">
      <c r="A10677" s="7" t="str">
        <f>IF('Document Workflow'!A10676&lt;&gt;"",'Document Workflow'!A10676,"")</f>
        <v/>
      </c>
    </row>
    <row r="10678" spans="1:1">
      <c r="A10678" s="7" t="str">
        <f>IF('Document Workflow'!A10677&lt;&gt;"",'Document Workflow'!A10677,"")</f>
        <v/>
      </c>
    </row>
    <row r="10679" spans="1:1">
      <c r="A10679" s="7" t="str">
        <f>IF('Document Workflow'!A10678&lt;&gt;"",'Document Workflow'!A10678,"")</f>
        <v/>
      </c>
    </row>
    <row r="10680" spans="1:1">
      <c r="A10680" s="7" t="str">
        <f>IF('Document Workflow'!A10679&lt;&gt;"",'Document Workflow'!A10679,"")</f>
        <v/>
      </c>
    </row>
    <row r="10681" spans="1:1">
      <c r="A10681" s="7" t="str">
        <f>IF('Document Workflow'!A10680&lt;&gt;"",'Document Workflow'!A10680,"")</f>
        <v/>
      </c>
    </row>
    <row r="10682" spans="1:1">
      <c r="A10682" s="7" t="str">
        <f>IF('Document Workflow'!A10681&lt;&gt;"",'Document Workflow'!A10681,"")</f>
        <v/>
      </c>
    </row>
    <row r="10683" spans="1:1">
      <c r="A10683" s="7" t="str">
        <f>IF('Document Workflow'!A10682&lt;&gt;"",'Document Workflow'!A10682,"")</f>
        <v/>
      </c>
    </row>
    <row r="10684" spans="1:1">
      <c r="A10684" s="7" t="str">
        <f>IF('Document Workflow'!A10683&lt;&gt;"",'Document Workflow'!A10683,"")</f>
        <v/>
      </c>
    </row>
    <row r="10685" spans="1:1">
      <c r="A10685" s="7" t="str">
        <f>IF('Document Workflow'!A10684&lt;&gt;"",'Document Workflow'!A10684,"")</f>
        <v/>
      </c>
    </row>
    <row r="10686" spans="1:1">
      <c r="A10686" s="7" t="str">
        <f>IF('Document Workflow'!A10685&lt;&gt;"",'Document Workflow'!A10685,"")</f>
        <v/>
      </c>
    </row>
    <row r="10687" spans="1:1">
      <c r="A10687" s="7" t="str">
        <f>IF('Document Workflow'!A10686&lt;&gt;"",'Document Workflow'!A10686,"")</f>
        <v/>
      </c>
    </row>
    <row r="10688" spans="1:1">
      <c r="A10688" s="7" t="str">
        <f>IF('Document Workflow'!A10687&lt;&gt;"",'Document Workflow'!A10687,"")</f>
        <v/>
      </c>
    </row>
    <row r="10689" spans="1:1">
      <c r="A10689" s="7" t="str">
        <f>IF('Document Workflow'!A10688&lt;&gt;"",'Document Workflow'!A10688,"")</f>
        <v/>
      </c>
    </row>
    <row r="10690" spans="1:1">
      <c r="A10690" s="7" t="str">
        <f>IF('Document Workflow'!A10689&lt;&gt;"",'Document Workflow'!A10689,"")</f>
        <v/>
      </c>
    </row>
    <row r="10691" spans="1:1">
      <c r="A10691" s="7" t="str">
        <f>IF('Document Workflow'!A10690&lt;&gt;"",'Document Workflow'!A10690,"")</f>
        <v/>
      </c>
    </row>
    <row r="10692" spans="1:1">
      <c r="A10692" s="7" t="str">
        <f>IF('Document Workflow'!A10691&lt;&gt;"",'Document Workflow'!A10691,"")</f>
        <v/>
      </c>
    </row>
    <row r="10693" spans="1:1">
      <c r="A10693" s="7" t="str">
        <f>IF('Document Workflow'!A10692&lt;&gt;"",'Document Workflow'!A10692,"")</f>
        <v/>
      </c>
    </row>
    <row r="10694" spans="1:1">
      <c r="A10694" s="7" t="str">
        <f>IF('Document Workflow'!A10693&lt;&gt;"",'Document Workflow'!A10693,"")</f>
        <v/>
      </c>
    </row>
    <row r="10695" spans="1:1">
      <c r="A10695" s="7" t="str">
        <f>IF('Document Workflow'!A10694&lt;&gt;"",'Document Workflow'!A10694,"")</f>
        <v/>
      </c>
    </row>
    <row r="10696" spans="1:1">
      <c r="A10696" s="7" t="str">
        <f>IF('Document Workflow'!A10695&lt;&gt;"",'Document Workflow'!A10695,"")</f>
        <v/>
      </c>
    </row>
    <row r="10697" spans="1:1">
      <c r="A10697" s="7" t="str">
        <f>IF('Document Workflow'!A10696&lt;&gt;"",'Document Workflow'!A10696,"")</f>
        <v/>
      </c>
    </row>
    <row r="10698" spans="1:1">
      <c r="A10698" s="7" t="str">
        <f>IF('Document Workflow'!A10697&lt;&gt;"",'Document Workflow'!A10697,"")</f>
        <v/>
      </c>
    </row>
    <row r="10699" spans="1:1">
      <c r="A10699" s="7" t="str">
        <f>IF('Document Workflow'!A10698&lt;&gt;"",'Document Workflow'!A10698,"")</f>
        <v/>
      </c>
    </row>
    <row r="10700" spans="1:1">
      <c r="A10700" s="7" t="str">
        <f>IF('Document Workflow'!A10699&lt;&gt;"",'Document Workflow'!A10699,"")</f>
        <v/>
      </c>
    </row>
    <row r="10701" spans="1:1">
      <c r="A10701" s="7" t="str">
        <f>IF('Document Workflow'!A10700&lt;&gt;"",'Document Workflow'!A10700,"")</f>
        <v/>
      </c>
    </row>
    <row r="10702" spans="1:1">
      <c r="A10702" s="7" t="str">
        <f>IF('Document Workflow'!A10701&lt;&gt;"",'Document Workflow'!A10701,"")</f>
        <v/>
      </c>
    </row>
    <row r="10703" spans="1:1">
      <c r="A10703" s="7" t="str">
        <f>IF('Document Workflow'!A10702&lt;&gt;"",'Document Workflow'!A10702,"")</f>
        <v/>
      </c>
    </row>
    <row r="10704" spans="1:1">
      <c r="A10704" s="7" t="str">
        <f>IF('Document Workflow'!A10703&lt;&gt;"",'Document Workflow'!A10703,"")</f>
        <v/>
      </c>
    </row>
    <row r="10705" spans="1:1">
      <c r="A10705" s="7" t="str">
        <f>IF('Document Workflow'!A10704&lt;&gt;"",'Document Workflow'!A10704,"")</f>
        <v/>
      </c>
    </row>
    <row r="10706" spans="1:1">
      <c r="A10706" s="7" t="str">
        <f>IF('Document Workflow'!A10705&lt;&gt;"",'Document Workflow'!A10705,"")</f>
        <v/>
      </c>
    </row>
    <row r="10707" spans="1:1">
      <c r="A10707" s="7" t="str">
        <f>IF('Document Workflow'!A10706&lt;&gt;"",'Document Workflow'!A10706,"")</f>
        <v/>
      </c>
    </row>
    <row r="10708" spans="1:1">
      <c r="A10708" s="7" t="str">
        <f>IF('Document Workflow'!A10707&lt;&gt;"",'Document Workflow'!A10707,"")</f>
        <v/>
      </c>
    </row>
    <row r="10709" spans="1:1">
      <c r="A10709" s="7" t="str">
        <f>IF('Document Workflow'!A10708&lt;&gt;"",'Document Workflow'!A10708,"")</f>
        <v/>
      </c>
    </row>
    <row r="10710" spans="1:1">
      <c r="A10710" s="7" t="str">
        <f>IF('Document Workflow'!A10709&lt;&gt;"",'Document Workflow'!A10709,"")</f>
        <v/>
      </c>
    </row>
    <row r="10711" spans="1:1">
      <c r="A10711" s="7" t="str">
        <f>IF('Document Workflow'!A10710&lt;&gt;"",'Document Workflow'!A10710,"")</f>
        <v/>
      </c>
    </row>
    <row r="10712" spans="1:1">
      <c r="A10712" s="7" t="str">
        <f>IF('Document Workflow'!A10711&lt;&gt;"",'Document Workflow'!A10711,"")</f>
        <v/>
      </c>
    </row>
    <row r="10713" spans="1:1">
      <c r="A10713" s="7" t="str">
        <f>IF('Document Workflow'!A10712&lt;&gt;"",'Document Workflow'!A10712,"")</f>
        <v/>
      </c>
    </row>
    <row r="10714" spans="1:1">
      <c r="A10714" s="7" t="str">
        <f>IF('Document Workflow'!A10713&lt;&gt;"",'Document Workflow'!A10713,"")</f>
        <v/>
      </c>
    </row>
    <row r="10715" spans="1:1">
      <c r="A10715" s="7" t="str">
        <f>IF('Document Workflow'!A10714&lt;&gt;"",'Document Workflow'!A10714,"")</f>
        <v/>
      </c>
    </row>
    <row r="10716" spans="1:1">
      <c r="A10716" s="7" t="str">
        <f>IF('Document Workflow'!A10715&lt;&gt;"",'Document Workflow'!A10715,"")</f>
        <v/>
      </c>
    </row>
    <row r="10717" spans="1:1">
      <c r="A10717" s="7" t="str">
        <f>IF('Document Workflow'!A10716&lt;&gt;"",'Document Workflow'!A10716,"")</f>
        <v/>
      </c>
    </row>
    <row r="10718" spans="1:1">
      <c r="A10718" s="7" t="str">
        <f>IF('Document Workflow'!A10717&lt;&gt;"",'Document Workflow'!A10717,"")</f>
        <v/>
      </c>
    </row>
    <row r="10719" spans="1:1">
      <c r="A10719" s="7" t="str">
        <f>IF('Document Workflow'!A10718&lt;&gt;"",'Document Workflow'!A10718,"")</f>
        <v/>
      </c>
    </row>
    <row r="10720" spans="1:1">
      <c r="A10720" s="7" t="str">
        <f>IF('Document Workflow'!A10719&lt;&gt;"",'Document Workflow'!A10719,"")</f>
        <v/>
      </c>
    </row>
    <row r="10721" spans="1:1">
      <c r="A10721" s="7" t="str">
        <f>IF('Document Workflow'!A10720&lt;&gt;"",'Document Workflow'!A10720,"")</f>
        <v/>
      </c>
    </row>
    <row r="10722" spans="1:1">
      <c r="A10722" s="7" t="str">
        <f>IF('Document Workflow'!A10721&lt;&gt;"",'Document Workflow'!A10721,"")</f>
        <v/>
      </c>
    </row>
    <row r="10723" spans="1:1">
      <c r="A10723" s="7" t="str">
        <f>IF('Document Workflow'!A10722&lt;&gt;"",'Document Workflow'!A10722,"")</f>
        <v/>
      </c>
    </row>
    <row r="10724" spans="1:1">
      <c r="A10724" s="7" t="str">
        <f>IF('Document Workflow'!A10723&lt;&gt;"",'Document Workflow'!A10723,"")</f>
        <v/>
      </c>
    </row>
    <row r="10725" spans="1:1">
      <c r="A10725" s="7" t="str">
        <f>IF('Document Workflow'!A10724&lt;&gt;"",'Document Workflow'!A10724,"")</f>
        <v/>
      </c>
    </row>
    <row r="10726" spans="1:1">
      <c r="A10726" s="7" t="str">
        <f>IF('Document Workflow'!A10725&lt;&gt;"",'Document Workflow'!A10725,"")</f>
        <v/>
      </c>
    </row>
    <row r="10727" spans="1:1">
      <c r="A10727" s="7" t="str">
        <f>IF('Document Workflow'!A10726&lt;&gt;"",'Document Workflow'!A10726,"")</f>
        <v/>
      </c>
    </row>
    <row r="10728" spans="1:1">
      <c r="A10728" s="7" t="str">
        <f>IF('Document Workflow'!A10727&lt;&gt;"",'Document Workflow'!A10727,"")</f>
        <v/>
      </c>
    </row>
    <row r="10729" spans="1:1">
      <c r="A10729" s="7" t="str">
        <f>IF('Document Workflow'!A10728&lt;&gt;"",'Document Workflow'!A10728,"")</f>
        <v/>
      </c>
    </row>
    <row r="10730" spans="1:1">
      <c r="A10730" s="7" t="str">
        <f>IF('Document Workflow'!A10729&lt;&gt;"",'Document Workflow'!A10729,"")</f>
        <v/>
      </c>
    </row>
    <row r="10731" spans="1:1">
      <c r="A10731" s="7" t="str">
        <f>IF('Document Workflow'!A10730&lt;&gt;"",'Document Workflow'!A10730,"")</f>
        <v/>
      </c>
    </row>
    <row r="10732" spans="1:1">
      <c r="A10732" s="7" t="str">
        <f>IF('Document Workflow'!A10731&lt;&gt;"",'Document Workflow'!A10731,"")</f>
        <v/>
      </c>
    </row>
    <row r="10733" spans="1:1">
      <c r="A10733" s="7" t="str">
        <f>IF('Document Workflow'!A10732&lt;&gt;"",'Document Workflow'!A10732,"")</f>
        <v/>
      </c>
    </row>
    <row r="10734" spans="1:1">
      <c r="A10734" s="7" t="str">
        <f>IF('Document Workflow'!A10733&lt;&gt;"",'Document Workflow'!A10733,"")</f>
        <v/>
      </c>
    </row>
    <row r="10735" spans="1:1">
      <c r="A10735" s="7" t="str">
        <f>IF('Document Workflow'!A10734&lt;&gt;"",'Document Workflow'!A10734,"")</f>
        <v/>
      </c>
    </row>
    <row r="10736" spans="1:1">
      <c r="A10736" s="7" t="str">
        <f>IF('Document Workflow'!A10735&lt;&gt;"",'Document Workflow'!A10735,"")</f>
        <v/>
      </c>
    </row>
    <row r="10737" spans="1:1">
      <c r="A10737" s="7" t="str">
        <f>IF('Document Workflow'!A10736&lt;&gt;"",'Document Workflow'!A10736,"")</f>
        <v/>
      </c>
    </row>
    <row r="10738" spans="1:1">
      <c r="A10738" s="7" t="str">
        <f>IF('Document Workflow'!A10737&lt;&gt;"",'Document Workflow'!A10737,"")</f>
        <v/>
      </c>
    </row>
    <row r="10739" spans="1:1">
      <c r="A10739" s="7" t="str">
        <f>IF('Document Workflow'!A10738&lt;&gt;"",'Document Workflow'!A10738,"")</f>
        <v/>
      </c>
    </row>
    <row r="10740" spans="1:1">
      <c r="A10740" s="7" t="str">
        <f>IF('Document Workflow'!A10739&lt;&gt;"",'Document Workflow'!A10739,"")</f>
        <v/>
      </c>
    </row>
    <row r="10741" spans="1:1">
      <c r="A10741" s="7" t="str">
        <f>IF('Document Workflow'!A10740&lt;&gt;"",'Document Workflow'!A10740,"")</f>
        <v/>
      </c>
    </row>
    <row r="10742" spans="1:1">
      <c r="A10742" s="7" t="str">
        <f>IF('Document Workflow'!A10741&lt;&gt;"",'Document Workflow'!A10741,"")</f>
        <v/>
      </c>
    </row>
    <row r="10743" spans="1:1">
      <c r="A10743" s="7" t="str">
        <f>IF('Document Workflow'!A10742&lt;&gt;"",'Document Workflow'!A10742,"")</f>
        <v/>
      </c>
    </row>
    <row r="10744" spans="1:1">
      <c r="A10744" s="7" t="str">
        <f>IF('Document Workflow'!A10743&lt;&gt;"",'Document Workflow'!A10743,"")</f>
        <v/>
      </c>
    </row>
    <row r="10745" spans="1:1">
      <c r="A10745" s="7" t="str">
        <f>IF('Document Workflow'!A10744&lt;&gt;"",'Document Workflow'!A10744,"")</f>
        <v/>
      </c>
    </row>
    <row r="10746" spans="1:1">
      <c r="A10746" s="7" t="str">
        <f>IF('Document Workflow'!A10745&lt;&gt;"",'Document Workflow'!A10745,"")</f>
        <v/>
      </c>
    </row>
    <row r="10747" spans="1:1">
      <c r="A10747" s="7" t="str">
        <f>IF('Document Workflow'!A10746&lt;&gt;"",'Document Workflow'!A10746,"")</f>
        <v/>
      </c>
    </row>
    <row r="10748" spans="1:1">
      <c r="A10748" s="7" t="str">
        <f>IF('Document Workflow'!A10747&lt;&gt;"",'Document Workflow'!A10747,"")</f>
        <v/>
      </c>
    </row>
    <row r="10749" spans="1:1">
      <c r="A10749" s="7" t="str">
        <f>IF('Document Workflow'!A10748&lt;&gt;"",'Document Workflow'!A10748,"")</f>
        <v/>
      </c>
    </row>
    <row r="10750" spans="1:1">
      <c r="A10750" s="7" t="str">
        <f>IF('Document Workflow'!A10749&lt;&gt;"",'Document Workflow'!A10749,"")</f>
        <v/>
      </c>
    </row>
    <row r="10751" spans="1:1">
      <c r="A10751" s="7" t="str">
        <f>IF('Document Workflow'!A10750&lt;&gt;"",'Document Workflow'!A10750,"")</f>
        <v/>
      </c>
    </row>
    <row r="10752" spans="1:1">
      <c r="A10752" s="7" t="str">
        <f>IF('Document Workflow'!A10751&lt;&gt;"",'Document Workflow'!A10751,"")</f>
        <v/>
      </c>
    </row>
    <row r="10753" spans="1:1">
      <c r="A10753" s="7" t="str">
        <f>IF('Document Workflow'!A10752&lt;&gt;"",'Document Workflow'!A10752,"")</f>
        <v/>
      </c>
    </row>
    <row r="10754" spans="1:1">
      <c r="A10754" s="7" t="str">
        <f>IF('Document Workflow'!A10753&lt;&gt;"",'Document Workflow'!A10753,"")</f>
        <v/>
      </c>
    </row>
    <row r="10755" spans="1:1">
      <c r="A10755" s="7" t="str">
        <f>IF('Document Workflow'!A10754&lt;&gt;"",'Document Workflow'!A10754,"")</f>
        <v/>
      </c>
    </row>
    <row r="10756" spans="1:1">
      <c r="A10756" s="7" t="str">
        <f>IF('Document Workflow'!A10755&lt;&gt;"",'Document Workflow'!A10755,"")</f>
        <v/>
      </c>
    </row>
    <row r="10757" spans="1:1">
      <c r="A10757" s="7" t="str">
        <f>IF('Document Workflow'!A10756&lt;&gt;"",'Document Workflow'!A10756,"")</f>
        <v/>
      </c>
    </row>
    <row r="10758" spans="1:1">
      <c r="A10758" s="7" t="str">
        <f>IF('Document Workflow'!A10757&lt;&gt;"",'Document Workflow'!A10757,"")</f>
        <v/>
      </c>
    </row>
    <row r="10759" spans="1:1">
      <c r="A10759" s="7" t="str">
        <f>IF('Document Workflow'!A10758&lt;&gt;"",'Document Workflow'!A10758,"")</f>
        <v/>
      </c>
    </row>
    <row r="10760" spans="1:1">
      <c r="A10760" s="7" t="str">
        <f>IF('Document Workflow'!A10759&lt;&gt;"",'Document Workflow'!A10759,"")</f>
        <v/>
      </c>
    </row>
    <row r="10761" spans="1:1">
      <c r="A10761" s="7" t="str">
        <f>IF('Document Workflow'!A10760&lt;&gt;"",'Document Workflow'!A10760,"")</f>
        <v/>
      </c>
    </row>
    <row r="10762" spans="1:1">
      <c r="A10762" s="7" t="str">
        <f>IF('Document Workflow'!A10761&lt;&gt;"",'Document Workflow'!A10761,"")</f>
        <v/>
      </c>
    </row>
    <row r="10763" spans="1:1">
      <c r="A10763" s="7" t="str">
        <f>IF('Document Workflow'!A10762&lt;&gt;"",'Document Workflow'!A10762,"")</f>
        <v/>
      </c>
    </row>
    <row r="10764" spans="1:1">
      <c r="A10764" s="7" t="str">
        <f>IF('Document Workflow'!A10763&lt;&gt;"",'Document Workflow'!A10763,"")</f>
        <v/>
      </c>
    </row>
    <row r="10765" spans="1:1">
      <c r="A10765" s="7" t="str">
        <f>IF('Document Workflow'!A10764&lt;&gt;"",'Document Workflow'!A10764,"")</f>
        <v/>
      </c>
    </row>
    <row r="10766" spans="1:1">
      <c r="A10766" s="7" t="str">
        <f>IF('Document Workflow'!A10765&lt;&gt;"",'Document Workflow'!A10765,"")</f>
        <v/>
      </c>
    </row>
    <row r="10767" spans="1:1">
      <c r="A10767" s="7" t="str">
        <f>IF('Document Workflow'!A10766&lt;&gt;"",'Document Workflow'!A10766,"")</f>
        <v/>
      </c>
    </row>
    <row r="10768" spans="1:1">
      <c r="A10768" s="7" t="str">
        <f>IF('Document Workflow'!A10767&lt;&gt;"",'Document Workflow'!A10767,"")</f>
        <v/>
      </c>
    </row>
    <row r="10769" spans="1:1">
      <c r="A10769" s="7" t="str">
        <f>IF('Document Workflow'!A10768&lt;&gt;"",'Document Workflow'!A10768,"")</f>
        <v/>
      </c>
    </row>
    <row r="10770" spans="1:1">
      <c r="A10770" s="7" t="str">
        <f>IF('Document Workflow'!A10769&lt;&gt;"",'Document Workflow'!A10769,"")</f>
        <v/>
      </c>
    </row>
    <row r="10771" spans="1:1">
      <c r="A10771" s="7" t="str">
        <f>IF('Document Workflow'!A10770&lt;&gt;"",'Document Workflow'!A10770,"")</f>
        <v/>
      </c>
    </row>
    <row r="10772" spans="1:1">
      <c r="A10772" s="7" t="str">
        <f>IF('Document Workflow'!A10771&lt;&gt;"",'Document Workflow'!A10771,"")</f>
        <v/>
      </c>
    </row>
    <row r="10773" spans="1:1">
      <c r="A10773" s="7" t="str">
        <f>IF('Document Workflow'!A10772&lt;&gt;"",'Document Workflow'!A10772,"")</f>
        <v/>
      </c>
    </row>
    <row r="10774" spans="1:1">
      <c r="A10774" s="7" t="str">
        <f>IF('Document Workflow'!A10773&lt;&gt;"",'Document Workflow'!A10773,"")</f>
        <v/>
      </c>
    </row>
    <row r="10775" spans="1:1">
      <c r="A10775" s="7" t="str">
        <f>IF('Document Workflow'!A10774&lt;&gt;"",'Document Workflow'!A10774,"")</f>
        <v/>
      </c>
    </row>
    <row r="10776" spans="1:1">
      <c r="A10776" s="7" t="str">
        <f>IF('Document Workflow'!A10775&lt;&gt;"",'Document Workflow'!A10775,"")</f>
        <v/>
      </c>
    </row>
    <row r="10777" spans="1:1">
      <c r="A10777" s="7" t="str">
        <f>IF('Document Workflow'!A10776&lt;&gt;"",'Document Workflow'!A10776,"")</f>
        <v/>
      </c>
    </row>
    <row r="10778" spans="1:1">
      <c r="A10778" s="7" t="str">
        <f>IF('Document Workflow'!A10777&lt;&gt;"",'Document Workflow'!A10777,"")</f>
        <v/>
      </c>
    </row>
    <row r="10779" spans="1:1">
      <c r="A10779" s="7" t="str">
        <f>IF('Document Workflow'!A10778&lt;&gt;"",'Document Workflow'!A10778,"")</f>
        <v/>
      </c>
    </row>
    <row r="10780" spans="1:1">
      <c r="A10780" s="7" t="str">
        <f>IF('Document Workflow'!A10779&lt;&gt;"",'Document Workflow'!A10779,"")</f>
        <v/>
      </c>
    </row>
    <row r="10781" spans="1:1">
      <c r="A10781" s="7" t="str">
        <f>IF('Document Workflow'!A10780&lt;&gt;"",'Document Workflow'!A10780,"")</f>
        <v/>
      </c>
    </row>
    <row r="10782" spans="1:1">
      <c r="A10782" s="7" t="str">
        <f>IF('Document Workflow'!A10781&lt;&gt;"",'Document Workflow'!A10781,"")</f>
        <v/>
      </c>
    </row>
    <row r="10783" spans="1:1">
      <c r="A10783" s="7" t="str">
        <f>IF('Document Workflow'!A10782&lt;&gt;"",'Document Workflow'!A10782,"")</f>
        <v/>
      </c>
    </row>
    <row r="10784" spans="1:1">
      <c r="A10784" s="7" t="str">
        <f>IF('Document Workflow'!A10783&lt;&gt;"",'Document Workflow'!A10783,"")</f>
        <v/>
      </c>
    </row>
    <row r="10785" spans="1:1">
      <c r="A10785" s="7" t="str">
        <f>IF('Document Workflow'!A10784&lt;&gt;"",'Document Workflow'!A10784,"")</f>
        <v/>
      </c>
    </row>
    <row r="10786" spans="1:1">
      <c r="A10786" s="7" t="str">
        <f>IF('Document Workflow'!A10785&lt;&gt;"",'Document Workflow'!A10785,"")</f>
        <v/>
      </c>
    </row>
    <row r="10787" spans="1:1">
      <c r="A10787" s="7" t="str">
        <f>IF('Document Workflow'!A10786&lt;&gt;"",'Document Workflow'!A10786,"")</f>
        <v/>
      </c>
    </row>
    <row r="10788" spans="1:1">
      <c r="A10788" s="7" t="str">
        <f>IF('Document Workflow'!A10787&lt;&gt;"",'Document Workflow'!A10787,"")</f>
        <v/>
      </c>
    </row>
    <row r="10789" spans="1:1">
      <c r="A10789" s="7" t="str">
        <f>IF('Document Workflow'!A10788&lt;&gt;"",'Document Workflow'!A10788,"")</f>
        <v/>
      </c>
    </row>
    <row r="10790" spans="1:1">
      <c r="A10790" s="7" t="str">
        <f>IF('Document Workflow'!A10789&lt;&gt;"",'Document Workflow'!A10789,"")</f>
        <v/>
      </c>
    </row>
    <row r="10791" spans="1:1">
      <c r="A10791" s="7" t="str">
        <f>IF('Document Workflow'!A10790&lt;&gt;"",'Document Workflow'!A10790,"")</f>
        <v/>
      </c>
    </row>
    <row r="10792" spans="1:1">
      <c r="A10792" s="7" t="str">
        <f>IF('Document Workflow'!A10791&lt;&gt;"",'Document Workflow'!A10791,"")</f>
        <v/>
      </c>
    </row>
    <row r="10793" spans="1:1">
      <c r="A10793" s="7" t="str">
        <f>IF('Document Workflow'!A10792&lt;&gt;"",'Document Workflow'!A10792,"")</f>
        <v/>
      </c>
    </row>
    <row r="10794" spans="1:1">
      <c r="A10794" s="7" t="str">
        <f>IF('Document Workflow'!A10793&lt;&gt;"",'Document Workflow'!A10793,"")</f>
        <v/>
      </c>
    </row>
    <row r="10795" spans="1:1">
      <c r="A10795" s="7" t="str">
        <f>IF('Document Workflow'!A10794&lt;&gt;"",'Document Workflow'!A10794,"")</f>
        <v/>
      </c>
    </row>
    <row r="10796" spans="1:1">
      <c r="A10796" s="7" t="str">
        <f>IF('Document Workflow'!A10795&lt;&gt;"",'Document Workflow'!A10795,"")</f>
        <v/>
      </c>
    </row>
    <row r="10797" spans="1:1">
      <c r="A10797" s="7" t="str">
        <f>IF('Document Workflow'!A10796&lt;&gt;"",'Document Workflow'!A10796,"")</f>
        <v/>
      </c>
    </row>
    <row r="10798" spans="1:1">
      <c r="A10798" s="7" t="str">
        <f>IF('Document Workflow'!A10797&lt;&gt;"",'Document Workflow'!A10797,"")</f>
        <v/>
      </c>
    </row>
    <row r="10799" spans="1:1">
      <c r="A10799" s="7" t="str">
        <f>IF('Document Workflow'!A10798&lt;&gt;"",'Document Workflow'!A10798,"")</f>
        <v/>
      </c>
    </row>
    <row r="10800" spans="1:1">
      <c r="A10800" s="7" t="str">
        <f>IF('Document Workflow'!A10799&lt;&gt;"",'Document Workflow'!A10799,"")</f>
        <v/>
      </c>
    </row>
    <row r="10801" spans="1:1">
      <c r="A10801" s="7" t="str">
        <f>IF('Document Workflow'!A10800&lt;&gt;"",'Document Workflow'!A10800,"")</f>
        <v/>
      </c>
    </row>
    <row r="10802" spans="1:1">
      <c r="A10802" s="7" t="str">
        <f>IF('Document Workflow'!A10801&lt;&gt;"",'Document Workflow'!A10801,"")</f>
        <v/>
      </c>
    </row>
    <row r="10803" spans="1:1">
      <c r="A10803" s="7" t="str">
        <f>IF('Document Workflow'!A10802&lt;&gt;"",'Document Workflow'!A10802,"")</f>
        <v/>
      </c>
    </row>
    <row r="10804" spans="1:1">
      <c r="A10804" s="7" t="str">
        <f>IF('Document Workflow'!A10803&lt;&gt;"",'Document Workflow'!A10803,"")</f>
        <v/>
      </c>
    </row>
    <row r="10805" spans="1:1">
      <c r="A10805" s="7" t="str">
        <f>IF('Document Workflow'!A10804&lt;&gt;"",'Document Workflow'!A10804,"")</f>
        <v/>
      </c>
    </row>
    <row r="10806" spans="1:1">
      <c r="A10806" s="7" t="str">
        <f>IF('Document Workflow'!A10805&lt;&gt;"",'Document Workflow'!A10805,"")</f>
        <v/>
      </c>
    </row>
    <row r="10807" spans="1:1">
      <c r="A10807" s="7" t="str">
        <f>IF('Document Workflow'!A10806&lt;&gt;"",'Document Workflow'!A10806,"")</f>
        <v/>
      </c>
    </row>
    <row r="10808" spans="1:1">
      <c r="A10808" s="7" t="str">
        <f>IF('Document Workflow'!A10807&lt;&gt;"",'Document Workflow'!A10807,"")</f>
        <v/>
      </c>
    </row>
    <row r="10809" spans="1:1">
      <c r="A10809" s="7" t="str">
        <f>IF('Document Workflow'!A10808&lt;&gt;"",'Document Workflow'!A10808,"")</f>
        <v/>
      </c>
    </row>
    <row r="10810" spans="1:1">
      <c r="A10810" s="7" t="str">
        <f>IF('Document Workflow'!A10809&lt;&gt;"",'Document Workflow'!A10809,"")</f>
        <v/>
      </c>
    </row>
    <row r="10811" spans="1:1">
      <c r="A10811" s="7" t="str">
        <f>IF('Document Workflow'!A10810&lt;&gt;"",'Document Workflow'!A10810,"")</f>
        <v/>
      </c>
    </row>
    <row r="10812" spans="1:1">
      <c r="A10812" s="7" t="str">
        <f>IF('Document Workflow'!A10811&lt;&gt;"",'Document Workflow'!A10811,"")</f>
        <v/>
      </c>
    </row>
    <row r="10813" spans="1:1">
      <c r="A10813" s="7" t="str">
        <f>IF('Document Workflow'!A10812&lt;&gt;"",'Document Workflow'!A10812,"")</f>
        <v/>
      </c>
    </row>
    <row r="10814" spans="1:1">
      <c r="A10814" s="7" t="str">
        <f>IF('Document Workflow'!A10813&lt;&gt;"",'Document Workflow'!A10813,"")</f>
        <v/>
      </c>
    </row>
    <row r="10815" spans="1:1">
      <c r="A10815" s="7" t="str">
        <f>IF('Document Workflow'!A10814&lt;&gt;"",'Document Workflow'!A10814,"")</f>
        <v/>
      </c>
    </row>
    <row r="10816" spans="1:1">
      <c r="A10816" s="7" t="str">
        <f>IF('Document Workflow'!A10815&lt;&gt;"",'Document Workflow'!A10815,"")</f>
        <v/>
      </c>
    </row>
    <row r="10817" spans="1:1">
      <c r="A10817" s="7" t="str">
        <f>IF('Document Workflow'!A10816&lt;&gt;"",'Document Workflow'!A10816,"")</f>
        <v/>
      </c>
    </row>
    <row r="10818" spans="1:1">
      <c r="A10818" s="7" t="str">
        <f>IF('Document Workflow'!A10817&lt;&gt;"",'Document Workflow'!A10817,"")</f>
        <v/>
      </c>
    </row>
    <row r="10819" spans="1:1">
      <c r="A10819" s="7" t="str">
        <f>IF('Document Workflow'!A10818&lt;&gt;"",'Document Workflow'!A10818,"")</f>
        <v/>
      </c>
    </row>
    <row r="10820" spans="1:1">
      <c r="A10820" s="7" t="str">
        <f>IF('Document Workflow'!A10819&lt;&gt;"",'Document Workflow'!A10819,"")</f>
        <v/>
      </c>
    </row>
    <row r="10821" spans="1:1">
      <c r="A10821" s="7" t="str">
        <f>IF('Document Workflow'!A10820&lt;&gt;"",'Document Workflow'!A10820,"")</f>
        <v/>
      </c>
    </row>
    <row r="10822" spans="1:1">
      <c r="A10822" s="7" t="str">
        <f>IF('Document Workflow'!A10821&lt;&gt;"",'Document Workflow'!A10821,"")</f>
        <v/>
      </c>
    </row>
    <row r="10823" spans="1:1">
      <c r="A10823" s="7" t="str">
        <f>IF('Document Workflow'!A10822&lt;&gt;"",'Document Workflow'!A10822,"")</f>
        <v/>
      </c>
    </row>
    <row r="10824" spans="1:1">
      <c r="A10824" s="7" t="str">
        <f>IF('Document Workflow'!A10823&lt;&gt;"",'Document Workflow'!A10823,"")</f>
        <v/>
      </c>
    </row>
    <row r="10825" spans="1:1">
      <c r="A10825" s="7" t="str">
        <f>IF('Document Workflow'!A10824&lt;&gt;"",'Document Workflow'!A10824,"")</f>
        <v/>
      </c>
    </row>
    <row r="10826" spans="1:1">
      <c r="A10826" s="7" t="str">
        <f>IF('Document Workflow'!A10825&lt;&gt;"",'Document Workflow'!A10825,"")</f>
        <v/>
      </c>
    </row>
    <row r="10827" spans="1:1">
      <c r="A10827" s="7" t="str">
        <f>IF('Document Workflow'!A10826&lt;&gt;"",'Document Workflow'!A10826,"")</f>
        <v/>
      </c>
    </row>
    <row r="10828" spans="1:1">
      <c r="A10828" s="7" t="str">
        <f>IF('Document Workflow'!A10827&lt;&gt;"",'Document Workflow'!A10827,"")</f>
        <v/>
      </c>
    </row>
    <row r="10829" spans="1:1">
      <c r="A10829" s="7" t="str">
        <f>IF('Document Workflow'!A10828&lt;&gt;"",'Document Workflow'!A10828,"")</f>
        <v/>
      </c>
    </row>
    <row r="10830" spans="1:1">
      <c r="A10830" s="7" t="str">
        <f>IF('Document Workflow'!A10829&lt;&gt;"",'Document Workflow'!A10829,"")</f>
        <v/>
      </c>
    </row>
    <row r="10831" spans="1:1">
      <c r="A10831" s="7" t="str">
        <f>IF('Document Workflow'!A10830&lt;&gt;"",'Document Workflow'!A10830,"")</f>
        <v/>
      </c>
    </row>
    <row r="10832" spans="1:1">
      <c r="A10832" s="7" t="str">
        <f>IF('Document Workflow'!A10831&lt;&gt;"",'Document Workflow'!A10831,"")</f>
        <v/>
      </c>
    </row>
    <row r="10833" spans="1:1">
      <c r="A10833" s="7" t="str">
        <f>IF('Document Workflow'!A10832&lt;&gt;"",'Document Workflow'!A10832,"")</f>
        <v/>
      </c>
    </row>
    <row r="10834" spans="1:1">
      <c r="A10834" s="7" t="str">
        <f>IF('Document Workflow'!A10833&lt;&gt;"",'Document Workflow'!A10833,"")</f>
        <v/>
      </c>
    </row>
    <row r="10835" spans="1:1">
      <c r="A10835" s="7" t="str">
        <f>IF('Document Workflow'!A10834&lt;&gt;"",'Document Workflow'!A10834,"")</f>
        <v/>
      </c>
    </row>
    <row r="10836" spans="1:1">
      <c r="A10836" s="7" t="str">
        <f>IF('Document Workflow'!A10835&lt;&gt;"",'Document Workflow'!A10835,"")</f>
        <v/>
      </c>
    </row>
    <row r="10837" spans="1:1">
      <c r="A10837" s="7" t="str">
        <f>IF('Document Workflow'!A10836&lt;&gt;"",'Document Workflow'!A10836,"")</f>
        <v/>
      </c>
    </row>
    <row r="10838" spans="1:1">
      <c r="A10838" s="7" t="str">
        <f>IF('Document Workflow'!A10837&lt;&gt;"",'Document Workflow'!A10837,"")</f>
        <v/>
      </c>
    </row>
    <row r="10839" spans="1:1">
      <c r="A10839" s="7" t="str">
        <f>IF('Document Workflow'!A10838&lt;&gt;"",'Document Workflow'!A10838,"")</f>
        <v/>
      </c>
    </row>
    <row r="10840" spans="1:1">
      <c r="A10840" s="7" t="str">
        <f>IF('Document Workflow'!A10839&lt;&gt;"",'Document Workflow'!A10839,"")</f>
        <v/>
      </c>
    </row>
    <row r="10841" spans="1:1">
      <c r="A10841" s="7" t="str">
        <f>IF('Document Workflow'!A10840&lt;&gt;"",'Document Workflow'!A10840,"")</f>
        <v/>
      </c>
    </row>
    <row r="10842" spans="1:1">
      <c r="A10842" s="7" t="str">
        <f>IF('Document Workflow'!A10841&lt;&gt;"",'Document Workflow'!A10841,"")</f>
        <v/>
      </c>
    </row>
    <row r="10843" spans="1:1">
      <c r="A10843" s="7" t="str">
        <f>IF('Document Workflow'!A10842&lt;&gt;"",'Document Workflow'!A10842,"")</f>
        <v/>
      </c>
    </row>
    <row r="10844" spans="1:1">
      <c r="A10844" s="7" t="str">
        <f>IF('Document Workflow'!A10843&lt;&gt;"",'Document Workflow'!A10843,"")</f>
        <v/>
      </c>
    </row>
    <row r="10845" spans="1:1">
      <c r="A10845" s="7" t="str">
        <f>IF('Document Workflow'!A10844&lt;&gt;"",'Document Workflow'!A10844,"")</f>
        <v/>
      </c>
    </row>
    <row r="10846" spans="1:1">
      <c r="A10846" s="7" t="str">
        <f>IF('Document Workflow'!A10845&lt;&gt;"",'Document Workflow'!A10845,"")</f>
        <v/>
      </c>
    </row>
    <row r="10847" spans="1:1">
      <c r="A10847" s="7" t="str">
        <f>IF('Document Workflow'!A10846&lt;&gt;"",'Document Workflow'!A10846,"")</f>
        <v/>
      </c>
    </row>
    <row r="10848" spans="1:1">
      <c r="A10848" s="7" t="str">
        <f>IF('Document Workflow'!A10847&lt;&gt;"",'Document Workflow'!A10847,"")</f>
        <v/>
      </c>
    </row>
    <row r="10849" spans="1:1">
      <c r="A10849" s="7" t="str">
        <f>IF('Document Workflow'!A10848&lt;&gt;"",'Document Workflow'!A10848,"")</f>
        <v/>
      </c>
    </row>
    <row r="10850" spans="1:1">
      <c r="A10850" s="7" t="str">
        <f>IF('Document Workflow'!A10849&lt;&gt;"",'Document Workflow'!A10849,"")</f>
        <v/>
      </c>
    </row>
    <row r="10851" spans="1:1">
      <c r="A10851" s="7" t="str">
        <f>IF('Document Workflow'!A10850&lt;&gt;"",'Document Workflow'!A10850,"")</f>
        <v/>
      </c>
    </row>
    <row r="10852" spans="1:1">
      <c r="A10852" s="7" t="str">
        <f>IF('Document Workflow'!A10851&lt;&gt;"",'Document Workflow'!A10851,"")</f>
        <v/>
      </c>
    </row>
    <row r="10853" spans="1:1">
      <c r="A10853" s="7" t="str">
        <f>IF('Document Workflow'!A10852&lt;&gt;"",'Document Workflow'!A10852,"")</f>
        <v/>
      </c>
    </row>
    <row r="10854" spans="1:1">
      <c r="A10854" s="7" t="str">
        <f>IF('Document Workflow'!A10853&lt;&gt;"",'Document Workflow'!A10853,"")</f>
        <v/>
      </c>
    </row>
    <row r="10855" spans="1:1">
      <c r="A10855" s="7" t="str">
        <f>IF('Document Workflow'!A10854&lt;&gt;"",'Document Workflow'!A10854,"")</f>
        <v/>
      </c>
    </row>
    <row r="10856" spans="1:1">
      <c r="A10856" s="7" t="str">
        <f>IF('Document Workflow'!A10855&lt;&gt;"",'Document Workflow'!A10855,"")</f>
        <v/>
      </c>
    </row>
    <row r="10857" spans="1:1">
      <c r="A10857" s="7" t="str">
        <f>IF('Document Workflow'!A10856&lt;&gt;"",'Document Workflow'!A10856,"")</f>
        <v/>
      </c>
    </row>
    <row r="10858" spans="1:1">
      <c r="A10858" s="7" t="str">
        <f>IF('Document Workflow'!A10857&lt;&gt;"",'Document Workflow'!A10857,"")</f>
        <v/>
      </c>
    </row>
    <row r="10859" spans="1:1">
      <c r="A10859" s="7" t="str">
        <f>IF('Document Workflow'!A10858&lt;&gt;"",'Document Workflow'!A10858,"")</f>
        <v/>
      </c>
    </row>
    <row r="10860" spans="1:1">
      <c r="A10860" s="7" t="str">
        <f>IF('Document Workflow'!A10859&lt;&gt;"",'Document Workflow'!A10859,"")</f>
        <v/>
      </c>
    </row>
    <row r="10861" spans="1:1">
      <c r="A10861" s="7" t="str">
        <f>IF('Document Workflow'!A10860&lt;&gt;"",'Document Workflow'!A10860,"")</f>
        <v/>
      </c>
    </row>
    <row r="10862" spans="1:1">
      <c r="A10862" s="7" t="str">
        <f>IF('Document Workflow'!A10861&lt;&gt;"",'Document Workflow'!A10861,"")</f>
        <v/>
      </c>
    </row>
    <row r="10863" spans="1:1">
      <c r="A10863" s="7" t="str">
        <f>IF('Document Workflow'!A10862&lt;&gt;"",'Document Workflow'!A10862,"")</f>
        <v/>
      </c>
    </row>
    <row r="10864" spans="1:1">
      <c r="A10864" s="7" t="str">
        <f>IF('Document Workflow'!A10863&lt;&gt;"",'Document Workflow'!A10863,"")</f>
        <v/>
      </c>
    </row>
    <row r="10865" spans="1:1">
      <c r="A10865" s="7" t="str">
        <f>IF('Document Workflow'!A10864&lt;&gt;"",'Document Workflow'!A10864,"")</f>
        <v/>
      </c>
    </row>
    <row r="10866" spans="1:1">
      <c r="A10866" s="7" t="str">
        <f>IF('Document Workflow'!A10865&lt;&gt;"",'Document Workflow'!A10865,"")</f>
        <v/>
      </c>
    </row>
    <row r="10867" spans="1:1">
      <c r="A10867" s="7" t="str">
        <f>IF('Document Workflow'!A10866&lt;&gt;"",'Document Workflow'!A10866,"")</f>
        <v/>
      </c>
    </row>
    <row r="10868" spans="1:1">
      <c r="A10868" s="7" t="str">
        <f>IF('Document Workflow'!A10867&lt;&gt;"",'Document Workflow'!A10867,"")</f>
        <v/>
      </c>
    </row>
    <row r="10869" spans="1:1">
      <c r="A10869" s="7" t="str">
        <f>IF('Document Workflow'!A10868&lt;&gt;"",'Document Workflow'!A10868,"")</f>
        <v/>
      </c>
    </row>
    <row r="10870" spans="1:1">
      <c r="A10870" s="7" t="str">
        <f>IF('Document Workflow'!A10869&lt;&gt;"",'Document Workflow'!A10869,"")</f>
        <v/>
      </c>
    </row>
    <row r="10871" spans="1:1">
      <c r="A10871" s="7" t="str">
        <f>IF('Document Workflow'!A10870&lt;&gt;"",'Document Workflow'!A10870,"")</f>
        <v/>
      </c>
    </row>
    <row r="10872" spans="1:1">
      <c r="A10872" s="7" t="str">
        <f>IF('Document Workflow'!A10871&lt;&gt;"",'Document Workflow'!A10871,"")</f>
        <v/>
      </c>
    </row>
    <row r="10873" spans="1:1">
      <c r="A10873" s="7" t="str">
        <f>IF('Document Workflow'!A10872&lt;&gt;"",'Document Workflow'!A10872,"")</f>
        <v/>
      </c>
    </row>
    <row r="10874" spans="1:1">
      <c r="A10874" s="7" t="str">
        <f>IF('Document Workflow'!A10873&lt;&gt;"",'Document Workflow'!A10873,"")</f>
        <v/>
      </c>
    </row>
    <row r="10875" spans="1:1">
      <c r="A10875" s="7" t="str">
        <f>IF('Document Workflow'!A10874&lt;&gt;"",'Document Workflow'!A10874,"")</f>
        <v/>
      </c>
    </row>
    <row r="10876" spans="1:1">
      <c r="A10876" s="7" t="str">
        <f>IF('Document Workflow'!A10875&lt;&gt;"",'Document Workflow'!A10875,"")</f>
        <v/>
      </c>
    </row>
    <row r="10877" spans="1:1">
      <c r="A10877" s="7" t="str">
        <f>IF('Document Workflow'!A10876&lt;&gt;"",'Document Workflow'!A10876,"")</f>
        <v/>
      </c>
    </row>
    <row r="10878" spans="1:1">
      <c r="A10878" s="7" t="str">
        <f>IF('Document Workflow'!A10877&lt;&gt;"",'Document Workflow'!A10877,"")</f>
        <v/>
      </c>
    </row>
    <row r="10879" spans="1:1">
      <c r="A10879" s="7" t="str">
        <f>IF('Document Workflow'!A10878&lt;&gt;"",'Document Workflow'!A10878,"")</f>
        <v/>
      </c>
    </row>
    <row r="10880" spans="1:1">
      <c r="A10880" s="7" t="str">
        <f>IF('Document Workflow'!A10879&lt;&gt;"",'Document Workflow'!A10879,"")</f>
        <v/>
      </c>
    </row>
    <row r="10881" spans="1:1">
      <c r="A10881" s="7" t="str">
        <f>IF('Document Workflow'!A10880&lt;&gt;"",'Document Workflow'!A10880,"")</f>
        <v/>
      </c>
    </row>
    <row r="10882" spans="1:1">
      <c r="A10882" s="7" t="str">
        <f>IF('Document Workflow'!A10881&lt;&gt;"",'Document Workflow'!A10881,"")</f>
        <v/>
      </c>
    </row>
    <row r="10883" spans="1:1">
      <c r="A10883" s="7" t="str">
        <f>IF('Document Workflow'!A10882&lt;&gt;"",'Document Workflow'!A10882,"")</f>
        <v/>
      </c>
    </row>
    <row r="10884" spans="1:1">
      <c r="A10884" s="7" t="str">
        <f>IF('Document Workflow'!A10883&lt;&gt;"",'Document Workflow'!A10883,"")</f>
        <v/>
      </c>
    </row>
    <row r="10885" spans="1:1">
      <c r="A10885" s="7" t="str">
        <f>IF('Document Workflow'!A10884&lt;&gt;"",'Document Workflow'!A10884,"")</f>
        <v/>
      </c>
    </row>
    <row r="10886" spans="1:1">
      <c r="A10886" s="7" t="str">
        <f>IF('Document Workflow'!A10885&lt;&gt;"",'Document Workflow'!A10885,"")</f>
        <v/>
      </c>
    </row>
    <row r="10887" spans="1:1">
      <c r="A10887" s="7" t="str">
        <f>IF('Document Workflow'!A10886&lt;&gt;"",'Document Workflow'!A10886,"")</f>
        <v/>
      </c>
    </row>
    <row r="10888" spans="1:1">
      <c r="A10888" s="7" t="str">
        <f>IF('Document Workflow'!A10887&lt;&gt;"",'Document Workflow'!A10887,"")</f>
        <v/>
      </c>
    </row>
    <row r="10889" spans="1:1">
      <c r="A10889" s="7" t="str">
        <f>IF('Document Workflow'!A10888&lt;&gt;"",'Document Workflow'!A10888,"")</f>
        <v/>
      </c>
    </row>
    <row r="10890" spans="1:1">
      <c r="A10890" s="7" t="str">
        <f>IF('Document Workflow'!A10889&lt;&gt;"",'Document Workflow'!A10889,"")</f>
        <v/>
      </c>
    </row>
    <row r="10891" spans="1:1">
      <c r="A10891" s="7" t="str">
        <f>IF('Document Workflow'!A10890&lt;&gt;"",'Document Workflow'!A10890,"")</f>
        <v/>
      </c>
    </row>
    <row r="10892" spans="1:1">
      <c r="A10892" s="7" t="str">
        <f>IF('Document Workflow'!A10891&lt;&gt;"",'Document Workflow'!A10891,"")</f>
        <v/>
      </c>
    </row>
    <row r="10893" spans="1:1">
      <c r="A10893" s="7" t="str">
        <f>IF('Document Workflow'!A10892&lt;&gt;"",'Document Workflow'!A10892,"")</f>
        <v/>
      </c>
    </row>
    <row r="10894" spans="1:1">
      <c r="A10894" s="7" t="str">
        <f>IF('Document Workflow'!A10893&lt;&gt;"",'Document Workflow'!A10893,"")</f>
        <v/>
      </c>
    </row>
    <row r="10895" spans="1:1">
      <c r="A10895" s="7" t="str">
        <f>IF('Document Workflow'!A10894&lt;&gt;"",'Document Workflow'!A10894,"")</f>
        <v/>
      </c>
    </row>
    <row r="10896" spans="1:1">
      <c r="A10896" s="7" t="str">
        <f>IF('Document Workflow'!A10895&lt;&gt;"",'Document Workflow'!A10895,"")</f>
        <v/>
      </c>
    </row>
    <row r="10897" spans="1:1">
      <c r="A10897" s="7" t="str">
        <f>IF('Document Workflow'!A10896&lt;&gt;"",'Document Workflow'!A10896,"")</f>
        <v/>
      </c>
    </row>
    <row r="10898" spans="1:1">
      <c r="A10898" s="7" t="str">
        <f>IF('Document Workflow'!A10897&lt;&gt;"",'Document Workflow'!A10897,"")</f>
        <v/>
      </c>
    </row>
    <row r="10899" spans="1:1">
      <c r="A10899" s="7" t="str">
        <f>IF('Document Workflow'!A10898&lt;&gt;"",'Document Workflow'!A10898,"")</f>
        <v/>
      </c>
    </row>
    <row r="10900" spans="1:1">
      <c r="A10900" s="7" t="str">
        <f>IF('Document Workflow'!A10899&lt;&gt;"",'Document Workflow'!A10899,"")</f>
        <v/>
      </c>
    </row>
    <row r="10901" spans="1:1">
      <c r="A10901" s="7" t="str">
        <f>IF('Document Workflow'!A10900&lt;&gt;"",'Document Workflow'!A10900,"")</f>
        <v/>
      </c>
    </row>
    <row r="10902" spans="1:1">
      <c r="A10902" s="7" t="str">
        <f>IF('Document Workflow'!A10901&lt;&gt;"",'Document Workflow'!A10901,"")</f>
        <v/>
      </c>
    </row>
    <row r="10903" spans="1:1">
      <c r="A10903" s="7" t="str">
        <f>IF('Document Workflow'!A10902&lt;&gt;"",'Document Workflow'!A10902,"")</f>
        <v/>
      </c>
    </row>
    <row r="10904" spans="1:1">
      <c r="A10904" s="7" t="str">
        <f>IF('Document Workflow'!A10903&lt;&gt;"",'Document Workflow'!A10903,"")</f>
        <v/>
      </c>
    </row>
    <row r="10905" spans="1:1">
      <c r="A10905" s="7" t="str">
        <f>IF('Document Workflow'!A10904&lt;&gt;"",'Document Workflow'!A10904,"")</f>
        <v/>
      </c>
    </row>
    <row r="10906" spans="1:1">
      <c r="A10906" s="7" t="str">
        <f>IF('Document Workflow'!A10905&lt;&gt;"",'Document Workflow'!A10905,"")</f>
        <v/>
      </c>
    </row>
    <row r="10907" spans="1:1">
      <c r="A10907" s="7" t="str">
        <f>IF('Document Workflow'!A10906&lt;&gt;"",'Document Workflow'!A10906,"")</f>
        <v/>
      </c>
    </row>
    <row r="10908" spans="1:1">
      <c r="A10908" s="7" t="str">
        <f>IF('Document Workflow'!A10907&lt;&gt;"",'Document Workflow'!A10907,"")</f>
        <v/>
      </c>
    </row>
    <row r="10909" spans="1:1">
      <c r="A10909" s="7" t="str">
        <f>IF('Document Workflow'!A10908&lt;&gt;"",'Document Workflow'!A10908,"")</f>
        <v/>
      </c>
    </row>
    <row r="10910" spans="1:1">
      <c r="A10910" s="7" t="str">
        <f>IF('Document Workflow'!A10909&lt;&gt;"",'Document Workflow'!A10909,"")</f>
        <v/>
      </c>
    </row>
    <row r="10911" spans="1:1">
      <c r="A10911" s="7" t="str">
        <f>IF('Document Workflow'!A10910&lt;&gt;"",'Document Workflow'!A10910,"")</f>
        <v/>
      </c>
    </row>
    <row r="10912" spans="1:1">
      <c r="A10912" s="7" t="str">
        <f>IF('Document Workflow'!A10911&lt;&gt;"",'Document Workflow'!A10911,"")</f>
        <v/>
      </c>
    </row>
    <row r="10913" spans="1:1">
      <c r="A10913" s="7" t="str">
        <f>IF('Document Workflow'!A10912&lt;&gt;"",'Document Workflow'!A10912,"")</f>
        <v/>
      </c>
    </row>
    <row r="10914" spans="1:1">
      <c r="A10914" s="7" t="str">
        <f>IF('Document Workflow'!A10913&lt;&gt;"",'Document Workflow'!A10913,"")</f>
        <v/>
      </c>
    </row>
    <row r="10915" spans="1:1">
      <c r="A10915" s="7" t="str">
        <f>IF('Document Workflow'!A10914&lt;&gt;"",'Document Workflow'!A10914,"")</f>
        <v/>
      </c>
    </row>
    <row r="10916" spans="1:1">
      <c r="A10916" s="7" t="str">
        <f>IF('Document Workflow'!A10915&lt;&gt;"",'Document Workflow'!A10915,"")</f>
        <v/>
      </c>
    </row>
    <row r="10917" spans="1:1">
      <c r="A10917" s="7" t="str">
        <f>IF('Document Workflow'!A10916&lt;&gt;"",'Document Workflow'!A10916,"")</f>
        <v/>
      </c>
    </row>
    <row r="10918" spans="1:1">
      <c r="A10918" s="7" t="str">
        <f>IF('Document Workflow'!A10917&lt;&gt;"",'Document Workflow'!A10917,"")</f>
        <v/>
      </c>
    </row>
    <row r="10919" spans="1:1">
      <c r="A10919" s="7" t="str">
        <f>IF('Document Workflow'!A10918&lt;&gt;"",'Document Workflow'!A10918,"")</f>
        <v/>
      </c>
    </row>
    <row r="10920" spans="1:1">
      <c r="A10920" s="7" t="str">
        <f>IF('Document Workflow'!A10919&lt;&gt;"",'Document Workflow'!A10919,"")</f>
        <v/>
      </c>
    </row>
    <row r="10921" spans="1:1">
      <c r="A10921" s="7" t="str">
        <f>IF('Document Workflow'!A10920&lt;&gt;"",'Document Workflow'!A10920,"")</f>
        <v/>
      </c>
    </row>
    <row r="10922" spans="1:1">
      <c r="A10922" s="7" t="str">
        <f>IF('Document Workflow'!A10921&lt;&gt;"",'Document Workflow'!A10921,"")</f>
        <v/>
      </c>
    </row>
    <row r="10923" spans="1:1">
      <c r="A10923" s="7" t="str">
        <f>IF('Document Workflow'!A10922&lt;&gt;"",'Document Workflow'!A10922,"")</f>
        <v/>
      </c>
    </row>
    <row r="10924" spans="1:1">
      <c r="A10924" s="7" t="str">
        <f>IF('Document Workflow'!A10923&lt;&gt;"",'Document Workflow'!A10923,"")</f>
        <v/>
      </c>
    </row>
    <row r="10925" spans="1:1">
      <c r="A10925" s="7" t="str">
        <f>IF('Document Workflow'!A10924&lt;&gt;"",'Document Workflow'!A10924,"")</f>
        <v/>
      </c>
    </row>
    <row r="10926" spans="1:1">
      <c r="A10926" s="7" t="str">
        <f>IF('Document Workflow'!A10925&lt;&gt;"",'Document Workflow'!A10925,"")</f>
        <v/>
      </c>
    </row>
    <row r="10927" spans="1:1">
      <c r="A10927" s="7" t="str">
        <f>IF('Document Workflow'!A10926&lt;&gt;"",'Document Workflow'!A10926,"")</f>
        <v/>
      </c>
    </row>
    <row r="10928" spans="1:1">
      <c r="A10928" s="7" t="str">
        <f>IF('Document Workflow'!A10927&lt;&gt;"",'Document Workflow'!A10927,"")</f>
        <v/>
      </c>
    </row>
    <row r="10929" spans="1:1">
      <c r="A10929" s="7" t="str">
        <f>IF('Document Workflow'!A10928&lt;&gt;"",'Document Workflow'!A10928,"")</f>
        <v/>
      </c>
    </row>
    <row r="10930" spans="1:1">
      <c r="A10930" s="7" t="str">
        <f>IF('Document Workflow'!A10929&lt;&gt;"",'Document Workflow'!A10929,"")</f>
        <v/>
      </c>
    </row>
    <row r="10931" spans="1:1">
      <c r="A10931" s="7" t="str">
        <f>IF('Document Workflow'!A10930&lt;&gt;"",'Document Workflow'!A10930,"")</f>
        <v/>
      </c>
    </row>
    <row r="10932" spans="1:1">
      <c r="A10932" s="7" t="str">
        <f>IF('Document Workflow'!A10931&lt;&gt;"",'Document Workflow'!A10931,"")</f>
        <v/>
      </c>
    </row>
    <row r="10933" spans="1:1">
      <c r="A10933" s="7" t="str">
        <f>IF('Document Workflow'!A10932&lt;&gt;"",'Document Workflow'!A10932,"")</f>
        <v/>
      </c>
    </row>
    <row r="10934" spans="1:1">
      <c r="A10934" s="7" t="str">
        <f>IF('Document Workflow'!A10933&lt;&gt;"",'Document Workflow'!A10933,"")</f>
        <v/>
      </c>
    </row>
    <row r="10935" spans="1:1">
      <c r="A10935" s="7" t="str">
        <f>IF('Document Workflow'!A10934&lt;&gt;"",'Document Workflow'!A10934,"")</f>
        <v/>
      </c>
    </row>
    <row r="10936" spans="1:1">
      <c r="A10936" s="7" t="str">
        <f>IF('Document Workflow'!A10935&lt;&gt;"",'Document Workflow'!A10935,"")</f>
        <v/>
      </c>
    </row>
    <row r="10937" spans="1:1">
      <c r="A10937" s="7" t="str">
        <f>IF('Document Workflow'!A10936&lt;&gt;"",'Document Workflow'!A10936,"")</f>
        <v/>
      </c>
    </row>
    <row r="10938" spans="1:1">
      <c r="A10938" s="7" t="str">
        <f>IF('Document Workflow'!A10937&lt;&gt;"",'Document Workflow'!A10937,"")</f>
        <v/>
      </c>
    </row>
    <row r="10939" spans="1:1">
      <c r="A10939" s="7" t="str">
        <f>IF('Document Workflow'!A10938&lt;&gt;"",'Document Workflow'!A10938,"")</f>
        <v/>
      </c>
    </row>
    <row r="10940" spans="1:1">
      <c r="A10940" s="7" t="str">
        <f>IF('Document Workflow'!A10939&lt;&gt;"",'Document Workflow'!A10939,"")</f>
        <v/>
      </c>
    </row>
    <row r="10941" spans="1:1">
      <c r="A10941" s="7" t="str">
        <f>IF('Document Workflow'!A10940&lt;&gt;"",'Document Workflow'!A10940,"")</f>
        <v/>
      </c>
    </row>
    <row r="10942" spans="1:1">
      <c r="A10942" s="7" t="str">
        <f>IF('Document Workflow'!A10941&lt;&gt;"",'Document Workflow'!A10941,"")</f>
        <v/>
      </c>
    </row>
    <row r="10943" spans="1:1">
      <c r="A10943" s="7" t="str">
        <f>IF('Document Workflow'!A10942&lt;&gt;"",'Document Workflow'!A10942,"")</f>
        <v/>
      </c>
    </row>
    <row r="10944" spans="1:1">
      <c r="A10944" s="7" t="str">
        <f>IF('Document Workflow'!A10943&lt;&gt;"",'Document Workflow'!A10943,"")</f>
        <v/>
      </c>
    </row>
    <row r="10945" spans="1:1">
      <c r="A10945" s="7" t="str">
        <f>IF('Document Workflow'!A10944&lt;&gt;"",'Document Workflow'!A10944,"")</f>
        <v/>
      </c>
    </row>
    <row r="10946" spans="1:1">
      <c r="A10946" s="7" t="str">
        <f>IF('Document Workflow'!A10945&lt;&gt;"",'Document Workflow'!A10945,"")</f>
        <v/>
      </c>
    </row>
    <row r="10947" spans="1:1">
      <c r="A10947" s="7" t="str">
        <f>IF('Document Workflow'!A10946&lt;&gt;"",'Document Workflow'!A10946,"")</f>
        <v/>
      </c>
    </row>
    <row r="10948" spans="1:1">
      <c r="A10948" s="7" t="str">
        <f>IF('Document Workflow'!A10947&lt;&gt;"",'Document Workflow'!A10947,"")</f>
        <v/>
      </c>
    </row>
    <row r="10949" spans="1:1">
      <c r="A10949" s="7" t="str">
        <f>IF('Document Workflow'!A10948&lt;&gt;"",'Document Workflow'!A10948,"")</f>
        <v/>
      </c>
    </row>
    <row r="10950" spans="1:1">
      <c r="A10950" s="7" t="str">
        <f>IF('Document Workflow'!A10949&lt;&gt;"",'Document Workflow'!A10949,"")</f>
        <v/>
      </c>
    </row>
    <row r="10951" spans="1:1">
      <c r="A10951" s="7" t="str">
        <f>IF('Document Workflow'!A10950&lt;&gt;"",'Document Workflow'!A10950,"")</f>
        <v/>
      </c>
    </row>
    <row r="10952" spans="1:1">
      <c r="A10952" s="7" t="str">
        <f>IF('Document Workflow'!A10951&lt;&gt;"",'Document Workflow'!A10951,"")</f>
        <v/>
      </c>
    </row>
    <row r="10953" spans="1:1">
      <c r="A10953" s="7" t="str">
        <f>IF('Document Workflow'!A10952&lt;&gt;"",'Document Workflow'!A10952,"")</f>
        <v/>
      </c>
    </row>
    <row r="10954" spans="1:1">
      <c r="A10954" s="7" t="str">
        <f>IF('Document Workflow'!A10953&lt;&gt;"",'Document Workflow'!A10953,"")</f>
        <v/>
      </c>
    </row>
    <row r="10955" spans="1:1">
      <c r="A10955" s="7" t="str">
        <f>IF('Document Workflow'!A10954&lt;&gt;"",'Document Workflow'!A10954,"")</f>
        <v/>
      </c>
    </row>
    <row r="10956" spans="1:1">
      <c r="A10956" s="7" t="str">
        <f>IF('Document Workflow'!A10955&lt;&gt;"",'Document Workflow'!A10955,"")</f>
        <v/>
      </c>
    </row>
    <row r="10957" spans="1:1">
      <c r="A10957" s="7" t="str">
        <f>IF('Document Workflow'!A10956&lt;&gt;"",'Document Workflow'!A10956,"")</f>
        <v/>
      </c>
    </row>
    <row r="10958" spans="1:1">
      <c r="A10958" s="7" t="str">
        <f>IF('Document Workflow'!A10957&lt;&gt;"",'Document Workflow'!A10957,"")</f>
        <v/>
      </c>
    </row>
    <row r="10959" spans="1:1">
      <c r="A10959" s="7" t="str">
        <f>IF('Document Workflow'!A10958&lt;&gt;"",'Document Workflow'!A10958,"")</f>
        <v/>
      </c>
    </row>
    <row r="10960" spans="1:1">
      <c r="A10960" s="7" t="str">
        <f>IF('Document Workflow'!A10959&lt;&gt;"",'Document Workflow'!A10959,"")</f>
        <v/>
      </c>
    </row>
    <row r="10961" spans="1:1">
      <c r="A10961" s="7" t="str">
        <f>IF('Document Workflow'!A10960&lt;&gt;"",'Document Workflow'!A10960,"")</f>
        <v/>
      </c>
    </row>
    <row r="10962" spans="1:1">
      <c r="A10962" s="7" t="str">
        <f>IF('Document Workflow'!A10961&lt;&gt;"",'Document Workflow'!A10961,"")</f>
        <v/>
      </c>
    </row>
    <row r="10963" spans="1:1">
      <c r="A10963" s="7" t="str">
        <f>IF('Document Workflow'!A10962&lt;&gt;"",'Document Workflow'!A10962,"")</f>
        <v/>
      </c>
    </row>
    <row r="10964" spans="1:1">
      <c r="A10964" s="7" t="str">
        <f>IF('Document Workflow'!A10963&lt;&gt;"",'Document Workflow'!A10963,"")</f>
        <v/>
      </c>
    </row>
    <row r="10965" spans="1:1">
      <c r="A10965" s="7" t="str">
        <f>IF('Document Workflow'!A10964&lt;&gt;"",'Document Workflow'!A10964,"")</f>
        <v/>
      </c>
    </row>
    <row r="10966" spans="1:1">
      <c r="A10966" s="7" t="str">
        <f>IF('Document Workflow'!A10965&lt;&gt;"",'Document Workflow'!A10965,"")</f>
        <v/>
      </c>
    </row>
    <row r="10967" spans="1:1">
      <c r="A10967" s="7" t="str">
        <f>IF('Document Workflow'!A10966&lt;&gt;"",'Document Workflow'!A10966,"")</f>
        <v/>
      </c>
    </row>
    <row r="10968" spans="1:1">
      <c r="A10968" s="7" t="str">
        <f>IF('Document Workflow'!A10967&lt;&gt;"",'Document Workflow'!A10967,"")</f>
        <v/>
      </c>
    </row>
    <row r="10969" spans="1:1">
      <c r="A10969" s="7" t="str">
        <f>IF('Document Workflow'!A10968&lt;&gt;"",'Document Workflow'!A10968,"")</f>
        <v/>
      </c>
    </row>
    <row r="10970" spans="1:1">
      <c r="A10970" s="7" t="str">
        <f>IF('Document Workflow'!A10969&lt;&gt;"",'Document Workflow'!A10969,"")</f>
        <v/>
      </c>
    </row>
    <row r="10971" spans="1:1">
      <c r="A10971" s="7" t="str">
        <f>IF('Document Workflow'!A10970&lt;&gt;"",'Document Workflow'!A10970,"")</f>
        <v/>
      </c>
    </row>
    <row r="10972" spans="1:1">
      <c r="A10972" s="7" t="str">
        <f>IF('Document Workflow'!A10971&lt;&gt;"",'Document Workflow'!A10971,"")</f>
        <v/>
      </c>
    </row>
    <row r="10973" spans="1:1">
      <c r="A10973" s="7" t="str">
        <f>IF('Document Workflow'!A10972&lt;&gt;"",'Document Workflow'!A10972,"")</f>
        <v/>
      </c>
    </row>
    <row r="10974" spans="1:1">
      <c r="A10974" s="7" t="str">
        <f>IF('Document Workflow'!A10973&lt;&gt;"",'Document Workflow'!A10973,"")</f>
        <v/>
      </c>
    </row>
    <row r="10975" spans="1:1">
      <c r="A10975" s="7" t="str">
        <f>IF('Document Workflow'!A10974&lt;&gt;"",'Document Workflow'!A10974,"")</f>
        <v/>
      </c>
    </row>
    <row r="10976" spans="1:1">
      <c r="A10976" s="7" t="str">
        <f>IF('Document Workflow'!A10975&lt;&gt;"",'Document Workflow'!A10975,"")</f>
        <v/>
      </c>
    </row>
    <row r="10977" spans="1:1">
      <c r="A10977" s="7" t="str">
        <f>IF('Document Workflow'!A10976&lt;&gt;"",'Document Workflow'!A10976,"")</f>
        <v/>
      </c>
    </row>
    <row r="10978" spans="1:1">
      <c r="A10978" s="7" t="str">
        <f>IF('Document Workflow'!A10977&lt;&gt;"",'Document Workflow'!A10977,"")</f>
        <v/>
      </c>
    </row>
    <row r="10979" spans="1:1">
      <c r="A10979" s="7" t="str">
        <f>IF('Document Workflow'!A10978&lt;&gt;"",'Document Workflow'!A10978,"")</f>
        <v/>
      </c>
    </row>
    <row r="10980" spans="1:1">
      <c r="A10980" s="7" t="str">
        <f>IF('Document Workflow'!A10979&lt;&gt;"",'Document Workflow'!A10979,"")</f>
        <v/>
      </c>
    </row>
    <row r="10981" spans="1:1">
      <c r="A10981" s="7" t="str">
        <f>IF('Document Workflow'!A10980&lt;&gt;"",'Document Workflow'!A10980,"")</f>
        <v/>
      </c>
    </row>
    <row r="10982" spans="1:1">
      <c r="A10982" s="7" t="str">
        <f>IF('Document Workflow'!A10981&lt;&gt;"",'Document Workflow'!A10981,"")</f>
        <v/>
      </c>
    </row>
    <row r="10983" spans="1:1">
      <c r="A10983" s="7" t="str">
        <f>IF('Document Workflow'!A10982&lt;&gt;"",'Document Workflow'!A10982,"")</f>
        <v/>
      </c>
    </row>
    <row r="10984" spans="1:1">
      <c r="A10984" s="7" t="str">
        <f>IF('Document Workflow'!A10983&lt;&gt;"",'Document Workflow'!A10983,"")</f>
        <v/>
      </c>
    </row>
    <row r="10985" spans="1:1">
      <c r="A10985" s="7" t="str">
        <f>IF('Document Workflow'!A10984&lt;&gt;"",'Document Workflow'!A10984,"")</f>
        <v/>
      </c>
    </row>
    <row r="10986" spans="1:1">
      <c r="A10986" s="7" t="str">
        <f>IF('Document Workflow'!A10985&lt;&gt;"",'Document Workflow'!A10985,"")</f>
        <v/>
      </c>
    </row>
    <row r="10987" spans="1:1">
      <c r="A10987" s="7" t="str">
        <f>IF('Document Workflow'!A10986&lt;&gt;"",'Document Workflow'!A10986,"")</f>
        <v/>
      </c>
    </row>
    <row r="10988" spans="1:1">
      <c r="A10988" s="7" t="str">
        <f>IF('Document Workflow'!A10987&lt;&gt;"",'Document Workflow'!A10987,"")</f>
        <v/>
      </c>
    </row>
    <row r="10989" spans="1:1">
      <c r="A10989" s="7" t="str">
        <f>IF('Document Workflow'!A10988&lt;&gt;"",'Document Workflow'!A10988,"")</f>
        <v/>
      </c>
    </row>
    <row r="10990" spans="1:1">
      <c r="A10990" s="7" t="str">
        <f>IF('Document Workflow'!A10989&lt;&gt;"",'Document Workflow'!A10989,"")</f>
        <v/>
      </c>
    </row>
    <row r="10991" spans="1:1">
      <c r="A10991" s="7" t="str">
        <f>IF('Document Workflow'!A10990&lt;&gt;"",'Document Workflow'!A10990,"")</f>
        <v/>
      </c>
    </row>
    <row r="10992" spans="1:1">
      <c r="A10992" s="7" t="str">
        <f>IF('Document Workflow'!A10991&lt;&gt;"",'Document Workflow'!A10991,"")</f>
        <v/>
      </c>
    </row>
    <row r="10993" spans="1:1">
      <c r="A10993" s="7" t="str">
        <f>IF('Document Workflow'!A10992&lt;&gt;"",'Document Workflow'!A10992,"")</f>
        <v/>
      </c>
    </row>
    <row r="10994" spans="1:1">
      <c r="A10994" s="7" t="str">
        <f>IF('Document Workflow'!A10993&lt;&gt;"",'Document Workflow'!A10993,"")</f>
        <v/>
      </c>
    </row>
    <row r="10995" spans="1:1">
      <c r="A10995" s="7" t="str">
        <f>IF('Document Workflow'!A10994&lt;&gt;"",'Document Workflow'!A10994,"")</f>
        <v/>
      </c>
    </row>
    <row r="10996" spans="1:1">
      <c r="A10996" s="7" t="str">
        <f>IF('Document Workflow'!A10995&lt;&gt;"",'Document Workflow'!A10995,"")</f>
        <v/>
      </c>
    </row>
    <row r="10997" spans="1:1">
      <c r="A10997" s="7" t="str">
        <f>IF('Document Workflow'!A10996&lt;&gt;"",'Document Workflow'!A10996,"")</f>
        <v/>
      </c>
    </row>
    <row r="10998" spans="1:1">
      <c r="A10998" s="7" t="str">
        <f>IF('Document Workflow'!A10997&lt;&gt;"",'Document Workflow'!A10997,"")</f>
        <v/>
      </c>
    </row>
    <row r="10999" spans="1:1">
      <c r="A10999" s="7" t="str">
        <f>IF('Document Workflow'!A10998&lt;&gt;"",'Document Workflow'!A10998,"")</f>
        <v/>
      </c>
    </row>
    <row r="11000" spans="1:1">
      <c r="A11000" s="7" t="str">
        <f>IF('Document Workflow'!A10999&lt;&gt;"",'Document Workflow'!A10999,"")</f>
        <v/>
      </c>
    </row>
    <row r="11001" spans="1:1">
      <c r="A11001" s="7" t="str">
        <f>IF('Document Workflow'!A11000&lt;&gt;"",'Document Workflow'!A11000,"")</f>
        <v/>
      </c>
    </row>
    <row r="11002" spans="1:1">
      <c r="A11002" s="7" t="str">
        <f>IF('Document Workflow'!A11001&lt;&gt;"",'Document Workflow'!A11001,"")</f>
        <v/>
      </c>
    </row>
    <row r="11003" spans="1:1">
      <c r="A11003" s="7" t="str">
        <f>IF('Document Workflow'!A11002&lt;&gt;"",'Document Workflow'!A11002,"")</f>
        <v/>
      </c>
    </row>
    <row r="11004" spans="1:1">
      <c r="A11004" s="7" t="str">
        <f>IF('Document Workflow'!A11003&lt;&gt;"",'Document Workflow'!A11003,"")</f>
        <v/>
      </c>
    </row>
    <row r="11005" spans="1:1">
      <c r="A11005" s="7" t="str">
        <f>IF('Document Workflow'!A11004&lt;&gt;"",'Document Workflow'!A11004,"")</f>
        <v/>
      </c>
    </row>
    <row r="11006" spans="1:1">
      <c r="A11006" s="7" t="str">
        <f>IF('Document Workflow'!A11005&lt;&gt;"",'Document Workflow'!A11005,"")</f>
        <v/>
      </c>
    </row>
    <row r="11007" spans="1:1">
      <c r="A11007" s="7" t="str">
        <f>IF('Document Workflow'!A11006&lt;&gt;"",'Document Workflow'!A11006,"")</f>
        <v/>
      </c>
    </row>
    <row r="11008" spans="1:1">
      <c r="A11008" s="7" t="str">
        <f>IF('Document Workflow'!A11007&lt;&gt;"",'Document Workflow'!A11007,"")</f>
        <v/>
      </c>
    </row>
    <row r="11009" spans="1:1">
      <c r="A11009" s="7" t="str">
        <f>IF('Document Workflow'!A11008&lt;&gt;"",'Document Workflow'!A11008,"")</f>
        <v/>
      </c>
    </row>
    <row r="11010" spans="1:1">
      <c r="A11010" s="7" t="str">
        <f>IF('Document Workflow'!A11009&lt;&gt;"",'Document Workflow'!A11009,"")</f>
        <v/>
      </c>
    </row>
    <row r="11011" spans="1:1">
      <c r="A11011" s="7" t="str">
        <f>IF('Document Workflow'!A11010&lt;&gt;"",'Document Workflow'!A11010,"")</f>
        <v/>
      </c>
    </row>
    <row r="11012" spans="1:1">
      <c r="A11012" s="7" t="str">
        <f>IF('Document Workflow'!A11011&lt;&gt;"",'Document Workflow'!A11011,"")</f>
        <v/>
      </c>
    </row>
    <row r="11013" spans="1:1">
      <c r="A11013" s="7" t="str">
        <f>IF('Document Workflow'!A11012&lt;&gt;"",'Document Workflow'!A11012,"")</f>
        <v/>
      </c>
    </row>
    <row r="11014" spans="1:1">
      <c r="A11014" s="7" t="str">
        <f>IF('Document Workflow'!A11013&lt;&gt;"",'Document Workflow'!A11013,"")</f>
        <v/>
      </c>
    </row>
    <row r="11015" spans="1:1">
      <c r="A11015" s="7" t="str">
        <f>IF('Document Workflow'!A11014&lt;&gt;"",'Document Workflow'!A11014,"")</f>
        <v/>
      </c>
    </row>
    <row r="11016" spans="1:1">
      <c r="A11016" s="7" t="str">
        <f>IF('Document Workflow'!A11015&lt;&gt;"",'Document Workflow'!A11015,"")</f>
        <v/>
      </c>
    </row>
    <row r="11017" spans="1:1">
      <c r="A11017" s="7" t="str">
        <f>IF('Document Workflow'!A11016&lt;&gt;"",'Document Workflow'!A11016,"")</f>
        <v/>
      </c>
    </row>
    <row r="11018" spans="1:1">
      <c r="A11018" s="7" t="str">
        <f>IF('Document Workflow'!A11017&lt;&gt;"",'Document Workflow'!A11017,"")</f>
        <v/>
      </c>
    </row>
    <row r="11019" spans="1:1">
      <c r="A11019" s="7" t="str">
        <f>IF('Document Workflow'!A11018&lt;&gt;"",'Document Workflow'!A11018,"")</f>
        <v/>
      </c>
    </row>
    <row r="11020" spans="1:1">
      <c r="A11020" s="7" t="str">
        <f>IF('Document Workflow'!A11019&lt;&gt;"",'Document Workflow'!A11019,"")</f>
        <v/>
      </c>
    </row>
    <row r="11021" spans="1:1">
      <c r="A11021" s="7" t="str">
        <f>IF('Document Workflow'!A11020&lt;&gt;"",'Document Workflow'!A11020,"")</f>
        <v/>
      </c>
    </row>
    <row r="11022" spans="1:1">
      <c r="A11022" s="7" t="str">
        <f>IF('Document Workflow'!A11021&lt;&gt;"",'Document Workflow'!A11021,"")</f>
        <v/>
      </c>
    </row>
    <row r="11023" spans="1:1">
      <c r="A11023" s="7" t="str">
        <f>IF('Document Workflow'!A11022&lt;&gt;"",'Document Workflow'!A11022,"")</f>
        <v/>
      </c>
    </row>
    <row r="11024" spans="1:1">
      <c r="A11024" s="7" t="str">
        <f>IF('Document Workflow'!A11023&lt;&gt;"",'Document Workflow'!A11023,"")</f>
        <v/>
      </c>
    </row>
    <row r="11025" spans="1:1">
      <c r="A11025" s="7" t="str">
        <f>IF('Document Workflow'!A11024&lt;&gt;"",'Document Workflow'!A11024,"")</f>
        <v/>
      </c>
    </row>
    <row r="11026" spans="1:1">
      <c r="A11026" s="7" t="str">
        <f>IF('Document Workflow'!A11025&lt;&gt;"",'Document Workflow'!A11025,"")</f>
        <v/>
      </c>
    </row>
    <row r="11027" spans="1:1">
      <c r="A11027" s="7" t="str">
        <f>IF('Document Workflow'!A11026&lt;&gt;"",'Document Workflow'!A11026,"")</f>
        <v/>
      </c>
    </row>
    <row r="11028" spans="1:1">
      <c r="A11028" s="7" t="str">
        <f>IF('Document Workflow'!A11027&lt;&gt;"",'Document Workflow'!A11027,"")</f>
        <v/>
      </c>
    </row>
    <row r="11029" spans="1:1">
      <c r="A11029" s="7" t="str">
        <f>IF('Document Workflow'!A11028&lt;&gt;"",'Document Workflow'!A11028,"")</f>
        <v/>
      </c>
    </row>
    <row r="11030" spans="1:1">
      <c r="A11030" s="7" t="str">
        <f>IF('Document Workflow'!A11029&lt;&gt;"",'Document Workflow'!A11029,"")</f>
        <v/>
      </c>
    </row>
    <row r="11031" spans="1:1">
      <c r="A11031" s="7" t="str">
        <f>IF('Document Workflow'!A11030&lt;&gt;"",'Document Workflow'!A11030,"")</f>
        <v/>
      </c>
    </row>
    <row r="11032" spans="1:1">
      <c r="A11032" s="7" t="str">
        <f>IF('Document Workflow'!A11031&lt;&gt;"",'Document Workflow'!A11031,"")</f>
        <v/>
      </c>
    </row>
    <row r="11033" spans="1:1">
      <c r="A11033" s="7" t="str">
        <f>IF('Document Workflow'!A11032&lt;&gt;"",'Document Workflow'!A11032,"")</f>
        <v/>
      </c>
    </row>
    <row r="11034" spans="1:1">
      <c r="A11034" s="7" t="str">
        <f>IF('Document Workflow'!A11033&lt;&gt;"",'Document Workflow'!A11033,"")</f>
        <v/>
      </c>
    </row>
    <row r="11035" spans="1:1">
      <c r="A11035" s="7" t="str">
        <f>IF('Document Workflow'!A11034&lt;&gt;"",'Document Workflow'!A11034,"")</f>
        <v/>
      </c>
    </row>
    <row r="11036" spans="1:1">
      <c r="A11036" s="7" t="str">
        <f>IF('Document Workflow'!A11035&lt;&gt;"",'Document Workflow'!A11035,"")</f>
        <v/>
      </c>
    </row>
    <row r="11037" spans="1:1">
      <c r="A11037" s="7" t="str">
        <f>IF('Document Workflow'!A11036&lt;&gt;"",'Document Workflow'!A11036,"")</f>
        <v/>
      </c>
    </row>
    <row r="11038" spans="1:1">
      <c r="A11038" s="7" t="str">
        <f>IF('Document Workflow'!A11037&lt;&gt;"",'Document Workflow'!A11037,"")</f>
        <v/>
      </c>
    </row>
    <row r="11039" spans="1:1">
      <c r="A11039" s="7" t="str">
        <f>IF('Document Workflow'!A11038&lt;&gt;"",'Document Workflow'!A11038,"")</f>
        <v/>
      </c>
    </row>
    <row r="11040" spans="1:1">
      <c r="A11040" s="7" t="str">
        <f>IF('Document Workflow'!A11039&lt;&gt;"",'Document Workflow'!A11039,"")</f>
        <v/>
      </c>
    </row>
    <row r="11041" spans="1:1">
      <c r="A11041" s="7" t="str">
        <f>IF('Document Workflow'!A11040&lt;&gt;"",'Document Workflow'!A11040,"")</f>
        <v/>
      </c>
    </row>
    <row r="11042" spans="1:1">
      <c r="A11042" s="7" t="str">
        <f>IF('Document Workflow'!A11041&lt;&gt;"",'Document Workflow'!A11041,"")</f>
        <v/>
      </c>
    </row>
    <row r="11043" spans="1:1">
      <c r="A11043" s="7" t="str">
        <f>IF('Document Workflow'!A11042&lt;&gt;"",'Document Workflow'!A11042,"")</f>
        <v/>
      </c>
    </row>
    <row r="11044" spans="1:1">
      <c r="A11044" s="7" t="str">
        <f>IF('Document Workflow'!A11043&lt;&gt;"",'Document Workflow'!A11043,"")</f>
        <v/>
      </c>
    </row>
    <row r="11045" spans="1:1">
      <c r="A11045" s="7" t="str">
        <f>IF('Document Workflow'!A11044&lt;&gt;"",'Document Workflow'!A11044,"")</f>
        <v/>
      </c>
    </row>
    <row r="11046" spans="1:1">
      <c r="A11046" s="7" t="str">
        <f>IF('Document Workflow'!A11045&lt;&gt;"",'Document Workflow'!A11045,"")</f>
        <v/>
      </c>
    </row>
    <row r="11047" spans="1:1">
      <c r="A11047" s="7" t="str">
        <f>IF('Document Workflow'!A11046&lt;&gt;"",'Document Workflow'!A11046,"")</f>
        <v/>
      </c>
    </row>
    <row r="11048" spans="1:1">
      <c r="A11048" s="7" t="str">
        <f>IF('Document Workflow'!A11047&lt;&gt;"",'Document Workflow'!A11047,"")</f>
        <v/>
      </c>
    </row>
    <row r="11049" spans="1:1">
      <c r="A11049" s="7" t="str">
        <f>IF('Document Workflow'!A11048&lt;&gt;"",'Document Workflow'!A11048,"")</f>
        <v/>
      </c>
    </row>
    <row r="11050" spans="1:1">
      <c r="A11050" s="7" t="str">
        <f>IF('Document Workflow'!A11049&lt;&gt;"",'Document Workflow'!A11049,"")</f>
        <v/>
      </c>
    </row>
    <row r="11051" spans="1:1">
      <c r="A11051" s="7" t="str">
        <f>IF('Document Workflow'!A11050&lt;&gt;"",'Document Workflow'!A11050,"")</f>
        <v/>
      </c>
    </row>
    <row r="11052" spans="1:1">
      <c r="A11052" s="7" t="str">
        <f>IF('Document Workflow'!A11051&lt;&gt;"",'Document Workflow'!A11051,"")</f>
        <v/>
      </c>
    </row>
    <row r="11053" spans="1:1">
      <c r="A11053" s="7" t="str">
        <f>IF('Document Workflow'!A11052&lt;&gt;"",'Document Workflow'!A11052,"")</f>
        <v/>
      </c>
    </row>
    <row r="11054" spans="1:1">
      <c r="A11054" s="7" t="str">
        <f>IF('Document Workflow'!A11053&lt;&gt;"",'Document Workflow'!A11053,"")</f>
        <v/>
      </c>
    </row>
    <row r="11055" spans="1:1">
      <c r="A11055" s="7" t="str">
        <f>IF('Document Workflow'!A11054&lt;&gt;"",'Document Workflow'!A11054,"")</f>
        <v/>
      </c>
    </row>
    <row r="11056" spans="1:1">
      <c r="A11056" s="7" t="str">
        <f>IF('Document Workflow'!A11055&lt;&gt;"",'Document Workflow'!A11055,"")</f>
        <v/>
      </c>
    </row>
    <row r="11057" spans="1:1">
      <c r="A11057" s="7" t="str">
        <f>IF('Document Workflow'!A11056&lt;&gt;"",'Document Workflow'!A11056,"")</f>
        <v/>
      </c>
    </row>
    <row r="11058" spans="1:1">
      <c r="A11058" s="7" t="str">
        <f>IF('Document Workflow'!A11057&lt;&gt;"",'Document Workflow'!A11057,"")</f>
        <v/>
      </c>
    </row>
    <row r="11059" spans="1:1">
      <c r="A11059" s="7" t="str">
        <f>IF('Document Workflow'!A11058&lt;&gt;"",'Document Workflow'!A11058,"")</f>
        <v/>
      </c>
    </row>
    <row r="11060" spans="1:1">
      <c r="A11060" s="7" t="str">
        <f>IF('Document Workflow'!A11059&lt;&gt;"",'Document Workflow'!A11059,"")</f>
        <v/>
      </c>
    </row>
    <row r="11061" spans="1:1">
      <c r="A11061" s="7" t="str">
        <f>IF('Document Workflow'!A11060&lt;&gt;"",'Document Workflow'!A11060,"")</f>
        <v/>
      </c>
    </row>
    <row r="11062" spans="1:1">
      <c r="A11062" s="7" t="str">
        <f>IF('Document Workflow'!A11061&lt;&gt;"",'Document Workflow'!A11061,"")</f>
        <v/>
      </c>
    </row>
    <row r="11063" spans="1:1">
      <c r="A11063" s="7" t="str">
        <f>IF('Document Workflow'!A11062&lt;&gt;"",'Document Workflow'!A11062,"")</f>
        <v/>
      </c>
    </row>
    <row r="11064" spans="1:1">
      <c r="A11064" s="7" t="str">
        <f>IF('Document Workflow'!A11063&lt;&gt;"",'Document Workflow'!A11063,"")</f>
        <v/>
      </c>
    </row>
    <row r="11065" spans="1:1">
      <c r="A11065" s="7" t="str">
        <f>IF('Document Workflow'!A11064&lt;&gt;"",'Document Workflow'!A11064,"")</f>
        <v/>
      </c>
    </row>
    <row r="11066" spans="1:1">
      <c r="A11066" s="7" t="str">
        <f>IF('Document Workflow'!A11065&lt;&gt;"",'Document Workflow'!A11065,"")</f>
        <v/>
      </c>
    </row>
    <row r="11067" spans="1:1">
      <c r="A11067" s="7" t="str">
        <f>IF('Document Workflow'!A11066&lt;&gt;"",'Document Workflow'!A11066,"")</f>
        <v/>
      </c>
    </row>
    <row r="11068" spans="1:1">
      <c r="A11068" s="7" t="str">
        <f>IF('Document Workflow'!A11067&lt;&gt;"",'Document Workflow'!A11067,"")</f>
        <v/>
      </c>
    </row>
    <row r="11069" spans="1:1">
      <c r="A11069" s="7" t="str">
        <f>IF('Document Workflow'!A11068&lt;&gt;"",'Document Workflow'!A11068,"")</f>
        <v/>
      </c>
    </row>
    <row r="11070" spans="1:1">
      <c r="A11070" s="7" t="str">
        <f>IF('Document Workflow'!A11069&lt;&gt;"",'Document Workflow'!A11069,"")</f>
        <v/>
      </c>
    </row>
    <row r="11071" spans="1:1">
      <c r="A11071" s="7" t="str">
        <f>IF('Document Workflow'!A11070&lt;&gt;"",'Document Workflow'!A11070,"")</f>
        <v/>
      </c>
    </row>
    <row r="11072" spans="1:1">
      <c r="A11072" s="7" t="str">
        <f>IF('Document Workflow'!A11071&lt;&gt;"",'Document Workflow'!A11071,"")</f>
        <v/>
      </c>
    </row>
    <row r="11073" spans="1:1">
      <c r="A11073" s="7" t="str">
        <f>IF('Document Workflow'!A11072&lt;&gt;"",'Document Workflow'!A11072,"")</f>
        <v/>
      </c>
    </row>
    <row r="11074" spans="1:1">
      <c r="A11074" s="7" t="str">
        <f>IF('Document Workflow'!A11073&lt;&gt;"",'Document Workflow'!A11073,"")</f>
        <v/>
      </c>
    </row>
    <row r="11075" spans="1:1">
      <c r="A11075" s="7" t="str">
        <f>IF('Document Workflow'!A11074&lt;&gt;"",'Document Workflow'!A11074,"")</f>
        <v/>
      </c>
    </row>
    <row r="11076" spans="1:1">
      <c r="A11076" s="7" t="str">
        <f>IF('Document Workflow'!A11075&lt;&gt;"",'Document Workflow'!A11075,"")</f>
        <v/>
      </c>
    </row>
    <row r="11077" spans="1:1">
      <c r="A11077" s="7" t="str">
        <f>IF('Document Workflow'!A11076&lt;&gt;"",'Document Workflow'!A11076,"")</f>
        <v/>
      </c>
    </row>
    <row r="11078" spans="1:1">
      <c r="A11078" s="7" t="str">
        <f>IF('Document Workflow'!A11077&lt;&gt;"",'Document Workflow'!A11077,"")</f>
        <v/>
      </c>
    </row>
    <row r="11079" spans="1:1">
      <c r="A11079" s="7" t="str">
        <f>IF('Document Workflow'!A11078&lt;&gt;"",'Document Workflow'!A11078,"")</f>
        <v/>
      </c>
    </row>
    <row r="11080" spans="1:1">
      <c r="A11080" s="7" t="str">
        <f>IF('Document Workflow'!A11079&lt;&gt;"",'Document Workflow'!A11079,"")</f>
        <v/>
      </c>
    </row>
    <row r="11081" spans="1:1">
      <c r="A11081" s="7" t="str">
        <f>IF('Document Workflow'!A11080&lt;&gt;"",'Document Workflow'!A11080,"")</f>
        <v/>
      </c>
    </row>
    <row r="11082" spans="1:1">
      <c r="A11082" s="7" t="str">
        <f>IF('Document Workflow'!A11081&lt;&gt;"",'Document Workflow'!A11081,"")</f>
        <v/>
      </c>
    </row>
    <row r="11083" spans="1:1">
      <c r="A11083" s="7" t="str">
        <f>IF('Document Workflow'!A11082&lt;&gt;"",'Document Workflow'!A11082,"")</f>
        <v/>
      </c>
    </row>
    <row r="11084" spans="1:1">
      <c r="A11084" s="7" t="str">
        <f>IF('Document Workflow'!A11083&lt;&gt;"",'Document Workflow'!A11083,"")</f>
        <v/>
      </c>
    </row>
    <row r="11085" spans="1:1">
      <c r="A11085" s="7" t="str">
        <f>IF('Document Workflow'!A11084&lt;&gt;"",'Document Workflow'!A11084,"")</f>
        <v/>
      </c>
    </row>
    <row r="11086" spans="1:1">
      <c r="A11086" s="7" t="str">
        <f>IF('Document Workflow'!A11085&lt;&gt;"",'Document Workflow'!A11085,"")</f>
        <v/>
      </c>
    </row>
    <row r="11087" spans="1:1">
      <c r="A11087" s="7" t="str">
        <f>IF('Document Workflow'!A11086&lt;&gt;"",'Document Workflow'!A11086,"")</f>
        <v/>
      </c>
    </row>
    <row r="11088" spans="1:1">
      <c r="A11088" s="7" t="str">
        <f>IF('Document Workflow'!A11087&lt;&gt;"",'Document Workflow'!A11087,"")</f>
        <v/>
      </c>
    </row>
    <row r="11089" spans="1:1">
      <c r="A11089" s="7" t="str">
        <f>IF('Document Workflow'!A11088&lt;&gt;"",'Document Workflow'!A11088,"")</f>
        <v/>
      </c>
    </row>
    <row r="11090" spans="1:1">
      <c r="A11090" s="7" t="str">
        <f>IF('Document Workflow'!A11089&lt;&gt;"",'Document Workflow'!A11089,"")</f>
        <v/>
      </c>
    </row>
    <row r="11091" spans="1:1">
      <c r="A11091" s="7" t="str">
        <f>IF('Document Workflow'!A11090&lt;&gt;"",'Document Workflow'!A11090,"")</f>
        <v/>
      </c>
    </row>
    <row r="11092" spans="1:1">
      <c r="A11092" s="7" t="str">
        <f>IF('Document Workflow'!A11091&lt;&gt;"",'Document Workflow'!A11091,"")</f>
        <v/>
      </c>
    </row>
    <row r="11093" spans="1:1">
      <c r="A11093" s="7" t="str">
        <f>IF('Document Workflow'!A11092&lt;&gt;"",'Document Workflow'!A11092,"")</f>
        <v/>
      </c>
    </row>
    <row r="11094" spans="1:1">
      <c r="A11094" s="7" t="str">
        <f>IF('Document Workflow'!A11093&lt;&gt;"",'Document Workflow'!A11093,"")</f>
        <v/>
      </c>
    </row>
    <row r="11095" spans="1:1">
      <c r="A11095" s="7" t="str">
        <f>IF('Document Workflow'!A11094&lt;&gt;"",'Document Workflow'!A11094,"")</f>
        <v/>
      </c>
    </row>
    <row r="11096" spans="1:1">
      <c r="A11096" s="7" t="str">
        <f>IF('Document Workflow'!A11095&lt;&gt;"",'Document Workflow'!A11095,"")</f>
        <v/>
      </c>
    </row>
    <row r="11097" spans="1:1">
      <c r="A11097" s="7" t="str">
        <f>IF('Document Workflow'!A11096&lt;&gt;"",'Document Workflow'!A11096,"")</f>
        <v/>
      </c>
    </row>
    <row r="11098" spans="1:1">
      <c r="A11098" s="7" t="str">
        <f>IF('Document Workflow'!A11097&lt;&gt;"",'Document Workflow'!A11097,"")</f>
        <v/>
      </c>
    </row>
    <row r="11099" spans="1:1">
      <c r="A11099" s="7" t="str">
        <f>IF('Document Workflow'!A11098&lt;&gt;"",'Document Workflow'!A11098,"")</f>
        <v/>
      </c>
    </row>
    <row r="11100" spans="1:1">
      <c r="A11100" s="7" t="str">
        <f>IF('Document Workflow'!A11099&lt;&gt;"",'Document Workflow'!A11099,"")</f>
        <v/>
      </c>
    </row>
    <row r="11101" spans="1:1">
      <c r="A11101" s="7" t="str">
        <f>IF('Document Workflow'!A11100&lt;&gt;"",'Document Workflow'!A11100,"")</f>
        <v/>
      </c>
    </row>
    <row r="11102" spans="1:1">
      <c r="A11102" s="7" t="str">
        <f>IF('Document Workflow'!A11101&lt;&gt;"",'Document Workflow'!A11101,"")</f>
        <v/>
      </c>
    </row>
    <row r="11103" spans="1:1">
      <c r="A11103" s="7" t="str">
        <f>IF('Document Workflow'!A11102&lt;&gt;"",'Document Workflow'!A11102,"")</f>
        <v/>
      </c>
    </row>
    <row r="11104" spans="1:1">
      <c r="A11104" s="7" t="str">
        <f>IF('Document Workflow'!A11103&lt;&gt;"",'Document Workflow'!A11103,"")</f>
        <v/>
      </c>
    </row>
    <row r="11105" spans="1:1">
      <c r="A11105" s="7" t="str">
        <f>IF('Document Workflow'!A11104&lt;&gt;"",'Document Workflow'!A11104,"")</f>
        <v/>
      </c>
    </row>
    <row r="11106" spans="1:1">
      <c r="A11106" s="7" t="str">
        <f>IF('Document Workflow'!A11105&lt;&gt;"",'Document Workflow'!A11105,"")</f>
        <v/>
      </c>
    </row>
    <row r="11107" spans="1:1">
      <c r="A11107" s="7" t="str">
        <f>IF('Document Workflow'!A11106&lt;&gt;"",'Document Workflow'!A11106,"")</f>
        <v/>
      </c>
    </row>
    <row r="11108" spans="1:1">
      <c r="A11108" s="7" t="str">
        <f>IF('Document Workflow'!A11107&lt;&gt;"",'Document Workflow'!A11107,"")</f>
        <v/>
      </c>
    </row>
    <row r="11109" spans="1:1">
      <c r="A11109" s="7" t="str">
        <f>IF('Document Workflow'!A11108&lt;&gt;"",'Document Workflow'!A11108,"")</f>
        <v/>
      </c>
    </row>
    <row r="11110" spans="1:1">
      <c r="A11110" s="7" t="str">
        <f>IF('Document Workflow'!A11109&lt;&gt;"",'Document Workflow'!A11109,"")</f>
        <v/>
      </c>
    </row>
    <row r="11111" spans="1:1">
      <c r="A11111" s="7" t="str">
        <f>IF('Document Workflow'!A11110&lt;&gt;"",'Document Workflow'!A11110,"")</f>
        <v/>
      </c>
    </row>
    <row r="11112" spans="1:1">
      <c r="A11112" s="7" t="str">
        <f>IF('Document Workflow'!A11111&lt;&gt;"",'Document Workflow'!A11111,"")</f>
        <v/>
      </c>
    </row>
    <row r="11113" spans="1:1">
      <c r="A11113" s="7" t="str">
        <f>IF('Document Workflow'!A11112&lt;&gt;"",'Document Workflow'!A11112,"")</f>
        <v/>
      </c>
    </row>
    <row r="11114" spans="1:1">
      <c r="A11114" s="7" t="str">
        <f>IF('Document Workflow'!A11113&lt;&gt;"",'Document Workflow'!A11113,"")</f>
        <v/>
      </c>
    </row>
    <row r="11115" spans="1:1">
      <c r="A11115" s="7" t="str">
        <f>IF('Document Workflow'!A11114&lt;&gt;"",'Document Workflow'!A11114,"")</f>
        <v/>
      </c>
    </row>
    <row r="11116" spans="1:1">
      <c r="A11116" s="7" t="str">
        <f>IF('Document Workflow'!A11115&lt;&gt;"",'Document Workflow'!A11115,"")</f>
        <v/>
      </c>
    </row>
    <row r="11117" spans="1:1">
      <c r="A11117" s="7" t="str">
        <f>IF('Document Workflow'!A11116&lt;&gt;"",'Document Workflow'!A11116,"")</f>
        <v/>
      </c>
    </row>
    <row r="11118" spans="1:1">
      <c r="A11118" s="7" t="str">
        <f>IF('Document Workflow'!A11117&lt;&gt;"",'Document Workflow'!A11117,"")</f>
        <v/>
      </c>
    </row>
    <row r="11119" spans="1:1">
      <c r="A11119" s="7" t="str">
        <f>IF('Document Workflow'!A11118&lt;&gt;"",'Document Workflow'!A11118,"")</f>
        <v/>
      </c>
    </row>
    <row r="11120" spans="1:1">
      <c r="A11120" s="7" t="str">
        <f>IF('Document Workflow'!A11119&lt;&gt;"",'Document Workflow'!A11119,"")</f>
        <v/>
      </c>
    </row>
    <row r="11121" spans="1:1">
      <c r="A11121" s="7" t="str">
        <f>IF('Document Workflow'!A11120&lt;&gt;"",'Document Workflow'!A11120,"")</f>
        <v/>
      </c>
    </row>
    <row r="11122" spans="1:1">
      <c r="A11122" s="7" t="str">
        <f>IF('Document Workflow'!A11121&lt;&gt;"",'Document Workflow'!A11121,"")</f>
        <v/>
      </c>
    </row>
    <row r="11123" spans="1:1">
      <c r="A11123" s="7" t="str">
        <f>IF('Document Workflow'!A11122&lt;&gt;"",'Document Workflow'!A11122,"")</f>
        <v/>
      </c>
    </row>
    <row r="11124" spans="1:1">
      <c r="A11124" s="7" t="str">
        <f>IF('Document Workflow'!A11123&lt;&gt;"",'Document Workflow'!A11123,"")</f>
        <v/>
      </c>
    </row>
    <row r="11125" spans="1:1">
      <c r="A11125" s="7" t="str">
        <f>IF('Document Workflow'!A11124&lt;&gt;"",'Document Workflow'!A11124,"")</f>
        <v/>
      </c>
    </row>
    <row r="11126" spans="1:1">
      <c r="A11126" s="7" t="str">
        <f>IF('Document Workflow'!A11125&lt;&gt;"",'Document Workflow'!A11125,"")</f>
        <v/>
      </c>
    </row>
    <row r="11127" spans="1:1">
      <c r="A11127" s="7" t="str">
        <f>IF('Document Workflow'!A11126&lt;&gt;"",'Document Workflow'!A11126,"")</f>
        <v/>
      </c>
    </row>
    <row r="11128" spans="1:1">
      <c r="A11128" s="7" t="str">
        <f>IF('Document Workflow'!A11127&lt;&gt;"",'Document Workflow'!A11127,"")</f>
        <v/>
      </c>
    </row>
    <row r="11129" spans="1:1">
      <c r="A11129" s="7" t="str">
        <f>IF('Document Workflow'!A11128&lt;&gt;"",'Document Workflow'!A11128,"")</f>
        <v/>
      </c>
    </row>
    <row r="11130" spans="1:1">
      <c r="A11130" s="7" t="str">
        <f>IF('Document Workflow'!A11129&lt;&gt;"",'Document Workflow'!A11129,"")</f>
        <v/>
      </c>
    </row>
    <row r="11131" spans="1:1">
      <c r="A11131" s="7" t="str">
        <f>IF('Document Workflow'!A11130&lt;&gt;"",'Document Workflow'!A11130,"")</f>
        <v/>
      </c>
    </row>
    <row r="11132" spans="1:1">
      <c r="A11132" s="7" t="str">
        <f>IF('Document Workflow'!A11131&lt;&gt;"",'Document Workflow'!A11131,"")</f>
        <v/>
      </c>
    </row>
    <row r="11133" spans="1:1">
      <c r="A11133" s="7" t="str">
        <f>IF('Document Workflow'!A11132&lt;&gt;"",'Document Workflow'!A11132,"")</f>
        <v/>
      </c>
    </row>
    <row r="11134" spans="1:1">
      <c r="A11134" s="7" t="str">
        <f>IF('Document Workflow'!A11133&lt;&gt;"",'Document Workflow'!A11133,"")</f>
        <v/>
      </c>
    </row>
    <row r="11135" spans="1:1">
      <c r="A11135" s="7" t="str">
        <f>IF('Document Workflow'!A11134&lt;&gt;"",'Document Workflow'!A11134,"")</f>
        <v/>
      </c>
    </row>
    <row r="11136" spans="1:1">
      <c r="A11136" s="7" t="str">
        <f>IF('Document Workflow'!A11135&lt;&gt;"",'Document Workflow'!A11135,"")</f>
        <v/>
      </c>
    </row>
    <row r="11137" spans="1:1">
      <c r="A11137" s="7" t="str">
        <f>IF('Document Workflow'!A11136&lt;&gt;"",'Document Workflow'!A11136,"")</f>
        <v/>
      </c>
    </row>
    <row r="11138" spans="1:1">
      <c r="A11138" s="7" t="str">
        <f>IF('Document Workflow'!A11137&lt;&gt;"",'Document Workflow'!A11137,"")</f>
        <v/>
      </c>
    </row>
    <row r="11139" spans="1:1">
      <c r="A11139" s="7" t="str">
        <f>IF('Document Workflow'!A11138&lt;&gt;"",'Document Workflow'!A11138,"")</f>
        <v/>
      </c>
    </row>
    <row r="11140" spans="1:1">
      <c r="A11140" s="7" t="str">
        <f>IF('Document Workflow'!A11139&lt;&gt;"",'Document Workflow'!A11139,"")</f>
        <v/>
      </c>
    </row>
    <row r="11141" spans="1:1">
      <c r="A11141" s="7" t="str">
        <f>IF('Document Workflow'!A11140&lt;&gt;"",'Document Workflow'!A11140,"")</f>
        <v/>
      </c>
    </row>
    <row r="11142" spans="1:1">
      <c r="A11142" s="7" t="str">
        <f>IF('Document Workflow'!A11141&lt;&gt;"",'Document Workflow'!A11141,"")</f>
        <v/>
      </c>
    </row>
    <row r="11143" spans="1:1">
      <c r="A11143" s="7" t="str">
        <f>IF('Document Workflow'!A11142&lt;&gt;"",'Document Workflow'!A11142,"")</f>
        <v/>
      </c>
    </row>
    <row r="11144" spans="1:1">
      <c r="A11144" s="7" t="str">
        <f>IF('Document Workflow'!A11143&lt;&gt;"",'Document Workflow'!A11143,"")</f>
        <v/>
      </c>
    </row>
    <row r="11145" spans="1:1">
      <c r="A11145" s="7" t="str">
        <f>IF('Document Workflow'!A11144&lt;&gt;"",'Document Workflow'!A11144,"")</f>
        <v/>
      </c>
    </row>
    <row r="11146" spans="1:1">
      <c r="A11146" s="7" t="str">
        <f>IF('Document Workflow'!A11145&lt;&gt;"",'Document Workflow'!A11145,"")</f>
        <v/>
      </c>
    </row>
    <row r="11147" spans="1:1">
      <c r="A11147" s="7" t="str">
        <f>IF('Document Workflow'!A11146&lt;&gt;"",'Document Workflow'!A11146,"")</f>
        <v/>
      </c>
    </row>
    <row r="11148" spans="1:1">
      <c r="A11148" s="7" t="str">
        <f>IF('Document Workflow'!A11147&lt;&gt;"",'Document Workflow'!A11147,"")</f>
        <v/>
      </c>
    </row>
    <row r="11149" spans="1:1">
      <c r="A11149" s="7" t="str">
        <f>IF('Document Workflow'!A11148&lt;&gt;"",'Document Workflow'!A11148,"")</f>
        <v/>
      </c>
    </row>
    <row r="11150" spans="1:1">
      <c r="A11150" s="7" t="str">
        <f>IF('Document Workflow'!A11149&lt;&gt;"",'Document Workflow'!A11149,"")</f>
        <v/>
      </c>
    </row>
    <row r="11151" spans="1:1">
      <c r="A11151" s="7" t="str">
        <f>IF('Document Workflow'!A11150&lt;&gt;"",'Document Workflow'!A11150,"")</f>
        <v/>
      </c>
    </row>
    <row r="11152" spans="1:1">
      <c r="A11152" s="7" t="str">
        <f>IF('Document Workflow'!A11151&lt;&gt;"",'Document Workflow'!A11151,"")</f>
        <v/>
      </c>
    </row>
    <row r="11153" spans="1:1">
      <c r="A11153" s="7" t="str">
        <f>IF('Document Workflow'!A11152&lt;&gt;"",'Document Workflow'!A11152,"")</f>
        <v/>
      </c>
    </row>
    <row r="11154" spans="1:1">
      <c r="A11154" s="7" t="str">
        <f>IF('Document Workflow'!A11153&lt;&gt;"",'Document Workflow'!A11153,"")</f>
        <v/>
      </c>
    </row>
    <row r="11155" spans="1:1">
      <c r="A11155" s="7" t="str">
        <f>IF('Document Workflow'!A11154&lt;&gt;"",'Document Workflow'!A11154,"")</f>
        <v/>
      </c>
    </row>
    <row r="11156" spans="1:1">
      <c r="A11156" s="7" t="str">
        <f>IF('Document Workflow'!A11155&lt;&gt;"",'Document Workflow'!A11155,"")</f>
        <v/>
      </c>
    </row>
    <row r="11157" spans="1:1">
      <c r="A11157" s="7" t="str">
        <f>IF('Document Workflow'!A11156&lt;&gt;"",'Document Workflow'!A11156,"")</f>
        <v/>
      </c>
    </row>
    <row r="11158" spans="1:1">
      <c r="A11158" s="7" t="str">
        <f>IF('Document Workflow'!A11157&lt;&gt;"",'Document Workflow'!A11157,"")</f>
        <v/>
      </c>
    </row>
    <row r="11159" spans="1:1">
      <c r="A11159" s="7" t="str">
        <f>IF('Document Workflow'!A11158&lt;&gt;"",'Document Workflow'!A11158,"")</f>
        <v/>
      </c>
    </row>
    <row r="11160" spans="1:1">
      <c r="A11160" s="7" t="str">
        <f>IF('Document Workflow'!A11159&lt;&gt;"",'Document Workflow'!A11159,"")</f>
        <v/>
      </c>
    </row>
    <row r="11161" spans="1:1">
      <c r="A11161" s="7" t="str">
        <f>IF('Document Workflow'!A11160&lt;&gt;"",'Document Workflow'!A11160,"")</f>
        <v/>
      </c>
    </row>
    <row r="11162" spans="1:1">
      <c r="A11162" s="7" t="str">
        <f>IF('Document Workflow'!A11161&lt;&gt;"",'Document Workflow'!A11161,"")</f>
        <v/>
      </c>
    </row>
    <row r="11163" spans="1:1">
      <c r="A11163" s="7" t="str">
        <f>IF('Document Workflow'!A11162&lt;&gt;"",'Document Workflow'!A11162,"")</f>
        <v/>
      </c>
    </row>
    <row r="11164" spans="1:1">
      <c r="A11164" s="7" t="str">
        <f>IF('Document Workflow'!A11163&lt;&gt;"",'Document Workflow'!A11163,"")</f>
        <v/>
      </c>
    </row>
    <row r="11165" spans="1:1">
      <c r="A11165" s="7" t="str">
        <f>IF('Document Workflow'!A11164&lt;&gt;"",'Document Workflow'!A11164,"")</f>
        <v/>
      </c>
    </row>
    <row r="11166" spans="1:1">
      <c r="A11166" s="7" t="str">
        <f>IF('Document Workflow'!A11165&lt;&gt;"",'Document Workflow'!A11165,"")</f>
        <v/>
      </c>
    </row>
    <row r="11167" spans="1:1">
      <c r="A11167" s="7" t="str">
        <f>IF('Document Workflow'!A11166&lt;&gt;"",'Document Workflow'!A11166,"")</f>
        <v/>
      </c>
    </row>
    <row r="11168" spans="1:1">
      <c r="A11168" s="7" t="str">
        <f>IF('Document Workflow'!A11167&lt;&gt;"",'Document Workflow'!A11167,"")</f>
        <v/>
      </c>
    </row>
    <row r="11169" spans="1:1">
      <c r="A11169" s="7" t="str">
        <f>IF('Document Workflow'!A11168&lt;&gt;"",'Document Workflow'!A11168,"")</f>
        <v/>
      </c>
    </row>
    <row r="11170" spans="1:1">
      <c r="A11170" s="7" t="str">
        <f>IF('Document Workflow'!A11169&lt;&gt;"",'Document Workflow'!A11169,"")</f>
        <v/>
      </c>
    </row>
    <row r="11171" spans="1:1">
      <c r="A11171" s="7" t="str">
        <f>IF('Document Workflow'!A11170&lt;&gt;"",'Document Workflow'!A11170,"")</f>
        <v/>
      </c>
    </row>
    <row r="11172" spans="1:1">
      <c r="A11172" s="7" t="str">
        <f>IF('Document Workflow'!A11171&lt;&gt;"",'Document Workflow'!A11171,"")</f>
        <v/>
      </c>
    </row>
    <row r="11173" spans="1:1">
      <c r="A11173" s="7" t="str">
        <f>IF('Document Workflow'!A11172&lt;&gt;"",'Document Workflow'!A11172,"")</f>
        <v/>
      </c>
    </row>
    <row r="11174" spans="1:1">
      <c r="A11174" s="7" t="str">
        <f>IF('Document Workflow'!A11173&lt;&gt;"",'Document Workflow'!A11173,"")</f>
        <v/>
      </c>
    </row>
    <row r="11175" spans="1:1">
      <c r="A11175" s="7" t="str">
        <f>IF('Document Workflow'!A11174&lt;&gt;"",'Document Workflow'!A11174,"")</f>
        <v/>
      </c>
    </row>
    <row r="11176" spans="1:1">
      <c r="A11176" s="7" t="str">
        <f>IF('Document Workflow'!A11175&lt;&gt;"",'Document Workflow'!A11175,"")</f>
        <v/>
      </c>
    </row>
    <row r="11177" spans="1:1">
      <c r="A11177" s="7" t="str">
        <f>IF('Document Workflow'!A11176&lt;&gt;"",'Document Workflow'!A11176,"")</f>
        <v/>
      </c>
    </row>
    <row r="11178" spans="1:1">
      <c r="A11178" s="7" t="str">
        <f>IF('Document Workflow'!A11177&lt;&gt;"",'Document Workflow'!A11177,"")</f>
        <v/>
      </c>
    </row>
    <row r="11179" spans="1:1">
      <c r="A11179" s="7" t="str">
        <f>IF('Document Workflow'!A11178&lt;&gt;"",'Document Workflow'!A11178,"")</f>
        <v/>
      </c>
    </row>
    <row r="11180" spans="1:1">
      <c r="A11180" s="7" t="str">
        <f>IF('Document Workflow'!A11179&lt;&gt;"",'Document Workflow'!A11179,"")</f>
        <v/>
      </c>
    </row>
    <row r="11181" spans="1:1">
      <c r="A11181" s="7" t="str">
        <f>IF('Document Workflow'!A11180&lt;&gt;"",'Document Workflow'!A11180,"")</f>
        <v/>
      </c>
    </row>
    <row r="11182" spans="1:1">
      <c r="A11182" s="7" t="str">
        <f>IF('Document Workflow'!A11181&lt;&gt;"",'Document Workflow'!A11181,"")</f>
        <v/>
      </c>
    </row>
    <row r="11183" spans="1:1">
      <c r="A11183" s="7" t="str">
        <f>IF('Document Workflow'!A11182&lt;&gt;"",'Document Workflow'!A11182,"")</f>
        <v/>
      </c>
    </row>
    <row r="11184" spans="1:1">
      <c r="A11184" s="7" t="str">
        <f>IF('Document Workflow'!A11183&lt;&gt;"",'Document Workflow'!A11183,"")</f>
        <v/>
      </c>
    </row>
    <row r="11185" spans="1:1">
      <c r="A11185" s="7" t="str">
        <f>IF('Document Workflow'!A11184&lt;&gt;"",'Document Workflow'!A11184,"")</f>
        <v/>
      </c>
    </row>
    <row r="11186" spans="1:1">
      <c r="A11186" s="7" t="str">
        <f>IF('Document Workflow'!A11185&lt;&gt;"",'Document Workflow'!A11185,"")</f>
        <v/>
      </c>
    </row>
    <row r="11187" spans="1:1">
      <c r="A11187" s="7" t="str">
        <f>IF('Document Workflow'!A11186&lt;&gt;"",'Document Workflow'!A11186,"")</f>
        <v/>
      </c>
    </row>
    <row r="11188" spans="1:1">
      <c r="A11188" s="7" t="str">
        <f>IF('Document Workflow'!A11187&lt;&gt;"",'Document Workflow'!A11187,"")</f>
        <v/>
      </c>
    </row>
    <row r="11189" spans="1:1">
      <c r="A11189" s="7" t="str">
        <f>IF('Document Workflow'!A11188&lt;&gt;"",'Document Workflow'!A11188,"")</f>
        <v/>
      </c>
    </row>
    <row r="11190" spans="1:1">
      <c r="A11190" s="7" t="str">
        <f>IF('Document Workflow'!A11189&lt;&gt;"",'Document Workflow'!A11189,"")</f>
        <v/>
      </c>
    </row>
    <row r="11191" spans="1:1">
      <c r="A11191" s="7" t="str">
        <f>IF('Document Workflow'!A11190&lt;&gt;"",'Document Workflow'!A11190,"")</f>
        <v/>
      </c>
    </row>
    <row r="11192" spans="1:1">
      <c r="A11192" s="7" t="str">
        <f>IF('Document Workflow'!A11191&lt;&gt;"",'Document Workflow'!A11191,"")</f>
        <v/>
      </c>
    </row>
    <row r="11193" spans="1:1">
      <c r="A11193" s="7" t="str">
        <f>IF('Document Workflow'!A11192&lt;&gt;"",'Document Workflow'!A11192,"")</f>
        <v/>
      </c>
    </row>
    <row r="11194" spans="1:1">
      <c r="A11194" s="7" t="str">
        <f>IF('Document Workflow'!A11193&lt;&gt;"",'Document Workflow'!A11193,"")</f>
        <v/>
      </c>
    </row>
    <row r="11195" spans="1:1">
      <c r="A11195" s="7" t="str">
        <f>IF('Document Workflow'!A11194&lt;&gt;"",'Document Workflow'!A11194,"")</f>
        <v/>
      </c>
    </row>
    <row r="11196" spans="1:1">
      <c r="A11196" s="7" t="str">
        <f>IF('Document Workflow'!A11195&lt;&gt;"",'Document Workflow'!A11195,"")</f>
        <v/>
      </c>
    </row>
    <row r="11197" spans="1:1">
      <c r="A11197" s="7" t="str">
        <f>IF('Document Workflow'!A11196&lt;&gt;"",'Document Workflow'!A11196,"")</f>
        <v/>
      </c>
    </row>
    <row r="11198" spans="1:1">
      <c r="A11198" s="7" t="str">
        <f>IF('Document Workflow'!A11197&lt;&gt;"",'Document Workflow'!A11197,"")</f>
        <v/>
      </c>
    </row>
    <row r="11199" spans="1:1">
      <c r="A11199" s="7" t="str">
        <f>IF('Document Workflow'!A11198&lt;&gt;"",'Document Workflow'!A11198,"")</f>
        <v/>
      </c>
    </row>
    <row r="11200" spans="1:1">
      <c r="A11200" s="7" t="str">
        <f>IF('Document Workflow'!A11199&lt;&gt;"",'Document Workflow'!A11199,"")</f>
        <v/>
      </c>
    </row>
    <row r="11201" spans="1:1">
      <c r="A11201" s="7" t="str">
        <f>IF('Document Workflow'!A11200&lt;&gt;"",'Document Workflow'!A11200,"")</f>
        <v/>
      </c>
    </row>
    <row r="11202" spans="1:1">
      <c r="A11202" s="7" t="str">
        <f>IF('Document Workflow'!A11201&lt;&gt;"",'Document Workflow'!A11201,"")</f>
        <v/>
      </c>
    </row>
    <row r="11203" spans="1:1">
      <c r="A11203" s="7" t="str">
        <f>IF('Document Workflow'!A11202&lt;&gt;"",'Document Workflow'!A11202,"")</f>
        <v/>
      </c>
    </row>
    <row r="11204" spans="1:1">
      <c r="A11204" s="7" t="str">
        <f>IF('Document Workflow'!A11203&lt;&gt;"",'Document Workflow'!A11203,"")</f>
        <v/>
      </c>
    </row>
    <row r="11205" spans="1:1">
      <c r="A11205" s="7" t="str">
        <f>IF('Document Workflow'!A11204&lt;&gt;"",'Document Workflow'!A11204,"")</f>
        <v/>
      </c>
    </row>
    <row r="11206" spans="1:1">
      <c r="A11206" s="7" t="str">
        <f>IF('Document Workflow'!A11205&lt;&gt;"",'Document Workflow'!A11205,"")</f>
        <v/>
      </c>
    </row>
    <row r="11207" spans="1:1">
      <c r="A11207" s="7" t="str">
        <f>IF('Document Workflow'!A11206&lt;&gt;"",'Document Workflow'!A11206,"")</f>
        <v/>
      </c>
    </row>
    <row r="11208" spans="1:1">
      <c r="A11208" s="7" t="str">
        <f>IF('Document Workflow'!A11207&lt;&gt;"",'Document Workflow'!A11207,"")</f>
        <v/>
      </c>
    </row>
    <row r="11209" spans="1:1">
      <c r="A11209" s="7" t="str">
        <f>IF('Document Workflow'!A11208&lt;&gt;"",'Document Workflow'!A11208,"")</f>
        <v/>
      </c>
    </row>
    <row r="11210" spans="1:1">
      <c r="A11210" s="7" t="str">
        <f>IF('Document Workflow'!A11209&lt;&gt;"",'Document Workflow'!A11209,"")</f>
        <v/>
      </c>
    </row>
    <row r="11211" spans="1:1">
      <c r="A11211" s="7" t="str">
        <f>IF('Document Workflow'!A11210&lt;&gt;"",'Document Workflow'!A11210,"")</f>
        <v/>
      </c>
    </row>
    <row r="11212" spans="1:1">
      <c r="A11212" s="7" t="str">
        <f>IF('Document Workflow'!A11211&lt;&gt;"",'Document Workflow'!A11211,"")</f>
        <v/>
      </c>
    </row>
    <row r="11213" spans="1:1">
      <c r="A11213" s="7" t="str">
        <f>IF('Document Workflow'!A11212&lt;&gt;"",'Document Workflow'!A11212,"")</f>
        <v/>
      </c>
    </row>
    <row r="11214" spans="1:1">
      <c r="A11214" s="7" t="str">
        <f>IF('Document Workflow'!A11213&lt;&gt;"",'Document Workflow'!A11213,"")</f>
        <v/>
      </c>
    </row>
    <row r="11215" spans="1:1">
      <c r="A11215" s="7" t="str">
        <f>IF('Document Workflow'!A11214&lt;&gt;"",'Document Workflow'!A11214,"")</f>
        <v/>
      </c>
    </row>
    <row r="11216" spans="1:1">
      <c r="A11216" s="7" t="str">
        <f>IF('Document Workflow'!A11215&lt;&gt;"",'Document Workflow'!A11215,"")</f>
        <v/>
      </c>
    </row>
    <row r="11217" spans="1:1">
      <c r="A11217" s="7" t="str">
        <f>IF('Document Workflow'!A11216&lt;&gt;"",'Document Workflow'!A11216,"")</f>
        <v/>
      </c>
    </row>
    <row r="11218" spans="1:1">
      <c r="A11218" s="7" t="str">
        <f>IF('Document Workflow'!A11217&lt;&gt;"",'Document Workflow'!A11217,"")</f>
        <v/>
      </c>
    </row>
    <row r="11219" spans="1:1">
      <c r="A11219" s="7" t="str">
        <f>IF('Document Workflow'!A11218&lt;&gt;"",'Document Workflow'!A11218,"")</f>
        <v/>
      </c>
    </row>
    <row r="11220" spans="1:1">
      <c r="A11220" s="7" t="str">
        <f>IF('Document Workflow'!A11219&lt;&gt;"",'Document Workflow'!A11219,"")</f>
        <v/>
      </c>
    </row>
    <row r="11221" spans="1:1">
      <c r="A11221" s="7" t="str">
        <f>IF('Document Workflow'!A11220&lt;&gt;"",'Document Workflow'!A11220,"")</f>
        <v/>
      </c>
    </row>
    <row r="11222" spans="1:1">
      <c r="A11222" s="7" t="str">
        <f>IF('Document Workflow'!A11221&lt;&gt;"",'Document Workflow'!A11221,"")</f>
        <v/>
      </c>
    </row>
    <row r="11223" spans="1:1">
      <c r="A11223" s="7" t="str">
        <f>IF('Document Workflow'!A11222&lt;&gt;"",'Document Workflow'!A11222,"")</f>
        <v/>
      </c>
    </row>
    <row r="11224" spans="1:1">
      <c r="A11224" s="7" t="str">
        <f>IF('Document Workflow'!A11223&lt;&gt;"",'Document Workflow'!A11223,"")</f>
        <v/>
      </c>
    </row>
    <row r="11225" spans="1:1">
      <c r="A11225" s="7" t="str">
        <f>IF('Document Workflow'!A11224&lt;&gt;"",'Document Workflow'!A11224,"")</f>
        <v/>
      </c>
    </row>
    <row r="11226" spans="1:1">
      <c r="A11226" s="7" t="str">
        <f>IF('Document Workflow'!A11225&lt;&gt;"",'Document Workflow'!A11225,"")</f>
        <v/>
      </c>
    </row>
    <row r="11227" spans="1:1">
      <c r="A11227" s="7" t="str">
        <f>IF('Document Workflow'!A11226&lt;&gt;"",'Document Workflow'!A11226,"")</f>
        <v/>
      </c>
    </row>
    <row r="11228" spans="1:1">
      <c r="A11228" s="7" t="str">
        <f>IF('Document Workflow'!A11227&lt;&gt;"",'Document Workflow'!A11227,"")</f>
        <v/>
      </c>
    </row>
    <row r="11229" spans="1:1">
      <c r="A11229" s="7" t="str">
        <f>IF('Document Workflow'!A11228&lt;&gt;"",'Document Workflow'!A11228,"")</f>
        <v/>
      </c>
    </row>
    <row r="11230" spans="1:1">
      <c r="A11230" s="7" t="str">
        <f>IF('Document Workflow'!A11229&lt;&gt;"",'Document Workflow'!A11229,"")</f>
        <v/>
      </c>
    </row>
    <row r="11231" spans="1:1">
      <c r="A11231" s="7" t="str">
        <f>IF('Document Workflow'!A11230&lt;&gt;"",'Document Workflow'!A11230,"")</f>
        <v/>
      </c>
    </row>
    <row r="11232" spans="1:1">
      <c r="A11232" s="7" t="str">
        <f>IF('Document Workflow'!A11231&lt;&gt;"",'Document Workflow'!A11231,"")</f>
        <v/>
      </c>
    </row>
    <row r="11233" spans="1:1">
      <c r="A11233" s="7" t="str">
        <f>IF('Document Workflow'!A11232&lt;&gt;"",'Document Workflow'!A11232,"")</f>
        <v/>
      </c>
    </row>
    <row r="11234" spans="1:1">
      <c r="A11234" s="7" t="str">
        <f>IF('Document Workflow'!A11233&lt;&gt;"",'Document Workflow'!A11233,"")</f>
        <v/>
      </c>
    </row>
    <row r="11235" spans="1:1">
      <c r="A11235" s="7" t="str">
        <f>IF('Document Workflow'!A11234&lt;&gt;"",'Document Workflow'!A11234,"")</f>
        <v/>
      </c>
    </row>
    <row r="11236" spans="1:1">
      <c r="A11236" s="7" t="str">
        <f>IF('Document Workflow'!A11235&lt;&gt;"",'Document Workflow'!A11235,"")</f>
        <v/>
      </c>
    </row>
    <row r="11237" spans="1:1">
      <c r="A11237" s="7" t="str">
        <f>IF('Document Workflow'!A11236&lt;&gt;"",'Document Workflow'!A11236,"")</f>
        <v/>
      </c>
    </row>
    <row r="11238" spans="1:1">
      <c r="A11238" s="7" t="str">
        <f>IF('Document Workflow'!A11237&lt;&gt;"",'Document Workflow'!A11237,"")</f>
        <v/>
      </c>
    </row>
    <row r="11239" spans="1:1">
      <c r="A11239" s="7" t="str">
        <f>IF('Document Workflow'!A11238&lt;&gt;"",'Document Workflow'!A11238,"")</f>
        <v/>
      </c>
    </row>
    <row r="11240" spans="1:1">
      <c r="A11240" s="7" t="str">
        <f>IF('Document Workflow'!A11239&lt;&gt;"",'Document Workflow'!A11239,"")</f>
        <v/>
      </c>
    </row>
    <row r="11241" spans="1:1">
      <c r="A11241" s="7" t="str">
        <f>IF('Document Workflow'!A11240&lt;&gt;"",'Document Workflow'!A11240,"")</f>
        <v/>
      </c>
    </row>
    <row r="11242" spans="1:1">
      <c r="A11242" s="7" t="str">
        <f>IF('Document Workflow'!A11241&lt;&gt;"",'Document Workflow'!A11241,"")</f>
        <v/>
      </c>
    </row>
    <row r="11243" spans="1:1">
      <c r="A11243" s="7" t="str">
        <f>IF('Document Workflow'!A11242&lt;&gt;"",'Document Workflow'!A11242,"")</f>
        <v/>
      </c>
    </row>
    <row r="11244" spans="1:1">
      <c r="A11244" s="7" t="str">
        <f>IF('Document Workflow'!A11243&lt;&gt;"",'Document Workflow'!A11243,"")</f>
        <v/>
      </c>
    </row>
    <row r="11245" spans="1:1">
      <c r="A11245" s="7" t="str">
        <f>IF('Document Workflow'!A11244&lt;&gt;"",'Document Workflow'!A11244,"")</f>
        <v/>
      </c>
    </row>
    <row r="11246" spans="1:1">
      <c r="A11246" s="7" t="str">
        <f>IF('Document Workflow'!A11245&lt;&gt;"",'Document Workflow'!A11245,"")</f>
        <v/>
      </c>
    </row>
    <row r="11247" spans="1:1">
      <c r="A11247" s="7" t="str">
        <f>IF('Document Workflow'!A11246&lt;&gt;"",'Document Workflow'!A11246,"")</f>
        <v/>
      </c>
    </row>
    <row r="11248" spans="1:1">
      <c r="A11248" s="7" t="str">
        <f>IF('Document Workflow'!A11247&lt;&gt;"",'Document Workflow'!A11247,"")</f>
        <v/>
      </c>
    </row>
    <row r="11249" spans="1:1">
      <c r="A11249" s="7" t="str">
        <f>IF('Document Workflow'!A11248&lt;&gt;"",'Document Workflow'!A11248,"")</f>
        <v/>
      </c>
    </row>
    <row r="11250" spans="1:1">
      <c r="A11250" s="7" t="str">
        <f>IF('Document Workflow'!A11249&lt;&gt;"",'Document Workflow'!A11249,"")</f>
        <v/>
      </c>
    </row>
    <row r="11251" spans="1:1">
      <c r="A11251" s="7" t="str">
        <f>IF('Document Workflow'!A11250&lt;&gt;"",'Document Workflow'!A11250,"")</f>
        <v/>
      </c>
    </row>
    <row r="11252" spans="1:1">
      <c r="A11252" s="7" t="str">
        <f>IF('Document Workflow'!A11251&lt;&gt;"",'Document Workflow'!A11251,"")</f>
        <v/>
      </c>
    </row>
    <row r="11253" spans="1:1">
      <c r="A11253" s="7" t="str">
        <f>IF('Document Workflow'!A11252&lt;&gt;"",'Document Workflow'!A11252,"")</f>
        <v/>
      </c>
    </row>
    <row r="11254" spans="1:1">
      <c r="A11254" s="7" t="str">
        <f>IF('Document Workflow'!A11253&lt;&gt;"",'Document Workflow'!A11253,"")</f>
        <v/>
      </c>
    </row>
    <row r="11255" spans="1:1">
      <c r="A11255" s="7" t="str">
        <f>IF('Document Workflow'!A11254&lt;&gt;"",'Document Workflow'!A11254,"")</f>
        <v/>
      </c>
    </row>
    <row r="11256" spans="1:1">
      <c r="A11256" s="7" t="str">
        <f>IF('Document Workflow'!A11255&lt;&gt;"",'Document Workflow'!A11255,"")</f>
        <v/>
      </c>
    </row>
    <row r="11257" spans="1:1">
      <c r="A11257" s="7" t="str">
        <f>IF('Document Workflow'!A11256&lt;&gt;"",'Document Workflow'!A11256,"")</f>
        <v/>
      </c>
    </row>
    <row r="11258" spans="1:1">
      <c r="A11258" s="7" t="str">
        <f>IF('Document Workflow'!A11257&lt;&gt;"",'Document Workflow'!A11257,"")</f>
        <v/>
      </c>
    </row>
    <row r="11259" spans="1:1">
      <c r="A11259" s="7" t="str">
        <f>IF('Document Workflow'!A11258&lt;&gt;"",'Document Workflow'!A11258,"")</f>
        <v/>
      </c>
    </row>
    <row r="11260" spans="1:1">
      <c r="A11260" s="7" t="str">
        <f>IF('Document Workflow'!A11259&lt;&gt;"",'Document Workflow'!A11259,"")</f>
        <v/>
      </c>
    </row>
    <row r="11261" spans="1:1">
      <c r="A11261" s="7" t="str">
        <f>IF('Document Workflow'!A11260&lt;&gt;"",'Document Workflow'!A11260,"")</f>
        <v/>
      </c>
    </row>
    <row r="11262" spans="1:1">
      <c r="A11262" s="7" t="str">
        <f>IF('Document Workflow'!A11261&lt;&gt;"",'Document Workflow'!A11261,"")</f>
        <v/>
      </c>
    </row>
    <row r="11263" spans="1:1">
      <c r="A11263" s="7" t="str">
        <f>IF('Document Workflow'!A11262&lt;&gt;"",'Document Workflow'!A11262,"")</f>
        <v/>
      </c>
    </row>
    <row r="11264" spans="1:1">
      <c r="A11264" s="7" t="str">
        <f>IF('Document Workflow'!A11263&lt;&gt;"",'Document Workflow'!A11263,"")</f>
        <v/>
      </c>
    </row>
    <row r="11265" spans="1:1">
      <c r="A11265" s="7" t="str">
        <f>IF('Document Workflow'!A11264&lt;&gt;"",'Document Workflow'!A11264,"")</f>
        <v/>
      </c>
    </row>
    <row r="11266" spans="1:1">
      <c r="A11266" s="7" t="str">
        <f>IF('Document Workflow'!A11265&lt;&gt;"",'Document Workflow'!A11265,"")</f>
        <v/>
      </c>
    </row>
    <row r="11267" spans="1:1">
      <c r="A11267" s="7" t="str">
        <f>IF('Document Workflow'!A11266&lt;&gt;"",'Document Workflow'!A11266,"")</f>
        <v/>
      </c>
    </row>
    <row r="11268" spans="1:1">
      <c r="A11268" s="7" t="str">
        <f>IF('Document Workflow'!A11267&lt;&gt;"",'Document Workflow'!A11267,"")</f>
        <v/>
      </c>
    </row>
    <row r="11269" spans="1:1">
      <c r="A11269" s="7" t="str">
        <f>IF('Document Workflow'!A11268&lt;&gt;"",'Document Workflow'!A11268,"")</f>
        <v/>
      </c>
    </row>
    <row r="11270" spans="1:1">
      <c r="A11270" s="7" t="str">
        <f>IF('Document Workflow'!A11269&lt;&gt;"",'Document Workflow'!A11269,"")</f>
        <v/>
      </c>
    </row>
    <row r="11271" spans="1:1">
      <c r="A11271" s="7" t="str">
        <f>IF('Document Workflow'!A11270&lt;&gt;"",'Document Workflow'!A11270,"")</f>
        <v/>
      </c>
    </row>
    <row r="11272" spans="1:1">
      <c r="A11272" s="7" t="str">
        <f>IF('Document Workflow'!A11271&lt;&gt;"",'Document Workflow'!A11271,"")</f>
        <v/>
      </c>
    </row>
    <row r="11273" spans="1:1">
      <c r="A11273" s="7" t="str">
        <f>IF('Document Workflow'!A11272&lt;&gt;"",'Document Workflow'!A11272,"")</f>
        <v/>
      </c>
    </row>
    <row r="11274" spans="1:1">
      <c r="A11274" s="7" t="str">
        <f>IF('Document Workflow'!A11273&lt;&gt;"",'Document Workflow'!A11273,"")</f>
        <v/>
      </c>
    </row>
    <row r="11275" spans="1:1">
      <c r="A11275" s="7" t="str">
        <f>IF('Document Workflow'!A11274&lt;&gt;"",'Document Workflow'!A11274,"")</f>
        <v/>
      </c>
    </row>
    <row r="11276" spans="1:1">
      <c r="A11276" s="7" t="str">
        <f>IF('Document Workflow'!A11275&lt;&gt;"",'Document Workflow'!A11275,"")</f>
        <v/>
      </c>
    </row>
    <row r="11277" spans="1:1">
      <c r="A11277" s="7" t="str">
        <f>IF('Document Workflow'!A11276&lt;&gt;"",'Document Workflow'!A11276,"")</f>
        <v/>
      </c>
    </row>
    <row r="11278" spans="1:1">
      <c r="A11278" s="7" t="str">
        <f>IF('Document Workflow'!A11277&lt;&gt;"",'Document Workflow'!A11277,"")</f>
        <v/>
      </c>
    </row>
    <row r="11279" spans="1:1">
      <c r="A11279" s="7" t="str">
        <f>IF('Document Workflow'!A11278&lt;&gt;"",'Document Workflow'!A11278,"")</f>
        <v/>
      </c>
    </row>
    <row r="11280" spans="1:1">
      <c r="A11280" s="7" t="str">
        <f>IF('Document Workflow'!A11279&lt;&gt;"",'Document Workflow'!A11279,"")</f>
        <v/>
      </c>
    </row>
    <row r="11281" spans="1:1">
      <c r="A11281" s="7" t="str">
        <f>IF('Document Workflow'!A11280&lt;&gt;"",'Document Workflow'!A11280,"")</f>
        <v/>
      </c>
    </row>
    <row r="11282" spans="1:1">
      <c r="A11282" s="7" t="str">
        <f>IF('Document Workflow'!A11281&lt;&gt;"",'Document Workflow'!A11281,"")</f>
        <v/>
      </c>
    </row>
    <row r="11283" spans="1:1">
      <c r="A11283" s="7" t="str">
        <f>IF('Document Workflow'!A11282&lt;&gt;"",'Document Workflow'!A11282,"")</f>
        <v/>
      </c>
    </row>
    <row r="11284" spans="1:1">
      <c r="A11284" s="7" t="str">
        <f>IF('Document Workflow'!A11283&lt;&gt;"",'Document Workflow'!A11283,"")</f>
        <v/>
      </c>
    </row>
    <row r="11285" spans="1:1">
      <c r="A11285" s="7" t="str">
        <f>IF('Document Workflow'!A11284&lt;&gt;"",'Document Workflow'!A11284,"")</f>
        <v/>
      </c>
    </row>
    <row r="11286" spans="1:1">
      <c r="A11286" s="7" t="str">
        <f>IF('Document Workflow'!A11285&lt;&gt;"",'Document Workflow'!A11285,"")</f>
        <v/>
      </c>
    </row>
    <row r="11287" spans="1:1">
      <c r="A11287" s="7" t="str">
        <f>IF('Document Workflow'!A11286&lt;&gt;"",'Document Workflow'!A11286,"")</f>
        <v/>
      </c>
    </row>
    <row r="11288" spans="1:1">
      <c r="A11288" s="7" t="str">
        <f>IF('Document Workflow'!A11287&lt;&gt;"",'Document Workflow'!A11287,"")</f>
        <v/>
      </c>
    </row>
    <row r="11289" spans="1:1">
      <c r="A11289" s="7" t="str">
        <f>IF('Document Workflow'!A11288&lt;&gt;"",'Document Workflow'!A11288,"")</f>
        <v/>
      </c>
    </row>
    <row r="11290" spans="1:1">
      <c r="A11290" s="7" t="str">
        <f>IF('Document Workflow'!A11289&lt;&gt;"",'Document Workflow'!A11289,"")</f>
        <v/>
      </c>
    </row>
    <row r="11291" spans="1:1">
      <c r="A11291" s="7" t="str">
        <f>IF('Document Workflow'!A11290&lt;&gt;"",'Document Workflow'!A11290,"")</f>
        <v/>
      </c>
    </row>
    <row r="11292" spans="1:1">
      <c r="A11292" s="7" t="str">
        <f>IF('Document Workflow'!A11291&lt;&gt;"",'Document Workflow'!A11291,"")</f>
        <v/>
      </c>
    </row>
    <row r="11293" spans="1:1">
      <c r="A11293" s="7" t="str">
        <f>IF('Document Workflow'!A11292&lt;&gt;"",'Document Workflow'!A11292,"")</f>
        <v/>
      </c>
    </row>
    <row r="11294" spans="1:1">
      <c r="A11294" s="7" t="str">
        <f>IF('Document Workflow'!A11293&lt;&gt;"",'Document Workflow'!A11293,"")</f>
        <v/>
      </c>
    </row>
    <row r="11295" spans="1:1">
      <c r="A11295" s="7" t="str">
        <f>IF('Document Workflow'!A11294&lt;&gt;"",'Document Workflow'!A11294,"")</f>
        <v/>
      </c>
    </row>
    <row r="11296" spans="1:1">
      <c r="A11296" s="7" t="str">
        <f>IF('Document Workflow'!A11295&lt;&gt;"",'Document Workflow'!A11295,"")</f>
        <v/>
      </c>
    </row>
    <row r="11297" spans="1:1">
      <c r="A11297" s="7" t="str">
        <f>IF('Document Workflow'!A11296&lt;&gt;"",'Document Workflow'!A11296,"")</f>
        <v/>
      </c>
    </row>
    <row r="11298" spans="1:1">
      <c r="A11298" s="7" t="str">
        <f>IF('Document Workflow'!A11297&lt;&gt;"",'Document Workflow'!A11297,"")</f>
        <v/>
      </c>
    </row>
    <row r="11299" spans="1:1">
      <c r="A11299" s="7" t="str">
        <f>IF('Document Workflow'!A11298&lt;&gt;"",'Document Workflow'!A11298,"")</f>
        <v/>
      </c>
    </row>
    <row r="11300" spans="1:1">
      <c r="A11300" s="7" t="str">
        <f>IF('Document Workflow'!A11299&lt;&gt;"",'Document Workflow'!A11299,"")</f>
        <v/>
      </c>
    </row>
    <row r="11301" spans="1:1">
      <c r="A11301" s="7" t="str">
        <f>IF('Document Workflow'!A11300&lt;&gt;"",'Document Workflow'!A11300,"")</f>
        <v/>
      </c>
    </row>
    <row r="11302" spans="1:1">
      <c r="A11302" s="7" t="str">
        <f>IF('Document Workflow'!A11301&lt;&gt;"",'Document Workflow'!A11301,"")</f>
        <v/>
      </c>
    </row>
    <row r="11303" spans="1:1">
      <c r="A11303" s="7" t="str">
        <f>IF('Document Workflow'!A11302&lt;&gt;"",'Document Workflow'!A11302,"")</f>
        <v/>
      </c>
    </row>
    <row r="11304" spans="1:1">
      <c r="A11304" s="7" t="str">
        <f>IF('Document Workflow'!A11303&lt;&gt;"",'Document Workflow'!A11303,"")</f>
        <v/>
      </c>
    </row>
    <row r="11305" spans="1:1">
      <c r="A11305" s="7" t="str">
        <f>IF('Document Workflow'!A11304&lt;&gt;"",'Document Workflow'!A11304,"")</f>
        <v/>
      </c>
    </row>
    <row r="11306" spans="1:1">
      <c r="A11306" s="7" t="str">
        <f>IF('Document Workflow'!A11305&lt;&gt;"",'Document Workflow'!A11305,"")</f>
        <v/>
      </c>
    </row>
    <row r="11307" spans="1:1">
      <c r="A11307" s="7" t="str">
        <f>IF('Document Workflow'!A11306&lt;&gt;"",'Document Workflow'!A11306,"")</f>
        <v/>
      </c>
    </row>
    <row r="11308" spans="1:1">
      <c r="A11308" s="7" t="str">
        <f>IF('Document Workflow'!A11307&lt;&gt;"",'Document Workflow'!A11307,"")</f>
        <v/>
      </c>
    </row>
    <row r="11309" spans="1:1">
      <c r="A11309" s="7" t="str">
        <f>IF('Document Workflow'!A11308&lt;&gt;"",'Document Workflow'!A11308,"")</f>
        <v/>
      </c>
    </row>
    <row r="11310" spans="1:1">
      <c r="A11310" s="7" t="str">
        <f>IF('Document Workflow'!A11309&lt;&gt;"",'Document Workflow'!A11309,"")</f>
        <v/>
      </c>
    </row>
    <row r="11311" spans="1:1">
      <c r="A11311" s="7" t="str">
        <f>IF('Document Workflow'!A11310&lt;&gt;"",'Document Workflow'!A11310,"")</f>
        <v/>
      </c>
    </row>
    <row r="11312" spans="1:1">
      <c r="A11312" s="7" t="str">
        <f>IF('Document Workflow'!A11311&lt;&gt;"",'Document Workflow'!A11311,"")</f>
        <v/>
      </c>
    </row>
    <row r="11313" spans="1:1">
      <c r="A11313" s="7" t="str">
        <f>IF('Document Workflow'!A11312&lt;&gt;"",'Document Workflow'!A11312,"")</f>
        <v/>
      </c>
    </row>
    <row r="11314" spans="1:1">
      <c r="A11314" s="7" t="str">
        <f>IF('Document Workflow'!A11313&lt;&gt;"",'Document Workflow'!A11313,"")</f>
        <v/>
      </c>
    </row>
    <row r="11315" spans="1:1">
      <c r="A11315" s="7" t="str">
        <f>IF('Document Workflow'!A11314&lt;&gt;"",'Document Workflow'!A11314,"")</f>
        <v/>
      </c>
    </row>
    <row r="11316" spans="1:1">
      <c r="A11316" s="7" t="str">
        <f>IF('Document Workflow'!A11315&lt;&gt;"",'Document Workflow'!A11315,"")</f>
        <v/>
      </c>
    </row>
    <row r="11317" spans="1:1">
      <c r="A11317" s="7" t="str">
        <f>IF('Document Workflow'!A11316&lt;&gt;"",'Document Workflow'!A11316,"")</f>
        <v/>
      </c>
    </row>
    <row r="11318" spans="1:1">
      <c r="A11318" s="7" t="str">
        <f>IF('Document Workflow'!A11317&lt;&gt;"",'Document Workflow'!A11317,"")</f>
        <v/>
      </c>
    </row>
    <row r="11319" spans="1:1">
      <c r="A11319" s="7" t="str">
        <f>IF('Document Workflow'!A11318&lt;&gt;"",'Document Workflow'!A11318,"")</f>
        <v/>
      </c>
    </row>
    <row r="11320" spans="1:1">
      <c r="A11320" s="7" t="str">
        <f>IF('Document Workflow'!A11319&lt;&gt;"",'Document Workflow'!A11319,"")</f>
        <v/>
      </c>
    </row>
    <row r="11321" spans="1:1">
      <c r="A11321" s="7" t="str">
        <f>IF('Document Workflow'!A11320&lt;&gt;"",'Document Workflow'!A11320,"")</f>
        <v/>
      </c>
    </row>
    <row r="11322" spans="1:1">
      <c r="A11322" s="7" t="str">
        <f>IF('Document Workflow'!A11321&lt;&gt;"",'Document Workflow'!A11321,"")</f>
        <v/>
      </c>
    </row>
    <row r="11323" spans="1:1">
      <c r="A11323" s="7" t="str">
        <f>IF('Document Workflow'!A11322&lt;&gt;"",'Document Workflow'!A11322,"")</f>
        <v/>
      </c>
    </row>
    <row r="11324" spans="1:1">
      <c r="A11324" s="7" t="str">
        <f>IF('Document Workflow'!A11323&lt;&gt;"",'Document Workflow'!A11323,"")</f>
        <v/>
      </c>
    </row>
    <row r="11325" spans="1:1">
      <c r="A11325" s="7" t="str">
        <f>IF('Document Workflow'!A11324&lt;&gt;"",'Document Workflow'!A11324,"")</f>
        <v/>
      </c>
    </row>
    <row r="11326" spans="1:1">
      <c r="A11326" s="7" t="str">
        <f>IF('Document Workflow'!A11325&lt;&gt;"",'Document Workflow'!A11325,"")</f>
        <v/>
      </c>
    </row>
    <row r="11327" spans="1:1">
      <c r="A11327" s="7" t="str">
        <f>IF('Document Workflow'!A11326&lt;&gt;"",'Document Workflow'!A11326,"")</f>
        <v/>
      </c>
    </row>
    <row r="11328" spans="1:1">
      <c r="A11328" s="7" t="str">
        <f>IF('Document Workflow'!A11327&lt;&gt;"",'Document Workflow'!A11327,"")</f>
        <v/>
      </c>
    </row>
    <row r="11329" spans="1:1">
      <c r="A11329" s="7" t="str">
        <f>IF('Document Workflow'!A11328&lt;&gt;"",'Document Workflow'!A11328,"")</f>
        <v/>
      </c>
    </row>
    <row r="11330" spans="1:1">
      <c r="A11330" s="7" t="str">
        <f>IF('Document Workflow'!A11329&lt;&gt;"",'Document Workflow'!A11329,"")</f>
        <v/>
      </c>
    </row>
    <row r="11331" spans="1:1">
      <c r="A11331" s="7" t="str">
        <f>IF('Document Workflow'!A11330&lt;&gt;"",'Document Workflow'!A11330,"")</f>
        <v/>
      </c>
    </row>
    <row r="11332" spans="1:1">
      <c r="A11332" s="7" t="str">
        <f>IF('Document Workflow'!A11331&lt;&gt;"",'Document Workflow'!A11331,"")</f>
        <v/>
      </c>
    </row>
    <row r="11333" spans="1:1">
      <c r="A11333" s="7" t="str">
        <f>IF('Document Workflow'!A11332&lt;&gt;"",'Document Workflow'!A11332,"")</f>
        <v/>
      </c>
    </row>
    <row r="11334" spans="1:1">
      <c r="A11334" s="7" t="str">
        <f>IF('Document Workflow'!A11333&lt;&gt;"",'Document Workflow'!A11333,"")</f>
        <v/>
      </c>
    </row>
    <row r="11335" spans="1:1">
      <c r="A11335" s="7" t="str">
        <f>IF('Document Workflow'!A11334&lt;&gt;"",'Document Workflow'!A11334,"")</f>
        <v/>
      </c>
    </row>
    <row r="11336" spans="1:1">
      <c r="A11336" s="7" t="str">
        <f>IF('Document Workflow'!A11335&lt;&gt;"",'Document Workflow'!A11335,"")</f>
        <v/>
      </c>
    </row>
    <row r="11337" spans="1:1">
      <c r="A11337" s="7" t="str">
        <f>IF('Document Workflow'!A11336&lt;&gt;"",'Document Workflow'!A11336,"")</f>
        <v/>
      </c>
    </row>
    <row r="11338" spans="1:1">
      <c r="A11338" s="7" t="str">
        <f>IF('Document Workflow'!A11337&lt;&gt;"",'Document Workflow'!A11337,"")</f>
        <v/>
      </c>
    </row>
    <row r="11339" spans="1:1">
      <c r="A11339" s="7" t="str">
        <f>IF('Document Workflow'!A11338&lt;&gt;"",'Document Workflow'!A11338,"")</f>
        <v/>
      </c>
    </row>
    <row r="11340" spans="1:1">
      <c r="A11340" s="7" t="str">
        <f>IF('Document Workflow'!A11339&lt;&gt;"",'Document Workflow'!A11339,"")</f>
        <v/>
      </c>
    </row>
    <row r="11341" spans="1:1">
      <c r="A11341" s="7" t="str">
        <f>IF('Document Workflow'!A11340&lt;&gt;"",'Document Workflow'!A11340,"")</f>
        <v/>
      </c>
    </row>
    <row r="11342" spans="1:1">
      <c r="A11342" s="7" t="str">
        <f>IF('Document Workflow'!A11341&lt;&gt;"",'Document Workflow'!A11341,"")</f>
        <v/>
      </c>
    </row>
    <row r="11343" spans="1:1">
      <c r="A11343" s="7" t="str">
        <f>IF('Document Workflow'!A11342&lt;&gt;"",'Document Workflow'!A11342,"")</f>
        <v/>
      </c>
    </row>
    <row r="11344" spans="1:1">
      <c r="A11344" s="7" t="str">
        <f>IF('Document Workflow'!A11343&lt;&gt;"",'Document Workflow'!A11343,"")</f>
        <v/>
      </c>
    </row>
    <row r="11345" spans="1:1">
      <c r="A11345" s="7" t="str">
        <f>IF('Document Workflow'!A11344&lt;&gt;"",'Document Workflow'!A11344,"")</f>
        <v/>
      </c>
    </row>
    <row r="11346" spans="1:1">
      <c r="A11346" s="7" t="str">
        <f>IF('Document Workflow'!A11345&lt;&gt;"",'Document Workflow'!A11345,"")</f>
        <v/>
      </c>
    </row>
    <row r="11347" spans="1:1">
      <c r="A11347" s="7" t="str">
        <f>IF('Document Workflow'!A11346&lt;&gt;"",'Document Workflow'!A11346,"")</f>
        <v/>
      </c>
    </row>
    <row r="11348" spans="1:1">
      <c r="A11348" s="7" t="str">
        <f>IF('Document Workflow'!A11347&lt;&gt;"",'Document Workflow'!A11347,"")</f>
        <v/>
      </c>
    </row>
    <row r="11349" spans="1:1">
      <c r="A11349" s="7" t="str">
        <f>IF('Document Workflow'!A11348&lt;&gt;"",'Document Workflow'!A11348,"")</f>
        <v/>
      </c>
    </row>
    <row r="11350" spans="1:1">
      <c r="A11350" s="7" t="str">
        <f>IF('Document Workflow'!A11349&lt;&gt;"",'Document Workflow'!A11349,"")</f>
        <v/>
      </c>
    </row>
    <row r="11351" spans="1:1">
      <c r="A11351" s="7" t="str">
        <f>IF('Document Workflow'!A11350&lt;&gt;"",'Document Workflow'!A11350,"")</f>
        <v/>
      </c>
    </row>
    <row r="11352" spans="1:1">
      <c r="A11352" s="7" t="str">
        <f>IF('Document Workflow'!A11351&lt;&gt;"",'Document Workflow'!A11351,"")</f>
        <v/>
      </c>
    </row>
    <row r="11353" spans="1:1">
      <c r="A11353" s="7" t="str">
        <f>IF('Document Workflow'!A11352&lt;&gt;"",'Document Workflow'!A11352,"")</f>
        <v/>
      </c>
    </row>
    <row r="11354" spans="1:1">
      <c r="A11354" s="7" t="str">
        <f>IF('Document Workflow'!A11353&lt;&gt;"",'Document Workflow'!A11353,"")</f>
        <v/>
      </c>
    </row>
    <row r="11355" spans="1:1">
      <c r="A11355" s="7" t="str">
        <f>IF('Document Workflow'!A11354&lt;&gt;"",'Document Workflow'!A11354,"")</f>
        <v/>
      </c>
    </row>
    <row r="11356" spans="1:1">
      <c r="A11356" s="7" t="str">
        <f>IF('Document Workflow'!A11355&lt;&gt;"",'Document Workflow'!A11355,"")</f>
        <v/>
      </c>
    </row>
    <row r="11357" spans="1:1">
      <c r="A11357" s="7" t="str">
        <f>IF('Document Workflow'!A11356&lt;&gt;"",'Document Workflow'!A11356,"")</f>
        <v/>
      </c>
    </row>
    <row r="11358" spans="1:1">
      <c r="A11358" s="7" t="str">
        <f>IF('Document Workflow'!A11357&lt;&gt;"",'Document Workflow'!A11357,"")</f>
        <v/>
      </c>
    </row>
    <row r="11359" spans="1:1">
      <c r="A11359" s="7" t="str">
        <f>IF('Document Workflow'!A11358&lt;&gt;"",'Document Workflow'!A11358,"")</f>
        <v/>
      </c>
    </row>
    <row r="11360" spans="1:1">
      <c r="A11360" s="7" t="str">
        <f>IF('Document Workflow'!A11359&lt;&gt;"",'Document Workflow'!A11359,"")</f>
        <v/>
      </c>
    </row>
    <row r="11361" spans="1:1">
      <c r="A11361" s="7" t="str">
        <f>IF('Document Workflow'!A11360&lt;&gt;"",'Document Workflow'!A11360,"")</f>
        <v/>
      </c>
    </row>
    <row r="11362" spans="1:1">
      <c r="A11362" s="7" t="str">
        <f>IF('Document Workflow'!A11361&lt;&gt;"",'Document Workflow'!A11361,"")</f>
        <v/>
      </c>
    </row>
    <row r="11363" spans="1:1">
      <c r="A11363" s="7" t="str">
        <f>IF('Document Workflow'!A11362&lt;&gt;"",'Document Workflow'!A11362,"")</f>
        <v/>
      </c>
    </row>
    <row r="11364" spans="1:1">
      <c r="A11364" s="7" t="str">
        <f>IF('Document Workflow'!A11363&lt;&gt;"",'Document Workflow'!A11363,"")</f>
        <v/>
      </c>
    </row>
    <row r="11365" spans="1:1">
      <c r="A11365" s="7" t="str">
        <f>IF('Document Workflow'!A11364&lt;&gt;"",'Document Workflow'!A11364,"")</f>
        <v/>
      </c>
    </row>
    <row r="11366" spans="1:1">
      <c r="A11366" s="7" t="str">
        <f>IF('Document Workflow'!A11365&lt;&gt;"",'Document Workflow'!A11365,"")</f>
        <v/>
      </c>
    </row>
    <row r="11367" spans="1:1">
      <c r="A11367" s="7" t="str">
        <f>IF('Document Workflow'!A11366&lt;&gt;"",'Document Workflow'!A11366,"")</f>
        <v/>
      </c>
    </row>
    <row r="11368" spans="1:1">
      <c r="A11368" s="7" t="str">
        <f>IF('Document Workflow'!A11367&lt;&gt;"",'Document Workflow'!A11367,"")</f>
        <v/>
      </c>
    </row>
    <row r="11369" spans="1:1">
      <c r="A11369" s="7" t="str">
        <f>IF('Document Workflow'!A11368&lt;&gt;"",'Document Workflow'!A11368,"")</f>
        <v/>
      </c>
    </row>
    <row r="11370" spans="1:1">
      <c r="A11370" s="7" t="str">
        <f>IF('Document Workflow'!A11369&lt;&gt;"",'Document Workflow'!A11369,"")</f>
        <v/>
      </c>
    </row>
    <row r="11371" spans="1:1">
      <c r="A11371" s="7" t="str">
        <f>IF('Document Workflow'!A11370&lt;&gt;"",'Document Workflow'!A11370,"")</f>
        <v/>
      </c>
    </row>
    <row r="11372" spans="1:1">
      <c r="A11372" s="7" t="str">
        <f>IF('Document Workflow'!A11371&lt;&gt;"",'Document Workflow'!A11371,"")</f>
        <v/>
      </c>
    </row>
    <row r="11373" spans="1:1">
      <c r="A11373" s="7" t="str">
        <f>IF('Document Workflow'!A11372&lt;&gt;"",'Document Workflow'!A11372,"")</f>
        <v/>
      </c>
    </row>
    <row r="11374" spans="1:1">
      <c r="A11374" s="7" t="str">
        <f>IF('Document Workflow'!A11373&lt;&gt;"",'Document Workflow'!A11373,"")</f>
        <v/>
      </c>
    </row>
    <row r="11375" spans="1:1">
      <c r="A11375" s="7" t="str">
        <f>IF('Document Workflow'!A11374&lt;&gt;"",'Document Workflow'!A11374,"")</f>
        <v/>
      </c>
    </row>
    <row r="11376" spans="1:1">
      <c r="A11376" s="7" t="str">
        <f>IF('Document Workflow'!A11375&lt;&gt;"",'Document Workflow'!A11375,"")</f>
        <v/>
      </c>
    </row>
    <row r="11377" spans="1:1">
      <c r="A11377" s="7" t="str">
        <f>IF('Document Workflow'!A11376&lt;&gt;"",'Document Workflow'!A11376,"")</f>
        <v/>
      </c>
    </row>
    <row r="11378" spans="1:1">
      <c r="A11378" s="7" t="str">
        <f>IF('Document Workflow'!A11377&lt;&gt;"",'Document Workflow'!A11377,"")</f>
        <v/>
      </c>
    </row>
    <row r="11379" spans="1:1">
      <c r="A11379" s="7" t="str">
        <f>IF('Document Workflow'!A11378&lt;&gt;"",'Document Workflow'!A11378,"")</f>
        <v/>
      </c>
    </row>
    <row r="11380" spans="1:1">
      <c r="A11380" s="7" t="str">
        <f>IF('Document Workflow'!A11379&lt;&gt;"",'Document Workflow'!A11379,"")</f>
        <v/>
      </c>
    </row>
    <row r="11381" spans="1:1">
      <c r="A11381" s="7" t="str">
        <f>IF('Document Workflow'!A11380&lt;&gt;"",'Document Workflow'!A11380,"")</f>
        <v/>
      </c>
    </row>
    <row r="11382" spans="1:1">
      <c r="A11382" s="7" t="str">
        <f>IF('Document Workflow'!A11381&lt;&gt;"",'Document Workflow'!A11381,"")</f>
        <v/>
      </c>
    </row>
    <row r="11383" spans="1:1">
      <c r="A11383" s="7" t="str">
        <f>IF('Document Workflow'!A11382&lt;&gt;"",'Document Workflow'!A11382,"")</f>
        <v/>
      </c>
    </row>
    <row r="11384" spans="1:1">
      <c r="A11384" s="7" t="str">
        <f>IF('Document Workflow'!A11383&lt;&gt;"",'Document Workflow'!A11383,"")</f>
        <v/>
      </c>
    </row>
    <row r="11385" spans="1:1">
      <c r="A11385" s="7" t="str">
        <f>IF('Document Workflow'!A11384&lt;&gt;"",'Document Workflow'!A11384,"")</f>
        <v/>
      </c>
    </row>
    <row r="11386" spans="1:1">
      <c r="A11386" s="7" t="str">
        <f>IF('Document Workflow'!A11385&lt;&gt;"",'Document Workflow'!A11385,"")</f>
        <v/>
      </c>
    </row>
    <row r="11387" spans="1:1">
      <c r="A11387" s="7" t="str">
        <f>IF('Document Workflow'!A11386&lt;&gt;"",'Document Workflow'!A11386,"")</f>
        <v/>
      </c>
    </row>
    <row r="11388" spans="1:1">
      <c r="A11388" s="7" t="str">
        <f>IF('Document Workflow'!A11387&lt;&gt;"",'Document Workflow'!A11387,"")</f>
        <v/>
      </c>
    </row>
    <row r="11389" spans="1:1">
      <c r="A11389" s="7" t="str">
        <f>IF('Document Workflow'!A11388&lt;&gt;"",'Document Workflow'!A11388,"")</f>
        <v/>
      </c>
    </row>
    <row r="11390" spans="1:1">
      <c r="A11390" s="7" t="str">
        <f>IF('Document Workflow'!A11389&lt;&gt;"",'Document Workflow'!A11389,"")</f>
        <v/>
      </c>
    </row>
    <row r="11391" spans="1:1">
      <c r="A11391" s="7" t="str">
        <f>IF('Document Workflow'!A11390&lt;&gt;"",'Document Workflow'!A11390,"")</f>
        <v/>
      </c>
    </row>
    <row r="11392" spans="1:1">
      <c r="A11392" s="7" t="str">
        <f>IF('Document Workflow'!A11391&lt;&gt;"",'Document Workflow'!A11391,"")</f>
        <v/>
      </c>
    </row>
    <row r="11393" spans="1:1">
      <c r="A11393" s="7" t="str">
        <f>IF('Document Workflow'!A11392&lt;&gt;"",'Document Workflow'!A11392,"")</f>
        <v/>
      </c>
    </row>
    <row r="11394" spans="1:1">
      <c r="A11394" s="7" t="str">
        <f>IF('Document Workflow'!A11393&lt;&gt;"",'Document Workflow'!A11393,"")</f>
        <v/>
      </c>
    </row>
    <row r="11395" spans="1:1">
      <c r="A11395" s="7" t="str">
        <f>IF('Document Workflow'!A11394&lt;&gt;"",'Document Workflow'!A11394,"")</f>
        <v/>
      </c>
    </row>
    <row r="11396" spans="1:1">
      <c r="A11396" s="7" t="str">
        <f>IF('Document Workflow'!A11395&lt;&gt;"",'Document Workflow'!A11395,"")</f>
        <v/>
      </c>
    </row>
    <row r="11397" spans="1:1">
      <c r="A11397" s="7" t="str">
        <f>IF('Document Workflow'!A11396&lt;&gt;"",'Document Workflow'!A11396,"")</f>
        <v/>
      </c>
    </row>
    <row r="11398" spans="1:1">
      <c r="A11398" s="7" t="str">
        <f>IF('Document Workflow'!A11397&lt;&gt;"",'Document Workflow'!A11397,"")</f>
        <v/>
      </c>
    </row>
    <row r="11399" spans="1:1">
      <c r="A11399" s="7" t="str">
        <f>IF('Document Workflow'!A11398&lt;&gt;"",'Document Workflow'!A11398,"")</f>
        <v/>
      </c>
    </row>
    <row r="11400" spans="1:1">
      <c r="A11400" s="7" t="str">
        <f>IF('Document Workflow'!A11399&lt;&gt;"",'Document Workflow'!A11399,"")</f>
        <v/>
      </c>
    </row>
    <row r="11401" spans="1:1">
      <c r="A11401" s="7" t="str">
        <f>IF('Document Workflow'!A11400&lt;&gt;"",'Document Workflow'!A11400,"")</f>
        <v/>
      </c>
    </row>
    <row r="11402" spans="1:1">
      <c r="A11402" s="7" t="str">
        <f>IF('Document Workflow'!A11401&lt;&gt;"",'Document Workflow'!A11401,"")</f>
        <v/>
      </c>
    </row>
    <row r="11403" spans="1:1">
      <c r="A11403" s="7" t="str">
        <f>IF('Document Workflow'!A11402&lt;&gt;"",'Document Workflow'!A11402,"")</f>
        <v/>
      </c>
    </row>
    <row r="11404" spans="1:1">
      <c r="A11404" s="7" t="str">
        <f>IF('Document Workflow'!A11403&lt;&gt;"",'Document Workflow'!A11403,"")</f>
        <v/>
      </c>
    </row>
    <row r="11405" spans="1:1">
      <c r="A11405" s="7" t="str">
        <f>IF('Document Workflow'!A11404&lt;&gt;"",'Document Workflow'!A11404,"")</f>
        <v/>
      </c>
    </row>
    <row r="11406" spans="1:1">
      <c r="A11406" s="7" t="str">
        <f>IF('Document Workflow'!A11405&lt;&gt;"",'Document Workflow'!A11405,"")</f>
        <v/>
      </c>
    </row>
    <row r="11407" spans="1:1">
      <c r="A11407" s="7" t="str">
        <f>IF('Document Workflow'!A11406&lt;&gt;"",'Document Workflow'!A11406,"")</f>
        <v/>
      </c>
    </row>
    <row r="11408" spans="1:1">
      <c r="A11408" s="7" t="str">
        <f>IF('Document Workflow'!A11407&lt;&gt;"",'Document Workflow'!A11407,"")</f>
        <v/>
      </c>
    </row>
    <row r="11409" spans="1:1">
      <c r="A11409" s="7" t="str">
        <f>IF('Document Workflow'!A11408&lt;&gt;"",'Document Workflow'!A11408,"")</f>
        <v/>
      </c>
    </row>
    <row r="11410" spans="1:1">
      <c r="A11410" s="7" t="str">
        <f>IF('Document Workflow'!A11409&lt;&gt;"",'Document Workflow'!A11409,"")</f>
        <v/>
      </c>
    </row>
    <row r="11411" spans="1:1">
      <c r="A11411" s="7" t="str">
        <f>IF('Document Workflow'!A11410&lt;&gt;"",'Document Workflow'!A11410,"")</f>
        <v/>
      </c>
    </row>
    <row r="11412" spans="1:1">
      <c r="A11412" s="7" t="str">
        <f>IF('Document Workflow'!A11411&lt;&gt;"",'Document Workflow'!A11411,"")</f>
        <v/>
      </c>
    </row>
    <row r="11413" spans="1:1">
      <c r="A11413" s="7" t="str">
        <f>IF('Document Workflow'!A11412&lt;&gt;"",'Document Workflow'!A11412,"")</f>
        <v/>
      </c>
    </row>
    <row r="11414" spans="1:1">
      <c r="A11414" s="7" t="str">
        <f>IF('Document Workflow'!A11413&lt;&gt;"",'Document Workflow'!A11413,"")</f>
        <v/>
      </c>
    </row>
    <row r="11415" spans="1:1">
      <c r="A11415" s="7" t="str">
        <f>IF('Document Workflow'!A11414&lt;&gt;"",'Document Workflow'!A11414,"")</f>
        <v/>
      </c>
    </row>
    <row r="11416" spans="1:1">
      <c r="A11416" s="7" t="str">
        <f>IF('Document Workflow'!A11415&lt;&gt;"",'Document Workflow'!A11415,"")</f>
        <v/>
      </c>
    </row>
    <row r="11417" spans="1:1">
      <c r="A11417" s="7" t="str">
        <f>IF('Document Workflow'!A11416&lt;&gt;"",'Document Workflow'!A11416,"")</f>
        <v/>
      </c>
    </row>
    <row r="11418" spans="1:1">
      <c r="A11418" s="7" t="str">
        <f>IF('Document Workflow'!A11417&lt;&gt;"",'Document Workflow'!A11417,"")</f>
        <v/>
      </c>
    </row>
    <row r="11419" spans="1:1">
      <c r="A11419" s="7" t="str">
        <f>IF('Document Workflow'!A11418&lt;&gt;"",'Document Workflow'!A11418,"")</f>
        <v/>
      </c>
    </row>
    <row r="11420" spans="1:1">
      <c r="A11420" s="7" t="str">
        <f>IF('Document Workflow'!A11419&lt;&gt;"",'Document Workflow'!A11419,"")</f>
        <v/>
      </c>
    </row>
    <row r="11421" spans="1:1">
      <c r="A11421" s="7" t="str">
        <f>IF('Document Workflow'!A11420&lt;&gt;"",'Document Workflow'!A11420,"")</f>
        <v/>
      </c>
    </row>
    <row r="11422" spans="1:1">
      <c r="A11422" s="7" t="str">
        <f>IF('Document Workflow'!A11421&lt;&gt;"",'Document Workflow'!A11421,"")</f>
        <v/>
      </c>
    </row>
    <row r="11423" spans="1:1">
      <c r="A11423" s="7" t="str">
        <f>IF('Document Workflow'!A11422&lt;&gt;"",'Document Workflow'!A11422,"")</f>
        <v/>
      </c>
    </row>
    <row r="11424" spans="1:1">
      <c r="A11424" s="7" t="str">
        <f>IF('Document Workflow'!A11423&lt;&gt;"",'Document Workflow'!A11423,"")</f>
        <v/>
      </c>
    </row>
    <row r="11425" spans="1:1">
      <c r="A11425" s="7" t="str">
        <f>IF('Document Workflow'!A11424&lt;&gt;"",'Document Workflow'!A11424,"")</f>
        <v/>
      </c>
    </row>
    <row r="11426" spans="1:1">
      <c r="A11426" s="7" t="str">
        <f>IF('Document Workflow'!A11425&lt;&gt;"",'Document Workflow'!A11425,"")</f>
        <v/>
      </c>
    </row>
    <row r="11427" spans="1:1">
      <c r="A11427" s="7" t="str">
        <f>IF('Document Workflow'!A11426&lt;&gt;"",'Document Workflow'!A11426,"")</f>
        <v/>
      </c>
    </row>
    <row r="11428" spans="1:1">
      <c r="A11428" s="7" t="str">
        <f>IF('Document Workflow'!A11427&lt;&gt;"",'Document Workflow'!A11427,"")</f>
        <v/>
      </c>
    </row>
    <row r="11429" spans="1:1">
      <c r="A11429" s="7" t="str">
        <f>IF('Document Workflow'!A11428&lt;&gt;"",'Document Workflow'!A11428,"")</f>
        <v/>
      </c>
    </row>
    <row r="11430" spans="1:1">
      <c r="A11430" s="7" t="str">
        <f>IF('Document Workflow'!A11429&lt;&gt;"",'Document Workflow'!A11429,"")</f>
        <v/>
      </c>
    </row>
    <row r="11431" spans="1:1">
      <c r="A11431" s="7" t="str">
        <f>IF('Document Workflow'!A11430&lt;&gt;"",'Document Workflow'!A11430,"")</f>
        <v/>
      </c>
    </row>
    <row r="11432" spans="1:1">
      <c r="A11432" s="7" t="str">
        <f>IF('Document Workflow'!A11431&lt;&gt;"",'Document Workflow'!A11431,"")</f>
        <v/>
      </c>
    </row>
    <row r="11433" spans="1:1">
      <c r="A11433" s="7" t="str">
        <f>IF('Document Workflow'!A11432&lt;&gt;"",'Document Workflow'!A11432,"")</f>
        <v/>
      </c>
    </row>
    <row r="11434" spans="1:1">
      <c r="A11434" s="7" t="str">
        <f>IF('Document Workflow'!A11433&lt;&gt;"",'Document Workflow'!A11433,"")</f>
        <v/>
      </c>
    </row>
    <row r="11435" spans="1:1">
      <c r="A11435" s="7" t="str">
        <f>IF('Document Workflow'!A11434&lt;&gt;"",'Document Workflow'!A11434,"")</f>
        <v/>
      </c>
    </row>
    <row r="11436" spans="1:1">
      <c r="A11436" s="7" t="str">
        <f>IF('Document Workflow'!A11435&lt;&gt;"",'Document Workflow'!A11435,"")</f>
        <v/>
      </c>
    </row>
    <row r="11437" spans="1:1">
      <c r="A11437" s="7" t="str">
        <f>IF('Document Workflow'!A11436&lt;&gt;"",'Document Workflow'!A11436,"")</f>
        <v/>
      </c>
    </row>
    <row r="11438" spans="1:1">
      <c r="A11438" s="7" t="str">
        <f>IF('Document Workflow'!A11437&lt;&gt;"",'Document Workflow'!A11437,"")</f>
        <v/>
      </c>
    </row>
    <row r="11439" spans="1:1">
      <c r="A11439" s="7" t="str">
        <f>IF('Document Workflow'!A11438&lt;&gt;"",'Document Workflow'!A11438,"")</f>
        <v/>
      </c>
    </row>
    <row r="11440" spans="1:1">
      <c r="A11440" s="7" t="str">
        <f>IF('Document Workflow'!A11439&lt;&gt;"",'Document Workflow'!A11439,"")</f>
        <v/>
      </c>
    </row>
    <row r="11441" spans="1:1">
      <c r="A11441" s="7" t="str">
        <f>IF('Document Workflow'!A11440&lt;&gt;"",'Document Workflow'!A11440,"")</f>
        <v/>
      </c>
    </row>
    <row r="11442" spans="1:1">
      <c r="A11442" s="7" t="str">
        <f>IF('Document Workflow'!A11441&lt;&gt;"",'Document Workflow'!A11441,"")</f>
        <v/>
      </c>
    </row>
    <row r="11443" spans="1:1">
      <c r="A11443" s="7" t="str">
        <f>IF('Document Workflow'!A11442&lt;&gt;"",'Document Workflow'!A11442,"")</f>
        <v/>
      </c>
    </row>
    <row r="11444" spans="1:1">
      <c r="A11444" s="7" t="str">
        <f>IF('Document Workflow'!A11443&lt;&gt;"",'Document Workflow'!A11443,"")</f>
        <v/>
      </c>
    </row>
    <row r="11445" spans="1:1">
      <c r="A11445" s="7" t="str">
        <f>IF('Document Workflow'!A11444&lt;&gt;"",'Document Workflow'!A11444,"")</f>
        <v/>
      </c>
    </row>
    <row r="11446" spans="1:1">
      <c r="A11446" s="7" t="str">
        <f>IF('Document Workflow'!A11445&lt;&gt;"",'Document Workflow'!A11445,"")</f>
        <v/>
      </c>
    </row>
    <row r="11447" spans="1:1">
      <c r="A11447" s="7" t="str">
        <f>IF('Document Workflow'!A11446&lt;&gt;"",'Document Workflow'!A11446,"")</f>
        <v/>
      </c>
    </row>
    <row r="11448" spans="1:1">
      <c r="A11448" s="7" t="str">
        <f>IF('Document Workflow'!A11447&lt;&gt;"",'Document Workflow'!A11447,"")</f>
        <v/>
      </c>
    </row>
    <row r="11449" spans="1:1">
      <c r="A11449" s="7" t="str">
        <f>IF('Document Workflow'!A11448&lt;&gt;"",'Document Workflow'!A11448,"")</f>
        <v/>
      </c>
    </row>
    <row r="11450" spans="1:1">
      <c r="A11450" s="7" t="str">
        <f>IF('Document Workflow'!A11449&lt;&gt;"",'Document Workflow'!A11449,"")</f>
        <v/>
      </c>
    </row>
    <row r="11451" spans="1:1">
      <c r="A11451" s="7" t="str">
        <f>IF('Document Workflow'!A11450&lt;&gt;"",'Document Workflow'!A11450,"")</f>
        <v/>
      </c>
    </row>
    <row r="11452" spans="1:1">
      <c r="A11452" s="7" t="str">
        <f>IF('Document Workflow'!A11451&lt;&gt;"",'Document Workflow'!A11451,"")</f>
        <v/>
      </c>
    </row>
    <row r="11453" spans="1:1">
      <c r="A11453" s="7" t="str">
        <f>IF('Document Workflow'!A11452&lt;&gt;"",'Document Workflow'!A11452,"")</f>
        <v/>
      </c>
    </row>
    <row r="11454" spans="1:1">
      <c r="A11454" s="7" t="str">
        <f>IF('Document Workflow'!A11453&lt;&gt;"",'Document Workflow'!A11453,"")</f>
        <v/>
      </c>
    </row>
    <row r="11455" spans="1:1">
      <c r="A11455" s="7" t="str">
        <f>IF('Document Workflow'!A11454&lt;&gt;"",'Document Workflow'!A11454,"")</f>
        <v/>
      </c>
    </row>
    <row r="11456" spans="1:1">
      <c r="A11456" s="7" t="str">
        <f>IF('Document Workflow'!A11455&lt;&gt;"",'Document Workflow'!A11455,"")</f>
        <v/>
      </c>
    </row>
    <row r="11457" spans="1:1">
      <c r="A11457" s="7" t="str">
        <f>IF('Document Workflow'!A11456&lt;&gt;"",'Document Workflow'!A11456,"")</f>
        <v/>
      </c>
    </row>
    <row r="11458" spans="1:1">
      <c r="A11458" s="7" t="str">
        <f>IF('Document Workflow'!A11457&lt;&gt;"",'Document Workflow'!A11457,"")</f>
        <v/>
      </c>
    </row>
    <row r="11459" spans="1:1">
      <c r="A11459" s="7" t="str">
        <f>IF('Document Workflow'!A11458&lt;&gt;"",'Document Workflow'!A11458,"")</f>
        <v/>
      </c>
    </row>
    <row r="11460" spans="1:1">
      <c r="A11460" s="7" t="str">
        <f>IF('Document Workflow'!A11459&lt;&gt;"",'Document Workflow'!A11459,"")</f>
        <v/>
      </c>
    </row>
    <row r="11461" spans="1:1">
      <c r="A11461" s="7" t="str">
        <f>IF('Document Workflow'!A11460&lt;&gt;"",'Document Workflow'!A11460,"")</f>
        <v/>
      </c>
    </row>
    <row r="11462" spans="1:1">
      <c r="A11462" s="7" t="str">
        <f>IF('Document Workflow'!A11461&lt;&gt;"",'Document Workflow'!A11461,"")</f>
        <v/>
      </c>
    </row>
    <row r="11463" spans="1:1">
      <c r="A11463" s="7" t="str">
        <f>IF('Document Workflow'!A11462&lt;&gt;"",'Document Workflow'!A11462,"")</f>
        <v/>
      </c>
    </row>
    <row r="11464" spans="1:1">
      <c r="A11464" s="7" t="str">
        <f>IF('Document Workflow'!A11463&lt;&gt;"",'Document Workflow'!A11463,"")</f>
        <v/>
      </c>
    </row>
    <row r="11465" spans="1:1">
      <c r="A11465" s="7" t="str">
        <f>IF('Document Workflow'!A11464&lt;&gt;"",'Document Workflow'!A11464,"")</f>
        <v/>
      </c>
    </row>
    <row r="11466" spans="1:1">
      <c r="A11466" s="7" t="str">
        <f>IF('Document Workflow'!A11465&lt;&gt;"",'Document Workflow'!A11465,"")</f>
        <v/>
      </c>
    </row>
    <row r="11467" spans="1:1">
      <c r="A11467" s="7" t="str">
        <f>IF('Document Workflow'!A11466&lt;&gt;"",'Document Workflow'!A11466,"")</f>
        <v/>
      </c>
    </row>
    <row r="11468" spans="1:1">
      <c r="A11468" s="7" t="str">
        <f>IF('Document Workflow'!A11467&lt;&gt;"",'Document Workflow'!A11467,"")</f>
        <v/>
      </c>
    </row>
    <row r="11469" spans="1:1">
      <c r="A11469" s="7" t="str">
        <f>IF('Document Workflow'!A11468&lt;&gt;"",'Document Workflow'!A11468,"")</f>
        <v/>
      </c>
    </row>
    <row r="11470" spans="1:1">
      <c r="A11470" s="7" t="str">
        <f>IF('Document Workflow'!A11469&lt;&gt;"",'Document Workflow'!A11469,"")</f>
        <v/>
      </c>
    </row>
    <row r="11471" spans="1:1">
      <c r="A11471" s="7" t="str">
        <f>IF('Document Workflow'!A11470&lt;&gt;"",'Document Workflow'!A11470,"")</f>
        <v/>
      </c>
    </row>
    <row r="11472" spans="1:1">
      <c r="A11472" s="7" t="str">
        <f>IF('Document Workflow'!A11471&lt;&gt;"",'Document Workflow'!A11471,"")</f>
        <v/>
      </c>
    </row>
    <row r="11473" spans="1:1">
      <c r="A11473" s="7" t="str">
        <f>IF('Document Workflow'!A11472&lt;&gt;"",'Document Workflow'!A11472,"")</f>
        <v/>
      </c>
    </row>
    <row r="11474" spans="1:1">
      <c r="A11474" s="7" t="str">
        <f>IF('Document Workflow'!A11473&lt;&gt;"",'Document Workflow'!A11473,"")</f>
        <v/>
      </c>
    </row>
    <row r="11475" spans="1:1">
      <c r="A11475" s="7" t="str">
        <f>IF('Document Workflow'!A11474&lt;&gt;"",'Document Workflow'!A11474,"")</f>
        <v/>
      </c>
    </row>
    <row r="11476" spans="1:1">
      <c r="A11476" s="7" t="str">
        <f>IF('Document Workflow'!A11475&lt;&gt;"",'Document Workflow'!A11475,"")</f>
        <v/>
      </c>
    </row>
    <row r="11477" spans="1:1">
      <c r="A11477" s="7" t="str">
        <f>IF('Document Workflow'!A11476&lt;&gt;"",'Document Workflow'!A11476,"")</f>
        <v/>
      </c>
    </row>
    <row r="11478" spans="1:1">
      <c r="A11478" s="7" t="str">
        <f>IF('Document Workflow'!A11477&lt;&gt;"",'Document Workflow'!A11477,"")</f>
        <v/>
      </c>
    </row>
    <row r="11479" spans="1:1">
      <c r="A11479" s="7" t="str">
        <f>IF('Document Workflow'!A11478&lt;&gt;"",'Document Workflow'!A11478,"")</f>
        <v/>
      </c>
    </row>
    <row r="11480" spans="1:1">
      <c r="A11480" s="7" t="str">
        <f>IF('Document Workflow'!A11479&lt;&gt;"",'Document Workflow'!A11479,"")</f>
        <v/>
      </c>
    </row>
    <row r="11481" spans="1:1">
      <c r="A11481" s="7" t="str">
        <f>IF('Document Workflow'!A11480&lt;&gt;"",'Document Workflow'!A11480,"")</f>
        <v/>
      </c>
    </row>
    <row r="11482" spans="1:1">
      <c r="A11482" s="7" t="str">
        <f>IF('Document Workflow'!A11481&lt;&gt;"",'Document Workflow'!A11481,"")</f>
        <v/>
      </c>
    </row>
    <row r="11483" spans="1:1">
      <c r="A11483" s="7" t="str">
        <f>IF('Document Workflow'!A11482&lt;&gt;"",'Document Workflow'!A11482,"")</f>
        <v/>
      </c>
    </row>
    <row r="11484" spans="1:1">
      <c r="A11484" s="7" t="str">
        <f>IF('Document Workflow'!A11483&lt;&gt;"",'Document Workflow'!A11483,"")</f>
        <v/>
      </c>
    </row>
    <row r="11485" spans="1:1">
      <c r="A11485" s="7" t="str">
        <f>IF('Document Workflow'!A11484&lt;&gt;"",'Document Workflow'!A11484,"")</f>
        <v/>
      </c>
    </row>
    <row r="11486" spans="1:1">
      <c r="A11486" s="7" t="str">
        <f>IF('Document Workflow'!A11485&lt;&gt;"",'Document Workflow'!A11485,"")</f>
        <v/>
      </c>
    </row>
    <row r="11487" spans="1:1">
      <c r="A11487" s="7" t="str">
        <f>IF('Document Workflow'!A11486&lt;&gt;"",'Document Workflow'!A11486,"")</f>
        <v/>
      </c>
    </row>
    <row r="11488" spans="1:1">
      <c r="A11488" s="7" t="str">
        <f>IF('Document Workflow'!A11487&lt;&gt;"",'Document Workflow'!A11487,"")</f>
        <v/>
      </c>
    </row>
    <row r="11489" spans="1:1">
      <c r="A11489" s="7" t="str">
        <f>IF('Document Workflow'!A11488&lt;&gt;"",'Document Workflow'!A11488,"")</f>
        <v/>
      </c>
    </row>
    <row r="11490" spans="1:1">
      <c r="A11490" s="7" t="str">
        <f>IF('Document Workflow'!A11489&lt;&gt;"",'Document Workflow'!A11489,"")</f>
        <v/>
      </c>
    </row>
    <row r="11491" spans="1:1">
      <c r="A11491" s="7" t="str">
        <f>IF('Document Workflow'!A11490&lt;&gt;"",'Document Workflow'!A11490,"")</f>
        <v/>
      </c>
    </row>
    <row r="11492" spans="1:1">
      <c r="A11492" s="7" t="str">
        <f>IF('Document Workflow'!A11491&lt;&gt;"",'Document Workflow'!A11491,"")</f>
        <v/>
      </c>
    </row>
    <row r="11493" spans="1:1">
      <c r="A11493" s="7" t="str">
        <f>IF('Document Workflow'!A11492&lt;&gt;"",'Document Workflow'!A11492,"")</f>
        <v/>
      </c>
    </row>
    <row r="11494" spans="1:1">
      <c r="A11494" s="7" t="str">
        <f>IF('Document Workflow'!A11493&lt;&gt;"",'Document Workflow'!A11493,"")</f>
        <v/>
      </c>
    </row>
    <row r="11495" spans="1:1">
      <c r="A11495" s="7" t="str">
        <f>IF('Document Workflow'!A11494&lt;&gt;"",'Document Workflow'!A11494,"")</f>
        <v/>
      </c>
    </row>
    <row r="11496" spans="1:1">
      <c r="A11496" s="7" t="str">
        <f>IF('Document Workflow'!A11495&lt;&gt;"",'Document Workflow'!A11495,"")</f>
        <v/>
      </c>
    </row>
    <row r="11497" spans="1:1">
      <c r="A11497" s="7" t="str">
        <f>IF('Document Workflow'!A11496&lt;&gt;"",'Document Workflow'!A11496,"")</f>
        <v/>
      </c>
    </row>
    <row r="11498" spans="1:1">
      <c r="A11498" s="7" t="str">
        <f>IF('Document Workflow'!A11497&lt;&gt;"",'Document Workflow'!A11497,"")</f>
        <v/>
      </c>
    </row>
    <row r="11499" spans="1:1">
      <c r="A11499" s="7" t="str">
        <f>IF('Document Workflow'!A11498&lt;&gt;"",'Document Workflow'!A11498,"")</f>
        <v/>
      </c>
    </row>
    <row r="11500" spans="1:1">
      <c r="A11500" s="7" t="str">
        <f>IF('Document Workflow'!A11499&lt;&gt;"",'Document Workflow'!A11499,"")</f>
        <v/>
      </c>
    </row>
    <row r="11501" spans="1:1">
      <c r="A11501" s="7" t="str">
        <f>IF('Document Workflow'!A11500&lt;&gt;"",'Document Workflow'!A11500,"")</f>
        <v/>
      </c>
    </row>
    <row r="11502" spans="1:1">
      <c r="A11502" s="7" t="str">
        <f>IF('Document Workflow'!A11501&lt;&gt;"",'Document Workflow'!A11501,"")</f>
        <v/>
      </c>
    </row>
    <row r="11503" spans="1:1">
      <c r="A11503" s="7" t="str">
        <f>IF('Document Workflow'!A11502&lt;&gt;"",'Document Workflow'!A11502,"")</f>
        <v/>
      </c>
    </row>
    <row r="11504" spans="1:1">
      <c r="A11504" s="7" t="str">
        <f>IF('Document Workflow'!A11503&lt;&gt;"",'Document Workflow'!A11503,"")</f>
        <v/>
      </c>
    </row>
    <row r="11505" spans="1:1">
      <c r="A11505" s="7" t="str">
        <f>IF('Document Workflow'!A11504&lt;&gt;"",'Document Workflow'!A11504,"")</f>
        <v/>
      </c>
    </row>
    <row r="11506" spans="1:1">
      <c r="A11506" s="7" t="str">
        <f>IF('Document Workflow'!A11505&lt;&gt;"",'Document Workflow'!A11505,"")</f>
        <v/>
      </c>
    </row>
    <row r="11507" spans="1:1">
      <c r="A11507" s="7" t="str">
        <f>IF('Document Workflow'!A11506&lt;&gt;"",'Document Workflow'!A11506,"")</f>
        <v/>
      </c>
    </row>
    <row r="11508" spans="1:1">
      <c r="A11508" s="7" t="str">
        <f>IF('Document Workflow'!A11507&lt;&gt;"",'Document Workflow'!A11507,"")</f>
        <v/>
      </c>
    </row>
    <row r="11509" spans="1:1">
      <c r="A11509" s="7" t="str">
        <f>IF('Document Workflow'!A11508&lt;&gt;"",'Document Workflow'!A11508,"")</f>
        <v/>
      </c>
    </row>
    <row r="11510" spans="1:1">
      <c r="A11510" s="7" t="str">
        <f>IF('Document Workflow'!A11509&lt;&gt;"",'Document Workflow'!A11509,"")</f>
        <v/>
      </c>
    </row>
    <row r="11511" spans="1:1">
      <c r="A11511" s="7" t="str">
        <f>IF('Document Workflow'!A11510&lt;&gt;"",'Document Workflow'!A11510,"")</f>
        <v/>
      </c>
    </row>
    <row r="11512" spans="1:1">
      <c r="A11512" s="7" t="str">
        <f>IF('Document Workflow'!A11511&lt;&gt;"",'Document Workflow'!A11511,"")</f>
        <v/>
      </c>
    </row>
    <row r="11513" spans="1:1">
      <c r="A11513" s="7" t="str">
        <f>IF('Document Workflow'!A11512&lt;&gt;"",'Document Workflow'!A11512,"")</f>
        <v/>
      </c>
    </row>
    <row r="11514" spans="1:1">
      <c r="A11514" s="7" t="str">
        <f>IF('Document Workflow'!A11513&lt;&gt;"",'Document Workflow'!A11513,"")</f>
        <v/>
      </c>
    </row>
    <row r="11515" spans="1:1">
      <c r="A11515" s="7" t="str">
        <f>IF('Document Workflow'!A11514&lt;&gt;"",'Document Workflow'!A11514,"")</f>
        <v/>
      </c>
    </row>
    <row r="11516" spans="1:1">
      <c r="A11516" s="7" t="str">
        <f>IF('Document Workflow'!A11515&lt;&gt;"",'Document Workflow'!A11515,"")</f>
        <v/>
      </c>
    </row>
    <row r="11517" spans="1:1">
      <c r="A11517" s="7" t="str">
        <f>IF('Document Workflow'!A11516&lt;&gt;"",'Document Workflow'!A11516,"")</f>
        <v/>
      </c>
    </row>
    <row r="11518" spans="1:1">
      <c r="A11518" s="7" t="str">
        <f>IF('Document Workflow'!A11517&lt;&gt;"",'Document Workflow'!A11517,"")</f>
        <v/>
      </c>
    </row>
    <row r="11519" spans="1:1">
      <c r="A11519" s="7" t="str">
        <f>IF('Document Workflow'!A11518&lt;&gt;"",'Document Workflow'!A11518,"")</f>
        <v/>
      </c>
    </row>
    <row r="11520" spans="1:1">
      <c r="A11520" s="7" t="str">
        <f>IF('Document Workflow'!A11519&lt;&gt;"",'Document Workflow'!A11519,"")</f>
        <v/>
      </c>
    </row>
    <row r="11521" spans="1:1">
      <c r="A11521" s="7" t="str">
        <f>IF('Document Workflow'!A11520&lt;&gt;"",'Document Workflow'!A11520,"")</f>
        <v/>
      </c>
    </row>
    <row r="11522" spans="1:1">
      <c r="A11522" s="7" t="str">
        <f>IF('Document Workflow'!A11521&lt;&gt;"",'Document Workflow'!A11521,"")</f>
        <v/>
      </c>
    </row>
    <row r="11523" spans="1:1">
      <c r="A11523" s="7" t="str">
        <f>IF('Document Workflow'!A11522&lt;&gt;"",'Document Workflow'!A11522,"")</f>
        <v/>
      </c>
    </row>
    <row r="11524" spans="1:1">
      <c r="A11524" s="7" t="str">
        <f>IF('Document Workflow'!A11523&lt;&gt;"",'Document Workflow'!A11523,"")</f>
        <v/>
      </c>
    </row>
    <row r="11525" spans="1:1">
      <c r="A11525" s="7" t="str">
        <f>IF('Document Workflow'!A11524&lt;&gt;"",'Document Workflow'!A11524,"")</f>
        <v/>
      </c>
    </row>
    <row r="11526" spans="1:1">
      <c r="A11526" s="7" t="str">
        <f>IF('Document Workflow'!A11525&lt;&gt;"",'Document Workflow'!A11525,"")</f>
        <v/>
      </c>
    </row>
    <row r="11527" spans="1:1">
      <c r="A11527" s="7" t="str">
        <f>IF('Document Workflow'!A11526&lt;&gt;"",'Document Workflow'!A11526,"")</f>
        <v/>
      </c>
    </row>
    <row r="11528" spans="1:1">
      <c r="A11528" s="7" t="str">
        <f>IF('Document Workflow'!A11527&lt;&gt;"",'Document Workflow'!A11527,"")</f>
        <v/>
      </c>
    </row>
    <row r="11529" spans="1:1">
      <c r="A11529" s="7" t="str">
        <f>IF('Document Workflow'!A11528&lt;&gt;"",'Document Workflow'!A11528,"")</f>
        <v/>
      </c>
    </row>
    <row r="11530" spans="1:1">
      <c r="A11530" s="7" t="str">
        <f>IF('Document Workflow'!A11529&lt;&gt;"",'Document Workflow'!A11529,"")</f>
        <v/>
      </c>
    </row>
    <row r="11531" spans="1:1">
      <c r="A11531" s="7" t="str">
        <f>IF('Document Workflow'!A11530&lt;&gt;"",'Document Workflow'!A11530,"")</f>
        <v/>
      </c>
    </row>
    <row r="11532" spans="1:1">
      <c r="A11532" s="7" t="str">
        <f>IF('Document Workflow'!A11531&lt;&gt;"",'Document Workflow'!A11531,"")</f>
        <v/>
      </c>
    </row>
    <row r="11533" spans="1:1">
      <c r="A11533" s="7" t="str">
        <f>IF('Document Workflow'!A11532&lt;&gt;"",'Document Workflow'!A11532,"")</f>
        <v/>
      </c>
    </row>
    <row r="11534" spans="1:1">
      <c r="A11534" s="7" t="str">
        <f>IF('Document Workflow'!A11533&lt;&gt;"",'Document Workflow'!A11533,"")</f>
        <v/>
      </c>
    </row>
    <row r="11535" spans="1:1">
      <c r="A11535" s="7" t="str">
        <f>IF('Document Workflow'!A11534&lt;&gt;"",'Document Workflow'!A11534,"")</f>
        <v/>
      </c>
    </row>
    <row r="11536" spans="1:1">
      <c r="A11536" s="7" t="str">
        <f>IF('Document Workflow'!A11535&lt;&gt;"",'Document Workflow'!A11535,"")</f>
        <v/>
      </c>
    </row>
    <row r="11537" spans="1:1">
      <c r="A11537" s="7" t="str">
        <f>IF('Document Workflow'!A11536&lt;&gt;"",'Document Workflow'!A11536,"")</f>
        <v/>
      </c>
    </row>
    <row r="11538" spans="1:1">
      <c r="A11538" s="7" t="str">
        <f>IF('Document Workflow'!A11537&lt;&gt;"",'Document Workflow'!A11537,"")</f>
        <v/>
      </c>
    </row>
    <row r="11539" spans="1:1">
      <c r="A11539" s="7" t="str">
        <f>IF('Document Workflow'!A11538&lt;&gt;"",'Document Workflow'!A11538,"")</f>
        <v/>
      </c>
    </row>
    <row r="11540" spans="1:1">
      <c r="A11540" s="7" t="str">
        <f>IF('Document Workflow'!A11539&lt;&gt;"",'Document Workflow'!A11539,"")</f>
        <v/>
      </c>
    </row>
    <row r="11541" spans="1:1">
      <c r="A11541" s="7" t="str">
        <f>IF('Document Workflow'!A11540&lt;&gt;"",'Document Workflow'!A11540,"")</f>
        <v/>
      </c>
    </row>
    <row r="11542" spans="1:1">
      <c r="A11542" s="7" t="str">
        <f>IF('Document Workflow'!A11541&lt;&gt;"",'Document Workflow'!A11541,"")</f>
        <v/>
      </c>
    </row>
    <row r="11543" spans="1:1">
      <c r="A11543" s="7" t="str">
        <f>IF('Document Workflow'!A11542&lt;&gt;"",'Document Workflow'!A11542,"")</f>
        <v/>
      </c>
    </row>
    <row r="11544" spans="1:1">
      <c r="A11544" s="7" t="str">
        <f>IF('Document Workflow'!A11543&lt;&gt;"",'Document Workflow'!A11543,"")</f>
        <v/>
      </c>
    </row>
    <row r="11545" spans="1:1">
      <c r="A11545" s="7" t="str">
        <f>IF('Document Workflow'!A11544&lt;&gt;"",'Document Workflow'!A11544,"")</f>
        <v/>
      </c>
    </row>
    <row r="11546" spans="1:1">
      <c r="A11546" s="7" t="str">
        <f>IF('Document Workflow'!A11545&lt;&gt;"",'Document Workflow'!A11545,"")</f>
        <v/>
      </c>
    </row>
    <row r="11547" spans="1:1">
      <c r="A11547" s="7" t="str">
        <f>IF('Document Workflow'!A11546&lt;&gt;"",'Document Workflow'!A11546,"")</f>
        <v/>
      </c>
    </row>
    <row r="11548" spans="1:1">
      <c r="A11548" s="7" t="str">
        <f>IF('Document Workflow'!A11547&lt;&gt;"",'Document Workflow'!A11547,"")</f>
        <v/>
      </c>
    </row>
    <row r="11549" spans="1:1">
      <c r="A11549" s="7" t="str">
        <f>IF('Document Workflow'!A11548&lt;&gt;"",'Document Workflow'!A11548,"")</f>
        <v/>
      </c>
    </row>
    <row r="11550" spans="1:1">
      <c r="A11550" s="7" t="str">
        <f>IF('Document Workflow'!A11549&lt;&gt;"",'Document Workflow'!A11549,"")</f>
        <v/>
      </c>
    </row>
    <row r="11551" spans="1:1">
      <c r="A11551" s="7" t="str">
        <f>IF('Document Workflow'!A11550&lt;&gt;"",'Document Workflow'!A11550,"")</f>
        <v/>
      </c>
    </row>
    <row r="11552" spans="1:1">
      <c r="A11552" s="7" t="str">
        <f>IF('Document Workflow'!A11551&lt;&gt;"",'Document Workflow'!A11551,"")</f>
        <v/>
      </c>
    </row>
    <row r="11553" spans="1:1">
      <c r="A11553" s="7" t="str">
        <f>IF('Document Workflow'!A11552&lt;&gt;"",'Document Workflow'!A11552,"")</f>
        <v/>
      </c>
    </row>
    <row r="11554" spans="1:1">
      <c r="A11554" s="7" t="str">
        <f>IF('Document Workflow'!A11553&lt;&gt;"",'Document Workflow'!A11553,"")</f>
        <v/>
      </c>
    </row>
    <row r="11555" spans="1:1">
      <c r="A11555" s="7" t="str">
        <f>IF('Document Workflow'!A11554&lt;&gt;"",'Document Workflow'!A11554,"")</f>
        <v/>
      </c>
    </row>
    <row r="11556" spans="1:1">
      <c r="A11556" s="7" t="str">
        <f>IF('Document Workflow'!A11555&lt;&gt;"",'Document Workflow'!A11555,"")</f>
        <v/>
      </c>
    </row>
    <row r="11557" spans="1:1">
      <c r="A11557" s="7" t="str">
        <f>IF('Document Workflow'!A11556&lt;&gt;"",'Document Workflow'!A11556,"")</f>
        <v/>
      </c>
    </row>
    <row r="11558" spans="1:1">
      <c r="A11558" s="7" t="str">
        <f>IF('Document Workflow'!A11557&lt;&gt;"",'Document Workflow'!A11557,"")</f>
        <v/>
      </c>
    </row>
    <row r="11559" spans="1:1">
      <c r="A11559" s="7" t="str">
        <f>IF('Document Workflow'!A11558&lt;&gt;"",'Document Workflow'!A11558,"")</f>
        <v/>
      </c>
    </row>
    <row r="11560" spans="1:1">
      <c r="A11560" s="7" t="str">
        <f>IF('Document Workflow'!A11559&lt;&gt;"",'Document Workflow'!A11559,"")</f>
        <v/>
      </c>
    </row>
    <row r="11561" spans="1:1">
      <c r="A11561" s="7" t="str">
        <f>IF('Document Workflow'!A11560&lt;&gt;"",'Document Workflow'!A11560,"")</f>
        <v/>
      </c>
    </row>
    <row r="11562" spans="1:1">
      <c r="A11562" s="7" t="str">
        <f>IF('Document Workflow'!A11561&lt;&gt;"",'Document Workflow'!A11561,"")</f>
        <v/>
      </c>
    </row>
    <row r="11563" spans="1:1">
      <c r="A11563" s="7" t="str">
        <f>IF('Document Workflow'!A11562&lt;&gt;"",'Document Workflow'!A11562,"")</f>
        <v/>
      </c>
    </row>
    <row r="11564" spans="1:1">
      <c r="A11564" s="7" t="str">
        <f>IF('Document Workflow'!A11563&lt;&gt;"",'Document Workflow'!A11563,"")</f>
        <v/>
      </c>
    </row>
    <row r="11565" spans="1:1">
      <c r="A11565" s="7" t="str">
        <f>IF('Document Workflow'!A11564&lt;&gt;"",'Document Workflow'!A11564,"")</f>
        <v/>
      </c>
    </row>
    <row r="11566" spans="1:1">
      <c r="A11566" s="7" t="str">
        <f>IF('Document Workflow'!A11565&lt;&gt;"",'Document Workflow'!A11565,"")</f>
        <v/>
      </c>
    </row>
    <row r="11567" spans="1:1">
      <c r="A11567" s="7" t="str">
        <f>IF('Document Workflow'!A11566&lt;&gt;"",'Document Workflow'!A11566,"")</f>
        <v/>
      </c>
    </row>
    <row r="11568" spans="1:1">
      <c r="A11568" s="7" t="str">
        <f>IF('Document Workflow'!A11567&lt;&gt;"",'Document Workflow'!A11567,"")</f>
        <v/>
      </c>
    </row>
    <row r="11569" spans="1:1">
      <c r="A11569" s="7" t="str">
        <f>IF('Document Workflow'!A11568&lt;&gt;"",'Document Workflow'!A11568,"")</f>
        <v/>
      </c>
    </row>
    <row r="11570" spans="1:1">
      <c r="A11570" s="7" t="str">
        <f>IF('Document Workflow'!A11569&lt;&gt;"",'Document Workflow'!A11569,"")</f>
        <v/>
      </c>
    </row>
    <row r="11571" spans="1:1">
      <c r="A11571" s="7" t="str">
        <f>IF('Document Workflow'!A11570&lt;&gt;"",'Document Workflow'!A11570,"")</f>
        <v/>
      </c>
    </row>
    <row r="11572" spans="1:1">
      <c r="A11572" s="7" t="str">
        <f>IF('Document Workflow'!A11571&lt;&gt;"",'Document Workflow'!A11571,"")</f>
        <v/>
      </c>
    </row>
    <row r="11573" spans="1:1">
      <c r="A11573" s="7" t="str">
        <f>IF('Document Workflow'!A11572&lt;&gt;"",'Document Workflow'!A11572,"")</f>
        <v/>
      </c>
    </row>
    <row r="11574" spans="1:1">
      <c r="A11574" s="7" t="str">
        <f>IF('Document Workflow'!A11573&lt;&gt;"",'Document Workflow'!A11573,"")</f>
        <v/>
      </c>
    </row>
    <row r="11575" spans="1:1">
      <c r="A11575" s="7" t="str">
        <f>IF('Document Workflow'!A11574&lt;&gt;"",'Document Workflow'!A11574,"")</f>
        <v/>
      </c>
    </row>
    <row r="11576" spans="1:1">
      <c r="A11576" s="7" t="str">
        <f>IF('Document Workflow'!A11575&lt;&gt;"",'Document Workflow'!A11575,"")</f>
        <v/>
      </c>
    </row>
    <row r="11577" spans="1:1">
      <c r="A11577" s="7" t="str">
        <f>IF('Document Workflow'!A11576&lt;&gt;"",'Document Workflow'!A11576,"")</f>
        <v/>
      </c>
    </row>
    <row r="11578" spans="1:1">
      <c r="A11578" s="7" t="str">
        <f>IF('Document Workflow'!A11577&lt;&gt;"",'Document Workflow'!A11577,"")</f>
        <v/>
      </c>
    </row>
    <row r="11579" spans="1:1">
      <c r="A11579" s="7" t="str">
        <f>IF('Document Workflow'!A11578&lt;&gt;"",'Document Workflow'!A11578,"")</f>
        <v/>
      </c>
    </row>
    <row r="11580" spans="1:1">
      <c r="A11580" s="7" t="str">
        <f>IF('Document Workflow'!A11579&lt;&gt;"",'Document Workflow'!A11579,"")</f>
        <v/>
      </c>
    </row>
    <row r="11581" spans="1:1">
      <c r="A11581" s="7" t="str">
        <f>IF('Document Workflow'!A11580&lt;&gt;"",'Document Workflow'!A11580,"")</f>
        <v/>
      </c>
    </row>
    <row r="11582" spans="1:1">
      <c r="A11582" s="7" t="str">
        <f>IF('Document Workflow'!A11581&lt;&gt;"",'Document Workflow'!A11581,"")</f>
        <v/>
      </c>
    </row>
    <row r="11583" spans="1:1">
      <c r="A11583" s="7" t="str">
        <f>IF('Document Workflow'!A11582&lt;&gt;"",'Document Workflow'!A11582,"")</f>
        <v/>
      </c>
    </row>
    <row r="11584" spans="1:1">
      <c r="A11584" s="7" t="str">
        <f>IF('Document Workflow'!A11583&lt;&gt;"",'Document Workflow'!A11583,"")</f>
        <v/>
      </c>
    </row>
    <row r="11585" spans="1:1">
      <c r="A11585" s="7" t="str">
        <f>IF('Document Workflow'!A11584&lt;&gt;"",'Document Workflow'!A11584,"")</f>
        <v/>
      </c>
    </row>
    <row r="11586" spans="1:1">
      <c r="A11586" s="7" t="str">
        <f>IF('Document Workflow'!A11585&lt;&gt;"",'Document Workflow'!A11585,"")</f>
        <v/>
      </c>
    </row>
    <row r="11587" spans="1:1">
      <c r="A11587" s="7" t="str">
        <f>IF('Document Workflow'!A11586&lt;&gt;"",'Document Workflow'!A11586,"")</f>
        <v/>
      </c>
    </row>
    <row r="11588" spans="1:1">
      <c r="A11588" s="7" t="str">
        <f>IF('Document Workflow'!A11587&lt;&gt;"",'Document Workflow'!A11587,"")</f>
        <v/>
      </c>
    </row>
    <row r="11589" spans="1:1">
      <c r="A11589" s="7" t="str">
        <f>IF('Document Workflow'!A11588&lt;&gt;"",'Document Workflow'!A11588,"")</f>
        <v/>
      </c>
    </row>
    <row r="11590" spans="1:1">
      <c r="A11590" s="7" t="str">
        <f>IF('Document Workflow'!A11589&lt;&gt;"",'Document Workflow'!A11589,"")</f>
        <v/>
      </c>
    </row>
    <row r="11591" spans="1:1">
      <c r="A11591" s="7" t="str">
        <f>IF('Document Workflow'!A11590&lt;&gt;"",'Document Workflow'!A11590,"")</f>
        <v/>
      </c>
    </row>
    <row r="11592" spans="1:1">
      <c r="A11592" s="7" t="str">
        <f>IF('Document Workflow'!A11591&lt;&gt;"",'Document Workflow'!A11591,"")</f>
        <v/>
      </c>
    </row>
    <row r="11593" spans="1:1">
      <c r="A11593" s="7" t="str">
        <f>IF('Document Workflow'!A11592&lt;&gt;"",'Document Workflow'!A11592,"")</f>
        <v/>
      </c>
    </row>
    <row r="11594" spans="1:1">
      <c r="A11594" s="7" t="str">
        <f>IF('Document Workflow'!A11593&lt;&gt;"",'Document Workflow'!A11593,"")</f>
        <v/>
      </c>
    </row>
    <row r="11595" spans="1:1">
      <c r="A11595" s="7" t="str">
        <f>IF('Document Workflow'!A11594&lt;&gt;"",'Document Workflow'!A11594,"")</f>
        <v/>
      </c>
    </row>
    <row r="11596" spans="1:1">
      <c r="A11596" s="7" t="str">
        <f>IF('Document Workflow'!A11595&lt;&gt;"",'Document Workflow'!A11595,"")</f>
        <v/>
      </c>
    </row>
    <row r="11597" spans="1:1">
      <c r="A11597" s="7" t="str">
        <f>IF('Document Workflow'!A11596&lt;&gt;"",'Document Workflow'!A11596,"")</f>
        <v/>
      </c>
    </row>
    <row r="11598" spans="1:1">
      <c r="A11598" s="7" t="str">
        <f>IF('Document Workflow'!A11597&lt;&gt;"",'Document Workflow'!A11597,"")</f>
        <v/>
      </c>
    </row>
    <row r="11599" spans="1:1">
      <c r="A11599" s="7" t="str">
        <f>IF('Document Workflow'!A11598&lt;&gt;"",'Document Workflow'!A11598,"")</f>
        <v/>
      </c>
    </row>
    <row r="11600" spans="1:1">
      <c r="A11600" s="7" t="str">
        <f>IF('Document Workflow'!A11599&lt;&gt;"",'Document Workflow'!A11599,"")</f>
        <v/>
      </c>
    </row>
    <row r="11601" spans="1:1">
      <c r="A11601" s="7" t="str">
        <f>IF('Document Workflow'!A11600&lt;&gt;"",'Document Workflow'!A11600,"")</f>
        <v/>
      </c>
    </row>
    <row r="11602" spans="1:1">
      <c r="A11602" s="7" t="str">
        <f>IF('Document Workflow'!A11601&lt;&gt;"",'Document Workflow'!A11601,"")</f>
        <v/>
      </c>
    </row>
    <row r="11603" spans="1:1">
      <c r="A11603" s="7" t="str">
        <f>IF('Document Workflow'!A11602&lt;&gt;"",'Document Workflow'!A11602,"")</f>
        <v/>
      </c>
    </row>
    <row r="11604" spans="1:1">
      <c r="A11604" s="7" t="str">
        <f>IF('Document Workflow'!A11603&lt;&gt;"",'Document Workflow'!A11603,"")</f>
        <v/>
      </c>
    </row>
    <row r="11605" spans="1:1">
      <c r="A11605" s="7" t="str">
        <f>IF('Document Workflow'!A11604&lt;&gt;"",'Document Workflow'!A11604,"")</f>
        <v/>
      </c>
    </row>
    <row r="11606" spans="1:1">
      <c r="A11606" s="7" t="str">
        <f>IF('Document Workflow'!A11605&lt;&gt;"",'Document Workflow'!A11605,"")</f>
        <v/>
      </c>
    </row>
    <row r="11607" spans="1:1">
      <c r="A11607" s="7" t="str">
        <f>IF('Document Workflow'!A11606&lt;&gt;"",'Document Workflow'!A11606,"")</f>
        <v/>
      </c>
    </row>
    <row r="11608" spans="1:1">
      <c r="A11608" s="7" t="str">
        <f>IF('Document Workflow'!A11607&lt;&gt;"",'Document Workflow'!A11607,"")</f>
        <v/>
      </c>
    </row>
    <row r="11609" spans="1:1">
      <c r="A11609" s="7" t="str">
        <f>IF('Document Workflow'!A11608&lt;&gt;"",'Document Workflow'!A11608,"")</f>
        <v/>
      </c>
    </row>
    <row r="11610" spans="1:1">
      <c r="A11610" s="7" t="str">
        <f>IF('Document Workflow'!A11609&lt;&gt;"",'Document Workflow'!A11609,"")</f>
        <v/>
      </c>
    </row>
    <row r="11611" spans="1:1">
      <c r="A11611" s="7" t="str">
        <f>IF('Document Workflow'!A11610&lt;&gt;"",'Document Workflow'!A11610,"")</f>
        <v/>
      </c>
    </row>
    <row r="11612" spans="1:1">
      <c r="A11612" s="7" t="str">
        <f>IF('Document Workflow'!A11611&lt;&gt;"",'Document Workflow'!A11611,"")</f>
        <v/>
      </c>
    </row>
    <row r="11613" spans="1:1">
      <c r="A11613" s="7" t="str">
        <f>IF('Document Workflow'!A11612&lt;&gt;"",'Document Workflow'!A11612,"")</f>
        <v/>
      </c>
    </row>
    <row r="11614" spans="1:1">
      <c r="A11614" s="7" t="str">
        <f>IF('Document Workflow'!A11613&lt;&gt;"",'Document Workflow'!A11613,"")</f>
        <v/>
      </c>
    </row>
    <row r="11615" spans="1:1">
      <c r="A11615" s="7" t="str">
        <f>IF('Document Workflow'!A11614&lt;&gt;"",'Document Workflow'!A11614,"")</f>
        <v/>
      </c>
    </row>
    <row r="11616" spans="1:1">
      <c r="A11616" s="7" t="str">
        <f>IF('Document Workflow'!A11615&lt;&gt;"",'Document Workflow'!A11615,"")</f>
        <v/>
      </c>
    </row>
    <row r="11617" spans="1:1">
      <c r="A11617" s="7" t="str">
        <f>IF('Document Workflow'!A11616&lt;&gt;"",'Document Workflow'!A11616,"")</f>
        <v/>
      </c>
    </row>
    <row r="11618" spans="1:1">
      <c r="A11618" s="7" t="str">
        <f>IF('Document Workflow'!A11617&lt;&gt;"",'Document Workflow'!A11617,"")</f>
        <v/>
      </c>
    </row>
    <row r="11619" spans="1:1">
      <c r="A11619" s="7" t="str">
        <f>IF('Document Workflow'!A11618&lt;&gt;"",'Document Workflow'!A11618,"")</f>
        <v/>
      </c>
    </row>
    <row r="11620" spans="1:1">
      <c r="A11620" s="7" t="str">
        <f>IF('Document Workflow'!A11619&lt;&gt;"",'Document Workflow'!A11619,"")</f>
        <v/>
      </c>
    </row>
    <row r="11621" spans="1:1">
      <c r="A11621" s="7" t="str">
        <f>IF('Document Workflow'!A11620&lt;&gt;"",'Document Workflow'!A11620,"")</f>
        <v/>
      </c>
    </row>
    <row r="11622" spans="1:1">
      <c r="A11622" s="7" t="str">
        <f>IF('Document Workflow'!A11621&lt;&gt;"",'Document Workflow'!A11621,"")</f>
        <v/>
      </c>
    </row>
    <row r="11623" spans="1:1">
      <c r="A11623" s="7" t="str">
        <f>IF('Document Workflow'!A11622&lt;&gt;"",'Document Workflow'!A11622,"")</f>
        <v/>
      </c>
    </row>
    <row r="11624" spans="1:1">
      <c r="A11624" s="7" t="str">
        <f>IF('Document Workflow'!A11623&lt;&gt;"",'Document Workflow'!A11623,"")</f>
        <v/>
      </c>
    </row>
    <row r="11625" spans="1:1">
      <c r="A11625" s="7" t="str">
        <f>IF('Document Workflow'!A11624&lt;&gt;"",'Document Workflow'!A11624,"")</f>
        <v/>
      </c>
    </row>
    <row r="11626" spans="1:1">
      <c r="A11626" s="7" t="str">
        <f>IF('Document Workflow'!A11625&lt;&gt;"",'Document Workflow'!A11625,"")</f>
        <v/>
      </c>
    </row>
    <row r="11627" spans="1:1">
      <c r="A11627" s="7" t="str">
        <f>IF('Document Workflow'!A11626&lt;&gt;"",'Document Workflow'!A11626,"")</f>
        <v/>
      </c>
    </row>
    <row r="11628" spans="1:1">
      <c r="A11628" s="7" t="str">
        <f>IF('Document Workflow'!A11627&lt;&gt;"",'Document Workflow'!A11627,"")</f>
        <v/>
      </c>
    </row>
    <row r="11629" spans="1:1">
      <c r="A11629" s="7" t="str">
        <f>IF('Document Workflow'!A11628&lt;&gt;"",'Document Workflow'!A11628,"")</f>
        <v/>
      </c>
    </row>
    <row r="11630" spans="1:1">
      <c r="A11630" s="7" t="str">
        <f>IF('Document Workflow'!A11629&lt;&gt;"",'Document Workflow'!A11629,"")</f>
        <v/>
      </c>
    </row>
    <row r="11631" spans="1:1">
      <c r="A11631" s="7" t="str">
        <f>IF('Document Workflow'!A11630&lt;&gt;"",'Document Workflow'!A11630,"")</f>
        <v/>
      </c>
    </row>
    <row r="11632" spans="1:1">
      <c r="A11632" s="7" t="str">
        <f>IF('Document Workflow'!A11631&lt;&gt;"",'Document Workflow'!A11631,"")</f>
        <v/>
      </c>
    </row>
    <row r="11633" spans="1:1">
      <c r="A11633" s="7" t="str">
        <f>IF('Document Workflow'!A11632&lt;&gt;"",'Document Workflow'!A11632,"")</f>
        <v/>
      </c>
    </row>
    <row r="11634" spans="1:1">
      <c r="A11634" s="7" t="str">
        <f>IF('Document Workflow'!A11633&lt;&gt;"",'Document Workflow'!A11633,"")</f>
        <v/>
      </c>
    </row>
    <row r="11635" spans="1:1">
      <c r="A11635" s="7" t="str">
        <f>IF('Document Workflow'!A11634&lt;&gt;"",'Document Workflow'!A11634,"")</f>
        <v/>
      </c>
    </row>
    <row r="11636" spans="1:1">
      <c r="A11636" s="7" t="str">
        <f>IF('Document Workflow'!A11635&lt;&gt;"",'Document Workflow'!A11635,"")</f>
        <v/>
      </c>
    </row>
    <row r="11637" spans="1:1">
      <c r="A11637" s="7" t="str">
        <f>IF('Document Workflow'!A11636&lt;&gt;"",'Document Workflow'!A11636,"")</f>
        <v/>
      </c>
    </row>
    <row r="11638" spans="1:1">
      <c r="A11638" s="7" t="str">
        <f>IF('Document Workflow'!A11637&lt;&gt;"",'Document Workflow'!A11637,"")</f>
        <v/>
      </c>
    </row>
    <row r="11639" spans="1:1">
      <c r="A11639" s="7" t="str">
        <f>IF('Document Workflow'!A11638&lt;&gt;"",'Document Workflow'!A11638,"")</f>
        <v/>
      </c>
    </row>
    <row r="11640" spans="1:1">
      <c r="A11640" s="7" t="str">
        <f>IF('Document Workflow'!A11639&lt;&gt;"",'Document Workflow'!A11639,"")</f>
        <v/>
      </c>
    </row>
    <row r="11641" spans="1:1">
      <c r="A11641" s="7" t="str">
        <f>IF('Document Workflow'!A11640&lt;&gt;"",'Document Workflow'!A11640,"")</f>
        <v/>
      </c>
    </row>
    <row r="11642" spans="1:1">
      <c r="A11642" s="7" t="str">
        <f>IF('Document Workflow'!A11641&lt;&gt;"",'Document Workflow'!A11641,"")</f>
        <v/>
      </c>
    </row>
    <row r="11643" spans="1:1">
      <c r="A11643" s="7" t="str">
        <f>IF('Document Workflow'!A11642&lt;&gt;"",'Document Workflow'!A11642,"")</f>
        <v/>
      </c>
    </row>
    <row r="11644" spans="1:1">
      <c r="A11644" s="7" t="str">
        <f>IF('Document Workflow'!A11643&lt;&gt;"",'Document Workflow'!A11643,"")</f>
        <v/>
      </c>
    </row>
    <row r="11645" spans="1:1">
      <c r="A11645" s="7" t="str">
        <f>IF('Document Workflow'!A11644&lt;&gt;"",'Document Workflow'!A11644,"")</f>
        <v/>
      </c>
    </row>
    <row r="11646" spans="1:1">
      <c r="A11646" s="7" t="str">
        <f>IF('Document Workflow'!A11645&lt;&gt;"",'Document Workflow'!A11645,"")</f>
        <v/>
      </c>
    </row>
    <row r="11647" spans="1:1">
      <c r="A11647" s="7" t="str">
        <f>IF('Document Workflow'!A11646&lt;&gt;"",'Document Workflow'!A11646,"")</f>
        <v/>
      </c>
    </row>
    <row r="11648" spans="1:1">
      <c r="A11648" s="7" t="str">
        <f>IF('Document Workflow'!A11647&lt;&gt;"",'Document Workflow'!A11647,"")</f>
        <v/>
      </c>
    </row>
    <row r="11649" spans="1:1">
      <c r="A11649" s="7" t="str">
        <f>IF('Document Workflow'!A11648&lt;&gt;"",'Document Workflow'!A11648,"")</f>
        <v/>
      </c>
    </row>
    <row r="11650" spans="1:1">
      <c r="A11650" s="7" t="str">
        <f>IF('Document Workflow'!A11649&lt;&gt;"",'Document Workflow'!A11649,"")</f>
        <v/>
      </c>
    </row>
    <row r="11651" spans="1:1">
      <c r="A11651" s="7" t="str">
        <f>IF('Document Workflow'!A11650&lt;&gt;"",'Document Workflow'!A11650,"")</f>
        <v/>
      </c>
    </row>
    <row r="11652" spans="1:1">
      <c r="A11652" s="7" t="str">
        <f>IF('Document Workflow'!A11651&lt;&gt;"",'Document Workflow'!A11651,"")</f>
        <v/>
      </c>
    </row>
    <row r="11653" spans="1:1">
      <c r="A11653" s="7" t="str">
        <f>IF('Document Workflow'!A11652&lt;&gt;"",'Document Workflow'!A11652,"")</f>
        <v/>
      </c>
    </row>
    <row r="11654" spans="1:1">
      <c r="A11654" s="7" t="str">
        <f>IF('Document Workflow'!A11653&lt;&gt;"",'Document Workflow'!A11653,"")</f>
        <v/>
      </c>
    </row>
    <row r="11655" spans="1:1">
      <c r="A11655" s="7" t="str">
        <f>IF('Document Workflow'!A11654&lt;&gt;"",'Document Workflow'!A11654,"")</f>
        <v/>
      </c>
    </row>
    <row r="11656" spans="1:1">
      <c r="A11656" s="7" t="str">
        <f>IF('Document Workflow'!A11655&lt;&gt;"",'Document Workflow'!A11655,"")</f>
        <v/>
      </c>
    </row>
    <row r="11657" spans="1:1">
      <c r="A11657" s="7" t="str">
        <f>IF('Document Workflow'!A11656&lt;&gt;"",'Document Workflow'!A11656,"")</f>
        <v/>
      </c>
    </row>
    <row r="11658" spans="1:1">
      <c r="A11658" s="7" t="str">
        <f>IF('Document Workflow'!A11657&lt;&gt;"",'Document Workflow'!A11657,"")</f>
        <v/>
      </c>
    </row>
    <row r="11659" spans="1:1">
      <c r="A11659" s="7" t="str">
        <f>IF('Document Workflow'!A11658&lt;&gt;"",'Document Workflow'!A11658,"")</f>
        <v/>
      </c>
    </row>
    <row r="11660" spans="1:1">
      <c r="A11660" s="7" t="str">
        <f>IF('Document Workflow'!A11659&lt;&gt;"",'Document Workflow'!A11659,"")</f>
        <v/>
      </c>
    </row>
    <row r="11661" spans="1:1">
      <c r="A11661" s="7" t="str">
        <f>IF('Document Workflow'!A11660&lt;&gt;"",'Document Workflow'!A11660,"")</f>
        <v/>
      </c>
    </row>
    <row r="11662" spans="1:1">
      <c r="A11662" s="7" t="str">
        <f>IF('Document Workflow'!A11661&lt;&gt;"",'Document Workflow'!A11661,"")</f>
        <v/>
      </c>
    </row>
    <row r="11663" spans="1:1">
      <c r="A11663" s="7" t="str">
        <f>IF('Document Workflow'!A11662&lt;&gt;"",'Document Workflow'!A11662,"")</f>
        <v/>
      </c>
    </row>
    <row r="11664" spans="1:1">
      <c r="A11664" s="7" t="str">
        <f>IF('Document Workflow'!A11663&lt;&gt;"",'Document Workflow'!A11663,"")</f>
        <v/>
      </c>
    </row>
    <row r="11665" spans="1:1">
      <c r="A11665" s="7" t="str">
        <f>IF('Document Workflow'!A11664&lt;&gt;"",'Document Workflow'!A11664,"")</f>
        <v/>
      </c>
    </row>
    <row r="11666" spans="1:1">
      <c r="A11666" s="7" t="str">
        <f>IF('Document Workflow'!A11665&lt;&gt;"",'Document Workflow'!A11665,"")</f>
        <v/>
      </c>
    </row>
    <row r="11667" spans="1:1">
      <c r="A11667" s="7" t="str">
        <f>IF('Document Workflow'!A11666&lt;&gt;"",'Document Workflow'!A11666,"")</f>
        <v/>
      </c>
    </row>
    <row r="11668" spans="1:1">
      <c r="A11668" s="7" t="str">
        <f>IF('Document Workflow'!A11667&lt;&gt;"",'Document Workflow'!A11667,"")</f>
        <v/>
      </c>
    </row>
    <row r="11669" spans="1:1">
      <c r="A11669" s="7" t="str">
        <f>IF('Document Workflow'!A11668&lt;&gt;"",'Document Workflow'!A11668,"")</f>
        <v/>
      </c>
    </row>
    <row r="11670" spans="1:1">
      <c r="A11670" s="7" t="str">
        <f>IF('Document Workflow'!A11669&lt;&gt;"",'Document Workflow'!A11669,"")</f>
        <v/>
      </c>
    </row>
    <row r="11671" spans="1:1">
      <c r="A11671" s="7" t="str">
        <f>IF('Document Workflow'!A11670&lt;&gt;"",'Document Workflow'!A11670,"")</f>
        <v/>
      </c>
    </row>
    <row r="11672" spans="1:1">
      <c r="A11672" s="7" t="str">
        <f>IF('Document Workflow'!A11671&lt;&gt;"",'Document Workflow'!A11671,"")</f>
        <v/>
      </c>
    </row>
    <row r="11673" spans="1:1">
      <c r="A11673" s="7" t="str">
        <f>IF('Document Workflow'!A11672&lt;&gt;"",'Document Workflow'!A11672,"")</f>
        <v/>
      </c>
    </row>
    <row r="11674" spans="1:1">
      <c r="A11674" s="7" t="str">
        <f>IF('Document Workflow'!A11673&lt;&gt;"",'Document Workflow'!A11673,"")</f>
        <v/>
      </c>
    </row>
    <row r="11675" spans="1:1">
      <c r="A11675" s="7" t="str">
        <f>IF('Document Workflow'!A11674&lt;&gt;"",'Document Workflow'!A11674,"")</f>
        <v/>
      </c>
    </row>
    <row r="11676" spans="1:1">
      <c r="A11676" s="7" t="str">
        <f>IF('Document Workflow'!A11675&lt;&gt;"",'Document Workflow'!A11675,"")</f>
        <v/>
      </c>
    </row>
    <row r="11677" spans="1:1">
      <c r="A11677" s="7" t="str">
        <f>IF('Document Workflow'!A11676&lt;&gt;"",'Document Workflow'!A11676,"")</f>
        <v/>
      </c>
    </row>
    <row r="11678" spans="1:1">
      <c r="A11678" s="7" t="str">
        <f>IF('Document Workflow'!A11677&lt;&gt;"",'Document Workflow'!A11677,"")</f>
        <v/>
      </c>
    </row>
    <row r="11679" spans="1:1">
      <c r="A11679" s="7" t="str">
        <f>IF('Document Workflow'!A11678&lt;&gt;"",'Document Workflow'!A11678,"")</f>
        <v/>
      </c>
    </row>
    <row r="11680" spans="1:1">
      <c r="A11680" s="7" t="str">
        <f>IF('Document Workflow'!A11679&lt;&gt;"",'Document Workflow'!A11679,"")</f>
        <v/>
      </c>
    </row>
    <row r="11681" spans="1:1">
      <c r="A11681" s="7" t="str">
        <f>IF('Document Workflow'!A11680&lt;&gt;"",'Document Workflow'!A11680,"")</f>
        <v/>
      </c>
    </row>
    <row r="11682" spans="1:1">
      <c r="A11682" s="7" t="str">
        <f>IF('Document Workflow'!A11681&lt;&gt;"",'Document Workflow'!A11681,"")</f>
        <v/>
      </c>
    </row>
    <row r="11683" spans="1:1">
      <c r="A11683" s="7" t="str">
        <f>IF('Document Workflow'!A11682&lt;&gt;"",'Document Workflow'!A11682,"")</f>
        <v/>
      </c>
    </row>
    <row r="11684" spans="1:1">
      <c r="A11684" s="7" t="str">
        <f>IF('Document Workflow'!A11683&lt;&gt;"",'Document Workflow'!A11683,"")</f>
        <v/>
      </c>
    </row>
    <row r="11685" spans="1:1">
      <c r="A11685" s="7" t="str">
        <f>IF('Document Workflow'!A11684&lt;&gt;"",'Document Workflow'!A11684,"")</f>
        <v/>
      </c>
    </row>
    <row r="11686" spans="1:1">
      <c r="A11686" s="7" t="str">
        <f>IF('Document Workflow'!A11685&lt;&gt;"",'Document Workflow'!A11685,"")</f>
        <v/>
      </c>
    </row>
    <row r="11687" spans="1:1">
      <c r="A11687" s="7" t="str">
        <f>IF('Document Workflow'!A11686&lt;&gt;"",'Document Workflow'!A11686,"")</f>
        <v/>
      </c>
    </row>
    <row r="11688" spans="1:1">
      <c r="A11688" s="7" t="str">
        <f>IF('Document Workflow'!A11687&lt;&gt;"",'Document Workflow'!A11687,"")</f>
        <v/>
      </c>
    </row>
    <row r="11689" spans="1:1">
      <c r="A11689" s="7" t="str">
        <f>IF('Document Workflow'!A11688&lt;&gt;"",'Document Workflow'!A11688,"")</f>
        <v/>
      </c>
    </row>
    <row r="11690" spans="1:1">
      <c r="A11690" s="7" t="str">
        <f>IF('Document Workflow'!A11689&lt;&gt;"",'Document Workflow'!A11689,"")</f>
        <v/>
      </c>
    </row>
    <row r="11691" spans="1:1">
      <c r="A11691" s="7" t="str">
        <f>IF('Document Workflow'!A11690&lt;&gt;"",'Document Workflow'!A11690,"")</f>
        <v/>
      </c>
    </row>
    <row r="11692" spans="1:1">
      <c r="A11692" s="7" t="str">
        <f>IF('Document Workflow'!A11691&lt;&gt;"",'Document Workflow'!A11691,"")</f>
        <v/>
      </c>
    </row>
    <row r="11693" spans="1:1">
      <c r="A11693" s="7" t="str">
        <f>IF('Document Workflow'!A11692&lt;&gt;"",'Document Workflow'!A11692,"")</f>
        <v/>
      </c>
    </row>
    <row r="11694" spans="1:1">
      <c r="A11694" s="7" t="str">
        <f>IF('Document Workflow'!A11693&lt;&gt;"",'Document Workflow'!A11693,"")</f>
        <v/>
      </c>
    </row>
    <row r="11695" spans="1:1">
      <c r="A11695" s="7" t="str">
        <f>IF('Document Workflow'!A11694&lt;&gt;"",'Document Workflow'!A11694,"")</f>
        <v/>
      </c>
    </row>
    <row r="11696" spans="1:1">
      <c r="A11696" s="7" t="str">
        <f>IF('Document Workflow'!A11695&lt;&gt;"",'Document Workflow'!A11695,"")</f>
        <v/>
      </c>
    </row>
    <row r="11697" spans="1:1">
      <c r="A11697" s="7" t="str">
        <f>IF('Document Workflow'!A11696&lt;&gt;"",'Document Workflow'!A11696,"")</f>
        <v/>
      </c>
    </row>
    <row r="11698" spans="1:1">
      <c r="A11698" s="7" t="str">
        <f>IF('Document Workflow'!A11697&lt;&gt;"",'Document Workflow'!A11697,"")</f>
        <v/>
      </c>
    </row>
    <row r="11699" spans="1:1">
      <c r="A11699" s="7" t="str">
        <f>IF('Document Workflow'!A11698&lt;&gt;"",'Document Workflow'!A11698,"")</f>
        <v/>
      </c>
    </row>
    <row r="11700" spans="1:1">
      <c r="A11700" s="7" t="str">
        <f>IF('Document Workflow'!A11699&lt;&gt;"",'Document Workflow'!A11699,"")</f>
        <v/>
      </c>
    </row>
    <row r="11701" spans="1:1">
      <c r="A11701" s="7" t="str">
        <f>IF('Document Workflow'!A11700&lt;&gt;"",'Document Workflow'!A11700,"")</f>
        <v/>
      </c>
    </row>
    <row r="11702" spans="1:1">
      <c r="A11702" s="7" t="str">
        <f>IF('Document Workflow'!A11701&lt;&gt;"",'Document Workflow'!A11701,"")</f>
        <v/>
      </c>
    </row>
    <row r="11703" spans="1:1">
      <c r="A11703" s="7" t="str">
        <f>IF('Document Workflow'!A11702&lt;&gt;"",'Document Workflow'!A11702,"")</f>
        <v/>
      </c>
    </row>
    <row r="11704" spans="1:1">
      <c r="A11704" s="7" t="str">
        <f>IF('Document Workflow'!A11703&lt;&gt;"",'Document Workflow'!A11703,"")</f>
        <v/>
      </c>
    </row>
    <row r="11705" spans="1:1">
      <c r="A11705" s="7" t="str">
        <f>IF('Document Workflow'!A11704&lt;&gt;"",'Document Workflow'!A11704,"")</f>
        <v/>
      </c>
    </row>
    <row r="11706" spans="1:1">
      <c r="A11706" s="7" t="str">
        <f>IF('Document Workflow'!A11705&lt;&gt;"",'Document Workflow'!A11705,"")</f>
        <v/>
      </c>
    </row>
    <row r="11707" spans="1:1">
      <c r="A11707" s="7" t="str">
        <f>IF('Document Workflow'!A11706&lt;&gt;"",'Document Workflow'!A11706,"")</f>
        <v/>
      </c>
    </row>
    <row r="11708" spans="1:1">
      <c r="A11708" s="7" t="str">
        <f>IF('Document Workflow'!A11707&lt;&gt;"",'Document Workflow'!A11707,"")</f>
        <v/>
      </c>
    </row>
    <row r="11709" spans="1:1">
      <c r="A11709" s="7" t="str">
        <f>IF('Document Workflow'!A11708&lt;&gt;"",'Document Workflow'!A11708,"")</f>
        <v/>
      </c>
    </row>
    <row r="11710" spans="1:1">
      <c r="A11710" s="7" t="str">
        <f>IF('Document Workflow'!A11709&lt;&gt;"",'Document Workflow'!A11709,"")</f>
        <v/>
      </c>
    </row>
    <row r="11711" spans="1:1">
      <c r="A11711" s="7" t="str">
        <f>IF('Document Workflow'!A11710&lt;&gt;"",'Document Workflow'!A11710,"")</f>
        <v/>
      </c>
    </row>
    <row r="11712" spans="1:1">
      <c r="A11712" s="7" t="str">
        <f>IF('Document Workflow'!A11711&lt;&gt;"",'Document Workflow'!A11711,"")</f>
        <v/>
      </c>
    </row>
    <row r="11713" spans="1:1">
      <c r="A11713" s="7" t="str">
        <f>IF('Document Workflow'!A11712&lt;&gt;"",'Document Workflow'!A11712,"")</f>
        <v/>
      </c>
    </row>
    <row r="11714" spans="1:1">
      <c r="A11714" s="7" t="str">
        <f>IF('Document Workflow'!A11713&lt;&gt;"",'Document Workflow'!A11713,"")</f>
        <v/>
      </c>
    </row>
    <row r="11715" spans="1:1">
      <c r="A11715" s="7" t="str">
        <f>IF('Document Workflow'!A11714&lt;&gt;"",'Document Workflow'!A11714,"")</f>
        <v/>
      </c>
    </row>
    <row r="11716" spans="1:1">
      <c r="A11716" s="7" t="str">
        <f>IF('Document Workflow'!A11715&lt;&gt;"",'Document Workflow'!A11715,"")</f>
        <v/>
      </c>
    </row>
    <row r="11717" spans="1:1">
      <c r="A11717" s="7" t="str">
        <f>IF('Document Workflow'!A11716&lt;&gt;"",'Document Workflow'!A11716,"")</f>
        <v/>
      </c>
    </row>
    <row r="11718" spans="1:1">
      <c r="A11718" s="7" t="str">
        <f>IF('Document Workflow'!A11717&lt;&gt;"",'Document Workflow'!A11717,"")</f>
        <v/>
      </c>
    </row>
    <row r="11719" spans="1:1">
      <c r="A11719" s="7" t="str">
        <f>IF('Document Workflow'!A11718&lt;&gt;"",'Document Workflow'!A11718,"")</f>
        <v/>
      </c>
    </row>
    <row r="11720" spans="1:1">
      <c r="A11720" s="7" t="str">
        <f>IF('Document Workflow'!A11719&lt;&gt;"",'Document Workflow'!A11719,"")</f>
        <v/>
      </c>
    </row>
    <row r="11721" spans="1:1">
      <c r="A11721" s="7" t="str">
        <f>IF('Document Workflow'!A11720&lt;&gt;"",'Document Workflow'!A11720,"")</f>
        <v/>
      </c>
    </row>
    <row r="11722" spans="1:1">
      <c r="A11722" s="7" t="str">
        <f>IF('Document Workflow'!A11721&lt;&gt;"",'Document Workflow'!A11721,"")</f>
        <v/>
      </c>
    </row>
    <row r="11723" spans="1:1">
      <c r="A11723" s="7" t="str">
        <f>IF('Document Workflow'!A11722&lt;&gt;"",'Document Workflow'!A11722,"")</f>
        <v/>
      </c>
    </row>
    <row r="11724" spans="1:1">
      <c r="A11724" s="7" t="str">
        <f>IF('Document Workflow'!A11723&lt;&gt;"",'Document Workflow'!A11723,"")</f>
        <v/>
      </c>
    </row>
    <row r="11725" spans="1:1">
      <c r="A11725" s="7" t="str">
        <f>IF('Document Workflow'!A11724&lt;&gt;"",'Document Workflow'!A11724,"")</f>
        <v/>
      </c>
    </row>
    <row r="11726" spans="1:1">
      <c r="A11726" s="7" t="str">
        <f>IF('Document Workflow'!A11725&lt;&gt;"",'Document Workflow'!A11725,"")</f>
        <v/>
      </c>
    </row>
    <row r="11727" spans="1:1">
      <c r="A11727" s="7" t="str">
        <f>IF('Document Workflow'!A11726&lt;&gt;"",'Document Workflow'!A11726,"")</f>
        <v/>
      </c>
    </row>
    <row r="11728" spans="1:1">
      <c r="A11728" s="7" t="str">
        <f>IF('Document Workflow'!A11727&lt;&gt;"",'Document Workflow'!A11727,"")</f>
        <v/>
      </c>
    </row>
    <row r="11729" spans="1:1">
      <c r="A11729" s="7" t="str">
        <f>IF('Document Workflow'!A11728&lt;&gt;"",'Document Workflow'!A11728,"")</f>
        <v/>
      </c>
    </row>
    <row r="11730" spans="1:1">
      <c r="A11730" s="7" t="str">
        <f>IF('Document Workflow'!A11729&lt;&gt;"",'Document Workflow'!A11729,"")</f>
        <v/>
      </c>
    </row>
    <row r="11731" spans="1:1">
      <c r="A11731" s="7" t="str">
        <f>IF('Document Workflow'!A11730&lt;&gt;"",'Document Workflow'!A11730,"")</f>
        <v/>
      </c>
    </row>
    <row r="11732" spans="1:1">
      <c r="A11732" s="7" t="str">
        <f>IF('Document Workflow'!A11731&lt;&gt;"",'Document Workflow'!A11731,"")</f>
        <v/>
      </c>
    </row>
    <row r="11733" spans="1:1">
      <c r="A11733" s="7" t="str">
        <f>IF('Document Workflow'!A11732&lt;&gt;"",'Document Workflow'!A11732,"")</f>
        <v/>
      </c>
    </row>
    <row r="11734" spans="1:1">
      <c r="A11734" s="7" t="str">
        <f>IF('Document Workflow'!A11733&lt;&gt;"",'Document Workflow'!A11733,"")</f>
        <v/>
      </c>
    </row>
    <row r="11735" spans="1:1">
      <c r="A11735" s="7" t="str">
        <f>IF('Document Workflow'!A11734&lt;&gt;"",'Document Workflow'!A11734,"")</f>
        <v/>
      </c>
    </row>
    <row r="11736" spans="1:1">
      <c r="A11736" s="7" t="str">
        <f>IF('Document Workflow'!A11735&lt;&gt;"",'Document Workflow'!A11735,"")</f>
        <v/>
      </c>
    </row>
    <row r="11737" spans="1:1">
      <c r="A11737" s="7" t="str">
        <f>IF('Document Workflow'!A11736&lt;&gt;"",'Document Workflow'!A11736,"")</f>
        <v/>
      </c>
    </row>
    <row r="11738" spans="1:1">
      <c r="A11738" s="7" t="str">
        <f>IF('Document Workflow'!A11737&lt;&gt;"",'Document Workflow'!A11737,"")</f>
        <v/>
      </c>
    </row>
    <row r="11739" spans="1:1">
      <c r="A11739" s="7" t="str">
        <f>IF('Document Workflow'!A11738&lt;&gt;"",'Document Workflow'!A11738,"")</f>
        <v/>
      </c>
    </row>
    <row r="11740" spans="1:1">
      <c r="A11740" s="7" t="str">
        <f>IF('Document Workflow'!A11739&lt;&gt;"",'Document Workflow'!A11739,"")</f>
        <v/>
      </c>
    </row>
    <row r="11741" spans="1:1">
      <c r="A11741" s="7" t="str">
        <f>IF('Document Workflow'!A11740&lt;&gt;"",'Document Workflow'!A11740,"")</f>
        <v/>
      </c>
    </row>
    <row r="11742" spans="1:1">
      <c r="A11742" s="7" t="str">
        <f>IF('Document Workflow'!A11741&lt;&gt;"",'Document Workflow'!A11741,"")</f>
        <v/>
      </c>
    </row>
    <row r="11743" spans="1:1">
      <c r="A11743" s="7" t="str">
        <f>IF('Document Workflow'!A11742&lt;&gt;"",'Document Workflow'!A11742,"")</f>
        <v/>
      </c>
    </row>
    <row r="11744" spans="1:1">
      <c r="A11744" s="7" t="str">
        <f>IF('Document Workflow'!A11743&lt;&gt;"",'Document Workflow'!A11743,"")</f>
        <v/>
      </c>
    </row>
    <row r="11745" spans="1:1">
      <c r="A11745" s="7" t="str">
        <f>IF('Document Workflow'!A11744&lt;&gt;"",'Document Workflow'!A11744,"")</f>
        <v/>
      </c>
    </row>
    <row r="11746" spans="1:1">
      <c r="A11746" s="7" t="str">
        <f>IF('Document Workflow'!A11745&lt;&gt;"",'Document Workflow'!A11745,"")</f>
        <v/>
      </c>
    </row>
    <row r="11747" spans="1:1">
      <c r="A11747" s="7" t="str">
        <f>IF('Document Workflow'!A11746&lt;&gt;"",'Document Workflow'!A11746,"")</f>
        <v/>
      </c>
    </row>
    <row r="11748" spans="1:1">
      <c r="A11748" s="7" t="str">
        <f>IF('Document Workflow'!A11747&lt;&gt;"",'Document Workflow'!A11747,"")</f>
        <v/>
      </c>
    </row>
    <row r="11749" spans="1:1">
      <c r="A11749" s="7" t="str">
        <f>IF('Document Workflow'!A11748&lt;&gt;"",'Document Workflow'!A11748,"")</f>
        <v/>
      </c>
    </row>
    <row r="11750" spans="1:1">
      <c r="A11750" s="7" t="str">
        <f>IF('Document Workflow'!A11749&lt;&gt;"",'Document Workflow'!A11749,"")</f>
        <v/>
      </c>
    </row>
    <row r="11751" spans="1:1">
      <c r="A11751" s="7" t="str">
        <f>IF('Document Workflow'!A11750&lt;&gt;"",'Document Workflow'!A11750,"")</f>
        <v/>
      </c>
    </row>
    <row r="11752" spans="1:1">
      <c r="A11752" s="7" t="str">
        <f>IF('Document Workflow'!A11751&lt;&gt;"",'Document Workflow'!A11751,"")</f>
        <v/>
      </c>
    </row>
    <row r="11753" spans="1:1">
      <c r="A11753" s="7" t="str">
        <f>IF('Document Workflow'!A11752&lt;&gt;"",'Document Workflow'!A11752,"")</f>
        <v/>
      </c>
    </row>
    <row r="11754" spans="1:1">
      <c r="A11754" s="7" t="str">
        <f>IF('Document Workflow'!A11753&lt;&gt;"",'Document Workflow'!A11753,"")</f>
        <v/>
      </c>
    </row>
    <row r="11755" spans="1:1">
      <c r="A11755" s="7" t="str">
        <f>IF('Document Workflow'!A11754&lt;&gt;"",'Document Workflow'!A11754,"")</f>
        <v/>
      </c>
    </row>
    <row r="11756" spans="1:1">
      <c r="A11756" s="7" t="str">
        <f>IF('Document Workflow'!A11755&lt;&gt;"",'Document Workflow'!A11755,"")</f>
        <v/>
      </c>
    </row>
    <row r="11757" spans="1:1">
      <c r="A11757" s="7" t="str">
        <f>IF('Document Workflow'!A11756&lt;&gt;"",'Document Workflow'!A11756,"")</f>
        <v/>
      </c>
    </row>
    <row r="11758" spans="1:1">
      <c r="A11758" s="7" t="str">
        <f>IF('Document Workflow'!A11757&lt;&gt;"",'Document Workflow'!A11757,"")</f>
        <v/>
      </c>
    </row>
    <row r="11759" spans="1:1">
      <c r="A11759" s="7" t="str">
        <f>IF('Document Workflow'!A11758&lt;&gt;"",'Document Workflow'!A11758,"")</f>
        <v/>
      </c>
    </row>
    <row r="11760" spans="1:1">
      <c r="A11760" s="7" t="str">
        <f>IF('Document Workflow'!A11759&lt;&gt;"",'Document Workflow'!A11759,"")</f>
        <v/>
      </c>
    </row>
    <row r="11761" spans="1:1">
      <c r="A11761" s="7" t="str">
        <f>IF('Document Workflow'!A11760&lt;&gt;"",'Document Workflow'!A11760,"")</f>
        <v/>
      </c>
    </row>
    <row r="11762" spans="1:1">
      <c r="A11762" s="7" t="str">
        <f>IF('Document Workflow'!A11761&lt;&gt;"",'Document Workflow'!A11761,"")</f>
        <v/>
      </c>
    </row>
    <row r="11763" spans="1:1">
      <c r="A11763" s="7" t="str">
        <f>IF('Document Workflow'!A11762&lt;&gt;"",'Document Workflow'!A11762,"")</f>
        <v/>
      </c>
    </row>
    <row r="11764" spans="1:1">
      <c r="A11764" s="7" t="str">
        <f>IF('Document Workflow'!A11763&lt;&gt;"",'Document Workflow'!A11763,"")</f>
        <v/>
      </c>
    </row>
    <row r="11765" spans="1:1">
      <c r="A11765" s="7" t="str">
        <f>IF('Document Workflow'!A11764&lt;&gt;"",'Document Workflow'!A11764,"")</f>
        <v/>
      </c>
    </row>
    <row r="11766" spans="1:1">
      <c r="A11766" s="7" t="str">
        <f>IF('Document Workflow'!A11765&lt;&gt;"",'Document Workflow'!A11765,"")</f>
        <v/>
      </c>
    </row>
    <row r="11767" spans="1:1">
      <c r="A11767" s="7" t="str">
        <f>IF('Document Workflow'!A11766&lt;&gt;"",'Document Workflow'!A11766,"")</f>
        <v/>
      </c>
    </row>
    <row r="11768" spans="1:1">
      <c r="A11768" s="7" t="str">
        <f>IF('Document Workflow'!A11767&lt;&gt;"",'Document Workflow'!A11767,"")</f>
        <v/>
      </c>
    </row>
    <row r="11769" spans="1:1">
      <c r="A11769" s="7" t="str">
        <f>IF('Document Workflow'!A11768&lt;&gt;"",'Document Workflow'!A11768,"")</f>
        <v/>
      </c>
    </row>
    <row r="11770" spans="1:1">
      <c r="A11770" s="7" t="str">
        <f>IF('Document Workflow'!A11769&lt;&gt;"",'Document Workflow'!A11769,"")</f>
        <v/>
      </c>
    </row>
    <row r="11771" spans="1:1">
      <c r="A11771" s="7" t="str">
        <f>IF('Document Workflow'!A11770&lt;&gt;"",'Document Workflow'!A11770,"")</f>
        <v/>
      </c>
    </row>
    <row r="11772" spans="1:1">
      <c r="A11772" s="7" t="str">
        <f>IF('Document Workflow'!A11771&lt;&gt;"",'Document Workflow'!A11771,"")</f>
        <v/>
      </c>
    </row>
    <row r="11773" spans="1:1">
      <c r="A11773" s="7" t="str">
        <f>IF('Document Workflow'!A11772&lt;&gt;"",'Document Workflow'!A11772,"")</f>
        <v/>
      </c>
    </row>
    <row r="11774" spans="1:1">
      <c r="A11774" s="7" t="str">
        <f>IF('Document Workflow'!A11773&lt;&gt;"",'Document Workflow'!A11773,"")</f>
        <v/>
      </c>
    </row>
    <row r="11775" spans="1:1">
      <c r="A11775" s="7" t="str">
        <f>IF('Document Workflow'!A11774&lt;&gt;"",'Document Workflow'!A11774,"")</f>
        <v/>
      </c>
    </row>
    <row r="11776" spans="1:1">
      <c r="A11776" s="7" t="str">
        <f>IF('Document Workflow'!A11775&lt;&gt;"",'Document Workflow'!A11775,"")</f>
        <v/>
      </c>
    </row>
    <row r="11777" spans="1:1">
      <c r="A11777" s="7" t="str">
        <f>IF('Document Workflow'!A11776&lt;&gt;"",'Document Workflow'!A11776,"")</f>
        <v/>
      </c>
    </row>
    <row r="11778" spans="1:1">
      <c r="A11778" s="7" t="str">
        <f>IF('Document Workflow'!A11777&lt;&gt;"",'Document Workflow'!A11777,"")</f>
        <v/>
      </c>
    </row>
    <row r="11779" spans="1:1">
      <c r="A11779" s="7" t="str">
        <f>IF('Document Workflow'!A11778&lt;&gt;"",'Document Workflow'!A11778,"")</f>
        <v/>
      </c>
    </row>
    <row r="11780" spans="1:1">
      <c r="A11780" s="7" t="str">
        <f>IF('Document Workflow'!A11779&lt;&gt;"",'Document Workflow'!A11779,"")</f>
        <v/>
      </c>
    </row>
    <row r="11781" spans="1:1">
      <c r="A11781" s="7" t="str">
        <f>IF('Document Workflow'!A11780&lt;&gt;"",'Document Workflow'!A11780,"")</f>
        <v/>
      </c>
    </row>
    <row r="11782" spans="1:1">
      <c r="A11782" s="7" t="str">
        <f>IF('Document Workflow'!A11781&lt;&gt;"",'Document Workflow'!A11781,"")</f>
        <v/>
      </c>
    </row>
    <row r="11783" spans="1:1">
      <c r="A11783" s="7" t="str">
        <f>IF('Document Workflow'!A11782&lt;&gt;"",'Document Workflow'!A11782,"")</f>
        <v/>
      </c>
    </row>
    <row r="11784" spans="1:1">
      <c r="A11784" s="7" t="str">
        <f>IF('Document Workflow'!A11783&lt;&gt;"",'Document Workflow'!A11783,"")</f>
        <v/>
      </c>
    </row>
    <row r="11785" spans="1:1">
      <c r="A11785" s="7" t="str">
        <f>IF('Document Workflow'!A11784&lt;&gt;"",'Document Workflow'!A11784,"")</f>
        <v/>
      </c>
    </row>
    <row r="11786" spans="1:1">
      <c r="A11786" s="7" t="str">
        <f>IF('Document Workflow'!A11785&lt;&gt;"",'Document Workflow'!A11785,"")</f>
        <v/>
      </c>
    </row>
    <row r="11787" spans="1:1">
      <c r="A11787" s="7" t="str">
        <f>IF('Document Workflow'!A11786&lt;&gt;"",'Document Workflow'!A11786,"")</f>
        <v/>
      </c>
    </row>
    <row r="11788" spans="1:1">
      <c r="A11788" s="7" t="str">
        <f>IF('Document Workflow'!A11787&lt;&gt;"",'Document Workflow'!A11787,"")</f>
        <v/>
      </c>
    </row>
    <row r="11789" spans="1:1">
      <c r="A11789" s="7" t="str">
        <f>IF('Document Workflow'!A11788&lt;&gt;"",'Document Workflow'!A11788,"")</f>
        <v/>
      </c>
    </row>
    <row r="11790" spans="1:1">
      <c r="A11790" s="7" t="str">
        <f>IF('Document Workflow'!A11789&lt;&gt;"",'Document Workflow'!A11789,"")</f>
        <v/>
      </c>
    </row>
    <row r="11791" spans="1:1">
      <c r="A11791" s="7" t="str">
        <f>IF('Document Workflow'!A11790&lt;&gt;"",'Document Workflow'!A11790,"")</f>
        <v/>
      </c>
    </row>
    <row r="11792" spans="1:1">
      <c r="A11792" s="7" t="str">
        <f>IF('Document Workflow'!A11791&lt;&gt;"",'Document Workflow'!A11791,"")</f>
        <v/>
      </c>
    </row>
    <row r="11793" spans="1:1">
      <c r="A11793" s="7" t="str">
        <f>IF('Document Workflow'!A11792&lt;&gt;"",'Document Workflow'!A11792,"")</f>
        <v/>
      </c>
    </row>
    <row r="11794" spans="1:1">
      <c r="A11794" s="7" t="str">
        <f>IF('Document Workflow'!A11793&lt;&gt;"",'Document Workflow'!A11793,"")</f>
        <v/>
      </c>
    </row>
    <row r="11795" spans="1:1">
      <c r="A11795" s="7" t="str">
        <f>IF('Document Workflow'!A11794&lt;&gt;"",'Document Workflow'!A11794,"")</f>
        <v/>
      </c>
    </row>
    <row r="11796" spans="1:1">
      <c r="A11796" s="7" t="str">
        <f>IF('Document Workflow'!A11795&lt;&gt;"",'Document Workflow'!A11795,"")</f>
        <v/>
      </c>
    </row>
    <row r="11797" spans="1:1">
      <c r="A11797" s="7" t="str">
        <f>IF('Document Workflow'!A11796&lt;&gt;"",'Document Workflow'!A11796,"")</f>
        <v/>
      </c>
    </row>
    <row r="11798" spans="1:1">
      <c r="A11798" s="7" t="str">
        <f>IF('Document Workflow'!A11797&lt;&gt;"",'Document Workflow'!A11797,"")</f>
        <v/>
      </c>
    </row>
    <row r="11799" spans="1:1">
      <c r="A11799" s="7" t="str">
        <f>IF('Document Workflow'!A11798&lt;&gt;"",'Document Workflow'!A11798,"")</f>
        <v/>
      </c>
    </row>
    <row r="11800" spans="1:1">
      <c r="A11800" s="7" t="str">
        <f>IF('Document Workflow'!A11799&lt;&gt;"",'Document Workflow'!A11799,"")</f>
        <v/>
      </c>
    </row>
    <row r="11801" spans="1:1">
      <c r="A11801" s="7" t="str">
        <f>IF('Document Workflow'!A11800&lt;&gt;"",'Document Workflow'!A11800,"")</f>
        <v/>
      </c>
    </row>
    <row r="11802" spans="1:1">
      <c r="A11802" s="7" t="str">
        <f>IF('Document Workflow'!A11801&lt;&gt;"",'Document Workflow'!A11801,"")</f>
        <v/>
      </c>
    </row>
    <row r="11803" spans="1:1">
      <c r="A11803" s="7" t="str">
        <f>IF('Document Workflow'!A11802&lt;&gt;"",'Document Workflow'!A11802,"")</f>
        <v/>
      </c>
    </row>
    <row r="11804" spans="1:1">
      <c r="A11804" s="7" t="str">
        <f>IF('Document Workflow'!A11803&lt;&gt;"",'Document Workflow'!A11803,"")</f>
        <v/>
      </c>
    </row>
    <row r="11805" spans="1:1">
      <c r="A11805" s="7" t="str">
        <f>IF('Document Workflow'!A11804&lt;&gt;"",'Document Workflow'!A11804,"")</f>
        <v/>
      </c>
    </row>
    <row r="11806" spans="1:1">
      <c r="A11806" s="7" t="str">
        <f>IF('Document Workflow'!A11805&lt;&gt;"",'Document Workflow'!A11805,"")</f>
        <v/>
      </c>
    </row>
    <row r="11807" spans="1:1">
      <c r="A11807" s="7" t="str">
        <f>IF('Document Workflow'!A11806&lt;&gt;"",'Document Workflow'!A11806,"")</f>
        <v/>
      </c>
    </row>
    <row r="11808" spans="1:1">
      <c r="A11808" s="7" t="str">
        <f>IF('Document Workflow'!A11807&lt;&gt;"",'Document Workflow'!A11807,"")</f>
        <v/>
      </c>
    </row>
    <row r="11809" spans="1:1">
      <c r="A11809" s="7" t="str">
        <f>IF('Document Workflow'!A11808&lt;&gt;"",'Document Workflow'!A11808,"")</f>
        <v/>
      </c>
    </row>
    <row r="11810" spans="1:1">
      <c r="A11810" s="7" t="str">
        <f>IF('Document Workflow'!A11809&lt;&gt;"",'Document Workflow'!A11809,"")</f>
        <v/>
      </c>
    </row>
    <row r="11811" spans="1:1">
      <c r="A11811" s="7" t="str">
        <f>IF('Document Workflow'!A11810&lt;&gt;"",'Document Workflow'!A11810,"")</f>
        <v/>
      </c>
    </row>
    <row r="11812" spans="1:1">
      <c r="A11812" s="7" t="str">
        <f>IF('Document Workflow'!A11811&lt;&gt;"",'Document Workflow'!A11811,"")</f>
        <v/>
      </c>
    </row>
    <row r="11813" spans="1:1">
      <c r="A11813" s="7" t="str">
        <f>IF('Document Workflow'!A11812&lt;&gt;"",'Document Workflow'!A11812,"")</f>
        <v/>
      </c>
    </row>
    <row r="11814" spans="1:1">
      <c r="A11814" s="7" t="str">
        <f>IF('Document Workflow'!A11813&lt;&gt;"",'Document Workflow'!A11813,"")</f>
        <v/>
      </c>
    </row>
    <row r="11815" spans="1:1">
      <c r="A11815" s="7" t="str">
        <f>IF('Document Workflow'!A11814&lt;&gt;"",'Document Workflow'!A11814,"")</f>
        <v/>
      </c>
    </row>
    <row r="11816" spans="1:1">
      <c r="A11816" s="7" t="str">
        <f>IF('Document Workflow'!A11815&lt;&gt;"",'Document Workflow'!A11815,"")</f>
        <v/>
      </c>
    </row>
    <row r="11817" spans="1:1">
      <c r="A11817" s="7" t="str">
        <f>IF('Document Workflow'!A11816&lt;&gt;"",'Document Workflow'!A11816,"")</f>
        <v/>
      </c>
    </row>
    <row r="11818" spans="1:1">
      <c r="A11818" s="7" t="str">
        <f>IF('Document Workflow'!A11817&lt;&gt;"",'Document Workflow'!A11817,"")</f>
        <v/>
      </c>
    </row>
    <row r="11819" spans="1:1">
      <c r="A11819" s="7" t="str">
        <f>IF('Document Workflow'!A11818&lt;&gt;"",'Document Workflow'!A11818,"")</f>
        <v/>
      </c>
    </row>
    <row r="11820" spans="1:1">
      <c r="A11820" s="7" t="str">
        <f>IF('Document Workflow'!A11819&lt;&gt;"",'Document Workflow'!A11819,"")</f>
        <v/>
      </c>
    </row>
    <row r="11821" spans="1:1">
      <c r="A11821" s="7" t="str">
        <f>IF('Document Workflow'!A11820&lt;&gt;"",'Document Workflow'!A11820,"")</f>
        <v/>
      </c>
    </row>
    <row r="11822" spans="1:1">
      <c r="A11822" s="7" t="str">
        <f>IF('Document Workflow'!A11821&lt;&gt;"",'Document Workflow'!A11821,"")</f>
        <v/>
      </c>
    </row>
    <row r="11823" spans="1:1">
      <c r="A11823" s="7" t="str">
        <f>IF('Document Workflow'!A11822&lt;&gt;"",'Document Workflow'!A11822,"")</f>
        <v/>
      </c>
    </row>
    <row r="11824" spans="1:1">
      <c r="A11824" s="7" t="str">
        <f>IF('Document Workflow'!A11823&lt;&gt;"",'Document Workflow'!A11823,"")</f>
        <v/>
      </c>
    </row>
    <row r="11825" spans="1:1">
      <c r="A11825" s="7" t="str">
        <f>IF('Document Workflow'!A11824&lt;&gt;"",'Document Workflow'!A11824,"")</f>
        <v/>
      </c>
    </row>
    <row r="11826" spans="1:1">
      <c r="A11826" s="7" t="str">
        <f>IF('Document Workflow'!A11825&lt;&gt;"",'Document Workflow'!A11825,"")</f>
        <v/>
      </c>
    </row>
    <row r="11827" spans="1:1">
      <c r="A11827" s="7" t="str">
        <f>IF('Document Workflow'!A11826&lt;&gt;"",'Document Workflow'!A11826,"")</f>
        <v/>
      </c>
    </row>
    <row r="11828" spans="1:1">
      <c r="A11828" s="7" t="str">
        <f>IF('Document Workflow'!A11827&lt;&gt;"",'Document Workflow'!A11827,"")</f>
        <v/>
      </c>
    </row>
    <row r="11829" spans="1:1">
      <c r="A11829" s="7" t="str">
        <f>IF('Document Workflow'!A11828&lt;&gt;"",'Document Workflow'!A11828,"")</f>
        <v/>
      </c>
    </row>
    <row r="11830" spans="1:1">
      <c r="A11830" s="7" t="str">
        <f>IF('Document Workflow'!A11829&lt;&gt;"",'Document Workflow'!A11829,"")</f>
        <v/>
      </c>
    </row>
    <row r="11831" spans="1:1">
      <c r="A11831" s="7" t="str">
        <f>IF('Document Workflow'!A11830&lt;&gt;"",'Document Workflow'!A11830,"")</f>
        <v/>
      </c>
    </row>
    <row r="11832" spans="1:1">
      <c r="A11832" s="7" t="str">
        <f>IF('Document Workflow'!A11831&lt;&gt;"",'Document Workflow'!A11831,"")</f>
        <v/>
      </c>
    </row>
    <row r="11833" spans="1:1">
      <c r="A11833" s="7" t="str">
        <f>IF('Document Workflow'!A11832&lt;&gt;"",'Document Workflow'!A11832,"")</f>
        <v/>
      </c>
    </row>
    <row r="11834" spans="1:1">
      <c r="A11834" s="7" t="str">
        <f>IF('Document Workflow'!A11833&lt;&gt;"",'Document Workflow'!A11833,"")</f>
        <v/>
      </c>
    </row>
    <row r="11835" spans="1:1">
      <c r="A11835" s="7" t="str">
        <f>IF('Document Workflow'!A11834&lt;&gt;"",'Document Workflow'!A11834,"")</f>
        <v/>
      </c>
    </row>
    <row r="11836" spans="1:1">
      <c r="A11836" s="7" t="str">
        <f>IF('Document Workflow'!A11835&lt;&gt;"",'Document Workflow'!A11835,"")</f>
        <v/>
      </c>
    </row>
    <row r="11837" spans="1:1">
      <c r="A11837" s="7" t="str">
        <f>IF('Document Workflow'!A11836&lt;&gt;"",'Document Workflow'!A11836,"")</f>
        <v/>
      </c>
    </row>
    <row r="11838" spans="1:1">
      <c r="A11838" s="7" t="str">
        <f>IF('Document Workflow'!A11837&lt;&gt;"",'Document Workflow'!A11837,"")</f>
        <v/>
      </c>
    </row>
    <row r="11839" spans="1:1">
      <c r="A11839" s="7" t="str">
        <f>IF('Document Workflow'!A11838&lt;&gt;"",'Document Workflow'!A11838,"")</f>
        <v/>
      </c>
    </row>
    <row r="11840" spans="1:1">
      <c r="A11840" s="7" t="str">
        <f>IF('Document Workflow'!A11839&lt;&gt;"",'Document Workflow'!A11839,"")</f>
        <v/>
      </c>
    </row>
    <row r="11841" spans="1:1">
      <c r="A11841" s="7" t="str">
        <f>IF('Document Workflow'!A11840&lt;&gt;"",'Document Workflow'!A11840,"")</f>
        <v/>
      </c>
    </row>
    <row r="11842" spans="1:1">
      <c r="A11842" s="7" t="str">
        <f>IF('Document Workflow'!A11841&lt;&gt;"",'Document Workflow'!A11841,"")</f>
        <v/>
      </c>
    </row>
    <row r="11843" spans="1:1">
      <c r="A11843" s="7" t="str">
        <f>IF('Document Workflow'!A11842&lt;&gt;"",'Document Workflow'!A11842,"")</f>
        <v/>
      </c>
    </row>
    <row r="11844" spans="1:1">
      <c r="A11844" s="7" t="str">
        <f>IF('Document Workflow'!A11843&lt;&gt;"",'Document Workflow'!A11843,"")</f>
        <v/>
      </c>
    </row>
    <row r="11845" spans="1:1">
      <c r="A11845" s="7" t="str">
        <f>IF('Document Workflow'!A11844&lt;&gt;"",'Document Workflow'!A11844,"")</f>
        <v/>
      </c>
    </row>
    <row r="11846" spans="1:1">
      <c r="A11846" s="7" t="str">
        <f>IF('Document Workflow'!A11845&lt;&gt;"",'Document Workflow'!A11845,"")</f>
        <v/>
      </c>
    </row>
    <row r="11847" spans="1:1">
      <c r="A11847" s="7" t="str">
        <f>IF('Document Workflow'!A11846&lt;&gt;"",'Document Workflow'!A11846,"")</f>
        <v/>
      </c>
    </row>
    <row r="11848" spans="1:1">
      <c r="A11848" s="7" t="str">
        <f>IF('Document Workflow'!A11847&lt;&gt;"",'Document Workflow'!A11847,"")</f>
        <v/>
      </c>
    </row>
    <row r="11849" spans="1:1">
      <c r="A11849" s="7" t="str">
        <f>IF('Document Workflow'!A11848&lt;&gt;"",'Document Workflow'!A11848,"")</f>
        <v/>
      </c>
    </row>
    <row r="11850" spans="1:1">
      <c r="A11850" s="7" t="str">
        <f>IF('Document Workflow'!A11849&lt;&gt;"",'Document Workflow'!A11849,"")</f>
        <v/>
      </c>
    </row>
    <row r="11851" spans="1:1">
      <c r="A11851" s="7" t="str">
        <f>IF('Document Workflow'!A11850&lt;&gt;"",'Document Workflow'!A11850,"")</f>
        <v/>
      </c>
    </row>
    <row r="11852" spans="1:1">
      <c r="A11852" s="7" t="str">
        <f>IF('Document Workflow'!A11851&lt;&gt;"",'Document Workflow'!A11851,"")</f>
        <v/>
      </c>
    </row>
    <row r="11853" spans="1:1">
      <c r="A11853" s="7" t="str">
        <f>IF('Document Workflow'!A11852&lt;&gt;"",'Document Workflow'!A11852,"")</f>
        <v/>
      </c>
    </row>
    <row r="11854" spans="1:1">
      <c r="A11854" s="7" t="str">
        <f>IF('Document Workflow'!A11853&lt;&gt;"",'Document Workflow'!A11853,"")</f>
        <v/>
      </c>
    </row>
    <row r="11855" spans="1:1">
      <c r="A11855" s="7" t="str">
        <f>IF('Document Workflow'!A11854&lt;&gt;"",'Document Workflow'!A11854,"")</f>
        <v/>
      </c>
    </row>
    <row r="11856" spans="1:1">
      <c r="A11856" s="7" t="str">
        <f>IF('Document Workflow'!A11855&lt;&gt;"",'Document Workflow'!A11855,"")</f>
        <v/>
      </c>
    </row>
    <row r="11857" spans="1:1">
      <c r="A11857" s="7" t="str">
        <f>IF('Document Workflow'!A11856&lt;&gt;"",'Document Workflow'!A11856,"")</f>
        <v/>
      </c>
    </row>
    <row r="11858" spans="1:1">
      <c r="A11858" s="7" t="str">
        <f>IF('Document Workflow'!A11857&lt;&gt;"",'Document Workflow'!A11857,"")</f>
        <v/>
      </c>
    </row>
    <row r="11859" spans="1:1">
      <c r="A11859" s="7" t="str">
        <f>IF('Document Workflow'!A11858&lt;&gt;"",'Document Workflow'!A11858,"")</f>
        <v/>
      </c>
    </row>
    <row r="11860" spans="1:1">
      <c r="A11860" s="7" t="str">
        <f>IF('Document Workflow'!A11859&lt;&gt;"",'Document Workflow'!A11859,"")</f>
        <v/>
      </c>
    </row>
    <row r="11861" spans="1:1">
      <c r="A11861" s="7" t="str">
        <f>IF('Document Workflow'!A11860&lt;&gt;"",'Document Workflow'!A11860,"")</f>
        <v/>
      </c>
    </row>
    <row r="11862" spans="1:1">
      <c r="A11862" s="7" t="str">
        <f>IF('Document Workflow'!A11861&lt;&gt;"",'Document Workflow'!A11861,"")</f>
        <v/>
      </c>
    </row>
    <row r="11863" spans="1:1">
      <c r="A11863" s="7" t="str">
        <f>IF('Document Workflow'!A11862&lt;&gt;"",'Document Workflow'!A11862,"")</f>
        <v/>
      </c>
    </row>
    <row r="11864" spans="1:1">
      <c r="A11864" s="7" t="str">
        <f>IF('Document Workflow'!A11863&lt;&gt;"",'Document Workflow'!A11863,"")</f>
        <v/>
      </c>
    </row>
    <row r="11865" spans="1:1">
      <c r="A11865" s="7" t="str">
        <f>IF('Document Workflow'!A11864&lt;&gt;"",'Document Workflow'!A11864,"")</f>
        <v/>
      </c>
    </row>
    <row r="11866" spans="1:1">
      <c r="A11866" s="7" t="str">
        <f>IF('Document Workflow'!A11865&lt;&gt;"",'Document Workflow'!A11865,"")</f>
        <v/>
      </c>
    </row>
    <row r="11867" spans="1:1">
      <c r="A11867" s="7" t="str">
        <f>IF('Document Workflow'!A11866&lt;&gt;"",'Document Workflow'!A11866,"")</f>
        <v/>
      </c>
    </row>
    <row r="11868" spans="1:1">
      <c r="A11868" s="7" t="str">
        <f>IF('Document Workflow'!A11867&lt;&gt;"",'Document Workflow'!A11867,"")</f>
        <v/>
      </c>
    </row>
    <row r="11869" spans="1:1">
      <c r="A11869" s="7" t="str">
        <f>IF('Document Workflow'!A11868&lt;&gt;"",'Document Workflow'!A11868,"")</f>
        <v/>
      </c>
    </row>
    <row r="11870" spans="1:1">
      <c r="A11870" s="7" t="str">
        <f>IF('Document Workflow'!A11869&lt;&gt;"",'Document Workflow'!A11869,"")</f>
        <v/>
      </c>
    </row>
    <row r="11871" spans="1:1">
      <c r="A11871" s="7" t="str">
        <f>IF('Document Workflow'!A11870&lt;&gt;"",'Document Workflow'!A11870,"")</f>
        <v/>
      </c>
    </row>
    <row r="11872" spans="1:1">
      <c r="A11872" s="7" t="str">
        <f>IF('Document Workflow'!A11871&lt;&gt;"",'Document Workflow'!A11871,"")</f>
        <v/>
      </c>
    </row>
    <row r="11873" spans="1:1">
      <c r="A11873" s="7" t="str">
        <f>IF('Document Workflow'!A11872&lt;&gt;"",'Document Workflow'!A11872,"")</f>
        <v/>
      </c>
    </row>
    <row r="11874" spans="1:1">
      <c r="A11874" s="7" t="str">
        <f>IF('Document Workflow'!A11873&lt;&gt;"",'Document Workflow'!A11873,"")</f>
        <v/>
      </c>
    </row>
    <row r="11875" spans="1:1">
      <c r="A11875" s="7" t="str">
        <f>IF('Document Workflow'!A11874&lt;&gt;"",'Document Workflow'!A11874,"")</f>
        <v/>
      </c>
    </row>
    <row r="11876" spans="1:1">
      <c r="A11876" s="7" t="str">
        <f>IF('Document Workflow'!A11875&lt;&gt;"",'Document Workflow'!A11875,"")</f>
        <v/>
      </c>
    </row>
    <row r="11877" spans="1:1">
      <c r="A11877" s="7" t="str">
        <f>IF('Document Workflow'!A11876&lt;&gt;"",'Document Workflow'!A11876,"")</f>
        <v/>
      </c>
    </row>
    <row r="11878" spans="1:1">
      <c r="A11878" s="7" t="str">
        <f>IF('Document Workflow'!A11877&lt;&gt;"",'Document Workflow'!A11877,"")</f>
        <v/>
      </c>
    </row>
    <row r="11879" spans="1:1">
      <c r="A11879" s="7" t="str">
        <f>IF('Document Workflow'!A11878&lt;&gt;"",'Document Workflow'!A11878,"")</f>
        <v/>
      </c>
    </row>
    <row r="11880" spans="1:1">
      <c r="A11880" s="7" t="str">
        <f>IF('Document Workflow'!A11879&lt;&gt;"",'Document Workflow'!A11879,"")</f>
        <v/>
      </c>
    </row>
    <row r="11881" spans="1:1">
      <c r="A11881" s="7" t="str">
        <f>IF('Document Workflow'!A11880&lt;&gt;"",'Document Workflow'!A11880,"")</f>
        <v/>
      </c>
    </row>
    <row r="11882" spans="1:1">
      <c r="A11882" s="7" t="str">
        <f>IF('Document Workflow'!A11881&lt;&gt;"",'Document Workflow'!A11881,"")</f>
        <v/>
      </c>
    </row>
    <row r="11883" spans="1:1">
      <c r="A11883" s="7" t="str">
        <f>IF('Document Workflow'!A11882&lt;&gt;"",'Document Workflow'!A11882,"")</f>
        <v/>
      </c>
    </row>
    <row r="11884" spans="1:1">
      <c r="A11884" s="7" t="str">
        <f>IF('Document Workflow'!A11883&lt;&gt;"",'Document Workflow'!A11883,"")</f>
        <v/>
      </c>
    </row>
    <row r="11885" spans="1:1">
      <c r="A11885" s="7" t="str">
        <f>IF('Document Workflow'!A11884&lt;&gt;"",'Document Workflow'!A11884,"")</f>
        <v/>
      </c>
    </row>
    <row r="11886" spans="1:1">
      <c r="A11886" s="7" t="str">
        <f>IF('Document Workflow'!A11885&lt;&gt;"",'Document Workflow'!A11885,"")</f>
        <v/>
      </c>
    </row>
    <row r="11887" spans="1:1">
      <c r="A11887" s="7" t="str">
        <f>IF('Document Workflow'!A11886&lt;&gt;"",'Document Workflow'!A11886,"")</f>
        <v/>
      </c>
    </row>
    <row r="11888" spans="1:1">
      <c r="A11888" s="7" t="str">
        <f>IF('Document Workflow'!A11887&lt;&gt;"",'Document Workflow'!A11887,"")</f>
        <v/>
      </c>
    </row>
    <row r="11889" spans="1:1">
      <c r="A11889" s="7" t="str">
        <f>IF('Document Workflow'!A11888&lt;&gt;"",'Document Workflow'!A11888,"")</f>
        <v/>
      </c>
    </row>
    <row r="11890" spans="1:1">
      <c r="A11890" s="7" t="str">
        <f>IF('Document Workflow'!A11889&lt;&gt;"",'Document Workflow'!A11889,"")</f>
        <v/>
      </c>
    </row>
    <row r="11891" spans="1:1">
      <c r="A11891" s="7" t="str">
        <f>IF('Document Workflow'!A11890&lt;&gt;"",'Document Workflow'!A11890,"")</f>
        <v/>
      </c>
    </row>
    <row r="11892" spans="1:1">
      <c r="A11892" s="7" t="str">
        <f>IF('Document Workflow'!A11891&lt;&gt;"",'Document Workflow'!A11891,"")</f>
        <v/>
      </c>
    </row>
    <row r="11893" spans="1:1">
      <c r="A11893" s="7" t="str">
        <f>IF('Document Workflow'!A11892&lt;&gt;"",'Document Workflow'!A11892,"")</f>
        <v/>
      </c>
    </row>
    <row r="11894" spans="1:1">
      <c r="A11894" s="7" t="str">
        <f>IF('Document Workflow'!A11893&lt;&gt;"",'Document Workflow'!A11893,"")</f>
        <v/>
      </c>
    </row>
    <row r="11895" spans="1:1">
      <c r="A11895" s="7" t="str">
        <f>IF('Document Workflow'!A11894&lt;&gt;"",'Document Workflow'!A11894,"")</f>
        <v/>
      </c>
    </row>
    <row r="11896" spans="1:1">
      <c r="A11896" s="7" t="str">
        <f>IF('Document Workflow'!A11895&lt;&gt;"",'Document Workflow'!A11895,"")</f>
        <v/>
      </c>
    </row>
    <row r="11897" spans="1:1">
      <c r="A11897" s="7" t="str">
        <f>IF('Document Workflow'!A11896&lt;&gt;"",'Document Workflow'!A11896,"")</f>
        <v/>
      </c>
    </row>
    <row r="11898" spans="1:1">
      <c r="A11898" s="7" t="str">
        <f>IF('Document Workflow'!A11897&lt;&gt;"",'Document Workflow'!A11897,"")</f>
        <v/>
      </c>
    </row>
    <row r="11899" spans="1:1">
      <c r="A11899" s="7" t="str">
        <f>IF('Document Workflow'!A11898&lt;&gt;"",'Document Workflow'!A11898,"")</f>
        <v/>
      </c>
    </row>
    <row r="11900" spans="1:1">
      <c r="A11900" s="7" t="str">
        <f>IF('Document Workflow'!A11899&lt;&gt;"",'Document Workflow'!A11899,"")</f>
        <v/>
      </c>
    </row>
    <row r="11901" spans="1:1">
      <c r="A11901" s="7" t="str">
        <f>IF('Document Workflow'!A11900&lt;&gt;"",'Document Workflow'!A11900,"")</f>
        <v/>
      </c>
    </row>
    <row r="11902" spans="1:1">
      <c r="A11902" s="7" t="str">
        <f>IF('Document Workflow'!A11901&lt;&gt;"",'Document Workflow'!A11901,"")</f>
        <v/>
      </c>
    </row>
    <row r="11903" spans="1:1">
      <c r="A11903" s="7" t="str">
        <f>IF('Document Workflow'!A11902&lt;&gt;"",'Document Workflow'!A11902,"")</f>
        <v/>
      </c>
    </row>
    <row r="11904" spans="1:1">
      <c r="A11904" s="7" t="str">
        <f>IF('Document Workflow'!A11903&lt;&gt;"",'Document Workflow'!A11903,"")</f>
        <v/>
      </c>
    </row>
    <row r="11905" spans="1:1">
      <c r="A11905" s="7" t="str">
        <f>IF('Document Workflow'!A11904&lt;&gt;"",'Document Workflow'!A11904,"")</f>
        <v/>
      </c>
    </row>
    <row r="11906" spans="1:1">
      <c r="A11906" s="7" t="str">
        <f>IF('Document Workflow'!A11905&lt;&gt;"",'Document Workflow'!A11905,"")</f>
        <v/>
      </c>
    </row>
    <row r="11907" spans="1:1">
      <c r="A11907" s="7" t="str">
        <f>IF('Document Workflow'!A11906&lt;&gt;"",'Document Workflow'!A11906,"")</f>
        <v/>
      </c>
    </row>
    <row r="11908" spans="1:1">
      <c r="A11908" s="7" t="str">
        <f>IF('Document Workflow'!A11907&lt;&gt;"",'Document Workflow'!A11907,"")</f>
        <v/>
      </c>
    </row>
    <row r="11909" spans="1:1">
      <c r="A11909" s="7" t="str">
        <f>IF('Document Workflow'!A11908&lt;&gt;"",'Document Workflow'!A11908,"")</f>
        <v/>
      </c>
    </row>
    <row r="11910" spans="1:1">
      <c r="A11910" s="7" t="str">
        <f>IF('Document Workflow'!A11909&lt;&gt;"",'Document Workflow'!A11909,"")</f>
        <v/>
      </c>
    </row>
    <row r="11911" spans="1:1">
      <c r="A11911" s="7" t="str">
        <f>IF('Document Workflow'!A11910&lt;&gt;"",'Document Workflow'!A11910,"")</f>
        <v/>
      </c>
    </row>
    <row r="11912" spans="1:1">
      <c r="A11912" s="7" t="str">
        <f>IF('Document Workflow'!A11911&lt;&gt;"",'Document Workflow'!A11911,"")</f>
        <v/>
      </c>
    </row>
    <row r="11913" spans="1:1">
      <c r="A11913" s="7" t="str">
        <f>IF('Document Workflow'!A11912&lt;&gt;"",'Document Workflow'!A11912,"")</f>
        <v/>
      </c>
    </row>
    <row r="11914" spans="1:1">
      <c r="A11914" s="7" t="str">
        <f>IF('Document Workflow'!A11913&lt;&gt;"",'Document Workflow'!A11913,"")</f>
        <v/>
      </c>
    </row>
    <row r="11915" spans="1:1">
      <c r="A11915" s="7" t="str">
        <f>IF('Document Workflow'!A11914&lt;&gt;"",'Document Workflow'!A11914,"")</f>
        <v/>
      </c>
    </row>
    <row r="11916" spans="1:1">
      <c r="A11916" s="7" t="str">
        <f>IF('Document Workflow'!A11915&lt;&gt;"",'Document Workflow'!A11915,"")</f>
        <v/>
      </c>
    </row>
    <row r="11917" spans="1:1">
      <c r="A11917" s="7" t="str">
        <f>IF('Document Workflow'!A11916&lt;&gt;"",'Document Workflow'!A11916,"")</f>
        <v/>
      </c>
    </row>
    <row r="11918" spans="1:1">
      <c r="A11918" s="7" t="str">
        <f>IF('Document Workflow'!A11917&lt;&gt;"",'Document Workflow'!A11917,"")</f>
        <v/>
      </c>
    </row>
    <row r="11919" spans="1:1">
      <c r="A11919" s="7" t="str">
        <f>IF('Document Workflow'!A11918&lt;&gt;"",'Document Workflow'!A11918,"")</f>
        <v/>
      </c>
    </row>
    <row r="11920" spans="1:1">
      <c r="A11920" s="7" t="str">
        <f>IF('Document Workflow'!A11919&lt;&gt;"",'Document Workflow'!A11919,"")</f>
        <v/>
      </c>
    </row>
    <row r="11921" spans="1:1">
      <c r="A11921" s="7" t="str">
        <f>IF('Document Workflow'!A11920&lt;&gt;"",'Document Workflow'!A11920,"")</f>
        <v/>
      </c>
    </row>
    <row r="11922" spans="1:1">
      <c r="A11922" s="7" t="str">
        <f>IF('Document Workflow'!A11921&lt;&gt;"",'Document Workflow'!A11921,"")</f>
        <v/>
      </c>
    </row>
    <row r="11923" spans="1:1">
      <c r="A11923" s="7" t="str">
        <f>IF('Document Workflow'!A11922&lt;&gt;"",'Document Workflow'!A11922,"")</f>
        <v/>
      </c>
    </row>
    <row r="11924" spans="1:1">
      <c r="A11924" s="7" t="str">
        <f>IF('Document Workflow'!A11923&lt;&gt;"",'Document Workflow'!A11923,"")</f>
        <v/>
      </c>
    </row>
    <row r="11925" spans="1:1">
      <c r="A11925" s="7" t="str">
        <f>IF('Document Workflow'!A11924&lt;&gt;"",'Document Workflow'!A11924,"")</f>
        <v/>
      </c>
    </row>
    <row r="11926" spans="1:1">
      <c r="A11926" s="7" t="str">
        <f>IF('Document Workflow'!A11925&lt;&gt;"",'Document Workflow'!A11925,"")</f>
        <v/>
      </c>
    </row>
    <row r="11927" spans="1:1">
      <c r="A11927" s="7" t="str">
        <f>IF('Document Workflow'!A11926&lt;&gt;"",'Document Workflow'!A11926,"")</f>
        <v/>
      </c>
    </row>
    <row r="11928" spans="1:1">
      <c r="A11928" s="7" t="str">
        <f>IF('Document Workflow'!A11927&lt;&gt;"",'Document Workflow'!A11927,"")</f>
        <v/>
      </c>
    </row>
    <row r="11929" spans="1:1">
      <c r="A11929" s="7" t="str">
        <f>IF('Document Workflow'!A11928&lt;&gt;"",'Document Workflow'!A11928,"")</f>
        <v/>
      </c>
    </row>
    <row r="11930" spans="1:1">
      <c r="A11930" s="7" t="str">
        <f>IF('Document Workflow'!A11929&lt;&gt;"",'Document Workflow'!A11929,"")</f>
        <v/>
      </c>
    </row>
    <row r="11931" spans="1:1">
      <c r="A11931" s="7" t="str">
        <f>IF('Document Workflow'!A11930&lt;&gt;"",'Document Workflow'!A11930,"")</f>
        <v/>
      </c>
    </row>
    <row r="11932" spans="1:1">
      <c r="A11932" s="7" t="str">
        <f>IF('Document Workflow'!A11931&lt;&gt;"",'Document Workflow'!A11931,"")</f>
        <v/>
      </c>
    </row>
    <row r="11933" spans="1:1">
      <c r="A11933" s="7" t="str">
        <f>IF('Document Workflow'!A11932&lt;&gt;"",'Document Workflow'!A11932,"")</f>
        <v/>
      </c>
    </row>
    <row r="11934" spans="1:1">
      <c r="A11934" s="7" t="str">
        <f>IF('Document Workflow'!A11933&lt;&gt;"",'Document Workflow'!A11933,"")</f>
        <v/>
      </c>
    </row>
    <row r="11935" spans="1:1">
      <c r="A11935" s="7" t="str">
        <f>IF('Document Workflow'!A11934&lt;&gt;"",'Document Workflow'!A11934,"")</f>
        <v/>
      </c>
    </row>
    <row r="11936" spans="1:1">
      <c r="A11936" s="7" t="str">
        <f>IF('Document Workflow'!A11935&lt;&gt;"",'Document Workflow'!A11935,"")</f>
        <v/>
      </c>
    </row>
    <row r="11937" spans="1:1">
      <c r="A11937" s="7" t="str">
        <f>IF('Document Workflow'!A11936&lt;&gt;"",'Document Workflow'!A11936,"")</f>
        <v/>
      </c>
    </row>
    <row r="11938" spans="1:1">
      <c r="A11938" s="7" t="str">
        <f>IF('Document Workflow'!A11937&lt;&gt;"",'Document Workflow'!A11937,"")</f>
        <v/>
      </c>
    </row>
    <row r="11939" spans="1:1">
      <c r="A11939" s="7" t="str">
        <f>IF('Document Workflow'!A11938&lt;&gt;"",'Document Workflow'!A11938,"")</f>
        <v/>
      </c>
    </row>
    <row r="11940" spans="1:1">
      <c r="A11940" s="7" t="str">
        <f>IF('Document Workflow'!A11939&lt;&gt;"",'Document Workflow'!A11939,"")</f>
        <v/>
      </c>
    </row>
    <row r="11941" spans="1:1">
      <c r="A11941" s="7" t="str">
        <f>IF('Document Workflow'!A11940&lt;&gt;"",'Document Workflow'!A11940,"")</f>
        <v/>
      </c>
    </row>
    <row r="11942" spans="1:1">
      <c r="A11942" s="7" t="str">
        <f>IF('Document Workflow'!A11941&lt;&gt;"",'Document Workflow'!A11941,"")</f>
        <v/>
      </c>
    </row>
    <row r="11943" spans="1:1">
      <c r="A11943" s="7" t="str">
        <f>IF('Document Workflow'!A11942&lt;&gt;"",'Document Workflow'!A11942,"")</f>
        <v/>
      </c>
    </row>
    <row r="11944" spans="1:1">
      <c r="A11944" s="7" t="str">
        <f>IF('Document Workflow'!A11943&lt;&gt;"",'Document Workflow'!A11943,"")</f>
        <v/>
      </c>
    </row>
    <row r="11945" spans="1:1">
      <c r="A11945" s="7" t="str">
        <f>IF('Document Workflow'!A11944&lt;&gt;"",'Document Workflow'!A11944,"")</f>
        <v/>
      </c>
    </row>
    <row r="11946" spans="1:1">
      <c r="A11946" s="7" t="str">
        <f>IF('Document Workflow'!A11945&lt;&gt;"",'Document Workflow'!A11945,"")</f>
        <v/>
      </c>
    </row>
    <row r="11947" spans="1:1">
      <c r="A11947" s="7" t="str">
        <f>IF('Document Workflow'!A11946&lt;&gt;"",'Document Workflow'!A11946,"")</f>
        <v/>
      </c>
    </row>
    <row r="11948" spans="1:1">
      <c r="A11948" s="7" t="str">
        <f>IF('Document Workflow'!A11947&lt;&gt;"",'Document Workflow'!A11947,"")</f>
        <v/>
      </c>
    </row>
    <row r="11949" spans="1:1">
      <c r="A11949" s="7" t="str">
        <f>IF('Document Workflow'!A11948&lt;&gt;"",'Document Workflow'!A11948,"")</f>
        <v/>
      </c>
    </row>
    <row r="11950" spans="1:1">
      <c r="A11950" s="7" t="str">
        <f>IF('Document Workflow'!A11949&lt;&gt;"",'Document Workflow'!A11949,"")</f>
        <v/>
      </c>
    </row>
    <row r="11951" spans="1:1">
      <c r="A11951" s="7" t="str">
        <f>IF('Document Workflow'!A11950&lt;&gt;"",'Document Workflow'!A11950,"")</f>
        <v/>
      </c>
    </row>
    <row r="11952" spans="1:1">
      <c r="A11952" s="7" t="str">
        <f>IF('Document Workflow'!A11951&lt;&gt;"",'Document Workflow'!A11951,"")</f>
        <v/>
      </c>
    </row>
    <row r="11953" spans="1:1">
      <c r="A11953" s="7" t="str">
        <f>IF('Document Workflow'!A11952&lt;&gt;"",'Document Workflow'!A11952,"")</f>
        <v/>
      </c>
    </row>
    <row r="11954" spans="1:1">
      <c r="A11954" s="7" t="str">
        <f>IF('Document Workflow'!A11953&lt;&gt;"",'Document Workflow'!A11953,"")</f>
        <v/>
      </c>
    </row>
    <row r="11955" spans="1:1">
      <c r="A11955" s="7" t="str">
        <f>IF('Document Workflow'!A11954&lt;&gt;"",'Document Workflow'!A11954,"")</f>
        <v/>
      </c>
    </row>
    <row r="11956" spans="1:1">
      <c r="A11956" s="7" t="str">
        <f>IF('Document Workflow'!A11955&lt;&gt;"",'Document Workflow'!A11955,"")</f>
        <v/>
      </c>
    </row>
    <row r="11957" spans="1:1">
      <c r="A11957" s="7" t="str">
        <f>IF('Document Workflow'!A11956&lt;&gt;"",'Document Workflow'!A11956,"")</f>
        <v/>
      </c>
    </row>
    <row r="11958" spans="1:1">
      <c r="A11958" s="7" t="str">
        <f>IF('Document Workflow'!A11957&lt;&gt;"",'Document Workflow'!A11957,"")</f>
        <v/>
      </c>
    </row>
    <row r="11959" spans="1:1">
      <c r="A11959" s="7" t="str">
        <f>IF('Document Workflow'!A11958&lt;&gt;"",'Document Workflow'!A11958,"")</f>
        <v/>
      </c>
    </row>
    <row r="11960" spans="1:1">
      <c r="A11960" s="7" t="str">
        <f>IF('Document Workflow'!A11959&lt;&gt;"",'Document Workflow'!A11959,"")</f>
        <v/>
      </c>
    </row>
    <row r="11961" spans="1:1">
      <c r="A11961" s="7" t="str">
        <f>IF('Document Workflow'!A11960&lt;&gt;"",'Document Workflow'!A11960,"")</f>
        <v/>
      </c>
    </row>
    <row r="11962" spans="1:1">
      <c r="A11962" s="7" t="str">
        <f>IF('Document Workflow'!A11961&lt;&gt;"",'Document Workflow'!A11961,"")</f>
        <v/>
      </c>
    </row>
    <row r="11963" spans="1:1">
      <c r="A11963" s="7" t="str">
        <f>IF('Document Workflow'!A11962&lt;&gt;"",'Document Workflow'!A11962,"")</f>
        <v/>
      </c>
    </row>
    <row r="11964" spans="1:1">
      <c r="A11964" s="7" t="str">
        <f>IF('Document Workflow'!A11963&lt;&gt;"",'Document Workflow'!A11963,"")</f>
        <v/>
      </c>
    </row>
    <row r="11965" spans="1:1">
      <c r="A11965" s="7" t="str">
        <f>IF('Document Workflow'!A11964&lt;&gt;"",'Document Workflow'!A11964,"")</f>
        <v/>
      </c>
    </row>
    <row r="11966" spans="1:1">
      <c r="A11966" s="7" t="str">
        <f>IF('Document Workflow'!A11965&lt;&gt;"",'Document Workflow'!A11965,"")</f>
        <v/>
      </c>
    </row>
    <row r="11967" spans="1:1">
      <c r="A11967" s="7" t="str">
        <f>IF('Document Workflow'!A11966&lt;&gt;"",'Document Workflow'!A11966,"")</f>
        <v/>
      </c>
    </row>
    <row r="11968" spans="1:1">
      <c r="A11968" s="7" t="str">
        <f>IF('Document Workflow'!A11967&lt;&gt;"",'Document Workflow'!A11967,"")</f>
        <v/>
      </c>
    </row>
    <row r="11969" spans="1:1">
      <c r="A11969" s="7" t="str">
        <f>IF('Document Workflow'!A11968&lt;&gt;"",'Document Workflow'!A11968,"")</f>
        <v/>
      </c>
    </row>
    <row r="11970" spans="1:1">
      <c r="A11970" s="7" t="str">
        <f>IF('Document Workflow'!A11969&lt;&gt;"",'Document Workflow'!A11969,"")</f>
        <v/>
      </c>
    </row>
    <row r="11971" spans="1:1">
      <c r="A11971" s="7" t="str">
        <f>IF('Document Workflow'!A11970&lt;&gt;"",'Document Workflow'!A11970,"")</f>
        <v/>
      </c>
    </row>
    <row r="11972" spans="1:1">
      <c r="A11972" s="7" t="str">
        <f>IF('Document Workflow'!A11971&lt;&gt;"",'Document Workflow'!A11971,"")</f>
        <v/>
      </c>
    </row>
    <row r="11973" spans="1:1">
      <c r="A11973" s="7" t="str">
        <f>IF('Document Workflow'!A11972&lt;&gt;"",'Document Workflow'!A11972,"")</f>
        <v/>
      </c>
    </row>
    <row r="11974" spans="1:1">
      <c r="A11974" s="7" t="str">
        <f>IF('Document Workflow'!A11973&lt;&gt;"",'Document Workflow'!A11973,"")</f>
        <v/>
      </c>
    </row>
    <row r="11975" spans="1:1">
      <c r="A11975" s="7" t="str">
        <f>IF('Document Workflow'!A11974&lt;&gt;"",'Document Workflow'!A11974,"")</f>
        <v/>
      </c>
    </row>
    <row r="11976" spans="1:1">
      <c r="A11976" s="7" t="str">
        <f>IF('Document Workflow'!A11975&lt;&gt;"",'Document Workflow'!A11975,"")</f>
        <v/>
      </c>
    </row>
    <row r="11977" spans="1:1">
      <c r="A11977" s="7" t="str">
        <f>IF('Document Workflow'!A11976&lt;&gt;"",'Document Workflow'!A11976,"")</f>
        <v/>
      </c>
    </row>
    <row r="11978" spans="1:1">
      <c r="A11978" s="7" t="str">
        <f>IF('Document Workflow'!A11977&lt;&gt;"",'Document Workflow'!A11977,"")</f>
        <v/>
      </c>
    </row>
    <row r="11979" spans="1:1">
      <c r="A11979" s="7" t="str">
        <f>IF('Document Workflow'!A11978&lt;&gt;"",'Document Workflow'!A11978,"")</f>
        <v/>
      </c>
    </row>
    <row r="11980" spans="1:1">
      <c r="A11980" s="7" t="str">
        <f>IF('Document Workflow'!A11979&lt;&gt;"",'Document Workflow'!A11979,"")</f>
        <v/>
      </c>
    </row>
    <row r="11981" spans="1:1">
      <c r="A11981" s="7" t="str">
        <f>IF('Document Workflow'!A11980&lt;&gt;"",'Document Workflow'!A11980,"")</f>
        <v/>
      </c>
    </row>
    <row r="11982" spans="1:1">
      <c r="A11982" s="7" t="str">
        <f>IF('Document Workflow'!A11981&lt;&gt;"",'Document Workflow'!A11981,"")</f>
        <v/>
      </c>
    </row>
    <row r="11983" spans="1:1">
      <c r="A11983" s="7" t="str">
        <f>IF('Document Workflow'!A11982&lt;&gt;"",'Document Workflow'!A11982,"")</f>
        <v/>
      </c>
    </row>
    <row r="11984" spans="1:1">
      <c r="A11984" s="7" t="str">
        <f>IF('Document Workflow'!A11983&lt;&gt;"",'Document Workflow'!A11983,"")</f>
        <v/>
      </c>
    </row>
    <row r="11985" spans="1:1">
      <c r="A11985" s="7" t="str">
        <f>IF('Document Workflow'!A11984&lt;&gt;"",'Document Workflow'!A11984,"")</f>
        <v/>
      </c>
    </row>
    <row r="11986" spans="1:1">
      <c r="A11986" s="7" t="str">
        <f>IF('Document Workflow'!A11985&lt;&gt;"",'Document Workflow'!A11985,"")</f>
        <v/>
      </c>
    </row>
    <row r="11987" spans="1:1">
      <c r="A11987" s="7" t="str">
        <f>IF('Document Workflow'!A11986&lt;&gt;"",'Document Workflow'!A11986,"")</f>
        <v/>
      </c>
    </row>
    <row r="11988" spans="1:1">
      <c r="A11988" s="7" t="str">
        <f>IF('Document Workflow'!A11987&lt;&gt;"",'Document Workflow'!A11987,"")</f>
        <v/>
      </c>
    </row>
    <row r="11989" spans="1:1">
      <c r="A11989" s="7" t="str">
        <f>IF('Document Workflow'!A11988&lt;&gt;"",'Document Workflow'!A11988,"")</f>
        <v/>
      </c>
    </row>
    <row r="11990" spans="1:1">
      <c r="A11990" s="7" t="str">
        <f>IF('Document Workflow'!A11989&lt;&gt;"",'Document Workflow'!A11989,"")</f>
        <v/>
      </c>
    </row>
    <row r="11991" spans="1:1">
      <c r="A11991" s="7" t="str">
        <f>IF('Document Workflow'!A11990&lt;&gt;"",'Document Workflow'!A11990,"")</f>
        <v/>
      </c>
    </row>
    <row r="11992" spans="1:1">
      <c r="A11992" s="7" t="str">
        <f>IF('Document Workflow'!A11991&lt;&gt;"",'Document Workflow'!A11991,"")</f>
        <v/>
      </c>
    </row>
    <row r="11993" spans="1:1">
      <c r="A11993" s="7" t="str">
        <f>IF('Document Workflow'!A11992&lt;&gt;"",'Document Workflow'!A11992,"")</f>
        <v/>
      </c>
    </row>
    <row r="11994" spans="1:1">
      <c r="A11994" s="7" t="str">
        <f>IF('Document Workflow'!A11993&lt;&gt;"",'Document Workflow'!A11993,"")</f>
        <v/>
      </c>
    </row>
    <row r="11995" spans="1:1">
      <c r="A11995" s="7" t="str">
        <f>IF('Document Workflow'!A11994&lt;&gt;"",'Document Workflow'!A11994,"")</f>
        <v/>
      </c>
    </row>
    <row r="11996" spans="1:1">
      <c r="A11996" s="7" t="str">
        <f>IF('Document Workflow'!A11995&lt;&gt;"",'Document Workflow'!A11995,"")</f>
        <v/>
      </c>
    </row>
    <row r="11997" spans="1:1">
      <c r="A11997" s="7" t="str">
        <f>IF('Document Workflow'!A11996&lt;&gt;"",'Document Workflow'!A11996,"")</f>
        <v/>
      </c>
    </row>
    <row r="11998" spans="1:1">
      <c r="A11998" s="7" t="str">
        <f>IF('Document Workflow'!A11997&lt;&gt;"",'Document Workflow'!A11997,"")</f>
        <v/>
      </c>
    </row>
    <row r="11999" spans="1:1">
      <c r="A11999" s="7" t="str">
        <f>IF('Document Workflow'!A11998&lt;&gt;"",'Document Workflow'!A11998,"")</f>
        <v/>
      </c>
    </row>
    <row r="12000" spans="1:1">
      <c r="A12000" s="7" t="str">
        <f>IF('Document Workflow'!A11999&lt;&gt;"",'Document Workflow'!A11999,"")</f>
        <v/>
      </c>
    </row>
    <row r="12001" spans="1:1">
      <c r="A12001" s="7" t="str">
        <f>IF('Document Workflow'!A12000&lt;&gt;"",'Document Workflow'!A12000,"")</f>
        <v/>
      </c>
    </row>
    <row r="12002" spans="1:1">
      <c r="A12002" s="7" t="str">
        <f>IF('Document Workflow'!A12001&lt;&gt;"",'Document Workflow'!A12001,"")</f>
        <v/>
      </c>
    </row>
    <row r="12003" spans="1:1">
      <c r="A12003" s="7" t="str">
        <f>IF('Document Workflow'!A12002&lt;&gt;"",'Document Workflow'!A12002,"")</f>
        <v/>
      </c>
    </row>
    <row r="12004" spans="1:1">
      <c r="A12004" s="7" t="str">
        <f>IF('Document Workflow'!A12003&lt;&gt;"",'Document Workflow'!A12003,"")</f>
        <v/>
      </c>
    </row>
    <row r="12005" spans="1:1">
      <c r="A12005" s="7" t="str">
        <f>IF('Document Workflow'!A12004&lt;&gt;"",'Document Workflow'!A12004,"")</f>
        <v/>
      </c>
    </row>
    <row r="12006" spans="1:1">
      <c r="A12006" s="7" t="str">
        <f>IF('Document Workflow'!A12005&lt;&gt;"",'Document Workflow'!A12005,"")</f>
        <v/>
      </c>
    </row>
    <row r="12007" spans="1:1">
      <c r="A12007" s="7" t="str">
        <f>IF('Document Workflow'!A12006&lt;&gt;"",'Document Workflow'!A12006,"")</f>
        <v/>
      </c>
    </row>
    <row r="12008" spans="1:1">
      <c r="A12008" s="7" t="str">
        <f>IF('Document Workflow'!A12007&lt;&gt;"",'Document Workflow'!A12007,"")</f>
        <v/>
      </c>
    </row>
    <row r="12009" spans="1:1">
      <c r="A12009" s="7" t="str">
        <f>IF('Document Workflow'!A12008&lt;&gt;"",'Document Workflow'!A12008,"")</f>
        <v/>
      </c>
    </row>
    <row r="12010" spans="1:1">
      <c r="A12010" s="7" t="str">
        <f>IF('Document Workflow'!A12009&lt;&gt;"",'Document Workflow'!A12009,"")</f>
        <v/>
      </c>
    </row>
    <row r="12011" spans="1:1">
      <c r="A12011" s="7" t="str">
        <f>IF('Document Workflow'!A12010&lt;&gt;"",'Document Workflow'!A12010,"")</f>
        <v/>
      </c>
    </row>
    <row r="12012" spans="1:1">
      <c r="A12012" s="7" t="str">
        <f>IF('Document Workflow'!A12011&lt;&gt;"",'Document Workflow'!A12011,"")</f>
        <v/>
      </c>
    </row>
    <row r="12013" spans="1:1">
      <c r="A12013" s="7" t="str">
        <f>IF('Document Workflow'!A12012&lt;&gt;"",'Document Workflow'!A12012,"")</f>
        <v/>
      </c>
    </row>
    <row r="12014" spans="1:1">
      <c r="A12014" s="7" t="str">
        <f>IF('Document Workflow'!A12013&lt;&gt;"",'Document Workflow'!A12013,"")</f>
        <v/>
      </c>
    </row>
    <row r="12015" spans="1:1">
      <c r="A12015" s="7" t="str">
        <f>IF('Document Workflow'!A12014&lt;&gt;"",'Document Workflow'!A12014,"")</f>
        <v/>
      </c>
    </row>
    <row r="12016" spans="1:1">
      <c r="A12016" s="7" t="str">
        <f>IF('Document Workflow'!A12015&lt;&gt;"",'Document Workflow'!A12015,"")</f>
        <v/>
      </c>
    </row>
    <row r="12017" spans="1:1">
      <c r="A12017" s="7" t="str">
        <f>IF('Document Workflow'!A12016&lt;&gt;"",'Document Workflow'!A12016,"")</f>
        <v/>
      </c>
    </row>
    <row r="12018" spans="1:1">
      <c r="A12018" s="7" t="str">
        <f>IF('Document Workflow'!A12017&lt;&gt;"",'Document Workflow'!A12017,"")</f>
        <v/>
      </c>
    </row>
    <row r="12019" spans="1:1">
      <c r="A12019" s="7" t="str">
        <f>IF('Document Workflow'!A12018&lt;&gt;"",'Document Workflow'!A12018,"")</f>
        <v/>
      </c>
    </row>
    <row r="12020" spans="1:1">
      <c r="A12020" s="7" t="str">
        <f>IF('Document Workflow'!A12019&lt;&gt;"",'Document Workflow'!A12019,"")</f>
        <v/>
      </c>
    </row>
    <row r="12021" spans="1:1">
      <c r="A12021" s="7" t="str">
        <f>IF('Document Workflow'!A12020&lt;&gt;"",'Document Workflow'!A12020,"")</f>
        <v/>
      </c>
    </row>
    <row r="12022" spans="1:1">
      <c r="A12022" s="7" t="str">
        <f>IF('Document Workflow'!A12021&lt;&gt;"",'Document Workflow'!A12021,"")</f>
        <v/>
      </c>
    </row>
    <row r="12023" spans="1:1">
      <c r="A12023" s="7" t="str">
        <f>IF('Document Workflow'!A12022&lt;&gt;"",'Document Workflow'!A12022,"")</f>
        <v/>
      </c>
    </row>
    <row r="12024" spans="1:1">
      <c r="A12024" s="7" t="str">
        <f>IF('Document Workflow'!A12023&lt;&gt;"",'Document Workflow'!A12023,"")</f>
        <v/>
      </c>
    </row>
    <row r="12025" spans="1:1">
      <c r="A12025" s="7" t="str">
        <f>IF('Document Workflow'!A12024&lt;&gt;"",'Document Workflow'!A12024,"")</f>
        <v/>
      </c>
    </row>
    <row r="12026" spans="1:1">
      <c r="A12026" s="7" t="str">
        <f>IF('Document Workflow'!A12025&lt;&gt;"",'Document Workflow'!A12025,"")</f>
        <v/>
      </c>
    </row>
    <row r="12027" spans="1:1">
      <c r="A12027" s="7" t="str">
        <f>IF('Document Workflow'!A12026&lt;&gt;"",'Document Workflow'!A12026,"")</f>
        <v/>
      </c>
    </row>
    <row r="12028" spans="1:1">
      <c r="A12028" s="7" t="str">
        <f>IF('Document Workflow'!A12027&lt;&gt;"",'Document Workflow'!A12027,"")</f>
        <v/>
      </c>
    </row>
    <row r="12029" spans="1:1">
      <c r="A12029" s="7" t="str">
        <f>IF('Document Workflow'!A12028&lt;&gt;"",'Document Workflow'!A12028,"")</f>
        <v/>
      </c>
    </row>
    <row r="12030" spans="1:1">
      <c r="A12030" s="7" t="str">
        <f>IF('Document Workflow'!A12029&lt;&gt;"",'Document Workflow'!A12029,"")</f>
        <v/>
      </c>
    </row>
    <row r="12031" spans="1:1">
      <c r="A12031" s="7" t="str">
        <f>IF('Document Workflow'!A12030&lt;&gt;"",'Document Workflow'!A12030,"")</f>
        <v/>
      </c>
    </row>
    <row r="12032" spans="1:1">
      <c r="A12032" s="7" t="str">
        <f>IF('Document Workflow'!A12031&lt;&gt;"",'Document Workflow'!A12031,"")</f>
        <v/>
      </c>
    </row>
    <row r="12033" spans="1:1">
      <c r="A12033" s="7" t="str">
        <f>IF('Document Workflow'!A12032&lt;&gt;"",'Document Workflow'!A12032,"")</f>
        <v/>
      </c>
    </row>
    <row r="12034" spans="1:1">
      <c r="A12034" s="7" t="str">
        <f>IF('Document Workflow'!A12033&lt;&gt;"",'Document Workflow'!A12033,"")</f>
        <v/>
      </c>
    </row>
    <row r="12035" spans="1:1">
      <c r="A12035" s="7" t="str">
        <f>IF('Document Workflow'!A12034&lt;&gt;"",'Document Workflow'!A12034,"")</f>
        <v/>
      </c>
    </row>
    <row r="12036" spans="1:1">
      <c r="A12036" s="7" t="str">
        <f>IF('Document Workflow'!A12035&lt;&gt;"",'Document Workflow'!A12035,"")</f>
        <v/>
      </c>
    </row>
    <row r="12037" spans="1:1">
      <c r="A12037" s="7" t="str">
        <f>IF('Document Workflow'!A12036&lt;&gt;"",'Document Workflow'!A12036,"")</f>
        <v/>
      </c>
    </row>
    <row r="12038" spans="1:1">
      <c r="A12038" s="7" t="str">
        <f>IF('Document Workflow'!A12037&lt;&gt;"",'Document Workflow'!A12037,"")</f>
        <v/>
      </c>
    </row>
    <row r="12039" spans="1:1">
      <c r="A12039" s="7" t="str">
        <f>IF('Document Workflow'!A12038&lt;&gt;"",'Document Workflow'!A12038,"")</f>
        <v/>
      </c>
    </row>
    <row r="12040" spans="1:1">
      <c r="A12040" s="7" t="str">
        <f>IF('Document Workflow'!A12039&lt;&gt;"",'Document Workflow'!A12039,"")</f>
        <v/>
      </c>
    </row>
    <row r="12041" spans="1:1">
      <c r="A12041" s="7" t="str">
        <f>IF('Document Workflow'!A12040&lt;&gt;"",'Document Workflow'!A12040,"")</f>
        <v/>
      </c>
    </row>
    <row r="12042" spans="1:1">
      <c r="A12042" s="7" t="str">
        <f>IF('Document Workflow'!A12041&lt;&gt;"",'Document Workflow'!A12041,"")</f>
        <v/>
      </c>
    </row>
    <row r="12043" spans="1:1">
      <c r="A12043" s="7" t="str">
        <f>IF('Document Workflow'!A12042&lt;&gt;"",'Document Workflow'!A12042,"")</f>
        <v/>
      </c>
    </row>
    <row r="12044" spans="1:1">
      <c r="A12044" s="7" t="str">
        <f>IF('Document Workflow'!A12043&lt;&gt;"",'Document Workflow'!A12043,"")</f>
        <v/>
      </c>
    </row>
    <row r="12045" spans="1:1">
      <c r="A12045" s="7" t="str">
        <f>IF('Document Workflow'!A12044&lt;&gt;"",'Document Workflow'!A12044,"")</f>
        <v/>
      </c>
    </row>
    <row r="12046" spans="1:1">
      <c r="A12046" s="7" t="str">
        <f>IF('Document Workflow'!A12045&lt;&gt;"",'Document Workflow'!A12045,"")</f>
        <v/>
      </c>
    </row>
    <row r="12047" spans="1:1">
      <c r="A12047" s="7" t="str">
        <f>IF('Document Workflow'!A12046&lt;&gt;"",'Document Workflow'!A12046,"")</f>
        <v/>
      </c>
    </row>
    <row r="12048" spans="1:1">
      <c r="A12048" s="7" t="str">
        <f>IF('Document Workflow'!A12047&lt;&gt;"",'Document Workflow'!A12047,"")</f>
        <v/>
      </c>
    </row>
    <row r="12049" spans="1:1">
      <c r="A12049" s="7" t="str">
        <f>IF('Document Workflow'!A12048&lt;&gt;"",'Document Workflow'!A12048,"")</f>
        <v/>
      </c>
    </row>
    <row r="12050" spans="1:1">
      <c r="A12050" s="7" t="str">
        <f>IF('Document Workflow'!A12049&lt;&gt;"",'Document Workflow'!A12049,"")</f>
        <v/>
      </c>
    </row>
    <row r="12051" spans="1:1">
      <c r="A12051" s="7" t="str">
        <f>IF('Document Workflow'!A12050&lt;&gt;"",'Document Workflow'!A12050,"")</f>
        <v/>
      </c>
    </row>
    <row r="12052" spans="1:1">
      <c r="A12052" s="7" t="str">
        <f>IF('Document Workflow'!A12051&lt;&gt;"",'Document Workflow'!A12051,"")</f>
        <v/>
      </c>
    </row>
    <row r="12053" spans="1:1">
      <c r="A12053" s="7" t="str">
        <f>IF('Document Workflow'!A12052&lt;&gt;"",'Document Workflow'!A12052,"")</f>
        <v/>
      </c>
    </row>
    <row r="12054" spans="1:1">
      <c r="A12054" s="7" t="str">
        <f>IF('Document Workflow'!A12053&lt;&gt;"",'Document Workflow'!A12053,"")</f>
        <v/>
      </c>
    </row>
    <row r="12055" spans="1:1">
      <c r="A12055" s="7" t="str">
        <f>IF('Document Workflow'!A12054&lt;&gt;"",'Document Workflow'!A12054,"")</f>
        <v/>
      </c>
    </row>
    <row r="12056" spans="1:1">
      <c r="A12056" s="7" t="str">
        <f>IF('Document Workflow'!A12055&lt;&gt;"",'Document Workflow'!A12055,"")</f>
        <v/>
      </c>
    </row>
    <row r="12057" spans="1:1">
      <c r="A12057" s="7" t="str">
        <f>IF('Document Workflow'!A12056&lt;&gt;"",'Document Workflow'!A12056,"")</f>
        <v/>
      </c>
    </row>
    <row r="12058" spans="1:1">
      <c r="A12058" s="7" t="str">
        <f>IF('Document Workflow'!A12057&lt;&gt;"",'Document Workflow'!A12057,"")</f>
        <v/>
      </c>
    </row>
    <row r="12059" spans="1:1">
      <c r="A12059" s="7" t="str">
        <f>IF('Document Workflow'!A12058&lt;&gt;"",'Document Workflow'!A12058,"")</f>
        <v/>
      </c>
    </row>
    <row r="12060" spans="1:1">
      <c r="A12060" s="7" t="str">
        <f>IF('Document Workflow'!A12059&lt;&gt;"",'Document Workflow'!A12059,"")</f>
        <v/>
      </c>
    </row>
    <row r="12061" spans="1:1">
      <c r="A12061" s="7" t="str">
        <f>IF('Document Workflow'!A12060&lt;&gt;"",'Document Workflow'!A12060,"")</f>
        <v/>
      </c>
    </row>
    <row r="12062" spans="1:1">
      <c r="A12062" s="7" t="str">
        <f>IF('Document Workflow'!A12061&lt;&gt;"",'Document Workflow'!A12061,"")</f>
        <v/>
      </c>
    </row>
    <row r="12063" spans="1:1">
      <c r="A12063" s="7" t="str">
        <f>IF('Document Workflow'!A12062&lt;&gt;"",'Document Workflow'!A12062,"")</f>
        <v/>
      </c>
    </row>
    <row r="12064" spans="1:1">
      <c r="A12064" s="7" t="str">
        <f>IF('Document Workflow'!A12063&lt;&gt;"",'Document Workflow'!A12063,"")</f>
        <v/>
      </c>
    </row>
    <row r="12065" spans="1:1">
      <c r="A12065" s="7" t="str">
        <f>IF('Document Workflow'!A12064&lt;&gt;"",'Document Workflow'!A12064,"")</f>
        <v/>
      </c>
    </row>
    <row r="12066" spans="1:1">
      <c r="A12066" s="7" t="str">
        <f>IF('Document Workflow'!A12065&lt;&gt;"",'Document Workflow'!A12065,"")</f>
        <v/>
      </c>
    </row>
    <row r="12067" spans="1:1">
      <c r="A12067" s="7" t="str">
        <f>IF('Document Workflow'!A12066&lt;&gt;"",'Document Workflow'!A12066,"")</f>
        <v/>
      </c>
    </row>
    <row r="12068" spans="1:1">
      <c r="A12068" s="7" t="str">
        <f>IF('Document Workflow'!A12067&lt;&gt;"",'Document Workflow'!A12067,"")</f>
        <v/>
      </c>
    </row>
    <row r="12069" spans="1:1">
      <c r="A12069" s="7" t="str">
        <f>IF('Document Workflow'!A12068&lt;&gt;"",'Document Workflow'!A12068,"")</f>
        <v/>
      </c>
    </row>
    <row r="12070" spans="1:1">
      <c r="A12070" s="7" t="str">
        <f>IF('Document Workflow'!A12069&lt;&gt;"",'Document Workflow'!A12069,"")</f>
        <v/>
      </c>
    </row>
    <row r="12071" spans="1:1">
      <c r="A12071" s="7" t="str">
        <f>IF('Document Workflow'!A12070&lt;&gt;"",'Document Workflow'!A12070,"")</f>
        <v/>
      </c>
    </row>
    <row r="12072" spans="1:1">
      <c r="A12072" s="7" t="str">
        <f>IF('Document Workflow'!A12071&lt;&gt;"",'Document Workflow'!A12071,"")</f>
        <v/>
      </c>
    </row>
    <row r="12073" spans="1:1">
      <c r="A12073" s="7" t="str">
        <f>IF('Document Workflow'!A12072&lt;&gt;"",'Document Workflow'!A12072,"")</f>
        <v/>
      </c>
    </row>
    <row r="12074" spans="1:1">
      <c r="A12074" s="7" t="str">
        <f>IF('Document Workflow'!A12073&lt;&gt;"",'Document Workflow'!A12073,"")</f>
        <v/>
      </c>
    </row>
    <row r="12075" spans="1:1">
      <c r="A12075" s="7" t="str">
        <f>IF('Document Workflow'!A12074&lt;&gt;"",'Document Workflow'!A12074,"")</f>
        <v/>
      </c>
    </row>
    <row r="12076" spans="1:1">
      <c r="A12076" s="7" t="str">
        <f>IF('Document Workflow'!A12075&lt;&gt;"",'Document Workflow'!A12075,"")</f>
        <v/>
      </c>
    </row>
    <row r="12077" spans="1:1">
      <c r="A12077" s="7" t="str">
        <f>IF('Document Workflow'!A12076&lt;&gt;"",'Document Workflow'!A12076,"")</f>
        <v/>
      </c>
    </row>
    <row r="12078" spans="1:1">
      <c r="A12078" s="7" t="str">
        <f>IF('Document Workflow'!A12077&lt;&gt;"",'Document Workflow'!A12077,"")</f>
        <v/>
      </c>
    </row>
    <row r="12079" spans="1:1">
      <c r="A12079" s="7" t="str">
        <f>IF('Document Workflow'!A12078&lt;&gt;"",'Document Workflow'!A12078,"")</f>
        <v/>
      </c>
    </row>
    <row r="12080" spans="1:1">
      <c r="A12080" s="7" t="str">
        <f>IF('Document Workflow'!A12079&lt;&gt;"",'Document Workflow'!A12079,"")</f>
        <v/>
      </c>
    </row>
    <row r="12081" spans="1:1">
      <c r="A12081" s="7" t="str">
        <f>IF('Document Workflow'!A12080&lt;&gt;"",'Document Workflow'!A12080,"")</f>
        <v/>
      </c>
    </row>
    <row r="12082" spans="1:1">
      <c r="A12082" s="7" t="str">
        <f>IF('Document Workflow'!A12081&lt;&gt;"",'Document Workflow'!A12081,"")</f>
        <v/>
      </c>
    </row>
    <row r="12083" spans="1:1">
      <c r="A12083" s="7" t="str">
        <f>IF('Document Workflow'!A12082&lt;&gt;"",'Document Workflow'!A12082,"")</f>
        <v/>
      </c>
    </row>
    <row r="12084" spans="1:1">
      <c r="A12084" s="7" t="str">
        <f>IF('Document Workflow'!A12083&lt;&gt;"",'Document Workflow'!A12083,"")</f>
        <v/>
      </c>
    </row>
    <row r="12085" spans="1:1">
      <c r="A12085" s="7" t="str">
        <f>IF('Document Workflow'!A12084&lt;&gt;"",'Document Workflow'!A12084,"")</f>
        <v/>
      </c>
    </row>
    <row r="12086" spans="1:1">
      <c r="A12086" s="7" t="str">
        <f>IF('Document Workflow'!A12085&lt;&gt;"",'Document Workflow'!A12085,"")</f>
        <v/>
      </c>
    </row>
    <row r="12087" spans="1:1">
      <c r="A12087" s="7" t="str">
        <f>IF('Document Workflow'!A12086&lt;&gt;"",'Document Workflow'!A12086,"")</f>
        <v/>
      </c>
    </row>
    <row r="12088" spans="1:1">
      <c r="A12088" s="7" t="str">
        <f>IF('Document Workflow'!A12087&lt;&gt;"",'Document Workflow'!A12087,"")</f>
        <v/>
      </c>
    </row>
    <row r="12089" spans="1:1">
      <c r="A12089" s="7" t="str">
        <f>IF('Document Workflow'!A12088&lt;&gt;"",'Document Workflow'!A12088,"")</f>
        <v/>
      </c>
    </row>
    <row r="12090" spans="1:1">
      <c r="A12090" s="7" t="str">
        <f>IF('Document Workflow'!A12089&lt;&gt;"",'Document Workflow'!A12089,"")</f>
        <v/>
      </c>
    </row>
    <row r="12091" spans="1:1">
      <c r="A12091" s="7" t="str">
        <f>IF('Document Workflow'!A12090&lt;&gt;"",'Document Workflow'!A12090,"")</f>
        <v/>
      </c>
    </row>
    <row r="12092" spans="1:1">
      <c r="A12092" s="7" t="str">
        <f>IF('Document Workflow'!A12091&lt;&gt;"",'Document Workflow'!A12091,"")</f>
        <v/>
      </c>
    </row>
    <row r="12093" spans="1:1">
      <c r="A12093" s="7" t="str">
        <f>IF('Document Workflow'!A12092&lt;&gt;"",'Document Workflow'!A12092,"")</f>
        <v/>
      </c>
    </row>
    <row r="12094" spans="1:1">
      <c r="A12094" s="7" t="str">
        <f>IF('Document Workflow'!A12093&lt;&gt;"",'Document Workflow'!A12093,"")</f>
        <v/>
      </c>
    </row>
    <row r="12095" spans="1:1">
      <c r="A12095" s="7" t="str">
        <f>IF('Document Workflow'!A12094&lt;&gt;"",'Document Workflow'!A12094,"")</f>
        <v/>
      </c>
    </row>
    <row r="12096" spans="1:1">
      <c r="A12096" s="7" t="str">
        <f>IF('Document Workflow'!A12095&lt;&gt;"",'Document Workflow'!A12095,"")</f>
        <v/>
      </c>
    </row>
    <row r="12097" spans="1:1">
      <c r="A12097" s="7" t="str">
        <f>IF('Document Workflow'!A12096&lt;&gt;"",'Document Workflow'!A12096,"")</f>
        <v/>
      </c>
    </row>
    <row r="12098" spans="1:1">
      <c r="A12098" s="7" t="str">
        <f>IF('Document Workflow'!A12097&lt;&gt;"",'Document Workflow'!A12097,"")</f>
        <v/>
      </c>
    </row>
    <row r="12099" spans="1:1">
      <c r="A12099" s="7" t="str">
        <f>IF('Document Workflow'!A12098&lt;&gt;"",'Document Workflow'!A12098,"")</f>
        <v/>
      </c>
    </row>
    <row r="12100" spans="1:1">
      <c r="A12100" s="7" t="str">
        <f>IF('Document Workflow'!A12099&lt;&gt;"",'Document Workflow'!A12099,"")</f>
        <v/>
      </c>
    </row>
    <row r="12101" spans="1:1">
      <c r="A12101" s="7" t="str">
        <f>IF('Document Workflow'!A12100&lt;&gt;"",'Document Workflow'!A12100,"")</f>
        <v/>
      </c>
    </row>
    <row r="12102" spans="1:1">
      <c r="A12102" s="7" t="str">
        <f>IF('Document Workflow'!A12101&lt;&gt;"",'Document Workflow'!A12101,"")</f>
        <v/>
      </c>
    </row>
    <row r="12103" spans="1:1">
      <c r="A12103" s="7" t="str">
        <f>IF('Document Workflow'!A12102&lt;&gt;"",'Document Workflow'!A12102,"")</f>
        <v/>
      </c>
    </row>
    <row r="12104" spans="1:1">
      <c r="A12104" s="7" t="str">
        <f>IF('Document Workflow'!A12103&lt;&gt;"",'Document Workflow'!A12103,"")</f>
        <v/>
      </c>
    </row>
    <row r="12105" spans="1:1">
      <c r="A12105" s="7" t="str">
        <f>IF('Document Workflow'!A12104&lt;&gt;"",'Document Workflow'!A12104,"")</f>
        <v/>
      </c>
    </row>
    <row r="12106" spans="1:1">
      <c r="A12106" s="7" t="str">
        <f>IF('Document Workflow'!A12105&lt;&gt;"",'Document Workflow'!A12105,"")</f>
        <v/>
      </c>
    </row>
    <row r="12107" spans="1:1">
      <c r="A12107" s="7" t="str">
        <f>IF('Document Workflow'!A12106&lt;&gt;"",'Document Workflow'!A12106,"")</f>
        <v/>
      </c>
    </row>
    <row r="12108" spans="1:1">
      <c r="A12108" s="7" t="str">
        <f>IF('Document Workflow'!A12107&lt;&gt;"",'Document Workflow'!A12107,"")</f>
        <v/>
      </c>
    </row>
    <row r="12109" spans="1:1">
      <c r="A12109" s="7" t="str">
        <f>IF('Document Workflow'!A12108&lt;&gt;"",'Document Workflow'!A12108,"")</f>
        <v/>
      </c>
    </row>
    <row r="12110" spans="1:1">
      <c r="A12110" s="7" t="str">
        <f>IF('Document Workflow'!A12109&lt;&gt;"",'Document Workflow'!A12109,"")</f>
        <v/>
      </c>
    </row>
    <row r="12111" spans="1:1">
      <c r="A12111" s="7" t="str">
        <f>IF('Document Workflow'!A12110&lt;&gt;"",'Document Workflow'!A12110,"")</f>
        <v/>
      </c>
    </row>
    <row r="12112" spans="1:1">
      <c r="A12112" s="7" t="str">
        <f>IF('Document Workflow'!A12111&lt;&gt;"",'Document Workflow'!A12111,"")</f>
        <v/>
      </c>
    </row>
    <row r="12113" spans="1:1">
      <c r="A12113" s="7" t="str">
        <f>IF('Document Workflow'!A12112&lt;&gt;"",'Document Workflow'!A12112,"")</f>
        <v/>
      </c>
    </row>
    <row r="12114" spans="1:1">
      <c r="A12114" s="7" t="str">
        <f>IF('Document Workflow'!A12113&lt;&gt;"",'Document Workflow'!A12113,"")</f>
        <v/>
      </c>
    </row>
    <row r="12115" spans="1:1">
      <c r="A12115" s="7" t="str">
        <f>IF('Document Workflow'!A12114&lt;&gt;"",'Document Workflow'!A12114,"")</f>
        <v/>
      </c>
    </row>
    <row r="12116" spans="1:1">
      <c r="A12116" s="7" t="str">
        <f>IF('Document Workflow'!A12115&lt;&gt;"",'Document Workflow'!A12115,"")</f>
        <v/>
      </c>
    </row>
    <row r="12117" spans="1:1">
      <c r="A12117" s="7" t="str">
        <f>IF('Document Workflow'!A12116&lt;&gt;"",'Document Workflow'!A12116,"")</f>
        <v/>
      </c>
    </row>
    <row r="12118" spans="1:1">
      <c r="A12118" s="7" t="str">
        <f>IF('Document Workflow'!A12117&lt;&gt;"",'Document Workflow'!A12117,"")</f>
        <v/>
      </c>
    </row>
    <row r="12119" spans="1:1">
      <c r="A12119" s="7" t="str">
        <f>IF('Document Workflow'!A12118&lt;&gt;"",'Document Workflow'!A12118,"")</f>
        <v/>
      </c>
    </row>
    <row r="12120" spans="1:1">
      <c r="A12120" s="7" t="str">
        <f>IF('Document Workflow'!A12119&lt;&gt;"",'Document Workflow'!A12119,"")</f>
        <v/>
      </c>
    </row>
    <row r="12121" spans="1:1">
      <c r="A12121" s="7" t="str">
        <f>IF('Document Workflow'!A12120&lt;&gt;"",'Document Workflow'!A12120,"")</f>
        <v/>
      </c>
    </row>
    <row r="12122" spans="1:1">
      <c r="A12122" s="7" t="str">
        <f>IF('Document Workflow'!A12121&lt;&gt;"",'Document Workflow'!A12121,"")</f>
        <v/>
      </c>
    </row>
    <row r="12123" spans="1:1">
      <c r="A12123" s="7" t="str">
        <f>IF('Document Workflow'!A12122&lt;&gt;"",'Document Workflow'!A12122,"")</f>
        <v/>
      </c>
    </row>
    <row r="12124" spans="1:1">
      <c r="A12124" s="7" t="str">
        <f>IF('Document Workflow'!A12123&lt;&gt;"",'Document Workflow'!A12123,"")</f>
        <v/>
      </c>
    </row>
    <row r="12125" spans="1:1">
      <c r="A12125" s="7" t="str">
        <f>IF('Document Workflow'!A12124&lt;&gt;"",'Document Workflow'!A12124,"")</f>
        <v/>
      </c>
    </row>
    <row r="12126" spans="1:1">
      <c r="A12126" s="7" t="str">
        <f>IF('Document Workflow'!A12125&lt;&gt;"",'Document Workflow'!A12125,"")</f>
        <v/>
      </c>
    </row>
    <row r="12127" spans="1:1">
      <c r="A12127" s="7" t="str">
        <f>IF('Document Workflow'!A12126&lt;&gt;"",'Document Workflow'!A12126,"")</f>
        <v/>
      </c>
    </row>
    <row r="12128" spans="1:1">
      <c r="A12128" s="7" t="str">
        <f>IF('Document Workflow'!A12127&lt;&gt;"",'Document Workflow'!A12127,"")</f>
        <v/>
      </c>
    </row>
    <row r="12129" spans="1:1">
      <c r="A12129" s="7" t="str">
        <f>IF('Document Workflow'!A12128&lt;&gt;"",'Document Workflow'!A12128,"")</f>
        <v/>
      </c>
    </row>
    <row r="12130" spans="1:1">
      <c r="A12130" s="7" t="str">
        <f>IF('Document Workflow'!A12129&lt;&gt;"",'Document Workflow'!A12129,"")</f>
        <v/>
      </c>
    </row>
    <row r="12131" spans="1:1">
      <c r="A12131" s="7" t="str">
        <f>IF('Document Workflow'!A12130&lt;&gt;"",'Document Workflow'!A12130,"")</f>
        <v/>
      </c>
    </row>
    <row r="12132" spans="1:1">
      <c r="A12132" s="7" t="str">
        <f>IF('Document Workflow'!A12131&lt;&gt;"",'Document Workflow'!A12131,"")</f>
        <v/>
      </c>
    </row>
    <row r="12133" spans="1:1">
      <c r="A12133" s="7" t="str">
        <f>IF('Document Workflow'!A12132&lt;&gt;"",'Document Workflow'!A12132,"")</f>
        <v/>
      </c>
    </row>
    <row r="12134" spans="1:1">
      <c r="A12134" s="7" t="str">
        <f>IF('Document Workflow'!A12133&lt;&gt;"",'Document Workflow'!A12133,"")</f>
        <v/>
      </c>
    </row>
    <row r="12135" spans="1:1">
      <c r="A12135" s="7" t="str">
        <f>IF('Document Workflow'!A12134&lt;&gt;"",'Document Workflow'!A12134,"")</f>
        <v/>
      </c>
    </row>
    <row r="12136" spans="1:1">
      <c r="A12136" s="7" t="str">
        <f>IF('Document Workflow'!A12135&lt;&gt;"",'Document Workflow'!A12135,"")</f>
        <v/>
      </c>
    </row>
    <row r="12137" spans="1:1">
      <c r="A12137" s="7" t="str">
        <f>IF('Document Workflow'!A12136&lt;&gt;"",'Document Workflow'!A12136,"")</f>
        <v/>
      </c>
    </row>
    <row r="12138" spans="1:1">
      <c r="A12138" s="7" t="str">
        <f>IF('Document Workflow'!A12137&lt;&gt;"",'Document Workflow'!A12137,"")</f>
        <v/>
      </c>
    </row>
    <row r="12139" spans="1:1">
      <c r="A12139" s="7" t="str">
        <f>IF('Document Workflow'!A12138&lt;&gt;"",'Document Workflow'!A12138,"")</f>
        <v/>
      </c>
    </row>
    <row r="12140" spans="1:1">
      <c r="A12140" s="7" t="str">
        <f>IF('Document Workflow'!A12139&lt;&gt;"",'Document Workflow'!A12139,"")</f>
        <v/>
      </c>
    </row>
    <row r="12141" spans="1:1">
      <c r="A12141" s="7" t="str">
        <f>IF('Document Workflow'!A12140&lt;&gt;"",'Document Workflow'!A12140,"")</f>
        <v/>
      </c>
    </row>
    <row r="12142" spans="1:1">
      <c r="A12142" s="7" t="str">
        <f>IF('Document Workflow'!A12141&lt;&gt;"",'Document Workflow'!A12141,"")</f>
        <v/>
      </c>
    </row>
    <row r="12143" spans="1:1">
      <c r="A12143" s="7" t="str">
        <f>IF('Document Workflow'!A12142&lt;&gt;"",'Document Workflow'!A12142,"")</f>
        <v/>
      </c>
    </row>
    <row r="12144" spans="1:1">
      <c r="A12144" s="7" t="str">
        <f>IF('Document Workflow'!A12143&lt;&gt;"",'Document Workflow'!A12143,"")</f>
        <v/>
      </c>
    </row>
    <row r="12145" spans="1:1">
      <c r="A12145" s="7" t="str">
        <f>IF('Document Workflow'!A12144&lt;&gt;"",'Document Workflow'!A12144,"")</f>
        <v/>
      </c>
    </row>
    <row r="12146" spans="1:1">
      <c r="A12146" s="7" t="str">
        <f>IF('Document Workflow'!A12145&lt;&gt;"",'Document Workflow'!A12145,"")</f>
        <v/>
      </c>
    </row>
    <row r="12147" spans="1:1">
      <c r="A12147" s="7" t="str">
        <f>IF('Document Workflow'!A12146&lt;&gt;"",'Document Workflow'!A12146,"")</f>
        <v/>
      </c>
    </row>
    <row r="12148" spans="1:1">
      <c r="A12148" s="7" t="str">
        <f>IF('Document Workflow'!A12147&lt;&gt;"",'Document Workflow'!A12147,"")</f>
        <v/>
      </c>
    </row>
    <row r="12149" spans="1:1">
      <c r="A12149" s="7" t="str">
        <f>IF('Document Workflow'!A12148&lt;&gt;"",'Document Workflow'!A12148,"")</f>
        <v/>
      </c>
    </row>
    <row r="12150" spans="1:1">
      <c r="A12150" s="7" t="str">
        <f>IF('Document Workflow'!A12149&lt;&gt;"",'Document Workflow'!A12149,"")</f>
        <v/>
      </c>
    </row>
    <row r="12151" spans="1:1">
      <c r="A12151" s="7" t="str">
        <f>IF('Document Workflow'!A12150&lt;&gt;"",'Document Workflow'!A12150,"")</f>
        <v/>
      </c>
    </row>
    <row r="12152" spans="1:1">
      <c r="A12152" s="7" t="str">
        <f>IF('Document Workflow'!A12151&lt;&gt;"",'Document Workflow'!A12151,"")</f>
        <v/>
      </c>
    </row>
    <row r="12153" spans="1:1">
      <c r="A12153" s="7" t="str">
        <f>IF('Document Workflow'!A12152&lt;&gt;"",'Document Workflow'!A12152,"")</f>
        <v/>
      </c>
    </row>
    <row r="12154" spans="1:1">
      <c r="A12154" s="7" t="str">
        <f>IF('Document Workflow'!A12153&lt;&gt;"",'Document Workflow'!A12153,"")</f>
        <v/>
      </c>
    </row>
    <row r="12155" spans="1:1">
      <c r="A12155" s="7" t="str">
        <f>IF('Document Workflow'!A12154&lt;&gt;"",'Document Workflow'!A12154,"")</f>
        <v/>
      </c>
    </row>
    <row r="12156" spans="1:1">
      <c r="A12156" s="7" t="str">
        <f>IF('Document Workflow'!A12155&lt;&gt;"",'Document Workflow'!A12155,"")</f>
        <v/>
      </c>
    </row>
    <row r="12157" spans="1:1">
      <c r="A12157" s="7" t="str">
        <f>IF('Document Workflow'!A12156&lt;&gt;"",'Document Workflow'!A12156,"")</f>
        <v/>
      </c>
    </row>
    <row r="12158" spans="1:1">
      <c r="A12158" s="7" t="str">
        <f>IF('Document Workflow'!A12157&lt;&gt;"",'Document Workflow'!A12157,"")</f>
        <v/>
      </c>
    </row>
    <row r="12159" spans="1:1">
      <c r="A12159" s="7" t="str">
        <f>IF('Document Workflow'!A12158&lt;&gt;"",'Document Workflow'!A12158,"")</f>
        <v/>
      </c>
    </row>
    <row r="12160" spans="1:1">
      <c r="A12160" s="7" t="str">
        <f>IF('Document Workflow'!A12159&lt;&gt;"",'Document Workflow'!A12159,"")</f>
        <v/>
      </c>
    </row>
    <row r="12161" spans="1:1">
      <c r="A12161" s="7" t="str">
        <f>IF('Document Workflow'!A12160&lt;&gt;"",'Document Workflow'!A12160,"")</f>
        <v/>
      </c>
    </row>
    <row r="12162" spans="1:1">
      <c r="A12162" s="7" t="str">
        <f>IF('Document Workflow'!A12161&lt;&gt;"",'Document Workflow'!A12161,"")</f>
        <v/>
      </c>
    </row>
    <row r="12163" spans="1:1">
      <c r="A12163" s="7" t="str">
        <f>IF('Document Workflow'!A12162&lt;&gt;"",'Document Workflow'!A12162,"")</f>
        <v/>
      </c>
    </row>
    <row r="12164" spans="1:1">
      <c r="A12164" s="7" t="str">
        <f>IF('Document Workflow'!A12163&lt;&gt;"",'Document Workflow'!A12163,"")</f>
        <v/>
      </c>
    </row>
    <row r="12165" spans="1:1">
      <c r="A12165" s="7" t="str">
        <f>IF('Document Workflow'!A12164&lt;&gt;"",'Document Workflow'!A12164,"")</f>
        <v/>
      </c>
    </row>
    <row r="12166" spans="1:1">
      <c r="A12166" s="7" t="str">
        <f>IF('Document Workflow'!A12165&lt;&gt;"",'Document Workflow'!A12165,"")</f>
        <v/>
      </c>
    </row>
    <row r="12167" spans="1:1">
      <c r="A12167" s="7" t="str">
        <f>IF('Document Workflow'!A12166&lt;&gt;"",'Document Workflow'!A12166,"")</f>
        <v/>
      </c>
    </row>
    <row r="12168" spans="1:1">
      <c r="A12168" s="7" t="str">
        <f>IF('Document Workflow'!A12167&lt;&gt;"",'Document Workflow'!A12167,"")</f>
        <v/>
      </c>
    </row>
    <row r="12169" spans="1:1">
      <c r="A12169" s="7" t="str">
        <f>IF('Document Workflow'!A12168&lt;&gt;"",'Document Workflow'!A12168,"")</f>
        <v/>
      </c>
    </row>
    <row r="12170" spans="1:1">
      <c r="A12170" s="7" t="str">
        <f>IF('Document Workflow'!A12169&lt;&gt;"",'Document Workflow'!A12169,"")</f>
        <v/>
      </c>
    </row>
    <row r="12171" spans="1:1">
      <c r="A12171" s="7" t="str">
        <f>IF('Document Workflow'!A12170&lt;&gt;"",'Document Workflow'!A12170,"")</f>
        <v/>
      </c>
    </row>
    <row r="12172" spans="1:1">
      <c r="A12172" s="7" t="str">
        <f>IF('Document Workflow'!A12171&lt;&gt;"",'Document Workflow'!A12171,"")</f>
        <v/>
      </c>
    </row>
    <row r="12173" spans="1:1">
      <c r="A12173" s="7" t="str">
        <f>IF('Document Workflow'!A12172&lt;&gt;"",'Document Workflow'!A12172,"")</f>
        <v/>
      </c>
    </row>
    <row r="12174" spans="1:1">
      <c r="A12174" s="7" t="str">
        <f>IF('Document Workflow'!A12173&lt;&gt;"",'Document Workflow'!A12173,"")</f>
        <v/>
      </c>
    </row>
    <row r="12175" spans="1:1">
      <c r="A12175" s="7" t="str">
        <f>IF('Document Workflow'!A12174&lt;&gt;"",'Document Workflow'!A12174,"")</f>
        <v/>
      </c>
    </row>
    <row r="12176" spans="1:1">
      <c r="A12176" s="7" t="str">
        <f>IF('Document Workflow'!A12175&lt;&gt;"",'Document Workflow'!A12175,"")</f>
        <v/>
      </c>
    </row>
    <row r="12177" spans="1:1">
      <c r="A12177" s="7" t="str">
        <f>IF('Document Workflow'!A12176&lt;&gt;"",'Document Workflow'!A12176,"")</f>
        <v/>
      </c>
    </row>
    <row r="12178" spans="1:1">
      <c r="A12178" s="7" t="str">
        <f>IF('Document Workflow'!A12177&lt;&gt;"",'Document Workflow'!A12177,"")</f>
        <v/>
      </c>
    </row>
    <row r="12179" spans="1:1">
      <c r="A12179" s="7" t="str">
        <f>IF('Document Workflow'!A12178&lt;&gt;"",'Document Workflow'!A12178,"")</f>
        <v/>
      </c>
    </row>
    <row r="12180" spans="1:1">
      <c r="A12180" s="7" t="str">
        <f>IF('Document Workflow'!A12179&lt;&gt;"",'Document Workflow'!A12179,"")</f>
        <v/>
      </c>
    </row>
    <row r="12181" spans="1:1">
      <c r="A12181" s="7" t="str">
        <f>IF('Document Workflow'!A12180&lt;&gt;"",'Document Workflow'!A12180,"")</f>
        <v/>
      </c>
    </row>
    <row r="12182" spans="1:1">
      <c r="A12182" s="7" t="str">
        <f>IF('Document Workflow'!A12181&lt;&gt;"",'Document Workflow'!A12181,"")</f>
        <v/>
      </c>
    </row>
    <row r="12183" spans="1:1">
      <c r="A12183" s="7" t="str">
        <f>IF('Document Workflow'!A12182&lt;&gt;"",'Document Workflow'!A12182,"")</f>
        <v/>
      </c>
    </row>
    <row r="12184" spans="1:1">
      <c r="A12184" s="7" t="str">
        <f>IF('Document Workflow'!A12183&lt;&gt;"",'Document Workflow'!A12183,"")</f>
        <v/>
      </c>
    </row>
    <row r="12185" spans="1:1">
      <c r="A12185" s="7" t="str">
        <f>IF('Document Workflow'!A12184&lt;&gt;"",'Document Workflow'!A12184,"")</f>
        <v/>
      </c>
    </row>
    <row r="12186" spans="1:1">
      <c r="A12186" s="7" t="str">
        <f>IF('Document Workflow'!A12185&lt;&gt;"",'Document Workflow'!A12185,"")</f>
        <v/>
      </c>
    </row>
    <row r="12187" spans="1:1">
      <c r="A12187" s="7" t="str">
        <f>IF('Document Workflow'!A12186&lt;&gt;"",'Document Workflow'!A12186,"")</f>
        <v/>
      </c>
    </row>
    <row r="12188" spans="1:1">
      <c r="A12188" s="7" t="str">
        <f>IF('Document Workflow'!A12187&lt;&gt;"",'Document Workflow'!A12187,"")</f>
        <v/>
      </c>
    </row>
    <row r="12189" spans="1:1">
      <c r="A12189" s="7" t="str">
        <f>IF('Document Workflow'!A12188&lt;&gt;"",'Document Workflow'!A12188,"")</f>
        <v/>
      </c>
    </row>
    <row r="12190" spans="1:1">
      <c r="A12190" s="7" t="str">
        <f>IF('Document Workflow'!A12189&lt;&gt;"",'Document Workflow'!A12189,"")</f>
        <v/>
      </c>
    </row>
    <row r="12191" spans="1:1">
      <c r="A12191" s="7" t="str">
        <f>IF('Document Workflow'!A12190&lt;&gt;"",'Document Workflow'!A12190,"")</f>
        <v/>
      </c>
    </row>
    <row r="12192" spans="1:1">
      <c r="A12192" s="7" t="str">
        <f>IF('Document Workflow'!A12191&lt;&gt;"",'Document Workflow'!A12191,"")</f>
        <v/>
      </c>
    </row>
    <row r="12193" spans="1:1">
      <c r="A12193" s="7" t="str">
        <f>IF('Document Workflow'!A12192&lt;&gt;"",'Document Workflow'!A12192,"")</f>
        <v/>
      </c>
    </row>
    <row r="12194" spans="1:1">
      <c r="A12194" s="7" t="str">
        <f>IF('Document Workflow'!A12193&lt;&gt;"",'Document Workflow'!A12193,"")</f>
        <v/>
      </c>
    </row>
    <row r="12195" spans="1:1">
      <c r="A12195" s="7" t="str">
        <f>IF('Document Workflow'!A12194&lt;&gt;"",'Document Workflow'!A12194,"")</f>
        <v/>
      </c>
    </row>
    <row r="12196" spans="1:1">
      <c r="A12196" s="7" t="str">
        <f>IF('Document Workflow'!A12195&lt;&gt;"",'Document Workflow'!A12195,"")</f>
        <v/>
      </c>
    </row>
    <row r="12197" spans="1:1">
      <c r="A12197" s="7" t="str">
        <f>IF('Document Workflow'!A12196&lt;&gt;"",'Document Workflow'!A12196,"")</f>
        <v/>
      </c>
    </row>
    <row r="12198" spans="1:1">
      <c r="A12198" s="7" t="str">
        <f>IF('Document Workflow'!A12197&lt;&gt;"",'Document Workflow'!A12197,"")</f>
        <v/>
      </c>
    </row>
    <row r="12199" spans="1:1">
      <c r="A12199" s="7" t="str">
        <f>IF('Document Workflow'!A12198&lt;&gt;"",'Document Workflow'!A12198,"")</f>
        <v/>
      </c>
    </row>
    <row r="12200" spans="1:1">
      <c r="A12200" s="7" t="str">
        <f>IF('Document Workflow'!A12199&lt;&gt;"",'Document Workflow'!A12199,"")</f>
        <v/>
      </c>
    </row>
    <row r="12201" spans="1:1">
      <c r="A12201" s="7" t="str">
        <f>IF('Document Workflow'!A12200&lt;&gt;"",'Document Workflow'!A12200,"")</f>
        <v/>
      </c>
    </row>
    <row r="12202" spans="1:1">
      <c r="A12202" s="7" t="str">
        <f>IF('Document Workflow'!A12201&lt;&gt;"",'Document Workflow'!A12201,"")</f>
        <v/>
      </c>
    </row>
    <row r="12203" spans="1:1">
      <c r="A12203" s="7" t="str">
        <f>IF('Document Workflow'!A12202&lt;&gt;"",'Document Workflow'!A12202,"")</f>
        <v/>
      </c>
    </row>
    <row r="12204" spans="1:1">
      <c r="A12204" s="7" t="str">
        <f>IF('Document Workflow'!A12203&lt;&gt;"",'Document Workflow'!A12203,"")</f>
        <v/>
      </c>
    </row>
    <row r="12205" spans="1:1">
      <c r="A12205" s="7" t="str">
        <f>IF('Document Workflow'!A12204&lt;&gt;"",'Document Workflow'!A12204,"")</f>
        <v/>
      </c>
    </row>
    <row r="12206" spans="1:1">
      <c r="A12206" s="7" t="str">
        <f>IF('Document Workflow'!A12205&lt;&gt;"",'Document Workflow'!A12205,"")</f>
        <v/>
      </c>
    </row>
    <row r="12207" spans="1:1">
      <c r="A12207" s="7" t="str">
        <f>IF('Document Workflow'!A12206&lt;&gt;"",'Document Workflow'!A12206,"")</f>
        <v/>
      </c>
    </row>
    <row r="12208" spans="1:1">
      <c r="A12208" s="7" t="str">
        <f>IF('Document Workflow'!A12207&lt;&gt;"",'Document Workflow'!A12207,"")</f>
        <v/>
      </c>
    </row>
    <row r="12209" spans="1:1">
      <c r="A12209" s="7" t="str">
        <f>IF('Document Workflow'!A12208&lt;&gt;"",'Document Workflow'!A12208,"")</f>
        <v/>
      </c>
    </row>
    <row r="12210" spans="1:1">
      <c r="A12210" s="7" t="str">
        <f>IF('Document Workflow'!A12209&lt;&gt;"",'Document Workflow'!A12209,"")</f>
        <v/>
      </c>
    </row>
    <row r="12211" spans="1:1">
      <c r="A12211" s="7" t="str">
        <f>IF('Document Workflow'!A12210&lt;&gt;"",'Document Workflow'!A12210,"")</f>
        <v/>
      </c>
    </row>
    <row r="12212" spans="1:1">
      <c r="A12212" s="7" t="str">
        <f>IF('Document Workflow'!A12211&lt;&gt;"",'Document Workflow'!A12211,"")</f>
        <v/>
      </c>
    </row>
    <row r="12213" spans="1:1">
      <c r="A12213" s="7" t="str">
        <f>IF('Document Workflow'!A12212&lt;&gt;"",'Document Workflow'!A12212,"")</f>
        <v/>
      </c>
    </row>
    <row r="12214" spans="1:1">
      <c r="A12214" s="7" t="str">
        <f>IF('Document Workflow'!A12213&lt;&gt;"",'Document Workflow'!A12213,"")</f>
        <v/>
      </c>
    </row>
    <row r="12215" spans="1:1">
      <c r="A12215" s="7" t="str">
        <f>IF('Document Workflow'!A12214&lt;&gt;"",'Document Workflow'!A12214,"")</f>
        <v/>
      </c>
    </row>
    <row r="12216" spans="1:1">
      <c r="A12216" s="7" t="str">
        <f>IF('Document Workflow'!A12215&lt;&gt;"",'Document Workflow'!A12215,"")</f>
        <v/>
      </c>
    </row>
    <row r="12217" spans="1:1">
      <c r="A12217" s="7" t="str">
        <f>IF('Document Workflow'!A12216&lt;&gt;"",'Document Workflow'!A12216,"")</f>
        <v/>
      </c>
    </row>
    <row r="12218" spans="1:1">
      <c r="A12218" s="7" t="str">
        <f>IF('Document Workflow'!A12217&lt;&gt;"",'Document Workflow'!A12217,"")</f>
        <v/>
      </c>
    </row>
    <row r="12219" spans="1:1">
      <c r="A12219" s="7" t="str">
        <f>IF('Document Workflow'!A12218&lt;&gt;"",'Document Workflow'!A12218,"")</f>
        <v/>
      </c>
    </row>
    <row r="12220" spans="1:1">
      <c r="A12220" s="7" t="str">
        <f>IF('Document Workflow'!A12219&lt;&gt;"",'Document Workflow'!A12219,"")</f>
        <v/>
      </c>
    </row>
    <row r="12221" spans="1:1">
      <c r="A12221" s="7" t="str">
        <f>IF('Document Workflow'!A12220&lt;&gt;"",'Document Workflow'!A12220,"")</f>
        <v/>
      </c>
    </row>
    <row r="12222" spans="1:1">
      <c r="A12222" s="7" t="str">
        <f>IF('Document Workflow'!A12221&lt;&gt;"",'Document Workflow'!A12221,"")</f>
        <v/>
      </c>
    </row>
    <row r="12223" spans="1:1">
      <c r="A12223" s="7" t="str">
        <f>IF('Document Workflow'!A12222&lt;&gt;"",'Document Workflow'!A12222,"")</f>
        <v/>
      </c>
    </row>
    <row r="12224" spans="1:1">
      <c r="A12224" s="7" t="str">
        <f>IF('Document Workflow'!A12223&lt;&gt;"",'Document Workflow'!A12223,"")</f>
        <v/>
      </c>
    </row>
    <row r="12225" spans="1:1">
      <c r="A12225" s="7" t="str">
        <f>IF('Document Workflow'!A12224&lt;&gt;"",'Document Workflow'!A12224,"")</f>
        <v/>
      </c>
    </row>
    <row r="12226" spans="1:1">
      <c r="A12226" s="7" t="str">
        <f>IF('Document Workflow'!A12225&lt;&gt;"",'Document Workflow'!A12225,"")</f>
        <v/>
      </c>
    </row>
    <row r="12227" spans="1:1">
      <c r="A12227" s="7" t="str">
        <f>IF('Document Workflow'!A12226&lt;&gt;"",'Document Workflow'!A12226,"")</f>
        <v/>
      </c>
    </row>
    <row r="12228" spans="1:1">
      <c r="A12228" s="7" t="str">
        <f>IF('Document Workflow'!A12227&lt;&gt;"",'Document Workflow'!A12227,"")</f>
        <v/>
      </c>
    </row>
    <row r="12229" spans="1:1">
      <c r="A12229" s="7" t="str">
        <f>IF('Document Workflow'!A12228&lt;&gt;"",'Document Workflow'!A12228,"")</f>
        <v/>
      </c>
    </row>
    <row r="12230" spans="1:1">
      <c r="A12230" s="7" t="str">
        <f>IF('Document Workflow'!A12229&lt;&gt;"",'Document Workflow'!A12229,"")</f>
        <v/>
      </c>
    </row>
    <row r="12231" spans="1:1">
      <c r="A12231" s="7" t="str">
        <f>IF('Document Workflow'!A12230&lt;&gt;"",'Document Workflow'!A12230,"")</f>
        <v/>
      </c>
    </row>
    <row r="12232" spans="1:1">
      <c r="A12232" s="7" t="str">
        <f>IF('Document Workflow'!A12231&lt;&gt;"",'Document Workflow'!A12231,"")</f>
        <v/>
      </c>
    </row>
    <row r="12233" spans="1:1">
      <c r="A12233" s="7" t="str">
        <f>IF('Document Workflow'!A12232&lt;&gt;"",'Document Workflow'!A12232,"")</f>
        <v/>
      </c>
    </row>
    <row r="12234" spans="1:1">
      <c r="A12234" s="7" t="str">
        <f>IF('Document Workflow'!A12233&lt;&gt;"",'Document Workflow'!A12233,"")</f>
        <v/>
      </c>
    </row>
    <row r="12235" spans="1:1">
      <c r="A12235" s="7" t="str">
        <f>IF('Document Workflow'!A12234&lt;&gt;"",'Document Workflow'!A12234,"")</f>
        <v/>
      </c>
    </row>
    <row r="12236" spans="1:1">
      <c r="A12236" s="7" t="str">
        <f>IF('Document Workflow'!A12235&lt;&gt;"",'Document Workflow'!A12235,"")</f>
        <v/>
      </c>
    </row>
    <row r="12237" spans="1:1">
      <c r="A12237" s="7" t="str">
        <f>IF('Document Workflow'!A12236&lt;&gt;"",'Document Workflow'!A12236,"")</f>
        <v/>
      </c>
    </row>
    <row r="12238" spans="1:1">
      <c r="A12238" s="7" t="str">
        <f>IF('Document Workflow'!A12237&lt;&gt;"",'Document Workflow'!A12237,"")</f>
        <v/>
      </c>
    </row>
    <row r="12239" spans="1:1">
      <c r="A12239" s="7" t="str">
        <f>IF('Document Workflow'!A12238&lt;&gt;"",'Document Workflow'!A12238,"")</f>
        <v/>
      </c>
    </row>
    <row r="12240" spans="1:1">
      <c r="A12240" s="7" t="str">
        <f>IF('Document Workflow'!A12239&lt;&gt;"",'Document Workflow'!A12239,"")</f>
        <v/>
      </c>
    </row>
    <row r="12241" spans="1:1">
      <c r="A12241" s="7" t="str">
        <f>IF('Document Workflow'!A12240&lt;&gt;"",'Document Workflow'!A12240,"")</f>
        <v/>
      </c>
    </row>
    <row r="12242" spans="1:1">
      <c r="A12242" s="7" t="str">
        <f>IF('Document Workflow'!A12241&lt;&gt;"",'Document Workflow'!A12241,"")</f>
        <v/>
      </c>
    </row>
    <row r="12243" spans="1:1">
      <c r="A12243" s="7" t="str">
        <f>IF('Document Workflow'!A12242&lt;&gt;"",'Document Workflow'!A12242,"")</f>
        <v/>
      </c>
    </row>
  </sheetData>
  <sheetProtection sheet="1" objects="1" scenarios="1"/>
  <mergeCells count="1">
    <mergeCell ref="B1:D1"/>
  </mergeCells>
  <conditionalFormatting sqref="A2 B1:D22 B23:B1001 D23:D1001 C23:C1003">
    <cfRule type="containsText" dxfId="6" priority="1" operator="containsText" text="no">
      <formula>NOT(ISERROR(SEARCH(("no"),(A1))))</formula>
    </cfRule>
  </conditionalFormatting>
  <dataValidations count="2">
    <dataValidation type="list" allowBlank="1" sqref="B3:B103 D3:D103" xr:uid="{00000000-0002-0000-0300-000000000000}">
      <formula1>"yes,no"</formula1>
    </dataValidation>
    <dataValidation allowBlank="1" sqref="C1:C1048576" xr:uid="{BA2CE69F-D2DA-466A-B738-165A994854CA}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44E62-AD82-4828-902C-EC4C56877897}">
  <sheetPr codeName="Sheet7"/>
  <dimension ref="A1:N125"/>
  <sheetViews>
    <sheetView workbookViewId="0">
      <selection activeCell="I27" sqref="I27"/>
    </sheetView>
  </sheetViews>
  <sheetFormatPr defaultRowHeight="15"/>
  <cols>
    <col min="1" max="1" width="18.140625" style="2" bestFit="1" customWidth="1"/>
    <col min="2" max="2" width="5.140625" style="2" bestFit="1" customWidth="1"/>
    <col min="3" max="3" width="38.85546875" style="32" customWidth="1"/>
    <col min="4" max="4" width="19.85546875" style="32" bestFit="1" customWidth="1"/>
    <col min="5" max="5" width="9.5703125" style="2" bestFit="1" customWidth="1"/>
    <col min="11" max="11" width="8.85546875" customWidth="1"/>
    <col min="13" max="13" width="10.85546875" bestFit="1" customWidth="1"/>
    <col min="14" max="14" width="15.5703125" bestFit="1" customWidth="1"/>
  </cols>
  <sheetData>
    <row r="1" spans="1:14" s="17" customFormat="1">
      <c r="A1" s="17" t="s">
        <v>303</v>
      </c>
      <c r="B1" s="17" t="s">
        <v>304</v>
      </c>
      <c r="C1" s="17" t="s">
        <v>305</v>
      </c>
      <c r="D1" s="17" t="s">
        <v>306</v>
      </c>
      <c r="E1" s="17" t="s">
        <v>128</v>
      </c>
      <c r="J1" s="17" t="s">
        <v>307</v>
      </c>
      <c r="K1" s="18" t="s">
        <v>308</v>
      </c>
      <c r="M1" s="17" t="s">
        <v>309</v>
      </c>
      <c r="N1" s="19">
        <v>43702.542523148149</v>
      </c>
    </row>
    <row r="2" spans="1:14">
      <c r="C2" s="42"/>
      <c r="E2" s="2" t="s">
        <v>310</v>
      </c>
      <c r="F2" s="2"/>
    </row>
    <row r="3" spans="1:14">
      <c r="C3" s="42"/>
      <c r="E3" s="2" t="s">
        <v>311</v>
      </c>
      <c r="F3" s="2"/>
    </row>
    <row r="4" spans="1:14">
      <c r="C4" s="42"/>
      <c r="F4" s="2"/>
    </row>
    <row r="5" spans="1:14">
      <c r="C5" s="42"/>
      <c r="F5" s="2"/>
    </row>
    <row r="6" spans="1:14">
      <c r="C6" s="42"/>
      <c r="F6" s="2"/>
    </row>
    <row r="7" spans="1:14">
      <c r="C7" s="42"/>
      <c r="F7" s="2"/>
    </row>
    <row r="8" spans="1:14">
      <c r="C8" s="42"/>
      <c r="F8" s="2"/>
    </row>
    <row r="9" spans="1:14">
      <c r="C9" s="42"/>
      <c r="F9" s="2"/>
    </row>
    <row r="10" spans="1:14">
      <c r="C10" s="42"/>
      <c r="F10" s="2"/>
    </row>
    <row r="11" spans="1:14">
      <c r="C11" s="42"/>
      <c r="F11" s="2"/>
    </row>
    <row r="12" spans="1:14">
      <c r="C12" s="42"/>
      <c r="F12" s="2"/>
    </row>
    <row r="13" spans="1:14">
      <c r="C13" s="42"/>
      <c r="F13" s="2"/>
    </row>
    <row r="14" spans="1:14">
      <c r="C14" s="42"/>
      <c r="F14" s="2"/>
    </row>
    <row r="15" spans="1:14">
      <c r="C15" s="42"/>
      <c r="F15" s="2"/>
    </row>
    <row r="16" spans="1:14">
      <c r="C16" s="42"/>
      <c r="F16" s="2"/>
    </row>
    <row r="17" spans="3:6">
      <c r="C17" s="42"/>
      <c r="F17" s="2"/>
    </row>
    <row r="18" spans="3:6">
      <c r="C18" s="42"/>
      <c r="F18" s="2"/>
    </row>
    <row r="19" spans="3:6">
      <c r="C19" s="14"/>
      <c r="F19" s="2"/>
    </row>
    <row r="20" spans="3:6">
      <c r="C20" s="14"/>
      <c r="F20" s="2"/>
    </row>
    <row r="21" spans="3:6">
      <c r="C21" s="14"/>
      <c r="F21" s="2"/>
    </row>
    <row r="22" spans="3:6">
      <c r="C22" s="14"/>
      <c r="F22" s="2"/>
    </row>
    <row r="23" spans="3:6">
      <c r="C23" s="14"/>
      <c r="F23" s="2"/>
    </row>
    <row r="24" spans="3:6">
      <c r="C24" s="14"/>
      <c r="F24" s="2"/>
    </row>
    <row r="25" spans="3:6">
      <c r="C25" s="14"/>
      <c r="F25" s="2"/>
    </row>
    <row r="26" spans="3:6">
      <c r="C26" s="14"/>
      <c r="F26" s="2"/>
    </row>
    <row r="27" spans="3:6">
      <c r="C27" s="14"/>
      <c r="F27" s="2"/>
    </row>
    <row r="28" spans="3:6">
      <c r="C28" s="14"/>
      <c r="F28" s="2"/>
    </row>
    <row r="29" spans="3:6">
      <c r="C29" s="14"/>
      <c r="F29" s="2"/>
    </row>
    <row r="30" spans="3:6">
      <c r="C30" s="42"/>
      <c r="F30" s="2"/>
    </row>
    <row r="31" spans="3:6">
      <c r="C31" s="42"/>
      <c r="F31" s="2"/>
    </row>
    <row r="32" spans="3:6">
      <c r="C32" s="42"/>
      <c r="F32" s="2"/>
    </row>
    <row r="33" spans="3:6">
      <c r="C33" s="42"/>
      <c r="F33" s="2"/>
    </row>
    <row r="34" spans="3:6">
      <c r="C34" s="42"/>
      <c r="F34" s="2"/>
    </row>
    <row r="35" spans="3:6">
      <c r="C35" s="42"/>
      <c r="F35" s="2"/>
    </row>
    <row r="36" spans="3:6">
      <c r="C36" s="42"/>
      <c r="F36" s="2"/>
    </row>
    <row r="37" spans="3:6">
      <c r="C37" s="42"/>
      <c r="F37" s="2"/>
    </row>
    <row r="38" spans="3:6">
      <c r="C38" s="42"/>
      <c r="F38" s="2"/>
    </row>
    <row r="39" spans="3:6">
      <c r="C39" s="42"/>
      <c r="F39" s="2"/>
    </row>
    <row r="40" spans="3:6">
      <c r="C40" s="42"/>
      <c r="F40" s="2"/>
    </row>
    <row r="41" spans="3:6">
      <c r="C41" s="42"/>
      <c r="F41" s="2"/>
    </row>
    <row r="42" spans="3:6">
      <c r="C42" s="42"/>
      <c r="F42" s="2"/>
    </row>
    <row r="43" spans="3:6">
      <c r="C43" s="42"/>
      <c r="F43" s="2"/>
    </row>
    <row r="44" spans="3:6">
      <c r="C44" s="42"/>
      <c r="F44" s="2"/>
    </row>
    <row r="45" spans="3:6">
      <c r="C45" s="42"/>
      <c r="F45" s="2"/>
    </row>
    <row r="46" spans="3:6">
      <c r="C46" s="42"/>
      <c r="F46" s="2"/>
    </row>
    <row r="47" spans="3:6">
      <c r="C47" s="42"/>
    </row>
    <row r="48" spans="3:6">
      <c r="C48" s="42"/>
    </row>
    <row r="49" spans="3:3">
      <c r="C49" s="42"/>
    </row>
    <row r="50" spans="3:3">
      <c r="C50" s="14"/>
    </row>
    <row r="51" spans="3:3">
      <c r="C51" s="42"/>
    </row>
    <row r="52" spans="3:3">
      <c r="C52" s="42"/>
    </row>
    <row r="53" spans="3:3">
      <c r="C53" s="42"/>
    </row>
    <row r="54" spans="3:3">
      <c r="C54" s="42"/>
    </row>
    <row r="55" spans="3:3">
      <c r="C55" s="42"/>
    </row>
    <row r="56" spans="3:3">
      <c r="C56" s="42"/>
    </row>
    <row r="57" spans="3:3">
      <c r="C57" s="42"/>
    </row>
    <row r="58" spans="3:3">
      <c r="C58" s="42"/>
    </row>
    <row r="59" spans="3:3">
      <c r="C59" s="42"/>
    </row>
    <row r="60" spans="3:3">
      <c r="C60" s="42"/>
    </row>
    <row r="61" spans="3:3">
      <c r="C61" s="42"/>
    </row>
    <row r="62" spans="3:3">
      <c r="C62" s="42"/>
    </row>
    <row r="63" spans="3:3">
      <c r="C63" s="42"/>
    </row>
    <row r="64" spans="3:3">
      <c r="C64" s="42"/>
    </row>
    <row r="65" spans="3:3">
      <c r="C65" s="42"/>
    </row>
    <row r="66" spans="3:3">
      <c r="C66" s="42"/>
    </row>
    <row r="67" spans="3:3">
      <c r="C67" s="42"/>
    </row>
    <row r="68" spans="3:3">
      <c r="C68" s="42"/>
    </row>
    <row r="69" spans="3:3">
      <c r="C69" s="42"/>
    </row>
    <row r="70" spans="3:3">
      <c r="C70" s="42"/>
    </row>
    <row r="71" spans="3:3">
      <c r="C71" s="42"/>
    </row>
    <row r="72" spans="3:3">
      <c r="C72" s="42"/>
    </row>
    <row r="73" spans="3:3">
      <c r="C73" s="42"/>
    </row>
    <row r="74" spans="3:3">
      <c r="C74" s="42"/>
    </row>
    <row r="75" spans="3:3">
      <c r="C75" s="42"/>
    </row>
    <row r="76" spans="3:3">
      <c r="C76" s="42"/>
    </row>
    <row r="77" spans="3:3">
      <c r="C77" s="42"/>
    </row>
    <row r="78" spans="3:3">
      <c r="C78" s="42"/>
    </row>
    <row r="79" spans="3:3">
      <c r="C79" s="42"/>
    </row>
    <row r="80" spans="3:3">
      <c r="C80" s="42"/>
    </row>
    <row r="81" spans="3:3">
      <c r="C81" s="42"/>
    </row>
    <row r="82" spans="3:3">
      <c r="C82" s="42"/>
    </row>
    <row r="83" spans="3:3">
      <c r="C83" s="42"/>
    </row>
    <row r="84" spans="3:3">
      <c r="C84" s="42"/>
    </row>
    <row r="85" spans="3:3">
      <c r="C85" s="42"/>
    </row>
    <row r="86" spans="3:3">
      <c r="C86" s="42"/>
    </row>
    <row r="87" spans="3:3">
      <c r="C87" s="42"/>
    </row>
    <row r="88" spans="3:3">
      <c r="C88" s="42"/>
    </row>
    <row r="89" spans="3:3">
      <c r="C89" s="42"/>
    </row>
    <row r="90" spans="3:3">
      <c r="C90" s="42"/>
    </row>
    <row r="91" spans="3:3">
      <c r="C91" s="42"/>
    </row>
    <row r="92" spans="3:3">
      <c r="C92" s="42"/>
    </row>
    <row r="93" spans="3:3">
      <c r="C93" s="42"/>
    </row>
    <row r="94" spans="3:3">
      <c r="C94" s="42"/>
    </row>
    <row r="95" spans="3:3">
      <c r="C95" s="42"/>
    </row>
    <row r="96" spans="3:3">
      <c r="C96" s="42"/>
    </row>
    <row r="97" spans="3:3">
      <c r="C97" s="42"/>
    </row>
    <row r="98" spans="3:3">
      <c r="C98" s="42"/>
    </row>
    <row r="99" spans="3:3">
      <c r="C99" s="42"/>
    </row>
    <row r="100" spans="3:3">
      <c r="C100" s="42"/>
    </row>
    <row r="101" spans="3:3">
      <c r="C101" s="42"/>
    </row>
    <row r="102" spans="3:3">
      <c r="C102" s="42"/>
    </row>
    <row r="103" spans="3:3">
      <c r="C103" s="42"/>
    </row>
    <row r="104" spans="3:3">
      <c r="C104" s="42"/>
    </row>
    <row r="105" spans="3:3">
      <c r="C105" s="42"/>
    </row>
    <row r="106" spans="3:3">
      <c r="C106" s="42"/>
    </row>
    <row r="107" spans="3:3">
      <c r="C107" s="42"/>
    </row>
    <row r="108" spans="3:3">
      <c r="C108" s="42"/>
    </row>
    <row r="109" spans="3:3">
      <c r="C109" s="42"/>
    </row>
    <row r="110" spans="3:3">
      <c r="C110" s="42"/>
    </row>
    <row r="111" spans="3:3">
      <c r="C111" s="42"/>
    </row>
    <row r="112" spans="3:3">
      <c r="C112" s="42"/>
    </row>
    <row r="113" spans="3:3">
      <c r="C113" s="42"/>
    </row>
    <row r="114" spans="3:3">
      <c r="C114" s="42"/>
    </row>
    <row r="115" spans="3:3">
      <c r="C115" s="42"/>
    </row>
    <row r="116" spans="3:3">
      <c r="C116" s="42"/>
    </row>
    <row r="117" spans="3:3">
      <c r="C117" s="42"/>
    </row>
    <row r="118" spans="3:3">
      <c r="C118" s="42"/>
    </row>
    <row r="119" spans="3:3">
      <c r="C119" s="42"/>
    </row>
    <row r="120" spans="3:3">
      <c r="C120" s="42"/>
    </row>
    <row r="121" spans="3:3">
      <c r="C121" s="42"/>
    </row>
    <row r="122" spans="3:3">
      <c r="C122" s="42"/>
    </row>
    <row r="123" spans="3:3">
      <c r="C123" s="42"/>
    </row>
    <row r="124" spans="3:3">
      <c r="C124" s="42"/>
    </row>
    <row r="125" spans="3:3">
      <c r="C125" s="42"/>
    </row>
  </sheetData>
  <sheetProtection sheet="1" autoFilter="0"/>
  <autoFilter ref="A1:E77" xr:uid="{CA28C715-B659-42FF-83AD-42658307771D}"/>
  <dataValidations count="2">
    <dataValidation type="list" allowBlank="1" showInputMessage="1" showErrorMessage="1" sqref="B2:B18 B30:B1048576" xr:uid="{367028BD-61F2-4FFC-9032-F62C6535266D}">
      <formula1>"SO, SI, PO, Docs"</formula1>
    </dataValidation>
    <dataValidation type="list" allowBlank="1" showInputMessage="1" showErrorMessage="1" sqref="E2:E1048576" xr:uid="{48741A5E-65D9-452A-B7EC-6D645586B6D9}">
      <formula1>"Approved, On Hold"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pprovalsModul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Approve">
                <anchor moveWithCells="1" siz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Reprocess">
                <anchor moveWithCells="1" sizeWithCells="1">
                  <from>
                    <xdr:col>6</xdr:col>
                    <xdr:colOff>0</xdr:colOff>
                    <xdr:row>9</xdr:row>
                    <xdr:rowOff>190500</xdr:rowOff>
                  </from>
                  <to>
                    <xdr:col>8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Button 8">
              <controlPr defaultSize="0" print="0" autoFill="0" autoPict="0" macro="[0]!ImportApprovals">
                <anchor moveWithCells="1" sizeWithCells="1">
                  <from>
                    <xdr:col>5</xdr:col>
                    <xdr:colOff>600075</xdr:colOff>
                    <xdr:row>14</xdr:row>
                    <xdr:rowOff>180975</xdr:rowOff>
                  </from>
                  <to>
                    <xdr:col>7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8" name="Button 9">
              <controlPr defaultSize="0" print="0" autoFill="0" autoPict="0" macro="[0]!ApprovalListBrowse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E137A-0EB3-4937-8CA1-C2B5CB729E42}">
  <sheetPr codeName="Sheet13">
    <pageSetUpPr fitToPage="1"/>
  </sheetPr>
  <dimension ref="A1:AK575"/>
  <sheetViews>
    <sheetView zoomScale="96" zoomScaleNormal="100" workbookViewId="0">
      <pane ySplit="1" topLeftCell="A2" activePane="bottomLeft" state="frozen"/>
      <selection pane="bottomLeft" activeCell="A8" sqref="A8"/>
    </sheetView>
  </sheetViews>
  <sheetFormatPr defaultColWidth="9.140625" defaultRowHeight="15"/>
  <cols>
    <col min="1" max="1" width="16.140625" customWidth="1"/>
    <col min="2" max="2" width="18.85546875" style="86" customWidth="1"/>
    <col min="3" max="3" width="17.42578125" style="2" customWidth="1"/>
    <col min="4" max="4" width="9.140625" style="2" bestFit="1" customWidth="1"/>
    <col min="5" max="5" width="12.85546875" style="2" bestFit="1" customWidth="1"/>
    <col min="6" max="6" width="12.140625" style="2" bestFit="1" customWidth="1"/>
    <col min="7" max="7" width="12.85546875" style="2" bestFit="1" customWidth="1"/>
    <col min="8" max="9" width="9.140625" style="2" bestFit="1" customWidth="1"/>
    <col min="10" max="10" width="13" style="2" bestFit="1" customWidth="1"/>
    <col min="11" max="11" width="12.85546875" style="2" bestFit="1" customWidth="1"/>
    <col min="12" max="12" width="9.140625" style="2" customWidth="1"/>
    <col min="13" max="15" width="9.140625" style="2" bestFit="1" customWidth="1"/>
    <col min="16" max="16" width="9.140625" style="2" customWidth="1"/>
    <col min="17" max="17" width="9.140625" style="2" bestFit="1" customWidth="1"/>
    <col min="18" max="19" width="9.140625" style="2"/>
    <col min="20" max="20" width="12" style="2" bestFit="1" customWidth="1"/>
    <col min="21" max="26" width="9.140625" style="2"/>
    <col min="27" max="27" width="12.85546875" style="2" bestFit="1" customWidth="1"/>
    <col min="28" max="29" width="9.140625" style="2"/>
    <col min="30" max="30" width="13" style="2" bestFit="1" customWidth="1"/>
    <col min="31" max="32" width="9.140625" style="2"/>
    <col min="33" max="33" width="12.85546875" style="2" bestFit="1" customWidth="1"/>
    <col min="34" max="44" width="9.140625" style="2"/>
    <col min="45" max="45" width="9.85546875" style="2" bestFit="1" customWidth="1"/>
    <col min="46" max="16384" width="9.140625" style="2"/>
  </cols>
  <sheetData>
    <row r="1" spans="1:37" customFormat="1">
      <c r="A1" s="17" t="s">
        <v>312</v>
      </c>
      <c r="B1" s="18" t="s">
        <v>411</v>
      </c>
      <c r="C1" s="17" t="s">
        <v>313</v>
      </c>
      <c r="D1">
        <v>33755</v>
      </c>
      <c r="E1" s="17" t="s">
        <v>314</v>
      </c>
      <c r="F1" s="139">
        <v>0.99759999999999982</v>
      </c>
    </row>
    <row r="2" spans="1:37">
      <c r="A2" s="137" t="s">
        <v>315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7" s="88" customFormat="1">
      <c r="A3" s="83" t="s">
        <v>296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37" s="88" customFormat="1" ht="15.75" thickBot="1">
      <c r="A4" s="83" t="s">
        <v>297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37" ht="16.5" thickTop="1" thickBot="1">
      <c r="B5" s="18"/>
      <c r="C5" s="18"/>
      <c r="AH5" t="s">
        <v>316</v>
      </c>
      <c r="AI5" s="104"/>
      <c r="AJ5" t="s">
        <v>317</v>
      </c>
      <c r="AK5" s="105"/>
    </row>
    <row r="6" spans="1:37">
      <c r="A6" s="17" t="s">
        <v>315</v>
      </c>
      <c r="B6" s="2"/>
    </row>
    <row r="7" spans="1:37">
      <c r="A7" s="93" t="s">
        <v>319</v>
      </c>
      <c r="B7" s="84">
        <v>0</v>
      </c>
      <c r="C7" s="84"/>
      <c r="D7" s="84"/>
      <c r="E7" s="84"/>
      <c r="F7" s="84"/>
      <c r="G7" s="84"/>
      <c r="H7" s="84"/>
      <c r="I7" s="84"/>
    </row>
    <row r="8" spans="1:37">
      <c r="A8" s="93" t="s">
        <v>320</v>
      </c>
      <c r="B8" s="84"/>
      <c r="C8" s="84"/>
      <c r="D8" s="84"/>
      <c r="E8" s="84"/>
      <c r="F8" s="84"/>
      <c r="G8" s="84"/>
      <c r="H8" s="84"/>
      <c r="I8" s="84"/>
    </row>
    <row r="9" spans="1:37">
      <c r="A9" s="93" t="s">
        <v>321</v>
      </c>
      <c r="B9" s="84"/>
      <c r="C9" s="84"/>
      <c r="D9" s="84"/>
      <c r="E9" s="84"/>
      <c r="F9" s="84"/>
      <c r="G9" s="84"/>
      <c r="H9" s="84"/>
      <c r="I9" s="84"/>
    </row>
    <row r="10" spans="1:37">
      <c r="A10" t="s">
        <v>322</v>
      </c>
      <c r="B10" s="85" t="str">
        <f t="shared" ref="B10:AD10" si="0">IF(B6&lt;&gt;"",B8+B9-B7,"")</f>
        <v/>
      </c>
      <c r="C10" s="85" t="str">
        <f t="shared" si="0"/>
        <v/>
      </c>
      <c r="D10" s="85" t="str">
        <f t="shared" si="0"/>
        <v/>
      </c>
      <c r="E10" s="85" t="str">
        <f t="shared" si="0"/>
        <v/>
      </c>
      <c r="F10" s="85" t="str">
        <f t="shared" si="0"/>
        <v/>
      </c>
      <c r="G10" s="85" t="str">
        <f t="shared" si="0"/>
        <v/>
      </c>
      <c r="H10" s="85" t="str">
        <f t="shared" si="0"/>
        <v/>
      </c>
      <c r="I10" s="85" t="str">
        <f t="shared" si="0"/>
        <v/>
      </c>
      <c r="J10" s="85" t="str">
        <f t="shared" si="0"/>
        <v/>
      </c>
      <c r="K10" s="85" t="str">
        <f t="shared" si="0"/>
        <v/>
      </c>
      <c r="L10" s="85" t="str">
        <f t="shared" si="0"/>
        <v/>
      </c>
      <c r="M10" s="85" t="str">
        <f t="shared" si="0"/>
        <v/>
      </c>
      <c r="N10" s="85" t="str">
        <f t="shared" si="0"/>
        <v/>
      </c>
      <c r="O10" s="85" t="str">
        <f t="shared" si="0"/>
        <v/>
      </c>
      <c r="P10" s="85" t="str">
        <f t="shared" si="0"/>
        <v/>
      </c>
      <c r="Q10" s="85" t="str">
        <f t="shared" si="0"/>
        <v/>
      </c>
      <c r="R10" s="85" t="str">
        <f t="shared" si="0"/>
        <v/>
      </c>
      <c r="S10" s="85" t="str">
        <f t="shared" si="0"/>
        <v/>
      </c>
      <c r="T10" s="85" t="str">
        <f t="shared" si="0"/>
        <v/>
      </c>
      <c r="U10" s="85" t="str">
        <f t="shared" si="0"/>
        <v/>
      </c>
      <c r="V10" s="85" t="str">
        <f t="shared" si="0"/>
        <v/>
      </c>
      <c r="W10" s="85" t="str">
        <f t="shared" si="0"/>
        <v/>
      </c>
      <c r="X10" s="85" t="str">
        <f t="shared" si="0"/>
        <v/>
      </c>
      <c r="Y10" s="85" t="str">
        <f t="shared" si="0"/>
        <v/>
      </c>
      <c r="Z10" s="85" t="str">
        <f t="shared" si="0"/>
        <v/>
      </c>
      <c r="AA10" s="85" t="str">
        <f t="shared" si="0"/>
        <v/>
      </c>
      <c r="AB10" s="85" t="str">
        <f t="shared" si="0"/>
        <v/>
      </c>
      <c r="AC10" s="85" t="str">
        <f t="shared" si="0"/>
        <v/>
      </c>
      <c r="AD10" s="85" t="str">
        <f t="shared" si="0"/>
        <v/>
      </c>
    </row>
    <row r="11" spans="1:37" customFormat="1">
      <c r="A11" s="17" t="s">
        <v>31</v>
      </c>
      <c r="B11" s="17"/>
    </row>
    <row r="12" spans="1:37" customFormat="1" ht="15.75" thickBot="1">
      <c r="C12" s="104"/>
      <c r="D12" s="104"/>
      <c r="E12" s="104"/>
      <c r="F12" s="104"/>
    </row>
    <row r="13" spans="1:37" customFormat="1" ht="16.5" thickTop="1" thickBot="1">
      <c r="C13" s="105"/>
      <c r="D13" s="105"/>
      <c r="E13" s="105"/>
      <c r="F13" s="105"/>
      <c r="G13" s="105"/>
      <c r="H13" s="105"/>
      <c r="I13" s="105"/>
      <c r="J13" s="105"/>
    </row>
    <row r="14" spans="1:37" customFormat="1" ht="16.5" thickTop="1" thickBot="1">
      <c r="C14" s="105"/>
      <c r="D14" s="105"/>
      <c r="E14" s="105"/>
      <c r="F14" s="105"/>
      <c r="G14" s="105"/>
      <c r="H14" s="105"/>
      <c r="I14" s="105"/>
      <c r="J14" s="105"/>
    </row>
    <row r="15" spans="1:37" customFormat="1" ht="15.75" thickTop="1"/>
    <row r="16" spans="1:37" customFormat="1" ht="15.75" thickBot="1">
      <c r="C16" s="104"/>
      <c r="D16" s="104"/>
      <c r="E16" s="104"/>
      <c r="F16" s="104"/>
      <c r="G16" s="104"/>
    </row>
    <row r="17" spans="3:16" customFormat="1" ht="16.5" thickTop="1" thickBot="1"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</row>
    <row r="18" spans="3:16" customFormat="1" ht="16.5" thickTop="1" thickBot="1">
      <c r="C18" s="105"/>
      <c r="D18" s="105"/>
      <c r="E18" s="105"/>
      <c r="F18" s="105"/>
      <c r="G18" s="105"/>
    </row>
    <row r="19" spans="3:16" customFormat="1" ht="15.75" thickTop="1"/>
    <row r="20" spans="3:16" customFormat="1" ht="15.75" thickBot="1">
      <c r="C20" s="104"/>
      <c r="D20" s="104"/>
      <c r="E20" s="104"/>
      <c r="F20" s="104"/>
      <c r="G20" s="104"/>
    </row>
    <row r="21" spans="3:16" customFormat="1" ht="16.5" thickTop="1" thickBot="1"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</row>
    <row r="22" spans="3:16" customFormat="1" ht="16.5" thickTop="1" thickBot="1">
      <c r="C22" s="105"/>
      <c r="D22" s="105"/>
      <c r="E22" s="105"/>
      <c r="F22" s="105"/>
      <c r="G22" s="105"/>
    </row>
    <row r="23" spans="3:16" customFormat="1" ht="15.75" thickTop="1"/>
    <row r="24" spans="3:16" customFormat="1" ht="15.75" thickBot="1">
      <c r="C24" s="104"/>
      <c r="D24" s="104"/>
      <c r="E24" s="104"/>
      <c r="F24" s="104"/>
      <c r="G24" s="104"/>
      <c r="H24" s="104"/>
    </row>
    <row r="25" spans="3:16" customFormat="1" ht="16.5" thickTop="1" thickBot="1"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</row>
    <row r="26" spans="3:16" customFormat="1" ht="16.5" thickTop="1" thickBot="1">
      <c r="C26" s="105"/>
      <c r="D26" s="105"/>
      <c r="E26" s="105"/>
      <c r="F26" s="105"/>
      <c r="G26" s="105"/>
      <c r="H26" s="105"/>
    </row>
    <row r="27" spans="3:16" customFormat="1" ht="15.75" thickTop="1"/>
    <row r="28" spans="3:16" customFormat="1" ht="15.75" thickBot="1">
      <c r="C28" s="104"/>
      <c r="D28" s="104"/>
      <c r="E28" s="104"/>
      <c r="F28" s="104"/>
      <c r="G28" s="104"/>
      <c r="H28" s="104"/>
    </row>
    <row r="29" spans="3:16" customFormat="1" ht="16.5" thickTop="1" thickBot="1"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</row>
    <row r="30" spans="3:16" customFormat="1" ht="16.5" thickTop="1" thickBot="1">
      <c r="C30" s="105"/>
      <c r="D30" s="105"/>
      <c r="E30" s="105"/>
      <c r="F30" s="105"/>
      <c r="G30" s="105"/>
      <c r="H30" s="105"/>
    </row>
    <row r="31" spans="3:16" customFormat="1" ht="15.75" thickTop="1"/>
    <row r="32" spans="3:16" customFormat="1" ht="15.75" thickBot="1">
      <c r="C32" s="104"/>
      <c r="D32" s="104"/>
      <c r="E32" s="104"/>
      <c r="F32" s="104"/>
      <c r="G32" s="104"/>
      <c r="H32" s="104"/>
      <c r="I32" s="104"/>
      <c r="J32" s="104"/>
      <c r="K32" s="104"/>
    </row>
    <row r="33" spans="3:17" customFormat="1" ht="16.5" thickTop="1" thickBot="1"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</row>
    <row r="34" spans="3:17" customFormat="1" ht="16.5" thickTop="1" thickBot="1">
      <c r="C34" s="105"/>
      <c r="D34" s="105"/>
      <c r="E34" s="105"/>
      <c r="F34" s="105"/>
      <c r="G34" s="105"/>
      <c r="H34" s="105"/>
      <c r="I34" s="105"/>
      <c r="J34" s="105"/>
      <c r="K34" s="105"/>
    </row>
    <row r="35" spans="3:17" customFormat="1" ht="15.75" thickTop="1"/>
    <row r="36" spans="3:17" customFormat="1" ht="15.75" thickBot="1">
      <c r="C36" s="104"/>
      <c r="D36" s="104"/>
      <c r="E36" s="104"/>
      <c r="F36" s="104"/>
      <c r="G36" s="104"/>
      <c r="H36" s="104"/>
      <c r="I36" s="104"/>
      <c r="J36" s="104"/>
    </row>
    <row r="37" spans="3:17" customFormat="1" ht="16.5" thickTop="1" thickBot="1"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</row>
    <row r="38" spans="3:17" customFormat="1" ht="16.5" thickTop="1" thickBot="1">
      <c r="C38" s="105"/>
      <c r="D38" s="105"/>
      <c r="E38" s="105"/>
      <c r="F38" s="105"/>
      <c r="G38" s="105"/>
      <c r="H38" s="105"/>
      <c r="I38" s="105"/>
      <c r="J38" s="105"/>
    </row>
    <row r="39" spans="3:17" customFormat="1" ht="15.75" thickTop="1"/>
    <row r="40" spans="3:17" customFormat="1" ht="15.75" thickBot="1">
      <c r="C40" s="104"/>
      <c r="D40" s="104"/>
      <c r="E40" s="104"/>
      <c r="F40" s="104"/>
      <c r="G40" s="104"/>
      <c r="H40" s="104"/>
      <c r="I40" s="104"/>
      <c r="J40" s="104"/>
      <c r="K40" s="104"/>
      <c r="L40" s="104"/>
    </row>
    <row r="41" spans="3:17" customFormat="1" ht="16.5" thickTop="1" thickBot="1"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</row>
    <row r="42" spans="3:17" customFormat="1" ht="16.5" thickTop="1" thickBot="1">
      <c r="C42" s="105"/>
      <c r="D42" s="105"/>
      <c r="E42" s="105"/>
      <c r="F42" s="105"/>
      <c r="G42" s="105"/>
      <c r="H42" s="105"/>
      <c r="I42" s="105"/>
      <c r="J42" s="105"/>
      <c r="K42" s="105"/>
      <c r="L42" s="105"/>
    </row>
    <row r="43" spans="3:17" customFormat="1" ht="15.75" thickTop="1"/>
    <row r="44" spans="3:17" customFormat="1" ht="15.75" thickBot="1">
      <c r="C44" s="104"/>
      <c r="D44" s="104"/>
      <c r="E44" s="104"/>
      <c r="F44" s="104"/>
      <c r="G44" s="104"/>
      <c r="H44" s="104"/>
      <c r="I44" s="104"/>
      <c r="J44" s="104"/>
    </row>
    <row r="45" spans="3:17" customFormat="1" ht="16.5" thickTop="1" thickBot="1"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</row>
    <row r="46" spans="3:17" customFormat="1" ht="16.5" thickTop="1" thickBot="1"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</row>
    <row r="47" spans="3:17" customFormat="1" ht="15.75" thickTop="1"/>
    <row r="48" spans="3:17" customFormat="1" ht="15.75" thickBot="1">
      <c r="C48" s="104"/>
      <c r="D48" s="104"/>
      <c r="E48" s="104"/>
      <c r="F48" s="104"/>
      <c r="G48" s="104"/>
      <c r="H48" s="104"/>
      <c r="I48" s="104"/>
      <c r="J48" s="104"/>
    </row>
    <row r="49" spans="3:16" customFormat="1" ht="16.5" thickTop="1" thickBot="1">
      <c r="C49" s="105"/>
      <c r="D49" s="105"/>
      <c r="E49" s="105"/>
      <c r="F49" s="105"/>
      <c r="G49" s="105"/>
      <c r="H49" s="105"/>
      <c r="I49" s="105"/>
      <c r="J49" s="105"/>
      <c r="K49" s="105"/>
    </row>
    <row r="50" spans="3:16" customFormat="1" ht="16.5" thickTop="1" thickBot="1">
      <c r="C50" s="105"/>
      <c r="D50" s="105"/>
      <c r="E50" s="105"/>
      <c r="F50" s="105"/>
      <c r="G50" s="105"/>
      <c r="H50" s="105"/>
      <c r="I50" s="105"/>
      <c r="J50" s="105"/>
    </row>
    <row r="51" spans="3:16" customFormat="1" ht="15.75" thickTop="1"/>
    <row r="52" spans="3:16" customFormat="1" ht="15.75" thickBot="1">
      <c r="C52" s="104"/>
      <c r="D52" s="104"/>
    </row>
    <row r="53" spans="3:16" customFormat="1" ht="16.5" thickTop="1" thickBot="1">
      <c r="C53" s="105"/>
      <c r="D53" s="105"/>
    </row>
    <row r="54" spans="3:16" customFormat="1" ht="16.5" thickTop="1" thickBot="1">
      <c r="C54" s="105"/>
      <c r="D54" s="105"/>
    </row>
    <row r="55" spans="3:16" customFormat="1" ht="15.75" thickTop="1"/>
    <row r="56" spans="3:16" customFormat="1" ht="15.75" thickBot="1">
      <c r="C56" s="104"/>
      <c r="D56" s="104"/>
      <c r="E56" s="104"/>
      <c r="F56" s="104"/>
      <c r="G56" s="104"/>
      <c r="H56" s="104"/>
      <c r="I56" s="104"/>
    </row>
    <row r="57" spans="3:16" customFormat="1" ht="16.5" thickTop="1" thickBot="1"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</row>
    <row r="58" spans="3:16" customFormat="1" ht="16.5" thickTop="1" thickBot="1">
      <c r="C58" s="105"/>
      <c r="D58" s="105"/>
      <c r="E58" s="105"/>
      <c r="F58" s="105"/>
      <c r="G58" s="105"/>
      <c r="H58" s="105"/>
      <c r="I58" s="105"/>
    </row>
    <row r="59" spans="3:16" customFormat="1" ht="15.75" thickTop="1"/>
    <row r="60" spans="3:16" customFormat="1" ht="15.75" thickBot="1">
      <c r="C60" s="104"/>
      <c r="D60" s="104"/>
    </row>
    <row r="61" spans="3:16" customFormat="1" ht="16.5" thickTop="1" thickBot="1">
      <c r="C61" s="105"/>
      <c r="D61" s="105"/>
      <c r="E61" s="105"/>
      <c r="F61" s="105"/>
      <c r="G61" s="105"/>
      <c r="H61" s="105"/>
      <c r="I61" s="105"/>
      <c r="J61" s="105"/>
      <c r="K61" s="105"/>
    </row>
    <row r="62" spans="3:16" customFormat="1" ht="16.5" thickTop="1" thickBot="1">
      <c r="C62" s="105"/>
      <c r="D62" s="105"/>
    </row>
    <row r="63" spans="3:16" customFormat="1" ht="15.75" thickTop="1"/>
    <row r="64" spans="3:16" customFormat="1" ht="15.75" thickBot="1">
      <c r="L64" s="104"/>
    </row>
    <row r="65" spans="3:17" customFormat="1" ht="16.5" thickTop="1" thickBot="1">
      <c r="C65" s="105"/>
      <c r="D65" s="105"/>
      <c r="E65" s="105"/>
      <c r="F65" s="105"/>
      <c r="G65" s="105"/>
      <c r="H65" s="105"/>
      <c r="I65" s="105"/>
      <c r="J65" s="105"/>
      <c r="K65" s="105"/>
    </row>
    <row r="66" spans="3:17" customFormat="1" ht="16.5" thickTop="1" thickBot="1">
      <c r="C66" s="105"/>
      <c r="D66" s="105"/>
      <c r="E66" s="105"/>
      <c r="F66" s="105"/>
      <c r="G66" s="105"/>
      <c r="H66" s="105"/>
      <c r="I66" s="105"/>
      <c r="J66" s="105"/>
      <c r="K66" s="105"/>
      <c r="L66" s="105"/>
    </row>
    <row r="67" spans="3:17" customFormat="1" ht="15.75" thickTop="1"/>
    <row r="68" spans="3:17" customFormat="1" ht="15.75" thickBot="1">
      <c r="C68" s="104"/>
      <c r="D68" s="104"/>
      <c r="E68" s="104"/>
      <c r="F68" s="104"/>
    </row>
    <row r="69" spans="3:17" customFormat="1" ht="16.5" thickTop="1" thickBot="1">
      <c r="C69" s="105"/>
      <c r="D69" s="105"/>
      <c r="E69" s="105"/>
      <c r="F69" s="105"/>
      <c r="G69" s="105"/>
      <c r="H69" s="105"/>
    </row>
    <row r="70" spans="3:17" customFormat="1" ht="16.5" thickTop="1" thickBot="1">
      <c r="C70" s="105"/>
      <c r="D70" s="105"/>
      <c r="E70" s="105"/>
      <c r="F70" s="105"/>
      <c r="G70" s="105"/>
      <c r="H70" s="105"/>
    </row>
    <row r="71" spans="3:17" customFormat="1" ht="15.75" thickTop="1"/>
    <row r="72" spans="3:17" customFormat="1" ht="15.75" thickBot="1">
      <c r="C72" s="104"/>
      <c r="D72" s="104"/>
      <c r="E72" s="104"/>
    </row>
    <row r="73" spans="3:17" customFormat="1" ht="16.5" thickTop="1" thickBot="1">
      <c r="C73" s="105"/>
      <c r="D73" s="105"/>
      <c r="E73" s="105"/>
      <c r="F73" s="105"/>
      <c r="G73" s="105"/>
      <c r="H73" s="105"/>
      <c r="I73" s="105"/>
      <c r="J73" s="105"/>
      <c r="K73" s="105"/>
      <c r="L73" s="105"/>
    </row>
    <row r="74" spans="3:17" customFormat="1" ht="16.5" thickTop="1" thickBot="1">
      <c r="C74" s="105"/>
      <c r="D74" s="105"/>
      <c r="E74" s="105"/>
    </row>
    <row r="75" spans="3:17" customFormat="1" ht="15.75" thickTop="1"/>
    <row r="76" spans="3:17" customFormat="1" ht="15.75" thickBot="1">
      <c r="C76" s="104"/>
      <c r="D76" s="104"/>
      <c r="E76" s="104"/>
      <c r="F76" s="104"/>
      <c r="G76" s="104"/>
      <c r="H76" s="104"/>
      <c r="I76" s="104"/>
      <c r="J76" s="104"/>
      <c r="K76" s="104"/>
      <c r="L76" s="104"/>
    </row>
    <row r="77" spans="3:17" customFormat="1" ht="16.5" thickTop="1" thickBot="1"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</row>
    <row r="78" spans="3:17" customFormat="1" ht="16.5" thickTop="1" thickBot="1">
      <c r="C78" s="105"/>
      <c r="D78" s="105"/>
      <c r="E78" s="105"/>
      <c r="F78" s="105"/>
      <c r="G78" s="105"/>
      <c r="H78" s="105"/>
      <c r="I78" s="105"/>
      <c r="J78" s="105"/>
      <c r="K78" s="105"/>
      <c r="L78" s="105"/>
    </row>
    <row r="79" spans="3:17" customFormat="1" ht="15.75" thickTop="1"/>
    <row r="80" spans="3:17" customFormat="1" ht="15.75" thickBot="1">
      <c r="C80" s="104"/>
      <c r="D80" s="104"/>
      <c r="E80" s="104"/>
      <c r="F80" s="104"/>
      <c r="G80" s="104"/>
      <c r="H80" s="104"/>
    </row>
    <row r="81" spans="3:13" customFormat="1" ht="16.5" thickTop="1" thickBot="1"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</row>
    <row r="82" spans="3:13" customFormat="1" ht="16.5" thickTop="1" thickBot="1">
      <c r="C82" s="105"/>
      <c r="D82" s="105"/>
      <c r="E82" s="105"/>
      <c r="F82" s="105"/>
      <c r="G82" s="105"/>
      <c r="H82" s="105"/>
    </row>
    <row r="83" spans="3:13" customFormat="1" ht="15.75" thickTop="1"/>
    <row r="84" spans="3:13" customFormat="1" ht="15.75" thickBot="1">
      <c r="C84" s="104"/>
      <c r="D84" s="104"/>
      <c r="E84" s="104"/>
      <c r="F84" s="104"/>
      <c r="G84" s="104"/>
      <c r="H84" s="104"/>
      <c r="I84" s="104"/>
    </row>
    <row r="85" spans="3:13" customFormat="1" ht="16.5" thickTop="1" thickBot="1">
      <c r="C85" s="105"/>
      <c r="D85" s="105"/>
      <c r="E85" s="105"/>
      <c r="F85" s="105"/>
      <c r="G85" s="105"/>
      <c r="H85" s="105"/>
      <c r="I85" s="105"/>
      <c r="J85" s="105"/>
      <c r="K85" s="105"/>
      <c r="L85" s="105"/>
    </row>
    <row r="86" spans="3:13" customFormat="1" ht="16.5" thickTop="1" thickBot="1">
      <c r="C86" s="105"/>
      <c r="D86" s="105"/>
      <c r="E86" s="105"/>
      <c r="F86" s="105"/>
      <c r="G86" s="105"/>
      <c r="H86" s="105"/>
      <c r="I86" s="105"/>
    </row>
    <row r="87" spans="3:13" customFormat="1" ht="15.75" thickTop="1"/>
    <row r="88" spans="3:13" ht="15.75" thickBot="1">
      <c r="C88" s="104"/>
      <c r="D88" s="104"/>
      <c r="E88" s="104"/>
      <c r="F88" s="104"/>
      <c r="G88" s="104"/>
      <c r="H88" s="104"/>
      <c r="I88" s="104"/>
    </row>
    <row r="89" spans="3:13" ht="16.5" thickTop="1" thickBot="1">
      <c r="C89" s="105"/>
      <c r="D89" s="105"/>
      <c r="E89" s="105"/>
      <c r="F89" s="105"/>
      <c r="G89" s="105"/>
      <c r="H89" s="105"/>
      <c r="I89" s="105"/>
      <c r="J89" s="105"/>
      <c r="K89" s="105"/>
      <c r="L89" s="105"/>
    </row>
    <row r="90" spans="3:13" ht="16.5" thickTop="1" thickBot="1">
      <c r="C90" s="105"/>
      <c r="D90" s="105"/>
      <c r="E90" s="105"/>
      <c r="F90" s="105"/>
      <c r="G90" s="105"/>
      <c r="H90" s="105"/>
      <c r="I90" s="105"/>
    </row>
    <row r="91" spans="3:13" ht="15.75" thickTop="1"/>
    <row r="92" spans="3:13" ht="15.75" thickBot="1">
      <c r="C92" s="104"/>
      <c r="D92" s="104"/>
      <c r="E92" s="104"/>
      <c r="F92" s="104"/>
      <c r="G92" s="104"/>
      <c r="H92" s="104"/>
      <c r="I92" s="104"/>
    </row>
    <row r="93" spans="3:13" ht="16.5" thickTop="1" thickBot="1">
      <c r="C93" s="105"/>
      <c r="D93" s="105"/>
      <c r="E93" s="105"/>
      <c r="F93" s="105"/>
      <c r="G93" s="105"/>
      <c r="H93" s="105"/>
      <c r="I93" s="105"/>
      <c r="J93" s="105"/>
      <c r="K93" s="105"/>
      <c r="L93" s="105"/>
    </row>
    <row r="94" spans="3:13" ht="16.5" thickTop="1" thickBot="1">
      <c r="C94" s="105"/>
      <c r="D94" s="105"/>
      <c r="E94" s="105"/>
      <c r="F94" s="105"/>
      <c r="G94" s="105"/>
      <c r="H94" s="105"/>
      <c r="I94" s="105"/>
    </row>
    <row r="95" spans="3:13" ht="15.75" thickTop="1"/>
    <row r="96" spans="3:13" ht="15.75" thickBot="1">
      <c r="C96" s="104"/>
      <c r="D96" s="104"/>
      <c r="E96" s="104"/>
      <c r="F96" s="104"/>
      <c r="G96" s="104"/>
      <c r="H96"/>
      <c r="I96"/>
      <c r="J96"/>
    </row>
    <row r="97" spans="3:19" ht="16.5" thickTop="1" thickBot="1"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</row>
    <row r="98" spans="3:19" ht="16.5" thickTop="1" thickBot="1">
      <c r="C98" s="105"/>
      <c r="D98" s="105"/>
      <c r="E98" s="105"/>
      <c r="F98" s="105"/>
      <c r="G98" s="105"/>
      <c r="H98" s="105"/>
      <c r="I98" s="105"/>
      <c r="J98" s="105"/>
      <c r="K98" s="105"/>
      <c r="L98" s="105"/>
      <c r="M98" s="105"/>
    </row>
    <row r="99" spans="3:19" ht="15.75" thickTop="1"/>
    <row r="100" spans="3:19" ht="15.75" thickBot="1">
      <c r="C100" s="104"/>
      <c r="D100" s="104"/>
    </row>
    <row r="101" spans="3:19" ht="16.5" thickTop="1" thickBot="1">
      <c r="C101" s="105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</row>
    <row r="102" spans="3:19" ht="16.5" thickTop="1" thickBot="1">
      <c r="C102" s="105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</row>
    <row r="103" spans="3:19" ht="15.75" thickTop="1"/>
    <row r="104" spans="3:19" ht="15.75" thickBot="1"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3:19" ht="16.5" thickTop="1" thickBot="1">
      <c r="C105" s="105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</row>
    <row r="106" spans="3:19" ht="16.5" thickTop="1" thickBot="1">
      <c r="C106" s="105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</row>
    <row r="107" spans="3:19" ht="15.75" thickTop="1"/>
    <row r="108" spans="3:19" ht="15.75" thickBot="1">
      <c r="C108" s="104"/>
      <c r="D108" s="104"/>
      <c r="E108" s="104"/>
      <c r="F108" s="104"/>
      <c r="G108" s="104"/>
      <c r="H108" s="104"/>
      <c r="I108" s="104"/>
      <c r="J108" s="104"/>
    </row>
    <row r="109" spans="3:19" ht="16.5" thickTop="1" thickBot="1">
      <c r="C109" s="105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</row>
    <row r="110" spans="3:19" ht="16.5" thickTop="1" thickBot="1">
      <c r="C110" s="105"/>
      <c r="D110" s="105"/>
      <c r="E110" s="105"/>
      <c r="F110" s="105"/>
      <c r="G110" s="105"/>
      <c r="H110" s="105"/>
      <c r="I110" s="105"/>
      <c r="J110" s="105"/>
    </row>
    <row r="111" spans="3:19" ht="15.75" thickTop="1"/>
    <row r="112" spans="3:19" customFormat="1" ht="15.75" thickBot="1">
      <c r="C112" s="104"/>
      <c r="D112" s="104"/>
    </row>
    <row r="113" spans="3:13" customFormat="1" ht="16.5" thickTop="1" thickBot="1">
      <c r="C113" s="105"/>
      <c r="D113" s="105"/>
      <c r="E113" s="105"/>
      <c r="F113" s="105"/>
      <c r="G113" s="105"/>
      <c r="H113" s="105"/>
    </row>
    <row r="114" spans="3:13" customFormat="1" ht="16.5" thickTop="1" thickBot="1">
      <c r="C114" s="105"/>
      <c r="D114" s="105"/>
    </row>
    <row r="115" spans="3:13" customFormat="1" ht="15.75" thickTop="1"/>
    <row r="116" spans="3:13" customFormat="1" ht="15.75" thickBot="1">
      <c r="C116" s="104"/>
      <c r="D116" s="104"/>
      <c r="E116" s="104"/>
      <c r="F116" s="104"/>
      <c r="G116" s="104"/>
      <c r="H116" s="104"/>
      <c r="I116" s="104"/>
      <c r="J116" s="104"/>
    </row>
    <row r="117" spans="3:13" customFormat="1" ht="16.5" thickTop="1" thickBot="1">
      <c r="C117" s="105"/>
      <c r="D117" s="105"/>
      <c r="E117" s="105"/>
      <c r="F117" s="105"/>
      <c r="G117" s="105"/>
      <c r="H117" s="105"/>
      <c r="I117" s="105"/>
      <c r="J117" s="105"/>
    </row>
    <row r="118" spans="3:13" customFormat="1" ht="16.5" thickTop="1" thickBot="1">
      <c r="C118" s="105"/>
      <c r="D118" s="105"/>
      <c r="E118" s="105"/>
      <c r="F118" s="105"/>
      <c r="G118" s="105"/>
      <c r="H118" s="105"/>
      <c r="I118" s="105"/>
      <c r="J118" s="105"/>
    </row>
    <row r="119" spans="3:13" customFormat="1" ht="15.75" thickTop="1"/>
    <row r="120" spans="3:13" customFormat="1" ht="15.75" thickBot="1"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</row>
    <row r="121" spans="3:13" customFormat="1" ht="16.5" thickTop="1" thickBot="1">
      <c r="C121" s="105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</row>
    <row r="122" spans="3:13" customFormat="1" ht="16.5" thickTop="1" thickBot="1">
      <c r="C122" s="105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</row>
    <row r="123" spans="3:13" customFormat="1" ht="15.75" thickTop="1"/>
    <row r="124" spans="3:13" ht="15.75" thickBot="1"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</row>
    <row r="125" spans="3:13" ht="16.5" thickTop="1" thickBot="1">
      <c r="C125" s="105"/>
      <c r="D125" s="105"/>
      <c r="E125" s="105"/>
      <c r="F125" s="105"/>
      <c r="G125" s="105"/>
      <c r="H125" s="105"/>
      <c r="I125" s="105"/>
      <c r="J125" s="105"/>
      <c r="K125" s="105"/>
    </row>
    <row r="126" spans="3:13" ht="16.5" thickTop="1" thickBot="1">
      <c r="C126" s="105"/>
      <c r="D126" s="105"/>
      <c r="E126" s="105"/>
      <c r="F126" s="105"/>
      <c r="G126" s="105"/>
      <c r="H126" s="105"/>
      <c r="I126" s="105"/>
      <c r="J126" s="105"/>
      <c r="K126" s="105"/>
      <c r="L126" s="105"/>
    </row>
    <row r="127" spans="3:13" ht="15.75" thickTop="1"/>
    <row r="128" spans="3:13" ht="15.75" thickBot="1">
      <c r="C128" s="104"/>
    </row>
    <row r="129" spans="3:18" ht="16.5" thickTop="1" thickBot="1">
      <c r="C129" s="105"/>
    </row>
    <row r="130" spans="3:18" ht="16.5" thickTop="1" thickBot="1">
      <c r="C130" s="105"/>
    </row>
    <row r="131" spans="3:18" ht="15.75" thickTop="1"/>
    <row r="132" spans="3:18" ht="15.75" thickBot="1">
      <c r="C132" s="104"/>
      <c r="D132" s="104"/>
    </row>
    <row r="133" spans="3:18" ht="16.5" thickTop="1" thickBot="1">
      <c r="C133" s="105"/>
      <c r="D133" s="105"/>
      <c r="E133" s="105"/>
      <c r="F133" s="105"/>
      <c r="G133" s="105"/>
      <c r="H133" s="105"/>
      <c r="I133" s="105"/>
      <c r="J133" s="105"/>
      <c r="K133" s="105"/>
      <c r="L133" s="105"/>
    </row>
    <row r="134" spans="3:18" ht="16.5" thickTop="1" thickBot="1">
      <c r="C134" s="105"/>
      <c r="D134" s="105"/>
    </row>
    <row r="135" spans="3:18" ht="15.75" thickTop="1"/>
    <row r="136" spans="3:18" ht="15.75" thickBot="1"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</row>
    <row r="137" spans="3:18" ht="16.5" thickTop="1" thickBot="1">
      <c r="C137" s="105"/>
      <c r="D137" s="105"/>
      <c r="E137" s="105"/>
      <c r="F137" s="105"/>
      <c r="G137" s="105"/>
      <c r="H137" s="105"/>
      <c r="I137" s="105"/>
      <c r="J137" s="105"/>
      <c r="L137" s="105"/>
      <c r="M137" s="105"/>
      <c r="N137" s="105"/>
      <c r="O137" s="105"/>
      <c r="P137" s="105"/>
      <c r="Q137" s="105"/>
      <c r="R137" s="105"/>
    </row>
    <row r="138" spans="3:18" ht="16.5" thickTop="1" thickBot="1">
      <c r="C138" s="105"/>
      <c r="D138" s="105"/>
      <c r="E138" s="105"/>
      <c r="F138" s="105"/>
      <c r="G138" s="105"/>
      <c r="H138" s="105"/>
      <c r="I138" s="105"/>
      <c r="J138" s="105"/>
      <c r="K138" s="105"/>
      <c r="L138" s="105"/>
    </row>
    <row r="139" spans="3:18" ht="15.75" thickTop="1"/>
    <row r="140" spans="3:18" customFormat="1" ht="15.75" thickBot="1">
      <c r="C140" s="104"/>
      <c r="D140" s="104"/>
      <c r="E140" s="104"/>
      <c r="F140" s="104"/>
      <c r="G140" s="104"/>
    </row>
    <row r="141" spans="3:18" customFormat="1" ht="16.5" thickTop="1" thickBot="1">
      <c r="C141" s="105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</row>
    <row r="142" spans="3:18" customFormat="1" ht="16.5" thickTop="1" thickBot="1">
      <c r="C142" s="105"/>
      <c r="D142" s="105"/>
      <c r="E142" s="105"/>
      <c r="F142" s="105"/>
      <c r="G142" s="105"/>
    </row>
    <row r="143" spans="3:18" customFormat="1" ht="15.75" thickTop="1"/>
    <row r="144" spans="3:18" ht="15.75" thickBot="1">
      <c r="C144" s="104"/>
      <c r="D144" s="104"/>
      <c r="E144" s="104"/>
      <c r="F144" s="104"/>
      <c r="G144" s="104"/>
      <c r="H144" s="104"/>
    </row>
    <row r="145" spans="3:20" ht="16.5" thickTop="1" thickBot="1"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</row>
    <row r="146" spans="3:20" ht="16.5" thickTop="1" thickBot="1">
      <c r="C146" s="105"/>
      <c r="D146" s="105"/>
      <c r="E146" s="105"/>
      <c r="F146" s="105"/>
      <c r="G146" s="105"/>
      <c r="H146" s="105"/>
    </row>
    <row r="147" spans="3:20" ht="15.75" thickTop="1"/>
    <row r="148" spans="3:20" ht="15.75" thickBot="1">
      <c r="C148" s="104"/>
      <c r="D148" s="104"/>
      <c r="E148" s="104"/>
      <c r="F148" s="104"/>
      <c r="G148" s="104"/>
      <c r="H148" s="104"/>
      <c r="I148" s="104"/>
      <c r="J148" s="104"/>
      <c r="K148" s="104"/>
      <c r="L148"/>
      <c r="M148"/>
      <c r="N148"/>
      <c r="O148"/>
      <c r="P148"/>
      <c r="Q148"/>
      <c r="R148"/>
    </row>
    <row r="149" spans="3:20" ht="16.5" thickTop="1" thickBot="1"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/>
    </row>
    <row r="150" spans="3:20" ht="16.5" thickTop="1" thickBot="1">
      <c r="C150" s="105"/>
      <c r="D150" s="105"/>
      <c r="E150" s="105"/>
      <c r="F150" s="105"/>
      <c r="G150" s="105"/>
      <c r="H150" s="105"/>
      <c r="I150" s="105"/>
      <c r="J150" s="105"/>
      <c r="K150" s="105"/>
      <c r="L150"/>
      <c r="M150"/>
      <c r="N150"/>
      <c r="O150"/>
      <c r="P150"/>
      <c r="Q150"/>
      <c r="R150"/>
    </row>
    <row r="151" spans="3:20" ht="15.75" thickTop="1"/>
    <row r="152" spans="3:20" ht="15.75" thickBot="1"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</row>
    <row r="153" spans="3:20" ht="16.5" thickTop="1" thickBot="1">
      <c r="C153" s="105"/>
      <c r="D153" s="105"/>
      <c r="E153" s="105"/>
      <c r="F153" s="105"/>
      <c r="G153" s="105"/>
      <c r="H153" s="105"/>
      <c r="I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</row>
    <row r="154" spans="3:20" ht="16.5" thickTop="1" thickBot="1"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</row>
    <row r="155" spans="3:20" ht="15.75" thickTop="1"/>
    <row r="156" spans="3:20" ht="15.75" thickBot="1">
      <c r="C156" s="104"/>
      <c r="D156" s="104"/>
      <c r="E156" s="104"/>
      <c r="F156" s="104"/>
      <c r="G156" s="104"/>
      <c r="H156" s="104"/>
    </row>
    <row r="157" spans="3:20" ht="16.5" thickTop="1" thickBot="1"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</row>
    <row r="158" spans="3:20" ht="16.5" thickTop="1" thickBot="1">
      <c r="C158" s="105"/>
      <c r="D158" s="105"/>
      <c r="E158" s="105"/>
      <c r="F158" s="105"/>
      <c r="G158" s="105"/>
      <c r="H158" s="105"/>
    </row>
    <row r="159" spans="3:20" ht="15.75" thickTop="1"/>
    <row r="160" spans="3:20" ht="15.75" thickBot="1">
      <c r="C160" s="104"/>
      <c r="D160" s="104"/>
      <c r="E160" s="104"/>
      <c r="F160" s="104"/>
      <c r="G160" s="104"/>
      <c r="H160" s="104"/>
      <c r="I160" s="104"/>
      <c r="J160" s="104"/>
    </row>
    <row r="161" spans="3:17" ht="16.5" thickTop="1" thickBot="1">
      <c r="C161" s="105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</row>
    <row r="162" spans="3:17" ht="16.5" thickTop="1" thickBot="1">
      <c r="C162" s="105"/>
      <c r="D162" s="105"/>
      <c r="E162" s="105"/>
      <c r="F162" s="105"/>
      <c r="G162" s="105"/>
      <c r="H162" s="105"/>
      <c r="I162" s="105"/>
      <c r="J162" s="105"/>
    </row>
    <row r="163" spans="3:17" ht="15.75" thickTop="1"/>
    <row r="164" spans="3:17" ht="15.75" thickBot="1"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</row>
    <row r="165" spans="3:17" ht="16.5" thickTop="1" thickBot="1">
      <c r="C165" s="105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</row>
    <row r="166" spans="3:17" ht="16.5" thickTop="1" thickBot="1"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</row>
    <row r="167" spans="3:17" ht="15.75" thickTop="1"/>
    <row r="168" spans="3:17" ht="15.75" thickBot="1">
      <c r="C168" s="104"/>
      <c r="D168" s="104"/>
      <c r="E168" s="104"/>
      <c r="F168" s="104"/>
      <c r="G168" s="104"/>
      <c r="H168" s="104"/>
      <c r="I168" s="104"/>
    </row>
    <row r="169" spans="3:17" ht="16.5" thickTop="1" thickBot="1">
      <c r="C169" s="105"/>
      <c r="D169" s="105"/>
      <c r="E169" s="105"/>
      <c r="F169" s="105"/>
      <c r="G169" s="105"/>
      <c r="H169" s="105"/>
      <c r="I169" s="105"/>
      <c r="J169" s="105"/>
      <c r="K169" s="105"/>
      <c r="L169" s="105"/>
    </row>
    <row r="170" spans="3:17" ht="16.5" thickTop="1" thickBot="1">
      <c r="C170" s="105"/>
      <c r="D170" s="105"/>
      <c r="E170" s="105"/>
      <c r="F170" s="105"/>
      <c r="G170" s="105"/>
      <c r="H170" s="105"/>
      <c r="I170" s="105"/>
    </row>
    <row r="171" spans="3:17" ht="15.75" thickTop="1"/>
    <row r="172" spans="3:17" ht="15.75" thickBot="1">
      <c r="C172" s="104"/>
      <c r="D172" s="104"/>
    </row>
    <row r="173" spans="3:17" ht="16.5" thickTop="1" thickBot="1">
      <c r="C173" s="105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</row>
    <row r="174" spans="3:17" ht="16.5" thickTop="1" thickBot="1">
      <c r="C174" s="105"/>
      <c r="D174" s="105"/>
    </row>
    <row r="175" spans="3:17" ht="15.75" thickTop="1"/>
    <row r="176" spans="3:17" ht="15.75" thickBot="1">
      <c r="C176" s="104"/>
      <c r="D176" s="104"/>
      <c r="E176" s="104"/>
      <c r="F176" s="104"/>
      <c r="G176" s="104"/>
      <c r="H176" s="104"/>
      <c r="I176" s="104"/>
    </row>
    <row r="177" spans="3:17" ht="16.5" thickTop="1" thickBot="1">
      <c r="C177" s="105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</row>
    <row r="178" spans="3:17" ht="16.5" thickTop="1" thickBot="1">
      <c r="C178" s="105"/>
      <c r="D178" s="105"/>
      <c r="E178" s="105"/>
      <c r="F178" s="105"/>
      <c r="G178" s="105"/>
      <c r="H178" s="105"/>
      <c r="I178" s="105"/>
    </row>
    <row r="179" spans="3:17" ht="15.75" thickTop="1"/>
    <row r="180" spans="3:17" ht="15.75" thickBot="1"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</row>
    <row r="181" spans="3:17" ht="16.5" thickTop="1" thickBot="1">
      <c r="C181" s="105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</row>
    <row r="182" spans="3:17" ht="16.5" thickTop="1" thickBot="1">
      <c r="C182" s="105"/>
      <c r="D182" s="105"/>
      <c r="E182" s="105"/>
      <c r="F182" s="105"/>
      <c r="G182" s="105"/>
      <c r="H182" s="105"/>
      <c r="I182" s="105"/>
      <c r="J182" s="105"/>
      <c r="K182" s="105"/>
      <c r="L182" s="105"/>
    </row>
    <row r="183" spans="3:17" ht="15.75" thickTop="1"/>
    <row r="184" spans="3:17" ht="15.75" thickBot="1">
      <c r="C184" s="104"/>
      <c r="D184" s="104"/>
    </row>
    <row r="185" spans="3:17" ht="16.5" thickTop="1" thickBot="1">
      <c r="C185" s="105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</row>
    <row r="186" spans="3:17" ht="16.5" thickTop="1" thickBot="1">
      <c r="C186" s="105"/>
      <c r="D186" s="105"/>
    </row>
    <row r="187" spans="3:17" ht="15.75" thickTop="1"/>
    <row r="188" spans="3:17" ht="15.75" thickBot="1">
      <c r="C188" s="104"/>
      <c r="D188" s="104"/>
      <c r="E188" s="104"/>
      <c r="F188" s="104"/>
      <c r="G188" s="104"/>
      <c r="H188" s="104"/>
    </row>
    <row r="189" spans="3:17" ht="16.5" thickTop="1" thickBot="1"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</row>
    <row r="190" spans="3:17" ht="16.5" thickTop="1" thickBot="1">
      <c r="C190" s="105"/>
      <c r="D190" s="105"/>
      <c r="E190" s="105"/>
      <c r="F190" s="105"/>
      <c r="G190" s="105"/>
      <c r="H190" s="105"/>
    </row>
    <row r="191" spans="3:17" ht="15.75" thickTop="1"/>
    <row r="192" spans="3:17" ht="15.75" thickBot="1">
      <c r="C192" s="104"/>
      <c r="D192" s="104"/>
      <c r="E192" s="104"/>
      <c r="F192" s="104"/>
    </row>
    <row r="193" spans="3:17" ht="16.5" thickTop="1" thickBot="1">
      <c r="C193" s="105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</row>
    <row r="194" spans="3:17" ht="16.5" thickTop="1" thickBot="1">
      <c r="C194" s="105"/>
      <c r="D194" s="105"/>
      <c r="E194" s="105"/>
      <c r="F194" s="105"/>
    </row>
    <row r="195" spans="3:17" ht="15.75" thickTop="1"/>
    <row r="196" spans="3:17" ht="15.75" thickBot="1">
      <c r="C196" s="104"/>
      <c r="D196" s="104"/>
    </row>
    <row r="197" spans="3:17" ht="16.5" thickTop="1" thickBot="1">
      <c r="C197" s="105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</row>
    <row r="198" spans="3:17" ht="16.5" thickTop="1" thickBot="1">
      <c r="C198" s="105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</row>
    <row r="199" spans="3:17" ht="15.75" thickTop="1"/>
    <row r="200" spans="3:17" ht="15.75" thickBot="1">
      <c r="C200" s="104"/>
      <c r="D200" s="104"/>
      <c r="E200" s="104"/>
      <c r="F200" s="104"/>
      <c r="G200" s="104"/>
      <c r="H200" s="104"/>
      <c r="I200" s="104"/>
      <c r="J200" s="104"/>
      <c r="K200" s="104"/>
    </row>
    <row r="201" spans="3:17" ht="16.5" thickTop="1" thickBot="1">
      <c r="C201" s="105"/>
      <c r="D201" s="105"/>
      <c r="E201" s="105"/>
      <c r="F201" s="105"/>
      <c r="G201" s="105"/>
      <c r="H201" s="105"/>
      <c r="I201" s="105"/>
      <c r="J201" s="105"/>
      <c r="K201" s="105"/>
    </row>
    <row r="202" spans="3:17" ht="16.5" thickTop="1" thickBot="1">
      <c r="C202" s="105"/>
      <c r="D202" s="105"/>
      <c r="E202" s="105"/>
      <c r="F202" s="105"/>
      <c r="G202" s="105"/>
      <c r="H202" s="105"/>
      <c r="I202" s="105"/>
      <c r="J202" s="105"/>
      <c r="K202" s="105"/>
    </row>
    <row r="203" spans="3:17" ht="15.75" thickTop="1"/>
    <row r="204" spans="3:17" ht="15.75" thickBot="1"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</row>
    <row r="205" spans="3:17" ht="16.5" thickTop="1" thickBot="1">
      <c r="C205" s="105"/>
      <c r="D205" s="105"/>
      <c r="E205" s="105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</row>
    <row r="206" spans="3:17" ht="16.5" thickTop="1" thickBot="1">
      <c r="C206" s="105"/>
      <c r="D206" s="105"/>
      <c r="E206" s="105"/>
      <c r="F206" s="105"/>
      <c r="G206" s="105"/>
      <c r="H206" s="105"/>
      <c r="I206" s="105"/>
      <c r="J206" s="105"/>
      <c r="K206" s="105"/>
      <c r="L206" s="105"/>
    </row>
    <row r="207" spans="3:17" ht="15.75" thickTop="1"/>
    <row r="208" spans="3:17" ht="15.75" thickBot="1">
      <c r="C208" s="104"/>
      <c r="D208" s="104"/>
      <c r="E208" s="104"/>
      <c r="F208" s="104"/>
      <c r="G208" s="104"/>
    </row>
    <row r="209" spans="3:17" ht="16.5" thickTop="1" thickBot="1">
      <c r="C209" s="105"/>
      <c r="D209" s="105"/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</row>
    <row r="210" spans="3:17" ht="16.5" thickTop="1" thickBot="1">
      <c r="C210" s="105"/>
      <c r="D210" s="105"/>
      <c r="E210" s="105"/>
      <c r="F210" s="105"/>
      <c r="G210" s="105"/>
    </row>
    <row r="211" spans="3:17" ht="15.75" thickTop="1"/>
    <row r="212" spans="3:17" ht="15.75" thickBot="1">
      <c r="C212" s="104"/>
    </row>
    <row r="213" spans="3:17" ht="16.5" thickTop="1" thickBot="1">
      <c r="C213" s="105"/>
      <c r="D213" s="105"/>
    </row>
    <row r="214" spans="3:17" ht="16.5" thickTop="1" thickBot="1">
      <c r="C214" s="105"/>
    </row>
    <row r="215" spans="3:17" ht="15.75" thickTop="1"/>
    <row r="216" spans="3:17" ht="15.75" thickBot="1">
      <c r="C216" s="104"/>
    </row>
    <row r="217" spans="3:17" ht="16.5" thickTop="1" thickBot="1">
      <c r="C217" s="105"/>
    </row>
    <row r="218" spans="3:17" ht="16.5" thickTop="1" thickBot="1">
      <c r="C218" s="105"/>
    </row>
    <row r="219" spans="3:17" ht="15.75" thickTop="1"/>
    <row r="220" spans="3:17" ht="15.75" thickBot="1"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</row>
    <row r="221" spans="3:17" ht="16.5" thickTop="1" thickBot="1">
      <c r="C221" s="105"/>
      <c r="D221" s="105"/>
      <c r="E221" s="105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</row>
    <row r="222" spans="3:17" ht="16.5" thickTop="1" thickBot="1">
      <c r="C222" s="105"/>
      <c r="D222" s="105"/>
      <c r="E222" s="105"/>
      <c r="F222" s="105"/>
      <c r="G222" s="105"/>
      <c r="H222" s="105"/>
      <c r="I222" s="105"/>
      <c r="J222" s="105"/>
      <c r="K222" s="105"/>
      <c r="L222" s="105"/>
    </row>
    <row r="223" spans="3:17" ht="15.75" thickTop="1"/>
    <row r="224" spans="3:17" ht="15.75" thickBot="1">
      <c r="C224" s="104"/>
      <c r="D224" s="104"/>
      <c r="E224" s="104"/>
      <c r="F224" s="104"/>
      <c r="G224" s="104"/>
      <c r="H224" s="104"/>
      <c r="I224" s="104"/>
      <c r="J224" s="104"/>
      <c r="K224" s="104"/>
    </row>
    <row r="225" spans="3:19" ht="16.5" thickTop="1" thickBot="1">
      <c r="C225" s="105"/>
      <c r="D225" s="105"/>
      <c r="E225" s="105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</row>
    <row r="226" spans="3:19" ht="16.5" thickTop="1" thickBot="1">
      <c r="C226" s="105"/>
      <c r="D226" s="105"/>
      <c r="E226" s="105"/>
      <c r="F226" s="105"/>
      <c r="G226" s="105"/>
      <c r="H226" s="105"/>
      <c r="I226" s="105"/>
      <c r="J226" s="105"/>
      <c r="K226" s="105"/>
    </row>
    <row r="227" spans="3:19" ht="15.75" thickTop="1"/>
    <row r="228" spans="3:19" ht="15.75" thickBot="1"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3:19" ht="16.5" thickTop="1" thickBot="1">
      <c r="C229" s="105"/>
      <c r="D229" s="105"/>
      <c r="E229" s="105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</row>
    <row r="230" spans="3:19" ht="16.5" thickTop="1" thickBot="1">
      <c r="C230" s="105"/>
      <c r="D230" s="105"/>
      <c r="E230" s="105"/>
      <c r="F230" s="105"/>
      <c r="G230" s="105"/>
      <c r="H230" s="105"/>
      <c r="I230" s="105"/>
      <c r="J230" s="105"/>
      <c r="K230" s="105"/>
      <c r="L230" s="105"/>
      <c r="M230" s="105"/>
      <c r="N230" s="105"/>
    </row>
    <row r="231" spans="3:19" ht="15.75" thickTop="1"/>
    <row r="232" spans="3:19" ht="15.75" thickBot="1"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</row>
    <row r="233" spans="3:19" ht="16.5" thickTop="1" thickBot="1">
      <c r="C233" s="105"/>
      <c r="D233" s="105"/>
      <c r="E233" s="105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</row>
    <row r="234" spans="3:19" ht="16.5" thickTop="1" thickBot="1">
      <c r="C234" s="105"/>
      <c r="D234" s="105"/>
      <c r="E234" s="105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</row>
    <row r="235" spans="3:19" ht="15.75" thickTop="1"/>
    <row r="236" spans="3:19" ht="15.75" thickBot="1"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</row>
    <row r="237" spans="3:19" ht="16.5" thickTop="1" thickBot="1">
      <c r="C237" s="105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</row>
    <row r="238" spans="3:19" ht="16.5" thickTop="1" thickBot="1">
      <c r="C238" s="105"/>
      <c r="D238" s="105"/>
      <c r="E238" s="105"/>
      <c r="F238" s="105"/>
      <c r="G238" s="105"/>
      <c r="H238" s="105"/>
      <c r="I238" s="105"/>
      <c r="J238" s="105"/>
      <c r="K238" s="105"/>
      <c r="L238" s="105"/>
    </row>
    <row r="239" spans="3:19" ht="15.75" thickTop="1"/>
    <row r="240" spans="3:19" ht="15.75" thickBot="1">
      <c r="C240" s="104"/>
      <c r="D240" s="104"/>
      <c r="E240" s="104"/>
      <c r="F240" s="104"/>
      <c r="G240" s="104"/>
    </row>
    <row r="241" spans="3:21" ht="16.5" thickTop="1" thickBot="1">
      <c r="C241" s="105"/>
      <c r="D241" s="105"/>
      <c r="E241" s="105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</row>
    <row r="242" spans="3:21" ht="16.5" thickTop="1" thickBot="1">
      <c r="C242" s="105"/>
      <c r="D242" s="105"/>
      <c r="E242" s="105"/>
      <c r="F242" s="105"/>
      <c r="G242" s="105"/>
    </row>
    <row r="243" spans="3:21" ht="15.75" thickTop="1"/>
    <row r="244" spans="3:21" ht="15.75" thickBot="1"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3:21" ht="16.5" thickTop="1" thickBot="1">
      <c r="C245" s="105"/>
      <c r="D245" s="105"/>
      <c r="E245" s="105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</row>
    <row r="246" spans="3:21" ht="16.5" thickTop="1" thickBot="1">
      <c r="C246" s="105"/>
      <c r="D246" s="105"/>
      <c r="E246" s="105"/>
      <c r="F246" s="105"/>
      <c r="G246" s="105"/>
      <c r="H246" s="105"/>
      <c r="I246" s="105"/>
      <c r="J246" s="105"/>
      <c r="K246" s="105"/>
      <c r="L246" s="105"/>
      <c r="M246" s="105"/>
      <c r="N246" s="105"/>
    </row>
    <row r="247" spans="3:21" ht="15.75" thickTop="1"/>
    <row r="248" spans="3:21" ht="15.75" thickBot="1"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</row>
    <row r="249" spans="3:21" ht="16.5" thickTop="1" thickBot="1">
      <c r="C249" s="105"/>
      <c r="D249" s="105"/>
      <c r="E249" s="105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</row>
    <row r="250" spans="3:21" ht="16.5" thickTop="1" thickBot="1">
      <c r="C250" s="105"/>
      <c r="D250" s="105"/>
      <c r="E250" s="105"/>
      <c r="F250" s="105"/>
      <c r="G250" s="105"/>
      <c r="H250" s="105"/>
      <c r="I250" s="105"/>
      <c r="J250" s="105"/>
      <c r="K250" s="105"/>
      <c r="L250" s="105"/>
    </row>
    <row r="251" spans="3:21" ht="15.75" thickTop="1"/>
    <row r="252" spans="3:21" ht="15.75" thickBot="1"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3:21" ht="16.5" thickTop="1" thickBot="1">
      <c r="C253" s="105"/>
      <c r="D253" s="105"/>
      <c r="E253" s="105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</row>
    <row r="254" spans="3:21" ht="16.5" thickTop="1" thickBot="1">
      <c r="C254" s="105"/>
      <c r="D254" s="105"/>
      <c r="E254" s="105"/>
      <c r="F254" s="105"/>
      <c r="G254" s="105"/>
      <c r="H254" s="105"/>
      <c r="I254" s="105"/>
      <c r="J254" s="105"/>
      <c r="K254" s="105"/>
      <c r="L254" s="105"/>
      <c r="M254" s="105"/>
      <c r="N254" s="105"/>
    </row>
    <row r="255" spans="3:21" ht="15.75" thickTop="1"/>
    <row r="256" spans="3:21" ht="15.75" thickBot="1">
      <c r="C256" s="104"/>
      <c r="D256" s="104"/>
      <c r="E256" s="104"/>
      <c r="F256" s="104"/>
      <c r="G256" s="104"/>
    </row>
    <row r="257" spans="3:16" ht="16.5" thickTop="1" thickBot="1">
      <c r="C257" s="105"/>
      <c r="D257" s="105"/>
      <c r="E257" s="105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</row>
    <row r="258" spans="3:16" ht="16.5" thickTop="1" thickBot="1">
      <c r="C258" s="105"/>
      <c r="D258" s="105"/>
      <c r="E258" s="105"/>
      <c r="F258" s="105"/>
      <c r="G258" s="105"/>
    </row>
    <row r="259" spans="3:16" ht="15.75" thickTop="1"/>
    <row r="260" spans="3:16" ht="15.75" thickBot="1">
      <c r="C260" s="104"/>
      <c r="D260" s="104"/>
      <c r="E260" s="104"/>
      <c r="F260" s="104"/>
      <c r="G260" s="104"/>
      <c r="H260" s="104"/>
    </row>
    <row r="261" spans="3:16" ht="16.5" thickTop="1" thickBot="1">
      <c r="C261" s="105"/>
      <c r="D261" s="105"/>
      <c r="E261" s="105"/>
      <c r="F261" s="105"/>
      <c r="G261" s="105"/>
      <c r="H261" s="105"/>
      <c r="I261" s="105"/>
      <c r="J261" s="105"/>
      <c r="K261" s="105"/>
      <c r="L261" s="105"/>
      <c r="M261" s="105"/>
      <c r="N261" s="105"/>
    </row>
    <row r="262" spans="3:16" ht="16.5" thickTop="1" thickBot="1">
      <c r="C262" s="105"/>
      <c r="D262" s="105"/>
      <c r="E262" s="105"/>
      <c r="F262" s="105"/>
      <c r="G262" s="105"/>
      <c r="H262" s="105"/>
    </row>
    <row r="263" spans="3:16" ht="15.75" thickTop="1"/>
    <row r="264" spans="3:16" ht="15.75" thickBot="1">
      <c r="C264" s="104"/>
      <c r="D264" s="104"/>
      <c r="E264" s="104"/>
      <c r="F264" s="104"/>
      <c r="G264" s="104"/>
      <c r="H264" s="104"/>
      <c r="I264" s="104"/>
      <c r="J264" s="104"/>
    </row>
    <row r="265" spans="3:16" ht="16.5" thickTop="1" thickBot="1">
      <c r="C265" s="105"/>
      <c r="D265" s="105"/>
      <c r="E265" s="105"/>
      <c r="F265" s="105"/>
      <c r="G265" s="105"/>
      <c r="H265" s="105"/>
      <c r="I265" s="105"/>
      <c r="J265" s="105"/>
      <c r="K265" s="105"/>
      <c r="L265" s="105"/>
      <c r="M265" s="105"/>
      <c r="N265" s="105"/>
    </row>
    <row r="266" spans="3:16" ht="16.5" thickTop="1" thickBot="1">
      <c r="C266" s="105"/>
      <c r="D266" s="105"/>
      <c r="E266" s="105"/>
      <c r="F266" s="105"/>
      <c r="G266" s="105"/>
      <c r="H266" s="105"/>
      <c r="I266" s="105"/>
      <c r="J266" s="105"/>
    </row>
    <row r="267" spans="3:16" ht="15.75" thickTop="1"/>
    <row r="268" spans="3:16" ht="15.75" thickBot="1"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</row>
    <row r="269" spans="3:16" ht="16.5" thickTop="1" thickBot="1">
      <c r="C269" s="105"/>
      <c r="D269" s="105"/>
      <c r="E269" s="105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</row>
    <row r="270" spans="3:16" ht="16.5" thickTop="1" thickBot="1">
      <c r="C270" s="105"/>
      <c r="D270" s="105"/>
      <c r="E270" s="105"/>
      <c r="F270" s="105"/>
      <c r="G270" s="105"/>
      <c r="H270" s="105"/>
      <c r="I270" s="105"/>
      <c r="J270" s="105"/>
      <c r="K270" s="105"/>
      <c r="L270" s="105"/>
    </row>
    <row r="271" spans="3:16" ht="15.75" thickTop="1"/>
    <row r="272" spans="3:16" ht="15.75" thickBot="1">
      <c r="C272" s="104"/>
      <c r="D272" s="104"/>
      <c r="E272" s="104"/>
      <c r="F272" s="104"/>
      <c r="G272" s="104"/>
      <c r="H272" s="104"/>
    </row>
    <row r="273" spans="3:15" ht="16.5" thickTop="1" thickBot="1">
      <c r="C273" s="105"/>
      <c r="D273" s="105"/>
      <c r="E273" s="105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</row>
    <row r="274" spans="3:15" ht="16.5" thickTop="1" thickBot="1">
      <c r="C274" s="105"/>
      <c r="D274" s="105"/>
      <c r="E274" s="105"/>
      <c r="F274" s="105"/>
      <c r="G274" s="105"/>
      <c r="H274" s="105"/>
    </row>
    <row r="275" spans="3:15" ht="15.75" thickTop="1"/>
    <row r="276" spans="3:15" ht="15.75" thickBot="1">
      <c r="C276" s="104"/>
      <c r="D276" s="104"/>
      <c r="E276" s="104"/>
      <c r="F276" s="104"/>
      <c r="G276" s="104"/>
      <c r="H276" s="104"/>
      <c r="I276" s="104"/>
      <c r="J276" s="104"/>
    </row>
    <row r="277" spans="3:15" ht="16.5" thickTop="1" thickBot="1">
      <c r="C277" s="105"/>
      <c r="D277" s="105"/>
      <c r="E277" s="105"/>
      <c r="F277" s="105"/>
      <c r="G277" s="105"/>
      <c r="H277" s="105"/>
      <c r="I277" s="105"/>
      <c r="J277" s="105"/>
      <c r="K277" s="105"/>
      <c r="L277" s="105"/>
      <c r="M277" s="105"/>
      <c r="N277" s="105"/>
    </row>
    <row r="278" spans="3:15" ht="16.5" thickTop="1" thickBot="1">
      <c r="C278" s="105"/>
      <c r="D278" s="105"/>
      <c r="E278" s="105"/>
      <c r="F278" s="105"/>
      <c r="G278" s="105"/>
      <c r="H278" s="105"/>
      <c r="I278" s="105"/>
      <c r="J278" s="105"/>
    </row>
    <row r="279" spans="3:15" ht="15.75" thickTop="1"/>
    <row r="280" spans="3:15" ht="15.75" thickBot="1">
      <c r="C280" s="104"/>
      <c r="D280" s="104"/>
    </row>
    <row r="281" spans="3:15" ht="16.5" thickTop="1" thickBot="1">
      <c r="C281" s="105"/>
      <c r="D281" s="105"/>
      <c r="E281" s="105"/>
      <c r="F281" s="105"/>
      <c r="G281" s="105"/>
      <c r="H281" s="105"/>
      <c r="I281" s="105"/>
      <c r="J281" s="105"/>
      <c r="K281" s="105"/>
      <c r="L281" s="105"/>
      <c r="M281" s="105"/>
      <c r="N281" s="105"/>
    </row>
    <row r="282" spans="3:15" ht="16.5" thickTop="1" thickBot="1">
      <c r="C282" s="105"/>
      <c r="D282" s="105"/>
    </row>
    <row r="283" spans="3:15" ht="15.75" thickTop="1"/>
    <row r="284" spans="3:15" ht="15.75" thickBot="1">
      <c r="C284" s="104"/>
      <c r="D284" s="104"/>
      <c r="E284" s="104"/>
      <c r="F284" s="104"/>
      <c r="G284" s="104"/>
      <c r="H284" s="104"/>
      <c r="I284" s="104"/>
      <c r="J284" s="104"/>
    </row>
    <row r="285" spans="3:15" ht="16.5" thickTop="1" thickBot="1">
      <c r="C285" s="105"/>
      <c r="D285" s="105"/>
      <c r="E285" s="105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</row>
    <row r="286" spans="3:15" ht="16.5" thickTop="1" thickBot="1">
      <c r="C286" s="105"/>
      <c r="D286" s="105"/>
      <c r="E286" s="105"/>
      <c r="F286" s="105"/>
      <c r="G286" s="105"/>
      <c r="H286" s="105"/>
      <c r="I286" s="105"/>
      <c r="J286" s="105"/>
    </row>
    <row r="287" spans="3:15" ht="15.75" thickTop="1"/>
    <row r="288" spans="3:15" ht="15.75" thickBot="1">
      <c r="C288" s="104"/>
      <c r="D288" s="104"/>
      <c r="E288" s="104"/>
      <c r="F288" s="104"/>
      <c r="G288" s="104"/>
      <c r="H288" s="104"/>
      <c r="I288" s="104"/>
      <c r="J288" s="104"/>
      <c r="K288" s="104"/>
    </row>
    <row r="289" spans="3:19" ht="16.5" thickTop="1" thickBot="1">
      <c r="C289" s="105"/>
      <c r="D289" s="105"/>
      <c r="E289" s="105"/>
      <c r="F289" s="105"/>
      <c r="G289" s="105"/>
      <c r="H289" s="105"/>
      <c r="I289" s="105"/>
      <c r="J289" s="105"/>
      <c r="K289" s="105"/>
      <c r="L289" s="105"/>
      <c r="M289" s="105"/>
    </row>
    <row r="290" spans="3:19" ht="16.5" thickTop="1" thickBot="1">
      <c r="C290" s="105"/>
      <c r="D290" s="105"/>
      <c r="E290" s="105"/>
      <c r="F290" s="105"/>
      <c r="G290" s="105"/>
      <c r="H290" s="105"/>
      <c r="I290" s="105"/>
      <c r="J290" s="105"/>
      <c r="K290" s="105"/>
    </row>
    <row r="291" spans="3:19" ht="15.75" thickTop="1"/>
    <row r="292" spans="3:19" ht="15.75" thickBot="1">
      <c r="C292" s="104"/>
      <c r="D292" s="104"/>
      <c r="E292" s="104"/>
      <c r="F292" s="104"/>
      <c r="G292" s="104"/>
      <c r="H292" s="104"/>
      <c r="I292" s="104"/>
      <c r="J292" s="104"/>
      <c r="K292" s="104"/>
    </row>
    <row r="293" spans="3:19" ht="16.5" thickTop="1" thickBot="1">
      <c r="C293" s="105"/>
      <c r="D293" s="105"/>
      <c r="E293" s="105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</row>
    <row r="294" spans="3:19" ht="16.5" thickTop="1" thickBot="1">
      <c r="C294" s="105"/>
      <c r="D294" s="105"/>
      <c r="E294" s="105"/>
      <c r="F294" s="105"/>
      <c r="G294" s="105"/>
      <c r="H294" s="105"/>
      <c r="I294" s="105"/>
      <c r="J294" s="105"/>
      <c r="K294" s="105"/>
    </row>
    <row r="295" spans="3:19" ht="15.75" thickTop="1"/>
    <row r="296" spans="3:19" ht="15.75" thickBot="1">
      <c r="C296" s="104"/>
      <c r="D296" s="104"/>
      <c r="E296" s="104"/>
      <c r="F296" s="104"/>
      <c r="G296" s="104"/>
      <c r="H296" s="104"/>
      <c r="I296" s="104"/>
      <c r="J296" s="104"/>
    </row>
    <row r="297" spans="3:19" ht="16.5" thickTop="1" thickBot="1">
      <c r="C297" s="105"/>
      <c r="D297" s="105"/>
      <c r="E297" s="105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</row>
    <row r="298" spans="3:19" ht="16.5" thickTop="1" thickBot="1">
      <c r="C298" s="105"/>
      <c r="D298" s="105"/>
      <c r="E298" s="105"/>
      <c r="F298" s="105"/>
      <c r="G298" s="105"/>
      <c r="H298" s="105"/>
      <c r="I298" s="105"/>
      <c r="J298" s="105"/>
    </row>
    <row r="299" spans="3:19" ht="15.75" thickTop="1"/>
    <row r="300" spans="3:19" ht="15.75" thickBot="1">
      <c r="C300" s="104"/>
    </row>
    <row r="301" spans="3:19" ht="16.5" thickTop="1" thickBot="1">
      <c r="C301" s="105"/>
    </row>
    <row r="302" spans="3:19" ht="16.5" thickTop="1" thickBot="1">
      <c r="C302" s="105"/>
    </row>
    <row r="303" spans="3:19" ht="15.75" thickTop="1"/>
    <row r="304" spans="3:19" ht="15.75" thickBot="1"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</row>
    <row r="305" spans="3:18" ht="16.5" thickTop="1" thickBot="1">
      <c r="C305" s="105"/>
      <c r="D305" s="105"/>
      <c r="E305" s="105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</row>
    <row r="306" spans="3:18" ht="16.5" thickTop="1" thickBot="1">
      <c r="C306" s="105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</row>
    <row r="307" spans="3:18" ht="15.75" thickTop="1"/>
    <row r="308" spans="3:18" ht="15.75" thickBot="1"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</row>
    <row r="309" spans="3:18" ht="16.5" thickTop="1" thickBot="1">
      <c r="C309" s="105"/>
      <c r="D309" s="105"/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</row>
    <row r="310" spans="3:18" ht="16.5" thickTop="1" thickBot="1">
      <c r="C310" s="105"/>
      <c r="D310" s="105"/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</row>
    <row r="311" spans="3:18" ht="15.75" thickTop="1"/>
    <row r="312" spans="3:18" ht="15.75" thickBot="1">
      <c r="C312" s="104"/>
      <c r="D312" s="104"/>
      <c r="E312" s="104"/>
    </row>
    <row r="313" spans="3:18" ht="16.5" thickTop="1" thickBot="1">
      <c r="C313" s="105"/>
      <c r="D313" s="105"/>
      <c r="E313" s="105"/>
    </row>
    <row r="314" spans="3:18" ht="16.5" thickTop="1" thickBot="1">
      <c r="C314" s="105"/>
      <c r="D314" s="105"/>
      <c r="E314" s="105"/>
    </row>
    <row r="315" spans="3:18" ht="15.75" thickTop="1"/>
    <row r="316" spans="3:18" ht="15.75" thickBot="1"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3:18" ht="16.5" thickTop="1" thickBot="1">
      <c r="C317" s="105"/>
      <c r="D317" s="105"/>
      <c r="E317" s="105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</row>
    <row r="318" spans="3:18" ht="16.5" thickTop="1" thickBot="1">
      <c r="C318" s="105"/>
      <c r="D318" s="105"/>
      <c r="E318" s="105"/>
      <c r="F318" s="105"/>
      <c r="G318" s="105"/>
      <c r="H318" s="105"/>
      <c r="I318" s="105"/>
      <c r="J318" s="105"/>
      <c r="K318" s="105"/>
      <c r="L318" s="105"/>
      <c r="M318" s="105"/>
      <c r="N318" s="105"/>
    </row>
    <row r="319" spans="3:18" ht="15.75" thickTop="1"/>
    <row r="320" spans="3:18" ht="15.75" thickBot="1">
      <c r="C320" s="104"/>
      <c r="D320" s="104"/>
      <c r="E320" s="104"/>
      <c r="F320" s="104"/>
    </row>
    <row r="321" spans="3:11" ht="16.5" thickTop="1" thickBot="1">
      <c r="C321" s="105"/>
      <c r="D321" s="105"/>
      <c r="E321" s="105"/>
      <c r="F321" s="105"/>
      <c r="G321" s="105"/>
      <c r="H321" s="105"/>
      <c r="I321" s="105"/>
      <c r="J321" s="105"/>
      <c r="K321" s="105"/>
    </row>
    <row r="322" spans="3:11" ht="16.5" thickTop="1" thickBot="1">
      <c r="C322" s="105"/>
      <c r="D322" s="105"/>
      <c r="E322" s="105"/>
      <c r="F322" s="105"/>
    </row>
    <row r="323" spans="3:11" ht="15.75" thickTop="1"/>
    <row r="324" spans="3:11" ht="15.75" thickBot="1">
      <c r="C324" s="104"/>
    </row>
    <row r="325" spans="3:11" ht="16.5" thickTop="1" thickBot="1">
      <c r="C325" s="105"/>
    </row>
    <row r="326" spans="3:11" ht="16.5" thickTop="1" thickBot="1">
      <c r="C326" s="105"/>
    </row>
    <row r="327" spans="3:11" ht="15.75" thickTop="1"/>
    <row r="328" spans="3:11" ht="15.75" thickBot="1">
      <c r="C328" s="104"/>
      <c r="D328" s="104"/>
      <c r="E328" s="104"/>
      <c r="F328" s="104"/>
      <c r="G328" s="104"/>
      <c r="H328" s="104"/>
    </row>
    <row r="329" spans="3:11" ht="16.5" thickTop="1" thickBot="1">
      <c r="C329" s="105"/>
      <c r="D329" s="105"/>
      <c r="E329" s="105"/>
      <c r="F329" s="105"/>
      <c r="G329" s="105"/>
      <c r="H329" s="105"/>
      <c r="I329" s="105"/>
      <c r="J329" s="105"/>
    </row>
    <row r="330" spans="3:11" ht="16.5" thickTop="1" thickBot="1">
      <c r="C330" s="105"/>
      <c r="D330" s="105"/>
      <c r="E330" s="105"/>
      <c r="F330" s="105"/>
      <c r="G330" s="105"/>
      <c r="H330" s="105"/>
    </row>
    <row r="331" spans="3:11" ht="15.75" thickTop="1"/>
    <row r="332" spans="3:11" ht="15.75" thickBot="1">
      <c r="C332" s="104"/>
    </row>
    <row r="333" spans="3:11" ht="16.5" thickTop="1" thickBot="1">
      <c r="C333" s="105"/>
    </row>
    <row r="334" spans="3:11" ht="16.5" thickTop="1" thickBot="1">
      <c r="C334" s="105"/>
    </row>
    <row r="335" spans="3:11" ht="15.75" thickTop="1"/>
    <row r="336" spans="3:11" ht="15.75" thickBot="1">
      <c r="C336" s="104"/>
      <c r="D336" s="104"/>
      <c r="E336" s="104"/>
      <c r="F336" s="104"/>
      <c r="G336" s="104"/>
      <c r="H336" s="104"/>
      <c r="I336" s="104"/>
      <c r="J336" s="104"/>
      <c r="K336" s="104"/>
    </row>
    <row r="337" spans="3:17" ht="16.5" thickTop="1" thickBot="1">
      <c r="C337" s="105"/>
      <c r="D337" s="105"/>
      <c r="E337" s="105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</row>
    <row r="338" spans="3:17" ht="16.5" thickTop="1" thickBot="1">
      <c r="C338" s="105"/>
      <c r="D338" s="105"/>
      <c r="E338" s="105"/>
      <c r="F338" s="105"/>
      <c r="G338" s="105"/>
      <c r="H338" s="105"/>
      <c r="I338" s="105"/>
      <c r="J338" s="105"/>
      <c r="K338" s="105"/>
    </row>
    <row r="339" spans="3:17" ht="15.75" thickTop="1"/>
    <row r="340" spans="3:17" ht="15.75" thickBot="1">
      <c r="C340" s="104"/>
      <c r="D340" s="104"/>
      <c r="E340" s="104"/>
      <c r="F340" s="104"/>
      <c r="G340" s="104"/>
      <c r="H340" s="104"/>
    </row>
    <row r="341" spans="3:17" ht="16.5" thickTop="1" thickBot="1">
      <c r="C341" s="105"/>
      <c r="D341" s="105"/>
      <c r="E341" s="105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</row>
    <row r="342" spans="3:17" ht="16.5" thickTop="1" thickBot="1">
      <c r="C342" s="105"/>
      <c r="D342" s="105"/>
      <c r="E342" s="105"/>
      <c r="F342" s="105"/>
      <c r="G342" s="105"/>
      <c r="H342" s="105"/>
    </row>
    <row r="343" spans="3:17" ht="15.75" thickTop="1"/>
    <row r="344" spans="3:17" ht="15.75" thickBot="1">
      <c r="C344" s="104"/>
    </row>
    <row r="345" spans="3:17" ht="16.5" thickTop="1" thickBot="1">
      <c r="C345" s="105"/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</row>
    <row r="346" spans="3:17" ht="16.5" thickTop="1" thickBot="1">
      <c r="C346" s="105"/>
    </row>
    <row r="347" spans="3:17" ht="15.75" thickTop="1"/>
    <row r="348" spans="3:17" ht="15.75" thickBot="1">
      <c r="C348" s="104"/>
    </row>
    <row r="349" spans="3:17" ht="16.5" thickTop="1" thickBot="1">
      <c r="C349" s="105"/>
    </row>
    <row r="350" spans="3:17" ht="16.5" thickTop="1" thickBot="1">
      <c r="C350" s="105"/>
    </row>
    <row r="351" spans="3:17" ht="15.75" thickTop="1"/>
    <row r="352" spans="3:17" ht="15.75" thickBot="1"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3:26" ht="16.5" thickTop="1" thickBot="1">
      <c r="C353" s="105"/>
      <c r="D353" s="105"/>
      <c r="E353" s="105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</row>
    <row r="354" spans="3:26" ht="16.5" thickTop="1" thickBot="1">
      <c r="C354" s="105"/>
      <c r="D354" s="105"/>
      <c r="E354" s="105"/>
      <c r="F354" s="105"/>
      <c r="G354" s="105"/>
      <c r="H354" s="105"/>
      <c r="I354" s="105"/>
      <c r="J354" s="105"/>
      <c r="K354" s="105"/>
      <c r="L354" s="105"/>
      <c r="M354" s="105"/>
      <c r="N354" s="105"/>
    </row>
    <row r="355" spans="3:26" ht="15.75" thickTop="1"/>
    <row r="356" spans="3:26" ht="15.75" thickBot="1"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</row>
    <row r="357" spans="3:26" ht="16.5" thickTop="1" thickBot="1">
      <c r="C357" s="105"/>
      <c r="D357" s="105"/>
      <c r="E357" s="105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</row>
    <row r="358" spans="3:26" ht="16.5" thickTop="1" thickBot="1">
      <c r="C358" s="105"/>
      <c r="D358" s="105"/>
      <c r="E358" s="105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</row>
    <row r="359" spans="3:26" ht="15.75" thickTop="1"/>
    <row r="360" spans="3:26" ht="15.75" thickBot="1">
      <c r="C360" s="104"/>
      <c r="D360" s="104"/>
      <c r="E360" s="104"/>
      <c r="F360" s="104"/>
      <c r="G360" s="104"/>
      <c r="H360" s="104"/>
    </row>
    <row r="361" spans="3:26" ht="16.5" thickTop="1" thickBot="1">
      <c r="C361" s="105"/>
      <c r="D361" s="105"/>
      <c r="E361" s="105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</row>
    <row r="362" spans="3:26" ht="16.5" thickTop="1" thickBot="1">
      <c r="C362" s="105"/>
      <c r="D362" s="105"/>
      <c r="E362" s="105"/>
      <c r="F362" s="105"/>
      <c r="G362" s="105"/>
      <c r="H362" s="105"/>
    </row>
    <row r="363" spans="3:26" ht="15.75" thickTop="1"/>
    <row r="364" spans="3:26" ht="15.75" thickBot="1">
      <c r="C364" s="104"/>
      <c r="D364" s="104"/>
    </row>
    <row r="365" spans="3:26" ht="16.5" thickTop="1" thickBot="1">
      <c r="C365" s="105"/>
      <c r="D365" s="105"/>
    </row>
    <row r="366" spans="3:26" ht="16.5" thickTop="1" thickBot="1">
      <c r="C366" s="105"/>
      <c r="D366" s="105"/>
    </row>
    <row r="367" spans="3:26" ht="15.75" thickTop="1"/>
    <row r="368" spans="3:26" ht="15.75" thickBot="1"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Z368" s="2" t="s">
        <v>318</v>
      </c>
    </row>
    <row r="369" spans="3:26" ht="16.5" thickTop="1" thickBot="1">
      <c r="C369" s="105"/>
      <c r="D369" s="105"/>
      <c r="E369" s="105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>
        <v>22.618000000000002</v>
      </c>
    </row>
    <row r="370" spans="3:26" ht="16.5" thickTop="1" thickBot="1">
      <c r="C370" s="105"/>
      <c r="D370" s="105"/>
      <c r="E370" s="105"/>
      <c r="F370" s="105"/>
      <c r="G370" s="105"/>
      <c r="H370" s="105"/>
      <c r="I370" s="105"/>
      <c r="J370" s="105"/>
      <c r="K370" s="105"/>
      <c r="L370" s="105"/>
      <c r="M370" s="105"/>
      <c r="N370" s="105"/>
    </row>
    <row r="371" spans="3:26" ht="15.75" thickTop="1"/>
    <row r="372" spans="3:26" ht="15.75" thickBot="1">
      <c r="C372" s="104"/>
      <c r="D372" s="104"/>
    </row>
    <row r="373" spans="3:26" ht="16.5" thickTop="1" thickBot="1">
      <c r="C373" s="105"/>
      <c r="D373" s="105"/>
      <c r="E373" s="105"/>
      <c r="F373" s="105"/>
      <c r="G373" s="105"/>
      <c r="H373" s="105"/>
    </row>
    <row r="374" spans="3:26" ht="16.5" thickTop="1" thickBot="1">
      <c r="C374" s="105"/>
      <c r="D374" s="105"/>
    </row>
    <row r="375" spans="3:26" ht="15.75" thickTop="1"/>
    <row r="376" spans="3:26" ht="15.75" thickBot="1">
      <c r="C376" s="104"/>
      <c r="D376" s="104"/>
    </row>
    <row r="377" spans="3:26" ht="16.5" thickTop="1" thickBot="1">
      <c r="C377" s="105"/>
      <c r="D377" s="105"/>
    </row>
    <row r="378" spans="3:26" ht="16.5" thickTop="1" thickBot="1">
      <c r="C378" s="105"/>
      <c r="D378" s="105"/>
    </row>
    <row r="379" spans="3:26" ht="15.75" thickTop="1"/>
    <row r="380" spans="3:26" ht="15.75" thickBot="1">
      <c r="C380" s="104"/>
    </row>
    <row r="381" spans="3:26" ht="16.5" thickTop="1" thickBot="1">
      <c r="C381" s="105"/>
    </row>
    <row r="382" spans="3:26" ht="16.5" thickTop="1" thickBot="1">
      <c r="C382" s="105"/>
    </row>
    <row r="383" spans="3:26" ht="15.75" thickTop="1"/>
    <row r="384" spans="3:26" customFormat="1" ht="15.75" thickBot="1">
      <c r="C384" s="104"/>
    </row>
    <row r="385" spans="3:8" customFormat="1" ht="16.5" thickTop="1" thickBot="1">
      <c r="C385" s="105"/>
    </row>
    <row r="386" spans="3:8" customFormat="1" ht="16.5" thickTop="1" thickBot="1">
      <c r="C386" s="105"/>
    </row>
    <row r="387" spans="3:8" customFormat="1" ht="15.75" thickTop="1"/>
    <row r="388" spans="3:8" ht="15.75" thickBot="1">
      <c r="C388" s="104"/>
    </row>
    <row r="389" spans="3:8" ht="15.75" thickBot="1"/>
    <row r="390" spans="3:8" ht="16.5" thickTop="1" thickBot="1">
      <c r="C390" s="105"/>
    </row>
    <row r="391" spans="3:8" ht="15.75" thickTop="1"/>
    <row r="392" spans="3:8" ht="15.75" thickBot="1">
      <c r="C392" s="104"/>
    </row>
    <row r="393" spans="3:8" ht="16.5" thickTop="1" thickBot="1">
      <c r="C393" s="105"/>
    </row>
    <row r="394" spans="3:8" ht="16.5" thickTop="1" thickBot="1">
      <c r="C394" s="105"/>
    </row>
    <row r="395" spans="3:8" ht="15.75" thickTop="1"/>
    <row r="396" spans="3:8" ht="15.75" thickBot="1">
      <c r="C396" s="104"/>
    </row>
    <row r="397" spans="3:8" ht="15.75" thickBot="1"/>
    <row r="398" spans="3:8" ht="16.5" thickTop="1" thickBot="1">
      <c r="C398" s="105"/>
    </row>
    <row r="399" spans="3:8" ht="15.75" thickTop="1"/>
    <row r="400" spans="3:8" ht="15.75" thickBot="1">
      <c r="C400" s="104"/>
      <c r="D400" s="104"/>
      <c r="E400" s="104"/>
      <c r="F400" s="104"/>
      <c r="G400" s="104"/>
      <c r="H400" s="104"/>
    </row>
    <row r="401" spans="3:21" ht="16.5" thickTop="1" thickBot="1">
      <c r="C401" s="105"/>
      <c r="D401" s="105"/>
      <c r="E401" s="105"/>
      <c r="F401" s="105"/>
      <c r="G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</row>
    <row r="402" spans="3:21" ht="16.5" thickTop="1" thickBot="1">
      <c r="C402" s="105"/>
      <c r="D402" s="105"/>
      <c r="E402" s="105"/>
      <c r="F402" s="105"/>
      <c r="G402" s="105"/>
      <c r="H402" s="105"/>
    </row>
    <row r="403" spans="3:21" ht="15.75" thickTop="1"/>
    <row r="404" spans="3:21" ht="15.75" thickBot="1">
      <c r="C404" s="104"/>
      <c r="D404" s="104"/>
    </row>
    <row r="405" spans="3:21" ht="16.5" thickTop="1" thickBot="1">
      <c r="C405" s="105"/>
      <c r="E405" s="105"/>
      <c r="F405" s="105"/>
      <c r="G405" s="105"/>
      <c r="H405" s="105"/>
      <c r="I405" s="105"/>
      <c r="J405" s="105"/>
      <c r="K405" s="105"/>
      <c r="L405" s="105"/>
      <c r="M405" s="105"/>
      <c r="N405" s="105"/>
    </row>
    <row r="406" spans="3:21" ht="16.5" thickTop="1" thickBot="1">
      <c r="C406" s="105"/>
      <c r="D406" s="105"/>
    </row>
    <row r="407" spans="3:21" ht="15.75" thickTop="1"/>
    <row r="408" spans="3:21" ht="15.75" thickBot="1"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</row>
    <row r="409" spans="3:21" ht="16.5" thickTop="1" thickBot="1">
      <c r="C409" s="105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</row>
    <row r="410" spans="3:21" ht="16.5" thickTop="1" thickBot="1">
      <c r="C410" s="105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</row>
    <row r="411" spans="3:21" ht="15.75" thickTop="1"/>
    <row r="412" spans="3:21" ht="15.75" thickBot="1"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3:21" ht="16.5" thickTop="1" thickBot="1">
      <c r="C413" s="105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</row>
    <row r="414" spans="3:21" ht="16.5" thickTop="1" thickBot="1">
      <c r="C414" s="105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</row>
    <row r="415" spans="3:21" ht="15.75" thickTop="1"/>
    <row r="416" spans="3:21" ht="15.75" thickBot="1"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</row>
    <row r="417" spans="3:23" ht="16.5" thickTop="1" thickBot="1">
      <c r="C417" s="105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</row>
    <row r="418" spans="3:23" ht="16.5" thickTop="1" thickBot="1">
      <c r="C418" s="105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</row>
    <row r="419" spans="3:23" ht="15.75" thickTop="1"/>
    <row r="420" spans="3:23" ht="15.75" thickBot="1">
      <c r="C420" s="104"/>
      <c r="D420" s="104"/>
      <c r="E420" s="104"/>
    </row>
    <row r="421" spans="3:23" ht="16.5" thickTop="1" thickBot="1">
      <c r="C421" s="105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</row>
    <row r="422" spans="3:23" ht="16.5" thickTop="1" thickBot="1">
      <c r="C422" s="105"/>
      <c r="D422" s="105"/>
      <c r="E422" s="105"/>
    </row>
    <row r="423" spans="3:23" ht="15.75" thickTop="1"/>
    <row r="424" spans="3:23" ht="15.75" thickBot="1"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</row>
    <row r="425" spans="3:23" ht="16.5" thickTop="1" thickBot="1">
      <c r="C425" s="105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</row>
    <row r="426" spans="3:23" ht="16.5" thickTop="1" thickBot="1">
      <c r="C426" s="105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</row>
    <row r="427" spans="3:23" ht="15.75" thickTop="1"/>
    <row r="428" spans="3:23" ht="15.75" thickBot="1"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</row>
    <row r="429" spans="3:23" ht="16.5" thickTop="1" thickBot="1">
      <c r="C429" s="105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</row>
    <row r="430" spans="3:23" ht="16.5" thickTop="1" thickBot="1">
      <c r="C430" s="105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</row>
    <row r="431" spans="3:23" ht="15.75" thickTop="1"/>
    <row r="432" spans="3:23" ht="15.75" thickBot="1">
      <c r="C432" s="104"/>
      <c r="D432" s="104"/>
    </row>
    <row r="433" spans="3:23" ht="16.5" thickTop="1" thickBot="1">
      <c r="C433" s="105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</row>
    <row r="434" spans="3:23" ht="16.5" thickTop="1" thickBot="1">
      <c r="C434" s="105"/>
      <c r="D434" s="105"/>
    </row>
    <row r="435" spans="3:23" ht="15.75" thickTop="1"/>
    <row r="436" spans="3:23" ht="15.75" thickBot="1">
      <c r="C436" s="104"/>
      <c r="D436" s="104"/>
      <c r="E436" s="104"/>
      <c r="F436" s="104"/>
      <c r="G436" s="104"/>
      <c r="H436" s="104"/>
      <c r="I436" s="104"/>
      <c r="J436" s="104"/>
      <c r="K436" s="104"/>
    </row>
    <row r="437" spans="3:23" ht="16.5" thickTop="1" thickBot="1">
      <c r="C437" s="105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</row>
    <row r="438" spans="3:23" ht="16.5" thickTop="1" thickBot="1">
      <c r="C438" s="105"/>
      <c r="D438" s="105"/>
      <c r="E438" s="105"/>
      <c r="F438" s="105"/>
      <c r="G438" s="105"/>
      <c r="H438" s="105"/>
      <c r="I438" s="105"/>
      <c r="J438" s="105"/>
      <c r="K438" s="105"/>
    </row>
    <row r="439" spans="3:23" ht="15.75" thickTop="1"/>
    <row r="440" spans="3:23" ht="15.75" thickBot="1"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</row>
    <row r="441" spans="3:23" ht="16.5" thickTop="1" thickBot="1">
      <c r="C441" s="105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</row>
    <row r="442" spans="3:23" ht="16.5" thickTop="1" thickBot="1">
      <c r="C442" s="105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</row>
    <row r="443" spans="3:23" ht="15.75" thickTop="1"/>
    <row r="444" spans="3:23" ht="15.75" thickBot="1"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</row>
    <row r="445" spans="3:23" ht="16.5" thickTop="1" thickBot="1">
      <c r="C445" s="105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V445" s="105"/>
      <c r="W445" s="105"/>
    </row>
    <row r="446" spans="3:23" ht="16.5" thickTop="1" thickBot="1">
      <c r="C446" s="105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</row>
    <row r="447" spans="3:23" ht="15.75" thickTop="1"/>
    <row r="448" spans="3:23" ht="15.75" thickBot="1"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</row>
    <row r="449" spans="3:22" ht="15.75" thickBot="1"/>
    <row r="450" spans="3:22" ht="16.5" thickTop="1" thickBot="1">
      <c r="C450" s="105"/>
      <c r="D450" s="105"/>
      <c r="E450" s="105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</row>
    <row r="451" spans="3:22" ht="15.75" thickTop="1"/>
    <row r="452" spans="3:22" ht="15.75" thickBot="1"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</row>
    <row r="453" spans="3:22" ht="16.5" thickTop="1" thickBot="1">
      <c r="C453" s="105"/>
      <c r="D453" s="105"/>
      <c r="E453" s="105"/>
      <c r="F453" s="105"/>
      <c r="G453" s="105"/>
      <c r="H453" s="105"/>
      <c r="I453" s="105"/>
      <c r="J453" s="105"/>
      <c r="K453" s="105"/>
      <c r="L453" s="105"/>
      <c r="M453" s="105"/>
      <c r="N453" s="105"/>
      <c r="Q453" s="105"/>
      <c r="R453" s="105"/>
      <c r="S453" s="105"/>
      <c r="T453" s="105"/>
      <c r="U453" s="105"/>
    </row>
    <row r="454" spans="3:22" ht="16.5" thickTop="1" thickBot="1">
      <c r="C454" s="105"/>
      <c r="D454" s="105"/>
      <c r="E454" s="105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</row>
    <row r="455" spans="3:22" ht="15.75" thickTop="1"/>
    <row r="456" spans="3:22" ht="15.75" thickBot="1"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</row>
    <row r="457" spans="3:22" ht="16.5" thickTop="1" thickBot="1">
      <c r="C457" s="105"/>
      <c r="D457" s="105"/>
      <c r="E457" s="105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</row>
    <row r="458" spans="3:22" ht="16.5" thickTop="1" thickBot="1">
      <c r="C458" s="105"/>
      <c r="D458" s="105"/>
      <c r="E458" s="105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</row>
    <row r="459" spans="3:22" ht="15.75" thickTop="1"/>
    <row r="460" spans="3:22" ht="15.75" thickBot="1"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</row>
    <row r="461" spans="3:22" ht="16.5" thickTop="1" thickBot="1">
      <c r="C461" s="105"/>
      <c r="D461" s="105"/>
      <c r="E461" s="105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</row>
    <row r="462" spans="3:22" ht="16.5" thickTop="1" thickBot="1">
      <c r="C462" s="105"/>
      <c r="D462" s="105"/>
      <c r="E462" s="105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</row>
    <row r="463" spans="3:22" ht="15.75" thickTop="1"/>
    <row r="464" spans="3:22" ht="15.75" thickBot="1">
      <c r="C464" s="104"/>
      <c r="D464" s="104"/>
      <c r="E464" s="104"/>
      <c r="F464" s="104"/>
      <c r="G464" s="104"/>
    </row>
    <row r="465" spans="3:23" ht="16.5" thickTop="1" thickBot="1">
      <c r="C465" s="105"/>
      <c r="D465" s="105"/>
      <c r="E465" s="105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</row>
    <row r="466" spans="3:23" ht="16.5" thickTop="1" thickBot="1">
      <c r="C466" s="105"/>
      <c r="D466" s="105"/>
      <c r="E466" s="105"/>
      <c r="F466" s="105"/>
      <c r="G466" s="105"/>
    </row>
    <row r="467" spans="3:23" ht="15.75" thickTop="1"/>
    <row r="468" spans="3:23" ht="15.75" thickBot="1"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</row>
    <row r="469" spans="3:23" ht="16.5" thickTop="1" thickBot="1">
      <c r="C469" s="105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</row>
    <row r="470" spans="3:23" ht="16.5" thickTop="1" thickBot="1">
      <c r="C470" s="105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</row>
    <row r="471" spans="3:23" ht="15.75" thickTop="1"/>
    <row r="472" spans="3:23" ht="15.75" thickBot="1">
      <c r="C472" s="104"/>
      <c r="D472" s="104"/>
      <c r="E472" s="104"/>
      <c r="F472" s="104"/>
      <c r="G472" s="104"/>
      <c r="H472" s="104"/>
    </row>
    <row r="473" spans="3:23" ht="16.5" thickTop="1" thickBot="1">
      <c r="C473" s="105"/>
      <c r="D473" s="105"/>
      <c r="E473" s="105"/>
      <c r="F473" s="105"/>
      <c r="G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</row>
    <row r="474" spans="3:23" ht="16.5" thickTop="1" thickBot="1">
      <c r="C474" s="105"/>
      <c r="D474" s="105"/>
      <c r="E474" s="105"/>
      <c r="F474" s="105"/>
      <c r="G474" s="105"/>
      <c r="H474" s="105"/>
    </row>
    <row r="475" spans="3:23" ht="15.75" thickTop="1"/>
    <row r="476" spans="3:23" ht="15.75" thickBot="1"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</row>
    <row r="477" spans="3:23" ht="15.75" thickBot="1"/>
    <row r="478" spans="3:23" ht="16.5" thickTop="1" thickBot="1">
      <c r="C478" s="105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</row>
    <row r="479" spans="3:23" ht="15.75" thickTop="1"/>
    <row r="480" spans="3:23" ht="15.75" thickBot="1">
      <c r="C480" s="104"/>
    </row>
    <row r="481" spans="3:17" ht="15.75" thickBot="1"/>
    <row r="482" spans="3:17" ht="16.5" thickTop="1" thickBot="1">
      <c r="C482" s="105"/>
    </row>
    <row r="483" spans="3:17" ht="15.75" thickTop="1"/>
    <row r="484" spans="3:17" ht="15.75" thickBot="1">
      <c r="C484" s="104"/>
      <c r="D484" s="104"/>
      <c r="E484" s="104"/>
      <c r="F484" s="104"/>
      <c r="G484" s="104"/>
      <c r="H484" s="104"/>
      <c r="I484" s="104"/>
      <c r="J484" s="104"/>
      <c r="K484" s="104"/>
    </row>
    <row r="485" spans="3:17" ht="15.75" thickBot="1"/>
    <row r="486" spans="3:17" ht="16.5" thickTop="1" thickBot="1">
      <c r="C486" s="105"/>
      <c r="D486" s="105"/>
      <c r="E486" s="105"/>
      <c r="F486" s="105"/>
      <c r="G486" s="105"/>
      <c r="H486" s="105"/>
      <c r="I486" s="105"/>
      <c r="J486" s="105"/>
      <c r="K486" s="105"/>
    </row>
    <row r="487" spans="3:17" ht="15.75" thickTop="1"/>
    <row r="488" spans="3:17" customFormat="1" ht="15.75" thickBot="1">
      <c r="C488" s="104"/>
      <c r="D488" s="104"/>
      <c r="E488" s="104"/>
      <c r="F488" s="104"/>
      <c r="G488" s="104"/>
    </row>
    <row r="489" spans="3:17" customFormat="1" ht="15.75" thickBot="1"/>
    <row r="490" spans="3:17" customFormat="1" ht="16.5" thickTop="1" thickBot="1">
      <c r="C490" s="105"/>
      <c r="D490" s="105"/>
      <c r="E490" s="105"/>
      <c r="F490" s="105"/>
      <c r="G490" s="105"/>
    </row>
    <row r="491" spans="3:17" customFormat="1" ht="15.75" thickTop="1"/>
    <row r="492" spans="3:17" ht="15.75" thickBot="1">
      <c r="C492" s="104"/>
    </row>
    <row r="493" spans="3:17" ht="16.5" thickTop="1" thickBot="1">
      <c r="C493" s="105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</row>
    <row r="494" spans="3:17" ht="16.5" thickTop="1" thickBot="1">
      <c r="C494" s="105"/>
    </row>
    <row r="495" spans="3:17" ht="15.75" thickTop="1"/>
    <row r="496" spans="3:17" ht="15.75" thickBot="1"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</row>
    <row r="497" spans="3:19" ht="15.75" thickBot="1"/>
    <row r="498" spans="3:19" ht="16.5" thickTop="1" thickBot="1">
      <c r="C498" s="105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</row>
    <row r="499" spans="3:19" ht="15.75" thickTop="1"/>
    <row r="500" spans="3:19" ht="15.75" thickBot="1"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</row>
    <row r="501" spans="3:19" ht="16.5" thickTop="1" thickBot="1">
      <c r="C501" s="105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</row>
    <row r="502" spans="3:19" ht="16.5" thickTop="1" thickBot="1">
      <c r="C502" s="105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</row>
    <row r="503" spans="3:19" ht="15.75" thickTop="1"/>
    <row r="504" spans="3:19" ht="15.75" thickBot="1">
      <c r="C504" s="104"/>
    </row>
    <row r="505" spans="3:19" ht="15.75" thickBot="1"/>
    <row r="506" spans="3:19" ht="16.5" thickTop="1" thickBot="1">
      <c r="C506" s="105"/>
    </row>
    <row r="507" spans="3:19" ht="15.75" thickTop="1"/>
    <row r="508" spans="3:19" ht="15.75" thickBot="1">
      <c r="C508" s="104"/>
    </row>
    <row r="509" spans="3:19" ht="15.75" thickBot="1"/>
    <row r="510" spans="3:19" ht="16.5" thickTop="1" thickBot="1">
      <c r="C510" s="105"/>
    </row>
    <row r="511" spans="3:19" ht="15.75" thickTop="1"/>
    <row r="512" spans="3:19" ht="15.75" thickBot="1">
      <c r="C512" s="104"/>
    </row>
    <row r="513" spans="3:17" ht="15.75" thickBot="1"/>
    <row r="514" spans="3:17" ht="16.5" thickTop="1" thickBot="1">
      <c r="C514" s="105"/>
    </row>
    <row r="515" spans="3:17" ht="15.75" thickTop="1"/>
    <row r="516" spans="3:17" ht="15.75" thickBot="1"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</row>
    <row r="517" spans="3:17" ht="15.75" thickBot="1"/>
    <row r="518" spans="3:17" ht="16.5" thickTop="1" thickBot="1">
      <c r="C518" s="105"/>
      <c r="D518" s="105"/>
      <c r="E518" s="105"/>
      <c r="F518" s="105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</row>
    <row r="519" spans="3:17" ht="15.75" thickTop="1"/>
    <row r="520" spans="3:17" ht="15.75" thickBot="1"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</row>
    <row r="521" spans="3:17" ht="15.75" thickBot="1"/>
    <row r="522" spans="3:17" ht="16.5" thickTop="1" thickBot="1">
      <c r="C522" s="105"/>
      <c r="D522" s="105"/>
      <c r="E522" s="105"/>
      <c r="F522" s="105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</row>
    <row r="523" spans="3:17" ht="15.75" thickTop="1"/>
    <row r="524" spans="3:17" ht="15.75" thickBot="1"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</row>
    <row r="525" spans="3:17" ht="15.75" thickBot="1"/>
    <row r="526" spans="3:17" ht="16.5" thickTop="1" thickBot="1">
      <c r="C526" s="105"/>
      <c r="D526" s="105"/>
      <c r="E526" s="105"/>
      <c r="F526" s="105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</row>
    <row r="527" spans="3:17" ht="15.75" thickTop="1"/>
    <row r="528" spans="3:17" ht="15.75" thickBot="1">
      <c r="C528" s="104"/>
      <c r="D528" s="104"/>
      <c r="E528" s="104"/>
      <c r="F528" s="104"/>
      <c r="G528" s="104"/>
      <c r="H528" s="104"/>
      <c r="I528" s="104"/>
      <c r="J528" s="104"/>
    </row>
    <row r="529" spans="3:10" ht="15.75" thickBot="1"/>
    <row r="530" spans="3:10" ht="16.5" thickTop="1" thickBot="1">
      <c r="C530" s="105"/>
      <c r="D530" s="105"/>
      <c r="E530" s="105"/>
      <c r="F530" s="105"/>
      <c r="G530" s="105"/>
      <c r="H530" s="105"/>
      <c r="I530" s="105"/>
      <c r="J530" s="105"/>
    </row>
    <row r="531" spans="3:10" ht="15.75" thickTop="1"/>
    <row r="532" spans="3:10" ht="15.75" thickBot="1"/>
    <row r="533" spans="3:10" ht="16.5" thickTop="1" thickBot="1">
      <c r="C533" s="105"/>
    </row>
    <row r="534" spans="3:10" ht="16.5" thickTop="1" thickBot="1">
      <c r="C534" s="105"/>
    </row>
    <row r="535" spans="3:10" ht="15.75" thickTop="1"/>
    <row r="536" spans="3:10" ht="15.75" thickBot="1"/>
    <row r="537" spans="3:10" ht="16.5" thickTop="1" thickBot="1">
      <c r="C537" s="105"/>
    </row>
    <row r="538" spans="3:10" ht="16.5" thickTop="1" thickBot="1">
      <c r="C538" s="105"/>
    </row>
    <row r="539" spans="3:10" ht="15.75" thickTop="1"/>
    <row r="540" spans="3:10" ht="15.75" thickBot="1"/>
    <row r="541" spans="3:10" ht="16.5" thickTop="1" thickBot="1">
      <c r="C541" s="105"/>
    </row>
    <row r="542" spans="3:10" ht="16.5" thickTop="1" thickBot="1">
      <c r="C542" s="105"/>
    </row>
    <row r="543" spans="3:10" ht="15.75" thickTop="1"/>
    <row r="544" spans="3:10" ht="15.75" thickBot="1"/>
    <row r="545" spans="3:3" ht="16.5" thickTop="1" thickBot="1">
      <c r="C545" s="105"/>
    </row>
    <row r="546" spans="3:3" ht="16.5" thickTop="1" thickBot="1">
      <c r="C546" s="105"/>
    </row>
    <row r="547" spans="3:3" ht="15.75" thickTop="1"/>
    <row r="548" spans="3:3" ht="15.75" thickBot="1"/>
    <row r="549" spans="3:3" ht="16.5" thickTop="1" thickBot="1">
      <c r="C549" s="105"/>
    </row>
    <row r="550" spans="3:3" ht="16.5" thickTop="1" thickBot="1">
      <c r="C550" s="105"/>
    </row>
    <row r="551" spans="3:3" ht="15.75" thickTop="1"/>
    <row r="552" spans="3:3" ht="15.75" thickBot="1"/>
    <row r="553" spans="3:3" ht="16.5" thickTop="1" thickBot="1">
      <c r="C553" s="105"/>
    </row>
    <row r="554" spans="3:3" ht="16.5" thickTop="1" thickBot="1">
      <c r="C554" s="105"/>
    </row>
    <row r="555" spans="3:3" ht="15.75" thickTop="1"/>
    <row r="556" spans="3:3" ht="15.75" thickBot="1"/>
    <row r="557" spans="3:3" ht="16.5" thickTop="1" thickBot="1">
      <c r="C557" s="105"/>
    </row>
    <row r="558" spans="3:3" ht="16.5" thickTop="1" thickBot="1">
      <c r="C558" s="105"/>
    </row>
    <row r="559" spans="3:3" ht="15.75" thickTop="1"/>
    <row r="560" spans="3:3" ht="15.75" thickBot="1"/>
    <row r="561" spans="3:3" ht="16.5" thickTop="1" thickBot="1">
      <c r="C561" s="105"/>
    </row>
    <row r="562" spans="3:3" ht="16.5" thickTop="1" thickBot="1">
      <c r="C562" s="105"/>
    </row>
    <row r="563" spans="3:3" ht="15.75" thickTop="1"/>
    <row r="564" spans="3:3" ht="15.75" thickBot="1"/>
    <row r="565" spans="3:3" ht="16.5" thickTop="1" thickBot="1">
      <c r="C565" s="105"/>
    </row>
    <row r="566" spans="3:3" ht="16.5" thickTop="1" thickBot="1">
      <c r="C566" s="105"/>
    </row>
    <row r="567" spans="3:3" ht="15.75" thickTop="1"/>
    <row r="568" spans="3:3" ht="15.75" thickBot="1"/>
    <row r="569" spans="3:3" ht="16.5" thickTop="1" thickBot="1">
      <c r="C569" s="105"/>
    </row>
    <row r="570" spans="3:3" ht="16.5" thickTop="1" thickBot="1">
      <c r="C570" s="105"/>
    </row>
    <row r="571" spans="3:3" ht="15.75" thickTop="1"/>
    <row r="572" spans="3:3" customFormat="1"/>
    <row r="573" spans="3:3" customFormat="1"/>
    <row r="574" spans="3:3" customFormat="1"/>
    <row r="575" spans="3:3" customFormat="1"/>
  </sheetData>
  <sheetProtection sheet="1" objects="1" scenarios="1" formatCells="0" formatColumns="0" formatRows="0" sort="0" autoFilter="0"/>
  <dataConsolidate/>
  <dataValidations count="2">
    <dataValidation type="list" allowBlank="1" showInputMessage="1" showErrorMessage="1" sqref="B2:XFD2 B6:XFD6" xr:uid="{AE17EB6F-DEF2-4EA8-9956-E07BB4103959}">
      <formula1>Material_Code</formula1>
    </dataValidation>
    <dataValidation type="list" allowBlank="1" showInputMessage="1" showErrorMessage="1" sqref="B1" xr:uid="{68CC0708-F991-4D70-AD3D-D641E1024DF0}">
      <formula1>Select_Contract</formula1>
    </dataValidation>
  </dataValidations>
  <pageMargins left="0.25" right="0.25" top="0.75" bottom="0.75" header="0.3" footer="0.3"/>
  <pageSetup scale="3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29" r:id="rId4" name="Button 17">
              <controlPr defaultSize="0" print="0" autoFill="0" autoPict="0" macro="[0]!Inventory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5" name="Button 25">
              <controlPr defaultSize="0" print="0" autoFill="0" autoPict="0" macro="[0]!QuickView">
                <anchor moveWithCells="1" sizeWithCells="1">
                  <from>
                    <xdr:col>0</xdr:col>
                    <xdr:colOff>28575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6" name="Button 16">
              <controlPr defaultSize="0" print="0" autoFill="0" autoPict="0" macro="[0]!InventoryCalculate">
                <anchor moveWithCells="1" sizeWithCells="1">
                  <from>
                    <xdr:col>6</xdr:col>
                    <xdr:colOff>600075</xdr:colOff>
                    <xdr:row>0</xdr:row>
                    <xdr:rowOff>28575</xdr:rowOff>
                  </from>
                  <to>
                    <xdr:col>9</xdr:col>
                    <xdr:colOff>485775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7" name="Button 18">
              <controlPr defaultSize="0" print="0" autoFill="0" autoPict="0" macro="[0]!InventoryEntry">
                <anchor moveWithCells="1" sizeWithCells="1">
                  <from>
                    <xdr:col>15</xdr:col>
                    <xdr:colOff>28575</xdr:colOff>
                    <xdr:row>0</xdr:row>
                    <xdr:rowOff>28575</xdr:rowOff>
                  </from>
                  <to>
                    <xdr:col>17</xdr:col>
                    <xdr:colOff>600075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3FDD0-DE95-4F29-9CB2-C04560C59A17}">
  <sheetPr codeName="Sheet15"/>
  <dimension ref="A1:S10000"/>
  <sheetViews>
    <sheetView workbookViewId="0">
      <selection activeCell="F2" sqref="F2"/>
    </sheetView>
  </sheetViews>
  <sheetFormatPr defaultColWidth="9.140625" defaultRowHeight="15"/>
  <cols>
    <col min="1" max="1" width="11" customWidth="1"/>
    <col min="2" max="2" width="26.85546875" style="110" bestFit="1" customWidth="1"/>
    <col min="3" max="3" width="14.5703125" style="86" customWidth="1"/>
    <col min="5" max="5" width="18" style="86" bestFit="1" customWidth="1"/>
    <col min="6" max="6" width="15" customWidth="1"/>
    <col min="7" max="7" width="12.140625" bestFit="1" customWidth="1"/>
    <col min="8" max="8" width="12.85546875" bestFit="1" customWidth="1"/>
    <col min="9" max="9" width="16" style="2" bestFit="1" customWidth="1"/>
    <col min="10" max="10" width="14.140625" style="2" bestFit="1" customWidth="1"/>
    <col min="13" max="13" width="26.85546875" bestFit="1" customWidth="1"/>
    <col min="18" max="18" width="16.140625" bestFit="1" customWidth="1"/>
  </cols>
  <sheetData>
    <row r="1" spans="1:19" ht="21.75" thickBot="1">
      <c r="A1" s="119" t="s">
        <v>7</v>
      </c>
      <c r="B1" s="120">
        <f ca="1">TODAY()</f>
        <v>45405</v>
      </c>
    </row>
    <row r="2" spans="1:19" ht="16.5" thickTop="1" thickBot="1">
      <c r="H2" s="121" t="s">
        <v>323</v>
      </c>
      <c r="I2" s="17" t="s">
        <v>324</v>
      </c>
      <c r="J2" s="17" t="s">
        <v>325</v>
      </c>
      <c r="L2" s="17" t="s">
        <v>326</v>
      </c>
      <c r="M2" s="17" t="s">
        <v>327</v>
      </c>
      <c r="R2" t="s">
        <v>328</v>
      </c>
    </row>
    <row r="3" spans="1:19" ht="16.5" thickTop="1">
      <c r="A3" s="122" t="s">
        <v>329</v>
      </c>
      <c r="B3" s="123" t="s">
        <v>330</v>
      </c>
      <c r="C3" s="124" t="s">
        <v>331</v>
      </c>
      <c r="D3" s="125"/>
      <c r="E3" s="124" t="s">
        <v>332</v>
      </c>
      <c r="H3" s="17"/>
      <c r="I3" s="135"/>
      <c r="J3" s="135"/>
      <c r="R3" t="s">
        <v>333</v>
      </c>
      <c r="S3" s="133"/>
    </row>
    <row r="4" spans="1:19">
      <c r="B4"/>
      <c r="C4"/>
      <c r="E4"/>
      <c r="I4" s="135"/>
      <c r="J4" s="135"/>
      <c r="R4" t="s">
        <v>334</v>
      </c>
      <c r="S4" s="128"/>
    </row>
    <row r="5" spans="1:19">
      <c r="B5"/>
      <c r="C5"/>
      <c r="E5"/>
      <c r="I5" s="135"/>
      <c r="J5" s="136"/>
      <c r="R5" t="s">
        <v>335</v>
      </c>
      <c r="S5" s="129"/>
    </row>
    <row r="6" spans="1:19">
      <c r="B6"/>
      <c r="C6"/>
      <c r="E6"/>
      <c r="I6" s="135"/>
      <c r="J6" s="135"/>
      <c r="R6" t="s">
        <v>336</v>
      </c>
      <c r="S6" s="130"/>
    </row>
    <row r="7" spans="1:19">
      <c r="B7"/>
      <c r="C7"/>
      <c r="E7"/>
      <c r="I7" s="135"/>
      <c r="J7" s="135"/>
      <c r="R7" t="s">
        <v>337</v>
      </c>
      <c r="S7" s="131"/>
    </row>
    <row r="8" spans="1:19">
      <c r="B8"/>
      <c r="C8"/>
      <c r="E8"/>
      <c r="I8" s="135"/>
      <c r="J8" s="135"/>
      <c r="R8" t="s">
        <v>338</v>
      </c>
      <c r="S8" s="132"/>
    </row>
    <row r="9" spans="1:19" ht="15.75" thickBot="1">
      <c r="B9"/>
      <c r="C9"/>
      <c r="E9"/>
      <c r="I9" s="135"/>
      <c r="J9" s="135"/>
      <c r="R9" t="s">
        <v>339</v>
      </c>
      <c r="S9" s="127"/>
    </row>
    <row r="10" spans="1:19" ht="15.75" thickTop="1">
      <c r="B10"/>
      <c r="C10"/>
      <c r="E10"/>
      <c r="I10" s="135"/>
      <c r="J10" s="135"/>
    </row>
    <row r="11" spans="1:19">
      <c r="B11"/>
      <c r="C11"/>
      <c r="E11"/>
      <c r="I11" s="135"/>
      <c r="J11" s="135"/>
    </row>
    <row r="12" spans="1:19">
      <c r="B12"/>
      <c r="C12"/>
      <c r="E12"/>
      <c r="I12" s="135"/>
      <c r="J12" s="135"/>
    </row>
    <row r="13" spans="1:19">
      <c r="B13"/>
      <c r="C13"/>
      <c r="E13"/>
      <c r="I13" s="135"/>
      <c r="J13" s="135"/>
    </row>
    <row r="14" spans="1:19">
      <c r="B14"/>
      <c r="C14"/>
      <c r="E14"/>
      <c r="I14" s="135"/>
      <c r="J14" s="135"/>
    </row>
    <row r="15" spans="1:19">
      <c r="B15"/>
      <c r="C15"/>
      <c r="E15"/>
      <c r="I15" s="135"/>
      <c r="J15" s="135"/>
    </row>
    <row r="16" spans="1:19">
      <c r="B16"/>
      <c r="C16"/>
      <c r="E16"/>
      <c r="I16" s="135"/>
      <c r="J16" s="135"/>
    </row>
    <row r="17" spans="2:10">
      <c r="B17"/>
      <c r="C17"/>
      <c r="E17"/>
      <c r="I17" s="135"/>
      <c r="J17" s="135"/>
    </row>
    <row r="18" spans="2:10">
      <c r="B18"/>
      <c r="C18"/>
      <c r="E18"/>
      <c r="I18" s="135"/>
      <c r="J18" s="135"/>
    </row>
    <row r="19" spans="2:10">
      <c r="B19"/>
      <c r="C19"/>
      <c r="E19"/>
      <c r="I19" s="135"/>
      <c r="J19" s="135"/>
    </row>
    <row r="20" spans="2:10">
      <c r="B20"/>
      <c r="C20"/>
      <c r="E20"/>
      <c r="I20" s="135"/>
      <c r="J20" s="135"/>
    </row>
    <row r="21" spans="2:10">
      <c r="B21"/>
      <c r="C21"/>
      <c r="E21"/>
      <c r="I21" s="135"/>
      <c r="J21" s="135"/>
    </row>
    <row r="22" spans="2:10">
      <c r="B22"/>
      <c r="C22"/>
      <c r="E22"/>
      <c r="I22" s="135"/>
      <c r="J22" s="135"/>
    </row>
    <row r="23" spans="2:10">
      <c r="B23"/>
      <c r="C23"/>
      <c r="E23"/>
      <c r="I23" s="135"/>
      <c r="J23" s="136"/>
    </row>
    <row r="24" spans="2:10">
      <c r="B24"/>
      <c r="C24"/>
      <c r="E24"/>
      <c r="I24" s="135"/>
      <c r="J24" s="136"/>
    </row>
    <row r="25" spans="2:10">
      <c r="B25"/>
      <c r="C25"/>
      <c r="E25"/>
      <c r="I25" s="135"/>
      <c r="J25" s="136"/>
    </row>
    <row r="26" spans="2:10">
      <c r="B26"/>
      <c r="C26"/>
      <c r="E26"/>
      <c r="I26" s="135"/>
      <c r="J26" s="136"/>
    </row>
    <row r="27" spans="2:10">
      <c r="B27"/>
      <c r="C27"/>
      <c r="E27"/>
      <c r="I27" s="135"/>
      <c r="J27" s="135"/>
    </row>
    <row r="28" spans="2:10">
      <c r="B28"/>
      <c r="C28"/>
      <c r="E28"/>
      <c r="I28" s="135"/>
      <c r="J28" s="135"/>
    </row>
    <row r="29" spans="2:10">
      <c r="B29"/>
      <c r="C29"/>
      <c r="E29"/>
      <c r="I29" s="135"/>
      <c r="J29" s="135"/>
    </row>
    <row r="30" spans="2:10">
      <c r="B30"/>
      <c r="C30"/>
      <c r="E30"/>
      <c r="I30" s="135"/>
      <c r="J30" s="135"/>
    </row>
    <row r="31" spans="2:10">
      <c r="B31"/>
      <c r="C31"/>
      <c r="E31"/>
      <c r="I31" s="135"/>
      <c r="J31" s="135"/>
    </row>
    <row r="32" spans="2:10">
      <c r="B32"/>
      <c r="C32"/>
      <c r="E32"/>
      <c r="I32" s="135"/>
      <c r="J32" s="135"/>
    </row>
    <row r="33" spans="2:10">
      <c r="B33"/>
      <c r="C33"/>
      <c r="E33"/>
      <c r="I33" s="135"/>
      <c r="J33" s="135"/>
    </row>
    <row r="34" spans="2:10">
      <c r="B34"/>
      <c r="C34"/>
      <c r="E34"/>
      <c r="I34" s="135"/>
      <c r="J34" s="135"/>
    </row>
    <row r="35" spans="2:10">
      <c r="B35"/>
      <c r="C35"/>
      <c r="E35"/>
      <c r="I35" s="135"/>
      <c r="J35" s="135"/>
    </row>
    <row r="36" spans="2:10">
      <c r="B36"/>
      <c r="C36"/>
      <c r="E36"/>
      <c r="J36" s="138"/>
    </row>
    <row r="37" spans="2:10">
      <c r="B37"/>
      <c r="C37"/>
      <c r="E37"/>
      <c r="J37" s="138"/>
    </row>
    <row r="38" spans="2:10">
      <c r="B38"/>
      <c r="C38"/>
      <c r="E38"/>
    </row>
    <row r="39" spans="2:10">
      <c r="B39"/>
      <c r="C39"/>
      <c r="E39"/>
    </row>
    <row r="40" spans="2:10">
      <c r="B40"/>
      <c r="C40"/>
      <c r="E40"/>
    </row>
    <row r="41" spans="2:10">
      <c r="B41"/>
      <c r="C41"/>
      <c r="E41"/>
    </row>
    <row r="42" spans="2:10">
      <c r="B42"/>
      <c r="C42"/>
      <c r="E42"/>
    </row>
    <row r="43" spans="2:10">
      <c r="B43"/>
      <c r="C43"/>
      <c r="E43"/>
    </row>
    <row r="44" spans="2:10">
      <c r="B44"/>
      <c r="C44"/>
      <c r="E44"/>
    </row>
    <row r="45" spans="2:10">
      <c r="B45"/>
      <c r="C45"/>
      <c r="E45"/>
    </row>
    <row r="46" spans="2:10">
      <c r="B46"/>
      <c r="C46"/>
      <c r="E46"/>
    </row>
    <row r="47" spans="2:10">
      <c r="B47"/>
      <c r="C47"/>
      <c r="E47"/>
    </row>
    <row r="48" spans="2:10">
      <c r="B48"/>
      <c r="C48"/>
      <c r="E48"/>
    </row>
    <row r="49" spans="2:5">
      <c r="B49"/>
      <c r="C49"/>
      <c r="E49"/>
    </row>
    <row r="50" spans="2:5">
      <c r="B50"/>
      <c r="C50"/>
      <c r="E50"/>
    </row>
    <row r="51" spans="2:5">
      <c r="B51"/>
      <c r="C51"/>
      <c r="E51"/>
    </row>
    <row r="52" spans="2:5">
      <c r="B52"/>
      <c r="C52"/>
      <c r="E52"/>
    </row>
    <row r="53" spans="2:5">
      <c r="B53"/>
      <c r="C53"/>
      <c r="E53"/>
    </row>
    <row r="54" spans="2:5">
      <c r="B54"/>
      <c r="C54"/>
      <c r="E54"/>
    </row>
    <row r="55" spans="2:5">
      <c r="B55"/>
      <c r="C55"/>
      <c r="E55"/>
    </row>
    <row r="56" spans="2:5">
      <c r="B56"/>
      <c r="C56"/>
      <c r="E56"/>
    </row>
    <row r="57" spans="2:5">
      <c r="B57"/>
      <c r="C57"/>
      <c r="E57"/>
    </row>
    <row r="58" spans="2:5">
      <c r="B58"/>
      <c r="C58"/>
      <c r="E58"/>
    </row>
    <row r="59" spans="2:5">
      <c r="B59"/>
      <c r="C59"/>
      <c r="E59"/>
    </row>
    <row r="60" spans="2:5">
      <c r="B60"/>
      <c r="C60"/>
      <c r="E60"/>
    </row>
    <row r="61" spans="2:5">
      <c r="B61"/>
      <c r="C61"/>
      <c r="E61"/>
    </row>
    <row r="62" spans="2:5">
      <c r="B62"/>
      <c r="C62"/>
      <c r="E62"/>
    </row>
    <row r="63" spans="2:5">
      <c r="B63"/>
      <c r="C63"/>
      <c r="E63"/>
    </row>
    <row r="64" spans="2:5">
      <c r="B64"/>
      <c r="C64"/>
      <c r="E64"/>
    </row>
    <row r="65" spans="2:5">
      <c r="B65"/>
      <c r="C65"/>
      <c r="E65"/>
    </row>
    <row r="66" spans="2:5">
      <c r="B66"/>
      <c r="C66"/>
      <c r="E66"/>
    </row>
    <row r="67" spans="2:5">
      <c r="B67"/>
      <c r="C67"/>
      <c r="E67"/>
    </row>
    <row r="68" spans="2:5">
      <c r="B68"/>
      <c r="C68"/>
      <c r="E68"/>
    </row>
    <row r="69" spans="2:5">
      <c r="B69"/>
      <c r="C69"/>
      <c r="E69"/>
    </row>
    <row r="70" spans="2:5">
      <c r="B70"/>
      <c r="C70"/>
      <c r="E70"/>
    </row>
    <row r="71" spans="2:5">
      <c r="B71"/>
      <c r="C71"/>
      <c r="E71"/>
    </row>
    <row r="72" spans="2:5">
      <c r="B72"/>
      <c r="C72"/>
      <c r="E72"/>
    </row>
    <row r="73" spans="2:5">
      <c r="B73"/>
      <c r="C73"/>
      <c r="E73"/>
    </row>
    <row r="74" spans="2:5">
      <c r="B74"/>
      <c r="C74"/>
      <c r="E74"/>
    </row>
    <row r="75" spans="2:5">
      <c r="B75"/>
      <c r="C75"/>
      <c r="E75"/>
    </row>
    <row r="76" spans="2:5">
      <c r="B76"/>
      <c r="C76"/>
      <c r="E76"/>
    </row>
    <row r="77" spans="2:5">
      <c r="B77"/>
      <c r="C77"/>
      <c r="E77"/>
    </row>
    <row r="78" spans="2:5">
      <c r="B78"/>
      <c r="C78"/>
      <c r="E78"/>
    </row>
    <row r="79" spans="2:5">
      <c r="B79"/>
      <c r="C79"/>
      <c r="E79"/>
    </row>
    <row r="80" spans="2:5">
      <c r="B80"/>
      <c r="C80"/>
      <c r="E80"/>
    </row>
    <row r="81" spans="2:5">
      <c r="B81"/>
      <c r="C81"/>
      <c r="E81"/>
    </row>
    <row r="82" spans="2:5">
      <c r="B82"/>
      <c r="C82"/>
      <c r="E82"/>
    </row>
    <row r="83" spans="2:5">
      <c r="B83"/>
      <c r="C83"/>
      <c r="E83"/>
    </row>
    <row r="84" spans="2:5">
      <c r="B84"/>
      <c r="C84"/>
      <c r="E84"/>
    </row>
    <row r="85" spans="2:5">
      <c r="B85"/>
      <c r="C85"/>
      <c r="E85"/>
    </row>
    <row r="86" spans="2:5">
      <c r="B86"/>
      <c r="C86"/>
      <c r="E86"/>
    </row>
    <row r="87" spans="2:5">
      <c r="B87"/>
      <c r="C87"/>
      <c r="E87"/>
    </row>
    <row r="88" spans="2:5">
      <c r="B88"/>
      <c r="C88"/>
      <c r="E88"/>
    </row>
    <row r="89" spans="2:5">
      <c r="B89"/>
      <c r="C89"/>
      <c r="E89"/>
    </row>
    <row r="90" spans="2:5">
      <c r="B90"/>
      <c r="C90"/>
      <c r="E90"/>
    </row>
    <row r="91" spans="2:5">
      <c r="B91"/>
      <c r="C91"/>
      <c r="E91"/>
    </row>
    <row r="92" spans="2:5">
      <c r="B92"/>
      <c r="C92"/>
      <c r="E92"/>
    </row>
    <row r="93" spans="2:5">
      <c r="B93"/>
      <c r="C93"/>
      <c r="E93"/>
    </row>
    <row r="94" spans="2:5">
      <c r="B94"/>
      <c r="C94"/>
      <c r="E94"/>
    </row>
    <row r="95" spans="2:5">
      <c r="B95"/>
      <c r="C95"/>
      <c r="E95"/>
    </row>
    <row r="96" spans="2:5">
      <c r="B96"/>
      <c r="C96"/>
      <c r="E96"/>
    </row>
    <row r="97" spans="2:5">
      <c r="B97"/>
      <c r="C97"/>
      <c r="E97"/>
    </row>
    <row r="98" spans="2:5">
      <c r="B98"/>
      <c r="C98"/>
      <c r="E98"/>
    </row>
    <row r="99" spans="2:5">
      <c r="B99"/>
      <c r="C99"/>
      <c r="E99"/>
    </row>
    <row r="100" spans="2:5">
      <c r="B100"/>
      <c r="C100"/>
      <c r="E100"/>
    </row>
    <row r="101" spans="2:5">
      <c r="B101"/>
      <c r="C101"/>
      <c r="E101"/>
    </row>
    <row r="102" spans="2:5">
      <c r="B102"/>
      <c r="C102"/>
      <c r="E102"/>
    </row>
    <row r="103" spans="2:5">
      <c r="B103"/>
      <c r="C103"/>
      <c r="E103"/>
    </row>
    <row r="104" spans="2:5">
      <c r="B104"/>
      <c r="C104"/>
      <c r="E104"/>
    </row>
    <row r="105" spans="2:5">
      <c r="B105"/>
      <c r="C105"/>
      <c r="E105"/>
    </row>
    <row r="106" spans="2:5">
      <c r="B106"/>
      <c r="C106"/>
      <c r="E106"/>
    </row>
    <row r="107" spans="2:5">
      <c r="B107"/>
      <c r="C107"/>
      <c r="E107"/>
    </row>
    <row r="108" spans="2:5">
      <c r="B108"/>
      <c r="C108"/>
      <c r="E108"/>
    </row>
    <row r="109" spans="2:5">
      <c r="B109"/>
      <c r="C109"/>
      <c r="E109"/>
    </row>
    <row r="110" spans="2:5">
      <c r="B110"/>
      <c r="C110"/>
      <c r="E110"/>
    </row>
    <row r="111" spans="2:5">
      <c r="B111"/>
      <c r="C111"/>
      <c r="E111"/>
    </row>
    <row r="112" spans="2:5">
      <c r="B112"/>
      <c r="C112"/>
      <c r="E112"/>
    </row>
    <row r="113" spans="2:5">
      <c r="B113"/>
      <c r="C113"/>
      <c r="E113"/>
    </row>
    <row r="114" spans="2:5">
      <c r="B114"/>
      <c r="C114"/>
      <c r="E114"/>
    </row>
    <row r="115" spans="2:5">
      <c r="B115"/>
      <c r="C115"/>
      <c r="E115"/>
    </row>
    <row r="116" spans="2:5">
      <c r="B116"/>
      <c r="C116"/>
      <c r="E116"/>
    </row>
    <row r="117" spans="2:5">
      <c r="B117"/>
      <c r="C117"/>
      <c r="E117"/>
    </row>
    <row r="118" spans="2:5">
      <c r="B118"/>
      <c r="C118"/>
      <c r="E118"/>
    </row>
    <row r="119" spans="2:5">
      <c r="B119"/>
      <c r="C119"/>
      <c r="E119"/>
    </row>
    <row r="120" spans="2:5">
      <c r="B120"/>
      <c r="C120"/>
      <c r="E120"/>
    </row>
    <row r="121" spans="2:5">
      <c r="B121"/>
      <c r="C121"/>
      <c r="E121"/>
    </row>
    <row r="122" spans="2:5">
      <c r="B122"/>
      <c r="C122"/>
      <c r="E122"/>
    </row>
    <row r="123" spans="2:5">
      <c r="B123"/>
      <c r="C123"/>
      <c r="E123"/>
    </row>
    <row r="124" spans="2:5">
      <c r="B124"/>
      <c r="C124"/>
      <c r="E124"/>
    </row>
    <row r="125" spans="2:5">
      <c r="B125"/>
      <c r="C125"/>
      <c r="E125"/>
    </row>
    <row r="126" spans="2:5">
      <c r="B126"/>
      <c r="C126"/>
      <c r="E126"/>
    </row>
    <row r="127" spans="2:5">
      <c r="B127"/>
      <c r="C127"/>
      <c r="E127"/>
    </row>
    <row r="128" spans="2:5">
      <c r="B128"/>
      <c r="C128"/>
      <c r="E128"/>
    </row>
    <row r="129" spans="2:5">
      <c r="B129"/>
      <c r="C129"/>
      <c r="E129"/>
    </row>
    <row r="130" spans="2:5">
      <c r="B130"/>
      <c r="C130"/>
      <c r="E130"/>
    </row>
    <row r="131" spans="2:5">
      <c r="B131"/>
      <c r="C131"/>
      <c r="E131"/>
    </row>
    <row r="132" spans="2:5">
      <c r="B132"/>
      <c r="C132"/>
      <c r="E132"/>
    </row>
    <row r="133" spans="2:5">
      <c r="B133"/>
      <c r="C133"/>
      <c r="E133"/>
    </row>
    <row r="134" spans="2:5">
      <c r="B134"/>
      <c r="C134"/>
      <c r="E134"/>
    </row>
    <row r="135" spans="2:5">
      <c r="B135"/>
      <c r="C135"/>
      <c r="E135"/>
    </row>
    <row r="136" spans="2:5">
      <c r="B136"/>
      <c r="C136"/>
      <c r="E136"/>
    </row>
    <row r="137" spans="2:5">
      <c r="B137"/>
      <c r="C137"/>
      <c r="E137"/>
    </row>
    <row r="138" spans="2:5">
      <c r="B138"/>
      <c r="C138"/>
      <c r="E138"/>
    </row>
    <row r="139" spans="2:5">
      <c r="B139"/>
      <c r="C139"/>
      <c r="E139"/>
    </row>
    <row r="140" spans="2:5">
      <c r="B140"/>
      <c r="C140"/>
      <c r="E140"/>
    </row>
    <row r="141" spans="2:5">
      <c r="B141"/>
      <c r="C141"/>
      <c r="E141"/>
    </row>
    <row r="142" spans="2:5">
      <c r="B142"/>
      <c r="C142"/>
      <c r="E142"/>
    </row>
    <row r="143" spans="2:5">
      <c r="B143"/>
      <c r="C143"/>
      <c r="E143"/>
    </row>
    <row r="144" spans="2:5">
      <c r="B144"/>
      <c r="C144"/>
      <c r="E144"/>
    </row>
    <row r="145" spans="2:5">
      <c r="B145"/>
      <c r="C145"/>
      <c r="E145"/>
    </row>
    <row r="146" spans="2:5">
      <c r="B146"/>
      <c r="C146"/>
      <c r="E146"/>
    </row>
    <row r="147" spans="2:5">
      <c r="B147"/>
      <c r="C147"/>
      <c r="E147"/>
    </row>
    <row r="148" spans="2:5">
      <c r="B148"/>
      <c r="C148"/>
      <c r="E148"/>
    </row>
    <row r="149" spans="2:5">
      <c r="B149"/>
      <c r="C149"/>
      <c r="E149"/>
    </row>
    <row r="150" spans="2:5">
      <c r="B150"/>
      <c r="C150"/>
      <c r="E150"/>
    </row>
    <row r="151" spans="2:5">
      <c r="B151"/>
      <c r="C151"/>
      <c r="E151"/>
    </row>
    <row r="152" spans="2:5">
      <c r="B152"/>
      <c r="C152"/>
      <c r="E152"/>
    </row>
    <row r="153" spans="2:5">
      <c r="B153"/>
      <c r="C153"/>
      <c r="E153"/>
    </row>
    <row r="154" spans="2:5">
      <c r="B154"/>
      <c r="C154"/>
      <c r="E154"/>
    </row>
    <row r="155" spans="2:5">
      <c r="B155"/>
      <c r="C155"/>
      <c r="E155"/>
    </row>
    <row r="156" spans="2:5">
      <c r="B156"/>
      <c r="C156"/>
      <c r="E156"/>
    </row>
    <row r="157" spans="2:5">
      <c r="B157"/>
      <c r="C157"/>
      <c r="E157"/>
    </row>
    <row r="158" spans="2:5">
      <c r="B158"/>
      <c r="C158"/>
      <c r="E158"/>
    </row>
    <row r="159" spans="2:5">
      <c r="B159"/>
      <c r="C159"/>
      <c r="E159"/>
    </row>
    <row r="160" spans="2:5">
      <c r="B160"/>
      <c r="C160"/>
      <c r="E160"/>
    </row>
    <row r="161" spans="2:5">
      <c r="B161"/>
      <c r="C161"/>
      <c r="E161"/>
    </row>
    <row r="162" spans="2:5">
      <c r="B162"/>
      <c r="C162"/>
      <c r="E162"/>
    </row>
    <row r="163" spans="2:5">
      <c r="B163"/>
      <c r="C163"/>
      <c r="E163"/>
    </row>
    <row r="164" spans="2:5">
      <c r="B164"/>
      <c r="C164"/>
      <c r="E164"/>
    </row>
    <row r="165" spans="2:5">
      <c r="B165"/>
      <c r="C165"/>
      <c r="E165"/>
    </row>
    <row r="166" spans="2:5">
      <c r="B166"/>
      <c r="C166"/>
      <c r="E166"/>
    </row>
    <row r="167" spans="2:5">
      <c r="B167"/>
      <c r="C167"/>
      <c r="E167"/>
    </row>
    <row r="168" spans="2:5">
      <c r="B168"/>
      <c r="C168"/>
      <c r="E168"/>
    </row>
    <row r="169" spans="2:5">
      <c r="B169"/>
      <c r="C169"/>
      <c r="E169"/>
    </row>
    <row r="170" spans="2:5">
      <c r="B170"/>
      <c r="C170"/>
      <c r="E170"/>
    </row>
    <row r="171" spans="2:5">
      <c r="B171"/>
      <c r="C171"/>
      <c r="E171"/>
    </row>
    <row r="172" spans="2:5">
      <c r="B172"/>
      <c r="C172"/>
      <c r="E172"/>
    </row>
    <row r="173" spans="2:5">
      <c r="B173"/>
      <c r="C173"/>
      <c r="E173"/>
    </row>
    <row r="174" spans="2:5">
      <c r="B174"/>
      <c r="C174"/>
      <c r="E174"/>
    </row>
    <row r="175" spans="2:5">
      <c r="B175"/>
      <c r="C175"/>
      <c r="E175"/>
    </row>
    <row r="176" spans="2:5">
      <c r="B176"/>
      <c r="C176"/>
      <c r="E176"/>
    </row>
    <row r="177" spans="2:5">
      <c r="B177"/>
      <c r="C177"/>
      <c r="E177"/>
    </row>
    <row r="178" spans="2:5">
      <c r="B178"/>
      <c r="C178"/>
      <c r="E178"/>
    </row>
    <row r="179" spans="2:5">
      <c r="B179"/>
      <c r="C179"/>
      <c r="E179"/>
    </row>
    <row r="180" spans="2:5">
      <c r="B180"/>
      <c r="C180"/>
      <c r="E180"/>
    </row>
    <row r="181" spans="2:5">
      <c r="B181"/>
      <c r="C181"/>
      <c r="E181"/>
    </row>
    <row r="182" spans="2:5">
      <c r="B182"/>
      <c r="C182"/>
      <c r="E182"/>
    </row>
    <row r="183" spans="2:5">
      <c r="B183"/>
      <c r="C183"/>
      <c r="E183"/>
    </row>
    <row r="184" spans="2:5">
      <c r="B184"/>
      <c r="C184"/>
      <c r="E184"/>
    </row>
    <row r="185" spans="2:5">
      <c r="B185"/>
      <c r="C185"/>
      <c r="E185"/>
    </row>
    <row r="186" spans="2:5">
      <c r="B186"/>
      <c r="C186"/>
      <c r="E186"/>
    </row>
    <row r="187" spans="2:5">
      <c r="B187"/>
      <c r="C187"/>
      <c r="E187"/>
    </row>
    <row r="188" spans="2:5">
      <c r="B188"/>
      <c r="C188"/>
      <c r="E188"/>
    </row>
    <row r="189" spans="2:5">
      <c r="B189"/>
      <c r="C189"/>
      <c r="E189"/>
    </row>
    <row r="190" spans="2:5">
      <c r="B190"/>
      <c r="C190"/>
      <c r="E190"/>
    </row>
    <row r="191" spans="2:5">
      <c r="B191"/>
      <c r="C191"/>
      <c r="E191"/>
    </row>
    <row r="192" spans="2:5">
      <c r="B192"/>
      <c r="C192"/>
      <c r="E192"/>
    </row>
    <row r="193" spans="2:5">
      <c r="B193"/>
      <c r="C193"/>
      <c r="E193"/>
    </row>
    <row r="194" spans="2:5">
      <c r="B194"/>
      <c r="C194"/>
      <c r="E194"/>
    </row>
    <row r="195" spans="2:5">
      <c r="B195"/>
      <c r="C195"/>
      <c r="E195"/>
    </row>
    <row r="196" spans="2:5">
      <c r="B196"/>
      <c r="C196"/>
      <c r="E196"/>
    </row>
    <row r="197" spans="2:5">
      <c r="B197"/>
      <c r="C197"/>
      <c r="E197"/>
    </row>
    <row r="198" spans="2:5">
      <c r="B198"/>
      <c r="C198"/>
      <c r="E198"/>
    </row>
    <row r="199" spans="2:5">
      <c r="B199"/>
      <c r="C199"/>
      <c r="E199"/>
    </row>
    <row r="200" spans="2:5">
      <c r="B200"/>
      <c r="C200"/>
      <c r="E200"/>
    </row>
    <row r="201" spans="2:5">
      <c r="B201"/>
      <c r="C201"/>
      <c r="E201"/>
    </row>
    <row r="202" spans="2:5">
      <c r="B202"/>
      <c r="C202"/>
      <c r="E202"/>
    </row>
    <row r="203" spans="2:5">
      <c r="B203"/>
      <c r="C203"/>
      <c r="E203"/>
    </row>
    <row r="204" spans="2:5">
      <c r="B204"/>
      <c r="C204"/>
      <c r="E204"/>
    </row>
    <row r="205" spans="2:5">
      <c r="B205"/>
      <c r="C205"/>
      <c r="E205"/>
    </row>
    <row r="206" spans="2:5">
      <c r="B206"/>
      <c r="C206"/>
      <c r="E206"/>
    </row>
    <row r="207" spans="2:5">
      <c r="B207"/>
      <c r="C207"/>
      <c r="E207"/>
    </row>
    <row r="208" spans="2:5">
      <c r="B208"/>
      <c r="C208"/>
      <c r="E208"/>
    </row>
    <row r="209" spans="2:5">
      <c r="B209"/>
      <c r="C209"/>
      <c r="E209"/>
    </row>
    <row r="210" spans="2:5">
      <c r="B210"/>
      <c r="C210"/>
      <c r="E210"/>
    </row>
    <row r="211" spans="2:5">
      <c r="B211"/>
      <c r="C211"/>
      <c r="E211"/>
    </row>
    <row r="212" spans="2:5">
      <c r="B212"/>
      <c r="C212"/>
      <c r="E212"/>
    </row>
    <row r="213" spans="2:5">
      <c r="B213"/>
      <c r="C213"/>
      <c r="E213"/>
    </row>
    <row r="214" spans="2:5">
      <c r="B214"/>
      <c r="C214"/>
      <c r="E214"/>
    </row>
    <row r="215" spans="2:5">
      <c r="B215"/>
      <c r="C215"/>
      <c r="E215"/>
    </row>
    <row r="216" spans="2:5">
      <c r="B216"/>
      <c r="C216"/>
      <c r="E216"/>
    </row>
    <row r="217" spans="2:5">
      <c r="B217"/>
      <c r="C217"/>
      <c r="E217"/>
    </row>
    <row r="218" spans="2:5">
      <c r="B218"/>
      <c r="C218"/>
      <c r="E218"/>
    </row>
    <row r="219" spans="2:5">
      <c r="B219"/>
      <c r="C219"/>
      <c r="E219"/>
    </row>
    <row r="220" spans="2:5">
      <c r="B220"/>
      <c r="C220"/>
      <c r="E220"/>
    </row>
    <row r="221" spans="2:5">
      <c r="B221"/>
      <c r="C221"/>
      <c r="E221"/>
    </row>
    <row r="222" spans="2:5">
      <c r="B222"/>
      <c r="C222"/>
      <c r="E222"/>
    </row>
    <row r="223" spans="2:5">
      <c r="B223"/>
      <c r="C223"/>
      <c r="E223"/>
    </row>
    <row r="224" spans="2:5">
      <c r="B224"/>
      <c r="C224"/>
      <c r="E224"/>
    </row>
    <row r="225" spans="2:5">
      <c r="B225"/>
      <c r="C225"/>
      <c r="E225"/>
    </row>
    <row r="226" spans="2:5">
      <c r="B226"/>
      <c r="C226"/>
      <c r="E226"/>
    </row>
    <row r="227" spans="2:5">
      <c r="B227"/>
      <c r="C227"/>
      <c r="E227"/>
    </row>
    <row r="228" spans="2:5">
      <c r="B228"/>
      <c r="C228"/>
      <c r="E228"/>
    </row>
    <row r="229" spans="2:5">
      <c r="B229"/>
      <c r="C229"/>
      <c r="E229"/>
    </row>
    <row r="230" spans="2:5">
      <c r="B230"/>
      <c r="C230"/>
      <c r="E230"/>
    </row>
    <row r="231" spans="2:5">
      <c r="B231"/>
      <c r="C231"/>
      <c r="E231"/>
    </row>
    <row r="232" spans="2:5">
      <c r="B232"/>
      <c r="C232"/>
      <c r="E232"/>
    </row>
    <row r="233" spans="2:5">
      <c r="B233"/>
      <c r="C233"/>
      <c r="E233"/>
    </row>
    <row r="234" spans="2:5">
      <c r="B234"/>
      <c r="C234"/>
      <c r="E234"/>
    </row>
    <row r="235" spans="2:5">
      <c r="B235"/>
      <c r="C235"/>
      <c r="E235"/>
    </row>
    <row r="236" spans="2:5">
      <c r="B236"/>
      <c r="C236"/>
      <c r="E236"/>
    </row>
    <row r="237" spans="2:5">
      <c r="B237"/>
      <c r="C237"/>
      <c r="E237"/>
    </row>
    <row r="238" spans="2:5">
      <c r="B238"/>
      <c r="C238"/>
      <c r="E238"/>
    </row>
    <row r="239" spans="2:5">
      <c r="B239"/>
      <c r="C239"/>
      <c r="E239"/>
    </row>
    <row r="240" spans="2:5">
      <c r="B240"/>
      <c r="C240"/>
      <c r="E240"/>
    </row>
    <row r="241" spans="2:5">
      <c r="B241"/>
      <c r="C241"/>
      <c r="E241"/>
    </row>
    <row r="242" spans="2:5">
      <c r="B242"/>
      <c r="C242"/>
      <c r="E242"/>
    </row>
    <row r="243" spans="2:5">
      <c r="B243"/>
      <c r="C243"/>
      <c r="E243"/>
    </row>
    <row r="244" spans="2:5">
      <c r="B244"/>
      <c r="C244"/>
      <c r="E244"/>
    </row>
    <row r="245" spans="2:5">
      <c r="B245"/>
      <c r="C245"/>
      <c r="E245"/>
    </row>
    <row r="246" spans="2:5">
      <c r="B246"/>
      <c r="C246"/>
      <c r="E246"/>
    </row>
    <row r="247" spans="2:5">
      <c r="B247"/>
      <c r="C247"/>
      <c r="E247"/>
    </row>
    <row r="248" spans="2:5">
      <c r="B248"/>
      <c r="C248"/>
      <c r="E248"/>
    </row>
    <row r="249" spans="2:5">
      <c r="B249"/>
      <c r="C249"/>
      <c r="E249"/>
    </row>
    <row r="250" spans="2:5">
      <c r="B250"/>
      <c r="C250"/>
      <c r="E250"/>
    </row>
    <row r="251" spans="2:5">
      <c r="B251"/>
      <c r="C251"/>
      <c r="E251"/>
    </row>
    <row r="252" spans="2:5">
      <c r="B252"/>
      <c r="C252"/>
      <c r="E252"/>
    </row>
    <row r="253" spans="2:5">
      <c r="B253"/>
      <c r="C253"/>
      <c r="E253"/>
    </row>
    <row r="254" spans="2:5">
      <c r="B254"/>
      <c r="C254"/>
      <c r="E254"/>
    </row>
    <row r="255" spans="2:5">
      <c r="B255"/>
      <c r="C255"/>
      <c r="E255"/>
    </row>
    <row r="256" spans="2:5">
      <c r="B256"/>
      <c r="C256"/>
      <c r="E256"/>
    </row>
    <row r="257" spans="2:5">
      <c r="B257"/>
      <c r="C257"/>
      <c r="E257"/>
    </row>
    <row r="258" spans="2:5">
      <c r="B258"/>
      <c r="C258"/>
      <c r="E258"/>
    </row>
    <row r="259" spans="2:5">
      <c r="B259"/>
      <c r="C259"/>
      <c r="E259"/>
    </row>
    <row r="260" spans="2:5">
      <c r="B260"/>
      <c r="C260"/>
      <c r="E260"/>
    </row>
    <row r="261" spans="2:5">
      <c r="B261"/>
      <c r="C261"/>
      <c r="E261"/>
    </row>
    <row r="262" spans="2:5">
      <c r="B262"/>
      <c r="C262"/>
      <c r="E262"/>
    </row>
    <row r="263" spans="2:5">
      <c r="B263"/>
      <c r="C263"/>
      <c r="E263"/>
    </row>
    <row r="264" spans="2:5">
      <c r="B264"/>
      <c r="C264"/>
      <c r="E264"/>
    </row>
    <row r="265" spans="2:5">
      <c r="B265"/>
      <c r="C265"/>
      <c r="E265"/>
    </row>
    <row r="266" spans="2:5">
      <c r="B266"/>
      <c r="C266"/>
      <c r="E266"/>
    </row>
    <row r="267" spans="2:5">
      <c r="B267"/>
      <c r="C267"/>
      <c r="E267"/>
    </row>
    <row r="268" spans="2:5">
      <c r="B268"/>
      <c r="C268"/>
      <c r="E268"/>
    </row>
    <row r="269" spans="2:5">
      <c r="B269"/>
      <c r="C269"/>
      <c r="E269"/>
    </row>
    <row r="270" spans="2:5">
      <c r="B270"/>
      <c r="C270"/>
      <c r="E270"/>
    </row>
    <row r="271" spans="2:5">
      <c r="B271"/>
      <c r="C271"/>
      <c r="E271"/>
    </row>
    <row r="272" spans="2:5">
      <c r="B272"/>
      <c r="C272"/>
      <c r="E272"/>
    </row>
    <row r="273" spans="2:5">
      <c r="B273"/>
      <c r="C273"/>
      <c r="E273"/>
    </row>
    <row r="274" spans="2:5">
      <c r="B274"/>
      <c r="C274"/>
      <c r="E274"/>
    </row>
    <row r="275" spans="2:5">
      <c r="B275"/>
      <c r="C275"/>
      <c r="E275"/>
    </row>
    <row r="276" spans="2:5">
      <c r="B276"/>
      <c r="C276"/>
      <c r="E276"/>
    </row>
    <row r="277" spans="2:5">
      <c r="B277"/>
      <c r="C277"/>
      <c r="E277"/>
    </row>
    <row r="278" spans="2:5">
      <c r="B278"/>
      <c r="C278"/>
      <c r="E278"/>
    </row>
    <row r="279" spans="2:5">
      <c r="B279"/>
      <c r="C279"/>
      <c r="E279"/>
    </row>
    <row r="280" spans="2:5">
      <c r="B280"/>
      <c r="C280"/>
      <c r="E280"/>
    </row>
    <row r="281" spans="2:5">
      <c r="B281"/>
      <c r="C281"/>
      <c r="E281"/>
    </row>
    <row r="282" spans="2:5">
      <c r="B282"/>
      <c r="C282"/>
      <c r="E282"/>
    </row>
    <row r="283" spans="2:5">
      <c r="B283"/>
      <c r="C283"/>
      <c r="E283"/>
    </row>
    <row r="284" spans="2:5">
      <c r="B284"/>
      <c r="C284"/>
      <c r="E284"/>
    </row>
    <row r="285" spans="2:5">
      <c r="B285"/>
      <c r="C285"/>
      <c r="E285"/>
    </row>
    <row r="286" spans="2:5">
      <c r="B286"/>
      <c r="C286"/>
      <c r="E286"/>
    </row>
    <row r="287" spans="2:5">
      <c r="B287"/>
      <c r="C287"/>
      <c r="E287"/>
    </row>
    <row r="288" spans="2:5">
      <c r="B288"/>
      <c r="C288"/>
      <c r="E288"/>
    </row>
    <row r="289" spans="2:5">
      <c r="B289"/>
      <c r="C289"/>
      <c r="E289"/>
    </row>
    <row r="290" spans="2:5">
      <c r="B290"/>
      <c r="C290"/>
      <c r="E290"/>
    </row>
    <row r="291" spans="2:5">
      <c r="B291"/>
      <c r="C291"/>
      <c r="E291"/>
    </row>
    <row r="292" spans="2:5">
      <c r="B292"/>
      <c r="C292"/>
      <c r="E292"/>
    </row>
    <row r="293" spans="2:5">
      <c r="B293"/>
      <c r="C293"/>
      <c r="E293"/>
    </row>
    <row r="294" spans="2:5">
      <c r="B294"/>
      <c r="C294"/>
      <c r="E294"/>
    </row>
    <row r="295" spans="2:5">
      <c r="B295"/>
      <c r="C295"/>
      <c r="E295"/>
    </row>
    <row r="296" spans="2:5">
      <c r="B296"/>
      <c r="C296"/>
      <c r="E296"/>
    </row>
    <row r="297" spans="2:5">
      <c r="B297"/>
      <c r="C297"/>
      <c r="E297"/>
    </row>
    <row r="298" spans="2:5">
      <c r="B298"/>
      <c r="C298"/>
      <c r="E298"/>
    </row>
    <row r="299" spans="2:5">
      <c r="B299"/>
      <c r="C299"/>
      <c r="E299"/>
    </row>
    <row r="300" spans="2:5">
      <c r="B300"/>
      <c r="C300"/>
      <c r="E300"/>
    </row>
    <row r="301" spans="2:5">
      <c r="B301"/>
      <c r="C301"/>
      <c r="E301"/>
    </row>
    <row r="302" spans="2:5">
      <c r="B302"/>
      <c r="C302"/>
      <c r="E302"/>
    </row>
    <row r="303" spans="2:5">
      <c r="B303"/>
      <c r="C303"/>
      <c r="E303"/>
    </row>
    <row r="304" spans="2:5">
      <c r="B304"/>
      <c r="C304"/>
      <c r="E304"/>
    </row>
    <row r="305" spans="2:5">
      <c r="B305"/>
      <c r="C305"/>
      <c r="E305"/>
    </row>
    <row r="306" spans="2:5">
      <c r="B306"/>
      <c r="C306"/>
      <c r="E306"/>
    </row>
    <row r="307" spans="2:5">
      <c r="B307"/>
      <c r="C307"/>
      <c r="E307"/>
    </row>
    <row r="308" spans="2:5">
      <c r="B308"/>
      <c r="C308"/>
      <c r="E308"/>
    </row>
    <row r="309" spans="2:5">
      <c r="B309"/>
      <c r="C309"/>
      <c r="E309"/>
    </row>
    <row r="310" spans="2:5">
      <c r="B310"/>
      <c r="C310"/>
      <c r="E310"/>
    </row>
    <row r="311" spans="2:5">
      <c r="B311"/>
      <c r="C311"/>
      <c r="E311"/>
    </row>
    <row r="312" spans="2:5">
      <c r="B312"/>
      <c r="C312"/>
      <c r="E312"/>
    </row>
    <row r="313" spans="2:5">
      <c r="B313"/>
      <c r="C313"/>
      <c r="E313"/>
    </row>
    <row r="314" spans="2:5">
      <c r="B314"/>
      <c r="C314"/>
      <c r="E314"/>
    </row>
    <row r="315" spans="2:5">
      <c r="B315"/>
      <c r="C315"/>
      <c r="E315"/>
    </row>
    <row r="316" spans="2:5">
      <c r="B316"/>
      <c r="C316"/>
      <c r="E316"/>
    </row>
    <row r="317" spans="2:5">
      <c r="B317"/>
      <c r="C317"/>
      <c r="E317"/>
    </row>
    <row r="318" spans="2:5">
      <c r="B318"/>
      <c r="C318"/>
      <c r="E318"/>
    </row>
    <row r="319" spans="2:5">
      <c r="B319"/>
      <c r="C319"/>
      <c r="E319"/>
    </row>
    <row r="320" spans="2:5">
      <c r="B320"/>
      <c r="C320"/>
      <c r="E320"/>
    </row>
    <row r="321" spans="2:5">
      <c r="B321"/>
      <c r="C321"/>
      <c r="E321"/>
    </row>
    <row r="322" spans="2:5">
      <c r="B322"/>
      <c r="C322"/>
      <c r="E322"/>
    </row>
    <row r="323" spans="2:5">
      <c r="B323"/>
      <c r="C323"/>
      <c r="E323"/>
    </row>
    <row r="324" spans="2:5">
      <c r="B324"/>
      <c r="C324"/>
      <c r="E324"/>
    </row>
    <row r="325" spans="2:5">
      <c r="B325"/>
      <c r="C325"/>
      <c r="E325"/>
    </row>
    <row r="326" spans="2:5">
      <c r="B326"/>
      <c r="C326"/>
      <c r="E326"/>
    </row>
    <row r="327" spans="2:5">
      <c r="B327"/>
      <c r="C327"/>
      <c r="E327"/>
    </row>
    <row r="328" spans="2:5">
      <c r="B328"/>
      <c r="C328"/>
      <c r="E328"/>
    </row>
    <row r="329" spans="2:5">
      <c r="B329"/>
      <c r="C329"/>
      <c r="E329"/>
    </row>
    <row r="330" spans="2:5">
      <c r="B330"/>
      <c r="C330"/>
      <c r="E330"/>
    </row>
    <row r="331" spans="2:5">
      <c r="B331"/>
      <c r="C331"/>
      <c r="E331"/>
    </row>
    <row r="332" spans="2:5">
      <c r="B332"/>
      <c r="C332"/>
      <c r="E332"/>
    </row>
    <row r="333" spans="2:5">
      <c r="B333"/>
      <c r="C333"/>
      <c r="E333"/>
    </row>
    <row r="334" spans="2:5">
      <c r="B334"/>
      <c r="C334"/>
      <c r="E334"/>
    </row>
    <row r="335" spans="2:5">
      <c r="B335"/>
      <c r="C335"/>
      <c r="E335"/>
    </row>
    <row r="336" spans="2:5">
      <c r="B336"/>
      <c r="C336"/>
      <c r="E336"/>
    </row>
    <row r="337" spans="2:5">
      <c r="B337"/>
      <c r="C337"/>
      <c r="E337"/>
    </row>
    <row r="338" spans="2:5">
      <c r="B338"/>
      <c r="C338"/>
      <c r="E338"/>
    </row>
    <row r="339" spans="2:5">
      <c r="B339"/>
      <c r="C339"/>
      <c r="E339"/>
    </row>
    <row r="340" spans="2:5">
      <c r="B340"/>
      <c r="C340"/>
      <c r="E340"/>
    </row>
    <row r="341" spans="2:5">
      <c r="B341"/>
      <c r="C341"/>
      <c r="E341"/>
    </row>
    <row r="342" spans="2:5">
      <c r="B342"/>
      <c r="C342"/>
      <c r="E342"/>
    </row>
    <row r="343" spans="2:5">
      <c r="B343"/>
      <c r="C343"/>
      <c r="E343"/>
    </row>
    <row r="344" spans="2:5">
      <c r="B344"/>
      <c r="C344"/>
      <c r="E344"/>
    </row>
    <row r="345" spans="2:5">
      <c r="B345"/>
      <c r="C345"/>
      <c r="E345"/>
    </row>
    <row r="346" spans="2:5">
      <c r="B346"/>
      <c r="C346"/>
      <c r="E346"/>
    </row>
    <row r="347" spans="2:5">
      <c r="B347"/>
      <c r="C347"/>
      <c r="E347"/>
    </row>
    <row r="348" spans="2:5">
      <c r="B348"/>
      <c r="C348"/>
      <c r="E348"/>
    </row>
    <row r="349" spans="2:5">
      <c r="B349"/>
      <c r="C349"/>
      <c r="E349"/>
    </row>
    <row r="350" spans="2:5">
      <c r="B350"/>
      <c r="C350"/>
      <c r="E350"/>
    </row>
    <row r="351" spans="2:5">
      <c r="B351"/>
      <c r="C351"/>
      <c r="E351"/>
    </row>
    <row r="352" spans="2:5">
      <c r="B352"/>
      <c r="C352"/>
      <c r="E352"/>
    </row>
    <row r="353" spans="2:5">
      <c r="B353"/>
      <c r="C353"/>
      <c r="E353"/>
    </row>
    <row r="354" spans="2:5">
      <c r="B354"/>
      <c r="C354"/>
      <c r="E354"/>
    </row>
    <row r="355" spans="2:5">
      <c r="B355"/>
      <c r="C355"/>
      <c r="E355"/>
    </row>
    <row r="356" spans="2:5">
      <c r="B356"/>
      <c r="C356"/>
      <c r="E356"/>
    </row>
    <row r="357" spans="2:5">
      <c r="B357"/>
      <c r="C357"/>
      <c r="E357"/>
    </row>
    <row r="358" spans="2:5">
      <c r="B358"/>
      <c r="C358"/>
      <c r="E358"/>
    </row>
    <row r="359" spans="2:5">
      <c r="B359"/>
      <c r="C359"/>
      <c r="E359"/>
    </row>
    <row r="360" spans="2:5">
      <c r="B360"/>
      <c r="C360"/>
      <c r="E360"/>
    </row>
    <row r="361" spans="2:5">
      <c r="B361"/>
      <c r="C361"/>
      <c r="E361"/>
    </row>
    <row r="362" spans="2:5">
      <c r="B362"/>
      <c r="C362"/>
      <c r="E362"/>
    </row>
    <row r="363" spans="2:5">
      <c r="B363"/>
      <c r="C363"/>
      <c r="E363"/>
    </row>
    <row r="364" spans="2:5">
      <c r="B364"/>
      <c r="C364"/>
      <c r="E364"/>
    </row>
    <row r="365" spans="2:5">
      <c r="B365"/>
      <c r="C365"/>
      <c r="E365"/>
    </row>
    <row r="366" spans="2:5">
      <c r="B366"/>
      <c r="C366"/>
      <c r="E366"/>
    </row>
    <row r="367" spans="2:5">
      <c r="B367"/>
      <c r="C367"/>
      <c r="E367"/>
    </row>
    <row r="368" spans="2:5">
      <c r="B368"/>
      <c r="C368"/>
      <c r="E368"/>
    </row>
    <row r="369" spans="2:5">
      <c r="B369"/>
      <c r="C369"/>
      <c r="E369"/>
    </row>
    <row r="370" spans="2:5">
      <c r="B370"/>
      <c r="C370"/>
      <c r="E370"/>
    </row>
    <row r="371" spans="2:5">
      <c r="B371"/>
      <c r="C371"/>
      <c r="E371"/>
    </row>
    <row r="372" spans="2:5">
      <c r="B372"/>
      <c r="C372"/>
      <c r="E372"/>
    </row>
    <row r="373" spans="2:5">
      <c r="B373"/>
      <c r="C373"/>
      <c r="E373"/>
    </row>
    <row r="374" spans="2:5">
      <c r="B374"/>
      <c r="C374"/>
      <c r="E374"/>
    </row>
    <row r="375" spans="2:5">
      <c r="B375"/>
      <c r="C375"/>
      <c r="E375"/>
    </row>
    <row r="376" spans="2:5">
      <c r="B376"/>
      <c r="C376"/>
      <c r="E376"/>
    </row>
    <row r="377" spans="2:5">
      <c r="B377"/>
      <c r="C377"/>
      <c r="E377"/>
    </row>
    <row r="378" spans="2:5">
      <c r="B378"/>
      <c r="C378"/>
      <c r="E378"/>
    </row>
    <row r="379" spans="2:5">
      <c r="B379"/>
      <c r="C379"/>
      <c r="E379"/>
    </row>
    <row r="380" spans="2:5">
      <c r="B380"/>
      <c r="C380"/>
      <c r="E380"/>
    </row>
    <row r="381" spans="2:5">
      <c r="B381"/>
      <c r="C381"/>
      <c r="E381"/>
    </row>
    <row r="382" spans="2:5">
      <c r="B382"/>
      <c r="C382"/>
      <c r="E382"/>
    </row>
    <row r="383" spans="2:5">
      <c r="B383"/>
      <c r="C383"/>
      <c r="E383"/>
    </row>
    <row r="384" spans="2:5">
      <c r="B384"/>
      <c r="C384"/>
      <c r="E384"/>
    </row>
    <row r="385" spans="2:5">
      <c r="B385"/>
      <c r="C385"/>
      <c r="E385"/>
    </row>
    <row r="386" spans="2:5">
      <c r="B386"/>
      <c r="C386"/>
      <c r="E386"/>
    </row>
    <row r="387" spans="2:5">
      <c r="B387"/>
      <c r="C387"/>
      <c r="E387"/>
    </row>
    <row r="388" spans="2:5">
      <c r="B388"/>
      <c r="C388"/>
      <c r="E388"/>
    </row>
    <row r="389" spans="2:5">
      <c r="B389"/>
      <c r="C389"/>
      <c r="E389"/>
    </row>
    <row r="390" spans="2:5">
      <c r="B390"/>
      <c r="C390"/>
      <c r="E390"/>
    </row>
    <row r="391" spans="2:5">
      <c r="B391"/>
      <c r="C391"/>
      <c r="E391"/>
    </row>
    <row r="392" spans="2:5">
      <c r="B392"/>
      <c r="C392"/>
      <c r="E392"/>
    </row>
    <row r="393" spans="2:5">
      <c r="B393"/>
      <c r="C393"/>
      <c r="E393"/>
    </row>
    <row r="394" spans="2:5">
      <c r="B394"/>
      <c r="C394"/>
      <c r="E394"/>
    </row>
    <row r="395" spans="2:5">
      <c r="B395"/>
      <c r="C395"/>
      <c r="E395"/>
    </row>
    <row r="396" spans="2:5">
      <c r="B396"/>
      <c r="C396"/>
      <c r="E396"/>
    </row>
    <row r="397" spans="2:5">
      <c r="B397"/>
      <c r="C397"/>
      <c r="E397"/>
    </row>
    <row r="398" spans="2:5">
      <c r="B398"/>
      <c r="C398"/>
      <c r="E398"/>
    </row>
    <row r="399" spans="2:5">
      <c r="B399"/>
      <c r="C399"/>
      <c r="E399"/>
    </row>
    <row r="400" spans="2:5">
      <c r="B400"/>
      <c r="C400"/>
      <c r="E400"/>
    </row>
    <row r="401" spans="2:5">
      <c r="B401"/>
      <c r="C401"/>
      <c r="E401"/>
    </row>
    <row r="402" spans="2:5">
      <c r="B402"/>
      <c r="C402"/>
      <c r="E402"/>
    </row>
    <row r="403" spans="2:5">
      <c r="B403"/>
      <c r="C403"/>
      <c r="E403"/>
    </row>
    <row r="404" spans="2:5">
      <c r="B404"/>
      <c r="C404"/>
      <c r="E404"/>
    </row>
    <row r="405" spans="2:5">
      <c r="B405"/>
      <c r="C405"/>
      <c r="E405"/>
    </row>
    <row r="406" spans="2:5">
      <c r="B406"/>
      <c r="C406"/>
      <c r="E406"/>
    </row>
    <row r="407" spans="2:5">
      <c r="B407"/>
      <c r="C407"/>
      <c r="E407"/>
    </row>
    <row r="408" spans="2:5">
      <c r="B408"/>
      <c r="C408"/>
      <c r="E408"/>
    </row>
    <row r="409" spans="2:5">
      <c r="B409"/>
      <c r="C409"/>
      <c r="E409"/>
    </row>
    <row r="410" spans="2:5">
      <c r="B410"/>
      <c r="C410"/>
      <c r="E410"/>
    </row>
    <row r="411" spans="2:5">
      <c r="B411"/>
      <c r="C411"/>
      <c r="E411"/>
    </row>
    <row r="412" spans="2:5">
      <c r="B412"/>
      <c r="C412"/>
      <c r="E412"/>
    </row>
    <row r="413" spans="2:5">
      <c r="B413"/>
      <c r="C413"/>
      <c r="E413"/>
    </row>
    <row r="414" spans="2:5">
      <c r="B414"/>
      <c r="C414"/>
      <c r="E414"/>
    </row>
    <row r="415" spans="2:5">
      <c r="B415"/>
      <c r="C415"/>
      <c r="E415"/>
    </row>
    <row r="416" spans="2:5">
      <c r="B416"/>
      <c r="C416"/>
      <c r="E416"/>
    </row>
    <row r="417" spans="2:5">
      <c r="B417"/>
      <c r="C417"/>
      <c r="E417"/>
    </row>
    <row r="418" spans="2:5">
      <c r="B418"/>
      <c r="C418"/>
      <c r="E418"/>
    </row>
    <row r="419" spans="2:5">
      <c r="B419"/>
      <c r="C419"/>
      <c r="E419"/>
    </row>
    <row r="420" spans="2:5">
      <c r="B420"/>
      <c r="C420"/>
      <c r="E420"/>
    </row>
    <row r="421" spans="2:5">
      <c r="B421"/>
      <c r="C421"/>
      <c r="E421"/>
    </row>
    <row r="422" spans="2:5">
      <c r="B422"/>
      <c r="C422"/>
      <c r="E422"/>
    </row>
    <row r="423" spans="2:5">
      <c r="B423"/>
      <c r="C423"/>
      <c r="E423"/>
    </row>
    <row r="424" spans="2:5">
      <c r="B424"/>
      <c r="C424"/>
      <c r="E424"/>
    </row>
    <row r="425" spans="2:5">
      <c r="B425"/>
      <c r="C425"/>
      <c r="E425"/>
    </row>
    <row r="426" spans="2:5">
      <c r="B426"/>
      <c r="C426"/>
      <c r="E426"/>
    </row>
    <row r="427" spans="2:5">
      <c r="B427"/>
      <c r="C427"/>
      <c r="E427"/>
    </row>
    <row r="428" spans="2:5">
      <c r="B428"/>
      <c r="C428"/>
      <c r="E428"/>
    </row>
    <row r="429" spans="2:5">
      <c r="B429"/>
      <c r="C429"/>
      <c r="E429"/>
    </row>
    <row r="430" spans="2:5">
      <c r="B430"/>
      <c r="C430"/>
      <c r="E430"/>
    </row>
    <row r="431" spans="2:5">
      <c r="B431"/>
      <c r="C431"/>
      <c r="E431"/>
    </row>
    <row r="432" spans="2:5">
      <c r="B432"/>
      <c r="C432"/>
      <c r="E432"/>
    </row>
    <row r="433" spans="2:5">
      <c r="B433"/>
      <c r="C433"/>
      <c r="E433"/>
    </row>
    <row r="434" spans="2:5">
      <c r="B434"/>
      <c r="C434"/>
      <c r="E434"/>
    </row>
    <row r="435" spans="2:5">
      <c r="B435"/>
      <c r="C435"/>
      <c r="E435"/>
    </row>
    <row r="436" spans="2:5">
      <c r="B436"/>
      <c r="C436"/>
      <c r="E436"/>
    </row>
    <row r="437" spans="2:5">
      <c r="B437"/>
      <c r="C437"/>
      <c r="E437"/>
    </row>
    <row r="438" spans="2:5">
      <c r="B438"/>
      <c r="C438"/>
      <c r="E438"/>
    </row>
    <row r="439" spans="2:5">
      <c r="B439"/>
      <c r="C439"/>
      <c r="E439"/>
    </row>
    <row r="440" spans="2:5">
      <c r="B440"/>
      <c r="C440"/>
      <c r="E440"/>
    </row>
    <row r="441" spans="2:5">
      <c r="B441"/>
      <c r="C441"/>
      <c r="E441"/>
    </row>
    <row r="442" spans="2:5">
      <c r="B442"/>
      <c r="C442"/>
      <c r="E442"/>
    </row>
    <row r="443" spans="2:5">
      <c r="B443"/>
      <c r="C443"/>
      <c r="E443"/>
    </row>
    <row r="444" spans="2:5">
      <c r="B444"/>
      <c r="C444"/>
      <c r="E444"/>
    </row>
    <row r="445" spans="2:5">
      <c r="B445"/>
      <c r="C445"/>
      <c r="E445"/>
    </row>
    <row r="446" spans="2:5">
      <c r="B446"/>
      <c r="C446"/>
      <c r="E446"/>
    </row>
    <row r="447" spans="2:5">
      <c r="B447"/>
      <c r="C447"/>
      <c r="E447"/>
    </row>
    <row r="448" spans="2:5">
      <c r="B448"/>
      <c r="C448"/>
      <c r="E448"/>
    </row>
    <row r="449" spans="2:5">
      <c r="B449"/>
      <c r="C449"/>
      <c r="E449"/>
    </row>
    <row r="450" spans="2:5">
      <c r="B450"/>
      <c r="C450"/>
      <c r="E450"/>
    </row>
    <row r="451" spans="2:5">
      <c r="B451"/>
      <c r="C451"/>
      <c r="E451"/>
    </row>
    <row r="452" spans="2:5">
      <c r="B452"/>
      <c r="C452"/>
      <c r="E452"/>
    </row>
    <row r="453" spans="2:5">
      <c r="B453"/>
      <c r="C453"/>
      <c r="E453"/>
    </row>
    <row r="454" spans="2:5">
      <c r="B454"/>
      <c r="C454"/>
      <c r="E454"/>
    </row>
    <row r="455" spans="2:5">
      <c r="B455"/>
      <c r="C455"/>
      <c r="E455"/>
    </row>
    <row r="456" spans="2:5">
      <c r="B456"/>
      <c r="C456"/>
      <c r="E456"/>
    </row>
    <row r="457" spans="2:5">
      <c r="B457"/>
      <c r="C457"/>
      <c r="E457"/>
    </row>
    <row r="458" spans="2:5">
      <c r="B458"/>
      <c r="C458"/>
      <c r="E458"/>
    </row>
    <row r="459" spans="2:5">
      <c r="B459"/>
      <c r="C459"/>
      <c r="E459"/>
    </row>
    <row r="460" spans="2:5">
      <c r="B460"/>
      <c r="C460"/>
      <c r="E460"/>
    </row>
    <row r="461" spans="2:5">
      <c r="B461"/>
      <c r="C461"/>
      <c r="E461"/>
    </row>
    <row r="462" spans="2:5">
      <c r="B462"/>
      <c r="C462"/>
      <c r="E462"/>
    </row>
    <row r="463" spans="2:5">
      <c r="B463"/>
      <c r="C463"/>
      <c r="E463"/>
    </row>
    <row r="464" spans="2:5">
      <c r="B464"/>
      <c r="C464"/>
      <c r="E464"/>
    </row>
    <row r="465" spans="2:5">
      <c r="B465"/>
      <c r="C465"/>
      <c r="E465"/>
    </row>
    <row r="466" spans="2:5">
      <c r="B466"/>
      <c r="C466"/>
      <c r="E466"/>
    </row>
    <row r="467" spans="2:5">
      <c r="B467"/>
      <c r="C467"/>
      <c r="E467"/>
    </row>
    <row r="468" spans="2:5">
      <c r="B468"/>
      <c r="C468"/>
      <c r="E468"/>
    </row>
    <row r="469" spans="2:5">
      <c r="B469"/>
      <c r="C469"/>
      <c r="E469"/>
    </row>
    <row r="470" spans="2:5">
      <c r="B470"/>
      <c r="C470"/>
      <c r="E470"/>
    </row>
    <row r="471" spans="2:5">
      <c r="B471"/>
      <c r="C471"/>
      <c r="E471"/>
    </row>
    <row r="472" spans="2:5">
      <c r="B472"/>
      <c r="C472"/>
      <c r="E472"/>
    </row>
    <row r="473" spans="2:5">
      <c r="B473"/>
      <c r="C473"/>
      <c r="E473"/>
    </row>
    <row r="474" spans="2:5">
      <c r="B474"/>
      <c r="C474"/>
      <c r="E474"/>
    </row>
    <row r="475" spans="2:5">
      <c r="B475"/>
      <c r="C475"/>
      <c r="E475"/>
    </row>
    <row r="476" spans="2:5">
      <c r="B476"/>
      <c r="C476"/>
      <c r="E476"/>
    </row>
    <row r="477" spans="2:5">
      <c r="B477"/>
      <c r="C477"/>
      <c r="E477"/>
    </row>
    <row r="478" spans="2:5">
      <c r="B478"/>
      <c r="C478"/>
      <c r="E478"/>
    </row>
    <row r="479" spans="2:5">
      <c r="B479"/>
      <c r="C479"/>
      <c r="E479"/>
    </row>
    <row r="480" spans="2:5">
      <c r="B480"/>
      <c r="C480"/>
      <c r="E480"/>
    </row>
    <row r="481" spans="2:5">
      <c r="B481"/>
      <c r="C481"/>
      <c r="E481"/>
    </row>
    <row r="482" spans="2:5">
      <c r="B482"/>
      <c r="C482"/>
      <c r="E482"/>
    </row>
    <row r="483" spans="2:5">
      <c r="B483"/>
      <c r="C483"/>
      <c r="E483"/>
    </row>
    <row r="484" spans="2:5">
      <c r="B484"/>
      <c r="C484"/>
      <c r="E484"/>
    </row>
    <row r="485" spans="2:5">
      <c r="B485"/>
      <c r="C485"/>
      <c r="E485"/>
    </row>
    <row r="486" spans="2:5">
      <c r="B486"/>
      <c r="C486"/>
      <c r="E486"/>
    </row>
    <row r="487" spans="2:5">
      <c r="B487"/>
      <c r="C487"/>
      <c r="E487"/>
    </row>
    <row r="488" spans="2:5">
      <c r="B488"/>
      <c r="C488"/>
      <c r="E488"/>
    </row>
    <row r="489" spans="2:5">
      <c r="B489"/>
      <c r="C489"/>
      <c r="E489"/>
    </row>
    <row r="490" spans="2:5">
      <c r="B490"/>
      <c r="C490"/>
      <c r="E490"/>
    </row>
    <row r="491" spans="2:5">
      <c r="B491"/>
      <c r="C491"/>
      <c r="E491"/>
    </row>
    <row r="492" spans="2:5">
      <c r="B492"/>
      <c r="C492"/>
      <c r="E492"/>
    </row>
    <row r="493" spans="2:5">
      <c r="B493"/>
      <c r="C493"/>
      <c r="E493"/>
    </row>
    <row r="494" spans="2:5">
      <c r="B494"/>
      <c r="C494"/>
      <c r="E494"/>
    </row>
    <row r="495" spans="2:5">
      <c r="B495"/>
      <c r="C495"/>
      <c r="E495"/>
    </row>
    <row r="496" spans="2:5">
      <c r="B496"/>
      <c r="C496"/>
      <c r="E496"/>
    </row>
    <row r="497" spans="2:5">
      <c r="B497"/>
      <c r="C497"/>
      <c r="E497"/>
    </row>
    <row r="498" spans="2:5">
      <c r="B498"/>
      <c r="C498"/>
      <c r="E498"/>
    </row>
    <row r="499" spans="2:5">
      <c r="B499"/>
      <c r="C499"/>
      <c r="E499"/>
    </row>
    <row r="500" spans="2:5">
      <c r="B500"/>
      <c r="C500"/>
      <c r="E500"/>
    </row>
    <row r="501" spans="2:5">
      <c r="B501"/>
      <c r="C501"/>
      <c r="E501"/>
    </row>
    <row r="502" spans="2:5">
      <c r="B502"/>
      <c r="C502"/>
      <c r="E502"/>
    </row>
    <row r="503" spans="2:5">
      <c r="B503"/>
      <c r="C503"/>
      <c r="E503"/>
    </row>
    <row r="504" spans="2:5">
      <c r="B504"/>
      <c r="C504"/>
      <c r="E504"/>
    </row>
    <row r="505" spans="2:5">
      <c r="B505"/>
      <c r="C505"/>
      <c r="E505"/>
    </row>
    <row r="506" spans="2:5">
      <c r="B506"/>
      <c r="C506"/>
      <c r="E506"/>
    </row>
    <row r="507" spans="2:5">
      <c r="B507"/>
      <c r="C507"/>
      <c r="E507"/>
    </row>
    <row r="508" spans="2:5">
      <c r="B508"/>
      <c r="C508"/>
      <c r="E508"/>
    </row>
    <row r="509" spans="2:5">
      <c r="B509"/>
      <c r="C509"/>
      <c r="E509"/>
    </row>
    <row r="510" spans="2:5">
      <c r="B510"/>
      <c r="C510"/>
      <c r="E510"/>
    </row>
    <row r="511" spans="2:5">
      <c r="B511"/>
      <c r="C511"/>
      <c r="E511"/>
    </row>
    <row r="512" spans="2:5">
      <c r="B512"/>
      <c r="C512"/>
      <c r="E512"/>
    </row>
    <row r="513" spans="2:5">
      <c r="B513"/>
      <c r="C513"/>
      <c r="E513"/>
    </row>
    <row r="514" spans="2:5">
      <c r="B514"/>
      <c r="C514"/>
      <c r="E514"/>
    </row>
    <row r="515" spans="2:5">
      <c r="B515"/>
      <c r="C515"/>
      <c r="E515"/>
    </row>
    <row r="516" spans="2:5">
      <c r="B516"/>
      <c r="C516"/>
      <c r="E516"/>
    </row>
    <row r="517" spans="2:5">
      <c r="B517"/>
      <c r="C517"/>
      <c r="E517"/>
    </row>
    <row r="518" spans="2:5">
      <c r="B518"/>
      <c r="C518"/>
      <c r="E518"/>
    </row>
    <row r="519" spans="2:5">
      <c r="B519"/>
      <c r="C519"/>
      <c r="E519"/>
    </row>
    <row r="520" spans="2:5">
      <c r="B520"/>
      <c r="C520"/>
      <c r="E520"/>
    </row>
    <row r="521" spans="2:5">
      <c r="B521"/>
      <c r="C521"/>
      <c r="E521"/>
    </row>
    <row r="522" spans="2:5">
      <c r="B522"/>
      <c r="C522"/>
      <c r="E522"/>
    </row>
    <row r="523" spans="2:5">
      <c r="B523"/>
      <c r="C523"/>
      <c r="E523"/>
    </row>
    <row r="524" spans="2:5">
      <c r="B524"/>
      <c r="C524"/>
      <c r="E524"/>
    </row>
    <row r="525" spans="2:5">
      <c r="B525"/>
      <c r="C525"/>
      <c r="E525"/>
    </row>
    <row r="526" spans="2:5">
      <c r="B526"/>
      <c r="C526"/>
      <c r="E526"/>
    </row>
    <row r="527" spans="2:5">
      <c r="B527"/>
      <c r="C527"/>
      <c r="E527"/>
    </row>
    <row r="528" spans="2:5">
      <c r="B528"/>
      <c r="C528"/>
      <c r="E528"/>
    </row>
    <row r="529" spans="2:5">
      <c r="B529"/>
      <c r="C529"/>
      <c r="E529"/>
    </row>
    <row r="530" spans="2:5">
      <c r="B530"/>
      <c r="C530"/>
      <c r="E530"/>
    </row>
    <row r="531" spans="2:5">
      <c r="B531"/>
      <c r="C531"/>
      <c r="E531"/>
    </row>
    <row r="532" spans="2:5">
      <c r="B532"/>
      <c r="C532"/>
      <c r="E532"/>
    </row>
    <row r="533" spans="2:5">
      <c r="B533"/>
      <c r="C533"/>
      <c r="E533"/>
    </row>
    <row r="534" spans="2:5">
      <c r="B534"/>
      <c r="C534"/>
      <c r="E534"/>
    </row>
    <row r="535" spans="2:5">
      <c r="B535"/>
      <c r="C535"/>
      <c r="E535"/>
    </row>
    <row r="536" spans="2:5">
      <c r="B536"/>
      <c r="C536"/>
      <c r="E536"/>
    </row>
    <row r="537" spans="2:5">
      <c r="B537"/>
      <c r="C537"/>
      <c r="E537"/>
    </row>
    <row r="538" spans="2:5">
      <c r="B538"/>
      <c r="C538"/>
      <c r="E538"/>
    </row>
    <row r="539" spans="2:5">
      <c r="B539"/>
      <c r="C539"/>
      <c r="E539"/>
    </row>
    <row r="540" spans="2:5">
      <c r="B540"/>
      <c r="C540"/>
      <c r="E540"/>
    </row>
    <row r="541" spans="2:5">
      <c r="B541"/>
      <c r="C541"/>
      <c r="E541"/>
    </row>
    <row r="542" spans="2:5">
      <c r="B542"/>
      <c r="C542"/>
      <c r="E542"/>
    </row>
    <row r="543" spans="2:5">
      <c r="B543"/>
      <c r="C543"/>
      <c r="E543"/>
    </row>
    <row r="544" spans="2:5">
      <c r="B544"/>
      <c r="C544"/>
      <c r="E544"/>
    </row>
    <row r="545" spans="2:5">
      <c r="B545"/>
      <c r="C545"/>
      <c r="E545"/>
    </row>
    <row r="546" spans="2:5">
      <c r="B546"/>
      <c r="C546"/>
      <c r="E546"/>
    </row>
    <row r="547" spans="2:5">
      <c r="B547"/>
      <c r="C547"/>
      <c r="E547"/>
    </row>
    <row r="548" spans="2:5">
      <c r="B548"/>
      <c r="C548"/>
      <c r="E548"/>
    </row>
    <row r="549" spans="2:5">
      <c r="B549"/>
      <c r="C549"/>
      <c r="E549"/>
    </row>
    <row r="550" spans="2:5">
      <c r="B550"/>
      <c r="C550"/>
      <c r="E550"/>
    </row>
    <row r="551" spans="2:5">
      <c r="B551"/>
      <c r="C551"/>
      <c r="E551"/>
    </row>
    <row r="552" spans="2:5">
      <c r="B552"/>
      <c r="C552"/>
      <c r="E552"/>
    </row>
    <row r="553" spans="2:5">
      <c r="B553"/>
      <c r="C553"/>
      <c r="E553"/>
    </row>
    <row r="554" spans="2:5">
      <c r="B554"/>
      <c r="C554"/>
      <c r="E554"/>
    </row>
    <row r="555" spans="2:5">
      <c r="B555"/>
      <c r="C555"/>
      <c r="E555"/>
    </row>
    <row r="556" spans="2:5">
      <c r="B556"/>
      <c r="C556"/>
      <c r="E556"/>
    </row>
    <row r="557" spans="2:5">
      <c r="B557"/>
      <c r="C557"/>
      <c r="E557"/>
    </row>
    <row r="558" spans="2:5">
      <c r="B558"/>
      <c r="C558"/>
      <c r="E558"/>
    </row>
    <row r="559" spans="2:5">
      <c r="B559"/>
      <c r="C559"/>
      <c r="E559"/>
    </row>
    <row r="560" spans="2:5">
      <c r="B560"/>
      <c r="C560"/>
      <c r="E560"/>
    </row>
    <row r="561" spans="2:5">
      <c r="B561"/>
      <c r="C561"/>
      <c r="E561"/>
    </row>
    <row r="562" spans="2:5">
      <c r="B562"/>
      <c r="C562"/>
      <c r="E562"/>
    </row>
    <row r="563" spans="2:5">
      <c r="B563"/>
      <c r="C563"/>
      <c r="E563"/>
    </row>
    <row r="564" spans="2:5">
      <c r="B564"/>
      <c r="C564"/>
      <c r="E564"/>
    </row>
    <row r="565" spans="2:5">
      <c r="B565"/>
      <c r="C565"/>
      <c r="E565"/>
    </row>
    <row r="566" spans="2:5">
      <c r="B566"/>
      <c r="C566"/>
      <c r="E566"/>
    </row>
    <row r="567" spans="2:5">
      <c r="B567"/>
      <c r="C567"/>
      <c r="E567"/>
    </row>
    <row r="568" spans="2:5">
      <c r="B568"/>
      <c r="C568"/>
      <c r="E568"/>
    </row>
    <row r="569" spans="2:5">
      <c r="B569"/>
      <c r="C569"/>
      <c r="E569"/>
    </row>
    <row r="570" spans="2:5">
      <c r="B570"/>
      <c r="C570"/>
      <c r="E570"/>
    </row>
    <row r="571" spans="2:5">
      <c r="B571"/>
      <c r="C571"/>
      <c r="E571"/>
    </row>
    <row r="572" spans="2:5">
      <c r="B572"/>
      <c r="C572"/>
      <c r="E572"/>
    </row>
    <row r="573" spans="2:5">
      <c r="B573"/>
      <c r="C573"/>
      <c r="E573"/>
    </row>
    <row r="574" spans="2:5">
      <c r="B574"/>
      <c r="C574"/>
      <c r="E574"/>
    </row>
    <row r="575" spans="2:5">
      <c r="B575"/>
      <c r="C575"/>
      <c r="E575"/>
    </row>
    <row r="576" spans="2:5">
      <c r="B576"/>
      <c r="C576"/>
      <c r="E576"/>
    </row>
    <row r="577" spans="2:5">
      <c r="B577"/>
      <c r="C577"/>
      <c r="E577"/>
    </row>
    <row r="578" spans="2:5">
      <c r="B578"/>
      <c r="C578"/>
      <c r="E578"/>
    </row>
    <row r="579" spans="2:5">
      <c r="B579"/>
      <c r="C579"/>
      <c r="E579"/>
    </row>
    <row r="580" spans="2:5">
      <c r="B580"/>
      <c r="C580"/>
      <c r="E580"/>
    </row>
    <row r="581" spans="2:5">
      <c r="B581"/>
      <c r="C581"/>
      <c r="E581"/>
    </row>
    <row r="582" spans="2:5">
      <c r="B582"/>
      <c r="C582"/>
      <c r="E582"/>
    </row>
    <row r="583" spans="2:5">
      <c r="B583"/>
      <c r="C583"/>
      <c r="E583"/>
    </row>
    <row r="584" spans="2:5">
      <c r="B584"/>
      <c r="C584"/>
      <c r="E584"/>
    </row>
    <row r="585" spans="2:5">
      <c r="B585"/>
      <c r="C585"/>
      <c r="E585"/>
    </row>
    <row r="586" spans="2:5">
      <c r="B586"/>
      <c r="C586"/>
      <c r="E586"/>
    </row>
    <row r="587" spans="2:5">
      <c r="B587"/>
      <c r="C587"/>
      <c r="E587"/>
    </row>
    <row r="588" spans="2:5">
      <c r="B588"/>
      <c r="C588"/>
      <c r="E588"/>
    </row>
    <row r="589" spans="2:5">
      <c r="B589"/>
      <c r="C589"/>
      <c r="E589"/>
    </row>
    <row r="590" spans="2:5">
      <c r="B590"/>
      <c r="C590"/>
      <c r="E590"/>
    </row>
    <row r="591" spans="2:5">
      <c r="B591"/>
      <c r="C591"/>
      <c r="E591"/>
    </row>
    <row r="592" spans="2:5">
      <c r="B592"/>
      <c r="C592"/>
      <c r="E592"/>
    </row>
    <row r="593" spans="2:5">
      <c r="B593"/>
      <c r="C593"/>
      <c r="E593"/>
    </row>
    <row r="594" spans="2:5">
      <c r="B594"/>
      <c r="C594"/>
      <c r="E594"/>
    </row>
    <row r="595" spans="2:5">
      <c r="B595"/>
      <c r="C595"/>
      <c r="E595"/>
    </row>
    <row r="596" spans="2:5">
      <c r="B596"/>
      <c r="C596"/>
      <c r="E596"/>
    </row>
    <row r="597" spans="2:5">
      <c r="B597"/>
      <c r="C597"/>
      <c r="E597"/>
    </row>
    <row r="598" spans="2:5">
      <c r="B598"/>
      <c r="C598"/>
      <c r="E598"/>
    </row>
    <row r="599" spans="2:5">
      <c r="B599"/>
      <c r="C599"/>
      <c r="E599"/>
    </row>
    <row r="600" spans="2:5">
      <c r="B600"/>
      <c r="C600"/>
      <c r="E600"/>
    </row>
    <row r="601" spans="2:5">
      <c r="B601"/>
      <c r="C601"/>
      <c r="E601"/>
    </row>
    <row r="602" spans="2:5">
      <c r="B602"/>
      <c r="C602"/>
      <c r="E602"/>
    </row>
    <row r="603" spans="2:5">
      <c r="B603"/>
      <c r="C603"/>
      <c r="E603"/>
    </row>
    <row r="604" spans="2:5">
      <c r="B604"/>
      <c r="C604"/>
      <c r="E604"/>
    </row>
    <row r="605" spans="2:5">
      <c r="B605"/>
      <c r="C605"/>
      <c r="E605"/>
    </row>
    <row r="606" spans="2:5">
      <c r="B606"/>
      <c r="C606"/>
      <c r="E606"/>
    </row>
    <row r="607" spans="2:5">
      <c r="B607"/>
      <c r="C607"/>
      <c r="E607"/>
    </row>
    <row r="608" spans="2:5">
      <c r="B608"/>
      <c r="C608"/>
      <c r="E608"/>
    </row>
    <row r="609" spans="2:5">
      <c r="B609"/>
      <c r="C609"/>
      <c r="E609"/>
    </row>
    <row r="610" spans="2:5">
      <c r="B610"/>
      <c r="C610"/>
      <c r="E610"/>
    </row>
    <row r="611" spans="2:5">
      <c r="B611"/>
      <c r="C611"/>
      <c r="E611"/>
    </row>
    <row r="612" spans="2:5">
      <c r="B612"/>
      <c r="C612"/>
      <c r="E612"/>
    </row>
    <row r="613" spans="2:5">
      <c r="B613"/>
      <c r="C613"/>
      <c r="E613"/>
    </row>
    <row r="614" spans="2:5">
      <c r="B614"/>
      <c r="C614"/>
      <c r="E614"/>
    </row>
    <row r="615" spans="2:5">
      <c r="B615"/>
      <c r="C615"/>
      <c r="E615"/>
    </row>
    <row r="616" spans="2:5">
      <c r="B616"/>
      <c r="C616"/>
      <c r="E616"/>
    </row>
    <row r="617" spans="2:5">
      <c r="B617"/>
      <c r="C617"/>
      <c r="E617"/>
    </row>
    <row r="618" spans="2:5">
      <c r="B618"/>
      <c r="C618"/>
      <c r="E618"/>
    </row>
    <row r="619" spans="2:5">
      <c r="B619"/>
      <c r="C619"/>
      <c r="E619"/>
    </row>
    <row r="620" spans="2:5">
      <c r="B620"/>
      <c r="C620"/>
      <c r="E620"/>
    </row>
    <row r="621" spans="2:5">
      <c r="B621"/>
      <c r="C621"/>
      <c r="E621"/>
    </row>
    <row r="622" spans="2:5">
      <c r="B622"/>
      <c r="C622"/>
      <c r="E622"/>
    </row>
    <row r="623" spans="2:5">
      <c r="B623"/>
      <c r="C623"/>
      <c r="E623"/>
    </row>
    <row r="624" spans="2:5">
      <c r="B624"/>
      <c r="C624"/>
      <c r="E624"/>
    </row>
    <row r="625" spans="2:5">
      <c r="B625"/>
      <c r="C625"/>
      <c r="E625"/>
    </row>
    <row r="626" spans="2:5">
      <c r="B626"/>
      <c r="C626"/>
      <c r="E626"/>
    </row>
    <row r="627" spans="2:5">
      <c r="B627"/>
      <c r="C627"/>
      <c r="E627"/>
    </row>
    <row r="628" spans="2:5">
      <c r="B628"/>
      <c r="C628"/>
      <c r="E628"/>
    </row>
    <row r="629" spans="2:5">
      <c r="B629"/>
      <c r="C629"/>
      <c r="E629"/>
    </row>
    <row r="630" spans="2:5">
      <c r="B630"/>
      <c r="C630"/>
      <c r="E630"/>
    </row>
    <row r="631" spans="2:5">
      <c r="B631"/>
      <c r="C631"/>
      <c r="E631"/>
    </row>
    <row r="632" spans="2:5">
      <c r="B632"/>
      <c r="C632"/>
      <c r="E632"/>
    </row>
    <row r="633" spans="2:5">
      <c r="B633"/>
      <c r="C633"/>
      <c r="E633"/>
    </row>
    <row r="634" spans="2:5">
      <c r="B634"/>
      <c r="C634"/>
      <c r="E634"/>
    </row>
    <row r="635" spans="2:5">
      <c r="B635"/>
      <c r="C635"/>
      <c r="E635"/>
    </row>
    <row r="636" spans="2:5">
      <c r="B636"/>
      <c r="C636"/>
      <c r="E636"/>
    </row>
    <row r="637" spans="2:5">
      <c r="B637"/>
      <c r="C637"/>
      <c r="E637"/>
    </row>
    <row r="638" spans="2:5">
      <c r="B638"/>
      <c r="C638"/>
      <c r="E638"/>
    </row>
    <row r="639" spans="2:5">
      <c r="B639"/>
      <c r="C639"/>
      <c r="E639"/>
    </row>
    <row r="640" spans="2:5">
      <c r="B640"/>
      <c r="C640"/>
      <c r="E640"/>
    </row>
    <row r="641" spans="2:5">
      <c r="B641"/>
      <c r="C641"/>
      <c r="E641"/>
    </row>
    <row r="642" spans="2:5">
      <c r="B642"/>
      <c r="C642"/>
      <c r="E642"/>
    </row>
    <row r="643" spans="2:5">
      <c r="B643"/>
      <c r="C643"/>
      <c r="E643"/>
    </row>
    <row r="644" spans="2:5">
      <c r="B644"/>
      <c r="C644"/>
      <c r="E644"/>
    </row>
    <row r="645" spans="2:5">
      <c r="B645"/>
      <c r="C645"/>
      <c r="E645"/>
    </row>
    <row r="646" spans="2:5">
      <c r="B646"/>
      <c r="C646"/>
      <c r="E646"/>
    </row>
    <row r="647" spans="2:5">
      <c r="B647"/>
      <c r="C647"/>
      <c r="E647"/>
    </row>
    <row r="648" spans="2:5">
      <c r="B648"/>
      <c r="C648"/>
      <c r="E648"/>
    </row>
    <row r="649" spans="2:5">
      <c r="B649"/>
      <c r="C649"/>
      <c r="E649"/>
    </row>
    <row r="650" spans="2:5">
      <c r="B650"/>
      <c r="C650"/>
      <c r="E650"/>
    </row>
    <row r="651" spans="2:5">
      <c r="B651"/>
      <c r="C651"/>
      <c r="E651"/>
    </row>
    <row r="652" spans="2:5">
      <c r="B652"/>
      <c r="C652"/>
      <c r="E652"/>
    </row>
    <row r="653" spans="2:5">
      <c r="B653"/>
      <c r="C653"/>
      <c r="E653"/>
    </row>
    <row r="654" spans="2:5">
      <c r="B654"/>
      <c r="C654"/>
      <c r="E654"/>
    </row>
    <row r="655" spans="2:5">
      <c r="B655"/>
      <c r="C655"/>
      <c r="E655"/>
    </row>
    <row r="656" spans="2:5">
      <c r="B656"/>
      <c r="C656"/>
      <c r="E656"/>
    </row>
    <row r="657" spans="2:5">
      <c r="B657"/>
      <c r="C657"/>
      <c r="E657"/>
    </row>
    <row r="658" spans="2:5">
      <c r="B658"/>
      <c r="C658"/>
      <c r="E658"/>
    </row>
    <row r="659" spans="2:5">
      <c r="B659"/>
      <c r="C659"/>
      <c r="E659"/>
    </row>
    <row r="660" spans="2:5">
      <c r="B660"/>
      <c r="C660"/>
      <c r="E660"/>
    </row>
    <row r="661" spans="2:5">
      <c r="B661"/>
      <c r="C661"/>
      <c r="E661"/>
    </row>
    <row r="662" spans="2:5">
      <c r="B662"/>
      <c r="C662"/>
      <c r="E662"/>
    </row>
    <row r="663" spans="2:5">
      <c r="B663"/>
      <c r="C663"/>
      <c r="E663"/>
    </row>
    <row r="664" spans="2:5">
      <c r="B664"/>
      <c r="C664"/>
      <c r="E664"/>
    </row>
    <row r="665" spans="2:5">
      <c r="B665"/>
      <c r="C665"/>
      <c r="E665"/>
    </row>
    <row r="666" spans="2:5">
      <c r="B666"/>
      <c r="C666"/>
      <c r="E666"/>
    </row>
    <row r="667" spans="2:5">
      <c r="B667"/>
      <c r="C667"/>
      <c r="E667"/>
    </row>
    <row r="668" spans="2:5">
      <c r="B668"/>
      <c r="C668"/>
      <c r="E668"/>
    </row>
    <row r="669" spans="2:5">
      <c r="B669"/>
      <c r="C669"/>
      <c r="E669"/>
    </row>
    <row r="670" spans="2:5">
      <c r="B670"/>
      <c r="C670"/>
      <c r="E670"/>
    </row>
    <row r="671" spans="2:5">
      <c r="B671"/>
      <c r="C671"/>
      <c r="E671"/>
    </row>
    <row r="672" spans="2:5">
      <c r="B672"/>
      <c r="C672"/>
      <c r="E672"/>
    </row>
    <row r="673" spans="2:5">
      <c r="B673"/>
      <c r="C673"/>
      <c r="E673"/>
    </row>
    <row r="674" spans="2:5">
      <c r="B674"/>
      <c r="C674"/>
      <c r="E674"/>
    </row>
    <row r="675" spans="2:5">
      <c r="B675"/>
      <c r="C675"/>
      <c r="E675"/>
    </row>
    <row r="676" spans="2:5">
      <c r="B676"/>
      <c r="C676"/>
      <c r="E676"/>
    </row>
    <row r="677" spans="2:5">
      <c r="B677"/>
      <c r="C677"/>
      <c r="E677"/>
    </row>
    <row r="678" spans="2:5">
      <c r="B678"/>
      <c r="C678"/>
      <c r="E678"/>
    </row>
    <row r="679" spans="2:5">
      <c r="B679"/>
      <c r="C679"/>
      <c r="E679"/>
    </row>
    <row r="680" spans="2:5">
      <c r="B680"/>
      <c r="C680"/>
      <c r="E680"/>
    </row>
    <row r="681" spans="2:5">
      <c r="B681"/>
      <c r="C681"/>
      <c r="E681"/>
    </row>
    <row r="682" spans="2:5">
      <c r="B682"/>
      <c r="C682"/>
      <c r="E682"/>
    </row>
    <row r="683" spans="2:5">
      <c r="B683"/>
      <c r="C683"/>
      <c r="E683"/>
    </row>
    <row r="684" spans="2:5">
      <c r="B684"/>
      <c r="C684"/>
      <c r="E684"/>
    </row>
    <row r="685" spans="2:5">
      <c r="B685"/>
      <c r="C685"/>
      <c r="E685"/>
    </row>
    <row r="686" spans="2:5">
      <c r="B686"/>
      <c r="C686"/>
      <c r="E686"/>
    </row>
    <row r="687" spans="2:5">
      <c r="B687"/>
      <c r="C687"/>
      <c r="E687"/>
    </row>
    <row r="688" spans="2:5">
      <c r="B688"/>
      <c r="C688"/>
      <c r="E688"/>
    </row>
    <row r="689" spans="2:5">
      <c r="B689"/>
      <c r="C689"/>
      <c r="E689"/>
    </row>
    <row r="690" spans="2:5">
      <c r="B690"/>
      <c r="C690"/>
      <c r="E690"/>
    </row>
    <row r="691" spans="2:5">
      <c r="B691"/>
      <c r="C691"/>
      <c r="E691"/>
    </row>
    <row r="692" spans="2:5">
      <c r="B692"/>
      <c r="C692"/>
      <c r="E692"/>
    </row>
    <row r="693" spans="2:5">
      <c r="B693"/>
      <c r="C693"/>
      <c r="E693"/>
    </row>
    <row r="694" spans="2:5">
      <c r="B694"/>
      <c r="C694"/>
      <c r="E694"/>
    </row>
    <row r="695" spans="2:5">
      <c r="B695"/>
      <c r="C695"/>
      <c r="E695"/>
    </row>
    <row r="696" spans="2:5">
      <c r="B696"/>
      <c r="C696"/>
      <c r="E696"/>
    </row>
    <row r="697" spans="2:5">
      <c r="B697"/>
      <c r="C697"/>
      <c r="E697"/>
    </row>
    <row r="698" spans="2:5">
      <c r="B698"/>
      <c r="C698"/>
      <c r="E698"/>
    </row>
    <row r="699" spans="2:5">
      <c r="B699"/>
      <c r="C699"/>
      <c r="E699"/>
    </row>
    <row r="700" spans="2:5">
      <c r="B700"/>
      <c r="C700"/>
      <c r="E700"/>
    </row>
    <row r="701" spans="2:5">
      <c r="B701"/>
      <c r="C701"/>
      <c r="E701"/>
    </row>
    <row r="702" spans="2:5">
      <c r="B702"/>
      <c r="C702"/>
      <c r="E702"/>
    </row>
    <row r="703" spans="2:5">
      <c r="B703"/>
      <c r="C703"/>
      <c r="E703"/>
    </row>
    <row r="704" spans="2:5">
      <c r="B704"/>
      <c r="C704"/>
      <c r="E704"/>
    </row>
    <row r="705" spans="2:5">
      <c r="B705"/>
      <c r="C705"/>
      <c r="E705"/>
    </row>
    <row r="706" spans="2:5">
      <c r="B706"/>
      <c r="C706"/>
      <c r="E706"/>
    </row>
    <row r="707" spans="2:5">
      <c r="B707"/>
      <c r="C707"/>
      <c r="E707"/>
    </row>
    <row r="708" spans="2:5">
      <c r="B708"/>
      <c r="C708"/>
      <c r="E708"/>
    </row>
    <row r="709" spans="2:5">
      <c r="B709"/>
      <c r="C709"/>
      <c r="E709"/>
    </row>
    <row r="710" spans="2:5">
      <c r="B710"/>
      <c r="C710"/>
      <c r="E710"/>
    </row>
    <row r="711" spans="2:5">
      <c r="B711"/>
      <c r="C711"/>
      <c r="E711"/>
    </row>
    <row r="712" spans="2:5">
      <c r="B712"/>
      <c r="C712"/>
      <c r="E712"/>
    </row>
    <row r="713" spans="2:5">
      <c r="B713"/>
      <c r="C713"/>
      <c r="E713"/>
    </row>
    <row r="714" spans="2:5">
      <c r="B714"/>
      <c r="C714"/>
      <c r="E714"/>
    </row>
    <row r="715" spans="2:5">
      <c r="B715"/>
      <c r="C715"/>
      <c r="E715"/>
    </row>
    <row r="716" spans="2:5">
      <c r="B716"/>
      <c r="C716"/>
      <c r="E716"/>
    </row>
    <row r="717" spans="2:5">
      <c r="B717"/>
      <c r="C717"/>
      <c r="E717"/>
    </row>
    <row r="718" spans="2:5">
      <c r="B718"/>
      <c r="C718"/>
      <c r="E718"/>
    </row>
    <row r="719" spans="2:5">
      <c r="B719"/>
      <c r="C719"/>
      <c r="E719"/>
    </row>
    <row r="720" spans="2:5">
      <c r="B720"/>
      <c r="C720"/>
      <c r="E720"/>
    </row>
    <row r="721" spans="2:5">
      <c r="B721"/>
      <c r="C721"/>
      <c r="E721"/>
    </row>
    <row r="722" spans="2:5">
      <c r="B722"/>
      <c r="C722"/>
      <c r="E722"/>
    </row>
    <row r="723" spans="2:5">
      <c r="B723"/>
      <c r="C723"/>
      <c r="E723"/>
    </row>
    <row r="724" spans="2:5">
      <c r="B724"/>
      <c r="C724"/>
      <c r="E724"/>
    </row>
    <row r="725" spans="2:5">
      <c r="B725"/>
      <c r="C725"/>
      <c r="E725"/>
    </row>
    <row r="726" spans="2:5">
      <c r="B726"/>
      <c r="C726"/>
      <c r="E726"/>
    </row>
    <row r="727" spans="2:5">
      <c r="B727"/>
      <c r="C727"/>
      <c r="E727"/>
    </row>
    <row r="728" spans="2:5">
      <c r="B728"/>
      <c r="C728"/>
      <c r="E728"/>
    </row>
    <row r="729" spans="2:5">
      <c r="B729"/>
      <c r="C729"/>
      <c r="E729"/>
    </row>
    <row r="730" spans="2:5">
      <c r="B730"/>
      <c r="C730"/>
      <c r="E730"/>
    </row>
    <row r="731" spans="2:5">
      <c r="B731"/>
      <c r="C731"/>
      <c r="E731"/>
    </row>
    <row r="732" spans="2:5">
      <c r="B732"/>
      <c r="C732"/>
      <c r="E732"/>
    </row>
    <row r="733" spans="2:5">
      <c r="B733"/>
      <c r="C733"/>
      <c r="E733"/>
    </row>
    <row r="734" spans="2:5">
      <c r="B734"/>
      <c r="C734"/>
      <c r="E734"/>
    </row>
    <row r="735" spans="2:5">
      <c r="B735"/>
      <c r="C735"/>
      <c r="E735"/>
    </row>
    <row r="736" spans="2:5">
      <c r="B736"/>
      <c r="C736"/>
      <c r="E736"/>
    </row>
    <row r="737" spans="2:5">
      <c r="B737"/>
      <c r="C737"/>
      <c r="E737"/>
    </row>
    <row r="738" spans="2:5">
      <c r="B738"/>
      <c r="C738"/>
      <c r="E738"/>
    </row>
    <row r="739" spans="2:5">
      <c r="B739"/>
      <c r="C739"/>
      <c r="E739"/>
    </row>
    <row r="740" spans="2:5">
      <c r="B740"/>
      <c r="C740"/>
      <c r="E740"/>
    </row>
    <row r="741" spans="2:5">
      <c r="B741"/>
      <c r="C741"/>
      <c r="E741"/>
    </row>
    <row r="742" spans="2:5">
      <c r="B742"/>
      <c r="C742"/>
      <c r="E742"/>
    </row>
    <row r="743" spans="2:5">
      <c r="B743"/>
      <c r="C743"/>
      <c r="E743"/>
    </row>
    <row r="744" spans="2:5">
      <c r="B744"/>
      <c r="C744"/>
      <c r="E744"/>
    </row>
    <row r="745" spans="2:5">
      <c r="B745"/>
      <c r="C745"/>
      <c r="E745"/>
    </row>
    <row r="746" spans="2:5">
      <c r="B746"/>
      <c r="C746"/>
      <c r="E746"/>
    </row>
    <row r="747" spans="2:5">
      <c r="B747"/>
      <c r="C747"/>
      <c r="E747"/>
    </row>
    <row r="748" spans="2:5">
      <c r="B748"/>
      <c r="C748"/>
      <c r="E748"/>
    </row>
    <row r="749" spans="2:5">
      <c r="B749"/>
      <c r="C749"/>
      <c r="E749"/>
    </row>
    <row r="750" spans="2:5">
      <c r="B750"/>
      <c r="C750"/>
      <c r="E750"/>
    </row>
    <row r="751" spans="2:5">
      <c r="B751"/>
      <c r="C751"/>
      <c r="E751"/>
    </row>
    <row r="752" spans="2:5">
      <c r="B752"/>
      <c r="C752"/>
      <c r="E752"/>
    </row>
    <row r="753" spans="2:5">
      <c r="B753"/>
      <c r="C753"/>
      <c r="E753"/>
    </row>
    <row r="754" spans="2:5">
      <c r="B754"/>
      <c r="C754"/>
      <c r="E754"/>
    </row>
    <row r="755" spans="2:5">
      <c r="B755"/>
      <c r="C755"/>
      <c r="E755"/>
    </row>
    <row r="756" spans="2:5">
      <c r="B756"/>
      <c r="C756"/>
      <c r="E756"/>
    </row>
    <row r="757" spans="2:5">
      <c r="B757"/>
      <c r="C757"/>
      <c r="E757"/>
    </row>
    <row r="758" spans="2:5">
      <c r="B758"/>
      <c r="C758"/>
      <c r="E758"/>
    </row>
    <row r="759" spans="2:5">
      <c r="B759"/>
      <c r="C759"/>
      <c r="E759"/>
    </row>
    <row r="760" spans="2:5">
      <c r="B760"/>
      <c r="C760"/>
      <c r="E760"/>
    </row>
    <row r="761" spans="2:5">
      <c r="B761"/>
      <c r="C761"/>
      <c r="E761"/>
    </row>
    <row r="762" spans="2:5">
      <c r="B762"/>
      <c r="C762"/>
      <c r="E762"/>
    </row>
    <row r="763" spans="2:5">
      <c r="B763"/>
      <c r="C763"/>
      <c r="E763"/>
    </row>
    <row r="764" spans="2:5">
      <c r="B764"/>
      <c r="C764"/>
      <c r="E764"/>
    </row>
    <row r="765" spans="2:5">
      <c r="B765"/>
      <c r="C765"/>
      <c r="E765"/>
    </row>
    <row r="766" spans="2:5">
      <c r="B766"/>
      <c r="C766"/>
      <c r="E766"/>
    </row>
    <row r="767" spans="2:5">
      <c r="B767"/>
      <c r="C767"/>
      <c r="E767"/>
    </row>
    <row r="768" spans="2:5">
      <c r="B768"/>
      <c r="C768"/>
      <c r="E768"/>
    </row>
    <row r="769" spans="2:5">
      <c r="B769"/>
      <c r="C769"/>
      <c r="E769"/>
    </row>
    <row r="770" spans="2:5">
      <c r="B770"/>
      <c r="C770"/>
      <c r="E770"/>
    </row>
    <row r="771" spans="2:5">
      <c r="B771"/>
      <c r="C771"/>
      <c r="E771"/>
    </row>
    <row r="772" spans="2:5">
      <c r="B772"/>
      <c r="C772"/>
      <c r="E772"/>
    </row>
    <row r="773" spans="2:5">
      <c r="B773"/>
      <c r="C773"/>
      <c r="E773"/>
    </row>
    <row r="774" spans="2:5">
      <c r="B774"/>
      <c r="C774"/>
      <c r="E774"/>
    </row>
    <row r="775" spans="2:5">
      <c r="B775"/>
      <c r="C775"/>
      <c r="E775"/>
    </row>
    <row r="776" spans="2:5">
      <c r="B776"/>
      <c r="C776"/>
      <c r="E776"/>
    </row>
    <row r="777" spans="2:5">
      <c r="B777"/>
      <c r="C777"/>
      <c r="E777"/>
    </row>
    <row r="778" spans="2:5">
      <c r="B778"/>
      <c r="C778"/>
      <c r="E778"/>
    </row>
    <row r="779" spans="2:5">
      <c r="B779"/>
      <c r="C779"/>
      <c r="E779"/>
    </row>
    <row r="780" spans="2:5">
      <c r="B780"/>
      <c r="C780"/>
      <c r="E780"/>
    </row>
    <row r="781" spans="2:5">
      <c r="B781"/>
      <c r="C781"/>
      <c r="E781"/>
    </row>
    <row r="782" spans="2:5">
      <c r="B782"/>
      <c r="C782"/>
      <c r="E782"/>
    </row>
    <row r="783" spans="2:5">
      <c r="B783"/>
      <c r="C783"/>
      <c r="E783"/>
    </row>
    <row r="784" spans="2:5">
      <c r="B784"/>
      <c r="C784"/>
      <c r="E784"/>
    </row>
    <row r="785" spans="2:5">
      <c r="B785"/>
      <c r="C785"/>
      <c r="E785"/>
    </row>
    <row r="786" spans="2:5">
      <c r="B786"/>
      <c r="C786"/>
      <c r="E786"/>
    </row>
    <row r="787" spans="2:5">
      <c r="B787"/>
      <c r="C787"/>
      <c r="E787"/>
    </row>
    <row r="788" spans="2:5">
      <c r="B788"/>
      <c r="C788"/>
      <c r="E788"/>
    </row>
    <row r="789" spans="2:5">
      <c r="B789"/>
      <c r="C789"/>
      <c r="E789"/>
    </row>
    <row r="790" spans="2:5">
      <c r="B790"/>
      <c r="C790"/>
      <c r="E790"/>
    </row>
    <row r="791" spans="2:5">
      <c r="B791"/>
      <c r="C791"/>
      <c r="E791"/>
    </row>
    <row r="792" spans="2:5">
      <c r="B792"/>
      <c r="C792"/>
      <c r="E792"/>
    </row>
    <row r="793" spans="2:5">
      <c r="B793"/>
      <c r="C793"/>
      <c r="E793"/>
    </row>
    <row r="794" spans="2:5">
      <c r="B794"/>
      <c r="C794"/>
      <c r="E794"/>
    </row>
    <row r="795" spans="2:5">
      <c r="B795"/>
      <c r="C795"/>
      <c r="E795"/>
    </row>
    <row r="796" spans="2:5">
      <c r="B796"/>
      <c r="C796"/>
      <c r="E796"/>
    </row>
    <row r="797" spans="2:5">
      <c r="B797"/>
      <c r="C797"/>
      <c r="E797"/>
    </row>
    <row r="798" spans="2:5">
      <c r="B798"/>
      <c r="C798"/>
      <c r="E798"/>
    </row>
    <row r="799" spans="2:5">
      <c r="B799"/>
      <c r="C799"/>
      <c r="E799"/>
    </row>
    <row r="800" spans="2:5">
      <c r="B800"/>
      <c r="C800"/>
      <c r="E800"/>
    </row>
    <row r="801" spans="2:5">
      <c r="B801"/>
      <c r="C801"/>
      <c r="E801"/>
    </row>
    <row r="802" spans="2:5">
      <c r="B802"/>
      <c r="C802"/>
      <c r="E802"/>
    </row>
    <row r="803" spans="2:5">
      <c r="B803"/>
      <c r="C803"/>
      <c r="E803"/>
    </row>
    <row r="804" spans="2:5">
      <c r="B804"/>
      <c r="C804"/>
      <c r="E804"/>
    </row>
    <row r="805" spans="2:5">
      <c r="B805"/>
      <c r="C805"/>
      <c r="E805"/>
    </row>
    <row r="806" spans="2:5">
      <c r="B806"/>
      <c r="C806"/>
      <c r="E806"/>
    </row>
    <row r="807" spans="2:5">
      <c r="B807"/>
      <c r="C807"/>
      <c r="E807"/>
    </row>
    <row r="808" spans="2:5">
      <c r="B808"/>
      <c r="C808"/>
      <c r="E808"/>
    </row>
    <row r="809" spans="2:5">
      <c r="B809"/>
      <c r="C809"/>
      <c r="E809"/>
    </row>
    <row r="810" spans="2:5">
      <c r="B810"/>
      <c r="C810"/>
      <c r="E810"/>
    </row>
    <row r="811" spans="2:5">
      <c r="B811"/>
      <c r="C811"/>
      <c r="E811"/>
    </row>
    <row r="812" spans="2:5">
      <c r="B812"/>
      <c r="C812"/>
      <c r="E812"/>
    </row>
    <row r="813" spans="2:5">
      <c r="B813"/>
      <c r="C813"/>
      <c r="E813"/>
    </row>
    <row r="814" spans="2:5">
      <c r="B814"/>
      <c r="C814"/>
      <c r="E814"/>
    </row>
    <row r="815" spans="2:5">
      <c r="B815"/>
      <c r="C815"/>
      <c r="E815"/>
    </row>
    <row r="816" spans="2:5">
      <c r="B816"/>
      <c r="C816"/>
      <c r="E816"/>
    </row>
    <row r="817" spans="2:5">
      <c r="B817"/>
      <c r="C817"/>
      <c r="E817"/>
    </row>
    <row r="818" spans="2:5">
      <c r="B818"/>
      <c r="C818"/>
      <c r="E818"/>
    </row>
    <row r="819" spans="2:5">
      <c r="B819"/>
      <c r="C819"/>
      <c r="E819"/>
    </row>
    <row r="820" spans="2:5">
      <c r="B820"/>
      <c r="C820"/>
      <c r="E820"/>
    </row>
    <row r="821" spans="2:5">
      <c r="B821"/>
      <c r="C821"/>
      <c r="E821"/>
    </row>
    <row r="822" spans="2:5">
      <c r="B822"/>
      <c r="C822"/>
      <c r="E822"/>
    </row>
    <row r="823" spans="2:5">
      <c r="B823"/>
      <c r="C823"/>
      <c r="E823"/>
    </row>
    <row r="824" spans="2:5">
      <c r="B824"/>
      <c r="C824"/>
      <c r="E824"/>
    </row>
    <row r="825" spans="2:5">
      <c r="B825"/>
      <c r="C825"/>
      <c r="E825"/>
    </row>
    <row r="826" spans="2:5">
      <c r="B826"/>
      <c r="C826"/>
      <c r="E826"/>
    </row>
    <row r="827" spans="2:5">
      <c r="B827"/>
      <c r="C827"/>
      <c r="E827"/>
    </row>
    <row r="828" spans="2:5">
      <c r="B828"/>
      <c r="C828"/>
      <c r="E828"/>
    </row>
    <row r="829" spans="2:5">
      <c r="B829"/>
      <c r="C829"/>
      <c r="E829"/>
    </row>
    <row r="830" spans="2:5">
      <c r="B830"/>
      <c r="C830"/>
      <c r="E830"/>
    </row>
    <row r="831" spans="2:5">
      <c r="B831"/>
      <c r="C831"/>
      <c r="E831"/>
    </row>
    <row r="832" spans="2:5">
      <c r="B832"/>
      <c r="C832"/>
      <c r="E832"/>
    </row>
    <row r="833" spans="2:5">
      <c r="B833"/>
      <c r="C833"/>
      <c r="E833"/>
    </row>
    <row r="834" spans="2:5">
      <c r="B834"/>
      <c r="C834"/>
      <c r="E834"/>
    </row>
    <row r="835" spans="2:5">
      <c r="B835"/>
      <c r="C835"/>
      <c r="E835"/>
    </row>
    <row r="836" spans="2:5">
      <c r="B836"/>
      <c r="C836"/>
      <c r="E836"/>
    </row>
    <row r="837" spans="2:5">
      <c r="B837"/>
      <c r="C837"/>
      <c r="E837"/>
    </row>
    <row r="838" spans="2:5">
      <c r="B838"/>
      <c r="C838"/>
      <c r="E838"/>
    </row>
    <row r="839" spans="2:5">
      <c r="B839"/>
      <c r="C839"/>
      <c r="E839"/>
    </row>
    <row r="840" spans="2:5">
      <c r="B840"/>
      <c r="C840"/>
      <c r="E840"/>
    </row>
    <row r="841" spans="2:5">
      <c r="B841"/>
      <c r="C841"/>
      <c r="E841"/>
    </row>
    <row r="842" spans="2:5">
      <c r="B842"/>
      <c r="C842"/>
      <c r="E842"/>
    </row>
    <row r="843" spans="2:5">
      <c r="B843"/>
      <c r="C843"/>
      <c r="E843"/>
    </row>
    <row r="844" spans="2:5">
      <c r="B844"/>
      <c r="C844"/>
      <c r="E844"/>
    </row>
    <row r="845" spans="2:5">
      <c r="B845"/>
      <c r="C845"/>
      <c r="E845"/>
    </row>
    <row r="846" spans="2:5">
      <c r="B846"/>
      <c r="C846"/>
      <c r="E846"/>
    </row>
    <row r="847" spans="2:5">
      <c r="B847"/>
      <c r="C847"/>
      <c r="E847"/>
    </row>
    <row r="848" spans="2:5">
      <c r="B848"/>
      <c r="C848"/>
      <c r="E848"/>
    </row>
    <row r="849" spans="2:5">
      <c r="B849"/>
      <c r="C849"/>
      <c r="E849"/>
    </row>
    <row r="850" spans="2:5">
      <c r="B850"/>
      <c r="C850"/>
      <c r="E850"/>
    </row>
    <row r="851" spans="2:5">
      <c r="B851"/>
      <c r="C851"/>
      <c r="E851"/>
    </row>
    <row r="852" spans="2:5">
      <c r="B852"/>
      <c r="C852"/>
      <c r="E852"/>
    </row>
    <row r="853" spans="2:5">
      <c r="B853"/>
      <c r="C853"/>
      <c r="E853"/>
    </row>
    <row r="854" spans="2:5">
      <c r="B854"/>
      <c r="C854"/>
      <c r="E854"/>
    </row>
    <row r="855" spans="2:5">
      <c r="B855"/>
      <c r="C855"/>
      <c r="E855"/>
    </row>
    <row r="856" spans="2:5">
      <c r="B856"/>
      <c r="C856"/>
      <c r="E856"/>
    </row>
    <row r="857" spans="2:5">
      <c r="B857"/>
      <c r="C857"/>
      <c r="E857"/>
    </row>
    <row r="858" spans="2:5">
      <c r="B858"/>
      <c r="C858"/>
      <c r="E858"/>
    </row>
    <row r="859" spans="2:5">
      <c r="B859"/>
      <c r="C859"/>
      <c r="E859"/>
    </row>
    <row r="860" spans="2:5">
      <c r="B860"/>
      <c r="C860"/>
      <c r="E860"/>
    </row>
    <row r="861" spans="2:5">
      <c r="B861"/>
      <c r="C861"/>
      <c r="E861"/>
    </row>
    <row r="862" spans="2:5">
      <c r="B862"/>
      <c r="C862"/>
      <c r="E862"/>
    </row>
    <row r="863" spans="2:5">
      <c r="B863"/>
      <c r="C863"/>
      <c r="E863"/>
    </row>
    <row r="864" spans="2:5">
      <c r="B864"/>
      <c r="C864"/>
      <c r="E864"/>
    </row>
    <row r="865" spans="2:5">
      <c r="B865"/>
      <c r="C865"/>
      <c r="E865"/>
    </row>
    <row r="866" spans="2:5">
      <c r="B866"/>
      <c r="C866"/>
      <c r="E866"/>
    </row>
    <row r="867" spans="2:5">
      <c r="B867"/>
      <c r="C867"/>
      <c r="E867"/>
    </row>
    <row r="868" spans="2:5">
      <c r="B868"/>
      <c r="C868"/>
      <c r="E868"/>
    </row>
    <row r="869" spans="2:5">
      <c r="B869"/>
      <c r="C869"/>
      <c r="E869"/>
    </row>
    <row r="870" spans="2:5">
      <c r="B870"/>
      <c r="C870"/>
      <c r="E870"/>
    </row>
    <row r="871" spans="2:5">
      <c r="B871"/>
      <c r="C871"/>
      <c r="E871"/>
    </row>
    <row r="872" spans="2:5">
      <c r="B872"/>
      <c r="C872"/>
      <c r="E872"/>
    </row>
    <row r="873" spans="2:5">
      <c r="B873"/>
      <c r="C873"/>
      <c r="E873"/>
    </row>
    <row r="874" spans="2:5">
      <c r="B874"/>
      <c r="C874"/>
      <c r="E874"/>
    </row>
    <row r="875" spans="2:5">
      <c r="B875"/>
      <c r="C875"/>
      <c r="E875"/>
    </row>
    <row r="876" spans="2:5">
      <c r="B876"/>
      <c r="C876"/>
      <c r="E876"/>
    </row>
    <row r="877" spans="2:5">
      <c r="B877"/>
      <c r="C877"/>
      <c r="E877"/>
    </row>
    <row r="878" spans="2:5">
      <c r="B878"/>
      <c r="C878"/>
      <c r="E878"/>
    </row>
    <row r="879" spans="2:5">
      <c r="B879"/>
      <c r="C879"/>
      <c r="E879"/>
    </row>
    <row r="880" spans="2:5">
      <c r="B880"/>
      <c r="C880"/>
      <c r="E880"/>
    </row>
    <row r="881" spans="2:5">
      <c r="B881"/>
      <c r="C881"/>
      <c r="E881"/>
    </row>
    <row r="882" spans="2:5">
      <c r="B882"/>
      <c r="C882"/>
      <c r="E882"/>
    </row>
    <row r="883" spans="2:5">
      <c r="B883"/>
      <c r="C883"/>
      <c r="E883"/>
    </row>
    <row r="884" spans="2:5">
      <c r="B884"/>
      <c r="C884"/>
      <c r="E884"/>
    </row>
    <row r="885" spans="2:5">
      <c r="B885"/>
      <c r="C885"/>
      <c r="E885"/>
    </row>
    <row r="886" spans="2:5">
      <c r="B886"/>
      <c r="C886"/>
      <c r="E886"/>
    </row>
    <row r="887" spans="2:5">
      <c r="B887"/>
      <c r="C887"/>
      <c r="E887"/>
    </row>
    <row r="888" spans="2:5">
      <c r="B888"/>
      <c r="C888"/>
      <c r="E888"/>
    </row>
    <row r="889" spans="2:5">
      <c r="B889"/>
      <c r="C889"/>
      <c r="E889"/>
    </row>
    <row r="890" spans="2:5">
      <c r="B890"/>
      <c r="C890"/>
      <c r="E890"/>
    </row>
    <row r="891" spans="2:5">
      <c r="B891"/>
      <c r="C891"/>
      <c r="E891"/>
    </row>
    <row r="892" spans="2:5">
      <c r="B892"/>
      <c r="C892"/>
      <c r="E892"/>
    </row>
    <row r="893" spans="2:5">
      <c r="B893"/>
      <c r="C893"/>
      <c r="E893"/>
    </row>
    <row r="894" spans="2:5">
      <c r="B894"/>
      <c r="C894"/>
      <c r="E894"/>
    </row>
    <row r="895" spans="2:5">
      <c r="B895"/>
      <c r="C895"/>
      <c r="E895"/>
    </row>
    <row r="896" spans="2:5">
      <c r="B896"/>
      <c r="C896"/>
      <c r="E896"/>
    </row>
    <row r="897" spans="2:5">
      <c r="B897"/>
      <c r="C897"/>
      <c r="E897"/>
    </row>
    <row r="898" spans="2:5">
      <c r="B898"/>
      <c r="C898"/>
      <c r="E898"/>
    </row>
    <row r="899" spans="2:5">
      <c r="B899"/>
      <c r="C899"/>
      <c r="E899"/>
    </row>
    <row r="900" spans="2:5">
      <c r="B900"/>
      <c r="C900"/>
      <c r="E900"/>
    </row>
    <row r="901" spans="2:5">
      <c r="B901"/>
      <c r="C901"/>
      <c r="E901"/>
    </row>
    <row r="902" spans="2:5">
      <c r="B902"/>
      <c r="C902"/>
      <c r="E902"/>
    </row>
    <row r="903" spans="2:5">
      <c r="B903"/>
      <c r="C903"/>
      <c r="E903"/>
    </row>
    <row r="904" spans="2:5">
      <c r="B904"/>
      <c r="C904"/>
      <c r="E904"/>
    </row>
    <row r="905" spans="2:5">
      <c r="B905"/>
      <c r="C905"/>
      <c r="E905"/>
    </row>
    <row r="906" spans="2:5">
      <c r="B906"/>
      <c r="C906"/>
      <c r="E906"/>
    </row>
    <row r="907" spans="2:5">
      <c r="B907"/>
      <c r="C907"/>
      <c r="E907"/>
    </row>
    <row r="908" spans="2:5">
      <c r="B908"/>
      <c r="C908"/>
      <c r="E908"/>
    </row>
    <row r="909" spans="2:5">
      <c r="B909"/>
      <c r="C909"/>
      <c r="E909"/>
    </row>
    <row r="910" spans="2:5">
      <c r="B910"/>
      <c r="C910"/>
      <c r="E910"/>
    </row>
    <row r="911" spans="2:5">
      <c r="B911"/>
      <c r="C911"/>
      <c r="E911"/>
    </row>
    <row r="912" spans="2:5">
      <c r="B912"/>
      <c r="C912"/>
      <c r="E912"/>
    </row>
    <row r="913" spans="2:5">
      <c r="B913"/>
      <c r="C913"/>
      <c r="E913"/>
    </row>
    <row r="914" spans="2:5">
      <c r="B914"/>
      <c r="C914"/>
      <c r="E914"/>
    </row>
    <row r="915" spans="2:5">
      <c r="B915"/>
      <c r="C915"/>
      <c r="E915"/>
    </row>
    <row r="916" spans="2:5">
      <c r="B916"/>
      <c r="C916"/>
      <c r="E916"/>
    </row>
    <row r="917" spans="2:5">
      <c r="B917"/>
      <c r="C917"/>
      <c r="E917"/>
    </row>
    <row r="918" spans="2:5">
      <c r="B918"/>
      <c r="C918"/>
      <c r="E918"/>
    </row>
    <row r="919" spans="2:5">
      <c r="B919"/>
      <c r="C919"/>
      <c r="E919"/>
    </row>
    <row r="920" spans="2:5">
      <c r="B920"/>
      <c r="C920"/>
      <c r="E920"/>
    </row>
    <row r="921" spans="2:5">
      <c r="B921"/>
      <c r="C921"/>
      <c r="E921"/>
    </row>
    <row r="922" spans="2:5">
      <c r="B922"/>
      <c r="C922"/>
      <c r="E922"/>
    </row>
    <row r="923" spans="2:5">
      <c r="B923"/>
      <c r="C923"/>
      <c r="E923"/>
    </row>
    <row r="924" spans="2:5">
      <c r="B924"/>
      <c r="C924"/>
      <c r="E924"/>
    </row>
    <row r="925" spans="2:5">
      <c r="B925"/>
      <c r="C925"/>
      <c r="E925"/>
    </row>
    <row r="926" spans="2:5">
      <c r="B926"/>
      <c r="C926"/>
      <c r="E926"/>
    </row>
    <row r="927" spans="2:5">
      <c r="B927"/>
      <c r="C927"/>
      <c r="E927"/>
    </row>
    <row r="928" spans="2:5">
      <c r="B928"/>
      <c r="C928"/>
      <c r="E928"/>
    </row>
    <row r="929" spans="2:5">
      <c r="B929"/>
      <c r="C929"/>
      <c r="E929"/>
    </row>
    <row r="930" spans="2:5">
      <c r="B930"/>
      <c r="C930"/>
      <c r="E930"/>
    </row>
    <row r="931" spans="2:5">
      <c r="B931"/>
      <c r="C931"/>
      <c r="E931"/>
    </row>
    <row r="932" spans="2:5">
      <c r="B932"/>
      <c r="C932"/>
      <c r="E932"/>
    </row>
    <row r="933" spans="2:5">
      <c r="B933"/>
      <c r="C933"/>
      <c r="E933"/>
    </row>
    <row r="934" spans="2:5">
      <c r="B934"/>
      <c r="C934"/>
      <c r="E934"/>
    </row>
    <row r="935" spans="2:5">
      <c r="B935"/>
      <c r="C935"/>
      <c r="E935"/>
    </row>
    <row r="936" spans="2:5">
      <c r="B936"/>
      <c r="C936"/>
      <c r="E936"/>
    </row>
    <row r="937" spans="2:5">
      <c r="B937"/>
      <c r="C937"/>
      <c r="E937"/>
    </row>
    <row r="938" spans="2:5">
      <c r="B938"/>
      <c r="C938"/>
      <c r="E938"/>
    </row>
    <row r="939" spans="2:5">
      <c r="B939"/>
      <c r="C939"/>
      <c r="E939"/>
    </row>
    <row r="940" spans="2:5">
      <c r="B940"/>
      <c r="C940"/>
      <c r="E940"/>
    </row>
    <row r="941" spans="2:5">
      <c r="B941"/>
      <c r="C941"/>
      <c r="E941"/>
    </row>
    <row r="942" spans="2:5">
      <c r="B942"/>
      <c r="C942"/>
      <c r="E942"/>
    </row>
    <row r="943" spans="2:5">
      <c r="B943"/>
      <c r="C943"/>
      <c r="E943"/>
    </row>
    <row r="944" spans="2:5">
      <c r="B944"/>
      <c r="C944"/>
      <c r="E944"/>
    </row>
    <row r="945" spans="2:5">
      <c r="B945"/>
      <c r="C945"/>
      <c r="E945"/>
    </row>
    <row r="946" spans="2:5">
      <c r="B946"/>
      <c r="C946"/>
      <c r="E946"/>
    </row>
    <row r="947" spans="2:5">
      <c r="B947"/>
      <c r="C947"/>
      <c r="E947"/>
    </row>
    <row r="948" spans="2:5">
      <c r="B948"/>
      <c r="C948"/>
      <c r="E948"/>
    </row>
    <row r="949" spans="2:5">
      <c r="B949"/>
      <c r="C949"/>
      <c r="E949"/>
    </row>
    <row r="950" spans="2:5">
      <c r="B950"/>
      <c r="C950"/>
      <c r="E950"/>
    </row>
    <row r="951" spans="2:5">
      <c r="B951"/>
      <c r="C951"/>
      <c r="E951"/>
    </row>
    <row r="952" spans="2:5">
      <c r="B952"/>
      <c r="C952"/>
      <c r="E952"/>
    </row>
    <row r="953" spans="2:5">
      <c r="B953"/>
      <c r="C953"/>
      <c r="E953"/>
    </row>
    <row r="954" spans="2:5">
      <c r="B954"/>
      <c r="C954"/>
      <c r="E954"/>
    </row>
    <row r="955" spans="2:5">
      <c r="B955"/>
      <c r="C955"/>
      <c r="E955"/>
    </row>
    <row r="956" spans="2:5">
      <c r="B956"/>
      <c r="C956"/>
      <c r="E956"/>
    </row>
    <row r="957" spans="2:5">
      <c r="B957"/>
      <c r="C957"/>
      <c r="E957"/>
    </row>
    <row r="958" spans="2:5">
      <c r="B958"/>
      <c r="C958"/>
      <c r="E958"/>
    </row>
    <row r="959" spans="2:5">
      <c r="B959"/>
      <c r="C959"/>
      <c r="E959"/>
    </row>
    <row r="960" spans="2:5">
      <c r="B960"/>
      <c r="C960"/>
      <c r="E960"/>
    </row>
    <row r="961" spans="2:5">
      <c r="B961"/>
      <c r="C961"/>
      <c r="E961"/>
    </row>
    <row r="962" spans="2:5">
      <c r="B962"/>
      <c r="C962"/>
      <c r="E962"/>
    </row>
    <row r="963" spans="2:5">
      <c r="B963"/>
      <c r="C963"/>
      <c r="E963"/>
    </row>
    <row r="964" spans="2:5">
      <c r="B964"/>
      <c r="C964"/>
      <c r="E964"/>
    </row>
    <row r="965" spans="2:5">
      <c r="B965"/>
      <c r="C965"/>
      <c r="E965"/>
    </row>
    <row r="966" spans="2:5">
      <c r="B966"/>
      <c r="C966"/>
      <c r="E966"/>
    </row>
    <row r="967" spans="2:5">
      <c r="B967"/>
      <c r="C967"/>
      <c r="E967"/>
    </row>
    <row r="968" spans="2:5">
      <c r="B968"/>
      <c r="C968"/>
      <c r="E968"/>
    </row>
    <row r="969" spans="2:5">
      <c r="B969"/>
      <c r="C969"/>
      <c r="E969"/>
    </row>
    <row r="970" spans="2:5">
      <c r="B970"/>
      <c r="C970"/>
      <c r="E970"/>
    </row>
    <row r="971" spans="2:5">
      <c r="B971"/>
      <c r="C971"/>
      <c r="E971"/>
    </row>
    <row r="972" spans="2:5">
      <c r="B972"/>
      <c r="C972"/>
      <c r="E972"/>
    </row>
    <row r="973" spans="2:5">
      <c r="B973"/>
      <c r="C973"/>
      <c r="E973"/>
    </row>
    <row r="974" spans="2:5">
      <c r="B974"/>
      <c r="C974"/>
      <c r="E974"/>
    </row>
    <row r="975" spans="2:5">
      <c r="B975"/>
      <c r="C975"/>
      <c r="E975"/>
    </row>
    <row r="976" spans="2:5">
      <c r="B976"/>
      <c r="C976"/>
      <c r="E976"/>
    </row>
    <row r="977" spans="2:5">
      <c r="B977"/>
      <c r="C977"/>
      <c r="E977"/>
    </row>
    <row r="978" spans="2:5">
      <c r="B978"/>
      <c r="C978"/>
      <c r="E978"/>
    </row>
    <row r="979" spans="2:5">
      <c r="B979"/>
      <c r="C979"/>
      <c r="E979"/>
    </row>
    <row r="980" spans="2:5">
      <c r="B980"/>
      <c r="C980"/>
      <c r="E980"/>
    </row>
    <row r="981" spans="2:5">
      <c r="B981"/>
      <c r="C981"/>
      <c r="E981"/>
    </row>
    <row r="982" spans="2:5">
      <c r="B982"/>
      <c r="C982"/>
      <c r="E982"/>
    </row>
    <row r="983" spans="2:5">
      <c r="B983"/>
      <c r="C983"/>
      <c r="E983"/>
    </row>
    <row r="984" spans="2:5">
      <c r="B984"/>
      <c r="C984"/>
      <c r="E984"/>
    </row>
    <row r="985" spans="2:5">
      <c r="B985"/>
      <c r="C985"/>
      <c r="E985"/>
    </row>
    <row r="986" spans="2:5">
      <c r="B986"/>
      <c r="C986"/>
      <c r="E986"/>
    </row>
    <row r="987" spans="2:5">
      <c r="B987"/>
      <c r="C987"/>
      <c r="E987"/>
    </row>
    <row r="988" spans="2:5">
      <c r="B988"/>
      <c r="C988"/>
      <c r="E988"/>
    </row>
    <row r="989" spans="2:5">
      <c r="B989"/>
      <c r="C989"/>
      <c r="E989"/>
    </row>
    <row r="990" spans="2:5">
      <c r="B990"/>
      <c r="C990"/>
      <c r="E990"/>
    </row>
    <row r="991" spans="2:5">
      <c r="B991"/>
      <c r="C991"/>
      <c r="E991"/>
    </row>
    <row r="992" spans="2:5">
      <c r="B992"/>
      <c r="C992"/>
      <c r="E992"/>
    </row>
    <row r="993" spans="2:5">
      <c r="B993"/>
      <c r="C993"/>
      <c r="E993"/>
    </row>
    <row r="994" spans="2:5">
      <c r="B994"/>
      <c r="C994"/>
      <c r="E994"/>
    </row>
    <row r="995" spans="2:5">
      <c r="B995"/>
      <c r="C995"/>
      <c r="E995"/>
    </row>
    <row r="996" spans="2:5">
      <c r="B996"/>
      <c r="C996"/>
      <c r="E996"/>
    </row>
    <row r="997" spans="2:5">
      <c r="B997"/>
      <c r="C997"/>
      <c r="E997"/>
    </row>
    <row r="998" spans="2:5">
      <c r="B998"/>
      <c r="C998"/>
      <c r="E998"/>
    </row>
    <row r="999" spans="2:5">
      <c r="B999"/>
      <c r="C999"/>
      <c r="E999"/>
    </row>
    <row r="1000" spans="2:5">
      <c r="B1000"/>
      <c r="C1000"/>
      <c r="E1000"/>
    </row>
    <row r="1001" spans="2:5">
      <c r="B1001"/>
      <c r="C1001"/>
      <c r="E1001"/>
    </row>
    <row r="1002" spans="2:5">
      <c r="B1002"/>
      <c r="C1002"/>
      <c r="E1002"/>
    </row>
    <row r="1003" spans="2:5">
      <c r="B1003"/>
      <c r="C1003"/>
      <c r="E1003"/>
    </row>
    <row r="1004" spans="2:5">
      <c r="B1004"/>
      <c r="C1004"/>
      <c r="E1004"/>
    </row>
    <row r="1005" spans="2:5">
      <c r="B1005"/>
      <c r="C1005"/>
      <c r="E1005"/>
    </row>
    <row r="1006" spans="2:5">
      <c r="B1006"/>
      <c r="C1006"/>
      <c r="E1006"/>
    </row>
    <row r="1007" spans="2:5">
      <c r="B1007"/>
      <c r="C1007"/>
      <c r="E1007"/>
    </row>
    <row r="1008" spans="2:5">
      <c r="B1008"/>
      <c r="C1008"/>
      <c r="E1008"/>
    </row>
    <row r="1009" spans="2:5">
      <c r="B1009"/>
      <c r="C1009"/>
      <c r="E1009"/>
    </row>
    <row r="1010" spans="2:5">
      <c r="B1010"/>
      <c r="C1010"/>
      <c r="E1010"/>
    </row>
    <row r="1011" spans="2:5">
      <c r="B1011"/>
      <c r="C1011"/>
      <c r="E1011"/>
    </row>
    <row r="1012" spans="2:5">
      <c r="B1012"/>
      <c r="C1012"/>
      <c r="E1012"/>
    </row>
    <row r="1013" spans="2:5">
      <c r="B1013"/>
      <c r="C1013"/>
      <c r="E1013"/>
    </row>
    <row r="1014" spans="2:5">
      <c r="B1014"/>
      <c r="C1014"/>
      <c r="E1014"/>
    </row>
    <row r="1015" spans="2:5">
      <c r="B1015"/>
      <c r="C1015"/>
      <c r="E1015"/>
    </row>
    <row r="1016" spans="2:5">
      <c r="B1016"/>
      <c r="C1016"/>
      <c r="E1016"/>
    </row>
    <row r="1017" spans="2:5">
      <c r="B1017"/>
      <c r="C1017"/>
      <c r="E1017"/>
    </row>
    <row r="1018" spans="2:5">
      <c r="B1018"/>
      <c r="C1018"/>
      <c r="E1018"/>
    </row>
    <row r="1019" spans="2:5">
      <c r="B1019"/>
      <c r="C1019"/>
      <c r="E1019"/>
    </row>
    <row r="1020" spans="2:5">
      <c r="B1020"/>
      <c r="C1020"/>
      <c r="E1020"/>
    </row>
    <row r="1021" spans="2:5">
      <c r="B1021"/>
      <c r="C1021"/>
      <c r="E1021"/>
    </row>
    <row r="1022" spans="2:5">
      <c r="B1022"/>
      <c r="C1022"/>
      <c r="E1022"/>
    </row>
    <row r="1023" spans="2:5">
      <c r="B1023"/>
      <c r="C1023"/>
      <c r="E1023"/>
    </row>
    <row r="1024" spans="2:5">
      <c r="B1024"/>
      <c r="C1024"/>
      <c r="E1024"/>
    </row>
    <row r="1025" spans="2:5">
      <c r="B1025"/>
      <c r="C1025"/>
      <c r="E1025"/>
    </row>
    <row r="1026" spans="2:5">
      <c r="B1026"/>
      <c r="C1026"/>
      <c r="E1026"/>
    </row>
    <row r="1027" spans="2:5">
      <c r="B1027"/>
      <c r="C1027"/>
      <c r="E1027"/>
    </row>
    <row r="1028" spans="2:5">
      <c r="B1028"/>
      <c r="C1028"/>
      <c r="E1028"/>
    </row>
    <row r="1029" spans="2:5">
      <c r="B1029"/>
      <c r="C1029"/>
      <c r="E1029"/>
    </row>
    <row r="1030" spans="2:5">
      <c r="B1030"/>
      <c r="C1030"/>
      <c r="E1030"/>
    </row>
    <row r="1031" spans="2:5">
      <c r="B1031"/>
      <c r="C1031"/>
      <c r="E1031"/>
    </row>
    <row r="1032" spans="2:5">
      <c r="B1032"/>
      <c r="C1032"/>
      <c r="E1032"/>
    </row>
    <row r="1033" spans="2:5">
      <c r="B1033"/>
      <c r="C1033"/>
      <c r="E1033"/>
    </row>
    <row r="1034" spans="2:5">
      <c r="B1034"/>
      <c r="C1034"/>
      <c r="E1034"/>
    </row>
    <row r="1035" spans="2:5">
      <c r="B1035"/>
      <c r="C1035"/>
      <c r="E1035"/>
    </row>
    <row r="1036" spans="2:5">
      <c r="B1036"/>
      <c r="C1036"/>
      <c r="E1036"/>
    </row>
    <row r="1037" spans="2:5">
      <c r="B1037"/>
      <c r="C1037"/>
      <c r="E1037"/>
    </row>
    <row r="1038" spans="2:5">
      <c r="B1038"/>
      <c r="C1038"/>
      <c r="E1038"/>
    </row>
    <row r="1039" spans="2:5">
      <c r="B1039"/>
      <c r="C1039"/>
      <c r="E1039"/>
    </row>
    <row r="1040" spans="2:5">
      <c r="B1040"/>
      <c r="C1040"/>
      <c r="E1040"/>
    </row>
    <row r="1041" spans="2:5">
      <c r="B1041"/>
      <c r="C1041"/>
      <c r="E1041"/>
    </row>
    <row r="1042" spans="2:5">
      <c r="B1042"/>
      <c r="C1042"/>
      <c r="E1042"/>
    </row>
    <row r="1043" spans="2:5">
      <c r="B1043"/>
      <c r="C1043"/>
      <c r="E1043"/>
    </row>
    <row r="1044" spans="2:5">
      <c r="B1044"/>
      <c r="C1044"/>
      <c r="E1044"/>
    </row>
    <row r="1045" spans="2:5">
      <c r="B1045"/>
      <c r="C1045"/>
      <c r="E1045"/>
    </row>
    <row r="1046" spans="2:5">
      <c r="B1046"/>
      <c r="C1046"/>
      <c r="E1046"/>
    </row>
    <row r="1047" spans="2:5">
      <c r="B1047"/>
      <c r="C1047"/>
      <c r="E1047"/>
    </row>
    <row r="1048" spans="2:5">
      <c r="B1048"/>
      <c r="C1048"/>
      <c r="E1048"/>
    </row>
    <row r="1049" spans="2:5">
      <c r="B1049"/>
      <c r="C1049"/>
      <c r="E1049"/>
    </row>
    <row r="1050" spans="2:5">
      <c r="B1050"/>
      <c r="C1050"/>
      <c r="E1050"/>
    </row>
    <row r="1051" spans="2:5">
      <c r="B1051"/>
      <c r="C1051"/>
      <c r="E1051"/>
    </row>
    <row r="1052" spans="2:5">
      <c r="B1052"/>
      <c r="C1052"/>
      <c r="E1052"/>
    </row>
    <row r="1053" spans="2:5">
      <c r="B1053"/>
      <c r="C1053"/>
      <c r="E1053"/>
    </row>
    <row r="1054" spans="2:5">
      <c r="B1054"/>
      <c r="C1054"/>
      <c r="E1054"/>
    </row>
    <row r="1055" spans="2:5">
      <c r="B1055"/>
      <c r="C1055"/>
      <c r="E1055"/>
    </row>
    <row r="1056" spans="2:5">
      <c r="B1056"/>
      <c r="C1056"/>
      <c r="E1056"/>
    </row>
    <row r="1057" spans="2:5">
      <c r="B1057"/>
      <c r="C1057"/>
      <c r="E1057"/>
    </row>
    <row r="1058" spans="2:5">
      <c r="B1058"/>
      <c r="C1058"/>
      <c r="E1058"/>
    </row>
    <row r="1059" spans="2:5">
      <c r="B1059"/>
      <c r="C1059"/>
      <c r="E1059"/>
    </row>
    <row r="1060" spans="2:5">
      <c r="B1060"/>
      <c r="C1060"/>
      <c r="E1060"/>
    </row>
    <row r="1061" spans="2:5">
      <c r="B1061"/>
      <c r="C1061"/>
      <c r="E1061"/>
    </row>
    <row r="1062" spans="2:5">
      <c r="B1062"/>
      <c r="C1062"/>
      <c r="E1062"/>
    </row>
    <row r="1063" spans="2:5">
      <c r="B1063"/>
      <c r="C1063"/>
      <c r="E1063"/>
    </row>
    <row r="1064" spans="2:5">
      <c r="B1064"/>
      <c r="C1064"/>
      <c r="E1064"/>
    </row>
    <row r="1065" spans="2:5">
      <c r="B1065"/>
      <c r="C1065"/>
      <c r="E1065"/>
    </row>
    <row r="1066" spans="2:5">
      <c r="B1066"/>
      <c r="C1066"/>
      <c r="E1066"/>
    </row>
    <row r="1067" spans="2:5">
      <c r="B1067"/>
      <c r="C1067"/>
      <c r="E1067"/>
    </row>
    <row r="1068" spans="2:5">
      <c r="B1068"/>
      <c r="C1068"/>
      <c r="E1068"/>
    </row>
    <row r="1069" spans="2:5">
      <c r="B1069"/>
      <c r="C1069"/>
      <c r="E1069"/>
    </row>
    <row r="1070" spans="2:5">
      <c r="B1070"/>
      <c r="C1070"/>
      <c r="E1070"/>
    </row>
    <row r="1071" spans="2:5">
      <c r="B1071"/>
      <c r="C1071"/>
      <c r="E1071"/>
    </row>
    <row r="1072" spans="2:5">
      <c r="B1072"/>
      <c r="C1072"/>
      <c r="E1072"/>
    </row>
    <row r="1073" spans="2:5">
      <c r="B1073"/>
      <c r="C1073"/>
      <c r="E1073"/>
    </row>
    <row r="1074" spans="2:5">
      <c r="B1074"/>
      <c r="C1074"/>
      <c r="E1074"/>
    </row>
    <row r="1075" spans="2:5">
      <c r="B1075"/>
      <c r="C1075"/>
      <c r="E1075"/>
    </row>
    <row r="1076" spans="2:5">
      <c r="B1076"/>
      <c r="C1076"/>
      <c r="E1076"/>
    </row>
    <row r="1077" spans="2:5">
      <c r="B1077"/>
      <c r="C1077"/>
      <c r="E1077"/>
    </row>
    <row r="1078" spans="2:5">
      <c r="B1078"/>
      <c r="C1078"/>
      <c r="E1078"/>
    </row>
    <row r="1079" spans="2:5">
      <c r="B1079"/>
      <c r="C1079"/>
      <c r="E1079"/>
    </row>
    <row r="1080" spans="2:5">
      <c r="B1080"/>
      <c r="C1080"/>
      <c r="E1080"/>
    </row>
    <row r="1081" spans="2:5">
      <c r="B1081"/>
      <c r="C1081"/>
      <c r="E1081"/>
    </row>
    <row r="1082" spans="2:5">
      <c r="B1082"/>
      <c r="C1082"/>
      <c r="E1082"/>
    </row>
    <row r="1083" spans="2:5">
      <c r="B1083"/>
      <c r="C1083"/>
      <c r="E1083"/>
    </row>
    <row r="1084" spans="2:5">
      <c r="B1084"/>
      <c r="C1084"/>
      <c r="E1084"/>
    </row>
    <row r="1085" spans="2:5">
      <c r="B1085"/>
      <c r="C1085"/>
      <c r="E1085"/>
    </row>
    <row r="1086" spans="2:5">
      <c r="B1086"/>
      <c r="C1086"/>
      <c r="E1086"/>
    </row>
    <row r="1087" spans="2:5">
      <c r="B1087"/>
      <c r="C1087"/>
      <c r="E1087"/>
    </row>
    <row r="1088" spans="2:5">
      <c r="B1088"/>
      <c r="C1088"/>
      <c r="E1088"/>
    </row>
    <row r="1089" spans="2:5">
      <c r="B1089"/>
      <c r="C1089"/>
      <c r="E1089"/>
    </row>
    <row r="1090" spans="2:5">
      <c r="B1090"/>
      <c r="C1090"/>
      <c r="E1090"/>
    </row>
    <row r="1091" spans="2:5">
      <c r="B1091"/>
      <c r="C1091"/>
      <c r="E1091"/>
    </row>
    <row r="1092" spans="2:5">
      <c r="B1092"/>
      <c r="C1092"/>
      <c r="E1092"/>
    </row>
    <row r="1093" spans="2:5">
      <c r="B1093"/>
      <c r="C1093"/>
      <c r="E1093"/>
    </row>
    <row r="1094" spans="2:5">
      <c r="B1094"/>
      <c r="C1094"/>
      <c r="E1094"/>
    </row>
    <row r="1095" spans="2:5">
      <c r="B1095"/>
      <c r="C1095"/>
      <c r="E1095"/>
    </row>
    <row r="1096" spans="2:5">
      <c r="B1096"/>
      <c r="C1096"/>
      <c r="E1096"/>
    </row>
    <row r="1097" spans="2:5">
      <c r="B1097"/>
      <c r="C1097"/>
      <c r="E1097"/>
    </row>
    <row r="1098" spans="2:5">
      <c r="B1098"/>
      <c r="C1098"/>
      <c r="E1098"/>
    </row>
    <row r="1099" spans="2:5">
      <c r="B1099"/>
      <c r="C1099"/>
      <c r="E1099"/>
    </row>
    <row r="1100" spans="2:5">
      <c r="B1100"/>
      <c r="C1100"/>
      <c r="E1100"/>
    </row>
    <row r="1101" spans="2:5">
      <c r="B1101"/>
      <c r="C1101"/>
      <c r="E1101"/>
    </row>
    <row r="1102" spans="2:5">
      <c r="B1102"/>
      <c r="C1102"/>
      <c r="E1102"/>
    </row>
    <row r="1103" spans="2:5">
      <c r="B1103"/>
      <c r="C1103"/>
      <c r="E1103"/>
    </row>
    <row r="1104" spans="2:5">
      <c r="B1104"/>
      <c r="C1104"/>
      <c r="E1104"/>
    </row>
    <row r="1105" spans="2:5">
      <c r="B1105"/>
      <c r="C1105"/>
      <c r="E1105"/>
    </row>
    <row r="1106" spans="2:5">
      <c r="B1106"/>
      <c r="C1106"/>
      <c r="E1106"/>
    </row>
    <row r="1107" spans="2:5">
      <c r="B1107"/>
      <c r="C1107"/>
      <c r="E1107"/>
    </row>
    <row r="1108" spans="2:5">
      <c r="B1108"/>
      <c r="C1108"/>
      <c r="E1108"/>
    </row>
    <row r="1109" spans="2:5">
      <c r="B1109"/>
      <c r="C1109"/>
      <c r="E1109"/>
    </row>
    <row r="1110" spans="2:5">
      <c r="B1110"/>
      <c r="C1110"/>
      <c r="E1110"/>
    </row>
    <row r="1111" spans="2:5">
      <c r="B1111"/>
      <c r="C1111"/>
      <c r="E1111"/>
    </row>
    <row r="1112" spans="2:5">
      <c r="B1112"/>
      <c r="C1112"/>
      <c r="E1112"/>
    </row>
    <row r="1113" spans="2:5">
      <c r="B1113"/>
      <c r="C1113"/>
      <c r="E1113"/>
    </row>
    <row r="1114" spans="2:5">
      <c r="B1114"/>
      <c r="C1114"/>
      <c r="E1114"/>
    </row>
    <row r="1115" spans="2:5">
      <c r="B1115"/>
      <c r="C1115"/>
      <c r="E1115"/>
    </row>
    <row r="1116" spans="2:5">
      <c r="B1116"/>
      <c r="C1116"/>
      <c r="E1116"/>
    </row>
    <row r="1117" spans="2:5">
      <c r="B1117"/>
      <c r="C1117"/>
      <c r="E1117"/>
    </row>
    <row r="1118" spans="2:5">
      <c r="B1118"/>
      <c r="C1118"/>
      <c r="E1118"/>
    </row>
    <row r="1119" spans="2:5">
      <c r="B1119"/>
      <c r="C1119"/>
      <c r="E1119"/>
    </row>
    <row r="1120" spans="2:5">
      <c r="B1120"/>
      <c r="C1120"/>
      <c r="E1120"/>
    </row>
    <row r="1121" spans="2:5">
      <c r="B1121"/>
      <c r="C1121"/>
      <c r="E1121"/>
    </row>
    <row r="1122" spans="2:5">
      <c r="B1122"/>
      <c r="C1122"/>
      <c r="E1122"/>
    </row>
    <row r="1123" spans="2:5">
      <c r="B1123"/>
      <c r="C1123"/>
      <c r="E1123"/>
    </row>
    <row r="1124" spans="2:5">
      <c r="B1124"/>
      <c r="C1124"/>
      <c r="E1124"/>
    </row>
    <row r="1125" spans="2:5">
      <c r="B1125"/>
      <c r="C1125"/>
      <c r="E1125"/>
    </row>
    <row r="1126" spans="2:5">
      <c r="B1126"/>
      <c r="C1126"/>
      <c r="E1126"/>
    </row>
    <row r="1127" spans="2:5">
      <c r="B1127"/>
      <c r="C1127"/>
      <c r="E1127"/>
    </row>
    <row r="1128" spans="2:5">
      <c r="B1128"/>
      <c r="C1128"/>
      <c r="E1128"/>
    </row>
    <row r="1129" spans="2:5">
      <c r="B1129"/>
      <c r="C1129"/>
      <c r="E1129"/>
    </row>
    <row r="1130" spans="2:5">
      <c r="B1130"/>
      <c r="C1130"/>
      <c r="E1130"/>
    </row>
    <row r="1131" spans="2:5">
      <c r="B1131"/>
      <c r="C1131"/>
      <c r="E1131"/>
    </row>
    <row r="1132" spans="2:5">
      <c r="B1132"/>
      <c r="C1132"/>
      <c r="E1132"/>
    </row>
    <row r="1133" spans="2:5">
      <c r="B1133"/>
      <c r="C1133"/>
      <c r="E1133"/>
    </row>
    <row r="1134" spans="2:5">
      <c r="B1134"/>
      <c r="C1134"/>
      <c r="E1134"/>
    </row>
    <row r="1135" spans="2:5">
      <c r="B1135"/>
      <c r="C1135"/>
      <c r="E1135"/>
    </row>
    <row r="1136" spans="2:5">
      <c r="B1136"/>
      <c r="C1136"/>
      <c r="E1136"/>
    </row>
    <row r="1137" spans="2:5">
      <c r="B1137"/>
      <c r="C1137"/>
      <c r="E1137"/>
    </row>
    <row r="1138" spans="2:5">
      <c r="B1138"/>
      <c r="C1138"/>
      <c r="E1138"/>
    </row>
    <row r="1139" spans="2:5">
      <c r="B1139"/>
      <c r="C1139"/>
      <c r="E1139"/>
    </row>
    <row r="1140" spans="2:5">
      <c r="B1140"/>
      <c r="C1140"/>
      <c r="E1140"/>
    </row>
    <row r="1141" spans="2:5">
      <c r="B1141"/>
      <c r="C1141"/>
      <c r="E1141"/>
    </row>
    <row r="1142" spans="2:5">
      <c r="B1142"/>
      <c r="C1142"/>
      <c r="E1142"/>
    </row>
    <row r="1143" spans="2:5">
      <c r="B1143"/>
      <c r="C1143"/>
      <c r="E1143"/>
    </row>
    <row r="1144" spans="2:5">
      <c r="B1144"/>
      <c r="C1144"/>
      <c r="E1144"/>
    </row>
    <row r="1145" spans="2:5">
      <c r="B1145"/>
      <c r="C1145"/>
      <c r="E1145"/>
    </row>
    <row r="1146" spans="2:5">
      <c r="B1146"/>
      <c r="C1146"/>
      <c r="E1146"/>
    </row>
    <row r="1147" spans="2:5">
      <c r="B1147"/>
      <c r="C1147"/>
      <c r="E1147"/>
    </row>
    <row r="1148" spans="2:5">
      <c r="B1148"/>
      <c r="C1148"/>
      <c r="E1148"/>
    </row>
    <row r="1149" spans="2:5">
      <c r="B1149"/>
      <c r="C1149"/>
      <c r="E1149"/>
    </row>
    <row r="1150" spans="2:5">
      <c r="B1150"/>
      <c r="C1150"/>
      <c r="E1150"/>
    </row>
    <row r="1151" spans="2:5">
      <c r="B1151"/>
      <c r="C1151"/>
      <c r="E1151"/>
    </row>
    <row r="1152" spans="2:5">
      <c r="B1152"/>
      <c r="C1152"/>
      <c r="E1152"/>
    </row>
    <row r="1153" spans="2:5">
      <c r="B1153"/>
      <c r="C1153"/>
      <c r="E1153"/>
    </row>
    <row r="1154" spans="2:5">
      <c r="B1154"/>
      <c r="C1154"/>
      <c r="E1154"/>
    </row>
    <row r="1155" spans="2:5">
      <c r="B1155"/>
      <c r="C1155"/>
      <c r="E1155"/>
    </row>
    <row r="1156" spans="2:5">
      <c r="B1156"/>
      <c r="C1156"/>
      <c r="E1156"/>
    </row>
    <row r="1157" spans="2:5">
      <c r="B1157"/>
      <c r="C1157"/>
      <c r="E1157"/>
    </row>
    <row r="1158" spans="2:5">
      <c r="B1158"/>
      <c r="C1158"/>
      <c r="E1158"/>
    </row>
    <row r="1159" spans="2:5">
      <c r="B1159"/>
      <c r="C1159"/>
      <c r="E1159"/>
    </row>
    <row r="1160" spans="2:5">
      <c r="B1160"/>
      <c r="C1160"/>
      <c r="E1160"/>
    </row>
    <row r="1161" spans="2:5">
      <c r="B1161"/>
      <c r="C1161"/>
      <c r="E1161"/>
    </row>
    <row r="1162" spans="2:5">
      <c r="B1162"/>
      <c r="C1162"/>
      <c r="E1162"/>
    </row>
    <row r="1163" spans="2:5">
      <c r="B1163"/>
      <c r="C1163"/>
      <c r="E1163"/>
    </row>
    <row r="1164" spans="2:5">
      <c r="B1164"/>
      <c r="C1164"/>
      <c r="E1164"/>
    </row>
    <row r="1165" spans="2:5">
      <c r="B1165"/>
      <c r="C1165"/>
      <c r="E1165"/>
    </row>
    <row r="1166" spans="2:5">
      <c r="B1166"/>
      <c r="C1166"/>
      <c r="E1166"/>
    </row>
    <row r="1167" spans="2:5">
      <c r="B1167"/>
      <c r="C1167"/>
      <c r="E1167"/>
    </row>
    <row r="1168" spans="2:5">
      <c r="B1168"/>
      <c r="C1168"/>
      <c r="E1168"/>
    </row>
    <row r="1169" spans="2:5">
      <c r="B1169"/>
      <c r="C1169"/>
      <c r="E1169"/>
    </row>
    <row r="1170" spans="2:5">
      <c r="B1170"/>
      <c r="C1170"/>
      <c r="E1170"/>
    </row>
    <row r="1171" spans="2:5">
      <c r="B1171"/>
      <c r="C1171"/>
      <c r="E1171"/>
    </row>
    <row r="1172" spans="2:5">
      <c r="B1172"/>
      <c r="C1172"/>
      <c r="E1172"/>
    </row>
    <row r="1173" spans="2:5">
      <c r="B1173"/>
      <c r="C1173"/>
      <c r="E1173"/>
    </row>
    <row r="1174" spans="2:5">
      <c r="B1174"/>
      <c r="C1174"/>
      <c r="E1174"/>
    </row>
    <row r="1175" spans="2:5">
      <c r="B1175"/>
      <c r="C1175"/>
      <c r="E1175"/>
    </row>
    <row r="1176" spans="2:5">
      <c r="B1176"/>
      <c r="C1176"/>
      <c r="E1176"/>
    </row>
    <row r="1177" spans="2:5">
      <c r="B1177"/>
      <c r="C1177"/>
      <c r="E1177"/>
    </row>
    <row r="1178" spans="2:5">
      <c r="B1178"/>
      <c r="C1178"/>
      <c r="E1178"/>
    </row>
    <row r="1179" spans="2:5">
      <c r="B1179"/>
      <c r="C1179"/>
      <c r="E1179"/>
    </row>
    <row r="1180" spans="2:5">
      <c r="B1180"/>
      <c r="C1180"/>
      <c r="E1180"/>
    </row>
    <row r="1181" spans="2:5">
      <c r="B1181"/>
      <c r="C1181"/>
      <c r="E1181"/>
    </row>
    <row r="1182" spans="2:5">
      <c r="B1182"/>
      <c r="C1182"/>
      <c r="E1182"/>
    </row>
    <row r="1183" spans="2:5">
      <c r="B1183"/>
      <c r="C1183"/>
      <c r="E1183"/>
    </row>
    <row r="1184" spans="2:5">
      <c r="B1184"/>
      <c r="C1184"/>
      <c r="E1184"/>
    </row>
    <row r="1185" spans="2:5">
      <c r="B1185"/>
      <c r="C1185"/>
      <c r="E1185"/>
    </row>
    <row r="1186" spans="2:5">
      <c r="B1186"/>
      <c r="C1186"/>
      <c r="E1186"/>
    </row>
    <row r="1187" spans="2:5">
      <c r="B1187"/>
      <c r="C1187"/>
      <c r="E1187"/>
    </row>
    <row r="1188" spans="2:5">
      <c r="B1188"/>
      <c r="C1188"/>
      <c r="E1188"/>
    </row>
    <row r="1189" spans="2:5">
      <c r="B1189"/>
      <c r="C1189"/>
      <c r="E1189"/>
    </row>
    <row r="1190" spans="2:5">
      <c r="B1190"/>
      <c r="C1190"/>
      <c r="E1190"/>
    </row>
    <row r="1191" spans="2:5">
      <c r="B1191"/>
      <c r="C1191"/>
      <c r="E1191"/>
    </row>
    <row r="1192" spans="2:5">
      <c r="B1192"/>
      <c r="C1192"/>
      <c r="E1192"/>
    </row>
    <row r="1193" spans="2:5">
      <c r="B1193"/>
      <c r="C1193"/>
      <c r="E1193"/>
    </row>
    <row r="1194" spans="2:5">
      <c r="B1194"/>
      <c r="C1194"/>
      <c r="E1194"/>
    </row>
    <row r="1195" spans="2:5">
      <c r="B1195"/>
      <c r="C1195"/>
      <c r="E1195"/>
    </row>
    <row r="1196" spans="2:5">
      <c r="B1196"/>
      <c r="C1196"/>
      <c r="E1196"/>
    </row>
    <row r="1197" spans="2:5">
      <c r="B1197"/>
      <c r="C1197"/>
      <c r="E1197"/>
    </row>
    <row r="1198" spans="2:5">
      <c r="B1198"/>
      <c r="C1198"/>
      <c r="E1198"/>
    </row>
    <row r="1199" spans="2:5">
      <c r="B1199"/>
      <c r="C1199"/>
      <c r="E1199"/>
    </row>
    <row r="1200" spans="2:5">
      <c r="B1200"/>
      <c r="C1200"/>
      <c r="E1200"/>
    </row>
    <row r="1201" spans="2:5">
      <c r="B1201"/>
      <c r="C1201"/>
      <c r="E1201"/>
    </row>
    <row r="1202" spans="2:5">
      <c r="B1202"/>
      <c r="C1202"/>
      <c r="E1202"/>
    </row>
    <row r="1203" spans="2:5">
      <c r="B1203"/>
      <c r="C1203"/>
      <c r="E1203"/>
    </row>
    <row r="1204" spans="2:5">
      <c r="B1204"/>
      <c r="C1204"/>
      <c r="E1204"/>
    </row>
    <row r="1205" spans="2:5">
      <c r="B1205"/>
      <c r="C1205"/>
      <c r="E1205"/>
    </row>
    <row r="1206" spans="2:5">
      <c r="B1206"/>
      <c r="C1206"/>
      <c r="E1206"/>
    </row>
    <row r="1207" spans="2:5">
      <c r="B1207"/>
      <c r="C1207"/>
      <c r="E1207"/>
    </row>
    <row r="1208" spans="2:5">
      <c r="B1208"/>
      <c r="C1208"/>
      <c r="E1208"/>
    </row>
    <row r="1209" spans="2:5">
      <c r="B1209"/>
      <c r="C1209"/>
      <c r="E1209"/>
    </row>
    <row r="1210" spans="2:5">
      <c r="B1210"/>
      <c r="C1210"/>
      <c r="E1210"/>
    </row>
    <row r="1211" spans="2:5">
      <c r="B1211"/>
      <c r="C1211"/>
      <c r="E1211"/>
    </row>
    <row r="1212" spans="2:5">
      <c r="B1212"/>
      <c r="C1212"/>
      <c r="E1212"/>
    </row>
    <row r="1213" spans="2:5">
      <c r="B1213"/>
      <c r="C1213"/>
      <c r="E1213"/>
    </row>
    <row r="1214" spans="2:5">
      <c r="B1214"/>
      <c r="C1214"/>
      <c r="E1214"/>
    </row>
    <row r="1215" spans="2:5">
      <c r="B1215"/>
      <c r="C1215"/>
      <c r="E1215"/>
    </row>
    <row r="1216" spans="2:5">
      <c r="B1216"/>
      <c r="C1216"/>
      <c r="E1216"/>
    </row>
    <row r="1217" spans="2:5">
      <c r="B1217"/>
      <c r="C1217"/>
      <c r="E1217"/>
    </row>
    <row r="1218" spans="2:5">
      <c r="B1218"/>
      <c r="C1218"/>
      <c r="E1218"/>
    </row>
    <row r="1219" spans="2:5">
      <c r="B1219"/>
      <c r="C1219"/>
      <c r="E1219"/>
    </row>
    <row r="1220" spans="2:5">
      <c r="B1220"/>
      <c r="C1220"/>
      <c r="E1220"/>
    </row>
    <row r="1221" spans="2:5">
      <c r="B1221"/>
      <c r="C1221"/>
      <c r="E1221"/>
    </row>
    <row r="1222" spans="2:5">
      <c r="B1222"/>
      <c r="C1222"/>
      <c r="E1222"/>
    </row>
    <row r="1223" spans="2:5">
      <c r="B1223"/>
      <c r="C1223"/>
      <c r="E1223"/>
    </row>
    <row r="1224" spans="2:5">
      <c r="B1224"/>
      <c r="C1224"/>
      <c r="E1224"/>
    </row>
    <row r="1225" spans="2:5">
      <c r="B1225"/>
      <c r="C1225"/>
      <c r="E1225"/>
    </row>
    <row r="1226" spans="2:5">
      <c r="B1226"/>
      <c r="C1226"/>
      <c r="E1226"/>
    </row>
    <row r="1227" spans="2:5">
      <c r="B1227"/>
      <c r="C1227"/>
      <c r="E1227"/>
    </row>
    <row r="1228" spans="2:5">
      <c r="B1228"/>
      <c r="C1228"/>
      <c r="E1228"/>
    </row>
    <row r="1229" spans="2:5">
      <c r="B1229"/>
      <c r="C1229"/>
      <c r="E1229"/>
    </row>
    <row r="1230" spans="2:5">
      <c r="B1230"/>
      <c r="C1230"/>
      <c r="E1230"/>
    </row>
    <row r="1231" spans="2:5">
      <c r="B1231"/>
      <c r="C1231"/>
      <c r="E1231"/>
    </row>
    <row r="1232" spans="2:5">
      <c r="B1232"/>
      <c r="C1232"/>
      <c r="E1232"/>
    </row>
    <row r="1233" spans="2:5">
      <c r="B1233"/>
      <c r="C1233"/>
      <c r="E1233"/>
    </row>
    <row r="1234" spans="2:5">
      <c r="B1234"/>
      <c r="C1234"/>
      <c r="E1234"/>
    </row>
    <row r="1235" spans="2:5">
      <c r="B1235"/>
      <c r="C1235"/>
      <c r="E1235"/>
    </row>
    <row r="1236" spans="2:5">
      <c r="B1236"/>
      <c r="C1236"/>
      <c r="E1236"/>
    </row>
    <row r="1237" spans="2:5">
      <c r="B1237"/>
      <c r="C1237"/>
      <c r="E1237"/>
    </row>
    <row r="1238" spans="2:5">
      <c r="B1238"/>
      <c r="C1238"/>
      <c r="E1238"/>
    </row>
    <row r="1239" spans="2:5">
      <c r="B1239"/>
      <c r="C1239"/>
      <c r="E1239"/>
    </row>
    <row r="1240" spans="2:5">
      <c r="B1240"/>
      <c r="C1240"/>
      <c r="E1240"/>
    </row>
    <row r="1241" spans="2:5">
      <c r="B1241"/>
      <c r="C1241"/>
      <c r="E1241"/>
    </row>
    <row r="1242" spans="2:5">
      <c r="B1242"/>
      <c r="C1242"/>
      <c r="E1242"/>
    </row>
    <row r="1243" spans="2:5">
      <c r="B1243"/>
      <c r="C1243"/>
      <c r="E1243"/>
    </row>
    <row r="1244" spans="2:5">
      <c r="B1244"/>
      <c r="C1244"/>
      <c r="E1244"/>
    </row>
    <row r="1245" spans="2:5">
      <c r="B1245"/>
      <c r="C1245"/>
      <c r="E1245"/>
    </row>
    <row r="1246" spans="2:5">
      <c r="B1246"/>
      <c r="C1246"/>
      <c r="E1246"/>
    </row>
    <row r="1247" spans="2:5">
      <c r="B1247"/>
      <c r="C1247"/>
      <c r="E1247"/>
    </row>
    <row r="1248" spans="2:5">
      <c r="B1248"/>
      <c r="C1248"/>
      <c r="E1248"/>
    </row>
    <row r="1249" spans="2:5">
      <c r="B1249"/>
      <c r="C1249"/>
      <c r="E1249"/>
    </row>
    <row r="1250" spans="2:5">
      <c r="B1250"/>
      <c r="C1250"/>
      <c r="E1250"/>
    </row>
    <row r="1251" spans="2:5">
      <c r="B1251"/>
      <c r="C1251"/>
      <c r="E1251"/>
    </row>
    <row r="1252" spans="2:5">
      <c r="B1252"/>
      <c r="C1252"/>
      <c r="E1252"/>
    </row>
    <row r="1253" spans="2:5">
      <c r="B1253"/>
      <c r="C1253"/>
      <c r="E1253"/>
    </row>
    <row r="1254" spans="2:5">
      <c r="B1254"/>
      <c r="C1254"/>
      <c r="E1254"/>
    </row>
    <row r="1255" spans="2:5">
      <c r="B1255"/>
      <c r="C1255"/>
      <c r="E1255"/>
    </row>
    <row r="1256" spans="2:5">
      <c r="B1256"/>
      <c r="C1256"/>
      <c r="E1256"/>
    </row>
    <row r="1257" spans="2:5">
      <c r="B1257"/>
      <c r="C1257"/>
      <c r="E1257"/>
    </row>
    <row r="1258" spans="2:5">
      <c r="B1258"/>
      <c r="C1258"/>
      <c r="E1258"/>
    </row>
    <row r="1259" spans="2:5">
      <c r="B1259"/>
      <c r="C1259"/>
      <c r="E1259"/>
    </row>
    <row r="1260" spans="2:5">
      <c r="B1260"/>
      <c r="C1260"/>
      <c r="E1260"/>
    </row>
    <row r="1261" spans="2:5">
      <c r="B1261"/>
      <c r="C1261"/>
      <c r="E1261"/>
    </row>
    <row r="1262" spans="2:5">
      <c r="B1262"/>
      <c r="C1262"/>
      <c r="E1262"/>
    </row>
    <row r="1263" spans="2:5">
      <c r="B1263"/>
      <c r="C1263"/>
      <c r="E1263"/>
    </row>
    <row r="1264" spans="2:5">
      <c r="B1264"/>
      <c r="C1264"/>
      <c r="E1264"/>
    </row>
    <row r="1265" spans="2:5">
      <c r="B1265"/>
      <c r="C1265"/>
      <c r="E1265"/>
    </row>
    <row r="1266" spans="2:5">
      <c r="B1266"/>
      <c r="C1266"/>
      <c r="E1266"/>
    </row>
    <row r="1267" spans="2:5">
      <c r="B1267"/>
      <c r="C1267"/>
      <c r="E1267"/>
    </row>
    <row r="1268" spans="2:5">
      <c r="B1268"/>
      <c r="C1268"/>
      <c r="E1268"/>
    </row>
    <row r="1269" spans="2:5">
      <c r="B1269"/>
      <c r="C1269"/>
      <c r="E1269"/>
    </row>
    <row r="1270" spans="2:5">
      <c r="B1270"/>
      <c r="C1270"/>
      <c r="E1270"/>
    </row>
    <row r="1271" spans="2:5">
      <c r="B1271"/>
      <c r="C1271"/>
      <c r="E1271"/>
    </row>
    <row r="1272" spans="2:5">
      <c r="B1272"/>
      <c r="C1272"/>
      <c r="E1272"/>
    </row>
    <row r="1273" spans="2:5">
      <c r="B1273"/>
      <c r="C1273"/>
      <c r="E1273"/>
    </row>
    <row r="1274" spans="2:5">
      <c r="B1274"/>
      <c r="C1274"/>
      <c r="E1274"/>
    </row>
    <row r="1275" spans="2:5">
      <c r="B1275"/>
      <c r="C1275"/>
      <c r="E1275"/>
    </row>
    <row r="1276" spans="2:5">
      <c r="B1276"/>
      <c r="C1276"/>
      <c r="E1276"/>
    </row>
    <row r="1277" spans="2:5">
      <c r="B1277"/>
      <c r="C1277"/>
      <c r="E1277"/>
    </row>
    <row r="1278" spans="2:5">
      <c r="B1278"/>
      <c r="C1278"/>
      <c r="E1278"/>
    </row>
    <row r="1279" spans="2:5">
      <c r="B1279"/>
      <c r="C1279"/>
      <c r="E1279"/>
    </row>
    <row r="1280" spans="2:5">
      <c r="B1280"/>
      <c r="C1280"/>
      <c r="E1280"/>
    </row>
    <row r="1281" spans="2:5">
      <c r="B1281"/>
      <c r="C1281"/>
      <c r="E1281"/>
    </row>
    <row r="1282" spans="2:5">
      <c r="B1282"/>
      <c r="C1282"/>
      <c r="E1282"/>
    </row>
    <row r="1283" spans="2:5">
      <c r="B1283"/>
      <c r="C1283"/>
      <c r="E1283"/>
    </row>
    <row r="1284" spans="2:5">
      <c r="B1284"/>
      <c r="C1284"/>
      <c r="E1284"/>
    </row>
    <row r="1285" spans="2:5">
      <c r="B1285"/>
      <c r="C1285"/>
      <c r="E1285"/>
    </row>
    <row r="1286" spans="2:5">
      <c r="B1286"/>
      <c r="C1286"/>
      <c r="E1286"/>
    </row>
    <row r="1287" spans="2:5">
      <c r="B1287"/>
      <c r="C1287"/>
      <c r="E1287"/>
    </row>
    <row r="1288" spans="2:5">
      <c r="B1288"/>
      <c r="C1288"/>
      <c r="E1288"/>
    </row>
    <row r="1289" spans="2:5">
      <c r="B1289"/>
      <c r="C1289"/>
      <c r="E1289"/>
    </row>
    <row r="1290" spans="2:5">
      <c r="B1290"/>
      <c r="C1290"/>
      <c r="E1290"/>
    </row>
    <row r="1291" spans="2:5">
      <c r="B1291"/>
      <c r="C1291"/>
      <c r="E1291"/>
    </row>
    <row r="1292" spans="2:5">
      <c r="B1292"/>
      <c r="C1292"/>
      <c r="E1292"/>
    </row>
    <row r="1293" spans="2:5">
      <c r="B1293"/>
      <c r="C1293"/>
      <c r="E1293"/>
    </row>
    <row r="1294" spans="2:5">
      <c r="B1294"/>
      <c r="C1294"/>
      <c r="E1294"/>
    </row>
    <row r="1295" spans="2:5">
      <c r="B1295"/>
      <c r="C1295"/>
      <c r="E1295"/>
    </row>
    <row r="1296" spans="2:5">
      <c r="B1296"/>
      <c r="C1296"/>
      <c r="E1296"/>
    </row>
    <row r="1297" spans="2:5">
      <c r="B1297"/>
      <c r="C1297"/>
      <c r="E1297"/>
    </row>
    <row r="1298" spans="2:5">
      <c r="B1298"/>
      <c r="C1298"/>
      <c r="E1298"/>
    </row>
    <row r="1299" spans="2:5">
      <c r="B1299"/>
      <c r="C1299"/>
      <c r="E1299"/>
    </row>
    <row r="1300" spans="2:5">
      <c r="B1300"/>
      <c r="C1300"/>
      <c r="E1300"/>
    </row>
    <row r="1301" spans="2:5">
      <c r="B1301"/>
      <c r="C1301"/>
      <c r="E1301"/>
    </row>
    <row r="1302" spans="2:5">
      <c r="B1302"/>
      <c r="C1302"/>
      <c r="E1302"/>
    </row>
    <row r="1303" spans="2:5">
      <c r="B1303"/>
      <c r="C1303"/>
      <c r="E1303"/>
    </row>
    <row r="1304" spans="2:5">
      <c r="B1304"/>
      <c r="C1304"/>
      <c r="E1304"/>
    </row>
    <row r="1305" spans="2:5">
      <c r="B1305"/>
      <c r="C1305"/>
      <c r="E1305"/>
    </row>
    <row r="1306" spans="2:5">
      <c r="B1306"/>
      <c r="C1306"/>
      <c r="E1306"/>
    </row>
    <row r="1307" spans="2:5">
      <c r="B1307"/>
      <c r="C1307"/>
      <c r="E1307"/>
    </row>
    <row r="1308" spans="2:5">
      <c r="B1308"/>
      <c r="C1308"/>
      <c r="E1308"/>
    </row>
    <row r="1309" spans="2:5">
      <c r="B1309"/>
      <c r="C1309"/>
      <c r="E1309"/>
    </row>
    <row r="1310" spans="2:5">
      <c r="B1310"/>
      <c r="C1310"/>
      <c r="E1310"/>
    </row>
    <row r="1311" spans="2:5">
      <c r="B1311"/>
      <c r="C1311"/>
      <c r="E1311"/>
    </row>
    <row r="1312" spans="2:5">
      <c r="B1312"/>
      <c r="C1312"/>
      <c r="E1312"/>
    </row>
    <row r="1313" spans="2:5">
      <c r="B1313"/>
      <c r="C1313"/>
      <c r="E1313"/>
    </row>
    <row r="1314" spans="2:5">
      <c r="B1314"/>
      <c r="C1314"/>
      <c r="E1314"/>
    </row>
    <row r="1315" spans="2:5">
      <c r="B1315"/>
      <c r="C1315"/>
      <c r="E1315"/>
    </row>
    <row r="1316" spans="2:5">
      <c r="B1316"/>
      <c r="C1316"/>
      <c r="E1316"/>
    </row>
    <row r="1317" spans="2:5">
      <c r="B1317"/>
      <c r="C1317"/>
      <c r="E1317"/>
    </row>
    <row r="1318" spans="2:5">
      <c r="B1318"/>
      <c r="C1318"/>
      <c r="E1318"/>
    </row>
    <row r="1319" spans="2:5">
      <c r="B1319"/>
      <c r="C1319"/>
      <c r="E1319"/>
    </row>
    <row r="1320" spans="2:5">
      <c r="B1320"/>
      <c r="C1320"/>
      <c r="E1320"/>
    </row>
    <row r="1321" spans="2:5">
      <c r="B1321"/>
      <c r="C1321"/>
      <c r="E1321"/>
    </row>
    <row r="1322" spans="2:5">
      <c r="B1322"/>
      <c r="C1322"/>
      <c r="E1322"/>
    </row>
    <row r="1323" spans="2:5">
      <c r="B1323"/>
      <c r="C1323"/>
      <c r="E1323"/>
    </row>
    <row r="1324" spans="2:5">
      <c r="B1324"/>
      <c r="C1324"/>
      <c r="E1324"/>
    </row>
    <row r="1325" spans="2:5">
      <c r="B1325"/>
      <c r="C1325"/>
      <c r="E1325"/>
    </row>
    <row r="1326" spans="2:5">
      <c r="B1326"/>
      <c r="C1326"/>
      <c r="E1326"/>
    </row>
    <row r="1327" spans="2:5">
      <c r="B1327"/>
      <c r="C1327"/>
      <c r="E1327"/>
    </row>
    <row r="1328" spans="2:5">
      <c r="B1328"/>
      <c r="C1328"/>
      <c r="E1328"/>
    </row>
    <row r="1329" spans="2:5">
      <c r="B1329"/>
      <c r="C1329"/>
      <c r="E1329"/>
    </row>
    <row r="1330" spans="2:5">
      <c r="B1330"/>
      <c r="C1330"/>
      <c r="E1330"/>
    </row>
    <row r="1331" spans="2:5">
      <c r="B1331"/>
      <c r="C1331"/>
      <c r="E1331"/>
    </row>
    <row r="1332" spans="2:5">
      <c r="B1332"/>
      <c r="C1332"/>
      <c r="E1332"/>
    </row>
    <row r="1333" spans="2:5">
      <c r="B1333"/>
      <c r="C1333"/>
      <c r="E1333"/>
    </row>
    <row r="1334" spans="2:5">
      <c r="B1334"/>
      <c r="C1334"/>
      <c r="E1334"/>
    </row>
    <row r="1335" spans="2:5">
      <c r="B1335"/>
      <c r="C1335"/>
      <c r="E1335"/>
    </row>
    <row r="1336" spans="2:5">
      <c r="B1336"/>
      <c r="C1336"/>
      <c r="E1336"/>
    </row>
    <row r="1337" spans="2:5">
      <c r="B1337"/>
      <c r="C1337"/>
      <c r="E1337"/>
    </row>
    <row r="1338" spans="2:5">
      <c r="B1338"/>
      <c r="C1338"/>
      <c r="E1338"/>
    </row>
    <row r="1339" spans="2:5">
      <c r="B1339"/>
      <c r="C1339"/>
      <c r="E1339"/>
    </row>
    <row r="1340" spans="2:5">
      <c r="B1340"/>
      <c r="C1340"/>
      <c r="E1340"/>
    </row>
    <row r="1341" spans="2:5">
      <c r="B1341"/>
      <c r="C1341"/>
      <c r="E1341"/>
    </row>
    <row r="1342" spans="2:5">
      <c r="B1342"/>
      <c r="C1342"/>
      <c r="E1342"/>
    </row>
    <row r="1343" spans="2:5">
      <c r="B1343"/>
      <c r="C1343"/>
      <c r="E1343"/>
    </row>
    <row r="1344" spans="2:5">
      <c r="B1344"/>
      <c r="C1344"/>
      <c r="E1344"/>
    </row>
    <row r="1345" spans="2:5">
      <c r="B1345"/>
      <c r="C1345"/>
      <c r="E1345"/>
    </row>
    <row r="1346" spans="2:5">
      <c r="B1346"/>
      <c r="C1346"/>
      <c r="E1346"/>
    </row>
    <row r="1347" spans="2:5">
      <c r="B1347"/>
      <c r="C1347"/>
      <c r="E1347"/>
    </row>
    <row r="1348" spans="2:5">
      <c r="B1348"/>
      <c r="C1348"/>
      <c r="E1348"/>
    </row>
    <row r="1349" spans="2:5">
      <c r="B1349"/>
      <c r="C1349"/>
      <c r="E1349"/>
    </row>
    <row r="1350" spans="2:5">
      <c r="B1350"/>
      <c r="C1350"/>
      <c r="E1350"/>
    </row>
    <row r="1351" spans="2:5">
      <c r="B1351"/>
      <c r="C1351"/>
      <c r="E1351"/>
    </row>
    <row r="1352" spans="2:5">
      <c r="B1352"/>
      <c r="C1352"/>
      <c r="E1352"/>
    </row>
    <row r="1353" spans="2:5">
      <c r="B1353"/>
      <c r="C1353"/>
      <c r="E1353"/>
    </row>
    <row r="1354" spans="2:5">
      <c r="B1354"/>
      <c r="C1354"/>
      <c r="E1354"/>
    </row>
    <row r="1355" spans="2:5">
      <c r="B1355"/>
      <c r="C1355"/>
      <c r="E1355"/>
    </row>
    <row r="1356" spans="2:5">
      <c r="B1356"/>
      <c r="C1356"/>
      <c r="E1356"/>
    </row>
    <row r="1357" spans="2:5">
      <c r="B1357"/>
      <c r="C1357"/>
      <c r="E1357"/>
    </row>
    <row r="1358" spans="2:5">
      <c r="B1358"/>
      <c r="C1358"/>
      <c r="E1358"/>
    </row>
    <row r="1359" spans="2:5">
      <c r="B1359"/>
      <c r="C1359"/>
      <c r="E1359"/>
    </row>
    <row r="1360" spans="2:5">
      <c r="B1360"/>
      <c r="C1360"/>
      <c r="E1360"/>
    </row>
    <row r="1361" spans="2:5">
      <c r="B1361"/>
      <c r="C1361"/>
      <c r="E1361"/>
    </row>
    <row r="1362" spans="2:5">
      <c r="B1362"/>
      <c r="C1362"/>
      <c r="E1362"/>
    </row>
    <row r="1363" spans="2:5">
      <c r="B1363"/>
      <c r="C1363"/>
      <c r="E1363"/>
    </row>
    <row r="1364" spans="2:5">
      <c r="B1364"/>
      <c r="C1364"/>
      <c r="E1364"/>
    </row>
    <row r="1365" spans="2:5">
      <c r="B1365"/>
      <c r="C1365"/>
      <c r="E1365"/>
    </row>
    <row r="1366" spans="2:5">
      <c r="B1366"/>
      <c r="C1366"/>
      <c r="E1366"/>
    </row>
    <row r="1367" spans="2:5">
      <c r="B1367"/>
      <c r="C1367"/>
      <c r="E1367"/>
    </row>
    <row r="1368" spans="2:5">
      <c r="B1368"/>
      <c r="C1368"/>
      <c r="E1368"/>
    </row>
    <row r="1369" spans="2:5">
      <c r="B1369"/>
      <c r="C1369"/>
      <c r="E1369"/>
    </row>
    <row r="1370" spans="2:5">
      <c r="B1370"/>
      <c r="C1370"/>
      <c r="E1370"/>
    </row>
    <row r="1371" spans="2:5">
      <c r="B1371"/>
      <c r="C1371"/>
      <c r="E1371"/>
    </row>
    <row r="1372" spans="2:5">
      <c r="B1372"/>
      <c r="C1372"/>
      <c r="E1372"/>
    </row>
    <row r="1373" spans="2:5">
      <c r="B1373"/>
      <c r="C1373"/>
      <c r="E1373"/>
    </row>
    <row r="1374" spans="2:5">
      <c r="B1374"/>
      <c r="C1374"/>
      <c r="E1374"/>
    </row>
    <row r="1375" spans="2:5">
      <c r="B1375"/>
      <c r="C1375"/>
      <c r="E1375"/>
    </row>
    <row r="1376" spans="2:5">
      <c r="B1376"/>
      <c r="C1376"/>
      <c r="E1376"/>
    </row>
    <row r="1377" spans="2:5">
      <c r="B1377"/>
      <c r="C1377"/>
      <c r="E1377"/>
    </row>
    <row r="1378" spans="2:5">
      <c r="B1378"/>
      <c r="C1378"/>
      <c r="E1378"/>
    </row>
    <row r="1379" spans="2:5">
      <c r="B1379"/>
      <c r="C1379"/>
      <c r="E1379"/>
    </row>
    <row r="1380" spans="2:5">
      <c r="B1380"/>
      <c r="C1380"/>
      <c r="E1380"/>
    </row>
    <row r="1381" spans="2:5">
      <c r="B1381"/>
      <c r="C1381"/>
      <c r="E1381"/>
    </row>
    <row r="1382" spans="2:5">
      <c r="B1382"/>
      <c r="C1382"/>
      <c r="E1382"/>
    </row>
    <row r="1383" spans="2:5">
      <c r="B1383"/>
      <c r="C1383"/>
      <c r="E1383"/>
    </row>
    <row r="1384" spans="2:5">
      <c r="B1384"/>
      <c r="C1384"/>
      <c r="E1384"/>
    </row>
    <row r="1385" spans="2:5">
      <c r="B1385"/>
      <c r="C1385"/>
      <c r="E1385"/>
    </row>
    <row r="1386" spans="2:5">
      <c r="B1386"/>
      <c r="C1386"/>
      <c r="E1386"/>
    </row>
    <row r="1387" spans="2:5">
      <c r="B1387"/>
      <c r="C1387"/>
      <c r="E1387"/>
    </row>
    <row r="1388" spans="2:5">
      <c r="B1388"/>
      <c r="C1388"/>
      <c r="E1388"/>
    </row>
    <row r="1389" spans="2:5">
      <c r="B1389"/>
      <c r="C1389"/>
      <c r="E1389"/>
    </row>
    <row r="1390" spans="2:5">
      <c r="B1390"/>
      <c r="C1390"/>
      <c r="E1390"/>
    </row>
    <row r="1391" spans="2:5">
      <c r="B1391"/>
      <c r="C1391"/>
      <c r="E1391"/>
    </row>
    <row r="1392" spans="2:5">
      <c r="B1392"/>
      <c r="C1392"/>
      <c r="E1392"/>
    </row>
    <row r="1393" spans="2:5">
      <c r="B1393"/>
      <c r="C1393"/>
      <c r="E1393"/>
    </row>
    <row r="1394" spans="2:5">
      <c r="B1394"/>
      <c r="C1394"/>
      <c r="E1394"/>
    </row>
    <row r="1395" spans="2:5">
      <c r="B1395"/>
      <c r="C1395"/>
      <c r="E1395"/>
    </row>
    <row r="1396" spans="2:5">
      <c r="B1396"/>
      <c r="C1396"/>
      <c r="E1396"/>
    </row>
    <row r="1397" spans="2:5">
      <c r="B1397"/>
      <c r="C1397"/>
      <c r="E1397"/>
    </row>
    <row r="1398" spans="2:5">
      <c r="B1398"/>
      <c r="C1398"/>
      <c r="E1398"/>
    </row>
    <row r="1399" spans="2:5">
      <c r="B1399"/>
      <c r="C1399"/>
      <c r="E1399"/>
    </row>
    <row r="1400" spans="2:5">
      <c r="B1400"/>
      <c r="C1400"/>
      <c r="E1400"/>
    </row>
    <row r="1401" spans="2:5">
      <c r="B1401"/>
      <c r="C1401"/>
      <c r="E1401"/>
    </row>
    <row r="1402" spans="2:5">
      <c r="B1402"/>
      <c r="C1402"/>
      <c r="E1402"/>
    </row>
    <row r="1403" spans="2:5">
      <c r="B1403"/>
      <c r="C1403"/>
      <c r="E1403"/>
    </row>
    <row r="1404" spans="2:5">
      <c r="B1404"/>
      <c r="C1404"/>
      <c r="E1404"/>
    </row>
    <row r="1405" spans="2:5">
      <c r="B1405"/>
      <c r="C1405"/>
      <c r="E1405"/>
    </row>
    <row r="1406" spans="2:5">
      <c r="B1406"/>
      <c r="C1406"/>
      <c r="E1406"/>
    </row>
    <row r="1407" spans="2:5">
      <c r="B1407"/>
      <c r="C1407"/>
      <c r="E1407"/>
    </row>
    <row r="1408" spans="2:5">
      <c r="B1408"/>
      <c r="C1408"/>
      <c r="E1408"/>
    </row>
    <row r="1409" spans="2:5">
      <c r="B1409"/>
      <c r="C1409"/>
      <c r="E1409"/>
    </row>
    <row r="1410" spans="2:5">
      <c r="B1410"/>
      <c r="C1410"/>
      <c r="E1410"/>
    </row>
    <row r="1411" spans="2:5">
      <c r="B1411"/>
      <c r="C1411"/>
      <c r="E1411"/>
    </row>
    <row r="1412" spans="2:5">
      <c r="B1412"/>
      <c r="C1412"/>
      <c r="E1412"/>
    </row>
    <row r="1413" spans="2:5">
      <c r="B1413"/>
      <c r="C1413"/>
      <c r="E1413"/>
    </row>
    <row r="1414" spans="2:5">
      <c r="B1414"/>
      <c r="C1414"/>
      <c r="E1414"/>
    </row>
    <row r="1415" spans="2:5">
      <c r="B1415"/>
      <c r="C1415"/>
      <c r="E1415"/>
    </row>
    <row r="1416" spans="2:5">
      <c r="B1416"/>
      <c r="C1416"/>
      <c r="E1416"/>
    </row>
    <row r="1417" spans="2:5">
      <c r="B1417"/>
      <c r="C1417"/>
      <c r="E1417"/>
    </row>
    <row r="1418" spans="2:5">
      <c r="B1418"/>
      <c r="C1418"/>
      <c r="E1418"/>
    </row>
    <row r="1419" spans="2:5">
      <c r="B1419"/>
      <c r="C1419"/>
      <c r="E1419"/>
    </row>
    <row r="1420" spans="2:5">
      <c r="B1420"/>
      <c r="C1420"/>
      <c r="E1420"/>
    </row>
    <row r="1421" spans="2:5">
      <c r="B1421"/>
      <c r="C1421"/>
      <c r="E1421"/>
    </row>
    <row r="1422" spans="2:5">
      <c r="B1422"/>
      <c r="C1422"/>
      <c r="E1422"/>
    </row>
    <row r="1423" spans="2:5">
      <c r="B1423"/>
      <c r="C1423"/>
      <c r="E1423"/>
    </row>
    <row r="1424" spans="2:5">
      <c r="B1424"/>
      <c r="C1424"/>
      <c r="E1424"/>
    </row>
    <row r="1425" spans="2:5">
      <c r="B1425"/>
      <c r="C1425"/>
      <c r="E1425"/>
    </row>
    <row r="1426" spans="2:5">
      <c r="B1426"/>
      <c r="C1426"/>
      <c r="E1426"/>
    </row>
    <row r="1427" spans="2:5">
      <c r="B1427"/>
      <c r="C1427"/>
      <c r="E1427"/>
    </row>
    <row r="1428" spans="2:5">
      <c r="B1428"/>
      <c r="C1428"/>
      <c r="E1428"/>
    </row>
    <row r="1429" spans="2:5">
      <c r="B1429"/>
      <c r="C1429"/>
      <c r="E1429"/>
    </row>
    <row r="1430" spans="2:5">
      <c r="B1430"/>
      <c r="C1430"/>
      <c r="E1430"/>
    </row>
    <row r="1431" spans="2:5">
      <c r="B1431"/>
      <c r="C1431"/>
      <c r="E1431"/>
    </row>
    <row r="1432" spans="2:5">
      <c r="B1432"/>
      <c r="C1432"/>
      <c r="E1432"/>
    </row>
    <row r="1433" spans="2:5">
      <c r="B1433"/>
      <c r="C1433"/>
      <c r="E1433"/>
    </row>
    <row r="1434" spans="2:5">
      <c r="B1434"/>
      <c r="C1434"/>
      <c r="E1434"/>
    </row>
    <row r="1435" spans="2:5">
      <c r="B1435"/>
      <c r="C1435"/>
      <c r="E1435"/>
    </row>
    <row r="1436" spans="2:5">
      <c r="B1436"/>
      <c r="C1436"/>
      <c r="E1436"/>
    </row>
    <row r="1437" spans="2:5">
      <c r="B1437"/>
      <c r="C1437"/>
      <c r="E1437"/>
    </row>
    <row r="1438" spans="2:5">
      <c r="B1438"/>
      <c r="C1438"/>
      <c r="E1438"/>
    </row>
    <row r="1439" spans="2:5">
      <c r="B1439"/>
      <c r="C1439"/>
      <c r="E1439"/>
    </row>
    <row r="1440" spans="2:5">
      <c r="B1440"/>
      <c r="C1440"/>
      <c r="E1440"/>
    </row>
    <row r="1441" spans="2:5">
      <c r="B1441"/>
      <c r="C1441"/>
      <c r="E1441"/>
    </row>
    <row r="1442" spans="2:5">
      <c r="B1442"/>
      <c r="C1442"/>
      <c r="E1442"/>
    </row>
    <row r="1443" spans="2:5">
      <c r="B1443"/>
      <c r="C1443"/>
      <c r="E1443"/>
    </row>
    <row r="1444" spans="2:5">
      <c r="B1444"/>
      <c r="C1444"/>
      <c r="E1444"/>
    </row>
    <row r="1445" spans="2:5">
      <c r="B1445"/>
      <c r="C1445"/>
      <c r="E1445"/>
    </row>
    <row r="1446" spans="2:5">
      <c r="B1446"/>
      <c r="C1446"/>
      <c r="E1446"/>
    </row>
    <row r="1447" spans="2:5">
      <c r="B1447"/>
      <c r="C1447"/>
      <c r="E1447"/>
    </row>
    <row r="1448" spans="2:5">
      <c r="B1448"/>
      <c r="C1448"/>
      <c r="E1448"/>
    </row>
    <row r="1449" spans="2:5">
      <c r="B1449"/>
      <c r="C1449"/>
      <c r="E1449"/>
    </row>
    <row r="1450" spans="2:5">
      <c r="B1450"/>
      <c r="C1450"/>
      <c r="E1450"/>
    </row>
    <row r="1451" spans="2:5">
      <c r="B1451"/>
      <c r="C1451"/>
      <c r="E1451"/>
    </row>
    <row r="1452" spans="2:5">
      <c r="B1452"/>
      <c r="C1452"/>
      <c r="E1452"/>
    </row>
    <row r="1453" spans="2:5">
      <c r="B1453"/>
      <c r="C1453"/>
      <c r="E1453"/>
    </row>
    <row r="1454" spans="2:5">
      <c r="B1454"/>
      <c r="C1454"/>
      <c r="E1454"/>
    </row>
    <row r="1455" spans="2:5">
      <c r="B1455"/>
      <c r="C1455"/>
      <c r="E1455"/>
    </row>
    <row r="1456" spans="2:5">
      <c r="B1456"/>
      <c r="C1456"/>
      <c r="E1456"/>
    </row>
    <row r="1457" spans="2:5">
      <c r="B1457"/>
      <c r="C1457"/>
      <c r="E1457"/>
    </row>
    <row r="1458" spans="2:5">
      <c r="B1458"/>
      <c r="C1458"/>
      <c r="E1458"/>
    </row>
    <row r="1459" spans="2:5">
      <c r="B1459"/>
      <c r="C1459"/>
      <c r="E1459"/>
    </row>
    <row r="1460" spans="2:5">
      <c r="B1460"/>
      <c r="C1460"/>
      <c r="E1460"/>
    </row>
    <row r="1461" spans="2:5">
      <c r="B1461"/>
      <c r="C1461"/>
      <c r="E1461"/>
    </row>
    <row r="1462" spans="2:5">
      <c r="B1462"/>
      <c r="C1462"/>
      <c r="E1462"/>
    </row>
    <row r="1463" spans="2:5">
      <c r="B1463"/>
      <c r="C1463"/>
      <c r="E1463"/>
    </row>
    <row r="1464" spans="2:5">
      <c r="B1464"/>
      <c r="C1464"/>
      <c r="E1464"/>
    </row>
    <row r="1465" spans="2:5">
      <c r="B1465"/>
      <c r="C1465"/>
      <c r="E1465"/>
    </row>
    <row r="1466" spans="2:5">
      <c r="B1466"/>
      <c r="C1466"/>
      <c r="E1466"/>
    </row>
    <row r="1467" spans="2:5">
      <c r="B1467"/>
      <c r="C1467"/>
      <c r="E1467"/>
    </row>
    <row r="1468" spans="2:5">
      <c r="B1468"/>
      <c r="C1468"/>
      <c r="E1468"/>
    </row>
    <row r="1469" spans="2:5">
      <c r="B1469"/>
      <c r="C1469"/>
      <c r="E1469"/>
    </row>
    <row r="1470" spans="2:5">
      <c r="B1470"/>
      <c r="C1470"/>
      <c r="E1470"/>
    </row>
    <row r="1471" spans="2:5">
      <c r="B1471"/>
      <c r="C1471"/>
      <c r="E1471"/>
    </row>
    <row r="1472" spans="2:5">
      <c r="B1472"/>
      <c r="C1472"/>
      <c r="E1472"/>
    </row>
    <row r="1473" spans="2:5">
      <c r="B1473"/>
      <c r="C1473"/>
      <c r="E1473"/>
    </row>
    <row r="1474" spans="2:5">
      <c r="B1474"/>
      <c r="C1474"/>
      <c r="E1474"/>
    </row>
    <row r="1475" spans="2:5">
      <c r="B1475"/>
      <c r="C1475"/>
      <c r="E1475"/>
    </row>
    <row r="1476" spans="2:5">
      <c r="B1476"/>
      <c r="C1476"/>
      <c r="E1476"/>
    </row>
    <row r="1477" spans="2:5">
      <c r="B1477"/>
      <c r="C1477"/>
      <c r="E1477"/>
    </row>
    <row r="1478" spans="2:5">
      <c r="B1478"/>
      <c r="C1478"/>
      <c r="E1478"/>
    </row>
    <row r="1479" spans="2:5">
      <c r="B1479"/>
      <c r="C1479"/>
      <c r="E1479"/>
    </row>
    <row r="1480" spans="2:5">
      <c r="B1480"/>
      <c r="C1480"/>
      <c r="E1480"/>
    </row>
    <row r="1481" spans="2:5">
      <c r="B1481"/>
      <c r="C1481"/>
      <c r="E1481"/>
    </row>
    <row r="1482" spans="2:5">
      <c r="B1482"/>
      <c r="C1482"/>
      <c r="E1482"/>
    </row>
    <row r="1483" spans="2:5">
      <c r="B1483"/>
      <c r="C1483"/>
      <c r="E1483"/>
    </row>
    <row r="1484" spans="2:5">
      <c r="B1484"/>
      <c r="C1484"/>
      <c r="E1484"/>
    </row>
    <row r="1485" spans="2:5">
      <c r="B1485"/>
      <c r="C1485"/>
      <c r="E1485"/>
    </row>
    <row r="1486" spans="2:5">
      <c r="B1486"/>
      <c r="C1486"/>
      <c r="E1486"/>
    </row>
    <row r="1487" spans="2:5">
      <c r="B1487"/>
      <c r="C1487"/>
      <c r="E1487"/>
    </row>
    <row r="1488" spans="2:5">
      <c r="B1488"/>
      <c r="C1488"/>
      <c r="E1488"/>
    </row>
    <row r="1489" spans="2:5">
      <c r="B1489"/>
      <c r="C1489"/>
      <c r="E1489"/>
    </row>
    <row r="1490" spans="2:5">
      <c r="B1490"/>
      <c r="C1490"/>
      <c r="E1490"/>
    </row>
    <row r="1491" spans="2:5">
      <c r="B1491"/>
      <c r="C1491"/>
      <c r="E1491"/>
    </row>
    <row r="1492" spans="2:5">
      <c r="B1492"/>
      <c r="C1492"/>
      <c r="E1492"/>
    </row>
    <row r="1493" spans="2:5">
      <c r="B1493"/>
      <c r="C1493"/>
      <c r="E1493"/>
    </row>
    <row r="1494" spans="2:5">
      <c r="B1494"/>
      <c r="C1494"/>
      <c r="E1494"/>
    </row>
    <row r="1495" spans="2:5">
      <c r="B1495"/>
      <c r="C1495"/>
      <c r="E1495"/>
    </row>
    <row r="1496" spans="2:5">
      <c r="B1496"/>
      <c r="C1496"/>
      <c r="E1496"/>
    </row>
    <row r="1497" spans="2:5">
      <c r="B1497"/>
      <c r="C1497"/>
      <c r="E1497"/>
    </row>
    <row r="1498" spans="2:5">
      <c r="B1498"/>
      <c r="C1498"/>
      <c r="E1498"/>
    </row>
    <row r="1499" spans="2:5">
      <c r="B1499"/>
      <c r="C1499"/>
      <c r="E1499"/>
    </row>
    <row r="1500" spans="2:5">
      <c r="B1500"/>
      <c r="C1500"/>
      <c r="E1500"/>
    </row>
    <row r="1501" spans="2:5">
      <c r="B1501"/>
      <c r="C1501"/>
      <c r="E1501"/>
    </row>
    <row r="1502" spans="2:5">
      <c r="B1502"/>
      <c r="C1502"/>
      <c r="E1502"/>
    </row>
    <row r="1503" spans="2:5">
      <c r="B1503"/>
      <c r="C1503"/>
      <c r="E1503"/>
    </row>
    <row r="1504" spans="2:5">
      <c r="B1504"/>
      <c r="C1504"/>
      <c r="E1504"/>
    </row>
    <row r="1505" spans="2:5">
      <c r="B1505"/>
      <c r="C1505"/>
      <c r="E1505"/>
    </row>
    <row r="1506" spans="2:5">
      <c r="B1506"/>
      <c r="C1506"/>
      <c r="E1506"/>
    </row>
    <row r="1507" spans="2:5">
      <c r="B1507"/>
      <c r="C1507"/>
      <c r="E1507"/>
    </row>
    <row r="1508" spans="2:5">
      <c r="B1508"/>
      <c r="C1508"/>
      <c r="E1508"/>
    </row>
    <row r="1509" spans="2:5">
      <c r="B1509"/>
      <c r="C1509"/>
      <c r="E1509"/>
    </row>
    <row r="1510" spans="2:5">
      <c r="B1510"/>
      <c r="C1510"/>
      <c r="E1510"/>
    </row>
    <row r="1511" spans="2:5">
      <c r="B1511"/>
      <c r="C1511"/>
      <c r="E1511"/>
    </row>
    <row r="1512" spans="2:5">
      <c r="B1512"/>
      <c r="C1512"/>
      <c r="E1512"/>
    </row>
    <row r="1513" spans="2:5">
      <c r="B1513"/>
      <c r="C1513"/>
      <c r="E1513"/>
    </row>
    <row r="1514" spans="2:5">
      <c r="B1514"/>
      <c r="C1514"/>
      <c r="E1514"/>
    </row>
    <row r="1515" spans="2:5">
      <c r="B1515"/>
      <c r="C1515"/>
      <c r="E1515"/>
    </row>
    <row r="1516" spans="2:5">
      <c r="B1516"/>
      <c r="C1516"/>
      <c r="E1516"/>
    </row>
    <row r="1517" spans="2:5">
      <c r="B1517"/>
      <c r="C1517"/>
      <c r="E1517"/>
    </row>
    <row r="1518" spans="2:5">
      <c r="B1518"/>
      <c r="C1518"/>
      <c r="E1518"/>
    </row>
    <row r="1519" spans="2:5">
      <c r="B1519"/>
      <c r="C1519"/>
      <c r="E1519"/>
    </row>
    <row r="1520" spans="2:5">
      <c r="B1520"/>
      <c r="C1520"/>
      <c r="E1520"/>
    </row>
    <row r="1521" spans="2:5">
      <c r="B1521"/>
      <c r="C1521"/>
      <c r="E1521"/>
    </row>
    <row r="1522" spans="2:5">
      <c r="B1522"/>
      <c r="C1522"/>
      <c r="E1522"/>
    </row>
    <row r="1523" spans="2:5">
      <c r="B1523"/>
      <c r="C1523"/>
      <c r="E1523"/>
    </row>
    <row r="1524" spans="2:5">
      <c r="B1524"/>
      <c r="C1524"/>
      <c r="E1524"/>
    </row>
    <row r="1525" spans="2:5">
      <c r="B1525"/>
      <c r="C1525"/>
      <c r="E1525"/>
    </row>
    <row r="1526" spans="2:5">
      <c r="B1526"/>
      <c r="C1526"/>
      <c r="E1526"/>
    </row>
    <row r="1527" spans="2:5">
      <c r="B1527"/>
      <c r="C1527"/>
      <c r="E1527"/>
    </row>
    <row r="1528" spans="2:5">
      <c r="B1528"/>
      <c r="C1528"/>
      <c r="E1528"/>
    </row>
    <row r="1529" spans="2:5">
      <c r="B1529"/>
      <c r="C1529"/>
      <c r="E1529"/>
    </row>
    <row r="1530" spans="2:5">
      <c r="B1530"/>
      <c r="C1530"/>
      <c r="E1530"/>
    </row>
    <row r="1531" spans="2:5">
      <c r="B1531"/>
      <c r="C1531"/>
      <c r="E1531"/>
    </row>
    <row r="1532" spans="2:5">
      <c r="B1532"/>
      <c r="C1532"/>
      <c r="E1532"/>
    </row>
    <row r="1533" spans="2:5">
      <c r="B1533"/>
      <c r="C1533"/>
      <c r="E1533"/>
    </row>
    <row r="1534" spans="2:5">
      <c r="B1534"/>
      <c r="C1534"/>
      <c r="E1534"/>
    </row>
    <row r="1535" spans="2:5">
      <c r="B1535"/>
      <c r="C1535"/>
      <c r="E1535"/>
    </row>
    <row r="1536" spans="2:5">
      <c r="B1536"/>
      <c r="C1536"/>
      <c r="E1536"/>
    </row>
    <row r="1537" spans="2:5">
      <c r="B1537"/>
      <c r="C1537"/>
      <c r="E1537"/>
    </row>
    <row r="1538" spans="2:5">
      <c r="B1538"/>
      <c r="C1538"/>
      <c r="E1538"/>
    </row>
    <row r="1539" spans="2:5">
      <c r="B1539"/>
      <c r="C1539"/>
      <c r="E1539"/>
    </row>
    <row r="1540" spans="2:5">
      <c r="B1540"/>
      <c r="C1540"/>
      <c r="E1540"/>
    </row>
    <row r="1541" spans="2:5">
      <c r="B1541"/>
      <c r="C1541"/>
      <c r="E1541"/>
    </row>
    <row r="1542" spans="2:5">
      <c r="B1542"/>
      <c r="C1542"/>
      <c r="E1542"/>
    </row>
    <row r="1543" spans="2:5">
      <c r="B1543"/>
      <c r="C1543"/>
      <c r="E1543"/>
    </row>
    <row r="1544" spans="2:5">
      <c r="B1544"/>
      <c r="C1544"/>
      <c r="E1544"/>
    </row>
    <row r="1545" spans="2:5">
      <c r="B1545"/>
      <c r="C1545"/>
      <c r="E1545"/>
    </row>
    <row r="1546" spans="2:5">
      <c r="B1546"/>
      <c r="C1546"/>
      <c r="E1546"/>
    </row>
    <row r="1547" spans="2:5">
      <c r="B1547"/>
      <c r="C1547"/>
      <c r="E1547"/>
    </row>
    <row r="1548" spans="2:5">
      <c r="B1548"/>
      <c r="C1548"/>
      <c r="E1548"/>
    </row>
    <row r="1549" spans="2:5">
      <c r="B1549"/>
      <c r="C1549"/>
      <c r="E1549"/>
    </row>
    <row r="1550" spans="2:5">
      <c r="B1550"/>
      <c r="C1550"/>
      <c r="E1550"/>
    </row>
    <row r="1551" spans="2:5">
      <c r="B1551"/>
      <c r="C1551"/>
      <c r="E1551"/>
    </row>
    <row r="1552" spans="2:5">
      <c r="B1552"/>
      <c r="C1552"/>
      <c r="E1552"/>
    </row>
    <row r="1553" spans="2:5">
      <c r="B1553"/>
      <c r="C1553"/>
      <c r="E1553"/>
    </row>
    <row r="1554" spans="2:5">
      <c r="B1554"/>
      <c r="C1554"/>
      <c r="E1554"/>
    </row>
    <row r="1555" spans="2:5">
      <c r="B1555"/>
      <c r="C1555"/>
      <c r="E1555"/>
    </row>
    <row r="1556" spans="2:5">
      <c r="B1556"/>
      <c r="C1556"/>
      <c r="E1556"/>
    </row>
    <row r="1557" spans="2:5">
      <c r="B1557"/>
      <c r="C1557"/>
      <c r="E1557"/>
    </row>
    <row r="1558" spans="2:5">
      <c r="B1558"/>
      <c r="C1558"/>
      <c r="E1558"/>
    </row>
    <row r="1559" spans="2:5">
      <c r="B1559"/>
      <c r="C1559"/>
      <c r="E1559"/>
    </row>
    <row r="1560" spans="2:5">
      <c r="B1560"/>
      <c r="C1560"/>
      <c r="E1560"/>
    </row>
    <row r="1561" spans="2:5">
      <c r="B1561"/>
      <c r="C1561"/>
      <c r="E1561"/>
    </row>
    <row r="1562" spans="2:5">
      <c r="B1562"/>
      <c r="C1562"/>
      <c r="E1562"/>
    </row>
    <row r="1563" spans="2:5">
      <c r="B1563"/>
      <c r="C1563"/>
      <c r="E1563"/>
    </row>
    <row r="1564" spans="2:5">
      <c r="B1564"/>
      <c r="C1564"/>
      <c r="E1564"/>
    </row>
    <row r="1565" spans="2:5">
      <c r="B1565"/>
      <c r="C1565"/>
      <c r="E1565"/>
    </row>
    <row r="1566" spans="2:5">
      <c r="B1566"/>
      <c r="C1566"/>
      <c r="E1566"/>
    </row>
    <row r="1567" spans="2:5">
      <c r="B1567"/>
      <c r="C1567"/>
      <c r="E1567"/>
    </row>
    <row r="1568" spans="2:5">
      <c r="B1568"/>
      <c r="C1568"/>
      <c r="E1568"/>
    </row>
    <row r="1569" spans="2:5">
      <c r="B1569"/>
      <c r="C1569"/>
      <c r="E1569"/>
    </row>
    <row r="1570" spans="2:5">
      <c r="B1570"/>
      <c r="C1570"/>
      <c r="E1570"/>
    </row>
    <row r="1571" spans="2:5">
      <c r="B1571"/>
      <c r="C1571"/>
      <c r="E1571"/>
    </row>
    <row r="1572" spans="2:5">
      <c r="B1572"/>
      <c r="C1572"/>
      <c r="E1572"/>
    </row>
    <row r="1573" spans="2:5">
      <c r="B1573"/>
      <c r="C1573"/>
      <c r="E1573"/>
    </row>
    <row r="1574" spans="2:5">
      <c r="B1574"/>
      <c r="C1574"/>
      <c r="E1574"/>
    </row>
    <row r="1575" spans="2:5">
      <c r="B1575"/>
      <c r="C1575"/>
      <c r="E1575"/>
    </row>
    <row r="1576" spans="2:5">
      <c r="B1576"/>
      <c r="C1576"/>
      <c r="E1576"/>
    </row>
    <row r="1577" spans="2:5">
      <c r="B1577"/>
      <c r="C1577"/>
      <c r="E1577"/>
    </row>
    <row r="1578" spans="2:5">
      <c r="B1578"/>
      <c r="C1578"/>
      <c r="E1578"/>
    </row>
    <row r="1579" spans="2:5">
      <c r="B1579"/>
      <c r="C1579"/>
      <c r="E1579"/>
    </row>
    <row r="1580" spans="2:5">
      <c r="B1580"/>
      <c r="C1580"/>
      <c r="E1580"/>
    </row>
    <row r="1581" spans="2:5">
      <c r="B1581"/>
      <c r="C1581"/>
      <c r="E1581"/>
    </row>
    <row r="1582" spans="2:5">
      <c r="B1582"/>
      <c r="C1582"/>
      <c r="E1582"/>
    </row>
    <row r="1583" spans="2:5">
      <c r="B1583"/>
      <c r="C1583"/>
      <c r="E1583"/>
    </row>
    <row r="1584" spans="2:5">
      <c r="B1584"/>
      <c r="C1584"/>
      <c r="E1584"/>
    </row>
    <row r="1585" spans="2:5">
      <c r="B1585"/>
      <c r="C1585"/>
      <c r="E1585"/>
    </row>
    <row r="1586" spans="2:5">
      <c r="B1586"/>
      <c r="C1586"/>
      <c r="E1586"/>
    </row>
    <row r="1587" spans="2:5">
      <c r="B1587"/>
      <c r="C1587"/>
      <c r="E1587"/>
    </row>
    <row r="1588" spans="2:5">
      <c r="B1588"/>
      <c r="C1588"/>
      <c r="E1588"/>
    </row>
    <row r="1589" spans="2:5">
      <c r="B1589"/>
      <c r="C1589"/>
      <c r="E1589"/>
    </row>
    <row r="1590" spans="2:5">
      <c r="B1590"/>
      <c r="C1590"/>
      <c r="E1590"/>
    </row>
    <row r="1591" spans="2:5">
      <c r="B1591"/>
      <c r="C1591"/>
      <c r="E1591"/>
    </row>
    <row r="1592" spans="2:5">
      <c r="B1592"/>
      <c r="C1592"/>
      <c r="E1592"/>
    </row>
    <row r="1593" spans="2:5">
      <c r="B1593"/>
      <c r="C1593"/>
      <c r="E1593"/>
    </row>
    <row r="1594" spans="2:5">
      <c r="B1594"/>
      <c r="C1594"/>
      <c r="E1594"/>
    </row>
    <row r="1595" spans="2:5">
      <c r="B1595"/>
      <c r="C1595"/>
      <c r="E1595"/>
    </row>
    <row r="1596" spans="2:5">
      <c r="B1596"/>
      <c r="C1596"/>
      <c r="E1596"/>
    </row>
    <row r="1597" spans="2:5">
      <c r="B1597"/>
      <c r="C1597"/>
      <c r="E1597"/>
    </row>
    <row r="1598" spans="2:5">
      <c r="B1598"/>
      <c r="C1598"/>
      <c r="E1598"/>
    </row>
    <row r="1599" spans="2:5">
      <c r="B1599"/>
      <c r="C1599"/>
      <c r="E1599"/>
    </row>
    <row r="1600" spans="2:5">
      <c r="B1600"/>
      <c r="C1600"/>
      <c r="E1600"/>
    </row>
    <row r="1601" spans="2:5">
      <c r="B1601"/>
      <c r="C1601"/>
      <c r="E1601"/>
    </row>
    <row r="1602" spans="2:5">
      <c r="B1602"/>
      <c r="C1602"/>
      <c r="E1602"/>
    </row>
    <row r="1603" spans="2:5">
      <c r="B1603"/>
      <c r="C1603"/>
      <c r="E1603"/>
    </row>
    <row r="1604" spans="2:5">
      <c r="B1604"/>
      <c r="C1604"/>
      <c r="E1604"/>
    </row>
    <row r="1605" spans="2:5">
      <c r="B1605"/>
      <c r="C1605"/>
      <c r="E1605"/>
    </row>
    <row r="1606" spans="2:5">
      <c r="B1606"/>
      <c r="C1606"/>
      <c r="E1606"/>
    </row>
    <row r="1607" spans="2:5">
      <c r="B1607"/>
      <c r="C1607"/>
      <c r="E1607"/>
    </row>
    <row r="1608" spans="2:5">
      <c r="B1608"/>
      <c r="C1608"/>
      <c r="E1608"/>
    </row>
    <row r="1609" spans="2:5">
      <c r="B1609"/>
      <c r="C1609"/>
      <c r="E1609"/>
    </row>
    <row r="1610" spans="2:5">
      <c r="B1610"/>
      <c r="C1610"/>
      <c r="E1610"/>
    </row>
    <row r="1611" spans="2:5">
      <c r="B1611"/>
      <c r="C1611"/>
      <c r="E1611"/>
    </row>
    <row r="1612" spans="2:5">
      <c r="B1612"/>
      <c r="C1612"/>
      <c r="E1612"/>
    </row>
    <row r="1613" spans="2:5">
      <c r="B1613"/>
      <c r="C1613"/>
      <c r="E1613"/>
    </row>
    <row r="1614" spans="2:5">
      <c r="B1614"/>
      <c r="C1614"/>
      <c r="E1614"/>
    </row>
    <row r="1615" spans="2:5">
      <c r="B1615"/>
      <c r="C1615"/>
      <c r="E1615"/>
    </row>
    <row r="1616" spans="2:5">
      <c r="B1616"/>
      <c r="C1616"/>
      <c r="E1616"/>
    </row>
    <row r="1617" spans="2:5">
      <c r="B1617"/>
      <c r="C1617"/>
      <c r="E1617"/>
    </row>
    <row r="1618" spans="2:5">
      <c r="B1618"/>
      <c r="C1618"/>
      <c r="E1618"/>
    </row>
    <row r="1619" spans="2:5">
      <c r="B1619"/>
      <c r="C1619"/>
      <c r="E1619"/>
    </row>
    <row r="1620" spans="2:5">
      <c r="B1620"/>
      <c r="C1620"/>
      <c r="E1620"/>
    </row>
    <row r="1621" spans="2:5">
      <c r="B1621"/>
      <c r="C1621"/>
      <c r="E1621"/>
    </row>
    <row r="1622" spans="2:5">
      <c r="B1622"/>
      <c r="C1622"/>
      <c r="E1622"/>
    </row>
    <row r="1623" spans="2:5">
      <c r="B1623"/>
      <c r="C1623"/>
      <c r="E1623"/>
    </row>
    <row r="1624" spans="2:5">
      <c r="B1624"/>
      <c r="C1624"/>
      <c r="E1624"/>
    </row>
    <row r="1625" spans="2:5">
      <c r="B1625"/>
      <c r="C1625"/>
      <c r="E1625"/>
    </row>
    <row r="1626" spans="2:5">
      <c r="B1626"/>
      <c r="C1626"/>
      <c r="E1626"/>
    </row>
    <row r="1627" spans="2:5">
      <c r="B1627"/>
      <c r="C1627"/>
      <c r="E1627"/>
    </row>
    <row r="1628" spans="2:5">
      <c r="B1628"/>
      <c r="C1628"/>
      <c r="E1628"/>
    </row>
    <row r="1629" spans="2:5">
      <c r="B1629"/>
      <c r="C1629"/>
      <c r="E1629"/>
    </row>
    <row r="1630" spans="2:5">
      <c r="B1630"/>
      <c r="C1630"/>
      <c r="E1630"/>
    </row>
    <row r="1631" spans="2:5">
      <c r="B1631"/>
      <c r="C1631"/>
      <c r="E1631"/>
    </row>
    <row r="1632" spans="2:5">
      <c r="B1632"/>
      <c r="C1632"/>
      <c r="E1632"/>
    </row>
    <row r="1633" spans="2:5">
      <c r="B1633"/>
      <c r="C1633"/>
      <c r="E1633"/>
    </row>
    <row r="1634" spans="2:5">
      <c r="B1634"/>
      <c r="C1634"/>
      <c r="E1634"/>
    </row>
    <row r="1635" spans="2:5">
      <c r="B1635"/>
      <c r="C1635"/>
      <c r="E1635"/>
    </row>
    <row r="1636" spans="2:5">
      <c r="B1636"/>
      <c r="C1636"/>
      <c r="E1636"/>
    </row>
    <row r="1637" spans="2:5">
      <c r="B1637"/>
      <c r="C1637"/>
      <c r="E1637"/>
    </row>
    <row r="1638" spans="2:5">
      <c r="B1638"/>
      <c r="C1638"/>
      <c r="E1638"/>
    </row>
    <row r="1639" spans="2:5">
      <c r="B1639"/>
      <c r="C1639"/>
      <c r="E1639"/>
    </row>
    <row r="1640" spans="2:5">
      <c r="B1640"/>
      <c r="C1640"/>
      <c r="E1640"/>
    </row>
    <row r="1641" spans="2:5">
      <c r="B1641"/>
      <c r="C1641"/>
      <c r="E1641"/>
    </row>
    <row r="1642" spans="2:5">
      <c r="B1642"/>
      <c r="C1642"/>
      <c r="E1642"/>
    </row>
    <row r="1643" spans="2:5">
      <c r="B1643"/>
      <c r="C1643"/>
      <c r="E1643"/>
    </row>
    <row r="1644" spans="2:5">
      <c r="B1644"/>
      <c r="C1644"/>
      <c r="E1644"/>
    </row>
    <row r="1645" spans="2:5">
      <c r="B1645"/>
      <c r="C1645"/>
      <c r="E1645"/>
    </row>
    <row r="1646" spans="2:5">
      <c r="B1646"/>
      <c r="C1646"/>
      <c r="E1646"/>
    </row>
    <row r="1647" spans="2:5">
      <c r="B1647"/>
      <c r="C1647"/>
      <c r="E1647"/>
    </row>
    <row r="1648" spans="2:5">
      <c r="B1648"/>
      <c r="C1648"/>
      <c r="E1648"/>
    </row>
    <row r="1649" spans="2:5">
      <c r="B1649"/>
      <c r="C1649"/>
      <c r="E1649"/>
    </row>
    <row r="1650" spans="2:5">
      <c r="B1650"/>
      <c r="C1650"/>
      <c r="E1650"/>
    </row>
    <row r="1651" spans="2:5">
      <c r="B1651"/>
      <c r="C1651"/>
      <c r="E1651"/>
    </row>
    <row r="1652" spans="2:5">
      <c r="B1652"/>
      <c r="C1652"/>
      <c r="E1652"/>
    </row>
    <row r="1653" spans="2:5">
      <c r="B1653"/>
      <c r="C1653"/>
      <c r="E1653"/>
    </row>
    <row r="1654" spans="2:5">
      <c r="B1654"/>
      <c r="C1654"/>
      <c r="E1654"/>
    </row>
    <row r="1655" spans="2:5">
      <c r="B1655"/>
      <c r="C1655"/>
      <c r="E1655"/>
    </row>
    <row r="1656" spans="2:5">
      <c r="B1656"/>
      <c r="C1656"/>
      <c r="E1656"/>
    </row>
    <row r="1657" spans="2:5">
      <c r="B1657"/>
      <c r="C1657"/>
      <c r="E1657"/>
    </row>
    <row r="1658" spans="2:5">
      <c r="B1658"/>
      <c r="C1658"/>
      <c r="E1658"/>
    </row>
    <row r="1659" spans="2:5">
      <c r="B1659"/>
      <c r="C1659"/>
      <c r="E1659"/>
    </row>
    <row r="1660" spans="2:5">
      <c r="B1660"/>
      <c r="C1660"/>
      <c r="E1660"/>
    </row>
    <row r="1661" spans="2:5">
      <c r="B1661"/>
      <c r="C1661"/>
      <c r="E1661"/>
    </row>
    <row r="1662" spans="2:5">
      <c r="B1662"/>
      <c r="C1662"/>
      <c r="E1662"/>
    </row>
    <row r="1663" spans="2:5">
      <c r="B1663"/>
      <c r="C1663"/>
      <c r="E1663"/>
    </row>
    <row r="1664" spans="2:5">
      <c r="B1664"/>
      <c r="C1664"/>
      <c r="E1664"/>
    </row>
    <row r="1665" spans="2:5">
      <c r="B1665"/>
      <c r="C1665"/>
      <c r="E1665"/>
    </row>
    <row r="1666" spans="2:5">
      <c r="B1666"/>
      <c r="C1666"/>
      <c r="E1666"/>
    </row>
    <row r="1667" spans="2:5">
      <c r="B1667"/>
      <c r="C1667"/>
      <c r="E1667"/>
    </row>
    <row r="1668" spans="2:5">
      <c r="B1668"/>
      <c r="C1668"/>
      <c r="E1668"/>
    </row>
    <row r="1669" spans="2:5">
      <c r="B1669"/>
      <c r="C1669"/>
      <c r="E1669"/>
    </row>
    <row r="1670" spans="2:5">
      <c r="B1670"/>
      <c r="C1670"/>
      <c r="E1670"/>
    </row>
    <row r="1671" spans="2:5">
      <c r="B1671"/>
      <c r="C1671"/>
      <c r="E1671"/>
    </row>
    <row r="1672" spans="2:5">
      <c r="B1672"/>
      <c r="C1672"/>
      <c r="E1672"/>
    </row>
    <row r="1673" spans="2:5">
      <c r="B1673"/>
      <c r="C1673"/>
      <c r="E1673"/>
    </row>
    <row r="1674" spans="2:5">
      <c r="B1674"/>
      <c r="C1674"/>
      <c r="E1674"/>
    </row>
    <row r="1675" spans="2:5">
      <c r="B1675"/>
      <c r="C1675"/>
      <c r="E1675"/>
    </row>
    <row r="1676" spans="2:5">
      <c r="B1676"/>
      <c r="C1676"/>
      <c r="E1676"/>
    </row>
    <row r="1677" spans="2:5">
      <c r="B1677"/>
      <c r="C1677"/>
      <c r="E1677"/>
    </row>
    <row r="1678" spans="2:5">
      <c r="B1678"/>
      <c r="C1678"/>
      <c r="E1678"/>
    </row>
    <row r="1679" spans="2:5">
      <c r="B1679"/>
      <c r="C1679"/>
      <c r="E1679"/>
    </row>
    <row r="1680" spans="2:5">
      <c r="B1680"/>
      <c r="C1680"/>
      <c r="E1680"/>
    </row>
    <row r="1681" spans="2:5">
      <c r="B1681"/>
      <c r="C1681"/>
      <c r="E1681"/>
    </row>
    <row r="1682" spans="2:5">
      <c r="B1682"/>
      <c r="C1682"/>
      <c r="E1682"/>
    </row>
    <row r="1683" spans="2:5">
      <c r="B1683"/>
      <c r="C1683"/>
      <c r="E1683"/>
    </row>
    <row r="1684" spans="2:5">
      <c r="B1684"/>
      <c r="C1684"/>
      <c r="E1684"/>
    </row>
    <row r="1685" spans="2:5">
      <c r="B1685"/>
      <c r="C1685"/>
      <c r="E1685"/>
    </row>
    <row r="1686" spans="2:5">
      <c r="B1686"/>
      <c r="C1686"/>
      <c r="E1686"/>
    </row>
    <row r="1687" spans="2:5">
      <c r="B1687"/>
      <c r="C1687"/>
      <c r="E1687"/>
    </row>
    <row r="1688" spans="2:5">
      <c r="B1688"/>
      <c r="C1688"/>
      <c r="E1688"/>
    </row>
    <row r="1689" spans="2:5">
      <c r="B1689"/>
      <c r="C1689"/>
      <c r="E1689"/>
    </row>
    <row r="1690" spans="2:5">
      <c r="B1690"/>
      <c r="C1690"/>
      <c r="E1690"/>
    </row>
    <row r="1691" spans="2:5">
      <c r="B1691"/>
      <c r="C1691"/>
      <c r="E1691"/>
    </row>
    <row r="1692" spans="2:5">
      <c r="B1692"/>
      <c r="C1692"/>
      <c r="E1692"/>
    </row>
    <row r="1693" spans="2:5">
      <c r="B1693"/>
      <c r="C1693"/>
      <c r="E1693"/>
    </row>
    <row r="1694" spans="2:5">
      <c r="B1694"/>
      <c r="C1694"/>
      <c r="E1694"/>
    </row>
    <row r="1695" spans="2:5">
      <c r="B1695"/>
      <c r="C1695"/>
      <c r="E1695"/>
    </row>
    <row r="1696" spans="2:5">
      <c r="B1696"/>
      <c r="C1696"/>
      <c r="E1696"/>
    </row>
    <row r="1697" spans="2:5">
      <c r="B1697"/>
      <c r="C1697"/>
      <c r="E1697"/>
    </row>
    <row r="1698" spans="2:5">
      <c r="B1698"/>
      <c r="C1698"/>
      <c r="E1698"/>
    </row>
    <row r="1699" spans="2:5">
      <c r="B1699"/>
      <c r="C1699"/>
      <c r="E1699"/>
    </row>
    <row r="1700" spans="2:5">
      <c r="B1700"/>
      <c r="C1700"/>
      <c r="E1700"/>
    </row>
    <row r="1701" spans="2:5">
      <c r="B1701"/>
      <c r="C1701"/>
      <c r="E1701"/>
    </row>
    <row r="1702" spans="2:5">
      <c r="B1702"/>
      <c r="C1702"/>
      <c r="E1702"/>
    </row>
    <row r="1703" spans="2:5">
      <c r="B1703"/>
      <c r="C1703"/>
      <c r="E1703"/>
    </row>
    <row r="1704" spans="2:5">
      <c r="B1704"/>
      <c r="C1704"/>
      <c r="E1704"/>
    </row>
    <row r="1705" spans="2:5">
      <c r="B1705"/>
      <c r="C1705"/>
      <c r="E1705"/>
    </row>
    <row r="1706" spans="2:5">
      <c r="B1706"/>
      <c r="C1706"/>
      <c r="E1706"/>
    </row>
    <row r="1707" spans="2:5">
      <c r="B1707"/>
      <c r="C1707"/>
      <c r="E1707"/>
    </row>
    <row r="1708" spans="2:5">
      <c r="B1708"/>
      <c r="C1708"/>
      <c r="E1708"/>
    </row>
    <row r="1709" spans="2:5">
      <c r="B1709"/>
      <c r="C1709"/>
      <c r="E1709"/>
    </row>
    <row r="1710" spans="2:5">
      <c r="B1710"/>
      <c r="C1710"/>
      <c r="E1710"/>
    </row>
    <row r="1711" spans="2:5">
      <c r="B1711"/>
      <c r="C1711"/>
      <c r="E1711"/>
    </row>
    <row r="1712" spans="2:5">
      <c r="B1712"/>
      <c r="C1712"/>
      <c r="E1712"/>
    </row>
    <row r="1713" spans="2:5">
      <c r="B1713"/>
      <c r="C1713"/>
      <c r="E1713"/>
    </row>
    <row r="1714" spans="2:5">
      <c r="B1714"/>
      <c r="C1714"/>
      <c r="E1714"/>
    </row>
    <row r="1715" spans="2:5">
      <c r="B1715"/>
      <c r="C1715"/>
      <c r="E1715"/>
    </row>
    <row r="1716" spans="2:5">
      <c r="B1716"/>
      <c r="C1716"/>
      <c r="E1716"/>
    </row>
    <row r="1717" spans="2:5">
      <c r="B1717"/>
      <c r="C1717"/>
      <c r="E1717"/>
    </row>
    <row r="1718" spans="2:5">
      <c r="B1718"/>
      <c r="C1718"/>
      <c r="E1718"/>
    </row>
    <row r="1719" spans="2:5">
      <c r="B1719"/>
      <c r="C1719"/>
      <c r="E1719"/>
    </row>
    <row r="1720" spans="2:5">
      <c r="B1720"/>
      <c r="C1720"/>
      <c r="E1720"/>
    </row>
    <row r="1721" spans="2:5">
      <c r="B1721"/>
      <c r="C1721"/>
      <c r="E1721"/>
    </row>
    <row r="1722" spans="2:5">
      <c r="B1722"/>
      <c r="C1722"/>
      <c r="E1722"/>
    </row>
    <row r="1723" spans="2:5">
      <c r="B1723"/>
      <c r="C1723"/>
      <c r="E1723"/>
    </row>
    <row r="1724" spans="2:5">
      <c r="B1724"/>
      <c r="C1724"/>
      <c r="E1724"/>
    </row>
    <row r="1725" spans="2:5">
      <c r="B1725"/>
      <c r="C1725"/>
      <c r="E1725"/>
    </row>
    <row r="1726" spans="2:5">
      <c r="B1726"/>
      <c r="C1726"/>
      <c r="E1726"/>
    </row>
    <row r="1727" spans="2:5">
      <c r="B1727"/>
      <c r="C1727"/>
      <c r="E1727"/>
    </row>
    <row r="1728" spans="2:5">
      <c r="B1728"/>
      <c r="C1728"/>
      <c r="E1728"/>
    </row>
    <row r="1729" spans="2:5">
      <c r="B1729"/>
      <c r="C1729"/>
      <c r="E1729"/>
    </row>
    <row r="1730" spans="2:5">
      <c r="B1730"/>
      <c r="C1730"/>
      <c r="E1730"/>
    </row>
    <row r="1731" spans="2:5">
      <c r="B1731"/>
      <c r="C1731"/>
      <c r="E1731"/>
    </row>
    <row r="1732" spans="2:5">
      <c r="B1732"/>
      <c r="C1732"/>
      <c r="E1732"/>
    </row>
    <row r="1733" spans="2:5">
      <c r="B1733"/>
      <c r="C1733"/>
      <c r="E1733"/>
    </row>
    <row r="1734" spans="2:5">
      <c r="B1734"/>
      <c r="C1734"/>
      <c r="E1734"/>
    </row>
    <row r="1735" spans="2:5">
      <c r="B1735"/>
      <c r="C1735"/>
      <c r="E1735"/>
    </row>
    <row r="1736" spans="2:5">
      <c r="B1736"/>
      <c r="C1736"/>
      <c r="E1736"/>
    </row>
    <row r="1737" spans="2:5">
      <c r="B1737"/>
      <c r="C1737"/>
      <c r="E1737"/>
    </row>
    <row r="1738" spans="2:5">
      <c r="B1738"/>
      <c r="C1738"/>
      <c r="E1738"/>
    </row>
    <row r="1739" spans="2:5">
      <c r="B1739"/>
      <c r="C1739"/>
      <c r="E1739"/>
    </row>
    <row r="1740" spans="2:5">
      <c r="B1740"/>
      <c r="C1740"/>
      <c r="E1740"/>
    </row>
    <row r="1741" spans="2:5">
      <c r="B1741"/>
      <c r="C1741"/>
      <c r="E1741"/>
    </row>
    <row r="1742" spans="2:5">
      <c r="B1742"/>
      <c r="C1742"/>
      <c r="E1742"/>
    </row>
    <row r="1743" spans="2:5">
      <c r="B1743"/>
      <c r="C1743"/>
      <c r="E1743"/>
    </row>
    <row r="1744" spans="2:5">
      <c r="B1744"/>
      <c r="C1744"/>
      <c r="E1744"/>
    </row>
    <row r="1745" spans="2:5">
      <c r="B1745"/>
      <c r="C1745"/>
      <c r="E1745"/>
    </row>
    <row r="1746" spans="2:5">
      <c r="B1746"/>
      <c r="C1746"/>
      <c r="E1746"/>
    </row>
    <row r="1747" spans="2:5">
      <c r="B1747"/>
      <c r="C1747"/>
      <c r="E1747"/>
    </row>
    <row r="1748" spans="2:5">
      <c r="B1748"/>
      <c r="C1748"/>
      <c r="E1748"/>
    </row>
    <row r="1749" spans="2:5">
      <c r="B1749"/>
      <c r="C1749"/>
      <c r="E1749"/>
    </row>
    <row r="1750" spans="2:5">
      <c r="B1750"/>
      <c r="C1750"/>
      <c r="E1750"/>
    </row>
    <row r="1751" spans="2:5">
      <c r="B1751"/>
      <c r="C1751"/>
      <c r="E1751"/>
    </row>
    <row r="1752" spans="2:5">
      <c r="B1752"/>
      <c r="C1752"/>
      <c r="E1752"/>
    </row>
    <row r="1753" spans="2:5">
      <c r="B1753"/>
      <c r="C1753"/>
      <c r="E1753"/>
    </row>
    <row r="1754" spans="2:5">
      <c r="B1754"/>
      <c r="C1754"/>
      <c r="E1754"/>
    </row>
    <row r="1755" spans="2:5">
      <c r="B1755"/>
      <c r="C1755"/>
      <c r="E1755"/>
    </row>
    <row r="1756" spans="2:5">
      <c r="B1756"/>
      <c r="C1756"/>
      <c r="E1756"/>
    </row>
    <row r="1757" spans="2:5">
      <c r="B1757"/>
      <c r="C1757"/>
      <c r="E1757"/>
    </row>
    <row r="1758" spans="2:5">
      <c r="B1758"/>
      <c r="C1758"/>
      <c r="E1758"/>
    </row>
    <row r="1759" spans="2:5">
      <c r="B1759"/>
      <c r="C1759"/>
      <c r="E1759"/>
    </row>
    <row r="1760" spans="2:5">
      <c r="B1760"/>
      <c r="C1760"/>
      <c r="E1760"/>
    </row>
    <row r="1761" spans="2:5">
      <c r="B1761"/>
      <c r="C1761"/>
      <c r="E1761"/>
    </row>
    <row r="1762" spans="2:5">
      <c r="B1762"/>
      <c r="C1762"/>
      <c r="E1762"/>
    </row>
    <row r="1763" spans="2:5">
      <c r="B1763"/>
      <c r="C1763"/>
      <c r="E1763"/>
    </row>
    <row r="1764" spans="2:5">
      <c r="B1764"/>
      <c r="C1764"/>
      <c r="E1764"/>
    </row>
    <row r="1765" spans="2:5">
      <c r="B1765"/>
      <c r="C1765"/>
      <c r="E1765"/>
    </row>
    <row r="1766" spans="2:5">
      <c r="B1766"/>
      <c r="C1766"/>
      <c r="E1766"/>
    </row>
    <row r="1767" spans="2:5">
      <c r="B1767"/>
      <c r="C1767"/>
      <c r="E1767"/>
    </row>
    <row r="1768" spans="2:5">
      <c r="B1768"/>
      <c r="C1768"/>
      <c r="E1768"/>
    </row>
    <row r="1769" spans="2:5">
      <c r="B1769"/>
      <c r="C1769"/>
      <c r="E1769"/>
    </row>
    <row r="1770" spans="2:5">
      <c r="B1770"/>
      <c r="C1770"/>
      <c r="E1770"/>
    </row>
    <row r="1771" spans="2:5">
      <c r="B1771"/>
      <c r="C1771"/>
      <c r="E1771"/>
    </row>
    <row r="1772" spans="2:5">
      <c r="B1772"/>
      <c r="C1772"/>
      <c r="E1772"/>
    </row>
    <row r="1773" spans="2:5">
      <c r="B1773"/>
      <c r="C1773"/>
      <c r="E1773"/>
    </row>
    <row r="1774" spans="2:5">
      <c r="B1774"/>
      <c r="C1774"/>
      <c r="E1774"/>
    </row>
    <row r="1775" spans="2:5">
      <c r="B1775"/>
      <c r="C1775"/>
      <c r="E1775"/>
    </row>
    <row r="1776" spans="2:5">
      <c r="B1776"/>
      <c r="C1776"/>
      <c r="E1776"/>
    </row>
    <row r="1777" spans="2:5">
      <c r="B1777"/>
      <c r="C1777"/>
      <c r="E1777"/>
    </row>
    <row r="1778" spans="2:5">
      <c r="B1778"/>
      <c r="C1778"/>
      <c r="E1778"/>
    </row>
    <row r="1779" spans="2:5">
      <c r="B1779"/>
      <c r="C1779"/>
      <c r="E1779"/>
    </row>
    <row r="1780" spans="2:5">
      <c r="B1780"/>
      <c r="C1780"/>
      <c r="E1780"/>
    </row>
    <row r="1781" spans="2:5">
      <c r="B1781"/>
      <c r="C1781"/>
      <c r="E1781"/>
    </row>
    <row r="1782" spans="2:5">
      <c r="B1782"/>
      <c r="C1782"/>
      <c r="E1782"/>
    </row>
    <row r="1783" spans="2:5">
      <c r="B1783"/>
      <c r="C1783"/>
      <c r="E1783"/>
    </row>
    <row r="1784" spans="2:5">
      <c r="B1784"/>
      <c r="C1784"/>
      <c r="E1784"/>
    </row>
    <row r="1785" spans="2:5">
      <c r="B1785"/>
      <c r="C1785"/>
      <c r="E1785"/>
    </row>
    <row r="1786" spans="2:5">
      <c r="B1786"/>
      <c r="C1786"/>
      <c r="E1786"/>
    </row>
    <row r="1787" spans="2:5">
      <c r="B1787"/>
      <c r="C1787"/>
      <c r="E1787"/>
    </row>
    <row r="1788" spans="2:5">
      <c r="B1788"/>
      <c r="C1788"/>
      <c r="E1788"/>
    </row>
    <row r="1789" spans="2:5">
      <c r="B1789"/>
      <c r="C1789"/>
      <c r="E1789"/>
    </row>
    <row r="1790" spans="2:5">
      <c r="B1790"/>
      <c r="C1790"/>
      <c r="E1790"/>
    </row>
    <row r="1791" spans="2:5">
      <c r="B1791"/>
      <c r="C1791"/>
      <c r="E1791"/>
    </row>
    <row r="1792" spans="2:5">
      <c r="B1792"/>
      <c r="C1792"/>
      <c r="E1792"/>
    </row>
    <row r="1793" spans="2:5">
      <c r="B1793"/>
      <c r="C1793"/>
      <c r="E1793"/>
    </row>
    <row r="1794" spans="2:5">
      <c r="B1794"/>
      <c r="C1794"/>
      <c r="E1794"/>
    </row>
    <row r="1795" spans="2:5">
      <c r="B1795"/>
      <c r="C1795"/>
      <c r="E1795"/>
    </row>
    <row r="1796" spans="2:5">
      <c r="B1796"/>
      <c r="C1796"/>
      <c r="E1796"/>
    </row>
    <row r="1797" spans="2:5">
      <c r="B1797"/>
      <c r="C1797"/>
      <c r="E1797"/>
    </row>
    <row r="1798" spans="2:5">
      <c r="B1798"/>
      <c r="C1798"/>
      <c r="E1798"/>
    </row>
    <row r="1799" spans="2:5">
      <c r="B1799"/>
      <c r="C1799"/>
      <c r="E1799"/>
    </row>
    <row r="1800" spans="2:5">
      <c r="B1800"/>
      <c r="C1800"/>
      <c r="E1800"/>
    </row>
    <row r="1801" spans="2:5">
      <c r="B1801"/>
      <c r="C1801"/>
      <c r="E1801"/>
    </row>
    <row r="1802" spans="2:5">
      <c r="B1802"/>
      <c r="C1802"/>
      <c r="E1802"/>
    </row>
    <row r="1803" spans="2:5">
      <c r="B1803"/>
      <c r="C1803"/>
      <c r="E1803"/>
    </row>
    <row r="1804" spans="2:5">
      <c r="B1804"/>
      <c r="C1804"/>
      <c r="E1804"/>
    </row>
    <row r="1805" spans="2:5">
      <c r="B1805"/>
      <c r="C1805"/>
      <c r="E1805"/>
    </row>
    <row r="1806" spans="2:5">
      <c r="B1806"/>
      <c r="C1806"/>
      <c r="E1806"/>
    </row>
    <row r="1807" spans="2:5">
      <c r="B1807"/>
      <c r="C1807"/>
      <c r="E1807"/>
    </row>
    <row r="1808" spans="2:5">
      <c r="B1808"/>
      <c r="C1808"/>
      <c r="E1808"/>
    </row>
    <row r="1809" spans="2:5">
      <c r="B1809"/>
      <c r="C1809"/>
      <c r="E1809"/>
    </row>
    <row r="1810" spans="2:5">
      <c r="B1810"/>
      <c r="C1810"/>
      <c r="E1810"/>
    </row>
    <row r="1811" spans="2:5">
      <c r="B1811"/>
      <c r="C1811"/>
      <c r="E1811"/>
    </row>
    <row r="1812" spans="2:5">
      <c r="B1812"/>
      <c r="C1812"/>
      <c r="E1812"/>
    </row>
    <row r="1813" spans="2:5">
      <c r="B1813"/>
      <c r="C1813"/>
      <c r="E1813"/>
    </row>
    <row r="1814" spans="2:5">
      <c r="B1814"/>
      <c r="C1814"/>
      <c r="E1814"/>
    </row>
    <row r="1815" spans="2:5">
      <c r="B1815"/>
      <c r="C1815"/>
      <c r="E1815"/>
    </row>
    <row r="1816" spans="2:5">
      <c r="B1816"/>
      <c r="C1816"/>
      <c r="E1816"/>
    </row>
    <row r="1817" spans="2:5">
      <c r="B1817"/>
      <c r="C1817"/>
      <c r="E1817"/>
    </row>
    <row r="1818" spans="2:5">
      <c r="B1818"/>
      <c r="C1818"/>
      <c r="E1818"/>
    </row>
    <row r="1819" spans="2:5">
      <c r="B1819"/>
      <c r="C1819"/>
      <c r="E1819"/>
    </row>
    <row r="1820" spans="2:5">
      <c r="B1820"/>
      <c r="C1820"/>
      <c r="E1820"/>
    </row>
    <row r="1821" spans="2:5">
      <c r="B1821"/>
      <c r="C1821"/>
      <c r="E1821"/>
    </row>
    <row r="1822" spans="2:5">
      <c r="B1822"/>
      <c r="C1822"/>
      <c r="E1822"/>
    </row>
    <row r="1823" spans="2:5">
      <c r="B1823"/>
      <c r="C1823"/>
      <c r="E1823"/>
    </row>
    <row r="1824" spans="2:5">
      <c r="B1824"/>
      <c r="C1824"/>
      <c r="E1824"/>
    </row>
    <row r="1825" spans="2:5">
      <c r="B1825"/>
      <c r="C1825"/>
      <c r="E1825"/>
    </row>
    <row r="1826" spans="2:5">
      <c r="B1826"/>
      <c r="C1826"/>
      <c r="E1826"/>
    </row>
    <row r="1827" spans="2:5">
      <c r="B1827"/>
      <c r="C1827"/>
      <c r="E1827"/>
    </row>
    <row r="1828" spans="2:5">
      <c r="B1828"/>
      <c r="C1828"/>
      <c r="E1828"/>
    </row>
    <row r="1829" spans="2:5">
      <c r="B1829"/>
      <c r="C1829"/>
      <c r="E1829"/>
    </row>
    <row r="1830" spans="2:5">
      <c r="B1830"/>
      <c r="C1830"/>
      <c r="E1830"/>
    </row>
    <row r="1831" spans="2:5">
      <c r="B1831"/>
      <c r="C1831"/>
      <c r="E1831"/>
    </row>
    <row r="1832" spans="2:5">
      <c r="B1832"/>
      <c r="C1832"/>
      <c r="E1832"/>
    </row>
    <row r="1833" spans="2:5">
      <c r="B1833"/>
      <c r="C1833"/>
      <c r="E1833"/>
    </row>
    <row r="1834" spans="2:5">
      <c r="B1834"/>
      <c r="C1834"/>
      <c r="E1834"/>
    </row>
    <row r="1835" spans="2:5">
      <c r="B1835"/>
      <c r="C1835"/>
      <c r="E1835"/>
    </row>
    <row r="1836" spans="2:5">
      <c r="B1836"/>
      <c r="C1836"/>
      <c r="E1836"/>
    </row>
    <row r="1837" spans="2:5">
      <c r="B1837"/>
      <c r="C1837"/>
      <c r="E1837"/>
    </row>
    <row r="1838" spans="2:5">
      <c r="B1838"/>
      <c r="C1838"/>
      <c r="E1838"/>
    </row>
    <row r="1839" spans="2:5">
      <c r="B1839"/>
      <c r="C1839"/>
      <c r="E1839"/>
    </row>
    <row r="1840" spans="2:5">
      <c r="B1840"/>
      <c r="C1840"/>
      <c r="E1840"/>
    </row>
    <row r="1841" spans="2:5">
      <c r="B1841"/>
      <c r="C1841"/>
      <c r="E1841"/>
    </row>
    <row r="1842" spans="2:5">
      <c r="B1842"/>
      <c r="C1842"/>
      <c r="E1842"/>
    </row>
    <row r="1843" spans="2:5">
      <c r="B1843"/>
      <c r="C1843"/>
      <c r="E1843"/>
    </row>
    <row r="1844" spans="2:5">
      <c r="B1844"/>
      <c r="C1844"/>
      <c r="E1844"/>
    </row>
    <row r="1845" spans="2:5">
      <c r="B1845"/>
      <c r="C1845"/>
      <c r="E1845"/>
    </row>
    <row r="1846" spans="2:5">
      <c r="B1846"/>
      <c r="C1846"/>
      <c r="E1846"/>
    </row>
    <row r="1847" spans="2:5">
      <c r="B1847"/>
      <c r="C1847"/>
      <c r="E1847"/>
    </row>
    <row r="1848" spans="2:5">
      <c r="B1848"/>
      <c r="C1848"/>
      <c r="E1848"/>
    </row>
    <row r="1849" spans="2:5">
      <c r="B1849"/>
      <c r="C1849"/>
      <c r="E1849"/>
    </row>
    <row r="1850" spans="2:5">
      <c r="B1850"/>
      <c r="C1850"/>
      <c r="E1850"/>
    </row>
    <row r="1851" spans="2:5">
      <c r="B1851"/>
      <c r="C1851"/>
      <c r="E1851"/>
    </row>
    <row r="1852" spans="2:5">
      <c r="B1852"/>
      <c r="C1852"/>
      <c r="E1852"/>
    </row>
    <row r="1853" spans="2:5">
      <c r="B1853"/>
      <c r="C1853"/>
      <c r="E1853"/>
    </row>
    <row r="1854" spans="2:5">
      <c r="B1854"/>
      <c r="C1854"/>
      <c r="E1854"/>
    </row>
    <row r="1855" spans="2:5">
      <c r="B1855"/>
      <c r="C1855"/>
      <c r="E1855"/>
    </row>
    <row r="1856" spans="2:5">
      <c r="B1856"/>
      <c r="C1856"/>
      <c r="E1856"/>
    </row>
    <row r="1857" spans="2:5">
      <c r="B1857"/>
      <c r="C1857"/>
      <c r="E1857"/>
    </row>
    <row r="1858" spans="2:5">
      <c r="B1858"/>
      <c r="C1858"/>
      <c r="E1858"/>
    </row>
    <row r="1859" spans="2:5">
      <c r="B1859"/>
      <c r="C1859"/>
      <c r="E1859"/>
    </row>
    <row r="1860" spans="2:5">
      <c r="B1860"/>
      <c r="C1860"/>
      <c r="E1860"/>
    </row>
    <row r="1861" spans="2:5">
      <c r="B1861"/>
      <c r="C1861"/>
      <c r="E1861"/>
    </row>
    <row r="1862" spans="2:5">
      <c r="B1862"/>
      <c r="C1862"/>
      <c r="E1862"/>
    </row>
    <row r="1863" spans="2:5">
      <c r="B1863"/>
      <c r="C1863"/>
      <c r="E1863"/>
    </row>
    <row r="1864" spans="2:5">
      <c r="B1864"/>
      <c r="C1864"/>
      <c r="E1864"/>
    </row>
    <row r="1865" spans="2:5">
      <c r="B1865"/>
      <c r="C1865"/>
      <c r="E1865"/>
    </row>
    <row r="1866" spans="2:5">
      <c r="B1866"/>
      <c r="C1866"/>
      <c r="E1866"/>
    </row>
    <row r="1867" spans="2:5">
      <c r="B1867"/>
      <c r="C1867"/>
      <c r="E1867"/>
    </row>
    <row r="1868" spans="2:5">
      <c r="B1868"/>
      <c r="C1868"/>
      <c r="E1868"/>
    </row>
    <row r="1869" spans="2:5">
      <c r="B1869"/>
      <c r="C1869"/>
      <c r="E1869"/>
    </row>
    <row r="1870" spans="2:5">
      <c r="B1870"/>
      <c r="C1870"/>
      <c r="E1870"/>
    </row>
    <row r="1871" spans="2:5">
      <c r="B1871"/>
      <c r="C1871"/>
      <c r="E1871"/>
    </row>
    <row r="1872" spans="2:5">
      <c r="B1872"/>
      <c r="C1872"/>
      <c r="E1872"/>
    </row>
    <row r="1873" spans="2:5">
      <c r="B1873"/>
      <c r="C1873"/>
      <c r="E1873"/>
    </row>
    <row r="1874" spans="2:5">
      <c r="B1874"/>
      <c r="C1874"/>
      <c r="E1874"/>
    </row>
    <row r="1875" spans="2:5">
      <c r="B1875"/>
      <c r="C1875"/>
      <c r="E1875"/>
    </row>
    <row r="1876" spans="2:5">
      <c r="B1876"/>
      <c r="C1876"/>
      <c r="E1876"/>
    </row>
    <row r="1877" spans="2:5">
      <c r="B1877"/>
      <c r="C1877"/>
      <c r="E1877"/>
    </row>
    <row r="1878" spans="2:5">
      <c r="B1878"/>
      <c r="C1878"/>
      <c r="E1878"/>
    </row>
    <row r="1879" spans="2:5">
      <c r="B1879"/>
      <c r="C1879"/>
      <c r="E1879"/>
    </row>
    <row r="1880" spans="2:5">
      <c r="B1880"/>
      <c r="C1880"/>
      <c r="E1880"/>
    </row>
    <row r="1881" spans="2:5">
      <c r="B1881"/>
      <c r="C1881"/>
      <c r="E1881"/>
    </row>
    <row r="1882" spans="2:5">
      <c r="B1882"/>
      <c r="C1882"/>
      <c r="E1882"/>
    </row>
    <row r="1883" spans="2:5">
      <c r="B1883"/>
      <c r="C1883"/>
      <c r="E1883"/>
    </row>
    <row r="1884" spans="2:5">
      <c r="B1884"/>
      <c r="C1884"/>
      <c r="E1884"/>
    </row>
    <row r="1885" spans="2:5">
      <c r="B1885"/>
      <c r="C1885"/>
      <c r="E1885"/>
    </row>
    <row r="1886" spans="2:5">
      <c r="B1886"/>
      <c r="C1886"/>
      <c r="E1886"/>
    </row>
    <row r="1887" spans="2:5">
      <c r="B1887"/>
      <c r="C1887"/>
      <c r="E1887"/>
    </row>
    <row r="1888" spans="2:5">
      <c r="B1888"/>
      <c r="C1888"/>
      <c r="E1888"/>
    </row>
    <row r="1889" spans="2:5">
      <c r="B1889"/>
      <c r="C1889"/>
      <c r="E1889"/>
    </row>
    <row r="1890" spans="2:5">
      <c r="B1890"/>
      <c r="C1890"/>
      <c r="E1890"/>
    </row>
    <row r="1891" spans="2:5">
      <c r="B1891"/>
      <c r="C1891"/>
      <c r="E1891"/>
    </row>
    <row r="1892" spans="2:5">
      <c r="B1892"/>
      <c r="C1892"/>
      <c r="E1892"/>
    </row>
    <row r="1893" spans="2:5">
      <c r="B1893"/>
      <c r="C1893"/>
      <c r="E1893"/>
    </row>
    <row r="1894" spans="2:5">
      <c r="B1894"/>
      <c r="C1894"/>
      <c r="E1894"/>
    </row>
    <row r="1895" spans="2:5">
      <c r="B1895"/>
      <c r="C1895"/>
      <c r="E1895"/>
    </row>
    <row r="1896" spans="2:5">
      <c r="B1896"/>
      <c r="C1896"/>
      <c r="E1896"/>
    </row>
    <row r="1897" spans="2:5">
      <c r="B1897"/>
      <c r="C1897"/>
      <c r="E1897"/>
    </row>
    <row r="1898" spans="2:5">
      <c r="B1898"/>
      <c r="C1898"/>
      <c r="E1898"/>
    </row>
    <row r="1899" spans="2:5">
      <c r="B1899"/>
      <c r="C1899"/>
      <c r="E1899"/>
    </row>
    <row r="1900" spans="2:5">
      <c r="B1900"/>
      <c r="C1900"/>
      <c r="E1900"/>
    </row>
    <row r="1901" spans="2:5">
      <c r="B1901"/>
      <c r="C1901"/>
      <c r="E1901"/>
    </row>
    <row r="1902" spans="2:5">
      <c r="B1902"/>
      <c r="C1902"/>
      <c r="E1902"/>
    </row>
    <row r="1903" spans="2:5">
      <c r="B1903"/>
      <c r="C1903"/>
      <c r="E1903"/>
    </row>
    <row r="1904" spans="2:5">
      <c r="B1904"/>
      <c r="C1904"/>
      <c r="E1904"/>
    </row>
    <row r="1905" spans="2:5">
      <c r="B1905"/>
      <c r="C1905"/>
      <c r="E1905"/>
    </row>
    <row r="1906" spans="2:5">
      <c r="B1906"/>
      <c r="C1906"/>
      <c r="E1906"/>
    </row>
    <row r="1907" spans="2:5">
      <c r="B1907"/>
      <c r="C1907"/>
      <c r="E1907"/>
    </row>
    <row r="1908" spans="2:5">
      <c r="B1908"/>
      <c r="C1908"/>
      <c r="E1908"/>
    </row>
    <row r="1909" spans="2:5">
      <c r="B1909"/>
      <c r="C1909"/>
      <c r="E1909"/>
    </row>
    <row r="1910" spans="2:5">
      <c r="B1910"/>
      <c r="C1910"/>
      <c r="E1910"/>
    </row>
    <row r="1911" spans="2:5">
      <c r="B1911"/>
      <c r="C1911"/>
      <c r="E1911"/>
    </row>
    <row r="1912" spans="2:5">
      <c r="B1912"/>
      <c r="C1912"/>
      <c r="E1912"/>
    </row>
    <row r="1913" spans="2:5">
      <c r="B1913"/>
      <c r="C1913"/>
      <c r="E1913"/>
    </row>
    <row r="1914" spans="2:5">
      <c r="B1914"/>
      <c r="C1914"/>
      <c r="E1914"/>
    </row>
    <row r="1915" spans="2:5">
      <c r="B1915"/>
      <c r="C1915"/>
      <c r="E1915"/>
    </row>
    <row r="1916" spans="2:5">
      <c r="B1916"/>
      <c r="C1916"/>
      <c r="E1916"/>
    </row>
    <row r="1917" spans="2:5">
      <c r="B1917"/>
      <c r="C1917"/>
      <c r="E1917"/>
    </row>
    <row r="1918" spans="2:5">
      <c r="B1918"/>
      <c r="C1918"/>
      <c r="E1918"/>
    </row>
    <row r="1919" spans="2:5">
      <c r="B1919"/>
      <c r="C1919"/>
      <c r="E1919"/>
    </row>
    <row r="1920" spans="2:5">
      <c r="B1920"/>
      <c r="C1920"/>
      <c r="E1920"/>
    </row>
    <row r="1921" spans="2:5">
      <c r="B1921"/>
      <c r="C1921"/>
      <c r="E1921"/>
    </row>
    <row r="1922" spans="2:5">
      <c r="B1922"/>
      <c r="C1922"/>
      <c r="E1922"/>
    </row>
    <row r="1923" spans="2:5">
      <c r="B1923"/>
      <c r="C1923"/>
      <c r="E1923"/>
    </row>
    <row r="1924" spans="2:5">
      <c r="B1924"/>
      <c r="C1924"/>
      <c r="E1924"/>
    </row>
    <row r="1925" spans="2:5">
      <c r="B1925"/>
      <c r="C1925"/>
      <c r="E1925"/>
    </row>
    <row r="1926" spans="2:5">
      <c r="B1926"/>
      <c r="C1926"/>
      <c r="E1926"/>
    </row>
    <row r="1927" spans="2:5">
      <c r="B1927"/>
      <c r="C1927"/>
      <c r="E1927"/>
    </row>
    <row r="1928" spans="2:5">
      <c r="B1928"/>
      <c r="C1928"/>
      <c r="E1928"/>
    </row>
    <row r="1929" spans="2:5">
      <c r="B1929"/>
      <c r="C1929"/>
      <c r="E1929"/>
    </row>
    <row r="1930" spans="2:5">
      <c r="B1930"/>
      <c r="C1930"/>
      <c r="E1930"/>
    </row>
    <row r="1931" spans="2:5">
      <c r="B1931"/>
      <c r="C1931"/>
      <c r="E1931"/>
    </row>
    <row r="1932" spans="2:5">
      <c r="B1932"/>
      <c r="C1932"/>
      <c r="E1932"/>
    </row>
    <row r="1933" spans="2:5">
      <c r="B1933"/>
      <c r="C1933"/>
      <c r="E1933"/>
    </row>
    <row r="1934" spans="2:5">
      <c r="B1934"/>
      <c r="C1934"/>
      <c r="E1934"/>
    </row>
    <row r="1935" spans="2:5">
      <c r="B1935"/>
      <c r="C1935"/>
      <c r="E1935"/>
    </row>
    <row r="1936" spans="2:5">
      <c r="B1936"/>
      <c r="C1936"/>
      <c r="E1936"/>
    </row>
    <row r="1937" spans="2:5">
      <c r="B1937"/>
      <c r="C1937"/>
      <c r="E1937"/>
    </row>
    <row r="1938" spans="2:5">
      <c r="B1938"/>
      <c r="C1938"/>
      <c r="E1938"/>
    </row>
    <row r="1939" spans="2:5">
      <c r="B1939"/>
      <c r="C1939"/>
      <c r="E1939"/>
    </row>
    <row r="1940" spans="2:5">
      <c r="B1940"/>
      <c r="C1940"/>
      <c r="E1940"/>
    </row>
    <row r="1941" spans="2:5">
      <c r="B1941"/>
      <c r="C1941"/>
      <c r="E1941"/>
    </row>
    <row r="1942" spans="2:5">
      <c r="B1942"/>
      <c r="C1942"/>
      <c r="E1942"/>
    </row>
    <row r="1943" spans="2:5">
      <c r="B1943"/>
      <c r="C1943"/>
      <c r="E1943"/>
    </row>
    <row r="1944" spans="2:5">
      <c r="B1944"/>
      <c r="C1944"/>
      <c r="E1944"/>
    </row>
    <row r="1945" spans="2:5">
      <c r="B1945"/>
      <c r="C1945"/>
      <c r="E1945"/>
    </row>
    <row r="1946" spans="2:5">
      <c r="B1946"/>
      <c r="C1946"/>
      <c r="E1946"/>
    </row>
    <row r="1947" spans="2:5">
      <c r="B1947"/>
      <c r="C1947"/>
      <c r="E1947"/>
    </row>
    <row r="1948" spans="2:5">
      <c r="B1948"/>
      <c r="C1948"/>
      <c r="E1948"/>
    </row>
    <row r="1949" spans="2:5">
      <c r="B1949"/>
      <c r="C1949"/>
      <c r="E1949"/>
    </row>
    <row r="1950" spans="2:5">
      <c r="B1950"/>
      <c r="C1950"/>
      <c r="E1950"/>
    </row>
    <row r="1951" spans="2:5">
      <c r="B1951"/>
      <c r="C1951"/>
      <c r="E1951"/>
    </row>
    <row r="1952" spans="2:5">
      <c r="B1952"/>
      <c r="C1952"/>
      <c r="E1952"/>
    </row>
    <row r="1953" spans="2:5">
      <c r="B1953"/>
      <c r="C1953"/>
      <c r="E1953"/>
    </row>
    <row r="1954" spans="2:5">
      <c r="B1954"/>
      <c r="C1954"/>
      <c r="E1954"/>
    </row>
    <row r="1955" spans="2:5">
      <c r="B1955"/>
      <c r="C1955"/>
      <c r="E1955"/>
    </row>
    <row r="1956" spans="2:5">
      <c r="B1956"/>
      <c r="C1956"/>
      <c r="E1956"/>
    </row>
    <row r="1957" spans="2:5">
      <c r="B1957"/>
      <c r="C1957"/>
      <c r="E1957"/>
    </row>
    <row r="1958" spans="2:5">
      <c r="B1958"/>
      <c r="C1958"/>
      <c r="E1958"/>
    </row>
    <row r="1959" spans="2:5">
      <c r="B1959"/>
      <c r="C1959"/>
      <c r="E1959"/>
    </row>
    <row r="1960" spans="2:5">
      <c r="B1960"/>
      <c r="C1960"/>
      <c r="E1960"/>
    </row>
    <row r="1961" spans="2:5">
      <c r="B1961"/>
      <c r="C1961"/>
      <c r="E1961"/>
    </row>
    <row r="1962" spans="2:5">
      <c r="B1962"/>
      <c r="C1962"/>
      <c r="E1962"/>
    </row>
    <row r="1963" spans="2:5">
      <c r="B1963"/>
      <c r="C1963"/>
      <c r="E1963"/>
    </row>
    <row r="1964" spans="2:5">
      <c r="B1964"/>
      <c r="C1964"/>
      <c r="E1964"/>
    </row>
    <row r="1965" spans="2:5">
      <c r="B1965"/>
      <c r="C1965"/>
      <c r="E1965"/>
    </row>
    <row r="1966" spans="2:5">
      <c r="B1966"/>
      <c r="C1966"/>
      <c r="E1966"/>
    </row>
    <row r="1967" spans="2:5">
      <c r="B1967"/>
      <c r="C1967"/>
      <c r="E1967"/>
    </row>
    <row r="1968" spans="2:5">
      <c r="B1968"/>
      <c r="C1968"/>
      <c r="E1968"/>
    </row>
    <row r="1969" spans="2:5">
      <c r="B1969"/>
      <c r="C1969"/>
      <c r="E1969"/>
    </row>
    <row r="1970" spans="2:5">
      <c r="B1970"/>
      <c r="C1970"/>
      <c r="E1970"/>
    </row>
    <row r="1971" spans="2:5">
      <c r="B1971"/>
      <c r="C1971"/>
      <c r="E1971"/>
    </row>
    <row r="1972" spans="2:5">
      <c r="B1972"/>
      <c r="C1972"/>
      <c r="E1972"/>
    </row>
    <row r="1973" spans="2:5">
      <c r="B1973"/>
      <c r="C1973"/>
      <c r="E1973"/>
    </row>
    <row r="1974" spans="2:5">
      <c r="B1974"/>
      <c r="C1974"/>
      <c r="E1974"/>
    </row>
    <row r="1975" spans="2:5">
      <c r="B1975"/>
      <c r="C1975"/>
      <c r="E1975"/>
    </row>
    <row r="1976" spans="2:5">
      <c r="B1976"/>
      <c r="C1976"/>
      <c r="E1976"/>
    </row>
    <row r="1977" spans="2:5">
      <c r="B1977"/>
      <c r="C1977"/>
      <c r="E1977"/>
    </row>
    <row r="1978" spans="2:5">
      <c r="B1978"/>
      <c r="C1978"/>
      <c r="E1978"/>
    </row>
    <row r="1979" spans="2:5">
      <c r="B1979"/>
      <c r="C1979"/>
      <c r="E1979"/>
    </row>
    <row r="1980" spans="2:5">
      <c r="B1980"/>
      <c r="C1980"/>
      <c r="E1980"/>
    </row>
    <row r="1981" spans="2:5">
      <c r="B1981"/>
      <c r="C1981"/>
      <c r="E1981"/>
    </row>
    <row r="1982" spans="2:5">
      <c r="B1982"/>
      <c r="C1982"/>
      <c r="E1982"/>
    </row>
    <row r="1983" spans="2:5">
      <c r="B1983"/>
      <c r="C1983"/>
      <c r="E1983"/>
    </row>
    <row r="1984" spans="2:5">
      <c r="B1984"/>
      <c r="C1984"/>
      <c r="E1984"/>
    </row>
    <row r="1985" spans="2:5">
      <c r="B1985"/>
      <c r="C1985"/>
      <c r="E1985"/>
    </row>
    <row r="1986" spans="2:5">
      <c r="B1986"/>
      <c r="C1986"/>
      <c r="E1986"/>
    </row>
    <row r="1987" spans="2:5">
      <c r="B1987"/>
      <c r="C1987"/>
      <c r="E1987"/>
    </row>
    <row r="1988" spans="2:5">
      <c r="B1988"/>
      <c r="C1988"/>
      <c r="E1988"/>
    </row>
    <row r="1989" spans="2:5">
      <c r="B1989"/>
      <c r="C1989"/>
      <c r="E1989"/>
    </row>
    <row r="1990" spans="2:5">
      <c r="B1990"/>
      <c r="C1990"/>
      <c r="E1990"/>
    </row>
    <row r="1991" spans="2:5">
      <c r="B1991"/>
      <c r="C1991"/>
      <c r="E1991"/>
    </row>
    <row r="1992" spans="2:5">
      <c r="B1992"/>
      <c r="C1992"/>
      <c r="E1992"/>
    </row>
    <row r="1993" spans="2:5">
      <c r="B1993"/>
      <c r="C1993"/>
      <c r="E1993"/>
    </row>
    <row r="1994" spans="2:5">
      <c r="B1994"/>
      <c r="C1994"/>
      <c r="E1994"/>
    </row>
    <row r="1995" spans="2:5">
      <c r="B1995"/>
      <c r="C1995"/>
      <c r="E1995"/>
    </row>
    <row r="1996" spans="2:5">
      <c r="B1996"/>
      <c r="C1996"/>
      <c r="E1996"/>
    </row>
    <row r="1997" spans="2:5">
      <c r="B1997"/>
      <c r="C1997"/>
      <c r="E1997"/>
    </row>
    <row r="1998" spans="2:5">
      <c r="B1998"/>
      <c r="C1998"/>
      <c r="E1998"/>
    </row>
    <row r="1999" spans="2:5">
      <c r="B1999"/>
      <c r="C1999"/>
      <c r="E1999"/>
    </row>
    <row r="2000" spans="2:5">
      <c r="B2000"/>
      <c r="C2000"/>
      <c r="E2000"/>
    </row>
    <row r="2001" spans="2:5">
      <c r="B2001"/>
      <c r="C2001"/>
      <c r="E2001"/>
    </row>
    <row r="2002" spans="2:5">
      <c r="B2002"/>
      <c r="C2002"/>
      <c r="E2002"/>
    </row>
    <row r="2003" spans="2:5">
      <c r="B2003"/>
      <c r="C2003"/>
      <c r="E2003"/>
    </row>
    <row r="2004" spans="2:5">
      <c r="B2004"/>
      <c r="C2004"/>
      <c r="E2004"/>
    </row>
    <row r="2005" spans="2:5">
      <c r="B2005"/>
      <c r="C2005"/>
      <c r="E2005"/>
    </row>
    <row r="2006" spans="2:5">
      <c r="B2006"/>
      <c r="C2006"/>
      <c r="E2006"/>
    </row>
    <row r="2007" spans="2:5">
      <c r="B2007"/>
      <c r="C2007"/>
      <c r="E2007"/>
    </row>
    <row r="2008" spans="2:5">
      <c r="B2008"/>
      <c r="C2008"/>
      <c r="E2008"/>
    </row>
    <row r="2009" spans="2:5">
      <c r="B2009"/>
      <c r="C2009"/>
      <c r="E2009"/>
    </row>
    <row r="2010" spans="2:5">
      <c r="B2010"/>
      <c r="C2010"/>
      <c r="E2010"/>
    </row>
    <row r="2011" spans="2:5">
      <c r="B2011"/>
      <c r="C2011"/>
      <c r="E2011"/>
    </row>
    <row r="2012" spans="2:5">
      <c r="B2012"/>
      <c r="C2012"/>
      <c r="E2012"/>
    </row>
    <row r="2013" spans="2:5">
      <c r="B2013"/>
      <c r="C2013"/>
      <c r="E2013"/>
    </row>
    <row r="2014" spans="2:5">
      <c r="B2014"/>
      <c r="C2014"/>
      <c r="E2014"/>
    </row>
    <row r="2015" spans="2:5">
      <c r="B2015"/>
      <c r="C2015"/>
      <c r="E2015"/>
    </row>
    <row r="2016" spans="2:5">
      <c r="B2016"/>
      <c r="C2016"/>
      <c r="E2016"/>
    </row>
    <row r="2017" spans="2:5">
      <c r="B2017"/>
      <c r="C2017"/>
      <c r="E2017"/>
    </row>
    <row r="2018" spans="2:5">
      <c r="B2018"/>
      <c r="C2018"/>
      <c r="E2018"/>
    </row>
    <row r="2019" spans="2:5">
      <c r="B2019"/>
      <c r="C2019"/>
      <c r="E2019"/>
    </row>
    <row r="2020" spans="2:5">
      <c r="B2020"/>
      <c r="C2020"/>
      <c r="E2020"/>
    </row>
    <row r="2021" spans="2:5">
      <c r="B2021"/>
      <c r="C2021"/>
      <c r="E2021"/>
    </row>
    <row r="2022" spans="2:5">
      <c r="B2022"/>
      <c r="C2022"/>
      <c r="E2022"/>
    </row>
    <row r="2023" spans="2:5">
      <c r="B2023"/>
      <c r="C2023"/>
      <c r="E2023"/>
    </row>
    <row r="2024" spans="2:5">
      <c r="B2024"/>
      <c r="C2024"/>
      <c r="E2024"/>
    </row>
    <row r="2025" spans="2:5">
      <c r="B2025"/>
      <c r="C2025"/>
      <c r="E2025"/>
    </row>
    <row r="2026" spans="2:5">
      <c r="B2026"/>
      <c r="C2026"/>
      <c r="E2026"/>
    </row>
    <row r="2027" spans="2:5">
      <c r="B2027"/>
      <c r="C2027"/>
      <c r="E2027"/>
    </row>
    <row r="2028" spans="2:5">
      <c r="B2028"/>
      <c r="C2028"/>
      <c r="E2028"/>
    </row>
    <row r="2029" spans="2:5">
      <c r="B2029"/>
      <c r="C2029"/>
      <c r="E2029"/>
    </row>
    <row r="2030" spans="2:5">
      <c r="B2030"/>
      <c r="C2030"/>
      <c r="E2030"/>
    </row>
    <row r="2031" spans="2:5">
      <c r="B2031"/>
      <c r="C2031"/>
      <c r="E2031"/>
    </row>
    <row r="2032" spans="2:5">
      <c r="B2032"/>
      <c r="C2032"/>
      <c r="E2032"/>
    </row>
    <row r="2033" spans="2:5">
      <c r="B2033"/>
      <c r="C2033"/>
      <c r="E2033"/>
    </row>
    <row r="2034" spans="2:5">
      <c r="B2034"/>
      <c r="C2034"/>
      <c r="E2034"/>
    </row>
    <row r="2035" spans="2:5">
      <c r="B2035"/>
      <c r="C2035"/>
      <c r="E2035"/>
    </row>
    <row r="2036" spans="2:5">
      <c r="B2036"/>
      <c r="C2036"/>
      <c r="E2036"/>
    </row>
    <row r="2037" spans="2:5">
      <c r="B2037"/>
      <c r="C2037"/>
      <c r="E2037"/>
    </row>
    <row r="2038" spans="2:5">
      <c r="B2038"/>
      <c r="C2038"/>
      <c r="E2038"/>
    </row>
    <row r="2039" spans="2:5">
      <c r="B2039"/>
      <c r="C2039"/>
      <c r="E2039"/>
    </row>
    <row r="2040" spans="2:5">
      <c r="B2040"/>
      <c r="C2040"/>
      <c r="E2040"/>
    </row>
    <row r="2041" spans="2:5">
      <c r="B2041"/>
      <c r="C2041"/>
      <c r="E2041"/>
    </row>
    <row r="2042" spans="2:5">
      <c r="B2042"/>
      <c r="C2042"/>
      <c r="E2042"/>
    </row>
    <row r="2043" spans="2:5">
      <c r="B2043"/>
      <c r="C2043"/>
      <c r="E2043"/>
    </row>
    <row r="2044" spans="2:5">
      <c r="B2044"/>
      <c r="C2044"/>
      <c r="E2044"/>
    </row>
    <row r="2045" spans="2:5">
      <c r="B2045"/>
      <c r="C2045"/>
      <c r="E2045"/>
    </row>
    <row r="2046" spans="2:5">
      <c r="B2046"/>
      <c r="C2046"/>
      <c r="E2046"/>
    </row>
    <row r="2047" spans="2:5">
      <c r="B2047"/>
      <c r="C2047"/>
      <c r="E2047"/>
    </row>
    <row r="2048" spans="2:5">
      <c r="B2048"/>
      <c r="C2048"/>
      <c r="E2048"/>
    </row>
    <row r="2049" spans="2:5">
      <c r="B2049"/>
      <c r="C2049"/>
      <c r="E2049"/>
    </row>
    <row r="2050" spans="2:5">
      <c r="B2050"/>
      <c r="C2050"/>
      <c r="E2050"/>
    </row>
    <row r="2051" spans="2:5">
      <c r="B2051"/>
      <c r="C2051"/>
      <c r="E2051"/>
    </row>
    <row r="2052" spans="2:5">
      <c r="B2052"/>
      <c r="C2052"/>
      <c r="E2052"/>
    </row>
    <row r="2053" spans="2:5">
      <c r="B2053"/>
      <c r="C2053"/>
      <c r="E2053"/>
    </row>
    <row r="2054" spans="2:5">
      <c r="B2054"/>
      <c r="C2054"/>
      <c r="E2054"/>
    </row>
    <row r="2055" spans="2:5">
      <c r="B2055"/>
      <c r="C2055"/>
      <c r="E2055"/>
    </row>
    <row r="2056" spans="2:5">
      <c r="B2056"/>
      <c r="C2056"/>
      <c r="E2056"/>
    </row>
    <row r="2057" spans="2:5">
      <c r="B2057"/>
      <c r="C2057"/>
      <c r="E2057"/>
    </row>
    <row r="2058" spans="2:5">
      <c r="B2058"/>
      <c r="C2058"/>
      <c r="E2058"/>
    </row>
    <row r="2059" spans="2:5">
      <c r="B2059"/>
      <c r="C2059"/>
      <c r="E2059"/>
    </row>
    <row r="2060" spans="2:5">
      <c r="B2060"/>
      <c r="C2060"/>
      <c r="E2060"/>
    </row>
    <row r="2061" spans="2:5">
      <c r="B2061"/>
      <c r="C2061"/>
      <c r="E2061"/>
    </row>
    <row r="2062" spans="2:5">
      <c r="B2062"/>
      <c r="C2062"/>
      <c r="E2062"/>
    </row>
    <row r="2063" spans="2:5">
      <c r="B2063"/>
      <c r="C2063"/>
      <c r="E2063"/>
    </row>
    <row r="2064" spans="2:5">
      <c r="B2064"/>
      <c r="C2064"/>
      <c r="E2064"/>
    </row>
    <row r="2065" spans="2:5">
      <c r="B2065"/>
      <c r="C2065"/>
      <c r="E2065"/>
    </row>
    <row r="2066" spans="2:5">
      <c r="B2066"/>
      <c r="C2066"/>
      <c r="E2066"/>
    </row>
    <row r="2067" spans="2:5">
      <c r="B2067"/>
      <c r="C2067"/>
      <c r="E2067"/>
    </row>
    <row r="2068" spans="2:5">
      <c r="B2068"/>
      <c r="C2068"/>
      <c r="E2068"/>
    </row>
    <row r="2069" spans="2:5">
      <c r="B2069"/>
      <c r="C2069"/>
      <c r="E2069"/>
    </row>
    <row r="2070" spans="2:5">
      <c r="B2070"/>
      <c r="C2070"/>
      <c r="E2070"/>
    </row>
    <row r="2071" spans="2:5">
      <c r="B2071"/>
      <c r="C2071"/>
      <c r="E2071"/>
    </row>
    <row r="2072" spans="2:5">
      <c r="B2072"/>
      <c r="C2072"/>
      <c r="E2072"/>
    </row>
    <row r="2073" spans="2:5">
      <c r="B2073"/>
      <c r="C2073"/>
      <c r="E2073"/>
    </row>
    <row r="2074" spans="2:5">
      <c r="B2074"/>
      <c r="C2074"/>
      <c r="E2074"/>
    </row>
    <row r="2075" spans="2:5">
      <c r="B2075"/>
      <c r="C2075"/>
      <c r="E2075"/>
    </row>
    <row r="2076" spans="2:5">
      <c r="B2076"/>
      <c r="C2076"/>
      <c r="E2076"/>
    </row>
    <row r="2077" spans="2:5">
      <c r="B2077"/>
      <c r="C2077"/>
      <c r="E2077"/>
    </row>
    <row r="2078" spans="2:5">
      <c r="B2078"/>
      <c r="C2078"/>
      <c r="E2078"/>
    </row>
    <row r="2079" spans="2:5">
      <c r="B2079"/>
      <c r="C2079"/>
      <c r="E2079"/>
    </row>
    <row r="2080" spans="2:5">
      <c r="B2080"/>
      <c r="C2080"/>
      <c r="E2080"/>
    </row>
    <row r="2081" spans="2:5">
      <c r="B2081"/>
      <c r="C2081"/>
      <c r="E2081"/>
    </row>
    <row r="2082" spans="2:5">
      <c r="B2082"/>
      <c r="C2082"/>
      <c r="E2082"/>
    </row>
    <row r="2083" spans="2:5">
      <c r="B2083"/>
      <c r="C2083"/>
      <c r="E2083"/>
    </row>
    <row r="2084" spans="2:5">
      <c r="B2084"/>
      <c r="C2084"/>
      <c r="E2084"/>
    </row>
    <row r="2085" spans="2:5">
      <c r="B2085"/>
      <c r="C2085"/>
      <c r="E2085"/>
    </row>
    <row r="2086" spans="2:5">
      <c r="B2086"/>
      <c r="C2086"/>
      <c r="E2086"/>
    </row>
    <row r="2087" spans="2:5">
      <c r="B2087"/>
      <c r="C2087"/>
      <c r="E2087"/>
    </row>
    <row r="2088" spans="2:5">
      <c r="B2088"/>
      <c r="C2088"/>
      <c r="E2088"/>
    </row>
    <row r="2089" spans="2:5">
      <c r="B2089"/>
      <c r="C2089"/>
      <c r="E2089"/>
    </row>
    <row r="2090" spans="2:5">
      <c r="B2090"/>
      <c r="C2090"/>
      <c r="E2090"/>
    </row>
    <row r="2091" spans="2:5">
      <c r="B2091"/>
      <c r="C2091"/>
      <c r="E2091"/>
    </row>
    <row r="2092" spans="2:5">
      <c r="B2092"/>
      <c r="C2092"/>
      <c r="E2092"/>
    </row>
    <row r="2093" spans="2:5">
      <c r="B2093"/>
      <c r="C2093"/>
      <c r="E2093"/>
    </row>
    <row r="2094" spans="2:5">
      <c r="B2094"/>
      <c r="C2094"/>
      <c r="E2094"/>
    </row>
    <row r="2095" spans="2:5">
      <c r="B2095"/>
      <c r="C2095"/>
      <c r="E2095"/>
    </row>
    <row r="2096" spans="2:5">
      <c r="B2096"/>
      <c r="C2096"/>
      <c r="E2096"/>
    </row>
    <row r="2097" spans="2:5">
      <c r="B2097"/>
      <c r="C2097"/>
      <c r="E2097"/>
    </row>
    <row r="2098" spans="2:5">
      <c r="B2098"/>
      <c r="C2098"/>
      <c r="E2098"/>
    </row>
    <row r="2099" spans="2:5">
      <c r="B2099"/>
      <c r="C2099"/>
      <c r="E2099"/>
    </row>
    <row r="2100" spans="2:5">
      <c r="B2100"/>
      <c r="C2100"/>
      <c r="E2100"/>
    </row>
    <row r="2101" spans="2:5">
      <c r="B2101"/>
      <c r="C2101"/>
      <c r="E2101"/>
    </row>
    <row r="2102" spans="2:5">
      <c r="B2102"/>
      <c r="C2102"/>
      <c r="E2102"/>
    </row>
    <row r="2103" spans="2:5">
      <c r="B2103"/>
      <c r="C2103"/>
      <c r="E2103"/>
    </row>
    <row r="2104" spans="2:5">
      <c r="B2104"/>
      <c r="C2104"/>
      <c r="E2104"/>
    </row>
    <row r="2105" spans="2:5">
      <c r="B2105"/>
      <c r="C2105"/>
      <c r="E2105"/>
    </row>
    <row r="2106" spans="2:5">
      <c r="B2106"/>
      <c r="C2106"/>
      <c r="E2106"/>
    </row>
    <row r="2107" spans="2:5">
      <c r="B2107"/>
      <c r="C2107"/>
      <c r="E2107"/>
    </row>
    <row r="2108" spans="2:5">
      <c r="B2108"/>
      <c r="C2108"/>
      <c r="E2108"/>
    </row>
    <row r="2109" spans="2:5">
      <c r="B2109"/>
      <c r="C2109"/>
      <c r="E2109"/>
    </row>
    <row r="2110" spans="2:5">
      <c r="B2110"/>
      <c r="C2110"/>
      <c r="E2110"/>
    </row>
    <row r="2111" spans="2:5">
      <c r="B2111"/>
      <c r="C2111"/>
      <c r="E2111"/>
    </row>
    <row r="2112" spans="2:5">
      <c r="B2112"/>
      <c r="C2112"/>
      <c r="E2112"/>
    </row>
    <row r="2113" spans="2:5">
      <c r="B2113"/>
      <c r="C2113"/>
      <c r="E2113"/>
    </row>
    <row r="2114" spans="2:5">
      <c r="B2114"/>
      <c r="C2114"/>
      <c r="E2114"/>
    </row>
    <row r="2115" spans="2:5">
      <c r="B2115"/>
      <c r="C2115"/>
      <c r="E2115"/>
    </row>
    <row r="2116" spans="2:5">
      <c r="B2116"/>
      <c r="C2116"/>
      <c r="E2116"/>
    </row>
    <row r="2117" spans="2:5">
      <c r="B2117"/>
      <c r="C2117"/>
      <c r="E2117"/>
    </row>
    <row r="2118" spans="2:5">
      <c r="B2118"/>
      <c r="C2118"/>
      <c r="E2118"/>
    </row>
    <row r="2119" spans="2:5">
      <c r="B2119"/>
      <c r="C2119"/>
      <c r="E2119"/>
    </row>
    <row r="2120" spans="2:5">
      <c r="B2120"/>
      <c r="C2120"/>
      <c r="E2120"/>
    </row>
    <row r="2121" spans="2:5">
      <c r="B2121"/>
      <c r="C2121"/>
      <c r="E2121"/>
    </row>
    <row r="2122" spans="2:5">
      <c r="B2122"/>
      <c r="C2122"/>
      <c r="E2122"/>
    </row>
    <row r="2123" spans="2:5">
      <c r="B2123"/>
      <c r="C2123"/>
      <c r="E2123"/>
    </row>
    <row r="2124" spans="2:5">
      <c r="B2124"/>
      <c r="C2124"/>
      <c r="E2124"/>
    </row>
    <row r="2125" spans="2:5">
      <c r="B2125"/>
      <c r="C2125"/>
      <c r="E2125"/>
    </row>
    <row r="2126" spans="2:5">
      <c r="B2126"/>
      <c r="C2126"/>
      <c r="E2126"/>
    </row>
    <row r="2127" spans="2:5">
      <c r="B2127"/>
      <c r="C2127"/>
      <c r="E2127"/>
    </row>
    <row r="2128" spans="2:5">
      <c r="B2128"/>
      <c r="C2128"/>
      <c r="E2128"/>
    </row>
    <row r="2129" spans="2:5">
      <c r="B2129"/>
      <c r="C2129"/>
      <c r="E2129"/>
    </row>
    <row r="2130" spans="2:5">
      <c r="B2130"/>
      <c r="C2130"/>
      <c r="E2130"/>
    </row>
    <row r="2131" spans="2:5">
      <c r="B2131"/>
      <c r="C2131"/>
      <c r="E2131"/>
    </row>
    <row r="2132" spans="2:5">
      <c r="B2132"/>
      <c r="C2132"/>
      <c r="E2132"/>
    </row>
    <row r="2133" spans="2:5">
      <c r="B2133"/>
      <c r="C2133"/>
      <c r="E2133"/>
    </row>
    <row r="2134" spans="2:5">
      <c r="B2134"/>
      <c r="C2134"/>
      <c r="E2134"/>
    </row>
    <row r="2135" spans="2:5">
      <c r="B2135"/>
      <c r="C2135"/>
      <c r="E2135"/>
    </row>
    <row r="2136" spans="2:5">
      <c r="B2136"/>
      <c r="C2136"/>
      <c r="E2136"/>
    </row>
    <row r="2137" spans="2:5">
      <c r="B2137"/>
      <c r="C2137"/>
      <c r="E2137"/>
    </row>
    <row r="2138" spans="2:5">
      <c r="B2138"/>
      <c r="C2138"/>
      <c r="E2138"/>
    </row>
    <row r="2139" spans="2:5">
      <c r="B2139"/>
      <c r="C2139"/>
      <c r="E2139"/>
    </row>
    <row r="2140" spans="2:5">
      <c r="B2140"/>
      <c r="C2140"/>
      <c r="E2140"/>
    </row>
    <row r="2141" spans="2:5">
      <c r="B2141"/>
      <c r="C2141"/>
      <c r="E2141"/>
    </row>
    <row r="2142" spans="2:5">
      <c r="B2142"/>
      <c r="C2142"/>
      <c r="E2142"/>
    </row>
    <row r="2143" spans="2:5">
      <c r="B2143"/>
      <c r="C2143"/>
      <c r="E2143"/>
    </row>
    <row r="2144" spans="2:5">
      <c r="B2144"/>
      <c r="C2144"/>
      <c r="E2144"/>
    </row>
    <row r="2145" spans="2:5">
      <c r="B2145"/>
      <c r="C2145"/>
      <c r="E2145"/>
    </row>
    <row r="2146" spans="2:5">
      <c r="B2146"/>
      <c r="C2146"/>
      <c r="E2146"/>
    </row>
    <row r="2147" spans="2:5">
      <c r="B2147"/>
      <c r="C2147"/>
      <c r="E2147"/>
    </row>
    <row r="2148" spans="2:5">
      <c r="B2148"/>
      <c r="C2148"/>
      <c r="E2148"/>
    </row>
    <row r="2149" spans="2:5">
      <c r="B2149"/>
      <c r="C2149"/>
      <c r="E2149"/>
    </row>
    <row r="2150" spans="2:5">
      <c r="B2150"/>
      <c r="C2150"/>
      <c r="E2150"/>
    </row>
    <row r="2151" spans="2:5">
      <c r="B2151"/>
      <c r="C2151"/>
      <c r="E2151"/>
    </row>
    <row r="2152" spans="2:5">
      <c r="B2152"/>
      <c r="C2152"/>
      <c r="E2152"/>
    </row>
    <row r="2153" spans="2:5">
      <c r="B2153"/>
      <c r="C2153"/>
      <c r="E2153"/>
    </row>
    <row r="2154" spans="2:5">
      <c r="B2154"/>
      <c r="C2154"/>
      <c r="E2154"/>
    </row>
    <row r="2155" spans="2:5">
      <c r="B2155"/>
      <c r="C2155"/>
      <c r="E2155"/>
    </row>
    <row r="2156" spans="2:5">
      <c r="B2156"/>
      <c r="C2156"/>
      <c r="E2156"/>
    </row>
    <row r="2157" spans="2:5">
      <c r="B2157"/>
      <c r="C2157"/>
      <c r="E2157"/>
    </row>
    <row r="2158" spans="2:5">
      <c r="B2158"/>
      <c r="C2158"/>
      <c r="E2158"/>
    </row>
    <row r="2159" spans="2:5">
      <c r="B2159"/>
      <c r="C2159"/>
      <c r="E2159"/>
    </row>
    <row r="2160" spans="2:5">
      <c r="B2160"/>
      <c r="C2160"/>
      <c r="E2160"/>
    </row>
    <row r="2161" spans="2:5">
      <c r="B2161"/>
      <c r="C2161"/>
      <c r="E2161"/>
    </row>
    <row r="2162" spans="2:5">
      <c r="B2162"/>
      <c r="C2162"/>
      <c r="E2162"/>
    </row>
    <row r="2163" spans="2:5">
      <c r="B2163"/>
      <c r="C2163"/>
      <c r="E2163"/>
    </row>
    <row r="2164" spans="2:5">
      <c r="B2164"/>
      <c r="C2164"/>
      <c r="E2164"/>
    </row>
    <row r="2165" spans="2:5">
      <c r="B2165"/>
      <c r="C2165"/>
      <c r="E2165"/>
    </row>
    <row r="2166" spans="2:5">
      <c r="B2166"/>
      <c r="C2166"/>
      <c r="E2166"/>
    </row>
    <row r="2167" spans="2:5">
      <c r="B2167"/>
      <c r="C2167"/>
      <c r="E2167"/>
    </row>
    <row r="2168" spans="2:5">
      <c r="B2168"/>
      <c r="C2168"/>
      <c r="E2168"/>
    </row>
    <row r="2169" spans="2:5">
      <c r="B2169"/>
      <c r="C2169"/>
      <c r="E2169"/>
    </row>
    <row r="2170" spans="2:5">
      <c r="B2170"/>
      <c r="C2170"/>
      <c r="E2170"/>
    </row>
    <row r="2171" spans="2:5">
      <c r="B2171"/>
      <c r="C2171"/>
      <c r="E2171"/>
    </row>
    <row r="2172" spans="2:5">
      <c r="B2172"/>
      <c r="C2172"/>
      <c r="E2172"/>
    </row>
    <row r="2173" spans="2:5">
      <c r="B2173"/>
      <c r="C2173"/>
      <c r="E2173"/>
    </row>
    <row r="2174" spans="2:5">
      <c r="B2174"/>
      <c r="C2174"/>
      <c r="E2174"/>
    </row>
    <row r="2175" spans="2:5">
      <c r="B2175"/>
      <c r="C2175"/>
      <c r="E2175"/>
    </row>
    <row r="2176" spans="2:5">
      <c r="B2176"/>
      <c r="C2176"/>
      <c r="E2176"/>
    </row>
    <row r="2177" spans="2:5">
      <c r="B2177"/>
      <c r="C2177"/>
      <c r="E2177"/>
    </row>
    <row r="2178" spans="2:5">
      <c r="B2178"/>
      <c r="C2178"/>
      <c r="E2178"/>
    </row>
    <row r="2179" spans="2:5">
      <c r="B2179"/>
      <c r="C2179"/>
      <c r="E2179"/>
    </row>
    <row r="2180" spans="2:5">
      <c r="B2180"/>
      <c r="C2180"/>
      <c r="E2180"/>
    </row>
    <row r="2181" spans="2:5">
      <c r="B2181"/>
      <c r="C2181"/>
      <c r="E2181"/>
    </row>
    <row r="2182" spans="2:5">
      <c r="B2182"/>
      <c r="C2182"/>
      <c r="E2182"/>
    </row>
    <row r="2183" spans="2:5">
      <c r="B2183"/>
      <c r="C2183"/>
      <c r="E2183"/>
    </row>
    <row r="2184" spans="2:5">
      <c r="B2184"/>
      <c r="C2184"/>
      <c r="E2184"/>
    </row>
    <row r="2185" spans="2:5">
      <c r="B2185"/>
      <c r="C2185"/>
      <c r="E2185"/>
    </row>
    <row r="2186" spans="2:5">
      <c r="B2186"/>
      <c r="C2186"/>
      <c r="E2186"/>
    </row>
    <row r="2187" spans="2:5">
      <c r="B2187"/>
      <c r="C2187"/>
      <c r="E2187"/>
    </row>
    <row r="2188" spans="2:5">
      <c r="B2188"/>
      <c r="C2188"/>
      <c r="E2188"/>
    </row>
    <row r="2189" spans="2:5">
      <c r="B2189"/>
      <c r="C2189"/>
      <c r="E2189"/>
    </row>
    <row r="2190" spans="2:5">
      <c r="B2190"/>
      <c r="C2190"/>
      <c r="E2190"/>
    </row>
    <row r="2191" spans="2:5">
      <c r="B2191"/>
      <c r="C2191"/>
      <c r="E2191"/>
    </row>
    <row r="2192" spans="2:5">
      <c r="B2192"/>
      <c r="C2192"/>
      <c r="E2192"/>
    </row>
    <row r="2193" spans="2:5">
      <c r="B2193"/>
      <c r="C2193"/>
      <c r="E2193"/>
    </row>
    <row r="2194" spans="2:5">
      <c r="B2194"/>
      <c r="C2194"/>
      <c r="E2194"/>
    </row>
    <row r="2195" spans="2:5">
      <c r="B2195"/>
      <c r="C2195"/>
      <c r="E2195"/>
    </row>
    <row r="2196" spans="2:5">
      <c r="B2196"/>
      <c r="C2196"/>
      <c r="E2196"/>
    </row>
    <row r="2197" spans="2:5">
      <c r="B2197"/>
      <c r="C2197"/>
      <c r="E2197"/>
    </row>
    <row r="2198" spans="2:5">
      <c r="B2198"/>
      <c r="C2198"/>
      <c r="E2198"/>
    </row>
    <row r="2199" spans="2:5">
      <c r="B2199"/>
      <c r="C2199"/>
      <c r="E2199"/>
    </row>
    <row r="2200" spans="2:5">
      <c r="B2200"/>
      <c r="C2200"/>
      <c r="E2200"/>
    </row>
    <row r="2201" spans="2:5">
      <c r="B2201"/>
      <c r="C2201"/>
      <c r="E2201"/>
    </row>
    <row r="2202" spans="2:5">
      <c r="B2202"/>
      <c r="C2202"/>
      <c r="E2202"/>
    </row>
    <row r="2203" spans="2:5">
      <c r="B2203"/>
      <c r="C2203"/>
      <c r="E2203"/>
    </row>
    <row r="2204" spans="2:5">
      <c r="B2204"/>
      <c r="C2204"/>
      <c r="E2204"/>
    </row>
    <row r="2205" spans="2:5">
      <c r="B2205"/>
      <c r="C2205"/>
      <c r="E2205"/>
    </row>
    <row r="2206" spans="2:5">
      <c r="B2206"/>
      <c r="C2206"/>
      <c r="E2206"/>
    </row>
    <row r="2207" spans="2:5">
      <c r="B2207"/>
      <c r="C2207"/>
      <c r="E2207"/>
    </row>
    <row r="2208" spans="2:5">
      <c r="B2208"/>
      <c r="C2208"/>
      <c r="E2208"/>
    </row>
    <row r="2209" spans="2:5">
      <c r="B2209"/>
      <c r="C2209"/>
      <c r="E2209"/>
    </row>
    <row r="2210" spans="2:5">
      <c r="B2210"/>
      <c r="C2210"/>
      <c r="E2210"/>
    </row>
    <row r="2211" spans="2:5">
      <c r="B2211"/>
      <c r="C2211"/>
      <c r="E2211"/>
    </row>
    <row r="2212" spans="2:5">
      <c r="B2212"/>
      <c r="C2212"/>
      <c r="E2212"/>
    </row>
    <row r="2213" spans="2:5">
      <c r="B2213"/>
      <c r="C2213"/>
      <c r="E2213"/>
    </row>
    <row r="2214" spans="2:5">
      <c r="B2214"/>
      <c r="C2214"/>
      <c r="E2214"/>
    </row>
    <row r="2215" spans="2:5">
      <c r="B2215"/>
      <c r="C2215"/>
      <c r="E2215"/>
    </row>
    <row r="2216" spans="2:5">
      <c r="B2216"/>
      <c r="C2216"/>
      <c r="E2216"/>
    </row>
    <row r="2217" spans="2:5">
      <c r="B2217"/>
      <c r="C2217"/>
      <c r="E2217"/>
    </row>
    <row r="2218" spans="2:5">
      <c r="B2218"/>
      <c r="C2218"/>
      <c r="E2218"/>
    </row>
    <row r="2219" spans="2:5">
      <c r="B2219"/>
      <c r="C2219"/>
      <c r="E2219"/>
    </row>
    <row r="2220" spans="2:5">
      <c r="B2220"/>
      <c r="C2220"/>
      <c r="E2220"/>
    </row>
    <row r="2221" spans="2:5">
      <c r="B2221"/>
      <c r="C2221"/>
      <c r="E2221"/>
    </row>
    <row r="2222" spans="2:5">
      <c r="B2222"/>
      <c r="C2222"/>
      <c r="E2222"/>
    </row>
    <row r="2223" spans="2:5">
      <c r="B2223"/>
      <c r="C2223"/>
      <c r="E2223"/>
    </row>
    <row r="2224" spans="2:5">
      <c r="B2224"/>
      <c r="C2224"/>
      <c r="E2224"/>
    </row>
    <row r="2225" spans="2:5">
      <c r="B2225"/>
      <c r="C2225"/>
      <c r="E2225"/>
    </row>
    <row r="2226" spans="2:5">
      <c r="B2226"/>
      <c r="C2226"/>
      <c r="E2226"/>
    </row>
    <row r="2227" spans="2:5">
      <c r="B2227"/>
      <c r="C2227"/>
      <c r="E2227"/>
    </row>
    <row r="2228" spans="2:5">
      <c r="B2228"/>
      <c r="C2228"/>
      <c r="E2228"/>
    </row>
    <row r="2229" spans="2:5">
      <c r="B2229"/>
      <c r="C2229"/>
      <c r="E2229"/>
    </row>
    <row r="2230" spans="2:5">
      <c r="B2230"/>
      <c r="C2230"/>
      <c r="E2230"/>
    </row>
    <row r="2231" spans="2:5">
      <c r="B2231"/>
      <c r="C2231"/>
      <c r="E2231"/>
    </row>
    <row r="2232" spans="2:5">
      <c r="B2232"/>
      <c r="C2232"/>
      <c r="E2232"/>
    </row>
    <row r="2233" spans="2:5">
      <c r="B2233"/>
      <c r="C2233"/>
      <c r="E2233"/>
    </row>
    <row r="2234" spans="2:5">
      <c r="B2234"/>
      <c r="C2234"/>
      <c r="E2234"/>
    </row>
    <row r="2235" spans="2:5">
      <c r="B2235"/>
      <c r="C2235"/>
      <c r="E2235"/>
    </row>
    <row r="2236" spans="2:5">
      <c r="B2236"/>
      <c r="C2236"/>
      <c r="E2236"/>
    </row>
    <row r="2237" spans="2:5">
      <c r="B2237"/>
      <c r="C2237"/>
      <c r="E2237"/>
    </row>
    <row r="2238" spans="2:5">
      <c r="B2238"/>
      <c r="C2238"/>
      <c r="E2238"/>
    </row>
    <row r="2239" spans="2:5">
      <c r="B2239"/>
      <c r="C2239"/>
      <c r="E2239"/>
    </row>
    <row r="2240" spans="2:5">
      <c r="B2240"/>
      <c r="C2240"/>
      <c r="E2240"/>
    </row>
    <row r="2241" spans="2:5">
      <c r="B2241"/>
      <c r="C2241"/>
      <c r="E2241"/>
    </row>
    <row r="2242" spans="2:5">
      <c r="B2242"/>
      <c r="C2242"/>
      <c r="E2242"/>
    </row>
    <row r="2243" spans="2:5">
      <c r="B2243"/>
      <c r="C2243"/>
      <c r="E2243"/>
    </row>
    <row r="2244" spans="2:5">
      <c r="B2244"/>
      <c r="C2244"/>
      <c r="E2244"/>
    </row>
    <row r="2245" spans="2:5">
      <c r="B2245"/>
      <c r="C2245"/>
      <c r="E2245"/>
    </row>
    <row r="2246" spans="2:5">
      <c r="B2246"/>
      <c r="C2246"/>
      <c r="E2246"/>
    </row>
    <row r="2247" spans="2:5">
      <c r="B2247"/>
      <c r="C2247"/>
      <c r="E2247"/>
    </row>
    <row r="2248" spans="2:5">
      <c r="B2248"/>
      <c r="C2248"/>
      <c r="E2248"/>
    </row>
    <row r="2249" spans="2:5">
      <c r="B2249"/>
      <c r="C2249"/>
      <c r="E2249"/>
    </row>
    <row r="2250" spans="2:5">
      <c r="B2250"/>
      <c r="C2250"/>
      <c r="E2250"/>
    </row>
    <row r="2251" spans="2:5">
      <c r="B2251"/>
      <c r="C2251"/>
      <c r="E2251"/>
    </row>
    <row r="2252" spans="2:5">
      <c r="B2252"/>
      <c r="C2252"/>
      <c r="E2252"/>
    </row>
    <row r="2253" spans="2:5">
      <c r="B2253"/>
      <c r="C2253"/>
      <c r="E2253"/>
    </row>
    <row r="2254" spans="2:5">
      <c r="B2254"/>
      <c r="C2254"/>
      <c r="E2254"/>
    </row>
    <row r="2255" spans="2:5">
      <c r="B2255"/>
      <c r="C2255"/>
      <c r="E2255"/>
    </row>
    <row r="2256" spans="2:5">
      <c r="B2256"/>
      <c r="C2256"/>
      <c r="E2256"/>
    </row>
    <row r="2257" spans="2:5">
      <c r="B2257"/>
      <c r="C2257"/>
      <c r="E2257"/>
    </row>
    <row r="2258" spans="2:5">
      <c r="B2258"/>
      <c r="C2258"/>
      <c r="E2258"/>
    </row>
    <row r="2259" spans="2:5">
      <c r="B2259"/>
      <c r="C2259"/>
      <c r="E2259"/>
    </row>
    <row r="2260" spans="2:5">
      <c r="B2260"/>
      <c r="C2260"/>
      <c r="E2260"/>
    </row>
    <row r="2261" spans="2:5">
      <c r="B2261"/>
      <c r="C2261"/>
      <c r="E2261"/>
    </row>
    <row r="2262" spans="2:5">
      <c r="B2262"/>
      <c r="C2262"/>
      <c r="E2262"/>
    </row>
    <row r="2263" spans="2:5">
      <c r="B2263"/>
      <c r="C2263"/>
      <c r="E2263"/>
    </row>
    <row r="2264" spans="2:5">
      <c r="B2264"/>
      <c r="C2264"/>
      <c r="E2264"/>
    </row>
    <row r="2265" spans="2:5">
      <c r="B2265"/>
      <c r="C2265"/>
      <c r="E2265"/>
    </row>
    <row r="2266" spans="2:5">
      <c r="B2266"/>
      <c r="C2266"/>
      <c r="E2266"/>
    </row>
    <row r="2267" spans="2:5">
      <c r="B2267"/>
      <c r="C2267"/>
      <c r="E2267"/>
    </row>
    <row r="2268" spans="2:5">
      <c r="B2268"/>
      <c r="C2268"/>
      <c r="E2268"/>
    </row>
    <row r="2269" spans="2:5">
      <c r="B2269"/>
      <c r="C2269"/>
      <c r="E2269"/>
    </row>
    <row r="2270" spans="2:5">
      <c r="B2270"/>
      <c r="C2270"/>
      <c r="E2270"/>
    </row>
    <row r="2271" spans="2:5">
      <c r="B2271"/>
      <c r="C2271"/>
      <c r="E2271"/>
    </row>
    <row r="2272" spans="2:5">
      <c r="B2272"/>
      <c r="C2272"/>
      <c r="E2272"/>
    </row>
    <row r="2273" spans="2:5">
      <c r="B2273"/>
      <c r="C2273"/>
      <c r="E2273"/>
    </row>
    <row r="2274" spans="2:5">
      <c r="B2274"/>
      <c r="C2274"/>
      <c r="E2274"/>
    </row>
    <row r="2275" spans="2:5">
      <c r="B2275"/>
      <c r="C2275"/>
      <c r="E2275"/>
    </row>
    <row r="2276" spans="2:5">
      <c r="B2276"/>
      <c r="C2276"/>
      <c r="E2276"/>
    </row>
    <row r="2277" spans="2:5">
      <c r="B2277"/>
      <c r="C2277"/>
      <c r="E2277"/>
    </row>
    <row r="2278" spans="2:5">
      <c r="B2278"/>
      <c r="C2278"/>
      <c r="E2278"/>
    </row>
    <row r="2279" spans="2:5">
      <c r="B2279"/>
      <c r="C2279"/>
      <c r="E2279"/>
    </row>
    <row r="2280" spans="2:5">
      <c r="B2280"/>
      <c r="C2280"/>
      <c r="E2280"/>
    </row>
    <row r="2281" spans="2:5">
      <c r="B2281"/>
      <c r="C2281"/>
      <c r="E2281"/>
    </row>
    <row r="2282" spans="2:5">
      <c r="B2282"/>
      <c r="C2282"/>
      <c r="E2282"/>
    </row>
    <row r="2283" spans="2:5">
      <c r="B2283"/>
      <c r="C2283"/>
      <c r="E2283"/>
    </row>
    <row r="2284" spans="2:5">
      <c r="B2284"/>
      <c r="C2284"/>
      <c r="E2284"/>
    </row>
    <row r="2285" spans="2:5">
      <c r="B2285"/>
      <c r="C2285"/>
      <c r="E2285"/>
    </row>
    <row r="2286" spans="2:5">
      <c r="B2286"/>
      <c r="C2286"/>
      <c r="E2286"/>
    </row>
    <row r="2287" spans="2:5">
      <c r="B2287"/>
      <c r="C2287"/>
      <c r="E2287"/>
    </row>
    <row r="2288" spans="2:5">
      <c r="B2288"/>
      <c r="C2288"/>
      <c r="E2288"/>
    </row>
    <row r="2289" spans="2:5">
      <c r="B2289"/>
      <c r="C2289"/>
      <c r="E2289"/>
    </row>
    <row r="2290" spans="2:5">
      <c r="B2290"/>
      <c r="C2290"/>
      <c r="E2290"/>
    </row>
    <row r="2291" spans="2:5">
      <c r="B2291"/>
      <c r="C2291"/>
      <c r="E2291"/>
    </row>
    <row r="2292" spans="2:5">
      <c r="B2292"/>
      <c r="C2292"/>
      <c r="E2292"/>
    </row>
    <row r="2293" spans="2:5">
      <c r="B2293"/>
      <c r="C2293"/>
      <c r="E2293"/>
    </row>
    <row r="2294" spans="2:5">
      <c r="B2294"/>
      <c r="C2294"/>
      <c r="E2294"/>
    </row>
    <row r="2295" spans="2:5">
      <c r="B2295"/>
      <c r="C2295"/>
      <c r="E2295"/>
    </row>
    <row r="2296" spans="2:5">
      <c r="B2296"/>
      <c r="C2296"/>
      <c r="E2296"/>
    </row>
    <row r="2297" spans="2:5">
      <c r="B2297"/>
      <c r="C2297"/>
      <c r="E2297"/>
    </row>
    <row r="2298" spans="2:5">
      <c r="B2298"/>
      <c r="C2298"/>
      <c r="E2298"/>
    </row>
    <row r="2299" spans="2:5">
      <c r="B2299"/>
      <c r="C2299"/>
      <c r="E2299"/>
    </row>
    <row r="2300" spans="2:5">
      <c r="B2300"/>
      <c r="C2300"/>
      <c r="E2300"/>
    </row>
    <row r="2301" spans="2:5">
      <c r="B2301"/>
      <c r="C2301"/>
      <c r="E2301"/>
    </row>
    <row r="2302" spans="2:5">
      <c r="B2302"/>
      <c r="C2302"/>
      <c r="E2302"/>
    </row>
    <row r="2303" spans="2:5">
      <c r="B2303"/>
      <c r="C2303"/>
      <c r="E2303"/>
    </row>
    <row r="2304" spans="2:5">
      <c r="B2304"/>
      <c r="C2304"/>
      <c r="E2304"/>
    </row>
    <row r="2305" spans="2:5">
      <c r="B2305"/>
      <c r="C2305"/>
      <c r="E2305"/>
    </row>
    <row r="2306" spans="2:5">
      <c r="B2306"/>
      <c r="C2306"/>
      <c r="E2306"/>
    </row>
    <row r="2307" spans="2:5">
      <c r="B2307"/>
      <c r="C2307"/>
      <c r="E2307"/>
    </row>
    <row r="2308" spans="2:5">
      <c r="B2308"/>
      <c r="C2308"/>
      <c r="E2308"/>
    </row>
    <row r="2309" spans="2:5">
      <c r="B2309"/>
      <c r="C2309"/>
      <c r="E2309"/>
    </row>
    <row r="2310" spans="2:5">
      <c r="B2310"/>
      <c r="C2310"/>
      <c r="E2310"/>
    </row>
    <row r="2311" spans="2:5">
      <c r="B2311"/>
      <c r="C2311"/>
      <c r="E2311"/>
    </row>
    <row r="2312" spans="2:5">
      <c r="B2312"/>
      <c r="C2312"/>
      <c r="E2312"/>
    </row>
    <row r="2313" spans="2:5">
      <c r="B2313"/>
      <c r="C2313"/>
      <c r="E2313"/>
    </row>
    <row r="2314" spans="2:5">
      <c r="B2314"/>
      <c r="C2314"/>
      <c r="E2314"/>
    </row>
    <row r="2315" spans="2:5">
      <c r="B2315"/>
      <c r="C2315"/>
      <c r="E2315"/>
    </row>
    <row r="2316" spans="2:5">
      <c r="B2316"/>
      <c r="C2316"/>
      <c r="E2316"/>
    </row>
    <row r="2317" spans="2:5">
      <c r="B2317"/>
      <c r="C2317"/>
      <c r="E2317"/>
    </row>
    <row r="2318" spans="2:5">
      <c r="B2318"/>
      <c r="C2318"/>
      <c r="E2318"/>
    </row>
    <row r="2319" spans="2:5">
      <c r="B2319"/>
      <c r="C2319"/>
      <c r="E2319"/>
    </row>
    <row r="2320" spans="2:5">
      <c r="B2320"/>
      <c r="C2320"/>
      <c r="E2320"/>
    </row>
    <row r="2321" spans="2:5">
      <c r="B2321"/>
      <c r="C2321"/>
      <c r="E2321"/>
    </row>
    <row r="2322" spans="2:5">
      <c r="B2322"/>
      <c r="C2322"/>
      <c r="E2322"/>
    </row>
    <row r="2323" spans="2:5">
      <c r="B2323"/>
      <c r="C2323"/>
      <c r="E2323"/>
    </row>
    <row r="2324" spans="2:5">
      <c r="B2324"/>
      <c r="C2324"/>
      <c r="E2324"/>
    </row>
    <row r="2325" spans="2:5">
      <c r="B2325"/>
      <c r="C2325"/>
      <c r="E2325"/>
    </row>
    <row r="2326" spans="2:5">
      <c r="B2326"/>
      <c r="C2326"/>
      <c r="E2326"/>
    </row>
    <row r="2327" spans="2:5">
      <c r="B2327"/>
      <c r="C2327"/>
      <c r="E2327"/>
    </row>
    <row r="2328" spans="2:5">
      <c r="B2328"/>
      <c r="C2328"/>
      <c r="E2328"/>
    </row>
    <row r="2329" spans="2:5">
      <c r="B2329"/>
      <c r="C2329"/>
      <c r="E2329"/>
    </row>
    <row r="2330" spans="2:5">
      <c r="B2330"/>
      <c r="C2330"/>
      <c r="E2330"/>
    </row>
    <row r="2331" spans="2:5">
      <c r="B2331"/>
      <c r="C2331"/>
      <c r="E2331"/>
    </row>
    <row r="2332" spans="2:5">
      <c r="B2332"/>
      <c r="C2332"/>
      <c r="E2332"/>
    </row>
    <row r="2333" spans="2:5">
      <c r="B2333"/>
      <c r="C2333"/>
      <c r="E2333"/>
    </row>
    <row r="2334" spans="2:5">
      <c r="B2334"/>
      <c r="C2334"/>
      <c r="E2334"/>
    </row>
    <row r="2335" spans="2:5">
      <c r="B2335"/>
      <c r="C2335"/>
      <c r="E2335"/>
    </row>
    <row r="2336" spans="2:5">
      <c r="B2336"/>
      <c r="C2336"/>
      <c r="E2336"/>
    </row>
    <row r="2337" spans="2:5">
      <c r="B2337"/>
      <c r="C2337"/>
      <c r="E2337"/>
    </row>
    <row r="2338" spans="2:5">
      <c r="B2338"/>
      <c r="C2338"/>
      <c r="E2338"/>
    </row>
    <row r="2339" spans="2:5">
      <c r="B2339"/>
      <c r="C2339"/>
      <c r="E2339"/>
    </row>
    <row r="2340" spans="2:5">
      <c r="B2340"/>
      <c r="C2340"/>
      <c r="E2340"/>
    </row>
    <row r="2341" spans="2:5">
      <c r="B2341"/>
      <c r="C2341"/>
      <c r="E2341"/>
    </row>
    <row r="2342" spans="2:5">
      <c r="B2342"/>
      <c r="C2342"/>
      <c r="E2342"/>
    </row>
    <row r="2343" spans="2:5">
      <c r="B2343"/>
      <c r="C2343"/>
      <c r="E2343"/>
    </row>
    <row r="2344" spans="2:5">
      <c r="B2344"/>
      <c r="C2344"/>
      <c r="E2344"/>
    </row>
    <row r="2345" spans="2:5">
      <c r="B2345"/>
      <c r="C2345"/>
      <c r="E2345"/>
    </row>
    <row r="2346" spans="2:5">
      <c r="B2346"/>
      <c r="C2346"/>
      <c r="E2346"/>
    </row>
    <row r="2347" spans="2:5">
      <c r="B2347"/>
      <c r="C2347"/>
      <c r="E2347"/>
    </row>
    <row r="2348" spans="2:5">
      <c r="B2348"/>
      <c r="C2348"/>
      <c r="E2348"/>
    </row>
    <row r="2349" spans="2:5">
      <c r="B2349"/>
      <c r="C2349"/>
      <c r="E2349"/>
    </row>
    <row r="2350" spans="2:5">
      <c r="B2350"/>
      <c r="C2350"/>
      <c r="E2350"/>
    </row>
    <row r="2351" spans="2:5">
      <c r="B2351"/>
      <c r="C2351"/>
      <c r="E2351"/>
    </row>
    <row r="2352" spans="2:5">
      <c r="B2352"/>
      <c r="C2352"/>
      <c r="E2352"/>
    </row>
    <row r="2353" spans="2:5">
      <c r="B2353"/>
      <c r="C2353"/>
      <c r="E2353"/>
    </row>
    <row r="2354" spans="2:5">
      <c r="B2354"/>
      <c r="C2354"/>
      <c r="E2354"/>
    </row>
    <row r="2355" spans="2:5">
      <c r="B2355"/>
      <c r="C2355"/>
      <c r="E2355"/>
    </row>
    <row r="2356" spans="2:5">
      <c r="B2356"/>
      <c r="C2356"/>
      <c r="E2356"/>
    </row>
    <row r="2357" spans="2:5">
      <c r="B2357"/>
      <c r="C2357"/>
      <c r="E2357"/>
    </row>
    <row r="2358" spans="2:5">
      <c r="B2358"/>
      <c r="C2358"/>
      <c r="E2358"/>
    </row>
    <row r="2359" spans="2:5">
      <c r="B2359"/>
      <c r="C2359"/>
      <c r="E2359"/>
    </row>
    <row r="2360" spans="2:5">
      <c r="B2360"/>
      <c r="C2360"/>
      <c r="E2360"/>
    </row>
    <row r="2361" spans="2:5">
      <c r="B2361"/>
      <c r="C2361"/>
      <c r="E2361"/>
    </row>
    <row r="2362" spans="2:5">
      <c r="B2362"/>
      <c r="C2362"/>
      <c r="E2362"/>
    </row>
    <row r="2363" spans="2:5">
      <c r="B2363"/>
      <c r="C2363"/>
      <c r="E2363"/>
    </row>
    <row r="2364" spans="2:5">
      <c r="B2364"/>
      <c r="C2364"/>
      <c r="E2364"/>
    </row>
    <row r="2365" spans="2:5">
      <c r="B2365"/>
      <c r="C2365"/>
      <c r="E2365"/>
    </row>
    <row r="2366" spans="2:5">
      <c r="B2366"/>
      <c r="C2366"/>
      <c r="E2366"/>
    </row>
    <row r="2367" spans="2:5">
      <c r="B2367"/>
      <c r="C2367"/>
      <c r="E2367"/>
    </row>
    <row r="2368" spans="2:5">
      <c r="B2368"/>
      <c r="C2368"/>
      <c r="E2368"/>
    </row>
    <row r="2369" spans="2:5">
      <c r="B2369"/>
      <c r="C2369"/>
      <c r="E2369"/>
    </row>
    <row r="2370" spans="2:5">
      <c r="B2370"/>
      <c r="C2370"/>
      <c r="E2370"/>
    </row>
    <row r="2371" spans="2:5">
      <c r="B2371"/>
      <c r="C2371"/>
      <c r="E2371"/>
    </row>
    <row r="2372" spans="2:5">
      <c r="B2372"/>
      <c r="C2372"/>
      <c r="E2372"/>
    </row>
    <row r="2373" spans="2:5">
      <c r="B2373"/>
      <c r="C2373"/>
      <c r="E2373"/>
    </row>
    <row r="2374" spans="2:5">
      <c r="B2374"/>
      <c r="C2374"/>
      <c r="E2374"/>
    </row>
    <row r="2375" spans="2:5">
      <c r="B2375"/>
      <c r="C2375"/>
      <c r="E2375"/>
    </row>
    <row r="2376" spans="2:5">
      <c r="B2376"/>
      <c r="C2376"/>
      <c r="E2376"/>
    </row>
    <row r="2377" spans="2:5">
      <c r="B2377"/>
      <c r="C2377"/>
      <c r="E2377"/>
    </row>
    <row r="2378" spans="2:5">
      <c r="B2378"/>
      <c r="C2378"/>
      <c r="E2378"/>
    </row>
    <row r="2379" spans="2:5">
      <c r="B2379"/>
      <c r="C2379"/>
      <c r="E2379"/>
    </row>
    <row r="2380" spans="2:5">
      <c r="B2380"/>
      <c r="C2380"/>
      <c r="E2380"/>
    </row>
    <row r="2381" spans="2:5">
      <c r="B2381"/>
      <c r="C2381"/>
      <c r="E2381"/>
    </row>
    <row r="2382" spans="2:5">
      <c r="B2382"/>
      <c r="C2382"/>
      <c r="E2382"/>
    </row>
    <row r="2383" spans="2:5">
      <c r="B2383"/>
      <c r="C2383"/>
      <c r="E2383"/>
    </row>
    <row r="2384" spans="2:5">
      <c r="B2384"/>
      <c r="C2384"/>
      <c r="E2384"/>
    </row>
    <row r="2385" spans="2:5">
      <c r="B2385"/>
      <c r="C2385"/>
      <c r="E2385"/>
    </row>
    <row r="2386" spans="2:5">
      <c r="B2386"/>
      <c r="C2386"/>
      <c r="E2386"/>
    </row>
    <row r="2387" spans="2:5">
      <c r="B2387"/>
      <c r="C2387"/>
      <c r="E2387"/>
    </row>
    <row r="2388" spans="2:5">
      <c r="B2388"/>
      <c r="C2388"/>
      <c r="E2388"/>
    </row>
    <row r="2389" spans="2:5">
      <c r="B2389"/>
      <c r="C2389"/>
      <c r="E2389"/>
    </row>
    <row r="2390" spans="2:5">
      <c r="B2390"/>
      <c r="C2390"/>
      <c r="E2390"/>
    </row>
    <row r="2391" spans="2:5">
      <c r="B2391"/>
      <c r="C2391"/>
      <c r="E2391"/>
    </row>
    <row r="2392" spans="2:5">
      <c r="B2392"/>
      <c r="C2392"/>
      <c r="E2392"/>
    </row>
    <row r="2393" spans="2:5">
      <c r="B2393"/>
      <c r="C2393"/>
      <c r="E2393"/>
    </row>
    <row r="2394" spans="2:5">
      <c r="B2394"/>
      <c r="C2394"/>
      <c r="E2394"/>
    </row>
    <row r="2395" spans="2:5">
      <c r="B2395"/>
      <c r="C2395"/>
      <c r="E2395"/>
    </row>
    <row r="2396" spans="2:5">
      <c r="B2396"/>
      <c r="C2396"/>
      <c r="E2396"/>
    </row>
    <row r="2397" spans="2:5">
      <c r="B2397"/>
      <c r="C2397"/>
      <c r="E2397"/>
    </row>
    <row r="2398" spans="2:5">
      <c r="B2398"/>
      <c r="C2398"/>
      <c r="E2398"/>
    </row>
    <row r="2399" spans="2:5">
      <c r="B2399"/>
      <c r="C2399"/>
      <c r="E2399"/>
    </row>
    <row r="2400" spans="2:5">
      <c r="B2400"/>
      <c r="C2400"/>
      <c r="E2400"/>
    </row>
    <row r="2401" spans="2:5">
      <c r="B2401"/>
      <c r="C2401"/>
      <c r="E2401"/>
    </row>
    <row r="2402" spans="2:5">
      <c r="B2402"/>
      <c r="C2402"/>
      <c r="E2402"/>
    </row>
    <row r="2403" spans="2:5">
      <c r="B2403"/>
      <c r="C2403"/>
      <c r="E2403"/>
    </row>
    <row r="2404" spans="2:5">
      <c r="B2404"/>
      <c r="C2404"/>
      <c r="E2404"/>
    </row>
    <row r="2405" spans="2:5">
      <c r="B2405"/>
      <c r="C2405"/>
      <c r="E2405"/>
    </row>
    <row r="2406" spans="2:5">
      <c r="B2406"/>
      <c r="C2406"/>
      <c r="E2406"/>
    </row>
    <row r="2407" spans="2:5">
      <c r="B2407"/>
      <c r="C2407"/>
      <c r="E2407"/>
    </row>
    <row r="2408" spans="2:5">
      <c r="B2408"/>
      <c r="C2408"/>
      <c r="E2408"/>
    </row>
    <row r="2409" spans="2:5">
      <c r="B2409"/>
      <c r="C2409"/>
      <c r="E2409"/>
    </row>
    <row r="2410" spans="2:5">
      <c r="B2410"/>
      <c r="C2410"/>
      <c r="E2410"/>
    </row>
    <row r="2411" spans="2:5">
      <c r="B2411"/>
      <c r="C2411"/>
      <c r="E2411"/>
    </row>
    <row r="2412" spans="2:5">
      <c r="B2412"/>
      <c r="C2412"/>
      <c r="E2412"/>
    </row>
    <row r="2413" spans="2:5">
      <c r="B2413"/>
      <c r="C2413"/>
      <c r="E2413"/>
    </row>
    <row r="2414" spans="2:5">
      <c r="B2414"/>
      <c r="C2414"/>
      <c r="E2414"/>
    </row>
    <row r="2415" spans="2:5">
      <c r="B2415"/>
      <c r="C2415"/>
      <c r="E2415"/>
    </row>
    <row r="2416" spans="2:5">
      <c r="B2416"/>
      <c r="C2416"/>
      <c r="E2416"/>
    </row>
    <row r="2417" spans="2:5">
      <c r="B2417"/>
      <c r="C2417"/>
      <c r="E2417"/>
    </row>
    <row r="2418" spans="2:5">
      <c r="B2418"/>
      <c r="C2418"/>
      <c r="E2418"/>
    </row>
    <row r="2419" spans="2:5">
      <c r="B2419"/>
      <c r="C2419"/>
      <c r="E2419"/>
    </row>
    <row r="2420" spans="2:5">
      <c r="B2420"/>
      <c r="C2420"/>
      <c r="E2420"/>
    </row>
    <row r="2421" spans="2:5">
      <c r="B2421"/>
      <c r="C2421"/>
      <c r="E2421"/>
    </row>
    <row r="2422" spans="2:5">
      <c r="B2422"/>
      <c r="C2422"/>
      <c r="E2422"/>
    </row>
    <row r="2423" spans="2:5">
      <c r="B2423"/>
      <c r="C2423"/>
      <c r="E2423"/>
    </row>
    <row r="2424" spans="2:5">
      <c r="B2424"/>
      <c r="C2424"/>
      <c r="E2424"/>
    </row>
    <row r="2425" spans="2:5">
      <c r="B2425"/>
      <c r="C2425"/>
      <c r="E2425"/>
    </row>
    <row r="2426" spans="2:5">
      <c r="B2426"/>
      <c r="C2426"/>
      <c r="E2426"/>
    </row>
    <row r="2427" spans="2:5">
      <c r="B2427"/>
      <c r="C2427"/>
      <c r="E2427"/>
    </row>
    <row r="2428" spans="2:5">
      <c r="B2428"/>
      <c r="C2428"/>
      <c r="E2428"/>
    </row>
    <row r="2429" spans="2:5">
      <c r="B2429"/>
      <c r="C2429"/>
      <c r="E2429"/>
    </row>
    <row r="2430" spans="2:5">
      <c r="B2430"/>
      <c r="C2430"/>
      <c r="E2430"/>
    </row>
    <row r="2431" spans="2:5">
      <c r="B2431"/>
      <c r="C2431"/>
      <c r="E2431"/>
    </row>
    <row r="2432" spans="2:5">
      <c r="B2432"/>
      <c r="C2432"/>
      <c r="E2432"/>
    </row>
    <row r="2433" spans="2:5">
      <c r="B2433"/>
      <c r="C2433"/>
      <c r="E2433"/>
    </row>
    <row r="2434" spans="2:5">
      <c r="B2434"/>
      <c r="C2434"/>
      <c r="E2434"/>
    </row>
    <row r="2435" spans="2:5">
      <c r="B2435"/>
      <c r="C2435"/>
      <c r="E2435"/>
    </row>
    <row r="2436" spans="2:5">
      <c r="B2436"/>
      <c r="C2436"/>
      <c r="E2436"/>
    </row>
    <row r="2437" spans="2:5">
      <c r="B2437"/>
      <c r="C2437"/>
      <c r="E2437"/>
    </row>
    <row r="2438" spans="2:5">
      <c r="B2438"/>
      <c r="C2438"/>
      <c r="E2438"/>
    </row>
    <row r="2439" spans="2:5">
      <c r="B2439"/>
      <c r="C2439"/>
      <c r="E2439"/>
    </row>
    <row r="2440" spans="2:5">
      <c r="B2440"/>
      <c r="C2440"/>
      <c r="E2440"/>
    </row>
    <row r="2441" spans="2:5">
      <c r="B2441"/>
      <c r="C2441"/>
      <c r="E2441"/>
    </row>
    <row r="2442" spans="2:5">
      <c r="B2442"/>
      <c r="C2442"/>
      <c r="E2442"/>
    </row>
    <row r="2443" spans="2:5">
      <c r="B2443"/>
      <c r="C2443"/>
      <c r="E2443"/>
    </row>
    <row r="2444" spans="2:5">
      <c r="B2444"/>
      <c r="C2444"/>
      <c r="E2444"/>
    </row>
    <row r="2445" spans="2:5">
      <c r="B2445"/>
      <c r="C2445"/>
      <c r="E2445"/>
    </row>
    <row r="2446" spans="2:5">
      <c r="B2446"/>
      <c r="C2446"/>
      <c r="E2446"/>
    </row>
    <row r="2447" spans="2:5">
      <c r="B2447"/>
      <c r="C2447"/>
      <c r="E2447"/>
    </row>
    <row r="2448" spans="2:5">
      <c r="B2448"/>
      <c r="C2448"/>
      <c r="E2448"/>
    </row>
    <row r="2449" spans="2:5">
      <c r="B2449"/>
      <c r="C2449"/>
      <c r="E2449"/>
    </row>
    <row r="2450" spans="2:5">
      <c r="B2450"/>
      <c r="C2450"/>
      <c r="E2450"/>
    </row>
    <row r="2451" spans="2:5">
      <c r="B2451"/>
      <c r="C2451"/>
      <c r="E2451"/>
    </row>
    <row r="2452" spans="2:5">
      <c r="B2452"/>
      <c r="C2452"/>
      <c r="E2452"/>
    </row>
    <row r="2453" spans="2:5">
      <c r="B2453"/>
      <c r="C2453"/>
      <c r="E2453"/>
    </row>
    <row r="2454" spans="2:5">
      <c r="B2454"/>
      <c r="C2454"/>
      <c r="E2454"/>
    </row>
    <row r="2455" spans="2:5">
      <c r="B2455"/>
      <c r="C2455"/>
      <c r="E2455"/>
    </row>
    <row r="2456" spans="2:5">
      <c r="B2456"/>
      <c r="C2456"/>
      <c r="E2456"/>
    </row>
    <row r="2457" spans="2:5">
      <c r="B2457"/>
      <c r="C2457"/>
      <c r="E2457"/>
    </row>
    <row r="2458" spans="2:5">
      <c r="B2458"/>
      <c r="C2458"/>
      <c r="E2458"/>
    </row>
    <row r="2459" spans="2:5">
      <c r="B2459"/>
      <c r="C2459"/>
      <c r="E2459"/>
    </row>
    <row r="2460" spans="2:5">
      <c r="B2460"/>
      <c r="C2460"/>
      <c r="E2460"/>
    </row>
    <row r="2461" spans="2:5">
      <c r="B2461"/>
      <c r="C2461"/>
      <c r="E2461"/>
    </row>
    <row r="2462" spans="2:5">
      <c r="B2462"/>
      <c r="C2462"/>
      <c r="E2462"/>
    </row>
    <row r="2463" spans="2:5">
      <c r="B2463"/>
      <c r="C2463"/>
      <c r="E2463"/>
    </row>
    <row r="2464" spans="2:5">
      <c r="B2464"/>
      <c r="C2464"/>
      <c r="E2464"/>
    </row>
    <row r="2465" spans="2:5">
      <c r="B2465"/>
      <c r="C2465"/>
      <c r="E2465"/>
    </row>
    <row r="2466" spans="2:5">
      <c r="B2466"/>
      <c r="C2466"/>
      <c r="E2466"/>
    </row>
    <row r="2467" spans="2:5">
      <c r="B2467"/>
      <c r="C2467"/>
      <c r="E2467"/>
    </row>
    <row r="2468" spans="2:5">
      <c r="B2468"/>
      <c r="C2468"/>
      <c r="E2468"/>
    </row>
    <row r="2469" spans="2:5">
      <c r="B2469"/>
      <c r="C2469"/>
      <c r="E2469"/>
    </row>
    <row r="2470" spans="2:5">
      <c r="B2470"/>
      <c r="C2470"/>
      <c r="E2470"/>
    </row>
    <row r="2471" spans="2:5">
      <c r="B2471"/>
      <c r="C2471"/>
      <c r="E2471"/>
    </row>
    <row r="2472" spans="2:5">
      <c r="B2472"/>
      <c r="C2472"/>
      <c r="E2472"/>
    </row>
    <row r="2473" spans="2:5">
      <c r="B2473"/>
      <c r="C2473"/>
      <c r="E2473"/>
    </row>
    <row r="2474" spans="2:5">
      <c r="B2474"/>
      <c r="C2474"/>
      <c r="E2474"/>
    </row>
    <row r="2475" spans="2:5">
      <c r="B2475"/>
      <c r="C2475"/>
      <c r="E2475"/>
    </row>
    <row r="2476" spans="2:5">
      <c r="B2476"/>
      <c r="C2476"/>
      <c r="E2476"/>
    </row>
    <row r="2477" spans="2:5">
      <c r="B2477"/>
      <c r="C2477"/>
      <c r="E2477"/>
    </row>
    <row r="2478" spans="2:5">
      <c r="B2478"/>
      <c r="C2478"/>
      <c r="E2478"/>
    </row>
    <row r="2479" spans="2:5">
      <c r="B2479"/>
      <c r="C2479"/>
      <c r="E2479"/>
    </row>
    <row r="2480" spans="2:5">
      <c r="B2480"/>
      <c r="C2480"/>
      <c r="E2480"/>
    </row>
    <row r="2481" spans="2:5">
      <c r="B2481"/>
      <c r="C2481"/>
      <c r="E2481"/>
    </row>
    <row r="2482" spans="2:5">
      <c r="B2482"/>
      <c r="C2482"/>
      <c r="E2482"/>
    </row>
    <row r="2483" spans="2:5">
      <c r="B2483"/>
      <c r="C2483"/>
      <c r="E2483"/>
    </row>
    <row r="2484" spans="2:5">
      <c r="B2484"/>
      <c r="C2484"/>
      <c r="E2484"/>
    </row>
    <row r="2485" spans="2:5">
      <c r="B2485"/>
      <c r="C2485"/>
      <c r="E2485"/>
    </row>
    <row r="2486" spans="2:5">
      <c r="B2486"/>
      <c r="C2486"/>
      <c r="E2486"/>
    </row>
    <row r="2487" spans="2:5">
      <c r="B2487"/>
      <c r="C2487"/>
      <c r="E2487"/>
    </row>
    <row r="2488" spans="2:5">
      <c r="B2488"/>
      <c r="C2488"/>
      <c r="E2488"/>
    </row>
    <row r="2489" spans="2:5">
      <c r="B2489"/>
      <c r="C2489"/>
      <c r="E2489"/>
    </row>
    <row r="2490" spans="2:5">
      <c r="B2490"/>
      <c r="C2490"/>
      <c r="E2490"/>
    </row>
    <row r="2491" spans="2:5">
      <c r="B2491"/>
      <c r="C2491"/>
      <c r="E2491"/>
    </row>
    <row r="2492" spans="2:5">
      <c r="B2492"/>
      <c r="C2492"/>
      <c r="E2492"/>
    </row>
    <row r="2493" spans="2:5">
      <c r="B2493"/>
      <c r="C2493"/>
      <c r="E2493"/>
    </row>
    <row r="2494" spans="2:5">
      <c r="B2494"/>
      <c r="C2494"/>
      <c r="E2494"/>
    </row>
    <row r="2495" spans="2:5">
      <c r="B2495"/>
      <c r="C2495"/>
      <c r="E2495"/>
    </row>
    <row r="2496" spans="2:5">
      <c r="B2496"/>
      <c r="C2496"/>
      <c r="E2496"/>
    </row>
    <row r="2497" spans="2:5">
      <c r="B2497"/>
      <c r="C2497"/>
      <c r="E2497"/>
    </row>
    <row r="2498" spans="2:5">
      <c r="B2498"/>
      <c r="C2498"/>
      <c r="E2498"/>
    </row>
    <row r="2499" spans="2:5">
      <c r="B2499"/>
      <c r="C2499"/>
      <c r="E2499"/>
    </row>
    <row r="2500" spans="2:5">
      <c r="B2500"/>
      <c r="C2500"/>
      <c r="E2500"/>
    </row>
    <row r="2501" spans="2:5">
      <c r="B2501"/>
      <c r="C2501"/>
      <c r="E2501"/>
    </row>
    <row r="2502" spans="2:5">
      <c r="B2502"/>
      <c r="C2502"/>
      <c r="E2502"/>
    </row>
    <row r="2503" spans="2:5">
      <c r="B2503"/>
      <c r="C2503"/>
      <c r="E2503"/>
    </row>
    <row r="2504" spans="2:5">
      <c r="B2504"/>
      <c r="C2504"/>
      <c r="E2504"/>
    </row>
    <row r="2505" spans="2:5">
      <c r="B2505"/>
      <c r="C2505"/>
      <c r="E2505"/>
    </row>
    <row r="2506" spans="2:5">
      <c r="B2506"/>
      <c r="C2506"/>
      <c r="E2506"/>
    </row>
    <row r="2507" spans="2:5">
      <c r="B2507"/>
      <c r="C2507"/>
      <c r="E2507"/>
    </row>
    <row r="2508" spans="2:5">
      <c r="B2508"/>
      <c r="C2508"/>
      <c r="E2508"/>
    </row>
    <row r="2509" spans="2:5">
      <c r="B2509"/>
      <c r="C2509"/>
      <c r="E2509"/>
    </row>
    <row r="2510" spans="2:5">
      <c r="B2510"/>
      <c r="C2510"/>
      <c r="E2510"/>
    </row>
    <row r="2511" spans="2:5">
      <c r="B2511"/>
      <c r="C2511"/>
      <c r="E2511"/>
    </row>
    <row r="2512" spans="2:5">
      <c r="B2512"/>
      <c r="C2512"/>
      <c r="E2512"/>
    </row>
    <row r="2513" spans="2:5">
      <c r="B2513"/>
      <c r="C2513"/>
      <c r="E2513"/>
    </row>
    <row r="2514" spans="2:5">
      <c r="B2514"/>
      <c r="C2514"/>
      <c r="E2514"/>
    </row>
    <row r="2515" spans="2:5">
      <c r="B2515"/>
      <c r="C2515"/>
      <c r="E2515"/>
    </row>
    <row r="2516" spans="2:5">
      <c r="B2516"/>
      <c r="C2516"/>
      <c r="E2516"/>
    </row>
    <row r="2517" spans="2:5">
      <c r="B2517"/>
      <c r="C2517"/>
      <c r="E2517"/>
    </row>
    <row r="2518" spans="2:5">
      <c r="B2518"/>
      <c r="C2518"/>
      <c r="E2518"/>
    </row>
    <row r="2519" spans="2:5">
      <c r="B2519"/>
      <c r="C2519"/>
      <c r="E2519"/>
    </row>
    <row r="2520" spans="2:5">
      <c r="B2520"/>
      <c r="C2520"/>
      <c r="E2520"/>
    </row>
    <row r="2521" spans="2:5">
      <c r="B2521"/>
      <c r="C2521"/>
      <c r="E2521"/>
    </row>
    <row r="2522" spans="2:5">
      <c r="B2522"/>
      <c r="C2522"/>
      <c r="E2522"/>
    </row>
    <row r="2523" spans="2:5">
      <c r="B2523"/>
      <c r="C2523"/>
      <c r="E2523"/>
    </row>
    <row r="2524" spans="2:5">
      <c r="B2524"/>
      <c r="C2524"/>
      <c r="E2524"/>
    </row>
    <row r="2525" spans="2:5">
      <c r="B2525"/>
      <c r="C2525"/>
      <c r="E2525"/>
    </row>
    <row r="2526" spans="2:5">
      <c r="B2526"/>
      <c r="C2526"/>
      <c r="E2526"/>
    </row>
    <row r="2527" spans="2:5">
      <c r="B2527"/>
      <c r="C2527"/>
      <c r="E2527"/>
    </row>
    <row r="2528" spans="2:5">
      <c r="B2528"/>
      <c r="C2528"/>
      <c r="E2528"/>
    </row>
    <row r="2529" spans="2:5">
      <c r="B2529"/>
      <c r="C2529"/>
      <c r="E2529"/>
    </row>
    <row r="2530" spans="2:5">
      <c r="B2530"/>
      <c r="C2530"/>
      <c r="E2530"/>
    </row>
    <row r="2531" spans="2:5">
      <c r="B2531"/>
      <c r="C2531"/>
      <c r="E2531"/>
    </row>
    <row r="2532" spans="2:5">
      <c r="B2532"/>
      <c r="C2532"/>
      <c r="E2532"/>
    </row>
    <row r="2533" spans="2:5">
      <c r="B2533"/>
      <c r="C2533"/>
      <c r="E2533"/>
    </row>
    <row r="2534" spans="2:5">
      <c r="B2534"/>
      <c r="C2534"/>
      <c r="E2534"/>
    </row>
    <row r="2535" spans="2:5">
      <c r="B2535"/>
      <c r="C2535"/>
      <c r="E2535"/>
    </row>
    <row r="2536" spans="2:5">
      <c r="B2536"/>
      <c r="C2536"/>
      <c r="E2536"/>
    </row>
    <row r="2537" spans="2:5">
      <c r="B2537"/>
      <c r="C2537"/>
      <c r="E2537"/>
    </row>
    <row r="2538" spans="2:5">
      <c r="B2538"/>
      <c r="C2538"/>
      <c r="E2538"/>
    </row>
    <row r="2539" spans="2:5">
      <c r="B2539"/>
      <c r="C2539"/>
      <c r="E2539"/>
    </row>
    <row r="2540" spans="2:5">
      <c r="B2540"/>
      <c r="C2540"/>
      <c r="E2540"/>
    </row>
    <row r="2541" spans="2:5">
      <c r="B2541"/>
      <c r="C2541"/>
      <c r="E2541"/>
    </row>
    <row r="2542" spans="2:5">
      <c r="B2542"/>
      <c r="C2542"/>
      <c r="E2542"/>
    </row>
    <row r="2543" spans="2:5">
      <c r="B2543"/>
      <c r="C2543"/>
      <c r="E2543"/>
    </row>
    <row r="2544" spans="2:5">
      <c r="B2544"/>
      <c r="C2544"/>
      <c r="E2544"/>
    </row>
    <row r="2545" spans="2:5">
      <c r="B2545"/>
      <c r="C2545"/>
      <c r="E2545"/>
    </row>
    <row r="2546" spans="2:5">
      <c r="B2546"/>
      <c r="C2546"/>
      <c r="E2546"/>
    </row>
    <row r="2547" spans="2:5">
      <c r="B2547"/>
      <c r="C2547"/>
      <c r="E2547"/>
    </row>
    <row r="2548" spans="2:5">
      <c r="B2548"/>
      <c r="C2548"/>
      <c r="E2548"/>
    </row>
    <row r="2549" spans="2:5">
      <c r="B2549"/>
      <c r="C2549"/>
      <c r="E2549"/>
    </row>
    <row r="2550" spans="2:5">
      <c r="B2550"/>
      <c r="C2550"/>
      <c r="E2550"/>
    </row>
    <row r="2551" spans="2:5">
      <c r="B2551"/>
      <c r="C2551"/>
      <c r="E2551"/>
    </row>
    <row r="2552" spans="2:5">
      <c r="B2552"/>
      <c r="C2552"/>
      <c r="E2552"/>
    </row>
    <row r="2553" spans="2:5">
      <c r="B2553"/>
      <c r="C2553"/>
      <c r="E2553"/>
    </row>
    <row r="2554" spans="2:5">
      <c r="B2554"/>
      <c r="C2554"/>
      <c r="E2554"/>
    </row>
    <row r="2555" spans="2:5">
      <c r="B2555"/>
      <c r="C2555"/>
      <c r="E2555"/>
    </row>
    <row r="2556" spans="2:5">
      <c r="B2556"/>
      <c r="C2556"/>
      <c r="E2556"/>
    </row>
    <row r="2557" spans="2:5">
      <c r="B2557"/>
      <c r="C2557"/>
      <c r="E2557"/>
    </row>
    <row r="2558" spans="2:5">
      <c r="B2558"/>
      <c r="C2558"/>
      <c r="E2558"/>
    </row>
    <row r="2559" spans="2:5">
      <c r="B2559"/>
      <c r="C2559"/>
      <c r="E2559"/>
    </row>
    <row r="2560" spans="2:5">
      <c r="B2560"/>
      <c r="C2560"/>
      <c r="E2560"/>
    </row>
    <row r="2561" spans="2:5">
      <c r="B2561"/>
      <c r="C2561"/>
      <c r="E2561"/>
    </row>
    <row r="2562" spans="2:5">
      <c r="B2562"/>
      <c r="C2562"/>
      <c r="E2562"/>
    </row>
    <row r="2563" spans="2:5">
      <c r="B2563"/>
      <c r="C2563"/>
      <c r="E2563"/>
    </row>
    <row r="2564" spans="2:5">
      <c r="B2564"/>
      <c r="C2564"/>
      <c r="E2564"/>
    </row>
    <row r="2565" spans="2:5">
      <c r="B2565"/>
      <c r="C2565"/>
      <c r="E2565"/>
    </row>
    <row r="2566" spans="2:5">
      <c r="B2566"/>
      <c r="C2566"/>
      <c r="E2566"/>
    </row>
    <row r="2567" spans="2:5">
      <c r="B2567"/>
      <c r="C2567"/>
      <c r="E2567"/>
    </row>
    <row r="2568" spans="2:5">
      <c r="B2568"/>
      <c r="C2568"/>
      <c r="E2568"/>
    </row>
    <row r="2569" spans="2:5">
      <c r="B2569"/>
      <c r="C2569"/>
      <c r="E2569"/>
    </row>
    <row r="2570" spans="2:5">
      <c r="B2570"/>
      <c r="C2570"/>
      <c r="E2570"/>
    </row>
    <row r="2571" spans="2:5">
      <c r="B2571"/>
      <c r="C2571"/>
      <c r="E2571"/>
    </row>
    <row r="2572" spans="2:5">
      <c r="B2572"/>
      <c r="C2572"/>
      <c r="E2572"/>
    </row>
    <row r="2573" spans="2:5">
      <c r="B2573"/>
      <c r="C2573"/>
      <c r="E2573"/>
    </row>
    <row r="2574" spans="2:5">
      <c r="B2574"/>
      <c r="C2574"/>
      <c r="E2574"/>
    </row>
    <row r="2575" spans="2:5">
      <c r="B2575"/>
      <c r="C2575"/>
      <c r="E2575"/>
    </row>
    <row r="2576" spans="2:5">
      <c r="B2576"/>
      <c r="C2576"/>
      <c r="E2576"/>
    </row>
    <row r="2577" spans="2:5">
      <c r="B2577"/>
      <c r="C2577"/>
      <c r="E2577"/>
    </row>
    <row r="2578" spans="2:5">
      <c r="B2578"/>
      <c r="C2578"/>
      <c r="E2578"/>
    </row>
    <row r="2579" spans="2:5">
      <c r="B2579"/>
      <c r="C2579"/>
      <c r="E2579"/>
    </row>
    <row r="2580" spans="2:5">
      <c r="B2580"/>
      <c r="C2580"/>
      <c r="E2580"/>
    </row>
    <row r="2581" spans="2:5">
      <c r="B2581"/>
      <c r="C2581"/>
      <c r="E2581"/>
    </row>
    <row r="2582" spans="2:5">
      <c r="B2582"/>
      <c r="C2582"/>
      <c r="E2582"/>
    </row>
    <row r="2583" spans="2:5">
      <c r="B2583"/>
      <c r="C2583"/>
      <c r="E2583"/>
    </row>
    <row r="2584" spans="2:5">
      <c r="B2584"/>
      <c r="C2584"/>
      <c r="E2584"/>
    </row>
    <row r="2585" spans="2:5">
      <c r="B2585"/>
      <c r="C2585"/>
      <c r="E2585"/>
    </row>
    <row r="2586" spans="2:5">
      <c r="B2586"/>
      <c r="C2586"/>
      <c r="E2586"/>
    </row>
    <row r="2587" spans="2:5">
      <c r="B2587"/>
      <c r="C2587"/>
      <c r="E2587"/>
    </row>
    <row r="2588" spans="2:5">
      <c r="B2588"/>
      <c r="C2588"/>
      <c r="E2588"/>
    </row>
    <row r="2589" spans="2:5">
      <c r="B2589"/>
      <c r="C2589"/>
      <c r="E2589"/>
    </row>
    <row r="2590" spans="2:5">
      <c r="B2590"/>
      <c r="C2590"/>
      <c r="E2590"/>
    </row>
    <row r="2591" spans="2:5">
      <c r="B2591"/>
      <c r="C2591"/>
      <c r="E2591"/>
    </row>
    <row r="2592" spans="2:5">
      <c r="B2592"/>
      <c r="C2592"/>
      <c r="E2592"/>
    </row>
    <row r="2593" spans="2:5">
      <c r="B2593"/>
      <c r="C2593"/>
      <c r="E2593"/>
    </row>
    <row r="2594" spans="2:5">
      <c r="B2594"/>
      <c r="C2594"/>
      <c r="E2594"/>
    </row>
    <row r="2595" spans="2:5">
      <c r="B2595"/>
      <c r="C2595"/>
      <c r="E2595"/>
    </row>
    <row r="2596" spans="2:5">
      <c r="B2596"/>
      <c r="C2596"/>
      <c r="E2596"/>
    </row>
    <row r="2597" spans="2:5">
      <c r="B2597"/>
      <c r="C2597"/>
      <c r="E2597"/>
    </row>
    <row r="2598" spans="2:5">
      <c r="B2598"/>
      <c r="C2598"/>
      <c r="E2598"/>
    </row>
    <row r="2599" spans="2:5">
      <c r="B2599"/>
      <c r="C2599"/>
      <c r="E2599"/>
    </row>
    <row r="2600" spans="2:5">
      <c r="B2600"/>
      <c r="C2600"/>
      <c r="E2600"/>
    </row>
    <row r="2601" spans="2:5">
      <c r="B2601"/>
      <c r="C2601"/>
      <c r="E2601"/>
    </row>
    <row r="2602" spans="2:5">
      <c r="B2602"/>
      <c r="C2602"/>
      <c r="E2602"/>
    </row>
    <row r="2603" spans="2:5">
      <c r="B2603"/>
      <c r="C2603"/>
      <c r="E2603"/>
    </row>
    <row r="2604" spans="2:5">
      <c r="B2604"/>
      <c r="C2604"/>
      <c r="E2604"/>
    </row>
    <row r="2605" spans="2:5">
      <c r="B2605"/>
      <c r="C2605"/>
      <c r="E2605"/>
    </row>
    <row r="2606" spans="2:5">
      <c r="B2606"/>
      <c r="C2606"/>
      <c r="E2606"/>
    </row>
    <row r="2607" spans="2:5">
      <c r="B2607"/>
      <c r="C2607"/>
      <c r="E2607"/>
    </row>
    <row r="2608" spans="2:5">
      <c r="B2608"/>
      <c r="C2608"/>
      <c r="E2608"/>
    </row>
    <row r="2609" spans="2:5">
      <c r="B2609"/>
      <c r="C2609"/>
      <c r="E2609"/>
    </row>
    <row r="2610" spans="2:5">
      <c r="B2610"/>
      <c r="C2610"/>
      <c r="E2610"/>
    </row>
    <row r="2611" spans="2:5">
      <c r="B2611"/>
      <c r="C2611"/>
      <c r="E2611"/>
    </row>
    <row r="2612" spans="2:5">
      <c r="B2612"/>
      <c r="C2612"/>
      <c r="E2612"/>
    </row>
    <row r="2613" spans="2:5">
      <c r="B2613"/>
      <c r="C2613"/>
      <c r="E2613"/>
    </row>
    <row r="2614" spans="2:5">
      <c r="B2614"/>
      <c r="C2614"/>
      <c r="E2614"/>
    </row>
    <row r="2615" spans="2:5">
      <c r="B2615"/>
      <c r="C2615"/>
      <c r="E2615"/>
    </row>
    <row r="2616" spans="2:5">
      <c r="B2616"/>
      <c r="C2616"/>
      <c r="E2616"/>
    </row>
    <row r="2617" spans="2:5">
      <c r="B2617"/>
      <c r="C2617"/>
      <c r="E2617"/>
    </row>
    <row r="2618" spans="2:5">
      <c r="B2618"/>
      <c r="C2618"/>
      <c r="E2618"/>
    </row>
    <row r="2619" spans="2:5">
      <c r="B2619"/>
      <c r="C2619"/>
      <c r="E2619"/>
    </row>
    <row r="2620" spans="2:5">
      <c r="B2620"/>
      <c r="C2620"/>
      <c r="E2620"/>
    </row>
    <row r="2621" spans="2:5">
      <c r="B2621"/>
      <c r="C2621"/>
      <c r="E2621"/>
    </row>
    <row r="2622" spans="2:5">
      <c r="B2622"/>
      <c r="C2622"/>
      <c r="E2622"/>
    </row>
    <row r="2623" spans="2:5">
      <c r="B2623"/>
      <c r="C2623"/>
      <c r="E2623"/>
    </row>
    <row r="2624" spans="2:5">
      <c r="B2624"/>
      <c r="C2624"/>
      <c r="E2624"/>
    </row>
    <row r="2625" spans="2:5">
      <c r="B2625"/>
      <c r="C2625"/>
      <c r="E2625"/>
    </row>
    <row r="2626" spans="2:5">
      <c r="B2626"/>
      <c r="C2626"/>
      <c r="E2626"/>
    </row>
    <row r="2627" spans="2:5">
      <c r="B2627"/>
      <c r="C2627"/>
      <c r="E2627"/>
    </row>
    <row r="2628" spans="2:5">
      <c r="B2628"/>
      <c r="C2628"/>
      <c r="E2628"/>
    </row>
    <row r="2629" spans="2:5">
      <c r="B2629"/>
      <c r="C2629"/>
      <c r="E2629"/>
    </row>
    <row r="2630" spans="2:5">
      <c r="B2630"/>
      <c r="C2630"/>
      <c r="E2630"/>
    </row>
    <row r="2631" spans="2:5">
      <c r="B2631"/>
      <c r="C2631"/>
      <c r="E2631"/>
    </row>
    <row r="2632" spans="2:5">
      <c r="B2632"/>
      <c r="C2632"/>
      <c r="E2632"/>
    </row>
    <row r="2633" spans="2:5">
      <c r="B2633"/>
      <c r="C2633"/>
      <c r="E2633"/>
    </row>
    <row r="2634" spans="2:5">
      <c r="B2634"/>
      <c r="C2634"/>
      <c r="E2634"/>
    </row>
    <row r="2635" spans="2:5">
      <c r="B2635"/>
      <c r="C2635"/>
      <c r="E2635"/>
    </row>
    <row r="2636" spans="2:5">
      <c r="B2636"/>
      <c r="C2636"/>
      <c r="E2636"/>
    </row>
    <row r="2637" spans="2:5">
      <c r="B2637"/>
      <c r="C2637"/>
      <c r="E2637"/>
    </row>
    <row r="2638" spans="2:5">
      <c r="B2638"/>
      <c r="C2638"/>
      <c r="E2638"/>
    </row>
    <row r="2639" spans="2:5">
      <c r="B2639"/>
      <c r="C2639"/>
      <c r="E2639"/>
    </row>
    <row r="2640" spans="2:5">
      <c r="B2640"/>
      <c r="C2640"/>
      <c r="E2640"/>
    </row>
    <row r="2641" spans="2:5">
      <c r="B2641"/>
      <c r="C2641"/>
      <c r="E2641"/>
    </row>
    <row r="2642" spans="2:5">
      <c r="B2642"/>
      <c r="C2642"/>
      <c r="E2642"/>
    </row>
    <row r="2643" spans="2:5">
      <c r="B2643"/>
      <c r="C2643"/>
      <c r="E2643"/>
    </row>
    <row r="2644" spans="2:5">
      <c r="B2644"/>
      <c r="C2644"/>
      <c r="E2644"/>
    </row>
    <row r="2645" spans="2:5">
      <c r="B2645"/>
      <c r="C2645"/>
      <c r="E2645"/>
    </row>
    <row r="2646" spans="2:5">
      <c r="B2646"/>
      <c r="C2646"/>
      <c r="E2646"/>
    </row>
    <row r="2647" spans="2:5">
      <c r="B2647"/>
      <c r="C2647"/>
      <c r="E2647"/>
    </row>
    <row r="2648" spans="2:5">
      <c r="B2648"/>
      <c r="C2648"/>
      <c r="E2648"/>
    </row>
    <row r="2649" spans="2:5">
      <c r="B2649"/>
      <c r="C2649"/>
      <c r="E2649"/>
    </row>
    <row r="2650" spans="2:5">
      <c r="B2650"/>
      <c r="C2650"/>
      <c r="E2650"/>
    </row>
    <row r="2651" spans="2:5">
      <c r="B2651"/>
      <c r="C2651"/>
      <c r="E2651"/>
    </row>
    <row r="2652" spans="2:5">
      <c r="B2652"/>
      <c r="C2652"/>
      <c r="E2652"/>
    </row>
    <row r="2653" spans="2:5">
      <c r="B2653"/>
      <c r="C2653"/>
      <c r="E2653"/>
    </row>
    <row r="2654" spans="2:5">
      <c r="B2654"/>
      <c r="C2654"/>
      <c r="E2654"/>
    </row>
    <row r="2655" spans="2:5">
      <c r="B2655"/>
      <c r="C2655"/>
      <c r="E2655"/>
    </row>
    <row r="2656" spans="2:5">
      <c r="B2656"/>
      <c r="C2656"/>
      <c r="E2656"/>
    </row>
    <row r="2657" spans="2:5">
      <c r="B2657"/>
      <c r="C2657"/>
      <c r="E2657"/>
    </row>
    <row r="2658" spans="2:5">
      <c r="B2658"/>
      <c r="C2658"/>
      <c r="E2658"/>
    </row>
    <row r="2659" spans="2:5">
      <c r="B2659"/>
      <c r="C2659"/>
      <c r="E2659"/>
    </row>
    <row r="2660" spans="2:5">
      <c r="B2660"/>
      <c r="C2660"/>
      <c r="E2660"/>
    </row>
    <row r="2661" spans="2:5">
      <c r="B2661"/>
      <c r="C2661"/>
      <c r="E2661"/>
    </row>
    <row r="2662" spans="2:5">
      <c r="B2662"/>
      <c r="C2662"/>
      <c r="E2662"/>
    </row>
    <row r="2663" spans="2:5">
      <c r="B2663"/>
      <c r="C2663"/>
      <c r="E2663"/>
    </row>
    <row r="2664" spans="2:5">
      <c r="B2664"/>
      <c r="C2664"/>
      <c r="E2664"/>
    </row>
    <row r="2665" spans="2:5">
      <c r="B2665"/>
      <c r="C2665"/>
      <c r="E2665"/>
    </row>
    <row r="2666" spans="2:5">
      <c r="B2666"/>
      <c r="C2666"/>
      <c r="E2666"/>
    </row>
    <row r="2667" spans="2:5">
      <c r="B2667"/>
      <c r="C2667"/>
      <c r="E2667"/>
    </row>
    <row r="2668" spans="2:5">
      <c r="B2668"/>
      <c r="C2668"/>
      <c r="E2668"/>
    </row>
    <row r="2669" spans="2:5">
      <c r="B2669"/>
      <c r="C2669"/>
      <c r="E2669"/>
    </row>
    <row r="2670" spans="2:5">
      <c r="B2670"/>
      <c r="C2670"/>
      <c r="E2670"/>
    </row>
    <row r="2671" spans="2:5">
      <c r="B2671"/>
      <c r="C2671"/>
      <c r="E2671"/>
    </row>
    <row r="2672" spans="2:5">
      <c r="B2672"/>
      <c r="C2672"/>
      <c r="E2672"/>
    </row>
    <row r="2673" spans="2:5">
      <c r="B2673"/>
      <c r="C2673"/>
      <c r="E2673"/>
    </row>
    <row r="2674" spans="2:5">
      <c r="B2674"/>
      <c r="C2674"/>
      <c r="E2674"/>
    </row>
    <row r="2675" spans="2:5">
      <c r="B2675"/>
      <c r="C2675"/>
      <c r="E2675"/>
    </row>
    <row r="2676" spans="2:5">
      <c r="B2676"/>
      <c r="C2676"/>
      <c r="E2676"/>
    </row>
    <row r="2677" spans="2:5">
      <c r="B2677"/>
      <c r="C2677"/>
      <c r="E2677"/>
    </row>
    <row r="2678" spans="2:5">
      <c r="B2678"/>
      <c r="C2678"/>
      <c r="E2678"/>
    </row>
    <row r="2679" spans="2:5">
      <c r="B2679"/>
      <c r="C2679"/>
      <c r="E2679"/>
    </row>
    <row r="2680" spans="2:5">
      <c r="B2680"/>
      <c r="C2680"/>
      <c r="E2680"/>
    </row>
    <row r="2681" spans="2:5">
      <c r="B2681"/>
      <c r="C2681"/>
      <c r="E2681"/>
    </row>
    <row r="2682" spans="2:5">
      <c r="B2682"/>
      <c r="C2682"/>
      <c r="E2682"/>
    </row>
    <row r="2683" spans="2:5">
      <c r="B2683"/>
      <c r="C2683"/>
      <c r="E2683"/>
    </row>
    <row r="2684" spans="2:5">
      <c r="B2684"/>
      <c r="C2684"/>
      <c r="E2684"/>
    </row>
    <row r="2685" spans="2:5">
      <c r="B2685"/>
      <c r="C2685"/>
      <c r="E2685"/>
    </row>
    <row r="2686" spans="2:5">
      <c r="B2686"/>
      <c r="C2686"/>
      <c r="E2686"/>
    </row>
    <row r="2687" spans="2:5">
      <c r="B2687"/>
      <c r="C2687"/>
      <c r="E2687"/>
    </row>
    <row r="2688" spans="2:5">
      <c r="B2688"/>
      <c r="C2688"/>
      <c r="E2688"/>
    </row>
    <row r="2689" spans="2:5">
      <c r="B2689"/>
      <c r="C2689"/>
      <c r="E2689"/>
    </row>
    <row r="2690" spans="2:5">
      <c r="B2690"/>
      <c r="C2690"/>
      <c r="E2690"/>
    </row>
    <row r="2691" spans="2:5">
      <c r="B2691"/>
      <c r="C2691"/>
      <c r="E2691"/>
    </row>
    <row r="2692" spans="2:5">
      <c r="B2692"/>
      <c r="C2692"/>
      <c r="E2692"/>
    </row>
    <row r="2693" spans="2:5">
      <c r="B2693"/>
      <c r="C2693"/>
      <c r="E2693"/>
    </row>
    <row r="2694" spans="2:5">
      <c r="B2694"/>
      <c r="C2694"/>
      <c r="E2694"/>
    </row>
    <row r="2695" spans="2:5">
      <c r="B2695"/>
      <c r="C2695"/>
      <c r="E2695"/>
    </row>
    <row r="2696" spans="2:5">
      <c r="B2696"/>
      <c r="C2696"/>
      <c r="E2696"/>
    </row>
    <row r="2697" spans="2:5">
      <c r="B2697"/>
      <c r="C2697"/>
      <c r="E2697"/>
    </row>
    <row r="2698" spans="2:5">
      <c r="B2698"/>
      <c r="C2698"/>
      <c r="E2698"/>
    </row>
    <row r="2699" spans="2:5">
      <c r="B2699"/>
      <c r="C2699"/>
      <c r="E2699"/>
    </row>
    <row r="2700" spans="2:5">
      <c r="B2700"/>
      <c r="C2700"/>
      <c r="E2700"/>
    </row>
    <row r="2701" spans="2:5">
      <c r="B2701"/>
      <c r="C2701"/>
      <c r="E2701"/>
    </row>
    <row r="2702" spans="2:5">
      <c r="B2702"/>
      <c r="C2702"/>
      <c r="E2702"/>
    </row>
    <row r="2703" spans="2:5">
      <c r="B2703"/>
      <c r="C2703"/>
      <c r="E2703"/>
    </row>
    <row r="2704" spans="2:5">
      <c r="B2704"/>
      <c r="C2704"/>
      <c r="E2704"/>
    </row>
    <row r="2705" spans="2:5">
      <c r="B2705"/>
      <c r="C2705"/>
      <c r="E2705"/>
    </row>
    <row r="2706" spans="2:5">
      <c r="B2706"/>
      <c r="C2706"/>
      <c r="E2706"/>
    </row>
    <row r="2707" spans="2:5">
      <c r="B2707"/>
      <c r="C2707"/>
      <c r="E2707"/>
    </row>
    <row r="2708" spans="2:5">
      <c r="B2708"/>
      <c r="C2708"/>
      <c r="E2708"/>
    </row>
    <row r="2709" spans="2:5">
      <c r="B2709"/>
      <c r="C2709"/>
      <c r="E2709"/>
    </row>
    <row r="2710" spans="2:5">
      <c r="B2710"/>
      <c r="C2710"/>
      <c r="E2710"/>
    </row>
    <row r="2711" spans="2:5">
      <c r="B2711"/>
      <c r="C2711"/>
      <c r="E2711"/>
    </row>
    <row r="2712" spans="2:5">
      <c r="B2712"/>
      <c r="C2712"/>
      <c r="E2712"/>
    </row>
    <row r="2713" spans="2:5">
      <c r="B2713"/>
      <c r="C2713"/>
      <c r="E2713"/>
    </row>
    <row r="2714" spans="2:5">
      <c r="B2714"/>
      <c r="C2714"/>
      <c r="E2714"/>
    </row>
    <row r="2715" spans="2:5">
      <c r="B2715"/>
      <c r="C2715"/>
      <c r="E2715"/>
    </row>
    <row r="2716" spans="2:5">
      <c r="B2716"/>
      <c r="C2716"/>
      <c r="E2716"/>
    </row>
    <row r="2717" spans="2:5">
      <c r="B2717"/>
      <c r="C2717"/>
      <c r="E2717"/>
    </row>
    <row r="2718" spans="2:5">
      <c r="B2718"/>
      <c r="C2718"/>
      <c r="E2718"/>
    </row>
    <row r="2719" spans="2:5">
      <c r="B2719"/>
      <c r="C2719"/>
      <c r="E2719"/>
    </row>
    <row r="2720" spans="2:5">
      <c r="B2720"/>
      <c r="C2720"/>
      <c r="E2720"/>
    </row>
    <row r="2721" spans="2:5">
      <c r="B2721"/>
      <c r="C2721"/>
      <c r="E2721"/>
    </row>
    <row r="2722" spans="2:5">
      <c r="B2722"/>
      <c r="C2722"/>
      <c r="E2722"/>
    </row>
    <row r="2723" spans="2:5">
      <c r="B2723"/>
      <c r="C2723"/>
      <c r="E2723"/>
    </row>
    <row r="2724" spans="2:5">
      <c r="B2724"/>
      <c r="C2724"/>
      <c r="E2724"/>
    </row>
    <row r="2725" spans="2:5">
      <c r="B2725"/>
      <c r="C2725"/>
      <c r="E2725"/>
    </row>
    <row r="2726" spans="2:5">
      <c r="B2726"/>
      <c r="C2726"/>
      <c r="E2726"/>
    </row>
    <row r="2727" spans="2:5">
      <c r="B2727"/>
      <c r="C2727"/>
      <c r="E2727"/>
    </row>
    <row r="2728" spans="2:5">
      <c r="B2728"/>
      <c r="C2728"/>
      <c r="E2728"/>
    </row>
    <row r="2729" spans="2:5">
      <c r="B2729"/>
      <c r="C2729"/>
      <c r="E2729"/>
    </row>
    <row r="2730" spans="2:5">
      <c r="B2730"/>
      <c r="C2730"/>
      <c r="E2730"/>
    </row>
    <row r="2731" spans="2:5">
      <c r="B2731"/>
      <c r="C2731"/>
      <c r="E2731"/>
    </row>
    <row r="2732" spans="2:5">
      <c r="B2732"/>
      <c r="C2732"/>
      <c r="E2732"/>
    </row>
    <row r="2733" spans="2:5">
      <c r="B2733"/>
      <c r="C2733"/>
      <c r="E2733"/>
    </row>
    <row r="2734" spans="2:5">
      <c r="B2734"/>
      <c r="C2734"/>
      <c r="E2734"/>
    </row>
    <row r="2735" spans="2:5">
      <c r="B2735"/>
      <c r="C2735"/>
      <c r="E2735"/>
    </row>
    <row r="2736" spans="2:5">
      <c r="B2736"/>
      <c r="C2736"/>
      <c r="E2736"/>
    </row>
    <row r="2737" spans="2:5">
      <c r="B2737"/>
      <c r="C2737"/>
      <c r="E2737"/>
    </row>
    <row r="2738" spans="2:5">
      <c r="B2738"/>
      <c r="C2738"/>
      <c r="E2738"/>
    </row>
    <row r="2739" spans="2:5">
      <c r="B2739"/>
      <c r="C2739"/>
      <c r="E2739"/>
    </row>
    <row r="2740" spans="2:5">
      <c r="B2740"/>
      <c r="C2740"/>
      <c r="E2740"/>
    </row>
    <row r="2741" spans="2:5">
      <c r="B2741"/>
      <c r="C2741"/>
      <c r="E2741"/>
    </row>
    <row r="2742" spans="2:5">
      <c r="B2742"/>
      <c r="C2742"/>
      <c r="E2742"/>
    </row>
    <row r="2743" spans="2:5">
      <c r="B2743"/>
      <c r="C2743"/>
      <c r="E2743"/>
    </row>
    <row r="2744" spans="2:5">
      <c r="B2744"/>
      <c r="C2744"/>
      <c r="E2744"/>
    </row>
    <row r="2745" spans="2:5">
      <c r="B2745"/>
      <c r="C2745"/>
      <c r="E2745"/>
    </row>
    <row r="2746" spans="2:5">
      <c r="B2746"/>
      <c r="C2746"/>
      <c r="E2746"/>
    </row>
    <row r="2747" spans="2:5">
      <c r="B2747"/>
      <c r="C2747"/>
      <c r="E2747"/>
    </row>
    <row r="2748" spans="2:5">
      <c r="B2748"/>
      <c r="C2748"/>
      <c r="E2748"/>
    </row>
    <row r="2749" spans="2:5">
      <c r="B2749"/>
      <c r="C2749"/>
      <c r="E2749"/>
    </row>
    <row r="2750" spans="2:5">
      <c r="B2750"/>
      <c r="C2750"/>
      <c r="E2750"/>
    </row>
    <row r="2751" spans="2:5">
      <c r="B2751"/>
      <c r="C2751"/>
      <c r="E2751"/>
    </row>
    <row r="2752" spans="2:5">
      <c r="B2752"/>
      <c r="C2752"/>
      <c r="E2752"/>
    </row>
    <row r="2753" spans="2:5">
      <c r="B2753"/>
      <c r="C2753"/>
      <c r="E2753"/>
    </row>
    <row r="2754" spans="2:5">
      <c r="B2754"/>
      <c r="C2754"/>
      <c r="E2754"/>
    </row>
    <row r="2755" spans="2:5">
      <c r="B2755"/>
      <c r="C2755"/>
      <c r="E2755"/>
    </row>
    <row r="2756" spans="2:5">
      <c r="B2756"/>
      <c r="C2756"/>
      <c r="E2756"/>
    </row>
    <row r="2757" spans="2:5">
      <c r="B2757"/>
      <c r="C2757"/>
      <c r="E2757"/>
    </row>
    <row r="2758" spans="2:5">
      <c r="B2758"/>
      <c r="C2758"/>
      <c r="E2758"/>
    </row>
    <row r="2759" spans="2:5">
      <c r="B2759"/>
      <c r="C2759"/>
      <c r="E2759"/>
    </row>
    <row r="2760" spans="2:5">
      <c r="B2760"/>
      <c r="C2760"/>
      <c r="E2760"/>
    </row>
    <row r="2761" spans="2:5">
      <c r="B2761"/>
      <c r="C2761"/>
      <c r="E2761"/>
    </row>
    <row r="2762" spans="2:5">
      <c r="B2762"/>
      <c r="C2762"/>
      <c r="E2762"/>
    </row>
    <row r="2763" spans="2:5">
      <c r="B2763"/>
      <c r="C2763"/>
      <c r="E2763"/>
    </row>
    <row r="2764" spans="2:5">
      <c r="B2764"/>
      <c r="C2764"/>
      <c r="E2764"/>
    </row>
    <row r="2765" spans="2:5">
      <c r="B2765"/>
      <c r="C2765"/>
      <c r="E2765"/>
    </row>
    <row r="2766" spans="2:5">
      <c r="B2766"/>
      <c r="C2766"/>
      <c r="E2766"/>
    </row>
    <row r="2767" spans="2:5">
      <c r="B2767"/>
      <c r="C2767"/>
      <c r="E2767"/>
    </row>
    <row r="2768" spans="2:5">
      <c r="B2768"/>
      <c r="C2768"/>
      <c r="E2768"/>
    </row>
    <row r="2769" spans="2:5">
      <c r="B2769"/>
      <c r="C2769"/>
      <c r="E2769"/>
    </row>
    <row r="2770" spans="2:5">
      <c r="B2770"/>
      <c r="C2770"/>
      <c r="E2770"/>
    </row>
    <row r="2771" spans="2:5">
      <c r="B2771"/>
      <c r="C2771"/>
      <c r="E2771"/>
    </row>
    <row r="2772" spans="2:5">
      <c r="B2772"/>
      <c r="C2772"/>
      <c r="E2772"/>
    </row>
    <row r="2773" spans="2:5">
      <c r="B2773"/>
      <c r="C2773"/>
      <c r="E2773"/>
    </row>
    <row r="2774" spans="2:5">
      <c r="B2774"/>
      <c r="C2774"/>
      <c r="E2774"/>
    </row>
    <row r="2775" spans="2:5">
      <c r="B2775"/>
      <c r="C2775"/>
      <c r="E2775"/>
    </row>
    <row r="2776" spans="2:5">
      <c r="B2776"/>
      <c r="C2776"/>
      <c r="E2776"/>
    </row>
    <row r="2777" spans="2:5">
      <c r="B2777"/>
      <c r="C2777"/>
      <c r="E2777"/>
    </row>
    <row r="2778" spans="2:5">
      <c r="B2778"/>
      <c r="C2778"/>
      <c r="E2778"/>
    </row>
    <row r="2779" spans="2:5">
      <c r="B2779"/>
      <c r="C2779"/>
      <c r="E2779"/>
    </row>
    <row r="2780" spans="2:5">
      <c r="B2780"/>
      <c r="C2780"/>
      <c r="E2780"/>
    </row>
    <row r="2781" spans="2:5">
      <c r="B2781"/>
      <c r="C2781"/>
      <c r="E2781"/>
    </row>
    <row r="2782" spans="2:5">
      <c r="B2782"/>
      <c r="C2782"/>
      <c r="E2782"/>
    </row>
    <row r="2783" spans="2:5">
      <c r="B2783"/>
      <c r="C2783"/>
      <c r="E2783"/>
    </row>
    <row r="2784" spans="2:5">
      <c r="B2784"/>
      <c r="C2784"/>
      <c r="E2784"/>
    </row>
    <row r="2785" spans="2:5">
      <c r="B2785"/>
      <c r="C2785"/>
      <c r="E2785"/>
    </row>
    <row r="2786" spans="2:5">
      <c r="B2786"/>
      <c r="C2786"/>
      <c r="E2786"/>
    </row>
    <row r="2787" spans="2:5">
      <c r="B2787"/>
      <c r="C2787"/>
      <c r="E2787"/>
    </row>
    <row r="2788" spans="2:5">
      <c r="B2788"/>
      <c r="C2788"/>
      <c r="E2788"/>
    </row>
    <row r="2789" spans="2:5">
      <c r="B2789"/>
      <c r="C2789"/>
      <c r="E2789"/>
    </row>
    <row r="2790" spans="2:5">
      <c r="B2790"/>
      <c r="C2790"/>
      <c r="E2790"/>
    </row>
    <row r="2791" spans="2:5">
      <c r="B2791"/>
      <c r="C2791"/>
      <c r="E2791"/>
    </row>
    <row r="2792" spans="2:5">
      <c r="B2792"/>
      <c r="C2792"/>
      <c r="E2792"/>
    </row>
    <row r="2793" spans="2:5">
      <c r="B2793"/>
      <c r="C2793"/>
      <c r="E2793"/>
    </row>
    <row r="2794" spans="2:5">
      <c r="B2794"/>
      <c r="C2794"/>
      <c r="E2794"/>
    </row>
    <row r="2795" spans="2:5">
      <c r="B2795"/>
      <c r="C2795"/>
      <c r="E2795"/>
    </row>
    <row r="2796" spans="2:5">
      <c r="B2796"/>
      <c r="C2796"/>
      <c r="E2796"/>
    </row>
    <row r="2797" spans="2:5">
      <c r="B2797"/>
      <c r="C2797"/>
      <c r="E2797"/>
    </row>
    <row r="2798" spans="2:5">
      <c r="B2798"/>
      <c r="C2798"/>
      <c r="E2798"/>
    </row>
    <row r="2799" spans="2:5">
      <c r="B2799"/>
      <c r="C2799"/>
      <c r="E2799"/>
    </row>
    <row r="2800" spans="2:5">
      <c r="B2800"/>
      <c r="C2800"/>
      <c r="E2800"/>
    </row>
    <row r="2801" spans="2:5">
      <c r="B2801"/>
      <c r="C2801"/>
      <c r="E2801"/>
    </row>
    <row r="2802" spans="2:5">
      <c r="B2802"/>
      <c r="C2802"/>
      <c r="E2802"/>
    </row>
    <row r="2803" spans="2:5">
      <c r="B2803"/>
      <c r="C2803"/>
      <c r="E2803"/>
    </row>
    <row r="2804" spans="2:5">
      <c r="B2804"/>
      <c r="C2804"/>
      <c r="E2804"/>
    </row>
    <row r="2805" spans="2:5">
      <c r="B2805"/>
      <c r="C2805"/>
      <c r="E2805"/>
    </row>
    <row r="2806" spans="2:5">
      <c r="B2806"/>
      <c r="C2806"/>
      <c r="E2806"/>
    </row>
    <row r="2807" spans="2:5">
      <c r="B2807"/>
      <c r="C2807"/>
      <c r="E2807"/>
    </row>
    <row r="2808" spans="2:5">
      <c r="B2808"/>
      <c r="C2808"/>
      <c r="E2808"/>
    </row>
    <row r="2809" spans="2:5">
      <c r="B2809"/>
      <c r="C2809"/>
      <c r="E2809"/>
    </row>
    <row r="2810" spans="2:5">
      <c r="B2810"/>
      <c r="C2810"/>
      <c r="E2810"/>
    </row>
    <row r="2811" spans="2:5">
      <c r="B2811"/>
      <c r="C2811"/>
      <c r="E2811"/>
    </row>
    <row r="2812" spans="2:5">
      <c r="B2812"/>
      <c r="C2812"/>
      <c r="E2812"/>
    </row>
    <row r="2813" spans="2:5">
      <c r="B2813"/>
      <c r="C2813"/>
      <c r="E2813"/>
    </row>
    <row r="2814" spans="2:5">
      <c r="B2814"/>
      <c r="C2814"/>
      <c r="E2814"/>
    </row>
    <row r="2815" spans="2:5">
      <c r="B2815"/>
      <c r="C2815"/>
      <c r="E2815"/>
    </row>
    <row r="2816" spans="2:5">
      <c r="B2816"/>
      <c r="C2816"/>
      <c r="E2816"/>
    </row>
    <row r="2817" spans="2:5">
      <c r="B2817"/>
      <c r="C2817"/>
      <c r="E2817"/>
    </row>
    <row r="2818" spans="2:5">
      <c r="B2818"/>
      <c r="C2818"/>
      <c r="E2818"/>
    </row>
    <row r="2819" spans="2:5">
      <c r="B2819"/>
      <c r="C2819"/>
      <c r="E2819"/>
    </row>
    <row r="2820" spans="2:5">
      <c r="B2820"/>
      <c r="C2820"/>
      <c r="E2820"/>
    </row>
    <row r="2821" spans="2:5">
      <c r="B2821"/>
      <c r="C2821"/>
      <c r="E2821"/>
    </row>
    <row r="2822" spans="2:5">
      <c r="B2822"/>
      <c r="C2822"/>
      <c r="E2822"/>
    </row>
    <row r="2823" spans="2:5">
      <c r="B2823"/>
      <c r="C2823"/>
      <c r="E2823"/>
    </row>
    <row r="2824" spans="2:5">
      <c r="B2824"/>
      <c r="C2824"/>
      <c r="E2824"/>
    </row>
    <row r="2825" spans="2:5">
      <c r="B2825"/>
      <c r="C2825"/>
      <c r="E2825"/>
    </row>
    <row r="2826" spans="2:5">
      <c r="B2826"/>
      <c r="C2826"/>
      <c r="E2826"/>
    </row>
    <row r="2827" spans="2:5">
      <c r="B2827"/>
      <c r="C2827"/>
      <c r="E2827"/>
    </row>
    <row r="2828" spans="2:5">
      <c r="B2828"/>
      <c r="C2828"/>
      <c r="E2828"/>
    </row>
    <row r="2829" spans="2:5">
      <c r="B2829"/>
      <c r="C2829"/>
      <c r="E2829"/>
    </row>
    <row r="2830" spans="2:5">
      <c r="B2830"/>
      <c r="C2830"/>
      <c r="E2830"/>
    </row>
    <row r="2831" spans="2:5">
      <c r="B2831"/>
      <c r="C2831"/>
      <c r="E2831"/>
    </row>
    <row r="2832" spans="2:5">
      <c r="B2832"/>
      <c r="C2832"/>
      <c r="E2832"/>
    </row>
    <row r="2833" spans="2:5">
      <c r="B2833"/>
      <c r="C2833"/>
      <c r="E2833"/>
    </row>
    <row r="2834" spans="2:5">
      <c r="B2834"/>
      <c r="C2834"/>
      <c r="E2834"/>
    </row>
    <row r="2835" spans="2:5">
      <c r="B2835"/>
      <c r="C2835"/>
      <c r="E2835"/>
    </row>
    <row r="2836" spans="2:5">
      <c r="B2836"/>
      <c r="C2836"/>
      <c r="E2836"/>
    </row>
    <row r="2837" spans="2:5">
      <c r="B2837"/>
      <c r="C2837"/>
      <c r="E2837"/>
    </row>
    <row r="2838" spans="2:5">
      <c r="B2838"/>
      <c r="C2838"/>
      <c r="E2838"/>
    </row>
    <row r="2839" spans="2:5">
      <c r="B2839"/>
      <c r="C2839"/>
      <c r="E2839"/>
    </row>
    <row r="2840" spans="2:5">
      <c r="B2840"/>
      <c r="C2840"/>
      <c r="E2840"/>
    </row>
    <row r="2841" spans="2:5">
      <c r="B2841"/>
      <c r="C2841"/>
      <c r="E2841"/>
    </row>
    <row r="2842" spans="2:5">
      <c r="B2842"/>
      <c r="C2842"/>
      <c r="E2842"/>
    </row>
    <row r="2843" spans="2:5">
      <c r="B2843"/>
      <c r="C2843"/>
      <c r="E2843"/>
    </row>
    <row r="2844" spans="2:5">
      <c r="B2844"/>
      <c r="C2844"/>
      <c r="E2844"/>
    </row>
    <row r="2845" spans="2:5">
      <c r="B2845"/>
      <c r="C2845"/>
      <c r="E2845"/>
    </row>
    <row r="2846" spans="2:5">
      <c r="B2846"/>
      <c r="C2846"/>
      <c r="E2846"/>
    </row>
    <row r="2847" spans="2:5">
      <c r="B2847"/>
      <c r="C2847"/>
      <c r="E2847"/>
    </row>
    <row r="2848" spans="2:5">
      <c r="B2848"/>
      <c r="C2848"/>
      <c r="E2848"/>
    </row>
    <row r="2849" spans="2:5">
      <c r="B2849"/>
      <c r="C2849"/>
      <c r="E2849"/>
    </row>
    <row r="2850" spans="2:5">
      <c r="B2850"/>
      <c r="C2850"/>
      <c r="E2850"/>
    </row>
    <row r="2851" spans="2:5">
      <c r="B2851"/>
      <c r="C2851"/>
      <c r="E2851"/>
    </row>
    <row r="2852" spans="2:5">
      <c r="B2852"/>
      <c r="C2852"/>
      <c r="E2852"/>
    </row>
    <row r="2853" spans="2:5">
      <c r="B2853"/>
      <c r="C2853"/>
      <c r="E2853"/>
    </row>
    <row r="2854" spans="2:5">
      <c r="B2854"/>
      <c r="C2854"/>
      <c r="E2854"/>
    </row>
    <row r="2855" spans="2:5">
      <c r="B2855"/>
      <c r="C2855"/>
      <c r="E2855"/>
    </row>
    <row r="2856" spans="2:5">
      <c r="B2856"/>
      <c r="C2856"/>
      <c r="E2856"/>
    </row>
    <row r="2857" spans="2:5">
      <c r="B2857"/>
      <c r="C2857"/>
      <c r="E2857"/>
    </row>
    <row r="2858" spans="2:5">
      <c r="B2858"/>
      <c r="C2858"/>
      <c r="E2858"/>
    </row>
    <row r="2859" spans="2:5">
      <c r="B2859"/>
      <c r="C2859"/>
      <c r="E2859"/>
    </row>
    <row r="2860" spans="2:5">
      <c r="B2860"/>
      <c r="C2860"/>
      <c r="E2860"/>
    </row>
    <row r="2861" spans="2:5">
      <c r="B2861"/>
      <c r="C2861"/>
      <c r="E2861"/>
    </row>
    <row r="2862" spans="2:5">
      <c r="B2862"/>
      <c r="C2862"/>
      <c r="E2862"/>
    </row>
    <row r="2863" spans="2:5">
      <c r="B2863"/>
      <c r="C2863"/>
      <c r="E2863"/>
    </row>
    <row r="2864" spans="2:5">
      <c r="B2864"/>
      <c r="C2864"/>
      <c r="E2864"/>
    </row>
    <row r="2865" spans="2:5">
      <c r="B2865"/>
      <c r="C2865"/>
      <c r="E2865"/>
    </row>
    <row r="2866" spans="2:5">
      <c r="B2866"/>
      <c r="C2866"/>
      <c r="E2866"/>
    </row>
    <row r="2867" spans="2:5">
      <c r="B2867"/>
      <c r="C2867"/>
      <c r="E2867"/>
    </row>
    <row r="2868" spans="2:5">
      <c r="B2868"/>
      <c r="C2868"/>
      <c r="E2868"/>
    </row>
    <row r="2869" spans="2:5">
      <c r="B2869"/>
      <c r="C2869"/>
      <c r="E2869"/>
    </row>
    <row r="2870" spans="2:5">
      <c r="B2870"/>
      <c r="C2870"/>
      <c r="E2870"/>
    </row>
    <row r="2871" spans="2:5">
      <c r="B2871"/>
      <c r="C2871"/>
      <c r="E2871"/>
    </row>
    <row r="2872" spans="2:5">
      <c r="B2872"/>
      <c r="C2872"/>
      <c r="E2872"/>
    </row>
    <row r="2873" spans="2:5">
      <c r="B2873"/>
      <c r="C2873"/>
      <c r="E2873"/>
    </row>
    <row r="2874" spans="2:5">
      <c r="B2874"/>
      <c r="C2874"/>
      <c r="E2874"/>
    </row>
    <row r="2875" spans="2:5">
      <c r="B2875"/>
      <c r="C2875"/>
      <c r="E2875"/>
    </row>
    <row r="2876" spans="2:5">
      <c r="B2876"/>
      <c r="C2876"/>
      <c r="E2876"/>
    </row>
    <row r="2877" spans="2:5">
      <c r="B2877"/>
      <c r="C2877"/>
      <c r="E2877"/>
    </row>
    <row r="2878" spans="2:5">
      <c r="B2878"/>
      <c r="C2878"/>
      <c r="E2878"/>
    </row>
    <row r="2879" spans="2:5">
      <c r="B2879"/>
      <c r="C2879"/>
      <c r="E2879"/>
    </row>
    <row r="2880" spans="2:5">
      <c r="B2880"/>
      <c r="C2880"/>
      <c r="E2880"/>
    </row>
    <row r="2881" spans="2:5">
      <c r="B2881"/>
      <c r="C2881"/>
      <c r="E2881"/>
    </row>
    <row r="2882" spans="2:5">
      <c r="B2882"/>
      <c r="C2882"/>
      <c r="E2882"/>
    </row>
    <row r="2883" spans="2:5">
      <c r="B2883"/>
      <c r="C2883"/>
      <c r="E2883"/>
    </row>
    <row r="2884" spans="2:5">
      <c r="B2884"/>
      <c r="C2884"/>
      <c r="E2884"/>
    </row>
    <row r="2885" spans="2:5">
      <c r="B2885"/>
      <c r="C2885"/>
      <c r="E2885"/>
    </row>
    <row r="2886" spans="2:5">
      <c r="B2886"/>
      <c r="C2886"/>
      <c r="E2886"/>
    </row>
    <row r="2887" spans="2:5">
      <c r="B2887"/>
      <c r="C2887"/>
      <c r="E2887"/>
    </row>
    <row r="2888" spans="2:5">
      <c r="B2888"/>
      <c r="C2888"/>
      <c r="E2888"/>
    </row>
    <row r="2889" spans="2:5">
      <c r="B2889"/>
      <c r="C2889"/>
      <c r="E2889"/>
    </row>
    <row r="2890" spans="2:5">
      <c r="B2890"/>
      <c r="C2890"/>
      <c r="E2890"/>
    </row>
    <row r="2891" spans="2:5">
      <c r="B2891"/>
      <c r="C2891"/>
      <c r="E2891"/>
    </row>
    <row r="2892" spans="2:5">
      <c r="B2892"/>
      <c r="C2892"/>
      <c r="E2892"/>
    </row>
    <row r="2893" spans="2:5">
      <c r="B2893"/>
      <c r="C2893"/>
      <c r="E2893"/>
    </row>
    <row r="2894" spans="2:5">
      <c r="B2894"/>
      <c r="C2894"/>
      <c r="E2894"/>
    </row>
    <row r="2895" spans="2:5">
      <c r="B2895"/>
      <c r="C2895"/>
      <c r="E2895"/>
    </row>
    <row r="2896" spans="2:5">
      <c r="B2896"/>
      <c r="C2896"/>
      <c r="E2896"/>
    </row>
    <row r="2897" spans="2:5">
      <c r="B2897"/>
      <c r="C2897"/>
      <c r="E2897"/>
    </row>
    <row r="2898" spans="2:5">
      <c r="B2898"/>
      <c r="C2898"/>
      <c r="E2898"/>
    </row>
    <row r="2899" spans="2:5">
      <c r="B2899"/>
      <c r="C2899"/>
      <c r="E2899"/>
    </row>
    <row r="2900" spans="2:5">
      <c r="B2900"/>
      <c r="C2900"/>
      <c r="E2900"/>
    </row>
    <row r="2901" spans="2:5">
      <c r="B2901"/>
      <c r="C2901"/>
      <c r="E2901"/>
    </row>
    <row r="2902" spans="2:5">
      <c r="B2902"/>
      <c r="C2902"/>
      <c r="E2902"/>
    </row>
    <row r="2903" spans="2:5">
      <c r="B2903"/>
      <c r="C2903"/>
      <c r="E2903"/>
    </row>
    <row r="2904" spans="2:5">
      <c r="B2904"/>
      <c r="C2904"/>
      <c r="E2904"/>
    </row>
    <row r="2905" spans="2:5">
      <c r="B2905"/>
      <c r="C2905"/>
      <c r="E2905"/>
    </row>
    <row r="2906" spans="2:5">
      <c r="B2906"/>
      <c r="C2906"/>
      <c r="E2906"/>
    </row>
    <row r="2907" spans="2:5">
      <c r="B2907"/>
      <c r="C2907"/>
      <c r="E2907"/>
    </row>
    <row r="2908" spans="2:5">
      <c r="B2908"/>
      <c r="C2908"/>
      <c r="E2908"/>
    </row>
    <row r="2909" spans="2:5">
      <c r="B2909"/>
      <c r="C2909"/>
      <c r="E2909"/>
    </row>
    <row r="2910" spans="2:5">
      <c r="B2910"/>
      <c r="C2910"/>
      <c r="E2910"/>
    </row>
    <row r="2911" spans="2:5">
      <c r="B2911"/>
      <c r="C2911"/>
      <c r="E2911"/>
    </row>
    <row r="2912" spans="2:5">
      <c r="B2912"/>
      <c r="C2912"/>
      <c r="E2912"/>
    </row>
    <row r="2913" spans="2:5">
      <c r="B2913"/>
      <c r="C2913"/>
      <c r="E2913"/>
    </row>
    <row r="2914" spans="2:5">
      <c r="B2914"/>
      <c r="C2914"/>
      <c r="E2914"/>
    </row>
    <row r="2915" spans="2:5">
      <c r="B2915"/>
      <c r="C2915"/>
      <c r="E2915"/>
    </row>
    <row r="2916" spans="2:5">
      <c r="B2916"/>
      <c r="C2916"/>
      <c r="E2916"/>
    </row>
    <row r="2917" spans="2:5">
      <c r="B2917"/>
      <c r="C2917"/>
      <c r="E2917"/>
    </row>
    <row r="2918" spans="2:5">
      <c r="B2918"/>
      <c r="C2918"/>
      <c r="E2918"/>
    </row>
    <row r="2919" spans="2:5">
      <c r="B2919"/>
      <c r="C2919"/>
      <c r="E2919"/>
    </row>
    <row r="2920" spans="2:5">
      <c r="B2920"/>
      <c r="C2920"/>
      <c r="E2920"/>
    </row>
    <row r="2921" spans="2:5">
      <c r="B2921"/>
      <c r="C2921"/>
      <c r="E2921"/>
    </row>
    <row r="2922" spans="2:5">
      <c r="B2922"/>
      <c r="C2922"/>
      <c r="E2922"/>
    </row>
    <row r="2923" spans="2:5">
      <c r="B2923"/>
      <c r="C2923"/>
      <c r="E2923"/>
    </row>
    <row r="2924" spans="2:5">
      <c r="B2924"/>
      <c r="C2924"/>
      <c r="E2924"/>
    </row>
    <row r="2925" spans="2:5">
      <c r="B2925"/>
      <c r="C2925"/>
      <c r="E2925"/>
    </row>
    <row r="2926" spans="2:5">
      <c r="B2926"/>
      <c r="C2926"/>
      <c r="E2926"/>
    </row>
    <row r="2927" spans="2:5">
      <c r="B2927"/>
      <c r="C2927"/>
      <c r="E2927"/>
    </row>
    <row r="2928" spans="2:5">
      <c r="B2928"/>
      <c r="C2928"/>
      <c r="E2928"/>
    </row>
    <row r="2929" spans="2:5">
      <c r="B2929"/>
      <c r="C2929"/>
      <c r="E2929"/>
    </row>
    <row r="2930" spans="2:5">
      <c r="B2930"/>
      <c r="C2930"/>
      <c r="E2930"/>
    </row>
    <row r="2931" spans="2:5">
      <c r="B2931"/>
      <c r="C2931"/>
      <c r="E2931"/>
    </row>
    <row r="2932" spans="2:5">
      <c r="B2932"/>
      <c r="C2932"/>
      <c r="E2932"/>
    </row>
    <row r="2933" spans="2:5">
      <c r="B2933"/>
      <c r="C2933"/>
      <c r="E2933"/>
    </row>
    <row r="2934" spans="2:5">
      <c r="B2934"/>
      <c r="C2934"/>
      <c r="E2934"/>
    </row>
    <row r="2935" spans="2:5">
      <c r="B2935"/>
      <c r="C2935"/>
      <c r="E2935"/>
    </row>
    <row r="2936" spans="2:5">
      <c r="B2936"/>
      <c r="C2936"/>
      <c r="E2936"/>
    </row>
    <row r="2937" spans="2:5">
      <c r="B2937"/>
      <c r="C2937"/>
      <c r="E2937"/>
    </row>
    <row r="2938" spans="2:5">
      <c r="B2938"/>
      <c r="C2938"/>
      <c r="E2938"/>
    </row>
    <row r="2939" spans="2:5">
      <c r="B2939"/>
      <c r="C2939"/>
      <c r="E2939"/>
    </row>
    <row r="2940" spans="2:5">
      <c r="B2940"/>
      <c r="C2940"/>
      <c r="E2940"/>
    </row>
    <row r="2941" spans="2:5">
      <c r="B2941"/>
      <c r="C2941"/>
      <c r="E2941"/>
    </row>
    <row r="2942" spans="2:5">
      <c r="B2942"/>
      <c r="C2942"/>
      <c r="E2942"/>
    </row>
    <row r="2943" spans="2:5">
      <c r="B2943"/>
      <c r="C2943"/>
      <c r="E2943"/>
    </row>
    <row r="2944" spans="2:5">
      <c r="B2944"/>
      <c r="C2944"/>
      <c r="E2944"/>
    </row>
    <row r="2945" spans="2:5">
      <c r="B2945"/>
      <c r="C2945"/>
      <c r="E2945"/>
    </row>
    <row r="2946" spans="2:5">
      <c r="B2946"/>
      <c r="C2946"/>
      <c r="E2946"/>
    </row>
    <row r="2947" spans="2:5">
      <c r="B2947"/>
      <c r="C2947"/>
      <c r="E2947"/>
    </row>
    <row r="2948" spans="2:5">
      <c r="B2948"/>
      <c r="C2948"/>
      <c r="E2948"/>
    </row>
    <row r="2949" spans="2:5">
      <c r="B2949"/>
      <c r="C2949"/>
      <c r="E2949"/>
    </row>
    <row r="2950" spans="2:5">
      <c r="B2950"/>
      <c r="C2950"/>
      <c r="E2950"/>
    </row>
    <row r="2951" spans="2:5">
      <c r="B2951"/>
      <c r="C2951"/>
      <c r="E2951"/>
    </row>
    <row r="2952" spans="2:5">
      <c r="B2952"/>
      <c r="C2952"/>
      <c r="E2952"/>
    </row>
    <row r="2953" spans="2:5">
      <c r="B2953"/>
      <c r="C2953"/>
      <c r="E2953"/>
    </row>
    <row r="2954" spans="2:5">
      <c r="B2954"/>
      <c r="C2954"/>
      <c r="E2954"/>
    </row>
    <row r="2955" spans="2:5">
      <c r="B2955"/>
      <c r="C2955"/>
      <c r="E2955"/>
    </row>
    <row r="2956" spans="2:5">
      <c r="B2956"/>
      <c r="C2956"/>
      <c r="E2956"/>
    </row>
    <row r="2957" spans="2:5">
      <c r="B2957"/>
      <c r="C2957"/>
      <c r="E2957"/>
    </row>
    <row r="2958" spans="2:5">
      <c r="B2958"/>
      <c r="C2958"/>
      <c r="E2958"/>
    </row>
    <row r="2959" spans="2:5">
      <c r="B2959"/>
      <c r="C2959"/>
      <c r="E2959"/>
    </row>
    <row r="2960" spans="2:5">
      <c r="B2960"/>
      <c r="C2960"/>
      <c r="E2960"/>
    </row>
    <row r="2961" spans="2:5">
      <c r="B2961"/>
      <c r="C2961"/>
      <c r="E2961"/>
    </row>
    <row r="2962" spans="2:5">
      <c r="B2962"/>
      <c r="C2962"/>
      <c r="E2962"/>
    </row>
    <row r="2963" spans="2:5">
      <c r="B2963"/>
      <c r="C2963"/>
      <c r="E2963"/>
    </row>
    <row r="2964" spans="2:5">
      <c r="B2964"/>
      <c r="C2964"/>
      <c r="E2964"/>
    </row>
    <row r="2965" spans="2:5">
      <c r="B2965"/>
      <c r="C2965"/>
      <c r="E2965"/>
    </row>
    <row r="2966" spans="2:5">
      <c r="B2966"/>
      <c r="C2966"/>
      <c r="E2966"/>
    </row>
    <row r="2967" spans="2:5">
      <c r="B2967"/>
      <c r="C2967"/>
      <c r="E2967"/>
    </row>
    <row r="2968" spans="2:5">
      <c r="B2968"/>
      <c r="C2968"/>
      <c r="E2968"/>
    </row>
    <row r="2969" spans="2:5">
      <c r="B2969"/>
      <c r="C2969"/>
      <c r="E2969"/>
    </row>
    <row r="2970" spans="2:5">
      <c r="B2970"/>
      <c r="C2970"/>
      <c r="E2970"/>
    </row>
    <row r="2971" spans="2:5">
      <c r="B2971"/>
      <c r="C2971"/>
      <c r="E2971"/>
    </row>
    <row r="2972" spans="2:5">
      <c r="B2972"/>
      <c r="C2972"/>
      <c r="E2972"/>
    </row>
    <row r="2973" spans="2:5">
      <c r="B2973"/>
      <c r="C2973"/>
      <c r="E2973"/>
    </row>
    <row r="2974" spans="2:5">
      <c r="B2974"/>
      <c r="C2974"/>
      <c r="E2974"/>
    </row>
    <row r="2975" spans="2:5">
      <c r="B2975"/>
      <c r="C2975"/>
      <c r="E2975"/>
    </row>
    <row r="2976" spans="2:5">
      <c r="B2976"/>
      <c r="C2976"/>
      <c r="E2976"/>
    </row>
    <row r="2977" spans="2:5">
      <c r="B2977"/>
      <c r="C2977"/>
      <c r="E2977"/>
    </row>
    <row r="2978" spans="2:5">
      <c r="B2978"/>
      <c r="C2978"/>
      <c r="E2978"/>
    </row>
    <row r="2979" spans="2:5">
      <c r="B2979"/>
      <c r="C2979"/>
      <c r="E2979"/>
    </row>
    <row r="2980" spans="2:5">
      <c r="B2980"/>
      <c r="C2980"/>
      <c r="E2980"/>
    </row>
    <row r="2981" spans="2:5">
      <c r="B2981"/>
      <c r="C2981"/>
      <c r="E2981"/>
    </row>
    <row r="2982" spans="2:5">
      <c r="B2982"/>
      <c r="C2982"/>
      <c r="E2982"/>
    </row>
    <row r="2983" spans="2:5">
      <c r="B2983"/>
      <c r="C2983"/>
      <c r="E2983"/>
    </row>
    <row r="2984" spans="2:5">
      <c r="B2984"/>
      <c r="C2984"/>
      <c r="E2984"/>
    </row>
    <row r="2985" spans="2:5">
      <c r="B2985"/>
      <c r="C2985"/>
      <c r="E2985"/>
    </row>
    <row r="2986" spans="2:5">
      <c r="B2986"/>
      <c r="C2986"/>
      <c r="E2986"/>
    </row>
    <row r="2987" spans="2:5">
      <c r="B2987"/>
      <c r="C2987"/>
      <c r="E2987"/>
    </row>
    <row r="2988" spans="2:5">
      <c r="B2988"/>
      <c r="C2988"/>
      <c r="E2988"/>
    </row>
    <row r="2989" spans="2:5">
      <c r="B2989"/>
      <c r="C2989"/>
      <c r="E2989"/>
    </row>
    <row r="2990" spans="2:5">
      <c r="B2990"/>
      <c r="C2990"/>
      <c r="E2990"/>
    </row>
    <row r="2991" spans="2:5">
      <c r="B2991"/>
      <c r="C2991"/>
      <c r="E2991"/>
    </row>
    <row r="2992" spans="2:5">
      <c r="B2992"/>
      <c r="C2992"/>
      <c r="E2992"/>
    </row>
    <row r="2993" spans="2:5">
      <c r="B2993"/>
      <c r="C2993"/>
      <c r="E2993"/>
    </row>
    <row r="2994" spans="2:5">
      <c r="B2994"/>
      <c r="C2994"/>
      <c r="E2994"/>
    </row>
    <row r="2995" spans="2:5">
      <c r="B2995"/>
      <c r="C2995"/>
      <c r="E2995"/>
    </row>
    <row r="2996" spans="2:5">
      <c r="B2996"/>
      <c r="C2996"/>
      <c r="E2996"/>
    </row>
    <row r="2997" spans="2:5">
      <c r="B2997"/>
      <c r="C2997"/>
      <c r="E2997"/>
    </row>
    <row r="2998" spans="2:5">
      <c r="B2998"/>
      <c r="C2998"/>
      <c r="E2998"/>
    </row>
    <row r="2999" spans="2:5">
      <c r="B2999"/>
      <c r="C2999"/>
      <c r="E2999"/>
    </row>
    <row r="3000" spans="2:5">
      <c r="B3000"/>
      <c r="C3000"/>
      <c r="E3000"/>
    </row>
    <row r="3001" spans="2:5">
      <c r="B3001"/>
      <c r="C3001"/>
      <c r="E3001"/>
    </row>
    <row r="3002" spans="2:5">
      <c r="B3002"/>
      <c r="C3002"/>
      <c r="E3002"/>
    </row>
    <row r="3003" spans="2:5">
      <c r="B3003"/>
      <c r="C3003"/>
      <c r="E3003"/>
    </row>
    <row r="3004" spans="2:5">
      <c r="B3004"/>
      <c r="C3004"/>
      <c r="E3004"/>
    </row>
    <row r="3005" spans="2:5">
      <c r="B3005"/>
      <c r="C3005"/>
      <c r="E3005"/>
    </row>
    <row r="3006" spans="2:5">
      <c r="B3006"/>
      <c r="C3006"/>
      <c r="E3006"/>
    </row>
    <row r="3007" spans="2:5">
      <c r="B3007"/>
      <c r="C3007"/>
      <c r="E3007"/>
    </row>
    <row r="3008" spans="2:5">
      <c r="B3008"/>
      <c r="C3008"/>
      <c r="E3008"/>
    </row>
    <row r="3009" spans="2:5">
      <c r="B3009"/>
      <c r="C3009"/>
      <c r="E3009"/>
    </row>
    <row r="3010" spans="2:5">
      <c r="B3010"/>
      <c r="C3010"/>
      <c r="E3010"/>
    </row>
    <row r="3011" spans="2:5">
      <c r="B3011"/>
      <c r="C3011"/>
      <c r="E3011"/>
    </row>
    <row r="3012" spans="2:5">
      <c r="B3012"/>
      <c r="C3012"/>
      <c r="E3012"/>
    </row>
    <row r="3013" spans="2:5">
      <c r="B3013"/>
      <c r="C3013"/>
      <c r="E3013"/>
    </row>
    <row r="3014" spans="2:5">
      <c r="B3014"/>
      <c r="C3014"/>
      <c r="E3014"/>
    </row>
    <row r="3015" spans="2:5">
      <c r="B3015"/>
      <c r="C3015"/>
      <c r="E3015"/>
    </row>
    <row r="3016" spans="2:5">
      <c r="B3016"/>
      <c r="C3016"/>
      <c r="E3016"/>
    </row>
    <row r="3017" spans="2:5">
      <c r="B3017"/>
      <c r="C3017"/>
      <c r="E3017"/>
    </row>
    <row r="3018" spans="2:5">
      <c r="B3018"/>
      <c r="C3018"/>
      <c r="E3018"/>
    </row>
    <row r="3019" spans="2:5">
      <c r="B3019"/>
      <c r="C3019"/>
      <c r="E3019"/>
    </row>
    <row r="3020" spans="2:5">
      <c r="B3020"/>
      <c r="C3020"/>
      <c r="E3020"/>
    </row>
    <row r="3021" spans="2:5">
      <c r="B3021"/>
      <c r="C3021"/>
      <c r="E3021"/>
    </row>
    <row r="3022" spans="2:5">
      <c r="B3022"/>
      <c r="C3022"/>
      <c r="E3022"/>
    </row>
    <row r="3023" spans="2:5">
      <c r="B3023"/>
      <c r="C3023"/>
      <c r="E3023"/>
    </row>
    <row r="3024" spans="2:5">
      <c r="B3024"/>
      <c r="C3024"/>
      <c r="E3024"/>
    </row>
    <row r="3025" spans="2:5">
      <c r="B3025"/>
      <c r="C3025"/>
      <c r="E3025"/>
    </row>
    <row r="3026" spans="2:5">
      <c r="B3026"/>
      <c r="C3026"/>
      <c r="E3026"/>
    </row>
    <row r="3027" spans="2:5">
      <c r="B3027"/>
      <c r="C3027"/>
      <c r="E3027"/>
    </row>
    <row r="3028" spans="2:5">
      <c r="B3028"/>
      <c r="C3028"/>
      <c r="E3028"/>
    </row>
    <row r="3029" spans="2:5">
      <c r="B3029"/>
      <c r="C3029"/>
      <c r="E3029"/>
    </row>
    <row r="3030" spans="2:5">
      <c r="B3030"/>
      <c r="C3030"/>
      <c r="E3030"/>
    </row>
    <row r="3031" spans="2:5">
      <c r="B3031"/>
      <c r="C3031"/>
      <c r="E3031"/>
    </row>
    <row r="3032" spans="2:5">
      <c r="B3032"/>
      <c r="C3032"/>
      <c r="E3032"/>
    </row>
    <row r="3033" spans="2:5">
      <c r="B3033"/>
      <c r="C3033"/>
      <c r="E3033"/>
    </row>
    <row r="3034" spans="2:5">
      <c r="B3034"/>
      <c r="C3034"/>
      <c r="E3034"/>
    </row>
    <row r="3035" spans="2:5">
      <c r="B3035"/>
      <c r="C3035"/>
      <c r="E3035"/>
    </row>
    <row r="3036" spans="2:5">
      <c r="B3036"/>
      <c r="C3036"/>
      <c r="E3036"/>
    </row>
    <row r="3037" spans="2:5">
      <c r="B3037"/>
      <c r="C3037"/>
      <c r="E3037"/>
    </row>
    <row r="3038" spans="2:5">
      <c r="B3038"/>
      <c r="C3038"/>
      <c r="E3038"/>
    </row>
    <row r="3039" spans="2:5">
      <c r="B3039"/>
      <c r="C3039"/>
      <c r="E3039"/>
    </row>
    <row r="3040" spans="2:5">
      <c r="B3040"/>
      <c r="C3040"/>
      <c r="E3040"/>
    </row>
    <row r="3041" spans="2:5">
      <c r="B3041"/>
      <c r="C3041"/>
      <c r="E3041"/>
    </row>
    <row r="3042" spans="2:5">
      <c r="B3042"/>
      <c r="C3042"/>
      <c r="E3042"/>
    </row>
    <row r="3043" spans="2:5">
      <c r="B3043"/>
      <c r="C3043"/>
      <c r="E3043"/>
    </row>
    <row r="3044" spans="2:5">
      <c r="B3044"/>
      <c r="C3044"/>
      <c r="E3044"/>
    </row>
    <row r="3045" spans="2:5">
      <c r="B3045"/>
      <c r="C3045"/>
      <c r="E3045"/>
    </row>
    <row r="3046" spans="2:5">
      <c r="B3046"/>
      <c r="C3046"/>
      <c r="E3046"/>
    </row>
    <row r="3047" spans="2:5">
      <c r="B3047"/>
      <c r="C3047"/>
      <c r="E3047"/>
    </row>
    <row r="3048" spans="2:5">
      <c r="B3048"/>
      <c r="C3048"/>
      <c r="E3048"/>
    </row>
    <row r="3049" spans="2:5">
      <c r="B3049"/>
      <c r="C3049"/>
      <c r="E3049"/>
    </row>
    <row r="3050" spans="2:5">
      <c r="B3050"/>
      <c r="C3050"/>
      <c r="E3050"/>
    </row>
    <row r="3051" spans="2:5">
      <c r="B3051"/>
      <c r="C3051"/>
      <c r="E3051"/>
    </row>
    <row r="3052" spans="2:5">
      <c r="B3052"/>
      <c r="C3052"/>
      <c r="E3052"/>
    </row>
    <row r="3053" spans="2:5">
      <c r="B3053"/>
      <c r="C3053"/>
      <c r="E3053"/>
    </row>
    <row r="3054" spans="2:5">
      <c r="B3054"/>
      <c r="C3054"/>
      <c r="E3054"/>
    </row>
    <row r="3055" spans="2:5">
      <c r="B3055"/>
      <c r="C3055"/>
      <c r="E3055"/>
    </row>
    <row r="3056" spans="2:5">
      <c r="B3056"/>
      <c r="C3056"/>
      <c r="E3056"/>
    </row>
    <row r="3057" spans="2:5">
      <c r="B3057"/>
      <c r="C3057"/>
      <c r="E3057"/>
    </row>
    <row r="3058" spans="2:5">
      <c r="B3058"/>
      <c r="C3058"/>
      <c r="E3058"/>
    </row>
    <row r="3059" spans="2:5">
      <c r="B3059"/>
      <c r="C3059"/>
      <c r="E3059"/>
    </row>
    <row r="3060" spans="2:5">
      <c r="B3060"/>
      <c r="C3060"/>
      <c r="E3060"/>
    </row>
    <row r="3061" spans="2:5">
      <c r="B3061"/>
      <c r="C3061"/>
      <c r="E3061"/>
    </row>
    <row r="3062" spans="2:5">
      <c r="B3062"/>
      <c r="C3062"/>
      <c r="E3062"/>
    </row>
    <row r="3063" spans="2:5">
      <c r="B3063"/>
      <c r="C3063"/>
      <c r="E3063"/>
    </row>
    <row r="3064" spans="2:5">
      <c r="B3064"/>
      <c r="C3064"/>
      <c r="E3064"/>
    </row>
    <row r="3065" spans="2:5">
      <c r="B3065"/>
      <c r="C3065"/>
      <c r="E3065"/>
    </row>
    <row r="3066" spans="2:5">
      <c r="B3066"/>
      <c r="C3066"/>
      <c r="E3066"/>
    </row>
    <row r="3067" spans="2:5">
      <c r="B3067"/>
      <c r="C3067"/>
      <c r="E3067"/>
    </row>
    <row r="3068" spans="2:5">
      <c r="B3068"/>
      <c r="C3068"/>
      <c r="E3068"/>
    </row>
    <row r="3069" spans="2:5">
      <c r="B3069"/>
      <c r="C3069"/>
      <c r="E3069"/>
    </row>
    <row r="3070" spans="2:5">
      <c r="B3070"/>
      <c r="C3070"/>
      <c r="E3070"/>
    </row>
    <row r="3071" spans="2:5">
      <c r="B3071"/>
      <c r="C3071"/>
      <c r="E3071"/>
    </row>
    <row r="3072" spans="2:5">
      <c r="B3072"/>
      <c r="C3072"/>
      <c r="E3072"/>
    </row>
    <row r="3073" spans="2:5">
      <c r="B3073"/>
      <c r="C3073"/>
      <c r="E3073"/>
    </row>
    <row r="3074" spans="2:5">
      <c r="B3074"/>
      <c r="C3074"/>
      <c r="E3074"/>
    </row>
    <row r="3075" spans="2:5">
      <c r="B3075"/>
      <c r="C3075"/>
      <c r="E3075"/>
    </row>
    <row r="3076" spans="2:5">
      <c r="B3076"/>
      <c r="C3076"/>
      <c r="E3076"/>
    </row>
    <row r="3077" spans="2:5">
      <c r="B3077"/>
      <c r="C3077"/>
      <c r="E3077"/>
    </row>
    <row r="3078" spans="2:5">
      <c r="B3078"/>
      <c r="C3078"/>
      <c r="E3078"/>
    </row>
    <row r="3079" spans="2:5">
      <c r="B3079"/>
      <c r="C3079"/>
      <c r="E3079"/>
    </row>
    <row r="3080" spans="2:5">
      <c r="B3080"/>
      <c r="C3080"/>
      <c r="E3080"/>
    </row>
    <row r="3081" spans="2:5">
      <c r="B3081"/>
      <c r="C3081"/>
      <c r="E3081"/>
    </row>
    <row r="3082" spans="2:5">
      <c r="B3082"/>
      <c r="C3082"/>
      <c r="E3082"/>
    </row>
    <row r="3083" spans="2:5">
      <c r="B3083"/>
      <c r="C3083"/>
      <c r="E3083"/>
    </row>
    <row r="3084" spans="2:5">
      <c r="B3084"/>
      <c r="C3084"/>
      <c r="E3084"/>
    </row>
    <row r="3085" spans="2:5">
      <c r="B3085"/>
      <c r="C3085"/>
      <c r="E3085"/>
    </row>
    <row r="3086" spans="2:5">
      <c r="B3086"/>
      <c r="C3086"/>
      <c r="E3086"/>
    </row>
    <row r="3087" spans="2:5">
      <c r="B3087"/>
      <c r="C3087"/>
      <c r="E3087"/>
    </row>
    <row r="3088" spans="2:5">
      <c r="B3088"/>
      <c r="C3088"/>
      <c r="E3088"/>
    </row>
    <row r="3089" spans="2:5">
      <c r="B3089"/>
      <c r="C3089"/>
      <c r="E3089"/>
    </row>
    <row r="3090" spans="2:5">
      <c r="B3090"/>
      <c r="C3090"/>
      <c r="E3090"/>
    </row>
    <row r="3091" spans="2:5">
      <c r="B3091"/>
      <c r="C3091"/>
      <c r="E3091"/>
    </row>
    <row r="3092" spans="2:5">
      <c r="B3092"/>
      <c r="C3092"/>
      <c r="E3092"/>
    </row>
    <row r="3093" spans="2:5">
      <c r="B3093"/>
      <c r="C3093"/>
      <c r="E3093"/>
    </row>
    <row r="3094" spans="2:5">
      <c r="B3094"/>
      <c r="C3094"/>
      <c r="E3094"/>
    </row>
    <row r="3095" spans="2:5">
      <c r="B3095"/>
      <c r="C3095"/>
      <c r="E3095"/>
    </row>
    <row r="3096" spans="2:5">
      <c r="B3096"/>
      <c r="C3096"/>
      <c r="E3096"/>
    </row>
    <row r="3097" spans="2:5">
      <c r="B3097"/>
      <c r="C3097"/>
      <c r="E3097"/>
    </row>
    <row r="3098" spans="2:5">
      <c r="B3098"/>
      <c r="C3098"/>
      <c r="E3098"/>
    </row>
    <row r="3099" spans="2:5">
      <c r="B3099"/>
      <c r="C3099"/>
      <c r="E3099"/>
    </row>
    <row r="3100" spans="2:5">
      <c r="B3100"/>
      <c r="C3100"/>
      <c r="E3100"/>
    </row>
    <row r="3101" spans="2:5">
      <c r="B3101"/>
      <c r="C3101"/>
      <c r="E3101"/>
    </row>
    <row r="3102" spans="2:5">
      <c r="B3102"/>
      <c r="C3102"/>
      <c r="E3102"/>
    </row>
    <row r="3103" spans="2:5">
      <c r="B3103"/>
      <c r="C3103"/>
      <c r="E3103"/>
    </row>
    <row r="3104" spans="2:5">
      <c r="B3104"/>
      <c r="C3104"/>
      <c r="E3104"/>
    </row>
    <row r="3105" spans="2:5">
      <c r="B3105"/>
      <c r="C3105"/>
      <c r="E3105"/>
    </row>
    <row r="3106" spans="2:5">
      <c r="B3106"/>
      <c r="C3106"/>
      <c r="E3106"/>
    </row>
    <row r="3107" spans="2:5">
      <c r="B3107"/>
      <c r="C3107"/>
      <c r="E3107"/>
    </row>
    <row r="3108" spans="2:5">
      <c r="B3108"/>
      <c r="C3108"/>
      <c r="E3108"/>
    </row>
    <row r="3109" spans="2:5">
      <c r="B3109"/>
      <c r="C3109"/>
      <c r="E3109"/>
    </row>
    <row r="3110" spans="2:5">
      <c r="B3110"/>
      <c r="C3110"/>
      <c r="E3110"/>
    </row>
    <row r="3111" spans="2:5">
      <c r="B3111"/>
      <c r="C3111"/>
      <c r="E3111"/>
    </row>
    <row r="3112" spans="2:5">
      <c r="B3112"/>
      <c r="C3112"/>
      <c r="E3112"/>
    </row>
    <row r="3113" spans="2:5">
      <c r="B3113"/>
      <c r="C3113"/>
      <c r="E3113"/>
    </row>
    <row r="3114" spans="2:5">
      <c r="B3114"/>
      <c r="C3114"/>
      <c r="E3114"/>
    </row>
    <row r="3115" spans="2:5">
      <c r="B3115"/>
      <c r="C3115"/>
      <c r="E3115"/>
    </row>
    <row r="3116" spans="2:5">
      <c r="B3116"/>
      <c r="C3116"/>
      <c r="E3116"/>
    </row>
    <row r="3117" spans="2:5">
      <c r="B3117"/>
      <c r="C3117"/>
      <c r="E3117"/>
    </row>
    <row r="3118" spans="2:5">
      <c r="B3118"/>
      <c r="C3118"/>
      <c r="E3118"/>
    </row>
    <row r="3119" spans="2:5">
      <c r="B3119"/>
      <c r="C3119"/>
      <c r="E3119"/>
    </row>
    <row r="3120" spans="2:5">
      <c r="B3120"/>
      <c r="C3120"/>
      <c r="E3120"/>
    </row>
    <row r="3121" spans="2:5">
      <c r="B3121"/>
      <c r="C3121"/>
      <c r="E3121"/>
    </row>
    <row r="3122" spans="2:5">
      <c r="B3122"/>
      <c r="C3122"/>
      <c r="E3122"/>
    </row>
    <row r="3123" spans="2:5">
      <c r="B3123"/>
      <c r="C3123"/>
      <c r="E3123"/>
    </row>
    <row r="3124" spans="2:5">
      <c r="B3124"/>
      <c r="C3124"/>
      <c r="E3124"/>
    </row>
    <row r="3125" spans="2:5">
      <c r="B3125"/>
      <c r="C3125"/>
      <c r="E3125"/>
    </row>
    <row r="3126" spans="2:5">
      <c r="B3126"/>
      <c r="C3126"/>
      <c r="E3126"/>
    </row>
    <row r="3127" spans="2:5">
      <c r="B3127"/>
      <c r="C3127"/>
      <c r="E3127"/>
    </row>
    <row r="3128" spans="2:5">
      <c r="B3128"/>
      <c r="C3128"/>
      <c r="E3128"/>
    </row>
    <row r="3129" spans="2:5">
      <c r="B3129"/>
      <c r="C3129"/>
      <c r="E3129"/>
    </row>
    <row r="3130" spans="2:5">
      <c r="B3130"/>
      <c r="C3130"/>
      <c r="E3130"/>
    </row>
    <row r="3131" spans="2:5">
      <c r="B3131"/>
      <c r="C3131"/>
      <c r="E3131"/>
    </row>
    <row r="3132" spans="2:5">
      <c r="B3132"/>
      <c r="C3132"/>
      <c r="E3132"/>
    </row>
    <row r="3133" spans="2:5">
      <c r="B3133"/>
      <c r="C3133"/>
      <c r="E3133"/>
    </row>
    <row r="3134" spans="2:5">
      <c r="B3134"/>
      <c r="C3134"/>
      <c r="E3134"/>
    </row>
    <row r="3135" spans="2:5">
      <c r="B3135"/>
      <c r="C3135"/>
      <c r="E3135"/>
    </row>
    <row r="3136" spans="2:5">
      <c r="B3136"/>
      <c r="C3136"/>
      <c r="E3136"/>
    </row>
    <row r="3137" spans="2:5">
      <c r="B3137"/>
      <c r="C3137"/>
      <c r="E3137"/>
    </row>
    <row r="3138" spans="2:5">
      <c r="B3138"/>
      <c r="C3138"/>
      <c r="E3138"/>
    </row>
    <row r="3139" spans="2:5">
      <c r="B3139"/>
      <c r="C3139"/>
      <c r="E3139"/>
    </row>
    <row r="3140" spans="2:5">
      <c r="B3140"/>
      <c r="C3140"/>
      <c r="E3140"/>
    </row>
    <row r="3141" spans="2:5">
      <c r="B3141"/>
      <c r="C3141"/>
      <c r="E3141"/>
    </row>
    <row r="3142" spans="2:5">
      <c r="B3142"/>
      <c r="C3142"/>
      <c r="E3142"/>
    </row>
    <row r="3143" spans="2:5">
      <c r="B3143"/>
      <c r="C3143"/>
      <c r="E3143"/>
    </row>
    <row r="3144" spans="2:5">
      <c r="B3144"/>
      <c r="C3144"/>
      <c r="E3144"/>
    </row>
    <row r="3145" spans="2:5">
      <c r="B3145"/>
      <c r="C3145"/>
      <c r="E3145"/>
    </row>
    <row r="3146" spans="2:5">
      <c r="B3146"/>
      <c r="C3146"/>
      <c r="E3146"/>
    </row>
    <row r="3147" spans="2:5">
      <c r="B3147"/>
      <c r="C3147"/>
      <c r="E3147"/>
    </row>
    <row r="3148" spans="2:5">
      <c r="B3148"/>
      <c r="C3148"/>
      <c r="E3148"/>
    </row>
    <row r="3149" spans="2:5">
      <c r="B3149"/>
      <c r="C3149"/>
      <c r="E3149"/>
    </row>
    <row r="3150" spans="2:5">
      <c r="B3150"/>
      <c r="C3150"/>
      <c r="E3150"/>
    </row>
    <row r="3151" spans="2:5">
      <c r="B3151"/>
      <c r="C3151"/>
      <c r="E3151"/>
    </row>
    <row r="3152" spans="2:5">
      <c r="B3152"/>
      <c r="C3152"/>
      <c r="E3152"/>
    </row>
    <row r="3153" spans="2:5">
      <c r="B3153"/>
      <c r="C3153"/>
      <c r="E3153"/>
    </row>
    <row r="3154" spans="2:5">
      <c r="B3154"/>
      <c r="C3154"/>
      <c r="E3154"/>
    </row>
    <row r="3155" spans="2:5">
      <c r="B3155"/>
      <c r="C3155"/>
      <c r="E3155"/>
    </row>
    <row r="3156" spans="2:5">
      <c r="B3156"/>
      <c r="C3156"/>
      <c r="E3156"/>
    </row>
    <row r="3157" spans="2:5">
      <c r="B3157"/>
      <c r="C3157"/>
      <c r="E3157"/>
    </row>
    <row r="3158" spans="2:5">
      <c r="B3158"/>
      <c r="C3158"/>
      <c r="E3158"/>
    </row>
    <row r="3159" spans="2:5">
      <c r="B3159"/>
      <c r="C3159"/>
      <c r="E3159"/>
    </row>
    <row r="3160" spans="2:5">
      <c r="B3160"/>
      <c r="C3160"/>
      <c r="E3160"/>
    </row>
    <row r="3161" spans="2:5">
      <c r="B3161"/>
      <c r="C3161"/>
      <c r="E3161"/>
    </row>
    <row r="3162" spans="2:5">
      <c r="B3162"/>
      <c r="C3162"/>
      <c r="E3162"/>
    </row>
    <row r="3163" spans="2:5">
      <c r="B3163"/>
      <c r="C3163"/>
      <c r="E3163"/>
    </row>
    <row r="3164" spans="2:5">
      <c r="B3164"/>
      <c r="C3164"/>
      <c r="E3164"/>
    </row>
    <row r="3165" spans="2:5">
      <c r="B3165"/>
      <c r="C3165"/>
      <c r="E3165"/>
    </row>
    <row r="3166" spans="2:5">
      <c r="B3166"/>
      <c r="C3166"/>
      <c r="E3166"/>
    </row>
    <row r="3167" spans="2:5">
      <c r="B3167"/>
      <c r="C3167"/>
      <c r="E3167"/>
    </row>
    <row r="3168" spans="2:5">
      <c r="B3168"/>
      <c r="C3168"/>
      <c r="E3168"/>
    </row>
    <row r="3169" spans="2:5">
      <c r="B3169"/>
      <c r="C3169"/>
      <c r="E3169"/>
    </row>
    <row r="3170" spans="2:5">
      <c r="B3170"/>
      <c r="C3170"/>
      <c r="E3170"/>
    </row>
    <row r="3171" spans="2:5">
      <c r="B3171"/>
      <c r="C3171"/>
      <c r="E3171"/>
    </row>
    <row r="3172" spans="2:5">
      <c r="B3172"/>
      <c r="C3172"/>
      <c r="E3172"/>
    </row>
    <row r="3173" spans="2:5">
      <c r="B3173"/>
      <c r="C3173"/>
      <c r="E3173"/>
    </row>
    <row r="3174" spans="2:5">
      <c r="B3174"/>
      <c r="C3174"/>
      <c r="E3174"/>
    </row>
    <row r="3175" spans="2:5">
      <c r="B3175"/>
      <c r="C3175"/>
      <c r="E3175"/>
    </row>
    <row r="3176" spans="2:5">
      <c r="B3176"/>
      <c r="C3176"/>
      <c r="E3176"/>
    </row>
    <row r="3177" spans="2:5">
      <c r="B3177"/>
      <c r="C3177"/>
      <c r="E3177"/>
    </row>
    <row r="3178" spans="2:5">
      <c r="B3178"/>
      <c r="C3178"/>
      <c r="E3178"/>
    </row>
    <row r="3179" spans="2:5">
      <c r="B3179"/>
      <c r="C3179"/>
      <c r="E3179"/>
    </row>
    <row r="3180" spans="2:5">
      <c r="B3180"/>
      <c r="C3180"/>
      <c r="E3180"/>
    </row>
    <row r="3181" spans="2:5">
      <c r="B3181"/>
      <c r="C3181"/>
      <c r="E3181"/>
    </row>
    <row r="3182" spans="2:5">
      <c r="B3182"/>
      <c r="C3182"/>
      <c r="E3182"/>
    </row>
    <row r="3183" spans="2:5">
      <c r="B3183"/>
      <c r="C3183"/>
      <c r="E3183"/>
    </row>
    <row r="3184" spans="2:5">
      <c r="B3184"/>
      <c r="C3184"/>
      <c r="E3184"/>
    </row>
    <row r="3185" spans="2:5">
      <c r="B3185"/>
      <c r="C3185"/>
      <c r="E3185"/>
    </row>
    <row r="3186" spans="2:5">
      <c r="B3186"/>
      <c r="C3186"/>
      <c r="E3186"/>
    </row>
    <row r="3187" spans="2:5">
      <c r="B3187"/>
      <c r="C3187"/>
      <c r="E3187"/>
    </row>
    <row r="3188" spans="2:5">
      <c r="B3188"/>
      <c r="C3188"/>
      <c r="E3188"/>
    </row>
    <row r="3189" spans="2:5">
      <c r="B3189"/>
      <c r="C3189"/>
      <c r="E3189"/>
    </row>
    <row r="3190" spans="2:5">
      <c r="B3190"/>
      <c r="C3190"/>
      <c r="E3190"/>
    </row>
    <row r="3191" spans="2:5">
      <c r="B3191"/>
      <c r="C3191"/>
      <c r="E3191"/>
    </row>
    <row r="3192" spans="2:5">
      <c r="B3192"/>
      <c r="C3192"/>
      <c r="E3192"/>
    </row>
    <row r="3193" spans="2:5">
      <c r="B3193"/>
      <c r="C3193"/>
      <c r="E3193"/>
    </row>
    <row r="3194" spans="2:5">
      <c r="B3194"/>
      <c r="C3194"/>
      <c r="E3194"/>
    </row>
    <row r="3195" spans="2:5">
      <c r="B3195"/>
      <c r="C3195"/>
      <c r="E3195"/>
    </row>
    <row r="3196" spans="2:5">
      <c r="B3196"/>
      <c r="C3196"/>
      <c r="E3196"/>
    </row>
    <row r="3197" spans="2:5">
      <c r="B3197"/>
      <c r="C3197"/>
      <c r="E3197"/>
    </row>
    <row r="3198" spans="2:5">
      <c r="B3198"/>
      <c r="C3198"/>
      <c r="E3198"/>
    </row>
    <row r="3199" spans="2:5">
      <c r="B3199"/>
      <c r="C3199"/>
      <c r="E3199"/>
    </row>
    <row r="3200" spans="2:5">
      <c r="B3200"/>
      <c r="C3200"/>
      <c r="E3200"/>
    </row>
    <row r="3201" spans="2:5">
      <c r="B3201"/>
      <c r="C3201"/>
      <c r="E3201"/>
    </row>
    <row r="3202" spans="2:5">
      <c r="B3202"/>
      <c r="C3202"/>
      <c r="E3202"/>
    </row>
    <row r="3203" spans="2:5">
      <c r="B3203"/>
      <c r="C3203"/>
      <c r="E3203"/>
    </row>
    <row r="3204" spans="2:5">
      <c r="B3204"/>
      <c r="C3204"/>
      <c r="E3204"/>
    </row>
    <row r="3205" spans="2:5">
      <c r="B3205"/>
      <c r="C3205"/>
      <c r="E3205"/>
    </row>
    <row r="3206" spans="2:5">
      <c r="B3206"/>
      <c r="C3206"/>
      <c r="E3206"/>
    </row>
    <row r="3207" spans="2:5">
      <c r="B3207"/>
      <c r="C3207"/>
      <c r="E3207"/>
    </row>
    <row r="3208" spans="2:5">
      <c r="B3208"/>
      <c r="C3208"/>
      <c r="E3208"/>
    </row>
    <row r="3209" spans="2:5">
      <c r="B3209"/>
      <c r="C3209"/>
      <c r="E3209"/>
    </row>
    <row r="3210" spans="2:5">
      <c r="B3210"/>
      <c r="C3210"/>
      <c r="E3210"/>
    </row>
    <row r="3211" spans="2:5">
      <c r="B3211"/>
      <c r="C3211"/>
      <c r="E3211"/>
    </row>
    <row r="3212" spans="2:5">
      <c r="B3212"/>
      <c r="C3212"/>
      <c r="E3212"/>
    </row>
    <row r="3213" spans="2:5">
      <c r="B3213"/>
      <c r="C3213"/>
      <c r="E3213"/>
    </row>
    <row r="3214" spans="2:5">
      <c r="B3214"/>
      <c r="C3214"/>
      <c r="E3214"/>
    </row>
    <row r="3215" spans="2:5">
      <c r="B3215"/>
      <c r="C3215"/>
      <c r="E3215"/>
    </row>
    <row r="3216" spans="2:5">
      <c r="B3216"/>
      <c r="C3216"/>
      <c r="E3216"/>
    </row>
    <row r="3217" spans="2:5">
      <c r="B3217"/>
      <c r="C3217"/>
      <c r="E3217"/>
    </row>
    <row r="3218" spans="2:5">
      <c r="B3218"/>
      <c r="C3218"/>
      <c r="E3218"/>
    </row>
    <row r="3219" spans="2:5">
      <c r="B3219"/>
      <c r="C3219"/>
      <c r="E3219"/>
    </row>
    <row r="3220" spans="2:5">
      <c r="B3220"/>
      <c r="C3220"/>
      <c r="E3220"/>
    </row>
    <row r="3221" spans="2:5">
      <c r="B3221"/>
      <c r="C3221"/>
      <c r="E3221"/>
    </row>
    <row r="3222" spans="2:5">
      <c r="B3222"/>
      <c r="C3222"/>
      <c r="E3222"/>
    </row>
    <row r="3223" spans="2:5">
      <c r="B3223"/>
      <c r="C3223"/>
      <c r="E3223"/>
    </row>
    <row r="3224" spans="2:5">
      <c r="B3224"/>
      <c r="C3224"/>
      <c r="E3224"/>
    </row>
    <row r="3225" spans="2:5">
      <c r="B3225"/>
      <c r="C3225"/>
      <c r="E3225"/>
    </row>
    <row r="3226" spans="2:5">
      <c r="B3226"/>
      <c r="C3226"/>
      <c r="E3226"/>
    </row>
    <row r="3227" spans="2:5">
      <c r="B3227"/>
      <c r="C3227"/>
      <c r="E3227"/>
    </row>
    <row r="3228" spans="2:5">
      <c r="B3228"/>
      <c r="C3228"/>
      <c r="E3228"/>
    </row>
    <row r="3229" spans="2:5">
      <c r="B3229"/>
      <c r="C3229"/>
      <c r="E3229"/>
    </row>
    <row r="3230" spans="2:5">
      <c r="B3230"/>
      <c r="C3230"/>
      <c r="E3230"/>
    </row>
    <row r="3231" spans="2:5">
      <c r="B3231"/>
      <c r="C3231"/>
      <c r="E3231"/>
    </row>
    <row r="3232" spans="2:5">
      <c r="B3232"/>
      <c r="C3232"/>
      <c r="E3232"/>
    </row>
    <row r="3233" spans="2:5">
      <c r="B3233"/>
      <c r="C3233"/>
      <c r="E3233"/>
    </row>
    <row r="3234" spans="2:5">
      <c r="B3234"/>
      <c r="C3234"/>
      <c r="E3234"/>
    </row>
    <row r="3235" spans="2:5">
      <c r="B3235"/>
      <c r="C3235"/>
      <c r="E3235"/>
    </row>
    <row r="3236" spans="2:5">
      <c r="B3236"/>
      <c r="C3236"/>
      <c r="E3236"/>
    </row>
    <row r="3237" spans="2:5">
      <c r="B3237"/>
      <c r="C3237"/>
      <c r="E3237"/>
    </row>
    <row r="3238" spans="2:5">
      <c r="B3238"/>
      <c r="C3238"/>
      <c r="E3238"/>
    </row>
    <row r="3239" spans="2:5">
      <c r="B3239"/>
      <c r="C3239"/>
      <c r="E3239"/>
    </row>
    <row r="3240" spans="2:5">
      <c r="B3240"/>
      <c r="C3240"/>
      <c r="E3240"/>
    </row>
    <row r="3241" spans="2:5">
      <c r="B3241"/>
      <c r="C3241"/>
      <c r="E3241"/>
    </row>
    <row r="3242" spans="2:5">
      <c r="B3242"/>
      <c r="C3242"/>
      <c r="E3242"/>
    </row>
    <row r="3243" spans="2:5">
      <c r="B3243"/>
      <c r="C3243"/>
      <c r="E3243"/>
    </row>
    <row r="3244" spans="2:5">
      <c r="B3244"/>
      <c r="C3244"/>
      <c r="E3244"/>
    </row>
    <row r="3245" spans="2:5">
      <c r="B3245"/>
      <c r="C3245"/>
      <c r="E3245"/>
    </row>
    <row r="3246" spans="2:5">
      <c r="B3246"/>
      <c r="C3246"/>
      <c r="E3246"/>
    </row>
    <row r="3247" spans="2:5">
      <c r="B3247"/>
      <c r="C3247"/>
      <c r="E3247"/>
    </row>
    <row r="3248" spans="2:5">
      <c r="B3248"/>
      <c r="C3248"/>
      <c r="E3248"/>
    </row>
    <row r="3249" spans="2:5">
      <c r="B3249"/>
      <c r="C3249"/>
      <c r="E3249"/>
    </row>
    <row r="3250" spans="2:5">
      <c r="B3250"/>
      <c r="C3250"/>
      <c r="E3250"/>
    </row>
    <row r="3251" spans="2:5">
      <c r="B3251"/>
      <c r="C3251"/>
      <c r="E3251"/>
    </row>
    <row r="3252" spans="2:5">
      <c r="B3252"/>
      <c r="C3252"/>
      <c r="E3252"/>
    </row>
    <row r="3253" spans="2:5">
      <c r="B3253"/>
      <c r="C3253"/>
      <c r="E3253"/>
    </row>
    <row r="3254" spans="2:5">
      <c r="B3254"/>
      <c r="C3254"/>
      <c r="E3254"/>
    </row>
    <row r="3255" spans="2:5">
      <c r="B3255"/>
      <c r="C3255"/>
      <c r="E3255"/>
    </row>
    <row r="3256" spans="2:5">
      <c r="B3256"/>
      <c r="C3256"/>
      <c r="E3256"/>
    </row>
    <row r="3257" spans="2:5">
      <c r="B3257"/>
      <c r="C3257"/>
      <c r="E3257"/>
    </row>
    <row r="3258" spans="2:5">
      <c r="B3258"/>
      <c r="C3258"/>
      <c r="E3258"/>
    </row>
    <row r="3259" spans="2:5">
      <c r="B3259"/>
      <c r="C3259"/>
      <c r="E3259"/>
    </row>
    <row r="3260" spans="2:5">
      <c r="B3260"/>
      <c r="C3260"/>
      <c r="E3260"/>
    </row>
    <row r="3261" spans="2:5">
      <c r="B3261"/>
      <c r="C3261"/>
      <c r="E3261"/>
    </row>
    <row r="3262" spans="2:5">
      <c r="B3262"/>
      <c r="C3262"/>
      <c r="E3262"/>
    </row>
    <row r="3263" spans="2:5">
      <c r="B3263"/>
      <c r="C3263"/>
      <c r="E3263"/>
    </row>
    <row r="3264" spans="2:5">
      <c r="B3264"/>
      <c r="C3264"/>
      <c r="E3264"/>
    </row>
    <row r="3265" spans="2:5">
      <c r="B3265"/>
      <c r="C3265"/>
      <c r="E3265"/>
    </row>
    <row r="3266" spans="2:5">
      <c r="B3266"/>
      <c r="C3266"/>
      <c r="E3266"/>
    </row>
    <row r="3267" spans="2:5">
      <c r="B3267"/>
      <c r="C3267"/>
      <c r="E3267"/>
    </row>
    <row r="3268" spans="2:5">
      <c r="B3268"/>
      <c r="C3268"/>
      <c r="E3268"/>
    </row>
    <row r="3269" spans="2:5">
      <c r="B3269"/>
      <c r="C3269"/>
      <c r="E3269"/>
    </row>
    <row r="3270" spans="2:5">
      <c r="B3270"/>
      <c r="C3270"/>
      <c r="E3270"/>
    </row>
    <row r="3271" spans="2:5">
      <c r="B3271"/>
      <c r="C3271"/>
      <c r="E3271"/>
    </row>
    <row r="3272" spans="2:5">
      <c r="B3272"/>
      <c r="C3272"/>
      <c r="E3272"/>
    </row>
    <row r="3273" spans="2:5">
      <c r="B3273"/>
      <c r="C3273"/>
      <c r="E3273"/>
    </row>
    <row r="3274" spans="2:5">
      <c r="B3274"/>
      <c r="C3274"/>
      <c r="E3274"/>
    </row>
    <row r="3275" spans="2:5">
      <c r="B3275"/>
      <c r="C3275"/>
      <c r="E3275"/>
    </row>
    <row r="3276" spans="2:5">
      <c r="B3276"/>
      <c r="C3276"/>
      <c r="E3276"/>
    </row>
    <row r="3277" spans="2:5">
      <c r="B3277"/>
      <c r="C3277"/>
      <c r="E3277"/>
    </row>
    <row r="3278" spans="2:5">
      <c r="B3278"/>
      <c r="C3278"/>
      <c r="E3278"/>
    </row>
    <row r="3279" spans="2:5">
      <c r="B3279"/>
      <c r="C3279"/>
      <c r="E3279"/>
    </row>
    <row r="3280" spans="2:5">
      <c r="B3280"/>
      <c r="C3280"/>
      <c r="E3280"/>
    </row>
    <row r="3281" spans="2:5">
      <c r="B3281"/>
      <c r="C3281"/>
      <c r="E3281"/>
    </row>
    <row r="3282" spans="2:5">
      <c r="B3282"/>
      <c r="C3282"/>
      <c r="E3282"/>
    </row>
    <row r="3283" spans="2:5">
      <c r="B3283"/>
      <c r="C3283"/>
      <c r="E3283"/>
    </row>
    <row r="3284" spans="2:5">
      <c r="B3284"/>
      <c r="C3284"/>
      <c r="E3284"/>
    </row>
    <row r="3285" spans="2:5">
      <c r="B3285"/>
      <c r="C3285"/>
      <c r="E3285"/>
    </row>
    <row r="3286" spans="2:5">
      <c r="B3286"/>
      <c r="C3286"/>
      <c r="E3286"/>
    </row>
    <row r="3287" spans="2:5">
      <c r="B3287"/>
      <c r="C3287"/>
      <c r="E3287"/>
    </row>
    <row r="3288" spans="2:5">
      <c r="B3288"/>
      <c r="C3288"/>
      <c r="E3288"/>
    </row>
    <row r="3289" spans="2:5">
      <c r="B3289"/>
      <c r="C3289"/>
      <c r="E3289"/>
    </row>
    <row r="3290" spans="2:5">
      <c r="B3290"/>
      <c r="C3290"/>
      <c r="E3290"/>
    </row>
    <row r="3291" spans="2:5">
      <c r="B3291"/>
      <c r="C3291"/>
      <c r="E3291"/>
    </row>
    <row r="3292" spans="2:5">
      <c r="B3292"/>
      <c r="C3292"/>
      <c r="E3292"/>
    </row>
    <row r="3293" spans="2:5">
      <c r="B3293"/>
      <c r="C3293"/>
      <c r="E3293"/>
    </row>
    <row r="3294" spans="2:5">
      <c r="B3294"/>
      <c r="C3294"/>
      <c r="E3294"/>
    </row>
    <row r="3295" spans="2:5">
      <c r="B3295"/>
      <c r="C3295"/>
      <c r="E3295"/>
    </row>
    <row r="3296" spans="2:5">
      <c r="B3296"/>
      <c r="C3296"/>
      <c r="E3296"/>
    </row>
    <row r="3297" spans="2:5">
      <c r="B3297"/>
      <c r="C3297"/>
      <c r="E3297"/>
    </row>
    <row r="3298" spans="2:5">
      <c r="B3298"/>
      <c r="C3298"/>
      <c r="E3298"/>
    </row>
    <row r="3299" spans="2:5">
      <c r="B3299"/>
      <c r="C3299"/>
      <c r="E3299"/>
    </row>
    <row r="3300" spans="2:5">
      <c r="B3300"/>
      <c r="C3300"/>
      <c r="E3300"/>
    </row>
    <row r="3301" spans="2:5">
      <c r="B3301"/>
      <c r="C3301"/>
      <c r="E3301"/>
    </row>
    <row r="3302" spans="2:5">
      <c r="B3302"/>
      <c r="C3302"/>
      <c r="E3302"/>
    </row>
    <row r="3303" spans="2:5">
      <c r="B3303"/>
      <c r="C3303"/>
      <c r="E3303"/>
    </row>
    <row r="3304" spans="2:5">
      <c r="B3304"/>
      <c r="C3304"/>
      <c r="E3304"/>
    </row>
    <row r="3305" spans="2:5">
      <c r="B3305"/>
      <c r="C3305"/>
      <c r="E3305"/>
    </row>
    <row r="3306" spans="2:5">
      <c r="B3306"/>
      <c r="C3306"/>
      <c r="E3306"/>
    </row>
    <row r="3307" spans="2:5">
      <c r="B3307"/>
      <c r="C3307"/>
      <c r="E3307"/>
    </row>
    <row r="3308" spans="2:5">
      <c r="B3308"/>
      <c r="C3308"/>
      <c r="E3308"/>
    </row>
    <row r="3309" spans="2:5">
      <c r="B3309"/>
      <c r="C3309"/>
      <c r="E3309"/>
    </row>
    <row r="3310" spans="2:5">
      <c r="B3310"/>
      <c r="C3310"/>
      <c r="E3310"/>
    </row>
    <row r="3311" spans="2:5">
      <c r="B3311"/>
      <c r="C3311"/>
      <c r="E3311"/>
    </row>
    <row r="3312" spans="2:5">
      <c r="B3312"/>
      <c r="C3312"/>
      <c r="E3312"/>
    </row>
    <row r="3313" spans="2:5">
      <c r="B3313"/>
      <c r="C3313"/>
      <c r="E3313"/>
    </row>
    <row r="3314" spans="2:5">
      <c r="B3314"/>
      <c r="C3314"/>
      <c r="E3314"/>
    </row>
    <row r="3315" spans="2:5">
      <c r="B3315"/>
      <c r="C3315"/>
      <c r="E3315"/>
    </row>
    <row r="3316" spans="2:5">
      <c r="B3316"/>
      <c r="C3316"/>
      <c r="E3316"/>
    </row>
    <row r="3317" spans="2:5">
      <c r="B3317"/>
      <c r="C3317"/>
      <c r="E3317"/>
    </row>
    <row r="3318" spans="2:5">
      <c r="B3318"/>
      <c r="C3318"/>
      <c r="E3318"/>
    </row>
    <row r="3319" spans="2:5">
      <c r="B3319"/>
      <c r="C3319"/>
      <c r="E3319"/>
    </row>
    <row r="3320" spans="2:5">
      <c r="B3320"/>
      <c r="C3320"/>
      <c r="E3320"/>
    </row>
    <row r="3321" spans="2:5">
      <c r="B3321"/>
      <c r="C3321"/>
      <c r="E3321"/>
    </row>
    <row r="3322" spans="2:5">
      <c r="B3322"/>
      <c r="C3322"/>
      <c r="E3322"/>
    </row>
    <row r="3323" spans="2:5">
      <c r="B3323"/>
      <c r="C3323"/>
      <c r="E3323"/>
    </row>
    <row r="3324" spans="2:5">
      <c r="B3324"/>
      <c r="C3324"/>
      <c r="E3324"/>
    </row>
    <row r="3325" spans="2:5">
      <c r="B3325"/>
      <c r="C3325"/>
      <c r="E3325"/>
    </row>
    <row r="3326" spans="2:5">
      <c r="B3326"/>
      <c r="C3326"/>
      <c r="E3326"/>
    </row>
    <row r="3327" spans="2:5">
      <c r="B3327"/>
      <c r="C3327"/>
      <c r="E3327"/>
    </row>
    <row r="3328" spans="2:5">
      <c r="B3328"/>
      <c r="C3328"/>
      <c r="E3328"/>
    </row>
    <row r="3329" spans="2:5">
      <c r="B3329"/>
      <c r="C3329"/>
      <c r="E3329"/>
    </row>
    <row r="3330" spans="2:5">
      <c r="B3330"/>
      <c r="C3330"/>
      <c r="E3330"/>
    </row>
    <row r="3331" spans="2:5">
      <c r="B3331"/>
      <c r="C3331"/>
      <c r="E3331"/>
    </row>
    <row r="3332" spans="2:5">
      <c r="B3332"/>
      <c r="C3332"/>
      <c r="E3332"/>
    </row>
    <row r="3333" spans="2:5">
      <c r="B3333"/>
      <c r="C3333"/>
      <c r="E3333"/>
    </row>
    <row r="3334" spans="2:5">
      <c r="B3334"/>
      <c r="C3334"/>
      <c r="E3334"/>
    </row>
    <row r="3335" spans="2:5">
      <c r="B3335"/>
      <c r="C3335"/>
      <c r="E3335"/>
    </row>
    <row r="3336" spans="2:5">
      <c r="B3336"/>
      <c r="C3336"/>
      <c r="E3336"/>
    </row>
    <row r="3337" spans="2:5">
      <c r="B3337"/>
      <c r="C3337"/>
      <c r="E3337"/>
    </row>
    <row r="3338" spans="2:5">
      <c r="B3338"/>
      <c r="C3338"/>
      <c r="E3338"/>
    </row>
    <row r="3339" spans="2:5">
      <c r="B3339"/>
      <c r="C3339"/>
      <c r="E3339"/>
    </row>
    <row r="3340" spans="2:5">
      <c r="B3340"/>
      <c r="C3340"/>
      <c r="E3340"/>
    </row>
    <row r="3341" spans="2:5">
      <c r="B3341"/>
      <c r="C3341"/>
      <c r="E3341"/>
    </row>
    <row r="3342" spans="2:5">
      <c r="B3342"/>
      <c r="C3342"/>
      <c r="E3342"/>
    </row>
    <row r="3343" spans="2:5">
      <c r="B3343"/>
      <c r="C3343"/>
      <c r="E3343"/>
    </row>
    <row r="3344" spans="2:5">
      <c r="B3344"/>
      <c r="C3344"/>
      <c r="E3344"/>
    </row>
    <row r="3345" spans="2:5">
      <c r="B3345"/>
      <c r="C3345"/>
      <c r="E3345"/>
    </row>
    <row r="3346" spans="2:5">
      <c r="B3346"/>
      <c r="C3346"/>
      <c r="E3346"/>
    </row>
    <row r="3347" spans="2:5">
      <c r="B3347"/>
      <c r="C3347"/>
      <c r="E3347"/>
    </row>
    <row r="3348" spans="2:5">
      <c r="B3348"/>
      <c r="C3348"/>
      <c r="E3348"/>
    </row>
    <row r="3349" spans="2:5">
      <c r="B3349"/>
      <c r="C3349"/>
      <c r="E3349"/>
    </row>
    <row r="3350" spans="2:5">
      <c r="B3350"/>
      <c r="C3350"/>
      <c r="E3350"/>
    </row>
    <row r="3351" spans="2:5">
      <c r="B3351"/>
      <c r="C3351"/>
      <c r="E3351"/>
    </row>
    <row r="3352" spans="2:5">
      <c r="B3352"/>
      <c r="C3352"/>
      <c r="E3352"/>
    </row>
    <row r="3353" spans="2:5">
      <c r="B3353"/>
      <c r="C3353"/>
      <c r="E3353"/>
    </row>
    <row r="3354" spans="2:5">
      <c r="B3354"/>
      <c r="C3354"/>
      <c r="E3354"/>
    </row>
    <row r="3355" spans="2:5">
      <c r="B3355"/>
      <c r="C3355"/>
      <c r="E3355"/>
    </row>
    <row r="3356" spans="2:5">
      <c r="B3356"/>
      <c r="C3356"/>
      <c r="E3356"/>
    </row>
    <row r="3357" spans="2:5">
      <c r="B3357"/>
      <c r="C3357"/>
      <c r="E3357"/>
    </row>
    <row r="3358" spans="2:5">
      <c r="B3358"/>
      <c r="C3358"/>
      <c r="E3358"/>
    </row>
    <row r="3359" spans="2:5">
      <c r="B3359"/>
      <c r="C3359"/>
      <c r="E3359"/>
    </row>
    <row r="3360" spans="2:5">
      <c r="B3360"/>
      <c r="C3360"/>
      <c r="E3360"/>
    </row>
    <row r="3361" spans="2:5">
      <c r="B3361"/>
      <c r="C3361"/>
      <c r="E3361"/>
    </row>
    <row r="3362" spans="2:5">
      <c r="B3362"/>
      <c r="C3362"/>
      <c r="E3362"/>
    </row>
    <row r="3363" spans="2:5">
      <c r="B3363"/>
      <c r="C3363"/>
      <c r="E3363"/>
    </row>
    <row r="3364" spans="2:5">
      <c r="B3364"/>
      <c r="C3364"/>
      <c r="E3364"/>
    </row>
    <row r="3365" spans="2:5">
      <c r="B3365"/>
      <c r="C3365"/>
      <c r="E3365"/>
    </row>
    <row r="3366" spans="2:5">
      <c r="B3366"/>
      <c r="C3366"/>
      <c r="E3366"/>
    </row>
    <row r="3367" spans="2:5">
      <c r="B3367"/>
      <c r="C3367"/>
      <c r="E3367"/>
    </row>
    <row r="3368" spans="2:5">
      <c r="B3368"/>
      <c r="C3368"/>
      <c r="E3368"/>
    </row>
    <row r="3369" spans="2:5">
      <c r="B3369"/>
      <c r="C3369"/>
      <c r="E3369"/>
    </row>
    <row r="3370" spans="2:5">
      <c r="B3370"/>
      <c r="C3370"/>
      <c r="E3370"/>
    </row>
    <row r="3371" spans="2:5">
      <c r="B3371"/>
      <c r="C3371"/>
      <c r="E3371"/>
    </row>
    <row r="3372" spans="2:5">
      <c r="B3372"/>
      <c r="C3372"/>
      <c r="E3372"/>
    </row>
    <row r="3373" spans="2:5">
      <c r="B3373"/>
      <c r="C3373"/>
      <c r="E3373"/>
    </row>
    <row r="3374" spans="2:5">
      <c r="B3374"/>
      <c r="C3374"/>
      <c r="E3374"/>
    </row>
    <row r="3375" spans="2:5">
      <c r="B3375"/>
      <c r="C3375"/>
      <c r="E3375"/>
    </row>
    <row r="3376" spans="2:5">
      <c r="B3376"/>
      <c r="C3376"/>
      <c r="E3376"/>
    </row>
    <row r="3377" spans="2:5">
      <c r="B3377"/>
      <c r="C3377"/>
      <c r="E3377"/>
    </row>
    <row r="3378" spans="2:5">
      <c r="B3378"/>
      <c r="C3378"/>
      <c r="E3378"/>
    </row>
    <row r="3379" spans="2:5">
      <c r="B3379"/>
      <c r="C3379"/>
      <c r="E3379"/>
    </row>
    <row r="3380" spans="2:5">
      <c r="B3380"/>
      <c r="C3380"/>
      <c r="E3380"/>
    </row>
    <row r="3381" spans="2:5">
      <c r="B3381"/>
      <c r="C3381"/>
      <c r="E3381"/>
    </row>
    <row r="3382" spans="2:5">
      <c r="B3382"/>
      <c r="C3382"/>
      <c r="E3382"/>
    </row>
    <row r="3383" spans="2:5">
      <c r="B3383"/>
      <c r="C3383"/>
      <c r="E3383"/>
    </row>
    <row r="3384" spans="2:5">
      <c r="B3384"/>
      <c r="C3384"/>
      <c r="E3384"/>
    </row>
    <row r="3385" spans="2:5">
      <c r="B3385"/>
      <c r="C3385"/>
      <c r="E3385"/>
    </row>
    <row r="3386" spans="2:5">
      <c r="B3386"/>
      <c r="C3386"/>
      <c r="E3386"/>
    </row>
    <row r="3387" spans="2:5">
      <c r="B3387"/>
      <c r="C3387"/>
      <c r="E3387"/>
    </row>
    <row r="3388" spans="2:5">
      <c r="B3388"/>
      <c r="C3388"/>
      <c r="E3388"/>
    </row>
    <row r="3389" spans="2:5">
      <c r="B3389"/>
      <c r="C3389"/>
      <c r="E3389"/>
    </row>
    <row r="3390" spans="2:5">
      <c r="B3390"/>
      <c r="C3390"/>
      <c r="E3390"/>
    </row>
    <row r="3391" spans="2:5">
      <c r="B3391"/>
      <c r="C3391"/>
      <c r="E3391"/>
    </row>
    <row r="3392" spans="2:5">
      <c r="B3392"/>
      <c r="C3392"/>
      <c r="E3392"/>
    </row>
    <row r="3393" spans="2:5">
      <c r="B3393"/>
      <c r="C3393"/>
      <c r="E3393"/>
    </row>
    <row r="3394" spans="2:5">
      <c r="B3394"/>
      <c r="C3394"/>
      <c r="E3394"/>
    </row>
    <row r="3395" spans="2:5">
      <c r="B3395"/>
      <c r="C3395"/>
      <c r="E3395"/>
    </row>
    <row r="3396" spans="2:5">
      <c r="B3396"/>
      <c r="C3396"/>
      <c r="E3396"/>
    </row>
    <row r="3397" spans="2:5">
      <c r="B3397"/>
      <c r="C3397"/>
      <c r="E3397"/>
    </row>
    <row r="3398" spans="2:5">
      <c r="B3398"/>
      <c r="C3398"/>
      <c r="E3398"/>
    </row>
    <row r="3399" spans="2:5">
      <c r="B3399"/>
      <c r="C3399"/>
      <c r="E3399"/>
    </row>
    <row r="3400" spans="2:5">
      <c r="B3400"/>
      <c r="C3400"/>
      <c r="E3400"/>
    </row>
    <row r="3401" spans="2:5">
      <c r="B3401"/>
      <c r="C3401"/>
      <c r="E3401"/>
    </row>
    <row r="3402" spans="2:5">
      <c r="B3402"/>
      <c r="C3402"/>
      <c r="E3402"/>
    </row>
    <row r="3403" spans="2:5">
      <c r="B3403"/>
      <c r="C3403"/>
      <c r="E3403"/>
    </row>
    <row r="3404" spans="2:5">
      <c r="B3404"/>
      <c r="C3404"/>
      <c r="E3404"/>
    </row>
    <row r="3405" spans="2:5">
      <c r="B3405"/>
      <c r="C3405"/>
      <c r="E3405"/>
    </row>
    <row r="3406" spans="2:5">
      <c r="B3406"/>
      <c r="C3406"/>
      <c r="E3406"/>
    </row>
    <row r="3407" spans="2:5">
      <c r="B3407"/>
      <c r="C3407"/>
      <c r="E3407"/>
    </row>
    <row r="3408" spans="2:5">
      <c r="B3408"/>
      <c r="C3408"/>
      <c r="E3408"/>
    </row>
    <row r="3409" spans="2:5">
      <c r="B3409"/>
      <c r="C3409"/>
      <c r="E3409"/>
    </row>
    <row r="3410" spans="2:5">
      <c r="B3410"/>
      <c r="C3410"/>
      <c r="E3410"/>
    </row>
    <row r="3411" spans="2:5">
      <c r="B3411"/>
      <c r="C3411"/>
      <c r="E3411"/>
    </row>
    <row r="3412" spans="2:5">
      <c r="B3412"/>
      <c r="C3412"/>
      <c r="E3412"/>
    </row>
    <row r="3413" spans="2:5">
      <c r="B3413"/>
      <c r="C3413"/>
      <c r="E3413"/>
    </row>
    <row r="3414" spans="2:5">
      <c r="B3414"/>
      <c r="C3414"/>
      <c r="E3414"/>
    </row>
    <row r="3415" spans="2:5">
      <c r="B3415"/>
      <c r="C3415"/>
      <c r="E3415"/>
    </row>
    <row r="3416" spans="2:5">
      <c r="B3416"/>
      <c r="C3416"/>
      <c r="E3416"/>
    </row>
    <row r="3417" spans="2:5">
      <c r="B3417"/>
      <c r="C3417"/>
      <c r="E3417"/>
    </row>
    <row r="3418" spans="2:5">
      <c r="B3418"/>
      <c r="C3418"/>
      <c r="E3418"/>
    </row>
    <row r="3419" spans="2:5">
      <c r="B3419"/>
      <c r="C3419"/>
      <c r="E3419"/>
    </row>
    <row r="3420" spans="2:5">
      <c r="B3420"/>
      <c r="C3420"/>
      <c r="E3420"/>
    </row>
    <row r="3421" spans="2:5">
      <c r="B3421"/>
      <c r="C3421"/>
      <c r="E3421"/>
    </row>
    <row r="3422" spans="2:5">
      <c r="B3422"/>
      <c r="C3422"/>
      <c r="E3422"/>
    </row>
    <row r="3423" spans="2:5">
      <c r="B3423"/>
      <c r="C3423"/>
      <c r="E3423"/>
    </row>
    <row r="3424" spans="2:5">
      <c r="B3424"/>
      <c r="C3424"/>
      <c r="E3424"/>
    </row>
    <row r="3425" spans="2:5">
      <c r="B3425"/>
      <c r="C3425"/>
      <c r="E3425"/>
    </row>
    <row r="3426" spans="2:5">
      <c r="B3426"/>
      <c r="C3426"/>
      <c r="E3426"/>
    </row>
    <row r="3427" spans="2:5">
      <c r="B3427"/>
      <c r="C3427"/>
      <c r="E3427"/>
    </row>
    <row r="3428" spans="2:5">
      <c r="B3428"/>
      <c r="C3428"/>
      <c r="E3428"/>
    </row>
    <row r="3429" spans="2:5">
      <c r="B3429"/>
      <c r="C3429"/>
      <c r="E3429"/>
    </row>
    <row r="3430" spans="2:5">
      <c r="B3430"/>
      <c r="C3430"/>
      <c r="E3430"/>
    </row>
    <row r="3431" spans="2:5">
      <c r="B3431"/>
      <c r="C3431"/>
      <c r="E3431"/>
    </row>
    <row r="3432" spans="2:5">
      <c r="B3432"/>
      <c r="C3432"/>
      <c r="E3432"/>
    </row>
    <row r="3433" spans="2:5">
      <c r="B3433"/>
      <c r="C3433"/>
      <c r="E3433"/>
    </row>
    <row r="3434" spans="2:5">
      <c r="B3434"/>
      <c r="C3434"/>
      <c r="E3434"/>
    </row>
    <row r="3435" spans="2:5">
      <c r="B3435"/>
      <c r="C3435"/>
      <c r="E3435"/>
    </row>
    <row r="3436" spans="2:5">
      <c r="B3436"/>
      <c r="C3436"/>
      <c r="E3436"/>
    </row>
    <row r="3437" spans="2:5">
      <c r="B3437"/>
      <c r="C3437"/>
      <c r="E3437"/>
    </row>
    <row r="3438" spans="2:5">
      <c r="B3438"/>
      <c r="C3438"/>
      <c r="E3438"/>
    </row>
    <row r="3439" spans="2:5">
      <c r="B3439"/>
      <c r="C3439"/>
      <c r="E3439"/>
    </row>
    <row r="3440" spans="2:5">
      <c r="B3440"/>
      <c r="C3440"/>
      <c r="E3440"/>
    </row>
    <row r="3441" spans="2:5">
      <c r="B3441"/>
      <c r="C3441"/>
      <c r="E3441"/>
    </row>
    <row r="3442" spans="2:5">
      <c r="B3442"/>
      <c r="C3442"/>
      <c r="E3442"/>
    </row>
    <row r="3443" spans="2:5">
      <c r="B3443"/>
      <c r="C3443"/>
      <c r="E3443"/>
    </row>
    <row r="3444" spans="2:5">
      <c r="B3444"/>
      <c r="C3444"/>
      <c r="E3444"/>
    </row>
    <row r="3445" spans="2:5">
      <c r="B3445"/>
      <c r="C3445"/>
      <c r="E3445"/>
    </row>
    <row r="3446" spans="2:5">
      <c r="B3446"/>
      <c r="C3446"/>
      <c r="E3446"/>
    </row>
    <row r="3447" spans="2:5">
      <c r="B3447"/>
      <c r="C3447"/>
      <c r="E3447"/>
    </row>
    <row r="3448" spans="2:5">
      <c r="B3448"/>
      <c r="C3448"/>
      <c r="E3448"/>
    </row>
    <row r="3449" spans="2:5">
      <c r="B3449"/>
      <c r="C3449"/>
      <c r="E3449"/>
    </row>
    <row r="3450" spans="2:5">
      <c r="B3450"/>
      <c r="C3450"/>
      <c r="E3450"/>
    </row>
    <row r="3451" spans="2:5">
      <c r="B3451"/>
      <c r="C3451"/>
      <c r="E3451"/>
    </row>
    <row r="3452" spans="2:5">
      <c r="B3452"/>
      <c r="C3452"/>
      <c r="E3452"/>
    </row>
    <row r="3453" spans="2:5">
      <c r="B3453"/>
      <c r="C3453"/>
      <c r="E3453"/>
    </row>
    <row r="3454" spans="2:5">
      <c r="B3454"/>
      <c r="C3454"/>
      <c r="E3454"/>
    </row>
    <row r="3455" spans="2:5">
      <c r="B3455"/>
      <c r="C3455"/>
      <c r="E3455"/>
    </row>
    <row r="3456" spans="2:5">
      <c r="B3456"/>
      <c r="C3456"/>
      <c r="E3456"/>
    </row>
    <row r="3457" spans="2:5">
      <c r="B3457"/>
      <c r="C3457"/>
      <c r="E3457"/>
    </row>
    <row r="3458" spans="2:5">
      <c r="B3458"/>
      <c r="C3458"/>
      <c r="E3458"/>
    </row>
    <row r="3459" spans="2:5">
      <c r="B3459"/>
      <c r="C3459"/>
      <c r="E3459"/>
    </row>
    <row r="3460" spans="2:5">
      <c r="B3460"/>
      <c r="C3460"/>
      <c r="E3460"/>
    </row>
    <row r="3461" spans="2:5">
      <c r="B3461"/>
      <c r="C3461"/>
      <c r="E3461"/>
    </row>
    <row r="3462" spans="2:5">
      <c r="B3462"/>
      <c r="C3462"/>
      <c r="E3462"/>
    </row>
    <row r="3463" spans="2:5">
      <c r="B3463"/>
      <c r="C3463"/>
      <c r="E3463"/>
    </row>
    <row r="3464" spans="2:5">
      <c r="B3464"/>
      <c r="C3464"/>
      <c r="E3464"/>
    </row>
    <row r="3465" spans="2:5">
      <c r="B3465"/>
      <c r="C3465"/>
      <c r="E3465"/>
    </row>
    <row r="3466" spans="2:5">
      <c r="B3466"/>
      <c r="C3466"/>
      <c r="E3466"/>
    </row>
    <row r="3467" spans="2:5">
      <c r="B3467"/>
      <c r="C3467"/>
      <c r="E3467"/>
    </row>
    <row r="3468" spans="2:5">
      <c r="B3468"/>
      <c r="C3468"/>
      <c r="E3468"/>
    </row>
    <row r="3469" spans="2:5">
      <c r="B3469"/>
      <c r="C3469"/>
      <c r="E3469"/>
    </row>
    <row r="3470" spans="2:5">
      <c r="B3470"/>
      <c r="C3470"/>
      <c r="E3470"/>
    </row>
    <row r="3471" spans="2:5">
      <c r="B3471"/>
      <c r="C3471"/>
      <c r="E3471"/>
    </row>
    <row r="3472" spans="2:5">
      <c r="B3472"/>
      <c r="C3472"/>
      <c r="E3472"/>
    </row>
    <row r="3473" spans="2:5">
      <c r="B3473"/>
      <c r="C3473"/>
      <c r="E3473"/>
    </row>
    <row r="3474" spans="2:5">
      <c r="B3474"/>
      <c r="C3474"/>
      <c r="E3474"/>
    </row>
    <row r="3475" spans="2:5">
      <c r="B3475"/>
      <c r="C3475"/>
      <c r="E3475"/>
    </row>
    <row r="3476" spans="2:5">
      <c r="B3476"/>
      <c r="C3476"/>
      <c r="E3476"/>
    </row>
    <row r="3477" spans="2:5">
      <c r="B3477"/>
      <c r="C3477"/>
      <c r="E3477"/>
    </row>
    <row r="3478" spans="2:5">
      <c r="B3478"/>
      <c r="C3478"/>
      <c r="E3478"/>
    </row>
    <row r="3479" spans="2:5">
      <c r="B3479"/>
      <c r="C3479"/>
      <c r="E3479"/>
    </row>
    <row r="3480" spans="2:5">
      <c r="B3480"/>
      <c r="C3480"/>
      <c r="E3480"/>
    </row>
    <row r="3481" spans="2:5">
      <c r="B3481"/>
      <c r="C3481"/>
      <c r="E3481"/>
    </row>
    <row r="3482" spans="2:5">
      <c r="B3482"/>
      <c r="C3482"/>
      <c r="E3482"/>
    </row>
    <row r="3483" spans="2:5">
      <c r="B3483"/>
      <c r="C3483"/>
      <c r="E3483"/>
    </row>
    <row r="3484" spans="2:5">
      <c r="B3484"/>
      <c r="C3484"/>
      <c r="E3484"/>
    </row>
    <row r="3485" spans="2:5">
      <c r="B3485"/>
      <c r="C3485"/>
      <c r="E3485"/>
    </row>
    <row r="3486" spans="2:5">
      <c r="B3486"/>
      <c r="C3486"/>
      <c r="E3486"/>
    </row>
    <row r="3487" spans="2:5">
      <c r="B3487"/>
      <c r="C3487"/>
      <c r="E3487"/>
    </row>
    <row r="3488" spans="2:5">
      <c r="B3488"/>
      <c r="C3488"/>
      <c r="E3488"/>
    </row>
    <row r="3489" spans="2:5">
      <c r="B3489"/>
      <c r="C3489"/>
      <c r="E3489"/>
    </row>
    <row r="3490" spans="2:5">
      <c r="B3490"/>
      <c r="C3490"/>
      <c r="E3490"/>
    </row>
    <row r="3491" spans="2:5">
      <c r="B3491"/>
      <c r="C3491"/>
      <c r="E3491"/>
    </row>
    <row r="3492" spans="2:5">
      <c r="B3492"/>
      <c r="C3492"/>
      <c r="E3492"/>
    </row>
    <row r="3493" spans="2:5">
      <c r="B3493"/>
      <c r="C3493"/>
      <c r="E3493"/>
    </row>
    <row r="3494" spans="2:5">
      <c r="B3494"/>
      <c r="C3494"/>
      <c r="E3494"/>
    </row>
    <row r="3495" spans="2:5">
      <c r="B3495"/>
      <c r="C3495"/>
      <c r="E3495"/>
    </row>
    <row r="3496" spans="2:5">
      <c r="B3496"/>
      <c r="C3496"/>
      <c r="E3496"/>
    </row>
    <row r="3497" spans="2:5">
      <c r="B3497"/>
      <c r="C3497"/>
      <c r="E3497"/>
    </row>
    <row r="3498" spans="2:5">
      <c r="B3498"/>
      <c r="C3498"/>
      <c r="E3498"/>
    </row>
    <row r="3499" spans="2:5">
      <c r="B3499"/>
      <c r="C3499"/>
      <c r="E3499"/>
    </row>
    <row r="3500" spans="2:5">
      <c r="B3500"/>
      <c r="C3500"/>
      <c r="E3500"/>
    </row>
    <row r="3501" spans="2:5">
      <c r="B3501"/>
      <c r="C3501"/>
      <c r="E3501"/>
    </row>
    <row r="3502" spans="2:5">
      <c r="B3502"/>
      <c r="C3502"/>
      <c r="E3502"/>
    </row>
    <row r="3503" spans="2:5">
      <c r="B3503"/>
      <c r="C3503"/>
      <c r="E3503"/>
    </row>
    <row r="3504" spans="2:5">
      <c r="B3504"/>
      <c r="C3504"/>
      <c r="E3504"/>
    </row>
    <row r="3505" spans="2:5">
      <c r="B3505"/>
      <c r="C3505"/>
      <c r="E3505"/>
    </row>
    <row r="3506" spans="2:5">
      <c r="B3506"/>
      <c r="C3506"/>
      <c r="E3506"/>
    </row>
    <row r="3507" spans="2:5">
      <c r="B3507"/>
      <c r="C3507"/>
      <c r="E3507"/>
    </row>
    <row r="3508" spans="2:5">
      <c r="B3508"/>
      <c r="C3508"/>
      <c r="E3508"/>
    </row>
    <row r="3509" spans="2:5">
      <c r="B3509"/>
      <c r="C3509"/>
      <c r="E3509"/>
    </row>
    <row r="3510" spans="2:5">
      <c r="B3510"/>
      <c r="C3510"/>
      <c r="E3510"/>
    </row>
    <row r="3511" spans="2:5">
      <c r="B3511"/>
      <c r="C3511"/>
      <c r="E3511"/>
    </row>
    <row r="3512" spans="2:5">
      <c r="B3512"/>
      <c r="C3512"/>
      <c r="E3512"/>
    </row>
    <row r="3513" spans="2:5">
      <c r="B3513"/>
      <c r="C3513"/>
      <c r="E3513"/>
    </row>
    <row r="3514" spans="2:5">
      <c r="B3514"/>
      <c r="C3514"/>
      <c r="E3514"/>
    </row>
    <row r="3515" spans="2:5">
      <c r="B3515"/>
      <c r="C3515"/>
      <c r="E3515"/>
    </row>
    <row r="3516" spans="2:5">
      <c r="B3516"/>
      <c r="C3516"/>
      <c r="E3516"/>
    </row>
    <row r="3517" spans="2:5">
      <c r="B3517"/>
      <c r="C3517"/>
      <c r="E3517"/>
    </row>
    <row r="3518" spans="2:5">
      <c r="B3518"/>
      <c r="C3518"/>
      <c r="E3518"/>
    </row>
    <row r="3519" spans="2:5">
      <c r="B3519"/>
      <c r="C3519"/>
      <c r="E3519"/>
    </row>
    <row r="3520" spans="2:5">
      <c r="B3520"/>
      <c r="C3520"/>
      <c r="E3520"/>
    </row>
    <row r="3521" spans="2:5">
      <c r="B3521"/>
      <c r="C3521"/>
      <c r="E3521"/>
    </row>
    <row r="3522" spans="2:5">
      <c r="B3522"/>
      <c r="C3522"/>
      <c r="E3522"/>
    </row>
    <row r="3523" spans="2:5">
      <c r="B3523"/>
      <c r="C3523"/>
      <c r="E3523"/>
    </row>
    <row r="3524" spans="2:5">
      <c r="B3524"/>
      <c r="C3524"/>
      <c r="E3524"/>
    </row>
    <row r="3525" spans="2:5">
      <c r="B3525"/>
      <c r="C3525"/>
      <c r="E3525"/>
    </row>
    <row r="3526" spans="2:5">
      <c r="B3526"/>
      <c r="C3526"/>
      <c r="E3526"/>
    </row>
    <row r="3527" spans="2:5">
      <c r="B3527"/>
      <c r="C3527"/>
      <c r="E3527"/>
    </row>
    <row r="3528" spans="2:5">
      <c r="B3528"/>
      <c r="C3528"/>
      <c r="E3528"/>
    </row>
    <row r="3529" spans="2:5">
      <c r="B3529"/>
      <c r="C3529"/>
      <c r="E3529"/>
    </row>
    <row r="3530" spans="2:5">
      <c r="B3530"/>
      <c r="C3530"/>
      <c r="E3530"/>
    </row>
    <row r="3531" spans="2:5">
      <c r="B3531"/>
      <c r="C3531"/>
      <c r="E3531"/>
    </row>
    <row r="3532" spans="2:5">
      <c r="B3532"/>
      <c r="C3532"/>
      <c r="E3532"/>
    </row>
    <row r="3533" spans="2:5">
      <c r="B3533"/>
      <c r="C3533"/>
      <c r="E3533"/>
    </row>
    <row r="3534" spans="2:5">
      <c r="B3534"/>
      <c r="C3534"/>
      <c r="E3534"/>
    </row>
    <row r="3535" spans="2:5">
      <c r="B3535"/>
      <c r="C3535"/>
      <c r="E3535"/>
    </row>
    <row r="3536" spans="2:5">
      <c r="B3536"/>
      <c r="C3536"/>
      <c r="E3536"/>
    </row>
    <row r="3537" spans="2:5">
      <c r="B3537"/>
      <c r="C3537"/>
      <c r="E3537"/>
    </row>
    <row r="3538" spans="2:5">
      <c r="B3538"/>
      <c r="C3538"/>
      <c r="E3538"/>
    </row>
    <row r="3539" spans="2:5">
      <c r="B3539"/>
      <c r="C3539"/>
      <c r="E3539"/>
    </row>
    <row r="3540" spans="2:5">
      <c r="B3540"/>
      <c r="C3540"/>
      <c r="E3540"/>
    </row>
    <row r="3541" spans="2:5">
      <c r="B3541"/>
      <c r="C3541"/>
      <c r="E3541"/>
    </row>
    <row r="3542" spans="2:5">
      <c r="B3542"/>
      <c r="C3542"/>
      <c r="E3542"/>
    </row>
    <row r="3543" spans="2:5">
      <c r="B3543"/>
      <c r="C3543"/>
      <c r="E3543"/>
    </row>
    <row r="3544" spans="2:5">
      <c r="B3544"/>
      <c r="C3544"/>
      <c r="E3544"/>
    </row>
    <row r="3545" spans="2:5">
      <c r="B3545"/>
      <c r="C3545"/>
      <c r="E3545"/>
    </row>
    <row r="3546" spans="2:5">
      <c r="B3546"/>
      <c r="C3546"/>
      <c r="E3546"/>
    </row>
    <row r="3547" spans="2:5">
      <c r="B3547"/>
      <c r="C3547"/>
      <c r="E3547"/>
    </row>
    <row r="3548" spans="2:5">
      <c r="B3548"/>
      <c r="C3548"/>
      <c r="E3548"/>
    </row>
    <row r="3549" spans="2:5">
      <c r="B3549"/>
      <c r="C3549"/>
      <c r="E3549"/>
    </row>
    <row r="3550" spans="2:5">
      <c r="B3550"/>
      <c r="C3550"/>
      <c r="E3550"/>
    </row>
    <row r="3551" spans="2:5">
      <c r="B3551"/>
      <c r="C3551"/>
      <c r="E3551"/>
    </row>
    <row r="3552" spans="2:5">
      <c r="B3552"/>
      <c r="C3552"/>
      <c r="E3552"/>
    </row>
    <row r="3553" spans="2:5">
      <c r="B3553"/>
      <c r="C3553"/>
      <c r="E3553"/>
    </row>
    <row r="3554" spans="2:5">
      <c r="B3554"/>
      <c r="C3554"/>
      <c r="E3554"/>
    </row>
    <row r="3555" spans="2:5">
      <c r="B3555"/>
      <c r="C3555"/>
      <c r="E3555"/>
    </row>
    <row r="3556" spans="2:5">
      <c r="B3556"/>
      <c r="C3556"/>
      <c r="E3556"/>
    </row>
    <row r="3557" spans="2:5">
      <c r="B3557"/>
      <c r="C3557"/>
      <c r="E3557"/>
    </row>
    <row r="3558" spans="2:5">
      <c r="B3558"/>
      <c r="C3558"/>
      <c r="E3558"/>
    </row>
    <row r="3559" spans="2:5">
      <c r="B3559"/>
      <c r="C3559"/>
      <c r="E3559"/>
    </row>
    <row r="3560" spans="2:5">
      <c r="B3560"/>
      <c r="C3560"/>
      <c r="E3560"/>
    </row>
    <row r="3561" spans="2:5">
      <c r="B3561"/>
      <c r="C3561"/>
      <c r="E3561"/>
    </row>
    <row r="3562" spans="2:5">
      <c r="B3562"/>
      <c r="C3562"/>
      <c r="E3562"/>
    </row>
    <row r="3563" spans="2:5">
      <c r="B3563"/>
      <c r="C3563"/>
      <c r="E3563"/>
    </row>
    <row r="3564" spans="2:5">
      <c r="B3564"/>
      <c r="C3564"/>
      <c r="E3564"/>
    </row>
    <row r="3565" spans="2:5">
      <c r="B3565"/>
      <c r="C3565"/>
      <c r="E3565"/>
    </row>
    <row r="3566" spans="2:5">
      <c r="B3566"/>
      <c r="C3566"/>
      <c r="E3566"/>
    </row>
    <row r="3567" spans="2:5">
      <c r="B3567"/>
      <c r="C3567"/>
      <c r="E3567"/>
    </row>
    <row r="3568" spans="2:5">
      <c r="B3568"/>
      <c r="C3568"/>
      <c r="E3568"/>
    </row>
    <row r="3569" spans="2:5">
      <c r="B3569"/>
      <c r="C3569"/>
      <c r="E3569"/>
    </row>
    <row r="3570" spans="2:5">
      <c r="B3570"/>
      <c r="C3570"/>
      <c r="E3570"/>
    </row>
    <row r="3571" spans="2:5">
      <c r="B3571"/>
      <c r="C3571"/>
      <c r="E3571"/>
    </row>
    <row r="3572" spans="2:5">
      <c r="B3572"/>
      <c r="C3572"/>
      <c r="E3572"/>
    </row>
    <row r="3573" spans="2:5">
      <c r="B3573"/>
      <c r="C3573"/>
      <c r="E3573"/>
    </row>
    <row r="3574" spans="2:5">
      <c r="B3574"/>
      <c r="C3574"/>
      <c r="E3574"/>
    </row>
    <row r="3575" spans="2:5">
      <c r="B3575"/>
      <c r="C3575"/>
      <c r="E3575"/>
    </row>
    <row r="3576" spans="2:5">
      <c r="B3576"/>
      <c r="C3576"/>
      <c r="E3576"/>
    </row>
    <row r="3577" spans="2:5">
      <c r="B3577"/>
      <c r="C3577"/>
      <c r="E3577"/>
    </row>
    <row r="3578" spans="2:5">
      <c r="B3578"/>
      <c r="C3578"/>
      <c r="E3578"/>
    </row>
    <row r="3579" spans="2:5">
      <c r="B3579"/>
      <c r="C3579"/>
      <c r="E3579"/>
    </row>
    <row r="3580" spans="2:5">
      <c r="B3580"/>
      <c r="C3580"/>
      <c r="E3580"/>
    </row>
    <row r="3581" spans="2:5">
      <c r="B3581"/>
      <c r="C3581"/>
      <c r="E3581"/>
    </row>
    <row r="3582" spans="2:5">
      <c r="B3582"/>
      <c r="C3582"/>
      <c r="E3582"/>
    </row>
    <row r="3583" spans="2:5">
      <c r="B3583"/>
      <c r="C3583"/>
      <c r="E3583"/>
    </row>
    <row r="3584" spans="2:5">
      <c r="B3584"/>
      <c r="C3584"/>
      <c r="E3584"/>
    </row>
    <row r="3585" spans="2:5">
      <c r="B3585"/>
      <c r="C3585"/>
      <c r="E3585"/>
    </row>
    <row r="3586" spans="2:5">
      <c r="B3586"/>
      <c r="C3586"/>
      <c r="E3586"/>
    </row>
    <row r="3587" spans="2:5">
      <c r="B3587"/>
      <c r="C3587"/>
      <c r="E3587"/>
    </row>
    <row r="3588" spans="2:5">
      <c r="B3588"/>
      <c r="C3588"/>
      <c r="E3588"/>
    </row>
    <row r="3589" spans="2:5">
      <c r="B3589"/>
      <c r="C3589"/>
      <c r="E3589"/>
    </row>
    <row r="3590" spans="2:5">
      <c r="B3590"/>
      <c r="C3590"/>
      <c r="E3590"/>
    </row>
    <row r="3591" spans="2:5">
      <c r="B3591"/>
      <c r="C3591"/>
      <c r="E3591"/>
    </row>
    <row r="3592" spans="2:5">
      <c r="B3592"/>
      <c r="C3592"/>
      <c r="E3592"/>
    </row>
    <row r="3593" spans="2:5">
      <c r="B3593"/>
      <c r="C3593"/>
      <c r="E3593"/>
    </row>
    <row r="3594" spans="2:5">
      <c r="B3594"/>
      <c r="C3594"/>
      <c r="E3594"/>
    </row>
    <row r="3595" spans="2:5">
      <c r="B3595"/>
      <c r="C3595"/>
      <c r="E3595"/>
    </row>
    <row r="3596" spans="2:5">
      <c r="B3596"/>
      <c r="C3596"/>
      <c r="E3596"/>
    </row>
    <row r="3597" spans="2:5">
      <c r="B3597"/>
      <c r="C3597"/>
      <c r="E3597"/>
    </row>
    <row r="3598" spans="2:5">
      <c r="B3598"/>
      <c r="C3598"/>
      <c r="E3598"/>
    </row>
    <row r="3599" spans="2:5">
      <c r="B3599"/>
      <c r="C3599"/>
      <c r="E3599"/>
    </row>
    <row r="3600" spans="2:5">
      <c r="B3600"/>
      <c r="C3600"/>
      <c r="E3600"/>
    </row>
    <row r="3601" spans="2:5">
      <c r="B3601"/>
      <c r="C3601"/>
      <c r="E3601"/>
    </row>
    <row r="3602" spans="2:5">
      <c r="B3602"/>
      <c r="C3602"/>
      <c r="E3602"/>
    </row>
    <row r="3603" spans="2:5">
      <c r="B3603"/>
      <c r="C3603"/>
      <c r="E3603"/>
    </row>
    <row r="3604" spans="2:5">
      <c r="B3604"/>
      <c r="C3604"/>
      <c r="E3604"/>
    </row>
    <row r="3605" spans="2:5">
      <c r="B3605"/>
      <c r="C3605"/>
      <c r="E3605"/>
    </row>
    <row r="3606" spans="2:5">
      <c r="B3606"/>
      <c r="C3606"/>
      <c r="E3606"/>
    </row>
    <row r="3607" spans="2:5">
      <c r="B3607"/>
      <c r="C3607"/>
      <c r="E3607"/>
    </row>
    <row r="3608" spans="2:5">
      <c r="B3608"/>
      <c r="C3608"/>
      <c r="E3608"/>
    </row>
    <row r="3609" spans="2:5">
      <c r="B3609"/>
      <c r="C3609"/>
      <c r="E3609"/>
    </row>
    <row r="3610" spans="2:5">
      <c r="B3610"/>
      <c r="C3610"/>
      <c r="E3610"/>
    </row>
    <row r="3611" spans="2:5">
      <c r="B3611"/>
      <c r="C3611"/>
      <c r="E3611"/>
    </row>
    <row r="3612" spans="2:5">
      <c r="B3612"/>
      <c r="C3612"/>
      <c r="E3612"/>
    </row>
    <row r="3613" spans="2:5">
      <c r="B3613"/>
      <c r="C3613"/>
      <c r="E3613"/>
    </row>
    <row r="3614" spans="2:5">
      <c r="B3614"/>
      <c r="C3614"/>
      <c r="E3614"/>
    </row>
    <row r="3615" spans="2:5">
      <c r="B3615"/>
      <c r="C3615"/>
      <c r="E3615"/>
    </row>
    <row r="3616" spans="2:5">
      <c r="B3616"/>
      <c r="C3616"/>
      <c r="E3616"/>
    </row>
    <row r="3617" spans="2:5">
      <c r="B3617"/>
      <c r="C3617"/>
      <c r="E3617"/>
    </row>
    <row r="3618" spans="2:5">
      <c r="B3618"/>
      <c r="C3618"/>
      <c r="E3618"/>
    </row>
    <row r="3619" spans="2:5">
      <c r="B3619"/>
      <c r="C3619"/>
      <c r="E3619"/>
    </row>
    <row r="3620" spans="2:5">
      <c r="B3620"/>
      <c r="C3620"/>
      <c r="E3620"/>
    </row>
    <row r="3621" spans="2:5">
      <c r="B3621"/>
      <c r="C3621"/>
      <c r="E3621"/>
    </row>
    <row r="3622" spans="2:5">
      <c r="B3622"/>
      <c r="C3622"/>
      <c r="E3622"/>
    </row>
    <row r="3623" spans="2:5">
      <c r="B3623"/>
      <c r="C3623"/>
      <c r="E3623"/>
    </row>
    <row r="3624" spans="2:5">
      <c r="B3624"/>
      <c r="C3624"/>
      <c r="E3624"/>
    </row>
    <row r="3625" spans="2:5">
      <c r="B3625"/>
      <c r="C3625"/>
      <c r="E3625"/>
    </row>
    <row r="3626" spans="2:5">
      <c r="B3626"/>
      <c r="C3626"/>
      <c r="E3626"/>
    </row>
    <row r="3627" spans="2:5">
      <c r="B3627"/>
      <c r="C3627"/>
      <c r="E3627"/>
    </row>
    <row r="3628" spans="2:5">
      <c r="B3628"/>
      <c r="C3628"/>
      <c r="E3628"/>
    </row>
    <row r="3629" spans="2:5">
      <c r="B3629"/>
      <c r="C3629"/>
      <c r="E3629"/>
    </row>
    <row r="3630" spans="2:5">
      <c r="B3630"/>
      <c r="C3630"/>
      <c r="E3630"/>
    </row>
    <row r="3631" spans="2:5">
      <c r="B3631"/>
      <c r="C3631"/>
      <c r="E3631"/>
    </row>
    <row r="3632" spans="2:5">
      <c r="B3632"/>
      <c r="C3632"/>
      <c r="E3632"/>
    </row>
    <row r="3633" spans="2:5">
      <c r="B3633"/>
      <c r="C3633"/>
      <c r="E3633"/>
    </row>
    <row r="3634" spans="2:5">
      <c r="B3634"/>
      <c r="C3634"/>
      <c r="E3634"/>
    </row>
    <row r="3635" spans="2:5">
      <c r="B3635"/>
      <c r="C3635"/>
      <c r="E3635"/>
    </row>
    <row r="3636" spans="2:5">
      <c r="B3636"/>
      <c r="C3636"/>
      <c r="E3636"/>
    </row>
    <row r="3637" spans="2:5">
      <c r="B3637"/>
      <c r="C3637"/>
      <c r="E3637"/>
    </row>
    <row r="3638" spans="2:5">
      <c r="B3638"/>
      <c r="C3638"/>
      <c r="E3638"/>
    </row>
    <row r="3639" spans="2:5">
      <c r="B3639"/>
      <c r="C3639"/>
      <c r="E3639"/>
    </row>
    <row r="3640" spans="2:5">
      <c r="B3640"/>
      <c r="C3640"/>
      <c r="E3640"/>
    </row>
    <row r="3641" spans="2:5">
      <c r="B3641"/>
      <c r="C3641"/>
      <c r="E3641"/>
    </row>
    <row r="3642" spans="2:5">
      <c r="B3642"/>
      <c r="C3642"/>
      <c r="E3642"/>
    </row>
    <row r="3643" spans="2:5">
      <c r="B3643"/>
      <c r="C3643"/>
      <c r="E3643"/>
    </row>
    <row r="3644" spans="2:5">
      <c r="B3644"/>
      <c r="C3644"/>
      <c r="E3644"/>
    </row>
    <row r="3645" spans="2:5">
      <c r="B3645"/>
      <c r="C3645"/>
      <c r="E3645"/>
    </row>
    <row r="3646" spans="2:5">
      <c r="B3646"/>
      <c r="C3646"/>
      <c r="E3646"/>
    </row>
    <row r="3647" spans="2:5">
      <c r="B3647"/>
      <c r="C3647"/>
      <c r="E3647"/>
    </row>
    <row r="3648" spans="2:5">
      <c r="B3648"/>
      <c r="C3648"/>
      <c r="E3648"/>
    </row>
    <row r="3649" spans="2:5">
      <c r="B3649"/>
      <c r="C3649"/>
      <c r="E3649"/>
    </row>
    <row r="3650" spans="2:5">
      <c r="B3650"/>
      <c r="C3650"/>
      <c r="E3650"/>
    </row>
    <row r="3651" spans="2:5">
      <c r="B3651"/>
      <c r="C3651"/>
      <c r="E3651"/>
    </row>
    <row r="3652" spans="2:5">
      <c r="B3652"/>
      <c r="C3652"/>
      <c r="E3652"/>
    </row>
    <row r="3653" spans="2:5">
      <c r="B3653"/>
      <c r="C3653"/>
      <c r="E3653"/>
    </row>
    <row r="3654" spans="2:5">
      <c r="B3654"/>
      <c r="C3654"/>
      <c r="E3654"/>
    </row>
    <row r="3655" spans="2:5">
      <c r="B3655"/>
      <c r="C3655"/>
      <c r="E3655"/>
    </row>
    <row r="3656" spans="2:5">
      <c r="B3656"/>
      <c r="C3656"/>
      <c r="E3656"/>
    </row>
    <row r="3657" spans="2:5">
      <c r="B3657"/>
      <c r="C3657"/>
      <c r="E3657"/>
    </row>
    <row r="3658" spans="2:5">
      <c r="B3658"/>
      <c r="C3658"/>
      <c r="E3658"/>
    </row>
    <row r="3659" spans="2:5">
      <c r="B3659"/>
      <c r="C3659"/>
      <c r="E3659"/>
    </row>
    <row r="3660" spans="2:5">
      <c r="B3660"/>
      <c r="C3660"/>
      <c r="E3660"/>
    </row>
    <row r="3661" spans="2:5">
      <c r="B3661"/>
      <c r="C3661"/>
      <c r="E3661"/>
    </row>
    <row r="3662" spans="2:5">
      <c r="B3662"/>
      <c r="C3662"/>
      <c r="E3662"/>
    </row>
    <row r="3663" spans="2:5">
      <c r="B3663"/>
      <c r="C3663"/>
      <c r="E3663"/>
    </row>
    <row r="3664" spans="2:5">
      <c r="B3664"/>
      <c r="C3664"/>
      <c r="E3664"/>
    </row>
    <row r="3665" spans="2:5">
      <c r="B3665"/>
      <c r="C3665"/>
      <c r="E3665"/>
    </row>
    <row r="3666" spans="2:5">
      <c r="B3666"/>
      <c r="C3666"/>
      <c r="E3666"/>
    </row>
    <row r="3667" spans="2:5">
      <c r="B3667"/>
      <c r="C3667"/>
      <c r="E3667"/>
    </row>
    <row r="3668" spans="2:5">
      <c r="B3668"/>
      <c r="C3668"/>
      <c r="E3668"/>
    </row>
    <row r="3669" spans="2:5">
      <c r="B3669"/>
      <c r="C3669"/>
      <c r="E3669"/>
    </row>
    <row r="3670" spans="2:5">
      <c r="B3670"/>
      <c r="C3670"/>
      <c r="E3670"/>
    </row>
    <row r="3671" spans="2:5">
      <c r="B3671"/>
      <c r="C3671"/>
      <c r="E3671"/>
    </row>
    <row r="3672" spans="2:5">
      <c r="B3672"/>
      <c r="C3672"/>
      <c r="E3672"/>
    </row>
    <row r="3673" spans="2:5">
      <c r="B3673"/>
      <c r="C3673"/>
      <c r="E3673"/>
    </row>
    <row r="3674" spans="2:5">
      <c r="B3674"/>
      <c r="C3674"/>
      <c r="E3674"/>
    </row>
    <row r="3675" spans="2:5">
      <c r="B3675"/>
      <c r="C3675"/>
      <c r="E3675"/>
    </row>
    <row r="3676" spans="2:5">
      <c r="B3676"/>
      <c r="C3676"/>
      <c r="E3676"/>
    </row>
    <row r="3677" spans="2:5">
      <c r="B3677"/>
      <c r="C3677"/>
      <c r="E3677"/>
    </row>
    <row r="3678" spans="2:5">
      <c r="B3678"/>
      <c r="C3678"/>
      <c r="E3678"/>
    </row>
    <row r="3679" spans="2:5">
      <c r="B3679"/>
      <c r="C3679"/>
      <c r="E3679"/>
    </row>
    <row r="3680" spans="2:5">
      <c r="B3680"/>
      <c r="C3680"/>
      <c r="E3680"/>
    </row>
    <row r="3681" spans="2:5">
      <c r="B3681"/>
      <c r="C3681"/>
      <c r="E3681"/>
    </row>
    <row r="3682" spans="2:5">
      <c r="B3682"/>
      <c r="C3682"/>
      <c r="E3682"/>
    </row>
    <row r="3683" spans="2:5">
      <c r="B3683"/>
      <c r="C3683"/>
      <c r="E3683"/>
    </row>
    <row r="3684" spans="2:5">
      <c r="B3684"/>
      <c r="C3684"/>
      <c r="E3684"/>
    </row>
    <row r="3685" spans="2:5">
      <c r="B3685"/>
      <c r="C3685"/>
      <c r="E3685"/>
    </row>
    <row r="3686" spans="2:5">
      <c r="B3686"/>
      <c r="C3686"/>
      <c r="E3686"/>
    </row>
    <row r="3687" spans="2:5">
      <c r="B3687"/>
      <c r="C3687"/>
      <c r="E3687"/>
    </row>
    <row r="3688" spans="2:5">
      <c r="B3688"/>
      <c r="C3688"/>
      <c r="E3688"/>
    </row>
    <row r="3689" spans="2:5">
      <c r="B3689"/>
      <c r="C3689"/>
      <c r="E3689"/>
    </row>
    <row r="3690" spans="2:5">
      <c r="B3690"/>
      <c r="C3690"/>
      <c r="E3690"/>
    </row>
    <row r="3691" spans="2:5">
      <c r="B3691"/>
      <c r="C3691"/>
      <c r="E3691"/>
    </row>
    <row r="3692" spans="2:5">
      <c r="B3692"/>
      <c r="C3692"/>
      <c r="E3692"/>
    </row>
    <row r="3693" spans="2:5">
      <c r="B3693"/>
      <c r="C3693"/>
      <c r="E3693"/>
    </row>
    <row r="3694" spans="2:5">
      <c r="B3694"/>
      <c r="C3694"/>
      <c r="E3694"/>
    </row>
    <row r="3695" spans="2:5">
      <c r="B3695"/>
      <c r="C3695"/>
      <c r="E3695"/>
    </row>
    <row r="3696" spans="2:5">
      <c r="B3696"/>
      <c r="C3696"/>
      <c r="E3696"/>
    </row>
    <row r="3697" spans="2:5">
      <c r="B3697"/>
      <c r="C3697"/>
      <c r="E3697"/>
    </row>
    <row r="3698" spans="2:5">
      <c r="B3698"/>
      <c r="C3698"/>
      <c r="E3698"/>
    </row>
    <row r="3699" spans="2:5">
      <c r="B3699"/>
      <c r="C3699"/>
      <c r="E3699"/>
    </row>
    <row r="3700" spans="2:5">
      <c r="B3700"/>
      <c r="C3700"/>
      <c r="E3700"/>
    </row>
    <row r="3701" spans="2:5">
      <c r="B3701"/>
      <c r="C3701"/>
      <c r="E3701"/>
    </row>
    <row r="3702" spans="2:5">
      <c r="B3702"/>
      <c r="C3702"/>
      <c r="E3702"/>
    </row>
    <row r="3703" spans="2:5">
      <c r="B3703"/>
      <c r="C3703"/>
      <c r="E3703"/>
    </row>
    <row r="3704" spans="2:5">
      <c r="B3704"/>
      <c r="C3704"/>
      <c r="E3704"/>
    </row>
    <row r="3705" spans="2:5">
      <c r="B3705"/>
      <c r="C3705"/>
      <c r="E3705"/>
    </row>
    <row r="3706" spans="2:5">
      <c r="B3706"/>
      <c r="C3706"/>
      <c r="E3706"/>
    </row>
    <row r="3707" spans="2:5">
      <c r="B3707"/>
      <c r="C3707"/>
      <c r="E3707"/>
    </row>
    <row r="3708" spans="2:5">
      <c r="B3708"/>
      <c r="C3708"/>
      <c r="E3708"/>
    </row>
    <row r="3709" spans="2:5">
      <c r="B3709"/>
      <c r="C3709"/>
      <c r="E3709"/>
    </row>
    <row r="3710" spans="2:5">
      <c r="B3710"/>
      <c r="C3710"/>
      <c r="E3710"/>
    </row>
    <row r="3711" spans="2:5">
      <c r="B3711"/>
      <c r="C3711"/>
      <c r="E3711"/>
    </row>
    <row r="3712" spans="2:5">
      <c r="B3712"/>
      <c r="C3712"/>
      <c r="E3712"/>
    </row>
    <row r="3713" spans="2:5">
      <c r="B3713"/>
      <c r="C3713"/>
      <c r="E3713"/>
    </row>
    <row r="3714" spans="2:5">
      <c r="B3714"/>
      <c r="C3714"/>
      <c r="E3714"/>
    </row>
    <row r="3715" spans="2:5">
      <c r="B3715"/>
      <c r="C3715"/>
      <c r="E3715"/>
    </row>
    <row r="3716" spans="2:5">
      <c r="B3716"/>
      <c r="C3716"/>
      <c r="E3716"/>
    </row>
    <row r="3717" spans="2:5">
      <c r="B3717"/>
      <c r="C3717"/>
      <c r="E3717"/>
    </row>
    <row r="3718" spans="2:5">
      <c r="B3718"/>
      <c r="C3718"/>
      <c r="E3718"/>
    </row>
    <row r="3719" spans="2:5">
      <c r="B3719"/>
      <c r="C3719"/>
      <c r="E3719"/>
    </row>
    <row r="3720" spans="2:5">
      <c r="B3720"/>
      <c r="C3720"/>
      <c r="E3720"/>
    </row>
    <row r="3721" spans="2:5">
      <c r="B3721"/>
      <c r="C3721"/>
      <c r="E3721"/>
    </row>
    <row r="3722" spans="2:5">
      <c r="B3722"/>
      <c r="C3722"/>
      <c r="E3722"/>
    </row>
    <row r="3723" spans="2:5">
      <c r="B3723"/>
      <c r="C3723"/>
      <c r="E3723"/>
    </row>
    <row r="3724" spans="2:5">
      <c r="B3724"/>
      <c r="C3724"/>
      <c r="E3724"/>
    </row>
    <row r="3725" spans="2:5">
      <c r="B3725"/>
      <c r="C3725"/>
      <c r="E3725"/>
    </row>
    <row r="3726" spans="2:5">
      <c r="B3726"/>
      <c r="C3726"/>
      <c r="E3726"/>
    </row>
    <row r="3727" spans="2:5">
      <c r="B3727"/>
      <c r="C3727"/>
      <c r="E3727"/>
    </row>
    <row r="3728" spans="2:5">
      <c r="B3728"/>
      <c r="C3728"/>
      <c r="E3728"/>
    </row>
    <row r="3729" spans="2:5">
      <c r="B3729"/>
      <c r="C3729"/>
      <c r="E3729"/>
    </row>
    <row r="3730" spans="2:5">
      <c r="B3730"/>
      <c r="C3730"/>
      <c r="E3730"/>
    </row>
    <row r="3731" spans="2:5">
      <c r="B3731"/>
      <c r="C3731"/>
      <c r="E3731"/>
    </row>
    <row r="3732" spans="2:5">
      <c r="B3732"/>
      <c r="C3732"/>
      <c r="E3732"/>
    </row>
    <row r="3733" spans="2:5">
      <c r="B3733"/>
      <c r="C3733"/>
      <c r="E3733"/>
    </row>
    <row r="3734" spans="2:5">
      <c r="B3734"/>
      <c r="C3734"/>
      <c r="E3734"/>
    </row>
    <row r="3735" spans="2:5">
      <c r="B3735"/>
      <c r="C3735"/>
      <c r="E3735"/>
    </row>
    <row r="3736" spans="2:5">
      <c r="B3736"/>
      <c r="C3736"/>
      <c r="E3736"/>
    </row>
    <row r="3737" spans="2:5">
      <c r="B3737"/>
      <c r="C3737"/>
      <c r="E3737"/>
    </row>
    <row r="3738" spans="2:5">
      <c r="B3738"/>
      <c r="C3738"/>
      <c r="E3738"/>
    </row>
    <row r="3739" spans="2:5">
      <c r="B3739"/>
      <c r="C3739"/>
      <c r="E3739"/>
    </row>
    <row r="3740" spans="2:5">
      <c r="B3740"/>
      <c r="C3740"/>
      <c r="E3740"/>
    </row>
    <row r="3741" spans="2:5">
      <c r="B3741"/>
      <c r="C3741"/>
      <c r="E3741"/>
    </row>
    <row r="3742" spans="2:5">
      <c r="B3742"/>
      <c r="C3742"/>
      <c r="E3742"/>
    </row>
    <row r="3743" spans="2:5">
      <c r="B3743"/>
      <c r="C3743"/>
      <c r="E3743"/>
    </row>
    <row r="3744" spans="2:5">
      <c r="B3744"/>
      <c r="C3744"/>
      <c r="E3744"/>
    </row>
    <row r="3745" spans="2:5">
      <c r="B3745"/>
      <c r="C3745"/>
      <c r="E3745"/>
    </row>
    <row r="3746" spans="2:5">
      <c r="B3746"/>
      <c r="C3746"/>
      <c r="E3746"/>
    </row>
    <row r="3747" spans="2:5">
      <c r="B3747"/>
      <c r="C3747"/>
      <c r="E3747"/>
    </row>
    <row r="3748" spans="2:5">
      <c r="B3748"/>
      <c r="C3748"/>
      <c r="E3748"/>
    </row>
    <row r="3749" spans="2:5">
      <c r="B3749"/>
      <c r="C3749"/>
      <c r="E3749"/>
    </row>
    <row r="3750" spans="2:5">
      <c r="B3750"/>
      <c r="C3750"/>
      <c r="E3750"/>
    </row>
    <row r="3751" spans="2:5">
      <c r="B3751"/>
      <c r="C3751"/>
      <c r="E3751"/>
    </row>
    <row r="3752" spans="2:5">
      <c r="B3752"/>
      <c r="C3752"/>
      <c r="E3752"/>
    </row>
    <row r="3753" spans="2:5">
      <c r="B3753"/>
      <c r="C3753"/>
      <c r="E3753"/>
    </row>
    <row r="3754" spans="2:5">
      <c r="B3754"/>
      <c r="C3754"/>
      <c r="E3754"/>
    </row>
    <row r="3755" spans="2:5">
      <c r="B3755"/>
      <c r="C3755"/>
      <c r="E3755"/>
    </row>
    <row r="3756" spans="2:5">
      <c r="B3756"/>
      <c r="C3756"/>
      <c r="E3756"/>
    </row>
    <row r="3757" spans="2:5">
      <c r="B3757"/>
      <c r="C3757"/>
      <c r="E3757"/>
    </row>
    <row r="3758" spans="2:5">
      <c r="B3758"/>
      <c r="C3758"/>
      <c r="E3758"/>
    </row>
    <row r="3759" spans="2:5">
      <c r="B3759"/>
      <c r="C3759"/>
      <c r="E3759"/>
    </row>
    <row r="3760" spans="2:5">
      <c r="B3760"/>
      <c r="C3760"/>
      <c r="E3760"/>
    </row>
    <row r="3761" spans="2:5">
      <c r="B3761"/>
      <c r="C3761"/>
      <c r="E3761"/>
    </row>
    <row r="3762" spans="2:5">
      <c r="B3762"/>
      <c r="C3762"/>
      <c r="E3762"/>
    </row>
    <row r="3763" spans="2:5">
      <c r="B3763"/>
      <c r="C3763"/>
      <c r="E3763"/>
    </row>
    <row r="3764" spans="2:5">
      <c r="B3764"/>
      <c r="C3764"/>
      <c r="E3764"/>
    </row>
    <row r="3765" spans="2:5">
      <c r="B3765"/>
      <c r="C3765"/>
      <c r="E3765"/>
    </row>
    <row r="3766" spans="2:5">
      <c r="B3766"/>
      <c r="C3766"/>
      <c r="E3766"/>
    </row>
    <row r="3767" spans="2:5">
      <c r="B3767"/>
      <c r="C3767"/>
      <c r="E3767"/>
    </row>
    <row r="3768" spans="2:5">
      <c r="B3768"/>
      <c r="C3768"/>
      <c r="E3768"/>
    </row>
    <row r="3769" spans="2:5">
      <c r="B3769"/>
      <c r="C3769"/>
      <c r="E3769"/>
    </row>
    <row r="3770" spans="2:5">
      <c r="B3770"/>
      <c r="C3770"/>
      <c r="E3770"/>
    </row>
    <row r="3771" spans="2:5">
      <c r="B3771"/>
      <c r="C3771"/>
      <c r="E3771"/>
    </row>
    <row r="3772" spans="2:5">
      <c r="B3772"/>
      <c r="C3772"/>
      <c r="E3772"/>
    </row>
    <row r="3773" spans="2:5">
      <c r="B3773"/>
      <c r="C3773"/>
      <c r="E3773"/>
    </row>
    <row r="3774" spans="2:5">
      <c r="B3774"/>
      <c r="C3774"/>
      <c r="E3774"/>
    </row>
    <row r="3775" spans="2:5">
      <c r="B3775"/>
      <c r="C3775"/>
      <c r="E3775"/>
    </row>
    <row r="3776" spans="2:5">
      <c r="B3776"/>
      <c r="C3776"/>
      <c r="E3776"/>
    </row>
    <row r="3777" spans="2:5">
      <c r="B3777"/>
      <c r="C3777"/>
      <c r="E3777"/>
    </row>
    <row r="3778" spans="2:5">
      <c r="B3778"/>
      <c r="C3778"/>
      <c r="E3778"/>
    </row>
    <row r="3779" spans="2:5">
      <c r="B3779"/>
      <c r="C3779"/>
      <c r="E3779"/>
    </row>
    <row r="3780" spans="2:5">
      <c r="B3780"/>
      <c r="C3780"/>
      <c r="E3780"/>
    </row>
    <row r="3781" spans="2:5">
      <c r="B3781"/>
      <c r="C3781"/>
      <c r="E3781"/>
    </row>
    <row r="3782" spans="2:5">
      <c r="B3782"/>
      <c r="C3782"/>
      <c r="E3782"/>
    </row>
    <row r="3783" spans="2:5">
      <c r="B3783"/>
      <c r="C3783"/>
      <c r="E3783"/>
    </row>
    <row r="3784" spans="2:5">
      <c r="B3784"/>
      <c r="C3784"/>
      <c r="E3784"/>
    </row>
    <row r="3785" spans="2:5">
      <c r="B3785"/>
      <c r="C3785"/>
      <c r="E3785"/>
    </row>
    <row r="3786" spans="2:5">
      <c r="B3786"/>
      <c r="C3786"/>
      <c r="E3786"/>
    </row>
    <row r="3787" spans="2:5">
      <c r="B3787"/>
      <c r="C3787"/>
      <c r="E3787"/>
    </row>
    <row r="3788" spans="2:5">
      <c r="B3788"/>
      <c r="C3788"/>
      <c r="E3788"/>
    </row>
    <row r="3789" spans="2:5">
      <c r="B3789"/>
      <c r="C3789"/>
      <c r="E3789"/>
    </row>
    <row r="3790" spans="2:5">
      <c r="B3790"/>
      <c r="C3790"/>
      <c r="E3790"/>
    </row>
    <row r="3791" spans="2:5">
      <c r="B3791"/>
      <c r="C3791"/>
      <c r="E3791"/>
    </row>
    <row r="3792" spans="2:5">
      <c r="B3792"/>
      <c r="C3792"/>
      <c r="E3792"/>
    </row>
    <row r="3793" spans="2:5">
      <c r="B3793"/>
      <c r="C3793"/>
      <c r="E3793"/>
    </row>
    <row r="3794" spans="2:5">
      <c r="B3794"/>
      <c r="C3794"/>
      <c r="E3794"/>
    </row>
    <row r="3795" spans="2:5">
      <c r="B3795"/>
      <c r="C3795"/>
      <c r="E3795"/>
    </row>
    <row r="3796" spans="2:5">
      <c r="B3796"/>
      <c r="C3796"/>
      <c r="E3796"/>
    </row>
    <row r="3797" spans="2:5">
      <c r="B3797"/>
      <c r="C3797"/>
      <c r="E3797"/>
    </row>
    <row r="3798" spans="2:5">
      <c r="B3798"/>
      <c r="C3798"/>
      <c r="E3798"/>
    </row>
    <row r="3799" spans="2:5">
      <c r="B3799"/>
      <c r="C3799"/>
      <c r="E3799"/>
    </row>
    <row r="3800" spans="2:5">
      <c r="B3800"/>
      <c r="C3800"/>
      <c r="E3800"/>
    </row>
    <row r="3801" spans="2:5">
      <c r="B3801"/>
      <c r="C3801"/>
      <c r="E3801"/>
    </row>
    <row r="3802" spans="2:5">
      <c r="B3802"/>
      <c r="C3802"/>
      <c r="E3802"/>
    </row>
    <row r="3803" spans="2:5">
      <c r="B3803"/>
      <c r="C3803"/>
      <c r="E3803"/>
    </row>
    <row r="3804" spans="2:5">
      <c r="B3804"/>
      <c r="C3804"/>
      <c r="E3804"/>
    </row>
    <row r="3805" spans="2:5">
      <c r="B3805"/>
      <c r="C3805"/>
      <c r="E3805"/>
    </row>
    <row r="3806" spans="2:5">
      <c r="B3806"/>
      <c r="C3806"/>
      <c r="E3806"/>
    </row>
    <row r="3807" spans="2:5">
      <c r="B3807"/>
      <c r="C3807"/>
      <c r="E3807"/>
    </row>
    <row r="3808" spans="2:5">
      <c r="B3808"/>
      <c r="C3808"/>
      <c r="E3808"/>
    </row>
    <row r="3809" spans="2:5">
      <c r="B3809"/>
      <c r="C3809"/>
      <c r="E3809"/>
    </row>
    <row r="3810" spans="2:5">
      <c r="B3810"/>
      <c r="C3810"/>
      <c r="E3810"/>
    </row>
    <row r="3811" spans="2:5">
      <c r="B3811"/>
      <c r="C3811"/>
      <c r="E3811"/>
    </row>
    <row r="3812" spans="2:5">
      <c r="B3812"/>
      <c r="C3812"/>
      <c r="E3812"/>
    </row>
    <row r="3813" spans="2:5">
      <c r="B3813"/>
      <c r="C3813"/>
      <c r="E3813"/>
    </row>
    <row r="3814" spans="2:5">
      <c r="B3814"/>
      <c r="C3814"/>
      <c r="E3814"/>
    </row>
    <row r="3815" spans="2:5">
      <c r="B3815"/>
      <c r="C3815"/>
      <c r="E3815"/>
    </row>
    <row r="3816" spans="2:5">
      <c r="B3816"/>
      <c r="C3816"/>
      <c r="E3816"/>
    </row>
    <row r="3817" spans="2:5">
      <c r="B3817"/>
      <c r="C3817"/>
      <c r="E3817"/>
    </row>
    <row r="3818" spans="2:5">
      <c r="B3818"/>
      <c r="C3818"/>
      <c r="E3818"/>
    </row>
    <row r="3819" spans="2:5">
      <c r="B3819"/>
      <c r="C3819"/>
      <c r="E3819"/>
    </row>
    <row r="3820" spans="2:5">
      <c r="B3820"/>
      <c r="C3820"/>
      <c r="E3820"/>
    </row>
    <row r="3821" spans="2:5">
      <c r="B3821"/>
      <c r="C3821"/>
      <c r="E3821"/>
    </row>
    <row r="3822" spans="2:5">
      <c r="B3822"/>
      <c r="C3822"/>
      <c r="E3822"/>
    </row>
    <row r="3823" spans="2:5">
      <c r="B3823"/>
      <c r="C3823"/>
      <c r="E3823"/>
    </row>
    <row r="3824" spans="2:5">
      <c r="B3824"/>
      <c r="C3824"/>
      <c r="E3824"/>
    </row>
    <row r="3825" spans="2:5">
      <c r="B3825"/>
      <c r="C3825"/>
      <c r="E3825"/>
    </row>
    <row r="3826" spans="2:5">
      <c r="B3826"/>
      <c r="C3826"/>
      <c r="E3826"/>
    </row>
    <row r="3827" spans="2:5">
      <c r="B3827"/>
      <c r="C3827"/>
      <c r="E3827"/>
    </row>
    <row r="3828" spans="2:5">
      <c r="B3828"/>
      <c r="C3828"/>
      <c r="E3828"/>
    </row>
    <row r="3829" spans="2:5">
      <c r="B3829"/>
      <c r="C3829"/>
      <c r="E3829"/>
    </row>
    <row r="3830" spans="2:5">
      <c r="B3830"/>
      <c r="C3830"/>
      <c r="E3830"/>
    </row>
    <row r="3831" spans="2:5">
      <c r="B3831"/>
      <c r="C3831"/>
      <c r="E3831"/>
    </row>
    <row r="3832" spans="2:5">
      <c r="B3832"/>
      <c r="C3832"/>
      <c r="E3832"/>
    </row>
    <row r="3833" spans="2:5">
      <c r="B3833"/>
      <c r="C3833"/>
      <c r="E3833"/>
    </row>
    <row r="3834" spans="2:5">
      <c r="B3834"/>
      <c r="C3834"/>
      <c r="E3834"/>
    </row>
    <row r="3835" spans="2:5">
      <c r="B3835"/>
      <c r="C3835"/>
      <c r="E3835"/>
    </row>
    <row r="3836" spans="2:5">
      <c r="B3836"/>
      <c r="C3836"/>
      <c r="E3836"/>
    </row>
    <row r="3837" spans="2:5">
      <c r="B3837"/>
      <c r="C3837"/>
      <c r="E3837"/>
    </row>
    <row r="3838" spans="2:5">
      <c r="B3838"/>
      <c r="C3838"/>
      <c r="E3838"/>
    </row>
    <row r="3839" spans="2:5">
      <c r="B3839"/>
      <c r="C3839"/>
      <c r="E3839"/>
    </row>
    <row r="3840" spans="2:5">
      <c r="B3840"/>
      <c r="C3840"/>
      <c r="E3840"/>
    </row>
    <row r="3841" spans="2:5">
      <c r="B3841"/>
      <c r="C3841"/>
      <c r="E3841"/>
    </row>
    <row r="3842" spans="2:5">
      <c r="B3842"/>
      <c r="C3842"/>
      <c r="E3842"/>
    </row>
    <row r="3843" spans="2:5">
      <c r="B3843"/>
      <c r="C3843"/>
      <c r="E3843"/>
    </row>
    <row r="3844" spans="2:5">
      <c r="B3844"/>
      <c r="C3844"/>
      <c r="E3844"/>
    </row>
    <row r="3845" spans="2:5">
      <c r="B3845"/>
      <c r="C3845"/>
      <c r="E3845"/>
    </row>
    <row r="3846" spans="2:5">
      <c r="B3846"/>
      <c r="C3846"/>
      <c r="E3846"/>
    </row>
    <row r="3847" spans="2:5">
      <c r="B3847"/>
      <c r="C3847"/>
      <c r="E3847"/>
    </row>
    <row r="3848" spans="2:5">
      <c r="B3848"/>
      <c r="C3848"/>
      <c r="E3848"/>
    </row>
    <row r="3849" spans="2:5">
      <c r="B3849"/>
      <c r="C3849"/>
      <c r="E3849"/>
    </row>
    <row r="3850" spans="2:5">
      <c r="B3850"/>
      <c r="C3850"/>
      <c r="E3850"/>
    </row>
    <row r="3851" spans="2:5">
      <c r="B3851"/>
      <c r="C3851"/>
      <c r="E3851"/>
    </row>
    <row r="3852" spans="2:5">
      <c r="B3852"/>
      <c r="C3852"/>
      <c r="E3852"/>
    </row>
    <row r="3853" spans="2:5">
      <c r="B3853"/>
      <c r="C3853"/>
      <c r="E3853"/>
    </row>
    <row r="3854" spans="2:5">
      <c r="B3854"/>
      <c r="C3854"/>
      <c r="E3854"/>
    </row>
    <row r="3855" spans="2:5">
      <c r="B3855"/>
      <c r="C3855"/>
      <c r="E3855"/>
    </row>
    <row r="3856" spans="2:5">
      <c r="B3856"/>
      <c r="C3856"/>
      <c r="E3856"/>
    </row>
    <row r="3857" spans="2:5">
      <c r="B3857"/>
      <c r="C3857"/>
      <c r="E3857"/>
    </row>
    <row r="3858" spans="2:5">
      <c r="B3858"/>
      <c r="C3858"/>
      <c r="E3858"/>
    </row>
    <row r="3859" spans="2:5">
      <c r="B3859"/>
      <c r="C3859"/>
      <c r="E3859"/>
    </row>
    <row r="3860" spans="2:5">
      <c r="B3860"/>
      <c r="C3860"/>
      <c r="E3860"/>
    </row>
    <row r="3861" spans="2:5">
      <c r="B3861"/>
      <c r="C3861"/>
      <c r="E3861"/>
    </row>
    <row r="3862" spans="2:5">
      <c r="B3862"/>
      <c r="C3862"/>
      <c r="E3862"/>
    </row>
    <row r="3863" spans="2:5">
      <c r="B3863"/>
      <c r="C3863"/>
      <c r="E3863"/>
    </row>
    <row r="3864" spans="2:5">
      <c r="B3864"/>
      <c r="C3864"/>
      <c r="E3864"/>
    </row>
    <row r="3865" spans="2:5">
      <c r="B3865"/>
      <c r="C3865"/>
      <c r="E3865"/>
    </row>
    <row r="3866" spans="2:5">
      <c r="B3866"/>
      <c r="C3866"/>
      <c r="E3866"/>
    </row>
    <row r="3867" spans="2:5">
      <c r="B3867"/>
      <c r="C3867"/>
      <c r="E3867"/>
    </row>
    <row r="3868" spans="2:5">
      <c r="B3868"/>
      <c r="C3868"/>
      <c r="E3868"/>
    </row>
    <row r="3869" spans="2:5">
      <c r="B3869"/>
      <c r="C3869"/>
      <c r="E3869"/>
    </row>
    <row r="3870" spans="2:5">
      <c r="B3870"/>
      <c r="C3870"/>
      <c r="E3870"/>
    </row>
    <row r="3871" spans="2:5">
      <c r="B3871"/>
      <c r="C3871"/>
      <c r="E3871"/>
    </row>
    <row r="3872" spans="2:5">
      <c r="B3872"/>
      <c r="C3872"/>
      <c r="E3872"/>
    </row>
    <row r="3873" spans="2:5">
      <c r="B3873"/>
      <c r="C3873"/>
      <c r="E3873"/>
    </row>
    <row r="3874" spans="2:5">
      <c r="B3874"/>
      <c r="C3874"/>
      <c r="E3874"/>
    </row>
    <row r="3875" spans="2:5">
      <c r="B3875"/>
      <c r="C3875"/>
      <c r="E3875"/>
    </row>
    <row r="3876" spans="2:5">
      <c r="B3876"/>
      <c r="C3876"/>
      <c r="E3876"/>
    </row>
    <row r="3877" spans="2:5">
      <c r="B3877"/>
      <c r="C3877"/>
      <c r="E3877"/>
    </row>
    <row r="3878" spans="2:5">
      <c r="B3878"/>
      <c r="C3878"/>
      <c r="E3878"/>
    </row>
    <row r="3879" spans="2:5">
      <c r="B3879"/>
      <c r="C3879"/>
      <c r="E3879"/>
    </row>
    <row r="3880" spans="2:5">
      <c r="B3880"/>
      <c r="C3880"/>
      <c r="E3880"/>
    </row>
    <row r="3881" spans="2:5">
      <c r="B3881"/>
      <c r="C3881"/>
      <c r="E3881"/>
    </row>
    <row r="3882" spans="2:5">
      <c r="B3882"/>
      <c r="C3882"/>
      <c r="E3882"/>
    </row>
    <row r="3883" spans="2:5">
      <c r="B3883"/>
      <c r="C3883"/>
      <c r="E3883"/>
    </row>
    <row r="3884" spans="2:5">
      <c r="B3884"/>
      <c r="C3884"/>
      <c r="E3884"/>
    </row>
    <row r="3885" spans="2:5">
      <c r="B3885"/>
      <c r="C3885"/>
      <c r="E3885"/>
    </row>
    <row r="3886" spans="2:5">
      <c r="B3886"/>
      <c r="C3886"/>
      <c r="E3886"/>
    </row>
    <row r="3887" spans="2:5">
      <c r="B3887"/>
      <c r="C3887"/>
      <c r="E3887"/>
    </row>
    <row r="3888" spans="2:5">
      <c r="B3888"/>
      <c r="C3888"/>
      <c r="E3888"/>
    </row>
    <row r="3889" spans="2:5">
      <c r="B3889"/>
      <c r="C3889"/>
      <c r="E3889"/>
    </row>
    <row r="3890" spans="2:5">
      <c r="B3890"/>
      <c r="C3890"/>
      <c r="E3890"/>
    </row>
    <row r="3891" spans="2:5">
      <c r="B3891"/>
      <c r="C3891"/>
      <c r="E3891"/>
    </row>
    <row r="3892" spans="2:5">
      <c r="B3892"/>
      <c r="C3892"/>
      <c r="E3892"/>
    </row>
    <row r="3893" spans="2:5">
      <c r="B3893"/>
      <c r="C3893"/>
      <c r="E3893"/>
    </row>
    <row r="3894" spans="2:5">
      <c r="B3894"/>
      <c r="C3894"/>
      <c r="E3894"/>
    </row>
    <row r="3895" spans="2:5">
      <c r="B3895"/>
      <c r="C3895"/>
      <c r="E3895"/>
    </row>
    <row r="3896" spans="2:5">
      <c r="B3896"/>
      <c r="C3896"/>
      <c r="E3896"/>
    </row>
    <row r="3897" spans="2:5">
      <c r="B3897"/>
      <c r="C3897"/>
      <c r="E3897"/>
    </row>
    <row r="3898" spans="2:5">
      <c r="B3898"/>
      <c r="C3898"/>
      <c r="E3898"/>
    </row>
    <row r="3899" spans="2:5">
      <c r="B3899"/>
      <c r="C3899"/>
      <c r="E3899"/>
    </row>
    <row r="3900" spans="2:5">
      <c r="B3900"/>
      <c r="C3900"/>
      <c r="E3900"/>
    </row>
    <row r="3901" spans="2:5">
      <c r="B3901"/>
      <c r="C3901"/>
      <c r="E3901"/>
    </row>
    <row r="3902" spans="2:5">
      <c r="B3902"/>
      <c r="C3902"/>
      <c r="E3902"/>
    </row>
    <row r="3903" spans="2:5">
      <c r="B3903"/>
      <c r="C3903"/>
      <c r="E3903"/>
    </row>
    <row r="3904" spans="2:5">
      <c r="B3904"/>
      <c r="C3904"/>
      <c r="E3904"/>
    </row>
    <row r="3905" spans="2:5">
      <c r="B3905"/>
      <c r="C3905"/>
      <c r="E3905"/>
    </row>
    <row r="3906" spans="2:5">
      <c r="B3906"/>
      <c r="C3906"/>
      <c r="E3906"/>
    </row>
    <row r="3907" spans="2:5">
      <c r="B3907"/>
      <c r="C3907"/>
      <c r="E3907"/>
    </row>
    <row r="3908" spans="2:5">
      <c r="B3908"/>
      <c r="C3908"/>
      <c r="E3908"/>
    </row>
    <row r="3909" spans="2:5">
      <c r="B3909"/>
      <c r="C3909"/>
      <c r="E3909"/>
    </row>
    <row r="3910" spans="2:5">
      <c r="B3910"/>
      <c r="C3910"/>
      <c r="E3910"/>
    </row>
    <row r="3911" spans="2:5">
      <c r="B3911"/>
      <c r="C3911"/>
      <c r="E3911"/>
    </row>
    <row r="3912" spans="2:5">
      <c r="B3912"/>
      <c r="C3912"/>
      <c r="E3912"/>
    </row>
    <row r="3913" spans="2:5">
      <c r="B3913"/>
      <c r="C3913"/>
      <c r="E3913"/>
    </row>
    <row r="3914" spans="2:5">
      <c r="B3914"/>
      <c r="C3914"/>
      <c r="E3914"/>
    </row>
    <row r="3915" spans="2:5">
      <c r="B3915"/>
      <c r="C3915"/>
      <c r="E3915"/>
    </row>
    <row r="3916" spans="2:5">
      <c r="B3916"/>
      <c r="C3916"/>
      <c r="E3916"/>
    </row>
    <row r="3917" spans="2:5">
      <c r="B3917"/>
      <c r="C3917"/>
      <c r="E3917"/>
    </row>
    <row r="3918" spans="2:5">
      <c r="B3918"/>
      <c r="C3918"/>
      <c r="E3918"/>
    </row>
    <row r="3919" spans="2:5">
      <c r="B3919"/>
      <c r="C3919"/>
      <c r="E3919"/>
    </row>
    <row r="3920" spans="2:5">
      <c r="B3920"/>
      <c r="C3920"/>
      <c r="E3920"/>
    </row>
    <row r="3921" spans="2:5">
      <c r="B3921"/>
      <c r="C3921"/>
      <c r="E3921"/>
    </row>
    <row r="3922" spans="2:5">
      <c r="B3922"/>
      <c r="C3922"/>
      <c r="E3922"/>
    </row>
    <row r="3923" spans="2:5">
      <c r="B3923"/>
      <c r="C3923"/>
      <c r="E3923"/>
    </row>
    <row r="3924" spans="2:5">
      <c r="B3924"/>
      <c r="C3924"/>
      <c r="E3924"/>
    </row>
    <row r="3925" spans="2:5">
      <c r="B3925"/>
      <c r="C3925"/>
      <c r="E3925"/>
    </row>
    <row r="3926" spans="2:5">
      <c r="B3926"/>
      <c r="C3926"/>
      <c r="E3926"/>
    </row>
    <row r="3927" spans="2:5">
      <c r="B3927"/>
      <c r="C3927"/>
      <c r="E3927"/>
    </row>
    <row r="3928" spans="2:5">
      <c r="B3928"/>
      <c r="C3928"/>
      <c r="E3928"/>
    </row>
    <row r="3929" spans="2:5">
      <c r="B3929"/>
      <c r="C3929"/>
      <c r="E3929"/>
    </row>
    <row r="3930" spans="2:5">
      <c r="B3930"/>
      <c r="C3930"/>
      <c r="E3930"/>
    </row>
    <row r="3931" spans="2:5">
      <c r="B3931"/>
      <c r="C3931"/>
      <c r="E3931"/>
    </row>
    <row r="3932" spans="2:5">
      <c r="B3932"/>
      <c r="C3932"/>
      <c r="E3932"/>
    </row>
    <row r="3933" spans="2:5">
      <c r="B3933"/>
      <c r="C3933"/>
      <c r="E3933"/>
    </row>
    <row r="3934" spans="2:5">
      <c r="B3934"/>
      <c r="C3934"/>
      <c r="E3934"/>
    </row>
    <row r="3935" spans="2:5">
      <c r="B3935"/>
      <c r="C3935"/>
      <c r="E3935"/>
    </row>
    <row r="3936" spans="2:5">
      <c r="B3936"/>
      <c r="C3936"/>
      <c r="E3936"/>
    </row>
    <row r="3937" spans="2:5">
      <c r="B3937"/>
      <c r="C3937"/>
      <c r="E3937"/>
    </row>
    <row r="3938" spans="2:5">
      <c r="B3938"/>
      <c r="C3938"/>
      <c r="E3938"/>
    </row>
    <row r="3939" spans="2:5">
      <c r="B3939"/>
      <c r="C3939"/>
      <c r="E3939"/>
    </row>
    <row r="3940" spans="2:5">
      <c r="B3940"/>
      <c r="C3940"/>
      <c r="E3940"/>
    </row>
    <row r="3941" spans="2:5">
      <c r="B3941"/>
      <c r="C3941"/>
      <c r="E3941"/>
    </row>
    <row r="3942" spans="2:5">
      <c r="B3942"/>
      <c r="C3942"/>
      <c r="E3942"/>
    </row>
    <row r="3943" spans="2:5">
      <c r="B3943"/>
      <c r="C3943"/>
      <c r="E3943"/>
    </row>
    <row r="3944" spans="2:5">
      <c r="B3944"/>
      <c r="C3944"/>
      <c r="E3944"/>
    </row>
    <row r="3945" spans="2:5">
      <c r="B3945"/>
      <c r="C3945"/>
      <c r="E3945"/>
    </row>
    <row r="3946" spans="2:5">
      <c r="B3946"/>
      <c r="C3946"/>
      <c r="E3946"/>
    </row>
    <row r="3947" spans="2:5">
      <c r="B3947"/>
      <c r="C3947"/>
      <c r="E3947"/>
    </row>
    <row r="3948" spans="2:5">
      <c r="B3948"/>
      <c r="C3948"/>
      <c r="E3948"/>
    </row>
    <row r="3949" spans="2:5">
      <c r="B3949"/>
      <c r="C3949"/>
      <c r="E3949"/>
    </row>
    <row r="3950" spans="2:5">
      <c r="B3950"/>
      <c r="C3950"/>
      <c r="E3950"/>
    </row>
    <row r="3951" spans="2:5">
      <c r="B3951"/>
      <c r="C3951"/>
      <c r="E3951"/>
    </row>
    <row r="3952" spans="2:5">
      <c r="B3952"/>
      <c r="C3952"/>
      <c r="E3952"/>
    </row>
    <row r="3953" spans="2:5">
      <c r="B3953"/>
      <c r="C3953"/>
      <c r="E3953"/>
    </row>
    <row r="3954" spans="2:5">
      <c r="B3954"/>
      <c r="C3954"/>
      <c r="E3954"/>
    </row>
    <row r="3955" spans="2:5">
      <c r="B3955"/>
      <c r="C3955"/>
      <c r="E3955"/>
    </row>
    <row r="3956" spans="2:5">
      <c r="B3956"/>
      <c r="C3956"/>
      <c r="E3956"/>
    </row>
    <row r="3957" spans="2:5">
      <c r="B3957"/>
      <c r="C3957"/>
      <c r="E3957"/>
    </row>
    <row r="3958" spans="2:5">
      <c r="B3958"/>
      <c r="C3958"/>
      <c r="E3958"/>
    </row>
    <row r="3959" spans="2:5">
      <c r="B3959"/>
      <c r="C3959"/>
      <c r="E3959"/>
    </row>
    <row r="3960" spans="2:5">
      <c r="B3960"/>
      <c r="C3960"/>
      <c r="E3960"/>
    </row>
    <row r="3961" spans="2:5">
      <c r="B3961"/>
      <c r="C3961"/>
      <c r="E3961"/>
    </row>
    <row r="3962" spans="2:5">
      <c r="B3962"/>
      <c r="C3962"/>
      <c r="E3962"/>
    </row>
    <row r="3963" spans="2:5">
      <c r="B3963"/>
      <c r="C3963"/>
      <c r="E3963"/>
    </row>
    <row r="3964" spans="2:5">
      <c r="B3964"/>
      <c r="C3964"/>
      <c r="E3964"/>
    </row>
    <row r="3965" spans="2:5">
      <c r="B3965"/>
      <c r="C3965"/>
      <c r="E3965"/>
    </row>
    <row r="3966" spans="2:5">
      <c r="B3966"/>
      <c r="C3966"/>
      <c r="E3966"/>
    </row>
    <row r="3967" spans="2:5">
      <c r="B3967"/>
      <c r="C3967"/>
      <c r="E3967"/>
    </row>
    <row r="3968" spans="2:5">
      <c r="B3968"/>
      <c r="C3968"/>
      <c r="E3968"/>
    </row>
    <row r="3969" spans="2:5">
      <c r="B3969"/>
      <c r="C3969"/>
      <c r="E3969"/>
    </row>
    <row r="3970" spans="2:5">
      <c r="B3970"/>
      <c r="C3970"/>
      <c r="E3970"/>
    </row>
    <row r="3971" spans="2:5">
      <c r="B3971"/>
      <c r="C3971"/>
      <c r="E3971"/>
    </row>
    <row r="3972" spans="2:5">
      <c r="B3972"/>
      <c r="C3972"/>
      <c r="E3972"/>
    </row>
    <row r="3973" spans="2:5">
      <c r="B3973"/>
      <c r="C3973"/>
      <c r="E3973"/>
    </row>
    <row r="3974" spans="2:5">
      <c r="B3974"/>
      <c r="C3974"/>
      <c r="E3974"/>
    </row>
    <row r="3975" spans="2:5">
      <c r="B3975"/>
      <c r="C3975"/>
      <c r="E3975"/>
    </row>
    <row r="3976" spans="2:5">
      <c r="B3976"/>
      <c r="C3976"/>
      <c r="E3976"/>
    </row>
    <row r="3977" spans="2:5">
      <c r="B3977"/>
      <c r="C3977"/>
      <c r="E3977"/>
    </row>
    <row r="3978" spans="2:5">
      <c r="B3978"/>
      <c r="C3978"/>
      <c r="E3978"/>
    </row>
    <row r="3979" spans="2:5">
      <c r="B3979"/>
      <c r="C3979"/>
      <c r="E3979"/>
    </row>
    <row r="3980" spans="2:5">
      <c r="B3980"/>
      <c r="C3980"/>
      <c r="E3980"/>
    </row>
    <row r="3981" spans="2:5">
      <c r="B3981"/>
      <c r="C3981"/>
      <c r="E3981"/>
    </row>
    <row r="3982" spans="2:5">
      <c r="B3982"/>
      <c r="C3982"/>
      <c r="E3982"/>
    </row>
    <row r="3983" spans="2:5">
      <c r="B3983"/>
      <c r="C3983"/>
      <c r="E3983"/>
    </row>
    <row r="3984" spans="2:5">
      <c r="B3984"/>
      <c r="C3984"/>
      <c r="E3984"/>
    </row>
    <row r="3985" spans="2:5">
      <c r="B3985"/>
      <c r="C3985"/>
      <c r="E3985"/>
    </row>
    <row r="3986" spans="2:5">
      <c r="B3986"/>
      <c r="C3986"/>
      <c r="E3986"/>
    </row>
    <row r="3987" spans="2:5">
      <c r="B3987"/>
      <c r="C3987"/>
      <c r="E3987"/>
    </row>
    <row r="3988" spans="2:5">
      <c r="B3988"/>
      <c r="C3988"/>
      <c r="E3988"/>
    </row>
    <row r="3989" spans="2:5">
      <c r="B3989"/>
      <c r="C3989"/>
      <c r="E3989"/>
    </row>
    <row r="3990" spans="2:5">
      <c r="B3990"/>
      <c r="C3990"/>
      <c r="E3990"/>
    </row>
    <row r="3991" spans="2:5">
      <c r="B3991"/>
      <c r="C3991"/>
      <c r="E3991"/>
    </row>
    <row r="3992" spans="2:5">
      <c r="B3992"/>
      <c r="C3992"/>
      <c r="E3992"/>
    </row>
    <row r="3993" spans="2:5">
      <c r="B3993"/>
      <c r="C3993"/>
      <c r="E3993"/>
    </row>
    <row r="3994" spans="2:5">
      <c r="B3994"/>
      <c r="C3994"/>
      <c r="E3994"/>
    </row>
    <row r="3995" spans="2:5">
      <c r="B3995"/>
      <c r="C3995"/>
      <c r="E3995"/>
    </row>
    <row r="3996" spans="2:5">
      <c r="B3996"/>
      <c r="C3996"/>
      <c r="E3996"/>
    </row>
    <row r="3997" spans="2:5">
      <c r="B3997"/>
      <c r="C3997"/>
      <c r="E3997"/>
    </row>
    <row r="3998" spans="2:5">
      <c r="B3998"/>
      <c r="C3998"/>
      <c r="E3998"/>
    </row>
    <row r="3999" spans="2:5">
      <c r="B3999"/>
      <c r="C3999"/>
      <c r="E3999"/>
    </row>
    <row r="4000" spans="2:5">
      <c r="B4000"/>
      <c r="C4000"/>
      <c r="E4000"/>
    </row>
    <row r="4001" spans="2:5">
      <c r="B4001"/>
      <c r="C4001"/>
      <c r="E4001"/>
    </row>
    <row r="4002" spans="2:5">
      <c r="B4002"/>
      <c r="C4002"/>
      <c r="E4002"/>
    </row>
    <row r="4003" spans="2:5">
      <c r="B4003"/>
      <c r="C4003"/>
      <c r="E4003"/>
    </row>
    <row r="4004" spans="2:5">
      <c r="B4004"/>
      <c r="C4004"/>
      <c r="E4004"/>
    </row>
    <row r="4005" spans="2:5">
      <c r="B4005"/>
      <c r="C4005"/>
      <c r="E4005"/>
    </row>
    <row r="4006" spans="2:5">
      <c r="B4006"/>
      <c r="C4006"/>
      <c r="E4006"/>
    </row>
    <row r="4007" spans="2:5">
      <c r="B4007"/>
      <c r="C4007"/>
      <c r="E4007"/>
    </row>
    <row r="4008" spans="2:5">
      <c r="B4008"/>
      <c r="C4008"/>
      <c r="E4008"/>
    </row>
    <row r="4009" spans="2:5">
      <c r="B4009"/>
      <c r="C4009"/>
      <c r="E4009"/>
    </row>
    <row r="4010" spans="2:5">
      <c r="B4010"/>
      <c r="C4010"/>
      <c r="E4010"/>
    </row>
    <row r="4011" spans="2:5">
      <c r="B4011"/>
      <c r="C4011"/>
      <c r="E4011"/>
    </row>
    <row r="4012" spans="2:5">
      <c r="B4012"/>
      <c r="C4012"/>
      <c r="E4012"/>
    </row>
    <row r="4013" spans="2:5">
      <c r="B4013"/>
      <c r="C4013"/>
      <c r="E4013"/>
    </row>
    <row r="4014" spans="2:5">
      <c r="B4014"/>
      <c r="C4014"/>
      <c r="E4014"/>
    </row>
    <row r="4015" spans="2:5">
      <c r="B4015"/>
      <c r="C4015"/>
      <c r="E4015"/>
    </row>
    <row r="4016" spans="2:5">
      <c r="B4016"/>
      <c r="C4016"/>
      <c r="E4016"/>
    </row>
    <row r="4017" spans="2:5">
      <c r="B4017"/>
      <c r="C4017"/>
      <c r="E4017"/>
    </row>
    <row r="4018" spans="2:5">
      <c r="B4018"/>
      <c r="C4018"/>
      <c r="E4018"/>
    </row>
    <row r="4019" spans="2:5">
      <c r="B4019"/>
      <c r="C4019"/>
      <c r="E4019"/>
    </row>
    <row r="4020" spans="2:5">
      <c r="B4020"/>
      <c r="C4020"/>
      <c r="E4020"/>
    </row>
    <row r="4021" spans="2:5">
      <c r="B4021"/>
      <c r="C4021"/>
      <c r="E4021"/>
    </row>
    <row r="4022" spans="2:5">
      <c r="B4022"/>
      <c r="C4022"/>
      <c r="E4022"/>
    </row>
    <row r="4023" spans="2:5">
      <c r="B4023"/>
      <c r="C4023"/>
      <c r="E4023"/>
    </row>
    <row r="4024" spans="2:5">
      <c r="B4024"/>
      <c r="C4024"/>
      <c r="E4024"/>
    </row>
    <row r="4025" spans="2:5">
      <c r="B4025"/>
      <c r="C4025"/>
      <c r="E4025"/>
    </row>
    <row r="4026" spans="2:5">
      <c r="B4026"/>
      <c r="C4026"/>
      <c r="E4026"/>
    </row>
    <row r="4027" spans="2:5">
      <c r="B4027"/>
      <c r="C4027"/>
      <c r="E4027"/>
    </row>
    <row r="4028" spans="2:5">
      <c r="B4028"/>
      <c r="C4028"/>
      <c r="E4028"/>
    </row>
    <row r="4029" spans="2:5">
      <c r="B4029"/>
      <c r="C4029"/>
      <c r="E4029"/>
    </row>
    <row r="4030" spans="2:5">
      <c r="B4030"/>
      <c r="C4030"/>
      <c r="E4030"/>
    </row>
    <row r="4031" spans="2:5">
      <c r="B4031"/>
      <c r="C4031"/>
      <c r="E4031"/>
    </row>
    <row r="4032" spans="2:5">
      <c r="B4032"/>
      <c r="C4032"/>
      <c r="E4032"/>
    </row>
    <row r="4033" spans="2:5">
      <c r="B4033"/>
      <c r="C4033"/>
      <c r="E4033"/>
    </row>
    <row r="4034" spans="2:5">
      <c r="B4034"/>
      <c r="C4034"/>
      <c r="E4034"/>
    </row>
    <row r="4035" spans="2:5">
      <c r="B4035"/>
      <c r="C4035"/>
      <c r="E4035"/>
    </row>
    <row r="4036" spans="2:5">
      <c r="B4036"/>
      <c r="C4036"/>
      <c r="E4036"/>
    </row>
    <row r="4037" spans="2:5">
      <c r="B4037"/>
      <c r="C4037"/>
      <c r="E4037"/>
    </row>
    <row r="4038" spans="2:5">
      <c r="B4038"/>
      <c r="C4038"/>
      <c r="E4038"/>
    </row>
    <row r="4039" spans="2:5">
      <c r="B4039"/>
      <c r="C4039"/>
      <c r="E4039"/>
    </row>
    <row r="4040" spans="2:5">
      <c r="B4040"/>
      <c r="C4040"/>
      <c r="E4040"/>
    </row>
    <row r="4041" spans="2:5">
      <c r="B4041"/>
      <c r="C4041"/>
      <c r="E4041"/>
    </row>
    <row r="4042" spans="2:5">
      <c r="B4042"/>
      <c r="C4042"/>
      <c r="E4042"/>
    </row>
    <row r="4043" spans="2:5">
      <c r="B4043"/>
      <c r="C4043"/>
      <c r="E4043"/>
    </row>
    <row r="4044" spans="2:5">
      <c r="B4044"/>
      <c r="C4044"/>
      <c r="E4044"/>
    </row>
    <row r="4045" spans="2:5">
      <c r="B4045"/>
      <c r="C4045"/>
      <c r="E4045"/>
    </row>
    <row r="4046" spans="2:5">
      <c r="B4046"/>
      <c r="C4046"/>
      <c r="E4046"/>
    </row>
    <row r="4047" spans="2:5">
      <c r="B4047"/>
      <c r="C4047"/>
      <c r="E4047"/>
    </row>
    <row r="4048" spans="2:5">
      <c r="B4048"/>
      <c r="C4048"/>
      <c r="E4048"/>
    </row>
    <row r="4049" spans="2:5">
      <c r="B4049"/>
      <c r="C4049"/>
      <c r="E4049"/>
    </row>
    <row r="4050" spans="2:5">
      <c r="B4050"/>
      <c r="C4050"/>
      <c r="E4050"/>
    </row>
    <row r="4051" spans="2:5">
      <c r="B4051"/>
      <c r="C4051"/>
      <c r="E4051"/>
    </row>
    <row r="4052" spans="2:5">
      <c r="B4052"/>
      <c r="C4052"/>
      <c r="E4052"/>
    </row>
    <row r="4053" spans="2:5">
      <c r="B4053"/>
      <c r="C4053"/>
      <c r="E4053"/>
    </row>
    <row r="4054" spans="2:5">
      <c r="B4054"/>
      <c r="C4054"/>
      <c r="E4054"/>
    </row>
    <row r="4055" spans="2:5">
      <c r="B4055"/>
      <c r="C4055"/>
      <c r="E4055"/>
    </row>
    <row r="4056" spans="2:5">
      <c r="B4056"/>
      <c r="C4056"/>
      <c r="E4056"/>
    </row>
    <row r="4057" spans="2:5">
      <c r="B4057"/>
      <c r="C4057"/>
      <c r="E4057"/>
    </row>
    <row r="4058" spans="2:5">
      <c r="B4058"/>
      <c r="C4058"/>
      <c r="E4058"/>
    </row>
    <row r="4059" spans="2:5">
      <c r="B4059"/>
      <c r="C4059"/>
      <c r="E4059"/>
    </row>
    <row r="4060" spans="2:5">
      <c r="B4060"/>
      <c r="C4060"/>
      <c r="E4060"/>
    </row>
    <row r="4061" spans="2:5">
      <c r="B4061"/>
      <c r="C4061"/>
      <c r="E4061"/>
    </row>
    <row r="4062" spans="2:5">
      <c r="B4062"/>
      <c r="C4062"/>
      <c r="E4062"/>
    </row>
    <row r="4063" spans="2:5">
      <c r="B4063"/>
      <c r="C4063"/>
      <c r="E4063"/>
    </row>
    <row r="4064" spans="2:5">
      <c r="B4064"/>
      <c r="C4064"/>
      <c r="E4064"/>
    </row>
    <row r="4065" spans="2:5">
      <c r="B4065"/>
      <c r="C4065"/>
      <c r="E4065"/>
    </row>
    <row r="4066" spans="2:5">
      <c r="B4066"/>
      <c r="C4066"/>
      <c r="E4066"/>
    </row>
    <row r="4067" spans="2:5">
      <c r="B4067"/>
      <c r="C4067"/>
      <c r="E4067"/>
    </row>
    <row r="4068" spans="2:5">
      <c r="B4068"/>
      <c r="C4068"/>
      <c r="E4068"/>
    </row>
    <row r="4069" spans="2:5">
      <c r="B4069"/>
      <c r="C4069"/>
      <c r="E4069"/>
    </row>
    <row r="4070" spans="2:5">
      <c r="B4070"/>
      <c r="C4070"/>
      <c r="E4070"/>
    </row>
    <row r="4071" spans="2:5">
      <c r="B4071"/>
      <c r="C4071"/>
      <c r="E4071"/>
    </row>
    <row r="4072" spans="2:5">
      <c r="B4072"/>
      <c r="C4072"/>
      <c r="E4072"/>
    </row>
    <row r="4073" spans="2:5">
      <c r="B4073"/>
      <c r="C4073"/>
      <c r="E4073"/>
    </row>
    <row r="4074" spans="2:5">
      <c r="B4074"/>
      <c r="C4074"/>
      <c r="E4074"/>
    </row>
    <row r="4075" spans="2:5">
      <c r="B4075"/>
      <c r="C4075"/>
      <c r="E4075"/>
    </row>
    <row r="4076" spans="2:5">
      <c r="B4076"/>
      <c r="C4076"/>
      <c r="E4076"/>
    </row>
    <row r="4077" spans="2:5">
      <c r="B4077"/>
      <c r="C4077"/>
      <c r="E4077"/>
    </row>
    <row r="4078" spans="2:5">
      <c r="B4078"/>
      <c r="C4078"/>
      <c r="E4078"/>
    </row>
    <row r="4079" spans="2:5">
      <c r="B4079"/>
      <c r="C4079"/>
      <c r="E4079"/>
    </row>
    <row r="4080" spans="2:5">
      <c r="B4080"/>
      <c r="C4080"/>
      <c r="E4080"/>
    </row>
    <row r="4081" spans="2:5">
      <c r="B4081"/>
      <c r="C4081"/>
      <c r="E4081"/>
    </row>
    <row r="4082" spans="2:5">
      <c r="B4082"/>
      <c r="C4082"/>
      <c r="E4082"/>
    </row>
    <row r="4083" spans="2:5">
      <c r="B4083"/>
      <c r="C4083"/>
      <c r="E4083"/>
    </row>
    <row r="4084" spans="2:5">
      <c r="B4084"/>
      <c r="C4084"/>
      <c r="E4084"/>
    </row>
    <row r="4085" spans="2:5">
      <c r="B4085"/>
      <c r="C4085"/>
      <c r="E4085"/>
    </row>
    <row r="4086" spans="2:5">
      <c r="B4086"/>
      <c r="C4086"/>
      <c r="E4086"/>
    </row>
    <row r="4087" spans="2:5">
      <c r="B4087"/>
      <c r="C4087"/>
      <c r="E4087"/>
    </row>
    <row r="4088" spans="2:5">
      <c r="B4088"/>
      <c r="C4088"/>
      <c r="E4088"/>
    </row>
    <row r="4089" spans="2:5">
      <c r="B4089"/>
      <c r="C4089"/>
      <c r="E4089"/>
    </row>
    <row r="4090" spans="2:5">
      <c r="B4090"/>
      <c r="C4090"/>
      <c r="E4090"/>
    </row>
    <row r="4091" spans="2:5">
      <c r="B4091"/>
      <c r="C4091"/>
      <c r="E4091"/>
    </row>
    <row r="4092" spans="2:5">
      <c r="B4092"/>
      <c r="C4092"/>
      <c r="E4092"/>
    </row>
    <row r="4093" spans="2:5">
      <c r="B4093"/>
      <c r="C4093"/>
      <c r="E4093"/>
    </row>
    <row r="4094" spans="2:5">
      <c r="B4094"/>
      <c r="C4094"/>
      <c r="E4094"/>
    </row>
    <row r="4095" spans="2:5">
      <c r="B4095"/>
      <c r="C4095"/>
      <c r="E4095"/>
    </row>
    <row r="4096" spans="2:5">
      <c r="B4096"/>
      <c r="C4096"/>
      <c r="E4096"/>
    </row>
    <row r="4097" spans="2:5">
      <c r="B4097"/>
      <c r="C4097"/>
      <c r="E4097"/>
    </row>
    <row r="4098" spans="2:5">
      <c r="B4098"/>
      <c r="C4098"/>
      <c r="E4098"/>
    </row>
    <row r="4099" spans="2:5">
      <c r="B4099"/>
      <c r="C4099"/>
      <c r="E4099"/>
    </row>
    <row r="4100" spans="2:5">
      <c r="B4100"/>
      <c r="C4100"/>
      <c r="E4100"/>
    </row>
    <row r="4101" spans="2:5">
      <c r="B4101"/>
      <c r="C4101"/>
      <c r="E4101"/>
    </row>
    <row r="4102" spans="2:5">
      <c r="B4102"/>
      <c r="C4102"/>
      <c r="E4102"/>
    </row>
    <row r="4103" spans="2:5">
      <c r="B4103"/>
      <c r="C4103"/>
      <c r="E4103"/>
    </row>
    <row r="4104" spans="2:5">
      <c r="B4104"/>
      <c r="C4104"/>
      <c r="E4104"/>
    </row>
    <row r="4105" spans="2:5">
      <c r="B4105"/>
      <c r="C4105"/>
      <c r="E4105"/>
    </row>
    <row r="4106" spans="2:5">
      <c r="B4106"/>
      <c r="C4106"/>
      <c r="E4106"/>
    </row>
    <row r="4107" spans="2:5">
      <c r="B4107"/>
      <c r="C4107"/>
      <c r="E4107"/>
    </row>
    <row r="4108" spans="2:5">
      <c r="B4108"/>
      <c r="C4108"/>
      <c r="E4108"/>
    </row>
    <row r="4109" spans="2:5">
      <c r="B4109"/>
      <c r="C4109"/>
      <c r="E4109"/>
    </row>
    <row r="4110" spans="2:5">
      <c r="B4110"/>
      <c r="C4110"/>
      <c r="E4110"/>
    </row>
    <row r="4111" spans="2:5">
      <c r="B4111"/>
      <c r="C4111"/>
      <c r="E4111"/>
    </row>
    <row r="4112" spans="2:5">
      <c r="B4112"/>
      <c r="C4112"/>
      <c r="E4112"/>
    </row>
    <row r="4113" spans="2:5">
      <c r="B4113"/>
      <c r="C4113"/>
      <c r="E4113"/>
    </row>
    <row r="4114" spans="2:5">
      <c r="B4114"/>
      <c r="C4114"/>
      <c r="E4114"/>
    </row>
    <row r="4115" spans="2:5">
      <c r="B4115"/>
      <c r="C4115"/>
      <c r="E4115"/>
    </row>
    <row r="4116" spans="2:5">
      <c r="B4116"/>
      <c r="C4116"/>
      <c r="E4116"/>
    </row>
    <row r="4117" spans="2:5">
      <c r="B4117"/>
      <c r="C4117"/>
      <c r="E4117"/>
    </row>
    <row r="4118" spans="2:5">
      <c r="B4118"/>
      <c r="C4118"/>
      <c r="E4118"/>
    </row>
    <row r="4119" spans="2:5">
      <c r="B4119"/>
      <c r="C4119"/>
      <c r="E4119"/>
    </row>
    <row r="4120" spans="2:5">
      <c r="B4120"/>
      <c r="C4120"/>
      <c r="E4120"/>
    </row>
    <row r="4121" spans="2:5">
      <c r="B4121"/>
      <c r="C4121"/>
      <c r="E4121"/>
    </row>
    <row r="4122" spans="2:5">
      <c r="B4122"/>
      <c r="C4122"/>
      <c r="E4122"/>
    </row>
    <row r="4123" spans="2:5">
      <c r="B4123"/>
      <c r="C4123"/>
      <c r="E4123"/>
    </row>
    <row r="4124" spans="2:5">
      <c r="B4124"/>
      <c r="C4124"/>
      <c r="E4124"/>
    </row>
    <row r="4125" spans="2:5">
      <c r="B4125"/>
      <c r="C4125"/>
      <c r="E4125"/>
    </row>
    <row r="4126" spans="2:5">
      <c r="B4126"/>
      <c r="C4126"/>
      <c r="E4126"/>
    </row>
    <row r="4127" spans="2:5">
      <c r="B4127"/>
      <c r="C4127"/>
      <c r="E4127"/>
    </row>
    <row r="4128" spans="2:5">
      <c r="B4128"/>
      <c r="C4128"/>
      <c r="E4128"/>
    </row>
    <row r="4129" spans="2:5">
      <c r="B4129"/>
      <c r="C4129"/>
      <c r="E4129"/>
    </row>
    <row r="4130" spans="2:5">
      <c r="B4130"/>
      <c r="C4130"/>
      <c r="E4130"/>
    </row>
    <row r="4131" spans="2:5">
      <c r="B4131"/>
      <c r="C4131"/>
      <c r="E4131"/>
    </row>
    <row r="4132" spans="2:5">
      <c r="B4132"/>
      <c r="C4132"/>
      <c r="E4132"/>
    </row>
    <row r="4133" spans="2:5">
      <c r="B4133"/>
      <c r="C4133"/>
      <c r="E4133"/>
    </row>
    <row r="4134" spans="2:5">
      <c r="B4134"/>
      <c r="C4134"/>
      <c r="E4134"/>
    </row>
    <row r="4135" spans="2:5">
      <c r="B4135"/>
      <c r="C4135"/>
      <c r="E4135"/>
    </row>
    <row r="4136" spans="2:5">
      <c r="B4136"/>
      <c r="C4136"/>
      <c r="E4136"/>
    </row>
    <row r="4137" spans="2:5">
      <c r="B4137"/>
      <c r="C4137"/>
      <c r="E4137"/>
    </row>
    <row r="4138" spans="2:5">
      <c r="B4138"/>
      <c r="C4138"/>
      <c r="E4138"/>
    </row>
    <row r="4139" spans="2:5">
      <c r="B4139"/>
      <c r="C4139"/>
      <c r="E4139"/>
    </row>
    <row r="4140" spans="2:5">
      <c r="B4140"/>
      <c r="C4140"/>
      <c r="E4140"/>
    </row>
    <row r="4141" spans="2:5">
      <c r="B4141"/>
      <c r="C4141"/>
      <c r="E4141"/>
    </row>
    <row r="4142" spans="2:5">
      <c r="B4142"/>
      <c r="C4142"/>
      <c r="E4142"/>
    </row>
    <row r="4143" spans="2:5">
      <c r="B4143"/>
      <c r="C4143"/>
      <c r="E4143"/>
    </row>
    <row r="4144" spans="2:5">
      <c r="B4144"/>
      <c r="C4144"/>
      <c r="E4144"/>
    </row>
    <row r="4145" spans="2:5">
      <c r="B4145"/>
      <c r="C4145"/>
      <c r="E4145"/>
    </row>
    <row r="4146" spans="2:5">
      <c r="B4146"/>
      <c r="C4146"/>
      <c r="E4146"/>
    </row>
    <row r="4147" spans="2:5">
      <c r="B4147"/>
      <c r="C4147"/>
      <c r="E4147"/>
    </row>
    <row r="4148" spans="2:5">
      <c r="B4148"/>
      <c r="C4148"/>
      <c r="E4148"/>
    </row>
    <row r="4149" spans="2:5">
      <c r="B4149"/>
      <c r="C4149"/>
      <c r="E4149"/>
    </row>
    <row r="4150" spans="2:5">
      <c r="B4150"/>
      <c r="C4150"/>
      <c r="E4150"/>
    </row>
    <row r="4151" spans="2:5">
      <c r="B4151"/>
      <c r="C4151"/>
      <c r="E4151"/>
    </row>
    <row r="4152" spans="2:5">
      <c r="B4152"/>
      <c r="C4152"/>
      <c r="E4152"/>
    </row>
    <row r="4153" spans="2:5">
      <c r="B4153"/>
      <c r="C4153"/>
      <c r="E4153"/>
    </row>
    <row r="4154" spans="2:5">
      <c r="B4154"/>
      <c r="C4154"/>
      <c r="E4154"/>
    </row>
    <row r="4155" spans="2:5">
      <c r="B4155"/>
      <c r="C4155"/>
      <c r="E4155"/>
    </row>
    <row r="4156" spans="2:5">
      <c r="B4156"/>
      <c r="C4156"/>
      <c r="E4156"/>
    </row>
    <row r="4157" spans="2:5">
      <c r="B4157"/>
      <c r="C4157"/>
      <c r="E4157"/>
    </row>
    <row r="4158" spans="2:5">
      <c r="B4158"/>
      <c r="C4158"/>
      <c r="E4158"/>
    </row>
    <row r="4159" spans="2:5">
      <c r="B4159"/>
      <c r="C4159"/>
      <c r="E4159"/>
    </row>
    <row r="4160" spans="2:5">
      <c r="B4160"/>
      <c r="C4160"/>
      <c r="E4160"/>
    </row>
    <row r="4161" spans="2:5">
      <c r="B4161"/>
      <c r="C4161"/>
      <c r="E4161"/>
    </row>
    <row r="4162" spans="2:5">
      <c r="B4162"/>
      <c r="C4162"/>
      <c r="E4162"/>
    </row>
    <row r="4163" spans="2:5">
      <c r="B4163"/>
      <c r="C4163"/>
      <c r="E4163"/>
    </row>
    <row r="4164" spans="2:5">
      <c r="B4164"/>
      <c r="C4164"/>
      <c r="E4164"/>
    </row>
    <row r="4165" spans="2:5">
      <c r="B4165"/>
      <c r="C4165"/>
      <c r="E4165"/>
    </row>
    <row r="4166" spans="2:5">
      <c r="B4166"/>
      <c r="C4166"/>
      <c r="E4166"/>
    </row>
    <row r="4167" spans="2:5">
      <c r="B4167"/>
      <c r="C4167"/>
      <c r="E4167"/>
    </row>
    <row r="4168" spans="2:5">
      <c r="B4168"/>
      <c r="C4168"/>
      <c r="E4168"/>
    </row>
    <row r="4169" spans="2:5">
      <c r="B4169"/>
      <c r="C4169"/>
      <c r="E4169"/>
    </row>
    <row r="4170" spans="2:5">
      <c r="B4170"/>
      <c r="C4170"/>
      <c r="E4170"/>
    </row>
    <row r="4171" spans="2:5">
      <c r="B4171"/>
      <c r="C4171"/>
      <c r="E4171"/>
    </row>
    <row r="4172" spans="2:5">
      <c r="B4172"/>
      <c r="C4172"/>
      <c r="E4172"/>
    </row>
    <row r="4173" spans="2:5">
      <c r="B4173"/>
      <c r="C4173"/>
      <c r="E4173"/>
    </row>
    <row r="4174" spans="2:5">
      <c r="B4174"/>
      <c r="C4174"/>
      <c r="E4174"/>
    </row>
    <row r="4175" spans="2:5">
      <c r="B4175"/>
      <c r="C4175"/>
      <c r="E4175"/>
    </row>
    <row r="4176" spans="2:5">
      <c r="B4176"/>
      <c r="C4176"/>
      <c r="E4176"/>
    </row>
    <row r="4177" spans="2:5">
      <c r="B4177"/>
      <c r="C4177"/>
      <c r="E4177"/>
    </row>
    <row r="4178" spans="2:5">
      <c r="B4178"/>
      <c r="C4178"/>
      <c r="E4178"/>
    </row>
    <row r="4179" spans="2:5">
      <c r="B4179"/>
      <c r="C4179"/>
      <c r="E4179"/>
    </row>
    <row r="4180" spans="2:5">
      <c r="B4180"/>
      <c r="C4180"/>
      <c r="E4180"/>
    </row>
    <row r="4181" spans="2:5">
      <c r="B4181"/>
      <c r="C4181"/>
      <c r="E4181"/>
    </row>
    <row r="4182" spans="2:5">
      <c r="B4182"/>
      <c r="C4182"/>
      <c r="E4182"/>
    </row>
    <row r="4183" spans="2:5">
      <c r="B4183"/>
      <c r="C4183"/>
      <c r="E4183"/>
    </row>
    <row r="4184" spans="2:5">
      <c r="B4184"/>
      <c r="C4184"/>
      <c r="E4184"/>
    </row>
    <row r="4185" spans="2:5">
      <c r="B4185"/>
      <c r="C4185"/>
      <c r="E4185"/>
    </row>
    <row r="4186" spans="2:5">
      <c r="B4186"/>
      <c r="C4186"/>
      <c r="E4186"/>
    </row>
    <row r="4187" spans="2:5">
      <c r="B4187"/>
      <c r="C4187"/>
      <c r="E4187"/>
    </row>
    <row r="4188" spans="2:5">
      <c r="B4188"/>
      <c r="C4188"/>
      <c r="E4188"/>
    </row>
    <row r="4189" spans="2:5">
      <c r="B4189"/>
      <c r="C4189"/>
      <c r="E4189"/>
    </row>
    <row r="4190" spans="2:5">
      <c r="B4190"/>
      <c r="C4190"/>
      <c r="E4190"/>
    </row>
    <row r="4191" spans="2:5">
      <c r="B4191"/>
      <c r="C4191"/>
      <c r="E4191"/>
    </row>
    <row r="4192" spans="2:5">
      <c r="B4192"/>
      <c r="C4192"/>
      <c r="E4192"/>
    </row>
    <row r="4193" spans="2:5">
      <c r="B4193"/>
      <c r="C4193"/>
      <c r="E4193"/>
    </row>
    <row r="4194" spans="2:5">
      <c r="B4194"/>
      <c r="C4194"/>
      <c r="E4194"/>
    </row>
    <row r="4195" spans="2:5">
      <c r="B4195"/>
      <c r="C4195"/>
      <c r="E4195"/>
    </row>
    <row r="4196" spans="2:5">
      <c r="B4196"/>
      <c r="C4196"/>
      <c r="E4196"/>
    </row>
    <row r="4197" spans="2:5">
      <c r="B4197"/>
      <c r="C4197"/>
      <c r="E4197"/>
    </row>
    <row r="4198" spans="2:5">
      <c r="B4198"/>
      <c r="C4198"/>
      <c r="E4198"/>
    </row>
    <row r="4199" spans="2:5">
      <c r="B4199"/>
      <c r="C4199"/>
      <c r="E4199"/>
    </row>
    <row r="4200" spans="2:5">
      <c r="B4200"/>
      <c r="C4200"/>
      <c r="E4200"/>
    </row>
    <row r="4201" spans="2:5">
      <c r="B4201"/>
      <c r="C4201"/>
      <c r="E4201"/>
    </row>
    <row r="4202" spans="2:5">
      <c r="B4202"/>
      <c r="C4202"/>
      <c r="E4202"/>
    </row>
    <row r="4203" spans="2:5">
      <c r="B4203"/>
      <c r="C4203"/>
      <c r="E4203"/>
    </row>
    <row r="4204" spans="2:5">
      <c r="B4204"/>
      <c r="C4204"/>
      <c r="E4204"/>
    </row>
    <row r="4205" spans="2:5">
      <c r="B4205"/>
      <c r="C4205"/>
      <c r="E4205"/>
    </row>
    <row r="4206" spans="2:5">
      <c r="B4206"/>
      <c r="C4206"/>
      <c r="E4206"/>
    </row>
    <row r="4207" spans="2:5">
      <c r="B4207"/>
      <c r="C4207"/>
      <c r="E4207"/>
    </row>
    <row r="4208" spans="2:5">
      <c r="B4208"/>
      <c r="C4208"/>
      <c r="E4208"/>
    </row>
    <row r="4209" spans="2:5">
      <c r="B4209"/>
      <c r="C4209"/>
      <c r="E4209"/>
    </row>
    <row r="4210" spans="2:5">
      <c r="B4210"/>
      <c r="C4210"/>
      <c r="E4210"/>
    </row>
    <row r="4211" spans="2:5">
      <c r="B4211"/>
      <c r="C4211"/>
      <c r="E4211"/>
    </row>
    <row r="4212" spans="2:5">
      <c r="B4212"/>
      <c r="C4212"/>
      <c r="E4212"/>
    </row>
    <row r="4213" spans="2:5">
      <c r="B4213"/>
      <c r="C4213"/>
      <c r="E4213"/>
    </row>
    <row r="4214" spans="2:5">
      <c r="B4214"/>
      <c r="C4214"/>
      <c r="E4214"/>
    </row>
    <row r="4215" spans="2:5">
      <c r="B4215"/>
      <c r="C4215"/>
      <c r="E4215"/>
    </row>
    <row r="4216" spans="2:5">
      <c r="B4216"/>
      <c r="C4216"/>
      <c r="E4216"/>
    </row>
    <row r="4217" spans="2:5">
      <c r="B4217"/>
      <c r="C4217"/>
      <c r="E4217"/>
    </row>
    <row r="4218" spans="2:5">
      <c r="B4218"/>
      <c r="C4218"/>
      <c r="E4218"/>
    </row>
    <row r="4219" spans="2:5">
      <c r="B4219"/>
      <c r="C4219"/>
      <c r="E4219"/>
    </row>
    <row r="4220" spans="2:5">
      <c r="B4220"/>
      <c r="C4220"/>
      <c r="E4220"/>
    </row>
    <row r="4221" spans="2:5">
      <c r="B4221"/>
      <c r="C4221"/>
      <c r="E4221"/>
    </row>
    <row r="4222" spans="2:5">
      <c r="B4222"/>
      <c r="C4222"/>
      <c r="E4222"/>
    </row>
    <row r="4223" spans="2:5">
      <c r="B4223"/>
      <c r="C4223"/>
      <c r="E4223"/>
    </row>
    <row r="4224" spans="2:5">
      <c r="B4224"/>
      <c r="C4224"/>
      <c r="E4224"/>
    </row>
    <row r="4225" spans="2:5">
      <c r="B4225"/>
      <c r="C4225"/>
      <c r="E4225"/>
    </row>
    <row r="4226" spans="2:5">
      <c r="B4226"/>
      <c r="C4226"/>
      <c r="E4226"/>
    </row>
    <row r="4227" spans="2:5">
      <c r="B4227"/>
      <c r="C4227"/>
      <c r="E4227"/>
    </row>
    <row r="4228" spans="2:5">
      <c r="B4228"/>
      <c r="C4228"/>
      <c r="E4228"/>
    </row>
    <row r="4229" spans="2:5">
      <c r="B4229"/>
      <c r="C4229"/>
      <c r="E4229"/>
    </row>
    <row r="4230" spans="2:5">
      <c r="B4230"/>
      <c r="C4230"/>
      <c r="E4230"/>
    </row>
    <row r="4231" spans="2:5">
      <c r="B4231"/>
      <c r="C4231"/>
      <c r="E4231"/>
    </row>
    <row r="4232" spans="2:5">
      <c r="B4232"/>
      <c r="C4232"/>
      <c r="E4232"/>
    </row>
    <row r="4233" spans="2:5">
      <c r="B4233"/>
      <c r="C4233"/>
      <c r="E4233"/>
    </row>
    <row r="4234" spans="2:5">
      <c r="B4234"/>
      <c r="C4234"/>
      <c r="E4234"/>
    </row>
    <row r="4235" spans="2:5">
      <c r="B4235"/>
      <c r="C4235"/>
      <c r="E4235"/>
    </row>
    <row r="4236" spans="2:5">
      <c r="B4236"/>
      <c r="C4236"/>
      <c r="E4236"/>
    </row>
    <row r="4237" spans="2:5">
      <c r="B4237"/>
      <c r="C4237"/>
      <c r="E4237"/>
    </row>
    <row r="4238" spans="2:5">
      <c r="B4238"/>
      <c r="C4238"/>
      <c r="E4238"/>
    </row>
    <row r="4239" spans="2:5">
      <c r="B4239"/>
      <c r="C4239"/>
      <c r="E4239"/>
    </row>
    <row r="4240" spans="2:5">
      <c r="B4240"/>
      <c r="C4240"/>
      <c r="E4240"/>
    </row>
    <row r="4241" spans="2:5">
      <c r="B4241"/>
      <c r="C4241"/>
      <c r="E4241"/>
    </row>
    <row r="4242" spans="2:5">
      <c r="B4242"/>
      <c r="C4242"/>
      <c r="E4242"/>
    </row>
    <row r="4243" spans="2:5">
      <c r="B4243"/>
      <c r="C4243"/>
      <c r="E4243"/>
    </row>
    <row r="4244" spans="2:5">
      <c r="B4244"/>
      <c r="C4244"/>
      <c r="E4244"/>
    </row>
    <row r="4245" spans="2:5">
      <c r="B4245"/>
      <c r="C4245"/>
      <c r="E4245"/>
    </row>
    <row r="4246" spans="2:5">
      <c r="B4246"/>
      <c r="C4246"/>
      <c r="E4246"/>
    </row>
    <row r="4247" spans="2:5">
      <c r="B4247"/>
      <c r="C4247"/>
      <c r="E4247"/>
    </row>
    <row r="4248" spans="2:5">
      <c r="B4248"/>
      <c r="C4248"/>
      <c r="E4248"/>
    </row>
    <row r="4249" spans="2:5">
      <c r="B4249"/>
      <c r="C4249"/>
      <c r="E4249"/>
    </row>
    <row r="4250" spans="2:5">
      <c r="B4250"/>
      <c r="C4250"/>
      <c r="E4250"/>
    </row>
    <row r="4251" spans="2:5">
      <c r="B4251"/>
      <c r="C4251"/>
      <c r="E4251"/>
    </row>
    <row r="4252" spans="2:5">
      <c r="B4252"/>
      <c r="C4252"/>
      <c r="E4252"/>
    </row>
    <row r="4253" spans="2:5">
      <c r="B4253"/>
      <c r="C4253"/>
      <c r="E4253"/>
    </row>
    <row r="4254" spans="2:5">
      <c r="B4254"/>
      <c r="C4254"/>
      <c r="E4254"/>
    </row>
    <row r="4255" spans="2:5">
      <c r="B4255"/>
      <c r="C4255"/>
      <c r="E4255"/>
    </row>
    <row r="4256" spans="2:5">
      <c r="B4256"/>
      <c r="C4256"/>
      <c r="E4256"/>
    </row>
    <row r="4257" spans="2:5">
      <c r="B4257"/>
      <c r="C4257"/>
      <c r="E4257"/>
    </row>
    <row r="4258" spans="2:5">
      <c r="B4258"/>
      <c r="C4258"/>
      <c r="E4258"/>
    </row>
    <row r="4259" spans="2:5">
      <c r="B4259"/>
      <c r="C4259"/>
      <c r="E4259"/>
    </row>
    <row r="4260" spans="2:5">
      <c r="B4260"/>
      <c r="C4260"/>
      <c r="E4260"/>
    </row>
    <row r="4261" spans="2:5">
      <c r="B4261"/>
      <c r="C4261"/>
      <c r="E4261"/>
    </row>
    <row r="4262" spans="2:5">
      <c r="B4262"/>
      <c r="C4262"/>
      <c r="E4262"/>
    </row>
    <row r="4263" spans="2:5">
      <c r="B4263"/>
      <c r="C4263"/>
      <c r="E4263"/>
    </row>
    <row r="4264" spans="2:5">
      <c r="B4264"/>
      <c r="C4264"/>
      <c r="E4264"/>
    </row>
    <row r="4265" spans="2:5">
      <c r="B4265"/>
      <c r="C4265"/>
      <c r="E4265"/>
    </row>
    <row r="4266" spans="2:5">
      <c r="B4266"/>
      <c r="C4266"/>
      <c r="E4266"/>
    </row>
    <row r="4267" spans="2:5">
      <c r="B4267"/>
      <c r="C4267"/>
      <c r="E4267"/>
    </row>
    <row r="4268" spans="2:5">
      <c r="B4268"/>
      <c r="C4268"/>
      <c r="E4268"/>
    </row>
    <row r="4269" spans="2:5">
      <c r="B4269"/>
      <c r="C4269"/>
      <c r="E4269"/>
    </row>
    <row r="4270" spans="2:5">
      <c r="B4270"/>
      <c r="C4270"/>
      <c r="E4270"/>
    </row>
    <row r="4271" spans="2:5">
      <c r="B4271"/>
      <c r="C4271"/>
      <c r="E4271"/>
    </row>
    <row r="4272" spans="2:5">
      <c r="B4272"/>
      <c r="C4272"/>
      <c r="E4272"/>
    </row>
    <row r="4273" spans="2:5">
      <c r="B4273"/>
      <c r="C4273"/>
      <c r="E4273"/>
    </row>
    <row r="4274" spans="2:5">
      <c r="B4274"/>
      <c r="C4274"/>
      <c r="E4274"/>
    </row>
    <row r="4275" spans="2:5">
      <c r="B4275"/>
      <c r="C4275"/>
      <c r="E4275"/>
    </row>
    <row r="4276" spans="2:5">
      <c r="B4276"/>
      <c r="C4276"/>
      <c r="E4276"/>
    </row>
    <row r="4277" spans="2:5">
      <c r="B4277"/>
      <c r="C4277"/>
      <c r="E4277"/>
    </row>
    <row r="4278" spans="2:5">
      <c r="B4278"/>
      <c r="C4278"/>
      <c r="E4278"/>
    </row>
    <row r="4279" spans="2:5">
      <c r="B4279"/>
      <c r="C4279"/>
      <c r="E4279"/>
    </row>
    <row r="4280" spans="2:5">
      <c r="B4280"/>
      <c r="C4280"/>
      <c r="E4280"/>
    </row>
    <row r="4281" spans="2:5">
      <c r="B4281"/>
      <c r="C4281"/>
      <c r="E4281"/>
    </row>
    <row r="4282" spans="2:5">
      <c r="B4282"/>
      <c r="C4282"/>
      <c r="E4282"/>
    </row>
    <row r="4283" spans="2:5">
      <c r="B4283"/>
      <c r="C4283"/>
      <c r="E4283"/>
    </row>
    <row r="4284" spans="2:5">
      <c r="B4284"/>
      <c r="C4284"/>
      <c r="E4284"/>
    </row>
    <row r="4285" spans="2:5">
      <c r="B4285"/>
      <c r="C4285"/>
      <c r="E4285"/>
    </row>
    <row r="4286" spans="2:5">
      <c r="B4286"/>
      <c r="C4286"/>
      <c r="E4286"/>
    </row>
    <row r="4287" spans="2:5">
      <c r="B4287"/>
      <c r="C4287"/>
      <c r="E4287"/>
    </row>
    <row r="4288" spans="2:5">
      <c r="B4288"/>
      <c r="C4288"/>
      <c r="E4288"/>
    </row>
    <row r="4289" spans="2:5">
      <c r="B4289"/>
      <c r="C4289"/>
      <c r="E4289"/>
    </row>
    <row r="4290" spans="2:5">
      <c r="B4290"/>
      <c r="C4290"/>
      <c r="E4290"/>
    </row>
    <row r="4291" spans="2:5">
      <c r="B4291"/>
      <c r="C4291"/>
      <c r="E4291"/>
    </row>
    <row r="4292" spans="2:5">
      <c r="B4292"/>
      <c r="C4292"/>
      <c r="E4292"/>
    </row>
    <row r="4293" spans="2:5">
      <c r="B4293"/>
      <c r="C4293"/>
      <c r="E4293"/>
    </row>
    <row r="4294" spans="2:5">
      <c r="B4294"/>
      <c r="C4294"/>
      <c r="E4294"/>
    </row>
    <row r="4295" spans="2:5">
      <c r="B4295"/>
      <c r="C4295"/>
      <c r="E4295"/>
    </row>
    <row r="4296" spans="2:5">
      <c r="B4296"/>
      <c r="C4296"/>
      <c r="E4296"/>
    </row>
    <row r="4297" spans="2:5">
      <c r="B4297"/>
      <c r="C4297"/>
      <c r="E4297"/>
    </row>
    <row r="4298" spans="2:5">
      <c r="B4298"/>
      <c r="C4298"/>
      <c r="E4298"/>
    </row>
    <row r="4299" spans="2:5">
      <c r="B4299"/>
      <c r="C4299"/>
      <c r="E4299"/>
    </row>
    <row r="4300" spans="2:5">
      <c r="B4300"/>
      <c r="C4300"/>
      <c r="E4300"/>
    </row>
    <row r="4301" spans="2:5">
      <c r="B4301"/>
      <c r="C4301"/>
      <c r="E4301"/>
    </row>
    <row r="4302" spans="2:5">
      <c r="B4302"/>
      <c r="C4302"/>
      <c r="E4302"/>
    </row>
    <row r="4303" spans="2:5">
      <c r="B4303"/>
      <c r="C4303"/>
      <c r="E4303"/>
    </row>
    <row r="4304" spans="2:5">
      <c r="B4304"/>
      <c r="C4304"/>
      <c r="E4304"/>
    </row>
    <row r="4305" spans="2:5">
      <c r="B4305"/>
      <c r="C4305"/>
      <c r="E4305"/>
    </row>
    <row r="4306" spans="2:5">
      <c r="B4306"/>
      <c r="C4306"/>
      <c r="E4306"/>
    </row>
    <row r="4307" spans="2:5">
      <c r="B4307"/>
      <c r="C4307"/>
      <c r="E4307"/>
    </row>
    <row r="4308" spans="2:5">
      <c r="B4308"/>
      <c r="C4308"/>
      <c r="E4308"/>
    </row>
    <row r="4309" spans="2:5">
      <c r="B4309"/>
      <c r="C4309"/>
      <c r="E4309"/>
    </row>
    <row r="4310" spans="2:5">
      <c r="B4310"/>
      <c r="C4310"/>
      <c r="E4310"/>
    </row>
    <row r="4311" spans="2:5">
      <c r="B4311"/>
      <c r="C4311"/>
      <c r="E4311"/>
    </row>
    <row r="4312" spans="2:5">
      <c r="B4312"/>
      <c r="C4312"/>
      <c r="E4312"/>
    </row>
    <row r="4313" spans="2:5">
      <c r="B4313"/>
      <c r="C4313"/>
      <c r="E4313"/>
    </row>
    <row r="4314" spans="2:5">
      <c r="B4314"/>
      <c r="C4314"/>
      <c r="E4314"/>
    </row>
    <row r="4315" spans="2:5">
      <c r="B4315"/>
      <c r="C4315"/>
      <c r="E4315"/>
    </row>
    <row r="4316" spans="2:5">
      <c r="B4316"/>
      <c r="C4316"/>
      <c r="E4316"/>
    </row>
    <row r="4317" spans="2:5">
      <c r="B4317"/>
      <c r="C4317"/>
      <c r="E4317"/>
    </row>
    <row r="4318" spans="2:5">
      <c r="B4318"/>
      <c r="C4318"/>
      <c r="E4318"/>
    </row>
    <row r="4319" spans="2:5">
      <c r="B4319"/>
      <c r="C4319"/>
      <c r="E4319"/>
    </row>
    <row r="4320" spans="2:5">
      <c r="B4320"/>
      <c r="C4320"/>
      <c r="E4320"/>
    </row>
    <row r="4321" spans="2:5">
      <c r="B4321"/>
      <c r="C4321"/>
      <c r="E4321"/>
    </row>
    <row r="4322" spans="2:5">
      <c r="B4322"/>
      <c r="C4322"/>
      <c r="E4322"/>
    </row>
    <row r="4323" spans="2:5">
      <c r="B4323"/>
      <c r="C4323"/>
      <c r="E4323"/>
    </row>
    <row r="4324" spans="2:5">
      <c r="B4324"/>
      <c r="C4324"/>
      <c r="E4324"/>
    </row>
    <row r="4325" spans="2:5">
      <c r="B4325"/>
      <c r="C4325"/>
      <c r="E4325"/>
    </row>
    <row r="4326" spans="2:5">
      <c r="B4326"/>
      <c r="C4326"/>
      <c r="E4326"/>
    </row>
    <row r="4327" spans="2:5">
      <c r="B4327"/>
      <c r="C4327"/>
      <c r="E4327"/>
    </row>
    <row r="4328" spans="2:5">
      <c r="B4328"/>
      <c r="C4328"/>
      <c r="E4328"/>
    </row>
    <row r="4329" spans="2:5">
      <c r="B4329"/>
      <c r="C4329"/>
      <c r="E4329"/>
    </row>
    <row r="4330" spans="2:5">
      <c r="B4330"/>
      <c r="C4330"/>
      <c r="E4330"/>
    </row>
    <row r="4331" spans="2:5">
      <c r="B4331"/>
      <c r="C4331"/>
      <c r="E4331"/>
    </row>
    <row r="4332" spans="2:5">
      <c r="B4332"/>
      <c r="C4332"/>
      <c r="E4332"/>
    </row>
    <row r="4333" spans="2:5">
      <c r="B4333"/>
      <c r="C4333"/>
      <c r="E4333"/>
    </row>
    <row r="4334" spans="2:5">
      <c r="B4334"/>
      <c r="C4334"/>
      <c r="E4334"/>
    </row>
    <row r="4335" spans="2:5">
      <c r="B4335"/>
      <c r="C4335"/>
      <c r="E4335"/>
    </row>
    <row r="4336" spans="2:5">
      <c r="B4336"/>
      <c r="C4336"/>
      <c r="E4336"/>
    </row>
    <row r="4337" spans="2:5">
      <c r="B4337"/>
      <c r="C4337"/>
      <c r="E4337"/>
    </row>
    <row r="4338" spans="2:5">
      <c r="B4338"/>
      <c r="C4338"/>
      <c r="E4338"/>
    </row>
    <row r="4339" spans="2:5">
      <c r="B4339"/>
      <c r="C4339"/>
      <c r="E4339"/>
    </row>
    <row r="4340" spans="2:5">
      <c r="B4340"/>
      <c r="C4340"/>
      <c r="E4340"/>
    </row>
    <row r="4341" spans="2:5">
      <c r="B4341"/>
      <c r="C4341"/>
      <c r="E4341"/>
    </row>
    <row r="4342" spans="2:5">
      <c r="B4342"/>
      <c r="C4342"/>
      <c r="E4342"/>
    </row>
    <row r="4343" spans="2:5">
      <c r="B4343"/>
      <c r="C4343"/>
      <c r="E4343"/>
    </row>
    <row r="4344" spans="2:5">
      <c r="B4344"/>
      <c r="C4344"/>
      <c r="E4344"/>
    </row>
    <row r="4345" spans="2:5">
      <c r="B4345"/>
      <c r="C4345"/>
      <c r="E4345"/>
    </row>
    <row r="4346" spans="2:5">
      <c r="B4346"/>
      <c r="C4346"/>
      <c r="E4346"/>
    </row>
    <row r="4347" spans="2:5">
      <c r="B4347"/>
      <c r="C4347"/>
      <c r="E4347"/>
    </row>
    <row r="4348" spans="2:5">
      <c r="B4348"/>
      <c r="C4348"/>
      <c r="E4348"/>
    </row>
    <row r="4349" spans="2:5">
      <c r="B4349"/>
      <c r="C4349"/>
      <c r="E4349"/>
    </row>
    <row r="4350" spans="2:5">
      <c r="B4350"/>
      <c r="C4350"/>
      <c r="E4350"/>
    </row>
    <row r="4351" spans="2:5">
      <c r="B4351"/>
      <c r="C4351"/>
      <c r="E4351"/>
    </row>
    <row r="4352" spans="2:5">
      <c r="B4352"/>
      <c r="C4352"/>
      <c r="E4352"/>
    </row>
    <row r="4353" spans="2:5">
      <c r="B4353"/>
      <c r="C4353"/>
      <c r="E4353"/>
    </row>
    <row r="4354" spans="2:5">
      <c r="B4354"/>
      <c r="C4354"/>
      <c r="E4354"/>
    </row>
    <row r="4355" spans="2:5">
      <c r="B4355"/>
      <c r="C4355"/>
      <c r="E4355"/>
    </row>
    <row r="4356" spans="2:5">
      <c r="B4356"/>
      <c r="C4356"/>
      <c r="E4356"/>
    </row>
    <row r="4357" spans="2:5">
      <c r="B4357"/>
      <c r="C4357"/>
      <c r="E4357"/>
    </row>
    <row r="4358" spans="2:5">
      <c r="B4358"/>
      <c r="C4358"/>
      <c r="E4358"/>
    </row>
    <row r="4359" spans="2:5">
      <c r="B4359"/>
      <c r="C4359"/>
      <c r="E4359"/>
    </row>
    <row r="4360" spans="2:5">
      <c r="B4360"/>
      <c r="C4360"/>
      <c r="E4360"/>
    </row>
    <row r="4361" spans="2:5">
      <c r="B4361"/>
      <c r="C4361"/>
      <c r="E4361"/>
    </row>
    <row r="4362" spans="2:5">
      <c r="B4362"/>
      <c r="C4362"/>
      <c r="E4362"/>
    </row>
    <row r="4363" spans="2:5">
      <c r="B4363"/>
      <c r="C4363"/>
      <c r="E4363"/>
    </row>
    <row r="4364" spans="2:5">
      <c r="B4364"/>
      <c r="C4364"/>
      <c r="E4364"/>
    </row>
    <row r="4365" spans="2:5">
      <c r="B4365"/>
      <c r="C4365"/>
      <c r="E4365"/>
    </row>
    <row r="4366" spans="2:5">
      <c r="B4366"/>
      <c r="C4366"/>
      <c r="E4366"/>
    </row>
    <row r="4367" spans="2:5">
      <c r="B4367"/>
      <c r="C4367"/>
      <c r="E4367"/>
    </row>
    <row r="4368" spans="2:5">
      <c r="B4368"/>
      <c r="C4368"/>
      <c r="E4368"/>
    </row>
    <row r="4369" spans="2:5">
      <c r="B4369"/>
      <c r="C4369"/>
      <c r="E4369"/>
    </row>
    <row r="4370" spans="2:5">
      <c r="B4370"/>
      <c r="C4370"/>
      <c r="E4370"/>
    </row>
    <row r="4371" spans="2:5">
      <c r="B4371"/>
      <c r="C4371"/>
      <c r="E4371"/>
    </row>
    <row r="4372" spans="2:5">
      <c r="B4372"/>
      <c r="C4372"/>
      <c r="E4372"/>
    </row>
    <row r="4373" spans="2:5">
      <c r="B4373"/>
      <c r="C4373"/>
      <c r="E4373"/>
    </row>
    <row r="4374" spans="2:5">
      <c r="B4374"/>
      <c r="C4374"/>
      <c r="E4374"/>
    </row>
    <row r="4375" spans="2:5">
      <c r="B4375"/>
      <c r="C4375"/>
      <c r="E4375"/>
    </row>
    <row r="4376" spans="2:5">
      <c r="B4376"/>
      <c r="C4376"/>
      <c r="E4376"/>
    </row>
    <row r="4377" spans="2:5">
      <c r="B4377"/>
      <c r="C4377"/>
      <c r="E4377"/>
    </row>
    <row r="4378" spans="2:5">
      <c r="B4378"/>
      <c r="C4378"/>
      <c r="E4378"/>
    </row>
    <row r="4379" spans="2:5">
      <c r="B4379"/>
      <c r="C4379"/>
      <c r="E4379"/>
    </row>
    <row r="4380" spans="2:5">
      <c r="B4380"/>
      <c r="C4380"/>
      <c r="E4380"/>
    </row>
    <row r="4381" spans="2:5">
      <c r="B4381"/>
      <c r="C4381"/>
      <c r="E4381"/>
    </row>
    <row r="4382" spans="2:5">
      <c r="B4382"/>
      <c r="C4382"/>
      <c r="E4382"/>
    </row>
    <row r="4383" spans="2:5">
      <c r="B4383"/>
      <c r="C4383"/>
      <c r="E4383"/>
    </row>
    <row r="4384" spans="2:5">
      <c r="B4384"/>
      <c r="C4384"/>
      <c r="E4384"/>
    </row>
    <row r="4385" spans="2:5">
      <c r="B4385"/>
      <c r="C4385"/>
      <c r="E4385"/>
    </row>
    <row r="4386" spans="2:5">
      <c r="B4386"/>
      <c r="C4386"/>
      <c r="E4386"/>
    </row>
    <row r="4387" spans="2:5">
      <c r="B4387"/>
      <c r="C4387"/>
      <c r="E4387"/>
    </row>
    <row r="4388" spans="2:5">
      <c r="B4388"/>
      <c r="C4388"/>
      <c r="E4388"/>
    </row>
    <row r="4389" spans="2:5">
      <c r="B4389"/>
      <c r="C4389"/>
      <c r="E4389"/>
    </row>
    <row r="4390" spans="2:5">
      <c r="B4390"/>
      <c r="C4390"/>
      <c r="E4390"/>
    </row>
    <row r="4391" spans="2:5">
      <c r="B4391"/>
      <c r="C4391"/>
      <c r="E4391"/>
    </row>
    <row r="4392" spans="2:5">
      <c r="B4392"/>
      <c r="C4392"/>
      <c r="E4392"/>
    </row>
    <row r="4393" spans="2:5">
      <c r="B4393"/>
      <c r="C4393"/>
      <c r="E4393"/>
    </row>
    <row r="4394" spans="2:5">
      <c r="B4394"/>
      <c r="C4394"/>
      <c r="E4394"/>
    </row>
    <row r="4395" spans="2:5">
      <c r="B4395"/>
      <c r="C4395"/>
      <c r="E4395"/>
    </row>
    <row r="4396" spans="2:5">
      <c r="B4396"/>
      <c r="C4396"/>
      <c r="E4396"/>
    </row>
    <row r="4397" spans="2:5">
      <c r="B4397"/>
      <c r="C4397"/>
      <c r="E4397"/>
    </row>
    <row r="4398" spans="2:5">
      <c r="B4398"/>
      <c r="C4398"/>
      <c r="E4398"/>
    </row>
    <row r="4399" spans="2:5">
      <c r="B4399"/>
      <c r="C4399"/>
      <c r="E4399"/>
    </row>
    <row r="4400" spans="2:5">
      <c r="B4400"/>
      <c r="C4400"/>
      <c r="E4400"/>
    </row>
    <row r="4401" spans="2:5">
      <c r="B4401"/>
      <c r="C4401"/>
      <c r="E4401"/>
    </row>
    <row r="4402" spans="2:5">
      <c r="B4402"/>
      <c r="C4402"/>
      <c r="E4402"/>
    </row>
    <row r="4403" spans="2:5">
      <c r="B4403"/>
      <c r="C4403"/>
      <c r="E4403"/>
    </row>
    <row r="4404" spans="2:5">
      <c r="B4404"/>
      <c r="C4404"/>
      <c r="E4404"/>
    </row>
    <row r="4405" spans="2:5">
      <c r="B4405"/>
      <c r="C4405"/>
      <c r="E4405"/>
    </row>
    <row r="4406" spans="2:5">
      <c r="B4406"/>
      <c r="C4406"/>
      <c r="E4406"/>
    </row>
    <row r="4407" spans="2:5">
      <c r="B4407"/>
      <c r="C4407"/>
      <c r="E4407"/>
    </row>
    <row r="4408" spans="2:5">
      <c r="B4408"/>
      <c r="C4408"/>
      <c r="E4408"/>
    </row>
    <row r="4409" spans="2:5">
      <c r="B4409"/>
      <c r="C4409"/>
      <c r="E4409"/>
    </row>
    <row r="4410" spans="2:5">
      <c r="B4410"/>
      <c r="C4410"/>
      <c r="E4410"/>
    </row>
    <row r="4411" spans="2:5">
      <c r="B4411"/>
      <c r="C4411"/>
      <c r="E4411"/>
    </row>
    <row r="4412" spans="2:5">
      <c r="B4412"/>
      <c r="C4412"/>
      <c r="E4412"/>
    </row>
    <row r="4413" spans="2:5">
      <c r="B4413"/>
      <c r="C4413"/>
      <c r="E4413"/>
    </row>
    <row r="4414" spans="2:5">
      <c r="B4414"/>
      <c r="C4414"/>
      <c r="E4414"/>
    </row>
    <row r="4415" spans="2:5">
      <c r="B4415"/>
      <c r="C4415"/>
      <c r="E4415"/>
    </row>
    <row r="4416" spans="2:5">
      <c r="B4416"/>
      <c r="C4416"/>
      <c r="E4416"/>
    </row>
    <row r="4417" spans="2:5">
      <c r="B4417"/>
      <c r="C4417"/>
      <c r="E4417"/>
    </row>
    <row r="4418" spans="2:5">
      <c r="B4418"/>
      <c r="C4418"/>
      <c r="E4418"/>
    </row>
    <row r="4419" spans="2:5">
      <c r="B4419"/>
      <c r="C4419"/>
      <c r="E4419"/>
    </row>
    <row r="4420" spans="2:5">
      <c r="B4420"/>
      <c r="C4420"/>
      <c r="E4420"/>
    </row>
    <row r="4421" spans="2:5">
      <c r="B4421"/>
      <c r="C4421"/>
      <c r="E4421"/>
    </row>
    <row r="4422" spans="2:5">
      <c r="B4422"/>
      <c r="C4422"/>
      <c r="E4422"/>
    </row>
    <row r="4423" spans="2:5">
      <c r="B4423"/>
      <c r="C4423"/>
      <c r="E4423"/>
    </row>
    <row r="4424" spans="2:5">
      <c r="B4424"/>
      <c r="C4424"/>
      <c r="E4424"/>
    </row>
    <row r="4425" spans="2:5">
      <c r="B4425"/>
      <c r="C4425"/>
      <c r="E4425"/>
    </row>
    <row r="4426" spans="2:5">
      <c r="B4426"/>
      <c r="C4426"/>
      <c r="E4426"/>
    </row>
    <row r="4427" spans="2:5">
      <c r="B4427"/>
      <c r="C4427"/>
      <c r="E4427"/>
    </row>
    <row r="4428" spans="2:5">
      <c r="B4428"/>
      <c r="C4428"/>
      <c r="E4428"/>
    </row>
    <row r="4429" spans="2:5">
      <c r="B4429"/>
      <c r="C4429"/>
      <c r="E4429"/>
    </row>
    <row r="4430" spans="2:5">
      <c r="B4430"/>
      <c r="C4430"/>
      <c r="E4430"/>
    </row>
    <row r="4431" spans="2:5">
      <c r="B4431"/>
      <c r="C4431"/>
      <c r="E4431"/>
    </row>
    <row r="4432" spans="2:5">
      <c r="B4432"/>
      <c r="C4432"/>
      <c r="E4432"/>
    </row>
    <row r="4433" spans="2:5">
      <c r="B4433"/>
      <c r="C4433"/>
      <c r="E4433"/>
    </row>
    <row r="4434" spans="2:5">
      <c r="B4434"/>
      <c r="C4434"/>
      <c r="E4434"/>
    </row>
    <row r="4435" spans="2:5">
      <c r="B4435"/>
      <c r="C4435"/>
      <c r="E4435"/>
    </row>
    <row r="4436" spans="2:5">
      <c r="B4436"/>
      <c r="C4436"/>
      <c r="E4436"/>
    </row>
    <row r="4437" spans="2:5">
      <c r="B4437"/>
      <c r="C4437"/>
      <c r="E4437"/>
    </row>
    <row r="4438" spans="2:5">
      <c r="B4438"/>
      <c r="C4438"/>
      <c r="E4438"/>
    </row>
    <row r="4439" spans="2:5">
      <c r="B4439"/>
      <c r="C4439"/>
      <c r="E4439"/>
    </row>
    <row r="4440" spans="2:5">
      <c r="B4440"/>
      <c r="C4440"/>
      <c r="E4440"/>
    </row>
    <row r="4441" spans="2:5">
      <c r="B4441"/>
      <c r="C4441"/>
      <c r="E4441"/>
    </row>
    <row r="4442" spans="2:5">
      <c r="B4442"/>
      <c r="C4442"/>
      <c r="E4442"/>
    </row>
    <row r="4443" spans="2:5">
      <c r="B4443"/>
      <c r="C4443"/>
      <c r="E4443"/>
    </row>
    <row r="4444" spans="2:5">
      <c r="B4444"/>
      <c r="C4444"/>
      <c r="E4444"/>
    </row>
    <row r="4445" spans="2:5">
      <c r="B4445"/>
      <c r="C4445"/>
      <c r="E4445"/>
    </row>
    <row r="4446" spans="2:5">
      <c r="B4446"/>
      <c r="C4446"/>
      <c r="E4446"/>
    </row>
    <row r="4447" spans="2:5">
      <c r="B4447"/>
      <c r="C4447"/>
      <c r="E4447"/>
    </row>
    <row r="4448" spans="2:5">
      <c r="B4448"/>
      <c r="C4448"/>
      <c r="E4448"/>
    </row>
    <row r="4449" spans="2:5">
      <c r="B4449"/>
      <c r="C4449"/>
      <c r="E4449"/>
    </row>
    <row r="4450" spans="2:5">
      <c r="B4450"/>
      <c r="C4450"/>
      <c r="E4450"/>
    </row>
    <row r="4451" spans="2:5">
      <c r="B4451"/>
      <c r="C4451"/>
      <c r="E4451"/>
    </row>
    <row r="4452" spans="2:5">
      <c r="B4452"/>
      <c r="C4452"/>
      <c r="E4452"/>
    </row>
    <row r="4453" spans="2:5">
      <c r="B4453"/>
      <c r="C4453"/>
      <c r="E4453"/>
    </row>
    <row r="4454" spans="2:5">
      <c r="B4454"/>
      <c r="C4454"/>
      <c r="E4454"/>
    </row>
    <row r="4455" spans="2:5">
      <c r="B4455"/>
      <c r="C4455"/>
      <c r="E4455"/>
    </row>
    <row r="4456" spans="2:5">
      <c r="B4456"/>
      <c r="C4456"/>
      <c r="E4456"/>
    </row>
    <row r="4457" spans="2:5">
      <c r="B4457"/>
      <c r="C4457"/>
      <c r="E4457"/>
    </row>
    <row r="4458" spans="2:5">
      <c r="B4458"/>
      <c r="C4458"/>
      <c r="E4458"/>
    </row>
    <row r="4459" spans="2:5">
      <c r="B4459"/>
      <c r="C4459"/>
      <c r="E4459"/>
    </row>
    <row r="4460" spans="2:5">
      <c r="B4460"/>
      <c r="C4460"/>
      <c r="E4460"/>
    </row>
    <row r="4461" spans="2:5">
      <c r="B4461"/>
      <c r="C4461"/>
      <c r="E4461"/>
    </row>
    <row r="4462" spans="2:5">
      <c r="B4462"/>
      <c r="C4462"/>
      <c r="E4462"/>
    </row>
    <row r="4463" spans="2:5">
      <c r="B4463"/>
      <c r="C4463"/>
      <c r="E4463"/>
    </row>
    <row r="4464" spans="2:5">
      <c r="B4464"/>
      <c r="C4464"/>
      <c r="E4464"/>
    </row>
    <row r="4465" spans="2:5">
      <c r="B4465"/>
      <c r="C4465"/>
      <c r="E4465"/>
    </row>
    <row r="4466" spans="2:5">
      <c r="B4466"/>
      <c r="C4466"/>
      <c r="E4466"/>
    </row>
    <row r="4467" spans="2:5">
      <c r="B4467"/>
      <c r="C4467"/>
      <c r="E4467"/>
    </row>
    <row r="4468" spans="2:5">
      <c r="B4468"/>
      <c r="C4468"/>
      <c r="E4468"/>
    </row>
    <row r="4469" spans="2:5">
      <c r="B4469"/>
      <c r="C4469"/>
      <c r="E4469"/>
    </row>
    <row r="4470" spans="2:5">
      <c r="B4470"/>
      <c r="C4470"/>
      <c r="E4470"/>
    </row>
    <row r="4471" spans="2:5">
      <c r="B4471"/>
      <c r="C4471"/>
      <c r="E4471"/>
    </row>
    <row r="4472" spans="2:5">
      <c r="B4472"/>
      <c r="C4472"/>
      <c r="E4472"/>
    </row>
    <row r="4473" spans="2:5">
      <c r="B4473"/>
      <c r="C4473"/>
      <c r="E4473"/>
    </row>
    <row r="4474" spans="2:5">
      <c r="B4474"/>
      <c r="C4474"/>
      <c r="E4474"/>
    </row>
    <row r="4475" spans="2:5">
      <c r="B4475"/>
      <c r="C4475"/>
      <c r="E4475"/>
    </row>
    <row r="4476" spans="2:5">
      <c r="B4476"/>
      <c r="C4476"/>
      <c r="E4476"/>
    </row>
    <row r="4477" spans="2:5">
      <c r="B4477"/>
      <c r="C4477"/>
      <c r="E4477"/>
    </row>
    <row r="4478" spans="2:5">
      <c r="B4478"/>
      <c r="C4478"/>
      <c r="E4478"/>
    </row>
    <row r="4479" spans="2:5">
      <c r="B4479"/>
      <c r="C4479"/>
      <c r="E4479"/>
    </row>
    <row r="4480" spans="2:5">
      <c r="B4480"/>
      <c r="C4480"/>
      <c r="E4480"/>
    </row>
    <row r="4481" spans="2:5">
      <c r="B4481"/>
      <c r="C4481"/>
      <c r="E4481"/>
    </row>
    <row r="4482" spans="2:5">
      <c r="B4482"/>
      <c r="C4482"/>
      <c r="E4482"/>
    </row>
    <row r="4483" spans="2:5">
      <c r="B4483"/>
      <c r="C4483"/>
      <c r="E4483"/>
    </row>
    <row r="4484" spans="2:5">
      <c r="B4484"/>
      <c r="C4484"/>
      <c r="E4484"/>
    </row>
    <row r="4485" spans="2:5">
      <c r="B4485"/>
      <c r="C4485"/>
      <c r="E4485"/>
    </row>
    <row r="4486" spans="2:5">
      <c r="B4486"/>
      <c r="C4486"/>
      <c r="E4486"/>
    </row>
    <row r="4487" spans="2:5">
      <c r="B4487"/>
      <c r="C4487"/>
      <c r="E4487"/>
    </row>
    <row r="4488" spans="2:5">
      <c r="B4488"/>
      <c r="C4488"/>
      <c r="E4488"/>
    </row>
    <row r="4489" spans="2:5">
      <c r="B4489"/>
      <c r="C4489"/>
      <c r="E4489"/>
    </row>
    <row r="4490" spans="2:5">
      <c r="B4490"/>
      <c r="C4490"/>
      <c r="E4490"/>
    </row>
    <row r="4491" spans="2:5">
      <c r="B4491"/>
      <c r="C4491"/>
      <c r="E4491"/>
    </row>
    <row r="4492" spans="2:5">
      <c r="B4492"/>
      <c r="C4492"/>
      <c r="E4492"/>
    </row>
    <row r="4493" spans="2:5">
      <c r="B4493"/>
      <c r="C4493"/>
      <c r="E4493"/>
    </row>
    <row r="4494" spans="2:5">
      <c r="B4494"/>
      <c r="C4494"/>
      <c r="E4494"/>
    </row>
    <row r="4495" spans="2:5">
      <c r="B4495"/>
      <c r="C4495"/>
      <c r="E4495"/>
    </row>
    <row r="4496" spans="2:5">
      <c r="B4496"/>
      <c r="C4496"/>
      <c r="E4496"/>
    </row>
    <row r="4497" spans="2:5">
      <c r="B4497"/>
      <c r="C4497"/>
      <c r="E4497"/>
    </row>
    <row r="4498" spans="2:5">
      <c r="B4498"/>
      <c r="C4498"/>
      <c r="E4498"/>
    </row>
    <row r="4499" spans="2:5">
      <c r="B4499"/>
      <c r="C4499"/>
      <c r="E4499"/>
    </row>
    <row r="4500" spans="2:5">
      <c r="B4500"/>
      <c r="C4500"/>
      <c r="E4500"/>
    </row>
    <row r="4501" spans="2:5">
      <c r="B4501"/>
      <c r="C4501"/>
      <c r="E4501"/>
    </row>
    <row r="4502" spans="2:5">
      <c r="B4502"/>
      <c r="C4502"/>
      <c r="E4502"/>
    </row>
    <row r="4503" spans="2:5">
      <c r="B4503"/>
      <c r="C4503"/>
      <c r="E4503"/>
    </row>
    <row r="4504" spans="2:5">
      <c r="B4504"/>
      <c r="C4504"/>
      <c r="E4504"/>
    </row>
    <row r="4505" spans="2:5">
      <c r="B4505"/>
      <c r="C4505"/>
      <c r="E4505"/>
    </row>
    <row r="4506" spans="2:5">
      <c r="B4506"/>
      <c r="C4506"/>
      <c r="E4506"/>
    </row>
    <row r="4507" spans="2:5">
      <c r="B4507"/>
      <c r="C4507"/>
      <c r="E4507"/>
    </row>
    <row r="4508" spans="2:5">
      <c r="B4508"/>
      <c r="C4508"/>
      <c r="E4508"/>
    </row>
    <row r="4509" spans="2:5">
      <c r="B4509"/>
      <c r="C4509"/>
      <c r="E4509"/>
    </row>
    <row r="4510" spans="2:5">
      <c r="B4510"/>
      <c r="C4510"/>
      <c r="E4510"/>
    </row>
    <row r="4511" spans="2:5">
      <c r="B4511"/>
      <c r="C4511"/>
      <c r="E4511"/>
    </row>
    <row r="4512" spans="2:5">
      <c r="B4512"/>
      <c r="C4512"/>
      <c r="E4512"/>
    </row>
    <row r="4513" spans="2:5">
      <c r="B4513"/>
      <c r="C4513"/>
      <c r="E4513"/>
    </row>
    <row r="4514" spans="2:5">
      <c r="B4514"/>
      <c r="C4514"/>
      <c r="E4514"/>
    </row>
    <row r="4515" spans="2:5">
      <c r="B4515"/>
      <c r="C4515"/>
      <c r="E4515"/>
    </row>
    <row r="4516" spans="2:5">
      <c r="B4516"/>
      <c r="C4516"/>
      <c r="E4516"/>
    </row>
    <row r="4517" spans="2:5">
      <c r="B4517"/>
      <c r="C4517"/>
      <c r="E4517"/>
    </row>
    <row r="4518" spans="2:5">
      <c r="B4518"/>
      <c r="C4518"/>
      <c r="E4518"/>
    </row>
    <row r="4519" spans="2:5">
      <c r="B4519"/>
      <c r="C4519"/>
      <c r="E4519"/>
    </row>
    <row r="4520" spans="2:5">
      <c r="B4520"/>
      <c r="C4520"/>
      <c r="E4520"/>
    </row>
    <row r="4521" spans="2:5">
      <c r="B4521"/>
      <c r="C4521"/>
      <c r="E4521"/>
    </row>
    <row r="4522" spans="2:5">
      <c r="B4522"/>
      <c r="C4522"/>
      <c r="E4522"/>
    </row>
    <row r="4523" spans="2:5">
      <c r="B4523"/>
      <c r="C4523"/>
      <c r="E4523"/>
    </row>
    <row r="4524" spans="2:5">
      <c r="B4524"/>
      <c r="C4524"/>
      <c r="E4524"/>
    </row>
    <row r="4525" spans="2:5">
      <c r="B4525"/>
      <c r="C4525"/>
      <c r="E4525"/>
    </row>
    <row r="4526" spans="2:5">
      <c r="B4526"/>
      <c r="C4526"/>
      <c r="E4526"/>
    </row>
    <row r="4527" spans="2:5">
      <c r="B4527"/>
      <c r="C4527"/>
      <c r="E4527"/>
    </row>
    <row r="4528" spans="2:5">
      <c r="B4528"/>
      <c r="C4528"/>
      <c r="E4528"/>
    </row>
    <row r="4529" spans="2:5">
      <c r="B4529"/>
      <c r="C4529"/>
      <c r="E4529"/>
    </row>
    <row r="4530" spans="2:5">
      <c r="B4530"/>
      <c r="C4530"/>
      <c r="E4530"/>
    </row>
    <row r="4531" spans="2:5">
      <c r="B4531"/>
      <c r="C4531"/>
      <c r="E4531"/>
    </row>
    <row r="4532" spans="2:5">
      <c r="B4532"/>
      <c r="C4532"/>
      <c r="E4532"/>
    </row>
    <row r="4533" spans="2:5">
      <c r="B4533"/>
      <c r="C4533"/>
      <c r="E4533"/>
    </row>
    <row r="4534" spans="2:5">
      <c r="B4534"/>
      <c r="C4534"/>
      <c r="E4534"/>
    </row>
    <row r="4535" spans="2:5">
      <c r="B4535"/>
      <c r="C4535"/>
      <c r="E4535"/>
    </row>
    <row r="4536" spans="2:5">
      <c r="B4536"/>
      <c r="C4536"/>
      <c r="E4536"/>
    </row>
    <row r="4537" spans="2:5">
      <c r="B4537"/>
      <c r="C4537"/>
      <c r="E4537"/>
    </row>
    <row r="4538" spans="2:5">
      <c r="B4538"/>
      <c r="C4538"/>
      <c r="E4538"/>
    </row>
    <row r="4539" spans="2:5">
      <c r="B4539"/>
      <c r="C4539"/>
      <c r="E4539"/>
    </row>
    <row r="4540" spans="2:5">
      <c r="B4540"/>
      <c r="C4540"/>
      <c r="E4540"/>
    </row>
    <row r="4541" spans="2:5">
      <c r="B4541"/>
      <c r="C4541"/>
      <c r="E4541"/>
    </row>
    <row r="4542" spans="2:5">
      <c r="B4542"/>
      <c r="C4542"/>
      <c r="E4542"/>
    </row>
    <row r="4543" spans="2:5">
      <c r="B4543"/>
      <c r="C4543"/>
      <c r="E4543"/>
    </row>
    <row r="4544" spans="2:5">
      <c r="B4544"/>
      <c r="C4544"/>
      <c r="E4544"/>
    </row>
    <row r="4545" spans="2:5">
      <c r="B4545"/>
      <c r="C4545"/>
      <c r="E4545"/>
    </row>
    <row r="4546" spans="2:5">
      <c r="B4546"/>
      <c r="C4546"/>
      <c r="E4546"/>
    </row>
    <row r="4547" spans="2:5">
      <c r="B4547"/>
      <c r="C4547"/>
      <c r="E4547"/>
    </row>
    <row r="4548" spans="2:5">
      <c r="B4548"/>
      <c r="C4548"/>
      <c r="E4548"/>
    </row>
    <row r="4549" spans="2:5">
      <c r="B4549"/>
      <c r="C4549"/>
      <c r="E4549"/>
    </row>
    <row r="4550" spans="2:5">
      <c r="B4550"/>
      <c r="C4550"/>
      <c r="E4550"/>
    </row>
    <row r="4551" spans="2:5">
      <c r="B4551"/>
      <c r="C4551"/>
      <c r="E4551"/>
    </row>
    <row r="4552" spans="2:5">
      <c r="B4552"/>
      <c r="C4552"/>
      <c r="E4552"/>
    </row>
    <row r="4553" spans="2:5">
      <c r="B4553"/>
      <c r="C4553"/>
      <c r="E4553"/>
    </row>
    <row r="4554" spans="2:5">
      <c r="B4554"/>
      <c r="C4554"/>
      <c r="E4554"/>
    </row>
    <row r="4555" spans="2:5">
      <c r="B4555"/>
      <c r="C4555"/>
      <c r="E4555"/>
    </row>
    <row r="4556" spans="2:5">
      <c r="B4556"/>
      <c r="C4556"/>
      <c r="E4556"/>
    </row>
    <row r="4557" spans="2:5">
      <c r="B4557"/>
      <c r="C4557"/>
      <c r="E4557"/>
    </row>
    <row r="4558" spans="2:5">
      <c r="B4558"/>
      <c r="C4558"/>
      <c r="E4558"/>
    </row>
    <row r="4559" spans="2:5">
      <c r="B4559"/>
      <c r="C4559"/>
      <c r="E4559"/>
    </row>
    <row r="4560" spans="2:5">
      <c r="B4560"/>
      <c r="C4560"/>
      <c r="E4560"/>
    </row>
    <row r="4561" spans="2:5">
      <c r="B4561"/>
      <c r="C4561"/>
      <c r="E4561"/>
    </row>
    <row r="4562" spans="2:5">
      <c r="B4562"/>
      <c r="C4562"/>
      <c r="E4562"/>
    </row>
    <row r="4563" spans="2:5">
      <c r="B4563"/>
      <c r="C4563"/>
      <c r="E4563"/>
    </row>
    <row r="4564" spans="2:5">
      <c r="B4564"/>
      <c r="C4564"/>
      <c r="E4564"/>
    </row>
    <row r="4565" spans="2:5">
      <c r="B4565"/>
      <c r="C4565"/>
      <c r="E4565"/>
    </row>
    <row r="4566" spans="2:5">
      <c r="B4566"/>
      <c r="C4566"/>
      <c r="E4566"/>
    </row>
    <row r="4567" spans="2:5">
      <c r="B4567"/>
      <c r="C4567"/>
      <c r="E4567"/>
    </row>
    <row r="4568" spans="2:5">
      <c r="B4568"/>
      <c r="C4568"/>
      <c r="E4568"/>
    </row>
    <row r="4569" spans="2:5">
      <c r="B4569"/>
      <c r="C4569"/>
      <c r="E4569"/>
    </row>
    <row r="4570" spans="2:5">
      <c r="B4570"/>
      <c r="C4570"/>
      <c r="E4570"/>
    </row>
    <row r="4571" spans="2:5">
      <c r="B4571"/>
      <c r="C4571"/>
      <c r="E4571"/>
    </row>
    <row r="4572" spans="2:5">
      <c r="B4572"/>
      <c r="C4572"/>
      <c r="E4572"/>
    </row>
    <row r="4573" spans="2:5">
      <c r="B4573"/>
      <c r="C4573"/>
      <c r="E4573"/>
    </row>
    <row r="4574" spans="2:5">
      <c r="B4574"/>
      <c r="C4574"/>
      <c r="E4574"/>
    </row>
    <row r="4575" spans="2:5">
      <c r="B4575"/>
      <c r="C4575"/>
      <c r="E4575"/>
    </row>
    <row r="4576" spans="2:5">
      <c r="B4576"/>
      <c r="C4576"/>
      <c r="E4576"/>
    </row>
    <row r="4577" spans="2:5">
      <c r="B4577"/>
      <c r="C4577"/>
      <c r="E4577"/>
    </row>
    <row r="4578" spans="2:5">
      <c r="B4578"/>
      <c r="C4578"/>
      <c r="E4578"/>
    </row>
    <row r="4579" spans="2:5">
      <c r="B4579"/>
      <c r="C4579"/>
      <c r="E4579"/>
    </row>
    <row r="4580" spans="2:5">
      <c r="B4580"/>
      <c r="C4580"/>
      <c r="E4580"/>
    </row>
    <row r="4581" spans="2:5">
      <c r="B4581"/>
      <c r="C4581"/>
      <c r="E4581"/>
    </row>
    <row r="4582" spans="2:5">
      <c r="B4582"/>
      <c r="C4582"/>
      <c r="E4582"/>
    </row>
    <row r="4583" spans="2:5">
      <c r="B4583"/>
      <c r="C4583"/>
      <c r="E4583"/>
    </row>
    <row r="4584" spans="2:5">
      <c r="B4584"/>
      <c r="C4584"/>
      <c r="E4584"/>
    </row>
    <row r="4585" spans="2:5">
      <c r="B4585"/>
      <c r="C4585"/>
      <c r="E4585"/>
    </row>
    <row r="4586" spans="2:5">
      <c r="B4586"/>
      <c r="C4586"/>
      <c r="E4586"/>
    </row>
    <row r="4587" spans="2:5">
      <c r="B4587"/>
      <c r="C4587"/>
      <c r="E4587"/>
    </row>
    <row r="4588" spans="2:5">
      <c r="B4588"/>
      <c r="C4588"/>
      <c r="E4588"/>
    </row>
    <row r="4589" spans="2:5">
      <c r="B4589"/>
      <c r="C4589"/>
      <c r="E4589"/>
    </row>
    <row r="4590" spans="2:5">
      <c r="B4590"/>
      <c r="C4590"/>
      <c r="E4590"/>
    </row>
    <row r="4591" spans="2:5">
      <c r="B4591"/>
      <c r="C4591"/>
      <c r="E4591"/>
    </row>
    <row r="4592" spans="2:5">
      <c r="B4592"/>
      <c r="C4592"/>
      <c r="E4592"/>
    </row>
    <row r="4593" spans="2:5">
      <c r="B4593"/>
      <c r="C4593"/>
      <c r="E4593"/>
    </row>
    <row r="4594" spans="2:5">
      <c r="B4594"/>
      <c r="C4594"/>
      <c r="E4594"/>
    </row>
    <row r="4595" spans="2:5">
      <c r="B4595"/>
      <c r="C4595"/>
      <c r="E4595"/>
    </row>
    <row r="4596" spans="2:5">
      <c r="B4596"/>
      <c r="C4596"/>
      <c r="E4596"/>
    </row>
    <row r="4597" spans="2:5">
      <c r="B4597"/>
      <c r="C4597"/>
      <c r="E4597"/>
    </row>
    <row r="4598" spans="2:5">
      <c r="B4598"/>
      <c r="C4598"/>
      <c r="E4598"/>
    </row>
    <row r="4599" spans="2:5">
      <c r="B4599"/>
      <c r="C4599"/>
      <c r="E4599"/>
    </row>
    <row r="4600" spans="2:5">
      <c r="B4600"/>
      <c r="C4600"/>
      <c r="E4600"/>
    </row>
    <row r="4601" spans="2:5">
      <c r="B4601"/>
      <c r="C4601"/>
      <c r="E4601"/>
    </row>
    <row r="4602" spans="2:5">
      <c r="B4602"/>
      <c r="C4602"/>
      <c r="E4602"/>
    </row>
    <row r="4603" spans="2:5">
      <c r="B4603"/>
      <c r="C4603"/>
      <c r="E4603"/>
    </row>
    <row r="4604" spans="2:5">
      <c r="B4604"/>
      <c r="C4604"/>
      <c r="E4604"/>
    </row>
    <row r="4605" spans="2:5">
      <c r="B4605"/>
      <c r="C4605"/>
      <c r="E4605"/>
    </row>
    <row r="4606" spans="2:5">
      <c r="B4606"/>
      <c r="C4606"/>
      <c r="E4606"/>
    </row>
    <row r="4607" spans="2:5">
      <c r="B4607"/>
      <c r="C4607"/>
      <c r="E4607"/>
    </row>
    <row r="4608" spans="2:5">
      <c r="B4608"/>
      <c r="C4608"/>
      <c r="E4608"/>
    </row>
    <row r="4609" spans="2:5">
      <c r="B4609"/>
      <c r="C4609"/>
      <c r="E4609"/>
    </row>
    <row r="4610" spans="2:5">
      <c r="B4610"/>
      <c r="C4610"/>
      <c r="E4610"/>
    </row>
    <row r="4611" spans="2:5">
      <c r="B4611"/>
      <c r="C4611"/>
      <c r="E4611"/>
    </row>
    <row r="4612" spans="2:5">
      <c r="B4612"/>
      <c r="C4612"/>
      <c r="E4612"/>
    </row>
    <row r="4613" spans="2:5">
      <c r="B4613"/>
      <c r="C4613"/>
      <c r="E4613"/>
    </row>
    <row r="4614" spans="2:5">
      <c r="B4614"/>
      <c r="C4614"/>
      <c r="E4614"/>
    </row>
    <row r="4615" spans="2:5">
      <c r="B4615"/>
      <c r="C4615"/>
      <c r="E4615"/>
    </row>
    <row r="4616" spans="2:5">
      <c r="B4616"/>
      <c r="C4616"/>
      <c r="E4616"/>
    </row>
    <row r="4617" spans="2:5">
      <c r="B4617"/>
      <c r="C4617"/>
      <c r="E4617"/>
    </row>
    <row r="4618" spans="2:5">
      <c r="B4618"/>
      <c r="C4618"/>
      <c r="E4618"/>
    </row>
    <row r="4619" spans="2:5">
      <c r="B4619"/>
      <c r="C4619"/>
      <c r="E4619"/>
    </row>
    <row r="4620" spans="2:5">
      <c r="B4620"/>
      <c r="C4620"/>
      <c r="E4620"/>
    </row>
    <row r="4621" spans="2:5">
      <c r="B4621"/>
      <c r="C4621"/>
      <c r="E4621"/>
    </row>
    <row r="4622" spans="2:5">
      <c r="B4622"/>
      <c r="C4622"/>
      <c r="E4622"/>
    </row>
    <row r="4623" spans="2:5">
      <c r="B4623"/>
      <c r="C4623"/>
      <c r="E4623"/>
    </row>
    <row r="4624" spans="2:5">
      <c r="B4624"/>
      <c r="C4624"/>
      <c r="E4624"/>
    </row>
    <row r="4625" spans="2:5">
      <c r="B4625"/>
      <c r="C4625"/>
      <c r="E4625"/>
    </row>
    <row r="4626" spans="2:5">
      <c r="B4626"/>
      <c r="C4626"/>
      <c r="E4626"/>
    </row>
    <row r="4627" spans="2:5">
      <c r="B4627"/>
      <c r="C4627"/>
      <c r="E4627"/>
    </row>
    <row r="4628" spans="2:5">
      <c r="B4628"/>
      <c r="C4628"/>
      <c r="E4628"/>
    </row>
    <row r="4629" spans="2:5">
      <c r="B4629"/>
      <c r="C4629"/>
      <c r="E4629"/>
    </row>
    <row r="4630" spans="2:5">
      <c r="B4630"/>
      <c r="C4630"/>
      <c r="E4630"/>
    </row>
    <row r="4631" spans="2:5">
      <c r="B4631"/>
      <c r="C4631"/>
      <c r="E4631"/>
    </row>
    <row r="4632" spans="2:5">
      <c r="B4632"/>
      <c r="C4632"/>
      <c r="E4632"/>
    </row>
    <row r="4633" spans="2:5">
      <c r="B4633"/>
      <c r="C4633"/>
      <c r="E4633"/>
    </row>
    <row r="4634" spans="2:5">
      <c r="B4634"/>
      <c r="C4634"/>
      <c r="E4634"/>
    </row>
    <row r="4635" spans="2:5">
      <c r="B4635"/>
      <c r="C4635"/>
      <c r="E4635"/>
    </row>
    <row r="4636" spans="2:5">
      <c r="B4636"/>
      <c r="C4636"/>
      <c r="E4636"/>
    </row>
    <row r="4637" spans="2:5">
      <c r="B4637"/>
      <c r="C4637"/>
      <c r="E4637"/>
    </row>
    <row r="4638" spans="2:5">
      <c r="B4638"/>
      <c r="C4638"/>
      <c r="E4638"/>
    </row>
    <row r="4639" spans="2:5">
      <c r="B4639"/>
      <c r="C4639"/>
      <c r="E4639"/>
    </row>
    <row r="4640" spans="2:5">
      <c r="B4640"/>
      <c r="C4640"/>
      <c r="E4640"/>
    </row>
    <row r="4641" spans="2:5">
      <c r="B4641"/>
      <c r="C4641"/>
      <c r="E4641"/>
    </row>
    <row r="4642" spans="2:5">
      <c r="B4642"/>
      <c r="C4642"/>
      <c r="E4642"/>
    </row>
    <row r="4643" spans="2:5">
      <c r="B4643"/>
      <c r="C4643"/>
      <c r="E4643"/>
    </row>
    <row r="4644" spans="2:5">
      <c r="B4644"/>
      <c r="C4644"/>
      <c r="E4644"/>
    </row>
    <row r="4645" spans="2:5">
      <c r="B4645"/>
      <c r="C4645"/>
      <c r="E4645"/>
    </row>
    <row r="4646" spans="2:5">
      <c r="B4646"/>
      <c r="C4646"/>
      <c r="E4646"/>
    </row>
    <row r="4647" spans="2:5">
      <c r="B4647"/>
      <c r="C4647"/>
      <c r="E4647"/>
    </row>
    <row r="4648" spans="2:5">
      <c r="B4648"/>
      <c r="C4648"/>
      <c r="E4648"/>
    </row>
    <row r="4649" spans="2:5">
      <c r="B4649"/>
      <c r="C4649"/>
      <c r="E4649"/>
    </row>
    <row r="4650" spans="2:5">
      <c r="B4650"/>
      <c r="C4650"/>
      <c r="E4650"/>
    </row>
    <row r="4651" spans="2:5">
      <c r="B4651"/>
      <c r="C4651"/>
      <c r="E4651"/>
    </row>
    <row r="4652" spans="2:5">
      <c r="B4652"/>
      <c r="C4652"/>
      <c r="E4652"/>
    </row>
    <row r="4653" spans="2:5">
      <c r="B4653"/>
      <c r="C4653"/>
      <c r="E4653"/>
    </row>
    <row r="4654" spans="2:5">
      <c r="B4654"/>
      <c r="C4654"/>
      <c r="E4654"/>
    </row>
    <row r="4655" spans="2:5">
      <c r="B4655"/>
      <c r="C4655"/>
      <c r="E4655"/>
    </row>
    <row r="4656" spans="2:5">
      <c r="B4656"/>
      <c r="C4656"/>
      <c r="E4656"/>
    </row>
    <row r="4657" spans="2:5">
      <c r="B4657"/>
      <c r="C4657"/>
      <c r="E4657"/>
    </row>
    <row r="4658" spans="2:5">
      <c r="B4658"/>
      <c r="C4658"/>
      <c r="E4658"/>
    </row>
    <row r="4659" spans="2:5">
      <c r="B4659"/>
      <c r="C4659"/>
      <c r="E4659"/>
    </row>
    <row r="4660" spans="2:5">
      <c r="B4660"/>
      <c r="C4660"/>
      <c r="E4660"/>
    </row>
    <row r="4661" spans="2:5">
      <c r="B4661"/>
      <c r="C4661"/>
      <c r="E4661"/>
    </row>
    <row r="4662" spans="2:5">
      <c r="B4662"/>
      <c r="C4662"/>
      <c r="E4662"/>
    </row>
    <row r="4663" spans="2:5">
      <c r="B4663"/>
      <c r="C4663"/>
      <c r="E4663"/>
    </row>
    <row r="4664" spans="2:5">
      <c r="B4664"/>
      <c r="C4664"/>
      <c r="E4664"/>
    </row>
    <row r="4665" spans="2:5">
      <c r="B4665"/>
      <c r="C4665"/>
      <c r="E4665"/>
    </row>
    <row r="4666" spans="2:5">
      <c r="B4666"/>
      <c r="C4666"/>
      <c r="E4666"/>
    </row>
    <row r="4667" spans="2:5">
      <c r="B4667"/>
      <c r="C4667"/>
      <c r="E4667"/>
    </row>
    <row r="4668" spans="2:5">
      <c r="B4668"/>
      <c r="C4668"/>
      <c r="E4668"/>
    </row>
    <row r="4669" spans="2:5">
      <c r="B4669"/>
      <c r="C4669"/>
      <c r="E4669"/>
    </row>
    <row r="4670" spans="2:5">
      <c r="B4670"/>
      <c r="C4670"/>
      <c r="E4670"/>
    </row>
    <row r="4671" spans="2:5">
      <c r="B4671"/>
      <c r="C4671"/>
      <c r="E4671"/>
    </row>
    <row r="4672" spans="2:5">
      <c r="B4672"/>
      <c r="C4672"/>
      <c r="E4672"/>
    </row>
    <row r="4673" spans="2:5">
      <c r="B4673"/>
      <c r="C4673"/>
      <c r="E4673"/>
    </row>
    <row r="4674" spans="2:5">
      <c r="B4674"/>
      <c r="C4674"/>
      <c r="E4674"/>
    </row>
    <row r="4675" spans="2:5">
      <c r="B4675"/>
      <c r="C4675"/>
      <c r="E4675"/>
    </row>
    <row r="4676" spans="2:5">
      <c r="B4676"/>
      <c r="C4676"/>
      <c r="E4676"/>
    </row>
    <row r="4677" spans="2:5">
      <c r="B4677"/>
      <c r="C4677"/>
      <c r="E4677"/>
    </row>
    <row r="4678" spans="2:5">
      <c r="B4678"/>
      <c r="C4678"/>
      <c r="E4678"/>
    </row>
    <row r="4679" spans="2:5">
      <c r="B4679"/>
      <c r="C4679"/>
      <c r="E4679"/>
    </row>
    <row r="4680" spans="2:5">
      <c r="B4680"/>
      <c r="C4680"/>
      <c r="E4680"/>
    </row>
    <row r="4681" spans="2:5">
      <c r="B4681"/>
      <c r="C4681"/>
      <c r="E4681"/>
    </row>
    <row r="4682" spans="2:5">
      <c r="B4682"/>
      <c r="C4682"/>
      <c r="E4682"/>
    </row>
    <row r="4683" spans="2:5">
      <c r="B4683"/>
      <c r="C4683"/>
      <c r="E4683"/>
    </row>
    <row r="4684" spans="2:5">
      <c r="B4684"/>
      <c r="C4684"/>
      <c r="E4684"/>
    </row>
    <row r="4685" spans="2:5">
      <c r="B4685"/>
      <c r="C4685"/>
      <c r="E4685"/>
    </row>
    <row r="4686" spans="2:5">
      <c r="B4686"/>
      <c r="C4686"/>
      <c r="E4686"/>
    </row>
    <row r="4687" spans="2:5">
      <c r="B4687"/>
      <c r="C4687"/>
      <c r="E4687"/>
    </row>
    <row r="4688" spans="2:5">
      <c r="B4688"/>
      <c r="C4688"/>
      <c r="E4688"/>
    </row>
    <row r="4689" spans="2:5">
      <c r="B4689"/>
      <c r="C4689"/>
      <c r="E4689"/>
    </row>
    <row r="4690" spans="2:5">
      <c r="B4690"/>
      <c r="C4690"/>
      <c r="E4690"/>
    </row>
    <row r="4691" spans="2:5">
      <c r="B4691"/>
      <c r="C4691"/>
      <c r="E4691"/>
    </row>
    <row r="4692" spans="2:5">
      <c r="B4692"/>
      <c r="C4692"/>
      <c r="E4692"/>
    </row>
    <row r="4693" spans="2:5">
      <c r="B4693"/>
      <c r="C4693"/>
      <c r="E4693"/>
    </row>
    <row r="4694" spans="2:5">
      <c r="B4694"/>
      <c r="C4694"/>
      <c r="E4694"/>
    </row>
    <row r="4695" spans="2:5">
      <c r="B4695"/>
      <c r="C4695"/>
      <c r="E4695"/>
    </row>
    <row r="4696" spans="2:5">
      <c r="B4696"/>
      <c r="C4696"/>
      <c r="E4696"/>
    </row>
    <row r="4697" spans="2:5">
      <c r="B4697"/>
      <c r="C4697"/>
      <c r="E4697"/>
    </row>
    <row r="4698" spans="2:5">
      <c r="B4698"/>
      <c r="C4698"/>
      <c r="E4698"/>
    </row>
    <row r="4699" spans="2:5">
      <c r="B4699"/>
      <c r="C4699"/>
      <c r="E4699"/>
    </row>
    <row r="4700" spans="2:5">
      <c r="B4700"/>
      <c r="C4700"/>
      <c r="E4700"/>
    </row>
    <row r="4701" spans="2:5">
      <c r="B4701"/>
      <c r="C4701"/>
      <c r="E4701"/>
    </row>
    <row r="4702" spans="2:5">
      <c r="B4702"/>
      <c r="C4702"/>
      <c r="E4702"/>
    </row>
    <row r="4703" spans="2:5">
      <c r="B4703"/>
      <c r="C4703"/>
      <c r="E4703"/>
    </row>
    <row r="4704" spans="2:5">
      <c r="B4704"/>
      <c r="C4704"/>
      <c r="E4704"/>
    </row>
    <row r="4705" spans="2:5">
      <c r="B4705"/>
      <c r="C4705"/>
      <c r="E4705"/>
    </row>
    <row r="4706" spans="2:5">
      <c r="B4706"/>
      <c r="C4706"/>
      <c r="E4706"/>
    </row>
    <row r="4707" spans="2:5">
      <c r="B4707"/>
      <c r="C4707"/>
      <c r="E4707"/>
    </row>
    <row r="4708" spans="2:5">
      <c r="B4708"/>
      <c r="C4708"/>
      <c r="E4708"/>
    </row>
    <row r="4709" spans="2:5">
      <c r="B4709"/>
      <c r="C4709"/>
      <c r="E4709"/>
    </row>
    <row r="4710" spans="2:5">
      <c r="B4710"/>
      <c r="C4710"/>
      <c r="E4710"/>
    </row>
    <row r="4711" spans="2:5">
      <c r="B4711"/>
      <c r="C4711"/>
      <c r="E4711"/>
    </row>
    <row r="4712" spans="2:5">
      <c r="B4712"/>
      <c r="C4712"/>
      <c r="E4712"/>
    </row>
    <row r="4713" spans="2:5">
      <c r="B4713"/>
      <c r="C4713"/>
      <c r="E4713"/>
    </row>
    <row r="4714" spans="2:5">
      <c r="B4714"/>
      <c r="C4714"/>
      <c r="E4714"/>
    </row>
    <row r="4715" spans="2:5">
      <c r="B4715"/>
      <c r="C4715"/>
      <c r="E4715"/>
    </row>
    <row r="4716" spans="2:5">
      <c r="B4716"/>
      <c r="C4716"/>
      <c r="E4716"/>
    </row>
    <row r="4717" spans="2:5">
      <c r="B4717"/>
      <c r="C4717"/>
      <c r="E4717"/>
    </row>
    <row r="4718" spans="2:5">
      <c r="B4718"/>
      <c r="C4718"/>
      <c r="E4718"/>
    </row>
    <row r="4719" spans="2:5">
      <c r="B4719"/>
      <c r="C4719"/>
      <c r="E4719"/>
    </row>
    <row r="4720" spans="2:5">
      <c r="B4720"/>
      <c r="C4720"/>
      <c r="E4720"/>
    </row>
    <row r="4721" spans="2:5">
      <c r="B4721"/>
      <c r="C4721"/>
      <c r="E4721"/>
    </row>
    <row r="4722" spans="2:5">
      <c r="B4722"/>
      <c r="C4722"/>
      <c r="E4722"/>
    </row>
    <row r="4723" spans="2:5">
      <c r="B4723"/>
      <c r="C4723"/>
      <c r="E4723"/>
    </row>
    <row r="4724" spans="2:5">
      <c r="B4724"/>
      <c r="C4724"/>
      <c r="E4724"/>
    </row>
    <row r="4725" spans="2:5">
      <c r="B4725"/>
      <c r="C4725"/>
      <c r="E4725"/>
    </row>
    <row r="4726" spans="2:5">
      <c r="B4726"/>
      <c r="C4726"/>
      <c r="E4726"/>
    </row>
    <row r="4727" spans="2:5">
      <c r="B4727"/>
      <c r="C4727"/>
      <c r="E4727"/>
    </row>
    <row r="4728" spans="2:5">
      <c r="B4728"/>
      <c r="C4728"/>
      <c r="E4728"/>
    </row>
    <row r="4729" spans="2:5">
      <c r="B4729"/>
      <c r="C4729"/>
      <c r="E4729"/>
    </row>
    <row r="4730" spans="2:5">
      <c r="B4730"/>
      <c r="C4730"/>
      <c r="E4730"/>
    </row>
    <row r="4731" spans="2:5">
      <c r="B4731"/>
      <c r="C4731"/>
      <c r="E4731"/>
    </row>
    <row r="4732" spans="2:5">
      <c r="B4732"/>
      <c r="C4732"/>
      <c r="E4732"/>
    </row>
    <row r="4733" spans="2:5">
      <c r="B4733"/>
      <c r="C4733"/>
      <c r="E4733"/>
    </row>
    <row r="4734" spans="2:5">
      <c r="B4734"/>
      <c r="C4734"/>
      <c r="E4734"/>
    </row>
    <row r="4735" spans="2:5">
      <c r="B4735"/>
      <c r="C4735"/>
      <c r="E4735"/>
    </row>
    <row r="4736" spans="2:5">
      <c r="B4736"/>
      <c r="C4736"/>
      <c r="E4736"/>
    </row>
    <row r="4737" spans="2:5">
      <c r="B4737"/>
      <c r="C4737"/>
      <c r="E4737"/>
    </row>
    <row r="4738" spans="2:5">
      <c r="B4738"/>
      <c r="C4738"/>
      <c r="E4738"/>
    </row>
    <row r="4739" spans="2:5">
      <c r="B4739"/>
      <c r="C4739"/>
      <c r="E4739"/>
    </row>
    <row r="4740" spans="2:5">
      <c r="B4740"/>
      <c r="C4740"/>
      <c r="E4740"/>
    </row>
    <row r="4741" spans="2:5">
      <c r="B4741"/>
      <c r="C4741"/>
      <c r="E4741"/>
    </row>
    <row r="4742" spans="2:5">
      <c r="B4742"/>
      <c r="C4742"/>
      <c r="E4742"/>
    </row>
    <row r="4743" spans="2:5">
      <c r="B4743"/>
      <c r="C4743"/>
      <c r="E4743"/>
    </row>
    <row r="4744" spans="2:5">
      <c r="B4744"/>
      <c r="C4744"/>
      <c r="E4744"/>
    </row>
    <row r="4745" spans="2:5">
      <c r="B4745"/>
      <c r="C4745"/>
      <c r="E4745"/>
    </row>
    <row r="4746" spans="2:5">
      <c r="B4746"/>
      <c r="C4746"/>
      <c r="E4746"/>
    </row>
    <row r="4747" spans="2:5">
      <c r="B4747"/>
      <c r="C4747"/>
      <c r="E4747"/>
    </row>
    <row r="4748" spans="2:5">
      <c r="B4748"/>
      <c r="C4748"/>
      <c r="E4748"/>
    </row>
    <row r="4749" spans="2:5">
      <c r="B4749"/>
      <c r="C4749"/>
      <c r="E4749"/>
    </row>
    <row r="4750" spans="2:5">
      <c r="B4750"/>
      <c r="C4750"/>
      <c r="E4750"/>
    </row>
    <row r="4751" spans="2:5">
      <c r="B4751"/>
      <c r="C4751"/>
      <c r="E4751"/>
    </row>
    <row r="4752" spans="2:5">
      <c r="B4752"/>
      <c r="C4752"/>
      <c r="E4752"/>
    </row>
    <row r="4753" spans="2:5">
      <c r="B4753"/>
      <c r="C4753"/>
      <c r="E4753"/>
    </row>
    <row r="4754" spans="2:5">
      <c r="B4754"/>
      <c r="C4754"/>
      <c r="E4754"/>
    </row>
    <row r="4755" spans="2:5">
      <c r="B4755"/>
      <c r="C4755"/>
      <c r="E4755"/>
    </row>
    <row r="4756" spans="2:5">
      <c r="B4756"/>
      <c r="C4756"/>
      <c r="E4756"/>
    </row>
    <row r="4757" spans="2:5">
      <c r="B4757"/>
      <c r="C4757"/>
      <c r="E4757"/>
    </row>
    <row r="4758" spans="2:5">
      <c r="B4758"/>
      <c r="C4758"/>
      <c r="E4758"/>
    </row>
    <row r="4759" spans="2:5">
      <c r="B4759"/>
      <c r="C4759"/>
      <c r="E4759"/>
    </row>
    <row r="4760" spans="2:5">
      <c r="B4760"/>
      <c r="C4760"/>
      <c r="E4760"/>
    </row>
    <row r="4761" spans="2:5">
      <c r="B4761"/>
      <c r="C4761"/>
      <c r="E4761"/>
    </row>
    <row r="4762" spans="2:5">
      <c r="B4762"/>
      <c r="C4762"/>
      <c r="E4762"/>
    </row>
    <row r="4763" spans="2:5">
      <c r="B4763"/>
      <c r="C4763"/>
      <c r="E4763"/>
    </row>
    <row r="4764" spans="2:5">
      <c r="B4764"/>
      <c r="C4764"/>
      <c r="E4764"/>
    </row>
    <row r="4765" spans="2:5">
      <c r="B4765"/>
      <c r="C4765"/>
      <c r="E4765"/>
    </row>
    <row r="4766" spans="2:5">
      <c r="B4766"/>
      <c r="C4766"/>
      <c r="E4766"/>
    </row>
    <row r="4767" spans="2:5">
      <c r="B4767"/>
      <c r="C4767"/>
      <c r="E4767"/>
    </row>
    <row r="4768" spans="2:5">
      <c r="B4768"/>
      <c r="C4768"/>
      <c r="E4768"/>
    </row>
    <row r="4769" spans="2:5">
      <c r="B4769"/>
      <c r="C4769"/>
      <c r="E4769"/>
    </row>
    <row r="4770" spans="2:5">
      <c r="B4770"/>
      <c r="C4770"/>
      <c r="E4770"/>
    </row>
    <row r="4771" spans="2:5">
      <c r="B4771"/>
      <c r="C4771"/>
      <c r="E4771"/>
    </row>
    <row r="4772" spans="2:5">
      <c r="B4772"/>
      <c r="C4772"/>
      <c r="E4772"/>
    </row>
    <row r="4773" spans="2:5">
      <c r="B4773"/>
      <c r="C4773"/>
      <c r="E4773"/>
    </row>
    <row r="4774" spans="2:5">
      <c r="B4774"/>
      <c r="C4774"/>
      <c r="E4774"/>
    </row>
    <row r="4775" spans="2:5">
      <c r="B4775"/>
      <c r="C4775"/>
      <c r="E4775"/>
    </row>
    <row r="4776" spans="2:5">
      <c r="B4776"/>
      <c r="C4776"/>
      <c r="E4776"/>
    </row>
    <row r="4777" spans="2:5">
      <c r="B4777"/>
      <c r="C4777"/>
      <c r="E4777"/>
    </row>
    <row r="4778" spans="2:5">
      <c r="B4778"/>
      <c r="C4778"/>
      <c r="E4778"/>
    </row>
    <row r="4779" spans="2:5">
      <c r="B4779"/>
      <c r="C4779"/>
      <c r="E4779"/>
    </row>
    <row r="4780" spans="2:5">
      <c r="B4780"/>
      <c r="C4780"/>
      <c r="E4780"/>
    </row>
    <row r="4781" spans="2:5">
      <c r="B4781"/>
      <c r="C4781"/>
      <c r="E4781"/>
    </row>
    <row r="4782" spans="2:5">
      <c r="B4782"/>
      <c r="C4782"/>
      <c r="E4782"/>
    </row>
    <row r="4783" spans="2:5">
      <c r="B4783"/>
      <c r="C4783"/>
      <c r="E4783"/>
    </row>
    <row r="4784" spans="2:5">
      <c r="B4784"/>
      <c r="C4784"/>
      <c r="E4784"/>
    </row>
    <row r="4785" spans="2:5">
      <c r="B4785"/>
      <c r="C4785"/>
      <c r="E4785"/>
    </row>
    <row r="4786" spans="2:5">
      <c r="B4786"/>
      <c r="C4786"/>
      <c r="E4786"/>
    </row>
    <row r="4787" spans="2:5">
      <c r="B4787"/>
      <c r="C4787"/>
      <c r="E4787"/>
    </row>
    <row r="4788" spans="2:5">
      <c r="B4788"/>
      <c r="C4788"/>
      <c r="E4788"/>
    </row>
    <row r="4789" spans="2:5">
      <c r="B4789"/>
      <c r="C4789"/>
      <c r="E4789"/>
    </row>
    <row r="4790" spans="2:5">
      <c r="B4790"/>
      <c r="C4790"/>
      <c r="E4790"/>
    </row>
    <row r="4791" spans="2:5">
      <c r="B4791"/>
      <c r="C4791"/>
      <c r="E4791"/>
    </row>
    <row r="4792" spans="2:5">
      <c r="B4792"/>
      <c r="C4792"/>
      <c r="E4792"/>
    </row>
    <row r="4793" spans="2:5">
      <c r="B4793"/>
      <c r="C4793"/>
      <c r="E4793"/>
    </row>
    <row r="4794" spans="2:5">
      <c r="B4794"/>
      <c r="C4794"/>
      <c r="E4794"/>
    </row>
    <row r="4795" spans="2:5">
      <c r="B4795"/>
      <c r="C4795"/>
      <c r="E4795"/>
    </row>
    <row r="4796" spans="2:5">
      <c r="B4796"/>
      <c r="C4796"/>
      <c r="E4796"/>
    </row>
    <row r="4797" spans="2:5">
      <c r="B4797"/>
      <c r="C4797"/>
      <c r="E4797"/>
    </row>
    <row r="4798" spans="2:5">
      <c r="B4798"/>
      <c r="C4798"/>
      <c r="E4798"/>
    </row>
    <row r="4799" spans="2:5">
      <c r="B4799"/>
      <c r="C4799"/>
      <c r="E4799"/>
    </row>
    <row r="4800" spans="2:5">
      <c r="B4800"/>
      <c r="C4800"/>
      <c r="E4800"/>
    </row>
    <row r="4801" spans="2:5">
      <c r="B4801"/>
      <c r="C4801"/>
      <c r="E4801"/>
    </row>
    <row r="4802" spans="2:5">
      <c r="B4802"/>
      <c r="C4802"/>
      <c r="E4802"/>
    </row>
    <row r="4803" spans="2:5">
      <c r="B4803"/>
      <c r="C4803"/>
      <c r="E4803"/>
    </row>
    <row r="4804" spans="2:5">
      <c r="B4804"/>
      <c r="C4804"/>
      <c r="E4804"/>
    </row>
    <row r="4805" spans="2:5">
      <c r="B4805"/>
      <c r="C4805"/>
      <c r="E4805"/>
    </row>
    <row r="4806" spans="2:5">
      <c r="B4806"/>
      <c r="C4806"/>
      <c r="E4806"/>
    </row>
    <row r="4807" spans="2:5">
      <c r="B4807"/>
      <c r="C4807"/>
      <c r="E4807"/>
    </row>
    <row r="4808" spans="2:5">
      <c r="B4808"/>
      <c r="C4808"/>
      <c r="E4808"/>
    </row>
    <row r="4809" spans="2:5">
      <c r="B4809"/>
      <c r="C4809"/>
      <c r="E4809"/>
    </row>
    <row r="4810" spans="2:5">
      <c r="B4810"/>
      <c r="C4810"/>
      <c r="E4810"/>
    </row>
    <row r="4811" spans="2:5">
      <c r="B4811"/>
      <c r="C4811"/>
      <c r="E4811"/>
    </row>
    <row r="4812" spans="2:5">
      <c r="B4812"/>
      <c r="C4812"/>
      <c r="E4812"/>
    </row>
    <row r="4813" spans="2:5">
      <c r="B4813"/>
      <c r="C4813"/>
      <c r="E4813"/>
    </row>
    <row r="4814" spans="2:5">
      <c r="B4814"/>
      <c r="C4814"/>
      <c r="E4814"/>
    </row>
    <row r="4815" spans="2:5">
      <c r="B4815"/>
      <c r="C4815"/>
      <c r="E4815"/>
    </row>
    <row r="4816" spans="2:5">
      <c r="B4816"/>
      <c r="C4816"/>
      <c r="E4816"/>
    </row>
    <row r="4817" spans="2:5">
      <c r="B4817"/>
      <c r="C4817"/>
      <c r="E4817"/>
    </row>
    <row r="4818" spans="2:5">
      <c r="B4818"/>
      <c r="C4818"/>
      <c r="E4818"/>
    </row>
    <row r="4819" spans="2:5">
      <c r="B4819"/>
      <c r="C4819"/>
      <c r="E4819"/>
    </row>
    <row r="4820" spans="2:5">
      <c r="B4820"/>
      <c r="C4820"/>
      <c r="E4820"/>
    </row>
    <row r="4821" spans="2:5">
      <c r="B4821"/>
      <c r="C4821"/>
      <c r="E4821"/>
    </row>
    <row r="4822" spans="2:5">
      <c r="B4822"/>
      <c r="C4822"/>
      <c r="E4822"/>
    </row>
    <row r="4823" spans="2:5">
      <c r="B4823"/>
      <c r="C4823"/>
      <c r="E4823"/>
    </row>
    <row r="4824" spans="2:5">
      <c r="B4824"/>
      <c r="C4824"/>
      <c r="E4824"/>
    </row>
    <row r="4825" spans="2:5">
      <c r="B4825"/>
      <c r="C4825"/>
      <c r="E4825"/>
    </row>
    <row r="4826" spans="2:5">
      <c r="B4826"/>
      <c r="C4826"/>
      <c r="E4826"/>
    </row>
    <row r="4827" spans="2:5">
      <c r="B4827"/>
      <c r="C4827"/>
      <c r="E4827"/>
    </row>
    <row r="4828" spans="2:5">
      <c r="B4828"/>
      <c r="C4828"/>
      <c r="E4828"/>
    </row>
    <row r="4829" spans="2:5">
      <c r="B4829"/>
      <c r="C4829"/>
      <c r="E4829"/>
    </row>
    <row r="4830" spans="2:5">
      <c r="B4830"/>
      <c r="C4830"/>
      <c r="E4830"/>
    </row>
    <row r="4831" spans="2:5">
      <c r="B4831"/>
      <c r="C4831"/>
      <c r="E4831"/>
    </row>
    <row r="4832" spans="2:5">
      <c r="B4832"/>
      <c r="C4832"/>
      <c r="E4832"/>
    </row>
    <row r="4833" spans="2:5">
      <c r="B4833"/>
      <c r="C4833"/>
      <c r="E4833"/>
    </row>
    <row r="4834" spans="2:5">
      <c r="B4834"/>
      <c r="C4834"/>
      <c r="E4834"/>
    </row>
    <row r="4835" spans="2:5">
      <c r="B4835"/>
      <c r="C4835"/>
      <c r="E4835"/>
    </row>
    <row r="4836" spans="2:5">
      <c r="B4836"/>
      <c r="C4836"/>
      <c r="E4836"/>
    </row>
    <row r="4837" spans="2:5">
      <c r="B4837"/>
      <c r="C4837"/>
      <c r="E4837"/>
    </row>
    <row r="4838" spans="2:5">
      <c r="B4838"/>
      <c r="C4838"/>
      <c r="E4838"/>
    </row>
    <row r="4839" spans="2:5">
      <c r="B4839"/>
      <c r="C4839"/>
      <c r="E4839"/>
    </row>
    <row r="4840" spans="2:5">
      <c r="B4840"/>
      <c r="C4840"/>
      <c r="E4840"/>
    </row>
    <row r="4841" spans="2:5">
      <c r="B4841"/>
      <c r="C4841"/>
      <c r="E4841"/>
    </row>
    <row r="4842" spans="2:5">
      <c r="B4842"/>
      <c r="C4842"/>
      <c r="E4842"/>
    </row>
    <row r="4843" spans="2:5">
      <c r="B4843"/>
      <c r="C4843"/>
      <c r="E4843"/>
    </row>
    <row r="4844" spans="2:5">
      <c r="B4844"/>
      <c r="C4844"/>
      <c r="E4844"/>
    </row>
    <row r="4845" spans="2:5">
      <c r="B4845"/>
      <c r="C4845"/>
      <c r="E4845"/>
    </row>
    <row r="4846" spans="2:5">
      <c r="B4846"/>
      <c r="C4846"/>
      <c r="E4846"/>
    </row>
    <row r="4847" spans="2:5">
      <c r="B4847"/>
      <c r="C4847"/>
      <c r="E4847"/>
    </row>
    <row r="4848" spans="2:5">
      <c r="B4848"/>
      <c r="C4848"/>
      <c r="E4848"/>
    </row>
    <row r="4849" spans="2:5">
      <c r="B4849"/>
      <c r="C4849"/>
      <c r="E4849"/>
    </row>
    <row r="4850" spans="2:5">
      <c r="B4850"/>
      <c r="C4850"/>
      <c r="E4850"/>
    </row>
    <row r="4851" spans="2:5">
      <c r="B4851"/>
      <c r="C4851"/>
      <c r="E4851"/>
    </row>
    <row r="4852" spans="2:5">
      <c r="B4852"/>
      <c r="C4852"/>
      <c r="E4852"/>
    </row>
    <row r="4853" spans="2:5">
      <c r="B4853"/>
      <c r="C4853"/>
      <c r="E4853"/>
    </row>
    <row r="4854" spans="2:5">
      <c r="B4854"/>
      <c r="C4854"/>
      <c r="E4854"/>
    </row>
    <row r="4855" spans="2:5">
      <c r="B4855"/>
      <c r="C4855"/>
      <c r="E4855"/>
    </row>
    <row r="4856" spans="2:5">
      <c r="B4856"/>
      <c r="C4856"/>
      <c r="E4856"/>
    </row>
    <row r="4857" spans="2:5">
      <c r="B4857"/>
      <c r="C4857"/>
      <c r="E4857"/>
    </row>
    <row r="4858" spans="2:5">
      <c r="B4858"/>
      <c r="C4858"/>
      <c r="E4858"/>
    </row>
    <row r="4859" spans="2:5">
      <c r="B4859"/>
      <c r="C4859"/>
      <c r="E4859"/>
    </row>
    <row r="4860" spans="2:5">
      <c r="B4860"/>
      <c r="C4860"/>
      <c r="E4860"/>
    </row>
    <row r="4861" spans="2:5">
      <c r="B4861"/>
      <c r="C4861"/>
      <c r="E4861"/>
    </row>
    <row r="4862" spans="2:5">
      <c r="B4862"/>
      <c r="C4862"/>
      <c r="E4862"/>
    </row>
    <row r="4863" spans="2:5">
      <c r="B4863"/>
      <c r="C4863"/>
      <c r="E4863"/>
    </row>
    <row r="4864" spans="2:5">
      <c r="B4864"/>
      <c r="C4864"/>
      <c r="E4864"/>
    </row>
    <row r="4865" spans="2:5">
      <c r="B4865"/>
      <c r="C4865"/>
      <c r="E4865"/>
    </row>
    <row r="4866" spans="2:5">
      <c r="B4866"/>
      <c r="C4866"/>
      <c r="E4866"/>
    </row>
    <row r="4867" spans="2:5">
      <c r="B4867"/>
      <c r="C4867"/>
      <c r="E4867"/>
    </row>
    <row r="4868" spans="2:5">
      <c r="B4868"/>
      <c r="C4868"/>
      <c r="E4868"/>
    </row>
    <row r="4869" spans="2:5">
      <c r="B4869"/>
      <c r="C4869"/>
      <c r="E4869"/>
    </row>
    <row r="4870" spans="2:5">
      <c r="B4870"/>
      <c r="C4870"/>
      <c r="E4870"/>
    </row>
    <row r="4871" spans="2:5">
      <c r="B4871"/>
      <c r="C4871"/>
      <c r="E4871"/>
    </row>
    <row r="4872" spans="2:5">
      <c r="B4872"/>
      <c r="C4872"/>
      <c r="E4872"/>
    </row>
    <row r="4873" spans="2:5">
      <c r="B4873"/>
      <c r="C4873"/>
      <c r="E4873"/>
    </row>
    <row r="4874" spans="2:5">
      <c r="B4874"/>
      <c r="C4874"/>
      <c r="E4874"/>
    </row>
    <row r="4875" spans="2:5">
      <c r="B4875"/>
      <c r="C4875"/>
      <c r="E4875"/>
    </row>
    <row r="4876" spans="2:5">
      <c r="B4876"/>
      <c r="C4876"/>
      <c r="E4876"/>
    </row>
    <row r="4877" spans="2:5">
      <c r="B4877"/>
      <c r="C4877"/>
      <c r="E4877"/>
    </row>
    <row r="4878" spans="2:5">
      <c r="B4878"/>
      <c r="C4878"/>
      <c r="E4878"/>
    </row>
    <row r="4879" spans="2:5">
      <c r="B4879"/>
      <c r="C4879"/>
      <c r="E4879"/>
    </row>
    <row r="4880" spans="2:5">
      <c r="B4880"/>
      <c r="C4880"/>
      <c r="E4880"/>
    </row>
    <row r="4881" spans="2:5">
      <c r="B4881"/>
      <c r="C4881"/>
      <c r="E4881"/>
    </row>
    <row r="4882" spans="2:5">
      <c r="B4882"/>
      <c r="C4882"/>
      <c r="E4882"/>
    </row>
    <row r="4883" spans="2:5">
      <c r="B4883"/>
      <c r="C4883"/>
      <c r="E4883"/>
    </row>
    <row r="4884" spans="2:5">
      <c r="B4884"/>
      <c r="C4884"/>
      <c r="E4884"/>
    </row>
    <row r="4885" spans="2:5">
      <c r="B4885"/>
      <c r="C4885"/>
      <c r="E4885"/>
    </row>
    <row r="4886" spans="2:5">
      <c r="B4886"/>
      <c r="C4886"/>
      <c r="E4886"/>
    </row>
    <row r="4887" spans="2:5">
      <c r="B4887"/>
      <c r="C4887"/>
      <c r="E4887"/>
    </row>
    <row r="4888" spans="2:5">
      <c r="B4888"/>
      <c r="C4888"/>
      <c r="E4888"/>
    </row>
    <row r="4889" spans="2:5">
      <c r="B4889"/>
      <c r="C4889"/>
      <c r="E4889"/>
    </row>
    <row r="4890" spans="2:5">
      <c r="B4890"/>
      <c r="C4890"/>
      <c r="E4890"/>
    </row>
    <row r="4891" spans="2:5">
      <c r="B4891"/>
      <c r="C4891"/>
      <c r="E4891"/>
    </row>
    <row r="4892" spans="2:5">
      <c r="B4892"/>
      <c r="C4892"/>
      <c r="E4892"/>
    </row>
    <row r="4893" spans="2:5">
      <c r="B4893"/>
      <c r="C4893"/>
      <c r="E4893"/>
    </row>
    <row r="4894" spans="2:5">
      <c r="B4894"/>
      <c r="C4894"/>
      <c r="E4894"/>
    </row>
    <row r="4895" spans="2:5">
      <c r="B4895"/>
      <c r="C4895"/>
      <c r="E4895"/>
    </row>
    <row r="4896" spans="2:5">
      <c r="B4896"/>
      <c r="C4896"/>
      <c r="E4896"/>
    </row>
    <row r="4897" spans="2:5">
      <c r="B4897"/>
      <c r="C4897"/>
      <c r="E4897"/>
    </row>
    <row r="4898" spans="2:5">
      <c r="B4898"/>
      <c r="C4898"/>
      <c r="E4898"/>
    </row>
    <row r="4899" spans="2:5">
      <c r="B4899"/>
      <c r="C4899"/>
      <c r="E4899"/>
    </row>
    <row r="4900" spans="2:5">
      <c r="B4900"/>
      <c r="C4900"/>
      <c r="E4900"/>
    </row>
    <row r="4901" spans="2:5">
      <c r="B4901"/>
      <c r="C4901"/>
      <c r="E4901"/>
    </row>
    <row r="4902" spans="2:5">
      <c r="B4902"/>
      <c r="C4902"/>
      <c r="E4902"/>
    </row>
    <row r="4903" spans="2:5">
      <c r="B4903"/>
      <c r="C4903"/>
      <c r="E4903"/>
    </row>
    <row r="4904" spans="2:5">
      <c r="B4904"/>
      <c r="C4904"/>
      <c r="E4904"/>
    </row>
    <row r="4905" spans="2:5">
      <c r="B4905"/>
      <c r="C4905"/>
      <c r="E4905"/>
    </row>
    <row r="4906" spans="2:5">
      <c r="B4906"/>
      <c r="C4906"/>
      <c r="E4906"/>
    </row>
    <row r="4907" spans="2:5">
      <c r="B4907"/>
      <c r="C4907"/>
      <c r="E4907"/>
    </row>
    <row r="4908" spans="2:5">
      <c r="B4908"/>
      <c r="C4908"/>
      <c r="E4908"/>
    </row>
    <row r="4909" spans="2:5">
      <c r="B4909"/>
      <c r="C4909"/>
      <c r="E4909"/>
    </row>
    <row r="4910" spans="2:5">
      <c r="B4910"/>
      <c r="C4910"/>
      <c r="E4910"/>
    </row>
    <row r="4911" spans="2:5">
      <c r="B4911"/>
      <c r="C4911"/>
      <c r="E4911"/>
    </row>
    <row r="4912" spans="2:5">
      <c r="B4912"/>
      <c r="C4912"/>
      <c r="E4912"/>
    </row>
    <row r="4913" spans="2:5">
      <c r="B4913"/>
      <c r="C4913"/>
      <c r="E4913"/>
    </row>
    <row r="4914" spans="2:5">
      <c r="B4914"/>
      <c r="C4914"/>
      <c r="E4914"/>
    </row>
    <row r="4915" spans="2:5">
      <c r="B4915"/>
      <c r="C4915"/>
      <c r="E4915"/>
    </row>
    <row r="4916" spans="2:5">
      <c r="B4916"/>
      <c r="C4916"/>
      <c r="E4916"/>
    </row>
    <row r="4917" spans="2:5">
      <c r="B4917"/>
      <c r="C4917"/>
      <c r="E4917"/>
    </row>
    <row r="4918" spans="2:5">
      <c r="B4918"/>
      <c r="C4918"/>
      <c r="E4918"/>
    </row>
    <row r="4919" spans="2:5">
      <c r="B4919"/>
      <c r="C4919"/>
      <c r="E4919"/>
    </row>
    <row r="4920" spans="2:5">
      <c r="B4920"/>
      <c r="C4920"/>
      <c r="E4920"/>
    </row>
    <row r="4921" spans="2:5">
      <c r="B4921"/>
      <c r="C4921"/>
      <c r="E4921"/>
    </row>
    <row r="4922" spans="2:5">
      <c r="B4922"/>
      <c r="C4922"/>
      <c r="E4922"/>
    </row>
    <row r="4923" spans="2:5">
      <c r="B4923"/>
      <c r="C4923"/>
      <c r="E4923"/>
    </row>
    <row r="4924" spans="2:5">
      <c r="B4924"/>
      <c r="C4924"/>
      <c r="E4924"/>
    </row>
    <row r="4925" spans="2:5">
      <c r="B4925"/>
      <c r="C4925"/>
      <c r="E4925"/>
    </row>
    <row r="4926" spans="2:5">
      <c r="B4926"/>
      <c r="C4926"/>
      <c r="E4926"/>
    </row>
    <row r="4927" spans="2:5">
      <c r="B4927"/>
      <c r="C4927"/>
      <c r="E4927"/>
    </row>
    <row r="4928" spans="2:5">
      <c r="B4928"/>
      <c r="C4928"/>
      <c r="E4928"/>
    </row>
    <row r="4929" spans="2:5">
      <c r="B4929"/>
      <c r="C4929"/>
      <c r="E4929"/>
    </row>
    <row r="4930" spans="2:5">
      <c r="B4930"/>
      <c r="C4930"/>
      <c r="E4930"/>
    </row>
    <row r="4931" spans="2:5">
      <c r="B4931"/>
      <c r="C4931"/>
      <c r="E4931"/>
    </row>
    <row r="4932" spans="2:5">
      <c r="B4932"/>
      <c r="C4932"/>
      <c r="E4932"/>
    </row>
    <row r="4933" spans="2:5">
      <c r="B4933"/>
      <c r="C4933"/>
      <c r="E4933"/>
    </row>
    <row r="4934" spans="2:5">
      <c r="B4934"/>
      <c r="C4934"/>
      <c r="E4934"/>
    </row>
    <row r="4935" spans="2:5">
      <c r="B4935"/>
      <c r="C4935"/>
      <c r="E4935"/>
    </row>
    <row r="4936" spans="2:5">
      <c r="B4936"/>
      <c r="C4936"/>
      <c r="E4936"/>
    </row>
    <row r="4937" spans="2:5">
      <c r="B4937"/>
      <c r="C4937"/>
      <c r="E4937"/>
    </row>
    <row r="4938" spans="2:5">
      <c r="B4938"/>
      <c r="C4938"/>
      <c r="E4938"/>
    </row>
    <row r="4939" spans="2:5">
      <c r="B4939"/>
      <c r="C4939"/>
      <c r="E4939"/>
    </row>
    <row r="4940" spans="2:5">
      <c r="B4940"/>
      <c r="C4940"/>
      <c r="E4940"/>
    </row>
    <row r="4941" spans="2:5">
      <c r="B4941"/>
      <c r="C4941"/>
      <c r="E4941"/>
    </row>
    <row r="4942" spans="2:5">
      <c r="B4942"/>
      <c r="C4942"/>
      <c r="E4942"/>
    </row>
    <row r="4943" spans="2:5">
      <c r="B4943"/>
      <c r="C4943"/>
      <c r="E4943"/>
    </row>
    <row r="4944" spans="2:5">
      <c r="B4944"/>
      <c r="C4944"/>
      <c r="E4944"/>
    </row>
    <row r="4945" spans="2:5">
      <c r="B4945"/>
      <c r="C4945"/>
      <c r="E4945"/>
    </row>
    <row r="4946" spans="2:5">
      <c r="B4946"/>
      <c r="C4946"/>
      <c r="E4946"/>
    </row>
    <row r="4947" spans="2:5">
      <c r="B4947"/>
      <c r="C4947"/>
      <c r="E4947"/>
    </row>
    <row r="4948" spans="2:5">
      <c r="B4948"/>
      <c r="C4948"/>
      <c r="E4948"/>
    </row>
    <row r="4949" spans="2:5">
      <c r="B4949"/>
      <c r="C4949"/>
      <c r="E4949"/>
    </row>
    <row r="4950" spans="2:5">
      <c r="B4950"/>
      <c r="C4950"/>
      <c r="E4950"/>
    </row>
    <row r="4951" spans="2:5">
      <c r="B4951"/>
      <c r="C4951"/>
      <c r="E4951"/>
    </row>
    <row r="4952" spans="2:5">
      <c r="B4952"/>
      <c r="C4952"/>
      <c r="E4952"/>
    </row>
    <row r="4953" spans="2:5">
      <c r="B4953"/>
      <c r="C4953"/>
      <c r="E4953"/>
    </row>
    <row r="4954" spans="2:5">
      <c r="B4954"/>
      <c r="C4954"/>
      <c r="E4954"/>
    </row>
    <row r="4955" spans="2:5">
      <c r="B4955"/>
      <c r="C4955"/>
      <c r="E4955"/>
    </row>
    <row r="4956" spans="2:5">
      <c r="B4956"/>
      <c r="C4956"/>
      <c r="E4956"/>
    </row>
    <row r="4957" spans="2:5">
      <c r="B4957"/>
      <c r="C4957"/>
      <c r="E4957"/>
    </row>
    <row r="4958" spans="2:5">
      <c r="B4958"/>
      <c r="C4958"/>
      <c r="E4958"/>
    </row>
    <row r="4959" spans="2:5">
      <c r="B4959"/>
      <c r="C4959"/>
      <c r="E4959"/>
    </row>
    <row r="4960" spans="2:5">
      <c r="B4960"/>
      <c r="C4960"/>
      <c r="E4960"/>
    </row>
    <row r="4961" spans="2:5">
      <c r="B4961"/>
      <c r="C4961"/>
      <c r="E4961"/>
    </row>
    <row r="4962" spans="2:5">
      <c r="B4962"/>
      <c r="C4962"/>
      <c r="E4962"/>
    </row>
    <row r="4963" spans="2:5">
      <c r="B4963"/>
      <c r="C4963"/>
      <c r="E4963"/>
    </row>
    <row r="4964" spans="2:5">
      <c r="B4964"/>
      <c r="C4964"/>
      <c r="E4964"/>
    </row>
    <row r="4965" spans="2:5">
      <c r="B4965"/>
      <c r="C4965"/>
      <c r="E4965"/>
    </row>
    <row r="4966" spans="2:5">
      <c r="B4966"/>
      <c r="C4966"/>
      <c r="E4966"/>
    </row>
    <row r="4967" spans="2:5">
      <c r="B4967"/>
      <c r="C4967"/>
      <c r="E4967"/>
    </row>
    <row r="4968" spans="2:5">
      <c r="B4968"/>
      <c r="C4968"/>
      <c r="E4968"/>
    </row>
    <row r="4969" spans="2:5">
      <c r="B4969"/>
      <c r="C4969"/>
      <c r="E4969"/>
    </row>
    <row r="4970" spans="2:5">
      <c r="B4970"/>
      <c r="C4970"/>
      <c r="E4970"/>
    </row>
    <row r="4971" spans="2:5">
      <c r="B4971"/>
      <c r="C4971"/>
      <c r="E4971"/>
    </row>
    <row r="4972" spans="2:5">
      <c r="B4972"/>
      <c r="C4972"/>
      <c r="E4972"/>
    </row>
    <row r="4973" spans="2:5">
      <c r="B4973"/>
      <c r="C4973"/>
      <c r="E4973"/>
    </row>
    <row r="4974" spans="2:5">
      <c r="B4974"/>
      <c r="C4974"/>
      <c r="E4974"/>
    </row>
    <row r="4975" spans="2:5">
      <c r="B4975"/>
      <c r="C4975"/>
      <c r="E4975"/>
    </row>
    <row r="4976" spans="2:5">
      <c r="B4976"/>
      <c r="C4976"/>
      <c r="E4976"/>
    </row>
    <row r="4977" spans="2:5">
      <c r="B4977"/>
      <c r="C4977"/>
      <c r="E4977"/>
    </row>
    <row r="4978" spans="2:5">
      <c r="B4978"/>
      <c r="C4978"/>
      <c r="E4978"/>
    </row>
    <row r="4979" spans="2:5">
      <c r="B4979"/>
      <c r="C4979"/>
      <c r="E4979"/>
    </row>
    <row r="4980" spans="2:5">
      <c r="B4980"/>
      <c r="C4980"/>
      <c r="E4980"/>
    </row>
    <row r="4981" spans="2:5">
      <c r="B4981"/>
      <c r="C4981"/>
      <c r="E4981"/>
    </row>
    <row r="4982" spans="2:5">
      <c r="B4982"/>
      <c r="C4982"/>
      <c r="E4982"/>
    </row>
    <row r="4983" spans="2:5">
      <c r="B4983"/>
      <c r="C4983"/>
      <c r="E4983"/>
    </row>
    <row r="4984" spans="2:5">
      <c r="B4984"/>
      <c r="C4984"/>
      <c r="E4984"/>
    </row>
    <row r="4985" spans="2:5">
      <c r="B4985"/>
      <c r="C4985"/>
      <c r="E4985"/>
    </row>
    <row r="4986" spans="2:5">
      <c r="B4986"/>
      <c r="C4986"/>
      <c r="E4986"/>
    </row>
    <row r="4987" spans="2:5">
      <c r="B4987"/>
      <c r="C4987"/>
      <c r="E4987"/>
    </row>
    <row r="4988" spans="2:5">
      <c r="B4988"/>
      <c r="C4988"/>
      <c r="E4988"/>
    </row>
    <row r="4989" spans="2:5">
      <c r="B4989"/>
      <c r="C4989"/>
      <c r="E4989"/>
    </row>
    <row r="4990" spans="2:5">
      <c r="B4990"/>
      <c r="C4990"/>
      <c r="E4990"/>
    </row>
    <row r="4991" spans="2:5">
      <c r="B4991"/>
      <c r="C4991"/>
      <c r="E4991"/>
    </row>
    <row r="4992" spans="2:5">
      <c r="B4992"/>
      <c r="C4992"/>
      <c r="E4992"/>
    </row>
    <row r="4993" spans="2:5">
      <c r="B4993"/>
      <c r="C4993"/>
      <c r="E4993"/>
    </row>
    <row r="4994" spans="2:5">
      <c r="B4994"/>
      <c r="C4994"/>
      <c r="E4994"/>
    </row>
    <row r="4995" spans="2:5">
      <c r="B4995"/>
      <c r="C4995"/>
      <c r="E4995"/>
    </row>
    <row r="4996" spans="2:5">
      <c r="B4996"/>
      <c r="C4996"/>
      <c r="E4996"/>
    </row>
    <row r="4997" spans="2:5">
      <c r="B4997"/>
      <c r="C4997"/>
      <c r="E4997"/>
    </row>
    <row r="4998" spans="2:5">
      <c r="B4998"/>
      <c r="C4998"/>
      <c r="E4998"/>
    </row>
    <row r="4999" spans="2:5">
      <c r="B4999"/>
      <c r="C4999"/>
      <c r="E4999"/>
    </row>
    <row r="5000" spans="2:5">
      <c r="B5000"/>
      <c r="C5000"/>
      <c r="E5000"/>
    </row>
    <row r="5001" spans="2:5">
      <c r="B5001"/>
      <c r="C5001"/>
      <c r="E5001"/>
    </row>
    <row r="5002" spans="2:5">
      <c r="B5002"/>
      <c r="C5002"/>
      <c r="E5002"/>
    </row>
    <row r="5003" spans="2:5">
      <c r="B5003"/>
      <c r="C5003"/>
      <c r="E5003"/>
    </row>
    <row r="5004" spans="2:5">
      <c r="B5004"/>
      <c r="C5004"/>
      <c r="E5004"/>
    </row>
    <row r="5005" spans="2:5">
      <c r="B5005"/>
      <c r="C5005"/>
      <c r="E5005"/>
    </row>
    <row r="5006" spans="2:5">
      <c r="B5006"/>
      <c r="C5006"/>
      <c r="E5006"/>
    </row>
    <row r="5007" spans="2:5">
      <c r="B5007"/>
      <c r="C5007"/>
      <c r="E5007"/>
    </row>
    <row r="5008" spans="2:5">
      <c r="B5008"/>
      <c r="C5008"/>
      <c r="E5008"/>
    </row>
    <row r="5009" spans="2:5">
      <c r="B5009"/>
      <c r="C5009"/>
      <c r="E5009"/>
    </row>
    <row r="5010" spans="2:5">
      <c r="B5010"/>
      <c r="C5010"/>
      <c r="E5010"/>
    </row>
    <row r="5011" spans="2:5">
      <c r="B5011"/>
      <c r="C5011"/>
      <c r="E5011"/>
    </row>
    <row r="5012" spans="2:5">
      <c r="B5012"/>
      <c r="C5012"/>
      <c r="E5012"/>
    </row>
    <row r="5013" spans="2:5">
      <c r="B5013"/>
      <c r="C5013"/>
      <c r="E5013"/>
    </row>
    <row r="5014" spans="2:5">
      <c r="B5014"/>
      <c r="C5014"/>
      <c r="E5014"/>
    </row>
    <row r="5015" spans="2:5">
      <c r="B5015"/>
      <c r="C5015"/>
      <c r="E5015"/>
    </row>
    <row r="5016" spans="2:5">
      <c r="B5016"/>
      <c r="C5016"/>
      <c r="E5016"/>
    </row>
    <row r="5017" spans="2:5">
      <c r="B5017"/>
      <c r="C5017"/>
      <c r="E5017"/>
    </row>
    <row r="5018" spans="2:5">
      <c r="B5018"/>
      <c r="C5018"/>
      <c r="E5018"/>
    </row>
    <row r="5019" spans="2:5">
      <c r="B5019"/>
      <c r="C5019"/>
      <c r="E5019"/>
    </row>
    <row r="5020" spans="2:5">
      <c r="B5020"/>
      <c r="C5020"/>
      <c r="E5020"/>
    </row>
    <row r="5021" spans="2:5">
      <c r="B5021"/>
      <c r="C5021"/>
      <c r="E5021"/>
    </row>
    <row r="5022" spans="2:5">
      <c r="B5022"/>
      <c r="C5022"/>
      <c r="E5022"/>
    </row>
    <row r="5023" spans="2:5">
      <c r="B5023"/>
      <c r="C5023"/>
      <c r="E5023"/>
    </row>
    <row r="5024" spans="2:5">
      <c r="B5024"/>
      <c r="C5024"/>
      <c r="E5024"/>
    </row>
    <row r="5025" spans="2:5">
      <c r="B5025"/>
      <c r="C5025"/>
      <c r="E5025"/>
    </row>
    <row r="5026" spans="2:5">
      <c r="B5026"/>
      <c r="C5026"/>
      <c r="E5026"/>
    </row>
    <row r="5027" spans="2:5">
      <c r="B5027"/>
      <c r="C5027"/>
      <c r="E5027"/>
    </row>
    <row r="5028" spans="2:5">
      <c r="B5028"/>
      <c r="C5028"/>
      <c r="E5028"/>
    </row>
    <row r="5029" spans="2:5">
      <c r="B5029"/>
      <c r="C5029"/>
      <c r="E5029"/>
    </row>
    <row r="5030" spans="2:5">
      <c r="B5030"/>
      <c r="C5030"/>
      <c r="E5030"/>
    </row>
    <row r="5031" spans="2:5">
      <c r="B5031"/>
      <c r="C5031"/>
      <c r="E5031"/>
    </row>
    <row r="5032" spans="2:5">
      <c r="B5032"/>
      <c r="C5032"/>
      <c r="E5032"/>
    </row>
    <row r="5033" spans="2:5">
      <c r="B5033"/>
      <c r="C5033"/>
      <c r="E5033"/>
    </row>
    <row r="5034" spans="2:5">
      <c r="B5034"/>
      <c r="C5034"/>
      <c r="E5034"/>
    </row>
    <row r="5035" spans="2:5">
      <c r="B5035"/>
      <c r="C5035"/>
      <c r="E5035"/>
    </row>
    <row r="5036" spans="2:5">
      <c r="B5036"/>
      <c r="C5036"/>
      <c r="E5036"/>
    </row>
    <row r="5037" spans="2:5">
      <c r="B5037"/>
      <c r="C5037"/>
      <c r="E5037"/>
    </row>
    <row r="5038" spans="2:5">
      <c r="B5038"/>
      <c r="C5038"/>
      <c r="E5038"/>
    </row>
    <row r="5039" spans="2:5">
      <c r="B5039"/>
      <c r="C5039"/>
      <c r="E5039"/>
    </row>
    <row r="5040" spans="2:5">
      <c r="B5040"/>
      <c r="C5040"/>
      <c r="E5040"/>
    </row>
    <row r="5041" spans="2:5">
      <c r="B5041"/>
      <c r="C5041"/>
      <c r="E5041"/>
    </row>
    <row r="5042" spans="2:5">
      <c r="B5042"/>
      <c r="C5042"/>
      <c r="E5042"/>
    </row>
    <row r="5043" spans="2:5">
      <c r="B5043"/>
      <c r="C5043"/>
      <c r="E5043"/>
    </row>
    <row r="5044" spans="2:5">
      <c r="B5044"/>
      <c r="C5044"/>
      <c r="E5044"/>
    </row>
    <row r="5045" spans="2:5">
      <c r="B5045"/>
      <c r="C5045"/>
      <c r="E5045"/>
    </row>
    <row r="5046" spans="2:5">
      <c r="B5046"/>
      <c r="C5046"/>
      <c r="E5046"/>
    </row>
    <row r="5047" spans="2:5">
      <c r="B5047"/>
      <c r="C5047"/>
      <c r="E5047"/>
    </row>
    <row r="5048" spans="2:5">
      <c r="B5048"/>
      <c r="C5048"/>
      <c r="E5048"/>
    </row>
    <row r="5049" spans="2:5">
      <c r="B5049"/>
      <c r="C5049"/>
      <c r="E5049"/>
    </row>
    <row r="5050" spans="2:5">
      <c r="B5050"/>
      <c r="C5050"/>
      <c r="E5050"/>
    </row>
    <row r="5051" spans="2:5">
      <c r="B5051"/>
      <c r="C5051"/>
      <c r="E5051"/>
    </row>
    <row r="5052" spans="2:5">
      <c r="B5052"/>
      <c r="C5052"/>
      <c r="E5052"/>
    </row>
    <row r="5053" spans="2:5">
      <c r="B5053"/>
      <c r="C5053"/>
      <c r="E5053"/>
    </row>
    <row r="5054" spans="2:5">
      <c r="B5054"/>
      <c r="C5054"/>
      <c r="E5054"/>
    </row>
    <row r="5055" spans="2:5">
      <c r="B5055"/>
      <c r="C5055"/>
      <c r="E5055"/>
    </row>
    <row r="5056" spans="2:5">
      <c r="B5056"/>
      <c r="C5056"/>
      <c r="E5056"/>
    </row>
    <row r="5057" spans="2:5">
      <c r="B5057"/>
      <c r="C5057"/>
      <c r="E5057"/>
    </row>
    <row r="5058" spans="2:5">
      <c r="B5058"/>
      <c r="C5058"/>
      <c r="E5058"/>
    </row>
    <row r="5059" spans="2:5">
      <c r="B5059"/>
      <c r="C5059"/>
      <c r="E5059"/>
    </row>
    <row r="5060" spans="2:5">
      <c r="B5060"/>
      <c r="C5060"/>
      <c r="E5060"/>
    </row>
    <row r="5061" spans="2:5">
      <c r="B5061"/>
      <c r="C5061"/>
      <c r="E5061"/>
    </row>
    <row r="5062" spans="2:5">
      <c r="B5062"/>
      <c r="C5062"/>
      <c r="E5062"/>
    </row>
    <row r="5063" spans="2:5">
      <c r="B5063"/>
      <c r="C5063"/>
      <c r="E5063"/>
    </row>
    <row r="5064" spans="2:5">
      <c r="B5064"/>
      <c r="C5064"/>
      <c r="E5064"/>
    </row>
    <row r="5065" spans="2:5">
      <c r="B5065"/>
      <c r="C5065"/>
      <c r="E5065"/>
    </row>
    <row r="5066" spans="2:5">
      <c r="B5066"/>
      <c r="C5066"/>
      <c r="E5066"/>
    </row>
    <row r="5067" spans="2:5">
      <c r="B5067"/>
      <c r="C5067"/>
      <c r="E5067"/>
    </row>
    <row r="5068" spans="2:5">
      <c r="B5068"/>
      <c r="C5068"/>
      <c r="E5068"/>
    </row>
    <row r="5069" spans="2:5">
      <c r="B5069"/>
      <c r="C5069"/>
      <c r="E5069"/>
    </row>
    <row r="5070" spans="2:5">
      <c r="B5070"/>
      <c r="C5070"/>
      <c r="E5070"/>
    </row>
    <row r="5071" spans="2:5">
      <c r="B5071"/>
      <c r="C5071"/>
      <c r="E5071"/>
    </row>
    <row r="5072" spans="2:5">
      <c r="B5072"/>
      <c r="C5072"/>
      <c r="E5072"/>
    </row>
    <row r="5073" spans="2:5">
      <c r="B5073"/>
      <c r="C5073"/>
      <c r="E5073"/>
    </row>
    <row r="5074" spans="2:5">
      <c r="B5074"/>
      <c r="C5074"/>
      <c r="E5074"/>
    </row>
    <row r="5075" spans="2:5">
      <c r="B5075"/>
      <c r="C5075"/>
      <c r="E5075"/>
    </row>
    <row r="5076" spans="2:5">
      <c r="B5076"/>
      <c r="C5076"/>
      <c r="E5076"/>
    </row>
    <row r="5077" spans="2:5">
      <c r="B5077"/>
      <c r="C5077"/>
      <c r="E5077"/>
    </row>
    <row r="5078" spans="2:5">
      <c r="B5078"/>
      <c r="C5078"/>
      <c r="E5078"/>
    </row>
    <row r="5079" spans="2:5">
      <c r="B5079"/>
      <c r="C5079"/>
      <c r="E5079"/>
    </row>
    <row r="5080" spans="2:5">
      <c r="B5080"/>
      <c r="C5080"/>
      <c r="E5080"/>
    </row>
    <row r="5081" spans="2:5">
      <c r="B5081"/>
      <c r="C5081"/>
      <c r="E5081"/>
    </row>
    <row r="5082" spans="2:5">
      <c r="B5082"/>
      <c r="C5082"/>
      <c r="E5082"/>
    </row>
    <row r="5083" spans="2:5">
      <c r="B5083"/>
      <c r="C5083"/>
      <c r="E5083"/>
    </row>
    <row r="5084" spans="2:5">
      <c r="B5084"/>
      <c r="C5084"/>
      <c r="E5084"/>
    </row>
    <row r="5085" spans="2:5">
      <c r="B5085"/>
      <c r="C5085"/>
      <c r="E5085"/>
    </row>
    <row r="5086" spans="2:5">
      <c r="B5086"/>
      <c r="C5086"/>
      <c r="E5086"/>
    </row>
    <row r="5087" spans="2:5">
      <c r="B5087"/>
      <c r="C5087"/>
      <c r="E5087"/>
    </row>
    <row r="5088" spans="2:5">
      <c r="B5088"/>
      <c r="C5088"/>
      <c r="E5088"/>
    </row>
    <row r="5089" spans="2:5">
      <c r="B5089"/>
      <c r="C5089"/>
      <c r="E5089"/>
    </row>
    <row r="5090" spans="2:5">
      <c r="B5090"/>
      <c r="C5090"/>
      <c r="E5090"/>
    </row>
    <row r="5091" spans="2:5">
      <c r="B5091"/>
      <c r="C5091"/>
      <c r="E5091"/>
    </row>
    <row r="5092" spans="2:5">
      <c r="B5092"/>
      <c r="C5092"/>
      <c r="E5092"/>
    </row>
    <row r="5093" spans="2:5">
      <c r="B5093"/>
      <c r="C5093"/>
      <c r="E5093"/>
    </row>
    <row r="5094" spans="2:5">
      <c r="B5094"/>
      <c r="C5094"/>
      <c r="E5094"/>
    </row>
    <row r="5095" spans="2:5">
      <c r="B5095"/>
      <c r="C5095"/>
      <c r="E5095"/>
    </row>
    <row r="5096" spans="2:5">
      <c r="B5096"/>
      <c r="C5096"/>
      <c r="E5096"/>
    </row>
    <row r="5097" spans="2:5">
      <c r="B5097"/>
      <c r="C5097"/>
      <c r="E5097"/>
    </row>
    <row r="5098" spans="2:5">
      <c r="B5098"/>
      <c r="C5098"/>
      <c r="E5098"/>
    </row>
    <row r="5099" spans="2:5">
      <c r="B5099"/>
      <c r="C5099"/>
      <c r="E5099"/>
    </row>
    <row r="5100" spans="2:5">
      <c r="B5100"/>
      <c r="C5100"/>
      <c r="E5100"/>
    </row>
    <row r="5101" spans="2:5">
      <c r="B5101"/>
      <c r="C5101"/>
      <c r="E5101"/>
    </row>
    <row r="5102" spans="2:5">
      <c r="B5102"/>
      <c r="C5102"/>
      <c r="E5102"/>
    </row>
    <row r="5103" spans="2:5">
      <c r="B5103"/>
      <c r="C5103"/>
      <c r="E5103"/>
    </row>
    <row r="5104" spans="2:5">
      <c r="B5104"/>
      <c r="C5104"/>
      <c r="E5104"/>
    </row>
    <row r="5105" spans="2:5">
      <c r="B5105"/>
      <c r="C5105"/>
      <c r="E5105"/>
    </row>
    <row r="5106" spans="2:5">
      <c r="B5106"/>
      <c r="C5106"/>
      <c r="E5106"/>
    </row>
    <row r="5107" spans="2:5">
      <c r="B5107"/>
      <c r="C5107"/>
      <c r="E5107"/>
    </row>
    <row r="5108" spans="2:5">
      <c r="B5108"/>
      <c r="C5108"/>
      <c r="E5108"/>
    </row>
    <row r="5109" spans="2:5">
      <c r="B5109"/>
      <c r="C5109"/>
      <c r="E5109"/>
    </row>
    <row r="5110" spans="2:5">
      <c r="B5110"/>
      <c r="C5110"/>
      <c r="E5110"/>
    </row>
    <row r="5111" spans="2:5">
      <c r="B5111"/>
      <c r="C5111"/>
      <c r="E5111"/>
    </row>
    <row r="5112" spans="2:5">
      <c r="B5112"/>
      <c r="C5112"/>
      <c r="E5112"/>
    </row>
    <row r="5113" spans="2:5">
      <c r="B5113"/>
      <c r="C5113"/>
      <c r="E5113"/>
    </row>
    <row r="5114" spans="2:5">
      <c r="B5114"/>
      <c r="C5114"/>
      <c r="E5114"/>
    </row>
    <row r="5115" spans="2:5">
      <c r="B5115"/>
      <c r="C5115"/>
      <c r="E5115"/>
    </row>
    <row r="5116" spans="2:5">
      <c r="B5116"/>
      <c r="C5116"/>
      <c r="E5116"/>
    </row>
    <row r="5117" spans="2:5">
      <c r="B5117"/>
      <c r="C5117"/>
      <c r="E5117"/>
    </row>
    <row r="5118" spans="2:5">
      <c r="B5118"/>
      <c r="C5118"/>
      <c r="E5118"/>
    </row>
    <row r="5119" spans="2:5">
      <c r="B5119"/>
      <c r="C5119"/>
      <c r="E5119"/>
    </row>
    <row r="5120" spans="2:5">
      <c r="B5120"/>
      <c r="C5120"/>
      <c r="E5120"/>
    </row>
    <row r="5121" spans="2:5">
      <c r="B5121"/>
      <c r="C5121"/>
      <c r="E5121"/>
    </row>
    <row r="5122" spans="2:5">
      <c r="B5122"/>
      <c r="C5122"/>
      <c r="E5122"/>
    </row>
    <row r="5123" spans="2:5">
      <c r="B5123"/>
      <c r="C5123"/>
      <c r="E5123"/>
    </row>
    <row r="5124" spans="2:5">
      <c r="B5124"/>
      <c r="C5124"/>
      <c r="E5124"/>
    </row>
    <row r="5125" spans="2:5">
      <c r="B5125"/>
      <c r="C5125"/>
      <c r="E5125"/>
    </row>
    <row r="5126" spans="2:5">
      <c r="B5126"/>
      <c r="C5126"/>
      <c r="E5126"/>
    </row>
    <row r="5127" spans="2:5">
      <c r="B5127"/>
      <c r="C5127"/>
      <c r="E5127"/>
    </row>
    <row r="5128" spans="2:5">
      <c r="B5128"/>
      <c r="C5128"/>
      <c r="E5128"/>
    </row>
    <row r="5129" spans="2:5">
      <c r="B5129"/>
      <c r="C5129"/>
      <c r="E5129"/>
    </row>
    <row r="5130" spans="2:5">
      <c r="B5130"/>
      <c r="C5130"/>
      <c r="E5130"/>
    </row>
    <row r="5131" spans="2:5">
      <c r="B5131"/>
      <c r="C5131"/>
      <c r="E5131"/>
    </row>
    <row r="5132" spans="2:5">
      <c r="B5132"/>
      <c r="C5132"/>
      <c r="E5132"/>
    </row>
    <row r="5133" spans="2:5">
      <c r="B5133"/>
      <c r="C5133"/>
      <c r="E5133"/>
    </row>
    <row r="5134" spans="2:5">
      <c r="B5134"/>
      <c r="C5134"/>
      <c r="E5134"/>
    </row>
    <row r="5135" spans="2:5">
      <c r="B5135"/>
      <c r="C5135"/>
      <c r="E5135"/>
    </row>
    <row r="5136" spans="2:5">
      <c r="B5136"/>
      <c r="C5136"/>
      <c r="E5136"/>
    </row>
    <row r="5137" spans="2:5">
      <c r="B5137"/>
      <c r="C5137"/>
      <c r="E5137"/>
    </row>
    <row r="5138" spans="2:5">
      <c r="B5138"/>
      <c r="C5138"/>
      <c r="E5138"/>
    </row>
    <row r="5139" spans="2:5">
      <c r="B5139"/>
      <c r="C5139"/>
      <c r="E5139"/>
    </row>
    <row r="5140" spans="2:5">
      <c r="B5140"/>
      <c r="C5140"/>
      <c r="E5140"/>
    </row>
    <row r="5141" spans="2:5">
      <c r="B5141"/>
      <c r="C5141"/>
      <c r="E5141"/>
    </row>
    <row r="5142" spans="2:5">
      <c r="B5142"/>
      <c r="C5142"/>
      <c r="E5142"/>
    </row>
    <row r="5143" spans="2:5">
      <c r="B5143"/>
      <c r="C5143"/>
      <c r="E5143"/>
    </row>
    <row r="5144" spans="2:5">
      <c r="B5144"/>
      <c r="C5144"/>
      <c r="E5144"/>
    </row>
    <row r="5145" spans="2:5">
      <c r="B5145"/>
      <c r="C5145"/>
      <c r="E5145"/>
    </row>
    <row r="5146" spans="2:5">
      <c r="B5146"/>
      <c r="C5146"/>
      <c r="E5146"/>
    </row>
    <row r="5147" spans="2:5">
      <c r="B5147"/>
      <c r="C5147"/>
      <c r="E5147"/>
    </row>
    <row r="5148" spans="2:5">
      <c r="B5148"/>
      <c r="C5148"/>
      <c r="E5148"/>
    </row>
    <row r="5149" spans="2:5">
      <c r="B5149"/>
      <c r="C5149"/>
      <c r="E5149"/>
    </row>
    <row r="5150" spans="2:5">
      <c r="B5150"/>
      <c r="C5150"/>
      <c r="E5150"/>
    </row>
    <row r="5151" spans="2:5">
      <c r="B5151"/>
      <c r="C5151"/>
      <c r="E5151"/>
    </row>
    <row r="5152" spans="2:5">
      <c r="B5152"/>
      <c r="C5152"/>
      <c r="E5152"/>
    </row>
    <row r="5153" spans="2:5">
      <c r="B5153"/>
      <c r="C5153"/>
      <c r="E5153"/>
    </row>
    <row r="5154" spans="2:5">
      <c r="B5154"/>
      <c r="C5154"/>
      <c r="E5154"/>
    </row>
    <row r="5155" spans="2:5">
      <c r="B5155"/>
      <c r="C5155"/>
      <c r="E5155"/>
    </row>
    <row r="5156" spans="2:5">
      <c r="B5156"/>
      <c r="C5156"/>
      <c r="E5156"/>
    </row>
    <row r="5157" spans="2:5">
      <c r="B5157"/>
      <c r="C5157"/>
      <c r="E5157"/>
    </row>
    <row r="5158" spans="2:5">
      <c r="B5158"/>
      <c r="C5158"/>
      <c r="E5158"/>
    </row>
    <row r="5159" spans="2:5">
      <c r="B5159"/>
      <c r="C5159"/>
      <c r="E5159"/>
    </row>
    <row r="5160" spans="2:5">
      <c r="B5160"/>
      <c r="C5160"/>
      <c r="E5160"/>
    </row>
    <row r="5161" spans="2:5">
      <c r="B5161"/>
      <c r="C5161"/>
      <c r="E5161"/>
    </row>
    <row r="5162" spans="2:5">
      <c r="B5162"/>
      <c r="C5162"/>
      <c r="E5162"/>
    </row>
    <row r="5163" spans="2:5">
      <c r="B5163"/>
      <c r="C5163"/>
      <c r="E5163"/>
    </row>
    <row r="5164" spans="2:5">
      <c r="B5164"/>
      <c r="C5164"/>
      <c r="E5164"/>
    </row>
    <row r="5165" spans="2:5">
      <c r="B5165"/>
      <c r="C5165"/>
      <c r="E5165"/>
    </row>
    <row r="5166" spans="2:5">
      <c r="B5166"/>
      <c r="C5166"/>
      <c r="E5166"/>
    </row>
    <row r="5167" spans="2:5">
      <c r="B5167"/>
      <c r="C5167"/>
      <c r="E5167"/>
    </row>
    <row r="5168" spans="2:5">
      <c r="B5168"/>
      <c r="C5168"/>
      <c r="E5168"/>
    </row>
    <row r="5169" spans="2:5">
      <c r="B5169"/>
      <c r="C5169"/>
      <c r="E5169"/>
    </row>
    <row r="5170" spans="2:5">
      <c r="B5170"/>
      <c r="C5170"/>
      <c r="E5170"/>
    </row>
    <row r="5171" spans="2:5">
      <c r="B5171"/>
      <c r="C5171"/>
      <c r="E5171"/>
    </row>
    <row r="5172" spans="2:5">
      <c r="B5172"/>
      <c r="C5172"/>
      <c r="E5172"/>
    </row>
    <row r="5173" spans="2:5">
      <c r="B5173"/>
      <c r="C5173"/>
      <c r="E5173"/>
    </row>
    <row r="5174" spans="2:5">
      <c r="B5174"/>
      <c r="C5174"/>
      <c r="E5174"/>
    </row>
    <row r="5175" spans="2:5">
      <c r="B5175"/>
      <c r="C5175"/>
      <c r="E5175"/>
    </row>
    <row r="5176" spans="2:5">
      <c r="B5176"/>
      <c r="C5176"/>
      <c r="E5176"/>
    </row>
    <row r="5177" spans="2:5">
      <c r="B5177"/>
      <c r="C5177"/>
      <c r="E5177"/>
    </row>
    <row r="5178" spans="2:5">
      <c r="B5178"/>
      <c r="C5178"/>
      <c r="E5178"/>
    </row>
    <row r="5179" spans="2:5">
      <c r="B5179"/>
      <c r="C5179"/>
      <c r="E5179"/>
    </row>
    <row r="5180" spans="2:5">
      <c r="B5180"/>
      <c r="C5180"/>
      <c r="E5180"/>
    </row>
    <row r="5181" spans="2:5">
      <c r="B5181"/>
      <c r="C5181"/>
      <c r="E5181"/>
    </row>
    <row r="5182" spans="2:5">
      <c r="B5182"/>
      <c r="C5182"/>
      <c r="E5182"/>
    </row>
    <row r="5183" spans="2:5">
      <c r="B5183"/>
      <c r="C5183"/>
      <c r="E5183"/>
    </row>
    <row r="5184" spans="2:5">
      <c r="B5184"/>
      <c r="C5184"/>
      <c r="E5184"/>
    </row>
    <row r="5185" spans="2:5">
      <c r="B5185"/>
      <c r="C5185"/>
      <c r="E5185"/>
    </row>
    <row r="5186" spans="2:5">
      <c r="B5186"/>
      <c r="C5186"/>
      <c r="E5186"/>
    </row>
    <row r="5187" spans="2:5">
      <c r="B5187"/>
      <c r="C5187"/>
      <c r="E5187"/>
    </row>
    <row r="5188" spans="2:5">
      <c r="B5188"/>
      <c r="C5188"/>
      <c r="E5188"/>
    </row>
    <row r="5189" spans="2:5">
      <c r="B5189"/>
      <c r="C5189"/>
      <c r="E5189"/>
    </row>
    <row r="5190" spans="2:5">
      <c r="B5190"/>
      <c r="C5190"/>
      <c r="E5190"/>
    </row>
    <row r="5191" spans="2:5">
      <c r="B5191"/>
      <c r="C5191"/>
      <c r="E5191"/>
    </row>
    <row r="5192" spans="2:5">
      <c r="B5192"/>
      <c r="C5192"/>
      <c r="E5192"/>
    </row>
    <row r="5193" spans="2:5">
      <c r="B5193"/>
      <c r="C5193"/>
      <c r="E5193"/>
    </row>
    <row r="5194" spans="2:5">
      <c r="B5194"/>
      <c r="C5194"/>
      <c r="E5194"/>
    </row>
    <row r="5195" spans="2:5">
      <c r="B5195"/>
      <c r="C5195"/>
      <c r="E5195"/>
    </row>
    <row r="5196" spans="2:5">
      <c r="B5196"/>
      <c r="C5196"/>
      <c r="E5196"/>
    </row>
    <row r="5197" spans="2:5">
      <c r="B5197"/>
      <c r="C5197"/>
      <c r="E5197"/>
    </row>
    <row r="5198" spans="2:5">
      <c r="B5198"/>
      <c r="C5198"/>
      <c r="E5198"/>
    </row>
    <row r="5199" spans="2:5">
      <c r="B5199"/>
      <c r="C5199"/>
      <c r="E5199"/>
    </row>
    <row r="5200" spans="2:5">
      <c r="B5200"/>
      <c r="C5200"/>
      <c r="E5200"/>
    </row>
    <row r="5201" spans="2:5">
      <c r="B5201"/>
      <c r="C5201"/>
      <c r="E5201"/>
    </row>
    <row r="5202" spans="2:5">
      <c r="B5202"/>
      <c r="C5202"/>
      <c r="E5202"/>
    </row>
    <row r="5203" spans="2:5">
      <c r="B5203"/>
      <c r="C5203"/>
      <c r="E5203"/>
    </row>
    <row r="5204" spans="2:5">
      <c r="B5204"/>
      <c r="C5204"/>
      <c r="E5204"/>
    </row>
    <row r="5205" spans="2:5">
      <c r="B5205"/>
      <c r="C5205"/>
      <c r="E5205"/>
    </row>
    <row r="5206" spans="2:5">
      <c r="B5206"/>
      <c r="C5206"/>
      <c r="E5206"/>
    </row>
    <row r="5207" spans="2:5">
      <c r="B5207"/>
      <c r="C5207"/>
      <c r="E5207"/>
    </row>
    <row r="5208" spans="2:5">
      <c r="B5208"/>
      <c r="C5208"/>
      <c r="E5208"/>
    </row>
    <row r="5209" spans="2:5">
      <c r="B5209"/>
      <c r="C5209"/>
      <c r="E5209"/>
    </row>
    <row r="5210" spans="2:5">
      <c r="B5210"/>
      <c r="C5210"/>
      <c r="E5210"/>
    </row>
    <row r="5211" spans="2:5">
      <c r="B5211"/>
      <c r="C5211"/>
      <c r="E5211"/>
    </row>
    <row r="5212" spans="2:5">
      <c r="B5212"/>
      <c r="C5212"/>
      <c r="E5212"/>
    </row>
    <row r="5213" spans="2:5">
      <c r="B5213"/>
      <c r="C5213"/>
      <c r="E5213"/>
    </row>
    <row r="5214" spans="2:5">
      <c r="B5214"/>
      <c r="C5214"/>
      <c r="E5214"/>
    </row>
    <row r="5215" spans="2:5">
      <c r="B5215"/>
      <c r="C5215"/>
      <c r="E5215"/>
    </row>
    <row r="5216" spans="2:5">
      <c r="B5216"/>
      <c r="C5216"/>
      <c r="E5216"/>
    </row>
    <row r="5217" spans="2:5">
      <c r="B5217"/>
      <c r="C5217"/>
      <c r="E5217"/>
    </row>
    <row r="5218" spans="2:5">
      <c r="B5218"/>
      <c r="C5218"/>
      <c r="E5218"/>
    </row>
    <row r="5219" spans="2:5">
      <c r="B5219"/>
      <c r="C5219"/>
      <c r="E5219"/>
    </row>
    <row r="5220" spans="2:5">
      <c r="B5220"/>
      <c r="C5220"/>
      <c r="E5220"/>
    </row>
    <row r="5221" spans="2:5">
      <c r="B5221"/>
      <c r="C5221"/>
      <c r="E5221"/>
    </row>
    <row r="5222" spans="2:5">
      <c r="B5222"/>
      <c r="C5222"/>
      <c r="E5222"/>
    </row>
    <row r="5223" spans="2:5">
      <c r="B5223"/>
      <c r="C5223"/>
      <c r="E5223"/>
    </row>
    <row r="5224" spans="2:5">
      <c r="B5224"/>
      <c r="C5224"/>
      <c r="E5224"/>
    </row>
    <row r="5225" spans="2:5">
      <c r="B5225"/>
      <c r="C5225"/>
      <c r="E5225"/>
    </row>
    <row r="5226" spans="2:5">
      <c r="B5226"/>
      <c r="C5226"/>
      <c r="E5226"/>
    </row>
    <row r="5227" spans="2:5">
      <c r="B5227"/>
      <c r="C5227"/>
      <c r="E5227"/>
    </row>
    <row r="5228" spans="2:5">
      <c r="B5228"/>
      <c r="C5228"/>
      <c r="E5228"/>
    </row>
    <row r="5229" spans="2:5">
      <c r="B5229"/>
      <c r="C5229"/>
      <c r="E5229"/>
    </row>
    <row r="5230" spans="2:5">
      <c r="B5230"/>
      <c r="C5230"/>
      <c r="E5230"/>
    </row>
    <row r="5231" spans="2:5">
      <c r="B5231"/>
      <c r="C5231"/>
      <c r="E5231"/>
    </row>
    <row r="5232" spans="2:5">
      <c r="B5232"/>
      <c r="C5232"/>
      <c r="E5232"/>
    </row>
    <row r="5233" spans="2:5">
      <c r="B5233"/>
      <c r="C5233"/>
      <c r="E5233"/>
    </row>
    <row r="5234" spans="2:5">
      <c r="B5234"/>
      <c r="C5234"/>
      <c r="E5234"/>
    </row>
    <row r="5235" spans="2:5">
      <c r="B5235"/>
      <c r="C5235"/>
      <c r="E5235"/>
    </row>
    <row r="5236" spans="2:5">
      <c r="B5236"/>
      <c r="C5236"/>
      <c r="E5236"/>
    </row>
    <row r="5237" spans="2:5">
      <c r="B5237"/>
      <c r="C5237"/>
      <c r="E5237"/>
    </row>
    <row r="5238" spans="2:5">
      <c r="B5238"/>
      <c r="C5238"/>
      <c r="E5238"/>
    </row>
    <row r="5239" spans="2:5">
      <c r="B5239"/>
      <c r="C5239"/>
      <c r="E5239"/>
    </row>
    <row r="5240" spans="2:5">
      <c r="B5240"/>
      <c r="C5240"/>
      <c r="E5240"/>
    </row>
    <row r="5241" spans="2:5">
      <c r="B5241"/>
      <c r="C5241"/>
      <c r="E5241"/>
    </row>
    <row r="5242" spans="2:5">
      <c r="B5242"/>
      <c r="C5242"/>
      <c r="E5242"/>
    </row>
    <row r="5243" spans="2:5">
      <c r="B5243"/>
      <c r="C5243"/>
      <c r="E5243"/>
    </row>
    <row r="5244" spans="2:5">
      <c r="B5244"/>
      <c r="C5244"/>
      <c r="E5244"/>
    </row>
    <row r="5245" spans="2:5">
      <c r="B5245"/>
      <c r="C5245"/>
      <c r="E5245"/>
    </row>
    <row r="5246" spans="2:5">
      <c r="B5246"/>
      <c r="C5246"/>
      <c r="E5246"/>
    </row>
    <row r="5247" spans="2:5">
      <c r="B5247"/>
      <c r="C5247"/>
      <c r="E5247"/>
    </row>
    <row r="5248" spans="2:5">
      <c r="B5248"/>
      <c r="C5248"/>
      <c r="E5248"/>
    </row>
    <row r="5249" spans="2:5">
      <c r="B5249"/>
      <c r="C5249"/>
      <c r="E5249"/>
    </row>
    <row r="5250" spans="2:5">
      <c r="B5250"/>
      <c r="C5250"/>
      <c r="E5250"/>
    </row>
    <row r="5251" spans="2:5">
      <c r="B5251"/>
      <c r="C5251"/>
      <c r="E5251"/>
    </row>
    <row r="5252" spans="2:5">
      <c r="B5252"/>
      <c r="C5252"/>
      <c r="E5252"/>
    </row>
    <row r="5253" spans="2:5">
      <c r="B5253"/>
      <c r="C5253"/>
      <c r="E5253"/>
    </row>
    <row r="5254" spans="2:5">
      <c r="B5254"/>
      <c r="C5254"/>
      <c r="E5254"/>
    </row>
    <row r="5255" spans="2:5">
      <c r="B5255"/>
      <c r="C5255"/>
      <c r="E5255"/>
    </row>
    <row r="5256" spans="2:5">
      <c r="B5256"/>
      <c r="C5256"/>
      <c r="E5256"/>
    </row>
    <row r="5257" spans="2:5">
      <c r="B5257"/>
      <c r="C5257"/>
      <c r="E5257"/>
    </row>
    <row r="5258" spans="2:5">
      <c r="B5258"/>
      <c r="C5258"/>
      <c r="E5258"/>
    </row>
    <row r="5259" spans="2:5">
      <c r="B5259"/>
      <c r="C5259"/>
      <c r="E5259"/>
    </row>
    <row r="5260" spans="2:5">
      <c r="B5260"/>
      <c r="C5260"/>
      <c r="E5260"/>
    </row>
    <row r="5261" spans="2:5">
      <c r="B5261"/>
      <c r="C5261"/>
      <c r="E5261"/>
    </row>
    <row r="5262" spans="2:5">
      <c r="B5262"/>
      <c r="C5262"/>
      <c r="E5262"/>
    </row>
    <row r="5263" spans="2:5">
      <c r="B5263"/>
      <c r="C5263"/>
      <c r="E5263"/>
    </row>
    <row r="5264" spans="2:5">
      <c r="B5264"/>
      <c r="C5264"/>
      <c r="E5264"/>
    </row>
    <row r="5265" spans="2:5">
      <c r="B5265"/>
      <c r="C5265"/>
      <c r="E5265"/>
    </row>
    <row r="5266" spans="2:5">
      <c r="B5266"/>
      <c r="C5266"/>
      <c r="E5266"/>
    </row>
    <row r="5267" spans="2:5">
      <c r="B5267"/>
      <c r="C5267"/>
      <c r="E5267"/>
    </row>
    <row r="5268" spans="2:5">
      <c r="B5268"/>
      <c r="C5268"/>
      <c r="E5268"/>
    </row>
    <row r="5269" spans="2:5">
      <c r="B5269"/>
      <c r="C5269"/>
      <c r="E5269"/>
    </row>
    <row r="5270" spans="2:5">
      <c r="B5270"/>
      <c r="C5270"/>
      <c r="E5270"/>
    </row>
    <row r="5271" spans="2:5">
      <c r="B5271"/>
      <c r="C5271"/>
      <c r="E5271"/>
    </row>
    <row r="5272" spans="2:5">
      <c r="B5272"/>
      <c r="C5272"/>
      <c r="E5272"/>
    </row>
    <row r="5273" spans="2:5">
      <c r="B5273"/>
      <c r="C5273"/>
      <c r="E5273"/>
    </row>
    <row r="5274" spans="2:5">
      <c r="B5274"/>
      <c r="C5274"/>
      <c r="E5274"/>
    </row>
    <row r="5275" spans="2:5">
      <c r="B5275"/>
      <c r="C5275"/>
      <c r="E5275"/>
    </row>
    <row r="5276" spans="2:5">
      <c r="B5276"/>
      <c r="C5276"/>
      <c r="E5276"/>
    </row>
    <row r="5277" spans="2:5">
      <c r="B5277"/>
      <c r="C5277"/>
      <c r="E5277"/>
    </row>
    <row r="5278" spans="2:5">
      <c r="B5278"/>
      <c r="C5278"/>
      <c r="E5278"/>
    </row>
    <row r="5279" spans="2:5">
      <c r="B5279"/>
      <c r="C5279"/>
      <c r="E5279"/>
    </row>
    <row r="5280" spans="2:5">
      <c r="B5280"/>
      <c r="C5280"/>
      <c r="E5280"/>
    </row>
    <row r="5281" spans="2:5">
      <c r="B5281"/>
      <c r="C5281"/>
      <c r="E5281"/>
    </row>
    <row r="5282" spans="2:5">
      <c r="B5282"/>
      <c r="C5282"/>
      <c r="E5282"/>
    </row>
    <row r="5283" spans="2:5">
      <c r="B5283"/>
      <c r="C5283"/>
      <c r="E5283"/>
    </row>
    <row r="5284" spans="2:5">
      <c r="B5284"/>
      <c r="C5284"/>
      <c r="E5284"/>
    </row>
    <row r="5285" spans="2:5">
      <c r="B5285"/>
      <c r="C5285"/>
      <c r="E5285"/>
    </row>
    <row r="5286" spans="2:5">
      <c r="B5286"/>
      <c r="C5286"/>
      <c r="E5286"/>
    </row>
    <row r="5287" spans="2:5">
      <c r="B5287"/>
      <c r="C5287"/>
      <c r="E5287"/>
    </row>
    <row r="5288" spans="2:5">
      <c r="B5288"/>
      <c r="C5288"/>
      <c r="E5288"/>
    </row>
    <row r="5289" spans="2:5">
      <c r="B5289"/>
      <c r="C5289"/>
      <c r="E5289"/>
    </row>
    <row r="5290" spans="2:5">
      <c r="B5290"/>
      <c r="C5290"/>
      <c r="E5290"/>
    </row>
    <row r="5291" spans="2:5">
      <c r="B5291"/>
      <c r="C5291"/>
      <c r="E5291"/>
    </row>
    <row r="5292" spans="2:5">
      <c r="B5292"/>
      <c r="C5292"/>
      <c r="E5292"/>
    </row>
    <row r="5293" spans="2:5">
      <c r="B5293"/>
      <c r="C5293"/>
      <c r="E5293"/>
    </row>
    <row r="5294" spans="2:5">
      <c r="B5294"/>
      <c r="C5294"/>
      <c r="E5294"/>
    </row>
    <row r="5295" spans="2:5">
      <c r="B5295"/>
      <c r="C5295"/>
      <c r="E5295"/>
    </row>
    <row r="5296" spans="2:5">
      <c r="B5296"/>
      <c r="C5296"/>
      <c r="E5296"/>
    </row>
    <row r="5297" spans="2:5">
      <c r="B5297"/>
      <c r="C5297"/>
      <c r="E5297"/>
    </row>
    <row r="5298" spans="2:5">
      <c r="B5298"/>
      <c r="C5298"/>
      <c r="E5298"/>
    </row>
    <row r="5299" spans="2:5">
      <c r="B5299"/>
      <c r="C5299"/>
      <c r="E5299"/>
    </row>
    <row r="5300" spans="2:5">
      <c r="B5300"/>
      <c r="C5300"/>
      <c r="E5300"/>
    </row>
    <row r="5301" spans="2:5">
      <c r="B5301"/>
      <c r="C5301"/>
      <c r="E5301"/>
    </row>
    <row r="5302" spans="2:5">
      <c r="B5302"/>
      <c r="C5302"/>
      <c r="E5302"/>
    </row>
    <row r="5303" spans="2:5">
      <c r="B5303"/>
      <c r="C5303"/>
      <c r="E5303"/>
    </row>
    <row r="5304" spans="2:5">
      <c r="B5304"/>
      <c r="C5304"/>
      <c r="E5304"/>
    </row>
    <row r="5305" spans="2:5">
      <c r="B5305"/>
      <c r="C5305"/>
      <c r="E5305"/>
    </row>
    <row r="5306" spans="2:5">
      <c r="B5306"/>
      <c r="C5306"/>
      <c r="E5306"/>
    </row>
    <row r="5307" spans="2:5">
      <c r="B5307"/>
      <c r="C5307"/>
      <c r="E5307"/>
    </row>
    <row r="5308" spans="2:5">
      <c r="B5308"/>
      <c r="C5308"/>
      <c r="E5308"/>
    </row>
    <row r="5309" spans="2:5">
      <c r="B5309"/>
      <c r="C5309"/>
      <c r="E5309"/>
    </row>
    <row r="5310" spans="2:5">
      <c r="B5310"/>
      <c r="C5310"/>
      <c r="E5310"/>
    </row>
    <row r="5311" spans="2:5">
      <c r="B5311"/>
      <c r="C5311"/>
      <c r="E5311"/>
    </row>
    <row r="5312" spans="2:5">
      <c r="B5312"/>
      <c r="C5312"/>
      <c r="E5312"/>
    </row>
    <row r="5313" spans="2:5">
      <c r="B5313"/>
      <c r="C5313"/>
      <c r="E5313"/>
    </row>
    <row r="5314" spans="2:5">
      <c r="B5314"/>
      <c r="C5314"/>
      <c r="E5314"/>
    </row>
    <row r="5315" spans="2:5">
      <c r="B5315"/>
      <c r="C5315"/>
      <c r="E5315"/>
    </row>
    <row r="5316" spans="2:5">
      <c r="B5316"/>
      <c r="C5316"/>
      <c r="E5316"/>
    </row>
    <row r="5317" spans="2:5">
      <c r="B5317"/>
      <c r="C5317"/>
      <c r="E5317"/>
    </row>
    <row r="5318" spans="2:5">
      <c r="B5318"/>
      <c r="C5318"/>
      <c r="E5318"/>
    </row>
    <row r="5319" spans="2:5">
      <c r="B5319"/>
      <c r="C5319"/>
      <c r="E5319"/>
    </row>
    <row r="5320" spans="2:5">
      <c r="B5320"/>
      <c r="C5320"/>
      <c r="E5320"/>
    </row>
    <row r="5321" spans="2:5">
      <c r="B5321"/>
      <c r="C5321"/>
      <c r="E5321"/>
    </row>
    <row r="5322" spans="2:5">
      <c r="B5322"/>
      <c r="C5322"/>
      <c r="E5322"/>
    </row>
    <row r="5323" spans="2:5">
      <c r="B5323"/>
      <c r="C5323"/>
      <c r="E5323"/>
    </row>
    <row r="5324" spans="2:5">
      <c r="B5324"/>
      <c r="C5324"/>
      <c r="E5324"/>
    </row>
    <row r="5325" spans="2:5">
      <c r="B5325"/>
      <c r="C5325"/>
      <c r="E5325"/>
    </row>
    <row r="5326" spans="2:5">
      <c r="B5326"/>
      <c r="C5326"/>
      <c r="E5326"/>
    </row>
    <row r="5327" spans="2:5">
      <c r="B5327"/>
      <c r="C5327"/>
      <c r="E5327"/>
    </row>
    <row r="5328" spans="2:5">
      <c r="B5328"/>
      <c r="C5328"/>
      <c r="E5328"/>
    </row>
    <row r="5329" spans="2:5">
      <c r="B5329"/>
      <c r="C5329"/>
      <c r="E5329"/>
    </row>
    <row r="5330" spans="2:5">
      <c r="B5330"/>
      <c r="C5330"/>
      <c r="E5330"/>
    </row>
    <row r="5331" spans="2:5">
      <c r="B5331"/>
      <c r="C5331"/>
      <c r="E5331"/>
    </row>
    <row r="5332" spans="2:5">
      <c r="B5332"/>
      <c r="C5332"/>
      <c r="E5332"/>
    </row>
    <row r="5333" spans="2:5">
      <c r="B5333"/>
      <c r="C5333"/>
      <c r="E5333"/>
    </row>
    <row r="5334" spans="2:5">
      <c r="B5334"/>
      <c r="C5334"/>
      <c r="E5334"/>
    </row>
    <row r="5335" spans="2:5">
      <c r="B5335"/>
      <c r="C5335"/>
      <c r="E5335"/>
    </row>
    <row r="5336" spans="2:5">
      <c r="B5336"/>
      <c r="C5336"/>
      <c r="E5336"/>
    </row>
    <row r="5337" spans="2:5">
      <c r="B5337"/>
      <c r="C5337"/>
      <c r="E5337"/>
    </row>
    <row r="5338" spans="2:5">
      <c r="B5338"/>
      <c r="C5338"/>
      <c r="E5338"/>
    </row>
    <row r="5339" spans="2:5">
      <c r="B5339"/>
      <c r="C5339"/>
      <c r="E5339"/>
    </row>
    <row r="5340" spans="2:5">
      <c r="B5340"/>
      <c r="C5340"/>
      <c r="E5340"/>
    </row>
    <row r="5341" spans="2:5">
      <c r="B5341"/>
      <c r="C5341"/>
      <c r="E5341"/>
    </row>
    <row r="5342" spans="2:5">
      <c r="B5342"/>
      <c r="C5342"/>
      <c r="E5342"/>
    </row>
    <row r="5343" spans="2:5">
      <c r="B5343"/>
      <c r="C5343"/>
      <c r="E5343"/>
    </row>
    <row r="5344" spans="2:5">
      <c r="B5344"/>
      <c r="C5344"/>
      <c r="E5344"/>
    </row>
    <row r="5345" spans="2:5">
      <c r="B5345"/>
      <c r="C5345"/>
      <c r="E5345"/>
    </row>
    <row r="5346" spans="2:5">
      <c r="B5346"/>
      <c r="C5346"/>
      <c r="E5346"/>
    </row>
    <row r="5347" spans="2:5">
      <c r="B5347"/>
      <c r="C5347"/>
      <c r="E5347"/>
    </row>
    <row r="5348" spans="2:5">
      <c r="B5348"/>
      <c r="C5348"/>
      <c r="E5348"/>
    </row>
    <row r="5349" spans="2:5">
      <c r="B5349"/>
      <c r="C5349"/>
      <c r="E5349"/>
    </row>
    <row r="5350" spans="2:5">
      <c r="B5350"/>
      <c r="C5350"/>
      <c r="E5350"/>
    </row>
    <row r="5351" spans="2:5">
      <c r="B5351"/>
      <c r="C5351"/>
      <c r="E5351"/>
    </row>
    <row r="5352" spans="2:5">
      <c r="B5352"/>
      <c r="C5352"/>
      <c r="E5352"/>
    </row>
    <row r="5353" spans="2:5">
      <c r="B5353"/>
      <c r="C5353"/>
      <c r="E5353"/>
    </row>
    <row r="5354" spans="2:5">
      <c r="B5354"/>
      <c r="C5354"/>
      <c r="E5354"/>
    </row>
    <row r="5355" spans="2:5">
      <c r="B5355"/>
      <c r="C5355"/>
      <c r="E5355"/>
    </row>
    <row r="5356" spans="2:5">
      <c r="B5356"/>
      <c r="C5356"/>
      <c r="E5356"/>
    </row>
    <row r="5357" spans="2:5">
      <c r="B5357"/>
      <c r="C5357"/>
      <c r="E5357"/>
    </row>
    <row r="5358" spans="2:5">
      <c r="B5358"/>
      <c r="C5358"/>
      <c r="E5358"/>
    </row>
    <row r="5359" spans="2:5">
      <c r="B5359"/>
      <c r="C5359"/>
      <c r="E5359"/>
    </row>
    <row r="5360" spans="2:5">
      <c r="B5360"/>
      <c r="C5360"/>
      <c r="E5360"/>
    </row>
    <row r="5361" spans="2:5">
      <c r="B5361"/>
      <c r="C5361"/>
      <c r="E5361"/>
    </row>
    <row r="5362" spans="2:5">
      <c r="B5362"/>
      <c r="C5362"/>
      <c r="E5362"/>
    </row>
    <row r="5363" spans="2:5">
      <c r="B5363"/>
      <c r="C5363"/>
      <c r="E5363"/>
    </row>
    <row r="5364" spans="2:5">
      <c r="B5364"/>
      <c r="C5364"/>
      <c r="E5364"/>
    </row>
    <row r="5365" spans="2:5">
      <c r="B5365"/>
      <c r="C5365"/>
      <c r="E5365"/>
    </row>
    <row r="5366" spans="2:5">
      <c r="B5366"/>
      <c r="C5366"/>
      <c r="E5366"/>
    </row>
    <row r="5367" spans="2:5">
      <c r="B5367"/>
      <c r="C5367"/>
      <c r="E5367"/>
    </row>
    <row r="5368" spans="2:5">
      <c r="B5368"/>
      <c r="C5368"/>
      <c r="E5368"/>
    </row>
    <row r="5369" spans="2:5">
      <c r="B5369"/>
      <c r="C5369"/>
      <c r="E5369"/>
    </row>
    <row r="5370" spans="2:5">
      <c r="B5370"/>
      <c r="C5370"/>
      <c r="E5370"/>
    </row>
    <row r="5371" spans="2:5">
      <c r="B5371"/>
      <c r="C5371"/>
      <c r="E5371"/>
    </row>
    <row r="5372" spans="2:5">
      <c r="B5372"/>
      <c r="C5372"/>
      <c r="E5372"/>
    </row>
    <row r="5373" spans="2:5">
      <c r="B5373"/>
      <c r="C5373"/>
      <c r="E5373"/>
    </row>
    <row r="5374" spans="2:5">
      <c r="B5374"/>
      <c r="C5374"/>
      <c r="E5374"/>
    </row>
    <row r="5375" spans="2:5">
      <c r="B5375"/>
      <c r="C5375"/>
      <c r="E5375"/>
    </row>
    <row r="5376" spans="2:5">
      <c r="B5376"/>
      <c r="C5376"/>
      <c r="E5376"/>
    </row>
    <row r="5377" spans="2:5">
      <c r="B5377"/>
      <c r="C5377"/>
      <c r="E5377"/>
    </row>
    <row r="5378" spans="2:5">
      <c r="B5378"/>
      <c r="C5378"/>
      <c r="E5378"/>
    </row>
    <row r="5379" spans="2:5">
      <c r="B5379"/>
      <c r="C5379"/>
      <c r="E5379"/>
    </row>
    <row r="5380" spans="2:5">
      <c r="B5380"/>
      <c r="C5380"/>
      <c r="E5380"/>
    </row>
    <row r="5381" spans="2:5">
      <c r="B5381"/>
      <c r="C5381"/>
      <c r="E5381"/>
    </row>
    <row r="5382" spans="2:5">
      <c r="B5382"/>
      <c r="C5382"/>
      <c r="E5382"/>
    </row>
    <row r="5383" spans="2:5">
      <c r="B5383"/>
      <c r="C5383"/>
      <c r="E5383"/>
    </row>
    <row r="5384" spans="2:5">
      <c r="B5384"/>
      <c r="C5384"/>
      <c r="E5384"/>
    </row>
    <row r="5385" spans="2:5">
      <c r="B5385"/>
      <c r="C5385"/>
      <c r="E5385"/>
    </row>
    <row r="5386" spans="2:5">
      <c r="B5386"/>
      <c r="C5386"/>
      <c r="E5386"/>
    </row>
    <row r="5387" spans="2:5">
      <c r="B5387"/>
      <c r="C5387"/>
      <c r="E5387"/>
    </row>
    <row r="5388" spans="2:5">
      <c r="B5388"/>
      <c r="C5388"/>
      <c r="E5388"/>
    </row>
    <row r="5389" spans="2:5">
      <c r="B5389"/>
      <c r="C5389"/>
      <c r="E5389"/>
    </row>
    <row r="5390" spans="2:5">
      <c r="B5390"/>
      <c r="C5390"/>
      <c r="E5390"/>
    </row>
    <row r="5391" spans="2:5">
      <c r="B5391"/>
      <c r="C5391"/>
      <c r="E5391"/>
    </row>
    <row r="5392" spans="2:5">
      <c r="B5392"/>
      <c r="C5392"/>
      <c r="E5392"/>
    </row>
    <row r="5393" spans="2:5">
      <c r="B5393"/>
      <c r="C5393"/>
      <c r="E5393"/>
    </row>
    <row r="5394" spans="2:5">
      <c r="B5394"/>
      <c r="C5394"/>
      <c r="E5394"/>
    </row>
    <row r="5395" spans="2:5">
      <c r="B5395"/>
      <c r="C5395"/>
      <c r="E5395"/>
    </row>
    <row r="5396" spans="2:5">
      <c r="B5396"/>
      <c r="C5396"/>
      <c r="E5396"/>
    </row>
    <row r="5397" spans="2:5">
      <c r="B5397"/>
      <c r="C5397"/>
      <c r="E5397"/>
    </row>
    <row r="5398" spans="2:5">
      <c r="B5398"/>
      <c r="C5398"/>
      <c r="E5398"/>
    </row>
    <row r="5399" spans="2:5">
      <c r="B5399"/>
      <c r="C5399"/>
      <c r="E5399"/>
    </row>
    <row r="5400" spans="2:5">
      <c r="B5400"/>
      <c r="C5400"/>
      <c r="E5400"/>
    </row>
    <row r="5401" spans="2:5">
      <c r="B5401"/>
      <c r="C5401"/>
      <c r="E5401"/>
    </row>
    <row r="5402" spans="2:5">
      <c r="B5402"/>
      <c r="C5402"/>
      <c r="E5402"/>
    </row>
    <row r="5403" spans="2:5">
      <c r="B5403"/>
      <c r="C5403"/>
      <c r="E5403"/>
    </row>
    <row r="5404" spans="2:5">
      <c r="B5404"/>
      <c r="C5404"/>
      <c r="E5404"/>
    </row>
    <row r="5405" spans="2:5">
      <c r="B5405"/>
      <c r="C5405"/>
      <c r="E5405"/>
    </row>
    <row r="5406" spans="2:5">
      <c r="B5406"/>
      <c r="C5406"/>
      <c r="E5406"/>
    </row>
    <row r="5407" spans="2:5">
      <c r="B5407"/>
      <c r="C5407"/>
      <c r="E5407"/>
    </row>
    <row r="5408" spans="2:5">
      <c r="B5408"/>
      <c r="C5408"/>
      <c r="E5408"/>
    </row>
    <row r="5409" spans="2:5">
      <c r="B5409"/>
      <c r="C5409"/>
      <c r="E5409"/>
    </row>
    <row r="5410" spans="2:5">
      <c r="B5410"/>
      <c r="C5410"/>
      <c r="E5410"/>
    </row>
    <row r="5411" spans="2:5">
      <c r="B5411"/>
      <c r="C5411"/>
      <c r="E5411"/>
    </row>
    <row r="5412" spans="2:5">
      <c r="B5412"/>
      <c r="C5412"/>
      <c r="E5412"/>
    </row>
    <row r="5413" spans="2:5">
      <c r="B5413"/>
      <c r="C5413"/>
      <c r="E5413"/>
    </row>
    <row r="5414" spans="2:5">
      <c r="B5414"/>
      <c r="C5414"/>
      <c r="E5414"/>
    </row>
    <row r="5415" spans="2:5">
      <c r="B5415"/>
      <c r="C5415"/>
      <c r="E5415"/>
    </row>
    <row r="5416" spans="2:5">
      <c r="B5416"/>
      <c r="C5416"/>
      <c r="E5416"/>
    </row>
    <row r="5417" spans="2:5">
      <c r="B5417"/>
      <c r="C5417"/>
      <c r="E5417"/>
    </row>
    <row r="5418" spans="2:5">
      <c r="B5418"/>
      <c r="C5418"/>
      <c r="E5418"/>
    </row>
    <row r="5419" spans="2:5">
      <c r="B5419"/>
      <c r="C5419"/>
      <c r="E5419"/>
    </row>
    <row r="5420" spans="2:5">
      <c r="B5420"/>
      <c r="C5420"/>
      <c r="E5420"/>
    </row>
    <row r="5421" spans="2:5">
      <c r="B5421"/>
      <c r="C5421"/>
      <c r="E5421"/>
    </row>
    <row r="5422" spans="2:5">
      <c r="B5422"/>
      <c r="C5422"/>
      <c r="E5422"/>
    </row>
    <row r="5423" spans="2:5">
      <c r="B5423"/>
      <c r="C5423"/>
      <c r="E5423"/>
    </row>
    <row r="5424" spans="2:5">
      <c r="B5424"/>
      <c r="C5424"/>
      <c r="E5424"/>
    </row>
    <row r="5425" spans="2:5">
      <c r="B5425"/>
      <c r="C5425"/>
      <c r="E5425"/>
    </row>
    <row r="5426" spans="2:5">
      <c r="B5426"/>
      <c r="C5426"/>
      <c r="E5426"/>
    </row>
    <row r="5427" spans="2:5">
      <c r="B5427"/>
      <c r="C5427"/>
      <c r="E5427"/>
    </row>
    <row r="5428" spans="2:5">
      <c r="B5428"/>
      <c r="C5428"/>
      <c r="E5428"/>
    </row>
    <row r="5429" spans="2:5">
      <c r="B5429"/>
      <c r="C5429"/>
      <c r="E5429"/>
    </row>
    <row r="5430" spans="2:5">
      <c r="B5430"/>
      <c r="C5430"/>
      <c r="E5430"/>
    </row>
    <row r="5431" spans="2:5">
      <c r="B5431"/>
      <c r="C5431"/>
      <c r="E5431"/>
    </row>
    <row r="5432" spans="2:5">
      <c r="B5432"/>
      <c r="C5432"/>
      <c r="E5432"/>
    </row>
    <row r="5433" spans="2:5">
      <c r="B5433"/>
      <c r="C5433"/>
      <c r="E5433"/>
    </row>
    <row r="5434" spans="2:5">
      <c r="B5434"/>
      <c r="C5434"/>
      <c r="E5434"/>
    </row>
    <row r="5435" spans="2:5">
      <c r="B5435"/>
      <c r="C5435"/>
      <c r="E5435"/>
    </row>
    <row r="5436" spans="2:5">
      <c r="B5436"/>
      <c r="C5436"/>
      <c r="E5436"/>
    </row>
    <row r="5437" spans="2:5">
      <c r="B5437"/>
      <c r="C5437"/>
      <c r="E5437"/>
    </row>
    <row r="5438" spans="2:5">
      <c r="B5438"/>
      <c r="C5438"/>
      <c r="E5438"/>
    </row>
    <row r="5439" spans="2:5">
      <c r="B5439"/>
      <c r="C5439"/>
      <c r="E5439"/>
    </row>
    <row r="5440" spans="2:5">
      <c r="B5440"/>
      <c r="C5440"/>
      <c r="E5440"/>
    </row>
    <row r="5441" spans="2:5">
      <c r="B5441"/>
      <c r="C5441"/>
      <c r="E5441"/>
    </row>
    <row r="5442" spans="2:5">
      <c r="B5442"/>
      <c r="C5442"/>
      <c r="E5442"/>
    </row>
    <row r="5443" spans="2:5">
      <c r="B5443"/>
      <c r="C5443"/>
      <c r="E5443"/>
    </row>
    <row r="5444" spans="2:5">
      <c r="B5444"/>
      <c r="C5444"/>
      <c r="E5444"/>
    </row>
    <row r="5445" spans="2:5">
      <c r="B5445"/>
      <c r="C5445"/>
      <c r="E5445"/>
    </row>
    <row r="5446" spans="2:5">
      <c r="B5446"/>
      <c r="C5446"/>
      <c r="E5446"/>
    </row>
    <row r="5447" spans="2:5">
      <c r="B5447"/>
      <c r="C5447"/>
      <c r="E5447"/>
    </row>
    <row r="5448" spans="2:5">
      <c r="B5448"/>
      <c r="C5448"/>
      <c r="E5448"/>
    </row>
    <row r="5449" spans="2:5">
      <c r="B5449"/>
      <c r="C5449"/>
      <c r="E5449"/>
    </row>
    <row r="5450" spans="2:5">
      <c r="B5450"/>
      <c r="C5450"/>
      <c r="E5450"/>
    </row>
    <row r="5451" spans="2:5">
      <c r="B5451"/>
      <c r="C5451"/>
      <c r="E5451"/>
    </row>
    <row r="5452" spans="2:5">
      <c r="B5452"/>
      <c r="C5452"/>
      <c r="E5452"/>
    </row>
    <row r="5453" spans="2:5">
      <c r="B5453"/>
      <c r="C5453"/>
      <c r="E5453"/>
    </row>
    <row r="5454" spans="2:5">
      <c r="B5454"/>
      <c r="C5454"/>
      <c r="E5454"/>
    </row>
    <row r="5455" spans="2:5">
      <c r="B5455"/>
      <c r="C5455"/>
      <c r="E5455"/>
    </row>
    <row r="5456" spans="2:5">
      <c r="B5456"/>
      <c r="C5456"/>
      <c r="E5456"/>
    </row>
    <row r="5457" spans="2:5">
      <c r="B5457"/>
      <c r="C5457"/>
      <c r="E5457"/>
    </row>
    <row r="5458" spans="2:5">
      <c r="B5458"/>
      <c r="C5458"/>
      <c r="E5458"/>
    </row>
    <row r="5459" spans="2:5">
      <c r="B5459"/>
      <c r="C5459"/>
      <c r="E5459"/>
    </row>
    <row r="5460" spans="2:5">
      <c r="B5460"/>
      <c r="C5460"/>
      <c r="E5460"/>
    </row>
    <row r="5461" spans="2:5">
      <c r="B5461"/>
      <c r="C5461"/>
      <c r="E5461"/>
    </row>
    <row r="5462" spans="2:5">
      <c r="B5462"/>
      <c r="C5462"/>
      <c r="E5462"/>
    </row>
    <row r="5463" spans="2:5">
      <c r="B5463"/>
      <c r="C5463"/>
      <c r="E5463"/>
    </row>
    <row r="5464" spans="2:5">
      <c r="B5464"/>
      <c r="C5464"/>
      <c r="E5464"/>
    </row>
    <row r="5465" spans="2:5">
      <c r="B5465"/>
      <c r="C5465"/>
      <c r="E5465"/>
    </row>
    <row r="5466" spans="2:5">
      <c r="B5466"/>
      <c r="C5466"/>
      <c r="E5466"/>
    </row>
    <row r="5467" spans="2:5">
      <c r="B5467"/>
      <c r="C5467"/>
      <c r="E5467"/>
    </row>
    <row r="5468" spans="2:5">
      <c r="B5468"/>
      <c r="C5468"/>
      <c r="E5468"/>
    </row>
    <row r="5469" spans="2:5">
      <c r="B5469"/>
      <c r="C5469"/>
      <c r="E5469"/>
    </row>
    <row r="5470" spans="2:5">
      <c r="B5470"/>
      <c r="C5470"/>
      <c r="E5470"/>
    </row>
    <row r="5471" spans="2:5">
      <c r="B5471"/>
      <c r="C5471"/>
      <c r="E5471"/>
    </row>
    <row r="5472" spans="2:5">
      <c r="B5472"/>
      <c r="C5472"/>
      <c r="E5472"/>
    </row>
    <row r="5473" spans="2:5">
      <c r="B5473"/>
      <c r="C5473"/>
      <c r="E5473"/>
    </row>
    <row r="5474" spans="2:5">
      <c r="B5474"/>
      <c r="C5474"/>
      <c r="E5474"/>
    </row>
    <row r="5475" spans="2:5">
      <c r="B5475"/>
      <c r="C5475"/>
      <c r="E5475"/>
    </row>
    <row r="5476" spans="2:5">
      <c r="B5476"/>
      <c r="C5476"/>
      <c r="E5476"/>
    </row>
    <row r="5477" spans="2:5">
      <c r="B5477"/>
      <c r="C5477"/>
      <c r="E5477"/>
    </row>
    <row r="5478" spans="2:5">
      <c r="B5478"/>
      <c r="C5478"/>
      <c r="E5478"/>
    </row>
    <row r="5479" spans="2:5">
      <c r="B5479"/>
      <c r="C5479"/>
      <c r="E5479"/>
    </row>
    <row r="5480" spans="2:5">
      <c r="B5480"/>
      <c r="C5480"/>
      <c r="E5480"/>
    </row>
    <row r="5481" spans="2:5">
      <c r="B5481"/>
      <c r="C5481"/>
      <c r="E5481"/>
    </row>
    <row r="5482" spans="2:5">
      <c r="B5482"/>
      <c r="C5482"/>
      <c r="E5482"/>
    </row>
    <row r="5483" spans="2:5">
      <c r="B5483"/>
      <c r="C5483"/>
      <c r="E5483"/>
    </row>
    <row r="5484" spans="2:5">
      <c r="B5484"/>
      <c r="C5484"/>
      <c r="E5484"/>
    </row>
    <row r="5485" spans="2:5">
      <c r="B5485"/>
      <c r="C5485"/>
      <c r="E5485"/>
    </row>
    <row r="5486" spans="2:5">
      <c r="B5486"/>
      <c r="C5486"/>
      <c r="E5486"/>
    </row>
    <row r="5487" spans="2:5">
      <c r="B5487"/>
      <c r="C5487"/>
      <c r="E5487"/>
    </row>
    <row r="5488" spans="2:5">
      <c r="B5488"/>
      <c r="C5488"/>
      <c r="E5488"/>
    </row>
    <row r="5489" spans="2:5">
      <c r="B5489"/>
      <c r="C5489"/>
      <c r="E5489"/>
    </row>
    <row r="5490" spans="2:5">
      <c r="B5490"/>
      <c r="C5490"/>
      <c r="E5490"/>
    </row>
    <row r="5491" spans="2:5">
      <c r="B5491"/>
      <c r="C5491"/>
      <c r="E5491"/>
    </row>
    <row r="5492" spans="2:5">
      <c r="B5492"/>
      <c r="C5492"/>
      <c r="E5492"/>
    </row>
    <row r="5493" spans="2:5">
      <c r="B5493"/>
      <c r="C5493"/>
      <c r="E5493"/>
    </row>
    <row r="5494" spans="2:5">
      <c r="B5494"/>
      <c r="C5494"/>
      <c r="E5494"/>
    </row>
    <row r="5495" spans="2:5">
      <c r="B5495"/>
      <c r="C5495"/>
      <c r="E5495"/>
    </row>
    <row r="5496" spans="2:5">
      <c r="B5496"/>
      <c r="C5496"/>
      <c r="E5496"/>
    </row>
    <row r="5497" spans="2:5">
      <c r="B5497"/>
      <c r="C5497"/>
      <c r="E5497"/>
    </row>
    <row r="5498" spans="2:5">
      <c r="B5498"/>
      <c r="C5498"/>
      <c r="E5498"/>
    </row>
    <row r="5499" spans="2:5">
      <c r="B5499"/>
      <c r="C5499"/>
      <c r="E5499"/>
    </row>
    <row r="5500" spans="2:5">
      <c r="B5500"/>
      <c r="C5500"/>
      <c r="E5500"/>
    </row>
    <row r="5501" spans="2:5">
      <c r="B5501"/>
      <c r="C5501"/>
      <c r="E5501"/>
    </row>
    <row r="5502" spans="2:5">
      <c r="B5502"/>
      <c r="C5502"/>
      <c r="E5502"/>
    </row>
    <row r="5503" spans="2:5">
      <c r="B5503"/>
      <c r="C5503"/>
      <c r="E5503"/>
    </row>
    <row r="5504" spans="2:5">
      <c r="B5504"/>
      <c r="C5504"/>
      <c r="E5504"/>
    </row>
    <row r="5505" spans="2:5">
      <c r="B5505"/>
      <c r="C5505"/>
      <c r="E5505"/>
    </row>
    <row r="5506" spans="2:5">
      <c r="B5506"/>
      <c r="C5506"/>
      <c r="E5506"/>
    </row>
    <row r="5507" spans="2:5">
      <c r="B5507"/>
      <c r="C5507"/>
      <c r="E5507"/>
    </row>
    <row r="5508" spans="2:5">
      <c r="B5508"/>
      <c r="C5508"/>
      <c r="E5508"/>
    </row>
    <row r="5509" spans="2:5">
      <c r="B5509"/>
      <c r="C5509"/>
      <c r="E5509"/>
    </row>
    <row r="5510" spans="2:5">
      <c r="B5510"/>
      <c r="C5510"/>
      <c r="E5510"/>
    </row>
    <row r="5511" spans="2:5">
      <c r="B5511"/>
      <c r="C5511"/>
      <c r="E5511"/>
    </row>
    <row r="5512" spans="2:5">
      <c r="B5512"/>
      <c r="C5512"/>
      <c r="E5512"/>
    </row>
    <row r="5513" spans="2:5">
      <c r="B5513"/>
      <c r="C5513"/>
      <c r="E5513"/>
    </row>
    <row r="5514" spans="2:5">
      <c r="B5514"/>
      <c r="C5514"/>
      <c r="E5514"/>
    </row>
    <row r="5515" spans="2:5">
      <c r="B5515"/>
      <c r="C5515"/>
      <c r="E5515"/>
    </row>
    <row r="5516" spans="2:5">
      <c r="B5516"/>
      <c r="C5516"/>
      <c r="E5516"/>
    </row>
    <row r="5517" spans="2:5">
      <c r="B5517"/>
      <c r="C5517"/>
      <c r="E5517"/>
    </row>
    <row r="5518" spans="2:5">
      <c r="B5518"/>
      <c r="C5518"/>
      <c r="E5518"/>
    </row>
    <row r="5519" spans="2:5">
      <c r="B5519"/>
      <c r="C5519"/>
      <c r="E5519"/>
    </row>
    <row r="5520" spans="2:5">
      <c r="B5520"/>
      <c r="C5520"/>
      <c r="E5520"/>
    </row>
    <row r="5521" spans="2:5">
      <c r="B5521"/>
      <c r="C5521"/>
      <c r="E5521"/>
    </row>
    <row r="5522" spans="2:5">
      <c r="B5522"/>
      <c r="C5522"/>
      <c r="E5522"/>
    </row>
    <row r="5523" spans="2:5">
      <c r="B5523"/>
      <c r="C5523"/>
      <c r="E5523"/>
    </row>
    <row r="5524" spans="2:5">
      <c r="B5524"/>
      <c r="C5524"/>
      <c r="E5524"/>
    </row>
    <row r="5525" spans="2:5">
      <c r="B5525"/>
      <c r="C5525"/>
      <c r="E5525"/>
    </row>
    <row r="5526" spans="2:5">
      <c r="B5526"/>
      <c r="C5526"/>
      <c r="E5526"/>
    </row>
    <row r="5527" spans="2:5">
      <c r="B5527"/>
      <c r="C5527"/>
      <c r="E5527"/>
    </row>
    <row r="5528" spans="2:5">
      <c r="B5528"/>
      <c r="C5528"/>
      <c r="E5528"/>
    </row>
    <row r="5529" spans="2:5">
      <c r="B5529"/>
      <c r="C5529"/>
      <c r="E5529"/>
    </row>
    <row r="5530" spans="2:5">
      <c r="B5530"/>
      <c r="C5530"/>
      <c r="E5530"/>
    </row>
    <row r="5531" spans="2:5">
      <c r="B5531"/>
      <c r="C5531"/>
      <c r="E5531"/>
    </row>
    <row r="5532" spans="2:5">
      <c r="B5532"/>
      <c r="C5532"/>
      <c r="E5532"/>
    </row>
    <row r="5533" spans="2:5">
      <c r="B5533"/>
      <c r="C5533"/>
      <c r="E5533"/>
    </row>
    <row r="5534" spans="2:5">
      <c r="B5534"/>
      <c r="C5534"/>
      <c r="E5534"/>
    </row>
    <row r="5535" spans="2:5">
      <c r="B5535"/>
      <c r="C5535"/>
      <c r="E5535"/>
    </row>
    <row r="5536" spans="2:5">
      <c r="B5536"/>
      <c r="C5536"/>
      <c r="E5536"/>
    </row>
    <row r="5537" spans="2:5">
      <c r="B5537"/>
      <c r="C5537"/>
      <c r="E5537"/>
    </row>
    <row r="5538" spans="2:5">
      <c r="B5538"/>
      <c r="C5538"/>
      <c r="E5538"/>
    </row>
    <row r="5539" spans="2:5">
      <c r="B5539"/>
      <c r="C5539"/>
      <c r="E5539"/>
    </row>
    <row r="5540" spans="2:5">
      <c r="B5540"/>
      <c r="C5540"/>
      <c r="E5540"/>
    </row>
    <row r="5541" spans="2:5">
      <c r="B5541"/>
      <c r="C5541"/>
      <c r="E5541"/>
    </row>
    <row r="5542" spans="2:5">
      <c r="B5542"/>
      <c r="C5542"/>
      <c r="E5542"/>
    </row>
    <row r="5543" spans="2:5">
      <c r="B5543"/>
      <c r="C5543"/>
      <c r="E5543"/>
    </row>
    <row r="5544" spans="2:5">
      <c r="B5544"/>
      <c r="C5544"/>
      <c r="E5544"/>
    </row>
    <row r="5545" spans="2:5">
      <c r="B5545"/>
      <c r="C5545"/>
      <c r="E5545"/>
    </row>
    <row r="5546" spans="2:5">
      <c r="B5546"/>
      <c r="C5546"/>
      <c r="E5546"/>
    </row>
    <row r="5547" spans="2:5">
      <c r="B5547"/>
      <c r="C5547"/>
      <c r="E5547"/>
    </row>
    <row r="5548" spans="2:5">
      <c r="B5548"/>
      <c r="C5548"/>
      <c r="E5548"/>
    </row>
    <row r="5549" spans="2:5">
      <c r="B5549"/>
      <c r="C5549"/>
      <c r="E5549"/>
    </row>
    <row r="5550" spans="2:5">
      <c r="B5550"/>
      <c r="C5550"/>
      <c r="E5550"/>
    </row>
    <row r="5551" spans="2:5">
      <c r="B5551"/>
      <c r="C5551"/>
      <c r="E5551"/>
    </row>
    <row r="5552" spans="2:5">
      <c r="B5552"/>
      <c r="C5552"/>
      <c r="E5552"/>
    </row>
    <row r="5553" spans="2:5">
      <c r="B5553"/>
      <c r="C5553"/>
      <c r="E5553"/>
    </row>
    <row r="5554" spans="2:5">
      <c r="B5554"/>
      <c r="C5554"/>
      <c r="E5554"/>
    </row>
    <row r="5555" spans="2:5">
      <c r="B5555"/>
      <c r="C5555"/>
      <c r="E5555"/>
    </row>
    <row r="5556" spans="2:5">
      <c r="B5556"/>
      <c r="C5556"/>
      <c r="E5556"/>
    </row>
    <row r="5557" spans="2:5">
      <c r="B5557"/>
      <c r="C5557"/>
      <c r="E5557"/>
    </row>
    <row r="5558" spans="2:5">
      <c r="B5558"/>
      <c r="C5558"/>
      <c r="E5558"/>
    </row>
    <row r="5559" spans="2:5">
      <c r="B5559"/>
      <c r="C5559"/>
      <c r="E5559"/>
    </row>
    <row r="5560" spans="2:5">
      <c r="B5560"/>
      <c r="C5560"/>
      <c r="E5560"/>
    </row>
    <row r="5561" spans="2:5">
      <c r="B5561"/>
      <c r="C5561"/>
      <c r="E5561"/>
    </row>
    <row r="5562" spans="2:5">
      <c r="B5562"/>
      <c r="C5562"/>
      <c r="E5562"/>
    </row>
    <row r="5563" spans="2:5">
      <c r="B5563"/>
      <c r="C5563"/>
      <c r="E5563"/>
    </row>
    <row r="5564" spans="2:5">
      <c r="B5564"/>
      <c r="C5564"/>
      <c r="E5564"/>
    </row>
    <row r="5565" spans="2:5">
      <c r="B5565"/>
      <c r="C5565"/>
      <c r="E5565"/>
    </row>
    <row r="5566" spans="2:5">
      <c r="B5566"/>
      <c r="C5566"/>
      <c r="E5566"/>
    </row>
    <row r="5567" spans="2:5">
      <c r="B5567"/>
      <c r="C5567"/>
      <c r="E5567"/>
    </row>
    <row r="5568" spans="2:5">
      <c r="B5568"/>
      <c r="C5568"/>
      <c r="E5568"/>
    </row>
    <row r="5569" spans="2:5">
      <c r="B5569"/>
      <c r="C5569"/>
      <c r="E5569"/>
    </row>
    <row r="5570" spans="2:5">
      <c r="B5570"/>
      <c r="C5570"/>
      <c r="E5570"/>
    </row>
    <row r="5571" spans="2:5">
      <c r="B5571"/>
      <c r="C5571"/>
      <c r="E5571"/>
    </row>
    <row r="5572" spans="2:5">
      <c r="B5572"/>
      <c r="C5572"/>
      <c r="E5572"/>
    </row>
    <row r="5573" spans="2:5">
      <c r="B5573"/>
      <c r="C5573"/>
      <c r="E5573"/>
    </row>
    <row r="5574" spans="2:5">
      <c r="B5574"/>
      <c r="C5574"/>
      <c r="E5574"/>
    </row>
    <row r="5575" spans="2:5">
      <c r="B5575"/>
      <c r="C5575"/>
      <c r="E5575"/>
    </row>
    <row r="5576" spans="2:5">
      <c r="B5576"/>
      <c r="C5576"/>
      <c r="E5576"/>
    </row>
    <row r="5577" spans="2:5">
      <c r="B5577"/>
      <c r="C5577"/>
      <c r="E5577"/>
    </row>
    <row r="5578" spans="2:5">
      <c r="B5578"/>
      <c r="C5578"/>
      <c r="E5578"/>
    </row>
    <row r="5579" spans="2:5">
      <c r="B5579"/>
      <c r="C5579"/>
      <c r="E5579"/>
    </row>
    <row r="5580" spans="2:5">
      <c r="B5580"/>
      <c r="C5580"/>
      <c r="E5580"/>
    </row>
    <row r="5581" spans="2:5">
      <c r="B5581"/>
      <c r="C5581"/>
      <c r="E5581"/>
    </row>
    <row r="5582" spans="2:5">
      <c r="B5582"/>
      <c r="C5582"/>
      <c r="E5582"/>
    </row>
    <row r="5583" spans="2:5">
      <c r="B5583"/>
      <c r="C5583"/>
      <c r="E5583"/>
    </row>
    <row r="5584" spans="2:5">
      <c r="B5584"/>
      <c r="C5584"/>
      <c r="E5584"/>
    </row>
    <row r="5585" spans="2:5">
      <c r="B5585"/>
      <c r="C5585"/>
      <c r="E5585"/>
    </row>
    <row r="5586" spans="2:5">
      <c r="B5586"/>
      <c r="C5586"/>
      <c r="E5586"/>
    </row>
    <row r="5587" spans="2:5">
      <c r="B5587"/>
      <c r="C5587"/>
      <c r="E5587"/>
    </row>
    <row r="5588" spans="2:5">
      <c r="B5588"/>
      <c r="C5588"/>
      <c r="E5588"/>
    </row>
    <row r="5589" spans="2:5">
      <c r="B5589"/>
      <c r="C5589"/>
      <c r="E5589"/>
    </row>
    <row r="5590" spans="2:5">
      <c r="B5590"/>
      <c r="C5590"/>
      <c r="E5590"/>
    </row>
    <row r="5591" spans="2:5">
      <c r="B5591"/>
      <c r="C5591"/>
      <c r="E5591"/>
    </row>
    <row r="5592" spans="2:5">
      <c r="B5592"/>
      <c r="C5592"/>
      <c r="E5592"/>
    </row>
    <row r="5593" spans="2:5">
      <c r="B5593"/>
      <c r="C5593"/>
      <c r="E5593"/>
    </row>
    <row r="5594" spans="2:5">
      <c r="B5594"/>
      <c r="C5594"/>
      <c r="E5594"/>
    </row>
    <row r="5595" spans="2:5">
      <c r="B5595"/>
      <c r="C5595"/>
      <c r="E5595"/>
    </row>
    <row r="5596" spans="2:5">
      <c r="B5596"/>
      <c r="C5596"/>
      <c r="E5596"/>
    </row>
    <row r="5597" spans="2:5">
      <c r="B5597"/>
      <c r="C5597"/>
      <c r="E5597"/>
    </row>
    <row r="5598" spans="2:5">
      <c r="B5598"/>
      <c r="C5598"/>
      <c r="E5598"/>
    </row>
    <row r="5599" spans="2:5">
      <c r="B5599"/>
      <c r="C5599"/>
      <c r="E5599"/>
    </row>
    <row r="5600" spans="2:5">
      <c r="B5600"/>
      <c r="C5600"/>
      <c r="E5600"/>
    </row>
    <row r="5601" spans="2:5">
      <c r="B5601"/>
      <c r="C5601"/>
      <c r="E5601"/>
    </row>
    <row r="5602" spans="2:5">
      <c r="B5602"/>
      <c r="C5602"/>
      <c r="E5602"/>
    </row>
    <row r="5603" spans="2:5">
      <c r="B5603"/>
      <c r="C5603"/>
      <c r="E5603"/>
    </row>
    <row r="5604" spans="2:5">
      <c r="B5604"/>
      <c r="C5604"/>
      <c r="E5604"/>
    </row>
    <row r="5605" spans="2:5">
      <c r="B5605"/>
      <c r="C5605"/>
      <c r="E5605"/>
    </row>
    <row r="5606" spans="2:5">
      <c r="B5606"/>
      <c r="C5606"/>
      <c r="E5606"/>
    </row>
    <row r="5607" spans="2:5">
      <c r="B5607"/>
      <c r="C5607"/>
      <c r="E5607"/>
    </row>
    <row r="5608" spans="2:5">
      <c r="B5608"/>
      <c r="C5608"/>
      <c r="E5608"/>
    </row>
    <row r="5609" spans="2:5">
      <c r="B5609"/>
      <c r="C5609"/>
      <c r="E5609"/>
    </row>
    <row r="5610" spans="2:5">
      <c r="B5610"/>
      <c r="C5610"/>
      <c r="E5610"/>
    </row>
    <row r="5611" spans="2:5">
      <c r="B5611"/>
      <c r="C5611"/>
      <c r="E5611"/>
    </row>
    <row r="5612" spans="2:5">
      <c r="B5612"/>
      <c r="C5612"/>
      <c r="E5612"/>
    </row>
    <row r="5613" spans="2:5">
      <c r="B5613"/>
      <c r="C5613"/>
      <c r="E5613"/>
    </row>
    <row r="5614" spans="2:5">
      <c r="B5614"/>
      <c r="C5614"/>
      <c r="E5614"/>
    </row>
    <row r="5615" spans="2:5">
      <c r="B5615"/>
      <c r="C5615"/>
      <c r="E5615"/>
    </row>
    <row r="5616" spans="2:5">
      <c r="B5616"/>
      <c r="C5616"/>
      <c r="E5616"/>
    </row>
    <row r="5617" spans="2:5">
      <c r="B5617"/>
      <c r="C5617"/>
      <c r="E5617"/>
    </row>
    <row r="5618" spans="2:5">
      <c r="B5618"/>
      <c r="C5618"/>
      <c r="E5618"/>
    </row>
    <row r="5619" spans="2:5">
      <c r="B5619"/>
      <c r="C5619"/>
      <c r="E5619"/>
    </row>
    <row r="5620" spans="2:5">
      <c r="B5620"/>
      <c r="C5620"/>
      <c r="E5620"/>
    </row>
    <row r="5621" spans="2:5">
      <c r="B5621"/>
      <c r="C5621"/>
      <c r="E5621"/>
    </row>
    <row r="5622" spans="2:5">
      <c r="B5622"/>
      <c r="C5622"/>
      <c r="E5622"/>
    </row>
    <row r="5623" spans="2:5">
      <c r="B5623"/>
      <c r="C5623"/>
      <c r="E5623"/>
    </row>
    <row r="5624" spans="2:5">
      <c r="B5624"/>
      <c r="C5624"/>
      <c r="E5624"/>
    </row>
    <row r="5625" spans="2:5">
      <c r="B5625"/>
      <c r="C5625"/>
      <c r="E5625"/>
    </row>
    <row r="5626" spans="2:5">
      <c r="B5626"/>
      <c r="C5626"/>
      <c r="E5626"/>
    </row>
    <row r="5627" spans="2:5">
      <c r="B5627"/>
      <c r="C5627"/>
      <c r="E5627"/>
    </row>
    <row r="5628" spans="2:5">
      <c r="B5628"/>
      <c r="C5628"/>
      <c r="E5628"/>
    </row>
    <row r="5629" spans="2:5">
      <c r="B5629"/>
      <c r="C5629"/>
      <c r="E5629"/>
    </row>
    <row r="5630" spans="2:5">
      <c r="B5630"/>
      <c r="C5630"/>
      <c r="E5630"/>
    </row>
    <row r="5631" spans="2:5">
      <c r="B5631"/>
      <c r="C5631"/>
      <c r="E5631"/>
    </row>
    <row r="5632" spans="2:5">
      <c r="B5632"/>
      <c r="C5632"/>
      <c r="E5632"/>
    </row>
    <row r="5633" spans="2:5">
      <c r="B5633"/>
      <c r="C5633"/>
      <c r="E5633"/>
    </row>
    <row r="5634" spans="2:5">
      <c r="B5634"/>
      <c r="C5634"/>
      <c r="E5634"/>
    </row>
    <row r="5635" spans="2:5">
      <c r="B5635"/>
      <c r="C5635"/>
      <c r="E5635"/>
    </row>
    <row r="5636" spans="2:5">
      <c r="B5636"/>
      <c r="C5636"/>
      <c r="E5636"/>
    </row>
    <row r="5637" spans="2:5">
      <c r="B5637"/>
      <c r="C5637"/>
      <c r="E5637"/>
    </row>
    <row r="5638" spans="2:5">
      <c r="B5638"/>
      <c r="C5638"/>
      <c r="E5638"/>
    </row>
    <row r="5639" spans="2:5">
      <c r="B5639"/>
      <c r="C5639"/>
      <c r="E5639"/>
    </row>
    <row r="5640" spans="2:5">
      <c r="B5640"/>
      <c r="C5640"/>
      <c r="E5640"/>
    </row>
    <row r="5641" spans="2:5">
      <c r="B5641"/>
      <c r="C5641"/>
      <c r="E5641"/>
    </row>
    <row r="5642" spans="2:5">
      <c r="B5642"/>
      <c r="C5642"/>
      <c r="E5642"/>
    </row>
    <row r="5643" spans="2:5">
      <c r="B5643"/>
      <c r="C5643"/>
      <c r="E5643"/>
    </row>
    <row r="5644" spans="2:5">
      <c r="B5644"/>
      <c r="C5644"/>
      <c r="E5644"/>
    </row>
    <row r="5645" spans="2:5">
      <c r="B5645"/>
      <c r="C5645"/>
      <c r="E5645"/>
    </row>
    <row r="5646" spans="2:5">
      <c r="B5646"/>
      <c r="C5646"/>
      <c r="E5646"/>
    </row>
    <row r="5647" spans="2:5">
      <c r="B5647"/>
      <c r="C5647"/>
      <c r="E5647"/>
    </row>
    <row r="5648" spans="2:5">
      <c r="B5648"/>
      <c r="C5648"/>
      <c r="E5648"/>
    </row>
    <row r="5649" spans="2:5">
      <c r="B5649"/>
      <c r="C5649"/>
      <c r="E5649"/>
    </row>
    <row r="5650" spans="2:5">
      <c r="B5650"/>
      <c r="C5650"/>
      <c r="E5650"/>
    </row>
    <row r="5651" spans="2:5">
      <c r="B5651"/>
      <c r="C5651"/>
      <c r="E5651"/>
    </row>
    <row r="5652" spans="2:5">
      <c r="B5652"/>
      <c r="C5652"/>
      <c r="E5652"/>
    </row>
    <row r="5653" spans="2:5">
      <c r="B5653"/>
      <c r="C5653"/>
      <c r="E5653"/>
    </row>
    <row r="5654" spans="2:5">
      <c r="B5654"/>
      <c r="C5654"/>
      <c r="E5654"/>
    </row>
    <row r="5655" spans="2:5">
      <c r="B5655"/>
      <c r="C5655"/>
      <c r="E5655"/>
    </row>
    <row r="5656" spans="2:5">
      <c r="B5656"/>
      <c r="C5656"/>
      <c r="E5656"/>
    </row>
    <row r="5657" spans="2:5">
      <c r="B5657"/>
      <c r="C5657"/>
      <c r="E5657"/>
    </row>
    <row r="5658" spans="2:5">
      <c r="B5658"/>
      <c r="C5658"/>
      <c r="E5658"/>
    </row>
    <row r="5659" spans="2:5">
      <c r="B5659"/>
      <c r="C5659"/>
      <c r="E5659"/>
    </row>
    <row r="5660" spans="2:5">
      <c r="B5660"/>
      <c r="C5660"/>
      <c r="E5660"/>
    </row>
    <row r="5661" spans="2:5">
      <c r="B5661"/>
      <c r="C5661"/>
      <c r="E5661"/>
    </row>
    <row r="5662" spans="2:5">
      <c r="B5662"/>
      <c r="C5662"/>
      <c r="E5662"/>
    </row>
    <row r="5663" spans="2:5">
      <c r="B5663"/>
      <c r="C5663"/>
      <c r="E5663"/>
    </row>
    <row r="5664" spans="2:5">
      <c r="B5664"/>
      <c r="C5664"/>
      <c r="E5664"/>
    </row>
    <row r="5665" spans="2:5">
      <c r="B5665"/>
      <c r="C5665"/>
      <c r="E5665"/>
    </row>
    <row r="5666" spans="2:5">
      <c r="B5666"/>
      <c r="C5666"/>
      <c r="E5666"/>
    </row>
    <row r="5667" spans="2:5">
      <c r="B5667"/>
      <c r="C5667"/>
      <c r="E5667"/>
    </row>
    <row r="5668" spans="2:5">
      <c r="B5668"/>
      <c r="C5668"/>
      <c r="E5668"/>
    </row>
    <row r="5669" spans="2:5">
      <c r="B5669"/>
      <c r="C5669"/>
      <c r="E5669"/>
    </row>
    <row r="5670" spans="2:5">
      <c r="B5670"/>
      <c r="C5670"/>
      <c r="E5670"/>
    </row>
    <row r="5671" spans="2:5">
      <c r="B5671"/>
      <c r="C5671"/>
      <c r="E5671"/>
    </row>
    <row r="5672" spans="2:5">
      <c r="B5672"/>
      <c r="C5672"/>
      <c r="E5672"/>
    </row>
    <row r="5673" spans="2:5">
      <c r="B5673"/>
      <c r="C5673"/>
      <c r="E5673"/>
    </row>
    <row r="5674" spans="2:5">
      <c r="B5674"/>
      <c r="C5674"/>
      <c r="E5674"/>
    </row>
    <row r="5675" spans="2:5">
      <c r="B5675"/>
      <c r="C5675"/>
      <c r="E5675"/>
    </row>
    <row r="5676" spans="2:5">
      <c r="B5676"/>
      <c r="C5676"/>
      <c r="E5676"/>
    </row>
    <row r="5677" spans="2:5">
      <c r="B5677"/>
      <c r="C5677"/>
      <c r="E5677"/>
    </row>
    <row r="5678" spans="2:5">
      <c r="B5678"/>
      <c r="C5678"/>
      <c r="E5678"/>
    </row>
    <row r="5679" spans="2:5">
      <c r="B5679"/>
      <c r="C5679"/>
      <c r="E5679"/>
    </row>
    <row r="5680" spans="2:5">
      <c r="B5680"/>
      <c r="C5680"/>
      <c r="E5680"/>
    </row>
    <row r="5681" spans="2:5">
      <c r="B5681"/>
      <c r="C5681"/>
      <c r="E5681"/>
    </row>
    <row r="5682" spans="2:5">
      <c r="B5682"/>
      <c r="C5682"/>
      <c r="E5682"/>
    </row>
    <row r="5683" spans="2:5">
      <c r="B5683"/>
      <c r="C5683"/>
      <c r="E5683"/>
    </row>
    <row r="5684" spans="2:5">
      <c r="B5684"/>
      <c r="C5684"/>
      <c r="E5684"/>
    </row>
    <row r="5685" spans="2:5">
      <c r="B5685"/>
      <c r="C5685"/>
      <c r="E5685"/>
    </row>
    <row r="5686" spans="2:5">
      <c r="B5686"/>
      <c r="C5686"/>
      <c r="E5686"/>
    </row>
    <row r="5687" spans="2:5">
      <c r="B5687"/>
      <c r="C5687"/>
      <c r="E5687"/>
    </row>
    <row r="5688" spans="2:5">
      <c r="B5688"/>
      <c r="C5688"/>
      <c r="E5688"/>
    </row>
    <row r="5689" spans="2:5">
      <c r="B5689"/>
      <c r="C5689"/>
      <c r="E5689"/>
    </row>
    <row r="5690" spans="2:5">
      <c r="B5690"/>
      <c r="C5690"/>
      <c r="E5690"/>
    </row>
    <row r="5691" spans="2:5">
      <c r="B5691"/>
      <c r="C5691"/>
      <c r="E5691"/>
    </row>
    <row r="5692" spans="2:5">
      <c r="B5692"/>
      <c r="C5692"/>
      <c r="E5692"/>
    </row>
    <row r="5693" spans="2:5">
      <c r="B5693"/>
      <c r="C5693"/>
      <c r="E5693"/>
    </row>
    <row r="5694" spans="2:5">
      <c r="B5694"/>
      <c r="C5694"/>
      <c r="E5694"/>
    </row>
    <row r="5695" spans="2:5">
      <c r="B5695"/>
      <c r="C5695"/>
      <c r="E5695"/>
    </row>
    <row r="5696" spans="2:5">
      <c r="B5696"/>
      <c r="C5696"/>
      <c r="E5696"/>
    </row>
    <row r="5697" spans="2:5">
      <c r="B5697"/>
      <c r="C5697"/>
      <c r="E5697"/>
    </row>
    <row r="5698" spans="2:5">
      <c r="B5698"/>
      <c r="C5698"/>
      <c r="E5698"/>
    </row>
    <row r="5699" spans="2:5">
      <c r="B5699"/>
      <c r="C5699"/>
      <c r="E5699"/>
    </row>
    <row r="5700" spans="2:5">
      <c r="B5700"/>
      <c r="C5700"/>
      <c r="E5700"/>
    </row>
    <row r="5701" spans="2:5">
      <c r="B5701"/>
      <c r="C5701"/>
      <c r="E5701"/>
    </row>
    <row r="5702" spans="2:5">
      <c r="B5702"/>
      <c r="C5702"/>
      <c r="E5702"/>
    </row>
    <row r="5703" spans="2:5">
      <c r="B5703"/>
      <c r="C5703"/>
      <c r="E5703"/>
    </row>
    <row r="5704" spans="2:5">
      <c r="B5704"/>
      <c r="C5704"/>
      <c r="E5704"/>
    </row>
    <row r="5705" spans="2:5">
      <c r="B5705"/>
      <c r="C5705"/>
      <c r="E5705"/>
    </row>
    <row r="5706" spans="2:5">
      <c r="B5706"/>
      <c r="C5706"/>
      <c r="E5706"/>
    </row>
    <row r="5707" spans="2:5">
      <c r="B5707"/>
      <c r="C5707"/>
      <c r="E5707"/>
    </row>
    <row r="5708" spans="2:5">
      <c r="B5708"/>
      <c r="C5708"/>
      <c r="E5708"/>
    </row>
    <row r="5709" spans="2:5">
      <c r="B5709"/>
      <c r="C5709"/>
      <c r="E5709"/>
    </row>
    <row r="5710" spans="2:5">
      <c r="B5710"/>
      <c r="C5710"/>
      <c r="E5710"/>
    </row>
    <row r="5711" spans="2:5">
      <c r="B5711"/>
      <c r="C5711"/>
      <c r="E5711"/>
    </row>
    <row r="5712" spans="2:5">
      <c r="B5712"/>
      <c r="C5712"/>
      <c r="E5712"/>
    </row>
    <row r="5713" spans="2:5">
      <c r="B5713"/>
      <c r="C5713"/>
      <c r="E5713"/>
    </row>
    <row r="5714" spans="2:5">
      <c r="B5714"/>
      <c r="C5714"/>
      <c r="E5714"/>
    </row>
    <row r="5715" spans="2:5">
      <c r="B5715"/>
      <c r="C5715"/>
      <c r="E5715"/>
    </row>
    <row r="5716" spans="2:5">
      <c r="B5716"/>
      <c r="C5716"/>
      <c r="E5716"/>
    </row>
    <row r="5717" spans="2:5">
      <c r="B5717"/>
      <c r="C5717"/>
      <c r="E5717"/>
    </row>
    <row r="5718" spans="2:5">
      <c r="B5718"/>
      <c r="C5718"/>
      <c r="E5718"/>
    </row>
    <row r="5719" spans="2:5">
      <c r="B5719"/>
      <c r="C5719"/>
      <c r="E5719"/>
    </row>
    <row r="5720" spans="2:5">
      <c r="B5720"/>
      <c r="C5720"/>
      <c r="E5720"/>
    </row>
    <row r="5721" spans="2:5">
      <c r="B5721"/>
      <c r="C5721"/>
      <c r="E5721"/>
    </row>
    <row r="5722" spans="2:5">
      <c r="B5722"/>
      <c r="C5722"/>
      <c r="E5722"/>
    </row>
    <row r="5723" spans="2:5">
      <c r="B5723"/>
      <c r="C5723"/>
      <c r="E5723"/>
    </row>
    <row r="5724" spans="2:5">
      <c r="B5724"/>
      <c r="C5724"/>
      <c r="E5724"/>
    </row>
    <row r="5725" spans="2:5">
      <c r="B5725"/>
      <c r="C5725"/>
      <c r="E5725"/>
    </row>
    <row r="5726" spans="2:5">
      <c r="B5726"/>
      <c r="C5726"/>
      <c r="E5726"/>
    </row>
    <row r="5727" spans="2:5">
      <c r="B5727"/>
      <c r="C5727"/>
      <c r="E5727"/>
    </row>
    <row r="5728" spans="2:5">
      <c r="B5728"/>
      <c r="C5728"/>
      <c r="E5728"/>
    </row>
    <row r="5729" spans="2:5">
      <c r="B5729"/>
      <c r="C5729"/>
      <c r="E5729"/>
    </row>
    <row r="5730" spans="2:5">
      <c r="B5730"/>
      <c r="C5730"/>
      <c r="E5730"/>
    </row>
    <row r="5731" spans="2:5">
      <c r="B5731"/>
      <c r="C5731"/>
      <c r="E5731"/>
    </row>
    <row r="5732" spans="2:5">
      <c r="B5732"/>
      <c r="C5732"/>
      <c r="E5732"/>
    </row>
    <row r="5733" spans="2:5">
      <c r="B5733"/>
      <c r="C5733"/>
      <c r="E5733"/>
    </row>
    <row r="5734" spans="2:5">
      <c r="B5734"/>
      <c r="C5734"/>
      <c r="E5734"/>
    </row>
    <row r="5735" spans="2:5">
      <c r="B5735"/>
      <c r="C5735"/>
      <c r="E5735"/>
    </row>
    <row r="5736" spans="2:5">
      <c r="B5736"/>
      <c r="C5736"/>
      <c r="E5736"/>
    </row>
    <row r="5737" spans="2:5">
      <c r="B5737"/>
      <c r="C5737"/>
      <c r="E5737"/>
    </row>
    <row r="5738" spans="2:5">
      <c r="B5738"/>
      <c r="C5738"/>
      <c r="E5738"/>
    </row>
    <row r="5739" spans="2:5">
      <c r="B5739"/>
      <c r="C5739"/>
      <c r="E5739"/>
    </row>
    <row r="5740" spans="2:5">
      <c r="B5740"/>
      <c r="C5740"/>
      <c r="E5740"/>
    </row>
    <row r="5741" spans="2:5">
      <c r="B5741"/>
      <c r="C5741"/>
      <c r="E5741"/>
    </row>
    <row r="5742" spans="2:5">
      <c r="B5742"/>
      <c r="C5742"/>
      <c r="E5742"/>
    </row>
    <row r="5743" spans="2:5">
      <c r="B5743"/>
      <c r="C5743"/>
      <c r="E5743"/>
    </row>
    <row r="5744" spans="2:5">
      <c r="B5744"/>
      <c r="C5744"/>
      <c r="E5744"/>
    </row>
    <row r="5745" spans="2:5">
      <c r="B5745"/>
      <c r="C5745"/>
      <c r="E5745"/>
    </row>
    <row r="5746" spans="2:5">
      <c r="B5746"/>
      <c r="C5746"/>
      <c r="E5746"/>
    </row>
    <row r="5747" spans="2:5">
      <c r="B5747"/>
      <c r="C5747"/>
      <c r="E5747"/>
    </row>
    <row r="5748" spans="2:5">
      <c r="B5748"/>
      <c r="C5748"/>
      <c r="E5748"/>
    </row>
    <row r="5749" spans="2:5">
      <c r="B5749"/>
      <c r="C5749"/>
      <c r="E5749"/>
    </row>
    <row r="5750" spans="2:5">
      <c r="B5750"/>
      <c r="C5750"/>
      <c r="E5750"/>
    </row>
    <row r="5751" spans="2:5">
      <c r="B5751"/>
      <c r="C5751"/>
      <c r="E5751"/>
    </row>
    <row r="5752" spans="2:5">
      <c r="B5752"/>
      <c r="C5752"/>
      <c r="E5752"/>
    </row>
    <row r="5753" spans="2:5">
      <c r="B5753"/>
      <c r="C5753"/>
      <c r="E5753"/>
    </row>
    <row r="5754" spans="2:5">
      <c r="B5754"/>
      <c r="C5754"/>
      <c r="E5754"/>
    </row>
    <row r="5755" spans="2:5">
      <c r="B5755"/>
      <c r="C5755"/>
      <c r="E5755"/>
    </row>
    <row r="5756" spans="2:5">
      <c r="B5756"/>
      <c r="C5756"/>
      <c r="E5756"/>
    </row>
    <row r="5757" spans="2:5">
      <c r="B5757"/>
      <c r="C5757"/>
      <c r="E5757"/>
    </row>
    <row r="5758" spans="2:5">
      <c r="B5758"/>
      <c r="C5758"/>
      <c r="E5758"/>
    </row>
    <row r="5759" spans="2:5">
      <c r="B5759"/>
      <c r="C5759"/>
      <c r="E5759"/>
    </row>
    <row r="5760" spans="2:5">
      <c r="B5760"/>
      <c r="C5760"/>
      <c r="E5760"/>
    </row>
    <row r="5761" spans="2:5">
      <c r="B5761"/>
      <c r="C5761"/>
      <c r="E5761"/>
    </row>
    <row r="5762" spans="2:5">
      <c r="B5762"/>
      <c r="C5762"/>
      <c r="E5762"/>
    </row>
    <row r="5763" spans="2:5">
      <c r="B5763"/>
      <c r="C5763"/>
      <c r="E5763"/>
    </row>
    <row r="5764" spans="2:5">
      <c r="B5764"/>
      <c r="C5764"/>
      <c r="E5764"/>
    </row>
    <row r="5765" spans="2:5">
      <c r="B5765"/>
      <c r="C5765"/>
      <c r="E5765"/>
    </row>
    <row r="5766" spans="2:5">
      <c r="B5766"/>
      <c r="C5766"/>
      <c r="E5766"/>
    </row>
    <row r="5767" spans="2:5">
      <c r="B5767"/>
      <c r="C5767"/>
      <c r="E5767"/>
    </row>
    <row r="5768" spans="2:5">
      <c r="B5768"/>
      <c r="C5768"/>
      <c r="E5768"/>
    </row>
    <row r="5769" spans="2:5">
      <c r="B5769"/>
      <c r="C5769"/>
      <c r="E5769"/>
    </row>
    <row r="5770" spans="2:5">
      <c r="B5770"/>
      <c r="C5770"/>
      <c r="E5770"/>
    </row>
    <row r="5771" spans="2:5">
      <c r="B5771"/>
      <c r="C5771"/>
      <c r="E5771"/>
    </row>
    <row r="5772" spans="2:5">
      <c r="B5772"/>
      <c r="C5772"/>
      <c r="E5772"/>
    </row>
    <row r="5773" spans="2:5">
      <c r="B5773"/>
      <c r="C5773"/>
      <c r="E5773"/>
    </row>
    <row r="5774" spans="2:5">
      <c r="B5774"/>
      <c r="C5774"/>
      <c r="E5774"/>
    </row>
    <row r="5775" spans="2:5">
      <c r="B5775"/>
      <c r="C5775"/>
      <c r="E5775"/>
    </row>
    <row r="5776" spans="2:5">
      <c r="B5776"/>
      <c r="C5776"/>
      <c r="E5776"/>
    </row>
    <row r="5777" spans="2:5">
      <c r="B5777"/>
      <c r="C5777"/>
      <c r="E5777"/>
    </row>
    <row r="5778" spans="2:5">
      <c r="B5778"/>
      <c r="C5778"/>
      <c r="E5778"/>
    </row>
    <row r="5779" spans="2:5">
      <c r="B5779"/>
      <c r="C5779"/>
      <c r="E5779"/>
    </row>
    <row r="5780" spans="2:5">
      <c r="B5780"/>
      <c r="C5780"/>
      <c r="E5780"/>
    </row>
    <row r="5781" spans="2:5">
      <c r="B5781"/>
      <c r="C5781"/>
      <c r="E5781"/>
    </row>
    <row r="5782" spans="2:5">
      <c r="B5782"/>
      <c r="C5782"/>
      <c r="E5782"/>
    </row>
    <row r="5783" spans="2:5">
      <c r="B5783"/>
      <c r="C5783"/>
      <c r="E5783"/>
    </row>
    <row r="5784" spans="2:5">
      <c r="B5784"/>
      <c r="C5784"/>
      <c r="E5784"/>
    </row>
    <row r="5785" spans="2:5">
      <c r="B5785"/>
      <c r="C5785"/>
      <c r="E5785"/>
    </row>
    <row r="5786" spans="2:5">
      <c r="B5786"/>
      <c r="C5786"/>
      <c r="E5786"/>
    </row>
    <row r="5787" spans="2:5">
      <c r="B5787"/>
      <c r="C5787"/>
      <c r="E5787"/>
    </row>
    <row r="5788" spans="2:5">
      <c r="B5788"/>
      <c r="C5788"/>
      <c r="E5788"/>
    </row>
    <row r="5789" spans="2:5">
      <c r="B5789"/>
      <c r="C5789"/>
      <c r="E5789"/>
    </row>
    <row r="5790" spans="2:5">
      <c r="B5790"/>
      <c r="C5790"/>
      <c r="E5790"/>
    </row>
    <row r="5791" spans="2:5">
      <c r="B5791"/>
      <c r="C5791"/>
      <c r="E5791"/>
    </row>
    <row r="5792" spans="2:5">
      <c r="B5792"/>
      <c r="C5792"/>
      <c r="E5792"/>
    </row>
    <row r="5793" spans="2:5">
      <c r="B5793"/>
      <c r="C5793"/>
      <c r="E5793"/>
    </row>
    <row r="5794" spans="2:5">
      <c r="B5794"/>
      <c r="C5794"/>
      <c r="E5794"/>
    </row>
    <row r="5795" spans="2:5">
      <c r="B5795"/>
      <c r="C5795"/>
      <c r="E5795"/>
    </row>
    <row r="5796" spans="2:5">
      <c r="B5796"/>
      <c r="C5796"/>
      <c r="E5796"/>
    </row>
    <row r="5797" spans="2:5">
      <c r="B5797"/>
      <c r="C5797"/>
      <c r="E5797"/>
    </row>
    <row r="5798" spans="2:5">
      <c r="B5798"/>
      <c r="C5798"/>
      <c r="E5798"/>
    </row>
    <row r="5799" spans="2:5">
      <c r="B5799"/>
      <c r="C5799"/>
      <c r="E5799"/>
    </row>
    <row r="5800" spans="2:5">
      <c r="B5800"/>
      <c r="C5800"/>
      <c r="E5800"/>
    </row>
    <row r="5801" spans="2:5">
      <c r="B5801"/>
      <c r="C5801"/>
      <c r="E5801"/>
    </row>
    <row r="5802" spans="2:5">
      <c r="B5802"/>
      <c r="C5802"/>
      <c r="E5802"/>
    </row>
    <row r="5803" spans="2:5">
      <c r="B5803"/>
      <c r="C5803"/>
      <c r="E5803"/>
    </row>
    <row r="5804" spans="2:5">
      <c r="B5804"/>
      <c r="C5804"/>
      <c r="E5804"/>
    </row>
    <row r="5805" spans="2:5">
      <c r="B5805"/>
      <c r="C5805"/>
      <c r="E5805"/>
    </row>
    <row r="5806" spans="2:5">
      <c r="B5806"/>
      <c r="C5806"/>
      <c r="E5806"/>
    </row>
    <row r="5807" spans="2:5">
      <c r="B5807"/>
      <c r="C5807"/>
      <c r="E5807"/>
    </row>
    <row r="5808" spans="2:5">
      <c r="B5808"/>
      <c r="C5808"/>
      <c r="E5808"/>
    </row>
    <row r="5809" spans="2:5">
      <c r="B5809"/>
      <c r="C5809"/>
      <c r="E5809"/>
    </row>
    <row r="5810" spans="2:5">
      <c r="B5810"/>
      <c r="C5810"/>
      <c r="E5810"/>
    </row>
    <row r="5811" spans="2:5">
      <c r="B5811"/>
      <c r="C5811"/>
      <c r="E5811"/>
    </row>
    <row r="5812" spans="2:5">
      <c r="B5812"/>
      <c r="C5812"/>
      <c r="E5812"/>
    </row>
    <row r="5813" spans="2:5">
      <c r="B5813"/>
      <c r="C5813"/>
      <c r="E5813"/>
    </row>
    <row r="5814" spans="2:5">
      <c r="B5814"/>
      <c r="C5814"/>
      <c r="E5814"/>
    </row>
    <row r="5815" spans="2:5">
      <c r="B5815"/>
      <c r="C5815"/>
      <c r="E5815"/>
    </row>
    <row r="5816" spans="2:5">
      <c r="B5816"/>
      <c r="C5816"/>
      <c r="E5816"/>
    </row>
    <row r="5817" spans="2:5">
      <c r="B5817"/>
      <c r="C5817"/>
      <c r="E5817"/>
    </row>
    <row r="5818" spans="2:5">
      <c r="B5818"/>
      <c r="C5818"/>
      <c r="E5818"/>
    </row>
    <row r="5819" spans="2:5">
      <c r="B5819"/>
      <c r="C5819"/>
      <c r="E5819"/>
    </row>
    <row r="5820" spans="2:5">
      <c r="B5820"/>
      <c r="C5820"/>
      <c r="E5820"/>
    </row>
    <row r="5821" spans="2:5">
      <c r="B5821"/>
      <c r="C5821"/>
      <c r="E5821"/>
    </row>
    <row r="5822" spans="2:5">
      <c r="B5822"/>
      <c r="C5822"/>
      <c r="E5822"/>
    </row>
    <row r="5823" spans="2:5">
      <c r="B5823"/>
      <c r="C5823"/>
      <c r="E5823"/>
    </row>
    <row r="5824" spans="2:5">
      <c r="B5824"/>
      <c r="C5824"/>
      <c r="E5824"/>
    </row>
    <row r="5825" spans="2:5">
      <c r="B5825"/>
      <c r="C5825"/>
      <c r="E5825"/>
    </row>
    <row r="5826" spans="2:5">
      <c r="B5826"/>
      <c r="C5826"/>
      <c r="E5826"/>
    </row>
    <row r="5827" spans="2:5">
      <c r="B5827"/>
      <c r="C5827"/>
      <c r="E5827"/>
    </row>
    <row r="5828" spans="2:5">
      <c r="B5828"/>
      <c r="C5828"/>
      <c r="E5828"/>
    </row>
    <row r="5829" spans="2:5">
      <c r="B5829"/>
      <c r="C5829"/>
      <c r="E5829"/>
    </row>
    <row r="5830" spans="2:5">
      <c r="B5830"/>
      <c r="C5830"/>
      <c r="E5830"/>
    </row>
    <row r="5831" spans="2:5">
      <c r="B5831"/>
      <c r="C5831"/>
      <c r="E5831"/>
    </row>
    <row r="5832" spans="2:5">
      <c r="B5832"/>
      <c r="C5832"/>
      <c r="E5832"/>
    </row>
    <row r="5833" spans="2:5">
      <c r="B5833"/>
      <c r="C5833"/>
      <c r="E5833"/>
    </row>
    <row r="5834" spans="2:5">
      <c r="B5834"/>
      <c r="C5834"/>
      <c r="E5834"/>
    </row>
    <row r="5835" spans="2:5">
      <c r="B5835"/>
      <c r="C5835"/>
      <c r="E5835"/>
    </row>
    <row r="5836" spans="2:5">
      <c r="B5836"/>
      <c r="C5836"/>
      <c r="E5836"/>
    </row>
    <row r="5837" spans="2:5">
      <c r="B5837"/>
      <c r="C5837"/>
      <c r="E5837"/>
    </row>
    <row r="5838" spans="2:5">
      <c r="B5838"/>
      <c r="C5838"/>
      <c r="E5838"/>
    </row>
    <row r="5839" spans="2:5">
      <c r="B5839"/>
      <c r="C5839"/>
      <c r="E5839"/>
    </row>
    <row r="5840" spans="2:5">
      <c r="B5840"/>
      <c r="C5840"/>
      <c r="E5840"/>
    </row>
    <row r="5841" spans="2:5">
      <c r="B5841"/>
      <c r="C5841"/>
      <c r="E5841"/>
    </row>
    <row r="5842" spans="2:5">
      <c r="B5842"/>
      <c r="C5842"/>
      <c r="E5842"/>
    </row>
    <row r="5843" spans="2:5">
      <c r="B5843"/>
      <c r="C5843"/>
      <c r="E5843"/>
    </row>
    <row r="5844" spans="2:5">
      <c r="B5844"/>
      <c r="C5844"/>
      <c r="E5844"/>
    </row>
    <row r="5845" spans="2:5">
      <c r="B5845"/>
      <c r="C5845"/>
      <c r="E5845"/>
    </row>
    <row r="5846" spans="2:5">
      <c r="B5846"/>
      <c r="C5846"/>
      <c r="E5846"/>
    </row>
    <row r="5847" spans="2:5">
      <c r="B5847"/>
      <c r="C5847"/>
      <c r="E5847"/>
    </row>
    <row r="5848" spans="2:5">
      <c r="B5848"/>
      <c r="C5848"/>
      <c r="E5848"/>
    </row>
    <row r="5849" spans="2:5">
      <c r="B5849"/>
      <c r="C5849"/>
      <c r="E5849"/>
    </row>
    <row r="5850" spans="2:5">
      <c r="B5850"/>
      <c r="C5850"/>
      <c r="E5850"/>
    </row>
    <row r="5851" spans="2:5">
      <c r="B5851"/>
      <c r="C5851"/>
      <c r="E5851"/>
    </row>
    <row r="5852" spans="2:5">
      <c r="B5852"/>
      <c r="C5852"/>
      <c r="E5852"/>
    </row>
    <row r="5853" spans="2:5">
      <c r="B5853"/>
      <c r="C5853"/>
      <c r="E5853"/>
    </row>
    <row r="5854" spans="2:5">
      <c r="B5854"/>
      <c r="C5854"/>
      <c r="E5854"/>
    </row>
    <row r="5855" spans="2:5">
      <c r="B5855"/>
      <c r="C5855"/>
      <c r="E5855"/>
    </row>
    <row r="5856" spans="2:5">
      <c r="B5856"/>
      <c r="C5856"/>
      <c r="E5856"/>
    </row>
    <row r="5857" spans="2:5">
      <c r="B5857"/>
      <c r="C5857"/>
      <c r="E5857"/>
    </row>
    <row r="5858" spans="2:5">
      <c r="B5858"/>
      <c r="C5858"/>
      <c r="E5858"/>
    </row>
    <row r="5859" spans="2:5">
      <c r="B5859"/>
      <c r="C5859"/>
      <c r="E5859"/>
    </row>
    <row r="5860" spans="2:5">
      <c r="B5860"/>
      <c r="C5860"/>
      <c r="E5860"/>
    </row>
    <row r="5861" spans="2:5">
      <c r="B5861"/>
      <c r="C5861"/>
      <c r="E5861"/>
    </row>
    <row r="5862" spans="2:5">
      <c r="B5862"/>
      <c r="C5862"/>
      <c r="E5862"/>
    </row>
    <row r="5863" spans="2:5">
      <c r="B5863"/>
      <c r="C5863"/>
      <c r="E5863"/>
    </row>
    <row r="5864" spans="2:5">
      <c r="B5864"/>
      <c r="C5864"/>
      <c r="E5864"/>
    </row>
    <row r="5865" spans="2:5">
      <c r="B5865"/>
      <c r="C5865"/>
      <c r="E5865"/>
    </row>
    <row r="5866" spans="2:5">
      <c r="B5866"/>
      <c r="C5866"/>
      <c r="E5866"/>
    </row>
    <row r="5867" spans="2:5">
      <c r="B5867"/>
      <c r="C5867"/>
      <c r="E5867"/>
    </row>
    <row r="5868" spans="2:5">
      <c r="B5868"/>
      <c r="C5868"/>
      <c r="E5868"/>
    </row>
    <row r="5869" spans="2:5">
      <c r="B5869"/>
      <c r="C5869"/>
      <c r="E5869"/>
    </row>
    <row r="5870" spans="2:5">
      <c r="B5870"/>
      <c r="C5870"/>
      <c r="E5870"/>
    </row>
    <row r="5871" spans="2:5">
      <c r="B5871"/>
      <c r="C5871"/>
      <c r="E5871"/>
    </row>
    <row r="5872" spans="2:5">
      <c r="B5872"/>
      <c r="C5872"/>
      <c r="E5872"/>
    </row>
    <row r="5873" spans="2:5">
      <c r="B5873"/>
      <c r="C5873"/>
      <c r="E5873"/>
    </row>
    <row r="5874" spans="2:5">
      <c r="B5874"/>
      <c r="C5874"/>
      <c r="E5874"/>
    </row>
    <row r="5875" spans="2:5">
      <c r="B5875"/>
      <c r="C5875"/>
      <c r="E5875"/>
    </row>
    <row r="5876" spans="2:5">
      <c r="B5876"/>
      <c r="C5876"/>
      <c r="E5876"/>
    </row>
    <row r="5877" spans="2:5">
      <c r="B5877"/>
      <c r="C5877"/>
      <c r="E5877"/>
    </row>
    <row r="5878" spans="2:5">
      <c r="B5878"/>
      <c r="C5878"/>
      <c r="E5878"/>
    </row>
    <row r="5879" spans="2:5">
      <c r="B5879"/>
      <c r="C5879"/>
      <c r="E5879"/>
    </row>
    <row r="5880" spans="2:5">
      <c r="B5880"/>
      <c r="C5880"/>
      <c r="E5880"/>
    </row>
    <row r="5881" spans="2:5">
      <c r="B5881"/>
      <c r="C5881"/>
      <c r="E5881"/>
    </row>
    <row r="5882" spans="2:5">
      <c r="B5882"/>
      <c r="C5882"/>
      <c r="E5882"/>
    </row>
    <row r="5883" spans="2:5">
      <c r="B5883"/>
      <c r="C5883"/>
      <c r="E5883"/>
    </row>
    <row r="5884" spans="2:5">
      <c r="B5884"/>
      <c r="C5884"/>
      <c r="E5884"/>
    </row>
    <row r="5885" spans="2:5">
      <c r="B5885"/>
      <c r="C5885"/>
      <c r="E5885"/>
    </row>
    <row r="5886" spans="2:5">
      <c r="B5886"/>
      <c r="C5886"/>
      <c r="E5886"/>
    </row>
    <row r="5887" spans="2:5">
      <c r="B5887"/>
      <c r="C5887"/>
      <c r="E5887"/>
    </row>
    <row r="5888" spans="2:5">
      <c r="B5888"/>
      <c r="C5888"/>
      <c r="E5888"/>
    </row>
    <row r="5889" spans="2:5">
      <c r="B5889"/>
      <c r="C5889"/>
      <c r="E5889"/>
    </row>
    <row r="5890" spans="2:5">
      <c r="B5890"/>
      <c r="C5890"/>
      <c r="E5890"/>
    </row>
    <row r="5891" spans="2:5">
      <c r="B5891"/>
      <c r="C5891"/>
      <c r="E5891"/>
    </row>
    <row r="5892" spans="2:5">
      <c r="B5892"/>
      <c r="C5892"/>
      <c r="E5892"/>
    </row>
    <row r="5893" spans="2:5">
      <c r="B5893"/>
      <c r="C5893"/>
      <c r="E5893"/>
    </row>
    <row r="5894" spans="2:5">
      <c r="B5894"/>
      <c r="C5894"/>
      <c r="E5894"/>
    </row>
    <row r="5895" spans="2:5">
      <c r="B5895"/>
      <c r="C5895"/>
      <c r="E5895"/>
    </row>
    <row r="5896" spans="2:5">
      <c r="B5896"/>
      <c r="C5896"/>
      <c r="E5896"/>
    </row>
    <row r="5897" spans="2:5">
      <c r="B5897"/>
      <c r="C5897"/>
      <c r="E5897"/>
    </row>
    <row r="5898" spans="2:5">
      <c r="B5898"/>
      <c r="C5898"/>
      <c r="E5898"/>
    </row>
    <row r="5899" spans="2:5">
      <c r="B5899"/>
      <c r="C5899"/>
      <c r="E5899"/>
    </row>
    <row r="5900" spans="2:5">
      <c r="B5900"/>
      <c r="C5900"/>
      <c r="E5900"/>
    </row>
    <row r="5901" spans="2:5">
      <c r="B5901"/>
      <c r="C5901"/>
      <c r="E5901"/>
    </row>
    <row r="5902" spans="2:5">
      <c r="B5902"/>
      <c r="C5902"/>
      <c r="E5902"/>
    </row>
    <row r="5903" spans="2:5">
      <c r="B5903"/>
      <c r="C5903"/>
      <c r="E5903"/>
    </row>
    <row r="5904" spans="2:5">
      <c r="B5904"/>
      <c r="C5904"/>
      <c r="E5904"/>
    </row>
    <row r="5905" spans="2:5">
      <c r="B5905"/>
      <c r="C5905"/>
      <c r="E5905"/>
    </row>
    <row r="5906" spans="2:5">
      <c r="B5906"/>
      <c r="C5906"/>
      <c r="E5906"/>
    </row>
    <row r="5907" spans="2:5">
      <c r="B5907"/>
      <c r="C5907"/>
      <c r="E5907"/>
    </row>
    <row r="5908" spans="2:5">
      <c r="B5908"/>
      <c r="C5908"/>
      <c r="E5908"/>
    </row>
    <row r="5909" spans="2:5">
      <c r="B5909"/>
      <c r="C5909"/>
      <c r="E5909"/>
    </row>
    <row r="5910" spans="2:5">
      <c r="B5910"/>
      <c r="C5910"/>
      <c r="E5910"/>
    </row>
    <row r="5911" spans="2:5">
      <c r="B5911"/>
      <c r="C5911"/>
      <c r="E5911"/>
    </row>
    <row r="5912" spans="2:5">
      <c r="B5912"/>
      <c r="C5912"/>
      <c r="E5912"/>
    </row>
    <row r="5913" spans="2:5">
      <c r="B5913"/>
      <c r="C5913"/>
      <c r="E5913"/>
    </row>
    <row r="5914" spans="2:5">
      <c r="B5914"/>
      <c r="C5914"/>
      <c r="E5914"/>
    </row>
    <row r="5915" spans="2:5">
      <c r="B5915"/>
      <c r="C5915"/>
      <c r="E5915"/>
    </row>
    <row r="5916" spans="2:5">
      <c r="B5916"/>
      <c r="C5916"/>
      <c r="E5916"/>
    </row>
    <row r="5917" spans="2:5">
      <c r="B5917"/>
      <c r="C5917"/>
      <c r="E5917"/>
    </row>
    <row r="5918" spans="2:5">
      <c r="B5918"/>
      <c r="C5918"/>
      <c r="E5918"/>
    </row>
    <row r="5919" spans="2:5">
      <c r="B5919"/>
      <c r="C5919"/>
      <c r="E5919"/>
    </row>
    <row r="5920" spans="2:5">
      <c r="B5920"/>
      <c r="C5920"/>
      <c r="E5920"/>
    </row>
    <row r="5921" spans="2:5">
      <c r="B5921"/>
      <c r="C5921"/>
      <c r="E5921"/>
    </row>
    <row r="5922" spans="2:5">
      <c r="B5922"/>
      <c r="C5922"/>
      <c r="E5922"/>
    </row>
    <row r="5923" spans="2:5">
      <c r="B5923"/>
      <c r="C5923"/>
      <c r="E5923"/>
    </row>
    <row r="5924" spans="2:5">
      <c r="B5924"/>
      <c r="C5924"/>
      <c r="E5924"/>
    </row>
    <row r="5925" spans="2:5">
      <c r="B5925"/>
      <c r="C5925"/>
      <c r="E5925"/>
    </row>
    <row r="5926" spans="2:5">
      <c r="B5926"/>
      <c r="C5926"/>
      <c r="E5926"/>
    </row>
    <row r="5927" spans="2:5">
      <c r="B5927"/>
      <c r="C5927"/>
      <c r="E5927"/>
    </row>
    <row r="5928" spans="2:5">
      <c r="B5928"/>
      <c r="C5928"/>
      <c r="E5928"/>
    </row>
    <row r="5929" spans="2:5">
      <c r="B5929"/>
      <c r="C5929"/>
      <c r="E5929"/>
    </row>
    <row r="5930" spans="2:5">
      <c r="B5930"/>
      <c r="C5930"/>
      <c r="E5930"/>
    </row>
    <row r="5931" spans="2:5">
      <c r="B5931"/>
      <c r="C5931"/>
      <c r="E5931"/>
    </row>
    <row r="5932" spans="2:5">
      <c r="B5932"/>
      <c r="C5932"/>
      <c r="E5932"/>
    </row>
    <row r="5933" spans="2:5">
      <c r="B5933"/>
      <c r="C5933"/>
      <c r="E5933"/>
    </row>
    <row r="5934" spans="2:5">
      <c r="B5934"/>
      <c r="C5934"/>
      <c r="E5934"/>
    </row>
    <row r="5935" spans="2:5">
      <c r="B5935"/>
      <c r="C5935"/>
      <c r="E5935"/>
    </row>
    <row r="5936" spans="2:5">
      <c r="B5936"/>
      <c r="C5936"/>
      <c r="E5936"/>
    </row>
    <row r="5937" spans="2:5">
      <c r="B5937"/>
      <c r="C5937"/>
      <c r="E5937"/>
    </row>
    <row r="5938" spans="2:5">
      <c r="B5938"/>
      <c r="C5938"/>
      <c r="E5938"/>
    </row>
    <row r="5939" spans="2:5">
      <c r="B5939"/>
      <c r="C5939"/>
      <c r="E5939"/>
    </row>
    <row r="5940" spans="2:5">
      <c r="B5940"/>
      <c r="C5940"/>
      <c r="E5940"/>
    </row>
    <row r="5941" spans="2:5">
      <c r="B5941"/>
      <c r="C5941"/>
      <c r="E5941"/>
    </row>
    <row r="5942" spans="2:5">
      <c r="B5942"/>
      <c r="C5942"/>
      <c r="E5942"/>
    </row>
    <row r="5943" spans="2:5">
      <c r="B5943"/>
      <c r="C5943"/>
      <c r="E5943"/>
    </row>
    <row r="5944" spans="2:5">
      <c r="B5944"/>
      <c r="C5944"/>
      <c r="E5944"/>
    </row>
    <row r="5945" spans="2:5">
      <c r="B5945"/>
      <c r="C5945"/>
      <c r="E5945"/>
    </row>
    <row r="5946" spans="2:5">
      <c r="B5946"/>
      <c r="C5946"/>
      <c r="E5946"/>
    </row>
    <row r="5947" spans="2:5">
      <c r="B5947"/>
      <c r="C5947"/>
      <c r="E5947"/>
    </row>
    <row r="5948" spans="2:5">
      <c r="B5948"/>
      <c r="C5948"/>
      <c r="E5948"/>
    </row>
    <row r="5949" spans="2:5">
      <c r="B5949"/>
      <c r="C5949"/>
      <c r="E5949"/>
    </row>
    <row r="5950" spans="2:5">
      <c r="B5950"/>
      <c r="C5950"/>
      <c r="E5950"/>
    </row>
    <row r="5951" spans="2:5">
      <c r="B5951"/>
      <c r="C5951"/>
      <c r="E5951"/>
    </row>
    <row r="5952" spans="2:5">
      <c r="B5952"/>
      <c r="C5952"/>
      <c r="E5952"/>
    </row>
    <row r="5953" spans="2:5">
      <c r="B5953"/>
      <c r="C5953"/>
      <c r="E5953"/>
    </row>
    <row r="5954" spans="2:5">
      <c r="B5954"/>
      <c r="C5954"/>
      <c r="E5954"/>
    </row>
    <row r="5955" spans="2:5">
      <c r="B5955"/>
      <c r="C5955"/>
      <c r="E5955"/>
    </row>
    <row r="5956" spans="2:5">
      <c r="B5956"/>
      <c r="C5956"/>
      <c r="E5956"/>
    </row>
    <row r="5957" spans="2:5">
      <c r="B5957"/>
      <c r="C5957"/>
      <c r="E5957"/>
    </row>
    <row r="5958" spans="2:5">
      <c r="B5958"/>
      <c r="C5958"/>
      <c r="E5958"/>
    </row>
    <row r="5959" spans="2:5">
      <c r="B5959"/>
      <c r="C5959"/>
      <c r="E5959"/>
    </row>
    <row r="5960" spans="2:5">
      <c r="B5960"/>
      <c r="C5960"/>
      <c r="E5960"/>
    </row>
    <row r="5961" spans="2:5">
      <c r="B5961"/>
      <c r="C5961"/>
      <c r="E5961"/>
    </row>
    <row r="5962" spans="2:5">
      <c r="B5962"/>
      <c r="C5962"/>
      <c r="E5962"/>
    </row>
    <row r="5963" spans="2:5">
      <c r="B5963"/>
      <c r="C5963"/>
      <c r="E5963"/>
    </row>
    <row r="5964" spans="2:5">
      <c r="B5964"/>
      <c r="C5964"/>
      <c r="E5964"/>
    </row>
    <row r="5965" spans="2:5">
      <c r="B5965"/>
      <c r="C5965"/>
      <c r="E5965"/>
    </row>
    <row r="5966" spans="2:5">
      <c r="B5966"/>
      <c r="C5966"/>
      <c r="E5966"/>
    </row>
    <row r="5967" spans="2:5">
      <c r="B5967"/>
      <c r="C5967"/>
      <c r="E5967"/>
    </row>
    <row r="5968" spans="2:5">
      <c r="B5968"/>
      <c r="C5968"/>
      <c r="E5968"/>
    </row>
    <row r="5969" spans="2:5">
      <c r="B5969"/>
      <c r="C5969"/>
      <c r="E5969"/>
    </row>
    <row r="5970" spans="2:5">
      <c r="B5970"/>
      <c r="C5970"/>
      <c r="E5970"/>
    </row>
    <row r="5971" spans="2:5">
      <c r="B5971"/>
      <c r="C5971"/>
      <c r="E5971"/>
    </row>
    <row r="5972" spans="2:5">
      <c r="B5972"/>
      <c r="C5972"/>
      <c r="E5972"/>
    </row>
    <row r="5973" spans="2:5">
      <c r="B5973"/>
      <c r="C5973"/>
      <c r="E5973"/>
    </row>
    <row r="5974" spans="2:5">
      <c r="B5974"/>
      <c r="C5974"/>
      <c r="E5974"/>
    </row>
    <row r="5975" spans="2:5">
      <c r="B5975"/>
      <c r="C5975"/>
      <c r="E5975"/>
    </row>
    <row r="5976" spans="2:5">
      <c r="B5976"/>
      <c r="C5976"/>
      <c r="E5976"/>
    </row>
    <row r="5977" spans="2:5">
      <c r="B5977"/>
      <c r="C5977"/>
      <c r="E5977"/>
    </row>
    <row r="5978" spans="2:5">
      <c r="B5978"/>
      <c r="C5978"/>
      <c r="E5978"/>
    </row>
    <row r="5979" spans="2:5">
      <c r="B5979"/>
      <c r="C5979"/>
      <c r="E5979"/>
    </row>
    <row r="5980" spans="2:5">
      <c r="B5980"/>
      <c r="C5980"/>
      <c r="E5980"/>
    </row>
    <row r="5981" spans="2:5">
      <c r="B5981"/>
      <c r="C5981"/>
      <c r="E5981"/>
    </row>
    <row r="5982" spans="2:5">
      <c r="B5982"/>
      <c r="C5982"/>
      <c r="E5982"/>
    </row>
    <row r="5983" spans="2:5">
      <c r="B5983"/>
      <c r="C5983"/>
      <c r="E5983"/>
    </row>
    <row r="5984" spans="2:5">
      <c r="B5984"/>
      <c r="C5984"/>
      <c r="E5984"/>
    </row>
    <row r="5985" spans="2:5">
      <c r="B5985"/>
      <c r="C5985"/>
      <c r="E5985"/>
    </row>
    <row r="5986" spans="2:5">
      <c r="B5986"/>
      <c r="C5986"/>
      <c r="E5986"/>
    </row>
    <row r="5987" spans="2:5">
      <c r="B5987"/>
      <c r="C5987"/>
      <c r="E5987"/>
    </row>
    <row r="5988" spans="2:5">
      <c r="B5988"/>
      <c r="C5988"/>
      <c r="E5988"/>
    </row>
    <row r="5989" spans="2:5">
      <c r="B5989"/>
      <c r="C5989"/>
      <c r="E5989"/>
    </row>
    <row r="5990" spans="2:5">
      <c r="B5990"/>
      <c r="C5990"/>
      <c r="E5990"/>
    </row>
    <row r="5991" spans="2:5">
      <c r="B5991"/>
      <c r="C5991"/>
      <c r="E5991"/>
    </row>
    <row r="5992" spans="2:5">
      <c r="B5992"/>
      <c r="C5992"/>
      <c r="E5992"/>
    </row>
    <row r="5993" spans="2:5">
      <c r="B5993"/>
      <c r="C5993"/>
      <c r="E5993"/>
    </row>
    <row r="5994" spans="2:5">
      <c r="B5994"/>
      <c r="C5994"/>
      <c r="E5994"/>
    </row>
    <row r="5995" spans="2:5">
      <c r="B5995"/>
      <c r="C5995"/>
      <c r="E5995"/>
    </row>
    <row r="5996" spans="2:5">
      <c r="B5996"/>
      <c r="C5996"/>
      <c r="E5996"/>
    </row>
    <row r="5997" spans="2:5">
      <c r="B5997"/>
      <c r="C5997"/>
      <c r="E5997"/>
    </row>
    <row r="5998" spans="2:5">
      <c r="B5998"/>
      <c r="C5998"/>
      <c r="E5998"/>
    </row>
    <row r="5999" spans="2:5">
      <c r="B5999"/>
      <c r="C5999"/>
      <c r="E5999"/>
    </row>
    <row r="6000" spans="2:5">
      <c r="B6000"/>
      <c r="C6000"/>
      <c r="E6000"/>
    </row>
    <row r="6001" spans="2:5">
      <c r="B6001"/>
      <c r="C6001"/>
      <c r="E6001"/>
    </row>
    <row r="6002" spans="2:5">
      <c r="B6002"/>
      <c r="C6002"/>
      <c r="E6002"/>
    </row>
    <row r="6003" spans="2:5">
      <c r="B6003"/>
      <c r="C6003"/>
      <c r="E6003"/>
    </row>
    <row r="6004" spans="2:5">
      <c r="B6004"/>
      <c r="C6004"/>
      <c r="E6004"/>
    </row>
    <row r="6005" spans="2:5">
      <c r="B6005"/>
      <c r="C6005"/>
      <c r="E6005"/>
    </row>
    <row r="6006" spans="2:5">
      <c r="B6006"/>
      <c r="C6006"/>
      <c r="E6006"/>
    </row>
    <row r="6007" spans="2:5">
      <c r="B6007"/>
      <c r="C6007"/>
      <c r="E6007"/>
    </row>
    <row r="6008" spans="2:5">
      <c r="B6008"/>
      <c r="C6008"/>
      <c r="E6008"/>
    </row>
    <row r="6009" spans="2:5">
      <c r="B6009"/>
      <c r="C6009"/>
      <c r="E6009"/>
    </row>
    <row r="6010" spans="2:5">
      <c r="B6010"/>
      <c r="C6010"/>
      <c r="E6010"/>
    </row>
    <row r="6011" spans="2:5">
      <c r="B6011"/>
      <c r="C6011"/>
      <c r="E6011"/>
    </row>
    <row r="6012" spans="2:5">
      <c r="B6012"/>
      <c r="C6012"/>
      <c r="E6012"/>
    </row>
    <row r="6013" spans="2:5">
      <c r="B6013"/>
      <c r="C6013"/>
      <c r="E6013"/>
    </row>
    <row r="6014" spans="2:5">
      <c r="B6014"/>
      <c r="C6014"/>
      <c r="E6014"/>
    </row>
    <row r="6015" spans="2:5">
      <c r="B6015"/>
      <c r="C6015"/>
      <c r="E6015"/>
    </row>
    <row r="6016" spans="2:5">
      <c r="B6016"/>
      <c r="C6016"/>
      <c r="E6016"/>
    </row>
    <row r="6017" spans="2:5">
      <c r="B6017"/>
      <c r="C6017"/>
      <c r="E6017"/>
    </row>
    <row r="6018" spans="2:5">
      <c r="B6018"/>
      <c r="C6018"/>
      <c r="E6018"/>
    </row>
    <row r="6019" spans="2:5">
      <c r="B6019"/>
      <c r="C6019"/>
      <c r="E6019"/>
    </row>
    <row r="6020" spans="2:5">
      <c r="B6020"/>
      <c r="C6020"/>
      <c r="E6020"/>
    </row>
    <row r="6021" spans="2:5">
      <c r="B6021"/>
      <c r="C6021"/>
      <c r="E6021"/>
    </row>
    <row r="6022" spans="2:5">
      <c r="B6022"/>
      <c r="C6022"/>
      <c r="E6022"/>
    </row>
    <row r="6023" spans="2:5">
      <c r="B6023"/>
      <c r="C6023"/>
      <c r="E6023"/>
    </row>
    <row r="6024" spans="2:5">
      <c r="B6024"/>
      <c r="C6024"/>
      <c r="E6024"/>
    </row>
    <row r="6025" spans="2:5">
      <c r="B6025"/>
      <c r="C6025"/>
      <c r="E6025"/>
    </row>
    <row r="6026" spans="2:5">
      <c r="B6026"/>
      <c r="C6026"/>
      <c r="E6026"/>
    </row>
    <row r="6027" spans="2:5">
      <c r="B6027"/>
      <c r="C6027"/>
      <c r="E6027"/>
    </row>
    <row r="6028" spans="2:5">
      <c r="B6028"/>
      <c r="C6028"/>
      <c r="E6028"/>
    </row>
    <row r="6029" spans="2:5">
      <c r="B6029"/>
      <c r="C6029"/>
      <c r="E6029"/>
    </row>
    <row r="6030" spans="2:5">
      <c r="B6030"/>
      <c r="C6030"/>
      <c r="E6030"/>
    </row>
    <row r="6031" spans="2:5">
      <c r="B6031"/>
      <c r="C6031"/>
      <c r="E6031"/>
    </row>
    <row r="6032" spans="2:5">
      <c r="B6032"/>
      <c r="C6032"/>
      <c r="E6032"/>
    </row>
    <row r="6033" spans="2:5">
      <c r="B6033"/>
      <c r="C6033"/>
      <c r="E6033"/>
    </row>
    <row r="6034" spans="2:5">
      <c r="B6034"/>
      <c r="C6034"/>
      <c r="E6034"/>
    </row>
    <row r="6035" spans="2:5">
      <c r="B6035"/>
      <c r="C6035"/>
      <c r="E6035"/>
    </row>
    <row r="6036" spans="2:5">
      <c r="B6036"/>
      <c r="C6036"/>
      <c r="E6036"/>
    </row>
    <row r="6037" spans="2:5">
      <c r="B6037"/>
      <c r="C6037"/>
      <c r="E6037"/>
    </row>
    <row r="6038" spans="2:5">
      <c r="B6038"/>
      <c r="C6038"/>
      <c r="E6038"/>
    </row>
    <row r="6039" spans="2:5">
      <c r="B6039"/>
      <c r="C6039"/>
      <c r="E6039"/>
    </row>
    <row r="6040" spans="2:5">
      <c r="B6040"/>
      <c r="C6040"/>
      <c r="E6040"/>
    </row>
    <row r="6041" spans="2:5">
      <c r="B6041"/>
      <c r="C6041"/>
      <c r="E6041"/>
    </row>
    <row r="6042" spans="2:5">
      <c r="B6042"/>
      <c r="C6042"/>
      <c r="E6042"/>
    </row>
    <row r="6043" spans="2:5">
      <c r="B6043"/>
      <c r="C6043"/>
      <c r="E6043"/>
    </row>
    <row r="6044" spans="2:5">
      <c r="B6044"/>
      <c r="C6044"/>
      <c r="E6044"/>
    </row>
    <row r="6045" spans="2:5">
      <c r="B6045"/>
      <c r="C6045"/>
      <c r="E6045"/>
    </row>
    <row r="6046" spans="2:5">
      <c r="B6046"/>
      <c r="C6046"/>
      <c r="E6046"/>
    </row>
    <row r="6047" spans="2:5">
      <c r="B6047"/>
      <c r="C6047"/>
      <c r="E6047"/>
    </row>
    <row r="6048" spans="2:5">
      <c r="B6048"/>
      <c r="C6048"/>
      <c r="E6048"/>
    </row>
    <row r="6049" spans="2:5">
      <c r="B6049"/>
      <c r="C6049"/>
      <c r="E6049"/>
    </row>
    <row r="6050" spans="2:5">
      <c r="B6050"/>
      <c r="C6050"/>
      <c r="E6050"/>
    </row>
    <row r="6051" spans="2:5">
      <c r="B6051"/>
      <c r="C6051"/>
      <c r="E6051"/>
    </row>
    <row r="6052" spans="2:5">
      <c r="B6052"/>
      <c r="C6052"/>
      <c r="E6052"/>
    </row>
    <row r="6053" spans="2:5">
      <c r="B6053"/>
      <c r="C6053"/>
      <c r="E6053"/>
    </row>
    <row r="6054" spans="2:5">
      <c r="B6054"/>
      <c r="C6054"/>
      <c r="E6054"/>
    </row>
    <row r="6055" spans="2:5">
      <c r="B6055"/>
      <c r="C6055"/>
      <c r="E6055"/>
    </row>
    <row r="6056" spans="2:5">
      <c r="B6056"/>
      <c r="C6056"/>
      <c r="E6056"/>
    </row>
    <row r="6057" spans="2:5">
      <c r="B6057"/>
      <c r="C6057"/>
      <c r="E6057"/>
    </row>
    <row r="6058" spans="2:5">
      <c r="B6058"/>
      <c r="C6058"/>
      <c r="E6058"/>
    </row>
    <row r="6059" spans="2:5">
      <c r="B6059"/>
      <c r="C6059"/>
      <c r="E6059"/>
    </row>
    <row r="6060" spans="2:5">
      <c r="B6060"/>
      <c r="C6060"/>
      <c r="E6060"/>
    </row>
    <row r="6061" spans="2:5">
      <c r="B6061"/>
      <c r="C6061"/>
      <c r="E6061"/>
    </row>
    <row r="6062" spans="2:5">
      <c r="B6062"/>
      <c r="C6062"/>
      <c r="E6062"/>
    </row>
    <row r="6063" spans="2:5">
      <c r="B6063"/>
      <c r="C6063"/>
      <c r="E6063"/>
    </row>
    <row r="6064" spans="2:5">
      <c r="B6064"/>
      <c r="C6064"/>
      <c r="E6064"/>
    </row>
    <row r="6065" spans="2:5">
      <c r="B6065"/>
      <c r="C6065"/>
      <c r="E6065"/>
    </row>
    <row r="6066" spans="2:5">
      <c r="B6066"/>
      <c r="C6066"/>
      <c r="E6066"/>
    </row>
    <row r="6067" spans="2:5">
      <c r="B6067"/>
      <c r="C6067"/>
      <c r="E6067"/>
    </row>
    <row r="6068" spans="2:5">
      <c r="B6068"/>
      <c r="C6068"/>
      <c r="E6068"/>
    </row>
    <row r="6069" spans="2:5">
      <c r="B6069"/>
      <c r="C6069"/>
      <c r="E6069"/>
    </row>
    <row r="6070" spans="2:5">
      <c r="B6070"/>
      <c r="C6070"/>
      <c r="E6070"/>
    </row>
    <row r="6071" spans="2:5">
      <c r="B6071"/>
      <c r="C6071"/>
      <c r="E6071"/>
    </row>
    <row r="6072" spans="2:5">
      <c r="B6072"/>
      <c r="C6072"/>
      <c r="E6072"/>
    </row>
    <row r="6073" spans="2:5">
      <c r="B6073"/>
      <c r="C6073"/>
      <c r="E6073"/>
    </row>
    <row r="6074" spans="2:5">
      <c r="B6074"/>
      <c r="C6074"/>
      <c r="E6074"/>
    </row>
    <row r="6075" spans="2:5">
      <c r="B6075"/>
      <c r="C6075"/>
      <c r="E6075"/>
    </row>
    <row r="6076" spans="2:5">
      <c r="B6076"/>
      <c r="C6076"/>
      <c r="E6076"/>
    </row>
    <row r="6077" spans="2:5">
      <c r="B6077"/>
      <c r="C6077"/>
      <c r="E6077"/>
    </row>
    <row r="6078" spans="2:5">
      <c r="B6078"/>
      <c r="C6078"/>
      <c r="E6078"/>
    </row>
    <row r="6079" spans="2:5">
      <c r="B6079"/>
      <c r="C6079"/>
      <c r="E6079"/>
    </row>
    <row r="6080" spans="2:5">
      <c r="B6080"/>
      <c r="C6080"/>
      <c r="E6080"/>
    </row>
    <row r="6081" spans="2:5">
      <c r="B6081"/>
      <c r="C6081"/>
      <c r="E6081"/>
    </row>
    <row r="6082" spans="2:5">
      <c r="B6082"/>
      <c r="C6082"/>
      <c r="E6082"/>
    </row>
    <row r="6083" spans="2:5">
      <c r="B6083"/>
      <c r="C6083"/>
      <c r="E6083"/>
    </row>
    <row r="6084" spans="2:5">
      <c r="B6084"/>
      <c r="C6084"/>
      <c r="E6084"/>
    </row>
    <row r="6085" spans="2:5">
      <c r="B6085"/>
      <c r="C6085"/>
      <c r="E6085"/>
    </row>
    <row r="6086" spans="2:5">
      <c r="B6086"/>
      <c r="C6086"/>
      <c r="E6086"/>
    </row>
    <row r="6087" spans="2:5">
      <c r="B6087"/>
      <c r="C6087"/>
      <c r="E6087"/>
    </row>
    <row r="6088" spans="2:5">
      <c r="B6088"/>
      <c r="C6088"/>
      <c r="E6088"/>
    </row>
    <row r="6089" spans="2:5">
      <c r="B6089"/>
      <c r="C6089"/>
      <c r="E6089"/>
    </row>
    <row r="6090" spans="2:5">
      <c r="B6090"/>
      <c r="C6090"/>
      <c r="E6090"/>
    </row>
    <row r="6091" spans="2:5">
      <c r="B6091"/>
      <c r="C6091"/>
      <c r="E6091"/>
    </row>
    <row r="6092" spans="2:5">
      <c r="B6092"/>
      <c r="C6092"/>
      <c r="E6092"/>
    </row>
    <row r="6093" spans="2:5">
      <c r="B6093"/>
      <c r="C6093"/>
      <c r="E6093"/>
    </row>
    <row r="6094" spans="2:5">
      <c r="B6094"/>
      <c r="C6094"/>
      <c r="E6094"/>
    </row>
    <row r="6095" spans="2:5">
      <c r="B6095"/>
      <c r="C6095"/>
      <c r="E6095"/>
    </row>
    <row r="6096" spans="2:5">
      <c r="B6096"/>
      <c r="C6096"/>
      <c r="E6096"/>
    </row>
    <row r="6097" spans="2:5">
      <c r="B6097"/>
      <c r="C6097"/>
      <c r="E6097"/>
    </row>
    <row r="6098" spans="2:5">
      <c r="B6098"/>
      <c r="C6098"/>
      <c r="E6098"/>
    </row>
    <row r="6099" spans="2:5">
      <c r="B6099"/>
      <c r="C6099"/>
      <c r="E6099"/>
    </row>
    <row r="6100" spans="2:5">
      <c r="B6100"/>
      <c r="C6100"/>
      <c r="E6100"/>
    </row>
    <row r="6101" spans="2:5">
      <c r="B6101"/>
      <c r="C6101"/>
      <c r="E6101"/>
    </row>
    <row r="6102" spans="2:5">
      <c r="B6102"/>
      <c r="C6102"/>
      <c r="E6102"/>
    </row>
    <row r="6103" spans="2:5">
      <c r="B6103"/>
      <c r="C6103"/>
      <c r="E6103"/>
    </row>
    <row r="6104" spans="2:5">
      <c r="B6104"/>
      <c r="C6104"/>
      <c r="E6104"/>
    </row>
    <row r="6105" spans="2:5">
      <c r="B6105"/>
      <c r="C6105"/>
      <c r="E6105"/>
    </row>
    <row r="6106" spans="2:5">
      <c r="B6106"/>
      <c r="C6106"/>
      <c r="E6106"/>
    </row>
    <row r="6107" spans="2:5">
      <c r="B6107"/>
      <c r="C6107"/>
      <c r="E6107"/>
    </row>
    <row r="6108" spans="2:5">
      <c r="B6108"/>
      <c r="C6108"/>
      <c r="E6108"/>
    </row>
    <row r="6109" spans="2:5">
      <c r="B6109"/>
      <c r="C6109"/>
      <c r="E6109"/>
    </row>
    <row r="6110" spans="2:5">
      <c r="B6110"/>
      <c r="C6110"/>
      <c r="E6110"/>
    </row>
    <row r="6111" spans="2:5">
      <c r="B6111"/>
      <c r="C6111"/>
      <c r="E6111"/>
    </row>
    <row r="6112" spans="2:5">
      <c r="B6112"/>
      <c r="C6112"/>
      <c r="E6112"/>
    </row>
    <row r="6113" spans="2:5">
      <c r="B6113"/>
      <c r="C6113"/>
      <c r="E6113"/>
    </row>
    <row r="6114" spans="2:5">
      <c r="B6114"/>
      <c r="C6114"/>
      <c r="E6114"/>
    </row>
    <row r="6115" spans="2:5">
      <c r="B6115"/>
      <c r="C6115"/>
      <c r="E6115"/>
    </row>
    <row r="6116" spans="2:5">
      <c r="B6116"/>
      <c r="C6116"/>
      <c r="E6116"/>
    </row>
    <row r="6117" spans="2:5">
      <c r="B6117"/>
      <c r="C6117"/>
      <c r="E6117"/>
    </row>
    <row r="6118" spans="2:5">
      <c r="B6118"/>
      <c r="C6118"/>
      <c r="E6118"/>
    </row>
    <row r="6119" spans="2:5">
      <c r="B6119"/>
      <c r="C6119"/>
      <c r="E6119"/>
    </row>
    <row r="6120" spans="2:5">
      <c r="B6120"/>
      <c r="C6120"/>
      <c r="E6120"/>
    </row>
    <row r="6121" spans="2:5">
      <c r="B6121"/>
      <c r="C6121"/>
      <c r="E6121"/>
    </row>
    <row r="6122" spans="2:5">
      <c r="B6122"/>
      <c r="C6122"/>
      <c r="E6122"/>
    </row>
    <row r="6123" spans="2:5">
      <c r="B6123"/>
      <c r="C6123"/>
      <c r="E6123"/>
    </row>
    <row r="6124" spans="2:5">
      <c r="B6124"/>
      <c r="C6124"/>
      <c r="E6124"/>
    </row>
    <row r="6125" spans="2:5">
      <c r="B6125"/>
      <c r="C6125"/>
      <c r="E6125"/>
    </row>
    <row r="6126" spans="2:5">
      <c r="B6126"/>
      <c r="C6126"/>
      <c r="E6126"/>
    </row>
    <row r="6127" spans="2:5">
      <c r="B6127"/>
      <c r="C6127"/>
      <c r="E6127"/>
    </row>
    <row r="6128" spans="2:5">
      <c r="B6128"/>
      <c r="C6128"/>
      <c r="E6128"/>
    </row>
    <row r="6129" spans="2:5">
      <c r="B6129"/>
      <c r="C6129"/>
      <c r="E6129"/>
    </row>
    <row r="6130" spans="2:5">
      <c r="B6130"/>
      <c r="C6130"/>
      <c r="E6130"/>
    </row>
    <row r="6131" spans="2:5">
      <c r="B6131"/>
      <c r="C6131"/>
      <c r="E6131"/>
    </row>
    <row r="6132" spans="2:5">
      <c r="B6132"/>
      <c r="C6132"/>
      <c r="E6132"/>
    </row>
    <row r="6133" spans="2:5">
      <c r="B6133"/>
      <c r="C6133"/>
      <c r="E6133"/>
    </row>
    <row r="6134" spans="2:5">
      <c r="B6134"/>
      <c r="C6134"/>
      <c r="E6134"/>
    </row>
    <row r="6135" spans="2:5">
      <c r="B6135"/>
      <c r="C6135"/>
      <c r="E6135"/>
    </row>
    <row r="6136" spans="2:5">
      <c r="B6136"/>
      <c r="C6136"/>
      <c r="E6136"/>
    </row>
    <row r="6137" spans="2:5">
      <c r="B6137"/>
      <c r="C6137"/>
      <c r="E6137"/>
    </row>
    <row r="6138" spans="2:5">
      <c r="B6138"/>
      <c r="C6138"/>
      <c r="E6138"/>
    </row>
    <row r="6139" spans="2:5">
      <c r="B6139"/>
      <c r="C6139"/>
      <c r="E6139"/>
    </row>
    <row r="6140" spans="2:5">
      <c r="B6140"/>
      <c r="C6140"/>
      <c r="E6140"/>
    </row>
    <row r="6141" spans="2:5">
      <c r="B6141"/>
      <c r="C6141"/>
      <c r="E6141"/>
    </row>
    <row r="6142" spans="2:5">
      <c r="B6142"/>
      <c r="C6142"/>
      <c r="E6142"/>
    </row>
    <row r="6143" spans="2:5">
      <c r="B6143"/>
      <c r="C6143"/>
      <c r="E6143"/>
    </row>
    <row r="6144" spans="2:5">
      <c r="B6144"/>
      <c r="C6144"/>
      <c r="E6144"/>
    </row>
    <row r="6145" spans="2:5">
      <c r="B6145"/>
      <c r="C6145"/>
      <c r="E6145"/>
    </row>
    <row r="6146" spans="2:5">
      <c r="B6146"/>
      <c r="C6146"/>
      <c r="E6146"/>
    </row>
    <row r="6147" spans="2:5">
      <c r="B6147"/>
      <c r="C6147"/>
      <c r="E6147"/>
    </row>
    <row r="6148" spans="2:5">
      <c r="B6148"/>
      <c r="C6148"/>
      <c r="E6148"/>
    </row>
    <row r="6149" spans="2:5">
      <c r="B6149"/>
      <c r="C6149"/>
      <c r="E6149"/>
    </row>
    <row r="6150" spans="2:5">
      <c r="B6150"/>
      <c r="C6150"/>
      <c r="E6150"/>
    </row>
    <row r="6151" spans="2:5">
      <c r="B6151"/>
      <c r="C6151"/>
      <c r="E6151"/>
    </row>
    <row r="6152" spans="2:5">
      <c r="B6152"/>
      <c r="C6152"/>
      <c r="E6152"/>
    </row>
    <row r="6153" spans="2:5">
      <c r="B6153"/>
      <c r="C6153"/>
      <c r="E6153"/>
    </row>
    <row r="6154" spans="2:5">
      <c r="B6154"/>
      <c r="C6154"/>
      <c r="E6154"/>
    </row>
    <row r="6155" spans="2:5">
      <c r="B6155"/>
      <c r="C6155"/>
      <c r="E6155"/>
    </row>
    <row r="6156" spans="2:5">
      <c r="B6156"/>
      <c r="C6156"/>
      <c r="E6156"/>
    </row>
    <row r="6157" spans="2:5">
      <c r="B6157"/>
      <c r="C6157"/>
      <c r="E6157"/>
    </row>
    <row r="6158" spans="2:5">
      <c r="B6158"/>
      <c r="C6158"/>
      <c r="E6158"/>
    </row>
    <row r="6159" spans="2:5">
      <c r="B6159"/>
      <c r="C6159"/>
      <c r="E6159"/>
    </row>
    <row r="6160" spans="2:5">
      <c r="B6160"/>
      <c r="C6160"/>
      <c r="E6160"/>
    </row>
    <row r="6161" spans="2:5">
      <c r="B6161"/>
      <c r="C6161"/>
      <c r="E6161"/>
    </row>
    <row r="6162" spans="2:5">
      <c r="B6162"/>
      <c r="C6162"/>
      <c r="E6162"/>
    </row>
    <row r="6163" spans="2:5">
      <c r="B6163"/>
      <c r="C6163"/>
      <c r="E6163"/>
    </row>
    <row r="6164" spans="2:5">
      <c r="B6164"/>
      <c r="C6164"/>
      <c r="E6164"/>
    </row>
    <row r="6165" spans="2:5">
      <c r="B6165"/>
      <c r="C6165"/>
      <c r="E6165"/>
    </row>
    <row r="6166" spans="2:5">
      <c r="B6166"/>
      <c r="C6166"/>
      <c r="E6166"/>
    </row>
    <row r="6167" spans="2:5">
      <c r="B6167"/>
      <c r="C6167"/>
      <c r="E6167"/>
    </row>
    <row r="6168" spans="2:5">
      <c r="B6168"/>
      <c r="C6168"/>
      <c r="E6168"/>
    </row>
    <row r="6169" spans="2:5">
      <c r="B6169"/>
      <c r="C6169"/>
      <c r="E6169"/>
    </row>
    <row r="6170" spans="2:5">
      <c r="B6170"/>
      <c r="C6170"/>
      <c r="E6170"/>
    </row>
    <row r="6171" spans="2:5">
      <c r="B6171"/>
      <c r="C6171"/>
      <c r="E6171"/>
    </row>
    <row r="6172" spans="2:5">
      <c r="B6172"/>
      <c r="C6172"/>
      <c r="E6172"/>
    </row>
    <row r="6173" spans="2:5">
      <c r="B6173"/>
      <c r="C6173"/>
      <c r="E6173"/>
    </row>
    <row r="6174" spans="2:5">
      <c r="B6174"/>
      <c r="C6174"/>
      <c r="E6174"/>
    </row>
    <row r="6175" spans="2:5">
      <c r="B6175"/>
      <c r="C6175"/>
      <c r="E6175"/>
    </row>
    <row r="6176" spans="2:5">
      <c r="B6176"/>
      <c r="C6176"/>
      <c r="E6176"/>
    </row>
    <row r="6177" spans="2:5">
      <c r="B6177"/>
      <c r="C6177"/>
      <c r="E6177"/>
    </row>
    <row r="6178" spans="2:5">
      <c r="B6178"/>
      <c r="C6178"/>
      <c r="E6178"/>
    </row>
    <row r="6179" spans="2:5">
      <c r="B6179"/>
      <c r="C6179"/>
      <c r="E6179"/>
    </row>
    <row r="6180" spans="2:5">
      <c r="B6180"/>
      <c r="C6180"/>
      <c r="E6180"/>
    </row>
    <row r="6181" spans="2:5">
      <c r="B6181"/>
      <c r="C6181"/>
      <c r="E6181"/>
    </row>
    <row r="6182" spans="2:5">
      <c r="B6182"/>
      <c r="C6182"/>
      <c r="E6182"/>
    </row>
    <row r="6183" spans="2:5">
      <c r="B6183"/>
      <c r="C6183"/>
      <c r="E6183"/>
    </row>
    <row r="6184" spans="2:5">
      <c r="B6184"/>
      <c r="C6184"/>
      <c r="E6184"/>
    </row>
    <row r="6185" spans="2:5">
      <c r="B6185"/>
      <c r="C6185"/>
      <c r="E6185"/>
    </row>
    <row r="6186" spans="2:5">
      <c r="B6186"/>
      <c r="C6186"/>
      <c r="E6186"/>
    </row>
    <row r="6187" spans="2:5">
      <c r="B6187"/>
      <c r="C6187"/>
      <c r="E6187"/>
    </row>
    <row r="6188" spans="2:5">
      <c r="B6188"/>
      <c r="C6188"/>
      <c r="E6188"/>
    </row>
    <row r="6189" spans="2:5">
      <c r="B6189"/>
      <c r="C6189"/>
      <c r="E6189"/>
    </row>
    <row r="6190" spans="2:5">
      <c r="B6190"/>
      <c r="C6190"/>
      <c r="E6190"/>
    </row>
    <row r="6191" spans="2:5">
      <c r="B6191"/>
      <c r="C6191"/>
      <c r="E6191"/>
    </row>
    <row r="6192" spans="2:5">
      <c r="B6192"/>
      <c r="C6192"/>
      <c r="E6192"/>
    </row>
    <row r="6193" spans="2:5">
      <c r="B6193"/>
      <c r="C6193"/>
      <c r="E6193"/>
    </row>
    <row r="6194" spans="2:5">
      <c r="B6194"/>
      <c r="C6194"/>
      <c r="E6194"/>
    </row>
    <row r="6195" spans="2:5">
      <c r="B6195"/>
      <c r="C6195"/>
      <c r="E6195"/>
    </row>
    <row r="6196" spans="2:5">
      <c r="B6196"/>
      <c r="C6196"/>
      <c r="E6196"/>
    </row>
    <row r="6197" spans="2:5">
      <c r="B6197"/>
      <c r="C6197"/>
      <c r="E6197"/>
    </row>
    <row r="6198" spans="2:5">
      <c r="B6198"/>
      <c r="C6198"/>
      <c r="E6198"/>
    </row>
    <row r="6199" spans="2:5">
      <c r="B6199"/>
      <c r="C6199"/>
      <c r="E6199"/>
    </row>
    <row r="6200" spans="2:5">
      <c r="B6200"/>
      <c r="C6200"/>
      <c r="E6200"/>
    </row>
    <row r="6201" spans="2:5">
      <c r="B6201"/>
      <c r="C6201"/>
      <c r="E6201"/>
    </row>
    <row r="6202" spans="2:5">
      <c r="B6202"/>
      <c r="C6202"/>
      <c r="E6202"/>
    </row>
    <row r="6203" spans="2:5">
      <c r="B6203"/>
      <c r="C6203"/>
      <c r="E6203"/>
    </row>
    <row r="6204" spans="2:5">
      <c r="B6204"/>
      <c r="C6204"/>
      <c r="E6204"/>
    </row>
    <row r="6205" spans="2:5">
      <c r="B6205"/>
      <c r="C6205"/>
      <c r="E6205"/>
    </row>
    <row r="6206" spans="2:5">
      <c r="B6206"/>
      <c r="C6206"/>
      <c r="E6206"/>
    </row>
    <row r="6207" spans="2:5">
      <c r="B6207"/>
      <c r="C6207"/>
      <c r="E6207"/>
    </row>
    <row r="6208" spans="2:5">
      <c r="B6208"/>
      <c r="C6208"/>
      <c r="E6208"/>
    </row>
    <row r="6209" spans="2:5">
      <c r="B6209"/>
      <c r="C6209"/>
      <c r="E6209"/>
    </row>
    <row r="6210" spans="2:5">
      <c r="B6210"/>
      <c r="C6210"/>
      <c r="E6210"/>
    </row>
    <row r="6211" spans="2:5">
      <c r="B6211"/>
      <c r="C6211"/>
      <c r="E6211"/>
    </row>
    <row r="6212" spans="2:5">
      <c r="B6212"/>
      <c r="C6212"/>
      <c r="E6212"/>
    </row>
    <row r="6213" spans="2:5">
      <c r="B6213"/>
      <c r="C6213"/>
      <c r="E6213"/>
    </row>
    <row r="6214" spans="2:5">
      <c r="B6214"/>
      <c r="C6214"/>
      <c r="E6214"/>
    </row>
    <row r="6215" spans="2:5">
      <c r="B6215"/>
      <c r="C6215"/>
      <c r="E6215"/>
    </row>
    <row r="6216" spans="2:5">
      <c r="B6216"/>
      <c r="C6216"/>
      <c r="E6216"/>
    </row>
    <row r="6217" spans="2:5">
      <c r="B6217"/>
      <c r="C6217"/>
      <c r="E6217"/>
    </row>
    <row r="6218" spans="2:5">
      <c r="B6218"/>
      <c r="C6218"/>
      <c r="E6218"/>
    </row>
    <row r="6219" spans="2:5">
      <c r="B6219"/>
      <c r="C6219"/>
      <c r="E6219"/>
    </row>
    <row r="6220" spans="2:5">
      <c r="B6220"/>
      <c r="C6220"/>
      <c r="E6220"/>
    </row>
    <row r="6221" spans="2:5">
      <c r="B6221"/>
      <c r="C6221"/>
      <c r="E6221"/>
    </row>
    <row r="6222" spans="2:5">
      <c r="B6222"/>
      <c r="C6222"/>
      <c r="E6222"/>
    </row>
    <row r="6223" spans="2:5">
      <c r="B6223"/>
      <c r="C6223"/>
      <c r="E6223"/>
    </row>
    <row r="6224" spans="2:5">
      <c r="B6224"/>
      <c r="C6224"/>
      <c r="E6224"/>
    </row>
    <row r="6225" spans="2:5">
      <c r="B6225"/>
      <c r="C6225"/>
      <c r="E6225"/>
    </row>
    <row r="6226" spans="2:5">
      <c r="B6226"/>
      <c r="C6226"/>
      <c r="E6226"/>
    </row>
    <row r="6227" spans="2:5">
      <c r="B6227"/>
      <c r="C6227"/>
      <c r="E6227"/>
    </row>
    <row r="6228" spans="2:5">
      <c r="B6228"/>
      <c r="C6228"/>
      <c r="E6228"/>
    </row>
    <row r="6229" spans="2:5">
      <c r="B6229"/>
      <c r="C6229"/>
      <c r="E6229"/>
    </row>
    <row r="6230" spans="2:5">
      <c r="B6230"/>
      <c r="C6230"/>
      <c r="E6230"/>
    </row>
    <row r="6231" spans="2:5">
      <c r="B6231"/>
      <c r="C6231"/>
      <c r="E6231"/>
    </row>
    <row r="6232" spans="2:5">
      <c r="B6232"/>
      <c r="C6232"/>
      <c r="E6232"/>
    </row>
    <row r="6233" spans="2:5">
      <c r="B6233"/>
      <c r="C6233"/>
      <c r="E6233"/>
    </row>
    <row r="6234" spans="2:5">
      <c r="B6234"/>
      <c r="C6234"/>
      <c r="E6234"/>
    </row>
    <row r="6235" spans="2:5">
      <c r="B6235"/>
      <c r="C6235"/>
      <c r="E6235"/>
    </row>
    <row r="6236" spans="2:5">
      <c r="B6236"/>
      <c r="C6236"/>
      <c r="E6236"/>
    </row>
    <row r="6237" spans="2:5">
      <c r="B6237"/>
      <c r="C6237"/>
      <c r="E6237"/>
    </row>
    <row r="6238" spans="2:5">
      <c r="B6238"/>
      <c r="C6238"/>
      <c r="E6238"/>
    </row>
    <row r="6239" spans="2:5">
      <c r="B6239"/>
      <c r="C6239"/>
      <c r="E6239"/>
    </row>
    <row r="6240" spans="2:5">
      <c r="B6240"/>
      <c r="C6240"/>
      <c r="E6240"/>
    </row>
    <row r="6241" spans="2:5">
      <c r="B6241"/>
      <c r="C6241"/>
      <c r="E6241"/>
    </row>
    <row r="6242" spans="2:5">
      <c r="B6242"/>
      <c r="C6242"/>
      <c r="E6242"/>
    </row>
    <row r="6243" spans="2:5">
      <c r="B6243"/>
      <c r="C6243"/>
      <c r="E6243"/>
    </row>
    <row r="6244" spans="2:5">
      <c r="B6244"/>
      <c r="C6244"/>
      <c r="E6244"/>
    </row>
    <row r="6245" spans="2:5">
      <c r="B6245"/>
      <c r="C6245"/>
      <c r="E6245"/>
    </row>
    <row r="6246" spans="2:5">
      <c r="B6246"/>
      <c r="C6246"/>
      <c r="E6246"/>
    </row>
    <row r="6247" spans="2:5">
      <c r="B6247"/>
      <c r="C6247"/>
      <c r="E6247"/>
    </row>
    <row r="6248" spans="2:5">
      <c r="B6248"/>
      <c r="C6248"/>
      <c r="E6248"/>
    </row>
    <row r="6249" spans="2:5">
      <c r="B6249"/>
      <c r="C6249"/>
      <c r="E6249"/>
    </row>
    <row r="6250" spans="2:5">
      <c r="B6250"/>
      <c r="C6250"/>
      <c r="E6250"/>
    </row>
    <row r="6251" spans="2:5">
      <c r="B6251"/>
      <c r="C6251"/>
      <c r="E6251"/>
    </row>
    <row r="6252" spans="2:5">
      <c r="B6252"/>
      <c r="C6252"/>
      <c r="E6252"/>
    </row>
    <row r="6253" spans="2:5">
      <c r="B6253"/>
      <c r="C6253"/>
      <c r="E6253"/>
    </row>
    <row r="6254" spans="2:5">
      <c r="B6254"/>
      <c r="C6254"/>
      <c r="E6254"/>
    </row>
    <row r="6255" spans="2:5">
      <c r="B6255"/>
      <c r="C6255"/>
      <c r="E6255"/>
    </row>
    <row r="6256" spans="2:5">
      <c r="B6256"/>
      <c r="C6256"/>
      <c r="E6256"/>
    </row>
    <row r="6257" spans="2:5">
      <c r="B6257"/>
      <c r="C6257"/>
      <c r="E6257"/>
    </row>
    <row r="6258" spans="2:5">
      <c r="B6258"/>
      <c r="C6258"/>
      <c r="E6258"/>
    </row>
    <row r="6259" spans="2:5">
      <c r="B6259"/>
      <c r="C6259"/>
      <c r="E6259"/>
    </row>
    <row r="6260" spans="2:5">
      <c r="B6260"/>
      <c r="C6260"/>
      <c r="E6260"/>
    </row>
    <row r="6261" spans="2:5">
      <c r="B6261"/>
      <c r="C6261"/>
      <c r="E6261"/>
    </row>
    <row r="6262" spans="2:5">
      <c r="B6262"/>
      <c r="C6262"/>
      <c r="E6262"/>
    </row>
    <row r="6263" spans="2:5">
      <c r="B6263"/>
      <c r="C6263"/>
      <c r="E6263"/>
    </row>
    <row r="6264" spans="2:5">
      <c r="B6264"/>
      <c r="C6264"/>
      <c r="E6264"/>
    </row>
    <row r="6265" spans="2:5">
      <c r="B6265"/>
      <c r="C6265"/>
      <c r="E6265"/>
    </row>
    <row r="6266" spans="2:5">
      <c r="B6266"/>
      <c r="C6266"/>
      <c r="E6266"/>
    </row>
    <row r="6267" spans="2:5">
      <c r="B6267"/>
      <c r="C6267"/>
      <c r="E6267"/>
    </row>
    <row r="6268" spans="2:5">
      <c r="B6268"/>
      <c r="C6268"/>
      <c r="E6268"/>
    </row>
    <row r="6269" spans="2:5">
      <c r="B6269"/>
      <c r="C6269"/>
      <c r="E6269"/>
    </row>
    <row r="6270" spans="2:5">
      <c r="B6270"/>
      <c r="C6270"/>
      <c r="E6270"/>
    </row>
    <row r="6271" spans="2:5">
      <c r="B6271"/>
      <c r="C6271"/>
      <c r="E6271"/>
    </row>
    <row r="6272" spans="2:5">
      <c r="B6272"/>
      <c r="C6272"/>
      <c r="E6272"/>
    </row>
    <row r="6273" spans="2:5">
      <c r="B6273"/>
      <c r="C6273"/>
      <c r="E6273"/>
    </row>
    <row r="6274" spans="2:5">
      <c r="B6274"/>
      <c r="C6274"/>
      <c r="E6274"/>
    </row>
    <row r="6275" spans="2:5">
      <c r="B6275"/>
      <c r="C6275"/>
      <c r="E6275"/>
    </row>
    <row r="6276" spans="2:5">
      <c r="B6276"/>
      <c r="C6276"/>
      <c r="E6276"/>
    </row>
    <row r="6277" spans="2:5">
      <c r="B6277"/>
      <c r="C6277"/>
      <c r="E6277"/>
    </row>
    <row r="6278" spans="2:5">
      <c r="B6278"/>
      <c r="C6278"/>
      <c r="E6278"/>
    </row>
    <row r="6279" spans="2:5">
      <c r="B6279"/>
      <c r="C6279"/>
      <c r="E6279"/>
    </row>
    <row r="6280" spans="2:5">
      <c r="B6280"/>
      <c r="C6280"/>
      <c r="E6280"/>
    </row>
    <row r="6281" spans="2:5">
      <c r="B6281"/>
      <c r="C6281"/>
      <c r="E6281"/>
    </row>
    <row r="6282" spans="2:5">
      <c r="B6282"/>
      <c r="C6282"/>
      <c r="E6282"/>
    </row>
    <row r="6283" spans="2:5">
      <c r="B6283"/>
      <c r="C6283"/>
      <c r="E6283"/>
    </row>
    <row r="6284" spans="2:5">
      <c r="B6284"/>
      <c r="C6284"/>
      <c r="E6284"/>
    </row>
    <row r="6285" spans="2:5">
      <c r="B6285"/>
      <c r="C6285"/>
      <c r="E6285"/>
    </row>
    <row r="6286" spans="2:5">
      <c r="B6286"/>
      <c r="C6286"/>
      <c r="E6286"/>
    </row>
    <row r="6287" spans="2:5">
      <c r="B6287"/>
      <c r="C6287"/>
      <c r="E6287"/>
    </row>
    <row r="6288" spans="2:5">
      <c r="B6288"/>
      <c r="C6288"/>
      <c r="E6288"/>
    </row>
    <row r="6289" spans="2:5">
      <c r="B6289"/>
      <c r="C6289"/>
      <c r="E6289"/>
    </row>
    <row r="6290" spans="2:5">
      <c r="B6290"/>
      <c r="C6290"/>
      <c r="E6290"/>
    </row>
    <row r="6291" spans="2:5">
      <c r="B6291"/>
      <c r="C6291"/>
      <c r="E6291"/>
    </row>
    <row r="6292" spans="2:5">
      <c r="B6292"/>
      <c r="C6292"/>
      <c r="E6292"/>
    </row>
    <row r="6293" spans="2:5">
      <c r="B6293"/>
      <c r="C6293"/>
      <c r="E6293"/>
    </row>
    <row r="6294" spans="2:5">
      <c r="B6294"/>
      <c r="C6294"/>
      <c r="E6294"/>
    </row>
    <row r="6295" spans="2:5">
      <c r="B6295"/>
      <c r="C6295"/>
      <c r="E6295"/>
    </row>
    <row r="6296" spans="2:5">
      <c r="B6296"/>
      <c r="C6296"/>
      <c r="E6296"/>
    </row>
    <row r="6297" spans="2:5">
      <c r="B6297"/>
      <c r="C6297"/>
      <c r="E6297"/>
    </row>
    <row r="6298" spans="2:5">
      <c r="B6298"/>
      <c r="C6298"/>
      <c r="E6298"/>
    </row>
    <row r="6299" spans="2:5">
      <c r="B6299"/>
      <c r="C6299"/>
      <c r="E6299"/>
    </row>
    <row r="6300" spans="2:5">
      <c r="B6300"/>
      <c r="C6300"/>
      <c r="E6300"/>
    </row>
    <row r="6301" spans="2:5">
      <c r="B6301"/>
      <c r="C6301"/>
      <c r="E6301"/>
    </row>
    <row r="6302" spans="2:5">
      <c r="B6302"/>
      <c r="C6302"/>
      <c r="E6302"/>
    </row>
    <row r="6303" spans="2:5">
      <c r="B6303"/>
      <c r="C6303"/>
      <c r="E6303"/>
    </row>
    <row r="6304" spans="2:5">
      <c r="B6304"/>
      <c r="C6304"/>
      <c r="E6304"/>
    </row>
    <row r="6305" spans="2:5">
      <c r="B6305"/>
      <c r="C6305"/>
      <c r="E6305"/>
    </row>
    <row r="6306" spans="2:5">
      <c r="B6306"/>
      <c r="C6306"/>
      <c r="E6306"/>
    </row>
    <row r="6307" spans="2:5">
      <c r="B6307"/>
      <c r="C6307"/>
      <c r="E6307"/>
    </row>
    <row r="6308" spans="2:5">
      <c r="B6308"/>
      <c r="C6308"/>
      <c r="E6308"/>
    </row>
    <row r="6309" spans="2:5">
      <c r="B6309"/>
      <c r="C6309"/>
      <c r="E6309"/>
    </row>
    <row r="6310" spans="2:5">
      <c r="B6310"/>
      <c r="C6310"/>
      <c r="E6310"/>
    </row>
    <row r="6311" spans="2:5">
      <c r="B6311"/>
      <c r="C6311"/>
      <c r="E6311"/>
    </row>
    <row r="6312" spans="2:5">
      <c r="B6312"/>
      <c r="C6312"/>
      <c r="E6312"/>
    </row>
    <row r="6313" spans="2:5">
      <c r="B6313"/>
      <c r="C6313"/>
      <c r="E6313"/>
    </row>
    <row r="6314" spans="2:5">
      <c r="B6314"/>
      <c r="C6314"/>
      <c r="E6314"/>
    </row>
    <row r="6315" spans="2:5">
      <c r="B6315"/>
      <c r="C6315"/>
      <c r="E6315"/>
    </row>
    <row r="6316" spans="2:5">
      <c r="B6316"/>
      <c r="C6316"/>
      <c r="E6316"/>
    </row>
    <row r="6317" spans="2:5">
      <c r="B6317"/>
      <c r="C6317"/>
      <c r="E6317"/>
    </row>
    <row r="6318" spans="2:5">
      <c r="B6318"/>
      <c r="C6318"/>
      <c r="E6318"/>
    </row>
    <row r="6319" spans="2:5">
      <c r="B6319"/>
      <c r="C6319"/>
      <c r="E6319"/>
    </row>
    <row r="6320" spans="2:5">
      <c r="B6320"/>
      <c r="C6320"/>
      <c r="E6320"/>
    </row>
    <row r="6321" spans="2:5">
      <c r="B6321"/>
      <c r="C6321"/>
      <c r="E6321"/>
    </row>
    <row r="6322" spans="2:5">
      <c r="B6322"/>
      <c r="C6322"/>
      <c r="E6322"/>
    </row>
    <row r="6323" spans="2:5">
      <c r="B6323"/>
      <c r="C6323"/>
      <c r="E6323"/>
    </row>
    <row r="6324" spans="2:5">
      <c r="B6324"/>
      <c r="C6324"/>
      <c r="E6324"/>
    </row>
    <row r="6325" spans="2:5">
      <c r="B6325"/>
      <c r="C6325"/>
      <c r="E6325"/>
    </row>
    <row r="6326" spans="2:5">
      <c r="B6326"/>
      <c r="C6326"/>
      <c r="E6326"/>
    </row>
    <row r="6327" spans="2:5">
      <c r="B6327"/>
      <c r="C6327"/>
      <c r="E6327"/>
    </row>
    <row r="6328" spans="2:5">
      <c r="B6328"/>
      <c r="C6328"/>
      <c r="E6328"/>
    </row>
    <row r="6329" spans="2:5">
      <c r="B6329"/>
      <c r="C6329"/>
      <c r="E6329"/>
    </row>
    <row r="6330" spans="2:5">
      <c r="B6330"/>
      <c r="C6330"/>
      <c r="E6330"/>
    </row>
    <row r="6331" spans="2:5">
      <c r="B6331"/>
      <c r="C6331"/>
      <c r="E6331"/>
    </row>
    <row r="6332" spans="2:5">
      <c r="B6332"/>
      <c r="C6332"/>
      <c r="E6332"/>
    </row>
    <row r="6333" spans="2:5">
      <c r="B6333"/>
      <c r="C6333"/>
      <c r="E6333"/>
    </row>
    <row r="6334" spans="2:5">
      <c r="B6334"/>
      <c r="C6334"/>
      <c r="E6334"/>
    </row>
    <row r="6335" spans="2:5">
      <c r="B6335"/>
      <c r="C6335"/>
      <c r="E6335"/>
    </row>
    <row r="6336" spans="2:5">
      <c r="B6336"/>
      <c r="C6336"/>
      <c r="E6336"/>
    </row>
    <row r="6337" spans="2:5">
      <c r="B6337"/>
      <c r="C6337"/>
      <c r="E6337"/>
    </row>
    <row r="6338" spans="2:5">
      <c r="B6338"/>
      <c r="C6338"/>
      <c r="E6338"/>
    </row>
    <row r="6339" spans="2:5">
      <c r="B6339"/>
      <c r="C6339"/>
      <c r="E6339"/>
    </row>
    <row r="6340" spans="2:5">
      <c r="B6340"/>
      <c r="C6340"/>
      <c r="E6340"/>
    </row>
    <row r="6341" spans="2:5">
      <c r="B6341"/>
      <c r="C6341"/>
      <c r="E6341"/>
    </row>
    <row r="6342" spans="2:5">
      <c r="B6342"/>
      <c r="C6342"/>
      <c r="E6342"/>
    </row>
    <row r="6343" spans="2:5">
      <c r="B6343"/>
      <c r="C6343"/>
      <c r="E6343"/>
    </row>
    <row r="6344" spans="2:5">
      <c r="B6344"/>
      <c r="C6344"/>
      <c r="E6344"/>
    </row>
    <row r="6345" spans="2:5">
      <c r="B6345"/>
      <c r="C6345"/>
      <c r="E6345"/>
    </row>
    <row r="6346" spans="2:5">
      <c r="B6346"/>
      <c r="C6346"/>
      <c r="E6346"/>
    </row>
    <row r="6347" spans="2:5">
      <c r="B6347"/>
      <c r="C6347"/>
      <c r="E6347"/>
    </row>
    <row r="6348" spans="2:5">
      <c r="B6348"/>
      <c r="C6348"/>
      <c r="E6348"/>
    </row>
    <row r="6349" spans="2:5">
      <c r="B6349"/>
      <c r="C6349"/>
      <c r="E6349"/>
    </row>
    <row r="6350" spans="2:5">
      <c r="B6350"/>
      <c r="C6350"/>
      <c r="E6350"/>
    </row>
    <row r="6351" spans="2:5">
      <c r="B6351"/>
      <c r="C6351"/>
      <c r="E6351"/>
    </row>
    <row r="6352" spans="2:5">
      <c r="B6352"/>
      <c r="C6352"/>
      <c r="E6352"/>
    </row>
    <row r="6353" spans="2:5">
      <c r="B6353"/>
      <c r="C6353"/>
      <c r="E6353"/>
    </row>
    <row r="6354" spans="2:5">
      <c r="B6354"/>
      <c r="C6354"/>
      <c r="E6354"/>
    </row>
    <row r="6355" spans="2:5">
      <c r="B6355"/>
      <c r="C6355"/>
      <c r="E6355"/>
    </row>
    <row r="6356" spans="2:5">
      <c r="B6356"/>
      <c r="C6356"/>
      <c r="E6356"/>
    </row>
    <row r="6357" spans="2:5">
      <c r="B6357"/>
      <c r="C6357"/>
      <c r="E6357"/>
    </row>
    <row r="6358" spans="2:5">
      <c r="B6358"/>
      <c r="C6358"/>
      <c r="E6358"/>
    </row>
    <row r="6359" spans="2:5">
      <c r="B6359"/>
      <c r="C6359"/>
      <c r="E6359"/>
    </row>
    <row r="6360" spans="2:5">
      <c r="B6360"/>
      <c r="C6360"/>
      <c r="E6360"/>
    </row>
    <row r="6361" spans="2:5">
      <c r="B6361"/>
      <c r="C6361"/>
      <c r="E6361"/>
    </row>
    <row r="6362" spans="2:5">
      <c r="B6362"/>
      <c r="C6362"/>
      <c r="E6362"/>
    </row>
    <row r="6363" spans="2:5">
      <c r="B6363"/>
      <c r="C6363"/>
      <c r="E6363"/>
    </row>
    <row r="6364" spans="2:5">
      <c r="B6364"/>
      <c r="C6364"/>
      <c r="E6364"/>
    </row>
    <row r="6365" spans="2:5">
      <c r="B6365"/>
      <c r="C6365"/>
      <c r="E6365"/>
    </row>
    <row r="6366" spans="2:5">
      <c r="B6366"/>
      <c r="C6366"/>
      <c r="E6366"/>
    </row>
    <row r="6367" spans="2:5">
      <c r="B6367"/>
      <c r="C6367"/>
      <c r="E6367"/>
    </row>
    <row r="6368" spans="2:5">
      <c r="B6368"/>
      <c r="C6368"/>
      <c r="E6368"/>
    </row>
    <row r="6369" spans="2:5">
      <c r="B6369"/>
      <c r="C6369"/>
      <c r="E6369"/>
    </row>
    <row r="6370" spans="2:5">
      <c r="B6370"/>
      <c r="C6370"/>
      <c r="E6370"/>
    </row>
    <row r="6371" spans="2:5">
      <c r="B6371"/>
      <c r="C6371"/>
      <c r="E6371"/>
    </row>
    <row r="6372" spans="2:5">
      <c r="B6372"/>
      <c r="C6372"/>
      <c r="E6372"/>
    </row>
    <row r="6373" spans="2:5">
      <c r="B6373"/>
      <c r="C6373"/>
      <c r="E6373"/>
    </row>
    <row r="6374" spans="2:5">
      <c r="B6374"/>
      <c r="C6374"/>
      <c r="E6374"/>
    </row>
    <row r="6375" spans="2:5">
      <c r="B6375"/>
      <c r="C6375"/>
      <c r="E6375"/>
    </row>
    <row r="6376" spans="2:5">
      <c r="B6376"/>
      <c r="C6376"/>
      <c r="E6376"/>
    </row>
    <row r="6377" spans="2:5">
      <c r="B6377"/>
      <c r="C6377"/>
      <c r="E6377"/>
    </row>
    <row r="6378" spans="2:5">
      <c r="B6378"/>
      <c r="C6378"/>
      <c r="E6378"/>
    </row>
    <row r="6379" spans="2:5">
      <c r="B6379"/>
      <c r="C6379"/>
      <c r="E6379"/>
    </row>
    <row r="6380" spans="2:5">
      <c r="B6380"/>
      <c r="C6380"/>
      <c r="E6380"/>
    </row>
    <row r="6381" spans="2:5">
      <c r="B6381"/>
      <c r="C6381"/>
      <c r="E6381"/>
    </row>
    <row r="6382" spans="2:5">
      <c r="B6382"/>
      <c r="C6382"/>
      <c r="E6382"/>
    </row>
    <row r="6383" spans="2:5">
      <c r="B6383"/>
      <c r="C6383"/>
      <c r="E6383"/>
    </row>
    <row r="6384" spans="2:5">
      <c r="B6384"/>
      <c r="C6384"/>
      <c r="E6384"/>
    </row>
    <row r="6385" spans="2:5">
      <c r="B6385"/>
      <c r="C6385"/>
      <c r="E6385"/>
    </row>
    <row r="6386" spans="2:5">
      <c r="B6386"/>
      <c r="C6386"/>
      <c r="E6386"/>
    </row>
    <row r="6387" spans="2:5">
      <c r="B6387"/>
      <c r="C6387"/>
      <c r="E6387"/>
    </row>
    <row r="6388" spans="2:5">
      <c r="B6388"/>
      <c r="C6388"/>
      <c r="E6388"/>
    </row>
    <row r="6389" spans="2:5">
      <c r="B6389"/>
      <c r="C6389"/>
      <c r="E6389"/>
    </row>
    <row r="6390" spans="2:5">
      <c r="B6390"/>
      <c r="C6390"/>
      <c r="E6390"/>
    </row>
    <row r="6391" spans="2:5">
      <c r="B6391"/>
      <c r="C6391"/>
      <c r="E6391"/>
    </row>
    <row r="6392" spans="2:5">
      <c r="B6392"/>
      <c r="C6392"/>
      <c r="E6392"/>
    </row>
    <row r="6393" spans="2:5">
      <c r="B6393"/>
      <c r="C6393"/>
      <c r="E6393"/>
    </row>
    <row r="6394" spans="2:5">
      <c r="B6394"/>
      <c r="C6394"/>
      <c r="E6394"/>
    </row>
    <row r="6395" spans="2:5">
      <c r="B6395"/>
      <c r="C6395"/>
      <c r="E6395"/>
    </row>
    <row r="6396" spans="2:5">
      <c r="B6396"/>
      <c r="C6396"/>
      <c r="E6396"/>
    </row>
    <row r="6397" spans="2:5">
      <c r="B6397"/>
      <c r="C6397"/>
      <c r="E6397"/>
    </row>
    <row r="6398" spans="2:5">
      <c r="B6398"/>
      <c r="C6398"/>
      <c r="E6398"/>
    </row>
    <row r="6399" spans="2:5">
      <c r="B6399"/>
      <c r="C6399"/>
      <c r="E6399"/>
    </row>
    <row r="6400" spans="2:5">
      <c r="B6400"/>
      <c r="C6400"/>
      <c r="E6400"/>
    </row>
    <row r="6401" spans="2:5">
      <c r="B6401"/>
      <c r="C6401"/>
      <c r="E6401"/>
    </row>
    <row r="6402" spans="2:5">
      <c r="B6402"/>
      <c r="C6402"/>
      <c r="E6402"/>
    </row>
    <row r="6403" spans="2:5">
      <c r="B6403"/>
      <c r="C6403"/>
      <c r="E6403"/>
    </row>
    <row r="6404" spans="2:5">
      <c r="B6404"/>
      <c r="C6404"/>
      <c r="E6404"/>
    </row>
    <row r="6405" spans="2:5">
      <c r="B6405"/>
      <c r="C6405"/>
      <c r="E6405"/>
    </row>
    <row r="6406" spans="2:5">
      <c r="B6406"/>
      <c r="C6406"/>
      <c r="E6406"/>
    </row>
    <row r="6407" spans="2:5">
      <c r="B6407"/>
      <c r="C6407"/>
      <c r="E6407"/>
    </row>
    <row r="6408" spans="2:5">
      <c r="B6408"/>
      <c r="C6408"/>
      <c r="E6408"/>
    </row>
    <row r="6409" spans="2:5">
      <c r="B6409"/>
      <c r="C6409"/>
      <c r="E6409"/>
    </row>
    <row r="6410" spans="2:5">
      <c r="B6410"/>
      <c r="C6410"/>
      <c r="E6410"/>
    </row>
    <row r="6411" spans="2:5">
      <c r="B6411"/>
      <c r="C6411"/>
      <c r="E6411"/>
    </row>
    <row r="6412" spans="2:5">
      <c r="B6412"/>
      <c r="C6412"/>
      <c r="E6412"/>
    </row>
    <row r="6413" spans="2:5">
      <c r="B6413"/>
      <c r="C6413"/>
      <c r="E6413"/>
    </row>
    <row r="6414" spans="2:5">
      <c r="B6414"/>
      <c r="C6414"/>
      <c r="E6414"/>
    </row>
    <row r="6415" spans="2:5">
      <c r="B6415"/>
      <c r="C6415"/>
      <c r="E6415"/>
    </row>
    <row r="6416" spans="2:5">
      <c r="B6416"/>
      <c r="C6416"/>
      <c r="E6416"/>
    </row>
    <row r="6417" spans="2:5">
      <c r="B6417"/>
      <c r="C6417"/>
      <c r="E6417"/>
    </row>
    <row r="6418" spans="2:5">
      <c r="B6418"/>
      <c r="C6418"/>
      <c r="E6418"/>
    </row>
    <row r="6419" spans="2:5">
      <c r="B6419"/>
      <c r="C6419"/>
      <c r="E6419"/>
    </row>
    <row r="6420" spans="2:5">
      <c r="B6420"/>
      <c r="C6420"/>
      <c r="E6420"/>
    </row>
    <row r="6421" spans="2:5">
      <c r="B6421"/>
      <c r="C6421"/>
      <c r="E6421"/>
    </row>
    <row r="6422" spans="2:5">
      <c r="B6422"/>
      <c r="C6422"/>
      <c r="E6422"/>
    </row>
    <row r="6423" spans="2:5">
      <c r="B6423"/>
      <c r="C6423"/>
      <c r="E6423"/>
    </row>
    <row r="6424" spans="2:5">
      <c r="B6424"/>
      <c r="C6424"/>
      <c r="E6424"/>
    </row>
    <row r="6425" spans="2:5">
      <c r="B6425"/>
      <c r="C6425"/>
      <c r="E6425"/>
    </row>
    <row r="6426" spans="2:5">
      <c r="B6426"/>
      <c r="C6426"/>
      <c r="E6426"/>
    </row>
    <row r="6427" spans="2:5">
      <c r="B6427"/>
      <c r="C6427"/>
      <c r="E6427"/>
    </row>
    <row r="6428" spans="2:5">
      <c r="B6428"/>
      <c r="C6428"/>
      <c r="E6428"/>
    </row>
    <row r="6429" spans="2:5">
      <c r="B6429"/>
      <c r="C6429"/>
      <c r="E6429"/>
    </row>
    <row r="6430" spans="2:5">
      <c r="B6430"/>
      <c r="C6430"/>
      <c r="E6430"/>
    </row>
    <row r="6431" spans="2:5">
      <c r="B6431"/>
      <c r="C6431"/>
      <c r="E6431"/>
    </row>
    <row r="6432" spans="2:5">
      <c r="B6432"/>
      <c r="C6432"/>
      <c r="E6432"/>
    </row>
    <row r="6433" spans="2:5">
      <c r="B6433"/>
      <c r="C6433"/>
      <c r="E6433"/>
    </row>
    <row r="6434" spans="2:5">
      <c r="B6434"/>
      <c r="C6434"/>
      <c r="E6434"/>
    </row>
    <row r="6435" spans="2:5">
      <c r="B6435"/>
      <c r="C6435"/>
      <c r="E6435"/>
    </row>
    <row r="6436" spans="2:5">
      <c r="B6436"/>
      <c r="C6436"/>
      <c r="E6436"/>
    </row>
    <row r="6437" spans="2:5">
      <c r="B6437"/>
      <c r="C6437"/>
      <c r="E6437"/>
    </row>
    <row r="6438" spans="2:5">
      <c r="B6438"/>
      <c r="C6438"/>
      <c r="E6438"/>
    </row>
    <row r="6439" spans="2:5">
      <c r="B6439"/>
      <c r="C6439"/>
      <c r="E6439"/>
    </row>
    <row r="6440" spans="2:5">
      <c r="B6440"/>
      <c r="C6440"/>
      <c r="E6440"/>
    </row>
    <row r="6441" spans="2:5">
      <c r="B6441"/>
      <c r="C6441"/>
      <c r="E6441"/>
    </row>
    <row r="6442" spans="2:5">
      <c r="B6442"/>
      <c r="C6442"/>
      <c r="E6442"/>
    </row>
    <row r="6443" spans="2:5">
      <c r="B6443"/>
      <c r="C6443"/>
      <c r="E6443"/>
    </row>
    <row r="6444" spans="2:5">
      <c r="B6444"/>
      <c r="C6444"/>
      <c r="E6444"/>
    </row>
    <row r="6445" spans="2:5">
      <c r="B6445"/>
      <c r="C6445"/>
      <c r="E6445"/>
    </row>
    <row r="6446" spans="2:5">
      <c r="B6446"/>
      <c r="C6446"/>
      <c r="E6446"/>
    </row>
    <row r="6447" spans="2:5">
      <c r="B6447"/>
      <c r="C6447"/>
      <c r="E6447"/>
    </row>
    <row r="6448" spans="2:5">
      <c r="B6448"/>
      <c r="C6448"/>
      <c r="E6448"/>
    </row>
    <row r="6449" spans="2:5">
      <c r="B6449"/>
      <c r="C6449"/>
      <c r="E6449"/>
    </row>
    <row r="6450" spans="2:5">
      <c r="B6450"/>
      <c r="C6450"/>
      <c r="E6450"/>
    </row>
    <row r="6451" spans="2:5">
      <c r="B6451"/>
      <c r="C6451"/>
      <c r="E6451"/>
    </row>
    <row r="6452" spans="2:5">
      <c r="B6452"/>
      <c r="C6452"/>
      <c r="E6452"/>
    </row>
    <row r="6453" spans="2:5">
      <c r="B6453"/>
      <c r="C6453"/>
      <c r="E6453"/>
    </row>
    <row r="6454" spans="2:5">
      <c r="B6454"/>
      <c r="C6454"/>
      <c r="E6454"/>
    </row>
    <row r="6455" spans="2:5">
      <c r="B6455"/>
      <c r="C6455"/>
      <c r="E6455"/>
    </row>
    <row r="6456" spans="2:5">
      <c r="B6456"/>
      <c r="C6456"/>
      <c r="E6456"/>
    </row>
    <row r="6457" spans="2:5">
      <c r="B6457"/>
      <c r="C6457"/>
      <c r="E6457"/>
    </row>
    <row r="6458" spans="2:5">
      <c r="B6458"/>
      <c r="C6458"/>
      <c r="E6458"/>
    </row>
    <row r="6459" spans="2:5">
      <c r="B6459"/>
      <c r="C6459"/>
      <c r="E6459"/>
    </row>
    <row r="6460" spans="2:5">
      <c r="B6460"/>
      <c r="C6460"/>
      <c r="E6460"/>
    </row>
    <row r="6461" spans="2:5">
      <c r="B6461"/>
      <c r="C6461"/>
      <c r="E6461"/>
    </row>
    <row r="6462" spans="2:5">
      <c r="B6462"/>
      <c r="C6462"/>
      <c r="E6462"/>
    </row>
    <row r="6463" spans="2:5">
      <c r="B6463"/>
      <c r="C6463"/>
      <c r="E6463"/>
    </row>
    <row r="6464" spans="2:5">
      <c r="B6464"/>
      <c r="C6464"/>
      <c r="E6464"/>
    </row>
    <row r="6465" spans="2:5">
      <c r="B6465"/>
      <c r="C6465"/>
      <c r="E6465"/>
    </row>
    <row r="6466" spans="2:5">
      <c r="B6466"/>
      <c r="C6466"/>
      <c r="E6466"/>
    </row>
    <row r="6467" spans="2:5">
      <c r="B6467"/>
      <c r="C6467"/>
      <c r="E6467"/>
    </row>
    <row r="6468" spans="2:5">
      <c r="B6468"/>
      <c r="C6468"/>
      <c r="E6468"/>
    </row>
    <row r="6469" spans="2:5">
      <c r="B6469"/>
      <c r="C6469"/>
      <c r="E6469"/>
    </row>
    <row r="6470" spans="2:5">
      <c r="B6470"/>
      <c r="C6470"/>
      <c r="E6470"/>
    </row>
    <row r="6471" spans="2:5">
      <c r="B6471"/>
      <c r="C6471"/>
      <c r="E6471"/>
    </row>
    <row r="6472" spans="2:5">
      <c r="B6472"/>
      <c r="C6472"/>
      <c r="E6472"/>
    </row>
    <row r="6473" spans="2:5">
      <c r="B6473"/>
      <c r="C6473"/>
      <c r="E6473"/>
    </row>
    <row r="6474" spans="2:5">
      <c r="B6474"/>
      <c r="C6474"/>
      <c r="E6474"/>
    </row>
    <row r="6475" spans="2:5">
      <c r="B6475"/>
      <c r="C6475"/>
      <c r="E6475"/>
    </row>
    <row r="6476" spans="2:5">
      <c r="B6476"/>
      <c r="C6476"/>
      <c r="E6476"/>
    </row>
    <row r="6477" spans="2:5">
      <c r="B6477"/>
      <c r="C6477"/>
      <c r="E6477"/>
    </row>
    <row r="6478" spans="2:5">
      <c r="B6478"/>
      <c r="C6478"/>
      <c r="E6478"/>
    </row>
    <row r="6479" spans="2:5">
      <c r="B6479"/>
      <c r="C6479"/>
      <c r="E6479"/>
    </row>
    <row r="6480" spans="2:5">
      <c r="B6480"/>
      <c r="C6480"/>
      <c r="E6480"/>
    </row>
    <row r="6481" spans="2:5">
      <c r="B6481"/>
      <c r="C6481"/>
      <c r="E6481"/>
    </row>
    <row r="6482" spans="2:5">
      <c r="B6482"/>
      <c r="C6482"/>
      <c r="E6482"/>
    </row>
    <row r="6483" spans="2:5">
      <c r="B6483"/>
      <c r="C6483"/>
      <c r="E6483"/>
    </row>
    <row r="6484" spans="2:5">
      <c r="B6484"/>
      <c r="C6484"/>
      <c r="E6484"/>
    </row>
    <row r="6485" spans="2:5">
      <c r="B6485"/>
      <c r="C6485"/>
      <c r="E6485"/>
    </row>
    <row r="6486" spans="2:5">
      <c r="B6486"/>
      <c r="C6486"/>
      <c r="E6486"/>
    </row>
    <row r="6487" spans="2:5">
      <c r="B6487"/>
      <c r="C6487"/>
      <c r="E6487"/>
    </row>
    <row r="6488" spans="2:5">
      <c r="B6488"/>
      <c r="C6488"/>
      <c r="E6488"/>
    </row>
    <row r="6489" spans="2:5">
      <c r="B6489"/>
      <c r="C6489"/>
      <c r="E6489"/>
    </row>
    <row r="6490" spans="2:5">
      <c r="B6490"/>
      <c r="C6490"/>
      <c r="E6490"/>
    </row>
    <row r="6491" spans="2:5">
      <c r="B6491"/>
      <c r="C6491"/>
      <c r="E6491"/>
    </row>
    <row r="6492" spans="2:5">
      <c r="B6492"/>
      <c r="C6492"/>
      <c r="E6492"/>
    </row>
    <row r="6493" spans="2:5">
      <c r="B6493"/>
      <c r="C6493"/>
      <c r="E6493"/>
    </row>
    <row r="6494" spans="2:5">
      <c r="B6494"/>
      <c r="C6494"/>
      <c r="E6494"/>
    </row>
    <row r="6495" spans="2:5">
      <c r="B6495"/>
      <c r="C6495"/>
      <c r="E6495"/>
    </row>
    <row r="6496" spans="2:5">
      <c r="B6496"/>
      <c r="C6496"/>
      <c r="E6496"/>
    </row>
    <row r="6497" spans="2:5">
      <c r="B6497"/>
      <c r="C6497"/>
      <c r="E6497"/>
    </row>
    <row r="6498" spans="2:5">
      <c r="B6498"/>
      <c r="C6498"/>
      <c r="E6498"/>
    </row>
    <row r="6499" spans="2:5">
      <c r="B6499"/>
      <c r="C6499"/>
      <c r="E6499"/>
    </row>
    <row r="6500" spans="2:5">
      <c r="B6500"/>
      <c r="C6500"/>
      <c r="E6500"/>
    </row>
    <row r="6501" spans="2:5">
      <c r="B6501"/>
      <c r="C6501"/>
      <c r="E6501"/>
    </row>
    <row r="6502" spans="2:5">
      <c r="B6502"/>
      <c r="C6502"/>
      <c r="E6502"/>
    </row>
    <row r="6503" spans="2:5">
      <c r="B6503"/>
      <c r="C6503"/>
      <c r="E6503"/>
    </row>
    <row r="6504" spans="2:5">
      <c r="B6504"/>
      <c r="C6504"/>
      <c r="E6504"/>
    </row>
    <row r="6505" spans="2:5">
      <c r="B6505"/>
      <c r="C6505"/>
      <c r="E6505"/>
    </row>
    <row r="6506" spans="2:5">
      <c r="B6506"/>
      <c r="C6506"/>
      <c r="E6506"/>
    </row>
    <row r="6507" spans="2:5">
      <c r="B6507"/>
      <c r="C6507"/>
      <c r="E6507"/>
    </row>
    <row r="6508" spans="2:5">
      <c r="B6508"/>
      <c r="C6508"/>
      <c r="E6508"/>
    </row>
    <row r="6509" spans="2:5">
      <c r="B6509"/>
      <c r="C6509"/>
      <c r="E6509"/>
    </row>
    <row r="6510" spans="2:5">
      <c r="B6510"/>
      <c r="C6510"/>
      <c r="E6510"/>
    </row>
    <row r="6511" spans="2:5">
      <c r="B6511"/>
      <c r="C6511"/>
      <c r="E6511"/>
    </row>
    <row r="6512" spans="2:5">
      <c r="B6512"/>
      <c r="C6512"/>
      <c r="E6512"/>
    </row>
    <row r="6513" spans="2:5">
      <c r="B6513"/>
      <c r="C6513"/>
      <c r="E6513"/>
    </row>
    <row r="6514" spans="2:5">
      <c r="B6514"/>
      <c r="C6514"/>
      <c r="E6514"/>
    </row>
    <row r="6515" spans="2:5">
      <c r="B6515"/>
      <c r="C6515"/>
      <c r="E6515"/>
    </row>
    <row r="6516" spans="2:5">
      <c r="B6516"/>
      <c r="C6516"/>
      <c r="E6516"/>
    </row>
    <row r="6517" spans="2:5">
      <c r="B6517"/>
      <c r="C6517"/>
      <c r="E6517"/>
    </row>
    <row r="6518" spans="2:5">
      <c r="B6518"/>
      <c r="C6518"/>
      <c r="E6518"/>
    </row>
    <row r="6519" spans="2:5">
      <c r="B6519"/>
      <c r="C6519"/>
      <c r="E6519"/>
    </row>
    <row r="6520" spans="2:5">
      <c r="B6520"/>
      <c r="C6520"/>
      <c r="E6520"/>
    </row>
    <row r="6521" spans="2:5">
      <c r="B6521"/>
      <c r="C6521"/>
      <c r="E6521"/>
    </row>
    <row r="6522" spans="2:5">
      <c r="B6522"/>
      <c r="C6522"/>
      <c r="E6522"/>
    </row>
    <row r="6523" spans="2:5">
      <c r="B6523"/>
      <c r="C6523"/>
      <c r="E6523"/>
    </row>
    <row r="6524" spans="2:5">
      <c r="B6524"/>
      <c r="C6524"/>
      <c r="E6524"/>
    </row>
    <row r="6525" spans="2:5">
      <c r="B6525"/>
      <c r="C6525"/>
      <c r="E6525"/>
    </row>
    <row r="6526" spans="2:5">
      <c r="B6526"/>
      <c r="C6526"/>
      <c r="E6526"/>
    </row>
    <row r="6527" spans="2:5">
      <c r="B6527"/>
      <c r="C6527"/>
      <c r="E6527"/>
    </row>
    <row r="6528" spans="2:5">
      <c r="B6528"/>
      <c r="C6528"/>
      <c r="E6528"/>
    </row>
    <row r="6529" spans="2:5">
      <c r="B6529"/>
      <c r="C6529"/>
      <c r="E6529"/>
    </row>
    <row r="6530" spans="2:5">
      <c r="B6530"/>
      <c r="C6530"/>
      <c r="E6530"/>
    </row>
    <row r="6531" spans="2:5">
      <c r="B6531"/>
      <c r="C6531"/>
      <c r="E6531"/>
    </row>
    <row r="6532" spans="2:5">
      <c r="B6532"/>
      <c r="C6532"/>
      <c r="E6532"/>
    </row>
    <row r="6533" spans="2:5">
      <c r="B6533"/>
      <c r="C6533"/>
      <c r="E6533"/>
    </row>
    <row r="6534" spans="2:5">
      <c r="B6534"/>
      <c r="C6534"/>
      <c r="E6534"/>
    </row>
    <row r="6535" spans="2:5">
      <c r="B6535"/>
      <c r="C6535"/>
      <c r="E6535"/>
    </row>
    <row r="6536" spans="2:5">
      <c r="B6536"/>
      <c r="C6536"/>
      <c r="E6536"/>
    </row>
    <row r="6537" spans="2:5">
      <c r="B6537"/>
      <c r="C6537"/>
      <c r="E6537"/>
    </row>
    <row r="6538" spans="2:5">
      <c r="B6538"/>
      <c r="C6538"/>
      <c r="E6538"/>
    </row>
    <row r="6539" spans="2:5">
      <c r="B6539"/>
      <c r="C6539"/>
      <c r="E6539"/>
    </row>
    <row r="6540" spans="2:5">
      <c r="B6540"/>
      <c r="C6540"/>
      <c r="E6540"/>
    </row>
    <row r="6541" spans="2:5">
      <c r="B6541"/>
      <c r="C6541"/>
      <c r="E6541"/>
    </row>
    <row r="6542" spans="2:5">
      <c r="B6542"/>
      <c r="C6542"/>
      <c r="E6542"/>
    </row>
    <row r="6543" spans="2:5">
      <c r="B6543"/>
      <c r="C6543"/>
      <c r="E6543"/>
    </row>
    <row r="6544" spans="2:5">
      <c r="B6544"/>
      <c r="C6544"/>
      <c r="E6544"/>
    </row>
    <row r="6545" spans="2:5">
      <c r="B6545"/>
      <c r="C6545"/>
      <c r="E6545"/>
    </row>
    <row r="6546" spans="2:5">
      <c r="B6546"/>
      <c r="C6546"/>
      <c r="E6546"/>
    </row>
    <row r="6547" spans="2:5">
      <c r="B6547"/>
      <c r="C6547"/>
      <c r="E6547"/>
    </row>
    <row r="6548" spans="2:5">
      <c r="B6548"/>
      <c r="C6548"/>
      <c r="E6548"/>
    </row>
    <row r="6549" spans="2:5">
      <c r="B6549"/>
      <c r="C6549"/>
      <c r="E6549"/>
    </row>
    <row r="6550" spans="2:5">
      <c r="B6550"/>
      <c r="C6550"/>
      <c r="E6550"/>
    </row>
    <row r="6551" spans="2:5">
      <c r="B6551"/>
      <c r="C6551"/>
      <c r="E6551"/>
    </row>
    <row r="6552" spans="2:5">
      <c r="B6552"/>
      <c r="C6552"/>
      <c r="E6552"/>
    </row>
    <row r="6553" spans="2:5">
      <c r="B6553"/>
      <c r="C6553"/>
      <c r="E6553"/>
    </row>
    <row r="6554" spans="2:5">
      <c r="B6554"/>
      <c r="C6554"/>
      <c r="E6554"/>
    </row>
    <row r="6555" spans="2:5">
      <c r="B6555"/>
      <c r="C6555"/>
      <c r="E6555"/>
    </row>
    <row r="6556" spans="2:5">
      <c r="B6556"/>
      <c r="C6556"/>
      <c r="E6556"/>
    </row>
    <row r="6557" spans="2:5">
      <c r="B6557"/>
      <c r="C6557"/>
      <c r="E6557"/>
    </row>
    <row r="6558" spans="2:5">
      <c r="B6558"/>
      <c r="C6558"/>
      <c r="E6558"/>
    </row>
    <row r="6559" spans="2:5">
      <c r="B6559"/>
      <c r="C6559"/>
      <c r="E6559"/>
    </row>
    <row r="6560" spans="2:5">
      <c r="B6560"/>
      <c r="C6560"/>
      <c r="E6560"/>
    </row>
    <row r="6561" spans="2:5">
      <c r="B6561"/>
      <c r="C6561"/>
      <c r="E6561"/>
    </row>
    <row r="6562" spans="2:5">
      <c r="B6562"/>
      <c r="C6562"/>
      <c r="E6562"/>
    </row>
    <row r="6563" spans="2:5">
      <c r="B6563"/>
      <c r="C6563"/>
      <c r="E6563"/>
    </row>
    <row r="6564" spans="2:5">
      <c r="B6564"/>
      <c r="C6564"/>
      <c r="E6564"/>
    </row>
    <row r="6565" spans="2:5">
      <c r="B6565"/>
      <c r="C6565"/>
      <c r="E6565"/>
    </row>
    <row r="6566" spans="2:5">
      <c r="B6566"/>
      <c r="C6566"/>
      <c r="E6566"/>
    </row>
    <row r="6567" spans="2:5">
      <c r="B6567"/>
      <c r="C6567"/>
      <c r="E6567"/>
    </row>
    <row r="6568" spans="2:5">
      <c r="B6568"/>
      <c r="C6568"/>
      <c r="E6568"/>
    </row>
    <row r="6569" spans="2:5">
      <c r="B6569"/>
      <c r="C6569"/>
      <c r="E6569"/>
    </row>
    <row r="6570" spans="2:5">
      <c r="B6570"/>
      <c r="C6570"/>
      <c r="E6570"/>
    </row>
    <row r="6571" spans="2:5">
      <c r="B6571"/>
      <c r="C6571"/>
      <c r="E6571"/>
    </row>
    <row r="6572" spans="2:5">
      <c r="B6572"/>
      <c r="C6572"/>
      <c r="E6572"/>
    </row>
    <row r="6573" spans="2:5">
      <c r="B6573"/>
      <c r="C6573"/>
      <c r="E6573"/>
    </row>
    <row r="6574" spans="2:5">
      <c r="B6574"/>
      <c r="C6574"/>
      <c r="E6574"/>
    </row>
    <row r="6575" spans="2:5">
      <c r="B6575"/>
      <c r="C6575"/>
      <c r="E6575"/>
    </row>
    <row r="6576" spans="2:5">
      <c r="B6576"/>
      <c r="C6576"/>
      <c r="E6576"/>
    </row>
    <row r="6577" spans="2:5">
      <c r="B6577"/>
      <c r="C6577"/>
      <c r="E6577"/>
    </row>
    <row r="6578" spans="2:5">
      <c r="B6578"/>
      <c r="C6578"/>
      <c r="E6578"/>
    </row>
    <row r="6579" spans="2:5">
      <c r="B6579"/>
      <c r="C6579"/>
      <c r="E6579"/>
    </row>
    <row r="6580" spans="2:5">
      <c r="B6580"/>
      <c r="C6580"/>
      <c r="E6580"/>
    </row>
    <row r="6581" spans="2:5">
      <c r="B6581"/>
      <c r="C6581"/>
      <c r="E6581"/>
    </row>
    <row r="6582" spans="2:5">
      <c r="B6582"/>
      <c r="C6582"/>
      <c r="E6582"/>
    </row>
    <row r="6583" spans="2:5">
      <c r="B6583"/>
      <c r="C6583"/>
      <c r="E6583"/>
    </row>
    <row r="6584" spans="2:5">
      <c r="B6584"/>
      <c r="C6584"/>
      <c r="E6584"/>
    </row>
    <row r="6585" spans="2:5">
      <c r="B6585"/>
      <c r="C6585"/>
      <c r="E6585"/>
    </row>
    <row r="6586" spans="2:5">
      <c r="B6586"/>
      <c r="C6586"/>
      <c r="E6586"/>
    </row>
    <row r="6587" spans="2:5">
      <c r="B6587"/>
      <c r="C6587"/>
      <c r="E6587"/>
    </row>
    <row r="6588" spans="2:5">
      <c r="B6588"/>
      <c r="C6588"/>
      <c r="E6588"/>
    </row>
    <row r="6589" spans="2:5">
      <c r="B6589"/>
      <c r="C6589"/>
      <c r="E6589"/>
    </row>
    <row r="6590" spans="2:5">
      <c r="B6590"/>
      <c r="C6590"/>
      <c r="E6590"/>
    </row>
    <row r="6591" spans="2:5">
      <c r="B6591"/>
      <c r="C6591"/>
      <c r="E6591"/>
    </row>
    <row r="6592" spans="2:5">
      <c r="B6592"/>
      <c r="C6592"/>
      <c r="E6592"/>
    </row>
    <row r="6593" spans="2:5">
      <c r="B6593"/>
      <c r="C6593"/>
      <c r="E6593"/>
    </row>
    <row r="6594" spans="2:5">
      <c r="B6594"/>
      <c r="C6594"/>
      <c r="E6594"/>
    </row>
    <row r="6595" spans="2:5">
      <c r="B6595"/>
      <c r="C6595"/>
      <c r="E6595"/>
    </row>
    <row r="6596" spans="2:5">
      <c r="B6596"/>
      <c r="C6596"/>
      <c r="E6596"/>
    </row>
    <row r="6597" spans="2:5">
      <c r="B6597"/>
      <c r="C6597"/>
      <c r="E6597"/>
    </row>
    <row r="6598" spans="2:5">
      <c r="B6598"/>
      <c r="C6598"/>
      <c r="E6598"/>
    </row>
    <row r="6599" spans="2:5">
      <c r="B6599"/>
      <c r="C6599"/>
      <c r="E6599"/>
    </row>
    <row r="6600" spans="2:5">
      <c r="B6600"/>
      <c r="C6600"/>
      <c r="E6600"/>
    </row>
    <row r="6601" spans="2:5">
      <c r="B6601"/>
      <c r="C6601"/>
      <c r="E6601"/>
    </row>
    <row r="6602" spans="2:5">
      <c r="B6602"/>
      <c r="C6602"/>
      <c r="E6602"/>
    </row>
    <row r="6603" spans="2:5">
      <c r="B6603"/>
      <c r="C6603"/>
      <c r="E6603"/>
    </row>
    <row r="6604" spans="2:5">
      <c r="B6604"/>
      <c r="C6604"/>
      <c r="E6604"/>
    </row>
    <row r="6605" spans="2:5">
      <c r="B6605"/>
      <c r="C6605"/>
      <c r="E6605"/>
    </row>
    <row r="6606" spans="2:5">
      <c r="B6606"/>
      <c r="C6606"/>
      <c r="E6606"/>
    </row>
    <row r="6607" spans="2:5">
      <c r="B6607"/>
      <c r="C6607"/>
      <c r="E6607"/>
    </row>
    <row r="6608" spans="2:5">
      <c r="B6608"/>
      <c r="C6608"/>
      <c r="E6608"/>
    </row>
    <row r="6609" spans="2:5">
      <c r="B6609"/>
      <c r="C6609"/>
      <c r="E6609"/>
    </row>
    <row r="6610" spans="2:5">
      <c r="B6610"/>
      <c r="C6610"/>
      <c r="E6610"/>
    </row>
    <row r="6611" spans="2:5">
      <c r="B6611"/>
      <c r="C6611"/>
      <c r="E6611"/>
    </row>
    <row r="6612" spans="2:5">
      <c r="B6612"/>
      <c r="C6612"/>
      <c r="E6612"/>
    </row>
    <row r="6613" spans="2:5">
      <c r="B6613"/>
      <c r="C6613"/>
      <c r="E6613"/>
    </row>
    <row r="6614" spans="2:5">
      <c r="B6614"/>
      <c r="C6614"/>
      <c r="E6614"/>
    </row>
    <row r="6615" spans="2:5">
      <c r="B6615"/>
      <c r="C6615"/>
      <c r="E6615"/>
    </row>
    <row r="6616" spans="2:5">
      <c r="B6616"/>
      <c r="C6616"/>
      <c r="E6616"/>
    </row>
    <row r="6617" spans="2:5">
      <c r="B6617"/>
      <c r="C6617"/>
      <c r="E6617"/>
    </row>
    <row r="6618" spans="2:5">
      <c r="B6618"/>
      <c r="C6618"/>
      <c r="E6618"/>
    </row>
    <row r="6619" spans="2:5">
      <c r="B6619"/>
      <c r="C6619"/>
      <c r="E6619"/>
    </row>
    <row r="6620" spans="2:5">
      <c r="B6620"/>
      <c r="C6620"/>
      <c r="E6620"/>
    </row>
    <row r="6621" spans="2:5">
      <c r="B6621"/>
      <c r="C6621"/>
      <c r="E6621"/>
    </row>
    <row r="6622" spans="2:5">
      <c r="B6622"/>
      <c r="C6622"/>
      <c r="E6622"/>
    </row>
    <row r="6623" spans="2:5">
      <c r="B6623"/>
      <c r="C6623"/>
      <c r="E6623"/>
    </row>
    <row r="6624" spans="2:5">
      <c r="B6624"/>
      <c r="C6624"/>
      <c r="E6624"/>
    </row>
    <row r="6625" spans="2:5">
      <c r="B6625"/>
      <c r="C6625"/>
      <c r="E6625"/>
    </row>
    <row r="6626" spans="2:5">
      <c r="B6626"/>
      <c r="C6626"/>
      <c r="E6626"/>
    </row>
    <row r="6627" spans="2:5">
      <c r="B6627"/>
      <c r="C6627"/>
      <c r="E6627"/>
    </row>
    <row r="6628" spans="2:5">
      <c r="B6628"/>
      <c r="C6628"/>
      <c r="E6628"/>
    </row>
    <row r="6629" spans="2:5">
      <c r="B6629"/>
      <c r="C6629"/>
      <c r="E6629"/>
    </row>
    <row r="6630" spans="2:5">
      <c r="B6630"/>
      <c r="C6630"/>
      <c r="E6630"/>
    </row>
    <row r="6631" spans="2:5">
      <c r="B6631"/>
      <c r="C6631"/>
      <c r="E6631"/>
    </row>
    <row r="6632" spans="2:5">
      <c r="B6632"/>
      <c r="C6632"/>
      <c r="E6632"/>
    </row>
    <row r="6633" spans="2:5">
      <c r="B6633"/>
      <c r="C6633"/>
      <c r="E6633"/>
    </row>
    <row r="6634" spans="2:5">
      <c r="B6634"/>
      <c r="C6634"/>
      <c r="E6634"/>
    </row>
    <row r="6635" spans="2:5">
      <c r="B6635"/>
      <c r="C6635"/>
      <c r="E6635"/>
    </row>
    <row r="6636" spans="2:5">
      <c r="B6636"/>
      <c r="C6636"/>
      <c r="E6636"/>
    </row>
    <row r="6637" spans="2:5">
      <c r="B6637"/>
      <c r="C6637"/>
      <c r="E6637"/>
    </row>
    <row r="6638" spans="2:5">
      <c r="B6638"/>
      <c r="C6638"/>
      <c r="E6638"/>
    </row>
    <row r="6639" spans="2:5">
      <c r="B6639"/>
      <c r="C6639"/>
      <c r="E6639"/>
    </row>
    <row r="6640" spans="2:5">
      <c r="B6640"/>
      <c r="C6640"/>
      <c r="E6640"/>
    </row>
    <row r="6641" spans="2:5">
      <c r="B6641"/>
      <c r="C6641"/>
      <c r="E6641"/>
    </row>
    <row r="6642" spans="2:5">
      <c r="B6642"/>
      <c r="C6642"/>
      <c r="E6642"/>
    </row>
    <row r="6643" spans="2:5">
      <c r="B6643"/>
      <c r="C6643"/>
      <c r="E6643"/>
    </row>
    <row r="6644" spans="2:5">
      <c r="B6644"/>
      <c r="C6644"/>
      <c r="E6644"/>
    </row>
    <row r="6645" spans="2:5">
      <c r="B6645"/>
      <c r="C6645"/>
      <c r="E6645"/>
    </row>
    <row r="6646" spans="2:5">
      <c r="B6646"/>
      <c r="C6646"/>
      <c r="E6646"/>
    </row>
    <row r="6647" spans="2:5">
      <c r="B6647"/>
      <c r="C6647"/>
      <c r="E6647"/>
    </row>
    <row r="6648" spans="2:5">
      <c r="B6648"/>
      <c r="C6648"/>
      <c r="E6648"/>
    </row>
    <row r="6649" spans="2:5">
      <c r="B6649"/>
      <c r="C6649"/>
      <c r="E6649"/>
    </row>
    <row r="6650" spans="2:5">
      <c r="B6650"/>
      <c r="C6650"/>
      <c r="E6650"/>
    </row>
    <row r="6651" spans="2:5">
      <c r="B6651"/>
      <c r="C6651"/>
      <c r="E6651"/>
    </row>
    <row r="6652" spans="2:5">
      <c r="B6652"/>
      <c r="C6652"/>
      <c r="E6652"/>
    </row>
    <row r="6653" spans="2:5">
      <c r="B6653"/>
      <c r="C6653"/>
      <c r="E6653"/>
    </row>
    <row r="6654" spans="2:5">
      <c r="B6654"/>
      <c r="C6654"/>
      <c r="E6654"/>
    </row>
    <row r="6655" spans="2:5">
      <c r="B6655"/>
      <c r="C6655"/>
      <c r="E6655"/>
    </row>
    <row r="6656" spans="2:5">
      <c r="B6656"/>
      <c r="C6656"/>
      <c r="E6656"/>
    </row>
    <row r="6657" spans="2:5">
      <c r="B6657"/>
      <c r="C6657"/>
      <c r="E6657"/>
    </row>
    <row r="6658" spans="2:5">
      <c r="B6658"/>
      <c r="C6658"/>
      <c r="E6658"/>
    </row>
    <row r="6659" spans="2:5">
      <c r="B6659"/>
      <c r="C6659"/>
      <c r="E6659"/>
    </row>
    <row r="6660" spans="2:5">
      <c r="B6660"/>
      <c r="C6660"/>
      <c r="E6660"/>
    </row>
    <row r="6661" spans="2:5">
      <c r="B6661"/>
      <c r="C6661"/>
      <c r="E6661"/>
    </row>
    <row r="6662" spans="2:5">
      <c r="B6662"/>
      <c r="C6662"/>
      <c r="E6662"/>
    </row>
    <row r="6663" spans="2:5">
      <c r="B6663"/>
      <c r="C6663"/>
      <c r="E6663"/>
    </row>
    <row r="6664" spans="2:5">
      <c r="B6664"/>
      <c r="C6664"/>
      <c r="E6664"/>
    </row>
    <row r="6665" spans="2:5">
      <c r="B6665"/>
      <c r="C6665"/>
      <c r="E6665"/>
    </row>
    <row r="6666" spans="2:5">
      <c r="B6666"/>
      <c r="C6666"/>
      <c r="E6666"/>
    </row>
    <row r="6667" spans="2:5">
      <c r="B6667"/>
      <c r="C6667"/>
      <c r="E6667"/>
    </row>
    <row r="6668" spans="2:5">
      <c r="B6668"/>
      <c r="C6668"/>
      <c r="E6668"/>
    </row>
    <row r="6669" spans="2:5">
      <c r="B6669"/>
      <c r="C6669"/>
      <c r="E6669"/>
    </row>
    <row r="6670" spans="2:5">
      <c r="B6670"/>
      <c r="C6670"/>
      <c r="E6670"/>
    </row>
    <row r="6671" spans="2:5">
      <c r="B6671"/>
      <c r="C6671"/>
      <c r="E6671"/>
    </row>
    <row r="6672" spans="2:5">
      <c r="B6672"/>
      <c r="C6672"/>
      <c r="E6672"/>
    </row>
    <row r="6673" spans="2:5">
      <c r="B6673"/>
      <c r="C6673"/>
      <c r="E6673"/>
    </row>
    <row r="6674" spans="2:5">
      <c r="B6674"/>
      <c r="C6674"/>
      <c r="E6674"/>
    </row>
    <row r="6675" spans="2:5">
      <c r="B6675"/>
      <c r="C6675"/>
      <c r="E6675"/>
    </row>
    <row r="6676" spans="2:5">
      <c r="B6676"/>
      <c r="C6676"/>
      <c r="E6676"/>
    </row>
    <row r="6677" spans="2:5">
      <c r="B6677"/>
      <c r="C6677"/>
      <c r="E6677"/>
    </row>
    <row r="6678" spans="2:5">
      <c r="B6678"/>
      <c r="C6678"/>
      <c r="E6678"/>
    </row>
    <row r="6679" spans="2:5">
      <c r="B6679"/>
      <c r="C6679"/>
      <c r="E6679"/>
    </row>
    <row r="6680" spans="2:5">
      <c r="B6680"/>
      <c r="C6680"/>
      <c r="E6680"/>
    </row>
    <row r="6681" spans="2:5">
      <c r="B6681"/>
      <c r="C6681"/>
      <c r="E6681"/>
    </row>
    <row r="6682" spans="2:5">
      <c r="B6682"/>
      <c r="C6682"/>
      <c r="E6682"/>
    </row>
    <row r="6683" spans="2:5">
      <c r="B6683"/>
      <c r="C6683"/>
      <c r="E6683"/>
    </row>
    <row r="6684" spans="2:5">
      <c r="B6684"/>
      <c r="C6684"/>
      <c r="E6684"/>
    </row>
    <row r="6685" spans="2:5">
      <c r="B6685"/>
      <c r="C6685"/>
      <c r="E6685"/>
    </row>
    <row r="6686" spans="2:5">
      <c r="B6686"/>
      <c r="C6686"/>
      <c r="E6686"/>
    </row>
    <row r="6687" spans="2:5">
      <c r="B6687"/>
      <c r="C6687"/>
      <c r="E6687"/>
    </row>
    <row r="6688" spans="2:5">
      <c r="B6688"/>
      <c r="C6688"/>
      <c r="E6688"/>
    </row>
    <row r="6689" spans="2:5">
      <c r="B6689"/>
      <c r="C6689"/>
      <c r="E6689"/>
    </row>
    <row r="6690" spans="2:5">
      <c r="B6690"/>
      <c r="C6690"/>
      <c r="E6690"/>
    </row>
    <row r="6691" spans="2:5">
      <c r="B6691"/>
      <c r="C6691"/>
      <c r="E6691"/>
    </row>
    <row r="6692" spans="2:5">
      <c r="B6692"/>
      <c r="C6692"/>
      <c r="E6692"/>
    </row>
    <row r="6693" spans="2:5">
      <c r="B6693"/>
      <c r="C6693"/>
      <c r="E6693"/>
    </row>
    <row r="6694" spans="2:5">
      <c r="B6694"/>
      <c r="C6694"/>
      <c r="E6694"/>
    </row>
    <row r="6695" spans="2:5">
      <c r="B6695"/>
      <c r="C6695"/>
      <c r="E6695"/>
    </row>
    <row r="6696" spans="2:5">
      <c r="B6696"/>
      <c r="C6696"/>
      <c r="E6696"/>
    </row>
    <row r="6697" spans="2:5">
      <c r="B6697"/>
      <c r="C6697"/>
      <c r="E6697"/>
    </row>
    <row r="6698" spans="2:5">
      <c r="B6698"/>
      <c r="C6698"/>
      <c r="E6698"/>
    </row>
    <row r="6699" spans="2:5">
      <c r="B6699"/>
      <c r="C6699"/>
      <c r="E6699"/>
    </row>
    <row r="6700" spans="2:5">
      <c r="B6700"/>
      <c r="C6700"/>
      <c r="E6700"/>
    </row>
    <row r="6701" spans="2:5">
      <c r="B6701"/>
      <c r="C6701"/>
      <c r="E6701"/>
    </row>
    <row r="6702" spans="2:5">
      <c r="B6702"/>
      <c r="C6702"/>
      <c r="E6702"/>
    </row>
    <row r="6703" spans="2:5">
      <c r="B6703"/>
      <c r="C6703"/>
      <c r="E6703"/>
    </row>
    <row r="6704" spans="2:5">
      <c r="B6704"/>
      <c r="C6704"/>
      <c r="E6704"/>
    </row>
    <row r="6705" spans="2:5">
      <c r="B6705"/>
      <c r="C6705"/>
      <c r="E6705"/>
    </row>
    <row r="6706" spans="2:5">
      <c r="B6706"/>
      <c r="C6706"/>
      <c r="E6706"/>
    </row>
    <row r="6707" spans="2:5">
      <c r="B6707"/>
      <c r="C6707"/>
      <c r="E6707"/>
    </row>
    <row r="6708" spans="2:5">
      <c r="B6708"/>
      <c r="C6708"/>
      <c r="E6708"/>
    </row>
    <row r="6709" spans="2:5">
      <c r="B6709"/>
      <c r="C6709"/>
      <c r="E6709"/>
    </row>
    <row r="6710" spans="2:5">
      <c r="B6710"/>
      <c r="C6710"/>
      <c r="E6710"/>
    </row>
    <row r="6711" spans="2:5">
      <c r="B6711"/>
      <c r="C6711"/>
      <c r="E6711"/>
    </row>
    <row r="6712" spans="2:5">
      <c r="B6712"/>
      <c r="C6712"/>
      <c r="E6712"/>
    </row>
    <row r="6713" spans="2:5">
      <c r="B6713"/>
      <c r="C6713"/>
      <c r="E6713"/>
    </row>
    <row r="6714" spans="2:5">
      <c r="B6714"/>
      <c r="C6714"/>
      <c r="E6714"/>
    </row>
    <row r="6715" spans="2:5">
      <c r="B6715"/>
      <c r="C6715"/>
      <c r="E6715"/>
    </row>
    <row r="6716" spans="2:5">
      <c r="B6716"/>
      <c r="C6716"/>
      <c r="E6716"/>
    </row>
    <row r="6717" spans="2:5">
      <c r="B6717"/>
      <c r="C6717"/>
      <c r="E6717"/>
    </row>
    <row r="6718" spans="2:5">
      <c r="B6718"/>
      <c r="C6718"/>
      <c r="E6718"/>
    </row>
    <row r="6719" spans="2:5">
      <c r="B6719"/>
      <c r="C6719"/>
      <c r="E6719"/>
    </row>
    <row r="6720" spans="2:5">
      <c r="B6720"/>
      <c r="C6720"/>
      <c r="E6720"/>
    </row>
    <row r="6721" spans="2:5">
      <c r="B6721"/>
      <c r="C6721"/>
      <c r="E6721"/>
    </row>
    <row r="6722" spans="2:5">
      <c r="B6722"/>
      <c r="C6722"/>
      <c r="E6722"/>
    </row>
    <row r="6723" spans="2:5">
      <c r="B6723"/>
      <c r="C6723"/>
      <c r="E6723"/>
    </row>
    <row r="6724" spans="2:5">
      <c r="B6724"/>
      <c r="C6724"/>
      <c r="E6724"/>
    </row>
    <row r="6725" spans="2:5">
      <c r="B6725"/>
      <c r="C6725"/>
      <c r="E6725"/>
    </row>
    <row r="6726" spans="2:5">
      <c r="B6726"/>
      <c r="C6726"/>
      <c r="E6726"/>
    </row>
    <row r="6727" spans="2:5">
      <c r="B6727"/>
      <c r="C6727"/>
      <c r="E6727"/>
    </row>
    <row r="6728" spans="2:5">
      <c r="B6728"/>
      <c r="C6728"/>
      <c r="E6728"/>
    </row>
    <row r="6729" spans="2:5">
      <c r="B6729"/>
      <c r="C6729"/>
      <c r="E6729"/>
    </row>
    <row r="6730" spans="2:5">
      <c r="B6730"/>
      <c r="C6730"/>
      <c r="E6730"/>
    </row>
    <row r="6731" spans="2:5">
      <c r="B6731"/>
      <c r="C6731"/>
      <c r="E6731"/>
    </row>
    <row r="6732" spans="2:5">
      <c r="B6732"/>
      <c r="C6732"/>
      <c r="E6732"/>
    </row>
    <row r="6733" spans="2:5">
      <c r="B6733"/>
      <c r="C6733"/>
      <c r="E6733"/>
    </row>
    <row r="6734" spans="2:5">
      <c r="B6734"/>
      <c r="C6734"/>
      <c r="E6734"/>
    </row>
    <row r="6735" spans="2:5">
      <c r="B6735"/>
      <c r="C6735"/>
      <c r="E6735"/>
    </row>
    <row r="6736" spans="2:5">
      <c r="B6736"/>
      <c r="C6736"/>
      <c r="E6736"/>
    </row>
    <row r="6737" spans="2:5">
      <c r="B6737"/>
      <c r="C6737"/>
      <c r="E6737"/>
    </row>
    <row r="6738" spans="2:5">
      <c r="B6738"/>
      <c r="C6738"/>
      <c r="E6738"/>
    </row>
    <row r="6739" spans="2:5">
      <c r="B6739"/>
      <c r="C6739"/>
      <c r="E6739"/>
    </row>
    <row r="6740" spans="2:5">
      <c r="B6740"/>
      <c r="C6740"/>
      <c r="E6740"/>
    </row>
    <row r="6741" spans="2:5">
      <c r="B6741"/>
      <c r="C6741"/>
      <c r="E6741"/>
    </row>
    <row r="6742" spans="2:5">
      <c r="B6742"/>
      <c r="C6742"/>
      <c r="E6742"/>
    </row>
    <row r="6743" spans="2:5">
      <c r="B6743"/>
      <c r="C6743"/>
      <c r="E6743"/>
    </row>
    <row r="6744" spans="2:5">
      <c r="B6744"/>
      <c r="C6744"/>
      <c r="E6744"/>
    </row>
    <row r="6745" spans="2:5">
      <c r="B6745"/>
      <c r="C6745"/>
      <c r="E6745"/>
    </row>
    <row r="6746" spans="2:5">
      <c r="B6746"/>
      <c r="C6746"/>
      <c r="E6746"/>
    </row>
    <row r="6747" spans="2:5">
      <c r="B6747"/>
      <c r="C6747"/>
      <c r="E6747"/>
    </row>
    <row r="6748" spans="2:5">
      <c r="B6748"/>
      <c r="C6748"/>
      <c r="E6748"/>
    </row>
    <row r="6749" spans="2:5">
      <c r="B6749"/>
      <c r="C6749"/>
      <c r="E6749"/>
    </row>
    <row r="6750" spans="2:5">
      <c r="B6750"/>
      <c r="C6750"/>
      <c r="E6750"/>
    </row>
    <row r="6751" spans="2:5">
      <c r="B6751"/>
      <c r="C6751"/>
      <c r="E6751"/>
    </row>
    <row r="6752" spans="2:5">
      <c r="B6752"/>
      <c r="C6752"/>
      <c r="E6752"/>
    </row>
    <row r="6753" spans="2:5">
      <c r="B6753"/>
      <c r="C6753"/>
      <c r="E6753"/>
    </row>
    <row r="6754" spans="2:5">
      <c r="B6754"/>
      <c r="C6754"/>
      <c r="E6754"/>
    </row>
    <row r="6755" spans="2:5">
      <c r="B6755"/>
      <c r="C6755"/>
      <c r="E6755"/>
    </row>
    <row r="6756" spans="2:5">
      <c r="B6756"/>
      <c r="C6756"/>
      <c r="E6756"/>
    </row>
    <row r="6757" spans="2:5">
      <c r="B6757"/>
      <c r="C6757"/>
      <c r="E6757"/>
    </row>
    <row r="6758" spans="2:5">
      <c r="B6758"/>
      <c r="C6758"/>
      <c r="E6758"/>
    </row>
    <row r="6759" spans="2:5">
      <c r="B6759"/>
      <c r="C6759"/>
      <c r="E6759"/>
    </row>
    <row r="6760" spans="2:5">
      <c r="B6760"/>
      <c r="C6760"/>
      <c r="E6760"/>
    </row>
    <row r="6761" spans="2:5">
      <c r="B6761"/>
      <c r="C6761"/>
      <c r="E6761"/>
    </row>
    <row r="6762" spans="2:5">
      <c r="B6762"/>
      <c r="C6762"/>
      <c r="E6762"/>
    </row>
    <row r="6763" spans="2:5">
      <c r="B6763"/>
      <c r="C6763"/>
      <c r="E6763"/>
    </row>
    <row r="6764" spans="2:5">
      <c r="B6764"/>
      <c r="C6764"/>
      <c r="E6764"/>
    </row>
    <row r="6765" spans="2:5">
      <c r="B6765"/>
      <c r="C6765"/>
      <c r="E6765"/>
    </row>
    <row r="6766" spans="2:5">
      <c r="B6766"/>
      <c r="C6766"/>
      <c r="E6766"/>
    </row>
    <row r="6767" spans="2:5">
      <c r="B6767"/>
      <c r="C6767"/>
      <c r="E6767"/>
    </row>
    <row r="6768" spans="2:5">
      <c r="B6768"/>
      <c r="C6768"/>
      <c r="E6768"/>
    </row>
    <row r="6769" spans="2:5">
      <c r="B6769"/>
      <c r="C6769"/>
      <c r="E6769"/>
    </row>
    <row r="6770" spans="2:5">
      <c r="B6770"/>
      <c r="C6770"/>
      <c r="E6770"/>
    </row>
    <row r="6771" spans="2:5">
      <c r="B6771"/>
      <c r="C6771"/>
      <c r="E6771"/>
    </row>
    <row r="6772" spans="2:5">
      <c r="B6772"/>
      <c r="C6772"/>
      <c r="E6772"/>
    </row>
    <row r="6773" spans="2:5">
      <c r="B6773"/>
      <c r="C6773"/>
      <c r="E6773"/>
    </row>
    <row r="6774" spans="2:5">
      <c r="B6774"/>
      <c r="C6774"/>
      <c r="E6774"/>
    </row>
    <row r="6775" spans="2:5">
      <c r="B6775"/>
      <c r="C6775"/>
      <c r="E6775"/>
    </row>
    <row r="6776" spans="2:5">
      <c r="B6776"/>
      <c r="C6776"/>
      <c r="E6776"/>
    </row>
    <row r="6777" spans="2:5">
      <c r="B6777"/>
      <c r="C6777"/>
      <c r="E6777"/>
    </row>
    <row r="6778" spans="2:5">
      <c r="B6778"/>
      <c r="C6778"/>
      <c r="E6778"/>
    </row>
    <row r="6779" spans="2:5">
      <c r="B6779"/>
      <c r="C6779"/>
      <c r="E6779"/>
    </row>
    <row r="6780" spans="2:5">
      <c r="B6780"/>
      <c r="C6780"/>
      <c r="E6780"/>
    </row>
    <row r="6781" spans="2:5">
      <c r="B6781"/>
      <c r="C6781"/>
      <c r="E6781"/>
    </row>
    <row r="6782" spans="2:5">
      <c r="B6782"/>
      <c r="C6782"/>
      <c r="E6782"/>
    </row>
    <row r="6783" spans="2:5">
      <c r="B6783"/>
      <c r="C6783"/>
      <c r="E6783"/>
    </row>
    <row r="6784" spans="2:5">
      <c r="B6784"/>
      <c r="C6784"/>
      <c r="E6784"/>
    </row>
    <row r="6785" spans="2:5">
      <c r="B6785"/>
      <c r="C6785"/>
      <c r="E6785"/>
    </row>
    <row r="6786" spans="2:5">
      <c r="B6786"/>
      <c r="C6786"/>
      <c r="E6786"/>
    </row>
    <row r="6787" spans="2:5">
      <c r="B6787"/>
      <c r="C6787"/>
      <c r="E6787"/>
    </row>
    <row r="6788" spans="2:5">
      <c r="B6788"/>
      <c r="C6788"/>
      <c r="E6788"/>
    </row>
    <row r="6789" spans="2:5">
      <c r="B6789"/>
      <c r="C6789"/>
      <c r="E6789"/>
    </row>
    <row r="6790" spans="2:5">
      <c r="B6790"/>
      <c r="C6790"/>
      <c r="E6790"/>
    </row>
    <row r="6791" spans="2:5">
      <c r="B6791"/>
      <c r="C6791"/>
      <c r="E6791"/>
    </row>
    <row r="6792" spans="2:5">
      <c r="B6792"/>
      <c r="C6792"/>
      <c r="E6792"/>
    </row>
    <row r="6793" spans="2:5">
      <c r="B6793"/>
      <c r="C6793"/>
      <c r="E6793"/>
    </row>
    <row r="6794" spans="2:5">
      <c r="B6794"/>
      <c r="C6794"/>
      <c r="E6794"/>
    </row>
    <row r="6795" spans="2:5">
      <c r="B6795"/>
      <c r="C6795"/>
      <c r="E6795"/>
    </row>
    <row r="6796" spans="2:5">
      <c r="B6796"/>
      <c r="C6796"/>
      <c r="E6796"/>
    </row>
    <row r="6797" spans="2:5">
      <c r="B6797"/>
      <c r="C6797"/>
      <c r="E6797"/>
    </row>
    <row r="6798" spans="2:5">
      <c r="B6798"/>
      <c r="C6798"/>
      <c r="E6798"/>
    </row>
    <row r="6799" spans="2:5">
      <c r="B6799"/>
      <c r="C6799"/>
      <c r="E6799"/>
    </row>
    <row r="6800" spans="2:5">
      <c r="B6800"/>
      <c r="C6800"/>
      <c r="E6800"/>
    </row>
    <row r="6801" spans="2:5">
      <c r="B6801"/>
      <c r="C6801"/>
      <c r="E6801"/>
    </row>
    <row r="6802" spans="2:5">
      <c r="B6802"/>
      <c r="C6802"/>
      <c r="E6802"/>
    </row>
    <row r="6803" spans="2:5">
      <c r="B6803"/>
      <c r="C6803"/>
      <c r="E6803"/>
    </row>
    <row r="6804" spans="2:5">
      <c r="B6804"/>
      <c r="C6804"/>
      <c r="E6804"/>
    </row>
    <row r="6805" spans="2:5">
      <c r="B6805"/>
      <c r="C6805"/>
      <c r="E6805"/>
    </row>
    <row r="6806" spans="2:5">
      <c r="B6806"/>
      <c r="C6806"/>
      <c r="E6806"/>
    </row>
    <row r="6807" spans="2:5">
      <c r="B6807"/>
      <c r="C6807"/>
      <c r="E6807"/>
    </row>
    <row r="6808" spans="2:5">
      <c r="B6808"/>
      <c r="C6808"/>
      <c r="E6808"/>
    </row>
    <row r="6809" spans="2:5">
      <c r="B6809"/>
      <c r="C6809"/>
      <c r="E6809"/>
    </row>
    <row r="6810" spans="2:5">
      <c r="B6810"/>
      <c r="C6810"/>
      <c r="E6810"/>
    </row>
    <row r="6811" spans="2:5">
      <c r="B6811"/>
      <c r="C6811"/>
      <c r="E6811"/>
    </row>
    <row r="6812" spans="2:5">
      <c r="B6812"/>
      <c r="C6812"/>
      <c r="E6812"/>
    </row>
    <row r="6813" spans="2:5">
      <c r="B6813"/>
      <c r="C6813"/>
      <c r="E6813"/>
    </row>
    <row r="6814" spans="2:5">
      <c r="B6814"/>
      <c r="C6814"/>
      <c r="E6814"/>
    </row>
    <row r="6815" spans="2:5">
      <c r="B6815"/>
      <c r="C6815"/>
      <c r="E6815"/>
    </row>
    <row r="6816" spans="2:5">
      <c r="B6816"/>
      <c r="C6816"/>
      <c r="E6816"/>
    </row>
    <row r="6817" spans="2:5">
      <c r="B6817"/>
      <c r="C6817"/>
      <c r="E6817"/>
    </row>
    <row r="6818" spans="2:5">
      <c r="B6818"/>
      <c r="C6818"/>
      <c r="E6818"/>
    </row>
    <row r="6819" spans="2:5">
      <c r="B6819"/>
      <c r="C6819"/>
      <c r="E6819"/>
    </row>
    <row r="6820" spans="2:5">
      <c r="B6820"/>
      <c r="C6820"/>
      <c r="E6820"/>
    </row>
    <row r="6821" spans="2:5">
      <c r="B6821"/>
      <c r="C6821"/>
      <c r="E6821"/>
    </row>
    <row r="6822" spans="2:5">
      <c r="B6822"/>
      <c r="C6822"/>
      <c r="E6822"/>
    </row>
    <row r="6823" spans="2:5">
      <c r="B6823"/>
      <c r="C6823"/>
      <c r="E6823"/>
    </row>
    <row r="6824" spans="2:5">
      <c r="B6824"/>
      <c r="C6824"/>
      <c r="E6824"/>
    </row>
    <row r="6825" spans="2:5">
      <c r="B6825"/>
      <c r="C6825"/>
      <c r="E6825"/>
    </row>
    <row r="6826" spans="2:5">
      <c r="B6826"/>
      <c r="C6826"/>
      <c r="E6826"/>
    </row>
    <row r="6827" spans="2:5">
      <c r="B6827"/>
      <c r="C6827"/>
      <c r="E6827"/>
    </row>
    <row r="6828" spans="2:5">
      <c r="B6828"/>
      <c r="C6828"/>
      <c r="E6828"/>
    </row>
    <row r="6829" spans="2:5">
      <c r="B6829"/>
      <c r="C6829"/>
      <c r="E6829"/>
    </row>
    <row r="6830" spans="2:5">
      <c r="B6830"/>
      <c r="C6830"/>
      <c r="E6830"/>
    </row>
    <row r="6831" spans="2:5">
      <c r="B6831"/>
      <c r="C6831"/>
      <c r="E6831"/>
    </row>
    <row r="6832" spans="2:5">
      <c r="B6832"/>
      <c r="C6832"/>
      <c r="E6832"/>
    </row>
    <row r="6833" spans="2:5">
      <c r="B6833"/>
      <c r="C6833"/>
      <c r="E6833"/>
    </row>
    <row r="6834" spans="2:5">
      <c r="B6834"/>
      <c r="C6834"/>
      <c r="E6834"/>
    </row>
    <row r="6835" spans="2:5">
      <c r="B6835"/>
      <c r="C6835"/>
      <c r="E6835"/>
    </row>
    <row r="6836" spans="2:5">
      <c r="B6836"/>
      <c r="C6836"/>
      <c r="E6836"/>
    </row>
    <row r="6837" spans="2:5">
      <c r="B6837"/>
      <c r="C6837"/>
      <c r="E6837"/>
    </row>
    <row r="6838" spans="2:5">
      <c r="B6838"/>
      <c r="C6838"/>
      <c r="E6838"/>
    </row>
    <row r="6839" spans="2:5">
      <c r="B6839"/>
      <c r="C6839"/>
      <c r="E6839"/>
    </row>
    <row r="6840" spans="2:5">
      <c r="B6840"/>
      <c r="C6840"/>
      <c r="E6840"/>
    </row>
    <row r="6841" spans="2:5">
      <c r="B6841"/>
      <c r="C6841"/>
      <c r="E6841"/>
    </row>
    <row r="6842" spans="2:5">
      <c r="B6842"/>
      <c r="C6842"/>
      <c r="E6842"/>
    </row>
    <row r="6843" spans="2:5">
      <c r="B6843"/>
      <c r="C6843"/>
      <c r="E6843"/>
    </row>
    <row r="6844" spans="2:5">
      <c r="B6844"/>
      <c r="C6844"/>
      <c r="E6844"/>
    </row>
    <row r="6845" spans="2:5">
      <c r="B6845"/>
      <c r="C6845"/>
      <c r="E6845"/>
    </row>
    <row r="6846" spans="2:5">
      <c r="B6846"/>
      <c r="C6846"/>
      <c r="E6846"/>
    </row>
    <row r="6847" spans="2:5">
      <c r="B6847"/>
      <c r="C6847"/>
      <c r="E6847"/>
    </row>
    <row r="6848" spans="2:5">
      <c r="B6848"/>
      <c r="C6848"/>
      <c r="E6848"/>
    </row>
    <row r="6849" spans="2:5">
      <c r="B6849"/>
      <c r="C6849"/>
      <c r="E6849"/>
    </row>
    <row r="6850" spans="2:5">
      <c r="B6850"/>
      <c r="C6850"/>
      <c r="E6850"/>
    </row>
    <row r="6851" spans="2:5">
      <c r="B6851"/>
      <c r="C6851"/>
      <c r="E6851"/>
    </row>
    <row r="6852" spans="2:5">
      <c r="B6852"/>
      <c r="C6852"/>
      <c r="E6852"/>
    </row>
    <row r="6853" spans="2:5">
      <c r="B6853"/>
      <c r="C6853"/>
      <c r="E6853"/>
    </row>
    <row r="6854" spans="2:5">
      <c r="B6854"/>
      <c r="C6854"/>
      <c r="E6854"/>
    </row>
    <row r="6855" spans="2:5">
      <c r="B6855"/>
      <c r="C6855"/>
      <c r="E6855"/>
    </row>
    <row r="6856" spans="2:5">
      <c r="B6856"/>
      <c r="C6856"/>
      <c r="E6856"/>
    </row>
    <row r="6857" spans="2:5">
      <c r="B6857"/>
      <c r="C6857"/>
      <c r="E6857"/>
    </row>
    <row r="6858" spans="2:5">
      <c r="B6858"/>
      <c r="C6858"/>
      <c r="E6858"/>
    </row>
    <row r="6859" spans="2:5">
      <c r="B6859"/>
      <c r="C6859"/>
      <c r="E6859"/>
    </row>
    <row r="6860" spans="2:5">
      <c r="B6860"/>
      <c r="C6860"/>
      <c r="E6860"/>
    </row>
    <row r="6861" spans="2:5">
      <c r="B6861"/>
      <c r="C6861"/>
      <c r="E6861"/>
    </row>
    <row r="6862" spans="2:5">
      <c r="B6862"/>
      <c r="C6862"/>
      <c r="E6862"/>
    </row>
    <row r="6863" spans="2:5">
      <c r="B6863"/>
      <c r="C6863"/>
      <c r="E6863"/>
    </row>
    <row r="6864" spans="2:5">
      <c r="B6864"/>
      <c r="C6864"/>
      <c r="E6864"/>
    </row>
    <row r="6865" spans="2:5">
      <c r="B6865"/>
      <c r="C6865"/>
      <c r="E6865"/>
    </row>
    <row r="6866" spans="2:5">
      <c r="B6866"/>
      <c r="C6866"/>
      <c r="E6866"/>
    </row>
    <row r="6867" spans="2:5">
      <c r="B6867"/>
      <c r="C6867"/>
      <c r="E6867"/>
    </row>
    <row r="6868" spans="2:5">
      <c r="B6868"/>
      <c r="C6868"/>
      <c r="E6868"/>
    </row>
    <row r="6869" spans="2:5">
      <c r="B6869"/>
      <c r="C6869"/>
      <c r="E6869"/>
    </row>
    <row r="6870" spans="2:5">
      <c r="B6870"/>
      <c r="C6870"/>
      <c r="E6870"/>
    </row>
    <row r="6871" spans="2:5">
      <c r="B6871"/>
      <c r="C6871"/>
      <c r="E6871"/>
    </row>
    <row r="6872" spans="2:5">
      <c r="B6872"/>
      <c r="C6872"/>
      <c r="E6872"/>
    </row>
    <row r="6873" spans="2:5">
      <c r="B6873"/>
      <c r="C6873"/>
      <c r="E6873"/>
    </row>
    <row r="6874" spans="2:5">
      <c r="B6874"/>
      <c r="C6874"/>
      <c r="E6874"/>
    </row>
    <row r="6875" spans="2:5">
      <c r="B6875"/>
      <c r="C6875"/>
      <c r="E6875"/>
    </row>
    <row r="6876" spans="2:5">
      <c r="B6876"/>
      <c r="C6876"/>
      <c r="E6876"/>
    </row>
    <row r="6877" spans="2:5">
      <c r="B6877"/>
      <c r="C6877"/>
      <c r="E6877"/>
    </row>
    <row r="6878" spans="2:5">
      <c r="B6878"/>
      <c r="C6878"/>
      <c r="E6878"/>
    </row>
    <row r="6879" spans="2:5">
      <c r="B6879"/>
      <c r="C6879"/>
      <c r="E6879"/>
    </row>
    <row r="6880" spans="2:5">
      <c r="B6880"/>
      <c r="C6880"/>
      <c r="E6880"/>
    </row>
    <row r="6881" spans="2:5">
      <c r="B6881"/>
      <c r="C6881"/>
      <c r="E6881"/>
    </row>
    <row r="6882" spans="2:5">
      <c r="B6882"/>
      <c r="C6882"/>
      <c r="E6882"/>
    </row>
    <row r="6883" spans="2:5">
      <c r="B6883"/>
      <c r="C6883"/>
      <c r="E6883"/>
    </row>
    <row r="6884" spans="2:5">
      <c r="B6884"/>
      <c r="C6884"/>
      <c r="E6884"/>
    </row>
    <row r="6885" spans="2:5">
      <c r="B6885"/>
      <c r="C6885"/>
      <c r="E6885"/>
    </row>
    <row r="6886" spans="2:5">
      <c r="B6886"/>
      <c r="C6886"/>
      <c r="E6886"/>
    </row>
    <row r="6887" spans="2:5">
      <c r="B6887"/>
      <c r="C6887"/>
      <c r="E6887"/>
    </row>
    <row r="6888" spans="2:5">
      <c r="B6888"/>
      <c r="C6888"/>
      <c r="E6888"/>
    </row>
    <row r="6889" spans="2:5">
      <c r="B6889"/>
      <c r="C6889"/>
      <c r="E6889"/>
    </row>
    <row r="6890" spans="2:5">
      <c r="B6890"/>
      <c r="C6890"/>
      <c r="E6890"/>
    </row>
    <row r="6891" spans="2:5">
      <c r="B6891"/>
      <c r="C6891"/>
      <c r="E6891"/>
    </row>
    <row r="6892" spans="2:5">
      <c r="B6892"/>
      <c r="C6892"/>
      <c r="E6892"/>
    </row>
    <row r="6893" spans="2:5">
      <c r="B6893"/>
      <c r="C6893"/>
      <c r="E6893"/>
    </row>
    <row r="6894" spans="2:5">
      <c r="B6894"/>
      <c r="C6894"/>
      <c r="E6894"/>
    </row>
    <row r="6895" spans="2:5">
      <c r="B6895"/>
      <c r="C6895"/>
      <c r="E6895"/>
    </row>
    <row r="6896" spans="2:5">
      <c r="B6896"/>
      <c r="C6896"/>
      <c r="E6896"/>
    </row>
    <row r="6897" spans="2:5">
      <c r="B6897"/>
      <c r="C6897"/>
      <c r="E6897"/>
    </row>
    <row r="6898" spans="2:5">
      <c r="B6898"/>
      <c r="C6898"/>
      <c r="E6898"/>
    </row>
    <row r="6899" spans="2:5">
      <c r="B6899"/>
      <c r="C6899"/>
      <c r="E6899"/>
    </row>
    <row r="6900" spans="2:5">
      <c r="B6900"/>
      <c r="C6900"/>
      <c r="E6900"/>
    </row>
    <row r="6901" spans="2:5">
      <c r="B6901"/>
      <c r="C6901"/>
      <c r="E6901"/>
    </row>
    <row r="6902" spans="2:5">
      <c r="B6902"/>
      <c r="C6902"/>
      <c r="E6902"/>
    </row>
    <row r="6903" spans="2:5">
      <c r="B6903"/>
      <c r="C6903"/>
      <c r="E6903"/>
    </row>
    <row r="6904" spans="2:5">
      <c r="B6904"/>
      <c r="C6904"/>
      <c r="E6904"/>
    </row>
    <row r="6905" spans="2:5">
      <c r="B6905"/>
      <c r="C6905"/>
      <c r="E6905"/>
    </row>
    <row r="6906" spans="2:5">
      <c r="B6906"/>
      <c r="C6906"/>
      <c r="E6906"/>
    </row>
    <row r="6907" spans="2:5">
      <c r="B6907"/>
      <c r="C6907"/>
      <c r="E6907"/>
    </row>
    <row r="6908" spans="2:5">
      <c r="B6908"/>
      <c r="C6908"/>
      <c r="E6908"/>
    </row>
    <row r="6909" spans="2:5">
      <c r="B6909"/>
      <c r="C6909"/>
      <c r="E6909"/>
    </row>
    <row r="6910" spans="2:5">
      <c r="B6910"/>
      <c r="C6910"/>
      <c r="E6910"/>
    </row>
    <row r="6911" spans="2:5">
      <c r="B6911"/>
      <c r="C6911"/>
      <c r="E6911"/>
    </row>
    <row r="6912" spans="2:5">
      <c r="B6912"/>
      <c r="C6912"/>
      <c r="E6912"/>
    </row>
    <row r="6913" spans="2:5">
      <c r="B6913"/>
      <c r="C6913"/>
      <c r="E6913"/>
    </row>
    <row r="6914" spans="2:5">
      <c r="B6914"/>
      <c r="C6914"/>
      <c r="E6914"/>
    </row>
    <row r="6915" spans="2:5">
      <c r="B6915"/>
      <c r="C6915"/>
      <c r="E6915"/>
    </row>
    <row r="6916" spans="2:5">
      <c r="B6916"/>
      <c r="C6916"/>
      <c r="E6916"/>
    </row>
    <row r="6917" spans="2:5">
      <c r="B6917"/>
      <c r="C6917"/>
      <c r="E6917"/>
    </row>
    <row r="6918" spans="2:5">
      <c r="B6918"/>
      <c r="C6918"/>
      <c r="E6918"/>
    </row>
    <row r="6919" spans="2:5">
      <c r="B6919"/>
      <c r="C6919"/>
      <c r="E6919"/>
    </row>
    <row r="6920" spans="2:5">
      <c r="B6920"/>
      <c r="C6920"/>
      <c r="E6920"/>
    </row>
    <row r="6921" spans="2:5">
      <c r="B6921"/>
      <c r="C6921"/>
      <c r="E6921"/>
    </row>
    <row r="6922" spans="2:5">
      <c r="B6922"/>
      <c r="C6922"/>
      <c r="E6922"/>
    </row>
    <row r="6923" spans="2:5">
      <c r="B6923"/>
      <c r="C6923"/>
      <c r="E6923"/>
    </row>
    <row r="6924" spans="2:5">
      <c r="B6924"/>
      <c r="C6924"/>
      <c r="E6924"/>
    </row>
    <row r="6925" spans="2:5">
      <c r="B6925"/>
      <c r="C6925"/>
      <c r="E6925"/>
    </row>
    <row r="6926" spans="2:5">
      <c r="B6926"/>
      <c r="C6926"/>
      <c r="E6926"/>
    </row>
    <row r="6927" spans="2:5">
      <c r="B6927"/>
      <c r="C6927"/>
      <c r="E6927"/>
    </row>
    <row r="6928" spans="2:5">
      <c r="B6928"/>
      <c r="C6928"/>
      <c r="E6928"/>
    </row>
    <row r="6929" spans="2:5">
      <c r="B6929"/>
      <c r="C6929"/>
      <c r="E6929"/>
    </row>
    <row r="6930" spans="2:5">
      <c r="B6930"/>
      <c r="C6930"/>
      <c r="E6930"/>
    </row>
    <row r="6931" spans="2:5">
      <c r="B6931"/>
      <c r="C6931"/>
      <c r="E6931"/>
    </row>
    <row r="6932" spans="2:5">
      <c r="B6932"/>
      <c r="C6932"/>
      <c r="E6932"/>
    </row>
    <row r="6933" spans="2:5">
      <c r="B6933"/>
      <c r="C6933"/>
      <c r="E6933"/>
    </row>
    <row r="6934" spans="2:5">
      <c r="B6934"/>
      <c r="C6934"/>
      <c r="E6934"/>
    </row>
    <row r="6935" spans="2:5">
      <c r="B6935"/>
      <c r="C6935"/>
      <c r="E6935"/>
    </row>
    <row r="6936" spans="2:5">
      <c r="B6936"/>
      <c r="C6936"/>
      <c r="E6936"/>
    </row>
    <row r="6937" spans="2:5">
      <c r="B6937"/>
      <c r="C6937"/>
      <c r="E6937"/>
    </row>
    <row r="6938" spans="2:5">
      <c r="B6938"/>
      <c r="C6938"/>
      <c r="E6938"/>
    </row>
    <row r="6939" spans="2:5">
      <c r="B6939"/>
      <c r="C6939"/>
      <c r="E6939"/>
    </row>
    <row r="6940" spans="2:5">
      <c r="B6940"/>
      <c r="C6940"/>
      <c r="E6940"/>
    </row>
    <row r="6941" spans="2:5">
      <c r="B6941"/>
      <c r="C6941"/>
      <c r="E6941"/>
    </row>
    <row r="6942" spans="2:5">
      <c r="B6942"/>
      <c r="C6942"/>
      <c r="E6942"/>
    </row>
    <row r="6943" spans="2:5">
      <c r="B6943"/>
      <c r="C6943"/>
      <c r="E6943"/>
    </row>
    <row r="6944" spans="2:5">
      <c r="B6944"/>
      <c r="C6944"/>
      <c r="E6944"/>
    </row>
    <row r="6945" spans="2:5">
      <c r="B6945"/>
      <c r="C6945"/>
      <c r="E6945"/>
    </row>
    <row r="6946" spans="2:5">
      <c r="B6946"/>
      <c r="C6946"/>
      <c r="E6946"/>
    </row>
    <row r="6947" spans="2:5">
      <c r="B6947"/>
      <c r="C6947"/>
      <c r="E6947"/>
    </row>
    <row r="6948" spans="2:5">
      <c r="B6948"/>
      <c r="C6948"/>
      <c r="E6948"/>
    </row>
    <row r="6949" spans="2:5">
      <c r="B6949"/>
      <c r="C6949"/>
      <c r="E6949"/>
    </row>
    <row r="6950" spans="2:5">
      <c r="B6950"/>
      <c r="C6950"/>
      <c r="E6950"/>
    </row>
    <row r="6951" spans="2:5">
      <c r="B6951"/>
      <c r="C6951"/>
      <c r="E6951"/>
    </row>
    <row r="6952" spans="2:5">
      <c r="B6952"/>
      <c r="C6952"/>
      <c r="E6952"/>
    </row>
    <row r="6953" spans="2:5">
      <c r="B6953"/>
      <c r="C6953"/>
      <c r="E6953"/>
    </row>
    <row r="6954" spans="2:5">
      <c r="B6954"/>
      <c r="C6954"/>
      <c r="E6954"/>
    </row>
    <row r="6955" spans="2:5">
      <c r="B6955"/>
      <c r="C6955"/>
      <c r="E6955"/>
    </row>
    <row r="6956" spans="2:5">
      <c r="B6956"/>
      <c r="C6956"/>
      <c r="E6956"/>
    </row>
    <row r="6957" spans="2:5">
      <c r="B6957"/>
      <c r="C6957"/>
      <c r="E6957"/>
    </row>
    <row r="6958" spans="2:5">
      <c r="B6958"/>
      <c r="C6958"/>
      <c r="E6958"/>
    </row>
    <row r="6959" spans="2:5">
      <c r="B6959"/>
      <c r="C6959"/>
      <c r="E6959"/>
    </row>
    <row r="6960" spans="2:5">
      <c r="B6960"/>
      <c r="C6960"/>
      <c r="E6960"/>
    </row>
    <row r="6961" spans="2:5">
      <c r="B6961"/>
      <c r="C6961"/>
      <c r="E6961"/>
    </row>
    <row r="6962" spans="2:5">
      <c r="B6962"/>
      <c r="C6962"/>
      <c r="E6962"/>
    </row>
    <row r="6963" spans="2:5">
      <c r="B6963"/>
      <c r="C6963"/>
      <c r="E6963"/>
    </row>
    <row r="6964" spans="2:5">
      <c r="B6964"/>
      <c r="C6964"/>
      <c r="E6964"/>
    </row>
    <row r="6965" spans="2:5">
      <c r="B6965"/>
      <c r="C6965"/>
      <c r="E6965"/>
    </row>
    <row r="6966" spans="2:5">
      <c r="B6966"/>
      <c r="C6966"/>
      <c r="E6966"/>
    </row>
    <row r="6967" spans="2:5">
      <c r="B6967"/>
      <c r="C6967"/>
      <c r="E6967"/>
    </row>
    <row r="6968" spans="2:5">
      <c r="B6968"/>
      <c r="C6968"/>
      <c r="E6968"/>
    </row>
    <row r="6969" spans="2:5">
      <c r="B6969"/>
      <c r="C6969"/>
      <c r="E6969"/>
    </row>
    <row r="6970" spans="2:5">
      <c r="B6970"/>
      <c r="C6970"/>
      <c r="E6970"/>
    </row>
    <row r="6971" spans="2:5">
      <c r="B6971"/>
      <c r="C6971"/>
      <c r="E6971"/>
    </row>
    <row r="6972" spans="2:5">
      <c r="B6972"/>
      <c r="C6972"/>
      <c r="E6972"/>
    </row>
    <row r="6973" spans="2:5">
      <c r="B6973"/>
      <c r="C6973"/>
      <c r="E6973"/>
    </row>
    <row r="6974" spans="2:5">
      <c r="B6974"/>
      <c r="C6974"/>
      <c r="E6974"/>
    </row>
    <row r="6975" spans="2:5">
      <c r="B6975"/>
      <c r="C6975"/>
      <c r="E6975"/>
    </row>
    <row r="6976" spans="2:5">
      <c r="B6976"/>
      <c r="C6976"/>
      <c r="E6976"/>
    </row>
    <row r="6977" spans="2:5">
      <c r="B6977"/>
      <c r="C6977"/>
      <c r="E6977"/>
    </row>
    <row r="6978" spans="2:5">
      <c r="B6978"/>
      <c r="C6978"/>
      <c r="E6978"/>
    </row>
    <row r="6979" spans="2:5">
      <c r="B6979"/>
      <c r="C6979"/>
      <c r="E6979"/>
    </row>
    <row r="6980" spans="2:5">
      <c r="B6980"/>
      <c r="C6980"/>
      <c r="E6980"/>
    </row>
    <row r="6981" spans="2:5">
      <c r="B6981"/>
      <c r="C6981"/>
      <c r="E6981"/>
    </row>
    <row r="6982" spans="2:5">
      <c r="B6982"/>
      <c r="C6982"/>
      <c r="E6982"/>
    </row>
    <row r="6983" spans="2:5">
      <c r="B6983"/>
      <c r="C6983"/>
      <c r="E6983"/>
    </row>
    <row r="6984" spans="2:5">
      <c r="B6984"/>
      <c r="C6984"/>
      <c r="E6984"/>
    </row>
    <row r="6985" spans="2:5">
      <c r="B6985"/>
      <c r="C6985"/>
      <c r="E6985"/>
    </row>
    <row r="6986" spans="2:5">
      <c r="B6986"/>
      <c r="C6986"/>
      <c r="E6986"/>
    </row>
    <row r="6987" spans="2:5">
      <c r="B6987"/>
      <c r="C6987"/>
      <c r="E6987"/>
    </row>
    <row r="6988" spans="2:5">
      <c r="B6988"/>
      <c r="C6988"/>
      <c r="E6988"/>
    </row>
    <row r="6989" spans="2:5">
      <c r="B6989"/>
      <c r="C6989"/>
      <c r="E6989"/>
    </row>
    <row r="6990" spans="2:5">
      <c r="B6990"/>
      <c r="C6990"/>
      <c r="E6990"/>
    </row>
    <row r="6991" spans="2:5">
      <c r="B6991"/>
      <c r="C6991"/>
      <c r="E6991"/>
    </row>
    <row r="6992" spans="2:5">
      <c r="B6992"/>
      <c r="C6992"/>
      <c r="E6992"/>
    </row>
    <row r="6993" spans="2:5">
      <c r="B6993"/>
      <c r="C6993"/>
      <c r="E6993"/>
    </row>
    <row r="6994" spans="2:5">
      <c r="B6994"/>
      <c r="C6994"/>
      <c r="E6994"/>
    </row>
    <row r="6995" spans="2:5">
      <c r="B6995"/>
      <c r="C6995"/>
      <c r="E6995"/>
    </row>
    <row r="6996" spans="2:5">
      <c r="B6996"/>
      <c r="C6996"/>
      <c r="E6996"/>
    </row>
    <row r="6997" spans="2:5">
      <c r="B6997"/>
      <c r="C6997"/>
      <c r="E6997"/>
    </row>
    <row r="6998" spans="2:5">
      <c r="B6998"/>
      <c r="C6998"/>
      <c r="E6998"/>
    </row>
    <row r="6999" spans="2:5">
      <c r="B6999"/>
      <c r="C6999"/>
      <c r="E6999"/>
    </row>
    <row r="7000" spans="2:5">
      <c r="B7000"/>
      <c r="C7000"/>
      <c r="E7000"/>
    </row>
    <row r="7001" spans="2:5">
      <c r="B7001"/>
      <c r="C7001"/>
      <c r="E7001"/>
    </row>
    <row r="7002" spans="2:5">
      <c r="B7002"/>
      <c r="C7002"/>
      <c r="E7002"/>
    </row>
    <row r="7003" spans="2:5">
      <c r="B7003"/>
      <c r="C7003"/>
      <c r="E7003"/>
    </row>
    <row r="7004" spans="2:5">
      <c r="B7004"/>
      <c r="C7004"/>
      <c r="E7004"/>
    </row>
    <row r="7005" spans="2:5">
      <c r="B7005"/>
      <c r="C7005"/>
      <c r="E7005"/>
    </row>
    <row r="7006" spans="2:5">
      <c r="B7006"/>
      <c r="C7006"/>
      <c r="E7006"/>
    </row>
    <row r="7007" spans="2:5">
      <c r="B7007"/>
      <c r="C7007"/>
      <c r="E7007"/>
    </row>
    <row r="7008" spans="2:5">
      <c r="B7008"/>
      <c r="C7008"/>
      <c r="E7008"/>
    </row>
    <row r="7009" spans="2:5">
      <c r="B7009"/>
      <c r="C7009"/>
      <c r="E7009"/>
    </row>
    <row r="7010" spans="2:5">
      <c r="B7010"/>
      <c r="C7010"/>
      <c r="E7010"/>
    </row>
    <row r="7011" spans="2:5">
      <c r="B7011"/>
      <c r="C7011"/>
      <c r="E7011"/>
    </row>
    <row r="7012" spans="2:5">
      <c r="B7012"/>
      <c r="C7012"/>
      <c r="E7012"/>
    </row>
    <row r="7013" spans="2:5">
      <c r="B7013"/>
      <c r="C7013"/>
      <c r="E7013"/>
    </row>
    <row r="7014" spans="2:5">
      <c r="B7014"/>
      <c r="C7014"/>
      <c r="E7014"/>
    </row>
    <row r="7015" spans="2:5">
      <c r="B7015"/>
      <c r="C7015"/>
      <c r="E7015"/>
    </row>
    <row r="7016" spans="2:5">
      <c r="B7016"/>
      <c r="C7016"/>
      <c r="E7016"/>
    </row>
    <row r="7017" spans="2:5">
      <c r="B7017"/>
      <c r="C7017"/>
      <c r="E7017"/>
    </row>
    <row r="7018" spans="2:5">
      <c r="B7018"/>
      <c r="C7018"/>
      <c r="E7018"/>
    </row>
    <row r="7019" spans="2:5">
      <c r="B7019"/>
      <c r="C7019"/>
      <c r="E7019"/>
    </row>
    <row r="7020" spans="2:5">
      <c r="B7020"/>
      <c r="C7020"/>
      <c r="E7020"/>
    </row>
    <row r="7021" spans="2:5">
      <c r="B7021"/>
      <c r="C7021"/>
      <c r="E7021"/>
    </row>
    <row r="7022" spans="2:5">
      <c r="B7022"/>
      <c r="C7022"/>
      <c r="E7022"/>
    </row>
    <row r="7023" spans="2:5">
      <c r="B7023"/>
      <c r="C7023"/>
      <c r="E7023"/>
    </row>
    <row r="7024" spans="2:5">
      <c r="B7024"/>
      <c r="C7024"/>
      <c r="E7024"/>
    </row>
    <row r="7025" spans="2:5">
      <c r="B7025"/>
      <c r="C7025"/>
      <c r="E7025"/>
    </row>
    <row r="7026" spans="2:5">
      <c r="B7026"/>
      <c r="C7026"/>
      <c r="E7026"/>
    </row>
    <row r="7027" spans="2:5">
      <c r="B7027"/>
      <c r="C7027"/>
      <c r="E7027"/>
    </row>
    <row r="7028" spans="2:5">
      <c r="B7028"/>
      <c r="C7028"/>
      <c r="E7028"/>
    </row>
    <row r="7029" spans="2:5">
      <c r="B7029"/>
      <c r="C7029"/>
      <c r="E7029"/>
    </row>
    <row r="7030" spans="2:5">
      <c r="B7030"/>
      <c r="C7030"/>
      <c r="E7030"/>
    </row>
    <row r="7031" spans="2:5">
      <c r="B7031"/>
      <c r="C7031"/>
      <c r="E7031"/>
    </row>
    <row r="7032" spans="2:5">
      <c r="B7032"/>
      <c r="C7032"/>
      <c r="E7032"/>
    </row>
    <row r="7033" spans="2:5">
      <c r="B7033"/>
      <c r="C7033"/>
      <c r="E7033"/>
    </row>
    <row r="7034" spans="2:5">
      <c r="B7034"/>
      <c r="C7034"/>
      <c r="E7034"/>
    </row>
    <row r="7035" spans="2:5">
      <c r="B7035"/>
      <c r="C7035"/>
      <c r="E7035"/>
    </row>
    <row r="7036" spans="2:5">
      <c r="B7036"/>
      <c r="C7036"/>
      <c r="E7036"/>
    </row>
    <row r="7037" spans="2:5">
      <c r="B7037"/>
      <c r="C7037"/>
      <c r="E7037"/>
    </row>
    <row r="7038" spans="2:5">
      <c r="B7038"/>
      <c r="C7038"/>
      <c r="E7038"/>
    </row>
    <row r="7039" spans="2:5">
      <c r="B7039"/>
      <c r="C7039"/>
      <c r="E7039"/>
    </row>
    <row r="7040" spans="2:5">
      <c r="B7040"/>
      <c r="C7040"/>
      <c r="E7040"/>
    </row>
    <row r="7041" spans="2:5">
      <c r="B7041"/>
      <c r="C7041"/>
      <c r="E7041"/>
    </row>
    <row r="7042" spans="2:5">
      <c r="B7042"/>
      <c r="C7042"/>
      <c r="E7042"/>
    </row>
    <row r="7043" spans="2:5">
      <c r="B7043"/>
      <c r="C7043"/>
      <c r="E7043"/>
    </row>
    <row r="7044" spans="2:5">
      <c r="B7044"/>
      <c r="C7044"/>
      <c r="E7044"/>
    </row>
    <row r="7045" spans="2:5">
      <c r="B7045"/>
      <c r="C7045"/>
      <c r="E7045"/>
    </row>
    <row r="7046" spans="2:5">
      <c r="B7046"/>
      <c r="C7046"/>
      <c r="E7046"/>
    </row>
    <row r="7047" spans="2:5">
      <c r="B7047"/>
      <c r="C7047"/>
      <c r="E7047"/>
    </row>
    <row r="7048" spans="2:5">
      <c r="B7048"/>
      <c r="C7048"/>
      <c r="E7048"/>
    </row>
    <row r="7049" spans="2:5">
      <c r="B7049"/>
      <c r="C7049"/>
      <c r="E7049"/>
    </row>
    <row r="7050" spans="2:5">
      <c r="B7050"/>
      <c r="C7050"/>
      <c r="E7050"/>
    </row>
    <row r="7051" spans="2:5">
      <c r="B7051"/>
      <c r="C7051"/>
      <c r="E7051"/>
    </row>
    <row r="7052" spans="2:5">
      <c r="B7052"/>
      <c r="C7052"/>
      <c r="E7052"/>
    </row>
    <row r="7053" spans="2:5">
      <c r="B7053"/>
      <c r="C7053"/>
      <c r="E7053"/>
    </row>
    <row r="7054" spans="2:5">
      <c r="B7054"/>
      <c r="C7054"/>
      <c r="E7054"/>
    </row>
    <row r="7055" spans="2:5">
      <c r="B7055"/>
      <c r="C7055"/>
      <c r="E7055"/>
    </row>
    <row r="7056" spans="2:5">
      <c r="B7056"/>
      <c r="C7056"/>
      <c r="E7056"/>
    </row>
    <row r="7057" spans="2:5">
      <c r="B7057"/>
      <c r="C7057"/>
      <c r="E7057"/>
    </row>
    <row r="7058" spans="2:5">
      <c r="B7058"/>
      <c r="C7058"/>
      <c r="E7058"/>
    </row>
    <row r="7059" spans="2:5">
      <c r="B7059"/>
      <c r="C7059"/>
      <c r="E7059"/>
    </row>
    <row r="7060" spans="2:5">
      <c r="B7060"/>
      <c r="C7060"/>
      <c r="E7060"/>
    </row>
    <row r="7061" spans="2:5">
      <c r="B7061"/>
      <c r="C7061"/>
      <c r="E7061"/>
    </row>
    <row r="7062" spans="2:5">
      <c r="B7062"/>
      <c r="C7062"/>
      <c r="E7062"/>
    </row>
    <row r="7063" spans="2:5">
      <c r="B7063"/>
      <c r="C7063"/>
      <c r="E7063"/>
    </row>
    <row r="7064" spans="2:5">
      <c r="B7064"/>
      <c r="C7064"/>
      <c r="E7064"/>
    </row>
    <row r="7065" spans="2:5">
      <c r="B7065"/>
      <c r="C7065"/>
      <c r="E7065"/>
    </row>
    <row r="7066" spans="2:5">
      <c r="B7066"/>
      <c r="C7066"/>
      <c r="E7066"/>
    </row>
    <row r="7067" spans="2:5">
      <c r="B7067"/>
      <c r="C7067"/>
      <c r="E7067"/>
    </row>
    <row r="7068" spans="2:5">
      <c r="B7068"/>
      <c r="C7068"/>
      <c r="E7068"/>
    </row>
    <row r="7069" spans="2:5">
      <c r="B7069"/>
      <c r="C7069"/>
      <c r="E7069"/>
    </row>
    <row r="7070" spans="2:5">
      <c r="B7070"/>
      <c r="C7070"/>
      <c r="E7070"/>
    </row>
    <row r="7071" spans="2:5">
      <c r="B7071"/>
      <c r="C7071"/>
      <c r="E7071"/>
    </row>
    <row r="7072" spans="2:5">
      <c r="B7072"/>
      <c r="C7072"/>
      <c r="E7072"/>
    </row>
    <row r="7073" spans="2:5">
      <c r="B7073"/>
      <c r="C7073"/>
      <c r="E7073"/>
    </row>
    <row r="7074" spans="2:5">
      <c r="B7074"/>
      <c r="C7074"/>
      <c r="E7074"/>
    </row>
    <row r="7075" spans="2:5">
      <c r="B7075"/>
      <c r="C7075"/>
      <c r="E7075"/>
    </row>
    <row r="7076" spans="2:5">
      <c r="B7076"/>
      <c r="C7076"/>
      <c r="E7076"/>
    </row>
    <row r="7077" spans="2:5">
      <c r="B7077"/>
      <c r="C7077"/>
      <c r="E7077"/>
    </row>
    <row r="7078" spans="2:5">
      <c r="B7078"/>
      <c r="C7078"/>
      <c r="E7078"/>
    </row>
    <row r="7079" spans="2:5">
      <c r="B7079"/>
      <c r="C7079"/>
      <c r="E7079"/>
    </row>
    <row r="7080" spans="2:5">
      <c r="B7080"/>
      <c r="C7080"/>
      <c r="E7080"/>
    </row>
    <row r="7081" spans="2:5">
      <c r="B7081"/>
      <c r="C7081"/>
      <c r="E7081"/>
    </row>
    <row r="7082" spans="2:5">
      <c r="B7082"/>
      <c r="C7082"/>
      <c r="E7082"/>
    </row>
    <row r="7083" spans="2:5">
      <c r="B7083"/>
      <c r="C7083"/>
      <c r="E7083"/>
    </row>
    <row r="7084" spans="2:5">
      <c r="B7084"/>
      <c r="C7084"/>
      <c r="E7084"/>
    </row>
    <row r="7085" spans="2:5">
      <c r="B7085"/>
      <c r="C7085"/>
      <c r="E7085"/>
    </row>
    <row r="7086" spans="2:5">
      <c r="B7086"/>
      <c r="C7086"/>
      <c r="E7086"/>
    </row>
    <row r="7087" spans="2:5">
      <c r="B7087"/>
      <c r="C7087"/>
      <c r="E7087"/>
    </row>
    <row r="7088" spans="2:5">
      <c r="B7088"/>
      <c r="C7088"/>
      <c r="E7088"/>
    </row>
    <row r="7089" spans="2:5">
      <c r="B7089"/>
      <c r="C7089"/>
      <c r="E7089"/>
    </row>
    <row r="7090" spans="2:5">
      <c r="B7090"/>
      <c r="C7090"/>
      <c r="E7090"/>
    </row>
    <row r="7091" spans="2:5">
      <c r="B7091"/>
      <c r="C7091"/>
      <c r="E7091"/>
    </row>
    <row r="7092" spans="2:5">
      <c r="B7092"/>
      <c r="C7092"/>
      <c r="E7092"/>
    </row>
    <row r="7093" spans="2:5">
      <c r="B7093"/>
      <c r="C7093"/>
      <c r="E7093"/>
    </row>
    <row r="7094" spans="2:5">
      <c r="B7094"/>
      <c r="C7094"/>
      <c r="E7094"/>
    </row>
    <row r="7095" spans="2:5">
      <c r="B7095"/>
      <c r="C7095"/>
      <c r="E7095"/>
    </row>
    <row r="7096" spans="2:5">
      <c r="B7096"/>
      <c r="C7096"/>
      <c r="E7096"/>
    </row>
    <row r="7097" spans="2:5">
      <c r="B7097"/>
      <c r="C7097"/>
      <c r="E7097"/>
    </row>
    <row r="7098" spans="2:5">
      <c r="B7098"/>
      <c r="C7098"/>
      <c r="E7098"/>
    </row>
    <row r="7099" spans="2:5">
      <c r="B7099"/>
      <c r="C7099"/>
      <c r="E7099"/>
    </row>
    <row r="7100" spans="2:5">
      <c r="B7100"/>
      <c r="C7100"/>
      <c r="E7100"/>
    </row>
    <row r="7101" spans="2:5">
      <c r="B7101"/>
      <c r="C7101"/>
      <c r="E7101"/>
    </row>
    <row r="7102" spans="2:5">
      <c r="B7102"/>
      <c r="C7102"/>
      <c r="E7102"/>
    </row>
    <row r="7103" spans="2:5">
      <c r="B7103"/>
      <c r="C7103"/>
      <c r="E7103"/>
    </row>
    <row r="7104" spans="2:5">
      <c r="B7104"/>
      <c r="C7104"/>
      <c r="E7104"/>
    </row>
    <row r="7105" spans="2:5">
      <c r="B7105"/>
      <c r="C7105"/>
      <c r="E7105"/>
    </row>
    <row r="7106" spans="2:5">
      <c r="B7106"/>
      <c r="C7106"/>
      <c r="E7106"/>
    </row>
    <row r="7107" spans="2:5">
      <c r="B7107"/>
      <c r="C7107"/>
      <c r="E7107"/>
    </row>
    <row r="7108" spans="2:5">
      <c r="B7108"/>
      <c r="C7108"/>
      <c r="E7108"/>
    </row>
    <row r="7109" spans="2:5">
      <c r="B7109"/>
      <c r="C7109"/>
      <c r="E7109"/>
    </row>
    <row r="7110" spans="2:5">
      <c r="B7110"/>
      <c r="C7110"/>
      <c r="E7110"/>
    </row>
    <row r="7111" spans="2:5">
      <c r="B7111"/>
      <c r="C7111"/>
      <c r="E7111"/>
    </row>
    <row r="7112" spans="2:5">
      <c r="B7112"/>
      <c r="C7112"/>
      <c r="E7112"/>
    </row>
    <row r="7113" spans="2:5">
      <c r="B7113"/>
      <c r="C7113"/>
      <c r="E7113"/>
    </row>
    <row r="7114" spans="2:5">
      <c r="B7114"/>
      <c r="C7114"/>
      <c r="E7114"/>
    </row>
    <row r="7115" spans="2:5">
      <c r="B7115"/>
      <c r="C7115"/>
      <c r="E7115"/>
    </row>
    <row r="7116" spans="2:5">
      <c r="B7116"/>
      <c r="C7116"/>
      <c r="E7116"/>
    </row>
    <row r="7117" spans="2:5">
      <c r="B7117"/>
      <c r="C7117"/>
      <c r="E7117"/>
    </row>
    <row r="7118" spans="2:5">
      <c r="B7118"/>
      <c r="C7118"/>
      <c r="E7118"/>
    </row>
    <row r="7119" spans="2:5">
      <c r="B7119"/>
      <c r="C7119"/>
      <c r="E7119"/>
    </row>
    <row r="7120" spans="2:5">
      <c r="B7120"/>
      <c r="C7120"/>
      <c r="E7120"/>
    </row>
    <row r="7121" spans="2:5">
      <c r="B7121"/>
      <c r="C7121"/>
      <c r="E7121"/>
    </row>
    <row r="7122" spans="2:5">
      <c r="B7122"/>
      <c r="C7122"/>
      <c r="E7122"/>
    </row>
    <row r="7123" spans="2:5">
      <c r="B7123"/>
      <c r="C7123"/>
      <c r="E7123"/>
    </row>
    <row r="7124" spans="2:5">
      <c r="B7124"/>
      <c r="C7124"/>
      <c r="E7124"/>
    </row>
    <row r="7125" spans="2:5">
      <c r="B7125"/>
      <c r="C7125"/>
      <c r="E7125"/>
    </row>
    <row r="7126" spans="2:5">
      <c r="B7126"/>
      <c r="C7126"/>
      <c r="E7126"/>
    </row>
    <row r="7127" spans="2:5">
      <c r="B7127"/>
      <c r="C7127"/>
      <c r="E7127"/>
    </row>
    <row r="7128" spans="2:5">
      <c r="B7128"/>
      <c r="C7128"/>
      <c r="E7128"/>
    </row>
    <row r="7129" spans="2:5">
      <c r="B7129"/>
      <c r="C7129"/>
      <c r="E7129"/>
    </row>
    <row r="7130" spans="2:5">
      <c r="B7130"/>
      <c r="C7130"/>
      <c r="E7130"/>
    </row>
    <row r="7131" spans="2:5">
      <c r="B7131"/>
      <c r="C7131"/>
      <c r="E7131"/>
    </row>
    <row r="7132" spans="2:5">
      <c r="B7132"/>
      <c r="C7132"/>
      <c r="E7132"/>
    </row>
    <row r="7133" spans="2:5">
      <c r="B7133"/>
      <c r="C7133"/>
      <c r="E7133"/>
    </row>
    <row r="7134" spans="2:5">
      <c r="B7134"/>
      <c r="C7134"/>
      <c r="E7134"/>
    </row>
    <row r="7135" spans="2:5">
      <c r="B7135"/>
      <c r="C7135"/>
      <c r="E7135"/>
    </row>
    <row r="7136" spans="2:5">
      <c r="B7136"/>
      <c r="C7136"/>
      <c r="E7136"/>
    </row>
    <row r="7137" spans="2:5">
      <c r="B7137"/>
      <c r="C7137"/>
      <c r="E7137"/>
    </row>
    <row r="7138" spans="2:5">
      <c r="B7138"/>
      <c r="C7138"/>
      <c r="E7138"/>
    </row>
    <row r="7139" spans="2:5">
      <c r="B7139"/>
      <c r="C7139"/>
      <c r="E7139"/>
    </row>
    <row r="7140" spans="2:5">
      <c r="B7140"/>
      <c r="C7140"/>
      <c r="E7140"/>
    </row>
    <row r="7141" spans="2:5">
      <c r="B7141"/>
      <c r="C7141"/>
      <c r="E7141"/>
    </row>
    <row r="7142" spans="2:5">
      <c r="B7142"/>
      <c r="C7142"/>
      <c r="E7142"/>
    </row>
    <row r="7143" spans="2:5">
      <c r="B7143"/>
      <c r="C7143"/>
      <c r="E7143"/>
    </row>
    <row r="7144" spans="2:5">
      <c r="B7144"/>
      <c r="C7144"/>
      <c r="E7144"/>
    </row>
    <row r="7145" spans="2:5">
      <c r="B7145"/>
      <c r="C7145"/>
      <c r="E7145"/>
    </row>
    <row r="7146" spans="2:5">
      <c r="B7146"/>
      <c r="C7146"/>
      <c r="E7146"/>
    </row>
    <row r="7147" spans="2:5">
      <c r="B7147"/>
      <c r="C7147"/>
      <c r="E7147"/>
    </row>
    <row r="7148" spans="2:5">
      <c r="B7148"/>
      <c r="C7148"/>
      <c r="E7148"/>
    </row>
    <row r="7149" spans="2:5">
      <c r="B7149"/>
      <c r="C7149"/>
      <c r="E7149"/>
    </row>
    <row r="7150" spans="2:5">
      <c r="B7150"/>
      <c r="C7150"/>
      <c r="E7150"/>
    </row>
    <row r="7151" spans="2:5">
      <c r="B7151"/>
      <c r="C7151"/>
      <c r="E7151"/>
    </row>
    <row r="7152" spans="2:5">
      <c r="B7152"/>
      <c r="C7152"/>
      <c r="E7152"/>
    </row>
    <row r="7153" spans="2:5">
      <c r="B7153"/>
      <c r="C7153"/>
      <c r="E7153"/>
    </row>
    <row r="7154" spans="2:5">
      <c r="B7154"/>
      <c r="C7154"/>
      <c r="E7154"/>
    </row>
    <row r="7155" spans="2:5">
      <c r="B7155"/>
      <c r="C7155"/>
      <c r="E7155"/>
    </row>
    <row r="7156" spans="2:5">
      <c r="B7156"/>
      <c r="C7156"/>
      <c r="E7156"/>
    </row>
    <row r="7157" spans="2:5">
      <c r="B7157"/>
      <c r="C7157"/>
      <c r="E7157"/>
    </row>
    <row r="7158" spans="2:5">
      <c r="B7158"/>
      <c r="C7158"/>
      <c r="E7158"/>
    </row>
    <row r="7159" spans="2:5">
      <c r="B7159"/>
      <c r="C7159"/>
      <c r="E7159"/>
    </row>
    <row r="7160" spans="2:5">
      <c r="B7160"/>
      <c r="C7160"/>
      <c r="E7160"/>
    </row>
    <row r="7161" spans="2:5">
      <c r="B7161"/>
      <c r="C7161"/>
      <c r="E7161"/>
    </row>
    <row r="7162" spans="2:5">
      <c r="B7162"/>
      <c r="C7162"/>
      <c r="E7162"/>
    </row>
    <row r="7163" spans="2:5">
      <c r="B7163"/>
      <c r="C7163"/>
      <c r="E7163"/>
    </row>
    <row r="7164" spans="2:5">
      <c r="B7164"/>
      <c r="C7164"/>
      <c r="E7164"/>
    </row>
    <row r="7165" spans="2:5">
      <c r="B7165"/>
      <c r="C7165"/>
      <c r="E7165"/>
    </row>
    <row r="7166" spans="2:5">
      <c r="B7166"/>
      <c r="C7166"/>
      <c r="E7166"/>
    </row>
    <row r="7167" spans="2:5">
      <c r="B7167"/>
      <c r="C7167"/>
      <c r="E7167"/>
    </row>
    <row r="7168" spans="2:5">
      <c r="B7168"/>
      <c r="C7168"/>
      <c r="E7168"/>
    </row>
    <row r="7169" spans="2:5">
      <c r="B7169"/>
      <c r="C7169"/>
      <c r="E7169"/>
    </row>
    <row r="7170" spans="2:5">
      <c r="B7170"/>
      <c r="C7170"/>
      <c r="E7170"/>
    </row>
    <row r="7171" spans="2:5">
      <c r="B7171"/>
      <c r="C7171"/>
      <c r="E7171"/>
    </row>
    <row r="7172" spans="2:5">
      <c r="B7172"/>
      <c r="C7172"/>
      <c r="E7172"/>
    </row>
    <row r="7173" spans="2:5">
      <c r="B7173"/>
      <c r="C7173"/>
      <c r="E7173"/>
    </row>
    <row r="7174" spans="2:5">
      <c r="B7174"/>
      <c r="C7174"/>
      <c r="E7174"/>
    </row>
    <row r="7175" spans="2:5">
      <c r="B7175"/>
      <c r="C7175"/>
      <c r="E7175"/>
    </row>
    <row r="7176" spans="2:5">
      <c r="B7176"/>
      <c r="C7176"/>
      <c r="E7176"/>
    </row>
    <row r="7177" spans="2:5">
      <c r="B7177"/>
      <c r="C7177"/>
      <c r="E7177"/>
    </row>
    <row r="7178" spans="2:5">
      <c r="B7178"/>
      <c r="C7178"/>
      <c r="E7178"/>
    </row>
    <row r="7179" spans="2:5">
      <c r="B7179"/>
      <c r="C7179"/>
      <c r="E7179"/>
    </row>
    <row r="7180" spans="2:5">
      <c r="B7180"/>
      <c r="C7180"/>
      <c r="E7180"/>
    </row>
    <row r="7181" spans="2:5">
      <c r="B7181"/>
      <c r="C7181"/>
      <c r="E7181"/>
    </row>
    <row r="7182" spans="2:5">
      <c r="B7182"/>
      <c r="C7182"/>
      <c r="E7182"/>
    </row>
    <row r="7183" spans="2:5">
      <c r="B7183"/>
      <c r="C7183"/>
      <c r="E7183"/>
    </row>
    <row r="7184" spans="2:5">
      <c r="B7184"/>
      <c r="C7184"/>
      <c r="E7184"/>
    </row>
    <row r="7185" spans="2:5">
      <c r="B7185"/>
      <c r="C7185"/>
      <c r="E7185"/>
    </row>
    <row r="7186" spans="2:5">
      <c r="B7186"/>
      <c r="C7186"/>
      <c r="E7186"/>
    </row>
    <row r="7187" spans="2:5">
      <c r="B7187"/>
      <c r="C7187"/>
      <c r="E7187"/>
    </row>
    <row r="7188" spans="2:5">
      <c r="B7188"/>
      <c r="C7188"/>
      <c r="E7188"/>
    </row>
    <row r="7189" spans="2:5">
      <c r="B7189"/>
      <c r="C7189"/>
      <c r="E7189"/>
    </row>
    <row r="7190" spans="2:5">
      <c r="B7190"/>
      <c r="C7190"/>
      <c r="E7190"/>
    </row>
    <row r="7191" spans="2:5">
      <c r="B7191"/>
      <c r="C7191"/>
      <c r="E7191"/>
    </row>
    <row r="7192" spans="2:5">
      <c r="B7192"/>
      <c r="C7192"/>
      <c r="E7192"/>
    </row>
    <row r="7193" spans="2:5">
      <c r="B7193"/>
      <c r="C7193"/>
      <c r="E7193"/>
    </row>
    <row r="7194" spans="2:5">
      <c r="B7194"/>
      <c r="C7194"/>
      <c r="E7194"/>
    </row>
    <row r="7195" spans="2:5">
      <c r="B7195"/>
      <c r="C7195"/>
      <c r="E7195"/>
    </row>
    <row r="7196" spans="2:5">
      <c r="B7196"/>
      <c r="C7196"/>
      <c r="E7196"/>
    </row>
    <row r="7197" spans="2:5">
      <c r="B7197"/>
      <c r="C7197"/>
      <c r="E7197"/>
    </row>
    <row r="7198" spans="2:5">
      <c r="B7198"/>
      <c r="C7198"/>
      <c r="E7198"/>
    </row>
    <row r="7199" spans="2:5">
      <c r="B7199"/>
      <c r="C7199"/>
      <c r="E7199"/>
    </row>
    <row r="7200" spans="2:5">
      <c r="B7200"/>
      <c r="C7200"/>
      <c r="E7200"/>
    </row>
    <row r="7201" spans="2:5">
      <c r="B7201"/>
      <c r="C7201"/>
      <c r="E7201"/>
    </row>
    <row r="7202" spans="2:5">
      <c r="B7202"/>
      <c r="C7202"/>
      <c r="E7202"/>
    </row>
    <row r="7203" spans="2:5">
      <c r="B7203"/>
      <c r="C7203"/>
      <c r="E7203"/>
    </row>
    <row r="7204" spans="2:5">
      <c r="B7204"/>
      <c r="C7204"/>
      <c r="E7204"/>
    </row>
    <row r="7205" spans="2:5">
      <c r="B7205"/>
      <c r="C7205"/>
      <c r="E7205"/>
    </row>
    <row r="7206" spans="2:5">
      <c r="B7206"/>
      <c r="C7206"/>
      <c r="E7206"/>
    </row>
    <row r="7207" spans="2:5">
      <c r="B7207"/>
      <c r="C7207"/>
      <c r="E7207"/>
    </row>
    <row r="7208" spans="2:5">
      <c r="B7208"/>
      <c r="C7208"/>
      <c r="E7208"/>
    </row>
    <row r="7209" spans="2:5">
      <c r="B7209"/>
      <c r="C7209"/>
      <c r="E7209"/>
    </row>
    <row r="7210" spans="2:5">
      <c r="B7210"/>
      <c r="C7210"/>
      <c r="E7210"/>
    </row>
    <row r="7211" spans="2:5">
      <c r="B7211"/>
      <c r="C7211"/>
      <c r="E7211"/>
    </row>
    <row r="7212" spans="2:5">
      <c r="B7212"/>
      <c r="C7212"/>
      <c r="E7212"/>
    </row>
    <row r="7213" spans="2:5">
      <c r="B7213"/>
      <c r="C7213"/>
      <c r="E7213"/>
    </row>
    <row r="7214" spans="2:5">
      <c r="B7214"/>
      <c r="C7214"/>
      <c r="E7214"/>
    </row>
    <row r="7215" spans="2:5">
      <c r="B7215"/>
      <c r="C7215"/>
      <c r="E7215"/>
    </row>
    <row r="7216" spans="2:5">
      <c r="B7216"/>
      <c r="C7216"/>
      <c r="E7216"/>
    </row>
    <row r="7217" spans="2:5">
      <c r="B7217"/>
      <c r="C7217"/>
      <c r="E7217"/>
    </row>
    <row r="7218" spans="2:5">
      <c r="B7218"/>
      <c r="C7218"/>
      <c r="E7218"/>
    </row>
    <row r="7219" spans="2:5">
      <c r="B7219"/>
      <c r="C7219"/>
      <c r="E7219"/>
    </row>
    <row r="7220" spans="2:5">
      <c r="B7220"/>
      <c r="C7220"/>
      <c r="E7220"/>
    </row>
    <row r="7221" spans="2:5">
      <c r="B7221"/>
      <c r="C7221"/>
      <c r="E7221"/>
    </row>
    <row r="7222" spans="2:5">
      <c r="B7222"/>
      <c r="C7222"/>
      <c r="E7222"/>
    </row>
    <row r="7223" spans="2:5">
      <c r="B7223"/>
      <c r="C7223"/>
      <c r="E7223"/>
    </row>
    <row r="7224" spans="2:5">
      <c r="B7224"/>
      <c r="C7224"/>
      <c r="E7224"/>
    </row>
    <row r="7225" spans="2:5">
      <c r="B7225"/>
      <c r="C7225"/>
      <c r="E7225"/>
    </row>
    <row r="7226" spans="2:5">
      <c r="B7226"/>
      <c r="C7226"/>
      <c r="E7226"/>
    </row>
    <row r="7227" spans="2:5">
      <c r="B7227"/>
      <c r="C7227"/>
      <c r="E7227"/>
    </row>
    <row r="7228" spans="2:5">
      <c r="B7228"/>
      <c r="C7228"/>
      <c r="E7228"/>
    </row>
    <row r="7229" spans="2:5">
      <c r="B7229"/>
      <c r="C7229"/>
      <c r="E7229"/>
    </row>
    <row r="7230" spans="2:5">
      <c r="B7230"/>
      <c r="C7230"/>
      <c r="E7230"/>
    </row>
    <row r="7231" spans="2:5">
      <c r="B7231"/>
      <c r="C7231"/>
      <c r="E7231"/>
    </row>
    <row r="7232" spans="2:5">
      <c r="B7232"/>
      <c r="C7232"/>
      <c r="E7232"/>
    </row>
    <row r="7233" spans="2:5">
      <c r="B7233"/>
      <c r="C7233"/>
      <c r="E7233"/>
    </row>
    <row r="7234" spans="2:5">
      <c r="B7234"/>
      <c r="C7234"/>
      <c r="E7234"/>
    </row>
    <row r="7235" spans="2:5">
      <c r="B7235"/>
      <c r="C7235"/>
      <c r="E7235"/>
    </row>
    <row r="7236" spans="2:5">
      <c r="B7236"/>
      <c r="C7236"/>
      <c r="E7236"/>
    </row>
    <row r="7237" spans="2:5">
      <c r="B7237"/>
      <c r="C7237"/>
      <c r="E7237"/>
    </row>
    <row r="7238" spans="2:5">
      <c r="B7238"/>
      <c r="C7238"/>
      <c r="E7238"/>
    </row>
    <row r="7239" spans="2:5">
      <c r="B7239"/>
      <c r="C7239"/>
      <c r="E7239"/>
    </row>
    <row r="7240" spans="2:5">
      <c r="B7240"/>
      <c r="C7240"/>
      <c r="E7240"/>
    </row>
    <row r="7241" spans="2:5">
      <c r="B7241"/>
      <c r="C7241"/>
      <c r="E7241"/>
    </row>
    <row r="7242" spans="2:5">
      <c r="B7242"/>
      <c r="C7242"/>
      <c r="E7242"/>
    </row>
    <row r="7243" spans="2:5">
      <c r="B7243"/>
      <c r="C7243"/>
      <c r="E7243"/>
    </row>
    <row r="7244" spans="2:5">
      <c r="B7244"/>
      <c r="C7244"/>
      <c r="E7244"/>
    </row>
    <row r="7245" spans="2:5">
      <c r="B7245"/>
      <c r="C7245"/>
      <c r="E7245"/>
    </row>
    <row r="7246" spans="2:5">
      <c r="B7246"/>
      <c r="C7246"/>
      <c r="E7246"/>
    </row>
    <row r="7247" spans="2:5">
      <c r="B7247"/>
      <c r="C7247"/>
      <c r="E7247"/>
    </row>
    <row r="7248" spans="2:5">
      <c r="B7248"/>
      <c r="C7248"/>
      <c r="E7248"/>
    </row>
    <row r="7249" spans="2:5">
      <c r="B7249"/>
      <c r="C7249"/>
      <c r="E7249"/>
    </row>
    <row r="7250" spans="2:5">
      <c r="B7250"/>
      <c r="C7250"/>
      <c r="E7250"/>
    </row>
    <row r="7251" spans="2:5">
      <c r="B7251"/>
      <c r="C7251"/>
      <c r="E7251"/>
    </row>
    <row r="7252" spans="2:5">
      <c r="B7252"/>
      <c r="C7252"/>
      <c r="E7252"/>
    </row>
    <row r="7253" spans="2:5">
      <c r="B7253"/>
      <c r="C7253"/>
      <c r="E7253"/>
    </row>
    <row r="7254" spans="2:5">
      <c r="B7254"/>
      <c r="C7254"/>
      <c r="E7254"/>
    </row>
    <row r="7255" spans="2:5">
      <c r="B7255"/>
      <c r="C7255"/>
      <c r="E7255"/>
    </row>
    <row r="7256" spans="2:5">
      <c r="B7256"/>
      <c r="C7256"/>
      <c r="E7256"/>
    </row>
    <row r="7257" spans="2:5">
      <c r="B7257"/>
      <c r="C7257"/>
      <c r="E7257"/>
    </row>
    <row r="7258" spans="2:5">
      <c r="B7258"/>
      <c r="C7258"/>
      <c r="E7258"/>
    </row>
    <row r="7259" spans="2:5">
      <c r="B7259"/>
      <c r="C7259"/>
      <c r="E7259"/>
    </row>
    <row r="7260" spans="2:5">
      <c r="B7260"/>
      <c r="C7260"/>
      <c r="E7260"/>
    </row>
    <row r="7261" spans="2:5">
      <c r="B7261"/>
      <c r="C7261"/>
      <c r="E7261"/>
    </row>
    <row r="7262" spans="2:5">
      <c r="B7262"/>
      <c r="C7262"/>
      <c r="E7262"/>
    </row>
    <row r="7263" spans="2:5">
      <c r="B7263"/>
      <c r="C7263"/>
      <c r="E7263"/>
    </row>
    <row r="7264" spans="2:5">
      <c r="B7264"/>
      <c r="C7264"/>
      <c r="E7264"/>
    </row>
    <row r="7265" spans="2:5">
      <c r="B7265"/>
      <c r="C7265"/>
      <c r="E7265"/>
    </row>
    <row r="7266" spans="2:5">
      <c r="B7266"/>
      <c r="C7266"/>
      <c r="E7266"/>
    </row>
    <row r="7267" spans="2:5">
      <c r="B7267"/>
      <c r="C7267"/>
      <c r="E7267"/>
    </row>
    <row r="7268" spans="2:5">
      <c r="B7268"/>
      <c r="C7268"/>
      <c r="E7268"/>
    </row>
    <row r="7269" spans="2:5">
      <c r="B7269"/>
      <c r="C7269"/>
      <c r="E7269"/>
    </row>
    <row r="7270" spans="2:5">
      <c r="B7270"/>
      <c r="C7270"/>
      <c r="E7270"/>
    </row>
    <row r="7271" spans="2:5">
      <c r="B7271"/>
      <c r="C7271"/>
      <c r="E7271"/>
    </row>
    <row r="7272" spans="2:5">
      <c r="B7272"/>
      <c r="C7272"/>
      <c r="E7272"/>
    </row>
    <row r="7273" spans="2:5">
      <c r="B7273"/>
      <c r="C7273"/>
      <c r="E7273"/>
    </row>
    <row r="7274" spans="2:5">
      <c r="B7274"/>
      <c r="C7274"/>
      <c r="E7274"/>
    </row>
    <row r="7275" spans="2:5">
      <c r="B7275"/>
      <c r="C7275"/>
      <c r="E7275"/>
    </row>
    <row r="7276" spans="2:5">
      <c r="B7276"/>
      <c r="C7276"/>
      <c r="E7276"/>
    </row>
    <row r="7277" spans="2:5">
      <c r="B7277"/>
      <c r="C7277"/>
      <c r="E7277"/>
    </row>
    <row r="7278" spans="2:5">
      <c r="B7278"/>
      <c r="C7278"/>
      <c r="E7278"/>
    </row>
    <row r="7279" spans="2:5">
      <c r="B7279"/>
      <c r="C7279"/>
      <c r="E7279"/>
    </row>
    <row r="7280" spans="2:5">
      <c r="B7280"/>
      <c r="C7280"/>
      <c r="E7280"/>
    </row>
    <row r="7281" spans="2:5">
      <c r="B7281"/>
      <c r="C7281"/>
      <c r="E7281"/>
    </row>
    <row r="7282" spans="2:5">
      <c r="B7282"/>
      <c r="C7282"/>
      <c r="E7282"/>
    </row>
    <row r="7283" spans="2:5">
      <c r="B7283"/>
      <c r="C7283"/>
      <c r="E7283"/>
    </row>
    <row r="7284" spans="2:5">
      <c r="B7284"/>
      <c r="C7284"/>
      <c r="E7284"/>
    </row>
    <row r="7285" spans="2:5">
      <c r="B7285"/>
      <c r="C7285"/>
      <c r="E7285"/>
    </row>
    <row r="7286" spans="2:5">
      <c r="B7286"/>
      <c r="C7286"/>
      <c r="E7286"/>
    </row>
    <row r="7287" spans="2:5">
      <c r="B7287"/>
      <c r="C7287"/>
      <c r="E7287"/>
    </row>
    <row r="7288" spans="2:5">
      <c r="B7288"/>
      <c r="C7288"/>
      <c r="E7288"/>
    </row>
    <row r="7289" spans="2:5">
      <c r="B7289"/>
      <c r="C7289"/>
      <c r="E7289"/>
    </row>
    <row r="7290" spans="2:5">
      <c r="B7290"/>
      <c r="C7290"/>
      <c r="E7290"/>
    </row>
    <row r="7291" spans="2:5">
      <c r="B7291"/>
      <c r="C7291"/>
      <c r="E7291"/>
    </row>
    <row r="7292" spans="2:5">
      <c r="B7292"/>
      <c r="C7292"/>
      <c r="E7292"/>
    </row>
    <row r="7293" spans="2:5">
      <c r="B7293"/>
      <c r="C7293"/>
      <c r="E7293"/>
    </row>
    <row r="7294" spans="2:5">
      <c r="B7294"/>
      <c r="C7294"/>
      <c r="E7294"/>
    </row>
    <row r="7295" spans="2:5">
      <c r="B7295"/>
      <c r="C7295"/>
      <c r="E7295"/>
    </row>
    <row r="7296" spans="2:5">
      <c r="B7296"/>
      <c r="C7296"/>
      <c r="E7296"/>
    </row>
    <row r="7297" spans="2:5">
      <c r="B7297"/>
      <c r="C7297"/>
      <c r="E7297"/>
    </row>
    <row r="7298" spans="2:5">
      <c r="B7298"/>
      <c r="C7298"/>
      <c r="E7298"/>
    </row>
    <row r="7299" spans="2:5">
      <c r="B7299"/>
      <c r="C7299"/>
      <c r="E7299"/>
    </row>
    <row r="7300" spans="2:5">
      <c r="B7300"/>
      <c r="C7300"/>
      <c r="E7300"/>
    </row>
    <row r="7301" spans="2:5">
      <c r="B7301"/>
      <c r="C7301"/>
      <c r="E7301"/>
    </row>
    <row r="7302" spans="2:5">
      <c r="B7302"/>
      <c r="C7302"/>
      <c r="E7302"/>
    </row>
    <row r="7303" spans="2:5">
      <c r="B7303"/>
      <c r="C7303"/>
      <c r="E7303"/>
    </row>
    <row r="7304" spans="2:5">
      <c r="B7304"/>
      <c r="C7304"/>
      <c r="E7304"/>
    </row>
    <row r="7305" spans="2:5">
      <c r="B7305"/>
      <c r="C7305"/>
      <c r="E7305"/>
    </row>
    <row r="7306" spans="2:5">
      <c r="B7306"/>
      <c r="C7306"/>
      <c r="E7306"/>
    </row>
    <row r="7307" spans="2:5">
      <c r="B7307"/>
      <c r="C7307"/>
      <c r="E7307"/>
    </row>
    <row r="7308" spans="2:5">
      <c r="B7308"/>
      <c r="C7308"/>
      <c r="E7308"/>
    </row>
    <row r="7309" spans="2:5">
      <c r="B7309"/>
      <c r="C7309"/>
      <c r="E7309"/>
    </row>
    <row r="7310" spans="2:5">
      <c r="B7310"/>
      <c r="C7310"/>
      <c r="E7310"/>
    </row>
    <row r="7311" spans="2:5">
      <c r="B7311"/>
      <c r="C7311"/>
      <c r="E7311"/>
    </row>
    <row r="7312" spans="2:5">
      <c r="B7312"/>
      <c r="C7312"/>
      <c r="E7312"/>
    </row>
    <row r="7313" spans="2:5">
      <c r="B7313"/>
      <c r="C7313"/>
      <c r="E7313"/>
    </row>
    <row r="7314" spans="2:5">
      <c r="B7314"/>
      <c r="C7314"/>
      <c r="E7314"/>
    </row>
    <row r="7315" spans="2:5">
      <c r="B7315"/>
      <c r="C7315"/>
      <c r="E7315"/>
    </row>
    <row r="7316" spans="2:5">
      <c r="B7316"/>
      <c r="C7316"/>
      <c r="E7316"/>
    </row>
    <row r="7317" spans="2:5">
      <c r="B7317"/>
      <c r="C7317"/>
      <c r="E7317"/>
    </row>
    <row r="7318" spans="2:5">
      <c r="B7318"/>
      <c r="C7318"/>
      <c r="E7318"/>
    </row>
    <row r="7319" spans="2:5">
      <c r="B7319"/>
      <c r="C7319"/>
      <c r="E7319"/>
    </row>
    <row r="7320" spans="2:5">
      <c r="B7320"/>
      <c r="C7320"/>
      <c r="E7320"/>
    </row>
    <row r="7321" spans="2:5">
      <c r="B7321"/>
      <c r="C7321"/>
      <c r="E7321"/>
    </row>
    <row r="7322" spans="2:5">
      <c r="B7322"/>
      <c r="C7322"/>
      <c r="E7322"/>
    </row>
    <row r="7323" spans="2:5">
      <c r="B7323"/>
      <c r="C7323"/>
      <c r="E7323"/>
    </row>
    <row r="7324" spans="2:5">
      <c r="B7324"/>
      <c r="C7324"/>
      <c r="E7324"/>
    </row>
    <row r="7325" spans="2:5">
      <c r="B7325"/>
      <c r="C7325"/>
      <c r="E7325"/>
    </row>
    <row r="7326" spans="2:5">
      <c r="B7326"/>
      <c r="C7326"/>
      <c r="E7326"/>
    </row>
    <row r="7327" spans="2:5">
      <c r="B7327"/>
      <c r="C7327"/>
      <c r="E7327"/>
    </row>
    <row r="7328" spans="2:5">
      <c r="B7328"/>
      <c r="C7328"/>
      <c r="E7328"/>
    </row>
    <row r="7329" spans="2:5">
      <c r="B7329"/>
      <c r="C7329"/>
      <c r="E7329"/>
    </row>
    <row r="7330" spans="2:5">
      <c r="B7330"/>
      <c r="C7330"/>
      <c r="E7330"/>
    </row>
    <row r="7331" spans="2:5">
      <c r="B7331"/>
      <c r="C7331"/>
      <c r="E7331"/>
    </row>
    <row r="7332" spans="2:5">
      <c r="B7332"/>
      <c r="C7332"/>
      <c r="E7332"/>
    </row>
    <row r="7333" spans="2:5">
      <c r="B7333"/>
      <c r="C7333"/>
      <c r="E7333"/>
    </row>
    <row r="7334" spans="2:5">
      <c r="B7334"/>
      <c r="C7334"/>
      <c r="E7334"/>
    </row>
    <row r="7335" spans="2:5">
      <c r="B7335"/>
      <c r="C7335"/>
      <c r="E7335"/>
    </row>
    <row r="7336" spans="2:5">
      <c r="B7336"/>
      <c r="C7336"/>
      <c r="E7336"/>
    </row>
    <row r="7337" spans="2:5">
      <c r="B7337"/>
      <c r="C7337"/>
      <c r="E7337"/>
    </row>
    <row r="7338" spans="2:5">
      <c r="B7338"/>
      <c r="C7338"/>
      <c r="E7338"/>
    </row>
    <row r="7339" spans="2:5">
      <c r="B7339"/>
      <c r="C7339"/>
      <c r="E7339"/>
    </row>
    <row r="7340" spans="2:5">
      <c r="B7340"/>
      <c r="C7340"/>
      <c r="E7340"/>
    </row>
    <row r="7341" spans="2:5">
      <c r="B7341"/>
      <c r="C7341"/>
      <c r="E7341"/>
    </row>
    <row r="7342" spans="2:5">
      <c r="B7342"/>
      <c r="C7342"/>
      <c r="E7342"/>
    </row>
    <row r="7343" spans="2:5">
      <c r="B7343"/>
      <c r="C7343"/>
      <c r="E7343"/>
    </row>
    <row r="7344" spans="2:5">
      <c r="B7344"/>
      <c r="C7344"/>
      <c r="E7344"/>
    </row>
    <row r="7345" spans="2:5">
      <c r="B7345"/>
      <c r="C7345"/>
      <c r="E7345"/>
    </row>
    <row r="7346" spans="2:5">
      <c r="B7346"/>
      <c r="C7346"/>
      <c r="E7346"/>
    </row>
    <row r="7347" spans="2:5">
      <c r="B7347"/>
      <c r="C7347"/>
      <c r="E7347"/>
    </row>
    <row r="7348" spans="2:5">
      <c r="B7348"/>
      <c r="C7348"/>
      <c r="E7348"/>
    </row>
    <row r="7349" spans="2:5">
      <c r="B7349"/>
      <c r="C7349"/>
      <c r="E7349"/>
    </row>
    <row r="7350" spans="2:5">
      <c r="B7350"/>
      <c r="C7350"/>
      <c r="E7350"/>
    </row>
    <row r="7351" spans="2:5">
      <c r="B7351"/>
      <c r="C7351"/>
      <c r="E7351"/>
    </row>
    <row r="7352" spans="2:5">
      <c r="B7352"/>
      <c r="C7352"/>
      <c r="E7352"/>
    </row>
    <row r="7353" spans="2:5">
      <c r="B7353"/>
      <c r="C7353"/>
      <c r="E7353"/>
    </row>
    <row r="7354" spans="2:5">
      <c r="B7354"/>
      <c r="C7354"/>
      <c r="E7354"/>
    </row>
    <row r="7355" spans="2:5">
      <c r="B7355"/>
      <c r="C7355"/>
      <c r="E7355"/>
    </row>
    <row r="7356" spans="2:5">
      <c r="B7356"/>
      <c r="C7356"/>
      <c r="E7356"/>
    </row>
    <row r="7357" spans="2:5">
      <c r="B7357"/>
      <c r="C7357"/>
      <c r="E7357"/>
    </row>
    <row r="7358" spans="2:5">
      <c r="B7358"/>
      <c r="C7358"/>
      <c r="E7358"/>
    </row>
    <row r="7359" spans="2:5">
      <c r="B7359"/>
      <c r="C7359"/>
      <c r="E7359"/>
    </row>
    <row r="7360" spans="2:5">
      <c r="B7360"/>
      <c r="C7360"/>
      <c r="E7360"/>
    </row>
    <row r="7361" spans="2:5">
      <c r="B7361"/>
      <c r="C7361"/>
      <c r="E7361"/>
    </row>
    <row r="7362" spans="2:5">
      <c r="B7362"/>
      <c r="C7362"/>
      <c r="E7362"/>
    </row>
    <row r="7363" spans="2:5">
      <c r="B7363"/>
      <c r="C7363"/>
      <c r="E7363"/>
    </row>
    <row r="7364" spans="2:5">
      <c r="B7364"/>
      <c r="C7364"/>
      <c r="E7364"/>
    </row>
    <row r="7365" spans="2:5">
      <c r="B7365"/>
      <c r="C7365"/>
      <c r="E7365"/>
    </row>
    <row r="7366" spans="2:5">
      <c r="B7366"/>
      <c r="C7366"/>
      <c r="E7366"/>
    </row>
    <row r="7367" spans="2:5">
      <c r="B7367"/>
      <c r="C7367"/>
      <c r="E7367"/>
    </row>
    <row r="7368" spans="2:5">
      <c r="B7368"/>
      <c r="C7368"/>
      <c r="E7368"/>
    </row>
    <row r="7369" spans="2:5">
      <c r="B7369"/>
      <c r="C7369"/>
      <c r="E7369"/>
    </row>
    <row r="7370" spans="2:5">
      <c r="B7370"/>
      <c r="C7370"/>
      <c r="E7370"/>
    </row>
    <row r="7371" spans="2:5">
      <c r="B7371"/>
      <c r="C7371"/>
      <c r="E7371"/>
    </row>
    <row r="7372" spans="2:5">
      <c r="B7372"/>
      <c r="C7372"/>
      <c r="E7372"/>
    </row>
    <row r="7373" spans="2:5">
      <c r="B7373"/>
      <c r="C7373"/>
      <c r="E7373"/>
    </row>
    <row r="7374" spans="2:5">
      <c r="B7374"/>
      <c r="C7374"/>
      <c r="E7374"/>
    </row>
    <row r="7375" spans="2:5">
      <c r="B7375"/>
      <c r="C7375"/>
      <c r="E7375"/>
    </row>
    <row r="7376" spans="2:5">
      <c r="B7376"/>
      <c r="C7376"/>
      <c r="E7376"/>
    </row>
    <row r="7377" spans="2:5">
      <c r="B7377"/>
      <c r="C7377"/>
      <c r="E7377"/>
    </row>
    <row r="7378" spans="2:5">
      <c r="B7378"/>
      <c r="C7378"/>
      <c r="E7378"/>
    </row>
    <row r="7379" spans="2:5">
      <c r="B7379"/>
      <c r="C7379"/>
      <c r="E7379"/>
    </row>
    <row r="7380" spans="2:5">
      <c r="B7380"/>
      <c r="C7380"/>
      <c r="E7380"/>
    </row>
    <row r="7381" spans="2:5">
      <c r="B7381"/>
      <c r="C7381"/>
      <c r="E7381"/>
    </row>
    <row r="7382" spans="2:5">
      <c r="B7382"/>
      <c r="C7382"/>
      <c r="E7382"/>
    </row>
    <row r="7383" spans="2:5">
      <c r="B7383"/>
      <c r="C7383"/>
      <c r="E7383"/>
    </row>
    <row r="7384" spans="2:5">
      <c r="B7384"/>
      <c r="C7384"/>
      <c r="E7384"/>
    </row>
    <row r="7385" spans="2:5">
      <c r="B7385"/>
      <c r="C7385"/>
      <c r="E7385"/>
    </row>
    <row r="7386" spans="2:5">
      <c r="B7386"/>
      <c r="C7386"/>
      <c r="E7386"/>
    </row>
    <row r="7387" spans="2:5">
      <c r="B7387"/>
      <c r="C7387"/>
      <c r="E7387"/>
    </row>
    <row r="7388" spans="2:5">
      <c r="B7388"/>
      <c r="C7388"/>
      <c r="E7388"/>
    </row>
    <row r="7389" spans="2:5">
      <c r="B7389"/>
      <c r="C7389"/>
      <c r="E7389"/>
    </row>
    <row r="7390" spans="2:5">
      <c r="B7390"/>
      <c r="C7390"/>
      <c r="E7390"/>
    </row>
    <row r="7391" spans="2:5">
      <c r="B7391"/>
      <c r="C7391"/>
      <c r="E7391"/>
    </row>
    <row r="7392" spans="2:5">
      <c r="B7392"/>
      <c r="C7392"/>
      <c r="E7392"/>
    </row>
    <row r="7393" spans="2:5">
      <c r="B7393"/>
      <c r="C7393"/>
      <c r="E7393"/>
    </row>
    <row r="7394" spans="2:5">
      <c r="B7394"/>
      <c r="C7394"/>
      <c r="E7394"/>
    </row>
    <row r="7395" spans="2:5">
      <c r="B7395"/>
      <c r="C7395"/>
      <c r="E7395"/>
    </row>
    <row r="7396" spans="2:5">
      <c r="B7396"/>
      <c r="C7396"/>
      <c r="E7396"/>
    </row>
    <row r="7397" spans="2:5">
      <c r="B7397"/>
      <c r="C7397"/>
      <c r="E7397"/>
    </row>
    <row r="7398" spans="2:5">
      <c r="B7398"/>
      <c r="C7398"/>
      <c r="E7398"/>
    </row>
    <row r="7399" spans="2:5">
      <c r="B7399"/>
      <c r="C7399"/>
      <c r="E7399"/>
    </row>
    <row r="7400" spans="2:5">
      <c r="B7400"/>
      <c r="C7400"/>
      <c r="E7400"/>
    </row>
    <row r="7401" spans="2:5">
      <c r="B7401"/>
      <c r="C7401"/>
      <c r="E7401"/>
    </row>
    <row r="7402" spans="2:5">
      <c r="B7402"/>
      <c r="C7402"/>
      <c r="E7402"/>
    </row>
    <row r="7403" spans="2:5">
      <c r="B7403"/>
      <c r="C7403"/>
      <c r="E7403"/>
    </row>
    <row r="7404" spans="2:5">
      <c r="B7404"/>
      <c r="C7404"/>
      <c r="E7404"/>
    </row>
    <row r="7405" spans="2:5">
      <c r="B7405"/>
      <c r="C7405"/>
      <c r="E7405"/>
    </row>
    <row r="7406" spans="2:5">
      <c r="B7406"/>
      <c r="C7406"/>
      <c r="E7406"/>
    </row>
    <row r="7407" spans="2:5">
      <c r="B7407"/>
      <c r="C7407"/>
      <c r="E7407"/>
    </row>
    <row r="7408" spans="2:5">
      <c r="B7408"/>
      <c r="C7408"/>
      <c r="E7408"/>
    </row>
    <row r="7409" spans="2:5">
      <c r="B7409"/>
      <c r="C7409"/>
      <c r="E7409"/>
    </row>
    <row r="7410" spans="2:5">
      <c r="B7410"/>
      <c r="C7410"/>
      <c r="E7410"/>
    </row>
    <row r="7411" spans="2:5">
      <c r="B7411"/>
      <c r="C7411"/>
      <c r="E7411"/>
    </row>
    <row r="7412" spans="2:5">
      <c r="B7412"/>
      <c r="C7412"/>
      <c r="E7412"/>
    </row>
    <row r="7413" spans="2:5">
      <c r="B7413"/>
      <c r="C7413"/>
      <c r="E7413"/>
    </row>
    <row r="7414" spans="2:5">
      <c r="B7414"/>
      <c r="C7414"/>
      <c r="E7414"/>
    </row>
    <row r="7415" spans="2:5">
      <c r="B7415"/>
      <c r="C7415"/>
      <c r="E7415"/>
    </row>
    <row r="7416" spans="2:5">
      <c r="B7416"/>
      <c r="C7416"/>
      <c r="E7416"/>
    </row>
    <row r="7417" spans="2:5">
      <c r="B7417"/>
      <c r="C7417"/>
      <c r="E7417"/>
    </row>
    <row r="7418" spans="2:5">
      <c r="B7418"/>
      <c r="C7418"/>
      <c r="E7418"/>
    </row>
    <row r="7419" spans="2:5">
      <c r="B7419"/>
      <c r="C7419"/>
      <c r="E7419"/>
    </row>
    <row r="7420" spans="2:5">
      <c r="B7420"/>
      <c r="C7420"/>
      <c r="E7420"/>
    </row>
    <row r="7421" spans="2:5">
      <c r="B7421"/>
      <c r="C7421"/>
      <c r="E7421"/>
    </row>
    <row r="7422" spans="2:5">
      <c r="B7422"/>
      <c r="C7422"/>
      <c r="E7422"/>
    </row>
    <row r="7423" spans="2:5">
      <c r="B7423"/>
      <c r="C7423"/>
      <c r="E7423"/>
    </row>
    <row r="7424" spans="2:5">
      <c r="B7424"/>
      <c r="C7424"/>
      <c r="E7424"/>
    </row>
    <row r="7425" spans="2:5">
      <c r="B7425"/>
      <c r="C7425"/>
      <c r="E7425"/>
    </row>
    <row r="7426" spans="2:5">
      <c r="B7426"/>
      <c r="C7426"/>
      <c r="E7426"/>
    </row>
    <row r="7427" spans="2:5">
      <c r="B7427"/>
      <c r="C7427"/>
      <c r="E7427"/>
    </row>
    <row r="7428" spans="2:5">
      <c r="B7428"/>
      <c r="C7428"/>
      <c r="E7428"/>
    </row>
    <row r="7429" spans="2:5">
      <c r="B7429"/>
      <c r="C7429"/>
      <c r="E7429"/>
    </row>
    <row r="7430" spans="2:5">
      <c r="B7430"/>
      <c r="C7430"/>
      <c r="E7430"/>
    </row>
    <row r="7431" spans="2:5">
      <c r="B7431"/>
      <c r="C7431"/>
      <c r="E7431"/>
    </row>
    <row r="7432" spans="2:5">
      <c r="B7432"/>
      <c r="C7432"/>
      <c r="E7432"/>
    </row>
    <row r="7433" spans="2:5">
      <c r="B7433"/>
      <c r="C7433"/>
      <c r="E7433"/>
    </row>
    <row r="7434" spans="2:5">
      <c r="B7434"/>
      <c r="C7434"/>
      <c r="E7434"/>
    </row>
    <row r="7435" spans="2:5">
      <c r="B7435"/>
      <c r="C7435"/>
      <c r="E7435"/>
    </row>
    <row r="7436" spans="2:5">
      <c r="B7436"/>
      <c r="C7436"/>
      <c r="E7436"/>
    </row>
    <row r="7437" spans="2:5">
      <c r="B7437"/>
      <c r="C7437"/>
      <c r="E7437"/>
    </row>
    <row r="7438" spans="2:5">
      <c r="B7438"/>
      <c r="C7438"/>
      <c r="E7438"/>
    </row>
    <row r="7439" spans="2:5">
      <c r="B7439"/>
      <c r="C7439"/>
      <c r="E7439"/>
    </row>
    <row r="7440" spans="2:5">
      <c r="B7440"/>
      <c r="C7440"/>
      <c r="E7440"/>
    </row>
    <row r="7441" spans="2:5">
      <c r="B7441"/>
      <c r="C7441"/>
      <c r="E7441"/>
    </row>
    <row r="7442" spans="2:5">
      <c r="B7442"/>
      <c r="C7442"/>
      <c r="E7442"/>
    </row>
    <row r="7443" spans="2:5">
      <c r="B7443"/>
      <c r="C7443"/>
      <c r="E7443"/>
    </row>
    <row r="7444" spans="2:5">
      <c r="B7444"/>
      <c r="C7444"/>
      <c r="E7444"/>
    </row>
    <row r="7445" spans="2:5">
      <c r="B7445"/>
      <c r="C7445"/>
      <c r="E7445"/>
    </row>
    <row r="7446" spans="2:5">
      <c r="B7446"/>
      <c r="C7446"/>
      <c r="E7446"/>
    </row>
    <row r="7447" spans="2:5">
      <c r="B7447"/>
      <c r="C7447"/>
      <c r="E7447"/>
    </row>
    <row r="7448" spans="2:5">
      <c r="B7448"/>
      <c r="C7448"/>
      <c r="E7448"/>
    </row>
    <row r="7449" spans="2:5">
      <c r="B7449"/>
      <c r="C7449"/>
      <c r="E7449"/>
    </row>
    <row r="7450" spans="2:5">
      <c r="B7450"/>
      <c r="C7450"/>
      <c r="E7450"/>
    </row>
    <row r="7451" spans="2:5">
      <c r="B7451"/>
      <c r="C7451"/>
      <c r="E7451"/>
    </row>
    <row r="7452" spans="2:5">
      <c r="B7452"/>
      <c r="C7452"/>
      <c r="E7452"/>
    </row>
    <row r="7453" spans="2:5">
      <c r="B7453"/>
      <c r="C7453"/>
      <c r="E7453"/>
    </row>
    <row r="7454" spans="2:5">
      <c r="B7454"/>
      <c r="C7454"/>
      <c r="E7454"/>
    </row>
    <row r="7455" spans="2:5">
      <c r="B7455"/>
      <c r="C7455"/>
      <c r="E7455"/>
    </row>
    <row r="7456" spans="2:5">
      <c r="B7456"/>
      <c r="C7456"/>
      <c r="E7456"/>
    </row>
    <row r="7457" spans="2:5">
      <c r="B7457"/>
      <c r="C7457"/>
      <c r="E7457"/>
    </row>
    <row r="7458" spans="2:5">
      <c r="B7458"/>
      <c r="C7458"/>
      <c r="E7458"/>
    </row>
    <row r="7459" spans="2:5">
      <c r="B7459"/>
      <c r="C7459"/>
      <c r="E7459"/>
    </row>
    <row r="7460" spans="2:5">
      <c r="B7460"/>
      <c r="C7460"/>
      <c r="E7460"/>
    </row>
    <row r="7461" spans="2:5">
      <c r="B7461"/>
      <c r="C7461"/>
      <c r="E7461"/>
    </row>
    <row r="7462" spans="2:5">
      <c r="B7462"/>
      <c r="C7462"/>
      <c r="E7462"/>
    </row>
    <row r="7463" spans="2:5">
      <c r="B7463"/>
      <c r="C7463"/>
      <c r="E7463"/>
    </row>
    <row r="7464" spans="2:5">
      <c r="B7464"/>
      <c r="C7464"/>
      <c r="E7464"/>
    </row>
    <row r="7465" spans="2:5">
      <c r="B7465"/>
      <c r="C7465"/>
      <c r="E7465"/>
    </row>
    <row r="7466" spans="2:5">
      <c r="B7466"/>
      <c r="C7466"/>
      <c r="E7466"/>
    </row>
    <row r="7467" spans="2:5">
      <c r="B7467"/>
      <c r="C7467"/>
      <c r="E7467"/>
    </row>
    <row r="7468" spans="2:5">
      <c r="B7468"/>
      <c r="C7468"/>
      <c r="E7468"/>
    </row>
    <row r="7469" spans="2:5">
      <c r="B7469"/>
      <c r="C7469"/>
      <c r="E7469"/>
    </row>
    <row r="7470" spans="2:5">
      <c r="B7470"/>
      <c r="C7470"/>
      <c r="E7470"/>
    </row>
    <row r="7471" spans="2:5">
      <c r="B7471"/>
      <c r="C7471"/>
      <c r="E7471"/>
    </row>
    <row r="7472" spans="2:5">
      <c r="B7472"/>
      <c r="C7472"/>
      <c r="E7472"/>
    </row>
    <row r="7473" spans="2:5">
      <c r="B7473"/>
      <c r="C7473"/>
      <c r="E7473"/>
    </row>
    <row r="7474" spans="2:5">
      <c r="B7474"/>
      <c r="C7474"/>
      <c r="E7474"/>
    </row>
    <row r="7475" spans="2:5">
      <c r="B7475"/>
      <c r="C7475"/>
      <c r="E7475"/>
    </row>
    <row r="7476" spans="2:5">
      <c r="B7476"/>
      <c r="C7476"/>
      <c r="E7476"/>
    </row>
    <row r="7477" spans="2:5">
      <c r="B7477"/>
      <c r="C7477"/>
      <c r="E7477"/>
    </row>
    <row r="7478" spans="2:5">
      <c r="B7478"/>
      <c r="C7478"/>
      <c r="E7478"/>
    </row>
    <row r="7479" spans="2:5">
      <c r="B7479"/>
      <c r="C7479"/>
      <c r="E7479"/>
    </row>
    <row r="7480" spans="2:5">
      <c r="B7480"/>
      <c r="C7480"/>
      <c r="E7480"/>
    </row>
    <row r="7481" spans="2:5">
      <c r="B7481"/>
      <c r="C7481"/>
      <c r="E7481"/>
    </row>
    <row r="7482" spans="2:5">
      <c r="B7482"/>
      <c r="C7482"/>
      <c r="E7482"/>
    </row>
    <row r="7483" spans="2:5">
      <c r="B7483"/>
      <c r="C7483"/>
      <c r="E7483"/>
    </row>
    <row r="7484" spans="2:5">
      <c r="B7484"/>
      <c r="C7484"/>
      <c r="E7484"/>
    </row>
    <row r="7485" spans="2:5">
      <c r="B7485"/>
      <c r="C7485"/>
      <c r="E7485"/>
    </row>
    <row r="7486" spans="2:5">
      <c r="B7486"/>
      <c r="C7486"/>
      <c r="E7486"/>
    </row>
    <row r="7487" spans="2:5">
      <c r="B7487"/>
      <c r="C7487"/>
      <c r="E7487"/>
    </row>
    <row r="7488" spans="2:5">
      <c r="B7488"/>
      <c r="C7488"/>
      <c r="E7488"/>
    </row>
    <row r="7489" spans="2:5">
      <c r="B7489"/>
      <c r="C7489"/>
      <c r="E7489"/>
    </row>
    <row r="7490" spans="2:5">
      <c r="B7490"/>
      <c r="C7490"/>
      <c r="E7490"/>
    </row>
    <row r="7491" spans="2:5">
      <c r="B7491"/>
      <c r="C7491"/>
      <c r="E7491"/>
    </row>
    <row r="7492" spans="2:5">
      <c r="B7492"/>
      <c r="C7492"/>
      <c r="E7492"/>
    </row>
    <row r="7493" spans="2:5">
      <c r="B7493"/>
      <c r="C7493"/>
      <c r="E7493"/>
    </row>
    <row r="7494" spans="2:5">
      <c r="B7494"/>
      <c r="C7494"/>
      <c r="E7494"/>
    </row>
    <row r="7495" spans="2:5">
      <c r="B7495"/>
      <c r="C7495"/>
      <c r="E7495"/>
    </row>
    <row r="7496" spans="2:5">
      <c r="B7496"/>
      <c r="C7496"/>
      <c r="E7496"/>
    </row>
    <row r="7497" spans="2:5">
      <c r="B7497"/>
      <c r="C7497"/>
      <c r="E7497"/>
    </row>
    <row r="7498" spans="2:5">
      <c r="B7498"/>
      <c r="C7498"/>
      <c r="E7498"/>
    </row>
    <row r="7499" spans="2:5">
      <c r="B7499"/>
      <c r="C7499"/>
      <c r="E7499"/>
    </row>
    <row r="7500" spans="2:5">
      <c r="B7500"/>
      <c r="C7500"/>
      <c r="E7500"/>
    </row>
    <row r="7501" spans="2:5">
      <c r="B7501"/>
      <c r="C7501"/>
      <c r="E7501"/>
    </row>
    <row r="7502" spans="2:5">
      <c r="B7502"/>
      <c r="C7502"/>
      <c r="E7502"/>
    </row>
    <row r="7503" spans="2:5">
      <c r="B7503"/>
      <c r="C7503"/>
      <c r="E7503"/>
    </row>
    <row r="7504" spans="2:5">
      <c r="B7504"/>
      <c r="C7504"/>
      <c r="E7504"/>
    </row>
    <row r="7505" spans="2:5">
      <c r="B7505"/>
      <c r="C7505"/>
      <c r="E7505"/>
    </row>
    <row r="7506" spans="2:5">
      <c r="B7506"/>
      <c r="C7506"/>
      <c r="E7506"/>
    </row>
    <row r="7507" spans="2:5">
      <c r="B7507"/>
      <c r="C7507"/>
      <c r="E7507"/>
    </row>
    <row r="7508" spans="2:5">
      <c r="B7508"/>
      <c r="C7508"/>
      <c r="E7508"/>
    </row>
    <row r="7509" spans="2:5">
      <c r="B7509"/>
      <c r="C7509"/>
      <c r="E7509"/>
    </row>
    <row r="7510" spans="2:5">
      <c r="B7510"/>
      <c r="C7510"/>
      <c r="E7510"/>
    </row>
    <row r="7511" spans="2:5">
      <c r="B7511"/>
      <c r="C7511"/>
      <c r="E7511"/>
    </row>
    <row r="7512" spans="2:5">
      <c r="B7512"/>
      <c r="C7512"/>
      <c r="E7512"/>
    </row>
    <row r="7513" spans="2:5">
      <c r="B7513"/>
      <c r="C7513"/>
      <c r="E7513"/>
    </row>
    <row r="7514" spans="2:5">
      <c r="B7514"/>
      <c r="C7514"/>
      <c r="E7514"/>
    </row>
    <row r="7515" spans="2:5">
      <c r="B7515"/>
      <c r="C7515"/>
      <c r="E7515"/>
    </row>
    <row r="7516" spans="2:5">
      <c r="B7516"/>
      <c r="C7516"/>
      <c r="E7516"/>
    </row>
    <row r="7517" spans="2:5">
      <c r="B7517"/>
      <c r="C7517"/>
      <c r="E7517"/>
    </row>
    <row r="7518" spans="2:5">
      <c r="B7518"/>
      <c r="C7518"/>
      <c r="E7518"/>
    </row>
    <row r="7519" spans="2:5">
      <c r="B7519"/>
      <c r="C7519"/>
      <c r="E7519"/>
    </row>
    <row r="7520" spans="2:5">
      <c r="B7520"/>
      <c r="C7520"/>
      <c r="E7520"/>
    </row>
    <row r="7521" spans="2:5">
      <c r="B7521"/>
      <c r="C7521"/>
      <c r="E7521"/>
    </row>
    <row r="7522" spans="2:5">
      <c r="B7522"/>
      <c r="C7522"/>
      <c r="E7522"/>
    </row>
    <row r="7523" spans="2:5">
      <c r="B7523"/>
      <c r="C7523"/>
      <c r="E7523"/>
    </row>
    <row r="7524" spans="2:5">
      <c r="B7524"/>
      <c r="C7524"/>
      <c r="E7524"/>
    </row>
    <row r="7525" spans="2:5">
      <c r="B7525"/>
      <c r="C7525"/>
      <c r="E7525"/>
    </row>
    <row r="7526" spans="2:5">
      <c r="B7526"/>
      <c r="C7526"/>
      <c r="E7526"/>
    </row>
    <row r="7527" spans="2:5">
      <c r="B7527"/>
      <c r="C7527"/>
      <c r="E7527"/>
    </row>
    <row r="7528" spans="2:5">
      <c r="B7528"/>
      <c r="C7528"/>
      <c r="E7528"/>
    </row>
    <row r="7529" spans="2:5">
      <c r="B7529"/>
      <c r="C7529"/>
      <c r="E7529"/>
    </row>
    <row r="7530" spans="2:5">
      <c r="B7530"/>
      <c r="C7530"/>
      <c r="E7530"/>
    </row>
    <row r="7531" spans="2:5">
      <c r="B7531"/>
      <c r="C7531"/>
      <c r="E7531"/>
    </row>
    <row r="7532" spans="2:5">
      <c r="B7532"/>
      <c r="C7532"/>
      <c r="E7532"/>
    </row>
    <row r="7533" spans="2:5">
      <c r="B7533"/>
      <c r="C7533"/>
      <c r="E7533"/>
    </row>
    <row r="7534" spans="2:5">
      <c r="B7534"/>
      <c r="C7534"/>
      <c r="E7534"/>
    </row>
    <row r="7535" spans="2:5">
      <c r="B7535"/>
      <c r="C7535"/>
      <c r="E7535"/>
    </row>
    <row r="7536" spans="2:5">
      <c r="B7536"/>
      <c r="C7536"/>
      <c r="E7536"/>
    </row>
    <row r="7537" spans="2:5">
      <c r="B7537"/>
      <c r="C7537"/>
      <c r="E7537"/>
    </row>
    <row r="7538" spans="2:5">
      <c r="B7538"/>
      <c r="C7538"/>
      <c r="E7538"/>
    </row>
    <row r="7539" spans="2:5">
      <c r="B7539"/>
      <c r="C7539"/>
      <c r="E7539"/>
    </row>
    <row r="7540" spans="2:5">
      <c r="B7540"/>
      <c r="C7540"/>
      <c r="E7540"/>
    </row>
    <row r="7541" spans="2:5">
      <c r="B7541"/>
      <c r="C7541"/>
      <c r="E7541"/>
    </row>
    <row r="7542" spans="2:5">
      <c r="B7542"/>
      <c r="C7542"/>
      <c r="E7542"/>
    </row>
    <row r="7543" spans="2:5">
      <c r="B7543"/>
      <c r="C7543"/>
      <c r="E7543"/>
    </row>
    <row r="7544" spans="2:5">
      <c r="B7544"/>
      <c r="C7544"/>
      <c r="E7544"/>
    </row>
    <row r="7545" spans="2:5">
      <c r="B7545"/>
      <c r="C7545"/>
      <c r="E7545"/>
    </row>
    <row r="7546" spans="2:5">
      <c r="B7546"/>
      <c r="C7546"/>
      <c r="E7546"/>
    </row>
    <row r="7547" spans="2:5">
      <c r="B7547"/>
      <c r="C7547"/>
      <c r="E7547"/>
    </row>
    <row r="7548" spans="2:5">
      <c r="B7548"/>
      <c r="C7548"/>
      <c r="E7548"/>
    </row>
    <row r="7549" spans="2:5">
      <c r="B7549"/>
      <c r="C7549"/>
      <c r="E7549"/>
    </row>
    <row r="7550" spans="2:5">
      <c r="B7550"/>
      <c r="C7550"/>
      <c r="E7550"/>
    </row>
    <row r="7551" spans="2:5">
      <c r="B7551"/>
      <c r="C7551"/>
      <c r="E7551"/>
    </row>
    <row r="7552" spans="2:5">
      <c r="B7552"/>
      <c r="C7552"/>
      <c r="E7552"/>
    </row>
    <row r="7553" spans="2:5">
      <c r="B7553"/>
      <c r="C7553"/>
      <c r="E7553"/>
    </row>
    <row r="7554" spans="2:5">
      <c r="B7554"/>
      <c r="C7554"/>
      <c r="E7554"/>
    </row>
    <row r="7555" spans="2:5">
      <c r="B7555"/>
      <c r="C7555"/>
      <c r="E7555"/>
    </row>
    <row r="7556" spans="2:5">
      <c r="B7556"/>
      <c r="C7556"/>
      <c r="E7556"/>
    </row>
    <row r="7557" spans="2:5">
      <c r="B7557"/>
      <c r="C7557"/>
      <c r="E7557"/>
    </row>
    <row r="7558" spans="2:5">
      <c r="B7558"/>
      <c r="C7558"/>
      <c r="E7558"/>
    </row>
    <row r="7559" spans="2:5">
      <c r="B7559"/>
      <c r="C7559"/>
      <c r="E7559"/>
    </row>
    <row r="7560" spans="2:5">
      <c r="B7560"/>
      <c r="C7560"/>
      <c r="E7560"/>
    </row>
    <row r="7561" spans="2:5">
      <c r="B7561"/>
      <c r="C7561"/>
      <c r="E7561"/>
    </row>
    <row r="7562" spans="2:5">
      <c r="B7562"/>
      <c r="C7562"/>
      <c r="E7562"/>
    </row>
    <row r="7563" spans="2:5">
      <c r="B7563"/>
      <c r="C7563"/>
      <c r="E7563"/>
    </row>
    <row r="7564" spans="2:5">
      <c r="B7564"/>
      <c r="C7564"/>
      <c r="E7564"/>
    </row>
    <row r="7565" spans="2:5">
      <c r="B7565"/>
      <c r="C7565"/>
      <c r="E7565"/>
    </row>
    <row r="7566" spans="2:5">
      <c r="B7566"/>
      <c r="C7566"/>
      <c r="E7566"/>
    </row>
    <row r="7567" spans="2:5">
      <c r="B7567"/>
      <c r="C7567"/>
      <c r="E7567"/>
    </row>
    <row r="7568" spans="2:5">
      <c r="B7568"/>
      <c r="C7568"/>
      <c r="E7568"/>
    </row>
    <row r="7569" spans="2:5">
      <c r="B7569"/>
      <c r="C7569"/>
      <c r="E7569"/>
    </row>
    <row r="7570" spans="2:5">
      <c r="B7570"/>
      <c r="C7570"/>
      <c r="E7570"/>
    </row>
    <row r="7571" spans="2:5">
      <c r="B7571"/>
      <c r="C7571"/>
      <c r="E7571"/>
    </row>
    <row r="7572" spans="2:5">
      <c r="B7572"/>
      <c r="C7572"/>
      <c r="E7572"/>
    </row>
    <row r="7573" spans="2:5">
      <c r="B7573"/>
      <c r="C7573"/>
      <c r="E7573"/>
    </row>
    <row r="7574" spans="2:5">
      <c r="B7574"/>
      <c r="C7574"/>
      <c r="E7574"/>
    </row>
    <row r="7575" spans="2:5">
      <c r="B7575"/>
      <c r="C7575"/>
      <c r="E7575"/>
    </row>
    <row r="7576" spans="2:5">
      <c r="B7576"/>
      <c r="C7576"/>
      <c r="E7576"/>
    </row>
    <row r="7577" spans="2:5">
      <c r="B7577"/>
      <c r="C7577"/>
      <c r="E7577"/>
    </row>
    <row r="7578" spans="2:5">
      <c r="B7578"/>
      <c r="C7578"/>
      <c r="E7578"/>
    </row>
    <row r="7579" spans="2:5">
      <c r="B7579"/>
      <c r="C7579"/>
      <c r="E7579"/>
    </row>
    <row r="7580" spans="2:5">
      <c r="B7580"/>
      <c r="C7580"/>
      <c r="E7580"/>
    </row>
    <row r="7581" spans="2:5">
      <c r="B7581"/>
      <c r="C7581"/>
      <c r="E7581"/>
    </row>
    <row r="7582" spans="2:5">
      <c r="B7582"/>
      <c r="C7582"/>
      <c r="E7582"/>
    </row>
    <row r="7583" spans="2:5">
      <c r="B7583"/>
      <c r="C7583"/>
      <c r="E7583"/>
    </row>
    <row r="7584" spans="2:5">
      <c r="B7584"/>
      <c r="C7584"/>
      <c r="E7584"/>
    </row>
    <row r="7585" spans="2:5">
      <c r="B7585"/>
      <c r="C7585"/>
      <c r="E7585"/>
    </row>
    <row r="7586" spans="2:5">
      <c r="B7586"/>
      <c r="C7586"/>
      <c r="E7586"/>
    </row>
    <row r="7587" spans="2:5">
      <c r="B7587"/>
      <c r="C7587"/>
      <c r="E7587"/>
    </row>
    <row r="7588" spans="2:5">
      <c r="B7588"/>
      <c r="C7588"/>
      <c r="E7588"/>
    </row>
    <row r="7589" spans="2:5">
      <c r="B7589"/>
      <c r="C7589"/>
      <c r="E7589"/>
    </row>
    <row r="7590" spans="2:5">
      <c r="B7590"/>
      <c r="C7590"/>
      <c r="E7590"/>
    </row>
    <row r="7591" spans="2:5">
      <c r="B7591"/>
      <c r="C7591"/>
      <c r="E7591"/>
    </row>
    <row r="7592" spans="2:5">
      <c r="B7592"/>
      <c r="C7592"/>
      <c r="E7592"/>
    </row>
    <row r="7593" spans="2:5">
      <c r="B7593"/>
      <c r="C7593"/>
      <c r="E7593"/>
    </row>
    <row r="7594" spans="2:5">
      <c r="B7594"/>
      <c r="C7594"/>
      <c r="E7594"/>
    </row>
    <row r="7595" spans="2:5">
      <c r="B7595"/>
      <c r="C7595"/>
      <c r="E7595"/>
    </row>
    <row r="7596" spans="2:5">
      <c r="B7596"/>
      <c r="C7596"/>
      <c r="E7596"/>
    </row>
    <row r="7597" spans="2:5">
      <c r="B7597"/>
      <c r="C7597"/>
      <c r="E7597"/>
    </row>
    <row r="7598" spans="2:5">
      <c r="B7598"/>
      <c r="C7598"/>
      <c r="E7598"/>
    </row>
    <row r="7599" spans="2:5">
      <c r="B7599"/>
      <c r="C7599"/>
      <c r="E7599"/>
    </row>
    <row r="7600" spans="2:5">
      <c r="B7600"/>
      <c r="C7600"/>
      <c r="E7600"/>
    </row>
    <row r="7601" spans="2:5">
      <c r="B7601"/>
      <c r="C7601"/>
      <c r="E7601"/>
    </row>
    <row r="7602" spans="2:5">
      <c r="B7602"/>
      <c r="C7602"/>
      <c r="E7602"/>
    </row>
    <row r="7603" spans="2:5">
      <c r="B7603"/>
      <c r="C7603"/>
      <c r="E7603"/>
    </row>
    <row r="7604" spans="2:5">
      <c r="B7604"/>
      <c r="C7604"/>
      <c r="E7604"/>
    </row>
    <row r="7605" spans="2:5">
      <c r="B7605"/>
      <c r="C7605"/>
      <c r="E7605"/>
    </row>
    <row r="7606" spans="2:5">
      <c r="B7606"/>
      <c r="C7606"/>
      <c r="E7606"/>
    </row>
    <row r="7607" spans="2:5">
      <c r="B7607"/>
      <c r="C7607"/>
      <c r="E7607"/>
    </row>
    <row r="7608" spans="2:5">
      <c r="B7608"/>
      <c r="C7608"/>
      <c r="E7608"/>
    </row>
    <row r="7609" spans="2:5">
      <c r="B7609"/>
      <c r="C7609"/>
      <c r="E7609"/>
    </row>
    <row r="7610" spans="2:5">
      <c r="B7610"/>
      <c r="C7610"/>
      <c r="E7610"/>
    </row>
    <row r="7611" spans="2:5">
      <c r="B7611"/>
      <c r="C7611"/>
      <c r="E7611"/>
    </row>
    <row r="7612" spans="2:5">
      <c r="B7612"/>
      <c r="C7612"/>
      <c r="E7612"/>
    </row>
    <row r="7613" spans="2:5">
      <c r="B7613"/>
      <c r="C7613"/>
      <c r="E7613"/>
    </row>
    <row r="7614" spans="2:5">
      <c r="B7614"/>
      <c r="C7614"/>
      <c r="E7614"/>
    </row>
    <row r="7615" spans="2:5">
      <c r="B7615"/>
      <c r="C7615"/>
      <c r="E7615"/>
    </row>
    <row r="7616" spans="2:5">
      <c r="B7616"/>
      <c r="C7616"/>
      <c r="E7616"/>
    </row>
    <row r="7617" spans="2:5">
      <c r="B7617"/>
      <c r="C7617"/>
      <c r="E7617"/>
    </row>
    <row r="7618" spans="2:5">
      <c r="B7618"/>
      <c r="C7618"/>
      <c r="E7618"/>
    </row>
    <row r="7619" spans="2:5">
      <c r="B7619"/>
      <c r="C7619"/>
      <c r="E7619"/>
    </row>
    <row r="7620" spans="2:5">
      <c r="B7620"/>
      <c r="C7620"/>
      <c r="E7620"/>
    </row>
    <row r="7621" spans="2:5">
      <c r="B7621"/>
      <c r="C7621"/>
      <c r="E7621"/>
    </row>
    <row r="7622" spans="2:5">
      <c r="B7622"/>
      <c r="C7622"/>
      <c r="E7622"/>
    </row>
    <row r="7623" spans="2:5">
      <c r="B7623"/>
      <c r="C7623"/>
      <c r="E7623"/>
    </row>
    <row r="7624" spans="2:5">
      <c r="B7624"/>
      <c r="C7624"/>
      <c r="E7624"/>
    </row>
    <row r="7625" spans="2:5">
      <c r="B7625"/>
      <c r="C7625"/>
      <c r="E7625"/>
    </row>
    <row r="7626" spans="2:5">
      <c r="B7626"/>
      <c r="C7626"/>
      <c r="E7626"/>
    </row>
    <row r="7627" spans="2:5">
      <c r="B7627"/>
      <c r="C7627"/>
      <c r="E7627"/>
    </row>
    <row r="7628" spans="2:5">
      <c r="B7628"/>
      <c r="C7628"/>
      <c r="E7628"/>
    </row>
    <row r="7629" spans="2:5">
      <c r="B7629"/>
      <c r="C7629"/>
      <c r="E7629"/>
    </row>
    <row r="7630" spans="2:5">
      <c r="B7630"/>
      <c r="C7630"/>
      <c r="E7630"/>
    </row>
    <row r="7631" spans="2:5">
      <c r="B7631"/>
      <c r="C7631"/>
      <c r="E7631"/>
    </row>
    <row r="7632" spans="2:5">
      <c r="B7632"/>
      <c r="C7632"/>
      <c r="E7632"/>
    </row>
    <row r="7633" spans="2:5">
      <c r="B7633"/>
      <c r="C7633"/>
      <c r="E7633"/>
    </row>
    <row r="7634" spans="2:5">
      <c r="B7634"/>
      <c r="C7634"/>
      <c r="E7634"/>
    </row>
    <row r="7635" spans="2:5">
      <c r="B7635"/>
      <c r="C7635"/>
      <c r="E7635"/>
    </row>
    <row r="7636" spans="2:5">
      <c r="B7636"/>
      <c r="C7636"/>
      <c r="E7636"/>
    </row>
    <row r="7637" spans="2:5">
      <c r="B7637"/>
      <c r="C7637"/>
      <c r="E7637"/>
    </row>
    <row r="7638" spans="2:5">
      <c r="B7638"/>
      <c r="C7638"/>
      <c r="E7638"/>
    </row>
    <row r="7639" spans="2:5">
      <c r="B7639"/>
      <c r="C7639"/>
      <c r="E7639"/>
    </row>
    <row r="7640" spans="2:5">
      <c r="B7640"/>
      <c r="C7640"/>
      <c r="E7640"/>
    </row>
    <row r="7641" spans="2:5">
      <c r="B7641"/>
      <c r="C7641"/>
      <c r="E7641"/>
    </row>
    <row r="7642" spans="2:5">
      <c r="B7642"/>
      <c r="C7642"/>
      <c r="E7642"/>
    </row>
    <row r="7643" spans="2:5">
      <c r="B7643"/>
      <c r="C7643"/>
      <c r="E7643"/>
    </row>
    <row r="7644" spans="2:5">
      <c r="B7644"/>
      <c r="C7644"/>
      <c r="E7644"/>
    </row>
    <row r="7645" spans="2:5">
      <c r="B7645"/>
      <c r="C7645"/>
      <c r="E7645"/>
    </row>
    <row r="7646" spans="2:5">
      <c r="B7646"/>
      <c r="C7646"/>
      <c r="E7646"/>
    </row>
    <row r="7647" spans="2:5">
      <c r="B7647"/>
      <c r="C7647"/>
      <c r="E7647"/>
    </row>
    <row r="7648" spans="2:5">
      <c r="B7648"/>
      <c r="C7648"/>
      <c r="E7648"/>
    </row>
    <row r="7649" spans="2:5">
      <c r="B7649"/>
      <c r="C7649"/>
      <c r="E7649"/>
    </row>
    <row r="7650" spans="2:5">
      <c r="B7650"/>
      <c r="C7650"/>
      <c r="E7650"/>
    </row>
    <row r="7651" spans="2:5">
      <c r="B7651"/>
      <c r="C7651"/>
      <c r="E7651"/>
    </row>
    <row r="7652" spans="2:5">
      <c r="B7652"/>
      <c r="C7652"/>
      <c r="E7652"/>
    </row>
    <row r="7653" spans="2:5">
      <c r="B7653"/>
      <c r="C7653"/>
      <c r="E7653"/>
    </row>
    <row r="7654" spans="2:5">
      <c r="B7654"/>
      <c r="C7654"/>
      <c r="E7654"/>
    </row>
    <row r="7655" spans="2:5">
      <c r="B7655"/>
      <c r="C7655"/>
      <c r="E7655"/>
    </row>
    <row r="7656" spans="2:5">
      <c r="B7656"/>
      <c r="C7656"/>
      <c r="E7656"/>
    </row>
    <row r="7657" spans="2:5">
      <c r="B7657"/>
      <c r="C7657"/>
      <c r="E7657"/>
    </row>
    <row r="7658" spans="2:5">
      <c r="B7658"/>
      <c r="C7658"/>
      <c r="E7658"/>
    </row>
    <row r="7659" spans="2:5">
      <c r="B7659"/>
      <c r="C7659"/>
      <c r="E7659"/>
    </row>
    <row r="7660" spans="2:5">
      <c r="B7660"/>
      <c r="C7660"/>
      <c r="E7660"/>
    </row>
    <row r="7661" spans="2:5">
      <c r="B7661"/>
      <c r="C7661"/>
      <c r="E7661"/>
    </row>
    <row r="7662" spans="2:5">
      <c r="B7662"/>
      <c r="C7662"/>
      <c r="E7662"/>
    </row>
    <row r="7663" spans="2:5">
      <c r="B7663"/>
      <c r="C7663"/>
      <c r="E7663"/>
    </row>
    <row r="7664" spans="2:5">
      <c r="B7664"/>
      <c r="C7664"/>
      <c r="E7664"/>
    </row>
    <row r="7665" spans="2:5">
      <c r="B7665"/>
      <c r="C7665"/>
      <c r="E7665"/>
    </row>
    <row r="7666" spans="2:5">
      <c r="B7666"/>
      <c r="C7666"/>
      <c r="E7666"/>
    </row>
    <row r="7667" spans="2:5">
      <c r="B7667"/>
      <c r="C7667"/>
      <c r="E7667"/>
    </row>
    <row r="7668" spans="2:5">
      <c r="B7668"/>
      <c r="C7668"/>
      <c r="E7668"/>
    </row>
    <row r="7669" spans="2:5">
      <c r="B7669"/>
      <c r="C7669"/>
      <c r="E7669"/>
    </row>
    <row r="7670" spans="2:5">
      <c r="B7670"/>
      <c r="C7670"/>
      <c r="E7670"/>
    </row>
    <row r="7671" spans="2:5">
      <c r="B7671"/>
      <c r="C7671"/>
      <c r="E7671"/>
    </row>
    <row r="7672" spans="2:5">
      <c r="B7672"/>
      <c r="C7672"/>
      <c r="E7672"/>
    </row>
    <row r="7673" spans="2:5">
      <c r="B7673"/>
      <c r="C7673"/>
      <c r="E7673"/>
    </row>
    <row r="7674" spans="2:5">
      <c r="B7674"/>
      <c r="C7674"/>
      <c r="E7674"/>
    </row>
    <row r="7675" spans="2:5">
      <c r="B7675"/>
      <c r="C7675"/>
      <c r="E7675"/>
    </row>
    <row r="7676" spans="2:5">
      <c r="B7676"/>
      <c r="C7676"/>
      <c r="E7676"/>
    </row>
    <row r="7677" spans="2:5">
      <c r="B7677"/>
      <c r="C7677"/>
      <c r="E7677"/>
    </row>
    <row r="7678" spans="2:5">
      <c r="B7678"/>
      <c r="C7678"/>
      <c r="E7678"/>
    </row>
    <row r="7679" spans="2:5">
      <c r="B7679"/>
      <c r="C7679"/>
      <c r="E7679"/>
    </row>
    <row r="7680" spans="2:5">
      <c r="B7680"/>
      <c r="C7680"/>
      <c r="E7680"/>
    </row>
    <row r="7681" spans="2:5">
      <c r="B7681"/>
      <c r="C7681"/>
      <c r="E7681"/>
    </row>
    <row r="7682" spans="2:5">
      <c r="B7682"/>
      <c r="C7682"/>
      <c r="E7682"/>
    </row>
    <row r="7683" spans="2:5">
      <c r="B7683"/>
      <c r="C7683"/>
      <c r="E7683"/>
    </row>
    <row r="7684" spans="2:5">
      <c r="B7684"/>
      <c r="C7684"/>
      <c r="E7684"/>
    </row>
    <row r="7685" spans="2:5">
      <c r="B7685"/>
      <c r="C7685"/>
      <c r="E7685"/>
    </row>
    <row r="7686" spans="2:5">
      <c r="B7686"/>
      <c r="C7686"/>
      <c r="E7686"/>
    </row>
    <row r="7687" spans="2:5">
      <c r="B7687"/>
      <c r="C7687"/>
      <c r="E7687"/>
    </row>
    <row r="7688" spans="2:5">
      <c r="B7688"/>
      <c r="C7688"/>
      <c r="E7688"/>
    </row>
    <row r="7689" spans="2:5">
      <c r="B7689"/>
      <c r="C7689"/>
      <c r="E7689"/>
    </row>
    <row r="7690" spans="2:5">
      <c r="B7690"/>
      <c r="C7690"/>
      <c r="E7690"/>
    </row>
    <row r="7691" spans="2:5">
      <c r="B7691"/>
      <c r="C7691"/>
      <c r="E7691"/>
    </row>
    <row r="7692" spans="2:5">
      <c r="B7692"/>
      <c r="C7692"/>
      <c r="E7692"/>
    </row>
    <row r="7693" spans="2:5">
      <c r="B7693"/>
      <c r="C7693"/>
      <c r="E7693"/>
    </row>
    <row r="7694" spans="2:5">
      <c r="B7694"/>
      <c r="C7694"/>
      <c r="E7694"/>
    </row>
    <row r="7695" spans="2:5">
      <c r="B7695"/>
      <c r="C7695"/>
      <c r="E7695"/>
    </row>
    <row r="7696" spans="2:5">
      <c r="B7696"/>
      <c r="C7696"/>
      <c r="E7696"/>
    </row>
    <row r="7697" spans="2:5">
      <c r="B7697"/>
      <c r="C7697"/>
      <c r="E7697"/>
    </row>
    <row r="7698" spans="2:5">
      <c r="B7698"/>
      <c r="C7698"/>
      <c r="E7698"/>
    </row>
    <row r="7699" spans="2:5">
      <c r="B7699"/>
      <c r="C7699"/>
      <c r="E7699"/>
    </row>
    <row r="7700" spans="2:5">
      <c r="B7700"/>
      <c r="C7700"/>
      <c r="E7700"/>
    </row>
    <row r="7701" spans="2:5">
      <c r="B7701"/>
      <c r="C7701"/>
      <c r="E7701"/>
    </row>
    <row r="7702" spans="2:5">
      <c r="B7702"/>
      <c r="C7702"/>
      <c r="E7702"/>
    </row>
    <row r="7703" spans="2:5">
      <c r="B7703"/>
      <c r="C7703"/>
      <c r="E7703"/>
    </row>
    <row r="7704" spans="2:5">
      <c r="B7704"/>
      <c r="C7704"/>
      <c r="E7704"/>
    </row>
    <row r="7705" spans="2:5">
      <c r="B7705"/>
      <c r="C7705"/>
      <c r="E7705"/>
    </row>
    <row r="7706" spans="2:5">
      <c r="B7706"/>
      <c r="C7706"/>
      <c r="E7706"/>
    </row>
    <row r="7707" spans="2:5">
      <c r="B7707"/>
      <c r="C7707"/>
      <c r="E7707"/>
    </row>
    <row r="7708" spans="2:5">
      <c r="B7708"/>
      <c r="C7708"/>
      <c r="E7708"/>
    </row>
    <row r="7709" spans="2:5">
      <c r="B7709"/>
      <c r="C7709"/>
      <c r="E7709"/>
    </row>
    <row r="7710" spans="2:5">
      <c r="B7710"/>
      <c r="C7710"/>
      <c r="E7710"/>
    </row>
    <row r="7711" spans="2:5">
      <c r="B7711"/>
      <c r="C7711"/>
      <c r="E7711"/>
    </row>
    <row r="7712" spans="2:5">
      <c r="B7712"/>
      <c r="C7712"/>
      <c r="E7712"/>
    </row>
    <row r="7713" spans="2:5">
      <c r="B7713"/>
      <c r="C7713"/>
      <c r="E7713"/>
    </row>
    <row r="7714" spans="2:5">
      <c r="B7714"/>
      <c r="C7714"/>
      <c r="E7714"/>
    </row>
    <row r="7715" spans="2:5">
      <c r="B7715"/>
      <c r="C7715"/>
      <c r="E7715"/>
    </row>
    <row r="7716" spans="2:5">
      <c r="B7716"/>
      <c r="C7716"/>
      <c r="E7716"/>
    </row>
    <row r="7717" spans="2:5">
      <c r="B7717"/>
      <c r="C7717"/>
      <c r="E7717"/>
    </row>
    <row r="7718" spans="2:5">
      <c r="B7718"/>
      <c r="C7718"/>
      <c r="E7718"/>
    </row>
    <row r="7719" spans="2:5">
      <c r="B7719"/>
      <c r="C7719"/>
      <c r="E7719"/>
    </row>
    <row r="7720" spans="2:5">
      <c r="B7720"/>
      <c r="C7720"/>
      <c r="E7720"/>
    </row>
    <row r="7721" spans="2:5">
      <c r="B7721"/>
      <c r="C7721"/>
      <c r="E7721"/>
    </row>
    <row r="7722" spans="2:5">
      <c r="B7722"/>
      <c r="C7722"/>
      <c r="E7722"/>
    </row>
    <row r="7723" spans="2:5">
      <c r="B7723"/>
      <c r="C7723"/>
      <c r="E7723"/>
    </row>
    <row r="7724" spans="2:5">
      <c r="B7724"/>
      <c r="C7724"/>
      <c r="E7724"/>
    </row>
    <row r="7725" spans="2:5">
      <c r="B7725"/>
      <c r="C7725"/>
      <c r="E7725"/>
    </row>
    <row r="7726" spans="2:5">
      <c r="B7726"/>
      <c r="C7726"/>
      <c r="E7726"/>
    </row>
    <row r="7727" spans="2:5">
      <c r="B7727"/>
      <c r="C7727"/>
      <c r="E7727"/>
    </row>
    <row r="7728" spans="2:5">
      <c r="B7728"/>
      <c r="C7728"/>
      <c r="E7728"/>
    </row>
    <row r="7729" spans="2:5">
      <c r="B7729"/>
      <c r="C7729"/>
      <c r="E7729"/>
    </row>
    <row r="7730" spans="2:5">
      <c r="B7730"/>
      <c r="C7730"/>
      <c r="E7730"/>
    </row>
    <row r="7731" spans="2:5">
      <c r="B7731"/>
      <c r="C7731"/>
      <c r="E7731"/>
    </row>
    <row r="7732" spans="2:5">
      <c r="B7732"/>
      <c r="C7732"/>
      <c r="E7732"/>
    </row>
    <row r="7733" spans="2:5">
      <c r="B7733"/>
      <c r="C7733"/>
      <c r="E7733"/>
    </row>
    <row r="7734" spans="2:5">
      <c r="B7734"/>
      <c r="C7734"/>
      <c r="E7734"/>
    </row>
    <row r="7735" spans="2:5">
      <c r="B7735"/>
      <c r="C7735"/>
      <c r="E7735"/>
    </row>
    <row r="7736" spans="2:5">
      <c r="B7736"/>
      <c r="C7736"/>
      <c r="E7736"/>
    </row>
    <row r="7737" spans="2:5">
      <c r="B7737"/>
      <c r="C7737"/>
      <c r="E7737"/>
    </row>
    <row r="7738" spans="2:5">
      <c r="B7738"/>
      <c r="C7738"/>
      <c r="E7738"/>
    </row>
    <row r="7739" spans="2:5">
      <c r="B7739"/>
      <c r="C7739"/>
      <c r="E7739"/>
    </row>
    <row r="7740" spans="2:5">
      <c r="B7740"/>
      <c r="C7740"/>
      <c r="E7740"/>
    </row>
    <row r="7741" spans="2:5">
      <c r="B7741"/>
      <c r="C7741"/>
      <c r="E7741"/>
    </row>
    <row r="7742" spans="2:5">
      <c r="B7742"/>
      <c r="C7742"/>
      <c r="E7742"/>
    </row>
    <row r="7743" spans="2:5">
      <c r="B7743"/>
      <c r="C7743"/>
      <c r="E7743"/>
    </row>
    <row r="7744" spans="2:5">
      <c r="B7744"/>
      <c r="C7744"/>
      <c r="E7744"/>
    </row>
    <row r="7745" spans="2:5">
      <c r="B7745"/>
      <c r="C7745"/>
      <c r="E7745"/>
    </row>
    <row r="7746" spans="2:5">
      <c r="B7746"/>
      <c r="C7746"/>
      <c r="E7746"/>
    </row>
    <row r="7747" spans="2:5">
      <c r="B7747"/>
      <c r="C7747"/>
      <c r="E7747"/>
    </row>
    <row r="7748" spans="2:5">
      <c r="B7748"/>
      <c r="C7748"/>
      <c r="E7748"/>
    </row>
    <row r="7749" spans="2:5">
      <c r="B7749"/>
      <c r="C7749"/>
      <c r="E7749"/>
    </row>
    <row r="7750" spans="2:5">
      <c r="B7750"/>
      <c r="C7750"/>
      <c r="E7750"/>
    </row>
    <row r="7751" spans="2:5">
      <c r="B7751"/>
      <c r="C7751"/>
      <c r="E7751"/>
    </row>
    <row r="7752" spans="2:5">
      <c r="B7752"/>
      <c r="C7752"/>
      <c r="E7752"/>
    </row>
    <row r="7753" spans="2:5">
      <c r="B7753"/>
      <c r="C7753"/>
      <c r="E7753"/>
    </row>
    <row r="7754" spans="2:5">
      <c r="B7754"/>
      <c r="C7754"/>
      <c r="E7754"/>
    </row>
    <row r="7755" spans="2:5">
      <c r="B7755"/>
      <c r="C7755"/>
      <c r="E7755"/>
    </row>
    <row r="7756" spans="2:5">
      <c r="B7756"/>
      <c r="C7756"/>
      <c r="E7756"/>
    </row>
    <row r="7757" spans="2:5">
      <c r="B7757"/>
      <c r="C7757"/>
      <c r="E7757"/>
    </row>
    <row r="7758" spans="2:5">
      <c r="B7758"/>
      <c r="C7758"/>
      <c r="E7758"/>
    </row>
    <row r="7759" spans="2:5">
      <c r="B7759"/>
      <c r="C7759"/>
      <c r="E7759"/>
    </row>
    <row r="7760" spans="2:5">
      <c r="B7760"/>
      <c r="C7760"/>
      <c r="E7760"/>
    </row>
    <row r="7761" spans="2:5">
      <c r="B7761"/>
      <c r="C7761"/>
      <c r="E7761"/>
    </row>
    <row r="7762" spans="2:5">
      <c r="B7762"/>
      <c r="C7762"/>
      <c r="E7762"/>
    </row>
    <row r="7763" spans="2:5">
      <c r="B7763"/>
      <c r="C7763"/>
      <c r="E7763"/>
    </row>
    <row r="7764" spans="2:5">
      <c r="B7764"/>
      <c r="C7764"/>
      <c r="E7764"/>
    </row>
    <row r="7765" spans="2:5">
      <c r="B7765"/>
      <c r="C7765"/>
      <c r="E7765"/>
    </row>
    <row r="7766" spans="2:5">
      <c r="B7766"/>
      <c r="C7766"/>
      <c r="E7766"/>
    </row>
    <row r="7767" spans="2:5">
      <c r="B7767"/>
      <c r="C7767"/>
      <c r="E7767"/>
    </row>
    <row r="7768" spans="2:5">
      <c r="B7768"/>
      <c r="C7768"/>
      <c r="E7768"/>
    </row>
    <row r="7769" spans="2:5">
      <c r="B7769"/>
      <c r="C7769"/>
      <c r="E7769"/>
    </row>
    <row r="7770" spans="2:5">
      <c r="B7770"/>
      <c r="C7770"/>
      <c r="E7770"/>
    </row>
    <row r="7771" spans="2:5">
      <c r="B7771"/>
      <c r="C7771"/>
      <c r="E7771"/>
    </row>
    <row r="7772" spans="2:5">
      <c r="B7772"/>
      <c r="C7772"/>
      <c r="E7772"/>
    </row>
    <row r="7773" spans="2:5">
      <c r="B7773"/>
      <c r="C7773"/>
      <c r="E7773"/>
    </row>
    <row r="7774" spans="2:5">
      <c r="B7774"/>
      <c r="C7774"/>
      <c r="E7774"/>
    </row>
    <row r="7775" spans="2:5">
      <c r="B7775"/>
      <c r="C7775"/>
      <c r="E7775"/>
    </row>
    <row r="7776" spans="2:5">
      <c r="B7776"/>
      <c r="C7776"/>
      <c r="E7776"/>
    </row>
    <row r="7777" spans="2:5">
      <c r="B7777"/>
      <c r="C7777"/>
      <c r="E7777"/>
    </row>
    <row r="7778" spans="2:5">
      <c r="B7778"/>
      <c r="C7778"/>
      <c r="E7778"/>
    </row>
    <row r="7779" spans="2:5">
      <c r="B7779"/>
      <c r="C7779"/>
      <c r="E7779"/>
    </row>
    <row r="7780" spans="2:5">
      <c r="B7780"/>
      <c r="C7780"/>
      <c r="E7780"/>
    </row>
    <row r="7781" spans="2:5">
      <c r="B7781"/>
      <c r="C7781"/>
      <c r="E7781"/>
    </row>
    <row r="7782" spans="2:5">
      <c r="B7782"/>
      <c r="C7782"/>
      <c r="E7782"/>
    </row>
    <row r="7783" spans="2:5">
      <c r="B7783"/>
      <c r="C7783"/>
      <c r="E7783"/>
    </row>
    <row r="7784" spans="2:5">
      <c r="B7784"/>
      <c r="C7784"/>
      <c r="E7784"/>
    </row>
    <row r="7785" spans="2:5">
      <c r="B7785"/>
      <c r="C7785"/>
      <c r="E7785"/>
    </row>
    <row r="7786" spans="2:5">
      <c r="B7786"/>
      <c r="C7786"/>
      <c r="E7786"/>
    </row>
    <row r="7787" spans="2:5">
      <c r="B7787"/>
      <c r="C7787"/>
      <c r="E7787"/>
    </row>
    <row r="7788" spans="2:5">
      <c r="B7788"/>
      <c r="C7788"/>
      <c r="E7788"/>
    </row>
    <row r="7789" spans="2:5">
      <c r="B7789"/>
      <c r="C7789"/>
      <c r="E7789"/>
    </row>
    <row r="7790" spans="2:5">
      <c r="B7790"/>
      <c r="C7790"/>
      <c r="E7790"/>
    </row>
    <row r="7791" spans="2:5">
      <c r="B7791"/>
      <c r="C7791"/>
      <c r="E7791"/>
    </row>
    <row r="7792" spans="2:5">
      <c r="B7792"/>
      <c r="C7792"/>
      <c r="E7792"/>
    </row>
    <row r="7793" spans="2:5">
      <c r="B7793"/>
      <c r="C7793"/>
      <c r="E7793"/>
    </row>
    <row r="7794" spans="2:5">
      <c r="B7794"/>
      <c r="C7794"/>
      <c r="E7794"/>
    </row>
    <row r="7795" spans="2:5">
      <c r="B7795"/>
      <c r="C7795"/>
      <c r="E7795"/>
    </row>
    <row r="7796" spans="2:5">
      <c r="B7796"/>
      <c r="C7796"/>
      <c r="E7796"/>
    </row>
    <row r="7797" spans="2:5">
      <c r="B7797"/>
      <c r="C7797"/>
      <c r="E7797"/>
    </row>
    <row r="7798" spans="2:5">
      <c r="B7798"/>
      <c r="C7798"/>
      <c r="E7798"/>
    </row>
    <row r="7799" spans="2:5">
      <c r="B7799"/>
      <c r="C7799"/>
      <c r="E7799"/>
    </row>
    <row r="7800" spans="2:5">
      <c r="B7800"/>
      <c r="C7800"/>
      <c r="E7800"/>
    </row>
    <row r="7801" spans="2:5">
      <c r="B7801"/>
      <c r="C7801"/>
      <c r="E7801"/>
    </row>
    <row r="7802" spans="2:5">
      <c r="B7802"/>
      <c r="C7802"/>
      <c r="E7802"/>
    </row>
    <row r="7803" spans="2:5">
      <c r="B7803"/>
      <c r="C7803"/>
      <c r="E7803"/>
    </row>
    <row r="7804" spans="2:5">
      <c r="B7804"/>
      <c r="C7804"/>
      <c r="E7804"/>
    </row>
    <row r="7805" spans="2:5">
      <c r="B7805"/>
      <c r="C7805"/>
      <c r="E7805"/>
    </row>
    <row r="7806" spans="2:5">
      <c r="B7806"/>
      <c r="C7806"/>
      <c r="E7806"/>
    </row>
    <row r="7807" spans="2:5">
      <c r="B7807"/>
      <c r="C7807"/>
      <c r="E7807"/>
    </row>
    <row r="7808" spans="2:5">
      <c r="B7808"/>
      <c r="C7808"/>
      <c r="E7808"/>
    </row>
    <row r="7809" spans="2:5">
      <c r="B7809"/>
      <c r="C7809"/>
      <c r="E7809"/>
    </row>
    <row r="7810" spans="2:5">
      <c r="B7810"/>
      <c r="C7810"/>
      <c r="E7810"/>
    </row>
    <row r="7811" spans="2:5">
      <c r="B7811"/>
      <c r="C7811"/>
      <c r="E7811"/>
    </row>
    <row r="7812" spans="2:5">
      <c r="B7812"/>
      <c r="C7812"/>
      <c r="E7812"/>
    </row>
    <row r="7813" spans="2:5">
      <c r="B7813"/>
      <c r="C7813"/>
      <c r="E7813"/>
    </row>
    <row r="7814" spans="2:5">
      <c r="B7814"/>
      <c r="C7814"/>
      <c r="E7814"/>
    </row>
    <row r="7815" spans="2:5">
      <c r="B7815"/>
      <c r="C7815"/>
      <c r="E7815"/>
    </row>
    <row r="7816" spans="2:5">
      <c r="B7816"/>
      <c r="C7816"/>
      <c r="E7816"/>
    </row>
    <row r="7817" spans="2:5">
      <c r="B7817"/>
      <c r="C7817"/>
      <c r="E7817"/>
    </row>
    <row r="7818" spans="2:5">
      <c r="B7818"/>
      <c r="C7818"/>
      <c r="E7818"/>
    </row>
    <row r="7819" spans="2:5">
      <c r="B7819"/>
      <c r="C7819"/>
      <c r="E7819"/>
    </row>
    <row r="7820" spans="2:5">
      <c r="B7820"/>
      <c r="C7820"/>
      <c r="E7820"/>
    </row>
    <row r="7821" spans="2:5">
      <c r="B7821"/>
      <c r="C7821"/>
      <c r="E7821"/>
    </row>
    <row r="7822" spans="2:5">
      <c r="B7822"/>
      <c r="C7822"/>
      <c r="E7822"/>
    </row>
    <row r="7823" spans="2:5">
      <c r="B7823"/>
      <c r="C7823"/>
      <c r="E7823"/>
    </row>
    <row r="7824" spans="2:5">
      <c r="B7824"/>
      <c r="C7824"/>
      <c r="E7824"/>
    </row>
    <row r="7825" spans="2:5">
      <c r="B7825"/>
      <c r="C7825"/>
      <c r="E7825"/>
    </row>
    <row r="7826" spans="2:5">
      <c r="B7826"/>
      <c r="C7826"/>
      <c r="E7826"/>
    </row>
    <row r="7827" spans="2:5">
      <c r="B7827"/>
      <c r="C7827"/>
      <c r="E7827"/>
    </row>
    <row r="7828" spans="2:5">
      <c r="B7828"/>
      <c r="C7828"/>
      <c r="E7828"/>
    </row>
    <row r="7829" spans="2:5">
      <c r="B7829"/>
      <c r="C7829"/>
      <c r="E7829"/>
    </row>
    <row r="7830" spans="2:5">
      <c r="B7830"/>
      <c r="C7830"/>
      <c r="E7830"/>
    </row>
    <row r="7831" spans="2:5">
      <c r="B7831"/>
      <c r="C7831"/>
      <c r="E7831"/>
    </row>
    <row r="7832" spans="2:5">
      <c r="B7832"/>
      <c r="C7832"/>
      <c r="E7832"/>
    </row>
    <row r="7833" spans="2:5">
      <c r="B7833"/>
      <c r="C7833"/>
      <c r="E7833"/>
    </row>
    <row r="7834" spans="2:5">
      <c r="B7834"/>
      <c r="C7834"/>
      <c r="E7834"/>
    </row>
    <row r="7835" spans="2:5">
      <c r="B7835"/>
      <c r="C7835"/>
      <c r="E7835"/>
    </row>
    <row r="7836" spans="2:5">
      <c r="B7836"/>
      <c r="C7836"/>
      <c r="E7836"/>
    </row>
    <row r="7837" spans="2:5">
      <c r="B7837"/>
      <c r="C7837"/>
      <c r="E7837"/>
    </row>
    <row r="7838" spans="2:5">
      <c r="B7838"/>
      <c r="C7838"/>
      <c r="E7838"/>
    </row>
    <row r="7839" spans="2:5">
      <c r="B7839"/>
      <c r="C7839"/>
      <c r="E7839"/>
    </row>
    <row r="7840" spans="2:5">
      <c r="B7840"/>
      <c r="C7840"/>
      <c r="E7840"/>
    </row>
    <row r="7841" spans="2:5">
      <c r="B7841"/>
      <c r="C7841"/>
      <c r="E7841"/>
    </row>
    <row r="7842" spans="2:5">
      <c r="B7842"/>
      <c r="C7842"/>
      <c r="E7842"/>
    </row>
    <row r="7843" spans="2:5">
      <c r="B7843"/>
      <c r="C7843"/>
      <c r="E7843"/>
    </row>
    <row r="7844" spans="2:5">
      <c r="B7844"/>
      <c r="C7844"/>
      <c r="E7844"/>
    </row>
    <row r="7845" spans="2:5">
      <c r="B7845"/>
      <c r="C7845"/>
      <c r="E7845"/>
    </row>
    <row r="7846" spans="2:5">
      <c r="B7846"/>
      <c r="C7846"/>
      <c r="E7846"/>
    </row>
    <row r="7847" spans="2:5">
      <c r="B7847"/>
      <c r="C7847"/>
      <c r="E7847"/>
    </row>
    <row r="7848" spans="2:5">
      <c r="B7848"/>
      <c r="C7848"/>
      <c r="E7848"/>
    </row>
    <row r="7849" spans="2:5">
      <c r="B7849"/>
      <c r="C7849"/>
      <c r="E7849"/>
    </row>
    <row r="7850" spans="2:5">
      <c r="B7850"/>
      <c r="C7850"/>
      <c r="E7850"/>
    </row>
    <row r="7851" spans="2:5">
      <c r="B7851"/>
      <c r="C7851"/>
      <c r="E7851"/>
    </row>
    <row r="7852" spans="2:5">
      <c r="B7852"/>
      <c r="C7852"/>
      <c r="E7852"/>
    </row>
    <row r="7853" spans="2:5">
      <c r="B7853"/>
      <c r="C7853"/>
      <c r="E7853"/>
    </row>
    <row r="7854" spans="2:5">
      <c r="B7854"/>
      <c r="C7854"/>
      <c r="E7854"/>
    </row>
    <row r="7855" spans="2:5">
      <c r="B7855"/>
      <c r="C7855"/>
      <c r="E7855"/>
    </row>
    <row r="7856" spans="2:5">
      <c r="B7856"/>
      <c r="C7856"/>
      <c r="E7856"/>
    </row>
    <row r="7857" spans="2:5">
      <c r="B7857"/>
      <c r="C7857"/>
      <c r="E7857"/>
    </row>
    <row r="7858" spans="2:5">
      <c r="B7858"/>
      <c r="C7858"/>
      <c r="E7858"/>
    </row>
    <row r="7859" spans="2:5">
      <c r="B7859"/>
      <c r="C7859"/>
      <c r="E7859"/>
    </row>
    <row r="7860" spans="2:5">
      <c r="B7860"/>
      <c r="C7860"/>
      <c r="E7860"/>
    </row>
    <row r="7861" spans="2:5">
      <c r="B7861"/>
      <c r="C7861"/>
      <c r="E7861"/>
    </row>
    <row r="7862" spans="2:5">
      <c r="B7862"/>
      <c r="C7862"/>
      <c r="E7862"/>
    </row>
    <row r="7863" spans="2:5">
      <c r="B7863"/>
      <c r="C7863"/>
      <c r="E7863"/>
    </row>
    <row r="7864" spans="2:5">
      <c r="B7864"/>
      <c r="C7864"/>
      <c r="E7864"/>
    </row>
    <row r="7865" spans="2:5">
      <c r="B7865"/>
      <c r="C7865"/>
      <c r="E7865"/>
    </row>
    <row r="7866" spans="2:5">
      <c r="B7866"/>
      <c r="C7866"/>
      <c r="E7866"/>
    </row>
    <row r="7867" spans="2:5">
      <c r="B7867"/>
      <c r="C7867"/>
      <c r="E7867"/>
    </row>
    <row r="7868" spans="2:5">
      <c r="B7868"/>
      <c r="C7868"/>
      <c r="E7868"/>
    </row>
    <row r="7869" spans="2:5">
      <c r="B7869"/>
      <c r="C7869"/>
      <c r="E7869"/>
    </row>
    <row r="7870" spans="2:5">
      <c r="B7870"/>
      <c r="C7870"/>
      <c r="E7870"/>
    </row>
    <row r="7871" spans="2:5">
      <c r="B7871"/>
      <c r="C7871"/>
      <c r="E7871"/>
    </row>
    <row r="7872" spans="2:5">
      <c r="B7872"/>
      <c r="C7872"/>
      <c r="E7872"/>
    </row>
    <row r="7873" spans="2:5">
      <c r="B7873"/>
      <c r="C7873"/>
      <c r="E7873"/>
    </row>
    <row r="7874" spans="2:5">
      <c r="B7874"/>
      <c r="C7874"/>
      <c r="E7874"/>
    </row>
    <row r="7875" spans="2:5">
      <c r="B7875"/>
      <c r="C7875"/>
      <c r="E7875"/>
    </row>
    <row r="7876" spans="2:5">
      <c r="B7876"/>
      <c r="C7876"/>
      <c r="E7876"/>
    </row>
    <row r="7877" spans="2:5">
      <c r="B7877"/>
      <c r="C7877"/>
      <c r="E7877"/>
    </row>
    <row r="7878" spans="2:5">
      <c r="B7878"/>
      <c r="C7878"/>
      <c r="E7878"/>
    </row>
    <row r="7879" spans="2:5">
      <c r="B7879"/>
      <c r="C7879"/>
      <c r="E7879"/>
    </row>
    <row r="7880" spans="2:5">
      <c r="B7880"/>
      <c r="C7880"/>
      <c r="E7880"/>
    </row>
    <row r="7881" spans="2:5">
      <c r="B7881"/>
      <c r="C7881"/>
      <c r="E7881"/>
    </row>
    <row r="7882" spans="2:5">
      <c r="B7882"/>
      <c r="C7882"/>
      <c r="E7882"/>
    </row>
    <row r="7883" spans="2:5">
      <c r="B7883"/>
      <c r="C7883"/>
      <c r="E7883"/>
    </row>
    <row r="7884" spans="2:5">
      <c r="B7884"/>
      <c r="C7884"/>
      <c r="E7884"/>
    </row>
    <row r="7885" spans="2:5">
      <c r="B7885"/>
      <c r="C7885"/>
      <c r="E7885"/>
    </row>
    <row r="7886" spans="2:5">
      <c r="B7886"/>
      <c r="C7886"/>
      <c r="E7886"/>
    </row>
    <row r="7887" spans="2:5">
      <c r="B7887"/>
      <c r="C7887"/>
      <c r="E7887"/>
    </row>
    <row r="7888" spans="2:5">
      <c r="B7888"/>
      <c r="C7888"/>
      <c r="E7888"/>
    </row>
    <row r="7889" spans="2:5">
      <c r="B7889"/>
      <c r="C7889"/>
      <c r="E7889"/>
    </row>
    <row r="7890" spans="2:5">
      <c r="B7890"/>
      <c r="C7890"/>
      <c r="E7890"/>
    </row>
    <row r="7891" spans="2:5">
      <c r="B7891"/>
      <c r="C7891"/>
      <c r="E7891"/>
    </row>
    <row r="7892" spans="2:5">
      <c r="B7892"/>
      <c r="C7892"/>
      <c r="E7892"/>
    </row>
    <row r="7893" spans="2:5">
      <c r="B7893"/>
      <c r="C7893"/>
      <c r="E7893"/>
    </row>
    <row r="7894" spans="2:5">
      <c r="B7894"/>
      <c r="C7894"/>
      <c r="E7894"/>
    </row>
    <row r="7895" spans="2:5">
      <c r="B7895"/>
      <c r="C7895"/>
      <c r="E7895"/>
    </row>
    <row r="7896" spans="2:5">
      <c r="B7896"/>
      <c r="C7896"/>
      <c r="E7896"/>
    </row>
    <row r="7897" spans="2:5">
      <c r="B7897"/>
      <c r="C7897"/>
      <c r="E7897"/>
    </row>
    <row r="7898" spans="2:5">
      <c r="B7898"/>
      <c r="C7898"/>
      <c r="E7898"/>
    </row>
    <row r="7899" spans="2:5">
      <c r="B7899"/>
      <c r="C7899"/>
      <c r="E7899"/>
    </row>
    <row r="7900" spans="2:5">
      <c r="B7900"/>
      <c r="C7900"/>
      <c r="E7900"/>
    </row>
    <row r="7901" spans="2:5">
      <c r="B7901"/>
      <c r="C7901"/>
      <c r="E7901"/>
    </row>
    <row r="7902" spans="2:5">
      <c r="B7902"/>
      <c r="C7902"/>
      <c r="E7902"/>
    </row>
    <row r="7903" spans="2:5">
      <c r="B7903"/>
      <c r="C7903"/>
      <c r="E7903"/>
    </row>
    <row r="7904" spans="2:5">
      <c r="B7904"/>
      <c r="C7904"/>
      <c r="E7904"/>
    </row>
    <row r="7905" spans="2:5">
      <c r="B7905"/>
      <c r="C7905"/>
      <c r="E7905"/>
    </row>
    <row r="7906" spans="2:5">
      <c r="B7906"/>
      <c r="C7906"/>
      <c r="E7906"/>
    </row>
    <row r="7907" spans="2:5">
      <c r="B7907"/>
      <c r="C7907"/>
      <c r="E7907"/>
    </row>
    <row r="7908" spans="2:5">
      <c r="B7908"/>
      <c r="C7908"/>
      <c r="E7908"/>
    </row>
    <row r="7909" spans="2:5">
      <c r="B7909"/>
      <c r="C7909"/>
      <c r="E7909"/>
    </row>
    <row r="7910" spans="2:5">
      <c r="B7910"/>
      <c r="C7910"/>
      <c r="E7910"/>
    </row>
    <row r="7911" spans="2:5">
      <c r="B7911"/>
      <c r="C7911"/>
      <c r="E7911"/>
    </row>
    <row r="7912" spans="2:5">
      <c r="B7912"/>
      <c r="C7912"/>
      <c r="E7912"/>
    </row>
    <row r="7913" spans="2:5">
      <c r="B7913"/>
      <c r="C7913"/>
      <c r="E7913"/>
    </row>
    <row r="7914" spans="2:5">
      <c r="B7914"/>
      <c r="C7914"/>
      <c r="E7914"/>
    </row>
    <row r="7915" spans="2:5">
      <c r="B7915"/>
      <c r="C7915"/>
      <c r="E7915"/>
    </row>
    <row r="7916" spans="2:5">
      <c r="B7916"/>
      <c r="C7916"/>
      <c r="E7916"/>
    </row>
    <row r="7917" spans="2:5">
      <c r="B7917"/>
      <c r="C7917"/>
      <c r="E7917"/>
    </row>
    <row r="7918" spans="2:5">
      <c r="B7918"/>
      <c r="C7918"/>
      <c r="E7918"/>
    </row>
    <row r="7919" spans="2:5">
      <c r="B7919"/>
      <c r="C7919"/>
      <c r="E7919"/>
    </row>
    <row r="7920" spans="2:5">
      <c r="B7920"/>
      <c r="C7920"/>
      <c r="E7920"/>
    </row>
    <row r="7921" spans="2:5">
      <c r="B7921"/>
      <c r="C7921"/>
      <c r="E7921"/>
    </row>
    <row r="7922" spans="2:5">
      <c r="B7922"/>
      <c r="C7922"/>
      <c r="E7922"/>
    </row>
    <row r="7923" spans="2:5">
      <c r="B7923"/>
      <c r="C7923"/>
      <c r="E7923"/>
    </row>
    <row r="7924" spans="2:5">
      <c r="B7924"/>
      <c r="C7924"/>
      <c r="E7924"/>
    </row>
    <row r="7925" spans="2:5">
      <c r="B7925"/>
      <c r="C7925"/>
      <c r="E7925"/>
    </row>
    <row r="7926" spans="2:5">
      <c r="B7926"/>
      <c r="C7926"/>
      <c r="E7926"/>
    </row>
    <row r="7927" spans="2:5">
      <c r="B7927"/>
      <c r="C7927"/>
      <c r="E7927"/>
    </row>
    <row r="7928" spans="2:5">
      <c r="B7928"/>
      <c r="C7928"/>
      <c r="E7928"/>
    </row>
    <row r="7929" spans="2:5">
      <c r="B7929"/>
      <c r="C7929"/>
      <c r="E7929"/>
    </row>
    <row r="7930" spans="2:5">
      <c r="B7930"/>
      <c r="C7930"/>
      <c r="E7930"/>
    </row>
    <row r="7931" spans="2:5">
      <c r="B7931"/>
      <c r="C7931"/>
      <c r="E7931"/>
    </row>
    <row r="7932" spans="2:5">
      <c r="B7932"/>
      <c r="C7932"/>
      <c r="E7932"/>
    </row>
    <row r="7933" spans="2:5">
      <c r="B7933"/>
      <c r="C7933"/>
      <c r="E7933"/>
    </row>
    <row r="7934" spans="2:5">
      <c r="B7934"/>
      <c r="C7934"/>
      <c r="E7934"/>
    </row>
    <row r="7935" spans="2:5">
      <c r="B7935"/>
      <c r="C7935"/>
      <c r="E7935"/>
    </row>
    <row r="7936" spans="2:5">
      <c r="B7936"/>
      <c r="C7936"/>
      <c r="E7936"/>
    </row>
    <row r="7937" spans="2:5">
      <c r="B7937"/>
      <c r="C7937"/>
      <c r="E7937"/>
    </row>
    <row r="7938" spans="2:5">
      <c r="B7938"/>
      <c r="C7938"/>
      <c r="E7938"/>
    </row>
    <row r="7939" spans="2:5">
      <c r="B7939"/>
      <c r="C7939"/>
      <c r="E7939"/>
    </row>
    <row r="7940" spans="2:5">
      <c r="B7940"/>
      <c r="C7940"/>
      <c r="E7940"/>
    </row>
    <row r="7941" spans="2:5">
      <c r="B7941"/>
      <c r="C7941"/>
      <c r="E7941"/>
    </row>
    <row r="7942" spans="2:5">
      <c r="B7942"/>
      <c r="C7942"/>
      <c r="E7942"/>
    </row>
    <row r="7943" spans="2:5">
      <c r="B7943"/>
      <c r="C7943"/>
      <c r="E7943"/>
    </row>
    <row r="7944" spans="2:5">
      <c r="B7944"/>
      <c r="C7944"/>
      <c r="E7944"/>
    </row>
    <row r="7945" spans="2:5">
      <c r="B7945"/>
      <c r="C7945"/>
      <c r="E7945"/>
    </row>
    <row r="7946" spans="2:5">
      <c r="B7946"/>
      <c r="C7946"/>
      <c r="E7946"/>
    </row>
    <row r="7947" spans="2:5">
      <c r="B7947"/>
      <c r="C7947"/>
      <c r="E7947"/>
    </row>
    <row r="7948" spans="2:5">
      <c r="B7948"/>
      <c r="C7948"/>
      <c r="E7948"/>
    </row>
    <row r="7949" spans="2:5">
      <c r="B7949"/>
      <c r="C7949"/>
      <c r="E7949"/>
    </row>
    <row r="7950" spans="2:5">
      <c r="B7950"/>
      <c r="C7950"/>
      <c r="E7950"/>
    </row>
    <row r="7951" spans="2:5">
      <c r="B7951"/>
      <c r="C7951"/>
      <c r="E7951"/>
    </row>
    <row r="7952" spans="2:5">
      <c r="B7952"/>
      <c r="C7952"/>
      <c r="E7952"/>
    </row>
    <row r="7953" spans="2:5">
      <c r="B7953"/>
      <c r="C7953"/>
      <c r="E7953"/>
    </row>
    <row r="7954" spans="2:5">
      <c r="B7954"/>
      <c r="C7954"/>
      <c r="E7954"/>
    </row>
    <row r="7955" spans="2:5">
      <c r="B7955"/>
      <c r="C7955"/>
      <c r="E7955"/>
    </row>
    <row r="7956" spans="2:5">
      <c r="B7956"/>
      <c r="C7956"/>
      <c r="E7956"/>
    </row>
    <row r="7957" spans="2:5">
      <c r="B7957"/>
      <c r="C7957"/>
      <c r="E7957"/>
    </row>
    <row r="7958" spans="2:5">
      <c r="B7958"/>
      <c r="C7958"/>
      <c r="E7958"/>
    </row>
    <row r="7959" spans="2:5">
      <c r="B7959"/>
      <c r="C7959"/>
      <c r="E7959"/>
    </row>
    <row r="7960" spans="2:5">
      <c r="B7960"/>
      <c r="C7960"/>
      <c r="E7960"/>
    </row>
    <row r="7961" spans="2:5">
      <c r="B7961"/>
      <c r="C7961"/>
      <c r="E7961"/>
    </row>
    <row r="7962" spans="2:5">
      <c r="B7962"/>
      <c r="C7962"/>
      <c r="E7962"/>
    </row>
    <row r="7963" spans="2:5">
      <c r="B7963"/>
      <c r="C7963"/>
      <c r="E7963"/>
    </row>
    <row r="7964" spans="2:5">
      <c r="B7964"/>
      <c r="C7964"/>
      <c r="E7964"/>
    </row>
    <row r="7965" spans="2:5">
      <c r="B7965"/>
      <c r="C7965"/>
      <c r="E7965"/>
    </row>
    <row r="7966" spans="2:5">
      <c r="B7966"/>
      <c r="C7966"/>
      <c r="E7966"/>
    </row>
    <row r="7967" spans="2:5">
      <c r="B7967"/>
      <c r="C7967"/>
      <c r="E7967"/>
    </row>
    <row r="7968" spans="2:5">
      <c r="B7968"/>
      <c r="C7968"/>
      <c r="E7968"/>
    </row>
    <row r="7969" spans="2:5">
      <c r="B7969"/>
      <c r="C7969"/>
      <c r="E7969"/>
    </row>
    <row r="7970" spans="2:5">
      <c r="B7970"/>
      <c r="C7970"/>
      <c r="E7970"/>
    </row>
    <row r="7971" spans="2:5">
      <c r="B7971"/>
      <c r="C7971"/>
      <c r="E7971"/>
    </row>
    <row r="7972" spans="2:5">
      <c r="B7972"/>
      <c r="C7972"/>
      <c r="E7972"/>
    </row>
    <row r="7973" spans="2:5">
      <c r="B7973"/>
      <c r="C7973"/>
      <c r="E7973"/>
    </row>
    <row r="7974" spans="2:5">
      <c r="B7974"/>
      <c r="C7974"/>
      <c r="E7974"/>
    </row>
    <row r="7975" spans="2:5">
      <c r="B7975"/>
      <c r="C7975"/>
      <c r="E7975"/>
    </row>
    <row r="7976" spans="2:5">
      <c r="B7976"/>
      <c r="C7976"/>
      <c r="E7976"/>
    </row>
    <row r="7977" spans="2:5">
      <c r="B7977"/>
      <c r="C7977"/>
      <c r="E7977"/>
    </row>
    <row r="7978" spans="2:5">
      <c r="B7978"/>
      <c r="C7978"/>
      <c r="E7978"/>
    </row>
    <row r="7979" spans="2:5">
      <c r="B7979"/>
      <c r="C7979"/>
      <c r="E7979"/>
    </row>
    <row r="7980" spans="2:5">
      <c r="B7980"/>
      <c r="C7980"/>
      <c r="E7980"/>
    </row>
    <row r="7981" spans="2:5">
      <c r="B7981"/>
      <c r="C7981"/>
      <c r="E7981"/>
    </row>
    <row r="7982" spans="2:5">
      <c r="B7982"/>
      <c r="C7982"/>
      <c r="E7982"/>
    </row>
    <row r="7983" spans="2:5">
      <c r="B7983"/>
      <c r="C7983"/>
      <c r="E7983"/>
    </row>
    <row r="7984" spans="2:5">
      <c r="B7984"/>
      <c r="C7984"/>
      <c r="E7984"/>
    </row>
    <row r="7985" spans="2:5">
      <c r="B7985"/>
      <c r="C7985"/>
      <c r="E7985"/>
    </row>
    <row r="7986" spans="2:5">
      <c r="B7986"/>
      <c r="C7986"/>
      <c r="E7986"/>
    </row>
    <row r="7987" spans="2:5">
      <c r="B7987"/>
      <c r="C7987"/>
      <c r="E7987"/>
    </row>
    <row r="7988" spans="2:5">
      <c r="B7988"/>
      <c r="C7988"/>
      <c r="E7988"/>
    </row>
    <row r="7989" spans="2:5">
      <c r="B7989"/>
      <c r="C7989"/>
      <c r="E7989"/>
    </row>
    <row r="7990" spans="2:5">
      <c r="B7990"/>
      <c r="C7990"/>
      <c r="E7990"/>
    </row>
    <row r="7991" spans="2:5">
      <c r="B7991"/>
      <c r="C7991"/>
      <c r="E7991"/>
    </row>
    <row r="7992" spans="2:5">
      <c r="B7992"/>
      <c r="C7992"/>
      <c r="E7992"/>
    </row>
    <row r="7993" spans="2:5">
      <c r="B7993"/>
      <c r="C7993"/>
      <c r="E7993"/>
    </row>
    <row r="7994" spans="2:5">
      <c r="B7994"/>
      <c r="C7994"/>
      <c r="E7994"/>
    </row>
    <row r="7995" spans="2:5">
      <c r="B7995"/>
      <c r="C7995"/>
      <c r="E7995"/>
    </row>
    <row r="7996" spans="2:5">
      <c r="B7996"/>
      <c r="C7996"/>
      <c r="E7996"/>
    </row>
    <row r="7997" spans="2:5">
      <c r="B7997"/>
      <c r="C7997"/>
      <c r="E7997"/>
    </row>
    <row r="7998" spans="2:5">
      <c r="B7998"/>
      <c r="C7998"/>
      <c r="E7998"/>
    </row>
    <row r="7999" spans="2:5">
      <c r="B7999"/>
      <c r="C7999"/>
      <c r="E7999"/>
    </row>
    <row r="8000" spans="2:5">
      <c r="B8000"/>
      <c r="C8000"/>
      <c r="E8000"/>
    </row>
    <row r="8001" spans="2:5">
      <c r="B8001"/>
      <c r="C8001"/>
      <c r="E8001"/>
    </row>
    <row r="8002" spans="2:5">
      <c r="B8002"/>
      <c r="C8002"/>
      <c r="E8002"/>
    </row>
    <row r="8003" spans="2:5">
      <c r="B8003"/>
      <c r="C8003"/>
      <c r="E8003"/>
    </row>
    <row r="8004" spans="2:5">
      <c r="B8004"/>
      <c r="C8004"/>
      <c r="E8004"/>
    </row>
    <row r="8005" spans="2:5">
      <c r="B8005"/>
      <c r="C8005"/>
      <c r="E8005"/>
    </row>
    <row r="8006" spans="2:5">
      <c r="B8006"/>
      <c r="C8006"/>
      <c r="E8006"/>
    </row>
    <row r="8007" spans="2:5">
      <c r="B8007"/>
      <c r="C8007"/>
      <c r="E8007"/>
    </row>
    <row r="8008" spans="2:5">
      <c r="B8008"/>
      <c r="C8008"/>
      <c r="E8008"/>
    </row>
    <row r="8009" spans="2:5">
      <c r="B8009"/>
      <c r="C8009"/>
      <c r="E8009"/>
    </row>
    <row r="8010" spans="2:5">
      <c r="B8010"/>
      <c r="C8010"/>
      <c r="E8010"/>
    </row>
    <row r="8011" spans="2:5">
      <c r="B8011"/>
      <c r="C8011"/>
      <c r="E8011"/>
    </row>
    <row r="8012" spans="2:5">
      <c r="B8012"/>
      <c r="C8012"/>
      <c r="E8012"/>
    </row>
    <row r="8013" spans="2:5">
      <c r="B8013"/>
      <c r="C8013"/>
      <c r="E8013"/>
    </row>
    <row r="8014" spans="2:5">
      <c r="B8014"/>
      <c r="C8014"/>
      <c r="E8014"/>
    </row>
    <row r="8015" spans="2:5">
      <c r="B8015"/>
      <c r="C8015"/>
      <c r="E8015"/>
    </row>
    <row r="8016" spans="2:5">
      <c r="B8016"/>
      <c r="C8016"/>
      <c r="E8016"/>
    </row>
    <row r="8017" spans="2:5">
      <c r="B8017"/>
      <c r="C8017"/>
      <c r="E8017"/>
    </row>
    <row r="8018" spans="2:5">
      <c r="B8018"/>
      <c r="C8018"/>
      <c r="E8018"/>
    </row>
    <row r="8019" spans="2:5">
      <c r="B8019"/>
      <c r="C8019"/>
      <c r="E8019"/>
    </row>
    <row r="8020" spans="2:5">
      <c r="B8020"/>
      <c r="C8020"/>
      <c r="E8020"/>
    </row>
    <row r="8021" spans="2:5">
      <c r="B8021"/>
      <c r="C8021"/>
      <c r="E8021"/>
    </row>
    <row r="8022" spans="2:5">
      <c r="B8022"/>
      <c r="C8022"/>
      <c r="E8022"/>
    </row>
    <row r="8023" spans="2:5">
      <c r="B8023"/>
      <c r="C8023"/>
      <c r="E8023"/>
    </row>
    <row r="8024" spans="2:5">
      <c r="B8024"/>
      <c r="C8024"/>
      <c r="E8024"/>
    </row>
    <row r="8025" spans="2:5">
      <c r="B8025"/>
      <c r="C8025"/>
      <c r="E8025"/>
    </row>
    <row r="8026" spans="2:5">
      <c r="B8026"/>
      <c r="C8026"/>
      <c r="E8026"/>
    </row>
    <row r="8027" spans="2:5">
      <c r="B8027"/>
      <c r="C8027"/>
      <c r="E8027"/>
    </row>
    <row r="8028" spans="2:5">
      <c r="B8028"/>
      <c r="C8028"/>
      <c r="E8028"/>
    </row>
    <row r="8029" spans="2:5">
      <c r="B8029"/>
      <c r="C8029"/>
      <c r="E8029"/>
    </row>
    <row r="8030" spans="2:5">
      <c r="B8030"/>
      <c r="C8030"/>
      <c r="E8030"/>
    </row>
    <row r="8031" spans="2:5">
      <c r="B8031"/>
      <c r="C8031"/>
      <c r="E8031"/>
    </row>
    <row r="8032" spans="2:5">
      <c r="B8032"/>
      <c r="C8032"/>
      <c r="E8032"/>
    </row>
    <row r="8033" spans="2:5">
      <c r="B8033"/>
      <c r="C8033"/>
      <c r="E8033"/>
    </row>
    <row r="8034" spans="2:5">
      <c r="B8034"/>
      <c r="C8034"/>
      <c r="E8034"/>
    </row>
    <row r="8035" spans="2:5">
      <c r="B8035"/>
      <c r="C8035"/>
      <c r="E8035"/>
    </row>
    <row r="8036" spans="2:5">
      <c r="B8036"/>
      <c r="C8036"/>
      <c r="E8036"/>
    </row>
    <row r="8037" spans="2:5">
      <c r="B8037"/>
      <c r="C8037"/>
      <c r="E8037"/>
    </row>
    <row r="8038" spans="2:5">
      <c r="B8038"/>
      <c r="C8038"/>
      <c r="E8038"/>
    </row>
    <row r="8039" spans="2:5">
      <c r="B8039"/>
      <c r="C8039"/>
      <c r="E8039"/>
    </row>
    <row r="8040" spans="2:5">
      <c r="B8040"/>
      <c r="C8040"/>
      <c r="E8040"/>
    </row>
    <row r="8041" spans="2:5">
      <c r="B8041"/>
      <c r="C8041"/>
      <c r="E8041"/>
    </row>
    <row r="8042" spans="2:5">
      <c r="B8042"/>
      <c r="C8042"/>
      <c r="E8042"/>
    </row>
    <row r="8043" spans="2:5">
      <c r="B8043"/>
      <c r="C8043"/>
      <c r="E8043"/>
    </row>
    <row r="8044" spans="2:5">
      <c r="B8044"/>
      <c r="C8044"/>
      <c r="E8044"/>
    </row>
    <row r="8045" spans="2:5">
      <c r="B8045"/>
      <c r="C8045"/>
      <c r="E8045"/>
    </row>
    <row r="8046" spans="2:5">
      <c r="B8046"/>
      <c r="C8046"/>
      <c r="E8046"/>
    </row>
    <row r="8047" spans="2:5">
      <c r="B8047"/>
      <c r="C8047"/>
      <c r="E8047"/>
    </row>
    <row r="8048" spans="2:5">
      <c r="B8048"/>
      <c r="C8048"/>
      <c r="E8048"/>
    </row>
    <row r="8049" spans="2:5">
      <c r="B8049"/>
      <c r="C8049"/>
      <c r="E8049"/>
    </row>
    <row r="8050" spans="2:5">
      <c r="B8050"/>
      <c r="C8050"/>
      <c r="E8050"/>
    </row>
    <row r="8051" spans="2:5">
      <c r="B8051"/>
      <c r="C8051"/>
      <c r="E8051"/>
    </row>
    <row r="8052" spans="2:5">
      <c r="B8052"/>
      <c r="C8052"/>
      <c r="E8052"/>
    </row>
    <row r="8053" spans="2:5">
      <c r="B8053"/>
      <c r="C8053"/>
      <c r="E8053"/>
    </row>
    <row r="8054" spans="2:5">
      <c r="B8054"/>
      <c r="C8054"/>
      <c r="E8054"/>
    </row>
    <row r="8055" spans="2:5">
      <c r="B8055"/>
      <c r="C8055"/>
      <c r="E8055"/>
    </row>
    <row r="8056" spans="2:5">
      <c r="B8056"/>
      <c r="C8056"/>
      <c r="E8056"/>
    </row>
    <row r="8057" spans="2:5">
      <c r="B8057"/>
      <c r="C8057"/>
      <c r="E8057"/>
    </row>
    <row r="8058" spans="2:5">
      <c r="B8058"/>
      <c r="C8058"/>
      <c r="E8058"/>
    </row>
    <row r="8059" spans="2:5">
      <c r="B8059"/>
      <c r="C8059"/>
      <c r="E8059"/>
    </row>
    <row r="8060" spans="2:5">
      <c r="B8060"/>
      <c r="C8060"/>
      <c r="E8060"/>
    </row>
    <row r="8061" spans="2:5">
      <c r="B8061"/>
      <c r="C8061"/>
      <c r="E8061"/>
    </row>
    <row r="8062" spans="2:5">
      <c r="B8062"/>
      <c r="C8062"/>
      <c r="E8062"/>
    </row>
    <row r="8063" spans="2:5">
      <c r="B8063"/>
      <c r="C8063"/>
      <c r="E8063"/>
    </row>
    <row r="8064" spans="2:5">
      <c r="B8064"/>
      <c r="C8064"/>
      <c r="E8064"/>
    </row>
    <row r="8065" spans="2:5">
      <c r="B8065"/>
      <c r="C8065"/>
      <c r="E8065"/>
    </row>
    <row r="8066" spans="2:5">
      <c r="B8066"/>
      <c r="C8066"/>
      <c r="E8066"/>
    </row>
    <row r="8067" spans="2:5">
      <c r="B8067"/>
      <c r="C8067"/>
      <c r="E8067"/>
    </row>
    <row r="8068" spans="2:5">
      <c r="B8068"/>
      <c r="C8068"/>
      <c r="E8068"/>
    </row>
    <row r="8069" spans="2:5">
      <c r="B8069"/>
      <c r="C8069"/>
      <c r="E8069"/>
    </row>
    <row r="8070" spans="2:5">
      <c r="B8070"/>
      <c r="C8070"/>
      <c r="E8070"/>
    </row>
    <row r="8071" spans="2:5">
      <c r="B8071"/>
      <c r="C8071"/>
      <c r="E8071"/>
    </row>
    <row r="8072" spans="2:5">
      <c r="B8072"/>
      <c r="C8072"/>
      <c r="E8072"/>
    </row>
    <row r="8073" spans="2:5">
      <c r="B8073"/>
      <c r="C8073"/>
      <c r="E8073"/>
    </row>
    <row r="8074" spans="2:5">
      <c r="B8074"/>
      <c r="C8074"/>
      <c r="E8074"/>
    </row>
    <row r="8075" spans="2:5">
      <c r="B8075"/>
      <c r="C8075"/>
      <c r="E8075"/>
    </row>
    <row r="8076" spans="2:5">
      <c r="B8076"/>
      <c r="C8076"/>
      <c r="E8076"/>
    </row>
    <row r="8077" spans="2:5">
      <c r="B8077"/>
      <c r="C8077"/>
      <c r="E8077"/>
    </row>
    <row r="8078" spans="2:5">
      <c r="B8078"/>
      <c r="C8078"/>
      <c r="E8078"/>
    </row>
    <row r="8079" spans="2:5">
      <c r="B8079"/>
      <c r="C8079"/>
      <c r="E8079"/>
    </row>
    <row r="8080" spans="2:5">
      <c r="B8080"/>
      <c r="C8080"/>
      <c r="E8080"/>
    </row>
    <row r="8081" spans="2:5">
      <c r="B8081"/>
      <c r="C8081"/>
      <c r="E8081"/>
    </row>
    <row r="8082" spans="2:5">
      <c r="B8082"/>
      <c r="C8082"/>
      <c r="E8082"/>
    </row>
    <row r="8083" spans="2:5">
      <c r="B8083"/>
      <c r="C8083"/>
      <c r="E8083"/>
    </row>
    <row r="8084" spans="2:5">
      <c r="B8084"/>
      <c r="C8084"/>
      <c r="E8084"/>
    </row>
    <row r="8085" spans="2:5">
      <c r="B8085"/>
      <c r="C8085"/>
      <c r="E8085"/>
    </row>
    <row r="8086" spans="2:5">
      <c r="B8086"/>
      <c r="C8086"/>
      <c r="E8086"/>
    </row>
    <row r="8087" spans="2:5">
      <c r="B8087"/>
      <c r="C8087"/>
      <c r="E8087"/>
    </row>
    <row r="8088" spans="2:5">
      <c r="B8088"/>
      <c r="C8088"/>
      <c r="E8088"/>
    </row>
    <row r="8089" spans="2:5">
      <c r="B8089"/>
      <c r="C8089"/>
      <c r="E8089"/>
    </row>
    <row r="8090" spans="2:5">
      <c r="B8090"/>
      <c r="C8090"/>
      <c r="E8090"/>
    </row>
    <row r="8091" spans="2:5">
      <c r="B8091"/>
      <c r="C8091"/>
      <c r="E8091"/>
    </row>
    <row r="8092" spans="2:5">
      <c r="B8092"/>
      <c r="C8092"/>
      <c r="E8092"/>
    </row>
    <row r="8093" spans="2:5">
      <c r="B8093"/>
      <c r="C8093"/>
      <c r="E8093"/>
    </row>
    <row r="8094" spans="2:5">
      <c r="B8094"/>
      <c r="C8094"/>
      <c r="E8094"/>
    </row>
    <row r="8095" spans="2:5">
      <c r="B8095"/>
      <c r="C8095"/>
      <c r="E8095"/>
    </row>
    <row r="8096" spans="2:5">
      <c r="B8096"/>
      <c r="C8096"/>
      <c r="E8096"/>
    </row>
    <row r="8097" spans="2:5">
      <c r="B8097"/>
      <c r="C8097"/>
      <c r="E8097"/>
    </row>
    <row r="8098" spans="2:5">
      <c r="B8098"/>
      <c r="C8098"/>
      <c r="E8098"/>
    </row>
    <row r="8099" spans="2:5">
      <c r="B8099"/>
      <c r="C8099"/>
      <c r="E8099"/>
    </row>
    <row r="8100" spans="2:5">
      <c r="B8100"/>
      <c r="C8100"/>
      <c r="E8100"/>
    </row>
    <row r="8101" spans="2:5">
      <c r="B8101"/>
      <c r="C8101"/>
      <c r="E8101"/>
    </row>
    <row r="8102" spans="2:5">
      <c r="B8102"/>
      <c r="C8102"/>
      <c r="E8102"/>
    </row>
    <row r="8103" spans="2:5">
      <c r="B8103"/>
      <c r="C8103"/>
      <c r="E8103"/>
    </row>
    <row r="8104" spans="2:5">
      <c r="B8104"/>
      <c r="C8104"/>
      <c r="E8104"/>
    </row>
    <row r="8105" spans="2:5">
      <c r="B8105"/>
      <c r="C8105"/>
      <c r="E8105"/>
    </row>
    <row r="8106" spans="2:5">
      <c r="B8106"/>
      <c r="C8106"/>
      <c r="E8106"/>
    </row>
    <row r="8107" spans="2:5">
      <c r="B8107"/>
      <c r="C8107"/>
      <c r="E8107"/>
    </row>
    <row r="8108" spans="2:5">
      <c r="B8108"/>
      <c r="C8108"/>
      <c r="E8108"/>
    </row>
    <row r="8109" spans="2:5">
      <c r="B8109"/>
      <c r="C8109"/>
      <c r="E8109"/>
    </row>
    <row r="8110" spans="2:5">
      <c r="B8110"/>
      <c r="C8110"/>
      <c r="E8110"/>
    </row>
    <row r="8111" spans="2:5">
      <c r="B8111"/>
      <c r="C8111"/>
      <c r="E8111"/>
    </row>
    <row r="8112" spans="2:5">
      <c r="B8112"/>
      <c r="C8112"/>
      <c r="E8112"/>
    </row>
    <row r="8113" spans="2:5">
      <c r="B8113"/>
      <c r="C8113"/>
      <c r="E8113"/>
    </row>
    <row r="8114" spans="2:5">
      <c r="B8114"/>
      <c r="C8114"/>
      <c r="E8114"/>
    </row>
    <row r="8115" spans="2:5">
      <c r="B8115"/>
      <c r="C8115"/>
      <c r="E8115"/>
    </row>
    <row r="8116" spans="2:5">
      <c r="B8116"/>
      <c r="C8116"/>
      <c r="E8116"/>
    </row>
    <row r="8117" spans="2:5">
      <c r="B8117"/>
      <c r="C8117"/>
      <c r="E8117"/>
    </row>
    <row r="8118" spans="2:5">
      <c r="B8118"/>
      <c r="C8118"/>
      <c r="E8118"/>
    </row>
    <row r="8119" spans="2:5">
      <c r="B8119"/>
      <c r="C8119"/>
      <c r="E8119"/>
    </row>
    <row r="8120" spans="2:5">
      <c r="B8120"/>
      <c r="C8120"/>
      <c r="E8120"/>
    </row>
    <row r="8121" spans="2:5">
      <c r="B8121"/>
      <c r="C8121"/>
      <c r="E8121"/>
    </row>
    <row r="8122" spans="2:5">
      <c r="B8122"/>
      <c r="C8122"/>
      <c r="E8122"/>
    </row>
    <row r="8123" spans="2:5">
      <c r="B8123"/>
      <c r="C8123"/>
      <c r="E8123"/>
    </row>
    <row r="8124" spans="2:5">
      <c r="B8124"/>
      <c r="C8124"/>
      <c r="E8124"/>
    </row>
    <row r="8125" spans="2:5">
      <c r="B8125"/>
      <c r="C8125"/>
      <c r="E8125"/>
    </row>
    <row r="8126" spans="2:5">
      <c r="B8126"/>
      <c r="C8126"/>
      <c r="E8126"/>
    </row>
    <row r="8127" spans="2:5">
      <c r="B8127"/>
      <c r="C8127"/>
      <c r="E8127"/>
    </row>
    <row r="8128" spans="2:5">
      <c r="B8128"/>
      <c r="C8128"/>
      <c r="E8128"/>
    </row>
    <row r="8129" spans="2:5">
      <c r="B8129"/>
      <c r="C8129"/>
      <c r="E8129"/>
    </row>
    <row r="8130" spans="2:5">
      <c r="B8130"/>
      <c r="C8130"/>
      <c r="E8130"/>
    </row>
    <row r="8131" spans="2:5">
      <c r="B8131"/>
      <c r="C8131"/>
      <c r="E8131"/>
    </row>
    <row r="8132" spans="2:5">
      <c r="B8132"/>
      <c r="C8132"/>
      <c r="E8132"/>
    </row>
    <row r="8133" spans="2:5">
      <c r="B8133"/>
      <c r="C8133"/>
      <c r="E8133"/>
    </row>
    <row r="8134" spans="2:5">
      <c r="B8134"/>
      <c r="C8134"/>
      <c r="E8134"/>
    </row>
    <row r="8135" spans="2:5">
      <c r="B8135"/>
      <c r="C8135"/>
      <c r="E8135"/>
    </row>
    <row r="8136" spans="2:5">
      <c r="B8136"/>
      <c r="C8136"/>
      <c r="E8136"/>
    </row>
    <row r="8137" spans="2:5">
      <c r="B8137"/>
      <c r="C8137"/>
      <c r="E8137"/>
    </row>
    <row r="8138" spans="2:5">
      <c r="B8138"/>
      <c r="C8138"/>
      <c r="E8138"/>
    </row>
    <row r="8139" spans="2:5">
      <c r="B8139"/>
      <c r="C8139"/>
      <c r="E8139"/>
    </row>
    <row r="8140" spans="2:5">
      <c r="B8140"/>
      <c r="C8140"/>
      <c r="E8140"/>
    </row>
    <row r="8141" spans="2:5">
      <c r="B8141"/>
      <c r="C8141"/>
      <c r="E8141"/>
    </row>
    <row r="8142" spans="2:5">
      <c r="B8142"/>
      <c r="C8142"/>
      <c r="E8142"/>
    </row>
    <row r="8143" spans="2:5">
      <c r="B8143"/>
      <c r="C8143"/>
      <c r="E8143"/>
    </row>
    <row r="8144" spans="2:5">
      <c r="B8144"/>
      <c r="C8144"/>
      <c r="E8144"/>
    </row>
    <row r="8145" spans="2:5">
      <c r="B8145"/>
      <c r="C8145"/>
      <c r="E8145"/>
    </row>
    <row r="8146" spans="2:5">
      <c r="B8146"/>
      <c r="C8146"/>
      <c r="E8146"/>
    </row>
    <row r="8147" spans="2:5">
      <c r="B8147"/>
      <c r="C8147"/>
      <c r="E8147"/>
    </row>
    <row r="8148" spans="2:5">
      <c r="B8148"/>
      <c r="C8148"/>
      <c r="E8148"/>
    </row>
    <row r="8149" spans="2:5">
      <c r="B8149"/>
      <c r="C8149"/>
      <c r="E8149"/>
    </row>
    <row r="8150" spans="2:5">
      <c r="B8150"/>
      <c r="C8150"/>
      <c r="E8150"/>
    </row>
    <row r="8151" spans="2:5">
      <c r="B8151"/>
      <c r="C8151"/>
      <c r="E8151"/>
    </row>
    <row r="8152" spans="2:5">
      <c r="B8152"/>
      <c r="C8152"/>
      <c r="E8152"/>
    </row>
    <row r="8153" spans="2:5">
      <c r="B8153"/>
      <c r="C8153"/>
      <c r="E8153"/>
    </row>
    <row r="8154" spans="2:5">
      <c r="B8154"/>
      <c r="C8154"/>
      <c r="E8154"/>
    </row>
    <row r="8155" spans="2:5">
      <c r="B8155"/>
      <c r="C8155"/>
      <c r="E8155"/>
    </row>
    <row r="8156" spans="2:5">
      <c r="B8156"/>
      <c r="C8156"/>
      <c r="E8156"/>
    </row>
    <row r="8157" spans="2:5">
      <c r="B8157"/>
      <c r="C8157"/>
      <c r="E8157"/>
    </row>
    <row r="8158" spans="2:5">
      <c r="B8158"/>
      <c r="C8158"/>
      <c r="E8158"/>
    </row>
    <row r="8159" spans="2:5">
      <c r="B8159"/>
      <c r="C8159"/>
      <c r="E8159"/>
    </row>
    <row r="8160" spans="2:5">
      <c r="B8160"/>
      <c r="C8160"/>
      <c r="E8160"/>
    </row>
    <row r="8161" spans="2:5">
      <c r="B8161"/>
      <c r="C8161"/>
      <c r="E8161"/>
    </row>
    <row r="8162" spans="2:5">
      <c r="B8162"/>
      <c r="C8162"/>
      <c r="E8162"/>
    </row>
    <row r="8163" spans="2:5">
      <c r="B8163"/>
      <c r="C8163"/>
      <c r="E8163"/>
    </row>
    <row r="8164" spans="2:5">
      <c r="B8164"/>
      <c r="C8164"/>
      <c r="E8164"/>
    </row>
    <row r="8165" spans="2:5">
      <c r="B8165"/>
      <c r="C8165"/>
      <c r="E8165"/>
    </row>
    <row r="8166" spans="2:5">
      <c r="B8166"/>
      <c r="C8166"/>
      <c r="E8166"/>
    </row>
    <row r="8167" spans="2:5">
      <c r="B8167"/>
      <c r="C8167"/>
      <c r="E8167"/>
    </row>
    <row r="8168" spans="2:5">
      <c r="B8168"/>
      <c r="C8168"/>
      <c r="E8168"/>
    </row>
    <row r="8169" spans="2:5">
      <c r="B8169"/>
      <c r="C8169"/>
      <c r="E8169"/>
    </row>
    <row r="8170" spans="2:5">
      <c r="B8170"/>
      <c r="C8170"/>
      <c r="E8170"/>
    </row>
    <row r="8171" spans="2:5">
      <c r="B8171"/>
      <c r="C8171"/>
      <c r="E8171"/>
    </row>
    <row r="8172" spans="2:5">
      <c r="B8172"/>
      <c r="C8172"/>
      <c r="E8172"/>
    </row>
    <row r="8173" spans="2:5">
      <c r="B8173"/>
      <c r="C8173"/>
      <c r="E8173"/>
    </row>
    <row r="8174" spans="2:5">
      <c r="B8174"/>
      <c r="C8174"/>
      <c r="E8174"/>
    </row>
    <row r="8175" spans="2:5">
      <c r="B8175"/>
      <c r="C8175"/>
      <c r="E8175"/>
    </row>
    <row r="8176" spans="2:5">
      <c r="B8176"/>
      <c r="C8176"/>
      <c r="E8176"/>
    </row>
    <row r="8177" spans="2:5">
      <c r="B8177"/>
      <c r="C8177"/>
      <c r="E8177"/>
    </row>
    <row r="8178" spans="2:5">
      <c r="B8178"/>
      <c r="C8178"/>
      <c r="E8178"/>
    </row>
    <row r="8179" spans="2:5">
      <c r="B8179"/>
      <c r="C8179"/>
      <c r="E8179"/>
    </row>
    <row r="8180" spans="2:5">
      <c r="B8180"/>
      <c r="C8180"/>
      <c r="E8180"/>
    </row>
    <row r="8181" spans="2:5">
      <c r="B8181"/>
      <c r="C8181"/>
      <c r="E8181"/>
    </row>
    <row r="8182" spans="2:5">
      <c r="B8182"/>
      <c r="C8182"/>
      <c r="E8182"/>
    </row>
    <row r="8183" spans="2:5">
      <c r="B8183"/>
      <c r="C8183"/>
      <c r="E8183"/>
    </row>
    <row r="8184" spans="2:5">
      <c r="B8184"/>
      <c r="C8184"/>
      <c r="E8184"/>
    </row>
    <row r="8185" spans="2:5">
      <c r="B8185"/>
      <c r="C8185"/>
      <c r="E8185"/>
    </row>
    <row r="8186" spans="2:5">
      <c r="B8186"/>
      <c r="C8186"/>
      <c r="E8186"/>
    </row>
    <row r="8187" spans="2:5">
      <c r="B8187"/>
      <c r="C8187"/>
      <c r="E8187"/>
    </row>
    <row r="8188" spans="2:5">
      <c r="B8188"/>
      <c r="C8188"/>
      <c r="E8188"/>
    </row>
    <row r="8189" spans="2:5">
      <c r="B8189"/>
      <c r="C8189"/>
      <c r="E8189"/>
    </row>
    <row r="8190" spans="2:5">
      <c r="B8190"/>
      <c r="C8190"/>
      <c r="E8190"/>
    </row>
    <row r="8191" spans="2:5">
      <c r="B8191"/>
      <c r="C8191"/>
      <c r="E8191"/>
    </row>
    <row r="8192" spans="2:5">
      <c r="B8192"/>
      <c r="C8192"/>
      <c r="E8192"/>
    </row>
    <row r="8193" spans="2:5">
      <c r="B8193"/>
      <c r="C8193"/>
      <c r="E8193"/>
    </row>
    <row r="8194" spans="2:5">
      <c r="B8194"/>
      <c r="C8194"/>
      <c r="E8194"/>
    </row>
    <row r="8195" spans="2:5">
      <c r="B8195"/>
      <c r="C8195"/>
      <c r="E8195"/>
    </row>
    <row r="8196" spans="2:5">
      <c r="B8196"/>
      <c r="C8196"/>
      <c r="E8196"/>
    </row>
    <row r="8197" spans="2:5">
      <c r="B8197"/>
      <c r="C8197"/>
      <c r="E8197"/>
    </row>
    <row r="8198" spans="2:5">
      <c r="B8198"/>
      <c r="C8198"/>
      <c r="E8198"/>
    </row>
    <row r="8199" spans="2:5">
      <c r="B8199"/>
      <c r="C8199"/>
      <c r="E8199"/>
    </row>
    <row r="8200" spans="2:5">
      <c r="B8200"/>
      <c r="C8200"/>
      <c r="E8200"/>
    </row>
    <row r="8201" spans="2:5">
      <c r="B8201"/>
      <c r="C8201"/>
      <c r="E8201"/>
    </row>
    <row r="8202" spans="2:5">
      <c r="B8202"/>
      <c r="C8202"/>
      <c r="E8202"/>
    </row>
    <row r="8203" spans="2:5">
      <c r="B8203"/>
      <c r="C8203"/>
      <c r="E8203"/>
    </row>
    <row r="8204" spans="2:5">
      <c r="B8204"/>
      <c r="C8204"/>
      <c r="E8204"/>
    </row>
    <row r="8205" spans="2:5">
      <c r="B8205"/>
      <c r="C8205"/>
      <c r="E8205"/>
    </row>
    <row r="8206" spans="2:5">
      <c r="B8206"/>
      <c r="C8206"/>
      <c r="E8206"/>
    </row>
    <row r="8207" spans="2:5">
      <c r="B8207"/>
      <c r="C8207"/>
      <c r="E8207"/>
    </row>
    <row r="8208" spans="2:5">
      <c r="B8208"/>
      <c r="C8208"/>
      <c r="E8208"/>
    </row>
    <row r="8209" spans="2:5">
      <c r="B8209"/>
      <c r="C8209"/>
      <c r="E8209"/>
    </row>
    <row r="8210" spans="2:5">
      <c r="B8210"/>
      <c r="C8210"/>
      <c r="E8210"/>
    </row>
    <row r="8211" spans="2:5">
      <c r="B8211"/>
      <c r="C8211"/>
      <c r="E8211"/>
    </row>
    <row r="8212" spans="2:5">
      <c r="B8212"/>
      <c r="C8212"/>
      <c r="E8212"/>
    </row>
    <row r="8213" spans="2:5">
      <c r="B8213"/>
      <c r="C8213"/>
      <c r="E8213"/>
    </row>
    <row r="8214" spans="2:5">
      <c r="B8214"/>
      <c r="C8214"/>
      <c r="E8214"/>
    </row>
    <row r="8215" spans="2:5">
      <c r="B8215"/>
      <c r="C8215"/>
      <c r="E8215"/>
    </row>
    <row r="8216" spans="2:5">
      <c r="B8216"/>
      <c r="C8216"/>
      <c r="E8216"/>
    </row>
    <row r="8217" spans="2:5">
      <c r="B8217"/>
      <c r="C8217"/>
      <c r="E8217"/>
    </row>
    <row r="8218" spans="2:5">
      <c r="B8218"/>
      <c r="C8218"/>
      <c r="E8218"/>
    </row>
    <row r="8219" spans="2:5">
      <c r="B8219"/>
      <c r="C8219"/>
      <c r="E8219"/>
    </row>
    <row r="8220" spans="2:5">
      <c r="B8220"/>
      <c r="C8220"/>
      <c r="E8220"/>
    </row>
    <row r="8221" spans="2:5">
      <c r="B8221"/>
      <c r="C8221"/>
      <c r="E8221"/>
    </row>
    <row r="8222" spans="2:5">
      <c r="B8222"/>
      <c r="C8222"/>
      <c r="E8222"/>
    </row>
    <row r="8223" spans="2:5">
      <c r="B8223"/>
      <c r="C8223"/>
      <c r="E8223"/>
    </row>
    <row r="8224" spans="2:5">
      <c r="B8224"/>
      <c r="C8224"/>
      <c r="E8224"/>
    </row>
    <row r="8225" spans="2:5">
      <c r="B8225"/>
      <c r="C8225"/>
      <c r="E8225"/>
    </row>
    <row r="8226" spans="2:5">
      <c r="B8226"/>
      <c r="C8226"/>
      <c r="E8226"/>
    </row>
    <row r="8227" spans="2:5">
      <c r="B8227"/>
      <c r="C8227"/>
      <c r="E8227"/>
    </row>
    <row r="8228" spans="2:5">
      <c r="B8228"/>
      <c r="C8228"/>
      <c r="E8228"/>
    </row>
    <row r="8229" spans="2:5">
      <c r="B8229"/>
      <c r="C8229"/>
      <c r="E8229"/>
    </row>
    <row r="8230" spans="2:5">
      <c r="B8230"/>
      <c r="C8230"/>
      <c r="E8230"/>
    </row>
    <row r="8231" spans="2:5">
      <c r="B8231"/>
      <c r="C8231"/>
      <c r="E8231"/>
    </row>
    <row r="8232" spans="2:5">
      <c r="B8232"/>
      <c r="C8232"/>
      <c r="E8232"/>
    </row>
    <row r="8233" spans="2:5">
      <c r="B8233"/>
      <c r="C8233"/>
      <c r="E8233"/>
    </row>
    <row r="8234" spans="2:5">
      <c r="B8234"/>
      <c r="C8234"/>
      <c r="E8234"/>
    </row>
    <row r="8235" spans="2:5">
      <c r="B8235"/>
      <c r="C8235"/>
      <c r="E8235"/>
    </row>
    <row r="8236" spans="2:5">
      <c r="B8236"/>
      <c r="C8236"/>
      <c r="E8236"/>
    </row>
    <row r="8237" spans="2:5">
      <c r="B8237"/>
      <c r="C8237"/>
      <c r="E8237"/>
    </row>
    <row r="8238" spans="2:5">
      <c r="B8238"/>
      <c r="C8238"/>
      <c r="E8238"/>
    </row>
    <row r="8239" spans="2:5">
      <c r="B8239"/>
      <c r="C8239"/>
      <c r="E8239"/>
    </row>
    <row r="8240" spans="2:5">
      <c r="B8240"/>
      <c r="C8240"/>
      <c r="E8240"/>
    </row>
    <row r="8241" spans="2:5">
      <c r="B8241"/>
      <c r="C8241"/>
      <c r="E8241"/>
    </row>
    <row r="8242" spans="2:5">
      <c r="B8242"/>
      <c r="C8242"/>
      <c r="E8242"/>
    </row>
    <row r="8243" spans="2:5">
      <c r="B8243"/>
      <c r="C8243"/>
      <c r="E8243"/>
    </row>
    <row r="8244" spans="2:5">
      <c r="B8244"/>
      <c r="C8244"/>
      <c r="E8244"/>
    </row>
    <row r="8245" spans="2:5">
      <c r="B8245"/>
      <c r="C8245"/>
      <c r="E8245"/>
    </row>
    <row r="8246" spans="2:5">
      <c r="B8246"/>
      <c r="C8246"/>
      <c r="E8246"/>
    </row>
    <row r="8247" spans="2:5">
      <c r="B8247"/>
      <c r="C8247"/>
      <c r="E8247"/>
    </row>
    <row r="8248" spans="2:5">
      <c r="B8248"/>
      <c r="C8248"/>
      <c r="E8248"/>
    </row>
    <row r="8249" spans="2:5">
      <c r="B8249"/>
      <c r="C8249"/>
      <c r="E8249"/>
    </row>
    <row r="8250" spans="2:5">
      <c r="B8250"/>
      <c r="C8250"/>
      <c r="E8250"/>
    </row>
    <row r="8251" spans="2:5">
      <c r="B8251"/>
      <c r="C8251"/>
      <c r="E8251"/>
    </row>
    <row r="8252" spans="2:5">
      <c r="B8252"/>
      <c r="C8252"/>
      <c r="E8252"/>
    </row>
    <row r="8253" spans="2:5">
      <c r="B8253"/>
      <c r="C8253"/>
      <c r="E8253"/>
    </row>
    <row r="8254" spans="2:5">
      <c r="B8254"/>
      <c r="C8254"/>
      <c r="E8254"/>
    </row>
    <row r="8255" spans="2:5">
      <c r="B8255"/>
      <c r="C8255"/>
      <c r="E8255"/>
    </row>
    <row r="8256" spans="2:5">
      <c r="B8256"/>
      <c r="C8256"/>
      <c r="E8256"/>
    </row>
    <row r="8257" spans="2:5">
      <c r="B8257"/>
      <c r="C8257"/>
      <c r="E8257"/>
    </row>
    <row r="8258" spans="2:5">
      <c r="B8258"/>
      <c r="C8258"/>
      <c r="E8258"/>
    </row>
    <row r="8259" spans="2:5">
      <c r="B8259"/>
      <c r="C8259"/>
      <c r="E8259"/>
    </row>
    <row r="8260" spans="2:5">
      <c r="B8260"/>
      <c r="C8260"/>
      <c r="E8260"/>
    </row>
    <row r="8261" spans="2:5">
      <c r="B8261"/>
      <c r="C8261"/>
      <c r="E8261"/>
    </row>
    <row r="8262" spans="2:5">
      <c r="B8262"/>
      <c r="C8262"/>
      <c r="E8262"/>
    </row>
    <row r="8263" spans="2:5">
      <c r="B8263"/>
      <c r="C8263"/>
      <c r="E8263"/>
    </row>
    <row r="8264" spans="2:5">
      <c r="B8264"/>
      <c r="C8264"/>
      <c r="E8264"/>
    </row>
    <row r="8265" spans="2:5">
      <c r="B8265"/>
      <c r="C8265"/>
      <c r="E8265"/>
    </row>
    <row r="8266" spans="2:5">
      <c r="B8266"/>
      <c r="C8266"/>
      <c r="E8266"/>
    </row>
    <row r="8267" spans="2:5">
      <c r="B8267"/>
      <c r="C8267"/>
      <c r="E8267"/>
    </row>
    <row r="8268" spans="2:5">
      <c r="B8268"/>
      <c r="C8268"/>
      <c r="E8268"/>
    </row>
    <row r="8269" spans="2:5">
      <c r="B8269"/>
      <c r="C8269"/>
      <c r="E8269"/>
    </row>
    <row r="8270" spans="2:5">
      <c r="B8270"/>
      <c r="C8270"/>
      <c r="E8270"/>
    </row>
    <row r="8271" spans="2:5">
      <c r="B8271"/>
      <c r="C8271"/>
      <c r="E8271"/>
    </row>
    <row r="8272" spans="2:5">
      <c r="B8272"/>
      <c r="C8272"/>
      <c r="E8272"/>
    </row>
    <row r="8273" spans="2:5">
      <c r="B8273"/>
      <c r="C8273"/>
      <c r="E8273"/>
    </row>
    <row r="8274" spans="2:5">
      <c r="B8274"/>
      <c r="C8274"/>
      <c r="E8274"/>
    </row>
    <row r="8275" spans="2:5">
      <c r="B8275"/>
      <c r="C8275"/>
      <c r="E8275"/>
    </row>
    <row r="8276" spans="2:5">
      <c r="B8276"/>
      <c r="C8276"/>
      <c r="E8276"/>
    </row>
    <row r="8277" spans="2:5">
      <c r="B8277"/>
      <c r="C8277"/>
      <c r="E8277"/>
    </row>
    <row r="8278" spans="2:5">
      <c r="B8278"/>
      <c r="C8278"/>
      <c r="E8278"/>
    </row>
    <row r="8279" spans="2:5">
      <c r="B8279"/>
      <c r="C8279"/>
      <c r="E8279"/>
    </row>
    <row r="8280" spans="2:5">
      <c r="B8280"/>
      <c r="C8280"/>
      <c r="E8280"/>
    </row>
    <row r="8281" spans="2:5">
      <c r="B8281"/>
      <c r="C8281"/>
      <c r="E8281"/>
    </row>
    <row r="8282" spans="2:5">
      <c r="B8282"/>
      <c r="C8282"/>
      <c r="E8282"/>
    </row>
    <row r="8283" spans="2:5">
      <c r="B8283"/>
      <c r="C8283"/>
      <c r="E8283"/>
    </row>
    <row r="8284" spans="2:5">
      <c r="B8284"/>
      <c r="C8284"/>
      <c r="E8284"/>
    </row>
    <row r="8285" spans="2:5">
      <c r="B8285"/>
      <c r="C8285"/>
      <c r="E8285"/>
    </row>
    <row r="8286" spans="2:5">
      <c r="B8286"/>
      <c r="C8286"/>
      <c r="E8286"/>
    </row>
    <row r="8287" spans="2:5">
      <c r="B8287"/>
      <c r="C8287"/>
      <c r="E8287"/>
    </row>
    <row r="8288" spans="2:5">
      <c r="B8288"/>
      <c r="C8288"/>
      <c r="E8288"/>
    </row>
    <row r="8289" spans="2:5">
      <c r="B8289"/>
      <c r="C8289"/>
      <c r="E8289"/>
    </row>
    <row r="8290" spans="2:5">
      <c r="B8290"/>
      <c r="C8290"/>
      <c r="E8290"/>
    </row>
    <row r="8291" spans="2:5">
      <c r="B8291"/>
      <c r="C8291"/>
      <c r="E8291"/>
    </row>
    <row r="8292" spans="2:5">
      <c r="B8292"/>
      <c r="C8292"/>
      <c r="E8292"/>
    </row>
    <row r="8293" spans="2:5">
      <c r="B8293"/>
      <c r="C8293"/>
      <c r="E8293"/>
    </row>
    <row r="8294" spans="2:5">
      <c r="B8294"/>
      <c r="C8294"/>
      <c r="E8294"/>
    </row>
    <row r="8295" spans="2:5">
      <c r="B8295"/>
      <c r="C8295"/>
      <c r="E8295"/>
    </row>
    <row r="8296" spans="2:5">
      <c r="B8296"/>
      <c r="C8296"/>
      <c r="E8296"/>
    </row>
    <row r="8297" spans="2:5">
      <c r="B8297"/>
      <c r="C8297"/>
      <c r="E8297"/>
    </row>
    <row r="8298" spans="2:5">
      <c r="B8298"/>
      <c r="C8298"/>
      <c r="E8298"/>
    </row>
    <row r="8299" spans="2:5">
      <c r="B8299"/>
      <c r="C8299"/>
      <c r="E8299"/>
    </row>
    <row r="8300" spans="2:5">
      <c r="B8300"/>
      <c r="C8300"/>
      <c r="E8300"/>
    </row>
    <row r="8301" spans="2:5">
      <c r="B8301"/>
      <c r="C8301"/>
      <c r="E8301"/>
    </row>
    <row r="8302" spans="2:5">
      <c r="B8302"/>
      <c r="C8302"/>
      <c r="E8302"/>
    </row>
    <row r="8303" spans="2:5">
      <c r="B8303"/>
      <c r="C8303"/>
      <c r="E8303"/>
    </row>
    <row r="8304" spans="2:5">
      <c r="B8304"/>
      <c r="C8304"/>
      <c r="E8304"/>
    </row>
    <row r="8305" spans="2:5">
      <c r="B8305"/>
      <c r="C8305"/>
      <c r="E8305"/>
    </row>
    <row r="8306" spans="2:5">
      <c r="B8306"/>
      <c r="C8306"/>
      <c r="E8306"/>
    </row>
    <row r="8307" spans="2:5">
      <c r="B8307"/>
      <c r="C8307"/>
      <c r="E8307"/>
    </row>
    <row r="8308" spans="2:5">
      <c r="B8308"/>
      <c r="C8308"/>
      <c r="E8308"/>
    </row>
    <row r="8309" spans="2:5">
      <c r="B8309"/>
      <c r="C8309"/>
      <c r="E8309"/>
    </row>
    <row r="8310" spans="2:5">
      <c r="B8310"/>
      <c r="C8310"/>
      <c r="E8310"/>
    </row>
    <row r="8311" spans="2:5">
      <c r="B8311"/>
      <c r="C8311"/>
      <c r="E8311"/>
    </row>
    <row r="8312" spans="2:5">
      <c r="B8312"/>
      <c r="C8312"/>
      <c r="E8312"/>
    </row>
    <row r="8313" spans="2:5">
      <c r="B8313"/>
      <c r="C8313"/>
      <c r="E8313"/>
    </row>
    <row r="8314" spans="2:5">
      <c r="B8314"/>
      <c r="C8314"/>
      <c r="E8314"/>
    </row>
    <row r="8315" spans="2:5">
      <c r="B8315"/>
      <c r="C8315"/>
      <c r="E8315"/>
    </row>
    <row r="8316" spans="2:5">
      <c r="B8316"/>
      <c r="C8316"/>
      <c r="E8316"/>
    </row>
    <row r="8317" spans="2:5">
      <c r="B8317"/>
      <c r="C8317"/>
      <c r="E8317"/>
    </row>
    <row r="8318" spans="2:5">
      <c r="B8318"/>
      <c r="C8318"/>
      <c r="E8318"/>
    </row>
    <row r="8319" spans="2:5">
      <c r="B8319"/>
      <c r="C8319"/>
      <c r="E8319"/>
    </row>
    <row r="8320" spans="2:5">
      <c r="B8320"/>
      <c r="C8320"/>
      <c r="E8320"/>
    </row>
    <row r="8321" spans="2:5">
      <c r="B8321"/>
      <c r="C8321"/>
      <c r="E8321"/>
    </row>
    <row r="8322" spans="2:5">
      <c r="B8322"/>
      <c r="C8322"/>
      <c r="E8322"/>
    </row>
    <row r="8323" spans="2:5">
      <c r="B8323"/>
      <c r="C8323"/>
      <c r="E8323"/>
    </row>
    <row r="8324" spans="2:5">
      <c r="B8324"/>
      <c r="C8324"/>
      <c r="E8324"/>
    </row>
    <row r="8325" spans="2:5">
      <c r="B8325"/>
      <c r="C8325"/>
      <c r="E8325"/>
    </row>
    <row r="8326" spans="2:5">
      <c r="B8326"/>
      <c r="C8326"/>
      <c r="E8326"/>
    </row>
    <row r="8327" spans="2:5">
      <c r="B8327"/>
      <c r="C8327"/>
      <c r="E8327"/>
    </row>
    <row r="8328" spans="2:5">
      <c r="B8328"/>
      <c r="C8328"/>
      <c r="E8328"/>
    </row>
    <row r="8329" spans="2:5">
      <c r="B8329"/>
      <c r="C8329"/>
      <c r="E8329"/>
    </row>
    <row r="8330" spans="2:5">
      <c r="B8330"/>
      <c r="C8330"/>
      <c r="E8330"/>
    </row>
    <row r="8331" spans="2:5">
      <c r="B8331"/>
      <c r="C8331"/>
      <c r="E8331"/>
    </row>
    <row r="8332" spans="2:5">
      <c r="B8332"/>
      <c r="C8332"/>
      <c r="E8332"/>
    </row>
    <row r="8333" spans="2:5">
      <c r="B8333"/>
      <c r="C8333"/>
      <c r="E8333"/>
    </row>
    <row r="8334" spans="2:5">
      <c r="B8334"/>
      <c r="C8334"/>
      <c r="E8334"/>
    </row>
    <row r="8335" spans="2:5">
      <c r="B8335"/>
      <c r="C8335"/>
      <c r="E8335"/>
    </row>
    <row r="8336" spans="2:5">
      <c r="B8336"/>
      <c r="C8336"/>
      <c r="E8336"/>
    </row>
    <row r="8337" spans="2:5">
      <c r="B8337"/>
      <c r="C8337"/>
      <c r="E8337"/>
    </row>
    <row r="8338" spans="2:5">
      <c r="B8338"/>
      <c r="C8338"/>
      <c r="E8338"/>
    </row>
    <row r="8339" spans="2:5">
      <c r="B8339"/>
      <c r="C8339"/>
      <c r="E8339"/>
    </row>
    <row r="8340" spans="2:5">
      <c r="B8340"/>
      <c r="C8340"/>
      <c r="E8340"/>
    </row>
    <row r="8341" spans="2:5">
      <c r="B8341"/>
      <c r="C8341"/>
      <c r="E8341"/>
    </row>
    <row r="8342" spans="2:5">
      <c r="B8342"/>
      <c r="C8342"/>
      <c r="E8342"/>
    </row>
    <row r="8343" spans="2:5">
      <c r="B8343"/>
      <c r="C8343"/>
      <c r="E8343"/>
    </row>
    <row r="8344" spans="2:5">
      <c r="B8344"/>
      <c r="C8344"/>
      <c r="E8344"/>
    </row>
    <row r="8345" spans="2:5">
      <c r="B8345"/>
      <c r="C8345"/>
      <c r="E8345"/>
    </row>
    <row r="8346" spans="2:5">
      <c r="B8346"/>
      <c r="C8346"/>
      <c r="E8346"/>
    </row>
    <row r="8347" spans="2:5">
      <c r="B8347"/>
      <c r="C8347"/>
      <c r="E8347"/>
    </row>
    <row r="8348" spans="2:5">
      <c r="B8348"/>
      <c r="C8348"/>
      <c r="E8348"/>
    </row>
    <row r="8349" spans="2:5">
      <c r="B8349"/>
      <c r="C8349"/>
      <c r="E8349"/>
    </row>
    <row r="8350" spans="2:5">
      <c r="B8350"/>
      <c r="C8350"/>
      <c r="E8350"/>
    </row>
    <row r="8351" spans="2:5">
      <c r="B8351"/>
      <c r="C8351"/>
      <c r="E8351"/>
    </row>
    <row r="8352" spans="2:5">
      <c r="B8352"/>
      <c r="C8352"/>
      <c r="E8352"/>
    </row>
    <row r="8353" spans="2:5">
      <c r="B8353"/>
      <c r="C8353"/>
      <c r="E8353"/>
    </row>
    <row r="8354" spans="2:5">
      <c r="B8354"/>
      <c r="C8354"/>
      <c r="E8354"/>
    </row>
    <row r="8355" spans="2:5">
      <c r="B8355"/>
      <c r="C8355"/>
      <c r="E8355"/>
    </row>
    <row r="8356" spans="2:5">
      <c r="B8356"/>
      <c r="C8356"/>
      <c r="E8356"/>
    </row>
    <row r="8357" spans="2:5">
      <c r="B8357"/>
      <c r="C8357"/>
      <c r="E8357"/>
    </row>
    <row r="8358" spans="2:5">
      <c r="B8358"/>
      <c r="C8358"/>
      <c r="E8358"/>
    </row>
    <row r="8359" spans="2:5">
      <c r="B8359"/>
      <c r="C8359"/>
      <c r="E8359"/>
    </row>
    <row r="8360" spans="2:5">
      <c r="B8360"/>
      <c r="C8360"/>
      <c r="E8360"/>
    </row>
    <row r="8361" spans="2:5">
      <c r="B8361"/>
      <c r="C8361"/>
      <c r="E8361"/>
    </row>
    <row r="8362" spans="2:5">
      <c r="B8362"/>
      <c r="C8362"/>
      <c r="E8362"/>
    </row>
    <row r="8363" spans="2:5">
      <c r="B8363"/>
      <c r="C8363"/>
      <c r="E8363"/>
    </row>
    <row r="8364" spans="2:5">
      <c r="B8364"/>
      <c r="C8364"/>
      <c r="E8364"/>
    </row>
    <row r="8365" spans="2:5">
      <c r="B8365"/>
      <c r="C8365"/>
      <c r="E8365"/>
    </row>
    <row r="8366" spans="2:5">
      <c r="B8366"/>
      <c r="C8366"/>
      <c r="E8366"/>
    </row>
    <row r="8367" spans="2:5">
      <c r="B8367"/>
      <c r="C8367"/>
      <c r="E8367"/>
    </row>
    <row r="8368" spans="2:5">
      <c r="B8368"/>
      <c r="C8368"/>
      <c r="E8368"/>
    </row>
    <row r="8369" spans="2:5">
      <c r="B8369"/>
      <c r="C8369"/>
      <c r="E8369"/>
    </row>
    <row r="8370" spans="2:5">
      <c r="B8370"/>
      <c r="C8370"/>
      <c r="E8370"/>
    </row>
    <row r="8371" spans="2:5">
      <c r="B8371"/>
      <c r="C8371"/>
      <c r="E8371"/>
    </row>
    <row r="8372" spans="2:5">
      <c r="B8372"/>
      <c r="C8372"/>
      <c r="E8372"/>
    </row>
    <row r="8373" spans="2:5">
      <c r="B8373"/>
      <c r="C8373"/>
      <c r="E8373"/>
    </row>
    <row r="8374" spans="2:5">
      <c r="B8374"/>
      <c r="C8374"/>
      <c r="E8374"/>
    </row>
    <row r="8375" spans="2:5">
      <c r="B8375"/>
      <c r="C8375"/>
      <c r="E8375"/>
    </row>
    <row r="8376" spans="2:5">
      <c r="B8376"/>
      <c r="C8376"/>
      <c r="E8376"/>
    </row>
    <row r="8377" spans="2:5">
      <c r="B8377"/>
      <c r="C8377"/>
      <c r="E8377"/>
    </row>
    <row r="8378" spans="2:5">
      <c r="B8378"/>
      <c r="C8378"/>
      <c r="E8378"/>
    </row>
    <row r="8379" spans="2:5">
      <c r="B8379"/>
      <c r="C8379"/>
      <c r="E8379"/>
    </row>
    <row r="8380" spans="2:5">
      <c r="B8380"/>
      <c r="C8380"/>
      <c r="E8380"/>
    </row>
    <row r="8381" spans="2:5">
      <c r="B8381"/>
      <c r="C8381"/>
      <c r="E8381"/>
    </row>
    <row r="8382" spans="2:5">
      <c r="B8382"/>
      <c r="C8382"/>
      <c r="E8382"/>
    </row>
    <row r="8383" spans="2:5">
      <c r="B8383"/>
      <c r="C8383"/>
      <c r="E8383"/>
    </row>
    <row r="8384" spans="2:5">
      <c r="B8384"/>
      <c r="C8384"/>
      <c r="E8384"/>
    </row>
    <row r="8385" spans="2:5">
      <c r="B8385"/>
      <c r="C8385"/>
      <c r="E8385"/>
    </row>
    <row r="8386" spans="2:5">
      <c r="B8386"/>
      <c r="C8386"/>
      <c r="E8386"/>
    </row>
    <row r="8387" spans="2:5">
      <c r="B8387"/>
      <c r="C8387"/>
      <c r="E8387"/>
    </row>
    <row r="8388" spans="2:5">
      <c r="B8388"/>
      <c r="C8388"/>
      <c r="E8388"/>
    </row>
    <row r="8389" spans="2:5">
      <c r="B8389"/>
      <c r="C8389"/>
      <c r="E8389"/>
    </row>
    <row r="8390" spans="2:5">
      <c r="B8390"/>
      <c r="C8390"/>
      <c r="E8390"/>
    </row>
    <row r="8391" spans="2:5">
      <c r="B8391"/>
      <c r="C8391"/>
      <c r="E8391"/>
    </row>
    <row r="8392" spans="2:5">
      <c r="B8392"/>
      <c r="C8392"/>
      <c r="E8392"/>
    </row>
    <row r="8393" spans="2:5">
      <c r="B8393"/>
      <c r="C8393"/>
      <c r="E8393"/>
    </row>
    <row r="8394" spans="2:5">
      <c r="B8394"/>
      <c r="C8394"/>
      <c r="E8394"/>
    </row>
    <row r="8395" spans="2:5">
      <c r="B8395"/>
      <c r="C8395"/>
      <c r="E8395"/>
    </row>
    <row r="8396" spans="2:5">
      <c r="B8396"/>
      <c r="C8396"/>
      <c r="E8396"/>
    </row>
    <row r="8397" spans="2:5">
      <c r="B8397"/>
      <c r="C8397"/>
      <c r="E8397"/>
    </row>
    <row r="8398" spans="2:5">
      <c r="B8398"/>
      <c r="C8398"/>
      <c r="E8398"/>
    </row>
    <row r="8399" spans="2:5">
      <c r="B8399"/>
      <c r="C8399"/>
      <c r="E8399"/>
    </row>
    <row r="8400" spans="2:5">
      <c r="B8400"/>
      <c r="C8400"/>
      <c r="E8400"/>
    </row>
    <row r="8401" spans="2:5">
      <c r="B8401"/>
      <c r="C8401"/>
      <c r="E8401"/>
    </row>
    <row r="8402" spans="2:5">
      <c r="B8402"/>
      <c r="C8402"/>
      <c r="E8402"/>
    </row>
    <row r="8403" spans="2:5">
      <c r="B8403"/>
      <c r="C8403"/>
      <c r="E8403"/>
    </row>
    <row r="8404" spans="2:5">
      <c r="B8404"/>
      <c r="C8404"/>
      <c r="E8404"/>
    </row>
    <row r="8405" spans="2:5">
      <c r="B8405"/>
      <c r="C8405"/>
      <c r="E8405"/>
    </row>
    <row r="8406" spans="2:5">
      <c r="B8406"/>
      <c r="C8406"/>
      <c r="E8406"/>
    </row>
    <row r="8407" spans="2:5">
      <c r="B8407"/>
      <c r="C8407"/>
      <c r="E8407"/>
    </row>
    <row r="8408" spans="2:5">
      <c r="B8408"/>
      <c r="C8408"/>
      <c r="E8408"/>
    </row>
    <row r="8409" spans="2:5">
      <c r="B8409"/>
      <c r="C8409"/>
      <c r="E8409"/>
    </row>
    <row r="8410" spans="2:5">
      <c r="B8410"/>
      <c r="C8410"/>
      <c r="E8410"/>
    </row>
    <row r="8411" spans="2:5">
      <c r="B8411"/>
      <c r="C8411"/>
      <c r="E8411"/>
    </row>
    <row r="8412" spans="2:5">
      <c r="B8412"/>
      <c r="C8412"/>
      <c r="E8412"/>
    </row>
    <row r="8413" spans="2:5">
      <c r="B8413"/>
      <c r="C8413"/>
      <c r="E8413"/>
    </row>
    <row r="8414" spans="2:5">
      <c r="B8414"/>
      <c r="C8414"/>
      <c r="E8414"/>
    </row>
    <row r="8415" spans="2:5">
      <c r="B8415"/>
      <c r="C8415"/>
      <c r="E8415"/>
    </row>
    <row r="8416" spans="2:5">
      <c r="B8416"/>
      <c r="C8416"/>
      <c r="E8416"/>
    </row>
    <row r="8417" spans="2:5">
      <c r="B8417"/>
      <c r="C8417"/>
      <c r="E8417"/>
    </row>
    <row r="8418" spans="2:5">
      <c r="B8418"/>
      <c r="C8418"/>
      <c r="E8418"/>
    </row>
    <row r="8419" spans="2:5">
      <c r="B8419"/>
      <c r="C8419"/>
      <c r="E8419"/>
    </row>
    <row r="8420" spans="2:5">
      <c r="B8420"/>
      <c r="C8420"/>
      <c r="E8420"/>
    </row>
    <row r="8421" spans="2:5">
      <c r="B8421"/>
      <c r="C8421"/>
      <c r="E8421"/>
    </row>
    <row r="8422" spans="2:5">
      <c r="B8422"/>
      <c r="C8422"/>
      <c r="E8422"/>
    </row>
    <row r="8423" spans="2:5">
      <c r="B8423"/>
      <c r="C8423"/>
      <c r="E8423"/>
    </row>
    <row r="8424" spans="2:5">
      <c r="B8424"/>
      <c r="C8424"/>
      <c r="E8424"/>
    </row>
    <row r="8425" spans="2:5">
      <c r="B8425"/>
      <c r="C8425"/>
      <c r="E8425"/>
    </row>
    <row r="8426" spans="2:5">
      <c r="B8426"/>
      <c r="C8426"/>
      <c r="E8426"/>
    </row>
    <row r="8427" spans="2:5">
      <c r="B8427"/>
      <c r="C8427"/>
      <c r="E8427"/>
    </row>
    <row r="8428" spans="2:5">
      <c r="B8428"/>
      <c r="C8428"/>
      <c r="E8428"/>
    </row>
    <row r="8429" spans="2:5">
      <c r="B8429"/>
      <c r="C8429"/>
      <c r="E8429"/>
    </row>
    <row r="8430" spans="2:5">
      <c r="B8430"/>
      <c r="C8430"/>
      <c r="E8430"/>
    </row>
    <row r="8431" spans="2:5">
      <c r="B8431"/>
      <c r="C8431"/>
      <c r="E8431"/>
    </row>
    <row r="8432" spans="2:5">
      <c r="B8432"/>
      <c r="C8432"/>
      <c r="E8432"/>
    </row>
    <row r="8433" spans="2:5">
      <c r="B8433"/>
      <c r="C8433"/>
      <c r="E8433"/>
    </row>
    <row r="8434" spans="2:5">
      <c r="B8434"/>
      <c r="C8434"/>
      <c r="E8434"/>
    </row>
    <row r="8435" spans="2:5">
      <c r="B8435"/>
      <c r="C8435"/>
      <c r="E8435"/>
    </row>
    <row r="8436" spans="2:5">
      <c r="B8436"/>
      <c r="C8436"/>
      <c r="E8436"/>
    </row>
    <row r="8437" spans="2:5">
      <c r="B8437"/>
      <c r="C8437"/>
      <c r="E8437"/>
    </row>
    <row r="8438" spans="2:5">
      <c r="B8438"/>
      <c r="C8438"/>
      <c r="E8438"/>
    </row>
    <row r="8439" spans="2:5">
      <c r="B8439"/>
      <c r="C8439"/>
      <c r="E8439"/>
    </row>
    <row r="8440" spans="2:5">
      <c r="B8440"/>
      <c r="C8440"/>
      <c r="E8440"/>
    </row>
    <row r="8441" spans="2:5">
      <c r="B8441"/>
      <c r="C8441"/>
      <c r="E8441"/>
    </row>
    <row r="8442" spans="2:5">
      <c r="B8442"/>
      <c r="C8442"/>
      <c r="E8442"/>
    </row>
    <row r="8443" spans="2:5">
      <c r="B8443"/>
      <c r="C8443"/>
      <c r="E8443"/>
    </row>
    <row r="8444" spans="2:5">
      <c r="B8444"/>
      <c r="C8444"/>
      <c r="E8444"/>
    </row>
    <row r="8445" spans="2:5">
      <c r="B8445"/>
      <c r="C8445"/>
      <c r="E8445"/>
    </row>
    <row r="8446" spans="2:5">
      <c r="B8446"/>
      <c r="C8446"/>
      <c r="E8446"/>
    </row>
    <row r="8447" spans="2:5">
      <c r="B8447"/>
      <c r="C8447"/>
      <c r="E8447"/>
    </row>
    <row r="8448" spans="2:5">
      <c r="B8448"/>
      <c r="C8448"/>
      <c r="E8448"/>
    </row>
    <row r="8449" spans="2:5">
      <c r="B8449"/>
      <c r="C8449"/>
      <c r="E8449"/>
    </row>
    <row r="8450" spans="2:5">
      <c r="B8450"/>
      <c r="C8450"/>
      <c r="E8450"/>
    </row>
    <row r="8451" spans="2:5">
      <c r="B8451"/>
      <c r="C8451"/>
      <c r="E8451"/>
    </row>
    <row r="8452" spans="2:5">
      <c r="B8452"/>
      <c r="C8452"/>
      <c r="E8452"/>
    </row>
    <row r="8453" spans="2:5">
      <c r="B8453"/>
      <c r="C8453"/>
      <c r="E8453"/>
    </row>
    <row r="8454" spans="2:5">
      <c r="B8454"/>
      <c r="C8454"/>
      <c r="E8454"/>
    </row>
    <row r="8455" spans="2:5">
      <c r="B8455"/>
      <c r="C8455"/>
      <c r="E8455"/>
    </row>
    <row r="8456" spans="2:5">
      <c r="B8456"/>
      <c r="C8456"/>
      <c r="E8456"/>
    </row>
    <row r="8457" spans="2:5">
      <c r="B8457"/>
      <c r="C8457"/>
      <c r="E8457"/>
    </row>
    <row r="8458" spans="2:5">
      <c r="B8458"/>
      <c r="C8458"/>
      <c r="E8458"/>
    </row>
    <row r="8459" spans="2:5">
      <c r="B8459"/>
      <c r="C8459"/>
      <c r="E8459"/>
    </row>
    <row r="8460" spans="2:5">
      <c r="B8460"/>
      <c r="C8460"/>
      <c r="E8460"/>
    </row>
    <row r="8461" spans="2:5">
      <c r="B8461"/>
      <c r="C8461"/>
      <c r="E8461"/>
    </row>
    <row r="8462" spans="2:5">
      <c r="B8462"/>
      <c r="C8462"/>
      <c r="E8462"/>
    </row>
    <row r="8463" spans="2:5">
      <c r="B8463"/>
      <c r="C8463"/>
      <c r="E8463"/>
    </row>
    <row r="8464" spans="2:5">
      <c r="B8464"/>
      <c r="C8464"/>
      <c r="E8464"/>
    </row>
    <row r="8465" spans="2:5">
      <c r="B8465"/>
      <c r="C8465"/>
      <c r="E8465"/>
    </row>
    <row r="8466" spans="2:5">
      <c r="B8466"/>
      <c r="C8466"/>
      <c r="E8466"/>
    </row>
    <row r="8467" spans="2:5">
      <c r="B8467"/>
      <c r="C8467"/>
      <c r="E8467"/>
    </row>
    <row r="8468" spans="2:5">
      <c r="B8468"/>
      <c r="C8468"/>
      <c r="E8468"/>
    </row>
    <row r="8469" spans="2:5">
      <c r="B8469"/>
      <c r="C8469"/>
      <c r="E8469"/>
    </row>
    <row r="8470" spans="2:5">
      <c r="B8470"/>
      <c r="C8470"/>
      <c r="E8470"/>
    </row>
    <row r="8471" spans="2:5">
      <c r="B8471"/>
      <c r="C8471"/>
      <c r="E8471"/>
    </row>
    <row r="8472" spans="2:5">
      <c r="B8472"/>
      <c r="C8472"/>
      <c r="E8472"/>
    </row>
    <row r="8473" spans="2:5">
      <c r="B8473"/>
      <c r="C8473"/>
      <c r="E8473"/>
    </row>
    <row r="8474" spans="2:5">
      <c r="B8474"/>
      <c r="C8474"/>
      <c r="E8474"/>
    </row>
    <row r="8475" spans="2:5">
      <c r="B8475"/>
      <c r="C8475"/>
      <c r="E8475"/>
    </row>
    <row r="8476" spans="2:5">
      <c r="B8476"/>
      <c r="C8476"/>
      <c r="E8476"/>
    </row>
    <row r="8477" spans="2:5">
      <c r="B8477"/>
      <c r="C8477"/>
      <c r="E8477"/>
    </row>
    <row r="8478" spans="2:5">
      <c r="B8478"/>
      <c r="C8478"/>
      <c r="E8478"/>
    </row>
    <row r="8479" spans="2:5">
      <c r="B8479"/>
      <c r="C8479"/>
      <c r="E8479"/>
    </row>
    <row r="8480" spans="2:5">
      <c r="B8480"/>
      <c r="C8480"/>
      <c r="E8480"/>
    </row>
    <row r="8481" spans="2:5">
      <c r="B8481"/>
      <c r="C8481"/>
      <c r="E8481"/>
    </row>
    <row r="8482" spans="2:5">
      <c r="B8482"/>
      <c r="C8482"/>
      <c r="E8482"/>
    </row>
    <row r="8483" spans="2:5">
      <c r="B8483"/>
      <c r="C8483"/>
      <c r="E8483"/>
    </row>
    <row r="8484" spans="2:5">
      <c r="B8484"/>
      <c r="C8484"/>
      <c r="E8484"/>
    </row>
    <row r="8485" spans="2:5">
      <c r="B8485"/>
      <c r="C8485"/>
      <c r="E8485"/>
    </row>
    <row r="8486" spans="2:5">
      <c r="B8486"/>
      <c r="C8486"/>
      <c r="E8486"/>
    </row>
    <row r="8487" spans="2:5">
      <c r="B8487"/>
      <c r="C8487"/>
      <c r="E8487"/>
    </row>
    <row r="8488" spans="2:5">
      <c r="B8488"/>
      <c r="C8488"/>
      <c r="E8488"/>
    </row>
    <row r="8489" spans="2:5">
      <c r="B8489"/>
      <c r="C8489"/>
      <c r="E8489"/>
    </row>
    <row r="8490" spans="2:5">
      <c r="B8490"/>
      <c r="C8490"/>
      <c r="E8490"/>
    </row>
    <row r="8491" spans="2:5">
      <c r="B8491"/>
      <c r="C8491"/>
      <c r="E8491"/>
    </row>
    <row r="8492" spans="2:5">
      <c r="B8492"/>
      <c r="C8492"/>
      <c r="E8492"/>
    </row>
    <row r="8493" spans="2:5">
      <c r="B8493"/>
      <c r="C8493"/>
      <c r="E8493"/>
    </row>
    <row r="8494" spans="2:5">
      <c r="B8494"/>
      <c r="C8494"/>
      <c r="E8494"/>
    </row>
    <row r="8495" spans="2:5">
      <c r="B8495"/>
      <c r="C8495"/>
      <c r="E8495"/>
    </row>
    <row r="8496" spans="2:5">
      <c r="B8496"/>
      <c r="C8496"/>
      <c r="E8496"/>
    </row>
    <row r="8497" spans="2:5">
      <c r="B8497"/>
      <c r="C8497"/>
      <c r="E8497"/>
    </row>
    <row r="8498" spans="2:5">
      <c r="B8498"/>
      <c r="C8498"/>
      <c r="E8498"/>
    </row>
    <row r="8499" spans="2:5">
      <c r="B8499"/>
      <c r="C8499"/>
      <c r="E8499"/>
    </row>
    <row r="8500" spans="2:5">
      <c r="B8500"/>
      <c r="C8500"/>
      <c r="E8500"/>
    </row>
    <row r="8501" spans="2:5">
      <c r="B8501"/>
      <c r="C8501"/>
      <c r="E8501"/>
    </row>
    <row r="8502" spans="2:5">
      <c r="B8502"/>
      <c r="C8502"/>
      <c r="E8502"/>
    </row>
    <row r="8503" spans="2:5">
      <c r="B8503"/>
      <c r="C8503"/>
      <c r="E8503"/>
    </row>
    <row r="8504" spans="2:5">
      <c r="B8504"/>
      <c r="C8504"/>
      <c r="E8504"/>
    </row>
    <row r="8505" spans="2:5">
      <c r="B8505"/>
      <c r="C8505"/>
      <c r="E8505"/>
    </row>
    <row r="8506" spans="2:5">
      <c r="B8506"/>
      <c r="C8506"/>
      <c r="E8506"/>
    </row>
    <row r="8507" spans="2:5">
      <c r="B8507"/>
      <c r="C8507"/>
      <c r="E8507"/>
    </row>
    <row r="8508" spans="2:5">
      <c r="B8508"/>
      <c r="C8508"/>
      <c r="E8508"/>
    </row>
    <row r="8509" spans="2:5">
      <c r="B8509"/>
      <c r="C8509"/>
      <c r="E8509"/>
    </row>
    <row r="8510" spans="2:5">
      <c r="B8510"/>
      <c r="C8510"/>
      <c r="E8510"/>
    </row>
    <row r="8511" spans="2:5">
      <c r="B8511"/>
      <c r="C8511"/>
      <c r="E8511"/>
    </row>
    <row r="8512" spans="2:5">
      <c r="B8512"/>
      <c r="C8512"/>
      <c r="E8512"/>
    </row>
    <row r="8513" spans="2:5">
      <c r="B8513"/>
      <c r="C8513"/>
      <c r="E8513"/>
    </row>
    <row r="8514" spans="2:5">
      <c r="B8514"/>
      <c r="C8514"/>
      <c r="E8514"/>
    </row>
    <row r="8515" spans="2:5">
      <c r="B8515"/>
      <c r="C8515"/>
      <c r="E8515"/>
    </row>
    <row r="8516" spans="2:5">
      <c r="B8516"/>
      <c r="C8516"/>
      <c r="E8516"/>
    </row>
    <row r="8517" spans="2:5">
      <c r="B8517"/>
      <c r="C8517"/>
      <c r="E8517"/>
    </row>
    <row r="8518" spans="2:5">
      <c r="B8518"/>
      <c r="C8518"/>
      <c r="E8518"/>
    </row>
    <row r="8519" spans="2:5">
      <c r="B8519"/>
      <c r="C8519"/>
      <c r="E8519"/>
    </row>
    <row r="8520" spans="2:5">
      <c r="B8520"/>
      <c r="C8520"/>
      <c r="E8520"/>
    </row>
    <row r="8521" spans="2:5">
      <c r="B8521"/>
      <c r="C8521"/>
      <c r="E8521"/>
    </row>
    <row r="8522" spans="2:5">
      <c r="B8522"/>
      <c r="C8522"/>
      <c r="E8522"/>
    </row>
    <row r="8523" spans="2:5">
      <c r="B8523"/>
      <c r="C8523"/>
      <c r="E8523"/>
    </row>
    <row r="8524" spans="2:5">
      <c r="B8524"/>
      <c r="C8524"/>
      <c r="E8524"/>
    </row>
    <row r="8525" spans="2:5">
      <c r="B8525"/>
      <c r="C8525"/>
      <c r="E8525"/>
    </row>
    <row r="8526" spans="2:5">
      <c r="B8526"/>
      <c r="C8526"/>
      <c r="E8526"/>
    </row>
    <row r="8527" spans="2:5">
      <c r="B8527"/>
      <c r="C8527"/>
      <c r="E8527"/>
    </row>
    <row r="8528" spans="2:5">
      <c r="B8528"/>
      <c r="C8528"/>
      <c r="E8528"/>
    </row>
    <row r="8529" spans="2:5">
      <c r="B8529"/>
      <c r="C8529"/>
      <c r="E8529"/>
    </row>
    <row r="8530" spans="2:5">
      <c r="B8530"/>
      <c r="C8530"/>
      <c r="E8530"/>
    </row>
    <row r="8531" spans="2:5">
      <c r="B8531"/>
      <c r="C8531"/>
      <c r="E8531"/>
    </row>
    <row r="8532" spans="2:5">
      <c r="B8532"/>
      <c r="C8532"/>
      <c r="E8532"/>
    </row>
    <row r="8533" spans="2:5">
      <c r="B8533"/>
      <c r="C8533"/>
      <c r="E8533"/>
    </row>
    <row r="8534" spans="2:5">
      <c r="B8534"/>
      <c r="C8534"/>
      <c r="E8534"/>
    </row>
    <row r="8535" spans="2:5">
      <c r="B8535"/>
      <c r="C8535"/>
      <c r="E8535"/>
    </row>
    <row r="8536" spans="2:5">
      <c r="B8536"/>
      <c r="C8536"/>
      <c r="E8536"/>
    </row>
    <row r="8537" spans="2:5">
      <c r="B8537"/>
      <c r="C8537"/>
      <c r="E8537"/>
    </row>
    <row r="8538" spans="2:5">
      <c r="B8538"/>
      <c r="C8538"/>
      <c r="E8538"/>
    </row>
    <row r="8539" spans="2:5">
      <c r="B8539"/>
      <c r="C8539"/>
      <c r="E8539"/>
    </row>
    <row r="8540" spans="2:5">
      <c r="B8540"/>
      <c r="C8540"/>
      <c r="E8540"/>
    </row>
    <row r="8541" spans="2:5">
      <c r="B8541"/>
      <c r="C8541"/>
      <c r="E8541"/>
    </row>
    <row r="8542" spans="2:5">
      <c r="B8542"/>
      <c r="C8542"/>
      <c r="E8542"/>
    </row>
    <row r="8543" spans="2:5">
      <c r="B8543"/>
      <c r="C8543"/>
      <c r="E8543"/>
    </row>
    <row r="8544" spans="2:5">
      <c r="B8544"/>
      <c r="C8544"/>
      <c r="E8544"/>
    </row>
    <row r="8545" spans="2:5">
      <c r="B8545"/>
      <c r="C8545"/>
      <c r="E8545"/>
    </row>
    <row r="8546" spans="2:5">
      <c r="B8546"/>
      <c r="C8546"/>
      <c r="E8546"/>
    </row>
    <row r="8547" spans="2:5">
      <c r="B8547"/>
      <c r="C8547"/>
      <c r="E8547"/>
    </row>
    <row r="8548" spans="2:5">
      <c r="B8548"/>
      <c r="C8548"/>
      <c r="E8548"/>
    </row>
    <row r="8549" spans="2:5">
      <c r="B8549"/>
      <c r="C8549"/>
      <c r="E8549"/>
    </row>
    <row r="8550" spans="2:5">
      <c r="B8550"/>
      <c r="C8550"/>
      <c r="E8550"/>
    </row>
    <row r="8551" spans="2:5">
      <c r="B8551"/>
      <c r="C8551"/>
      <c r="E8551"/>
    </row>
    <row r="8552" spans="2:5">
      <c r="B8552"/>
      <c r="C8552"/>
      <c r="E8552"/>
    </row>
    <row r="8553" spans="2:5">
      <c r="B8553"/>
      <c r="C8553"/>
      <c r="E8553"/>
    </row>
    <row r="8554" spans="2:5">
      <c r="B8554"/>
      <c r="C8554"/>
      <c r="E8554"/>
    </row>
    <row r="8555" spans="2:5">
      <c r="B8555"/>
      <c r="C8555"/>
      <c r="E8555"/>
    </row>
    <row r="8556" spans="2:5">
      <c r="B8556"/>
      <c r="C8556"/>
      <c r="E8556"/>
    </row>
    <row r="8557" spans="2:5">
      <c r="B8557"/>
      <c r="C8557"/>
      <c r="E8557"/>
    </row>
    <row r="8558" spans="2:5">
      <c r="B8558"/>
      <c r="C8558"/>
      <c r="E8558"/>
    </row>
    <row r="8559" spans="2:5">
      <c r="B8559"/>
      <c r="C8559"/>
      <c r="E8559"/>
    </row>
    <row r="8560" spans="2:5">
      <c r="B8560"/>
      <c r="C8560"/>
      <c r="E8560"/>
    </row>
    <row r="8561" spans="2:5">
      <c r="B8561"/>
      <c r="C8561"/>
      <c r="E8561"/>
    </row>
    <row r="8562" spans="2:5">
      <c r="B8562"/>
      <c r="C8562"/>
      <c r="E8562"/>
    </row>
    <row r="8563" spans="2:5">
      <c r="B8563"/>
      <c r="C8563"/>
      <c r="E8563"/>
    </row>
    <row r="8564" spans="2:5">
      <c r="B8564"/>
      <c r="C8564"/>
      <c r="E8564"/>
    </row>
    <row r="8565" spans="2:5">
      <c r="B8565"/>
      <c r="C8565"/>
      <c r="E8565"/>
    </row>
    <row r="8566" spans="2:5">
      <c r="B8566"/>
      <c r="C8566"/>
      <c r="E8566"/>
    </row>
    <row r="8567" spans="2:5">
      <c r="B8567"/>
      <c r="C8567"/>
      <c r="E8567"/>
    </row>
    <row r="8568" spans="2:5">
      <c r="B8568"/>
      <c r="C8568"/>
      <c r="E8568"/>
    </row>
    <row r="8569" spans="2:5">
      <c r="B8569"/>
      <c r="C8569"/>
      <c r="E8569"/>
    </row>
    <row r="8570" spans="2:5">
      <c r="B8570"/>
      <c r="C8570"/>
      <c r="E8570"/>
    </row>
    <row r="8571" spans="2:5">
      <c r="B8571"/>
      <c r="C8571"/>
      <c r="E8571"/>
    </row>
    <row r="8572" spans="2:5">
      <c r="B8572"/>
      <c r="C8572"/>
      <c r="E8572"/>
    </row>
    <row r="8573" spans="2:5">
      <c r="B8573"/>
      <c r="C8573"/>
      <c r="E8573"/>
    </row>
    <row r="8574" spans="2:5">
      <c r="B8574"/>
      <c r="C8574"/>
      <c r="E8574"/>
    </row>
    <row r="8575" spans="2:5">
      <c r="B8575"/>
      <c r="C8575"/>
      <c r="E8575"/>
    </row>
    <row r="8576" spans="2:5">
      <c r="B8576"/>
      <c r="C8576"/>
      <c r="E8576"/>
    </row>
    <row r="8577" spans="2:5">
      <c r="B8577"/>
      <c r="C8577"/>
      <c r="E8577"/>
    </row>
    <row r="8578" spans="2:5">
      <c r="B8578"/>
      <c r="C8578"/>
      <c r="E8578"/>
    </row>
    <row r="8579" spans="2:5">
      <c r="B8579"/>
      <c r="C8579"/>
      <c r="E8579"/>
    </row>
    <row r="8580" spans="2:5">
      <c r="B8580"/>
      <c r="C8580"/>
      <c r="E8580"/>
    </row>
    <row r="8581" spans="2:5">
      <c r="B8581"/>
      <c r="C8581"/>
      <c r="E8581"/>
    </row>
    <row r="8582" spans="2:5">
      <c r="B8582"/>
      <c r="C8582"/>
      <c r="E8582"/>
    </row>
    <row r="8583" spans="2:5">
      <c r="B8583"/>
      <c r="C8583"/>
      <c r="E8583"/>
    </row>
    <row r="8584" spans="2:5">
      <c r="B8584"/>
      <c r="C8584"/>
      <c r="E8584"/>
    </row>
    <row r="8585" spans="2:5">
      <c r="B8585"/>
      <c r="C8585"/>
      <c r="E8585"/>
    </row>
    <row r="8586" spans="2:5">
      <c r="B8586"/>
      <c r="C8586"/>
      <c r="E8586"/>
    </row>
    <row r="8587" spans="2:5">
      <c r="B8587"/>
      <c r="C8587"/>
      <c r="E8587"/>
    </row>
    <row r="8588" spans="2:5">
      <c r="B8588"/>
      <c r="C8588"/>
      <c r="E8588"/>
    </row>
    <row r="8589" spans="2:5">
      <c r="B8589"/>
      <c r="C8589"/>
      <c r="E8589"/>
    </row>
    <row r="8590" spans="2:5">
      <c r="B8590"/>
      <c r="C8590"/>
      <c r="E8590"/>
    </row>
    <row r="8591" spans="2:5">
      <c r="B8591"/>
      <c r="C8591"/>
      <c r="E8591"/>
    </row>
    <row r="8592" spans="2:5">
      <c r="B8592"/>
      <c r="C8592"/>
      <c r="E8592"/>
    </row>
    <row r="8593" spans="2:5">
      <c r="B8593"/>
      <c r="C8593"/>
      <c r="E8593"/>
    </row>
    <row r="8594" spans="2:5">
      <c r="B8594"/>
      <c r="C8594"/>
      <c r="E8594"/>
    </row>
    <row r="8595" spans="2:5">
      <c r="B8595"/>
      <c r="C8595"/>
      <c r="E8595"/>
    </row>
    <row r="8596" spans="2:5">
      <c r="B8596"/>
      <c r="C8596"/>
      <c r="E8596"/>
    </row>
    <row r="8597" spans="2:5">
      <c r="B8597"/>
      <c r="C8597"/>
      <c r="E8597"/>
    </row>
    <row r="8598" spans="2:5">
      <c r="B8598"/>
      <c r="C8598"/>
      <c r="E8598"/>
    </row>
    <row r="8599" spans="2:5">
      <c r="B8599"/>
      <c r="C8599"/>
      <c r="E8599"/>
    </row>
    <row r="8600" spans="2:5">
      <c r="B8600"/>
      <c r="C8600"/>
      <c r="E8600"/>
    </row>
    <row r="8601" spans="2:5">
      <c r="B8601"/>
      <c r="C8601"/>
      <c r="E8601"/>
    </row>
    <row r="8602" spans="2:5">
      <c r="B8602"/>
      <c r="C8602"/>
      <c r="E8602"/>
    </row>
    <row r="8603" spans="2:5">
      <c r="B8603"/>
      <c r="C8603"/>
      <c r="E8603"/>
    </row>
    <row r="8604" spans="2:5">
      <c r="B8604"/>
      <c r="C8604"/>
      <c r="E8604"/>
    </row>
    <row r="8605" spans="2:5">
      <c r="B8605"/>
      <c r="C8605"/>
      <c r="E8605"/>
    </row>
    <row r="8606" spans="2:5">
      <c r="B8606"/>
      <c r="C8606"/>
      <c r="E8606"/>
    </row>
    <row r="8607" spans="2:5">
      <c r="B8607"/>
      <c r="C8607"/>
      <c r="E8607"/>
    </row>
    <row r="8608" spans="2:5">
      <c r="B8608"/>
      <c r="C8608"/>
      <c r="E8608"/>
    </row>
    <row r="8609" spans="2:5">
      <c r="B8609"/>
      <c r="C8609"/>
      <c r="E8609"/>
    </row>
    <row r="8610" spans="2:5">
      <c r="B8610"/>
      <c r="C8610"/>
      <c r="E8610"/>
    </row>
    <row r="8611" spans="2:5">
      <c r="B8611"/>
      <c r="C8611"/>
      <c r="E8611"/>
    </row>
    <row r="8612" spans="2:5">
      <c r="B8612"/>
      <c r="C8612"/>
      <c r="E8612"/>
    </row>
    <row r="8613" spans="2:5">
      <c r="B8613"/>
      <c r="C8613"/>
      <c r="E8613"/>
    </row>
    <row r="8614" spans="2:5">
      <c r="B8614"/>
      <c r="C8614"/>
      <c r="E8614"/>
    </row>
    <row r="8615" spans="2:5">
      <c r="B8615"/>
      <c r="C8615"/>
      <c r="E8615"/>
    </row>
    <row r="8616" spans="2:5">
      <c r="B8616"/>
      <c r="C8616"/>
      <c r="E8616"/>
    </row>
    <row r="8617" spans="2:5">
      <c r="B8617"/>
      <c r="C8617"/>
      <c r="E8617"/>
    </row>
    <row r="8618" spans="2:5">
      <c r="B8618"/>
      <c r="C8618"/>
      <c r="E8618"/>
    </row>
    <row r="8619" spans="2:5">
      <c r="B8619"/>
      <c r="C8619"/>
      <c r="E8619"/>
    </row>
    <row r="8620" spans="2:5">
      <c r="B8620"/>
      <c r="C8620"/>
      <c r="E8620"/>
    </row>
    <row r="8621" spans="2:5">
      <c r="B8621"/>
      <c r="C8621"/>
      <c r="E8621"/>
    </row>
    <row r="8622" spans="2:5">
      <c r="B8622"/>
      <c r="C8622"/>
      <c r="E8622"/>
    </row>
    <row r="8623" spans="2:5">
      <c r="B8623"/>
      <c r="C8623"/>
      <c r="E8623"/>
    </row>
    <row r="8624" spans="2:5">
      <c r="B8624"/>
      <c r="C8624"/>
      <c r="E8624"/>
    </row>
    <row r="8625" spans="2:5">
      <c r="B8625"/>
      <c r="C8625"/>
      <c r="E8625"/>
    </row>
    <row r="8626" spans="2:5">
      <c r="B8626"/>
      <c r="C8626"/>
      <c r="E8626"/>
    </row>
    <row r="8627" spans="2:5">
      <c r="B8627"/>
      <c r="C8627"/>
      <c r="E8627"/>
    </row>
    <row r="8628" spans="2:5">
      <c r="B8628"/>
      <c r="C8628"/>
      <c r="E8628"/>
    </row>
    <row r="8629" spans="2:5">
      <c r="B8629"/>
      <c r="C8629"/>
      <c r="E8629"/>
    </row>
    <row r="8630" spans="2:5">
      <c r="B8630"/>
      <c r="C8630"/>
      <c r="E8630"/>
    </row>
    <row r="8631" spans="2:5">
      <c r="B8631"/>
      <c r="C8631"/>
      <c r="E8631"/>
    </row>
    <row r="8632" spans="2:5">
      <c r="B8632"/>
      <c r="C8632"/>
      <c r="E8632"/>
    </row>
    <row r="8633" spans="2:5">
      <c r="B8633"/>
      <c r="C8633"/>
      <c r="E8633"/>
    </row>
    <row r="8634" spans="2:5">
      <c r="B8634"/>
      <c r="C8634"/>
      <c r="E8634"/>
    </row>
    <row r="8635" spans="2:5">
      <c r="B8635"/>
      <c r="C8635"/>
      <c r="E8635"/>
    </row>
    <row r="8636" spans="2:5">
      <c r="B8636"/>
      <c r="C8636"/>
      <c r="E8636"/>
    </row>
    <row r="8637" spans="2:5">
      <c r="B8637"/>
      <c r="C8637"/>
      <c r="E8637"/>
    </row>
    <row r="8638" spans="2:5">
      <c r="B8638"/>
      <c r="C8638"/>
      <c r="E8638"/>
    </row>
    <row r="8639" spans="2:5">
      <c r="B8639"/>
      <c r="C8639"/>
      <c r="E8639"/>
    </row>
    <row r="8640" spans="2:5">
      <c r="B8640"/>
      <c r="C8640"/>
      <c r="E8640"/>
    </row>
    <row r="8641" spans="2:5">
      <c r="B8641"/>
      <c r="C8641"/>
      <c r="E8641"/>
    </row>
    <row r="8642" spans="2:5">
      <c r="B8642"/>
      <c r="C8642"/>
      <c r="E8642"/>
    </row>
    <row r="8643" spans="2:5">
      <c r="B8643"/>
      <c r="C8643"/>
      <c r="E8643"/>
    </row>
    <row r="8644" spans="2:5">
      <c r="B8644"/>
      <c r="C8644"/>
      <c r="E8644"/>
    </row>
    <row r="8645" spans="2:5">
      <c r="B8645"/>
      <c r="C8645"/>
      <c r="E8645"/>
    </row>
    <row r="8646" spans="2:5">
      <c r="B8646"/>
      <c r="C8646"/>
      <c r="E8646"/>
    </row>
    <row r="8647" spans="2:5">
      <c r="B8647"/>
      <c r="C8647"/>
      <c r="E8647"/>
    </row>
    <row r="8648" spans="2:5">
      <c r="B8648"/>
      <c r="C8648"/>
      <c r="E8648"/>
    </row>
    <row r="8649" spans="2:5">
      <c r="B8649"/>
      <c r="C8649"/>
      <c r="E8649"/>
    </row>
    <row r="8650" spans="2:5">
      <c r="B8650"/>
      <c r="C8650"/>
      <c r="E8650"/>
    </row>
    <row r="8651" spans="2:5">
      <c r="B8651"/>
      <c r="C8651"/>
      <c r="E8651"/>
    </row>
    <row r="8652" spans="2:5">
      <c r="B8652"/>
      <c r="C8652"/>
      <c r="E8652"/>
    </row>
    <row r="8653" spans="2:5">
      <c r="B8653"/>
      <c r="C8653"/>
      <c r="E8653"/>
    </row>
    <row r="8654" spans="2:5">
      <c r="B8654"/>
      <c r="C8654"/>
      <c r="E8654"/>
    </row>
    <row r="8655" spans="2:5">
      <c r="B8655"/>
      <c r="C8655"/>
      <c r="E8655"/>
    </row>
    <row r="8656" spans="2:5">
      <c r="B8656"/>
      <c r="C8656"/>
      <c r="E8656"/>
    </row>
    <row r="8657" spans="2:5">
      <c r="B8657"/>
      <c r="C8657"/>
      <c r="E8657"/>
    </row>
    <row r="8658" spans="2:5">
      <c r="B8658"/>
      <c r="C8658"/>
      <c r="E8658"/>
    </row>
    <row r="8659" spans="2:5">
      <c r="B8659"/>
      <c r="C8659"/>
      <c r="E8659"/>
    </row>
    <row r="8660" spans="2:5">
      <c r="B8660"/>
      <c r="C8660"/>
      <c r="E8660"/>
    </row>
    <row r="8661" spans="2:5">
      <c r="B8661"/>
      <c r="C8661"/>
      <c r="E8661"/>
    </row>
    <row r="8662" spans="2:5">
      <c r="B8662"/>
      <c r="C8662"/>
      <c r="E8662"/>
    </row>
    <row r="8663" spans="2:5">
      <c r="B8663"/>
      <c r="C8663"/>
      <c r="E8663"/>
    </row>
    <row r="8664" spans="2:5">
      <c r="B8664"/>
      <c r="C8664"/>
      <c r="E8664"/>
    </row>
    <row r="8665" spans="2:5">
      <c r="B8665"/>
      <c r="C8665"/>
      <c r="E8665"/>
    </row>
    <row r="8666" spans="2:5">
      <c r="B8666"/>
      <c r="C8666"/>
      <c r="E8666"/>
    </row>
    <row r="8667" spans="2:5">
      <c r="B8667"/>
      <c r="C8667"/>
      <c r="E8667"/>
    </row>
    <row r="8668" spans="2:5">
      <c r="B8668"/>
      <c r="C8668"/>
      <c r="E8668"/>
    </row>
    <row r="8669" spans="2:5">
      <c r="B8669"/>
      <c r="C8669"/>
      <c r="E8669"/>
    </row>
    <row r="8670" spans="2:5">
      <c r="B8670"/>
      <c r="C8670"/>
      <c r="E8670"/>
    </row>
    <row r="8671" spans="2:5">
      <c r="B8671"/>
      <c r="C8671"/>
      <c r="E8671"/>
    </row>
    <row r="8672" spans="2:5">
      <c r="B8672"/>
      <c r="C8672"/>
      <c r="E8672"/>
    </row>
    <row r="8673" spans="2:5">
      <c r="B8673"/>
      <c r="C8673"/>
      <c r="E8673"/>
    </row>
    <row r="8674" spans="2:5">
      <c r="B8674"/>
      <c r="C8674"/>
      <c r="E8674"/>
    </row>
    <row r="8675" spans="2:5">
      <c r="B8675"/>
      <c r="C8675"/>
      <c r="E8675"/>
    </row>
    <row r="8676" spans="2:5">
      <c r="B8676"/>
      <c r="C8676"/>
      <c r="E8676"/>
    </row>
    <row r="8677" spans="2:5">
      <c r="B8677"/>
      <c r="C8677"/>
      <c r="E8677"/>
    </row>
    <row r="8678" spans="2:5">
      <c r="B8678"/>
      <c r="C8678"/>
      <c r="E8678"/>
    </row>
    <row r="8679" spans="2:5">
      <c r="B8679"/>
      <c r="C8679"/>
      <c r="E8679"/>
    </row>
    <row r="8680" spans="2:5">
      <c r="B8680"/>
      <c r="C8680"/>
      <c r="E8680"/>
    </row>
    <row r="8681" spans="2:5">
      <c r="B8681"/>
      <c r="C8681"/>
      <c r="E8681"/>
    </row>
    <row r="8682" spans="2:5">
      <c r="B8682"/>
      <c r="C8682"/>
      <c r="E8682"/>
    </row>
    <row r="8683" spans="2:5">
      <c r="B8683"/>
      <c r="C8683"/>
      <c r="E8683"/>
    </row>
    <row r="8684" spans="2:5">
      <c r="B8684"/>
      <c r="C8684"/>
      <c r="E8684"/>
    </row>
    <row r="8685" spans="2:5">
      <c r="B8685"/>
      <c r="C8685"/>
      <c r="E8685"/>
    </row>
    <row r="8686" spans="2:5">
      <c r="B8686"/>
      <c r="C8686"/>
      <c r="E8686"/>
    </row>
    <row r="8687" spans="2:5">
      <c r="B8687"/>
      <c r="C8687"/>
      <c r="E8687"/>
    </row>
    <row r="8688" spans="2:5">
      <c r="B8688"/>
      <c r="C8688"/>
      <c r="E8688"/>
    </row>
    <row r="8689" spans="2:5">
      <c r="B8689"/>
      <c r="C8689"/>
      <c r="E8689"/>
    </row>
    <row r="8690" spans="2:5">
      <c r="B8690"/>
      <c r="C8690"/>
      <c r="E8690"/>
    </row>
    <row r="8691" spans="2:5">
      <c r="B8691"/>
      <c r="C8691"/>
      <c r="E8691"/>
    </row>
    <row r="8692" spans="2:5">
      <c r="B8692"/>
      <c r="C8692"/>
      <c r="E8692"/>
    </row>
    <row r="8693" spans="2:5">
      <c r="B8693"/>
      <c r="C8693"/>
      <c r="E8693"/>
    </row>
    <row r="8694" spans="2:5">
      <c r="B8694"/>
      <c r="C8694"/>
      <c r="E8694"/>
    </row>
    <row r="8695" spans="2:5">
      <c r="B8695"/>
      <c r="C8695"/>
      <c r="E8695"/>
    </row>
    <row r="8696" spans="2:5">
      <c r="B8696"/>
      <c r="C8696"/>
      <c r="E8696"/>
    </row>
    <row r="8697" spans="2:5">
      <c r="B8697"/>
      <c r="C8697"/>
      <c r="E8697"/>
    </row>
    <row r="8698" spans="2:5">
      <c r="B8698"/>
      <c r="C8698"/>
      <c r="E8698"/>
    </row>
    <row r="8699" spans="2:5">
      <c r="B8699"/>
      <c r="C8699"/>
      <c r="E8699"/>
    </row>
    <row r="8700" spans="2:5">
      <c r="B8700"/>
      <c r="C8700"/>
      <c r="E8700"/>
    </row>
    <row r="8701" spans="2:5">
      <c r="B8701"/>
      <c r="C8701"/>
      <c r="E8701"/>
    </row>
    <row r="8702" spans="2:5">
      <c r="B8702"/>
      <c r="C8702"/>
      <c r="E8702"/>
    </row>
    <row r="8703" spans="2:5">
      <c r="B8703"/>
      <c r="C8703"/>
      <c r="E8703"/>
    </row>
    <row r="8704" spans="2:5">
      <c r="B8704"/>
      <c r="C8704"/>
      <c r="E8704"/>
    </row>
    <row r="8705" spans="2:5">
      <c r="B8705"/>
      <c r="C8705"/>
      <c r="E8705"/>
    </row>
    <row r="8706" spans="2:5">
      <c r="B8706"/>
      <c r="C8706"/>
      <c r="E8706"/>
    </row>
    <row r="8707" spans="2:5">
      <c r="B8707"/>
      <c r="C8707"/>
      <c r="E8707"/>
    </row>
    <row r="8708" spans="2:5">
      <c r="B8708"/>
      <c r="C8708"/>
      <c r="E8708"/>
    </row>
    <row r="8709" spans="2:5">
      <c r="B8709"/>
      <c r="C8709"/>
      <c r="E8709"/>
    </row>
    <row r="8710" spans="2:5">
      <c r="B8710"/>
      <c r="C8710"/>
      <c r="E8710"/>
    </row>
    <row r="8711" spans="2:5">
      <c r="B8711"/>
      <c r="C8711"/>
      <c r="E8711"/>
    </row>
    <row r="8712" spans="2:5">
      <c r="B8712"/>
      <c r="C8712"/>
      <c r="E8712"/>
    </row>
    <row r="8713" spans="2:5">
      <c r="B8713"/>
      <c r="C8713"/>
      <c r="E8713"/>
    </row>
    <row r="8714" spans="2:5">
      <c r="B8714"/>
      <c r="C8714"/>
      <c r="E8714"/>
    </row>
    <row r="8715" spans="2:5">
      <c r="B8715"/>
      <c r="C8715"/>
      <c r="E8715"/>
    </row>
    <row r="8716" spans="2:5">
      <c r="B8716"/>
      <c r="C8716"/>
      <c r="E8716"/>
    </row>
    <row r="8717" spans="2:5">
      <c r="B8717"/>
      <c r="C8717"/>
      <c r="E8717"/>
    </row>
    <row r="8718" spans="2:5">
      <c r="B8718"/>
      <c r="C8718"/>
      <c r="E8718"/>
    </row>
    <row r="8719" spans="2:5">
      <c r="B8719"/>
      <c r="C8719"/>
      <c r="E8719"/>
    </row>
    <row r="8720" spans="2:5">
      <c r="B8720"/>
      <c r="C8720"/>
      <c r="E8720"/>
    </row>
    <row r="8721" spans="2:5">
      <c r="B8721"/>
      <c r="C8721"/>
      <c r="E8721"/>
    </row>
    <row r="8722" spans="2:5">
      <c r="B8722"/>
      <c r="C8722"/>
      <c r="E8722"/>
    </row>
    <row r="8723" spans="2:5">
      <c r="B8723"/>
      <c r="C8723"/>
      <c r="E8723"/>
    </row>
    <row r="8724" spans="2:5">
      <c r="B8724"/>
      <c r="C8724"/>
      <c r="E8724"/>
    </row>
    <row r="8725" spans="2:5">
      <c r="B8725"/>
      <c r="C8725"/>
      <c r="E8725"/>
    </row>
    <row r="8726" spans="2:5">
      <c r="B8726"/>
      <c r="C8726"/>
      <c r="E8726"/>
    </row>
    <row r="8727" spans="2:5">
      <c r="B8727"/>
      <c r="C8727"/>
      <c r="E8727"/>
    </row>
    <row r="8728" spans="2:5">
      <c r="B8728"/>
      <c r="C8728"/>
      <c r="E8728"/>
    </row>
    <row r="8729" spans="2:5">
      <c r="B8729"/>
      <c r="C8729"/>
      <c r="E8729"/>
    </row>
    <row r="8730" spans="2:5">
      <c r="B8730"/>
      <c r="C8730"/>
      <c r="E8730"/>
    </row>
    <row r="8731" spans="2:5">
      <c r="B8731"/>
      <c r="C8731"/>
      <c r="E8731"/>
    </row>
    <row r="8732" spans="2:5">
      <c r="B8732"/>
      <c r="C8732"/>
      <c r="E8732"/>
    </row>
    <row r="8733" spans="2:5">
      <c r="B8733"/>
      <c r="C8733"/>
      <c r="E8733"/>
    </row>
    <row r="8734" spans="2:5">
      <c r="B8734"/>
      <c r="C8734"/>
      <c r="E8734"/>
    </row>
    <row r="8735" spans="2:5">
      <c r="B8735"/>
      <c r="C8735"/>
      <c r="E8735"/>
    </row>
    <row r="8736" spans="2:5">
      <c r="B8736"/>
      <c r="C8736"/>
      <c r="E8736"/>
    </row>
    <row r="8737" spans="2:5">
      <c r="B8737"/>
      <c r="C8737"/>
      <c r="E8737"/>
    </row>
    <row r="8738" spans="2:5">
      <c r="B8738"/>
      <c r="C8738"/>
      <c r="E8738"/>
    </row>
    <row r="8739" spans="2:5">
      <c r="B8739"/>
      <c r="C8739"/>
      <c r="E8739"/>
    </row>
    <row r="8740" spans="2:5">
      <c r="B8740"/>
      <c r="C8740"/>
      <c r="E8740"/>
    </row>
    <row r="8741" spans="2:5">
      <c r="B8741"/>
      <c r="C8741"/>
      <c r="E8741"/>
    </row>
    <row r="8742" spans="2:5">
      <c r="B8742"/>
      <c r="C8742"/>
      <c r="E8742"/>
    </row>
    <row r="8743" spans="2:5">
      <c r="B8743"/>
      <c r="C8743"/>
      <c r="E8743"/>
    </row>
    <row r="8744" spans="2:5">
      <c r="B8744"/>
      <c r="C8744"/>
      <c r="E8744"/>
    </row>
    <row r="8745" spans="2:5">
      <c r="B8745"/>
      <c r="C8745"/>
      <c r="E8745"/>
    </row>
    <row r="8746" spans="2:5">
      <c r="B8746"/>
      <c r="C8746"/>
      <c r="E8746"/>
    </row>
    <row r="8747" spans="2:5">
      <c r="B8747"/>
      <c r="C8747"/>
      <c r="E8747"/>
    </row>
    <row r="8748" spans="2:5">
      <c r="B8748"/>
      <c r="C8748"/>
      <c r="E8748"/>
    </row>
    <row r="8749" spans="2:5">
      <c r="B8749"/>
      <c r="C8749"/>
      <c r="E8749"/>
    </row>
    <row r="8750" spans="2:5">
      <c r="B8750"/>
      <c r="C8750"/>
      <c r="E8750"/>
    </row>
    <row r="8751" spans="2:5">
      <c r="B8751"/>
      <c r="C8751"/>
      <c r="E8751"/>
    </row>
    <row r="8752" spans="2:5">
      <c r="B8752"/>
      <c r="C8752"/>
      <c r="E8752"/>
    </row>
    <row r="8753" spans="2:5">
      <c r="B8753"/>
      <c r="C8753"/>
      <c r="E8753"/>
    </row>
    <row r="8754" spans="2:5">
      <c r="B8754"/>
      <c r="C8754"/>
      <c r="E8754"/>
    </row>
    <row r="8755" spans="2:5">
      <c r="B8755"/>
      <c r="C8755"/>
      <c r="E8755"/>
    </row>
    <row r="8756" spans="2:5">
      <c r="B8756"/>
      <c r="C8756"/>
      <c r="E8756"/>
    </row>
    <row r="8757" spans="2:5">
      <c r="B8757"/>
      <c r="C8757"/>
      <c r="E8757"/>
    </row>
    <row r="8758" spans="2:5">
      <c r="B8758"/>
      <c r="C8758"/>
      <c r="E8758"/>
    </row>
    <row r="8759" spans="2:5">
      <c r="B8759"/>
      <c r="C8759"/>
      <c r="E8759"/>
    </row>
    <row r="8760" spans="2:5">
      <c r="B8760"/>
      <c r="C8760"/>
      <c r="E8760"/>
    </row>
    <row r="8761" spans="2:5">
      <c r="B8761"/>
      <c r="C8761"/>
      <c r="E8761"/>
    </row>
    <row r="8762" spans="2:5">
      <c r="B8762"/>
      <c r="C8762"/>
      <c r="E8762"/>
    </row>
    <row r="8763" spans="2:5">
      <c r="B8763"/>
      <c r="C8763"/>
      <c r="E8763"/>
    </row>
    <row r="8764" spans="2:5">
      <c r="B8764"/>
      <c r="C8764"/>
      <c r="E8764"/>
    </row>
    <row r="8765" spans="2:5">
      <c r="B8765"/>
      <c r="C8765"/>
      <c r="E8765"/>
    </row>
    <row r="8766" spans="2:5">
      <c r="B8766"/>
      <c r="C8766"/>
      <c r="E8766"/>
    </row>
    <row r="8767" spans="2:5">
      <c r="B8767"/>
      <c r="C8767"/>
      <c r="E8767"/>
    </row>
    <row r="8768" spans="2:5">
      <c r="B8768"/>
      <c r="C8768"/>
      <c r="E8768"/>
    </row>
    <row r="8769" spans="2:5">
      <c r="B8769"/>
      <c r="C8769"/>
      <c r="E8769"/>
    </row>
    <row r="8770" spans="2:5">
      <c r="B8770"/>
      <c r="C8770"/>
      <c r="E8770"/>
    </row>
    <row r="8771" spans="2:5">
      <c r="B8771"/>
      <c r="C8771"/>
      <c r="E8771"/>
    </row>
    <row r="8772" spans="2:5">
      <c r="B8772"/>
      <c r="C8772"/>
      <c r="E8772"/>
    </row>
    <row r="8773" spans="2:5">
      <c r="B8773"/>
      <c r="C8773"/>
      <c r="E8773"/>
    </row>
    <row r="8774" spans="2:5">
      <c r="B8774"/>
      <c r="C8774"/>
      <c r="E8774"/>
    </row>
    <row r="8775" spans="2:5">
      <c r="B8775"/>
      <c r="C8775"/>
      <c r="E8775"/>
    </row>
    <row r="8776" spans="2:5">
      <c r="B8776"/>
      <c r="C8776"/>
      <c r="E8776"/>
    </row>
    <row r="8777" spans="2:5">
      <c r="B8777"/>
      <c r="C8777"/>
      <c r="E8777"/>
    </row>
    <row r="8778" spans="2:5">
      <c r="B8778"/>
      <c r="C8778"/>
      <c r="E8778"/>
    </row>
    <row r="8779" spans="2:5">
      <c r="B8779"/>
      <c r="C8779"/>
      <c r="E8779"/>
    </row>
    <row r="8780" spans="2:5">
      <c r="B8780"/>
      <c r="C8780"/>
      <c r="E8780"/>
    </row>
    <row r="8781" spans="2:5">
      <c r="B8781"/>
      <c r="C8781"/>
      <c r="E8781"/>
    </row>
    <row r="8782" spans="2:5">
      <c r="B8782"/>
      <c r="C8782"/>
      <c r="E8782"/>
    </row>
    <row r="8783" spans="2:5">
      <c r="B8783"/>
      <c r="C8783"/>
      <c r="E8783"/>
    </row>
    <row r="8784" spans="2:5">
      <c r="B8784"/>
      <c r="C8784"/>
      <c r="E8784"/>
    </row>
    <row r="8785" spans="2:5">
      <c r="B8785"/>
      <c r="C8785"/>
      <c r="E8785"/>
    </row>
    <row r="8786" spans="2:5">
      <c r="B8786"/>
      <c r="C8786"/>
      <c r="E8786"/>
    </row>
    <row r="8787" spans="2:5">
      <c r="B8787"/>
      <c r="C8787"/>
      <c r="E8787"/>
    </row>
    <row r="8788" spans="2:5">
      <c r="B8788"/>
      <c r="C8788"/>
      <c r="E8788"/>
    </row>
    <row r="8789" spans="2:5">
      <c r="B8789"/>
      <c r="C8789"/>
      <c r="E8789"/>
    </row>
    <row r="8790" spans="2:5">
      <c r="B8790"/>
      <c r="C8790"/>
      <c r="E8790"/>
    </row>
    <row r="8791" spans="2:5">
      <c r="B8791"/>
      <c r="C8791"/>
      <c r="E8791"/>
    </row>
    <row r="8792" spans="2:5">
      <c r="B8792"/>
      <c r="C8792"/>
      <c r="E8792"/>
    </row>
    <row r="8793" spans="2:5">
      <c r="B8793"/>
      <c r="C8793"/>
      <c r="E8793"/>
    </row>
    <row r="8794" spans="2:5">
      <c r="B8794"/>
      <c r="C8794"/>
      <c r="E8794"/>
    </row>
    <row r="8795" spans="2:5">
      <c r="B8795"/>
      <c r="C8795"/>
      <c r="E8795"/>
    </row>
    <row r="8796" spans="2:5">
      <c r="B8796"/>
      <c r="C8796"/>
      <c r="E8796"/>
    </row>
    <row r="8797" spans="2:5">
      <c r="B8797"/>
      <c r="C8797"/>
      <c r="E8797"/>
    </row>
    <row r="8798" spans="2:5">
      <c r="B8798"/>
      <c r="C8798"/>
      <c r="E8798"/>
    </row>
    <row r="8799" spans="2:5">
      <c r="B8799"/>
      <c r="C8799"/>
      <c r="E8799"/>
    </row>
    <row r="8800" spans="2:5">
      <c r="B8800"/>
      <c r="C8800"/>
      <c r="E8800"/>
    </row>
    <row r="8801" spans="2:5">
      <c r="B8801"/>
      <c r="C8801"/>
      <c r="E8801"/>
    </row>
    <row r="8802" spans="2:5">
      <c r="B8802"/>
      <c r="C8802"/>
      <c r="E8802"/>
    </row>
    <row r="8803" spans="2:5">
      <c r="B8803"/>
      <c r="C8803"/>
      <c r="E8803"/>
    </row>
    <row r="8804" spans="2:5">
      <c r="B8804"/>
      <c r="C8804"/>
      <c r="E8804"/>
    </row>
    <row r="8805" spans="2:5">
      <c r="B8805"/>
      <c r="C8805"/>
      <c r="E8805"/>
    </row>
    <row r="8806" spans="2:5">
      <c r="B8806"/>
      <c r="C8806"/>
      <c r="E8806"/>
    </row>
    <row r="8807" spans="2:5">
      <c r="B8807"/>
      <c r="C8807"/>
      <c r="E8807"/>
    </row>
    <row r="8808" spans="2:5">
      <c r="B8808"/>
      <c r="C8808"/>
      <c r="E8808"/>
    </row>
    <row r="8809" spans="2:5">
      <c r="B8809"/>
      <c r="C8809"/>
      <c r="E8809"/>
    </row>
    <row r="8810" spans="2:5">
      <c r="B8810"/>
      <c r="C8810"/>
      <c r="E8810"/>
    </row>
    <row r="8811" spans="2:5">
      <c r="B8811"/>
      <c r="C8811"/>
      <c r="E8811"/>
    </row>
    <row r="8812" spans="2:5">
      <c r="B8812"/>
      <c r="C8812"/>
      <c r="E8812"/>
    </row>
    <row r="8813" spans="2:5">
      <c r="B8813"/>
      <c r="C8813"/>
      <c r="E8813"/>
    </row>
    <row r="8814" spans="2:5">
      <c r="B8814"/>
      <c r="C8814"/>
      <c r="E8814"/>
    </row>
    <row r="8815" spans="2:5">
      <c r="B8815"/>
      <c r="C8815"/>
      <c r="E8815"/>
    </row>
    <row r="8816" spans="2:5">
      <c r="B8816"/>
      <c r="C8816"/>
      <c r="E8816"/>
    </row>
    <row r="8817" spans="2:5">
      <c r="B8817"/>
      <c r="C8817"/>
      <c r="E8817"/>
    </row>
    <row r="8818" spans="2:5">
      <c r="B8818"/>
      <c r="C8818"/>
      <c r="E8818"/>
    </row>
    <row r="8819" spans="2:5">
      <c r="B8819"/>
      <c r="C8819"/>
      <c r="E8819"/>
    </row>
    <row r="8820" spans="2:5">
      <c r="B8820"/>
      <c r="C8820"/>
      <c r="E8820"/>
    </row>
    <row r="8821" spans="2:5">
      <c r="B8821"/>
      <c r="C8821"/>
      <c r="E8821"/>
    </row>
    <row r="8822" spans="2:5">
      <c r="B8822"/>
      <c r="C8822"/>
      <c r="E8822"/>
    </row>
    <row r="8823" spans="2:5">
      <c r="B8823"/>
      <c r="C8823"/>
      <c r="E8823"/>
    </row>
    <row r="8824" spans="2:5">
      <c r="B8824"/>
      <c r="C8824"/>
      <c r="E8824"/>
    </row>
    <row r="8825" spans="2:5">
      <c r="B8825"/>
      <c r="C8825"/>
      <c r="E8825"/>
    </row>
    <row r="8826" spans="2:5">
      <c r="B8826"/>
      <c r="C8826"/>
      <c r="E8826"/>
    </row>
    <row r="8827" spans="2:5">
      <c r="B8827"/>
      <c r="C8827"/>
      <c r="E8827"/>
    </row>
    <row r="8828" spans="2:5">
      <c r="B8828"/>
      <c r="C8828"/>
      <c r="E8828"/>
    </row>
    <row r="8829" spans="2:5">
      <c r="B8829"/>
      <c r="C8829"/>
      <c r="E8829"/>
    </row>
    <row r="8830" spans="2:5">
      <c r="B8830"/>
      <c r="C8830"/>
      <c r="E8830"/>
    </row>
    <row r="8831" spans="2:5">
      <c r="B8831"/>
      <c r="C8831"/>
      <c r="E8831"/>
    </row>
    <row r="8832" spans="2:5">
      <c r="B8832"/>
      <c r="C8832"/>
      <c r="E8832"/>
    </row>
    <row r="8833" spans="2:5">
      <c r="B8833"/>
      <c r="C8833"/>
      <c r="E8833"/>
    </row>
    <row r="8834" spans="2:5">
      <c r="B8834"/>
      <c r="C8834"/>
      <c r="E8834"/>
    </row>
    <row r="8835" spans="2:5">
      <c r="B8835"/>
      <c r="C8835"/>
      <c r="E8835"/>
    </row>
    <row r="8836" spans="2:5">
      <c r="B8836"/>
      <c r="C8836"/>
      <c r="E8836"/>
    </row>
    <row r="8837" spans="2:5">
      <c r="B8837"/>
      <c r="C8837"/>
      <c r="E8837"/>
    </row>
    <row r="8838" spans="2:5">
      <c r="B8838"/>
      <c r="C8838"/>
      <c r="E8838"/>
    </row>
    <row r="8839" spans="2:5">
      <c r="B8839"/>
      <c r="C8839"/>
      <c r="E8839"/>
    </row>
    <row r="8840" spans="2:5">
      <c r="B8840"/>
      <c r="C8840"/>
      <c r="E8840"/>
    </row>
    <row r="8841" spans="2:5">
      <c r="B8841"/>
      <c r="C8841"/>
      <c r="E8841"/>
    </row>
    <row r="8842" spans="2:5">
      <c r="B8842"/>
      <c r="C8842"/>
      <c r="E8842"/>
    </row>
    <row r="8843" spans="2:5">
      <c r="B8843"/>
      <c r="C8843"/>
      <c r="E8843"/>
    </row>
    <row r="8844" spans="2:5">
      <c r="B8844"/>
      <c r="C8844"/>
      <c r="E8844"/>
    </row>
    <row r="8845" spans="2:5">
      <c r="B8845"/>
      <c r="C8845"/>
      <c r="E8845"/>
    </row>
    <row r="8846" spans="2:5">
      <c r="B8846"/>
      <c r="C8846"/>
      <c r="E8846"/>
    </row>
    <row r="8847" spans="2:5">
      <c r="B8847"/>
      <c r="C8847"/>
      <c r="E8847"/>
    </row>
    <row r="8848" spans="2:5">
      <c r="B8848"/>
      <c r="C8848"/>
      <c r="E8848"/>
    </row>
    <row r="8849" spans="2:5">
      <c r="B8849"/>
      <c r="C8849"/>
      <c r="E8849"/>
    </row>
    <row r="8850" spans="2:5">
      <c r="B8850"/>
      <c r="C8850"/>
      <c r="E8850"/>
    </row>
    <row r="8851" spans="2:5">
      <c r="B8851"/>
      <c r="C8851"/>
      <c r="E8851"/>
    </row>
    <row r="8852" spans="2:5">
      <c r="B8852"/>
      <c r="C8852"/>
      <c r="E8852"/>
    </row>
    <row r="8853" spans="2:5">
      <c r="B8853"/>
      <c r="C8853"/>
      <c r="E8853"/>
    </row>
    <row r="8854" spans="2:5">
      <c r="B8854"/>
      <c r="C8854"/>
      <c r="E8854"/>
    </row>
    <row r="8855" spans="2:5">
      <c r="B8855"/>
      <c r="C8855"/>
      <c r="E8855"/>
    </row>
    <row r="8856" spans="2:5">
      <c r="B8856"/>
      <c r="C8856"/>
      <c r="E8856"/>
    </row>
    <row r="8857" spans="2:5">
      <c r="B8857"/>
      <c r="C8857"/>
      <c r="E8857"/>
    </row>
    <row r="8858" spans="2:5">
      <c r="B8858"/>
      <c r="C8858"/>
      <c r="E8858"/>
    </row>
    <row r="8859" spans="2:5">
      <c r="B8859"/>
      <c r="C8859"/>
      <c r="E8859"/>
    </row>
    <row r="8860" spans="2:5">
      <c r="B8860"/>
      <c r="C8860"/>
      <c r="E8860"/>
    </row>
    <row r="8861" spans="2:5">
      <c r="B8861"/>
      <c r="C8861"/>
      <c r="E8861"/>
    </row>
    <row r="8862" spans="2:5">
      <c r="B8862"/>
      <c r="C8862"/>
      <c r="E8862"/>
    </row>
    <row r="8863" spans="2:5">
      <c r="B8863"/>
      <c r="C8863"/>
      <c r="E8863"/>
    </row>
    <row r="8864" spans="2:5">
      <c r="B8864"/>
      <c r="C8864"/>
      <c r="E8864"/>
    </row>
    <row r="8865" spans="2:5">
      <c r="B8865"/>
      <c r="C8865"/>
      <c r="E8865"/>
    </row>
    <row r="8866" spans="2:5">
      <c r="B8866"/>
      <c r="C8866"/>
      <c r="E8866"/>
    </row>
    <row r="8867" spans="2:5">
      <c r="B8867"/>
      <c r="C8867"/>
      <c r="E8867"/>
    </row>
    <row r="8868" spans="2:5">
      <c r="B8868"/>
      <c r="C8868"/>
      <c r="E8868"/>
    </row>
    <row r="8869" spans="2:5">
      <c r="B8869"/>
      <c r="C8869"/>
      <c r="E8869"/>
    </row>
    <row r="8870" spans="2:5">
      <c r="B8870"/>
      <c r="C8870"/>
      <c r="E8870"/>
    </row>
    <row r="8871" spans="2:5">
      <c r="B8871"/>
      <c r="C8871"/>
      <c r="E8871"/>
    </row>
    <row r="8872" spans="2:5">
      <c r="B8872"/>
      <c r="C8872"/>
      <c r="E8872"/>
    </row>
    <row r="8873" spans="2:5">
      <c r="B8873"/>
      <c r="C8873"/>
      <c r="E8873"/>
    </row>
    <row r="8874" spans="2:5">
      <c r="B8874"/>
      <c r="C8874"/>
      <c r="E8874"/>
    </row>
    <row r="8875" spans="2:5">
      <c r="B8875"/>
      <c r="C8875"/>
      <c r="E8875"/>
    </row>
    <row r="8876" spans="2:5">
      <c r="B8876"/>
      <c r="C8876"/>
      <c r="E8876"/>
    </row>
    <row r="8877" spans="2:5">
      <c r="B8877"/>
      <c r="C8877"/>
      <c r="E8877"/>
    </row>
    <row r="8878" spans="2:5">
      <c r="B8878"/>
      <c r="C8878"/>
      <c r="E8878"/>
    </row>
    <row r="8879" spans="2:5">
      <c r="B8879"/>
      <c r="C8879"/>
      <c r="E8879"/>
    </row>
    <row r="8880" spans="2:5">
      <c r="B8880"/>
      <c r="C8880"/>
      <c r="E8880"/>
    </row>
    <row r="8881" spans="2:5">
      <c r="B8881"/>
      <c r="C8881"/>
      <c r="E8881"/>
    </row>
    <row r="8882" spans="2:5">
      <c r="B8882"/>
      <c r="C8882"/>
      <c r="E8882"/>
    </row>
    <row r="8883" spans="2:5">
      <c r="B8883"/>
      <c r="C8883"/>
      <c r="E8883"/>
    </row>
    <row r="8884" spans="2:5">
      <c r="B8884"/>
      <c r="C8884"/>
      <c r="E8884"/>
    </row>
    <row r="8885" spans="2:5">
      <c r="B8885"/>
      <c r="C8885"/>
      <c r="E8885"/>
    </row>
    <row r="8886" spans="2:5">
      <c r="B8886"/>
      <c r="C8886"/>
      <c r="E8886"/>
    </row>
    <row r="8887" spans="2:5">
      <c r="B8887"/>
      <c r="C8887"/>
      <c r="E8887"/>
    </row>
    <row r="8888" spans="2:5">
      <c r="B8888"/>
      <c r="C8888"/>
      <c r="E8888"/>
    </row>
    <row r="8889" spans="2:5">
      <c r="B8889"/>
      <c r="C8889"/>
      <c r="E8889"/>
    </row>
    <row r="8890" spans="2:5">
      <c r="B8890"/>
      <c r="C8890"/>
      <c r="E8890"/>
    </row>
    <row r="8891" spans="2:5">
      <c r="B8891"/>
      <c r="C8891"/>
      <c r="E8891"/>
    </row>
    <row r="8892" spans="2:5">
      <c r="B8892"/>
      <c r="C8892"/>
      <c r="E8892"/>
    </row>
    <row r="8893" spans="2:5">
      <c r="B8893"/>
      <c r="C8893"/>
      <c r="E8893"/>
    </row>
    <row r="8894" spans="2:5">
      <c r="B8894"/>
      <c r="C8894"/>
      <c r="E8894"/>
    </row>
    <row r="8895" spans="2:5">
      <c r="B8895"/>
      <c r="C8895"/>
      <c r="E8895"/>
    </row>
    <row r="8896" spans="2:5">
      <c r="B8896"/>
      <c r="C8896"/>
      <c r="E8896"/>
    </row>
    <row r="8897" spans="2:5">
      <c r="B8897"/>
      <c r="C8897"/>
      <c r="E8897"/>
    </row>
    <row r="8898" spans="2:5">
      <c r="B8898"/>
      <c r="C8898"/>
      <c r="E8898"/>
    </row>
    <row r="8899" spans="2:5">
      <c r="B8899"/>
      <c r="C8899"/>
      <c r="E8899"/>
    </row>
    <row r="8900" spans="2:5">
      <c r="B8900"/>
      <c r="C8900"/>
      <c r="E8900"/>
    </row>
    <row r="8901" spans="2:5">
      <c r="B8901"/>
      <c r="C8901"/>
      <c r="E8901"/>
    </row>
    <row r="8902" spans="2:5">
      <c r="B8902"/>
      <c r="C8902"/>
      <c r="E8902"/>
    </row>
    <row r="8903" spans="2:5">
      <c r="B8903"/>
      <c r="C8903"/>
      <c r="E8903"/>
    </row>
    <row r="8904" spans="2:5">
      <c r="B8904"/>
      <c r="C8904"/>
      <c r="E8904"/>
    </row>
    <row r="8905" spans="2:5">
      <c r="B8905"/>
      <c r="C8905"/>
      <c r="E8905"/>
    </row>
    <row r="8906" spans="2:5">
      <c r="B8906"/>
      <c r="C8906"/>
      <c r="E8906"/>
    </row>
    <row r="8907" spans="2:5">
      <c r="B8907"/>
      <c r="C8907"/>
      <c r="E8907"/>
    </row>
    <row r="8908" spans="2:5">
      <c r="B8908"/>
      <c r="C8908"/>
      <c r="E8908"/>
    </row>
    <row r="8909" spans="2:5">
      <c r="B8909"/>
      <c r="C8909"/>
      <c r="E8909"/>
    </row>
    <row r="8910" spans="2:5">
      <c r="B8910"/>
      <c r="C8910"/>
      <c r="E8910"/>
    </row>
    <row r="8911" spans="2:5">
      <c r="B8911"/>
      <c r="C8911"/>
      <c r="E8911"/>
    </row>
    <row r="8912" spans="2:5">
      <c r="B8912"/>
      <c r="C8912"/>
      <c r="E8912"/>
    </row>
    <row r="8913" spans="2:5">
      <c r="B8913"/>
      <c r="C8913"/>
      <c r="E8913"/>
    </row>
    <row r="8914" spans="2:5">
      <c r="B8914"/>
      <c r="C8914"/>
      <c r="E8914"/>
    </row>
    <row r="8915" spans="2:5">
      <c r="B8915"/>
      <c r="C8915"/>
      <c r="E8915"/>
    </row>
    <row r="8916" spans="2:5">
      <c r="B8916"/>
      <c r="C8916"/>
      <c r="E8916"/>
    </row>
    <row r="8917" spans="2:5">
      <c r="B8917"/>
      <c r="C8917"/>
      <c r="E8917"/>
    </row>
    <row r="8918" spans="2:5">
      <c r="B8918"/>
      <c r="C8918"/>
      <c r="E8918"/>
    </row>
    <row r="8919" spans="2:5">
      <c r="B8919"/>
      <c r="C8919"/>
      <c r="E8919"/>
    </row>
    <row r="8920" spans="2:5">
      <c r="B8920"/>
      <c r="C8920"/>
      <c r="E8920"/>
    </row>
    <row r="8921" spans="2:5">
      <c r="B8921"/>
      <c r="C8921"/>
      <c r="E8921"/>
    </row>
    <row r="8922" spans="2:5">
      <c r="B8922"/>
      <c r="C8922"/>
      <c r="E8922"/>
    </row>
    <row r="8923" spans="2:5">
      <c r="B8923"/>
      <c r="C8923"/>
      <c r="E8923"/>
    </row>
    <row r="8924" spans="2:5">
      <c r="B8924"/>
      <c r="C8924"/>
      <c r="E8924"/>
    </row>
    <row r="8925" spans="2:5">
      <c r="B8925"/>
      <c r="C8925"/>
      <c r="E8925"/>
    </row>
    <row r="8926" spans="2:5">
      <c r="B8926"/>
      <c r="C8926"/>
      <c r="E8926"/>
    </row>
    <row r="8927" spans="2:5">
      <c r="B8927"/>
      <c r="C8927"/>
      <c r="E8927"/>
    </row>
    <row r="8928" spans="2:5">
      <c r="B8928"/>
      <c r="C8928"/>
      <c r="E8928"/>
    </row>
    <row r="8929" spans="2:5">
      <c r="B8929"/>
      <c r="C8929"/>
      <c r="E8929"/>
    </row>
    <row r="8930" spans="2:5">
      <c r="B8930"/>
      <c r="C8930"/>
      <c r="E8930"/>
    </row>
    <row r="8931" spans="2:5">
      <c r="B8931"/>
      <c r="C8931"/>
      <c r="E8931"/>
    </row>
    <row r="8932" spans="2:5">
      <c r="B8932"/>
      <c r="C8932"/>
      <c r="E8932"/>
    </row>
    <row r="8933" spans="2:5">
      <c r="B8933"/>
      <c r="C8933"/>
      <c r="E8933"/>
    </row>
    <row r="8934" spans="2:5">
      <c r="B8934"/>
      <c r="C8934"/>
      <c r="E8934"/>
    </row>
    <row r="8935" spans="2:5">
      <c r="B8935"/>
      <c r="C8935"/>
      <c r="E8935"/>
    </row>
    <row r="8936" spans="2:5">
      <c r="B8936"/>
      <c r="C8936"/>
      <c r="E8936"/>
    </row>
    <row r="8937" spans="2:5">
      <c r="B8937"/>
      <c r="C8937"/>
      <c r="E8937"/>
    </row>
    <row r="8938" spans="2:5">
      <c r="B8938"/>
      <c r="C8938"/>
      <c r="E8938"/>
    </row>
    <row r="8939" spans="2:5">
      <c r="B8939"/>
      <c r="C8939"/>
      <c r="E8939"/>
    </row>
    <row r="8940" spans="2:5">
      <c r="B8940"/>
      <c r="C8940"/>
      <c r="E8940"/>
    </row>
    <row r="8941" spans="2:5">
      <c r="B8941"/>
      <c r="C8941"/>
      <c r="E8941"/>
    </row>
    <row r="8942" spans="2:5">
      <c r="B8942"/>
      <c r="C8942"/>
      <c r="E8942"/>
    </row>
    <row r="8943" spans="2:5">
      <c r="B8943"/>
      <c r="C8943"/>
      <c r="E8943"/>
    </row>
    <row r="8944" spans="2:5">
      <c r="B8944"/>
      <c r="C8944"/>
      <c r="E8944"/>
    </row>
    <row r="8945" spans="2:5">
      <c r="B8945"/>
      <c r="C8945"/>
      <c r="E8945"/>
    </row>
    <row r="8946" spans="2:5">
      <c r="B8946"/>
      <c r="C8946"/>
      <c r="E8946"/>
    </row>
    <row r="8947" spans="2:5">
      <c r="B8947"/>
      <c r="C8947"/>
      <c r="E8947"/>
    </row>
    <row r="8948" spans="2:5">
      <c r="B8948"/>
      <c r="C8948"/>
      <c r="E8948"/>
    </row>
    <row r="8949" spans="2:5">
      <c r="B8949"/>
      <c r="C8949"/>
      <c r="E8949"/>
    </row>
    <row r="8950" spans="2:5">
      <c r="B8950"/>
      <c r="C8950"/>
      <c r="E8950"/>
    </row>
    <row r="8951" spans="2:5">
      <c r="B8951"/>
      <c r="C8951"/>
      <c r="E8951"/>
    </row>
    <row r="8952" spans="2:5">
      <c r="B8952"/>
      <c r="C8952"/>
      <c r="E8952"/>
    </row>
    <row r="8953" spans="2:5">
      <c r="B8953"/>
      <c r="C8953"/>
      <c r="E8953"/>
    </row>
    <row r="8954" spans="2:5">
      <c r="B8954"/>
      <c r="C8954"/>
      <c r="E8954"/>
    </row>
    <row r="8955" spans="2:5">
      <c r="B8955"/>
      <c r="C8955"/>
      <c r="E8955"/>
    </row>
    <row r="8956" spans="2:5">
      <c r="B8956"/>
      <c r="C8956"/>
      <c r="E8956"/>
    </row>
    <row r="8957" spans="2:5">
      <c r="B8957"/>
      <c r="C8957"/>
      <c r="E8957"/>
    </row>
    <row r="8958" spans="2:5">
      <c r="B8958"/>
      <c r="C8958"/>
      <c r="E8958"/>
    </row>
    <row r="8959" spans="2:5">
      <c r="B8959"/>
      <c r="C8959"/>
      <c r="E8959"/>
    </row>
    <row r="8960" spans="2:5">
      <c r="B8960"/>
      <c r="C8960"/>
      <c r="E8960"/>
    </row>
    <row r="8961" spans="2:5">
      <c r="B8961"/>
      <c r="C8961"/>
      <c r="E8961"/>
    </row>
    <row r="8962" spans="2:5">
      <c r="B8962"/>
      <c r="C8962"/>
      <c r="E8962"/>
    </row>
    <row r="8963" spans="2:5">
      <c r="B8963"/>
      <c r="C8963"/>
      <c r="E8963"/>
    </row>
    <row r="8964" spans="2:5">
      <c r="B8964"/>
      <c r="C8964"/>
      <c r="E8964"/>
    </row>
    <row r="8965" spans="2:5">
      <c r="B8965"/>
      <c r="C8965"/>
      <c r="E8965"/>
    </row>
    <row r="8966" spans="2:5">
      <c r="B8966"/>
      <c r="C8966"/>
      <c r="E8966"/>
    </row>
    <row r="8967" spans="2:5">
      <c r="B8967"/>
      <c r="C8967"/>
      <c r="E8967"/>
    </row>
    <row r="8968" spans="2:5">
      <c r="B8968"/>
      <c r="C8968"/>
      <c r="E8968"/>
    </row>
    <row r="8969" spans="2:5">
      <c r="B8969"/>
      <c r="C8969"/>
      <c r="E8969"/>
    </row>
    <row r="8970" spans="2:5">
      <c r="B8970"/>
      <c r="C8970"/>
      <c r="E8970"/>
    </row>
    <row r="8971" spans="2:5">
      <c r="B8971"/>
      <c r="C8971"/>
      <c r="E8971"/>
    </row>
    <row r="8972" spans="2:5">
      <c r="B8972"/>
      <c r="C8972"/>
      <c r="E8972"/>
    </row>
    <row r="8973" spans="2:5">
      <c r="B8973"/>
      <c r="C8973"/>
      <c r="E8973"/>
    </row>
    <row r="8974" spans="2:5">
      <c r="B8974"/>
      <c r="C8974"/>
      <c r="E8974"/>
    </row>
    <row r="8975" spans="2:5">
      <c r="B8975"/>
      <c r="C8975"/>
      <c r="E8975"/>
    </row>
    <row r="8976" spans="2:5">
      <c r="B8976"/>
      <c r="C8976"/>
      <c r="E8976"/>
    </row>
    <row r="8977" spans="2:5">
      <c r="B8977"/>
      <c r="C8977"/>
      <c r="E8977"/>
    </row>
    <row r="8978" spans="2:5">
      <c r="B8978"/>
      <c r="C8978"/>
      <c r="E8978"/>
    </row>
    <row r="8979" spans="2:5">
      <c r="B8979"/>
      <c r="C8979"/>
      <c r="E8979"/>
    </row>
    <row r="8980" spans="2:5">
      <c r="B8980"/>
      <c r="C8980"/>
      <c r="E8980"/>
    </row>
    <row r="8981" spans="2:5">
      <c r="B8981"/>
      <c r="C8981"/>
      <c r="E8981"/>
    </row>
    <row r="8982" spans="2:5">
      <c r="B8982"/>
      <c r="C8982"/>
      <c r="E8982"/>
    </row>
    <row r="8983" spans="2:5">
      <c r="B8983"/>
      <c r="C8983"/>
      <c r="E8983"/>
    </row>
    <row r="8984" spans="2:5">
      <c r="B8984"/>
      <c r="C8984"/>
      <c r="E8984"/>
    </row>
    <row r="8985" spans="2:5">
      <c r="B8985"/>
      <c r="C8985"/>
      <c r="E8985"/>
    </row>
    <row r="8986" spans="2:5">
      <c r="B8986"/>
      <c r="C8986"/>
      <c r="E8986"/>
    </row>
    <row r="8987" spans="2:5">
      <c r="B8987"/>
      <c r="C8987"/>
      <c r="E8987"/>
    </row>
    <row r="8988" spans="2:5">
      <c r="B8988"/>
      <c r="C8988"/>
      <c r="E8988"/>
    </row>
    <row r="8989" spans="2:5">
      <c r="B8989"/>
      <c r="C8989"/>
      <c r="E8989"/>
    </row>
    <row r="8990" spans="2:5">
      <c r="B8990"/>
      <c r="C8990"/>
      <c r="E8990"/>
    </row>
    <row r="8991" spans="2:5">
      <c r="B8991"/>
      <c r="C8991"/>
      <c r="E8991"/>
    </row>
    <row r="8992" spans="2:5">
      <c r="B8992"/>
      <c r="C8992"/>
      <c r="E8992"/>
    </row>
    <row r="8993" spans="2:5">
      <c r="B8993"/>
      <c r="C8993"/>
      <c r="E8993"/>
    </row>
    <row r="8994" spans="2:5">
      <c r="B8994"/>
      <c r="C8994"/>
      <c r="E8994"/>
    </row>
    <row r="8995" spans="2:5">
      <c r="B8995"/>
      <c r="C8995"/>
      <c r="E8995"/>
    </row>
    <row r="8996" spans="2:5">
      <c r="B8996"/>
      <c r="C8996"/>
      <c r="E8996"/>
    </row>
    <row r="8997" spans="2:5">
      <c r="B8997"/>
      <c r="C8997"/>
      <c r="E8997"/>
    </row>
    <row r="8998" spans="2:5">
      <c r="B8998"/>
      <c r="C8998"/>
      <c r="E8998"/>
    </row>
    <row r="8999" spans="2:5">
      <c r="B8999"/>
      <c r="C8999"/>
      <c r="E8999"/>
    </row>
    <row r="9000" spans="2:5">
      <c r="B9000"/>
      <c r="C9000"/>
      <c r="E9000"/>
    </row>
    <row r="9001" spans="2:5">
      <c r="B9001"/>
      <c r="C9001"/>
      <c r="E9001"/>
    </row>
    <row r="9002" spans="2:5">
      <c r="B9002"/>
      <c r="C9002"/>
      <c r="E9002"/>
    </row>
    <row r="9003" spans="2:5">
      <c r="B9003"/>
      <c r="C9003"/>
      <c r="E9003"/>
    </row>
    <row r="9004" spans="2:5">
      <c r="B9004"/>
      <c r="C9004"/>
      <c r="E9004"/>
    </row>
    <row r="9005" spans="2:5">
      <c r="B9005"/>
      <c r="C9005"/>
      <c r="E9005"/>
    </row>
    <row r="9006" spans="2:5">
      <c r="B9006"/>
      <c r="C9006"/>
      <c r="E9006"/>
    </row>
    <row r="9007" spans="2:5">
      <c r="B9007"/>
      <c r="C9007"/>
      <c r="E9007"/>
    </row>
    <row r="9008" spans="2:5">
      <c r="B9008"/>
      <c r="C9008"/>
      <c r="E9008"/>
    </row>
    <row r="9009" spans="2:5">
      <c r="B9009"/>
      <c r="C9009"/>
      <c r="E9009"/>
    </row>
    <row r="9010" spans="2:5">
      <c r="B9010"/>
      <c r="C9010"/>
      <c r="E9010"/>
    </row>
    <row r="9011" spans="2:5">
      <c r="B9011"/>
      <c r="C9011"/>
      <c r="E9011"/>
    </row>
    <row r="9012" spans="2:5">
      <c r="B9012"/>
      <c r="C9012"/>
      <c r="E9012"/>
    </row>
    <row r="9013" spans="2:5">
      <c r="B9013"/>
      <c r="C9013"/>
      <c r="E9013"/>
    </row>
    <row r="9014" spans="2:5">
      <c r="B9014"/>
      <c r="C9014"/>
      <c r="E9014"/>
    </row>
    <row r="9015" spans="2:5">
      <c r="B9015"/>
      <c r="C9015"/>
      <c r="E9015"/>
    </row>
    <row r="9016" spans="2:5">
      <c r="B9016"/>
      <c r="C9016"/>
      <c r="E9016"/>
    </row>
    <row r="9017" spans="2:5">
      <c r="B9017"/>
      <c r="C9017"/>
      <c r="E9017"/>
    </row>
    <row r="9018" spans="2:5">
      <c r="B9018"/>
      <c r="C9018"/>
      <c r="E9018"/>
    </row>
    <row r="9019" spans="2:5">
      <c r="B9019"/>
      <c r="C9019"/>
      <c r="E9019"/>
    </row>
    <row r="9020" spans="2:5">
      <c r="B9020"/>
      <c r="C9020"/>
      <c r="E9020"/>
    </row>
    <row r="9021" spans="2:5">
      <c r="B9021"/>
      <c r="C9021"/>
      <c r="E9021"/>
    </row>
    <row r="9022" spans="2:5">
      <c r="B9022"/>
      <c r="C9022"/>
      <c r="E9022"/>
    </row>
    <row r="9023" spans="2:5">
      <c r="B9023"/>
      <c r="C9023"/>
      <c r="E9023"/>
    </row>
    <row r="9024" spans="2:5">
      <c r="B9024"/>
      <c r="C9024"/>
      <c r="E9024"/>
    </row>
    <row r="9025" spans="2:5">
      <c r="B9025"/>
      <c r="C9025"/>
      <c r="E9025"/>
    </row>
    <row r="9026" spans="2:5">
      <c r="B9026"/>
      <c r="C9026"/>
      <c r="E9026"/>
    </row>
    <row r="9027" spans="2:5">
      <c r="B9027"/>
      <c r="C9027"/>
      <c r="E9027"/>
    </row>
    <row r="9028" spans="2:5">
      <c r="B9028"/>
      <c r="C9028"/>
      <c r="E9028"/>
    </row>
    <row r="9029" spans="2:5">
      <c r="B9029"/>
      <c r="C9029"/>
      <c r="E9029"/>
    </row>
    <row r="9030" spans="2:5">
      <c r="B9030"/>
      <c r="C9030"/>
      <c r="E9030"/>
    </row>
    <row r="9031" spans="2:5">
      <c r="B9031"/>
      <c r="C9031"/>
      <c r="E9031"/>
    </row>
    <row r="9032" spans="2:5">
      <c r="B9032"/>
      <c r="C9032"/>
      <c r="E9032"/>
    </row>
    <row r="9033" spans="2:5">
      <c r="B9033"/>
      <c r="C9033"/>
      <c r="E9033"/>
    </row>
    <row r="9034" spans="2:5">
      <c r="B9034"/>
      <c r="C9034"/>
      <c r="E9034"/>
    </row>
    <row r="9035" spans="2:5">
      <c r="B9035"/>
      <c r="C9035"/>
      <c r="E9035"/>
    </row>
    <row r="9036" spans="2:5">
      <c r="B9036"/>
      <c r="C9036"/>
      <c r="E9036"/>
    </row>
    <row r="9037" spans="2:5">
      <c r="B9037"/>
      <c r="C9037"/>
      <c r="E9037"/>
    </row>
    <row r="9038" spans="2:5">
      <c r="B9038"/>
      <c r="C9038"/>
      <c r="E9038"/>
    </row>
    <row r="9039" spans="2:5">
      <c r="B9039"/>
      <c r="C9039"/>
      <c r="E9039"/>
    </row>
    <row r="9040" spans="2:5">
      <c r="B9040"/>
      <c r="C9040"/>
      <c r="E9040"/>
    </row>
    <row r="9041" spans="2:5">
      <c r="B9041"/>
      <c r="C9041"/>
      <c r="E9041"/>
    </row>
    <row r="9042" spans="2:5">
      <c r="B9042"/>
      <c r="C9042"/>
      <c r="E9042"/>
    </row>
    <row r="9043" spans="2:5">
      <c r="B9043"/>
      <c r="C9043"/>
      <c r="E9043"/>
    </row>
    <row r="9044" spans="2:5">
      <c r="B9044"/>
      <c r="C9044"/>
      <c r="E9044"/>
    </row>
    <row r="9045" spans="2:5">
      <c r="B9045"/>
      <c r="C9045"/>
      <c r="E9045"/>
    </row>
    <row r="9046" spans="2:5">
      <c r="B9046"/>
      <c r="C9046"/>
      <c r="E9046"/>
    </row>
    <row r="9047" spans="2:5">
      <c r="B9047"/>
      <c r="C9047"/>
      <c r="E9047"/>
    </row>
    <row r="9048" spans="2:5">
      <c r="B9048"/>
      <c r="C9048"/>
      <c r="E9048"/>
    </row>
    <row r="9049" spans="2:5">
      <c r="B9049"/>
      <c r="C9049"/>
      <c r="E9049"/>
    </row>
    <row r="9050" spans="2:5">
      <c r="B9050"/>
      <c r="C9050"/>
      <c r="E9050"/>
    </row>
    <row r="9051" spans="2:5">
      <c r="B9051"/>
      <c r="C9051"/>
      <c r="E9051"/>
    </row>
    <row r="9052" spans="2:5">
      <c r="B9052"/>
      <c r="C9052"/>
      <c r="E9052"/>
    </row>
    <row r="9053" spans="2:5">
      <c r="B9053"/>
      <c r="C9053"/>
      <c r="E9053"/>
    </row>
    <row r="9054" spans="2:5">
      <c r="B9054"/>
      <c r="C9054"/>
      <c r="E9054"/>
    </row>
    <row r="9055" spans="2:5">
      <c r="B9055"/>
      <c r="C9055"/>
      <c r="E9055"/>
    </row>
    <row r="9056" spans="2:5">
      <c r="B9056"/>
      <c r="C9056"/>
      <c r="E9056"/>
    </row>
    <row r="9057" spans="2:5">
      <c r="B9057"/>
      <c r="C9057"/>
      <c r="E9057"/>
    </row>
    <row r="9058" spans="2:5">
      <c r="B9058"/>
      <c r="C9058"/>
      <c r="E9058"/>
    </row>
    <row r="9059" spans="2:5">
      <c r="B9059"/>
      <c r="C9059"/>
      <c r="E9059"/>
    </row>
    <row r="9060" spans="2:5">
      <c r="B9060"/>
      <c r="C9060"/>
      <c r="E9060"/>
    </row>
    <row r="9061" spans="2:5">
      <c r="B9061"/>
      <c r="C9061"/>
      <c r="E9061"/>
    </row>
    <row r="9062" spans="2:5">
      <c r="B9062"/>
      <c r="C9062"/>
      <c r="E9062"/>
    </row>
    <row r="9063" spans="2:5">
      <c r="B9063"/>
      <c r="C9063"/>
      <c r="E9063"/>
    </row>
    <row r="9064" spans="2:5">
      <c r="B9064"/>
      <c r="C9064"/>
      <c r="E9064"/>
    </row>
    <row r="9065" spans="2:5">
      <c r="B9065"/>
      <c r="C9065"/>
      <c r="E9065"/>
    </row>
    <row r="9066" spans="2:5">
      <c r="B9066"/>
      <c r="C9066"/>
      <c r="E9066"/>
    </row>
    <row r="9067" spans="2:5">
      <c r="B9067"/>
      <c r="C9067"/>
      <c r="E9067"/>
    </row>
    <row r="9068" spans="2:5">
      <c r="B9068"/>
      <c r="C9068"/>
      <c r="E9068"/>
    </row>
    <row r="9069" spans="2:5">
      <c r="B9069"/>
      <c r="C9069"/>
      <c r="E9069"/>
    </row>
    <row r="9070" spans="2:5">
      <c r="B9070"/>
      <c r="C9070"/>
      <c r="E9070"/>
    </row>
    <row r="9071" spans="2:5">
      <c r="B9071"/>
      <c r="C9071"/>
      <c r="E9071"/>
    </row>
    <row r="9072" spans="2:5">
      <c r="B9072"/>
      <c r="C9072"/>
      <c r="E9072"/>
    </row>
    <row r="9073" spans="2:5">
      <c r="B9073"/>
      <c r="C9073"/>
      <c r="E9073"/>
    </row>
    <row r="9074" spans="2:5">
      <c r="B9074"/>
      <c r="C9074"/>
      <c r="E9074"/>
    </row>
    <row r="9075" spans="2:5">
      <c r="B9075"/>
      <c r="C9075"/>
      <c r="E9075"/>
    </row>
    <row r="9076" spans="2:5">
      <c r="B9076"/>
      <c r="C9076"/>
      <c r="E9076"/>
    </row>
    <row r="9077" spans="2:5">
      <c r="B9077"/>
      <c r="C9077"/>
      <c r="E9077"/>
    </row>
    <row r="9078" spans="2:5">
      <c r="B9078"/>
      <c r="C9078"/>
      <c r="E9078"/>
    </row>
    <row r="9079" spans="2:5">
      <c r="B9079"/>
      <c r="C9079"/>
      <c r="E9079"/>
    </row>
    <row r="9080" spans="2:5">
      <c r="B9080"/>
      <c r="C9080"/>
      <c r="E9080"/>
    </row>
    <row r="9081" spans="2:5">
      <c r="B9081"/>
      <c r="C9081"/>
      <c r="E9081"/>
    </row>
    <row r="9082" spans="2:5">
      <c r="B9082"/>
      <c r="C9082"/>
      <c r="E9082"/>
    </row>
    <row r="9083" spans="2:5">
      <c r="B9083"/>
      <c r="C9083"/>
      <c r="E9083"/>
    </row>
    <row r="9084" spans="2:5">
      <c r="B9084"/>
      <c r="C9084"/>
      <c r="E9084"/>
    </row>
    <row r="9085" spans="2:5">
      <c r="B9085"/>
      <c r="C9085"/>
      <c r="E9085"/>
    </row>
    <row r="9086" spans="2:5">
      <c r="B9086"/>
      <c r="C9086"/>
      <c r="E9086"/>
    </row>
    <row r="9087" spans="2:5">
      <c r="B9087"/>
      <c r="C9087"/>
      <c r="E9087"/>
    </row>
    <row r="9088" spans="2:5">
      <c r="B9088"/>
      <c r="C9088"/>
      <c r="E9088"/>
    </row>
    <row r="9089" spans="2:5">
      <c r="B9089"/>
      <c r="C9089"/>
      <c r="E9089"/>
    </row>
    <row r="9090" spans="2:5">
      <c r="B9090"/>
      <c r="C9090"/>
      <c r="E9090"/>
    </row>
    <row r="9091" spans="2:5">
      <c r="B9091"/>
      <c r="C9091"/>
      <c r="E9091"/>
    </row>
    <row r="9092" spans="2:5">
      <c r="B9092"/>
      <c r="C9092"/>
      <c r="E9092"/>
    </row>
    <row r="9093" spans="2:5">
      <c r="B9093"/>
      <c r="C9093"/>
      <c r="E9093"/>
    </row>
    <row r="9094" spans="2:5">
      <c r="B9094"/>
      <c r="C9094"/>
      <c r="E9094"/>
    </row>
    <row r="9095" spans="2:5">
      <c r="B9095"/>
      <c r="C9095"/>
      <c r="E9095"/>
    </row>
    <row r="9096" spans="2:5">
      <c r="B9096"/>
      <c r="C9096"/>
      <c r="E9096"/>
    </row>
    <row r="9097" spans="2:5">
      <c r="B9097"/>
      <c r="C9097"/>
      <c r="E9097"/>
    </row>
    <row r="9098" spans="2:5">
      <c r="B9098"/>
      <c r="C9098"/>
      <c r="E9098"/>
    </row>
    <row r="9099" spans="2:5">
      <c r="B9099"/>
      <c r="C9099"/>
      <c r="E9099"/>
    </row>
    <row r="9100" spans="2:5">
      <c r="B9100"/>
      <c r="C9100"/>
      <c r="E9100"/>
    </row>
    <row r="9101" spans="2:5">
      <c r="B9101"/>
      <c r="C9101"/>
      <c r="E9101"/>
    </row>
    <row r="9102" spans="2:5">
      <c r="B9102"/>
      <c r="C9102"/>
      <c r="E9102"/>
    </row>
    <row r="9103" spans="2:5">
      <c r="B9103"/>
      <c r="C9103"/>
      <c r="E9103"/>
    </row>
    <row r="9104" spans="2:5">
      <c r="B9104"/>
      <c r="C9104"/>
      <c r="E9104"/>
    </row>
    <row r="9105" spans="2:5">
      <c r="B9105"/>
      <c r="C9105"/>
      <c r="E9105"/>
    </row>
    <row r="9106" spans="2:5">
      <c r="B9106"/>
      <c r="C9106"/>
      <c r="E9106"/>
    </row>
    <row r="9107" spans="2:5">
      <c r="B9107"/>
      <c r="C9107"/>
      <c r="E9107"/>
    </row>
    <row r="9108" spans="2:5">
      <c r="B9108"/>
      <c r="C9108"/>
      <c r="E9108"/>
    </row>
    <row r="9109" spans="2:5">
      <c r="B9109"/>
      <c r="C9109"/>
      <c r="E9109"/>
    </row>
    <row r="9110" spans="2:5">
      <c r="B9110"/>
      <c r="C9110"/>
      <c r="E9110"/>
    </row>
    <row r="9111" spans="2:5">
      <c r="B9111"/>
      <c r="C9111"/>
      <c r="E9111"/>
    </row>
    <row r="9112" spans="2:5">
      <c r="B9112"/>
      <c r="C9112"/>
      <c r="E9112"/>
    </row>
    <row r="9113" spans="2:5">
      <c r="B9113"/>
      <c r="C9113"/>
      <c r="E9113"/>
    </row>
    <row r="9114" spans="2:5">
      <c r="B9114"/>
      <c r="C9114"/>
      <c r="E9114"/>
    </row>
    <row r="9115" spans="2:5">
      <c r="B9115"/>
      <c r="C9115"/>
      <c r="E9115"/>
    </row>
    <row r="9116" spans="2:5">
      <c r="B9116"/>
      <c r="C9116"/>
      <c r="E9116"/>
    </row>
    <row r="9117" spans="2:5">
      <c r="B9117"/>
      <c r="C9117"/>
      <c r="E9117"/>
    </row>
    <row r="9118" spans="2:5">
      <c r="B9118"/>
      <c r="C9118"/>
      <c r="E9118"/>
    </row>
    <row r="9119" spans="2:5">
      <c r="B9119"/>
      <c r="C9119"/>
      <c r="E9119"/>
    </row>
    <row r="9120" spans="2:5">
      <c r="B9120"/>
      <c r="C9120"/>
      <c r="E9120"/>
    </row>
    <row r="9121" spans="2:5">
      <c r="B9121"/>
      <c r="C9121"/>
      <c r="E9121"/>
    </row>
    <row r="9122" spans="2:5">
      <c r="B9122"/>
      <c r="C9122"/>
      <c r="E9122"/>
    </row>
    <row r="9123" spans="2:5">
      <c r="B9123"/>
      <c r="C9123"/>
      <c r="E9123"/>
    </row>
    <row r="9124" spans="2:5">
      <c r="B9124"/>
      <c r="C9124"/>
      <c r="E9124"/>
    </row>
    <row r="9125" spans="2:5">
      <c r="B9125"/>
      <c r="C9125"/>
      <c r="E9125"/>
    </row>
    <row r="9126" spans="2:5">
      <c r="B9126"/>
      <c r="C9126"/>
      <c r="E9126"/>
    </row>
    <row r="9127" spans="2:5">
      <c r="B9127"/>
      <c r="C9127"/>
      <c r="E9127"/>
    </row>
    <row r="9128" spans="2:5">
      <c r="B9128"/>
      <c r="C9128"/>
      <c r="E9128"/>
    </row>
    <row r="9129" spans="2:5">
      <c r="B9129"/>
      <c r="C9129"/>
      <c r="E9129"/>
    </row>
    <row r="9130" spans="2:5">
      <c r="B9130"/>
      <c r="C9130"/>
      <c r="E9130"/>
    </row>
    <row r="9131" spans="2:5">
      <c r="B9131"/>
      <c r="C9131"/>
      <c r="E9131"/>
    </row>
    <row r="9132" spans="2:5">
      <c r="B9132"/>
      <c r="C9132"/>
      <c r="E9132"/>
    </row>
    <row r="9133" spans="2:5">
      <c r="B9133"/>
      <c r="C9133"/>
      <c r="E9133"/>
    </row>
    <row r="9134" spans="2:5">
      <c r="B9134"/>
      <c r="C9134"/>
      <c r="E9134"/>
    </row>
    <row r="9135" spans="2:5">
      <c r="B9135"/>
      <c r="C9135"/>
      <c r="E9135"/>
    </row>
    <row r="9136" spans="2:5">
      <c r="B9136"/>
      <c r="C9136"/>
      <c r="E9136"/>
    </row>
    <row r="9137" spans="2:5">
      <c r="B9137"/>
      <c r="C9137"/>
      <c r="E9137"/>
    </row>
    <row r="9138" spans="2:5">
      <c r="B9138"/>
      <c r="C9138"/>
      <c r="E9138"/>
    </row>
    <row r="9139" spans="2:5">
      <c r="B9139"/>
      <c r="C9139"/>
      <c r="E9139"/>
    </row>
    <row r="9140" spans="2:5">
      <c r="B9140"/>
      <c r="C9140"/>
      <c r="E9140"/>
    </row>
    <row r="9141" spans="2:5">
      <c r="B9141"/>
      <c r="C9141"/>
      <c r="E9141"/>
    </row>
    <row r="9142" spans="2:5">
      <c r="B9142"/>
      <c r="C9142"/>
      <c r="E9142"/>
    </row>
    <row r="9143" spans="2:5">
      <c r="B9143"/>
      <c r="C9143"/>
      <c r="E9143"/>
    </row>
    <row r="9144" spans="2:5">
      <c r="B9144"/>
      <c r="C9144"/>
      <c r="E9144"/>
    </row>
    <row r="9145" spans="2:5">
      <c r="B9145"/>
      <c r="C9145"/>
      <c r="E9145"/>
    </row>
    <row r="9146" spans="2:5">
      <c r="B9146"/>
      <c r="C9146"/>
      <c r="E9146"/>
    </row>
    <row r="9147" spans="2:5">
      <c r="B9147"/>
      <c r="C9147"/>
      <c r="E9147"/>
    </row>
    <row r="9148" spans="2:5">
      <c r="B9148"/>
      <c r="C9148"/>
      <c r="E9148"/>
    </row>
    <row r="9149" spans="2:5">
      <c r="B9149"/>
      <c r="C9149"/>
      <c r="E9149"/>
    </row>
    <row r="9150" spans="2:5">
      <c r="B9150"/>
      <c r="C9150"/>
      <c r="E9150"/>
    </row>
    <row r="9151" spans="2:5">
      <c r="B9151"/>
      <c r="C9151"/>
      <c r="E9151"/>
    </row>
    <row r="9152" spans="2:5">
      <c r="B9152"/>
      <c r="C9152"/>
      <c r="E9152"/>
    </row>
    <row r="9153" spans="2:5">
      <c r="B9153"/>
      <c r="C9153"/>
      <c r="E9153"/>
    </row>
    <row r="9154" spans="2:5">
      <c r="B9154"/>
      <c r="C9154"/>
      <c r="E9154"/>
    </row>
    <row r="9155" spans="2:5">
      <c r="B9155"/>
      <c r="C9155"/>
      <c r="E9155"/>
    </row>
    <row r="9156" spans="2:5">
      <c r="B9156"/>
      <c r="C9156"/>
      <c r="E9156"/>
    </row>
    <row r="9157" spans="2:5">
      <c r="B9157"/>
      <c r="C9157"/>
      <c r="E9157"/>
    </row>
    <row r="9158" spans="2:5">
      <c r="B9158"/>
      <c r="C9158"/>
      <c r="E9158"/>
    </row>
    <row r="9159" spans="2:5">
      <c r="B9159"/>
      <c r="C9159"/>
      <c r="E9159"/>
    </row>
    <row r="9160" spans="2:5">
      <c r="B9160"/>
      <c r="C9160"/>
      <c r="E9160"/>
    </row>
    <row r="9161" spans="2:5">
      <c r="B9161"/>
      <c r="C9161"/>
      <c r="E9161"/>
    </row>
    <row r="9162" spans="2:5">
      <c r="B9162"/>
      <c r="C9162"/>
      <c r="E9162"/>
    </row>
    <row r="9163" spans="2:5">
      <c r="B9163"/>
      <c r="C9163"/>
      <c r="E9163"/>
    </row>
    <row r="9164" spans="2:5">
      <c r="B9164"/>
      <c r="C9164"/>
      <c r="E9164"/>
    </row>
    <row r="9165" spans="2:5">
      <c r="B9165"/>
      <c r="C9165"/>
      <c r="E9165"/>
    </row>
    <row r="9166" spans="2:5">
      <c r="B9166"/>
      <c r="C9166"/>
      <c r="E9166"/>
    </row>
    <row r="9167" spans="2:5">
      <c r="B9167"/>
      <c r="C9167"/>
      <c r="E9167"/>
    </row>
    <row r="9168" spans="2:5">
      <c r="B9168"/>
      <c r="C9168"/>
      <c r="E9168"/>
    </row>
    <row r="9169" spans="2:5">
      <c r="B9169"/>
      <c r="C9169"/>
      <c r="E9169"/>
    </row>
    <row r="9170" spans="2:5">
      <c r="B9170"/>
      <c r="C9170"/>
      <c r="E9170"/>
    </row>
    <row r="9171" spans="2:5">
      <c r="B9171"/>
      <c r="C9171"/>
      <c r="E9171"/>
    </row>
    <row r="9172" spans="2:5">
      <c r="B9172"/>
      <c r="C9172"/>
      <c r="E9172"/>
    </row>
    <row r="9173" spans="2:5">
      <c r="B9173"/>
      <c r="C9173"/>
      <c r="E9173"/>
    </row>
    <row r="9174" spans="2:5">
      <c r="B9174"/>
      <c r="C9174"/>
      <c r="E9174"/>
    </row>
    <row r="9175" spans="2:5">
      <c r="B9175"/>
      <c r="C9175"/>
      <c r="E9175"/>
    </row>
    <row r="9176" spans="2:5">
      <c r="B9176"/>
      <c r="C9176"/>
      <c r="E9176"/>
    </row>
    <row r="9177" spans="2:5">
      <c r="B9177"/>
      <c r="C9177"/>
      <c r="E9177"/>
    </row>
    <row r="9178" spans="2:5">
      <c r="B9178"/>
      <c r="C9178"/>
      <c r="E9178"/>
    </row>
    <row r="9179" spans="2:5">
      <c r="B9179"/>
      <c r="C9179"/>
      <c r="E9179"/>
    </row>
    <row r="9180" spans="2:5">
      <c r="B9180"/>
      <c r="C9180"/>
      <c r="E9180"/>
    </row>
    <row r="9181" spans="2:5">
      <c r="B9181"/>
      <c r="C9181"/>
      <c r="E9181"/>
    </row>
    <row r="9182" spans="2:5">
      <c r="B9182"/>
      <c r="C9182"/>
      <c r="E9182"/>
    </row>
    <row r="9183" spans="2:5">
      <c r="B9183"/>
      <c r="C9183"/>
      <c r="E9183"/>
    </row>
    <row r="9184" spans="2:5">
      <c r="B9184"/>
      <c r="C9184"/>
      <c r="E9184"/>
    </row>
    <row r="9185" spans="2:5">
      <c r="B9185"/>
      <c r="C9185"/>
      <c r="E9185"/>
    </row>
    <row r="9186" spans="2:5">
      <c r="B9186"/>
      <c r="C9186"/>
      <c r="E9186"/>
    </row>
    <row r="9187" spans="2:5">
      <c r="B9187"/>
      <c r="C9187"/>
      <c r="E9187"/>
    </row>
    <row r="9188" spans="2:5">
      <c r="B9188"/>
      <c r="C9188"/>
      <c r="E9188"/>
    </row>
    <row r="9189" spans="2:5">
      <c r="B9189"/>
      <c r="C9189"/>
      <c r="E9189"/>
    </row>
    <row r="9190" spans="2:5">
      <c r="B9190"/>
      <c r="C9190"/>
      <c r="E9190"/>
    </row>
    <row r="9191" spans="2:5">
      <c r="B9191"/>
      <c r="C9191"/>
      <c r="E9191"/>
    </row>
    <row r="9192" spans="2:5">
      <c r="B9192"/>
      <c r="C9192"/>
      <c r="E9192"/>
    </row>
    <row r="9193" spans="2:5">
      <c r="B9193"/>
      <c r="C9193"/>
      <c r="E9193"/>
    </row>
    <row r="9194" spans="2:5">
      <c r="B9194"/>
      <c r="C9194"/>
      <c r="E9194"/>
    </row>
    <row r="9195" spans="2:5">
      <c r="B9195"/>
      <c r="C9195"/>
      <c r="E9195"/>
    </row>
    <row r="9196" spans="2:5">
      <c r="B9196"/>
      <c r="C9196"/>
      <c r="E9196"/>
    </row>
    <row r="9197" spans="2:5">
      <c r="B9197"/>
      <c r="C9197"/>
      <c r="E9197"/>
    </row>
    <row r="9198" spans="2:5">
      <c r="B9198"/>
      <c r="C9198"/>
      <c r="E9198"/>
    </row>
    <row r="9199" spans="2:5">
      <c r="B9199"/>
      <c r="C9199"/>
      <c r="E9199"/>
    </row>
    <row r="9200" spans="2:5">
      <c r="B9200"/>
      <c r="C9200"/>
      <c r="E9200"/>
    </row>
    <row r="9201" spans="2:5">
      <c r="B9201"/>
      <c r="C9201"/>
      <c r="E9201"/>
    </row>
    <row r="9202" spans="2:5">
      <c r="B9202"/>
      <c r="C9202"/>
      <c r="E9202"/>
    </row>
    <row r="9203" spans="2:5">
      <c r="B9203"/>
      <c r="C9203"/>
      <c r="E9203"/>
    </row>
    <row r="9204" spans="2:5">
      <c r="B9204"/>
      <c r="C9204"/>
      <c r="E9204"/>
    </row>
    <row r="9205" spans="2:5">
      <c r="B9205"/>
      <c r="C9205"/>
      <c r="E9205"/>
    </row>
    <row r="9206" spans="2:5">
      <c r="B9206"/>
      <c r="C9206"/>
      <c r="E9206"/>
    </row>
    <row r="9207" spans="2:5">
      <c r="B9207"/>
      <c r="C9207"/>
      <c r="E9207"/>
    </row>
    <row r="9208" spans="2:5">
      <c r="B9208"/>
      <c r="C9208"/>
      <c r="E9208"/>
    </row>
    <row r="9209" spans="2:5">
      <c r="B9209"/>
      <c r="C9209"/>
      <c r="E9209"/>
    </row>
    <row r="9210" spans="2:5">
      <c r="B9210"/>
      <c r="C9210"/>
      <c r="E9210"/>
    </row>
    <row r="9211" spans="2:5">
      <c r="B9211"/>
      <c r="C9211"/>
      <c r="E9211"/>
    </row>
    <row r="9212" spans="2:5">
      <c r="B9212"/>
      <c r="C9212"/>
      <c r="E9212"/>
    </row>
    <row r="9213" spans="2:5">
      <c r="B9213"/>
      <c r="C9213"/>
      <c r="E9213"/>
    </row>
    <row r="9214" spans="2:5">
      <c r="B9214"/>
      <c r="C9214"/>
      <c r="E9214"/>
    </row>
    <row r="9215" spans="2:5">
      <c r="B9215"/>
      <c r="C9215"/>
      <c r="E9215"/>
    </row>
    <row r="9216" spans="2:5">
      <c r="B9216"/>
      <c r="C9216"/>
      <c r="E9216"/>
    </row>
    <row r="9217" spans="2:5">
      <c r="B9217"/>
      <c r="C9217"/>
      <c r="E9217"/>
    </row>
    <row r="9218" spans="2:5">
      <c r="B9218"/>
      <c r="C9218"/>
      <c r="E9218"/>
    </row>
    <row r="9219" spans="2:5">
      <c r="B9219"/>
      <c r="C9219"/>
      <c r="E9219"/>
    </row>
    <row r="9220" spans="2:5">
      <c r="B9220"/>
      <c r="C9220"/>
      <c r="E9220"/>
    </row>
    <row r="9221" spans="2:5">
      <c r="B9221"/>
      <c r="C9221"/>
      <c r="E9221"/>
    </row>
    <row r="9222" spans="2:5">
      <c r="B9222"/>
      <c r="C9222"/>
      <c r="E9222"/>
    </row>
    <row r="9223" spans="2:5">
      <c r="B9223"/>
      <c r="C9223"/>
      <c r="E9223"/>
    </row>
    <row r="9224" spans="2:5">
      <c r="B9224"/>
      <c r="C9224"/>
      <c r="E9224"/>
    </row>
    <row r="9225" spans="2:5">
      <c r="B9225"/>
      <c r="C9225"/>
      <c r="E9225"/>
    </row>
    <row r="9226" spans="2:5">
      <c r="B9226"/>
      <c r="C9226"/>
      <c r="E9226"/>
    </row>
    <row r="9227" spans="2:5">
      <c r="B9227"/>
      <c r="C9227"/>
      <c r="E9227"/>
    </row>
    <row r="9228" spans="2:5">
      <c r="B9228"/>
      <c r="C9228"/>
      <c r="E9228"/>
    </row>
    <row r="9229" spans="2:5">
      <c r="B9229"/>
      <c r="C9229"/>
      <c r="E9229"/>
    </row>
    <row r="9230" spans="2:5">
      <c r="B9230"/>
      <c r="C9230"/>
      <c r="E9230"/>
    </row>
    <row r="9231" spans="2:5">
      <c r="B9231"/>
      <c r="C9231"/>
      <c r="E9231"/>
    </row>
    <row r="9232" spans="2:5">
      <c r="B9232"/>
      <c r="C9232"/>
      <c r="E9232"/>
    </row>
    <row r="9233" spans="2:5">
      <c r="B9233"/>
      <c r="C9233"/>
      <c r="E9233"/>
    </row>
    <row r="9234" spans="2:5">
      <c r="B9234"/>
      <c r="C9234"/>
      <c r="E9234"/>
    </row>
    <row r="9235" spans="2:5">
      <c r="B9235"/>
      <c r="C9235"/>
      <c r="E9235"/>
    </row>
    <row r="9236" spans="2:5">
      <c r="B9236"/>
      <c r="C9236"/>
      <c r="E9236"/>
    </row>
    <row r="9237" spans="2:5">
      <c r="B9237"/>
      <c r="C9237"/>
      <c r="E9237"/>
    </row>
    <row r="9238" spans="2:5">
      <c r="B9238"/>
      <c r="C9238"/>
      <c r="E9238"/>
    </row>
    <row r="9239" spans="2:5">
      <c r="B9239"/>
      <c r="C9239"/>
      <c r="E9239"/>
    </row>
    <row r="9240" spans="2:5">
      <c r="B9240"/>
      <c r="C9240"/>
      <c r="E9240"/>
    </row>
    <row r="9241" spans="2:5">
      <c r="B9241"/>
      <c r="C9241"/>
      <c r="E9241"/>
    </row>
    <row r="9242" spans="2:5">
      <c r="B9242"/>
      <c r="C9242"/>
      <c r="E9242"/>
    </row>
    <row r="9243" spans="2:5">
      <c r="B9243"/>
      <c r="C9243"/>
      <c r="E9243"/>
    </row>
    <row r="9244" spans="2:5">
      <c r="B9244"/>
      <c r="C9244"/>
      <c r="E9244"/>
    </row>
    <row r="9245" spans="2:5">
      <c r="B9245"/>
      <c r="C9245"/>
      <c r="E9245"/>
    </row>
    <row r="9246" spans="2:5">
      <c r="B9246"/>
      <c r="C9246"/>
      <c r="E9246"/>
    </row>
    <row r="9247" spans="2:5">
      <c r="B9247"/>
      <c r="C9247"/>
      <c r="E9247"/>
    </row>
    <row r="9248" spans="2:5">
      <c r="B9248"/>
      <c r="C9248"/>
      <c r="E9248"/>
    </row>
    <row r="9249" spans="2:5">
      <c r="B9249"/>
      <c r="C9249"/>
      <c r="E9249"/>
    </row>
    <row r="9250" spans="2:5">
      <c r="B9250"/>
      <c r="C9250"/>
      <c r="E9250"/>
    </row>
    <row r="9251" spans="2:5">
      <c r="B9251"/>
      <c r="C9251"/>
      <c r="E9251"/>
    </row>
    <row r="9252" spans="2:5">
      <c r="B9252"/>
      <c r="C9252"/>
      <c r="E9252"/>
    </row>
    <row r="9253" spans="2:5">
      <c r="B9253"/>
      <c r="C9253"/>
      <c r="E9253"/>
    </row>
    <row r="9254" spans="2:5">
      <c r="B9254"/>
      <c r="C9254"/>
      <c r="E9254"/>
    </row>
    <row r="9255" spans="2:5">
      <c r="B9255"/>
      <c r="C9255"/>
      <c r="E9255"/>
    </row>
    <row r="9256" spans="2:5">
      <c r="B9256"/>
      <c r="C9256"/>
      <c r="E9256"/>
    </row>
    <row r="9257" spans="2:5">
      <c r="B9257"/>
      <c r="C9257"/>
      <c r="E9257"/>
    </row>
    <row r="9258" spans="2:5">
      <c r="B9258"/>
      <c r="C9258"/>
      <c r="E9258"/>
    </row>
    <row r="9259" spans="2:5">
      <c r="B9259"/>
      <c r="C9259"/>
      <c r="E9259"/>
    </row>
    <row r="9260" spans="2:5">
      <c r="B9260"/>
      <c r="C9260"/>
      <c r="E9260"/>
    </row>
    <row r="9261" spans="2:5">
      <c r="B9261"/>
      <c r="C9261"/>
      <c r="E9261"/>
    </row>
    <row r="9262" spans="2:5">
      <c r="B9262"/>
      <c r="C9262"/>
      <c r="E9262"/>
    </row>
    <row r="9263" spans="2:5">
      <c r="B9263"/>
      <c r="C9263"/>
      <c r="E9263"/>
    </row>
    <row r="9264" spans="2:5">
      <c r="B9264"/>
      <c r="C9264"/>
      <c r="E9264"/>
    </row>
    <row r="9265" spans="2:5">
      <c r="B9265"/>
      <c r="C9265"/>
      <c r="E9265"/>
    </row>
    <row r="9266" spans="2:5">
      <c r="B9266"/>
      <c r="C9266"/>
      <c r="E9266"/>
    </row>
    <row r="9267" spans="2:5">
      <c r="B9267"/>
      <c r="C9267"/>
      <c r="E9267"/>
    </row>
    <row r="9268" spans="2:5">
      <c r="B9268"/>
      <c r="C9268"/>
      <c r="E9268"/>
    </row>
    <row r="9269" spans="2:5">
      <c r="B9269"/>
      <c r="C9269"/>
      <c r="E9269"/>
    </row>
    <row r="9270" spans="2:5">
      <c r="B9270"/>
      <c r="C9270"/>
      <c r="E9270"/>
    </row>
    <row r="9271" spans="2:5">
      <c r="B9271"/>
      <c r="C9271"/>
      <c r="E9271"/>
    </row>
    <row r="9272" spans="2:5">
      <c r="B9272"/>
      <c r="C9272"/>
      <c r="E9272"/>
    </row>
    <row r="9273" spans="2:5">
      <c r="B9273"/>
      <c r="C9273"/>
      <c r="E9273"/>
    </row>
    <row r="9274" spans="2:5">
      <c r="B9274"/>
      <c r="C9274"/>
      <c r="E9274"/>
    </row>
    <row r="9275" spans="2:5">
      <c r="B9275"/>
      <c r="C9275"/>
      <c r="E9275"/>
    </row>
    <row r="9276" spans="2:5">
      <c r="B9276"/>
      <c r="C9276"/>
      <c r="E9276"/>
    </row>
    <row r="9277" spans="2:5">
      <c r="B9277"/>
      <c r="C9277"/>
      <c r="E9277"/>
    </row>
    <row r="9278" spans="2:5">
      <c r="B9278"/>
      <c r="C9278"/>
      <c r="E9278"/>
    </row>
    <row r="9279" spans="2:5">
      <c r="B9279"/>
      <c r="C9279"/>
      <c r="E9279"/>
    </row>
    <row r="9280" spans="2:5">
      <c r="B9280"/>
      <c r="C9280"/>
      <c r="E9280"/>
    </row>
    <row r="9281" spans="2:5">
      <c r="B9281"/>
      <c r="C9281"/>
      <c r="E9281"/>
    </row>
    <row r="9282" spans="2:5">
      <c r="B9282"/>
      <c r="C9282"/>
      <c r="E9282"/>
    </row>
    <row r="9283" spans="2:5">
      <c r="B9283"/>
      <c r="C9283"/>
      <c r="E9283"/>
    </row>
    <row r="9284" spans="2:5">
      <c r="B9284"/>
      <c r="C9284"/>
      <c r="E9284"/>
    </row>
    <row r="9285" spans="2:5">
      <c r="B9285"/>
      <c r="C9285"/>
      <c r="E9285"/>
    </row>
    <row r="9286" spans="2:5">
      <c r="B9286"/>
      <c r="C9286"/>
      <c r="E9286"/>
    </row>
    <row r="9287" spans="2:5">
      <c r="B9287"/>
      <c r="C9287"/>
      <c r="E9287"/>
    </row>
    <row r="9288" spans="2:5">
      <c r="B9288"/>
      <c r="C9288"/>
      <c r="E9288"/>
    </row>
    <row r="9289" spans="2:5">
      <c r="B9289"/>
      <c r="C9289"/>
      <c r="E9289"/>
    </row>
    <row r="9290" spans="2:5">
      <c r="B9290"/>
      <c r="C9290"/>
      <c r="E9290"/>
    </row>
    <row r="9291" spans="2:5">
      <c r="B9291"/>
      <c r="C9291"/>
      <c r="E9291"/>
    </row>
    <row r="9292" spans="2:5">
      <c r="B9292"/>
      <c r="C9292"/>
      <c r="E9292"/>
    </row>
    <row r="9293" spans="2:5">
      <c r="B9293"/>
      <c r="C9293"/>
      <c r="E9293"/>
    </row>
    <row r="9294" spans="2:5">
      <c r="B9294"/>
      <c r="C9294"/>
      <c r="E9294"/>
    </row>
    <row r="9295" spans="2:5">
      <c r="B9295"/>
      <c r="C9295"/>
      <c r="E9295"/>
    </row>
    <row r="9296" spans="2:5">
      <c r="B9296"/>
      <c r="C9296"/>
      <c r="E9296"/>
    </row>
    <row r="9297" spans="2:5">
      <c r="B9297"/>
      <c r="C9297"/>
      <c r="E9297"/>
    </row>
    <row r="9298" spans="2:5">
      <c r="B9298"/>
      <c r="C9298"/>
      <c r="E9298"/>
    </row>
    <row r="9299" spans="2:5">
      <c r="B9299"/>
      <c r="C9299"/>
      <c r="E9299"/>
    </row>
    <row r="9300" spans="2:5">
      <c r="B9300"/>
      <c r="C9300"/>
      <c r="E9300"/>
    </row>
    <row r="9301" spans="2:5">
      <c r="B9301"/>
      <c r="C9301"/>
      <c r="E9301"/>
    </row>
    <row r="9302" spans="2:5">
      <c r="B9302"/>
      <c r="C9302"/>
      <c r="E9302"/>
    </row>
    <row r="9303" spans="2:5">
      <c r="B9303"/>
      <c r="C9303"/>
      <c r="E9303"/>
    </row>
    <row r="9304" spans="2:5">
      <c r="B9304"/>
      <c r="C9304"/>
      <c r="E9304"/>
    </row>
    <row r="9305" spans="2:5">
      <c r="B9305"/>
      <c r="C9305"/>
      <c r="E9305"/>
    </row>
    <row r="9306" spans="2:5">
      <c r="B9306"/>
      <c r="C9306"/>
      <c r="E9306"/>
    </row>
    <row r="9307" spans="2:5">
      <c r="B9307"/>
      <c r="C9307"/>
      <c r="E9307"/>
    </row>
    <row r="9308" spans="2:5">
      <c r="B9308"/>
      <c r="C9308"/>
      <c r="E9308"/>
    </row>
    <row r="9309" spans="2:5">
      <c r="B9309"/>
      <c r="C9309"/>
      <c r="E9309"/>
    </row>
    <row r="9310" spans="2:5">
      <c r="B9310"/>
      <c r="C9310"/>
      <c r="E9310"/>
    </row>
    <row r="9311" spans="2:5">
      <c r="B9311"/>
      <c r="C9311"/>
      <c r="E9311"/>
    </row>
    <row r="9312" spans="2:5">
      <c r="B9312"/>
      <c r="C9312"/>
      <c r="E9312"/>
    </row>
    <row r="9313" spans="2:5">
      <c r="B9313"/>
      <c r="C9313"/>
      <c r="E9313"/>
    </row>
    <row r="9314" spans="2:5">
      <c r="B9314"/>
      <c r="C9314"/>
      <c r="E9314"/>
    </row>
    <row r="9315" spans="2:5">
      <c r="B9315"/>
      <c r="C9315"/>
      <c r="E9315"/>
    </row>
    <row r="9316" spans="2:5">
      <c r="B9316"/>
      <c r="C9316"/>
      <c r="E9316"/>
    </row>
    <row r="9317" spans="2:5">
      <c r="B9317"/>
      <c r="C9317"/>
      <c r="E9317"/>
    </row>
    <row r="9318" spans="2:5">
      <c r="B9318"/>
      <c r="C9318"/>
      <c r="E9318"/>
    </row>
    <row r="9319" spans="2:5">
      <c r="B9319"/>
      <c r="C9319"/>
      <c r="E9319"/>
    </row>
    <row r="9320" spans="2:5">
      <c r="B9320"/>
      <c r="C9320"/>
      <c r="E9320"/>
    </row>
    <row r="9321" spans="2:5">
      <c r="B9321"/>
      <c r="C9321"/>
      <c r="E9321"/>
    </row>
    <row r="9322" spans="2:5">
      <c r="B9322"/>
      <c r="C9322"/>
      <c r="E9322"/>
    </row>
    <row r="9323" spans="2:5">
      <c r="B9323"/>
      <c r="C9323"/>
      <c r="E9323"/>
    </row>
    <row r="9324" spans="2:5">
      <c r="B9324"/>
      <c r="C9324"/>
      <c r="E9324"/>
    </row>
    <row r="9325" spans="2:5">
      <c r="B9325"/>
      <c r="C9325"/>
      <c r="E9325"/>
    </row>
    <row r="9326" spans="2:5">
      <c r="B9326"/>
      <c r="C9326"/>
      <c r="E9326"/>
    </row>
    <row r="9327" spans="2:5">
      <c r="B9327"/>
      <c r="C9327"/>
      <c r="E9327"/>
    </row>
    <row r="9328" spans="2:5">
      <c r="B9328"/>
      <c r="C9328"/>
      <c r="E9328"/>
    </row>
    <row r="9329" spans="2:5">
      <c r="B9329"/>
      <c r="C9329"/>
      <c r="E9329"/>
    </row>
    <row r="9330" spans="2:5">
      <c r="B9330"/>
      <c r="C9330"/>
      <c r="E9330"/>
    </row>
    <row r="9331" spans="2:5">
      <c r="B9331"/>
      <c r="C9331"/>
      <c r="E9331"/>
    </row>
    <row r="9332" spans="2:5">
      <c r="B9332"/>
      <c r="C9332"/>
      <c r="E9332"/>
    </row>
    <row r="9333" spans="2:5">
      <c r="B9333"/>
      <c r="C9333"/>
      <c r="E9333"/>
    </row>
    <row r="9334" spans="2:5">
      <c r="B9334"/>
      <c r="C9334"/>
      <c r="E9334"/>
    </row>
    <row r="9335" spans="2:5">
      <c r="B9335"/>
      <c r="C9335"/>
      <c r="E9335"/>
    </row>
    <row r="9336" spans="2:5">
      <c r="B9336"/>
      <c r="C9336"/>
      <c r="E9336"/>
    </row>
    <row r="9337" spans="2:5">
      <c r="B9337"/>
      <c r="C9337"/>
      <c r="E9337"/>
    </row>
    <row r="9338" spans="2:5">
      <c r="B9338"/>
      <c r="C9338"/>
      <c r="E9338"/>
    </row>
    <row r="9339" spans="2:5">
      <c r="B9339"/>
      <c r="C9339"/>
      <c r="E9339"/>
    </row>
    <row r="9340" spans="2:5">
      <c r="B9340"/>
      <c r="C9340"/>
      <c r="E9340"/>
    </row>
    <row r="9341" spans="2:5">
      <c r="B9341"/>
      <c r="C9341"/>
      <c r="E9341"/>
    </row>
    <row r="9342" spans="2:5">
      <c r="B9342"/>
      <c r="C9342"/>
      <c r="E9342"/>
    </row>
    <row r="9343" spans="2:5">
      <c r="B9343"/>
      <c r="C9343"/>
      <c r="E9343"/>
    </row>
    <row r="9344" spans="2:5">
      <c r="B9344"/>
      <c r="C9344"/>
      <c r="E9344"/>
    </row>
    <row r="9345" spans="2:5">
      <c r="B9345"/>
      <c r="C9345"/>
      <c r="E9345"/>
    </row>
    <row r="9346" spans="2:5">
      <c r="B9346"/>
      <c r="C9346"/>
      <c r="E9346"/>
    </row>
    <row r="9347" spans="2:5">
      <c r="B9347"/>
      <c r="C9347"/>
      <c r="E9347"/>
    </row>
    <row r="9348" spans="2:5">
      <c r="B9348"/>
      <c r="C9348"/>
      <c r="E9348"/>
    </row>
    <row r="9349" spans="2:5">
      <c r="B9349"/>
      <c r="C9349"/>
      <c r="E9349"/>
    </row>
    <row r="9350" spans="2:5">
      <c r="B9350"/>
      <c r="C9350"/>
      <c r="E9350"/>
    </row>
    <row r="9351" spans="2:5">
      <c r="B9351"/>
      <c r="C9351"/>
      <c r="E9351"/>
    </row>
    <row r="9352" spans="2:5">
      <c r="B9352"/>
      <c r="C9352"/>
      <c r="E9352"/>
    </row>
    <row r="9353" spans="2:5">
      <c r="B9353"/>
      <c r="C9353"/>
      <c r="E9353"/>
    </row>
    <row r="9354" spans="2:5">
      <c r="B9354"/>
      <c r="C9354"/>
      <c r="E9354"/>
    </row>
    <row r="9355" spans="2:5">
      <c r="B9355"/>
      <c r="C9355"/>
      <c r="E9355"/>
    </row>
    <row r="9356" spans="2:5">
      <c r="B9356"/>
      <c r="C9356"/>
      <c r="E9356"/>
    </row>
    <row r="9357" spans="2:5">
      <c r="B9357"/>
      <c r="C9357"/>
      <c r="E9357"/>
    </row>
    <row r="9358" spans="2:5">
      <c r="B9358"/>
      <c r="C9358"/>
      <c r="E9358"/>
    </row>
    <row r="9359" spans="2:5">
      <c r="B9359"/>
      <c r="C9359"/>
      <c r="E9359"/>
    </row>
    <row r="9360" spans="2:5">
      <c r="B9360"/>
      <c r="C9360"/>
      <c r="E9360"/>
    </row>
    <row r="9361" spans="2:5">
      <c r="B9361"/>
      <c r="C9361"/>
      <c r="E9361"/>
    </row>
    <row r="9362" spans="2:5">
      <c r="B9362"/>
      <c r="C9362"/>
      <c r="E9362"/>
    </row>
    <row r="9363" spans="2:5">
      <c r="B9363"/>
      <c r="C9363"/>
      <c r="E9363"/>
    </row>
    <row r="9364" spans="2:5">
      <c r="B9364"/>
      <c r="C9364"/>
      <c r="E9364"/>
    </row>
    <row r="9365" spans="2:5">
      <c r="B9365"/>
      <c r="C9365"/>
      <c r="E9365"/>
    </row>
    <row r="9366" spans="2:5">
      <c r="B9366"/>
      <c r="C9366"/>
      <c r="E9366"/>
    </row>
    <row r="9367" spans="2:5">
      <c r="B9367"/>
      <c r="C9367"/>
      <c r="E9367"/>
    </row>
    <row r="9368" spans="2:5">
      <c r="B9368"/>
      <c r="C9368"/>
      <c r="E9368"/>
    </row>
    <row r="9369" spans="2:5">
      <c r="B9369"/>
      <c r="C9369"/>
      <c r="E9369"/>
    </row>
    <row r="9370" spans="2:5">
      <c r="B9370"/>
      <c r="C9370"/>
      <c r="E9370"/>
    </row>
    <row r="9371" spans="2:5">
      <c r="B9371"/>
      <c r="C9371"/>
      <c r="E9371"/>
    </row>
    <row r="9372" spans="2:5">
      <c r="B9372"/>
      <c r="C9372"/>
      <c r="E9372"/>
    </row>
    <row r="9373" spans="2:5">
      <c r="B9373"/>
      <c r="C9373"/>
      <c r="E9373"/>
    </row>
    <row r="9374" spans="2:5">
      <c r="B9374"/>
      <c r="C9374"/>
      <c r="E9374"/>
    </row>
    <row r="9375" spans="2:5">
      <c r="B9375"/>
      <c r="C9375"/>
      <c r="E9375"/>
    </row>
    <row r="9376" spans="2:5">
      <c r="B9376"/>
      <c r="C9376"/>
      <c r="E9376"/>
    </row>
    <row r="9377" spans="2:5">
      <c r="B9377"/>
      <c r="C9377"/>
      <c r="E9377"/>
    </row>
    <row r="9378" spans="2:5">
      <c r="B9378"/>
      <c r="C9378"/>
      <c r="E9378"/>
    </row>
    <row r="9379" spans="2:5">
      <c r="B9379"/>
      <c r="C9379"/>
      <c r="E9379"/>
    </row>
    <row r="9380" spans="2:5">
      <c r="B9380"/>
      <c r="C9380"/>
      <c r="E9380"/>
    </row>
    <row r="9381" spans="2:5">
      <c r="B9381"/>
      <c r="C9381"/>
      <c r="E9381"/>
    </row>
    <row r="9382" spans="2:5">
      <c r="B9382"/>
      <c r="C9382"/>
      <c r="E9382"/>
    </row>
    <row r="9383" spans="2:5">
      <c r="B9383"/>
      <c r="C9383"/>
      <c r="E9383"/>
    </row>
    <row r="9384" spans="2:5">
      <c r="B9384"/>
      <c r="C9384"/>
      <c r="E9384"/>
    </row>
    <row r="9385" spans="2:5">
      <c r="B9385"/>
      <c r="C9385"/>
      <c r="E9385"/>
    </row>
    <row r="9386" spans="2:5">
      <c r="B9386"/>
      <c r="C9386"/>
      <c r="E9386"/>
    </row>
    <row r="9387" spans="2:5">
      <c r="B9387"/>
      <c r="C9387"/>
      <c r="E9387"/>
    </row>
    <row r="9388" spans="2:5">
      <c r="B9388"/>
      <c r="C9388"/>
      <c r="E9388"/>
    </row>
    <row r="9389" spans="2:5">
      <c r="B9389"/>
      <c r="C9389"/>
      <c r="E9389"/>
    </row>
    <row r="9390" spans="2:5">
      <c r="B9390"/>
      <c r="C9390"/>
      <c r="E9390"/>
    </row>
    <row r="9391" spans="2:5">
      <c r="B9391"/>
      <c r="C9391"/>
      <c r="E9391"/>
    </row>
    <row r="9392" spans="2:5">
      <c r="B9392"/>
      <c r="C9392"/>
      <c r="E9392"/>
    </row>
    <row r="9393" spans="2:5">
      <c r="B9393"/>
      <c r="C9393"/>
      <c r="E9393"/>
    </row>
    <row r="9394" spans="2:5">
      <c r="B9394"/>
      <c r="C9394"/>
      <c r="E9394"/>
    </row>
    <row r="9395" spans="2:5">
      <c r="B9395"/>
      <c r="C9395"/>
      <c r="E9395"/>
    </row>
    <row r="9396" spans="2:5">
      <c r="B9396"/>
      <c r="C9396"/>
      <c r="E9396"/>
    </row>
    <row r="9397" spans="2:5">
      <c r="B9397"/>
      <c r="C9397"/>
      <c r="E9397"/>
    </row>
    <row r="9398" spans="2:5">
      <c r="B9398"/>
      <c r="C9398"/>
      <c r="E9398"/>
    </row>
    <row r="9399" spans="2:5">
      <c r="B9399"/>
      <c r="C9399"/>
      <c r="E9399"/>
    </row>
    <row r="9400" spans="2:5">
      <c r="B9400"/>
      <c r="C9400"/>
      <c r="E9400"/>
    </row>
    <row r="9401" spans="2:5">
      <c r="B9401"/>
      <c r="C9401"/>
      <c r="E9401"/>
    </row>
    <row r="9402" spans="2:5">
      <c r="B9402"/>
      <c r="C9402"/>
      <c r="E9402"/>
    </row>
    <row r="9403" spans="2:5">
      <c r="B9403"/>
      <c r="C9403"/>
      <c r="E9403"/>
    </row>
    <row r="9404" spans="2:5">
      <c r="B9404"/>
      <c r="C9404"/>
      <c r="E9404"/>
    </row>
    <row r="9405" spans="2:5">
      <c r="B9405"/>
      <c r="C9405"/>
      <c r="E9405"/>
    </row>
    <row r="9406" spans="2:5">
      <c r="B9406"/>
      <c r="C9406"/>
      <c r="E9406"/>
    </row>
    <row r="9407" spans="2:5">
      <c r="B9407"/>
      <c r="C9407"/>
      <c r="E9407"/>
    </row>
    <row r="9408" spans="2:5">
      <c r="B9408"/>
      <c r="C9408"/>
      <c r="E9408"/>
    </row>
    <row r="9409" spans="2:5">
      <c r="B9409"/>
      <c r="C9409"/>
      <c r="E9409"/>
    </row>
    <row r="9410" spans="2:5">
      <c r="B9410"/>
      <c r="C9410"/>
      <c r="E9410"/>
    </row>
    <row r="9411" spans="2:5">
      <c r="B9411"/>
      <c r="C9411"/>
      <c r="E9411"/>
    </row>
    <row r="9412" spans="2:5">
      <c r="B9412"/>
      <c r="C9412"/>
      <c r="E9412"/>
    </row>
    <row r="9413" spans="2:5">
      <c r="B9413"/>
      <c r="C9413"/>
      <c r="E9413"/>
    </row>
    <row r="9414" spans="2:5">
      <c r="B9414"/>
      <c r="C9414"/>
      <c r="E9414"/>
    </row>
    <row r="9415" spans="2:5">
      <c r="B9415"/>
      <c r="C9415"/>
      <c r="E9415"/>
    </row>
    <row r="9416" spans="2:5">
      <c r="B9416"/>
      <c r="C9416"/>
      <c r="E9416"/>
    </row>
    <row r="9417" spans="2:5">
      <c r="B9417"/>
      <c r="C9417"/>
      <c r="E9417"/>
    </row>
    <row r="9418" spans="2:5">
      <c r="B9418"/>
      <c r="C9418"/>
      <c r="E9418"/>
    </row>
    <row r="9419" spans="2:5">
      <c r="B9419"/>
      <c r="C9419"/>
      <c r="E9419"/>
    </row>
    <row r="9420" spans="2:5">
      <c r="B9420"/>
      <c r="C9420"/>
      <c r="E9420"/>
    </row>
    <row r="9421" spans="2:5">
      <c r="B9421"/>
      <c r="C9421"/>
      <c r="E9421"/>
    </row>
    <row r="9422" spans="2:5">
      <c r="B9422"/>
      <c r="C9422"/>
      <c r="E9422"/>
    </row>
    <row r="9423" spans="2:5">
      <c r="B9423"/>
      <c r="C9423"/>
      <c r="E9423"/>
    </row>
    <row r="9424" spans="2:5">
      <c r="B9424"/>
      <c r="C9424"/>
      <c r="E9424"/>
    </row>
    <row r="9425" spans="2:5">
      <c r="B9425"/>
      <c r="C9425"/>
      <c r="E9425"/>
    </row>
    <row r="9426" spans="2:5">
      <c r="B9426"/>
      <c r="C9426"/>
      <c r="E9426"/>
    </row>
    <row r="9427" spans="2:5">
      <c r="B9427"/>
      <c r="C9427"/>
      <c r="E9427"/>
    </row>
    <row r="9428" spans="2:5">
      <c r="B9428"/>
      <c r="C9428"/>
      <c r="E9428"/>
    </row>
    <row r="9429" spans="2:5">
      <c r="B9429"/>
      <c r="C9429"/>
      <c r="E9429"/>
    </row>
    <row r="9430" spans="2:5">
      <c r="B9430"/>
      <c r="C9430"/>
      <c r="E9430"/>
    </row>
    <row r="9431" spans="2:5">
      <c r="B9431"/>
      <c r="C9431"/>
      <c r="E9431"/>
    </row>
    <row r="9432" spans="2:5">
      <c r="B9432"/>
      <c r="C9432"/>
      <c r="E9432"/>
    </row>
    <row r="9433" spans="2:5">
      <c r="B9433"/>
      <c r="C9433"/>
      <c r="E9433"/>
    </row>
    <row r="9434" spans="2:5">
      <c r="B9434"/>
      <c r="C9434"/>
      <c r="E9434"/>
    </row>
    <row r="9435" spans="2:5">
      <c r="B9435"/>
      <c r="C9435"/>
      <c r="E9435"/>
    </row>
    <row r="9436" spans="2:5">
      <c r="B9436"/>
      <c r="C9436"/>
      <c r="E9436"/>
    </row>
    <row r="9437" spans="2:5">
      <c r="B9437"/>
      <c r="C9437"/>
      <c r="E9437"/>
    </row>
    <row r="9438" spans="2:5">
      <c r="B9438"/>
      <c r="C9438"/>
      <c r="E9438"/>
    </row>
    <row r="9439" spans="2:5">
      <c r="B9439"/>
      <c r="C9439"/>
      <c r="E9439"/>
    </row>
    <row r="9440" spans="2:5">
      <c r="B9440"/>
      <c r="C9440"/>
      <c r="E9440"/>
    </row>
    <row r="9441" spans="2:5">
      <c r="B9441"/>
      <c r="C9441"/>
      <c r="E9441"/>
    </row>
    <row r="9442" spans="2:5">
      <c r="B9442"/>
      <c r="C9442"/>
      <c r="E9442"/>
    </row>
    <row r="9443" spans="2:5">
      <c r="B9443"/>
      <c r="C9443"/>
      <c r="E9443"/>
    </row>
    <row r="9444" spans="2:5">
      <c r="B9444"/>
      <c r="C9444"/>
      <c r="E9444"/>
    </row>
    <row r="9445" spans="2:5">
      <c r="B9445"/>
      <c r="C9445"/>
      <c r="E9445"/>
    </row>
    <row r="9446" spans="2:5">
      <c r="B9446"/>
      <c r="C9446"/>
      <c r="E9446"/>
    </row>
    <row r="9447" spans="2:5">
      <c r="B9447"/>
      <c r="C9447"/>
      <c r="E9447"/>
    </row>
    <row r="9448" spans="2:5">
      <c r="B9448"/>
      <c r="C9448"/>
      <c r="E9448"/>
    </row>
    <row r="9449" spans="2:5">
      <c r="B9449"/>
      <c r="C9449"/>
      <c r="E9449"/>
    </row>
    <row r="9450" spans="2:5">
      <c r="B9450"/>
      <c r="C9450"/>
      <c r="E9450"/>
    </row>
    <row r="9451" spans="2:5">
      <c r="B9451"/>
      <c r="C9451"/>
      <c r="E9451"/>
    </row>
    <row r="9452" spans="2:5">
      <c r="B9452"/>
      <c r="C9452"/>
      <c r="E9452"/>
    </row>
    <row r="9453" spans="2:5">
      <c r="B9453"/>
      <c r="C9453"/>
      <c r="E9453"/>
    </row>
    <row r="9454" spans="2:5">
      <c r="B9454"/>
      <c r="C9454"/>
      <c r="E9454"/>
    </row>
    <row r="9455" spans="2:5">
      <c r="B9455"/>
      <c r="C9455"/>
      <c r="E9455"/>
    </row>
    <row r="9456" spans="2:5">
      <c r="B9456"/>
      <c r="C9456"/>
      <c r="E9456"/>
    </row>
    <row r="9457" spans="2:5">
      <c r="B9457"/>
      <c r="C9457"/>
      <c r="E9457"/>
    </row>
    <row r="9458" spans="2:5">
      <c r="B9458"/>
      <c r="C9458"/>
      <c r="E9458"/>
    </row>
    <row r="9459" spans="2:5">
      <c r="B9459"/>
      <c r="C9459"/>
      <c r="E9459"/>
    </row>
    <row r="9460" spans="2:5">
      <c r="B9460"/>
      <c r="C9460"/>
      <c r="E9460"/>
    </row>
    <row r="9461" spans="2:5">
      <c r="B9461"/>
      <c r="C9461"/>
      <c r="E9461"/>
    </row>
    <row r="9462" spans="2:5">
      <c r="B9462"/>
      <c r="C9462"/>
      <c r="E9462"/>
    </row>
    <row r="9463" spans="2:5">
      <c r="B9463"/>
      <c r="C9463"/>
      <c r="E9463"/>
    </row>
    <row r="9464" spans="2:5">
      <c r="B9464"/>
      <c r="C9464"/>
      <c r="E9464"/>
    </row>
    <row r="9465" spans="2:5">
      <c r="B9465"/>
      <c r="C9465"/>
      <c r="E9465"/>
    </row>
    <row r="9466" spans="2:5">
      <c r="B9466"/>
      <c r="C9466"/>
      <c r="E9466"/>
    </row>
    <row r="9467" spans="2:5">
      <c r="B9467"/>
      <c r="C9467"/>
      <c r="E9467"/>
    </row>
    <row r="9468" spans="2:5">
      <c r="B9468"/>
      <c r="C9468"/>
      <c r="E9468"/>
    </row>
    <row r="9469" spans="2:5">
      <c r="B9469"/>
      <c r="C9469"/>
      <c r="E9469"/>
    </row>
    <row r="9470" spans="2:5">
      <c r="B9470"/>
      <c r="C9470"/>
      <c r="E9470"/>
    </row>
    <row r="9471" spans="2:5">
      <c r="B9471"/>
      <c r="C9471"/>
      <c r="E9471"/>
    </row>
    <row r="9472" spans="2:5">
      <c r="B9472"/>
      <c r="C9472"/>
      <c r="E9472"/>
    </row>
    <row r="9473" spans="2:5">
      <c r="B9473"/>
      <c r="C9473"/>
      <c r="E9473"/>
    </row>
    <row r="9474" spans="2:5">
      <c r="B9474"/>
      <c r="C9474"/>
      <c r="E9474"/>
    </row>
    <row r="9475" spans="2:5">
      <c r="B9475"/>
      <c r="C9475"/>
      <c r="E9475"/>
    </row>
    <row r="9476" spans="2:5">
      <c r="B9476"/>
      <c r="C9476"/>
      <c r="E9476"/>
    </row>
    <row r="9477" spans="2:5">
      <c r="B9477"/>
      <c r="C9477"/>
      <c r="E9477"/>
    </row>
    <row r="9478" spans="2:5">
      <c r="B9478"/>
      <c r="C9478"/>
      <c r="E9478"/>
    </row>
    <row r="9479" spans="2:5">
      <c r="B9479"/>
      <c r="C9479"/>
      <c r="E9479"/>
    </row>
    <row r="9480" spans="2:5">
      <c r="B9480"/>
      <c r="C9480"/>
      <c r="E9480"/>
    </row>
    <row r="9481" spans="2:5">
      <c r="B9481"/>
      <c r="C9481"/>
      <c r="E9481"/>
    </row>
    <row r="9482" spans="2:5">
      <c r="B9482"/>
      <c r="C9482"/>
      <c r="E9482"/>
    </row>
    <row r="9483" spans="2:5">
      <c r="B9483"/>
      <c r="C9483"/>
      <c r="E9483"/>
    </row>
    <row r="9484" spans="2:5">
      <c r="B9484"/>
      <c r="C9484"/>
      <c r="E9484"/>
    </row>
    <row r="9485" spans="2:5">
      <c r="B9485"/>
      <c r="C9485"/>
      <c r="E9485"/>
    </row>
    <row r="9486" spans="2:5">
      <c r="B9486"/>
      <c r="C9486"/>
      <c r="E9486"/>
    </row>
    <row r="9487" spans="2:5">
      <c r="B9487"/>
      <c r="C9487"/>
      <c r="E9487"/>
    </row>
    <row r="9488" spans="2:5">
      <c r="B9488"/>
      <c r="C9488"/>
      <c r="E9488"/>
    </row>
    <row r="9489" spans="2:5">
      <c r="B9489"/>
      <c r="C9489"/>
      <c r="E9489"/>
    </row>
    <row r="9490" spans="2:5">
      <c r="B9490"/>
      <c r="C9490"/>
      <c r="E9490"/>
    </row>
    <row r="9491" spans="2:5">
      <c r="B9491"/>
      <c r="C9491"/>
      <c r="E9491"/>
    </row>
    <row r="9492" spans="2:5">
      <c r="B9492"/>
      <c r="C9492"/>
      <c r="E9492"/>
    </row>
    <row r="9493" spans="2:5">
      <c r="B9493"/>
      <c r="C9493"/>
      <c r="E9493"/>
    </row>
    <row r="9494" spans="2:5">
      <c r="B9494"/>
      <c r="C9494"/>
      <c r="E9494"/>
    </row>
    <row r="9495" spans="2:5">
      <c r="B9495"/>
      <c r="C9495"/>
      <c r="E9495"/>
    </row>
    <row r="9496" spans="2:5">
      <c r="B9496"/>
      <c r="C9496"/>
      <c r="E9496"/>
    </row>
    <row r="9497" spans="2:5">
      <c r="B9497"/>
      <c r="C9497"/>
      <c r="E9497"/>
    </row>
    <row r="9498" spans="2:5">
      <c r="B9498"/>
      <c r="C9498"/>
      <c r="E9498"/>
    </row>
    <row r="9499" spans="2:5">
      <c r="B9499"/>
      <c r="C9499"/>
      <c r="E9499"/>
    </row>
    <row r="9500" spans="2:5">
      <c r="B9500"/>
      <c r="C9500"/>
      <c r="E9500"/>
    </row>
    <row r="9501" spans="2:5">
      <c r="B9501"/>
      <c r="C9501"/>
      <c r="E9501"/>
    </row>
    <row r="9502" spans="2:5">
      <c r="B9502"/>
      <c r="C9502"/>
      <c r="E9502"/>
    </row>
    <row r="9503" spans="2:5">
      <c r="B9503"/>
      <c r="C9503"/>
      <c r="E9503"/>
    </row>
    <row r="9504" spans="2:5">
      <c r="B9504"/>
      <c r="C9504"/>
      <c r="E9504"/>
    </row>
    <row r="9505" spans="2:5">
      <c r="B9505"/>
      <c r="C9505"/>
      <c r="E9505"/>
    </row>
    <row r="9506" spans="2:5">
      <c r="B9506"/>
      <c r="C9506"/>
      <c r="E9506"/>
    </row>
    <row r="9507" spans="2:5">
      <c r="B9507"/>
      <c r="C9507"/>
      <c r="E9507"/>
    </row>
    <row r="9508" spans="2:5">
      <c r="B9508"/>
      <c r="C9508"/>
      <c r="E9508"/>
    </row>
    <row r="9509" spans="2:5">
      <c r="B9509"/>
      <c r="C9509"/>
      <c r="E9509"/>
    </row>
    <row r="9510" spans="2:5">
      <c r="B9510"/>
      <c r="C9510"/>
      <c r="E9510"/>
    </row>
    <row r="9511" spans="2:5">
      <c r="B9511"/>
      <c r="C9511"/>
      <c r="E9511"/>
    </row>
    <row r="9512" spans="2:5">
      <c r="B9512"/>
      <c r="C9512"/>
      <c r="E9512"/>
    </row>
    <row r="9513" spans="2:5">
      <c r="B9513"/>
      <c r="C9513"/>
      <c r="E9513"/>
    </row>
    <row r="9514" spans="2:5">
      <c r="B9514"/>
      <c r="C9514"/>
      <c r="E9514"/>
    </row>
    <row r="9515" spans="2:5">
      <c r="B9515"/>
      <c r="C9515"/>
      <c r="E9515"/>
    </row>
    <row r="9516" spans="2:5">
      <c r="B9516"/>
      <c r="C9516"/>
      <c r="E9516"/>
    </row>
    <row r="9517" spans="2:5">
      <c r="B9517"/>
      <c r="C9517"/>
      <c r="E9517"/>
    </row>
    <row r="9518" spans="2:5">
      <c r="B9518"/>
      <c r="C9518"/>
      <c r="E9518"/>
    </row>
    <row r="9519" spans="2:5">
      <c r="B9519"/>
      <c r="C9519"/>
      <c r="E9519"/>
    </row>
    <row r="9520" spans="2:5">
      <c r="B9520"/>
      <c r="C9520"/>
      <c r="E9520"/>
    </row>
    <row r="9521" spans="2:5">
      <c r="B9521"/>
      <c r="C9521"/>
      <c r="E9521"/>
    </row>
    <row r="9522" spans="2:5">
      <c r="B9522"/>
      <c r="C9522"/>
      <c r="E9522"/>
    </row>
    <row r="9523" spans="2:5">
      <c r="B9523"/>
      <c r="C9523"/>
      <c r="E9523"/>
    </row>
    <row r="9524" spans="2:5">
      <c r="B9524"/>
      <c r="C9524"/>
      <c r="E9524"/>
    </row>
    <row r="9525" spans="2:5">
      <c r="B9525"/>
      <c r="C9525"/>
      <c r="E9525"/>
    </row>
    <row r="9526" spans="2:5">
      <c r="B9526"/>
      <c r="C9526"/>
      <c r="E9526"/>
    </row>
    <row r="9527" spans="2:5">
      <c r="B9527"/>
      <c r="C9527"/>
      <c r="E9527"/>
    </row>
    <row r="9528" spans="2:5">
      <c r="B9528"/>
      <c r="C9528"/>
      <c r="E9528"/>
    </row>
    <row r="9529" spans="2:5">
      <c r="B9529"/>
      <c r="C9529"/>
      <c r="E9529"/>
    </row>
    <row r="9530" spans="2:5">
      <c r="B9530"/>
      <c r="C9530"/>
      <c r="E9530"/>
    </row>
    <row r="9531" spans="2:5">
      <c r="B9531"/>
      <c r="C9531"/>
      <c r="E9531"/>
    </row>
    <row r="9532" spans="2:5">
      <c r="B9532"/>
      <c r="C9532"/>
      <c r="E9532"/>
    </row>
    <row r="9533" spans="2:5">
      <c r="B9533"/>
      <c r="C9533"/>
      <c r="E9533"/>
    </row>
    <row r="9534" spans="2:5">
      <c r="B9534"/>
      <c r="C9534"/>
      <c r="E9534"/>
    </row>
    <row r="9535" spans="2:5">
      <c r="B9535"/>
      <c r="C9535"/>
      <c r="E9535"/>
    </row>
    <row r="9536" spans="2:5">
      <c r="B9536"/>
      <c r="C9536"/>
      <c r="E9536"/>
    </row>
    <row r="9537" spans="2:5">
      <c r="B9537"/>
      <c r="C9537"/>
      <c r="E9537"/>
    </row>
    <row r="9538" spans="2:5">
      <c r="B9538"/>
      <c r="C9538"/>
      <c r="E9538"/>
    </row>
    <row r="9539" spans="2:5">
      <c r="B9539"/>
      <c r="C9539"/>
      <c r="E9539"/>
    </row>
    <row r="9540" spans="2:5">
      <c r="B9540"/>
      <c r="C9540"/>
      <c r="E9540"/>
    </row>
    <row r="9541" spans="2:5">
      <c r="B9541"/>
      <c r="C9541"/>
      <c r="E9541"/>
    </row>
    <row r="9542" spans="2:5">
      <c r="B9542"/>
      <c r="C9542"/>
      <c r="E9542"/>
    </row>
    <row r="9543" spans="2:5">
      <c r="B9543"/>
      <c r="C9543"/>
      <c r="E9543"/>
    </row>
    <row r="9544" spans="2:5">
      <c r="B9544"/>
      <c r="C9544"/>
      <c r="E9544"/>
    </row>
    <row r="9545" spans="2:5">
      <c r="B9545"/>
      <c r="C9545"/>
      <c r="E9545"/>
    </row>
    <row r="9546" spans="2:5">
      <c r="B9546"/>
      <c r="C9546"/>
      <c r="E9546"/>
    </row>
    <row r="9547" spans="2:5">
      <c r="B9547"/>
      <c r="C9547"/>
      <c r="E9547"/>
    </row>
    <row r="9548" spans="2:5">
      <c r="B9548"/>
      <c r="C9548"/>
      <c r="E9548"/>
    </row>
    <row r="9549" spans="2:5">
      <c r="B9549"/>
      <c r="C9549"/>
      <c r="E9549"/>
    </row>
    <row r="9550" spans="2:5">
      <c r="B9550"/>
      <c r="C9550"/>
      <c r="E9550"/>
    </row>
    <row r="9551" spans="2:5">
      <c r="B9551"/>
      <c r="C9551"/>
      <c r="E9551"/>
    </row>
    <row r="9552" spans="2:5">
      <c r="B9552"/>
      <c r="C9552"/>
      <c r="E9552"/>
    </row>
    <row r="9553" spans="2:5">
      <c r="B9553"/>
      <c r="C9553"/>
      <c r="E9553"/>
    </row>
    <row r="9554" spans="2:5">
      <c r="B9554"/>
      <c r="C9554"/>
      <c r="E9554"/>
    </row>
    <row r="9555" spans="2:5">
      <c r="B9555"/>
      <c r="C9555"/>
      <c r="E9555"/>
    </row>
    <row r="9556" spans="2:5">
      <c r="B9556"/>
      <c r="C9556"/>
      <c r="E9556"/>
    </row>
    <row r="9557" spans="2:5">
      <c r="B9557"/>
      <c r="C9557"/>
      <c r="E9557"/>
    </row>
    <row r="9558" spans="2:5">
      <c r="B9558"/>
      <c r="C9558"/>
      <c r="E9558"/>
    </row>
    <row r="9559" spans="2:5">
      <c r="B9559"/>
      <c r="C9559"/>
      <c r="E9559"/>
    </row>
    <row r="9560" spans="2:5">
      <c r="B9560"/>
      <c r="C9560"/>
      <c r="E9560"/>
    </row>
    <row r="9561" spans="2:5">
      <c r="B9561"/>
      <c r="C9561"/>
      <c r="E9561"/>
    </row>
    <row r="9562" spans="2:5">
      <c r="B9562"/>
      <c r="C9562"/>
      <c r="E9562"/>
    </row>
    <row r="9563" spans="2:5">
      <c r="B9563"/>
      <c r="C9563"/>
      <c r="E9563"/>
    </row>
    <row r="9564" spans="2:5">
      <c r="B9564"/>
      <c r="C9564"/>
      <c r="E9564"/>
    </row>
    <row r="9565" spans="2:5">
      <c r="B9565"/>
      <c r="C9565"/>
      <c r="E9565"/>
    </row>
    <row r="9566" spans="2:5">
      <c r="B9566"/>
      <c r="C9566"/>
      <c r="E9566"/>
    </row>
    <row r="9567" spans="2:5">
      <c r="B9567"/>
      <c r="C9567"/>
      <c r="E9567"/>
    </row>
    <row r="9568" spans="2:5">
      <c r="B9568"/>
      <c r="C9568"/>
      <c r="E9568"/>
    </row>
    <row r="9569" spans="2:5">
      <c r="B9569"/>
      <c r="C9569"/>
      <c r="E9569"/>
    </row>
    <row r="9570" spans="2:5">
      <c r="B9570"/>
      <c r="C9570"/>
      <c r="E9570"/>
    </row>
    <row r="9571" spans="2:5">
      <c r="B9571"/>
      <c r="C9571"/>
      <c r="E9571"/>
    </row>
    <row r="9572" spans="2:5">
      <c r="B9572"/>
      <c r="C9572"/>
      <c r="E9572"/>
    </row>
    <row r="9573" spans="2:5">
      <c r="B9573"/>
      <c r="C9573"/>
      <c r="E9573"/>
    </row>
    <row r="9574" spans="2:5">
      <c r="B9574"/>
      <c r="C9574"/>
      <c r="E9574"/>
    </row>
    <row r="9575" spans="2:5">
      <c r="B9575"/>
      <c r="C9575"/>
      <c r="E9575"/>
    </row>
    <row r="9576" spans="2:5">
      <c r="B9576"/>
      <c r="C9576"/>
      <c r="E9576"/>
    </row>
    <row r="9577" spans="2:5">
      <c r="B9577"/>
      <c r="C9577"/>
      <c r="E9577"/>
    </row>
    <row r="9578" spans="2:5">
      <c r="B9578"/>
      <c r="C9578"/>
      <c r="E9578"/>
    </row>
    <row r="9579" spans="2:5">
      <c r="B9579"/>
      <c r="C9579"/>
      <c r="E9579"/>
    </row>
    <row r="9580" spans="2:5">
      <c r="B9580"/>
      <c r="C9580"/>
      <c r="E9580"/>
    </row>
    <row r="9581" spans="2:5">
      <c r="B9581"/>
      <c r="C9581"/>
      <c r="E9581"/>
    </row>
    <row r="9582" spans="2:5">
      <c r="B9582"/>
      <c r="C9582"/>
      <c r="E9582"/>
    </row>
    <row r="9583" spans="2:5">
      <c r="B9583"/>
      <c r="C9583"/>
      <c r="E9583"/>
    </row>
    <row r="9584" spans="2:5">
      <c r="B9584"/>
      <c r="C9584"/>
      <c r="E9584"/>
    </row>
    <row r="9585" spans="2:5">
      <c r="B9585"/>
      <c r="C9585"/>
      <c r="E9585"/>
    </row>
    <row r="9586" spans="2:5">
      <c r="B9586"/>
      <c r="C9586"/>
      <c r="E9586"/>
    </row>
    <row r="9587" spans="2:5">
      <c r="B9587"/>
      <c r="C9587"/>
      <c r="E9587"/>
    </row>
    <row r="9588" spans="2:5">
      <c r="B9588"/>
      <c r="C9588"/>
      <c r="E9588"/>
    </row>
    <row r="9589" spans="2:5">
      <c r="B9589"/>
      <c r="C9589"/>
      <c r="E9589"/>
    </row>
    <row r="9590" spans="2:5">
      <c r="B9590"/>
      <c r="C9590"/>
      <c r="E9590"/>
    </row>
    <row r="9591" spans="2:5">
      <c r="B9591"/>
      <c r="C9591"/>
      <c r="E9591"/>
    </row>
    <row r="9592" spans="2:5">
      <c r="B9592"/>
      <c r="C9592"/>
      <c r="E9592"/>
    </row>
    <row r="9593" spans="2:5">
      <c r="B9593"/>
      <c r="C9593"/>
      <c r="E9593"/>
    </row>
    <row r="9594" spans="2:5">
      <c r="B9594"/>
      <c r="C9594"/>
      <c r="E9594"/>
    </row>
    <row r="9595" spans="2:5">
      <c r="B9595"/>
      <c r="C9595"/>
      <c r="E9595"/>
    </row>
    <row r="9596" spans="2:5">
      <c r="B9596"/>
      <c r="C9596"/>
      <c r="E9596"/>
    </row>
    <row r="9597" spans="2:5">
      <c r="B9597"/>
      <c r="C9597"/>
      <c r="E9597"/>
    </row>
    <row r="9598" spans="2:5">
      <c r="B9598"/>
      <c r="C9598"/>
      <c r="E9598"/>
    </row>
    <row r="9599" spans="2:5">
      <c r="B9599"/>
      <c r="C9599"/>
      <c r="E9599"/>
    </row>
    <row r="9600" spans="2:5">
      <c r="B9600"/>
      <c r="C9600"/>
      <c r="E9600"/>
    </row>
    <row r="9601" spans="2:5">
      <c r="B9601"/>
      <c r="C9601"/>
      <c r="E9601"/>
    </row>
    <row r="9602" spans="2:5">
      <c r="B9602"/>
      <c r="C9602"/>
      <c r="E9602"/>
    </row>
    <row r="9603" spans="2:5">
      <c r="B9603"/>
      <c r="C9603"/>
      <c r="E9603"/>
    </row>
    <row r="9604" spans="2:5">
      <c r="B9604"/>
      <c r="C9604"/>
      <c r="E9604"/>
    </row>
    <row r="9605" spans="2:5">
      <c r="B9605"/>
      <c r="C9605"/>
      <c r="E9605"/>
    </row>
    <row r="9606" spans="2:5">
      <c r="B9606"/>
      <c r="C9606"/>
      <c r="E9606"/>
    </row>
    <row r="9607" spans="2:5">
      <c r="B9607"/>
      <c r="C9607"/>
      <c r="E9607"/>
    </row>
    <row r="9608" spans="2:5">
      <c r="B9608"/>
      <c r="C9608"/>
      <c r="E9608"/>
    </row>
    <row r="9609" spans="2:5">
      <c r="B9609"/>
      <c r="C9609"/>
      <c r="E9609"/>
    </row>
    <row r="9610" spans="2:5">
      <c r="B9610"/>
      <c r="C9610"/>
      <c r="E9610"/>
    </row>
    <row r="9611" spans="2:5">
      <c r="B9611"/>
      <c r="C9611"/>
      <c r="E9611"/>
    </row>
    <row r="9612" spans="2:5">
      <c r="B9612"/>
      <c r="C9612"/>
      <c r="E9612"/>
    </row>
    <row r="9613" spans="2:5">
      <c r="B9613"/>
      <c r="C9613"/>
      <c r="E9613"/>
    </row>
    <row r="9614" spans="2:5">
      <c r="B9614"/>
      <c r="C9614"/>
      <c r="E9614"/>
    </row>
    <row r="9615" spans="2:5">
      <c r="B9615"/>
      <c r="C9615"/>
      <c r="E9615"/>
    </row>
    <row r="9616" spans="2:5">
      <c r="B9616"/>
      <c r="C9616"/>
      <c r="E9616"/>
    </row>
    <row r="9617" spans="2:5">
      <c r="B9617"/>
      <c r="C9617"/>
      <c r="E9617"/>
    </row>
    <row r="9618" spans="2:5">
      <c r="B9618"/>
      <c r="C9618"/>
      <c r="E9618"/>
    </row>
    <row r="9619" spans="2:5">
      <c r="B9619"/>
      <c r="C9619"/>
      <c r="E9619"/>
    </row>
    <row r="9620" spans="2:5">
      <c r="B9620"/>
      <c r="C9620"/>
      <c r="E9620"/>
    </row>
    <row r="9621" spans="2:5">
      <c r="B9621"/>
      <c r="C9621"/>
      <c r="E9621"/>
    </row>
    <row r="9622" spans="2:5">
      <c r="B9622"/>
      <c r="C9622"/>
      <c r="E9622"/>
    </row>
    <row r="9623" spans="2:5">
      <c r="B9623"/>
      <c r="C9623"/>
      <c r="E9623"/>
    </row>
    <row r="9624" spans="2:5">
      <c r="B9624"/>
      <c r="C9624"/>
      <c r="E9624"/>
    </row>
    <row r="9625" spans="2:5">
      <c r="B9625"/>
      <c r="C9625"/>
      <c r="E9625"/>
    </row>
    <row r="9626" spans="2:5">
      <c r="B9626"/>
      <c r="C9626"/>
      <c r="E9626"/>
    </row>
    <row r="9627" spans="2:5">
      <c r="B9627"/>
      <c r="C9627"/>
      <c r="E9627"/>
    </row>
    <row r="9628" spans="2:5">
      <c r="B9628"/>
      <c r="C9628"/>
      <c r="E9628"/>
    </row>
    <row r="9629" spans="2:5">
      <c r="B9629"/>
      <c r="C9629"/>
      <c r="E9629"/>
    </row>
    <row r="9630" spans="2:5">
      <c r="B9630"/>
      <c r="C9630"/>
      <c r="E9630"/>
    </row>
    <row r="9631" spans="2:5">
      <c r="B9631"/>
      <c r="C9631"/>
      <c r="E9631"/>
    </row>
    <row r="9632" spans="2:5">
      <c r="B9632"/>
      <c r="C9632"/>
      <c r="E9632"/>
    </row>
    <row r="9633" spans="2:5">
      <c r="B9633"/>
      <c r="C9633"/>
      <c r="E9633"/>
    </row>
    <row r="9634" spans="2:5">
      <c r="B9634"/>
      <c r="C9634"/>
      <c r="E9634"/>
    </row>
    <row r="9635" spans="2:5">
      <c r="B9635"/>
      <c r="C9635"/>
      <c r="E9635"/>
    </row>
    <row r="9636" spans="2:5">
      <c r="B9636"/>
      <c r="C9636"/>
      <c r="E9636"/>
    </row>
    <row r="9637" spans="2:5">
      <c r="B9637"/>
      <c r="C9637"/>
      <c r="E9637"/>
    </row>
    <row r="9638" spans="2:5">
      <c r="B9638"/>
      <c r="C9638"/>
      <c r="E9638"/>
    </row>
    <row r="9639" spans="2:5">
      <c r="B9639"/>
      <c r="C9639"/>
      <c r="E9639"/>
    </row>
    <row r="9640" spans="2:5">
      <c r="B9640"/>
      <c r="C9640"/>
      <c r="E9640"/>
    </row>
    <row r="9641" spans="2:5">
      <c r="B9641"/>
      <c r="C9641"/>
      <c r="E9641"/>
    </row>
    <row r="9642" spans="2:5">
      <c r="B9642"/>
      <c r="C9642"/>
      <c r="E9642"/>
    </row>
    <row r="9643" spans="2:5">
      <c r="B9643"/>
      <c r="C9643"/>
      <c r="E9643"/>
    </row>
    <row r="9644" spans="2:5">
      <c r="B9644"/>
      <c r="C9644"/>
      <c r="E9644"/>
    </row>
    <row r="9645" spans="2:5">
      <c r="B9645"/>
      <c r="C9645"/>
      <c r="E9645"/>
    </row>
    <row r="9646" spans="2:5">
      <c r="B9646"/>
      <c r="C9646"/>
      <c r="E9646"/>
    </row>
    <row r="9647" spans="2:5">
      <c r="B9647"/>
      <c r="C9647"/>
      <c r="E9647"/>
    </row>
    <row r="9648" spans="2:5">
      <c r="B9648"/>
      <c r="C9648"/>
      <c r="E9648"/>
    </row>
    <row r="9649" spans="2:5">
      <c r="B9649"/>
      <c r="C9649"/>
      <c r="E9649"/>
    </row>
    <row r="9650" spans="2:5">
      <c r="B9650"/>
      <c r="C9650"/>
      <c r="E9650"/>
    </row>
    <row r="9651" spans="2:5">
      <c r="B9651"/>
      <c r="C9651"/>
      <c r="E9651"/>
    </row>
    <row r="9652" spans="2:5">
      <c r="B9652"/>
      <c r="C9652"/>
      <c r="E9652"/>
    </row>
    <row r="9653" spans="2:5">
      <c r="B9653"/>
      <c r="C9653"/>
      <c r="E9653"/>
    </row>
    <row r="9654" spans="2:5">
      <c r="B9654"/>
      <c r="C9654"/>
      <c r="E9654"/>
    </row>
    <row r="9655" spans="2:5">
      <c r="B9655"/>
      <c r="C9655"/>
      <c r="E9655"/>
    </row>
    <row r="9656" spans="2:5">
      <c r="B9656"/>
      <c r="C9656"/>
      <c r="E9656"/>
    </row>
    <row r="9657" spans="2:5">
      <c r="B9657"/>
      <c r="C9657"/>
      <c r="E9657"/>
    </row>
    <row r="9658" spans="2:5">
      <c r="B9658"/>
      <c r="C9658"/>
      <c r="E9658"/>
    </row>
    <row r="9659" spans="2:5">
      <c r="B9659"/>
      <c r="C9659"/>
      <c r="E9659"/>
    </row>
    <row r="9660" spans="2:5">
      <c r="B9660"/>
      <c r="C9660"/>
      <c r="E9660"/>
    </row>
    <row r="9661" spans="2:5">
      <c r="B9661"/>
      <c r="C9661"/>
      <c r="E9661"/>
    </row>
    <row r="9662" spans="2:5">
      <c r="B9662"/>
      <c r="C9662"/>
      <c r="E9662"/>
    </row>
    <row r="9663" spans="2:5">
      <c r="B9663"/>
      <c r="C9663"/>
      <c r="E9663"/>
    </row>
    <row r="9664" spans="2:5">
      <c r="B9664"/>
      <c r="C9664"/>
      <c r="E9664"/>
    </row>
    <row r="9665" spans="2:5">
      <c r="B9665"/>
      <c r="C9665"/>
      <c r="E9665"/>
    </row>
    <row r="9666" spans="2:5">
      <c r="B9666"/>
      <c r="C9666"/>
      <c r="E9666"/>
    </row>
    <row r="9667" spans="2:5">
      <c r="B9667"/>
      <c r="C9667"/>
      <c r="E9667"/>
    </row>
    <row r="9668" spans="2:5">
      <c r="B9668"/>
      <c r="C9668"/>
      <c r="E9668"/>
    </row>
    <row r="9669" spans="2:5">
      <c r="B9669"/>
      <c r="C9669"/>
      <c r="E9669"/>
    </row>
    <row r="9670" spans="2:5">
      <c r="B9670"/>
      <c r="C9670"/>
      <c r="E9670"/>
    </row>
    <row r="9671" spans="2:5">
      <c r="B9671"/>
      <c r="C9671"/>
      <c r="E9671"/>
    </row>
    <row r="9672" spans="2:5">
      <c r="B9672"/>
      <c r="C9672"/>
      <c r="E9672"/>
    </row>
    <row r="9673" spans="2:5">
      <c r="B9673"/>
      <c r="C9673"/>
      <c r="E9673"/>
    </row>
    <row r="9674" spans="2:5">
      <c r="B9674"/>
      <c r="C9674"/>
      <c r="E9674"/>
    </row>
    <row r="9675" spans="2:5">
      <c r="B9675"/>
      <c r="C9675"/>
      <c r="E9675"/>
    </row>
    <row r="9676" spans="2:5">
      <c r="B9676"/>
      <c r="C9676"/>
      <c r="E9676"/>
    </row>
    <row r="9677" spans="2:5">
      <c r="B9677"/>
      <c r="C9677"/>
      <c r="E9677"/>
    </row>
    <row r="9678" spans="2:5">
      <c r="B9678"/>
      <c r="C9678"/>
      <c r="E9678"/>
    </row>
    <row r="9679" spans="2:5">
      <c r="B9679"/>
      <c r="C9679"/>
      <c r="E9679"/>
    </row>
    <row r="9680" spans="2:5">
      <c r="B9680"/>
      <c r="C9680"/>
      <c r="E9680"/>
    </row>
    <row r="9681" spans="2:5">
      <c r="B9681"/>
      <c r="C9681"/>
      <c r="E9681"/>
    </row>
    <row r="9682" spans="2:5">
      <c r="B9682"/>
      <c r="C9682"/>
      <c r="E9682"/>
    </row>
    <row r="9683" spans="2:5">
      <c r="B9683"/>
      <c r="C9683"/>
      <c r="E9683"/>
    </row>
    <row r="9684" spans="2:5">
      <c r="B9684"/>
      <c r="C9684"/>
      <c r="E9684"/>
    </row>
    <row r="9685" spans="2:5">
      <c r="B9685"/>
      <c r="C9685"/>
      <c r="E9685"/>
    </row>
    <row r="9686" spans="2:5">
      <c r="B9686"/>
      <c r="C9686"/>
      <c r="E9686"/>
    </row>
    <row r="9687" spans="2:5">
      <c r="B9687"/>
      <c r="C9687"/>
      <c r="E9687"/>
    </row>
    <row r="9688" spans="2:5">
      <c r="B9688"/>
      <c r="C9688"/>
      <c r="E9688"/>
    </row>
    <row r="9689" spans="2:5">
      <c r="B9689"/>
      <c r="C9689"/>
      <c r="E9689"/>
    </row>
    <row r="9690" spans="2:5">
      <c r="B9690"/>
      <c r="C9690"/>
      <c r="E9690"/>
    </row>
    <row r="9691" spans="2:5">
      <c r="B9691"/>
      <c r="C9691"/>
      <c r="E9691"/>
    </row>
    <row r="9692" spans="2:5">
      <c r="B9692"/>
      <c r="C9692"/>
      <c r="E9692"/>
    </row>
    <row r="9693" spans="2:5">
      <c r="B9693"/>
      <c r="C9693"/>
      <c r="E9693"/>
    </row>
    <row r="9694" spans="2:5">
      <c r="B9694"/>
      <c r="C9694"/>
      <c r="E9694"/>
    </row>
    <row r="9695" spans="2:5">
      <c r="B9695"/>
      <c r="C9695"/>
      <c r="E9695"/>
    </row>
    <row r="9696" spans="2:5">
      <c r="B9696"/>
      <c r="C9696"/>
      <c r="E9696"/>
    </row>
    <row r="9697" spans="2:5">
      <c r="B9697"/>
      <c r="C9697"/>
      <c r="E9697"/>
    </row>
    <row r="9698" spans="2:5">
      <c r="B9698"/>
      <c r="C9698"/>
      <c r="E9698"/>
    </row>
    <row r="9699" spans="2:5">
      <c r="B9699"/>
      <c r="C9699"/>
      <c r="E9699"/>
    </row>
    <row r="9700" spans="2:5">
      <c r="B9700"/>
      <c r="C9700"/>
      <c r="E9700"/>
    </row>
    <row r="9701" spans="2:5">
      <c r="B9701"/>
      <c r="C9701"/>
      <c r="E9701"/>
    </row>
    <row r="9702" spans="2:5">
      <c r="B9702"/>
      <c r="C9702"/>
      <c r="E9702"/>
    </row>
    <row r="9703" spans="2:5">
      <c r="B9703"/>
      <c r="C9703"/>
      <c r="E9703"/>
    </row>
    <row r="9704" spans="2:5">
      <c r="B9704"/>
      <c r="C9704"/>
      <c r="E9704"/>
    </row>
    <row r="9705" spans="2:5">
      <c r="B9705"/>
      <c r="C9705"/>
      <c r="E9705"/>
    </row>
    <row r="9706" spans="2:5">
      <c r="B9706"/>
      <c r="C9706"/>
      <c r="E9706"/>
    </row>
    <row r="9707" spans="2:5">
      <c r="B9707"/>
      <c r="C9707"/>
      <c r="E9707"/>
    </row>
    <row r="9708" spans="2:5">
      <c r="B9708"/>
      <c r="C9708"/>
      <c r="E9708"/>
    </row>
    <row r="9709" spans="2:5">
      <c r="B9709"/>
      <c r="C9709"/>
      <c r="E9709"/>
    </row>
    <row r="9710" spans="2:5">
      <c r="B9710"/>
      <c r="C9710"/>
      <c r="E9710"/>
    </row>
    <row r="9711" spans="2:5">
      <c r="B9711"/>
      <c r="C9711"/>
      <c r="E9711"/>
    </row>
    <row r="9712" spans="2:5">
      <c r="B9712"/>
      <c r="C9712"/>
      <c r="E9712"/>
    </row>
    <row r="9713" spans="2:5">
      <c r="B9713"/>
      <c r="C9713"/>
      <c r="E9713"/>
    </row>
    <row r="9714" spans="2:5">
      <c r="B9714"/>
      <c r="C9714"/>
      <c r="E9714"/>
    </row>
    <row r="9715" spans="2:5">
      <c r="B9715"/>
      <c r="C9715"/>
      <c r="E9715"/>
    </row>
    <row r="9716" spans="2:5">
      <c r="B9716"/>
      <c r="C9716"/>
      <c r="E9716"/>
    </row>
    <row r="9717" spans="2:5">
      <c r="B9717"/>
      <c r="C9717"/>
      <c r="E9717"/>
    </row>
    <row r="9718" spans="2:5">
      <c r="B9718"/>
      <c r="C9718"/>
      <c r="E9718"/>
    </row>
    <row r="9719" spans="2:5">
      <c r="B9719"/>
      <c r="C9719"/>
      <c r="E9719"/>
    </row>
    <row r="9720" spans="2:5">
      <c r="B9720"/>
      <c r="C9720"/>
      <c r="E9720"/>
    </row>
    <row r="9721" spans="2:5">
      <c r="B9721"/>
      <c r="C9721"/>
      <c r="E9721"/>
    </row>
    <row r="9722" spans="2:5">
      <c r="B9722"/>
      <c r="C9722"/>
      <c r="E9722"/>
    </row>
    <row r="9723" spans="2:5">
      <c r="B9723"/>
      <c r="C9723"/>
      <c r="E9723"/>
    </row>
    <row r="9724" spans="2:5">
      <c r="B9724"/>
      <c r="C9724"/>
      <c r="E9724"/>
    </row>
    <row r="9725" spans="2:5">
      <c r="B9725"/>
      <c r="C9725"/>
      <c r="E9725"/>
    </row>
    <row r="9726" spans="2:5">
      <c r="B9726"/>
      <c r="C9726"/>
      <c r="E9726"/>
    </row>
    <row r="9727" spans="2:5">
      <c r="B9727"/>
      <c r="C9727"/>
      <c r="E9727"/>
    </row>
    <row r="9728" spans="2:5">
      <c r="B9728"/>
      <c r="C9728"/>
      <c r="E9728"/>
    </row>
    <row r="9729" spans="2:5">
      <c r="B9729"/>
      <c r="C9729"/>
      <c r="E9729"/>
    </row>
    <row r="9730" spans="2:5">
      <c r="B9730"/>
      <c r="C9730"/>
      <c r="E9730"/>
    </row>
    <row r="9731" spans="2:5">
      <c r="B9731"/>
      <c r="C9731"/>
      <c r="E9731"/>
    </row>
    <row r="9732" spans="2:5">
      <c r="B9732"/>
      <c r="C9732"/>
      <c r="E9732"/>
    </row>
    <row r="9733" spans="2:5">
      <c r="B9733"/>
      <c r="C9733"/>
      <c r="E9733"/>
    </row>
    <row r="9734" spans="2:5">
      <c r="B9734"/>
      <c r="C9734"/>
      <c r="E9734"/>
    </row>
    <row r="9735" spans="2:5">
      <c r="B9735"/>
      <c r="C9735"/>
      <c r="E9735"/>
    </row>
    <row r="9736" spans="2:5">
      <c r="B9736"/>
      <c r="C9736"/>
      <c r="E9736"/>
    </row>
    <row r="9737" spans="2:5">
      <c r="B9737"/>
      <c r="C9737"/>
      <c r="E9737"/>
    </row>
    <row r="9738" spans="2:5">
      <c r="B9738"/>
      <c r="C9738"/>
      <c r="E9738"/>
    </row>
    <row r="9739" spans="2:5">
      <c r="B9739"/>
      <c r="C9739"/>
      <c r="E9739"/>
    </row>
    <row r="9740" spans="2:5">
      <c r="B9740"/>
      <c r="C9740"/>
      <c r="E9740"/>
    </row>
    <row r="9741" spans="2:5">
      <c r="B9741"/>
      <c r="C9741"/>
      <c r="E9741"/>
    </row>
    <row r="9742" spans="2:5">
      <c r="B9742"/>
      <c r="C9742"/>
      <c r="E9742"/>
    </row>
    <row r="9743" spans="2:5">
      <c r="B9743"/>
      <c r="C9743"/>
      <c r="E9743"/>
    </row>
    <row r="9744" spans="2:5">
      <c r="B9744"/>
      <c r="C9744"/>
      <c r="E9744"/>
    </row>
    <row r="9745" spans="2:5">
      <c r="B9745"/>
      <c r="C9745"/>
      <c r="E9745"/>
    </row>
    <row r="9746" spans="2:5">
      <c r="B9746"/>
      <c r="C9746"/>
      <c r="E9746"/>
    </row>
    <row r="9747" spans="2:5">
      <c r="B9747"/>
      <c r="C9747"/>
      <c r="E9747"/>
    </row>
    <row r="9748" spans="2:5">
      <c r="B9748"/>
      <c r="C9748"/>
      <c r="E9748"/>
    </row>
    <row r="9749" spans="2:5">
      <c r="B9749"/>
      <c r="C9749"/>
      <c r="E9749"/>
    </row>
    <row r="9750" spans="2:5">
      <c r="B9750"/>
      <c r="C9750"/>
      <c r="E9750"/>
    </row>
    <row r="9751" spans="2:5">
      <c r="B9751"/>
      <c r="C9751"/>
      <c r="E9751"/>
    </row>
    <row r="9752" spans="2:5">
      <c r="B9752"/>
      <c r="C9752"/>
      <c r="E9752"/>
    </row>
    <row r="9753" spans="2:5">
      <c r="B9753"/>
      <c r="C9753"/>
      <c r="E9753"/>
    </row>
    <row r="9754" spans="2:5">
      <c r="B9754"/>
      <c r="C9754"/>
      <c r="E9754"/>
    </row>
    <row r="9755" spans="2:5">
      <c r="B9755"/>
      <c r="C9755"/>
      <c r="E9755"/>
    </row>
    <row r="9756" spans="2:5">
      <c r="B9756"/>
      <c r="C9756"/>
      <c r="E9756"/>
    </row>
    <row r="9757" spans="2:5">
      <c r="B9757"/>
      <c r="C9757"/>
      <c r="E9757"/>
    </row>
    <row r="9758" spans="2:5">
      <c r="B9758"/>
      <c r="C9758"/>
      <c r="E9758"/>
    </row>
    <row r="9759" spans="2:5">
      <c r="B9759"/>
      <c r="C9759"/>
      <c r="E9759"/>
    </row>
    <row r="9760" spans="2:5">
      <c r="B9760"/>
      <c r="C9760"/>
      <c r="E9760"/>
    </row>
    <row r="9761" spans="2:5">
      <c r="B9761"/>
      <c r="C9761"/>
      <c r="E9761"/>
    </row>
    <row r="9762" spans="2:5">
      <c r="B9762"/>
      <c r="C9762"/>
      <c r="E9762"/>
    </row>
    <row r="9763" spans="2:5">
      <c r="B9763"/>
      <c r="C9763"/>
      <c r="E9763"/>
    </row>
    <row r="9764" spans="2:5">
      <c r="B9764"/>
      <c r="C9764"/>
      <c r="E9764"/>
    </row>
    <row r="9765" spans="2:5">
      <c r="B9765"/>
      <c r="C9765"/>
      <c r="E9765"/>
    </row>
    <row r="9766" spans="2:5">
      <c r="B9766"/>
      <c r="C9766"/>
      <c r="E9766"/>
    </row>
    <row r="9767" spans="2:5">
      <c r="B9767"/>
      <c r="C9767"/>
      <c r="E9767"/>
    </row>
    <row r="9768" spans="2:5">
      <c r="B9768"/>
      <c r="C9768"/>
      <c r="E9768"/>
    </row>
    <row r="9769" spans="2:5">
      <c r="B9769"/>
      <c r="C9769"/>
      <c r="E9769"/>
    </row>
    <row r="9770" spans="2:5">
      <c r="B9770"/>
      <c r="C9770"/>
      <c r="E9770"/>
    </row>
    <row r="9771" spans="2:5">
      <c r="B9771"/>
      <c r="C9771"/>
      <c r="E9771"/>
    </row>
    <row r="9772" spans="2:5">
      <c r="B9772"/>
      <c r="C9772"/>
      <c r="E9772"/>
    </row>
    <row r="9773" spans="2:5">
      <c r="B9773"/>
      <c r="C9773"/>
      <c r="E9773"/>
    </row>
    <row r="9774" spans="2:5">
      <c r="B9774"/>
      <c r="C9774"/>
      <c r="E9774"/>
    </row>
    <row r="9775" spans="2:5">
      <c r="B9775"/>
      <c r="C9775"/>
      <c r="E9775"/>
    </row>
    <row r="9776" spans="2:5">
      <c r="B9776"/>
      <c r="C9776"/>
      <c r="E9776"/>
    </row>
    <row r="9777" spans="2:5">
      <c r="B9777"/>
      <c r="C9777"/>
      <c r="E9777"/>
    </row>
    <row r="9778" spans="2:5">
      <c r="B9778"/>
      <c r="C9778"/>
      <c r="E9778"/>
    </row>
    <row r="9779" spans="2:5">
      <c r="B9779"/>
      <c r="C9779"/>
      <c r="E9779"/>
    </row>
    <row r="9780" spans="2:5">
      <c r="B9780"/>
      <c r="C9780"/>
      <c r="E9780"/>
    </row>
    <row r="9781" spans="2:5">
      <c r="B9781"/>
      <c r="C9781"/>
      <c r="E9781"/>
    </row>
    <row r="9782" spans="2:5">
      <c r="B9782"/>
      <c r="C9782"/>
      <c r="E9782"/>
    </row>
    <row r="9783" spans="2:5">
      <c r="B9783"/>
      <c r="C9783"/>
      <c r="E9783"/>
    </row>
    <row r="9784" spans="2:5">
      <c r="B9784"/>
      <c r="C9784"/>
      <c r="E9784"/>
    </row>
    <row r="9785" spans="2:5">
      <c r="B9785"/>
      <c r="C9785"/>
      <c r="E9785"/>
    </row>
    <row r="9786" spans="2:5">
      <c r="B9786"/>
      <c r="C9786"/>
      <c r="E9786"/>
    </row>
    <row r="9787" spans="2:5">
      <c r="B9787"/>
      <c r="C9787"/>
      <c r="E9787"/>
    </row>
    <row r="9788" spans="2:5">
      <c r="B9788"/>
      <c r="C9788"/>
      <c r="E9788"/>
    </row>
    <row r="9789" spans="2:5">
      <c r="B9789"/>
      <c r="C9789"/>
      <c r="E9789"/>
    </row>
    <row r="9790" spans="2:5">
      <c r="B9790"/>
      <c r="C9790"/>
      <c r="E9790"/>
    </row>
    <row r="9791" spans="2:5">
      <c r="B9791"/>
      <c r="C9791"/>
      <c r="E9791"/>
    </row>
    <row r="9792" spans="2:5">
      <c r="B9792"/>
      <c r="C9792"/>
      <c r="E9792"/>
    </row>
    <row r="9793" spans="2:5">
      <c r="B9793"/>
      <c r="C9793"/>
      <c r="E9793"/>
    </row>
    <row r="9794" spans="2:5">
      <c r="B9794"/>
      <c r="C9794"/>
      <c r="E9794"/>
    </row>
    <row r="9795" spans="2:5">
      <c r="B9795"/>
      <c r="C9795"/>
      <c r="E9795"/>
    </row>
    <row r="9796" spans="2:5">
      <c r="B9796"/>
      <c r="C9796"/>
      <c r="E9796"/>
    </row>
    <row r="9797" spans="2:5">
      <c r="B9797"/>
      <c r="C9797"/>
      <c r="E9797"/>
    </row>
    <row r="9798" spans="2:5">
      <c r="B9798"/>
      <c r="C9798"/>
      <c r="E9798"/>
    </row>
    <row r="9799" spans="2:5">
      <c r="B9799"/>
      <c r="C9799"/>
      <c r="E9799"/>
    </row>
    <row r="9800" spans="2:5">
      <c r="B9800"/>
      <c r="C9800"/>
      <c r="E9800"/>
    </row>
    <row r="9801" spans="2:5">
      <c r="B9801"/>
      <c r="C9801"/>
      <c r="E9801"/>
    </row>
    <row r="9802" spans="2:5">
      <c r="B9802"/>
      <c r="C9802"/>
      <c r="E9802"/>
    </row>
    <row r="9803" spans="2:5">
      <c r="B9803"/>
      <c r="C9803"/>
      <c r="E9803"/>
    </row>
    <row r="9804" spans="2:5">
      <c r="B9804"/>
      <c r="C9804"/>
      <c r="E9804"/>
    </row>
    <row r="9805" spans="2:5">
      <c r="B9805"/>
      <c r="C9805"/>
      <c r="E9805"/>
    </row>
    <row r="9806" spans="2:5">
      <c r="B9806"/>
      <c r="C9806"/>
      <c r="E9806"/>
    </row>
    <row r="9807" spans="2:5">
      <c r="B9807"/>
      <c r="C9807"/>
      <c r="E9807"/>
    </row>
    <row r="9808" spans="2:5">
      <c r="B9808"/>
      <c r="C9808"/>
      <c r="E9808"/>
    </row>
    <row r="9809" spans="2:5">
      <c r="B9809"/>
      <c r="C9809"/>
      <c r="E9809"/>
    </row>
    <row r="9810" spans="2:5">
      <c r="B9810"/>
      <c r="C9810"/>
      <c r="E9810"/>
    </row>
    <row r="9811" spans="2:5">
      <c r="B9811"/>
      <c r="C9811"/>
      <c r="E9811"/>
    </row>
    <row r="9812" spans="2:5">
      <c r="B9812"/>
      <c r="C9812"/>
      <c r="E9812"/>
    </row>
    <row r="9813" spans="2:5">
      <c r="B9813"/>
      <c r="C9813"/>
      <c r="E9813"/>
    </row>
    <row r="9814" spans="2:5">
      <c r="B9814"/>
      <c r="C9814"/>
      <c r="E9814"/>
    </row>
    <row r="9815" spans="2:5">
      <c r="B9815"/>
      <c r="C9815"/>
      <c r="E9815"/>
    </row>
    <row r="9816" spans="2:5">
      <c r="B9816"/>
      <c r="C9816"/>
      <c r="E9816"/>
    </row>
    <row r="9817" spans="2:5">
      <c r="B9817"/>
      <c r="C9817"/>
      <c r="E9817"/>
    </row>
    <row r="9818" spans="2:5">
      <c r="B9818"/>
      <c r="C9818"/>
      <c r="E9818"/>
    </row>
    <row r="9819" spans="2:5">
      <c r="B9819"/>
      <c r="C9819"/>
      <c r="E9819"/>
    </row>
    <row r="9820" spans="2:5">
      <c r="B9820"/>
      <c r="C9820"/>
      <c r="E9820"/>
    </row>
    <row r="9821" spans="2:5">
      <c r="B9821"/>
      <c r="C9821"/>
      <c r="E9821"/>
    </row>
    <row r="9822" spans="2:5">
      <c r="B9822"/>
      <c r="C9822"/>
      <c r="E9822"/>
    </row>
    <row r="9823" spans="2:5">
      <c r="B9823"/>
      <c r="C9823"/>
      <c r="E9823"/>
    </row>
    <row r="9824" spans="2:5">
      <c r="B9824"/>
      <c r="C9824"/>
      <c r="E9824"/>
    </row>
    <row r="9825" spans="2:5">
      <c r="B9825"/>
      <c r="C9825"/>
      <c r="E9825"/>
    </row>
    <row r="9826" spans="2:5">
      <c r="B9826"/>
      <c r="C9826"/>
      <c r="E9826"/>
    </row>
    <row r="9827" spans="2:5">
      <c r="B9827"/>
      <c r="C9827"/>
      <c r="E9827"/>
    </row>
    <row r="9828" spans="2:5">
      <c r="B9828"/>
      <c r="C9828"/>
      <c r="E9828"/>
    </row>
    <row r="9829" spans="2:5">
      <c r="B9829"/>
      <c r="C9829"/>
      <c r="E9829"/>
    </row>
    <row r="9830" spans="2:5">
      <c r="B9830"/>
      <c r="C9830"/>
      <c r="E9830"/>
    </row>
    <row r="9831" spans="2:5">
      <c r="B9831"/>
      <c r="C9831"/>
      <c r="E9831"/>
    </row>
    <row r="9832" spans="2:5">
      <c r="B9832"/>
      <c r="C9832"/>
      <c r="E9832"/>
    </row>
    <row r="9833" spans="2:5">
      <c r="B9833"/>
      <c r="C9833"/>
      <c r="E9833"/>
    </row>
    <row r="9834" spans="2:5">
      <c r="B9834"/>
      <c r="C9834"/>
      <c r="E9834"/>
    </row>
    <row r="9835" spans="2:5">
      <c r="B9835"/>
      <c r="C9835"/>
      <c r="E9835"/>
    </row>
    <row r="9836" spans="2:5">
      <c r="B9836"/>
      <c r="C9836"/>
      <c r="E9836"/>
    </row>
    <row r="9837" spans="2:5">
      <c r="B9837"/>
      <c r="C9837"/>
      <c r="E9837"/>
    </row>
    <row r="9838" spans="2:5">
      <c r="B9838"/>
      <c r="C9838"/>
      <c r="E9838"/>
    </row>
    <row r="9839" spans="2:5">
      <c r="B9839"/>
      <c r="C9839"/>
      <c r="E9839"/>
    </row>
    <row r="9840" spans="2:5">
      <c r="B9840"/>
      <c r="C9840"/>
      <c r="E9840"/>
    </row>
    <row r="9841" spans="2:5">
      <c r="B9841"/>
      <c r="C9841"/>
      <c r="E9841"/>
    </row>
    <row r="9842" spans="2:5">
      <c r="B9842"/>
      <c r="C9842"/>
      <c r="E9842"/>
    </row>
    <row r="9843" spans="2:5">
      <c r="B9843"/>
      <c r="C9843"/>
      <c r="E9843"/>
    </row>
    <row r="9844" spans="2:5">
      <c r="B9844"/>
      <c r="C9844"/>
      <c r="E9844"/>
    </row>
    <row r="9845" spans="2:5">
      <c r="B9845"/>
      <c r="C9845"/>
      <c r="E9845"/>
    </row>
    <row r="9846" spans="2:5">
      <c r="B9846"/>
      <c r="C9846"/>
      <c r="E9846"/>
    </row>
    <row r="9847" spans="2:5">
      <c r="B9847"/>
      <c r="C9847"/>
      <c r="E9847"/>
    </row>
    <row r="9848" spans="2:5">
      <c r="B9848"/>
      <c r="C9848"/>
      <c r="E9848"/>
    </row>
    <row r="9849" spans="2:5">
      <c r="B9849"/>
      <c r="C9849"/>
      <c r="E9849"/>
    </row>
    <row r="9850" spans="2:5">
      <c r="B9850"/>
      <c r="C9850"/>
      <c r="E9850"/>
    </row>
    <row r="9851" spans="2:5">
      <c r="B9851"/>
      <c r="C9851"/>
      <c r="E9851"/>
    </row>
    <row r="9852" spans="2:5">
      <c r="B9852"/>
      <c r="C9852"/>
      <c r="E9852"/>
    </row>
    <row r="9853" spans="2:5">
      <c r="B9853"/>
      <c r="C9853"/>
      <c r="E9853"/>
    </row>
    <row r="9854" spans="2:5">
      <c r="B9854"/>
      <c r="C9854"/>
      <c r="E9854"/>
    </row>
    <row r="9855" spans="2:5">
      <c r="B9855"/>
      <c r="C9855"/>
      <c r="E9855"/>
    </row>
    <row r="9856" spans="2:5">
      <c r="B9856"/>
      <c r="C9856"/>
      <c r="E9856"/>
    </row>
    <row r="9857" spans="2:5">
      <c r="B9857"/>
      <c r="C9857"/>
      <c r="E9857"/>
    </row>
    <row r="9858" spans="2:5">
      <c r="B9858"/>
      <c r="C9858"/>
      <c r="E9858"/>
    </row>
    <row r="9859" spans="2:5">
      <c r="B9859"/>
      <c r="C9859"/>
      <c r="E9859"/>
    </row>
    <row r="9860" spans="2:5">
      <c r="B9860"/>
      <c r="C9860"/>
      <c r="E9860"/>
    </row>
    <row r="9861" spans="2:5">
      <c r="B9861"/>
      <c r="C9861"/>
      <c r="E9861"/>
    </row>
    <row r="9862" spans="2:5">
      <c r="B9862"/>
      <c r="C9862"/>
      <c r="E9862"/>
    </row>
    <row r="9863" spans="2:5">
      <c r="B9863"/>
      <c r="C9863"/>
      <c r="E9863"/>
    </row>
    <row r="9864" spans="2:5">
      <c r="B9864"/>
      <c r="C9864"/>
      <c r="E9864"/>
    </row>
    <row r="9865" spans="2:5">
      <c r="B9865"/>
      <c r="C9865"/>
      <c r="E9865"/>
    </row>
    <row r="9866" spans="2:5">
      <c r="B9866"/>
      <c r="C9866"/>
      <c r="E9866"/>
    </row>
    <row r="9867" spans="2:5">
      <c r="B9867"/>
      <c r="C9867"/>
      <c r="E9867"/>
    </row>
    <row r="9868" spans="2:5">
      <c r="B9868"/>
      <c r="C9868"/>
      <c r="E9868"/>
    </row>
    <row r="9869" spans="2:5">
      <c r="B9869"/>
      <c r="C9869"/>
      <c r="E9869"/>
    </row>
    <row r="9870" spans="2:5">
      <c r="B9870"/>
      <c r="C9870"/>
      <c r="E9870"/>
    </row>
    <row r="9871" spans="2:5">
      <c r="B9871"/>
      <c r="C9871"/>
      <c r="E9871"/>
    </row>
    <row r="9872" spans="2:5">
      <c r="B9872"/>
      <c r="C9872"/>
      <c r="E9872"/>
    </row>
    <row r="9873" spans="2:5">
      <c r="B9873"/>
      <c r="C9873"/>
      <c r="E9873"/>
    </row>
    <row r="9874" spans="2:5">
      <c r="B9874"/>
      <c r="C9874"/>
      <c r="E9874"/>
    </row>
    <row r="9875" spans="2:5">
      <c r="B9875"/>
      <c r="C9875"/>
      <c r="E9875"/>
    </row>
    <row r="9876" spans="2:5">
      <c r="B9876"/>
      <c r="C9876"/>
      <c r="E9876"/>
    </row>
    <row r="9877" spans="2:5">
      <c r="B9877"/>
      <c r="C9877"/>
      <c r="E9877"/>
    </row>
    <row r="9878" spans="2:5">
      <c r="B9878"/>
      <c r="C9878"/>
      <c r="E9878"/>
    </row>
    <row r="9879" spans="2:5">
      <c r="B9879"/>
      <c r="C9879"/>
      <c r="E9879"/>
    </row>
    <row r="9880" spans="2:5">
      <c r="B9880"/>
      <c r="C9880"/>
      <c r="E9880"/>
    </row>
    <row r="9881" spans="2:5">
      <c r="B9881"/>
      <c r="C9881"/>
      <c r="E9881"/>
    </row>
    <row r="9882" spans="2:5">
      <c r="B9882"/>
      <c r="C9882"/>
      <c r="E9882"/>
    </row>
    <row r="9883" spans="2:5">
      <c r="B9883"/>
      <c r="C9883"/>
      <c r="E9883"/>
    </row>
    <row r="9884" spans="2:5">
      <c r="B9884"/>
      <c r="C9884"/>
      <c r="E9884"/>
    </row>
    <row r="9885" spans="2:5">
      <c r="B9885"/>
      <c r="C9885"/>
      <c r="E9885"/>
    </row>
    <row r="9886" spans="2:5">
      <c r="B9886"/>
      <c r="C9886"/>
      <c r="E9886"/>
    </row>
    <row r="9887" spans="2:5">
      <c r="B9887"/>
      <c r="C9887"/>
      <c r="E9887"/>
    </row>
    <row r="9888" spans="2:5">
      <c r="B9888"/>
      <c r="C9888"/>
      <c r="E9888"/>
    </row>
    <row r="9889" spans="2:5">
      <c r="B9889"/>
      <c r="C9889"/>
      <c r="E9889"/>
    </row>
    <row r="9890" spans="2:5">
      <c r="B9890"/>
      <c r="C9890"/>
      <c r="E9890"/>
    </row>
    <row r="9891" spans="2:5">
      <c r="B9891"/>
      <c r="C9891"/>
      <c r="E9891"/>
    </row>
    <row r="9892" spans="2:5">
      <c r="B9892"/>
      <c r="C9892"/>
      <c r="E9892"/>
    </row>
    <row r="9893" spans="2:5">
      <c r="B9893"/>
      <c r="C9893"/>
      <c r="E9893"/>
    </row>
    <row r="9894" spans="2:5">
      <c r="B9894"/>
      <c r="C9894"/>
      <c r="E9894"/>
    </row>
    <row r="9895" spans="2:5">
      <c r="B9895"/>
      <c r="C9895"/>
      <c r="E9895"/>
    </row>
    <row r="9896" spans="2:5">
      <c r="B9896"/>
      <c r="C9896"/>
      <c r="E9896"/>
    </row>
    <row r="9897" spans="2:5">
      <c r="B9897"/>
      <c r="C9897"/>
      <c r="E9897"/>
    </row>
    <row r="9898" spans="2:5">
      <c r="B9898"/>
      <c r="C9898"/>
      <c r="E9898"/>
    </row>
    <row r="9899" spans="2:5">
      <c r="B9899"/>
      <c r="C9899"/>
      <c r="E9899"/>
    </row>
    <row r="9900" spans="2:5">
      <c r="B9900"/>
      <c r="C9900"/>
      <c r="E9900"/>
    </row>
    <row r="9901" spans="2:5">
      <c r="B9901"/>
      <c r="C9901"/>
      <c r="E9901"/>
    </row>
    <row r="9902" spans="2:5">
      <c r="B9902"/>
      <c r="C9902"/>
      <c r="E9902"/>
    </row>
    <row r="9903" spans="2:5">
      <c r="B9903"/>
      <c r="C9903"/>
      <c r="E9903"/>
    </row>
    <row r="9904" spans="2:5">
      <c r="B9904"/>
      <c r="C9904"/>
      <c r="E9904"/>
    </row>
    <row r="9905" spans="2:5">
      <c r="B9905"/>
      <c r="C9905"/>
      <c r="E9905"/>
    </row>
    <row r="9906" spans="2:5">
      <c r="B9906"/>
      <c r="C9906"/>
      <c r="E9906"/>
    </row>
    <row r="9907" spans="2:5">
      <c r="B9907"/>
      <c r="C9907"/>
      <c r="E9907"/>
    </row>
    <row r="9908" spans="2:5">
      <c r="B9908"/>
      <c r="C9908"/>
      <c r="E9908"/>
    </row>
    <row r="9909" spans="2:5">
      <c r="B9909"/>
      <c r="C9909"/>
      <c r="E9909"/>
    </row>
    <row r="9910" spans="2:5">
      <c r="B9910"/>
      <c r="C9910"/>
      <c r="E9910"/>
    </row>
    <row r="9911" spans="2:5">
      <c r="B9911"/>
      <c r="C9911"/>
      <c r="E9911"/>
    </row>
    <row r="9912" spans="2:5">
      <c r="B9912"/>
      <c r="C9912"/>
      <c r="E9912"/>
    </row>
    <row r="9913" spans="2:5">
      <c r="B9913"/>
      <c r="C9913"/>
      <c r="E9913"/>
    </row>
    <row r="9914" spans="2:5">
      <c r="B9914"/>
      <c r="C9914"/>
      <c r="E9914"/>
    </row>
    <row r="9915" spans="2:5">
      <c r="B9915"/>
      <c r="C9915"/>
      <c r="E9915"/>
    </row>
    <row r="9916" spans="2:5">
      <c r="B9916"/>
      <c r="C9916"/>
      <c r="E9916"/>
    </row>
    <row r="9917" spans="2:5">
      <c r="B9917"/>
      <c r="C9917"/>
      <c r="E9917"/>
    </row>
    <row r="9918" spans="2:5">
      <c r="B9918"/>
      <c r="C9918"/>
      <c r="E9918"/>
    </row>
    <row r="9919" spans="2:5">
      <c r="B9919"/>
      <c r="C9919"/>
      <c r="E9919"/>
    </row>
    <row r="9920" spans="2:5">
      <c r="B9920"/>
      <c r="C9920"/>
      <c r="E9920"/>
    </row>
    <row r="9921" spans="2:5">
      <c r="B9921"/>
      <c r="C9921"/>
      <c r="E9921"/>
    </row>
    <row r="9922" spans="2:5">
      <c r="B9922"/>
      <c r="C9922"/>
      <c r="E9922"/>
    </row>
    <row r="9923" spans="2:5">
      <c r="B9923"/>
      <c r="C9923"/>
      <c r="E9923"/>
    </row>
    <row r="9924" spans="2:5">
      <c r="B9924"/>
      <c r="C9924"/>
      <c r="E9924"/>
    </row>
    <row r="9925" spans="2:5">
      <c r="B9925"/>
      <c r="C9925"/>
      <c r="E9925"/>
    </row>
    <row r="9926" spans="2:5">
      <c r="B9926"/>
      <c r="C9926"/>
      <c r="E9926"/>
    </row>
    <row r="9927" spans="2:5">
      <c r="B9927"/>
      <c r="C9927"/>
      <c r="E9927"/>
    </row>
    <row r="9928" spans="2:5">
      <c r="B9928"/>
      <c r="C9928"/>
      <c r="E9928"/>
    </row>
    <row r="9929" spans="2:5">
      <c r="B9929"/>
      <c r="C9929"/>
      <c r="E9929"/>
    </row>
    <row r="9930" spans="2:5">
      <c r="B9930"/>
      <c r="C9930"/>
      <c r="E9930"/>
    </row>
    <row r="9931" spans="2:5">
      <c r="B9931"/>
      <c r="C9931"/>
      <c r="E9931"/>
    </row>
    <row r="9932" spans="2:5">
      <c r="B9932"/>
      <c r="C9932"/>
      <c r="E9932"/>
    </row>
    <row r="9933" spans="2:5">
      <c r="B9933"/>
      <c r="C9933"/>
      <c r="E9933"/>
    </row>
    <row r="9934" spans="2:5">
      <c r="B9934"/>
      <c r="C9934"/>
      <c r="E9934"/>
    </row>
    <row r="9935" spans="2:5">
      <c r="B9935"/>
      <c r="C9935"/>
      <c r="E9935"/>
    </row>
    <row r="9936" spans="2:5">
      <c r="B9936"/>
      <c r="C9936"/>
      <c r="E9936"/>
    </row>
    <row r="9937" spans="2:5">
      <c r="B9937"/>
      <c r="C9937"/>
      <c r="E9937"/>
    </row>
    <row r="9938" spans="2:5">
      <c r="B9938"/>
      <c r="C9938"/>
      <c r="E9938"/>
    </row>
    <row r="9939" spans="2:5">
      <c r="B9939"/>
      <c r="C9939"/>
      <c r="E9939"/>
    </row>
    <row r="9940" spans="2:5">
      <c r="B9940"/>
      <c r="C9940"/>
      <c r="E9940"/>
    </row>
    <row r="9941" spans="2:5">
      <c r="B9941"/>
      <c r="C9941"/>
      <c r="E9941"/>
    </row>
    <row r="9942" spans="2:5">
      <c r="B9942"/>
      <c r="C9942"/>
      <c r="E9942"/>
    </row>
    <row r="9943" spans="2:5">
      <c r="B9943"/>
      <c r="C9943"/>
      <c r="E9943"/>
    </row>
    <row r="9944" spans="2:5">
      <c r="B9944"/>
      <c r="C9944"/>
      <c r="E9944"/>
    </row>
    <row r="9945" spans="2:5">
      <c r="B9945"/>
      <c r="C9945"/>
      <c r="E9945"/>
    </row>
    <row r="9946" spans="2:5">
      <c r="B9946"/>
      <c r="C9946"/>
      <c r="E9946"/>
    </row>
    <row r="9947" spans="2:5">
      <c r="B9947"/>
      <c r="C9947"/>
      <c r="E9947"/>
    </row>
    <row r="9948" spans="2:5">
      <c r="B9948"/>
      <c r="C9948"/>
      <c r="E9948"/>
    </row>
    <row r="9949" spans="2:5">
      <c r="B9949"/>
      <c r="C9949"/>
      <c r="E9949"/>
    </row>
    <row r="9950" spans="2:5">
      <c r="B9950"/>
      <c r="C9950"/>
      <c r="E9950"/>
    </row>
    <row r="9951" spans="2:5">
      <c r="B9951"/>
      <c r="C9951"/>
      <c r="E9951"/>
    </row>
    <row r="9952" spans="2:5">
      <c r="B9952"/>
      <c r="C9952"/>
      <c r="E9952"/>
    </row>
    <row r="9953" spans="2:5">
      <c r="B9953"/>
      <c r="C9953"/>
      <c r="E9953"/>
    </row>
    <row r="9954" spans="2:5">
      <c r="B9954"/>
      <c r="C9954"/>
      <c r="E9954"/>
    </row>
    <row r="9955" spans="2:5">
      <c r="B9955"/>
      <c r="C9955"/>
      <c r="E9955"/>
    </row>
    <row r="9956" spans="2:5">
      <c r="B9956"/>
      <c r="C9956"/>
      <c r="E9956"/>
    </row>
    <row r="9957" spans="2:5">
      <c r="B9957"/>
      <c r="C9957"/>
      <c r="E9957"/>
    </row>
    <row r="9958" spans="2:5">
      <c r="B9958"/>
      <c r="C9958"/>
      <c r="E9958"/>
    </row>
    <row r="9959" spans="2:5">
      <c r="B9959"/>
      <c r="C9959"/>
      <c r="E9959"/>
    </row>
    <row r="9960" spans="2:5">
      <c r="B9960"/>
      <c r="C9960"/>
      <c r="E9960"/>
    </row>
    <row r="9961" spans="2:5">
      <c r="B9961"/>
      <c r="C9961"/>
      <c r="E9961"/>
    </row>
    <row r="9962" spans="2:5">
      <c r="B9962"/>
      <c r="C9962"/>
      <c r="E9962"/>
    </row>
    <row r="9963" spans="2:5">
      <c r="B9963"/>
      <c r="C9963"/>
      <c r="E9963"/>
    </row>
    <row r="9964" spans="2:5">
      <c r="B9964"/>
      <c r="C9964"/>
      <c r="E9964"/>
    </row>
    <row r="9965" spans="2:5">
      <c r="B9965"/>
      <c r="C9965"/>
      <c r="E9965"/>
    </row>
    <row r="9966" spans="2:5">
      <c r="B9966"/>
      <c r="C9966"/>
      <c r="E9966"/>
    </row>
    <row r="9967" spans="2:5">
      <c r="B9967"/>
      <c r="C9967"/>
      <c r="E9967"/>
    </row>
    <row r="9968" spans="2:5">
      <c r="B9968"/>
      <c r="C9968"/>
      <c r="E9968"/>
    </row>
    <row r="9969" spans="2:5">
      <c r="B9969"/>
      <c r="C9969"/>
      <c r="E9969"/>
    </row>
    <row r="9970" spans="2:5">
      <c r="B9970"/>
      <c r="C9970"/>
      <c r="E9970"/>
    </row>
    <row r="9971" spans="2:5">
      <c r="B9971"/>
      <c r="C9971"/>
      <c r="E9971"/>
    </row>
    <row r="9972" spans="2:5">
      <c r="B9972"/>
      <c r="C9972"/>
      <c r="E9972"/>
    </row>
    <row r="9973" spans="2:5">
      <c r="B9973"/>
      <c r="C9973"/>
      <c r="E9973"/>
    </row>
    <row r="9974" spans="2:5">
      <c r="B9974"/>
      <c r="C9974"/>
      <c r="E9974"/>
    </row>
    <row r="9975" spans="2:5">
      <c r="B9975"/>
      <c r="C9975"/>
      <c r="E9975"/>
    </row>
    <row r="9976" spans="2:5">
      <c r="B9976"/>
      <c r="C9976"/>
      <c r="E9976"/>
    </row>
    <row r="9977" spans="2:5">
      <c r="B9977"/>
      <c r="C9977"/>
      <c r="E9977"/>
    </row>
    <row r="9978" spans="2:5">
      <c r="B9978"/>
      <c r="C9978"/>
      <c r="E9978"/>
    </row>
    <row r="9979" spans="2:5">
      <c r="B9979"/>
      <c r="C9979"/>
      <c r="E9979"/>
    </row>
    <row r="9980" spans="2:5">
      <c r="B9980"/>
      <c r="C9980"/>
      <c r="E9980"/>
    </row>
    <row r="9981" spans="2:5">
      <c r="B9981"/>
      <c r="C9981"/>
      <c r="E9981"/>
    </row>
    <row r="9982" spans="2:5">
      <c r="B9982"/>
      <c r="C9982"/>
      <c r="E9982"/>
    </row>
    <row r="9983" spans="2:5">
      <c r="B9983"/>
      <c r="C9983"/>
      <c r="E9983"/>
    </row>
    <row r="9984" spans="2:5">
      <c r="B9984"/>
      <c r="C9984"/>
      <c r="E9984"/>
    </row>
    <row r="9985" spans="2:5">
      <c r="B9985"/>
      <c r="C9985"/>
      <c r="E9985"/>
    </row>
    <row r="9986" spans="2:5">
      <c r="B9986"/>
      <c r="C9986"/>
      <c r="E9986"/>
    </row>
    <row r="9987" spans="2:5">
      <c r="B9987"/>
      <c r="C9987"/>
      <c r="E9987"/>
    </row>
    <row r="9988" spans="2:5">
      <c r="B9988"/>
      <c r="C9988"/>
      <c r="E9988"/>
    </row>
    <row r="9989" spans="2:5">
      <c r="B9989"/>
      <c r="C9989"/>
      <c r="E9989"/>
    </row>
    <row r="9990" spans="2:5">
      <c r="B9990"/>
      <c r="C9990"/>
      <c r="E9990"/>
    </row>
    <row r="9991" spans="2:5">
      <c r="B9991"/>
      <c r="C9991"/>
      <c r="E9991"/>
    </row>
    <row r="9992" spans="2:5">
      <c r="B9992"/>
      <c r="C9992"/>
      <c r="E9992"/>
    </row>
    <row r="9993" spans="2:5">
      <c r="B9993"/>
      <c r="C9993"/>
      <c r="E9993"/>
    </row>
    <row r="9994" spans="2:5">
      <c r="B9994"/>
      <c r="C9994"/>
      <c r="E9994"/>
    </row>
    <row r="9995" spans="2:5">
      <c r="B9995"/>
      <c r="C9995"/>
      <c r="E9995"/>
    </row>
    <row r="9996" spans="2:5">
      <c r="B9996"/>
      <c r="C9996"/>
      <c r="E9996"/>
    </row>
    <row r="9997" spans="2:5">
      <c r="B9997"/>
      <c r="C9997"/>
      <c r="E9997"/>
    </row>
    <row r="9998" spans="2:5">
      <c r="B9998"/>
      <c r="C9998"/>
      <c r="E9998"/>
    </row>
    <row r="9999" spans="2:5">
      <c r="B9999"/>
      <c r="C9999"/>
      <c r="E9999"/>
    </row>
    <row r="10000" spans="2:5">
      <c r="B10000"/>
      <c r="C10000"/>
      <c r="E10000"/>
    </row>
  </sheetData>
  <sheetProtection formatColumns="0" formatRows="0" sort="0"/>
  <autoFilter ref="I2:J35" xr:uid="{3753FDD0-DE95-4F29-9CB2-C04560C59A17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Full_Inventory">
                <anchor moveWithCells="1" sizeWithCells="1">
                  <from>
                    <xdr:col>4</xdr:col>
                    <xdr:colOff>66675</xdr:colOff>
                    <xdr:row>0</xdr:row>
                    <xdr:rowOff>38100</xdr:rowOff>
                  </from>
                  <to>
                    <xdr:col>6</xdr:col>
                    <xdr:colOff>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A5857-0D28-40FF-A93E-60EA7019A3FE}">
  <sheetPr codeName="Sheet10"/>
  <dimension ref="A1:AC1692"/>
  <sheetViews>
    <sheetView workbookViewId="0">
      <selection activeCell="E1" sqref="E1"/>
    </sheetView>
  </sheetViews>
  <sheetFormatPr defaultColWidth="9.140625" defaultRowHeight="15"/>
  <cols>
    <col min="1" max="1" width="20.85546875" style="2" bestFit="1" customWidth="1"/>
    <col min="2" max="2" width="9.140625" style="2"/>
    <col min="3" max="3" width="50.42578125" style="2" bestFit="1" customWidth="1"/>
    <col min="4" max="4" width="9.140625" style="2"/>
    <col min="5" max="5" width="48.85546875" style="2" bestFit="1" customWidth="1"/>
    <col min="6" max="7" width="9.140625" style="2"/>
    <col min="8" max="8" width="24.42578125" style="2" bestFit="1" customWidth="1"/>
    <col min="9" max="20" width="9.140625" style="2"/>
    <col min="21" max="21" width="26.85546875" style="2" bestFit="1" customWidth="1"/>
    <col min="22" max="22" width="15.85546875" style="2" customWidth="1"/>
    <col min="23" max="23" width="12" style="2" bestFit="1" customWidth="1"/>
    <col min="24" max="27" width="9.140625" style="2"/>
    <col min="28" max="28" width="12.85546875" bestFit="1" customWidth="1"/>
    <col min="29" max="29" width="15" customWidth="1"/>
    <col min="30" max="16384" width="9.140625" style="2"/>
  </cols>
  <sheetData>
    <row r="1" spans="1:29">
      <c r="A1" s="17" t="s">
        <v>340</v>
      </c>
      <c r="B1"/>
      <c r="C1" s="17" t="s">
        <v>341</v>
      </c>
      <c r="D1"/>
      <c r="E1" s="17" t="s">
        <v>342</v>
      </c>
      <c r="F1"/>
      <c r="G1"/>
      <c r="H1" s="17" t="s">
        <v>343</v>
      </c>
      <c r="I1" s="2" t="s">
        <v>395</v>
      </c>
      <c r="U1" s="18" t="s">
        <v>344</v>
      </c>
      <c r="V1" s="18" t="s">
        <v>345</v>
      </c>
      <c r="W1" s="18" t="s">
        <v>346</v>
      </c>
      <c r="AB1" s="17" t="s">
        <v>347</v>
      </c>
      <c r="AC1" s="17" t="s">
        <v>347</v>
      </c>
    </row>
    <row r="2" spans="1:29">
      <c r="A2" s="2" t="s">
        <v>478</v>
      </c>
      <c r="C2" s="2" t="s">
        <v>63</v>
      </c>
      <c r="E2" s="2" t="s">
        <v>111</v>
      </c>
      <c r="U2" s="2" t="s">
        <v>348</v>
      </c>
      <c r="V2" s="2" t="s">
        <v>103</v>
      </c>
      <c r="W2" s="2" t="s">
        <v>103</v>
      </c>
      <c r="AB2">
        <f>COUNTIF($W$1:W2,W2)</f>
        <v>1</v>
      </c>
      <c r="AC2" t="str" cm="1">
        <f t="array" ref="AC2">IFERROR(INDEX(W:W,SMALL(IF($AB$2:$AB$1000=1,ROW($AB$2:$AB$1000),""),ROW()-1)),"")</f>
        <v>Cu</v>
      </c>
    </row>
    <row r="3" spans="1:29">
      <c r="A3" s="2" t="s">
        <v>479</v>
      </c>
      <c r="AB3">
        <f>COUNTIF($W$1:W3,W3)</f>
        <v>0</v>
      </c>
      <c r="AC3" t="str" cm="1">
        <f t="array" ref="AC3">IFERROR(INDEX(W:W,SMALL(IF($AB$2:$AB$1000=1,ROW($AB$2:$AB$1000),""),ROW()-1)),"")</f>
        <v/>
      </c>
    </row>
    <row r="4" spans="1:29">
      <c r="A4" s="2" t="s">
        <v>480</v>
      </c>
      <c r="AB4">
        <f>COUNTIF($W$1:W4,W4)</f>
        <v>0</v>
      </c>
      <c r="AC4" t="str" cm="1">
        <f t="array" ref="AC4">IFERROR(INDEX(W:W,SMALL(IF($AB$2:$AB$1000=1,ROW($AB$2:$AB$1000),""),ROW()-1)),"")</f>
        <v/>
      </c>
    </row>
    <row r="5" spans="1:29">
      <c r="A5" s="2" t="s">
        <v>481</v>
      </c>
      <c r="AB5">
        <f>COUNTIF($W$1:W5,W5)</f>
        <v>0</v>
      </c>
      <c r="AC5" t="str" cm="1">
        <f t="array" ref="AC5">IFERROR(INDEX(W:W,SMALL(IF($AB$2:$AB$1000=1,ROW($AB$2:$AB$1000),""),ROW()-1)),"")</f>
        <v/>
      </c>
    </row>
    <row r="6" spans="1:29">
      <c r="A6" s="2" t="s">
        <v>482</v>
      </c>
      <c r="AB6">
        <f>COUNTIF($W$1:W6,W6)</f>
        <v>0</v>
      </c>
      <c r="AC6" t="str" cm="1">
        <f t="array" ref="AC6">IFERROR(INDEX(W:W,SMALL(IF($AB$2:$AB$1000=1,ROW($AB$2:$AB$1000),""),ROW()-1)),"")</f>
        <v/>
      </c>
    </row>
    <row r="7" spans="1:29">
      <c r="A7" s="2" t="s">
        <v>483</v>
      </c>
      <c r="AB7">
        <f>COUNTIF($W$1:W7,W7)</f>
        <v>0</v>
      </c>
      <c r="AC7" t="str" cm="1">
        <f t="array" ref="AC7">IFERROR(INDEX(W:W,SMALL(IF($AB$2:$AB$1000=1,ROW($AB$2:$AB$1000),""),ROW()-1)),"")</f>
        <v/>
      </c>
    </row>
    <row r="8" spans="1:29">
      <c r="A8" s="2" t="s">
        <v>484</v>
      </c>
      <c r="AB8">
        <f>COUNTIF($W$1:W8,W8)</f>
        <v>0</v>
      </c>
      <c r="AC8" t="str" cm="1">
        <f t="array" ref="AC8">IFERROR(INDEX(W:W,SMALL(IF($AB$2:$AB$1000=1,ROW($AB$2:$AB$1000),""),ROW()-1)),"")</f>
        <v/>
      </c>
    </row>
    <row r="9" spans="1:29">
      <c r="A9" s="2" t="s">
        <v>485</v>
      </c>
      <c r="AB9">
        <f>COUNTIF($W$1:W9,W9)</f>
        <v>0</v>
      </c>
      <c r="AC9" t="str" cm="1">
        <f t="array" ref="AC9">IFERROR(INDEX(W:W,SMALL(IF($AB$2:$AB$1000=1,ROW($AB$2:$AB$1000),""),ROW()-1)),"")</f>
        <v/>
      </c>
    </row>
    <row r="10" spans="1:29">
      <c r="A10" s="2" t="s">
        <v>486</v>
      </c>
      <c r="AB10">
        <f>COUNTIF($W$1:W10,W10)</f>
        <v>0</v>
      </c>
      <c r="AC10" t="str" cm="1">
        <f t="array" ref="AC10">IFERROR(INDEX(W:W,SMALL(IF($AB$2:$AB$1000=1,ROW($AB$2:$AB$1000),""),ROW()-1)),"")</f>
        <v/>
      </c>
    </row>
    <row r="11" spans="1:29">
      <c r="A11" s="2" t="s">
        <v>487</v>
      </c>
      <c r="AB11">
        <f>COUNTIF($W$1:W11,W11)</f>
        <v>0</v>
      </c>
      <c r="AC11" t="str" cm="1">
        <f t="array" ref="AC11">IFERROR(INDEX(W:W,SMALL(IF($AB$2:$AB$1000=1,ROW($AB$2:$AB$1000),""),ROW()-1)),"")</f>
        <v/>
      </c>
    </row>
    <row r="12" spans="1:29">
      <c r="A12" s="2" t="s">
        <v>488</v>
      </c>
      <c r="AB12">
        <f>COUNTIF($W$1:W12,W12)</f>
        <v>0</v>
      </c>
      <c r="AC12" t="str" cm="1">
        <f t="array" ref="AC12">IFERROR(INDEX(W:W,SMALL(IF($AB$2:$AB$1000=1,ROW($AB$2:$AB$1000),""),ROW()-1)),"")</f>
        <v/>
      </c>
    </row>
    <row r="13" spans="1:29">
      <c r="A13" s="2" t="s">
        <v>489</v>
      </c>
      <c r="AB13">
        <f>COUNTIF($W$1:W13,W13)</f>
        <v>0</v>
      </c>
      <c r="AC13" t="str" cm="1">
        <f t="array" ref="AC13">IFERROR(INDEX(W:W,SMALL(IF($AB$2:$AB$1000=1,ROW($AB$2:$AB$1000),""),ROW()-1)),"")</f>
        <v/>
      </c>
    </row>
    <row r="14" spans="1:29">
      <c r="A14" s="2" t="s">
        <v>490</v>
      </c>
      <c r="AB14">
        <f>COUNTIF($W$1:W14,W14)</f>
        <v>0</v>
      </c>
      <c r="AC14" t="str" cm="1">
        <f t="array" ref="AC14">IFERROR(INDEX(W:W,SMALL(IF($AB$2:$AB$1000=1,ROW($AB$2:$AB$1000),""),ROW()-1)),"")</f>
        <v/>
      </c>
    </row>
    <row r="15" spans="1:29">
      <c r="A15" s="2" t="s">
        <v>491</v>
      </c>
      <c r="AB15">
        <f>COUNTIF($W$1:W15,W15)</f>
        <v>0</v>
      </c>
      <c r="AC15" t="str" cm="1">
        <f t="array" ref="AC15">IFERROR(INDEX(W:W,SMALL(IF($AB$2:$AB$1000=1,ROW($AB$2:$AB$1000),""),ROW()-1)),"")</f>
        <v/>
      </c>
    </row>
    <row r="16" spans="1:29">
      <c r="A16" s="2" t="s">
        <v>492</v>
      </c>
      <c r="AB16">
        <f>COUNTIF($W$1:W16,W16)</f>
        <v>0</v>
      </c>
      <c r="AC16" t="str" cm="1">
        <f t="array" ref="AC16">IFERROR(INDEX(W:W,SMALL(IF($AB$2:$AB$1000=1,ROW($AB$2:$AB$1000),""),ROW()-1)),"")</f>
        <v/>
      </c>
    </row>
    <row r="17" spans="1:29">
      <c r="A17" s="2" t="s">
        <v>493</v>
      </c>
      <c r="AB17">
        <f>COUNTIF($W$1:W17,W17)</f>
        <v>0</v>
      </c>
      <c r="AC17" t="str" cm="1">
        <f t="array" ref="AC17">IFERROR(INDEX(W:W,SMALL(IF($AB$2:$AB$1000=1,ROW($AB$2:$AB$1000),""),ROW()-1)),"")</f>
        <v/>
      </c>
    </row>
    <row r="18" spans="1:29">
      <c r="A18" s="2" t="s">
        <v>494</v>
      </c>
      <c r="AB18">
        <f>COUNTIF($W$1:W18,W18)</f>
        <v>0</v>
      </c>
      <c r="AC18" t="str" cm="1">
        <f t="array" ref="AC18">IFERROR(INDEX(W:W,SMALL(IF($AB$2:$AB$1000=1,ROW($AB$2:$AB$1000),""),ROW()-1)),"")</f>
        <v/>
      </c>
    </row>
    <row r="19" spans="1:29">
      <c r="A19" s="2" t="s">
        <v>495</v>
      </c>
      <c r="AB19">
        <f>COUNTIF($W$1:W19,W19)</f>
        <v>0</v>
      </c>
      <c r="AC19" t="str" cm="1">
        <f t="array" ref="AC19">IFERROR(INDEX(W:W,SMALL(IF($AB$2:$AB$1000=1,ROW($AB$2:$AB$1000),""),ROW()-1)),"")</f>
        <v/>
      </c>
    </row>
    <row r="20" spans="1:29">
      <c r="A20" s="2" t="s">
        <v>496</v>
      </c>
      <c r="AB20">
        <f>COUNTIF($W$1:W20,W20)</f>
        <v>0</v>
      </c>
      <c r="AC20" t="str" cm="1">
        <f t="array" ref="AC20">IFERROR(INDEX(W:W,SMALL(IF($AB$2:$AB$1000=1,ROW($AB$2:$AB$1000),""),ROW()-1)),"")</f>
        <v/>
      </c>
    </row>
    <row r="21" spans="1:29">
      <c r="A21" s="2" t="s">
        <v>497</v>
      </c>
      <c r="AB21">
        <f>COUNTIF($W$1:W21,W21)</f>
        <v>0</v>
      </c>
      <c r="AC21" t="str" cm="1">
        <f t="array" ref="AC21">IFERROR(INDEX(W:W,SMALL(IF($AB$2:$AB$1000=1,ROW($AB$2:$AB$1000),""),ROW()-1)),"")</f>
        <v/>
      </c>
    </row>
    <row r="22" spans="1:29">
      <c r="A22" s="2" t="s">
        <v>498</v>
      </c>
      <c r="AB22">
        <f>COUNTIF($W$1:W22,W22)</f>
        <v>0</v>
      </c>
      <c r="AC22" t="str" cm="1">
        <f t="array" ref="AC22">IFERROR(INDEX(W:W,SMALL(IF($AB$2:$AB$1000=1,ROW($AB$2:$AB$1000),""),ROW()-1)),"")</f>
        <v/>
      </c>
    </row>
    <row r="23" spans="1:29">
      <c r="A23" s="2" t="s">
        <v>499</v>
      </c>
      <c r="AB23">
        <f>COUNTIF($W$1:W23,W23)</f>
        <v>0</v>
      </c>
      <c r="AC23" t="str" cm="1">
        <f t="array" ref="AC23">IFERROR(INDEX(W:W,SMALL(IF($AB$2:$AB$1000=1,ROW($AB$2:$AB$1000),""),ROW()-1)),"")</f>
        <v/>
      </c>
    </row>
    <row r="24" spans="1:29">
      <c r="A24" s="2" t="s">
        <v>500</v>
      </c>
      <c r="AB24">
        <f>COUNTIF($W$1:W24,W24)</f>
        <v>0</v>
      </c>
      <c r="AC24" t="str" cm="1">
        <f t="array" ref="AC24">IFERROR(INDEX(W:W,SMALL(IF($AB$2:$AB$1000=1,ROW($AB$2:$AB$1000),""),ROW()-1)),"")</f>
        <v/>
      </c>
    </row>
    <row r="25" spans="1:29">
      <c r="A25" s="2" t="s">
        <v>501</v>
      </c>
      <c r="AB25">
        <f>COUNTIF($W$1:W25,W25)</f>
        <v>0</v>
      </c>
      <c r="AC25" t="str" cm="1">
        <f t="array" ref="AC25">IFERROR(INDEX(W:W,SMALL(IF($AB$2:$AB$1000=1,ROW($AB$2:$AB$1000),""),ROW()-1)),"")</f>
        <v/>
      </c>
    </row>
    <row r="26" spans="1:29">
      <c r="A26" s="2" t="s">
        <v>502</v>
      </c>
      <c r="AB26">
        <f>COUNTIF($W$1:W26,W26)</f>
        <v>0</v>
      </c>
      <c r="AC26" t="str" cm="1">
        <f t="array" ref="AC26">IFERROR(INDEX(W:W,SMALL(IF($AB$2:$AB$1000=1,ROW($AB$2:$AB$1000),""),ROW()-1)),"")</f>
        <v/>
      </c>
    </row>
    <row r="27" spans="1:29">
      <c r="A27" s="2" t="s">
        <v>503</v>
      </c>
      <c r="AB27">
        <f>COUNTIF($W$1:W27,W27)</f>
        <v>0</v>
      </c>
      <c r="AC27" t="str" cm="1">
        <f t="array" ref="AC27">IFERROR(INDEX(W:W,SMALL(IF($AB$2:$AB$1000=1,ROW($AB$2:$AB$1000),""),ROW()-1)),"")</f>
        <v/>
      </c>
    </row>
    <row r="28" spans="1:29">
      <c r="A28" s="2" t="s">
        <v>504</v>
      </c>
      <c r="AB28">
        <f>COUNTIF($W$1:W28,W28)</f>
        <v>0</v>
      </c>
      <c r="AC28" t="str" cm="1">
        <f t="array" ref="AC28">IFERROR(INDEX(W:W,SMALL(IF($AB$2:$AB$1000=1,ROW($AB$2:$AB$1000),""),ROW()-1)),"")</f>
        <v/>
      </c>
    </row>
    <row r="29" spans="1:29">
      <c r="A29" s="2" t="s">
        <v>505</v>
      </c>
      <c r="AB29">
        <f>COUNTIF($W$1:W29,W29)</f>
        <v>0</v>
      </c>
      <c r="AC29" t="str" cm="1">
        <f t="array" ref="AC29">IFERROR(INDEX(W:W,SMALL(IF($AB$2:$AB$1000=1,ROW($AB$2:$AB$1000),""),ROW()-1)),"")</f>
        <v/>
      </c>
    </row>
    <row r="30" spans="1:29">
      <c r="A30" s="2" t="s">
        <v>506</v>
      </c>
      <c r="AB30">
        <f>COUNTIF($W$1:W30,W30)</f>
        <v>0</v>
      </c>
      <c r="AC30" t="str" cm="1">
        <f t="array" ref="AC30">IFERROR(INDEX(W:W,SMALL(IF($AB$2:$AB$1000=1,ROW($AB$2:$AB$1000),""),ROW()-1)),"")</f>
        <v/>
      </c>
    </row>
    <row r="31" spans="1:29">
      <c r="A31" s="2" t="s">
        <v>507</v>
      </c>
      <c r="AB31">
        <f>COUNTIF($W$1:W31,W31)</f>
        <v>0</v>
      </c>
      <c r="AC31" t="str" cm="1">
        <f t="array" ref="AC31">IFERROR(INDEX(W:W,SMALL(IF($AB$2:$AB$1000=1,ROW($AB$2:$AB$1000),""),ROW()-1)),"")</f>
        <v/>
      </c>
    </row>
    <row r="32" spans="1:29">
      <c r="A32" s="2" t="s">
        <v>508</v>
      </c>
      <c r="AB32">
        <f>COUNTIF($W$1:W32,W32)</f>
        <v>0</v>
      </c>
      <c r="AC32" t="str" cm="1">
        <f t="array" ref="AC32">IFERROR(INDEX(W:W,SMALL(IF($AB$2:$AB$1000=1,ROW($AB$2:$AB$1000),""),ROW()-1)),"")</f>
        <v/>
      </c>
    </row>
    <row r="33" spans="1:29">
      <c r="A33" s="2" t="s">
        <v>509</v>
      </c>
      <c r="AB33">
        <f>COUNTIF($W$1:W33,W33)</f>
        <v>0</v>
      </c>
      <c r="AC33" t="str" cm="1">
        <f t="array" ref="AC33">IFERROR(INDEX(W:W,SMALL(IF($AB$2:$AB$1000=1,ROW($AB$2:$AB$1000),""),ROW()-1)),"")</f>
        <v/>
      </c>
    </row>
    <row r="34" spans="1:29">
      <c r="A34" s="2" t="s">
        <v>510</v>
      </c>
      <c r="AB34">
        <f>COUNTIF($W$1:W34,W34)</f>
        <v>0</v>
      </c>
      <c r="AC34" t="str" cm="1">
        <f t="array" ref="AC34">IFERROR(INDEX(W:W,SMALL(IF($AB$2:$AB$1000=1,ROW($AB$2:$AB$1000),""),ROW()-1)),"")</f>
        <v/>
      </c>
    </row>
    <row r="35" spans="1:29">
      <c r="A35" s="2" t="s">
        <v>511</v>
      </c>
      <c r="AB35">
        <f>COUNTIF($W$1:W35,W35)</f>
        <v>0</v>
      </c>
      <c r="AC35" t="str" cm="1">
        <f t="array" ref="AC35">IFERROR(INDEX(W:W,SMALL(IF($AB$2:$AB$1000=1,ROW($AB$2:$AB$1000),""),ROW()-1)),"")</f>
        <v/>
      </c>
    </row>
    <row r="36" spans="1:29">
      <c r="A36" s="2" t="s">
        <v>512</v>
      </c>
      <c r="AB36">
        <f>COUNTIF($W$1:W36,W36)</f>
        <v>0</v>
      </c>
      <c r="AC36" t="str" cm="1">
        <f t="array" ref="AC36">IFERROR(INDEX(W:W,SMALL(IF($AB$2:$AB$1000=1,ROW($AB$2:$AB$1000),""),ROW()-1)),"")</f>
        <v/>
      </c>
    </row>
    <row r="37" spans="1:29">
      <c r="A37" s="2" t="s">
        <v>513</v>
      </c>
      <c r="AB37">
        <f>COUNTIF($W$1:W37,W37)</f>
        <v>0</v>
      </c>
      <c r="AC37" t="str" cm="1">
        <f t="array" ref="AC37">IFERROR(INDEX(W:W,SMALL(IF($AB$2:$AB$1000=1,ROW($AB$2:$AB$1000),""),ROW()-1)),"")</f>
        <v/>
      </c>
    </row>
    <row r="38" spans="1:29">
      <c r="A38" s="2" t="s">
        <v>514</v>
      </c>
      <c r="AB38">
        <f>COUNTIF($W$1:W38,W38)</f>
        <v>0</v>
      </c>
      <c r="AC38" t="str" cm="1">
        <f t="array" ref="AC38">IFERROR(INDEX(W:W,SMALL(IF($AB$2:$AB$1000=1,ROW($AB$2:$AB$1000),""),ROW()-1)),"")</f>
        <v/>
      </c>
    </row>
    <row r="39" spans="1:29">
      <c r="A39" s="2" t="s">
        <v>515</v>
      </c>
      <c r="AB39">
        <f>COUNTIF($W$1:W39,W39)</f>
        <v>0</v>
      </c>
      <c r="AC39" t="str" cm="1">
        <f t="array" ref="AC39">IFERROR(INDEX(W:W,SMALL(IF($AB$2:$AB$1000=1,ROW($AB$2:$AB$1000),""),ROW()-1)),"")</f>
        <v/>
      </c>
    </row>
    <row r="40" spans="1:29">
      <c r="A40" s="2" t="s">
        <v>516</v>
      </c>
      <c r="AB40">
        <f>COUNTIF($W$1:W40,W40)</f>
        <v>0</v>
      </c>
      <c r="AC40" t="str" cm="1">
        <f t="array" ref="AC40">IFERROR(INDEX(W:W,SMALL(IF($AB$2:$AB$1000=1,ROW($AB$2:$AB$1000),""),ROW()-1)),"")</f>
        <v/>
      </c>
    </row>
    <row r="41" spans="1:29">
      <c r="A41" s="2" t="s">
        <v>517</v>
      </c>
      <c r="AB41">
        <f>COUNTIF($W$1:W41,W41)</f>
        <v>0</v>
      </c>
      <c r="AC41" t="str" cm="1">
        <f t="array" ref="AC41">IFERROR(INDEX(W:W,SMALL(IF($AB$2:$AB$1000=1,ROW($AB$2:$AB$1000),""),ROW()-1)),"")</f>
        <v/>
      </c>
    </row>
    <row r="42" spans="1:29">
      <c r="A42" s="2" t="s">
        <v>518</v>
      </c>
      <c r="AB42">
        <f>COUNTIF($W$1:W42,W42)</f>
        <v>0</v>
      </c>
      <c r="AC42" t="str" cm="1">
        <f t="array" ref="AC42">IFERROR(INDEX(W:W,SMALL(IF($AB$2:$AB$1000=1,ROW($AB$2:$AB$1000),""),ROW()-1)),"")</f>
        <v/>
      </c>
    </row>
    <row r="43" spans="1:29">
      <c r="A43" s="2" t="s">
        <v>519</v>
      </c>
      <c r="AB43">
        <f>COUNTIF($W$1:W43,W43)</f>
        <v>0</v>
      </c>
      <c r="AC43" t="str" cm="1">
        <f t="array" ref="AC43">IFERROR(INDEX(W:W,SMALL(IF($AB$2:$AB$1000=1,ROW($AB$2:$AB$1000),""),ROW()-1)),"")</f>
        <v/>
      </c>
    </row>
    <row r="44" spans="1:29">
      <c r="A44" s="2" t="s">
        <v>520</v>
      </c>
      <c r="AB44">
        <f>COUNTIF($W$1:W44,W44)</f>
        <v>0</v>
      </c>
      <c r="AC44" t="str" cm="1">
        <f t="array" ref="AC44">IFERROR(INDEX(W:W,SMALL(IF($AB$2:$AB$1000=1,ROW($AB$2:$AB$1000),""),ROW()-1)),"")</f>
        <v/>
      </c>
    </row>
    <row r="45" spans="1:29">
      <c r="A45" s="2" t="s">
        <v>521</v>
      </c>
      <c r="AB45">
        <f>COUNTIF($W$1:W45,W45)</f>
        <v>0</v>
      </c>
      <c r="AC45" t="str" cm="1">
        <f t="array" ref="AC45">IFERROR(INDEX(W:W,SMALL(IF($AB$2:$AB$1000=1,ROW($AB$2:$AB$1000),""),ROW()-1)),"")</f>
        <v/>
      </c>
    </row>
    <row r="46" spans="1:29">
      <c r="A46" s="2" t="s">
        <v>522</v>
      </c>
      <c r="AB46">
        <f>COUNTIF($W$1:W46,W46)</f>
        <v>0</v>
      </c>
      <c r="AC46" t="str" cm="1">
        <f t="array" ref="AC46">IFERROR(INDEX(W:W,SMALL(IF($AB$2:$AB$1000=1,ROW($AB$2:$AB$1000),""),ROW()-1)),"")</f>
        <v/>
      </c>
    </row>
    <row r="47" spans="1:29">
      <c r="A47" s="2" t="s">
        <v>523</v>
      </c>
      <c r="AB47">
        <f>COUNTIF($W$1:W47,W47)</f>
        <v>0</v>
      </c>
      <c r="AC47" t="str" cm="1">
        <f t="array" ref="AC47">IFERROR(INDEX(W:W,SMALL(IF($AB$2:$AB$1000=1,ROW($AB$2:$AB$1000),""),ROW()-1)),"")</f>
        <v/>
      </c>
    </row>
    <row r="48" spans="1:29">
      <c r="A48" s="2" t="s">
        <v>524</v>
      </c>
      <c r="AB48">
        <f>COUNTIF($W$1:W48,W48)</f>
        <v>0</v>
      </c>
      <c r="AC48" t="str" cm="1">
        <f t="array" ref="AC48">IFERROR(INDEX(W:W,SMALL(IF($AB$2:$AB$1000=1,ROW($AB$2:$AB$1000),""),ROW()-1)),"")</f>
        <v/>
      </c>
    </row>
    <row r="49" spans="1:29">
      <c r="A49" s="2" t="s">
        <v>525</v>
      </c>
      <c r="AB49">
        <f>COUNTIF($W$1:W49,W49)</f>
        <v>0</v>
      </c>
      <c r="AC49" t="str" cm="1">
        <f t="array" ref="AC49">IFERROR(INDEX(W:W,SMALL(IF($AB$2:$AB$1000=1,ROW($AB$2:$AB$1000),""),ROW()-1)),"")</f>
        <v/>
      </c>
    </row>
    <row r="50" spans="1:29">
      <c r="A50" s="2" t="s">
        <v>526</v>
      </c>
      <c r="AB50">
        <f>COUNTIF($W$1:W50,W50)</f>
        <v>0</v>
      </c>
      <c r="AC50" t="str" cm="1">
        <f t="array" ref="AC50">IFERROR(INDEX(W:W,SMALL(IF($AB$2:$AB$1000=1,ROW($AB$2:$AB$1000),""),ROW()-1)),"")</f>
        <v/>
      </c>
    </row>
    <row r="51" spans="1:29">
      <c r="A51" s="2" t="s">
        <v>527</v>
      </c>
      <c r="AB51">
        <f>COUNTIF($W$1:W51,W51)</f>
        <v>0</v>
      </c>
      <c r="AC51" t="str" cm="1">
        <f t="array" ref="AC51">IFERROR(INDEX(W:W,SMALL(IF($AB$2:$AB$1000=1,ROW($AB$2:$AB$1000),""),ROW()-1)),"")</f>
        <v/>
      </c>
    </row>
    <row r="52" spans="1:29">
      <c r="A52" s="2" t="s">
        <v>528</v>
      </c>
    </row>
    <row r="53" spans="1:29">
      <c r="A53" s="2" t="s">
        <v>529</v>
      </c>
    </row>
    <row r="54" spans="1:29">
      <c r="A54" s="2" t="s">
        <v>530</v>
      </c>
    </row>
    <row r="55" spans="1:29">
      <c r="A55" s="2" t="s">
        <v>531</v>
      </c>
    </row>
    <row r="56" spans="1:29">
      <c r="A56" s="2" t="s">
        <v>532</v>
      </c>
    </row>
    <row r="57" spans="1:29">
      <c r="A57" s="2" t="s">
        <v>533</v>
      </c>
    </row>
    <row r="58" spans="1:29">
      <c r="A58" s="2" t="s">
        <v>534</v>
      </c>
    </row>
    <row r="59" spans="1:29">
      <c r="A59" s="2" t="s">
        <v>535</v>
      </c>
    </row>
    <row r="60" spans="1:29">
      <c r="A60" s="2" t="s">
        <v>536</v>
      </c>
    </row>
    <row r="61" spans="1:29">
      <c r="A61" s="2" t="s">
        <v>537</v>
      </c>
    </row>
    <row r="62" spans="1:29">
      <c r="A62" s="2" t="s">
        <v>538</v>
      </c>
    </row>
    <row r="63" spans="1:29">
      <c r="A63" s="2" t="s">
        <v>539</v>
      </c>
    </row>
    <row r="64" spans="1:29">
      <c r="A64" s="2" t="s">
        <v>540</v>
      </c>
    </row>
    <row r="65" spans="1:1">
      <c r="A65" s="2" t="s">
        <v>541</v>
      </c>
    </row>
    <row r="66" spans="1:1">
      <c r="A66" s="2" t="s">
        <v>542</v>
      </c>
    </row>
    <row r="67" spans="1:1">
      <c r="A67" s="2" t="s">
        <v>543</v>
      </c>
    </row>
    <row r="68" spans="1:1">
      <c r="A68" s="2" t="s">
        <v>544</v>
      </c>
    </row>
    <row r="69" spans="1:1">
      <c r="A69" s="2" t="s">
        <v>545</v>
      </c>
    </row>
    <row r="70" spans="1:1">
      <c r="A70" s="2" t="s">
        <v>546</v>
      </c>
    </row>
    <row r="71" spans="1:1">
      <c r="A71" s="2" t="s">
        <v>547</v>
      </c>
    </row>
    <row r="72" spans="1:1">
      <c r="A72" s="2" t="s">
        <v>548</v>
      </c>
    </row>
    <row r="73" spans="1:1">
      <c r="A73" s="2" t="s">
        <v>549</v>
      </c>
    </row>
    <row r="74" spans="1:1">
      <c r="A74" s="2" t="s">
        <v>550</v>
      </c>
    </row>
    <row r="75" spans="1:1">
      <c r="A75" s="2" t="s">
        <v>551</v>
      </c>
    </row>
    <row r="76" spans="1:1">
      <c r="A76" s="2" t="s">
        <v>552</v>
      </c>
    </row>
    <row r="77" spans="1:1">
      <c r="A77" s="2" t="s">
        <v>553</v>
      </c>
    </row>
    <row r="78" spans="1:1">
      <c r="A78" s="2" t="s">
        <v>554</v>
      </c>
    </row>
    <row r="79" spans="1:1">
      <c r="A79" s="2" t="s">
        <v>555</v>
      </c>
    </row>
    <row r="80" spans="1:1">
      <c r="A80" s="2" t="s">
        <v>556</v>
      </c>
    </row>
    <row r="81" spans="1:1">
      <c r="A81" s="2" t="s">
        <v>557</v>
      </c>
    </row>
    <row r="82" spans="1:1">
      <c r="A82" s="2" t="s">
        <v>558</v>
      </c>
    </row>
    <row r="83" spans="1:1">
      <c r="A83" s="2" t="s">
        <v>559</v>
      </c>
    </row>
    <row r="84" spans="1:1">
      <c r="A84" s="2" t="s">
        <v>560</v>
      </c>
    </row>
    <row r="85" spans="1:1">
      <c r="A85" s="2" t="s">
        <v>561</v>
      </c>
    </row>
    <row r="86" spans="1:1">
      <c r="A86" s="2" t="s">
        <v>562</v>
      </c>
    </row>
    <row r="87" spans="1:1">
      <c r="A87" s="2" t="s">
        <v>563</v>
      </c>
    </row>
    <row r="88" spans="1:1">
      <c r="A88" s="2" t="s">
        <v>564</v>
      </c>
    </row>
    <row r="89" spans="1:1">
      <c r="A89" s="2" t="s">
        <v>565</v>
      </c>
    </row>
    <row r="90" spans="1:1">
      <c r="A90" s="2" t="s">
        <v>566</v>
      </c>
    </row>
    <row r="91" spans="1:1">
      <c r="A91" s="2" t="s">
        <v>567</v>
      </c>
    </row>
    <row r="92" spans="1:1">
      <c r="A92" s="2" t="s">
        <v>568</v>
      </c>
    </row>
    <row r="93" spans="1:1">
      <c r="A93" s="2" t="s">
        <v>569</v>
      </c>
    </row>
    <row r="94" spans="1:1">
      <c r="A94" s="2" t="s">
        <v>570</v>
      </c>
    </row>
    <row r="95" spans="1:1">
      <c r="A95" s="2" t="s">
        <v>571</v>
      </c>
    </row>
    <row r="96" spans="1:1">
      <c r="A96" s="2" t="s">
        <v>572</v>
      </c>
    </row>
    <row r="97" spans="1:1">
      <c r="A97" s="2" t="s">
        <v>573</v>
      </c>
    </row>
    <row r="98" spans="1:1">
      <c r="A98" s="2" t="s">
        <v>574</v>
      </c>
    </row>
    <row r="99" spans="1:1">
      <c r="A99" s="2" t="s">
        <v>575</v>
      </c>
    </row>
    <row r="100" spans="1:1">
      <c r="A100" s="2" t="s">
        <v>576</v>
      </c>
    </row>
    <row r="101" spans="1:1">
      <c r="A101" s="2" t="s">
        <v>577</v>
      </c>
    </row>
    <row r="102" spans="1:1">
      <c r="A102" s="2" t="s">
        <v>578</v>
      </c>
    </row>
    <row r="103" spans="1:1">
      <c r="A103" s="2" t="s">
        <v>579</v>
      </c>
    </row>
    <row r="104" spans="1:1">
      <c r="A104" s="2" t="s">
        <v>580</v>
      </c>
    </row>
    <row r="105" spans="1:1">
      <c r="A105" s="2" t="s">
        <v>581</v>
      </c>
    </row>
    <row r="106" spans="1:1">
      <c r="A106" s="2" t="s">
        <v>582</v>
      </c>
    </row>
    <row r="107" spans="1:1">
      <c r="A107" s="2" t="s">
        <v>583</v>
      </c>
    </row>
    <row r="108" spans="1:1">
      <c r="A108" s="2" t="s">
        <v>584</v>
      </c>
    </row>
    <row r="109" spans="1:1">
      <c r="A109" s="2" t="s">
        <v>585</v>
      </c>
    </row>
    <row r="110" spans="1:1">
      <c r="A110" s="2" t="s">
        <v>586</v>
      </c>
    </row>
    <row r="111" spans="1:1">
      <c r="A111" s="2" t="s">
        <v>587</v>
      </c>
    </row>
    <row r="112" spans="1:1">
      <c r="A112" s="2" t="s">
        <v>588</v>
      </c>
    </row>
    <row r="113" spans="1:1">
      <c r="A113" s="2" t="s">
        <v>589</v>
      </c>
    </row>
    <row r="114" spans="1:1">
      <c r="A114" s="2" t="s">
        <v>590</v>
      </c>
    </row>
    <row r="115" spans="1:1">
      <c r="A115" s="2" t="s">
        <v>591</v>
      </c>
    </row>
    <row r="116" spans="1:1">
      <c r="A116" s="2" t="s">
        <v>592</v>
      </c>
    </row>
    <row r="117" spans="1:1">
      <c r="A117" s="2" t="s">
        <v>593</v>
      </c>
    </row>
    <row r="118" spans="1:1">
      <c r="A118" s="2" t="s">
        <v>594</v>
      </c>
    </row>
    <row r="119" spans="1:1">
      <c r="A119" s="2" t="s">
        <v>595</v>
      </c>
    </row>
    <row r="120" spans="1:1">
      <c r="A120" s="2" t="s">
        <v>596</v>
      </c>
    </row>
    <row r="121" spans="1:1">
      <c r="A121" s="2" t="s">
        <v>597</v>
      </c>
    </row>
    <row r="122" spans="1:1">
      <c r="A122" s="2" t="s">
        <v>598</v>
      </c>
    </row>
    <row r="123" spans="1:1">
      <c r="A123" s="2" t="s">
        <v>599</v>
      </c>
    </row>
    <row r="124" spans="1:1">
      <c r="A124" s="2" t="s">
        <v>600</v>
      </c>
    </row>
    <row r="125" spans="1:1">
      <c r="A125" s="2" t="s">
        <v>601</v>
      </c>
    </row>
    <row r="126" spans="1:1">
      <c r="A126" s="2" t="s">
        <v>602</v>
      </c>
    </row>
    <row r="127" spans="1:1">
      <c r="A127" s="2" t="s">
        <v>603</v>
      </c>
    </row>
    <row r="128" spans="1:1">
      <c r="A128" s="2" t="s">
        <v>604</v>
      </c>
    </row>
    <row r="129" spans="1:1">
      <c r="A129" s="2" t="s">
        <v>605</v>
      </c>
    </row>
    <row r="130" spans="1:1">
      <c r="A130" s="2" t="s">
        <v>606</v>
      </c>
    </row>
    <row r="131" spans="1:1">
      <c r="A131" s="2" t="s">
        <v>607</v>
      </c>
    </row>
    <row r="132" spans="1:1">
      <c r="A132" s="2" t="s">
        <v>608</v>
      </c>
    </row>
    <row r="133" spans="1:1">
      <c r="A133" s="2" t="s">
        <v>609</v>
      </c>
    </row>
    <row r="134" spans="1:1">
      <c r="A134" s="2" t="s">
        <v>610</v>
      </c>
    </row>
    <row r="135" spans="1:1">
      <c r="A135" s="2" t="s">
        <v>611</v>
      </c>
    </row>
    <row r="136" spans="1:1">
      <c r="A136" s="2" t="s">
        <v>612</v>
      </c>
    </row>
    <row r="137" spans="1:1">
      <c r="A137" s="2" t="s">
        <v>613</v>
      </c>
    </row>
    <row r="138" spans="1:1">
      <c r="A138" s="2" t="s">
        <v>614</v>
      </c>
    </row>
    <row r="139" spans="1:1">
      <c r="A139" s="2" t="s">
        <v>615</v>
      </c>
    </row>
    <row r="140" spans="1:1">
      <c r="A140" s="2" t="s">
        <v>616</v>
      </c>
    </row>
    <row r="141" spans="1:1">
      <c r="A141" s="2" t="s">
        <v>617</v>
      </c>
    </row>
    <row r="142" spans="1:1">
      <c r="A142" s="2" t="s">
        <v>618</v>
      </c>
    </row>
    <row r="143" spans="1:1">
      <c r="A143" s="2" t="s">
        <v>619</v>
      </c>
    </row>
    <row r="144" spans="1:1">
      <c r="A144" s="2" t="s">
        <v>620</v>
      </c>
    </row>
    <row r="145" spans="1:1">
      <c r="A145" s="2" t="s">
        <v>621</v>
      </c>
    </row>
    <row r="146" spans="1:1">
      <c r="A146" s="2" t="s">
        <v>622</v>
      </c>
    </row>
    <row r="147" spans="1:1">
      <c r="A147" s="2" t="s">
        <v>623</v>
      </c>
    </row>
    <row r="148" spans="1:1">
      <c r="A148" s="2" t="s">
        <v>624</v>
      </c>
    </row>
    <row r="149" spans="1:1">
      <c r="A149" s="2" t="s">
        <v>625</v>
      </c>
    </row>
    <row r="150" spans="1:1">
      <c r="A150" s="2" t="s">
        <v>626</v>
      </c>
    </row>
    <row r="151" spans="1:1">
      <c r="A151" s="2" t="s">
        <v>627</v>
      </c>
    </row>
    <row r="152" spans="1:1">
      <c r="A152" s="2" t="s">
        <v>628</v>
      </c>
    </row>
    <row r="153" spans="1:1">
      <c r="A153" s="2" t="s">
        <v>629</v>
      </c>
    </row>
    <row r="154" spans="1:1">
      <c r="A154" s="2" t="s">
        <v>630</v>
      </c>
    </row>
    <row r="155" spans="1:1">
      <c r="A155" s="2" t="s">
        <v>631</v>
      </c>
    </row>
    <row r="156" spans="1:1">
      <c r="A156" s="2" t="s">
        <v>632</v>
      </c>
    </row>
    <row r="157" spans="1:1">
      <c r="A157" s="2" t="s">
        <v>633</v>
      </c>
    </row>
    <row r="158" spans="1:1">
      <c r="A158" s="2" t="s">
        <v>634</v>
      </c>
    </row>
    <row r="159" spans="1:1">
      <c r="A159" s="2" t="s">
        <v>635</v>
      </c>
    </row>
    <row r="160" spans="1:1">
      <c r="A160" s="2" t="s">
        <v>636</v>
      </c>
    </row>
    <row r="161" spans="1:1">
      <c r="A161" s="2" t="s">
        <v>637</v>
      </c>
    </row>
    <row r="162" spans="1:1">
      <c r="A162" s="2" t="s">
        <v>638</v>
      </c>
    </row>
    <row r="163" spans="1:1">
      <c r="A163" s="2" t="s">
        <v>639</v>
      </c>
    </row>
    <row r="164" spans="1:1">
      <c r="A164" s="2" t="s">
        <v>640</v>
      </c>
    </row>
    <row r="165" spans="1:1">
      <c r="A165" s="2" t="s">
        <v>641</v>
      </c>
    </row>
    <row r="166" spans="1:1">
      <c r="A166" s="2" t="s">
        <v>642</v>
      </c>
    </row>
    <row r="167" spans="1:1">
      <c r="A167" s="2" t="s">
        <v>643</v>
      </c>
    </row>
    <row r="168" spans="1:1">
      <c r="A168" s="2" t="s">
        <v>644</v>
      </c>
    </row>
    <row r="169" spans="1:1">
      <c r="A169" s="2" t="s">
        <v>645</v>
      </c>
    </row>
    <row r="170" spans="1:1">
      <c r="A170" s="2" t="s">
        <v>646</v>
      </c>
    </row>
    <row r="171" spans="1:1">
      <c r="A171" s="2" t="s">
        <v>647</v>
      </c>
    </row>
    <row r="172" spans="1:1">
      <c r="A172" s="2" t="s">
        <v>648</v>
      </c>
    </row>
    <row r="173" spans="1:1">
      <c r="A173" s="2" t="s">
        <v>649</v>
      </c>
    </row>
    <row r="174" spans="1:1">
      <c r="A174" s="2" t="s">
        <v>650</v>
      </c>
    </row>
    <row r="175" spans="1:1">
      <c r="A175" s="2" t="s">
        <v>651</v>
      </c>
    </row>
    <row r="176" spans="1:1">
      <c r="A176" s="2" t="s">
        <v>50</v>
      </c>
    </row>
    <row r="177" spans="1:1">
      <c r="A177" s="2" t="s">
        <v>652</v>
      </c>
    </row>
    <row r="178" spans="1:1">
      <c r="A178" s="2" t="s">
        <v>653</v>
      </c>
    </row>
    <row r="179" spans="1:1">
      <c r="A179" s="2" t="s">
        <v>654</v>
      </c>
    </row>
    <row r="180" spans="1:1">
      <c r="A180" s="2" t="s">
        <v>655</v>
      </c>
    </row>
    <row r="181" spans="1:1">
      <c r="A181" s="2" t="s">
        <v>656</v>
      </c>
    </row>
    <row r="182" spans="1:1">
      <c r="A182" s="2" t="s">
        <v>657</v>
      </c>
    </row>
    <row r="183" spans="1:1">
      <c r="A183" s="2" t="s">
        <v>658</v>
      </c>
    </row>
    <row r="184" spans="1:1">
      <c r="A184" s="2" t="s">
        <v>659</v>
      </c>
    </row>
    <row r="185" spans="1:1">
      <c r="A185" s="2" t="s">
        <v>660</v>
      </c>
    </row>
    <row r="186" spans="1:1">
      <c r="A186" s="2" t="s">
        <v>661</v>
      </c>
    </row>
    <row r="187" spans="1:1">
      <c r="A187" s="2" t="s">
        <v>662</v>
      </c>
    </row>
    <row r="188" spans="1:1">
      <c r="A188" s="2" t="s">
        <v>663</v>
      </c>
    </row>
    <row r="189" spans="1:1">
      <c r="A189" s="2" t="s">
        <v>664</v>
      </c>
    </row>
    <row r="190" spans="1:1">
      <c r="A190" s="2" t="s">
        <v>665</v>
      </c>
    </row>
    <row r="191" spans="1:1">
      <c r="A191" s="2" t="s">
        <v>666</v>
      </c>
    </row>
    <row r="192" spans="1:1">
      <c r="A192" s="2" t="s">
        <v>667</v>
      </c>
    </row>
    <row r="193" spans="1:1">
      <c r="A193" s="2" t="s">
        <v>668</v>
      </c>
    </row>
    <row r="194" spans="1:1">
      <c r="A194" s="2" t="s">
        <v>669</v>
      </c>
    </row>
    <row r="195" spans="1:1">
      <c r="A195" s="2" t="s">
        <v>670</v>
      </c>
    </row>
    <row r="196" spans="1:1">
      <c r="A196" s="2" t="s">
        <v>671</v>
      </c>
    </row>
    <row r="197" spans="1:1">
      <c r="A197" s="2" t="s">
        <v>672</v>
      </c>
    </row>
    <row r="198" spans="1:1">
      <c r="A198" s="2" t="s">
        <v>673</v>
      </c>
    </row>
    <row r="199" spans="1:1">
      <c r="A199" s="2" t="s">
        <v>674</v>
      </c>
    </row>
    <row r="200" spans="1:1">
      <c r="A200" s="2" t="s">
        <v>675</v>
      </c>
    </row>
    <row r="201" spans="1:1">
      <c r="A201" s="2" t="s">
        <v>676</v>
      </c>
    </row>
    <row r="202" spans="1:1">
      <c r="A202" s="2" t="s">
        <v>677</v>
      </c>
    </row>
    <row r="203" spans="1:1">
      <c r="A203" s="2" t="s">
        <v>678</v>
      </c>
    </row>
    <row r="204" spans="1:1">
      <c r="A204" s="2" t="s">
        <v>679</v>
      </c>
    </row>
    <row r="205" spans="1:1">
      <c r="A205" s="2" t="s">
        <v>680</v>
      </c>
    </row>
    <row r="206" spans="1:1">
      <c r="A206" s="2" t="s">
        <v>681</v>
      </c>
    </row>
    <row r="207" spans="1:1">
      <c r="A207" s="2" t="s">
        <v>682</v>
      </c>
    </row>
    <row r="208" spans="1:1">
      <c r="A208" s="2" t="s">
        <v>683</v>
      </c>
    </row>
    <row r="209" spans="1:1">
      <c r="A209" s="2" t="s">
        <v>684</v>
      </c>
    </row>
    <row r="210" spans="1:1">
      <c r="A210" s="2" t="s">
        <v>685</v>
      </c>
    </row>
    <row r="211" spans="1:1">
      <c r="A211" s="2" t="s">
        <v>686</v>
      </c>
    </row>
    <row r="212" spans="1:1">
      <c r="A212" s="2" t="s">
        <v>687</v>
      </c>
    </row>
    <row r="213" spans="1:1">
      <c r="A213" s="2" t="s">
        <v>688</v>
      </c>
    </row>
    <row r="214" spans="1:1">
      <c r="A214" s="2" t="s">
        <v>689</v>
      </c>
    </row>
    <row r="215" spans="1:1">
      <c r="A215" s="2" t="s">
        <v>690</v>
      </c>
    </row>
    <row r="216" spans="1:1">
      <c r="A216" s="2" t="s">
        <v>691</v>
      </c>
    </row>
    <row r="217" spans="1:1">
      <c r="A217" s="2" t="s">
        <v>692</v>
      </c>
    </row>
    <row r="218" spans="1:1">
      <c r="A218" s="2" t="s">
        <v>693</v>
      </c>
    </row>
    <row r="219" spans="1:1">
      <c r="A219" s="2" t="s">
        <v>694</v>
      </c>
    </row>
    <row r="220" spans="1:1">
      <c r="A220" s="2" t="s">
        <v>695</v>
      </c>
    </row>
    <row r="221" spans="1:1">
      <c r="A221" s="2" t="s">
        <v>696</v>
      </c>
    </row>
    <row r="222" spans="1:1">
      <c r="A222" s="2" t="s">
        <v>697</v>
      </c>
    </row>
    <row r="223" spans="1:1">
      <c r="A223" s="2" t="s">
        <v>698</v>
      </c>
    </row>
    <row r="224" spans="1:1">
      <c r="A224" s="2" t="s">
        <v>699</v>
      </c>
    </row>
    <row r="225" spans="1:1">
      <c r="A225" s="2" t="s">
        <v>700</v>
      </c>
    </row>
    <row r="226" spans="1:1">
      <c r="A226" s="2" t="s">
        <v>701</v>
      </c>
    </row>
    <row r="227" spans="1:1">
      <c r="A227" s="2" t="s">
        <v>702</v>
      </c>
    </row>
    <row r="228" spans="1:1">
      <c r="A228" s="2" t="s">
        <v>703</v>
      </c>
    </row>
    <row r="229" spans="1:1">
      <c r="A229" s="2" t="s">
        <v>704</v>
      </c>
    </row>
    <row r="230" spans="1:1">
      <c r="A230" s="2" t="s">
        <v>705</v>
      </c>
    </row>
    <row r="231" spans="1:1">
      <c r="A231" s="2" t="s">
        <v>706</v>
      </c>
    </row>
    <row r="232" spans="1:1">
      <c r="A232" s="2" t="s">
        <v>707</v>
      </c>
    </row>
    <row r="233" spans="1:1">
      <c r="A233" s="2" t="s">
        <v>708</v>
      </c>
    </row>
    <row r="234" spans="1:1">
      <c r="A234" s="2" t="s">
        <v>709</v>
      </c>
    </row>
    <row r="235" spans="1:1">
      <c r="A235" s="2" t="s">
        <v>710</v>
      </c>
    </row>
    <row r="236" spans="1:1">
      <c r="A236" s="2" t="s">
        <v>711</v>
      </c>
    </row>
    <row r="237" spans="1:1">
      <c r="A237" s="2" t="s">
        <v>712</v>
      </c>
    </row>
    <row r="238" spans="1:1">
      <c r="A238" s="2" t="s">
        <v>713</v>
      </c>
    </row>
    <row r="239" spans="1:1">
      <c r="A239" s="2" t="s">
        <v>714</v>
      </c>
    </row>
    <row r="240" spans="1:1">
      <c r="A240" s="2" t="s">
        <v>715</v>
      </c>
    </row>
    <row r="241" spans="1:1">
      <c r="A241" s="2" t="s">
        <v>716</v>
      </c>
    </row>
    <row r="242" spans="1:1">
      <c r="A242" s="2" t="s">
        <v>717</v>
      </c>
    </row>
    <row r="243" spans="1:1">
      <c r="A243" s="2" t="s">
        <v>718</v>
      </c>
    </row>
    <row r="244" spans="1:1">
      <c r="A244" s="2" t="s">
        <v>719</v>
      </c>
    </row>
    <row r="245" spans="1:1">
      <c r="A245" s="2" t="s">
        <v>720</v>
      </c>
    </row>
    <row r="246" spans="1:1">
      <c r="A246" s="2" t="s">
        <v>721</v>
      </c>
    </row>
    <row r="247" spans="1:1">
      <c r="A247" s="2" t="s">
        <v>722</v>
      </c>
    </row>
    <row r="248" spans="1:1">
      <c r="A248" s="2" t="s">
        <v>723</v>
      </c>
    </row>
    <row r="249" spans="1:1">
      <c r="A249" s="2" t="s">
        <v>724</v>
      </c>
    </row>
    <row r="250" spans="1:1">
      <c r="A250" s="2" t="s">
        <v>725</v>
      </c>
    </row>
    <row r="251" spans="1:1">
      <c r="A251" s="2" t="s">
        <v>726</v>
      </c>
    </row>
    <row r="252" spans="1:1">
      <c r="A252" s="2" t="s">
        <v>727</v>
      </c>
    </row>
    <row r="253" spans="1:1">
      <c r="A253" s="2" t="s">
        <v>728</v>
      </c>
    </row>
    <row r="254" spans="1:1">
      <c r="A254" s="2" t="s">
        <v>729</v>
      </c>
    </row>
    <row r="255" spans="1:1">
      <c r="A255" s="2" t="s">
        <v>730</v>
      </c>
    </row>
    <row r="256" spans="1:1">
      <c r="A256" s="2" t="s">
        <v>731</v>
      </c>
    </row>
    <row r="257" spans="1:1">
      <c r="A257" s="2" t="s">
        <v>732</v>
      </c>
    </row>
    <row r="258" spans="1:1">
      <c r="A258" s="2" t="s">
        <v>733</v>
      </c>
    </row>
    <row r="259" spans="1:1">
      <c r="A259" s="2" t="s">
        <v>734</v>
      </c>
    </row>
    <row r="260" spans="1:1">
      <c r="A260" s="2" t="s">
        <v>735</v>
      </c>
    </row>
    <row r="261" spans="1:1">
      <c r="A261" s="2" t="s">
        <v>736</v>
      </c>
    </row>
    <row r="262" spans="1:1">
      <c r="A262" s="2" t="s">
        <v>737</v>
      </c>
    </row>
    <row r="263" spans="1:1">
      <c r="A263" s="2" t="s">
        <v>738</v>
      </c>
    </row>
    <row r="264" spans="1:1">
      <c r="A264" s="2" t="s">
        <v>739</v>
      </c>
    </row>
    <row r="265" spans="1:1">
      <c r="A265" s="2" t="s">
        <v>740</v>
      </c>
    </row>
    <row r="266" spans="1:1">
      <c r="A266" s="2" t="s">
        <v>741</v>
      </c>
    </row>
    <row r="267" spans="1:1">
      <c r="A267" s="2" t="s">
        <v>742</v>
      </c>
    </row>
    <row r="268" spans="1:1">
      <c r="A268" s="2" t="s">
        <v>743</v>
      </c>
    </row>
    <row r="269" spans="1:1">
      <c r="A269" s="2" t="s">
        <v>744</v>
      </c>
    </row>
    <row r="270" spans="1:1">
      <c r="A270" s="2" t="s">
        <v>745</v>
      </c>
    </row>
    <row r="271" spans="1:1">
      <c r="A271" s="2" t="s">
        <v>746</v>
      </c>
    </row>
    <row r="272" spans="1:1">
      <c r="A272" s="2" t="s">
        <v>747</v>
      </c>
    </row>
    <row r="273" spans="1:1">
      <c r="A273" s="2" t="s">
        <v>748</v>
      </c>
    </row>
    <row r="274" spans="1:1">
      <c r="A274" s="2" t="s">
        <v>749</v>
      </c>
    </row>
    <row r="275" spans="1:1">
      <c r="A275" s="2" t="s">
        <v>750</v>
      </c>
    </row>
    <row r="276" spans="1:1">
      <c r="A276" s="2" t="s">
        <v>751</v>
      </c>
    </row>
    <row r="277" spans="1:1">
      <c r="A277" s="2" t="s">
        <v>752</v>
      </c>
    </row>
    <row r="278" spans="1:1">
      <c r="A278" s="2" t="s">
        <v>753</v>
      </c>
    </row>
    <row r="279" spans="1:1">
      <c r="A279" s="2" t="s">
        <v>754</v>
      </c>
    </row>
    <row r="280" spans="1:1">
      <c r="A280" s="2" t="s">
        <v>755</v>
      </c>
    </row>
    <row r="281" spans="1:1">
      <c r="A281" s="2" t="s">
        <v>756</v>
      </c>
    </row>
    <row r="282" spans="1:1">
      <c r="A282" s="2" t="s">
        <v>757</v>
      </c>
    </row>
    <row r="283" spans="1:1">
      <c r="A283" s="2" t="s">
        <v>758</v>
      </c>
    </row>
    <row r="284" spans="1:1">
      <c r="A284" s="2" t="s">
        <v>759</v>
      </c>
    </row>
    <row r="285" spans="1:1">
      <c r="A285" s="2" t="s">
        <v>760</v>
      </c>
    </row>
    <row r="286" spans="1:1">
      <c r="A286" s="2" t="s">
        <v>761</v>
      </c>
    </row>
    <row r="287" spans="1:1">
      <c r="A287" s="2" t="s">
        <v>762</v>
      </c>
    </row>
    <row r="288" spans="1:1">
      <c r="A288" s="2" t="s">
        <v>763</v>
      </c>
    </row>
    <row r="289" spans="1:1">
      <c r="A289" s="2" t="s">
        <v>764</v>
      </c>
    </row>
    <row r="290" spans="1:1">
      <c r="A290" s="2" t="s">
        <v>765</v>
      </c>
    </row>
    <row r="291" spans="1:1">
      <c r="A291" s="2" t="s">
        <v>766</v>
      </c>
    </row>
    <row r="292" spans="1:1">
      <c r="A292" s="2" t="s">
        <v>767</v>
      </c>
    </row>
    <row r="293" spans="1:1">
      <c r="A293" s="2" t="s">
        <v>768</v>
      </c>
    </row>
    <row r="294" spans="1:1">
      <c r="A294" s="2" t="s">
        <v>769</v>
      </c>
    </row>
    <row r="295" spans="1:1">
      <c r="A295" s="2" t="s">
        <v>770</v>
      </c>
    </row>
    <row r="296" spans="1:1">
      <c r="A296" s="2" t="s">
        <v>58</v>
      </c>
    </row>
    <row r="297" spans="1:1">
      <c r="A297" s="2" t="s">
        <v>771</v>
      </c>
    </row>
    <row r="298" spans="1:1">
      <c r="A298" s="2" t="s">
        <v>772</v>
      </c>
    </row>
    <row r="299" spans="1:1">
      <c r="A299" s="2" t="s">
        <v>773</v>
      </c>
    </row>
    <row r="300" spans="1:1">
      <c r="A300" s="2" t="s">
        <v>774</v>
      </c>
    </row>
    <row r="301" spans="1:1">
      <c r="A301" s="2" t="s">
        <v>775</v>
      </c>
    </row>
    <row r="302" spans="1:1">
      <c r="A302" s="2" t="s">
        <v>776</v>
      </c>
    </row>
    <row r="303" spans="1:1">
      <c r="A303" s="2" t="s">
        <v>777</v>
      </c>
    </row>
    <row r="304" spans="1:1">
      <c r="A304" s="2" t="s">
        <v>778</v>
      </c>
    </row>
    <row r="305" spans="1:1">
      <c r="A305" s="2" t="s">
        <v>779</v>
      </c>
    </row>
    <row r="306" spans="1:1">
      <c r="A306" s="2" t="s">
        <v>780</v>
      </c>
    </row>
    <row r="307" spans="1:1">
      <c r="A307" s="2" t="s">
        <v>781</v>
      </c>
    </row>
    <row r="308" spans="1:1">
      <c r="A308" s="2" t="s">
        <v>782</v>
      </c>
    </row>
    <row r="309" spans="1:1">
      <c r="A309" s="2" t="s">
        <v>783</v>
      </c>
    </row>
    <row r="310" spans="1:1">
      <c r="A310" s="2" t="s">
        <v>784</v>
      </c>
    </row>
    <row r="311" spans="1:1">
      <c r="A311" s="2" t="s">
        <v>785</v>
      </c>
    </row>
    <row r="312" spans="1:1">
      <c r="A312" s="2" t="s">
        <v>786</v>
      </c>
    </row>
    <row r="313" spans="1:1">
      <c r="A313" s="2" t="s">
        <v>787</v>
      </c>
    </row>
    <row r="314" spans="1:1">
      <c r="A314" s="2" t="s">
        <v>788</v>
      </c>
    </row>
    <row r="315" spans="1:1">
      <c r="A315" s="2" t="s">
        <v>789</v>
      </c>
    </row>
    <row r="316" spans="1:1">
      <c r="A316" s="2" t="s">
        <v>790</v>
      </c>
    </row>
    <row r="317" spans="1:1">
      <c r="A317" s="2" t="s">
        <v>791</v>
      </c>
    </row>
    <row r="318" spans="1:1">
      <c r="A318" s="2" t="s">
        <v>792</v>
      </c>
    </row>
    <row r="319" spans="1:1">
      <c r="A319" s="2" t="s">
        <v>793</v>
      </c>
    </row>
    <row r="320" spans="1:1">
      <c r="A320" s="2" t="s">
        <v>794</v>
      </c>
    </row>
    <row r="321" spans="1:1">
      <c r="A321" s="2" t="s">
        <v>795</v>
      </c>
    </row>
    <row r="322" spans="1:1">
      <c r="A322" s="2" t="s">
        <v>796</v>
      </c>
    </row>
    <row r="323" spans="1:1">
      <c r="A323" s="2" t="s">
        <v>797</v>
      </c>
    </row>
    <row r="324" spans="1:1">
      <c r="A324" s="2" t="s">
        <v>798</v>
      </c>
    </row>
    <row r="325" spans="1:1">
      <c r="A325" s="2" t="s">
        <v>799</v>
      </c>
    </row>
    <row r="326" spans="1:1">
      <c r="A326" s="2" t="s">
        <v>800</v>
      </c>
    </row>
    <row r="327" spans="1:1">
      <c r="A327" s="2" t="s">
        <v>801</v>
      </c>
    </row>
    <row r="328" spans="1:1">
      <c r="A328" s="2" t="s">
        <v>802</v>
      </c>
    </row>
    <row r="329" spans="1:1">
      <c r="A329" s="2" t="s">
        <v>803</v>
      </c>
    </row>
    <row r="330" spans="1:1">
      <c r="A330" s="2" t="s">
        <v>804</v>
      </c>
    </row>
    <row r="331" spans="1:1">
      <c r="A331" s="2" t="s">
        <v>805</v>
      </c>
    </row>
    <row r="332" spans="1:1">
      <c r="A332" s="2" t="s">
        <v>806</v>
      </c>
    </row>
    <row r="333" spans="1:1">
      <c r="A333" s="2" t="s">
        <v>807</v>
      </c>
    </row>
    <row r="334" spans="1:1">
      <c r="A334" s="2" t="s">
        <v>808</v>
      </c>
    </row>
    <row r="335" spans="1:1">
      <c r="A335" s="2" t="s">
        <v>809</v>
      </c>
    </row>
    <row r="336" spans="1:1">
      <c r="A336" s="2" t="s">
        <v>810</v>
      </c>
    </row>
    <row r="337" spans="1:1">
      <c r="A337" s="2" t="s">
        <v>811</v>
      </c>
    </row>
    <row r="338" spans="1:1">
      <c r="A338" s="2" t="s">
        <v>61</v>
      </c>
    </row>
    <row r="339" spans="1:1">
      <c r="A339" s="2" t="s">
        <v>812</v>
      </c>
    </row>
    <row r="340" spans="1:1">
      <c r="A340" s="2" t="s">
        <v>813</v>
      </c>
    </row>
    <row r="341" spans="1:1">
      <c r="A341" s="2" t="s">
        <v>814</v>
      </c>
    </row>
    <row r="342" spans="1:1">
      <c r="A342" s="2" t="s">
        <v>815</v>
      </c>
    </row>
    <row r="343" spans="1:1">
      <c r="A343" s="2" t="s">
        <v>816</v>
      </c>
    </row>
    <row r="344" spans="1:1">
      <c r="A344" s="2" t="s">
        <v>817</v>
      </c>
    </row>
    <row r="345" spans="1:1">
      <c r="A345" s="2" t="s">
        <v>818</v>
      </c>
    </row>
    <row r="346" spans="1:1">
      <c r="A346" s="2" t="s">
        <v>819</v>
      </c>
    </row>
    <row r="347" spans="1:1">
      <c r="A347" s="2" t="s">
        <v>820</v>
      </c>
    </row>
    <row r="348" spans="1:1">
      <c r="A348" s="2" t="s">
        <v>821</v>
      </c>
    </row>
    <row r="349" spans="1:1">
      <c r="A349" s="2" t="s">
        <v>822</v>
      </c>
    </row>
    <row r="350" spans="1:1">
      <c r="A350" s="2" t="s">
        <v>823</v>
      </c>
    </row>
    <row r="351" spans="1:1">
      <c r="A351" s="2" t="s">
        <v>824</v>
      </c>
    </row>
    <row r="352" spans="1:1">
      <c r="A352" s="2" t="s">
        <v>825</v>
      </c>
    </row>
    <row r="353" spans="1:1">
      <c r="A353" s="2" t="s">
        <v>826</v>
      </c>
    </row>
    <row r="354" spans="1:1">
      <c r="A354" s="2" t="s">
        <v>827</v>
      </c>
    </row>
    <row r="355" spans="1:1">
      <c r="A355" s="2" t="s">
        <v>828</v>
      </c>
    </row>
    <row r="356" spans="1:1">
      <c r="A356" s="2" t="s">
        <v>829</v>
      </c>
    </row>
    <row r="357" spans="1:1">
      <c r="A357" s="2" t="s">
        <v>830</v>
      </c>
    </row>
    <row r="358" spans="1:1">
      <c r="A358" s="2" t="s">
        <v>831</v>
      </c>
    </row>
    <row r="359" spans="1:1">
      <c r="A359" s="2" t="s">
        <v>832</v>
      </c>
    </row>
    <row r="360" spans="1:1">
      <c r="A360" s="2" t="s">
        <v>833</v>
      </c>
    </row>
    <row r="361" spans="1:1">
      <c r="A361" s="2" t="s">
        <v>834</v>
      </c>
    </row>
    <row r="362" spans="1:1">
      <c r="A362" s="2" t="s">
        <v>47</v>
      </c>
    </row>
    <row r="363" spans="1:1">
      <c r="A363" s="2" t="s">
        <v>835</v>
      </c>
    </row>
    <row r="364" spans="1:1">
      <c r="A364" s="2" t="s">
        <v>836</v>
      </c>
    </row>
    <row r="365" spans="1:1">
      <c r="A365" s="2" t="s">
        <v>837</v>
      </c>
    </row>
    <row r="366" spans="1:1">
      <c r="A366" s="2" t="s">
        <v>838</v>
      </c>
    </row>
    <row r="367" spans="1:1">
      <c r="A367" s="2" t="s">
        <v>839</v>
      </c>
    </row>
    <row r="368" spans="1:1">
      <c r="A368" s="2" t="s">
        <v>840</v>
      </c>
    </row>
    <row r="369" spans="1:1">
      <c r="A369" s="2" t="s">
        <v>841</v>
      </c>
    </row>
    <row r="370" spans="1:1">
      <c r="A370" s="2" t="s">
        <v>842</v>
      </c>
    </row>
    <row r="371" spans="1:1">
      <c r="A371" s="2" t="s">
        <v>843</v>
      </c>
    </row>
    <row r="372" spans="1:1">
      <c r="A372" s="2" t="s">
        <v>844</v>
      </c>
    </row>
    <row r="373" spans="1:1">
      <c r="A373" s="2" t="s">
        <v>845</v>
      </c>
    </row>
    <row r="374" spans="1:1">
      <c r="A374" s="2" t="s">
        <v>846</v>
      </c>
    </row>
    <row r="375" spans="1:1">
      <c r="A375" s="2" t="s">
        <v>847</v>
      </c>
    </row>
    <row r="376" spans="1:1">
      <c r="A376" s="2" t="s">
        <v>848</v>
      </c>
    </row>
    <row r="377" spans="1:1">
      <c r="A377" s="2" t="s">
        <v>849</v>
      </c>
    </row>
    <row r="378" spans="1:1">
      <c r="A378" s="2" t="s">
        <v>850</v>
      </c>
    </row>
    <row r="379" spans="1:1">
      <c r="A379" s="2" t="s">
        <v>851</v>
      </c>
    </row>
    <row r="380" spans="1:1">
      <c r="A380" s="2" t="s">
        <v>852</v>
      </c>
    </row>
    <row r="381" spans="1:1">
      <c r="A381" s="2" t="s">
        <v>853</v>
      </c>
    </row>
    <row r="382" spans="1:1">
      <c r="A382" s="2" t="s">
        <v>854</v>
      </c>
    </row>
    <row r="383" spans="1:1">
      <c r="A383" s="2" t="s">
        <v>855</v>
      </c>
    </row>
    <row r="384" spans="1:1">
      <c r="A384" s="2" t="s">
        <v>856</v>
      </c>
    </row>
    <row r="385" spans="1:1">
      <c r="A385" s="2" t="s">
        <v>857</v>
      </c>
    </row>
    <row r="386" spans="1:1">
      <c r="A386" s="2" t="s">
        <v>858</v>
      </c>
    </row>
    <row r="387" spans="1:1">
      <c r="A387" s="2" t="s">
        <v>859</v>
      </c>
    </row>
    <row r="388" spans="1:1">
      <c r="A388" s="2" t="s">
        <v>860</v>
      </c>
    </row>
    <row r="389" spans="1:1">
      <c r="A389" s="2" t="s">
        <v>861</v>
      </c>
    </row>
    <row r="390" spans="1:1">
      <c r="A390" s="2" t="s">
        <v>862</v>
      </c>
    </row>
    <row r="391" spans="1:1">
      <c r="A391" s="2" t="s">
        <v>863</v>
      </c>
    </row>
    <row r="392" spans="1:1">
      <c r="A392" s="2" t="s">
        <v>864</v>
      </c>
    </row>
    <row r="393" spans="1:1">
      <c r="A393" s="2" t="s">
        <v>865</v>
      </c>
    </row>
    <row r="394" spans="1:1">
      <c r="A394" s="2" t="s">
        <v>866</v>
      </c>
    </row>
    <row r="395" spans="1:1">
      <c r="A395" s="2" t="s">
        <v>867</v>
      </c>
    </row>
    <row r="396" spans="1:1">
      <c r="A396" s="2" t="s">
        <v>868</v>
      </c>
    </row>
    <row r="397" spans="1:1">
      <c r="A397" s="2" t="s">
        <v>869</v>
      </c>
    </row>
    <row r="398" spans="1:1">
      <c r="A398" s="2" t="s">
        <v>870</v>
      </c>
    </row>
    <row r="399" spans="1:1">
      <c r="A399" s="2" t="s">
        <v>871</v>
      </c>
    </row>
    <row r="400" spans="1:1">
      <c r="A400" s="2" t="s">
        <v>872</v>
      </c>
    </row>
    <row r="401" spans="1:1">
      <c r="A401" s="2" t="s">
        <v>873</v>
      </c>
    </row>
    <row r="402" spans="1:1">
      <c r="A402" s="2" t="s">
        <v>874</v>
      </c>
    </row>
    <row r="403" spans="1:1">
      <c r="A403" s="2" t="s">
        <v>875</v>
      </c>
    </row>
    <row r="404" spans="1:1">
      <c r="A404" s="2" t="s">
        <v>876</v>
      </c>
    </row>
    <row r="405" spans="1:1">
      <c r="A405" s="2" t="s">
        <v>877</v>
      </c>
    </row>
    <row r="406" spans="1:1">
      <c r="A406" s="2" t="s">
        <v>878</v>
      </c>
    </row>
    <row r="407" spans="1:1">
      <c r="A407" s="2" t="s">
        <v>879</v>
      </c>
    </row>
    <row r="408" spans="1:1">
      <c r="A408" s="2" t="s">
        <v>880</v>
      </c>
    </row>
    <row r="409" spans="1:1">
      <c r="A409" s="2" t="s">
        <v>881</v>
      </c>
    </row>
    <row r="410" spans="1:1">
      <c r="A410" s="2" t="s">
        <v>882</v>
      </c>
    </row>
    <row r="411" spans="1:1">
      <c r="A411" s="2" t="s">
        <v>883</v>
      </c>
    </row>
    <row r="412" spans="1:1">
      <c r="A412" s="2" t="s">
        <v>884</v>
      </c>
    </row>
    <row r="413" spans="1:1">
      <c r="A413" s="2" t="s">
        <v>885</v>
      </c>
    </row>
    <row r="414" spans="1:1">
      <c r="A414" s="2" t="s">
        <v>886</v>
      </c>
    </row>
    <row r="415" spans="1:1">
      <c r="A415" s="2" t="s">
        <v>887</v>
      </c>
    </row>
    <row r="416" spans="1:1">
      <c r="A416" s="2" t="s">
        <v>888</v>
      </c>
    </row>
    <row r="417" spans="1:1">
      <c r="A417" s="2" t="s">
        <v>889</v>
      </c>
    </row>
    <row r="418" spans="1:1">
      <c r="A418" s="2" t="s">
        <v>890</v>
      </c>
    </row>
    <row r="419" spans="1:1">
      <c r="A419" s="2" t="s">
        <v>891</v>
      </c>
    </row>
    <row r="420" spans="1:1">
      <c r="A420" s="2" t="s">
        <v>892</v>
      </c>
    </row>
    <row r="421" spans="1:1">
      <c r="A421" s="2" t="s">
        <v>893</v>
      </c>
    </row>
    <row r="422" spans="1:1">
      <c r="A422" s="2" t="s">
        <v>894</v>
      </c>
    </row>
    <row r="423" spans="1:1">
      <c r="A423" s="2" t="s">
        <v>895</v>
      </c>
    </row>
    <row r="424" spans="1:1">
      <c r="A424" s="2" t="s">
        <v>896</v>
      </c>
    </row>
    <row r="425" spans="1:1">
      <c r="A425" s="2" t="s">
        <v>897</v>
      </c>
    </row>
    <row r="426" spans="1:1">
      <c r="A426" s="2" t="s">
        <v>898</v>
      </c>
    </row>
    <row r="427" spans="1:1">
      <c r="A427" s="2" t="s">
        <v>899</v>
      </c>
    </row>
    <row r="428" spans="1:1">
      <c r="A428" s="2" t="s">
        <v>900</v>
      </c>
    </row>
    <row r="429" spans="1:1">
      <c r="A429" s="2" t="s">
        <v>901</v>
      </c>
    </row>
    <row r="430" spans="1:1">
      <c r="A430" s="2" t="s">
        <v>902</v>
      </c>
    </row>
    <row r="431" spans="1:1">
      <c r="A431" s="2" t="s">
        <v>903</v>
      </c>
    </row>
    <row r="432" spans="1:1">
      <c r="A432" s="2" t="s">
        <v>904</v>
      </c>
    </row>
    <row r="433" spans="1:1">
      <c r="A433" s="2" t="s">
        <v>905</v>
      </c>
    </row>
    <row r="434" spans="1:1">
      <c r="A434" s="2" t="s">
        <v>906</v>
      </c>
    </row>
    <row r="435" spans="1:1">
      <c r="A435" s="2" t="s">
        <v>907</v>
      </c>
    </row>
    <row r="436" spans="1:1">
      <c r="A436" s="2" t="s">
        <v>908</v>
      </c>
    </row>
    <row r="437" spans="1:1">
      <c r="A437" s="2" t="s">
        <v>909</v>
      </c>
    </row>
    <row r="438" spans="1:1">
      <c r="A438" s="2" t="s">
        <v>910</v>
      </c>
    </row>
    <row r="439" spans="1:1">
      <c r="A439" s="2" t="s">
        <v>911</v>
      </c>
    </row>
    <row r="440" spans="1:1">
      <c r="A440" s="2" t="s">
        <v>912</v>
      </c>
    </row>
    <row r="441" spans="1:1">
      <c r="A441" s="2" t="s">
        <v>913</v>
      </c>
    </row>
    <row r="442" spans="1:1">
      <c r="A442" s="2" t="s">
        <v>914</v>
      </c>
    </row>
    <row r="443" spans="1:1">
      <c r="A443" s="2" t="s">
        <v>915</v>
      </c>
    </row>
    <row r="444" spans="1:1">
      <c r="A444" s="2" t="s">
        <v>916</v>
      </c>
    </row>
    <row r="445" spans="1:1">
      <c r="A445" s="2" t="s">
        <v>917</v>
      </c>
    </row>
    <row r="446" spans="1:1">
      <c r="A446" s="2" t="s">
        <v>918</v>
      </c>
    </row>
    <row r="447" spans="1:1">
      <c r="A447" s="2" t="s">
        <v>919</v>
      </c>
    </row>
    <row r="448" spans="1:1">
      <c r="A448" s="2" t="s">
        <v>920</v>
      </c>
    </row>
    <row r="449" spans="1:1">
      <c r="A449" s="2" t="s">
        <v>921</v>
      </c>
    </row>
    <row r="450" spans="1:1">
      <c r="A450" s="2" t="s">
        <v>922</v>
      </c>
    </row>
    <row r="451" spans="1:1">
      <c r="A451" s="2" t="s">
        <v>923</v>
      </c>
    </row>
    <row r="452" spans="1:1">
      <c r="A452" s="2" t="s">
        <v>924</v>
      </c>
    </row>
    <row r="453" spans="1:1">
      <c r="A453" s="2" t="s">
        <v>925</v>
      </c>
    </row>
    <row r="454" spans="1:1">
      <c r="A454" s="2" t="s">
        <v>926</v>
      </c>
    </row>
    <row r="455" spans="1:1">
      <c r="A455" s="2" t="s">
        <v>927</v>
      </c>
    </row>
    <row r="456" spans="1:1">
      <c r="A456" s="2" t="s">
        <v>928</v>
      </c>
    </row>
    <row r="457" spans="1:1">
      <c r="A457" s="2" t="s">
        <v>929</v>
      </c>
    </row>
    <row r="458" spans="1:1">
      <c r="A458" s="2" t="s">
        <v>930</v>
      </c>
    </row>
    <row r="459" spans="1:1">
      <c r="A459" s="2" t="s">
        <v>931</v>
      </c>
    </row>
    <row r="460" spans="1:1">
      <c r="A460" s="2" t="s">
        <v>932</v>
      </c>
    </row>
    <row r="461" spans="1:1">
      <c r="A461" s="2" t="s">
        <v>933</v>
      </c>
    </row>
    <row r="462" spans="1:1">
      <c r="A462" s="2" t="s">
        <v>934</v>
      </c>
    </row>
    <row r="463" spans="1:1">
      <c r="A463" s="2" t="s">
        <v>935</v>
      </c>
    </row>
    <row r="464" spans="1:1">
      <c r="A464" s="2" t="s">
        <v>936</v>
      </c>
    </row>
    <row r="465" spans="1:1">
      <c r="A465" s="2" t="s">
        <v>937</v>
      </c>
    </row>
    <row r="466" spans="1:1">
      <c r="A466" s="2" t="s">
        <v>938</v>
      </c>
    </row>
    <row r="467" spans="1:1">
      <c r="A467" s="2" t="s">
        <v>939</v>
      </c>
    </row>
    <row r="468" spans="1:1">
      <c r="A468" s="2" t="s">
        <v>940</v>
      </c>
    </row>
    <row r="469" spans="1:1">
      <c r="A469" s="2" t="s">
        <v>941</v>
      </c>
    </row>
    <row r="470" spans="1:1">
      <c r="A470" s="2" t="s">
        <v>942</v>
      </c>
    </row>
    <row r="471" spans="1:1">
      <c r="A471" s="2" t="s">
        <v>943</v>
      </c>
    </row>
    <row r="472" spans="1:1">
      <c r="A472" s="2" t="s">
        <v>944</v>
      </c>
    </row>
    <row r="473" spans="1:1">
      <c r="A473" s="2" t="s">
        <v>945</v>
      </c>
    </row>
    <row r="474" spans="1:1">
      <c r="A474" s="2" t="s">
        <v>946</v>
      </c>
    </row>
    <row r="475" spans="1:1">
      <c r="A475" s="2" t="s">
        <v>947</v>
      </c>
    </row>
    <row r="476" spans="1:1">
      <c r="A476" s="2" t="s">
        <v>948</v>
      </c>
    </row>
    <row r="477" spans="1:1">
      <c r="A477" s="2" t="s">
        <v>949</v>
      </c>
    </row>
    <row r="478" spans="1:1">
      <c r="A478" s="2" t="s">
        <v>950</v>
      </c>
    </row>
    <row r="479" spans="1:1">
      <c r="A479" s="2" t="s">
        <v>951</v>
      </c>
    </row>
    <row r="480" spans="1:1">
      <c r="A480" s="2" t="s">
        <v>952</v>
      </c>
    </row>
    <row r="481" spans="1:1">
      <c r="A481" s="2" t="s">
        <v>953</v>
      </c>
    </row>
    <row r="482" spans="1:1">
      <c r="A482" s="2" t="s">
        <v>954</v>
      </c>
    </row>
    <row r="483" spans="1:1">
      <c r="A483" s="2" t="s">
        <v>955</v>
      </c>
    </row>
    <row r="484" spans="1:1">
      <c r="A484" s="2" t="s">
        <v>956</v>
      </c>
    </row>
    <row r="485" spans="1:1">
      <c r="A485" s="2" t="s">
        <v>957</v>
      </c>
    </row>
    <row r="486" spans="1:1">
      <c r="A486" s="2" t="s">
        <v>958</v>
      </c>
    </row>
    <row r="487" spans="1:1">
      <c r="A487" s="2" t="s">
        <v>959</v>
      </c>
    </row>
    <row r="488" spans="1:1">
      <c r="A488" s="2" t="s">
        <v>960</v>
      </c>
    </row>
    <row r="489" spans="1:1">
      <c r="A489" s="2" t="s">
        <v>961</v>
      </c>
    </row>
    <row r="490" spans="1:1">
      <c r="A490" s="2" t="s">
        <v>962</v>
      </c>
    </row>
    <row r="491" spans="1:1">
      <c r="A491" s="2" t="s">
        <v>963</v>
      </c>
    </row>
    <row r="492" spans="1:1">
      <c r="A492" s="2" t="s">
        <v>964</v>
      </c>
    </row>
    <row r="493" spans="1:1">
      <c r="A493" s="2" t="s">
        <v>965</v>
      </c>
    </row>
    <row r="494" spans="1:1">
      <c r="A494" s="2" t="s">
        <v>966</v>
      </c>
    </row>
    <row r="495" spans="1:1">
      <c r="A495" s="2" t="s">
        <v>967</v>
      </c>
    </row>
    <row r="496" spans="1:1">
      <c r="A496" s="2" t="s">
        <v>968</v>
      </c>
    </row>
    <row r="497" spans="1:1">
      <c r="A497" s="2" t="s">
        <v>969</v>
      </c>
    </row>
    <row r="498" spans="1:1">
      <c r="A498" s="2" t="s">
        <v>970</v>
      </c>
    </row>
    <row r="499" spans="1:1">
      <c r="A499" s="2" t="s">
        <v>971</v>
      </c>
    </row>
    <row r="500" spans="1:1">
      <c r="A500" s="2" t="s">
        <v>972</v>
      </c>
    </row>
    <row r="501" spans="1:1">
      <c r="A501" s="2" t="s">
        <v>973</v>
      </c>
    </row>
    <row r="502" spans="1:1">
      <c r="A502" s="2" t="s">
        <v>974</v>
      </c>
    </row>
    <row r="503" spans="1:1">
      <c r="A503" s="2" t="s">
        <v>975</v>
      </c>
    </row>
    <row r="504" spans="1:1">
      <c r="A504" s="2" t="s">
        <v>976</v>
      </c>
    </row>
    <row r="505" spans="1:1">
      <c r="A505" s="2" t="s">
        <v>977</v>
      </c>
    </row>
    <row r="506" spans="1:1">
      <c r="A506" s="2" t="s">
        <v>978</v>
      </c>
    </row>
    <row r="507" spans="1:1">
      <c r="A507" s="2" t="s">
        <v>979</v>
      </c>
    </row>
    <row r="508" spans="1:1">
      <c r="A508" s="2" t="s">
        <v>980</v>
      </c>
    </row>
    <row r="509" spans="1:1">
      <c r="A509" s="2" t="s">
        <v>981</v>
      </c>
    </row>
    <row r="510" spans="1:1">
      <c r="A510" s="2" t="s">
        <v>982</v>
      </c>
    </row>
    <row r="511" spans="1:1">
      <c r="A511" s="2" t="s">
        <v>983</v>
      </c>
    </row>
    <row r="512" spans="1:1">
      <c r="A512" s="2" t="s">
        <v>984</v>
      </c>
    </row>
    <row r="513" spans="1:1">
      <c r="A513" s="2" t="s">
        <v>985</v>
      </c>
    </row>
    <row r="514" spans="1:1">
      <c r="A514" s="2" t="s">
        <v>986</v>
      </c>
    </row>
    <row r="515" spans="1:1">
      <c r="A515" s="2" t="s">
        <v>987</v>
      </c>
    </row>
    <row r="516" spans="1:1">
      <c r="A516" s="2" t="s">
        <v>988</v>
      </c>
    </row>
    <row r="517" spans="1:1">
      <c r="A517" s="2" t="s">
        <v>989</v>
      </c>
    </row>
    <row r="518" spans="1:1">
      <c r="A518" s="2" t="s">
        <v>990</v>
      </c>
    </row>
    <row r="519" spans="1:1">
      <c r="A519" s="2" t="s">
        <v>991</v>
      </c>
    </row>
    <row r="520" spans="1:1">
      <c r="A520" s="2" t="s">
        <v>992</v>
      </c>
    </row>
    <row r="521" spans="1:1">
      <c r="A521" s="2" t="s">
        <v>993</v>
      </c>
    </row>
    <row r="522" spans="1:1">
      <c r="A522" s="2" t="s">
        <v>994</v>
      </c>
    </row>
    <row r="523" spans="1:1">
      <c r="A523" s="2" t="s">
        <v>995</v>
      </c>
    </row>
    <row r="524" spans="1:1">
      <c r="A524" s="2" t="s">
        <v>996</v>
      </c>
    </row>
    <row r="525" spans="1:1">
      <c r="A525" s="2" t="s">
        <v>997</v>
      </c>
    </row>
    <row r="526" spans="1:1">
      <c r="A526" s="2" t="s">
        <v>998</v>
      </c>
    </row>
    <row r="527" spans="1:1">
      <c r="A527" s="2" t="s">
        <v>999</v>
      </c>
    </row>
    <row r="528" spans="1:1">
      <c r="A528" s="2" t="s">
        <v>1000</v>
      </c>
    </row>
    <row r="529" spans="1:1">
      <c r="A529" s="2" t="s">
        <v>1001</v>
      </c>
    </row>
    <row r="530" spans="1:1">
      <c r="A530" s="2" t="s">
        <v>1002</v>
      </c>
    </row>
    <row r="531" spans="1:1">
      <c r="A531" s="2" t="s">
        <v>1003</v>
      </c>
    </row>
    <row r="532" spans="1:1">
      <c r="A532" s="2" t="s">
        <v>1004</v>
      </c>
    </row>
    <row r="533" spans="1:1">
      <c r="A533" s="2" t="s">
        <v>1005</v>
      </c>
    </row>
    <row r="534" spans="1:1">
      <c r="A534" s="2" t="s">
        <v>1006</v>
      </c>
    </row>
    <row r="535" spans="1:1">
      <c r="A535" s="2" t="s">
        <v>1007</v>
      </c>
    </row>
    <row r="536" spans="1:1">
      <c r="A536" s="2" t="s">
        <v>1008</v>
      </c>
    </row>
    <row r="537" spans="1:1">
      <c r="A537" s="2" t="s">
        <v>1009</v>
      </c>
    </row>
    <row r="538" spans="1:1">
      <c r="A538" s="2" t="s">
        <v>1010</v>
      </c>
    </row>
    <row r="539" spans="1:1">
      <c r="A539" s="2" t="s">
        <v>1011</v>
      </c>
    </row>
    <row r="540" spans="1:1">
      <c r="A540" s="2" t="s">
        <v>1012</v>
      </c>
    </row>
    <row r="541" spans="1:1">
      <c r="A541" s="2" t="s">
        <v>1013</v>
      </c>
    </row>
    <row r="542" spans="1:1">
      <c r="A542" s="2" t="s">
        <v>1014</v>
      </c>
    </row>
    <row r="543" spans="1:1">
      <c r="A543" s="2" t="s">
        <v>1015</v>
      </c>
    </row>
    <row r="544" spans="1:1">
      <c r="A544" s="2" t="s">
        <v>1016</v>
      </c>
    </row>
    <row r="545" spans="1:1">
      <c r="A545" s="2" t="s">
        <v>1017</v>
      </c>
    </row>
    <row r="546" spans="1:1">
      <c r="A546" s="2" t="s">
        <v>1018</v>
      </c>
    </row>
    <row r="547" spans="1:1">
      <c r="A547" s="2" t="s">
        <v>1019</v>
      </c>
    </row>
    <row r="548" spans="1:1">
      <c r="A548" s="2" t="s">
        <v>1020</v>
      </c>
    </row>
    <row r="549" spans="1:1">
      <c r="A549" s="2" t="s">
        <v>1021</v>
      </c>
    </row>
    <row r="550" spans="1:1">
      <c r="A550" s="2" t="s">
        <v>1022</v>
      </c>
    </row>
    <row r="551" spans="1:1">
      <c r="A551" s="2" t="s">
        <v>1023</v>
      </c>
    </row>
    <row r="552" spans="1:1">
      <c r="A552" s="2" t="s">
        <v>1024</v>
      </c>
    </row>
    <row r="553" spans="1:1">
      <c r="A553" s="2" t="s">
        <v>1025</v>
      </c>
    </row>
    <row r="554" spans="1:1">
      <c r="A554" s="2" t="s">
        <v>1026</v>
      </c>
    </row>
    <row r="555" spans="1:1">
      <c r="A555" s="2" t="s">
        <v>1027</v>
      </c>
    </row>
    <row r="556" spans="1:1">
      <c r="A556" s="2" t="s">
        <v>1028</v>
      </c>
    </row>
    <row r="557" spans="1:1">
      <c r="A557" s="2" t="s">
        <v>1029</v>
      </c>
    </row>
    <row r="558" spans="1:1">
      <c r="A558" s="2" t="s">
        <v>1030</v>
      </c>
    </row>
    <row r="559" spans="1:1">
      <c r="A559" s="2" t="s">
        <v>1031</v>
      </c>
    </row>
    <row r="560" spans="1:1">
      <c r="A560" s="2" t="s">
        <v>1032</v>
      </c>
    </row>
    <row r="561" spans="1:1">
      <c r="A561" s="2" t="s">
        <v>1033</v>
      </c>
    </row>
    <row r="562" spans="1:1">
      <c r="A562" s="2" t="s">
        <v>1034</v>
      </c>
    </row>
    <row r="563" spans="1:1">
      <c r="A563" s="2" t="s">
        <v>1035</v>
      </c>
    </row>
    <row r="564" spans="1:1">
      <c r="A564" s="2" t="s">
        <v>1036</v>
      </c>
    </row>
    <row r="565" spans="1:1">
      <c r="A565" s="2" t="s">
        <v>1037</v>
      </c>
    </row>
    <row r="566" spans="1:1">
      <c r="A566" s="2" t="s">
        <v>1038</v>
      </c>
    </row>
    <row r="567" spans="1:1">
      <c r="A567" s="2" t="s">
        <v>1039</v>
      </c>
    </row>
    <row r="568" spans="1:1">
      <c r="A568" s="2" t="s">
        <v>1040</v>
      </c>
    </row>
    <row r="569" spans="1:1">
      <c r="A569" s="2" t="s">
        <v>1041</v>
      </c>
    </row>
    <row r="570" spans="1:1">
      <c r="A570" s="2" t="s">
        <v>1042</v>
      </c>
    </row>
    <row r="571" spans="1:1">
      <c r="A571" s="2" t="s">
        <v>1043</v>
      </c>
    </row>
    <row r="572" spans="1:1">
      <c r="A572" s="2" t="s">
        <v>1044</v>
      </c>
    </row>
    <row r="573" spans="1:1">
      <c r="A573" s="2" t="s">
        <v>1045</v>
      </c>
    </row>
    <row r="574" spans="1:1">
      <c r="A574" s="2" t="s">
        <v>1046</v>
      </c>
    </row>
    <row r="575" spans="1:1">
      <c r="A575" s="2" t="s">
        <v>1047</v>
      </c>
    </row>
    <row r="576" spans="1:1">
      <c r="A576" s="2" t="s">
        <v>1048</v>
      </c>
    </row>
    <row r="577" spans="1:1">
      <c r="A577" s="2" t="s">
        <v>1049</v>
      </c>
    </row>
    <row r="578" spans="1:1">
      <c r="A578" s="2" t="s">
        <v>1050</v>
      </c>
    </row>
    <row r="579" spans="1:1">
      <c r="A579" s="2" t="s">
        <v>1051</v>
      </c>
    </row>
    <row r="580" spans="1:1">
      <c r="A580" s="2" t="s">
        <v>1052</v>
      </c>
    </row>
    <row r="581" spans="1:1">
      <c r="A581" s="2" t="s">
        <v>1053</v>
      </c>
    </row>
    <row r="582" spans="1:1">
      <c r="A582" s="2" t="s">
        <v>1054</v>
      </c>
    </row>
    <row r="583" spans="1:1">
      <c r="A583" s="2" t="s">
        <v>1055</v>
      </c>
    </row>
    <row r="584" spans="1:1">
      <c r="A584" s="2" t="s">
        <v>1056</v>
      </c>
    </row>
    <row r="585" spans="1:1">
      <c r="A585" s="2" t="s">
        <v>1057</v>
      </c>
    </row>
    <row r="586" spans="1:1">
      <c r="A586" s="2" t="s">
        <v>1058</v>
      </c>
    </row>
    <row r="587" spans="1:1">
      <c r="A587" s="2" t="s">
        <v>1059</v>
      </c>
    </row>
    <row r="588" spans="1:1">
      <c r="A588" s="2" t="s">
        <v>1060</v>
      </c>
    </row>
    <row r="589" spans="1:1">
      <c r="A589" s="2" t="s">
        <v>1061</v>
      </c>
    </row>
    <row r="590" spans="1:1">
      <c r="A590" s="2" t="s">
        <v>1062</v>
      </c>
    </row>
    <row r="591" spans="1:1">
      <c r="A591" s="2" t="s">
        <v>1063</v>
      </c>
    </row>
    <row r="592" spans="1:1">
      <c r="A592" s="2" t="s">
        <v>1064</v>
      </c>
    </row>
    <row r="593" spans="1:1">
      <c r="A593" s="2" t="s">
        <v>1065</v>
      </c>
    </row>
    <row r="594" spans="1:1">
      <c r="A594" s="2" t="s">
        <v>1066</v>
      </c>
    </row>
    <row r="595" spans="1:1">
      <c r="A595" s="2" t="s">
        <v>1067</v>
      </c>
    </row>
    <row r="596" spans="1:1">
      <c r="A596" s="2" t="s">
        <v>1068</v>
      </c>
    </row>
    <row r="597" spans="1:1">
      <c r="A597" s="2" t="s">
        <v>1069</v>
      </c>
    </row>
    <row r="598" spans="1:1">
      <c r="A598" s="2" t="s">
        <v>1070</v>
      </c>
    </row>
    <row r="599" spans="1:1">
      <c r="A599" s="2" t="s">
        <v>1071</v>
      </c>
    </row>
    <row r="600" spans="1:1">
      <c r="A600" s="2" t="s">
        <v>1072</v>
      </c>
    </row>
    <row r="601" spans="1:1">
      <c r="A601" s="2" t="s">
        <v>1073</v>
      </c>
    </row>
    <row r="602" spans="1:1">
      <c r="A602" s="2" t="s">
        <v>1074</v>
      </c>
    </row>
    <row r="603" spans="1:1">
      <c r="A603" s="2" t="s">
        <v>1075</v>
      </c>
    </row>
    <row r="604" spans="1:1">
      <c r="A604" s="2" t="s">
        <v>1076</v>
      </c>
    </row>
    <row r="605" spans="1:1">
      <c r="A605" s="2" t="s">
        <v>1077</v>
      </c>
    </row>
    <row r="606" spans="1:1">
      <c r="A606" s="2" t="s">
        <v>1078</v>
      </c>
    </row>
    <row r="607" spans="1:1">
      <c r="A607" s="2" t="s">
        <v>1079</v>
      </c>
    </row>
    <row r="608" spans="1:1">
      <c r="A608" s="2" t="s">
        <v>1080</v>
      </c>
    </row>
    <row r="609" spans="1:1">
      <c r="A609" s="2" t="s">
        <v>1081</v>
      </c>
    </row>
    <row r="610" spans="1:1">
      <c r="A610" s="2" t="s">
        <v>1082</v>
      </c>
    </row>
    <row r="611" spans="1:1">
      <c r="A611" s="2" t="s">
        <v>1083</v>
      </c>
    </row>
    <row r="612" spans="1:1">
      <c r="A612" s="2" t="s">
        <v>1084</v>
      </c>
    </row>
    <row r="613" spans="1:1">
      <c r="A613" s="2" t="s">
        <v>1085</v>
      </c>
    </row>
    <row r="614" spans="1:1">
      <c r="A614" s="2" t="s">
        <v>1086</v>
      </c>
    </row>
    <row r="615" spans="1:1">
      <c r="A615" s="2" t="s">
        <v>1087</v>
      </c>
    </row>
    <row r="616" spans="1:1">
      <c r="A616" s="2" t="s">
        <v>1088</v>
      </c>
    </row>
    <row r="617" spans="1:1">
      <c r="A617" s="2" t="s">
        <v>1089</v>
      </c>
    </row>
    <row r="618" spans="1:1">
      <c r="A618" s="2" t="s">
        <v>1090</v>
      </c>
    </row>
    <row r="619" spans="1:1">
      <c r="A619" s="2" t="s">
        <v>1091</v>
      </c>
    </row>
    <row r="620" spans="1:1">
      <c r="A620" s="2" t="s">
        <v>1092</v>
      </c>
    </row>
    <row r="621" spans="1:1">
      <c r="A621" s="2" t="s">
        <v>1093</v>
      </c>
    </row>
    <row r="622" spans="1:1">
      <c r="A622" s="2" t="s">
        <v>1094</v>
      </c>
    </row>
    <row r="623" spans="1:1">
      <c r="A623" s="2" t="s">
        <v>1095</v>
      </c>
    </row>
    <row r="624" spans="1:1">
      <c r="A624" s="2" t="s">
        <v>1096</v>
      </c>
    </row>
    <row r="625" spans="1:1">
      <c r="A625" s="2" t="s">
        <v>1097</v>
      </c>
    </row>
    <row r="626" spans="1:1">
      <c r="A626" s="2" t="s">
        <v>1098</v>
      </c>
    </row>
    <row r="627" spans="1:1">
      <c r="A627" s="2" t="s">
        <v>1099</v>
      </c>
    </row>
    <row r="628" spans="1:1">
      <c r="A628" s="2" t="s">
        <v>1100</v>
      </c>
    </row>
    <row r="629" spans="1:1">
      <c r="A629" s="2" t="s">
        <v>1101</v>
      </c>
    </row>
    <row r="630" spans="1:1">
      <c r="A630" s="2" t="s">
        <v>1102</v>
      </c>
    </row>
    <row r="631" spans="1:1">
      <c r="A631" s="2" t="s">
        <v>1103</v>
      </c>
    </row>
    <row r="632" spans="1:1">
      <c r="A632" s="2" t="s">
        <v>1104</v>
      </c>
    </row>
    <row r="633" spans="1:1">
      <c r="A633" s="2" t="s">
        <v>1105</v>
      </c>
    </row>
    <row r="634" spans="1:1">
      <c r="A634" s="2" t="s">
        <v>1106</v>
      </c>
    </row>
    <row r="635" spans="1:1">
      <c r="A635" s="2" t="s">
        <v>1107</v>
      </c>
    </row>
    <row r="636" spans="1:1">
      <c r="A636" s="2" t="s">
        <v>1108</v>
      </c>
    </row>
    <row r="637" spans="1:1">
      <c r="A637" s="2" t="s">
        <v>1109</v>
      </c>
    </row>
    <row r="638" spans="1:1">
      <c r="A638" s="2" t="s">
        <v>1110</v>
      </c>
    </row>
    <row r="639" spans="1:1">
      <c r="A639" s="2" t="s">
        <v>1111</v>
      </c>
    </row>
    <row r="640" spans="1:1">
      <c r="A640" s="2" t="s">
        <v>1112</v>
      </c>
    </row>
    <row r="641" spans="1:1">
      <c r="A641" s="2" t="s">
        <v>1113</v>
      </c>
    </row>
    <row r="642" spans="1:1">
      <c r="A642" s="2" t="s">
        <v>1114</v>
      </c>
    </row>
    <row r="643" spans="1:1">
      <c r="A643" s="2" t="s">
        <v>1115</v>
      </c>
    </row>
    <row r="644" spans="1:1">
      <c r="A644" s="2" t="s">
        <v>1116</v>
      </c>
    </row>
    <row r="645" spans="1:1">
      <c r="A645" s="2" t="s">
        <v>1117</v>
      </c>
    </row>
    <row r="646" spans="1:1">
      <c r="A646" s="2" t="s">
        <v>1118</v>
      </c>
    </row>
    <row r="647" spans="1:1">
      <c r="A647" s="2" t="s">
        <v>1119</v>
      </c>
    </row>
    <row r="648" spans="1:1">
      <c r="A648" s="2" t="s">
        <v>1120</v>
      </c>
    </row>
    <row r="649" spans="1:1">
      <c r="A649" s="2" t="s">
        <v>1121</v>
      </c>
    </row>
    <row r="650" spans="1:1">
      <c r="A650" s="2" t="s">
        <v>1122</v>
      </c>
    </row>
    <row r="651" spans="1:1">
      <c r="A651" s="2" t="s">
        <v>1123</v>
      </c>
    </row>
    <row r="652" spans="1:1">
      <c r="A652" s="2" t="s">
        <v>1124</v>
      </c>
    </row>
    <row r="653" spans="1:1">
      <c r="A653" s="2" t="s">
        <v>1125</v>
      </c>
    </row>
    <row r="654" spans="1:1">
      <c r="A654" s="2" t="s">
        <v>1126</v>
      </c>
    </row>
    <row r="655" spans="1:1">
      <c r="A655" s="2" t="s">
        <v>1127</v>
      </c>
    </row>
    <row r="656" spans="1:1">
      <c r="A656" s="2" t="s">
        <v>1128</v>
      </c>
    </row>
    <row r="657" spans="1:1">
      <c r="A657" s="2" t="s">
        <v>1129</v>
      </c>
    </row>
    <row r="658" spans="1:1">
      <c r="A658" s="2" t="s">
        <v>1130</v>
      </c>
    </row>
    <row r="659" spans="1:1">
      <c r="A659" s="2" t="s">
        <v>1131</v>
      </c>
    </row>
    <row r="660" spans="1:1">
      <c r="A660" s="2" t="s">
        <v>1132</v>
      </c>
    </row>
    <row r="661" spans="1:1">
      <c r="A661" s="2" t="s">
        <v>1133</v>
      </c>
    </row>
    <row r="662" spans="1:1">
      <c r="A662" s="2" t="s">
        <v>1134</v>
      </c>
    </row>
    <row r="663" spans="1:1">
      <c r="A663" s="2" t="s">
        <v>1135</v>
      </c>
    </row>
    <row r="664" spans="1:1">
      <c r="A664" s="2" t="s">
        <v>1136</v>
      </c>
    </row>
    <row r="665" spans="1:1">
      <c r="A665" s="2" t="s">
        <v>1137</v>
      </c>
    </row>
    <row r="666" spans="1:1">
      <c r="A666" s="2" t="s">
        <v>1138</v>
      </c>
    </row>
    <row r="667" spans="1:1">
      <c r="A667" s="2" t="s">
        <v>1139</v>
      </c>
    </row>
    <row r="668" spans="1:1">
      <c r="A668" s="2" t="s">
        <v>1140</v>
      </c>
    </row>
    <row r="669" spans="1:1">
      <c r="A669" s="2" t="s">
        <v>1141</v>
      </c>
    </row>
    <row r="670" spans="1:1">
      <c r="A670" s="2" t="s">
        <v>1142</v>
      </c>
    </row>
    <row r="671" spans="1:1">
      <c r="A671" s="2" t="s">
        <v>1143</v>
      </c>
    </row>
    <row r="672" spans="1:1">
      <c r="A672" s="2" t="s">
        <v>1144</v>
      </c>
    </row>
    <row r="673" spans="1:1">
      <c r="A673" s="2" t="s">
        <v>1145</v>
      </c>
    </row>
    <row r="674" spans="1:1">
      <c r="A674" s="2" t="s">
        <v>1146</v>
      </c>
    </row>
    <row r="675" spans="1:1">
      <c r="A675" s="2" t="s">
        <v>1147</v>
      </c>
    </row>
    <row r="676" spans="1:1">
      <c r="A676" s="2" t="s">
        <v>1148</v>
      </c>
    </row>
    <row r="677" spans="1:1">
      <c r="A677" s="2" t="s">
        <v>1149</v>
      </c>
    </row>
    <row r="678" spans="1:1">
      <c r="A678" s="2" t="s">
        <v>1150</v>
      </c>
    </row>
    <row r="679" spans="1:1">
      <c r="A679" s="2" t="s">
        <v>1151</v>
      </c>
    </row>
    <row r="680" spans="1:1">
      <c r="A680" s="2" t="s">
        <v>1152</v>
      </c>
    </row>
    <row r="681" spans="1:1">
      <c r="A681" s="2" t="s">
        <v>1153</v>
      </c>
    </row>
    <row r="682" spans="1:1">
      <c r="A682" s="2" t="s">
        <v>1154</v>
      </c>
    </row>
    <row r="683" spans="1:1">
      <c r="A683" s="2" t="s">
        <v>1155</v>
      </c>
    </row>
    <row r="684" spans="1:1">
      <c r="A684" s="2" t="s">
        <v>1156</v>
      </c>
    </row>
    <row r="685" spans="1:1">
      <c r="A685" s="2" t="s">
        <v>1157</v>
      </c>
    </row>
    <row r="686" spans="1:1">
      <c r="A686" s="2" t="s">
        <v>1158</v>
      </c>
    </row>
    <row r="687" spans="1:1">
      <c r="A687" s="2" t="s">
        <v>1159</v>
      </c>
    </row>
    <row r="688" spans="1:1">
      <c r="A688" s="2" t="s">
        <v>1160</v>
      </c>
    </row>
    <row r="689" spans="1:1">
      <c r="A689" s="2" t="s">
        <v>1161</v>
      </c>
    </row>
    <row r="690" spans="1:1">
      <c r="A690" s="2" t="s">
        <v>1162</v>
      </c>
    </row>
    <row r="691" spans="1:1">
      <c r="A691" s="2" t="s">
        <v>1163</v>
      </c>
    </row>
    <row r="692" spans="1:1">
      <c r="A692" s="2" t="s">
        <v>1164</v>
      </c>
    </row>
    <row r="693" spans="1:1">
      <c r="A693" s="2" t="s">
        <v>1165</v>
      </c>
    </row>
    <row r="694" spans="1:1">
      <c r="A694" s="2" t="s">
        <v>1166</v>
      </c>
    </row>
    <row r="695" spans="1:1">
      <c r="A695" s="2" t="s">
        <v>1167</v>
      </c>
    </row>
    <row r="696" spans="1:1">
      <c r="A696" s="2" t="s">
        <v>1168</v>
      </c>
    </row>
    <row r="697" spans="1:1">
      <c r="A697" s="2" t="s">
        <v>1169</v>
      </c>
    </row>
    <row r="698" spans="1:1">
      <c r="A698" s="2" t="s">
        <v>1170</v>
      </c>
    </row>
    <row r="699" spans="1:1">
      <c r="A699" s="2" t="s">
        <v>1171</v>
      </c>
    </row>
    <row r="700" spans="1:1">
      <c r="A700" s="2" t="s">
        <v>1172</v>
      </c>
    </row>
    <row r="701" spans="1:1">
      <c r="A701" s="2" t="s">
        <v>1173</v>
      </c>
    </row>
    <row r="702" spans="1:1">
      <c r="A702" s="2" t="s">
        <v>1174</v>
      </c>
    </row>
    <row r="703" spans="1:1">
      <c r="A703" s="2" t="s">
        <v>1175</v>
      </c>
    </row>
    <row r="704" spans="1:1">
      <c r="A704" s="2" t="s">
        <v>1176</v>
      </c>
    </row>
    <row r="705" spans="1:1">
      <c r="A705" s="2" t="s">
        <v>1177</v>
      </c>
    </row>
    <row r="706" spans="1:1">
      <c r="A706" s="2" t="s">
        <v>66</v>
      </c>
    </row>
    <row r="707" spans="1:1">
      <c r="A707" s="2" t="s">
        <v>1178</v>
      </c>
    </row>
    <row r="708" spans="1:1">
      <c r="A708" s="2" t="s">
        <v>1179</v>
      </c>
    </row>
    <row r="709" spans="1:1">
      <c r="A709" s="2" t="s">
        <v>1180</v>
      </c>
    </row>
    <row r="710" spans="1:1">
      <c r="A710" s="2" t="s">
        <v>1181</v>
      </c>
    </row>
    <row r="711" spans="1:1">
      <c r="A711" s="2" t="s">
        <v>1182</v>
      </c>
    </row>
    <row r="712" spans="1:1">
      <c r="A712" s="2" t="s">
        <v>1183</v>
      </c>
    </row>
    <row r="713" spans="1:1">
      <c r="A713" s="2" t="s">
        <v>1184</v>
      </c>
    </row>
    <row r="714" spans="1:1">
      <c r="A714" s="2" t="s">
        <v>1185</v>
      </c>
    </row>
    <row r="715" spans="1:1">
      <c r="A715" s="2" t="s">
        <v>1186</v>
      </c>
    </row>
    <row r="716" spans="1:1">
      <c r="A716" s="2" t="s">
        <v>1187</v>
      </c>
    </row>
    <row r="717" spans="1:1">
      <c r="A717" s="2" t="s">
        <v>1188</v>
      </c>
    </row>
    <row r="718" spans="1:1">
      <c r="A718" s="2" t="s">
        <v>1189</v>
      </c>
    </row>
    <row r="719" spans="1:1">
      <c r="A719" s="2" t="s">
        <v>1190</v>
      </c>
    </row>
    <row r="720" spans="1:1">
      <c r="A720" s="2" t="s">
        <v>1191</v>
      </c>
    </row>
    <row r="721" spans="1:1">
      <c r="A721" s="2" t="s">
        <v>1192</v>
      </c>
    </row>
    <row r="722" spans="1:1">
      <c r="A722" s="2" t="s">
        <v>1193</v>
      </c>
    </row>
    <row r="723" spans="1:1">
      <c r="A723" s="2" t="s">
        <v>1194</v>
      </c>
    </row>
    <row r="724" spans="1:1">
      <c r="A724" s="2" t="s">
        <v>1195</v>
      </c>
    </row>
    <row r="725" spans="1:1">
      <c r="A725" s="2" t="s">
        <v>1196</v>
      </c>
    </row>
    <row r="726" spans="1:1">
      <c r="A726" s="2" t="s">
        <v>1197</v>
      </c>
    </row>
    <row r="727" spans="1:1">
      <c r="A727" s="2" t="s">
        <v>1198</v>
      </c>
    </row>
    <row r="728" spans="1:1">
      <c r="A728" s="2" t="s">
        <v>1199</v>
      </c>
    </row>
    <row r="729" spans="1:1">
      <c r="A729" s="2" t="s">
        <v>1200</v>
      </c>
    </row>
    <row r="730" spans="1:1">
      <c r="A730" s="2" t="s">
        <v>1201</v>
      </c>
    </row>
    <row r="731" spans="1:1">
      <c r="A731" s="2" t="s">
        <v>69</v>
      </c>
    </row>
    <row r="732" spans="1:1">
      <c r="A732" s="2" t="s">
        <v>1202</v>
      </c>
    </row>
    <row r="733" spans="1:1">
      <c r="A733" s="2" t="s">
        <v>1203</v>
      </c>
    </row>
    <row r="734" spans="1:1">
      <c r="A734" s="2" t="s">
        <v>1204</v>
      </c>
    </row>
    <row r="735" spans="1:1">
      <c r="A735" s="2" t="s">
        <v>1205</v>
      </c>
    </row>
    <row r="736" spans="1:1">
      <c r="A736" s="2" t="s">
        <v>1206</v>
      </c>
    </row>
    <row r="737" spans="1:1">
      <c r="A737" s="2" t="s">
        <v>1207</v>
      </c>
    </row>
    <row r="738" spans="1:1">
      <c r="A738" s="2" t="s">
        <v>1208</v>
      </c>
    </row>
    <row r="739" spans="1:1">
      <c r="A739" s="2" t="s">
        <v>1209</v>
      </c>
    </row>
    <row r="740" spans="1:1">
      <c r="A740" s="2" t="s">
        <v>1210</v>
      </c>
    </row>
    <row r="741" spans="1:1">
      <c r="A741" s="2" t="s">
        <v>1211</v>
      </c>
    </row>
    <row r="742" spans="1:1">
      <c r="A742" s="2" t="s">
        <v>1212</v>
      </c>
    </row>
    <row r="743" spans="1:1">
      <c r="A743" s="2" t="s">
        <v>1213</v>
      </c>
    </row>
    <row r="744" spans="1:1">
      <c r="A744" s="2" t="s">
        <v>1214</v>
      </c>
    </row>
    <row r="745" spans="1:1">
      <c r="A745" s="2" t="s">
        <v>1215</v>
      </c>
    </row>
    <row r="746" spans="1:1">
      <c r="A746" s="2" t="s">
        <v>1216</v>
      </c>
    </row>
    <row r="747" spans="1:1">
      <c r="A747" s="2" t="s">
        <v>1217</v>
      </c>
    </row>
    <row r="748" spans="1:1">
      <c r="A748" s="2" t="s">
        <v>1218</v>
      </c>
    </row>
    <row r="749" spans="1:1">
      <c r="A749" s="2" t="s">
        <v>1219</v>
      </c>
    </row>
    <row r="750" spans="1:1">
      <c r="A750" s="2" t="s">
        <v>1220</v>
      </c>
    </row>
    <row r="751" spans="1:1">
      <c r="A751" s="2" t="s">
        <v>1221</v>
      </c>
    </row>
    <row r="752" spans="1:1">
      <c r="A752" s="2" t="s">
        <v>1222</v>
      </c>
    </row>
    <row r="753" spans="1:1">
      <c r="A753" s="2" t="s">
        <v>1223</v>
      </c>
    </row>
    <row r="754" spans="1:1">
      <c r="A754" s="2" t="s">
        <v>1224</v>
      </c>
    </row>
    <row r="755" spans="1:1">
      <c r="A755" s="2" t="s">
        <v>1225</v>
      </c>
    </row>
    <row r="756" spans="1:1">
      <c r="A756" s="2" t="s">
        <v>1226</v>
      </c>
    </row>
    <row r="757" spans="1:1">
      <c r="A757" s="2" t="s">
        <v>1227</v>
      </c>
    </row>
    <row r="758" spans="1:1">
      <c r="A758" s="2" t="s">
        <v>1228</v>
      </c>
    </row>
    <row r="759" spans="1:1">
      <c r="A759" s="2" t="s">
        <v>1229</v>
      </c>
    </row>
    <row r="760" spans="1:1">
      <c r="A760" s="2" t="s">
        <v>1230</v>
      </c>
    </row>
    <row r="761" spans="1:1">
      <c r="A761" s="2" t="s">
        <v>1231</v>
      </c>
    </row>
    <row r="762" spans="1:1">
      <c r="A762" s="2" t="s">
        <v>1232</v>
      </c>
    </row>
    <row r="763" spans="1:1">
      <c r="A763" s="2" t="s">
        <v>1233</v>
      </c>
    </row>
    <row r="764" spans="1:1">
      <c r="A764" s="2" t="s">
        <v>1234</v>
      </c>
    </row>
    <row r="765" spans="1:1">
      <c r="A765" s="2" t="s">
        <v>1235</v>
      </c>
    </row>
    <row r="766" spans="1:1">
      <c r="A766" s="2" t="s">
        <v>1236</v>
      </c>
    </row>
    <row r="767" spans="1:1">
      <c r="A767" s="2" t="s">
        <v>1237</v>
      </c>
    </row>
    <row r="768" spans="1:1">
      <c r="A768" s="2" t="s">
        <v>1238</v>
      </c>
    </row>
    <row r="769" spans="1:1">
      <c r="A769" s="2" t="s">
        <v>1239</v>
      </c>
    </row>
    <row r="770" spans="1:1">
      <c r="A770" s="2" t="s">
        <v>1240</v>
      </c>
    </row>
    <row r="771" spans="1:1">
      <c r="A771" s="2" t="s">
        <v>1241</v>
      </c>
    </row>
    <row r="772" spans="1:1">
      <c r="A772" s="2" t="s">
        <v>1242</v>
      </c>
    </row>
    <row r="773" spans="1:1">
      <c r="A773" s="2" t="s">
        <v>1243</v>
      </c>
    </row>
    <row r="774" spans="1:1">
      <c r="A774" s="2" t="s">
        <v>1244</v>
      </c>
    </row>
    <row r="775" spans="1:1">
      <c r="A775" s="2" t="s">
        <v>374</v>
      </c>
    </row>
    <row r="776" spans="1:1">
      <c r="A776" s="2" t="s">
        <v>1245</v>
      </c>
    </row>
    <row r="777" spans="1:1">
      <c r="A777" s="2" t="s">
        <v>1246</v>
      </c>
    </row>
    <row r="778" spans="1:1">
      <c r="A778" s="2" t="s">
        <v>379</v>
      </c>
    </row>
    <row r="779" spans="1:1">
      <c r="A779" s="2" t="s">
        <v>1247</v>
      </c>
    </row>
    <row r="780" spans="1:1">
      <c r="A780" s="2" t="s">
        <v>1248</v>
      </c>
    </row>
    <row r="781" spans="1:1">
      <c r="A781" s="2" t="s">
        <v>1249</v>
      </c>
    </row>
    <row r="782" spans="1:1">
      <c r="A782" s="2" t="s">
        <v>1250</v>
      </c>
    </row>
    <row r="783" spans="1:1">
      <c r="A783" s="2" t="s">
        <v>1251</v>
      </c>
    </row>
    <row r="784" spans="1:1">
      <c r="A784" s="2" t="s">
        <v>1252</v>
      </c>
    </row>
    <row r="785" spans="1:1">
      <c r="A785" s="2" t="s">
        <v>1253</v>
      </c>
    </row>
    <row r="786" spans="1:1">
      <c r="A786" s="2" t="s">
        <v>1254</v>
      </c>
    </row>
    <row r="787" spans="1:1">
      <c r="A787" s="2" t="s">
        <v>1255</v>
      </c>
    </row>
    <row r="788" spans="1:1">
      <c r="A788" s="2" t="s">
        <v>1256</v>
      </c>
    </row>
    <row r="789" spans="1:1">
      <c r="A789" s="2" t="s">
        <v>1257</v>
      </c>
    </row>
    <row r="790" spans="1:1">
      <c r="A790" s="2" t="s">
        <v>1258</v>
      </c>
    </row>
    <row r="791" spans="1:1">
      <c r="A791" s="2" t="s">
        <v>1259</v>
      </c>
    </row>
    <row r="792" spans="1:1">
      <c r="A792" s="2" t="s">
        <v>1260</v>
      </c>
    </row>
    <row r="793" spans="1:1">
      <c r="A793" s="2" t="s">
        <v>1261</v>
      </c>
    </row>
    <row r="794" spans="1:1">
      <c r="A794" s="2" t="s">
        <v>1262</v>
      </c>
    </row>
    <row r="795" spans="1:1">
      <c r="A795" s="2" t="s">
        <v>1263</v>
      </c>
    </row>
    <row r="796" spans="1:1">
      <c r="A796" s="2" t="s">
        <v>1264</v>
      </c>
    </row>
    <row r="797" spans="1:1">
      <c r="A797" s="2" t="s">
        <v>381</v>
      </c>
    </row>
    <row r="798" spans="1:1">
      <c r="A798" s="2" t="s">
        <v>1265</v>
      </c>
    </row>
    <row r="799" spans="1:1">
      <c r="A799" s="2" t="s">
        <v>1266</v>
      </c>
    </row>
    <row r="800" spans="1:1">
      <c r="A800" s="2" t="s">
        <v>1267</v>
      </c>
    </row>
    <row r="801" spans="1:1">
      <c r="A801" s="2" t="s">
        <v>1268</v>
      </c>
    </row>
    <row r="802" spans="1:1">
      <c r="A802" s="2" t="s">
        <v>1269</v>
      </c>
    </row>
    <row r="803" spans="1:1">
      <c r="A803" s="2" t="s">
        <v>389</v>
      </c>
    </row>
    <row r="804" spans="1:1">
      <c r="A804" s="2" t="s">
        <v>385</v>
      </c>
    </row>
    <row r="805" spans="1:1">
      <c r="A805" s="2" t="s">
        <v>1270</v>
      </c>
    </row>
    <row r="806" spans="1:1">
      <c r="A806" s="2" t="s">
        <v>1271</v>
      </c>
    </row>
    <row r="807" spans="1:1">
      <c r="A807" s="2" t="s">
        <v>382</v>
      </c>
    </row>
    <row r="808" spans="1:1">
      <c r="A808" s="2" t="s">
        <v>1272</v>
      </c>
    </row>
    <row r="809" spans="1:1">
      <c r="A809" s="2" t="s">
        <v>1273</v>
      </c>
    </row>
    <row r="810" spans="1:1">
      <c r="A810" s="2" t="s">
        <v>1274</v>
      </c>
    </row>
    <row r="811" spans="1:1">
      <c r="A811" s="2" t="s">
        <v>1275</v>
      </c>
    </row>
    <row r="812" spans="1:1">
      <c r="A812" s="2" t="s">
        <v>1276</v>
      </c>
    </row>
    <row r="813" spans="1:1">
      <c r="A813" s="2" t="s">
        <v>1277</v>
      </c>
    </row>
    <row r="814" spans="1:1">
      <c r="A814" s="2" t="s">
        <v>397</v>
      </c>
    </row>
    <row r="815" spans="1:1">
      <c r="A815" s="2" t="s">
        <v>390</v>
      </c>
    </row>
    <row r="816" spans="1:1">
      <c r="A816" s="2" t="s">
        <v>1278</v>
      </c>
    </row>
    <row r="817" spans="1:1">
      <c r="A817" s="2" t="s">
        <v>1279</v>
      </c>
    </row>
    <row r="818" spans="1:1">
      <c r="A818" s="2" t="s">
        <v>1280</v>
      </c>
    </row>
    <row r="819" spans="1:1">
      <c r="A819" s="2" t="s">
        <v>1281</v>
      </c>
    </row>
    <row r="820" spans="1:1">
      <c r="A820" s="2" t="s">
        <v>1282</v>
      </c>
    </row>
    <row r="821" spans="1:1">
      <c r="A821" s="2" t="s">
        <v>1283</v>
      </c>
    </row>
    <row r="822" spans="1:1">
      <c r="A822" s="2" t="s">
        <v>1284</v>
      </c>
    </row>
    <row r="823" spans="1:1">
      <c r="A823" s="2" t="s">
        <v>1285</v>
      </c>
    </row>
    <row r="824" spans="1:1">
      <c r="A824" s="2" t="s">
        <v>1286</v>
      </c>
    </row>
    <row r="825" spans="1:1">
      <c r="A825" s="2" t="s">
        <v>1287</v>
      </c>
    </row>
    <row r="826" spans="1:1">
      <c r="A826" s="2" t="s">
        <v>1288</v>
      </c>
    </row>
    <row r="827" spans="1:1">
      <c r="A827" s="2" t="s">
        <v>1289</v>
      </c>
    </row>
    <row r="828" spans="1:1">
      <c r="A828" s="2" t="s">
        <v>1290</v>
      </c>
    </row>
    <row r="829" spans="1:1">
      <c r="A829" s="2" t="s">
        <v>1291</v>
      </c>
    </row>
    <row r="830" spans="1:1">
      <c r="A830" s="2" t="s">
        <v>1292</v>
      </c>
    </row>
    <row r="831" spans="1:1">
      <c r="A831" s="2" t="s">
        <v>1293</v>
      </c>
    </row>
    <row r="832" spans="1:1">
      <c r="A832" s="2" t="s">
        <v>1294</v>
      </c>
    </row>
    <row r="833" spans="1:1">
      <c r="A833" s="2" t="s">
        <v>1295</v>
      </c>
    </row>
    <row r="834" spans="1:1">
      <c r="A834" s="2" t="s">
        <v>1296</v>
      </c>
    </row>
    <row r="835" spans="1:1">
      <c r="A835" s="2" t="s">
        <v>1297</v>
      </c>
    </row>
    <row r="836" spans="1:1">
      <c r="A836" s="2" t="s">
        <v>399</v>
      </c>
    </row>
    <row r="837" spans="1:1">
      <c r="A837" s="2" t="s">
        <v>1298</v>
      </c>
    </row>
    <row r="838" spans="1:1">
      <c r="A838" s="2" t="s">
        <v>1299</v>
      </c>
    </row>
    <row r="839" spans="1:1">
      <c r="A839" s="2" t="s">
        <v>1300</v>
      </c>
    </row>
    <row r="840" spans="1:1">
      <c r="A840" s="2" t="s">
        <v>1301</v>
      </c>
    </row>
    <row r="841" spans="1:1">
      <c r="A841" s="2" t="s">
        <v>1302</v>
      </c>
    </row>
    <row r="842" spans="1:1">
      <c r="A842" s="2" t="s">
        <v>1303</v>
      </c>
    </row>
    <row r="843" spans="1:1">
      <c r="A843" s="2" t="s">
        <v>1304</v>
      </c>
    </row>
    <row r="844" spans="1:1">
      <c r="A844" s="2" t="s">
        <v>1305</v>
      </c>
    </row>
    <row r="845" spans="1:1">
      <c r="A845" s="2" t="s">
        <v>1306</v>
      </c>
    </row>
    <row r="846" spans="1:1">
      <c r="A846" s="2" t="s">
        <v>1307</v>
      </c>
    </row>
    <row r="847" spans="1:1">
      <c r="A847" s="2" t="s">
        <v>1308</v>
      </c>
    </row>
    <row r="848" spans="1:1">
      <c r="A848" s="2" t="s">
        <v>479</v>
      </c>
    </row>
    <row r="849" spans="1:1">
      <c r="A849" s="2" t="s">
        <v>480</v>
      </c>
    </row>
    <row r="850" spans="1:1">
      <c r="A850" s="2" t="s">
        <v>481</v>
      </c>
    </row>
    <row r="851" spans="1:1">
      <c r="A851" s="2" t="s">
        <v>482</v>
      </c>
    </row>
    <row r="852" spans="1:1">
      <c r="A852" s="2" t="s">
        <v>483</v>
      </c>
    </row>
    <row r="853" spans="1:1">
      <c r="A853" s="2" t="s">
        <v>484</v>
      </c>
    </row>
    <row r="854" spans="1:1">
      <c r="A854" s="2" t="s">
        <v>485</v>
      </c>
    </row>
    <row r="855" spans="1:1">
      <c r="A855" s="2" t="s">
        <v>486</v>
      </c>
    </row>
    <row r="856" spans="1:1">
      <c r="A856" s="2" t="s">
        <v>487</v>
      </c>
    </row>
    <row r="857" spans="1:1">
      <c r="A857" s="2" t="s">
        <v>488</v>
      </c>
    </row>
    <row r="858" spans="1:1">
      <c r="A858" s="2" t="s">
        <v>489</v>
      </c>
    </row>
    <row r="859" spans="1:1">
      <c r="A859" s="2" t="s">
        <v>490</v>
      </c>
    </row>
    <row r="860" spans="1:1">
      <c r="A860" s="2" t="s">
        <v>491</v>
      </c>
    </row>
    <row r="861" spans="1:1">
      <c r="A861" s="2" t="s">
        <v>492</v>
      </c>
    </row>
    <row r="862" spans="1:1">
      <c r="A862" s="2" t="s">
        <v>493</v>
      </c>
    </row>
    <row r="863" spans="1:1">
      <c r="A863" s="2" t="s">
        <v>494</v>
      </c>
    </row>
    <row r="864" spans="1:1">
      <c r="A864" s="2" t="s">
        <v>495</v>
      </c>
    </row>
    <row r="865" spans="1:1">
      <c r="A865" s="2" t="s">
        <v>496</v>
      </c>
    </row>
    <row r="866" spans="1:1">
      <c r="A866" s="2" t="s">
        <v>497</v>
      </c>
    </row>
    <row r="867" spans="1:1">
      <c r="A867" s="2" t="s">
        <v>498</v>
      </c>
    </row>
    <row r="868" spans="1:1">
      <c r="A868" s="2" t="s">
        <v>499</v>
      </c>
    </row>
    <row r="869" spans="1:1">
      <c r="A869" s="2" t="s">
        <v>500</v>
      </c>
    </row>
    <row r="870" spans="1:1">
      <c r="A870" s="2" t="s">
        <v>501</v>
      </c>
    </row>
    <row r="871" spans="1:1">
      <c r="A871" s="2" t="s">
        <v>502</v>
      </c>
    </row>
    <row r="872" spans="1:1">
      <c r="A872" s="2" t="s">
        <v>503</v>
      </c>
    </row>
    <row r="873" spans="1:1">
      <c r="A873" s="2" t="s">
        <v>504</v>
      </c>
    </row>
    <row r="874" spans="1:1">
      <c r="A874" s="2" t="s">
        <v>505</v>
      </c>
    </row>
    <row r="875" spans="1:1">
      <c r="A875" s="2" t="s">
        <v>506</v>
      </c>
    </row>
    <row r="876" spans="1:1">
      <c r="A876" s="2" t="s">
        <v>507</v>
      </c>
    </row>
    <row r="877" spans="1:1">
      <c r="A877" s="2" t="s">
        <v>508</v>
      </c>
    </row>
    <row r="878" spans="1:1">
      <c r="A878" s="2" t="s">
        <v>509</v>
      </c>
    </row>
    <row r="879" spans="1:1">
      <c r="A879" s="2" t="s">
        <v>510</v>
      </c>
    </row>
    <row r="880" spans="1:1">
      <c r="A880" s="2" t="s">
        <v>511</v>
      </c>
    </row>
    <row r="881" spans="1:1">
      <c r="A881" s="2" t="s">
        <v>512</v>
      </c>
    </row>
    <row r="882" spans="1:1">
      <c r="A882" s="2" t="s">
        <v>513</v>
      </c>
    </row>
    <row r="883" spans="1:1">
      <c r="A883" s="2" t="s">
        <v>514</v>
      </c>
    </row>
    <row r="884" spans="1:1">
      <c r="A884" s="2" t="s">
        <v>515</v>
      </c>
    </row>
    <row r="885" spans="1:1">
      <c r="A885" s="2" t="s">
        <v>516</v>
      </c>
    </row>
    <row r="886" spans="1:1">
      <c r="A886" s="2" t="s">
        <v>517</v>
      </c>
    </row>
    <row r="887" spans="1:1">
      <c r="A887" s="2" t="s">
        <v>518</v>
      </c>
    </row>
    <row r="888" spans="1:1">
      <c r="A888" s="2" t="s">
        <v>519</v>
      </c>
    </row>
    <row r="889" spans="1:1">
      <c r="A889" s="2" t="s">
        <v>520</v>
      </c>
    </row>
    <row r="890" spans="1:1">
      <c r="A890" s="2" t="s">
        <v>521</v>
      </c>
    </row>
    <row r="891" spans="1:1">
      <c r="A891" s="2" t="s">
        <v>522</v>
      </c>
    </row>
    <row r="892" spans="1:1">
      <c r="A892" s="2" t="s">
        <v>523</v>
      </c>
    </row>
    <row r="893" spans="1:1">
      <c r="A893" s="2" t="s">
        <v>524</v>
      </c>
    </row>
    <row r="894" spans="1:1">
      <c r="A894" s="2" t="s">
        <v>525</v>
      </c>
    </row>
    <row r="895" spans="1:1">
      <c r="A895" s="2" t="s">
        <v>526</v>
      </c>
    </row>
    <row r="896" spans="1:1">
      <c r="A896" s="2" t="s">
        <v>527</v>
      </c>
    </row>
    <row r="897" spans="1:1">
      <c r="A897" s="2" t="s">
        <v>528</v>
      </c>
    </row>
    <row r="898" spans="1:1">
      <c r="A898" s="2" t="s">
        <v>529</v>
      </c>
    </row>
    <row r="899" spans="1:1">
      <c r="A899" s="2" t="s">
        <v>530</v>
      </c>
    </row>
    <row r="900" spans="1:1">
      <c r="A900" s="2" t="s">
        <v>531</v>
      </c>
    </row>
    <row r="901" spans="1:1">
      <c r="A901" s="2" t="s">
        <v>532</v>
      </c>
    </row>
    <row r="902" spans="1:1">
      <c r="A902" s="2" t="s">
        <v>533</v>
      </c>
    </row>
    <row r="903" spans="1:1">
      <c r="A903" s="2" t="s">
        <v>534</v>
      </c>
    </row>
    <row r="904" spans="1:1">
      <c r="A904" s="2" t="s">
        <v>535</v>
      </c>
    </row>
    <row r="905" spans="1:1">
      <c r="A905" s="2" t="s">
        <v>536</v>
      </c>
    </row>
    <row r="906" spans="1:1">
      <c r="A906" s="2" t="s">
        <v>537</v>
      </c>
    </row>
    <row r="907" spans="1:1">
      <c r="A907" s="2" t="s">
        <v>538</v>
      </c>
    </row>
    <row r="908" spans="1:1">
      <c r="A908" s="2" t="s">
        <v>539</v>
      </c>
    </row>
    <row r="909" spans="1:1">
      <c r="A909" s="2" t="s">
        <v>540</v>
      </c>
    </row>
    <row r="910" spans="1:1">
      <c r="A910" s="2" t="s">
        <v>541</v>
      </c>
    </row>
    <row r="911" spans="1:1">
      <c r="A911" s="2" t="s">
        <v>542</v>
      </c>
    </row>
    <row r="912" spans="1:1">
      <c r="A912" s="2" t="s">
        <v>543</v>
      </c>
    </row>
    <row r="913" spans="1:1">
      <c r="A913" s="2" t="s">
        <v>544</v>
      </c>
    </row>
    <row r="914" spans="1:1">
      <c r="A914" s="2" t="s">
        <v>545</v>
      </c>
    </row>
    <row r="915" spans="1:1">
      <c r="A915" s="2" t="s">
        <v>546</v>
      </c>
    </row>
    <row r="916" spans="1:1">
      <c r="A916" s="2" t="s">
        <v>547</v>
      </c>
    </row>
    <row r="917" spans="1:1">
      <c r="A917" s="2" t="s">
        <v>548</v>
      </c>
    </row>
    <row r="918" spans="1:1">
      <c r="A918" s="2" t="s">
        <v>549</v>
      </c>
    </row>
    <row r="919" spans="1:1">
      <c r="A919" s="2" t="s">
        <v>550</v>
      </c>
    </row>
    <row r="920" spans="1:1">
      <c r="A920" s="2" t="s">
        <v>551</v>
      </c>
    </row>
    <row r="921" spans="1:1">
      <c r="A921" s="2" t="s">
        <v>552</v>
      </c>
    </row>
    <row r="922" spans="1:1">
      <c r="A922" s="2" t="s">
        <v>553</v>
      </c>
    </row>
    <row r="923" spans="1:1">
      <c r="A923" s="2" t="s">
        <v>554</v>
      </c>
    </row>
    <row r="924" spans="1:1">
      <c r="A924" s="2" t="s">
        <v>555</v>
      </c>
    </row>
    <row r="925" spans="1:1">
      <c r="A925" s="2" t="s">
        <v>556</v>
      </c>
    </row>
    <row r="926" spans="1:1">
      <c r="A926" s="2" t="s">
        <v>557</v>
      </c>
    </row>
    <row r="927" spans="1:1">
      <c r="A927" s="2" t="s">
        <v>558</v>
      </c>
    </row>
    <row r="928" spans="1:1">
      <c r="A928" s="2" t="s">
        <v>559</v>
      </c>
    </row>
    <row r="929" spans="1:1">
      <c r="A929" s="2" t="s">
        <v>560</v>
      </c>
    </row>
    <row r="930" spans="1:1">
      <c r="A930" s="2" t="s">
        <v>561</v>
      </c>
    </row>
    <row r="931" spans="1:1">
      <c r="A931" s="2" t="s">
        <v>562</v>
      </c>
    </row>
    <row r="932" spans="1:1">
      <c r="A932" s="2" t="s">
        <v>563</v>
      </c>
    </row>
    <row r="933" spans="1:1">
      <c r="A933" s="2" t="s">
        <v>564</v>
      </c>
    </row>
    <row r="934" spans="1:1">
      <c r="A934" s="2" t="s">
        <v>565</v>
      </c>
    </row>
    <row r="935" spans="1:1">
      <c r="A935" s="2" t="s">
        <v>566</v>
      </c>
    </row>
    <row r="936" spans="1:1">
      <c r="A936" s="2" t="s">
        <v>567</v>
      </c>
    </row>
    <row r="937" spans="1:1">
      <c r="A937" s="2" t="s">
        <v>568</v>
      </c>
    </row>
    <row r="938" spans="1:1">
      <c r="A938" s="2" t="s">
        <v>569</v>
      </c>
    </row>
    <row r="939" spans="1:1">
      <c r="A939" s="2" t="s">
        <v>570</v>
      </c>
    </row>
    <row r="940" spans="1:1">
      <c r="A940" s="2" t="s">
        <v>571</v>
      </c>
    </row>
    <row r="941" spans="1:1">
      <c r="A941" s="2" t="s">
        <v>572</v>
      </c>
    </row>
    <row r="942" spans="1:1">
      <c r="A942" s="2" t="s">
        <v>573</v>
      </c>
    </row>
    <row r="943" spans="1:1">
      <c r="A943" s="2" t="s">
        <v>574</v>
      </c>
    </row>
    <row r="944" spans="1:1">
      <c r="A944" s="2" t="s">
        <v>575</v>
      </c>
    </row>
    <row r="945" spans="1:1">
      <c r="A945" s="2" t="s">
        <v>576</v>
      </c>
    </row>
    <row r="946" spans="1:1">
      <c r="A946" s="2" t="s">
        <v>577</v>
      </c>
    </row>
    <row r="947" spans="1:1">
      <c r="A947" s="2" t="s">
        <v>578</v>
      </c>
    </row>
    <row r="948" spans="1:1">
      <c r="A948" s="2" t="s">
        <v>579</v>
      </c>
    </row>
    <row r="949" spans="1:1">
      <c r="A949" s="2" t="s">
        <v>580</v>
      </c>
    </row>
    <row r="950" spans="1:1">
      <c r="A950" s="2" t="s">
        <v>581</v>
      </c>
    </row>
    <row r="951" spans="1:1">
      <c r="A951" s="2" t="s">
        <v>582</v>
      </c>
    </row>
    <row r="952" spans="1:1">
      <c r="A952" s="2" t="s">
        <v>583</v>
      </c>
    </row>
    <row r="953" spans="1:1">
      <c r="A953" s="2" t="s">
        <v>584</v>
      </c>
    </row>
    <row r="954" spans="1:1">
      <c r="A954" s="2" t="s">
        <v>585</v>
      </c>
    </row>
    <row r="955" spans="1:1">
      <c r="A955" s="2" t="s">
        <v>586</v>
      </c>
    </row>
    <row r="956" spans="1:1">
      <c r="A956" s="2" t="s">
        <v>587</v>
      </c>
    </row>
    <row r="957" spans="1:1">
      <c r="A957" s="2" t="s">
        <v>588</v>
      </c>
    </row>
    <row r="958" spans="1:1">
      <c r="A958" s="2" t="s">
        <v>589</v>
      </c>
    </row>
    <row r="959" spans="1:1">
      <c r="A959" s="2" t="s">
        <v>590</v>
      </c>
    </row>
    <row r="960" spans="1:1">
      <c r="A960" s="2" t="s">
        <v>591</v>
      </c>
    </row>
    <row r="961" spans="1:1">
      <c r="A961" s="2" t="s">
        <v>592</v>
      </c>
    </row>
    <row r="962" spans="1:1">
      <c r="A962" s="2" t="s">
        <v>593</v>
      </c>
    </row>
    <row r="963" spans="1:1">
      <c r="A963" s="2" t="s">
        <v>594</v>
      </c>
    </row>
    <row r="964" spans="1:1">
      <c r="A964" s="2" t="s">
        <v>595</v>
      </c>
    </row>
    <row r="965" spans="1:1">
      <c r="A965" s="2" t="s">
        <v>596</v>
      </c>
    </row>
    <row r="966" spans="1:1">
      <c r="A966" s="2" t="s">
        <v>597</v>
      </c>
    </row>
    <row r="967" spans="1:1">
      <c r="A967" s="2" t="s">
        <v>598</v>
      </c>
    </row>
    <row r="968" spans="1:1">
      <c r="A968" s="2" t="s">
        <v>599</v>
      </c>
    </row>
    <row r="969" spans="1:1">
      <c r="A969" s="2" t="s">
        <v>600</v>
      </c>
    </row>
    <row r="970" spans="1:1">
      <c r="A970" s="2" t="s">
        <v>601</v>
      </c>
    </row>
    <row r="971" spans="1:1">
      <c r="A971" s="2" t="s">
        <v>602</v>
      </c>
    </row>
    <row r="972" spans="1:1">
      <c r="A972" s="2" t="s">
        <v>603</v>
      </c>
    </row>
    <row r="973" spans="1:1">
      <c r="A973" s="2" t="s">
        <v>604</v>
      </c>
    </row>
    <row r="974" spans="1:1">
      <c r="A974" s="2" t="s">
        <v>605</v>
      </c>
    </row>
    <row r="975" spans="1:1">
      <c r="A975" s="2" t="s">
        <v>606</v>
      </c>
    </row>
    <row r="976" spans="1:1">
      <c r="A976" s="2" t="s">
        <v>607</v>
      </c>
    </row>
    <row r="977" spans="1:1">
      <c r="A977" s="2" t="s">
        <v>608</v>
      </c>
    </row>
    <row r="978" spans="1:1">
      <c r="A978" s="2" t="s">
        <v>609</v>
      </c>
    </row>
    <row r="979" spans="1:1">
      <c r="A979" s="2" t="s">
        <v>610</v>
      </c>
    </row>
    <row r="980" spans="1:1">
      <c r="A980" s="2" t="s">
        <v>611</v>
      </c>
    </row>
    <row r="981" spans="1:1">
      <c r="A981" s="2" t="s">
        <v>612</v>
      </c>
    </row>
    <row r="982" spans="1:1">
      <c r="A982" s="2" t="s">
        <v>613</v>
      </c>
    </row>
    <row r="983" spans="1:1">
      <c r="A983" s="2" t="s">
        <v>614</v>
      </c>
    </row>
    <row r="984" spans="1:1">
      <c r="A984" s="2" t="s">
        <v>615</v>
      </c>
    </row>
    <row r="985" spans="1:1">
      <c r="A985" s="2" t="s">
        <v>616</v>
      </c>
    </row>
    <row r="986" spans="1:1">
      <c r="A986" s="2" t="s">
        <v>617</v>
      </c>
    </row>
    <row r="987" spans="1:1">
      <c r="A987" s="2" t="s">
        <v>618</v>
      </c>
    </row>
    <row r="988" spans="1:1">
      <c r="A988" s="2" t="s">
        <v>619</v>
      </c>
    </row>
    <row r="989" spans="1:1">
      <c r="A989" s="2" t="s">
        <v>620</v>
      </c>
    </row>
    <row r="990" spans="1:1">
      <c r="A990" s="2" t="s">
        <v>621</v>
      </c>
    </row>
    <row r="991" spans="1:1">
      <c r="A991" s="2" t="s">
        <v>622</v>
      </c>
    </row>
    <row r="992" spans="1:1">
      <c r="A992" s="2" t="s">
        <v>623</v>
      </c>
    </row>
    <row r="993" spans="1:1">
      <c r="A993" s="2" t="s">
        <v>624</v>
      </c>
    </row>
    <row r="994" spans="1:1">
      <c r="A994" s="2" t="s">
        <v>625</v>
      </c>
    </row>
    <row r="995" spans="1:1">
      <c r="A995" s="2" t="s">
        <v>626</v>
      </c>
    </row>
    <row r="996" spans="1:1">
      <c r="A996" s="2" t="s">
        <v>627</v>
      </c>
    </row>
    <row r="997" spans="1:1">
      <c r="A997" s="2" t="s">
        <v>628</v>
      </c>
    </row>
    <row r="998" spans="1:1">
      <c r="A998" s="2" t="s">
        <v>629</v>
      </c>
    </row>
    <row r="999" spans="1:1">
      <c r="A999" s="2" t="s">
        <v>630</v>
      </c>
    </row>
    <row r="1000" spans="1:1">
      <c r="A1000" s="2" t="s">
        <v>631</v>
      </c>
    </row>
    <row r="1001" spans="1:1">
      <c r="A1001" s="2" t="s">
        <v>632</v>
      </c>
    </row>
    <row r="1002" spans="1:1">
      <c r="A1002" s="2" t="s">
        <v>633</v>
      </c>
    </row>
    <row r="1003" spans="1:1">
      <c r="A1003" s="2" t="s">
        <v>634</v>
      </c>
    </row>
    <row r="1004" spans="1:1">
      <c r="A1004" s="2" t="s">
        <v>635</v>
      </c>
    </row>
    <row r="1005" spans="1:1">
      <c r="A1005" s="2" t="s">
        <v>636</v>
      </c>
    </row>
    <row r="1006" spans="1:1">
      <c r="A1006" s="2" t="s">
        <v>637</v>
      </c>
    </row>
    <row r="1007" spans="1:1">
      <c r="A1007" s="2" t="s">
        <v>638</v>
      </c>
    </row>
    <row r="1008" spans="1:1">
      <c r="A1008" s="2" t="s">
        <v>639</v>
      </c>
    </row>
    <row r="1009" spans="1:1">
      <c r="A1009" s="2" t="s">
        <v>640</v>
      </c>
    </row>
    <row r="1010" spans="1:1">
      <c r="A1010" s="2" t="s">
        <v>641</v>
      </c>
    </row>
    <row r="1011" spans="1:1">
      <c r="A1011" s="2" t="s">
        <v>642</v>
      </c>
    </row>
    <row r="1012" spans="1:1">
      <c r="A1012" s="2" t="s">
        <v>643</v>
      </c>
    </row>
    <row r="1013" spans="1:1">
      <c r="A1013" s="2" t="s">
        <v>644</v>
      </c>
    </row>
    <row r="1014" spans="1:1">
      <c r="A1014" s="2" t="s">
        <v>645</v>
      </c>
    </row>
    <row r="1015" spans="1:1">
      <c r="A1015" s="2" t="s">
        <v>646</v>
      </c>
    </row>
    <row r="1016" spans="1:1">
      <c r="A1016" s="2" t="s">
        <v>647</v>
      </c>
    </row>
    <row r="1017" spans="1:1">
      <c r="A1017" s="2" t="s">
        <v>648</v>
      </c>
    </row>
    <row r="1018" spans="1:1">
      <c r="A1018" s="2" t="s">
        <v>649</v>
      </c>
    </row>
    <row r="1019" spans="1:1">
      <c r="A1019" s="2" t="s">
        <v>650</v>
      </c>
    </row>
    <row r="1020" spans="1:1">
      <c r="A1020" s="2" t="s">
        <v>651</v>
      </c>
    </row>
    <row r="1021" spans="1:1">
      <c r="A1021" s="2" t="s">
        <v>50</v>
      </c>
    </row>
    <row r="1022" spans="1:1">
      <c r="A1022" s="2" t="s">
        <v>652</v>
      </c>
    </row>
    <row r="1023" spans="1:1">
      <c r="A1023" s="2" t="s">
        <v>653</v>
      </c>
    </row>
    <row r="1024" spans="1:1">
      <c r="A1024" s="2" t="s">
        <v>654</v>
      </c>
    </row>
    <row r="1025" spans="1:1">
      <c r="A1025" s="2" t="s">
        <v>655</v>
      </c>
    </row>
    <row r="1026" spans="1:1">
      <c r="A1026" s="2" t="s">
        <v>656</v>
      </c>
    </row>
    <row r="1027" spans="1:1">
      <c r="A1027" s="2" t="s">
        <v>657</v>
      </c>
    </row>
    <row r="1028" spans="1:1">
      <c r="A1028" s="2" t="s">
        <v>658</v>
      </c>
    </row>
    <row r="1029" spans="1:1">
      <c r="A1029" s="2" t="s">
        <v>659</v>
      </c>
    </row>
    <row r="1030" spans="1:1">
      <c r="A1030" s="2" t="s">
        <v>660</v>
      </c>
    </row>
    <row r="1031" spans="1:1">
      <c r="A1031" s="2" t="s">
        <v>661</v>
      </c>
    </row>
    <row r="1032" spans="1:1">
      <c r="A1032" s="2" t="s">
        <v>662</v>
      </c>
    </row>
    <row r="1033" spans="1:1">
      <c r="A1033" s="2" t="s">
        <v>663</v>
      </c>
    </row>
    <row r="1034" spans="1:1">
      <c r="A1034" s="2" t="s">
        <v>664</v>
      </c>
    </row>
    <row r="1035" spans="1:1">
      <c r="A1035" s="2" t="s">
        <v>665</v>
      </c>
    </row>
    <row r="1036" spans="1:1">
      <c r="A1036" s="2" t="s">
        <v>666</v>
      </c>
    </row>
    <row r="1037" spans="1:1">
      <c r="A1037" s="2" t="s">
        <v>667</v>
      </c>
    </row>
    <row r="1038" spans="1:1">
      <c r="A1038" s="2" t="s">
        <v>668</v>
      </c>
    </row>
    <row r="1039" spans="1:1">
      <c r="A1039" s="2" t="s">
        <v>669</v>
      </c>
    </row>
    <row r="1040" spans="1:1">
      <c r="A1040" s="2" t="s">
        <v>670</v>
      </c>
    </row>
    <row r="1041" spans="1:1">
      <c r="A1041" s="2" t="s">
        <v>671</v>
      </c>
    </row>
    <row r="1042" spans="1:1">
      <c r="A1042" s="2" t="s">
        <v>672</v>
      </c>
    </row>
    <row r="1043" spans="1:1">
      <c r="A1043" s="2" t="s">
        <v>673</v>
      </c>
    </row>
    <row r="1044" spans="1:1">
      <c r="A1044" s="2" t="s">
        <v>674</v>
      </c>
    </row>
    <row r="1045" spans="1:1">
      <c r="A1045" s="2" t="s">
        <v>675</v>
      </c>
    </row>
    <row r="1046" spans="1:1">
      <c r="A1046" s="2" t="s">
        <v>676</v>
      </c>
    </row>
    <row r="1047" spans="1:1">
      <c r="A1047" s="2" t="s">
        <v>677</v>
      </c>
    </row>
    <row r="1048" spans="1:1">
      <c r="A1048" s="2" t="s">
        <v>678</v>
      </c>
    </row>
    <row r="1049" spans="1:1">
      <c r="A1049" s="2" t="s">
        <v>679</v>
      </c>
    </row>
    <row r="1050" spans="1:1">
      <c r="A1050" s="2" t="s">
        <v>680</v>
      </c>
    </row>
    <row r="1051" spans="1:1">
      <c r="A1051" s="2" t="s">
        <v>681</v>
      </c>
    </row>
    <row r="1052" spans="1:1">
      <c r="A1052" s="2" t="s">
        <v>682</v>
      </c>
    </row>
    <row r="1053" spans="1:1">
      <c r="A1053" s="2" t="s">
        <v>683</v>
      </c>
    </row>
    <row r="1054" spans="1:1">
      <c r="A1054" s="2" t="s">
        <v>684</v>
      </c>
    </row>
    <row r="1055" spans="1:1">
      <c r="A1055" s="2" t="s">
        <v>685</v>
      </c>
    </row>
    <row r="1056" spans="1:1">
      <c r="A1056" s="2" t="s">
        <v>686</v>
      </c>
    </row>
    <row r="1057" spans="1:1">
      <c r="A1057" s="2" t="s">
        <v>687</v>
      </c>
    </row>
    <row r="1058" spans="1:1">
      <c r="A1058" s="2" t="s">
        <v>688</v>
      </c>
    </row>
    <row r="1059" spans="1:1">
      <c r="A1059" s="2" t="s">
        <v>689</v>
      </c>
    </row>
    <row r="1060" spans="1:1">
      <c r="A1060" s="2" t="s">
        <v>690</v>
      </c>
    </row>
    <row r="1061" spans="1:1">
      <c r="A1061" s="2" t="s">
        <v>691</v>
      </c>
    </row>
    <row r="1062" spans="1:1">
      <c r="A1062" s="2" t="s">
        <v>692</v>
      </c>
    </row>
    <row r="1063" spans="1:1">
      <c r="A1063" s="2" t="s">
        <v>693</v>
      </c>
    </row>
    <row r="1064" spans="1:1">
      <c r="A1064" s="2" t="s">
        <v>694</v>
      </c>
    </row>
    <row r="1065" spans="1:1">
      <c r="A1065" s="2" t="s">
        <v>695</v>
      </c>
    </row>
    <row r="1066" spans="1:1">
      <c r="A1066" s="2" t="s">
        <v>696</v>
      </c>
    </row>
    <row r="1067" spans="1:1">
      <c r="A1067" s="2" t="s">
        <v>697</v>
      </c>
    </row>
    <row r="1068" spans="1:1">
      <c r="A1068" s="2" t="s">
        <v>698</v>
      </c>
    </row>
    <row r="1069" spans="1:1">
      <c r="A1069" s="2" t="s">
        <v>699</v>
      </c>
    </row>
    <row r="1070" spans="1:1">
      <c r="A1070" s="2" t="s">
        <v>700</v>
      </c>
    </row>
    <row r="1071" spans="1:1">
      <c r="A1071" s="2" t="s">
        <v>701</v>
      </c>
    </row>
    <row r="1072" spans="1:1">
      <c r="A1072" s="2" t="s">
        <v>702</v>
      </c>
    </row>
    <row r="1073" spans="1:1">
      <c r="A1073" s="2" t="s">
        <v>703</v>
      </c>
    </row>
    <row r="1074" spans="1:1">
      <c r="A1074" s="2" t="s">
        <v>704</v>
      </c>
    </row>
    <row r="1075" spans="1:1">
      <c r="A1075" s="2" t="s">
        <v>705</v>
      </c>
    </row>
    <row r="1076" spans="1:1">
      <c r="A1076" s="2" t="s">
        <v>706</v>
      </c>
    </row>
    <row r="1077" spans="1:1">
      <c r="A1077" s="2" t="s">
        <v>707</v>
      </c>
    </row>
    <row r="1078" spans="1:1">
      <c r="A1078" s="2" t="s">
        <v>708</v>
      </c>
    </row>
    <row r="1079" spans="1:1">
      <c r="A1079" s="2" t="s">
        <v>709</v>
      </c>
    </row>
    <row r="1080" spans="1:1">
      <c r="A1080" s="2" t="s">
        <v>710</v>
      </c>
    </row>
    <row r="1081" spans="1:1">
      <c r="A1081" s="2" t="s">
        <v>711</v>
      </c>
    </row>
    <row r="1082" spans="1:1">
      <c r="A1082" s="2" t="s">
        <v>712</v>
      </c>
    </row>
    <row r="1083" spans="1:1">
      <c r="A1083" s="2" t="s">
        <v>713</v>
      </c>
    </row>
    <row r="1084" spans="1:1">
      <c r="A1084" s="2" t="s">
        <v>714</v>
      </c>
    </row>
    <row r="1085" spans="1:1">
      <c r="A1085" s="2" t="s">
        <v>715</v>
      </c>
    </row>
    <row r="1086" spans="1:1">
      <c r="A1086" s="2" t="s">
        <v>716</v>
      </c>
    </row>
    <row r="1087" spans="1:1">
      <c r="A1087" s="2" t="s">
        <v>717</v>
      </c>
    </row>
    <row r="1088" spans="1:1">
      <c r="A1088" s="2" t="s">
        <v>718</v>
      </c>
    </row>
    <row r="1089" spans="1:1">
      <c r="A1089" s="2" t="s">
        <v>719</v>
      </c>
    </row>
    <row r="1090" spans="1:1">
      <c r="A1090" s="2" t="s">
        <v>720</v>
      </c>
    </row>
    <row r="1091" spans="1:1">
      <c r="A1091" s="2" t="s">
        <v>721</v>
      </c>
    </row>
    <row r="1092" spans="1:1">
      <c r="A1092" s="2" t="s">
        <v>722</v>
      </c>
    </row>
    <row r="1093" spans="1:1">
      <c r="A1093" s="2" t="s">
        <v>723</v>
      </c>
    </row>
    <row r="1094" spans="1:1">
      <c r="A1094" s="2" t="s">
        <v>724</v>
      </c>
    </row>
    <row r="1095" spans="1:1">
      <c r="A1095" s="2" t="s">
        <v>725</v>
      </c>
    </row>
    <row r="1096" spans="1:1">
      <c r="A1096" s="2" t="s">
        <v>726</v>
      </c>
    </row>
    <row r="1097" spans="1:1">
      <c r="A1097" s="2" t="s">
        <v>727</v>
      </c>
    </row>
    <row r="1098" spans="1:1">
      <c r="A1098" s="2" t="s">
        <v>728</v>
      </c>
    </row>
    <row r="1099" spans="1:1">
      <c r="A1099" s="2" t="s">
        <v>729</v>
      </c>
    </row>
    <row r="1100" spans="1:1">
      <c r="A1100" s="2" t="s">
        <v>730</v>
      </c>
    </row>
    <row r="1101" spans="1:1">
      <c r="A1101" s="2" t="s">
        <v>731</v>
      </c>
    </row>
    <row r="1102" spans="1:1">
      <c r="A1102" s="2" t="s">
        <v>732</v>
      </c>
    </row>
    <row r="1103" spans="1:1">
      <c r="A1103" s="2" t="s">
        <v>733</v>
      </c>
    </row>
    <row r="1104" spans="1:1">
      <c r="A1104" s="2" t="s">
        <v>734</v>
      </c>
    </row>
    <row r="1105" spans="1:1">
      <c r="A1105" s="2" t="s">
        <v>735</v>
      </c>
    </row>
    <row r="1106" spans="1:1">
      <c r="A1106" s="2" t="s">
        <v>736</v>
      </c>
    </row>
    <row r="1107" spans="1:1">
      <c r="A1107" s="2" t="s">
        <v>737</v>
      </c>
    </row>
    <row r="1108" spans="1:1">
      <c r="A1108" s="2" t="s">
        <v>738</v>
      </c>
    </row>
    <row r="1109" spans="1:1">
      <c r="A1109" s="2" t="s">
        <v>739</v>
      </c>
    </row>
    <row r="1110" spans="1:1">
      <c r="A1110" s="2" t="s">
        <v>740</v>
      </c>
    </row>
    <row r="1111" spans="1:1">
      <c r="A1111" s="2" t="s">
        <v>741</v>
      </c>
    </row>
    <row r="1112" spans="1:1">
      <c r="A1112" s="2" t="s">
        <v>742</v>
      </c>
    </row>
    <row r="1113" spans="1:1">
      <c r="A1113" s="2" t="s">
        <v>743</v>
      </c>
    </row>
    <row r="1114" spans="1:1">
      <c r="A1114" s="2" t="s">
        <v>744</v>
      </c>
    </row>
    <row r="1115" spans="1:1">
      <c r="A1115" s="2" t="s">
        <v>745</v>
      </c>
    </row>
    <row r="1116" spans="1:1">
      <c r="A1116" s="2" t="s">
        <v>746</v>
      </c>
    </row>
    <row r="1117" spans="1:1">
      <c r="A1117" s="2" t="s">
        <v>747</v>
      </c>
    </row>
    <row r="1118" spans="1:1">
      <c r="A1118" s="2" t="s">
        <v>748</v>
      </c>
    </row>
    <row r="1119" spans="1:1">
      <c r="A1119" s="2" t="s">
        <v>749</v>
      </c>
    </row>
    <row r="1120" spans="1:1">
      <c r="A1120" s="2" t="s">
        <v>750</v>
      </c>
    </row>
    <row r="1121" spans="1:1">
      <c r="A1121" s="2" t="s">
        <v>751</v>
      </c>
    </row>
    <row r="1122" spans="1:1">
      <c r="A1122" s="2" t="s">
        <v>752</v>
      </c>
    </row>
    <row r="1123" spans="1:1">
      <c r="A1123" s="2" t="s">
        <v>753</v>
      </c>
    </row>
    <row r="1124" spans="1:1">
      <c r="A1124" s="2" t="s">
        <v>754</v>
      </c>
    </row>
    <row r="1125" spans="1:1">
      <c r="A1125" s="2" t="s">
        <v>755</v>
      </c>
    </row>
    <row r="1126" spans="1:1">
      <c r="A1126" s="2" t="s">
        <v>756</v>
      </c>
    </row>
    <row r="1127" spans="1:1">
      <c r="A1127" s="2" t="s">
        <v>757</v>
      </c>
    </row>
    <row r="1128" spans="1:1">
      <c r="A1128" s="2" t="s">
        <v>758</v>
      </c>
    </row>
    <row r="1129" spans="1:1">
      <c r="A1129" s="2" t="s">
        <v>759</v>
      </c>
    </row>
    <row r="1130" spans="1:1">
      <c r="A1130" s="2" t="s">
        <v>760</v>
      </c>
    </row>
    <row r="1131" spans="1:1">
      <c r="A1131" s="2" t="s">
        <v>761</v>
      </c>
    </row>
    <row r="1132" spans="1:1">
      <c r="A1132" s="2" t="s">
        <v>762</v>
      </c>
    </row>
    <row r="1133" spans="1:1">
      <c r="A1133" s="2" t="s">
        <v>763</v>
      </c>
    </row>
    <row r="1134" spans="1:1">
      <c r="A1134" s="2" t="s">
        <v>764</v>
      </c>
    </row>
    <row r="1135" spans="1:1">
      <c r="A1135" s="2" t="s">
        <v>765</v>
      </c>
    </row>
    <row r="1136" spans="1:1">
      <c r="A1136" s="2" t="s">
        <v>766</v>
      </c>
    </row>
    <row r="1137" spans="1:1">
      <c r="A1137" s="2" t="s">
        <v>767</v>
      </c>
    </row>
    <row r="1138" spans="1:1">
      <c r="A1138" s="2" t="s">
        <v>768</v>
      </c>
    </row>
    <row r="1139" spans="1:1">
      <c r="A1139" s="2" t="s">
        <v>769</v>
      </c>
    </row>
    <row r="1140" spans="1:1">
      <c r="A1140" s="2" t="s">
        <v>770</v>
      </c>
    </row>
    <row r="1141" spans="1:1">
      <c r="A1141" s="2" t="s">
        <v>58</v>
      </c>
    </row>
    <row r="1142" spans="1:1">
      <c r="A1142" s="2" t="s">
        <v>771</v>
      </c>
    </row>
    <row r="1143" spans="1:1">
      <c r="A1143" s="2" t="s">
        <v>772</v>
      </c>
    </row>
    <row r="1144" spans="1:1">
      <c r="A1144" s="2" t="s">
        <v>773</v>
      </c>
    </row>
    <row r="1145" spans="1:1">
      <c r="A1145" s="2" t="s">
        <v>774</v>
      </c>
    </row>
    <row r="1146" spans="1:1">
      <c r="A1146" s="2" t="s">
        <v>775</v>
      </c>
    </row>
    <row r="1147" spans="1:1">
      <c r="A1147" s="2" t="s">
        <v>776</v>
      </c>
    </row>
    <row r="1148" spans="1:1">
      <c r="A1148" s="2" t="s">
        <v>777</v>
      </c>
    </row>
    <row r="1149" spans="1:1">
      <c r="A1149" s="2" t="s">
        <v>778</v>
      </c>
    </row>
    <row r="1150" spans="1:1">
      <c r="A1150" s="2" t="s">
        <v>779</v>
      </c>
    </row>
    <row r="1151" spans="1:1">
      <c r="A1151" s="2" t="s">
        <v>780</v>
      </c>
    </row>
    <row r="1152" spans="1:1">
      <c r="A1152" s="2" t="s">
        <v>781</v>
      </c>
    </row>
    <row r="1153" spans="1:1">
      <c r="A1153" s="2" t="s">
        <v>782</v>
      </c>
    </row>
    <row r="1154" spans="1:1">
      <c r="A1154" s="2" t="s">
        <v>783</v>
      </c>
    </row>
    <row r="1155" spans="1:1">
      <c r="A1155" s="2" t="s">
        <v>784</v>
      </c>
    </row>
    <row r="1156" spans="1:1">
      <c r="A1156" s="2" t="s">
        <v>785</v>
      </c>
    </row>
    <row r="1157" spans="1:1">
      <c r="A1157" s="2" t="s">
        <v>786</v>
      </c>
    </row>
    <row r="1158" spans="1:1">
      <c r="A1158" s="2" t="s">
        <v>787</v>
      </c>
    </row>
    <row r="1159" spans="1:1">
      <c r="A1159" s="2" t="s">
        <v>788</v>
      </c>
    </row>
    <row r="1160" spans="1:1">
      <c r="A1160" s="2" t="s">
        <v>789</v>
      </c>
    </row>
    <row r="1161" spans="1:1">
      <c r="A1161" s="2" t="s">
        <v>790</v>
      </c>
    </row>
    <row r="1162" spans="1:1">
      <c r="A1162" s="2" t="s">
        <v>791</v>
      </c>
    </row>
    <row r="1163" spans="1:1">
      <c r="A1163" s="2" t="s">
        <v>792</v>
      </c>
    </row>
    <row r="1164" spans="1:1">
      <c r="A1164" s="2" t="s">
        <v>793</v>
      </c>
    </row>
    <row r="1165" spans="1:1">
      <c r="A1165" s="2" t="s">
        <v>794</v>
      </c>
    </row>
    <row r="1166" spans="1:1">
      <c r="A1166" s="2" t="s">
        <v>795</v>
      </c>
    </row>
    <row r="1167" spans="1:1">
      <c r="A1167" s="2" t="s">
        <v>796</v>
      </c>
    </row>
    <row r="1168" spans="1:1">
      <c r="A1168" s="2" t="s">
        <v>797</v>
      </c>
    </row>
    <row r="1169" spans="1:1">
      <c r="A1169" s="2" t="s">
        <v>798</v>
      </c>
    </row>
    <row r="1170" spans="1:1">
      <c r="A1170" s="2" t="s">
        <v>799</v>
      </c>
    </row>
    <row r="1171" spans="1:1">
      <c r="A1171" s="2" t="s">
        <v>800</v>
      </c>
    </row>
    <row r="1172" spans="1:1">
      <c r="A1172" s="2" t="s">
        <v>801</v>
      </c>
    </row>
    <row r="1173" spans="1:1">
      <c r="A1173" s="2" t="s">
        <v>802</v>
      </c>
    </row>
    <row r="1174" spans="1:1">
      <c r="A1174" s="2" t="s">
        <v>803</v>
      </c>
    </row>
    <row r="1175" spans="1:1">
      <c r="A1175" s="2" t="s">
        <v>804</v>
      </c>
    </row>
    <row r="1176" spans="1:1">
      <c r="A1176" s="2" t="s">
        <v>805</v>
      </c>
    </row>
    <row r="1177" spans="1:1">
      <c r="A1177" s="2" t="s">
        <v>806</v>
      </c>
    </row>
    <row r="1178" spans="1:1">
      <c r="A1178" s="2" t="s">
        <v>807</v>
      </c>
    </row>
    <row r="1179" spans="1:1">
      <c r="A1179" s="2" t="s">
        <v>808</v>
      </c>
    </row>
    <row r="1180" spans="1:1">
      <c r="A1180" s="2" t="s">
        <v>809</v>
      </c>
    </row>
    <row r="1181" spans="1:1">
      <c r="A1181" s="2" t="s">
        <v>810</v>
      </c>
    </row>
    <row r="1182" spans="1:1">
      <c r="A1182" s="2" t="s">
        <v>811</v>
      </c>
    </row>
    <row r="1183" spans="1:1">
      <c r="A1183" s="2" t="s">
        <v>61</v>
      </c>
    </row>
    <row r="1184" spans="1:1">
      <c r="A1184" s="2" t="s">
        <v>812</v>
      </c>
    </row>
    <row r="1185" spans="1:1">
      <c r="A1185" s="2" t="s">
        <v>813</v>
      </c>
    </row>
    <row r="1186" spans="1:1">
      <c r="A1186" s="2" t="s">
        <v>814</v>
      </c>
    </row>
    <row r="1187" spans="1:1">
      <c r="A1187" s="2" t="s">
        <v>815</v>
      </c>
    </row>
    <row r="1188" spans="1:1">
      <c r="A1188" s="2" t="s">
        <v>816</v>
      </c>
    </row>
    <row r="1189" spans="1:1">
      <c r="A1189" s="2" t="s">
        <v>817</v>
      </c>
    </row>
    <row r="1190" spans="1:1">
      <c r="A1190" s="2" t="s">
        <v>818</v>
      </c>
    </row>
    <row r="1191" spans="1:1">
      <c r="A1191" s="2" t="s">
        <v>819</v>
      </c>
    </row>
    <row r="1192" spans="1:1">
      <c r="A1192" s="2" t="s">
        <v>820</v>
      </c>
    </row>
    <row r="1193" spans="1:1">
      <c r="A1193" s="2" t="s">
        <v>821</v>
      </c>
    </row>
    <row r="1194" spans="1:1">
      <c r="A1194" s="2" t="s">
        <v>822</v>
      </c>
    </row>
    <row r="1195" spans="1:1">
      <c r="A1195" s="2" t="s">
        <v>823</v>
      </c>
    </row>
    <row r="1196" spans="1:1">
      <c r="A1196" s="2" t="s">
        <v>824</v>
      </c>
    </row>
    <row r="1197" spans="1:1">
      <c r="A1197" s="2" t="s">
        <v>825</v>
      </c>
    </row>
    <row r="1198" spans="1:1">
      <c r="A1198" s="2" t="s">
        <v>826</v>
      </c>
    </row>
    <row r="1199" spans="1:1">
      <c r="A1199" s="2" t="s">
        <v>827</v>
      </c>
    </row>
    <row r="1200" spans="1:1">
      <c r="A1200" s="2" t="s">
        <v>828</v>
      </c>
    </row>
    <row r="1201" spans="1:1">
      <c r="A1201" s="2" t="s">
        <v>829</v>
      </c>
    </row>
    <row r="1202" spans="1:1">
      <c r="A1202" s="2" t="s">
        <v>830</v>
      </c>
    </row>
    <row r="1203" spans="1:1">
      <c r="A1203" s="2" t="s">
        <v>831</v>
      </c>
    </row>
    <row r="1204" spans="1:1">
      <c r="A1204" s="2" t="s">
        <v>832</v>
      </c>
    </row>
    <row r="1205" spans="1:1">
      <c r="A1205" s="2" t="s">
        <v>833</v>
      </c>
    </row>
    <row r="1206" spans="1:1">
      <c r="A1206" s="2" t="s">
        <v>834</v>
      </c>
    </row>
    <row r="1207" spans="1:1">
      <c r="A1207" s="2" t="s">
        <v>47</v>
      </c>
    </row>
    <row r="1208" spans="1:1">
      <c r="A1208" s="2" t="s">
        <v>835</v>
      </c>
    </row>
    <row r="1209" spans="1:1">
      <c r="A1209" s="2" t="s">
        <v>836</v>
      </c>
    </row>
    <row r="1210" spans="1:1">
      <c r="A1210" s="2" t="s">
        <v>837</v>
      </c>
    </row>
    <row r="1211" spans="1:1">
      <c r="A1211" s="2" t="s">
        <v>838</v>
      </c>
    </row>
    <row r="1212" spans="1:1">
      <c r="A1212" s="2" t="s">
        <v>839</v>
      </c>
    </row>
    <row r="1213" spans="1:1">
      <c r="A1213" s="2" t="s">
        <v>840</v>
      </c>
    </row>
    <row r="1214" spans="1:1">
      <c r="A1214" s="2" t="s">
        <v>841</v>
      </c>
    </row>
    <row r="1215" spans="1:1">
      <c r="A1215" s="2" t="s">
        <v>842</v>
      </c>
    </row>
    <row r="1216" spans="1:1">
      <c r="A1216" s="2" t="s">
        <v>843</v>
      </c>
    </row>
    <row r="1217" spans="1:1">
      <c r="A1217" s="2" t="s">
        <v>844</v>
      </c>
    </row>
    <row r="1218" spans="1:1">
      <c r="A1218" s="2" t="s">
        <v>845</v>
      </c>
    </row>
    <row r="1219" spans="1:1">
      <c r="A1219" s="2" t="s">
        <v>846</v>
      </c>
    </row>
    <row r="1220" spans="1:1">
      <c r="A1220" s="2" t="s">
        <v>847</v>
      </c>
    </row>
    <row r="1221" spans="1:1">
      <c r="A1221" s="2" t="s">
        <v>848</v>
      </c>
    </row>
    <row r="1222" spans="1:1">
      <c r="A1222" s="2" t="s">
        <v>849</v>
      </c>
    </row>
    <row r="1223" spans="1:1">
      <c r="A1223" s="2" t="s">
        <v>850</v>
      </c>
    </row>
    <row r="1224" spans="1:1">
      <c r="A1224" s="2" t="s">
        <v>851</v>
      </c>
    </row>
    <row r="1225" spans="1:1">
      <c r="A1225" s="2" t="s">
        <v>852</v>
      </c>
    </row>
    <row r="1226" spans="1:1">
      <c r="A1226" s="2" t="s">
        <v>853</v>
      </c>
    </row>
    <row r="1227" spans="1:1">
      <c r="A1227" s="2" t="s">
        <v>854</v>
      </c>
    </row>
    <row r="1228" spans="1:1">
      <c r="A1228" s="2" t="s">
        <v>855</v>
      </c>
    </row>
    <row r="1229" spans="1:1">
      <c r="A1229" s="2" t="s">
        <v>856</v>
      </c>
    </row>
    <row r="1230" spans="1:1">
      <c r="A1230" s="2" t="s">
        <v>857</v>
      </c>
    </row>
    <row r="1231" spans="1:1">
      <c r="A1231" s="2" t="s">
        <v>858</v>
      </c>
    </row>
    <row r="1232" spans="1:1">
      <c r="A1232" s="2" t="s">
        <v>859</v>
      </c>
    </row>
    <row r="1233" spans="1:1">
      <c r="A1233" s="2" t="s">
        <v>860</v>
      </c>
    </row>
    <row r="1234" spans="1:1">
      <c r="A1234" s="2" t="s">
        <v>861</v>
      </c>
    </row>
    <row r="1235" spans="1:1">
      <c r="A1235" s="2" t="s">
        <v>862</v>
      </c>
    </row>
    <row r="1236" spans="1:1">
      <c r="A1236" s="2" t="s">
        <v>863</v>
      </c>
    </row>
    <row r="1237" spans="1:1">
      <c r="A1237" s="2" t="s">
        <v>864</v>
      </c>
    </row>
    <row r="1238" spans="1:1">
      <c r="A1238" s="2" t="s">
        <v>865</v>
      </c>
    </row>
    <row r="1239" spans="1:1">
      <c r="A1239" s="2" t="s">
        <v>866</v>
      </c>
    </row>
    <row r="1240" spans="1:1">
      <c r="A1240" s="2" t="s">
        <v>867</v>
      </c>
    </row>
    <row r="1241" spans="1:1">
      <c r="A1241" s="2" t="s">
        <v>868</v>
      </c>
    </row>
    <row r="1242" spans="1:1">
      <c r="A1242" s="2" t="s">
        <v>869</v>
      </c>
    </row>
    <row r="1243" spans="1:1">
      <c r="A1243" s="2" t="s">
        <v>870</v>
      </c>
    </row>
    <row r="1244" spans="1:1">
      <c r="A1244" s="2" t="s">
        <v>871</v>
      </c>
    </row>
    <row r="1245" spans="1:1">
      <c r="A1245" s="2" t="s">
        <v>872</v>
      </c>
    </row>
    <row r="1246" spans="1:1">
      <c r="A1246" s="2" t="s">
        <v>873</v>
      </c>
    </row>
    <row r="1247" spans="1:1">
      <c r="A1247" s="2" t="s">
        <v>874</v>
      </c>
    </row>
    <row r="1248" spans="1:1">
      <c r="A1248" s="2" t="s">
        <v>875</v>
      </c>
    </row>
    <row r="1249" spans="1:1">
      <c r="A1249" s="2" t="s">
        <v>876</v>
      </c>
    </row>
    <row r="1250" spans="1:1">
      <c r="A1250" s="2" t="s">
        <v>877</v>
      </c>
    </row>
    <row r="1251" spans="1:1">
      <c r="A1251" s="2" t="s">
        <v>878</v>
      </c>
    </row>
    <row r="1252" spans="1:1">
      <c r="A1252" s="2" t="s">
        <v>879</v>
      </c>
    </row>
    <row r="1253" spans="1:1">
      <c r="A1253" s="2" t="s">
        <v>880</v>
      </c>
    </row>
    <row r="1254" spans="1:1">
      <c r="A1254" s="2" t="s">
        <v>881</v>
      </c>
    </row>
    <row r="1255" spans="1:1">
      <c r="A1255" s="2" t="s">
        <v>882</v>
      </c>
    </row>
    <row r="1256" spans="1:1">
      <c r="A1256" s="2" t="s">
        <v>883</v>
      </c>
    </row>
    <row r="1257" spans="1:1">
      <c r="A1257" s="2" t="s">
        <v>884</v>
      </c>
    </row>
    <row r="1258" spans="1:1">
      <c r="A1258" s="2" t="s">
        <v>885</v>
      </c>
    </row>
    <row r="1259" spans="1:1">
      <c r="A1259" s="2" t="s">
        <v>886</v>
      </c>
    </row>
    <row r="1260" spans="1:1">
      <c r="A1260" s="2" t="s">
        <v>887</v>
      </c>
    </row>
    <row r="1261" spans="1:1">
      <c r="A1261" s="2" t="s">
        <v>888</v>
      </c>
    </row>
    <row r="1262" spans="1:1">
      <c r="A1262" s="2" t="s">
        <v>889</v>
      </c>
    </row>
    <row r="1263" spans="1:1">
      <c r="A1263" s="2" t="s">
        <v>890</v>
      </c>
    </row>
    <row r="1264" spans="1:1">
      <c r="A1264" s="2" t="s">
        <v>891</v>
      </c>
    </row>
    <row r="1265" spans="1:1">
      <c r="A1265" s="2" t="s">
        <v>892</v>
      </c>
    </row>
    <row r="1266" spans="1:1">
      <c r="A1266" s="2" t="s">
        <v>893</v>
      </c>
    </row>
    <row r="1267" spans="1:1">
      <c r="A1267" s="2" t="s">
        <v>894</v>
      </c>
    </row>
    <row r="1268" spans="1:1">
      <c r="A1268" s="2" t="s">
        <v>895</v>
      </c>
    </row>
    <row r="1269" spans="1:1">
      <c r="A1269" s="2" t="s">
        <v>896</v>
      </c>
    </row>
    <row r="1270" spans="1:1">
      <c r="A1270" s="2" t="s">
        <v>897</v>
      </c>
    </row>
    <row r="1271" spans="1:1">
      <c r="A1271" s="2" t="s">
        <v>898</v>
      </c>
    </row>
    <row r="1272" spans="1:1">
      <c r="A1272" s="2" t="s">
        <v>899</v>
      </c>
    </row>
    <row r="1273" spans="1:1">
      <c r="A1273" s="2" t="s">
        <v>900</v>
      </c>
    </row>
    <row r="1274" spans="1:1">
      <c r="A1274" s="2" t="s">
        <v>901</v>
      </c>
    </row>
    <row r="1275" spans="1:1">
      <c r="A1275" s="2" t="s">
        <v>902</v>
      </c>
    </row>
    <row r="1276" spans="1:1">
      <c r="A1276" s="2" t="s">
        <v>903</v>
      </c>
    </row>
    <row r="1277" spans="1:1">
      <c r="A1277" s="2" t="s">
        <v>904</v>
      </c>
    </row>
    <row r="1278" spans="1:1">
      <c r="A1278" s="2" t="s">
        <v>905</v>
      </c>
    </row>
    <row r="1279" spans="1:1">
      <c r="A1279" s="2" t="s">
        <v>906</v>
      </c>
    </row>
    <row r="1280" spans="1:1">
      <c r="A1280" s="2" t="s">
        <v>907</v>
      </c>
    </row>
    <row r="1281" spans="1:1">
      <c r="A1281" s="2" t="s">
        <v>908</v>
      </c>
    </row>
    <row r="1282" spans="1:1">
      <c r="A1282" s="2" t="s">
        <v>909</v>
      </c>
    </row>
    <row r="1283" spans="1:1">
      <c r="A1283" s="2" t="s">
        <v>910</v>
      </c>
    </row>
    <row r="1284" spans="1:1">
      <c r="A1284" s="2" t="s">
        <v>911</v>
      </c>
    </row>
    <row r="1285" spans="1:1">
      <c r="A1285" s="2" t="s">
        <v>912</v>
      </c>
    </row>
    <row r="1286" spans="1:1">
      <c r="A1286" s="2" t="s">
        <v>913</v>
      </c>
    </row>
    <row r="1287" spans="1:1">
      <c r="A1287" s="2" t="s">
        <v>914</v>
      </c>
    </row>
    <row r="1288" spans="1:1">
      <c r="A1288" s="2" t="s">
        <v>915</v>
      </c>
    </row>
    <row r="1289" spans="1:1">
      <c r="A1289" s="2" t="s">
        <v>916</v>
      </c>
    </row>
    <row r="1290" spans="1:1">
      <c r="A1290" s="2" t="s">
        <v>917</v>
      </c>
    </row>
    <row r="1291" spans="1:1">
      <c r="A1291" s="2" t="s">
        <v>918</v>
      </c>
    </row>
    <row r="1292" spans="1:1">
      <c r="A1292" s="2" t="s">
        <v>919</v>
      </c>
    </row>
    <row r="1293" spans="1:1">
      <c r="A1293" s="2" t="s">
        <v>920</v>
      </c>
    </row>
    <row r="1294" spans="1:1">
      <c r="A1294" s="2" t="s">
        <v>921</v>
      </c>
    </row>
    <row r="1295" spans="1:1">
      <c r="A1295" s="2" t="s">
        <v>922</v>
      </c>
    </row>
    <row r="1296" spans="1:1">
      <c r="A1296" s="2" t="s">
        <v>923</v>
      </c>
    </row>
    <row r="1297" spans="1:1">
      <c r="A1297" s="2" t="s">
        <v>924</v>
      </c>
    </row>
    <row r="1298" spans="1:1">
      <c r="A1298" s="2" t="s">
        <v>925</v>
      </c>
    </row>
    <row r="1299" spans="1:1">
      <c r="A1299" s="2" t="s">
        <v>926</v>
      </c>
    </row>
    <row r="1300" spans="1:1">
      <c r="A1300" s="2" t="s">
        <v>927</v>
      </c>
    </row>
    <row r="1301" spans="1:1">
      <c r="A1301" s="2" t="s">
        <v>928</v>
      </c>
    </row>
    <row r="1302" spans="1:1">
      <c r="A1302" s="2" t="s">
        <v>929</v>
      </c>
    </row>
    <row r="1303" spans="1:1">
      <c r="A1303" s="2" t="s">
        <v>930</v>
      </c>
    </row>
    <row r="1304" spans="1:1">
      <c r="A1304" s="2" t="s">
        <v>931</v>
      </c>
    </row>
    <row r="1305" spans="1:1">
      <c r="A1305" s="2" t="s">
        <v>932</v>
      </c>
    </row>
    <row r="1306" spans="1:1">
      <c r="A1306" s="2" t="s">
        <v>933</v>
      </c>
    </row>
    <row r="1307" spans="1:1">
      <c r="A1307" s="2" t="s">
        <v>934</v>
      </c>
    </row>
    <row r="1308" spans="1:1">
      <c r="A1308" s="2" t="s">
        <v>935</v>
      </c>
    </row>
    <row r="1309" spans="1:1">
      <c r="A1309" s="2" t="s">
        <v>936</v>
      </c>
    </row>
    <row r="1310" spans="1:1">
      <c r="A1310" s="2" t="s">
        <v>937</v>
      </c>
    </row>
    <row r="1311" spans="1:1">
      <c r="A1311" s="2" t="s">
        <v>938</v>
      </c>
    </row>
    <row r="1312" spans="1:1">
      <c r="A1312" s="2" t="s">
        <v>939</v>
      </c>
    </row>
    <row r="1313" spans="1:1">
      <c r="A1313" s="2" t="s">
        <v>940</v>
      </c>
    </row>
    <row r="1314" spans="1:1">
      <c r="A1314" s="2" t="s">
        <v>941</v>
      </c>
    </row>
    <row r="1315" spans="1:1">
      <c r="A1315" s="2" t="s">
        <v>942</v>
      </c>
    </row>
    <row r="1316" spans="1:1">
      <c r="A1316" s="2" t="s">
        <v>943</v>
      </c>
    </row>
    <row r="1317" spans="1:1">
      <c r="A1317" s="2" t="s">
        <v>944</v>
      </c>
    </row>
    <row r="1318" spans="1:1">
      <c r="A1318" s="2" t="s">
        <v>945</v>
      </c>
    </row>
    <row r="1319" spans="1:1">
      <c r="A1319" s="2" t="s">
        <v>946</v>
      </c>
    </row>
    <row r="1320" spans="1:1">
      <c r="A1320" s="2" t="s">
        <v>947</v>
      </c>
    </row>
    <row r="1321" spans="1:1">
      <c r="A1321" s="2" t="s">
        <v>948</v>
      </c>
    </row>
    <row r="1322" spans="1:1">
      <c r="A1322" s="2" t="s">
        <v>949</v>
      </c>
    </row>
    <row r="1323" spans="1:1">
      <c r="A1323" s="2" t="s">
        <v>950</v>
      </c>
    </row>
    <row r="1324" spans="1:1">
      <c r="A1324" s="2" t="s">
        <v>951</v>
      </c>
    </row>
    <row r="1325" spans="1:1">
      <c r="A1325" s="2" t="s">
        <v>952</v>
      </c>
    </row>
    <row r="1326" spans="1:1">
      <c r="A1326" s="2" t="s">
        <v>953</v>
      </c>
    </row>
    <row r="1327" spans="1:1">
      <c r="A1327" s="2" t="s">
        <v>954</v>
      </c>
    </row>
    <row r="1328" spans="1:1">
      <c r="A1328" s="2" t="s">
        <v>955</v>
      </c>
    </row>
    <row r="1329" spans="1:1">
      <c r="A1329" s="2" t="s">
        <v>956</v>
      </c>
    </row>
    <row r="1330" spans="1:1">
      <c r="A1330" s="2" t="s">
        <v>957</v>
      </c>
    </row>
    <row r="1331" spans="1:1">
      <c r="A1331" s="2" t="s">
        <v>958</v>
      </c>
    </row>
    <row r="1332" spans="1:1">
      <c r="A1332" s="2" t="s">
        <v>959</v>
      </c>
    </row>
    <row r="1333" spans="1:1">
      <c r="A1333" s="2" t="s">
        <v>960</v>
      </c>
    </row>
    <row r="1334" spans="1:1">
      <c r="A1334" s="2" t="s">
        <v>961</v>
      </c>
    </row>
    <row r="1335" spans="1:1">
      <c r="A1335" s="2" t="s">
        <v>962</v>
      </c>
    </row>
    <row r="1336" spans="1:1">
      <c r="A1336" s="2" t="s">
        <v>963</v>
      </c>
    </row>
    <row r="1337" spans="1:1">
      <c r="A1337" s="2" t="s">
        <v>964</v>
      </c>
    </row>
    <row r="1338" spans="1:1">
      <c r="A1338" s="2" t="s">
        <v>965</v>
      </c>
    </row>
    <row r="1339" spans="1:1">
      <c r="A1339" s="2" t="s">
        <v>966</v>
      </c>
    </row>
    <row r="1340" spans="1:1">
      <c r="A1340" s="2" t="s">
        <v>967</v>
      </c>
    </row>
    <row r="1341" spans="1:1">
      <c r="A1341" s="2" t="s">
        <v>968</v>
      </c>
    </row>
    <row r="1342" spans="1:1">
      <c r="A1342" s="2" t="s">
        <v>969</v>
      </c>
    </row>
    <row r="1343" spans="1:1">
      <c r="A1343" s="2" t="s">
        <v>970</v>
      </c>
    </row>
    <row r="1344" spans="1:1">
      <c r="A1344" s="2" t="s">
        <v>971</v>
      </c>
    </row>
    <row r="1345" spans="1:1">
      <c r="A1345" s="2" t="s">
        <v>972</v>
      </c>
    </row>
    <row r="1346" spans="1:1">
      <c r="A1346" s="2" t="s">
        <v>973</v>
      </c>
    </row>
    <row r="1347" spans="1:1">
      <c r="A1347" s="2" t="s">
        <v>974</v>
      </c>
    </row>
    <row r="1348" spans="1:1">
      <c r="A1348" s="2" t="s">
        <v>975</v>
      </c>
    </row>
    <row r="1349" spans="1:1">
      <c r="A1349" s="2" t="s">
        <v>976</v>
      </c>
    </row>
    <row r="1350" spans="1:1">
      <c r="A1350" s="2" t="s">
        <v>977</v>
      </c>
    </row>
    <row r="1351" spans="1:1">
      <c r="A1351" s="2" t="s">
        <v>978</v>
      </c>
    </row>
    <row r="1352" spans="1:1">
      <c r="A1352" s="2" t="s">
        <v>979</v>
      </c>
    </row>
    <row r="1353" spans="1:1">
      <c r="A1353" s="2" t="s">
        <v>980</v>
      </c>
    </row>
    <row r="1354" spans="1:1">
      <c r="A1354" s="2" t="s">
        <v>981</v>
      </c>
    </row>
    <row r="1355" spans="1:1">
      <c r="A1355" s="2" t="s">
        <v>982</v>
      </c>
    </row>
    <row r="1356" spans="1:1">
      <c r="A1356" s="2" t="s">
        <v>983</v>
      </c>
    </row>
    <row r="1357" spans="1:1">
      <c r="A1357" s="2" t="s">
        <v>984</v>
      </c>
    </row>
    <row r="1358" spans="1:1">
      <c r="A1358" s="2" t="s">
        <v>985</v>
      </c>
    </row>
    <row r="1359" spans="1:1">
      <c r="A1359" s="2" t="s">
        <v>986</v>
      </c>
    </row>
    <row r="1360" spans="1:1">
      <c r="A1360" s="2" t="s">
        <v>987</v>
      </c>
    </row>
    <row r="1361" spans="1:1">
      <c r="A1361" s="2" t="s">
        <v>988</v>
      </c>
    </row>
    <row r="1362" spans="1:1">
      <c r="A1362" s="2" t="s">
        <v>989</v>
      </c>
    </row>
    <row r="1363" spans="1:1">
      <c r="A1363" s="2" t="s">
        <v>990</v>
      </c>
    </row>
    <row r="1364" spans="1:1">
      <c r="A1364" s="2" t="s">
        <v>991</v>
      </c>
    </row>
    <row r="1365" spans="1:1">
      <c r="A1365" s="2" t="s">
        <v>992</v>
      </c>
    </row>
    <row r="1366" spans="1:1">
      <c r="A1366" s="2" t="s">
        <v>993</v>
      </c>
    </row>
    <row r="1367" spans="1:1">
      <c r="A1367" s="2" t="s">
        <v>994</v>
      </c>
    </row>
    <row r="1368" spans="1:1">
      <c r="A1368" s="2" t="s">
        <v>995</v>
      </c>
    </row>
    <row r="1369" spans="1:1">
      <c r="A1369" s="2" t="s">
        <v>996</v>
      </c>
    </row>
    <row r="1370" spans="1:1">
      <c r="A1370" s="2" t="s">
        <v>997</v>
      </c>
    </row>
    <row r="1371" spans="1:1">
      <c r="A1371" s="2" t="s">
        <v>998</v>
      </c>
    </row>
    <row r="1372" spans="1:1">
      <c r="A1372" s="2" t="s">
        <v>999</v>
      </c>
    </row>
    <row r="1373" spans="1:1">
      <c r="A1373" s="2" t="s">
        <v>1000</v>
      </c>
    </row>
    <row r="1374" spans="1:1">
      <c r="A1374" s="2" t="s">
        <v>1001</v>
      </c>
    </row>
    <row r="1375" spans="1:1">
      <c r="A1375" s="2" t="s">
        <v>1002</v>
      </c>
    </row>
    <row r="1376" spans="1:1">
      <c r="A1376" s="2" t="s">
        <v>1003</v>
      </c>
    </row>
    <row r="1377" spans="1:1">
      <c r="A1377" s="2" t="s">
        <v>1004</v>
      </c>
    </row>
    <row r="1378" spans="1:1">
      <c r="A1378" s="2" t="s">
        <v>1005</v>
      </c>
    </row>
    <row r="1379" spans="1:1">
      <c r="A1379" s="2" t="s">
        <v>1006</v>
      </c>
    </row>
    <row r="1380" spans="1:1">
      <c r="A1380" s="2" t="s">
        <v>1007</v>
      </c>
    </row>
    <row r="1381" spans="1:1">
      <c r="A1381" s="2" t="s">
        <v>1008</v>
      </c>
    </row>
    <row r="1382" spans="1:1">
      <c r="A1382" s="2" t="s">
        <v>1009</v>
      </c>
    </row>
    <row r="1383" spans="1:1">
      <c r="A1383" s="2" t="s">
        <v>1010</v>
      </c>
    </row>
    <row r="1384" spans="1:1">
      <c r="A1384" s="2" t="s">
        <v>1011</v>
      </c>
    </row>
    <row r="1385" spans="1:1">
      <c r="A1385" s="2" t="s">
        <v>1012</v>
      </c>
    </row>
    <row r="1386" spans="1:1">
      <c r="A1386" s="2" t="s">
        <v>1013</v>
      </c>
    </row>
    <row r="1387" spans="1:1">
      <c r="A1387" s="2" t="s">
        <v>1014</v>
      </c>
    </row>
    <row r="1388" spans="1:1">
      <c r="A1388" s="2" t="s">
        <v>1015</v>
      </c>
    </row>
    <row r="1389" spans="1:1">
      <c r="A1389" s="2" t="s">
        <v>1016</v>
      </c>
    </row>
    <row r="1390" spans="1:1">
      <c r="A1390" s="2" t="s">
        <v>1017</v>
      </c>
    </row>
    <row r="1391" spans="1:1">
      <c r="A1391" s="2" t="s">
        <v>1018</v>
      </c>
    </row>
    <row r="1392" spans="1:1">
      <c r="A1392" s="2" t="s">
        <v>1019</v>
      </c>
    </row>
    <row r="1393" spans="1:1">
      <c r="A1393" s="2" t="s">
        <v>1020</v>
      </c>
    </row>
    <row r="1394" spans="1:1">
      <c r="A1394" s="2" t="s">
        <v>1021</v>
      </c>
    </row>
    <row r="1395" spans="1:1">
      <c r="A1395" s="2" t="s">
        <v>1022</v>
      </c>
    </row>
    <row r="1396" spans="1:1">
      <c r="A1396" s="2" t="s">
        <v>1023</v>
      </c>
    </row>
    <row r="1397" spans="1:1">
      <c r="A1397" s="2" t="s">
        <v>1024</v>
      </c>
    </row>
    <row r="1398" spans="1:1">
      <c r="A1398" s="2" t="s">
        <v>1025</v>
      </c>
    </row>
    <row r="1399" spans="1:1">
      <c r="A1399" s="2" t="s">
        <v>1026</v>
      </c>
    </row>
    <row r="1400" spans="1:1">
      <c r="A1400" s="2" t="s">
        <v>1027</v>
      </c>
    </row>
    <row r="1401" spans="1:1">
      <c r="A1401" s="2" t="s">
        <v>1028</v>
      </c>
    </row>
    <row r="1402" spans="1:1">
      <c r="A1402" s="2" t="s">
        <v>1029</v>
      </c>
    </row>
    <row r="1403" spans="1:1">
      <c r="A1403" s="2" t="s">
        <v>1030</v>
      </c>
    </row>
    <row r="1404" spans="1:1">
      <c r="A1404" s="2" t="s">
        <v>1031</v>
      </c>
    </row>
    <row r="1405" spans="1:1">
      <c r="A1405" s="2" t="s">
        <v>1032</v>
      </c>
    </row>
    <row r="1406" spans="1:1">
      <c r="A1406" s="2" t="s">
        <v>1033</v>
      </c>
    </row>
    <row r="1407" spans="1:1">
      <c r="A1407" s="2" t="s">
        <v>1034</v>
      </c>
    </row>
    <row r="1408" spans="1:1">
      <c r="A1408" s="2" t="s">
        <v>1035</v>
      </c>
    </row>
    <row r="1409" spans="1:1">
      <c r="A1409" s="2" t="s">
        <v>1036</v>
      </c>
    </row>
    <row r="1410" spans="1:1">
      <c r="A1410" s="2" t="s">
        <v>1037</v>
      </c>
    </row>
    <row r="1411" spans="1:1">
      <c r="A1411" s="2" t="s">
        <v>1038</v>
      </c>
    </row>
    <row r="1412" spans="1:1">
      <c r="A1412" s="2" t="s">
        <v>1039</v>
      </c>
    </row>
    <row r="1413" spans="1:1">
      <c r="A1413" s="2" t="s">
        <v>1040</v>
      </c>
    </row>
    <row r="1414" spans="1:1">
      <c r="A1414" s="2" t="s">
        <v>1041</v>
      </c>
    </row>
    <row r="1415" spans="1:1">
      <c r="A1415" s="2" t="s">
        <v>1042</v>
      </c>
    </row>
    <row r="1416" spans="1:1">
      <c r="A1416" s="2" t="s">
        <v>1043</v>
      </c>
    </row>
    <row r="1417" spans="1:1">
      <c r="A1417" s="2" t="s">
        <v>1044</v>
      </c>
    </row>
    <row r="1418" spans="1:1">
      <c r="A1418" s="2" t="s">
        <v>1045</v>
      </c>
    </row>
    <row r="1419" spans="1:1">
      <c r="A1419" s="2" t="s">
        <v>1046</v>
      </c>
    </row>
    <row r="1420" spans="1:1">
      <c r="A1420" s="2" t="s">
        <v>1047</v>
      </c>
    </row>
    <row r="1421" spans="1:1">
      <c r="A1421" s="2" t="s">
        <v>1048</v>
      </c>
    </row>
    <row r="1422" spans="1:1">
      <c r="A1422" s="2" t="s">
        <v>1049</v>
      </c>
    </row>
    <row r="1423" spans="1:1">
      <c r="A1423" s="2" t="s">
        <v>1050</v>
      </c>
    </row>
    <row r="1424" spans="1:1">
      <c r="A1424" s="2" t="s">
        <v>1051</v>
      </c>
    </row>
    <row r="1425" spans="1:1">
      <c r="A1425" s="2" t="s">
        <v>1052</v>
      </c>
    </row>
    <row r="1426" spans="1:1">
      <c r="A1426" s="2" t="s">
        <v>1053</v>
      </c>
    </row>
    <row r="1427" spans="1:1">
      <c r="A1427" s="2" t="s">
        <v>1054</v>
      </c>
    </row>
    <row r="1428" spans="1:1">
      <c r="A1428" s="2" t="s">
        <v>1055</v>
      </c>
    </row>
    <row r="1429" spans="1:1">
      <c r="A1429" s="2" t="s">
        <v>1056</v>
      </c>
    </row>
    <row r="1430" spans="1:1">
      <c r="A1430" s="2" t="s">
        <v>1057</v>
      </c>
    </row>
    <row r="1431" spans="1:1">
      <c r="A1431" s="2" t="s">
        <v>1058</v>
      </c>
    </row>
    <row r="1432" spans="1:1">
      <c r="A1432" s="2" t="s">
        <v>1059</v>
      </c>
    </row>
    <row r="1433" spans="1:1">
      <c r="A1433" s="2" t="s">
        <v>1060</v>
      </c>
    </row>
    <row r="1434" spans="1:1">
      <c r="A1434" s="2" t="s">
        <v>1061</v>
      </c>
    </row>
    <row r="1435" spans="1:1">
      <c r="A1435" s="2" t="s">
        <v>1062</v>
      </c>
    </row>
    <row r="1436" spans="1:1">
      <c r="A1436" s="2" t="s">
        <v>1063</v>
      </c>
    </row>
    <row r="1437" spans="1:1">
      <c r="A1437" s="2" t="s">
        <v>1064</v>
      </c>
    </row>
    <row r="1438" spans="1:1">
      <c r="A1438" s="2" t="s">
        <v>1065</v>
      </c>
    </row>
    <row r="1439" spans="1:1">
      <c r="A1439" s="2" t="s">
        <v>1066</v>
      </c>
    </row>
    <row r="1440" spans="1:1">
      <c r="A1440" s="2" t="s">
        <v>1067</v>
      </c>
    </row>
    <row r="1441" spans="1:1">
      <c r="A1441" s="2" t="s">
        <v>1068</v>
      </c>
    </row>
    <row r="1442" spans="1:1">
      <c r="A1442" s="2" t="s">
        <v>1069</v>
      </c>
    </row>
    <row r="1443" spans="1:1">
      <c r="A1443" s="2" t="s">
        <v>1070</v>
      </c>
    </row>
    <row r="1444" spans="1:1">
      <c r="A1444" s="2" t="s">
        <v>1071</v>
      </c>
    </row>
    <row r="1445" spans="1:1">
      <c r="A1445" s="2" t="s">
        <v>1072</v>
      </c>
    </row>
    <row r="1446" spans="1:1">
      <c r="A1446" s="2" t="s">
        <v>1073</v>
      </c>
    </row>
    <row r="1447" spans="1:1">
      <c r="A1447" s="2" t="s">
        <v>1074</v>
      </c>
    </row>
    <row r="1448" spans="1:1">
      <c r="A1448" s="2" t="s">
        <v>1075</v>
      </c>
    </row>
    <row r="1449" spans="1:1">
      <c r="A1449" s="2" t="s">
        <v>1076</v>
      </c>
    </row>
    <row r="1450" spans="1:1">
      <c r="A1450" s="2" t="s">
        <v>1077</v>
      </c>
    </row>
    <row r="1451" spans="1:1">
      <c r="A1451" s="2" t="s">
        <v>1078</v>
      </c>
    </row>
    <row r="1452" spans="1:1">
      <c r="A1452" s="2" t="s">
        <v>1079</v>
      </c>
    </row>
    <row r="1453" spans="1:1">
      <c r="A1453" s="2" t="s">
        <v>1080</v>
      </c>
    </row>
    <row r="1454" spans="1:1">
      <c r="A1454" s="2" t="s">
        <v>1081</v>
      </c>
    </row>
    <row r="1455" spans="1:1">
      <c r="A1455" s="2" t="s">
        <v>1082</v>
      </c>
    </row>
    <row r="1456" spans="1:1">
      <c r="A1456" s="2" t="s">
        <v>1083</v>
      </c>
    </row>
    <row r="1457" spans="1:1">
      <c r="A1457" s="2" t="s">
        <v>1084</v>
      </c>
    </row>
    <row r="1458" spans="1:1">
      <c r="A1458" s="2" t="s">
        <v>1085</v>
      </c>
    </row>
    <row r="1459" spans="1:1">
      <c r="A1459" s="2" t="s">
        <v>1086</v>
      </c>
    </row>
    <row r="1460" spans="1:1">
      <c r="A1460" s="2" t="s">
        <v>1087</v>
      </c>
    </row>
    <row r="1461" spans="1:1">
      <c r="A1461" s="2" t="s">
        <v>1088</v>
      </c>
    </row>
    <row r="1462" spans="1:1">
      <c r="A1462" s="2" t="s">
        <v>1089</v>
      </c>
    </row>
    <row r="1463" spans="1:1">
      <c r="A1463" s="2" t="s">
        <v>1090</v>
      </c>
    </row>
    <row r="1464" spans="1:1">
      <c r="A1464" s="2" t="s">
        <v>1091</v>
      </c>
    </row>
    <row r="1465" spans="1:1">
      <c r="A1465" s="2" t="s">
        <v>1092</v>
      </c>
    </row>
    <row r="1466" spans="1:1">
      <c r="A1466" s="2" t="s">
        <v>1093</v>
      </c>
    </row>
    <row r="1467" spans="1:1">
      <c r="A1467" s="2" t="s">
        <v>1094</v>
      </c>
    </row>
    <row r="1468" spans="1:1">
      <c r="A1468" s="2" t="s">
        <v>1095</v>
      </c>
    </row>
    <row r="1469" spans="1:1">
      <c r="A1469" s="2" t="s">
        <v>1096</v>
      </c>
    </row>
    <row r="1470" spans="1:1">
      <c r="A1470" s="2" t="s">
        <v>1097</v>
      </c>
    </row>
    <row r="1471" spans="1:1">
      <c r="A1471" s="2" t="s">
        <v>1098</v>
      </c>
    </row>
    <row r="1472" spans="1:1">
      <c r="A1472" s="2" t="s">
        <v>1099</v>
      </c>
    </row>
    <row r="1473" spans="1:1">
      <c r="A1473" s="2" t="s">
        <v>1100</v>
      </c>
    </row>
    <row r="1474" spans="1:1">
      <c r="A1474" s="2" t="s">
        <v>1101</v>
      </c>
    </row>
    <row r="1475" spans="1:1">
      <c r="A1475" s="2" t="s">
        <v>1102</v>
      </c>
    </row>
    <row r="1476" spans="1:1">
      <c r="A1476" s="2" t="s">
        <v>1103</v>
      </c>
    </row>
    <row r="1477" spans="1:1">
      <c r="A1477" s="2" t="s">
        <v>1104</v>
      </c>
    </row>
    <row r="1478" spans="1:1">
      <c r="A1478" s="2" t="s">
        <v>1105</v>
      </c>
    </row>
    <row r="1479" spans="1:1">
      <c r="A1479" s="2" t="s">
        <v>1106</v>
      </c>
    </row>
    <row r="1480" spans="1:1">
      <c r="A1480" s="2" t="s">
        <v>1107</v>
      </c>
    </row>
    <row r="1481" spans="1:1">
      <c r="A1481" s="2" t="s">
        <v>1108</v>
      </c>
    </row>
    <row r="1482" spans="1:1">
      <c r="A1482" s="2" t="s">
        <v>1109</v>
      </c>
    </row>
    <row r="1483" spans="1:1">
      <c r="A1483" s="2" t="s">
        <v>1110</v>
      </c>
    </row>
    <row r="1484" spans="1:1">
      <c r="A1484" s="2" t="s">
        <v>1111</v>
      </c>
    </row>
    <row r="1485" spans="1:1">
      <c r="A1485" s="2" t="s">
        <v>1112</v>
      </c>
    </row>
    <row r="1486" spans="1:1">
      <c r="A1486" s="2" t="s">
        <v>1113</v>
      </c>
    </row>
    <row r="1487" spans="1:1">
      <c r="A1487" s="2" t="s">
        <v>1114</v>
      </c>
    </row>
    <row r="1488" spans="1:1">
      <c r="A1488" s="2" t="s">
        <v>1115</v>
      </c>
    </row>
    <row r="1489" spans="1:1">
      <c r="A1489" s="2" t="s">
        <v>1116</v>
      </c>
    </row>
    <row r="1490" spans="1:1">
      <c r="A1490" s="2" t="s">
        <v>1117</v>
      </c>
    </row>
    <row r="1491" spans="1:1">
      <c r="A1491" s="2" t="s">
        <v>1118</v>
      </c>
    </row>
    <row r="1492" spans="1:1">
      <c r="A1492" s="2" t="s">
        <v>1119</v>
      </c>
    </row>
    <row r="1493" spans="1:1">
      <c r="A1493" s="2" t="s">
        <v>1120</v>
      </c>
    </row>
    <row r="1494" spans="1:1">
      <c r="A1494" s="2" t="s">
        <v>1121</v>
      </c>
    </row>
    <row r="1495" spans="1:1">
      <c r="A1495" s="2" t="s">
        <v>1122</v>
      </c>
    </row>
    <row r="1496" spans="1:1">
      <c r="A1496" s="2" t="s">
        <v>1123</v>
      </c>
    </row>
    <row r="1497" spans="1:1">
      <c r="A1497" s="2" t="s">
        <v>1124</v>
      </c>
    </row>
    <row r="1498" spans="1:1">
      <c r="A1498" s="2" t="s">
        <v>1125</v>
      </c>
    </row>
    <row r="1499" spans="1:1">
      <c r="A1499" s="2" t="s">
        <v>1126</v>
      </c>
    </row>
    <row r="1500" spans="1:1">
      <c r="A1500" s="2" t="s">
        <v>1127</v>
      </c>
    </row>
    <row r="1501" spans="1:1">
      <c r="A1501" s="2" t="s">
        <v>1128</v>
      </c>
    </row>
    <row r="1502" spans="1:1">
      <c r="A1502" s="2" t="s">
        <v>1129</v>
      </c>
    </row>
    <row r="1503" spans="1:1">
      <c r="A1503" s="2" t="s">
        <v>1130</v>
      </c>
    </row>
    <row r="1504" spans="1:1">
      <c r="A1504" s="2" t="s">
        <v>1131</v>
      </c>
    </row>
    <row r="1505" spans="1:1">
      <c r="A1505" s="2" t="s">
        <v>1132</v>
      </c>
    </row>
    <row r="1506" spans="1:1">
      <c r="A1506" s="2" t="s">
        <v>1133</v>
      </c>
    </row>
    <row r="1507" spans="1:1">
      <c r="A1507" s="2" t="s">
        <v>1134</v>
      </c>
    </row>
    <row r="1508" spans="1:1">
      <c r="A1508" s="2" t="s">
        <v>1135</v>
      </c>
    </row>
    <row r="1509" spans="1:1">
      <c r="A1509" s="2" t="s">
        <v>1136</v>
      </c>
    </row>
    <row r="1510" spans="1:1">
      <c r="A1510" s="2" t="s">
        <v>1137</v>
      </c>
    </row>
    <row r="1511" spans="1:1">
      <c r="A1511" s="2" t="s">
        <v>1138</v>
      </c>
    </row>
    <row r="1512" spans="1:1">
      <c r="A1512" s="2" t="s">
        <v>1139</v>
      </c>
    </row>
    <row r="1513" spans="1:1">
      <c r="A1513" s="2" t="s">
        <v>1140</v>
      </c>
    </row>
    <row r="1514" spans="1:1">
      <c r="A1514" s="2" t="s">
        <v>1141</v>
      </c>
    </row>
    <row r="1515" spans="1:1">
      <c r="A1515" s="2" t="s">
        <v>1142</v>
      </c>
    </row>
    <row r="1516" spans="1:1">
      <c r="A1516" s="2" t="s">
        <v>1143</v>
      </c>
    </row>
    <row r="1517" spans="1:1">
      <c r="A1517" s="2" t="s">
        <v>1144</v>
      </c>
    </row>
    <row r="1518" spans="1:1">
      <c r="A1518" s="2" t="s">
        <v>1145</v>
      </c>
    </row>
    <row r="1519" spans="1:1">
      <c r="A1519" s="2" t="s">
        <v>1146</v>
      </c>
    </row>
    <row r="1520" spans="1:1">
      <c r="A1520" s="2" t="s">
        <v>1147</v>
      </c>
    </row>
    <row r="1521" spans="1:1">
      <c r="A1521" s="2" t="s">
        <v>1148</v>
      </c>
    </row>
    <row r="1522" spans="1:1">
      <c r="A1522" s="2" t="s">
        <v>1149</v>
      </c>
    </row>
    <row r="1523" spans="1:1">
      <c r="A1523" s="2" t="s">
        <v>1150</v>
      </c>
    </row>
    <row r="1524" spans="1:1">
      <c r="A1524" s="2" t="s">
        <v>1151</v>
      </c>
    </row>
    <row r="1525" spans="1:1">
      <c r="A1525" s="2" t="s">
        <v>1152</v>
      </c>
    </row>
    <row r="1526" spans="1:1">
      <c r="A1526" s="2" t="s">
        <v>1153</v>
      </c>
    </row>
    <row r="1527" spans="1:1">
      <c r="A1527" s="2" t="s">
        <v>1154</v>
      </c>
    </row>
    <row r="1528" spans="1:1">
      <c r="A1528" s="2" t="s">
        <v>1155</v>
      </c>
    </row>
    <row r="1529" spans="1:1">
      <c r="A1529" s="2" t="s">
        <v>1156</v>
      </c>
    </row>
    <row r="1530" spans="1:1">
      <c r="A1530" s="2" t="s">
        <v>1157</v>
      </c>
    </row>
    <row r="1531" spans="1:1">
      <c r="A1531" s="2" t="s">
        <v>1158</v>
      </c>
    </row>
    <row r="1532" spans="1:1">
      <c r="A1532" s="2" t="s">
        <v>1159</v>
      </c>
    </row>
    <row r="1533" spans="1:1">
      <c r="A1533" s="2" t="s">
        <v>1160</v>
      </c>
    </row>
    <row r="1534" spans="1:1">
      <c r="A1534" s="2" t="s">
        <v>1161</v>
      </c>
    </row>
    <row r="1535" spans="1:1">
      <c r="A1535" s="2" t="s">
        <v>1162</v>
      </c>
    </row>
    <row r="1536" spans="1:1">
      <c r="A1536" s="2" t="s">
        <v>1163</v>
      </c>
    </row>
    <row r="1537" spans="1:1">
      <c r="A1537" s="2" t="s">
        <v>1164</v>
      </c>
    </row>
    <row r="1538" spans="1:1">
      <c r="A1538" s="2" t="s">
        <v>1165</v>
      </c>
    </row>
    <row r="1539" spans="1:1">
      <c r="A1539" s="2" t="s">
        <v>1166</v>
      </c>
    </row>
    <row r="1540" spans="1:1">
      <c r="A1540" s="2" t="s">
        <v>1167</v>
      </c>
    </row>
    <row r="1541" spans="1:1">
      <c r="A1541" s="2" t="s">
        <v>1168</v>
      </c>
    </row>
    <row r="1542" spans="1:1">
      <c r="A1542" s="2" t="s">
        <v>1169</v>
      </c>
    </row>
    <row r="1543" spans="1:1">
      <c r="A1543" s="2" t="s">
        <v>1170</v>
      </c>
    </row>
    <row r="1544" spans="1:1">
      <c r="A1544" s="2" t="s">
        <v>1171</v>
      </c>
    </row>
    <row r="1545" spans="1:1">
      <c r="A1545" s="2" t="s">
        <v>1172</v>
      </c>
    </row>
    <row r="1546" spans="1:1">
      <c r="A1546" s="2" t="s">
        <v>1173</v>
      </c>
    </row>
    <row r="1547" spans="1:1">
      <c r="A1547" s="2" t="s">
        <v>1174</v>
      </c>
    </row>
    <row r="1548" spans="1:1">
      <c r="A1548" s="2" t="s">
        <v>1175</v>
      </c>
    </row>
    <row r="1549" spans="1:1">
      <c r="A1549" s="2" t="s">
        <v>1176</v>
      </c>
    </row>
    <row r="1550" spans="1:1">
      <c r="A1550" s="2" t="s">
        <v>1177</v>
      </c>
    </row>
    <row r="1551" spans="1:1">
      <c r="A1551" s="2" t="s">
        <v>66</v>
      </c>
    </row>
    <row r="1552" spans="1:1">
      <c r="A1552" s="2" t="s">
        <v>1178</v>
      </c>
    </row>
    <row r="1553" spans="1:1">
      <c r="A1553" s="2" t="s">
        <v>1179</v>
      </c>
    </row>
    <row r="1554" spans="1:1">
      <c r="A1554" s="2" t="s">
        <v>1180</v>
      </c>
    </row>
    <row r="1555" spans="1:1">
      <c r="A1555" s="2" t="s">
        <v>1181</v>
      </c>
    </row>
    <row r="1556" spans="1:1">
      <c r="A1556" s="2" t="s">
        <v>1182</v>
      </c>
    </row>
    <row r="1557" spans="1:1">
      <c r="A1557" s="2" t="s">
        <v>1183</v>
      </c>
    </row>
    <row r="1558" spans="1:1">
      <c r="A1558" s="2" t="s">
        <v>1184</v>
      </c>
    </row>
    <row r="1559" spans="1:1">
      <c r="A1559" s="2" t="s">
        <v>1185</v>
      </c>
    </row>
    <row r="1560" spans="1:1">
      <c r="A1560" s="2" t="s">
        <v>1186</v>
      </c>
    </row>
    <row r="1561" spans="1:1">
      <c r="A1561" s="2" t="s">
        <v>1187</v>
      </c>
    </row>
    <row r="1562" spans="1:1">
      <c r="A1562" s="2" t="s">
        <v>1188</v>
      </c>
    </row>
    <row r="1563" spans="1:1">
      <c r="A1563" s="2" t="s">
        <v>1189</v>
      </c>
    </row>
    <row r="1564" spans="1:1">
      <c r="A1564" s="2" t="s">
        <v>1190</v>
      </c>
    </row>
    <row r="1565" spans="1:1">
      <c r="A1565" s="2" t="s">
        <v>1191</v>
      </c>
    </row>
    <row r="1566" spans="1:1">
      <c r="A1566" s="2" t="s">
        <v>1192</v>
      </c>
    </row>
    <row r="1567" spans="1:1">
      <c r="A1567" s="2" t="s">
        <v>1193</v>
      </c>
    </row>
    <row r="1568" spans="1:1">
      <c r="A1568" s="2" t="s">
        <v>1194</v>
      </c>
    </row>
    <row r="1569" spans="1:1">
      <c r="A1569" s="2" t="s">
        <v>1195</v>
      </c>
    </row>
    <row r="1570" spans="1:1">
      <c r="A1570" s="2" t="s">
        <v>1196</v>
      </c>
    </row>
    <row r="1571" spans="1:1">
      <c r="A1571" s="2" t="s">
        <v>1197</v>
      </c>
    </row>
    <row r="1572" spans="1:1">
      <c r="A1572" s="2" t="s">
        <v>1198</v>
      </c>
    </row>
    <row r="1573" spans="1:1">
      <c r="A1573" s="2" t="s">
        <v>1199</v>
      </c>
    </row>
    <row r="1574" spans="1:1">
      <c r="A1574" s="2" t="s">
        <v>1200</v>
      </c>
    </row>
    <row r="1575" spans="1:1">
      <c r="A1575" s="2" t="s">
        <v>1201</v>
      </c>
    </row>
    <row r="1576" spans="1:1">
      <c r="A1576" s="2" t="s">
        <v>69</v>
      </c>
    </row>
    <row r="1577" spans="1:1">
      <c r="A1577" s="2" t="s">
        <v>1202</v>
      </c>
    </row>
    <row r="1578" spans="1:1">
      <c r="A1578" s="2" t="s">
        <v>1203</v>
      </c>
    </row>
    <row r="1579" spans="1:1">
      <c r="A1579" s="2" t="s">
        <v>1204</v>
      </c>
    </row>
    <row r="1580" spans="1:1">
      <c r="A1580" s="2" t="s">
        <v>1205</v>
      </c>
    </row>
    <row r="1581" spans="1:1">
      <c r="A1581" s="2" t="s">
        <v>1206</v>
      </c>
    </row>
    <row r="1582" spans="1:1">
      <c r="A1582" s="2" t="s">
        <v>1207</v>
      </c>
    </row>
    <row r="1583" spans="1:1">
      <c r="A1583" s="2" t="s">
        <v>1208</v>
      </c>
    </row>
    <row r="1584" spans="1:1">
      <c r="A1584" s="2" t="s">
        <v>1209</v>
      </c>
    </row>
    <row r="1585" spans="1:1">
      <c r="A1585" s="2" t="s">
        <v>1210</v>
      </c>
    </row>
    <row r="1586" spans="1:1">
      <c r="A1586" s="2" t="s">
        <v>1211</v>
      </c>
    </row>
    <row r="1587" spans="1:1">
      <c r="A1587" s="2" t="s">
        <v>1212</v>
      </c>
    </row>
    <row r="1588" spans="1:1">
      <c r="A1588" s="2" t="s">
        <v>1213</v>
      </c>
    </row>
    <row r="1589" spans="1:1">
      <c r="A1589" s="2" t="s">
        <v>1214</v>
      </c>
    </row>
    <row r="1590" spans="1:1">
      <c r="A1590" s="2" t="s">
        <v>1215</v>
      </c>
    </row>
    <row r="1591" spans="1:1">
      <c r="A1591" s="2" t="s">
        <v>1216</v>
      </c>
    </row>
    <row r="1592" spans="1:1">
      <c r="A1592" s="2" t="s">
        <v>1217</v>
      </c>
    </row>
    <row r="1593" spans="1:1">
      <c r="A1593" s="2" t="s">
        <v>1218</v>
      </c>
    </row>
    <row r="1594" spans="1:1">
      <c r="A1594" s="2" t="s">
        <v>1219</v>
      </c>
    </row>
    <row r="1595" spans="1:1">
      <c r="A1595" s="2" t="s">
        <v>1220</v>
      </c>
    </row>
    <row r="1596" spans="1:1">
      <c r="A1596" s="2" t="s">
        <v>1221</v>
      </c>
    </row>
    <row r="1597" spans="1:1">
      <c r="A1597" s="2" t="s">
        <v>1222</v>
      </c>
    </row>
    <row r="1598" spans="1:1">
      <c r="A1598" s="2" t="s">
        <v>1223</v>
      </c>
    </row>
    <row r="1599" spans="1:1">
      <c r="A1599" s="2" t="s">
        <v>1224</v>
      </c>
    </row>
    <row r="1600" spans="1:1">
      <c r="A1600" s="2" t="s">
        <v>1225</v>
      </c>
    </row>
    <row r="1601" spans="1:1">
      <c r="A1601" s="2" t="s">
        <v>1226</v>
      </c>
    </row>
    <row r="1602" spans="1:1">
      <c r="A1602" s="2" t="s">
        <v>1227</v>
      </c>
    </row>
    <row r="1603" spans="1:1">
      <c r="A1603" s="2" t="s">
        <v>1228</v>
      </c>
    </row>
    <row r="1604" spans="1:1">
      <c r="A1604" s="2" t="s">
        <v>1229</v>
      </c>
    </row>
    <row r="1605" spans="1:1">
      <c r="A1605" s="2" t="s">
        <v>1230</v>
      </c>
    </row>
    <row r="1606" spans="1:1">
      <c r="A1606" s="2" t="s">
        <v>1231</v>
      </c>
    </row>
    <row r="1607" spans="1:1">
      <c r="A1607" s="2" t="s">
        <v>1232</v>
      </c>
    </row>
    <row r="1608" spans="1:1">
      <c r="A1608" s="2" t="s">
        <v>1233</v>
      </c>
    </row>
    <row r="1609" spans="1:1">
      <c r="A1609" s="2" t="s">
        <v>1234</v>
      </c>
    </row>
    <row r="1610" spans="1:1">
      <c r="A1610" s="2" t="s">
        <v>1235</v>
      </c>
    </row>
    <row r="1611" spans="1:1">
      <c r="A1611" s="2" t="s">
        <v>1236</v>
      </c>
    </row>
    <row r="1612" spans="1:1">
      <c r="A1612" s="2" t="s">
        <v>1237</v>
      </c>
    </row>
    <row r="1613" spans="1:1">
      <c r="A1613" s="2" t="s">
        <v>1238</v>
      </c>
    </row>
    <row r="1614" spans="1:1">
      <c r="A1614" s="2" t="s">
        <v>1239</v>
      </c>
    </row>
    <row r="1615" spans="1:1">
      <c r="A1615" s="2" t="s">
        <v>1240</v>
      </c>
    </row>
    <row r="1616" spans="1:1">
      <c r="A1616" s="2" t="s">
        <v>1241</v>
      </c>
    </row>
    <row r="1617" spans="1:1">
      <c r="A1617" s="2" t="s">
        <v>1242</v>
      </c>
    </row>
    <row r="1618" spans="1:1">
      <c r="A1618" s="2" t="s">
        <v>1243</v>
      </c>
    </row>
    <row r="1619" spans="1:1">
      <c r="A1619" s="2" t="s">
        <v>1244</v>
      </c>
    </row>
    <row r="1620" spans="1:1">
      <c r="A1620" s="2" t="s">
        <v>374</v>
      </c>
    </row>
    <row r="1621" spans="1:1">
      <c r="A1621" s="2" t="s">
        <v>1245</v>
      </c>
    </row>
    <row r="1622" spans="1:1">
      <c r="A1622" s="2" t="s">
        <v>1246</v>
      </c>
    </row>
    <row r="1623" spans="1:1">
      <c r="A1623" s="2" t="s">
        <v>379</v>
      </c>
    </row>
    <row r="1624" spans="1:1">
      <c r="A1624" s="2" t="s">
        <v>1247</v>
      </c>
    </row>
    <row r="1625" spans="1:1">
      <c r="A1625" s="2" t="s">
        <v>1248</v>
      </c>
    </row>
    <row r="1626" spans="1:1">
      <c r="A1626" s="2" t="s">
        <v>1249</v>
      </c>
    </row>
    <row r="1627" spans="1:1">
      <c r="A1627" s="2" t="s">
        <v>1250</v>
      </c>
    </row>
    <row r="1628" spans="1:1">
      <c r="A1628" s="2" t="s">
        <v>1251</v>
      </c>
    </row>
    <row r="1629" spans="1:1">
      <c r="A1629" s="2" t="s">
        <v>1252</v>
      </c>
    </row>
    <row r="1630" spans="1:1">
      <c r="A1630" s="2" t="s">
        <v>1253</v>
      </c>
    </row>
    <row r="1631" spans="1:1">
      <c r="A1631" s="2" t="s">
        <v>1254</v>
      </c>
    </row>
    <row r="1632" spans="1:1">
      <c r="A1632" s="2" t="s">
        <v>1255</v>
      </c>
    </row>
    <row r="1633" spans="1:1">
      <c r="A1633" s="2" t="s">
        <v>1256</v>
      </c>
    </row>
    <row r="1634" spans="1:1">
      <c r="A1634" s="2" t="s">
        <v>1257</v>
      </c>
    </row>
    <row r="1635" spans="1:1">
      <c r="A1635" s="2" t="s">
        <v>1258</v>
      </c>
    </row>
    <row r="1636" spans="1:1">
      <c r="A1636" s="2" t="s">
        <v>1259</v>
      </c>
    </row>
    <row r="1637" spans="1:1">
      <c r="A1637" s="2" t="s">
        <v>1260</v>
      </c>
    </row>
    <row r="1638" spans="1:1">
      <c r="A1638" s="2" t="s">
        <v>1261</v>
      </c>
    </row>
    <row r="1639" spans="1:1">
      <c r="A1639" s="2" t="s">
        <v>1262</v>
      </c>
    </row>
    <row r="1640" spans="1:1">
      <c r="A1640" s="2" t="s">
        <v>1263</v>
      </c>
    </row>
    <row r="1641" spans="1:1">
      <c r="A1641" s="2" t="s">
        <v>1264</v>
      </c>
    </row>
    <row r="1642" spans="1:1">
      <c r="A1642" s="2" t="s">
        <v>381</v>
      </c>
    </row>
    <row r="1643" spans="1:1">
      <c r="A1643" s="2" t="s">
        <v>1265</v>
      </c>
    </row>
    <row r="1644" spans="1:1">
      <c r="A1644" s="2" t="s">
        <v>1266</v>
      </c>
    </row>
    <row r="1645" spans="1:1">
      <c r="A1645" s="2" t="s">
        <v>1267</v>
      </c>
    </row>
    <row r="1646" spans="1:1">
      <c r="A1646" s="2" t="s">
        <v>1268</v>
      </c>
    </row>
    <row r="1647" spans="1:1">
      <c r="A1647" s="2" t="s">
        <v>1269</v>
      </c>
    </row>
    <row r="1648" spans="1:1">
      <c r="A1648" s="2" t="s">
        <v>389</v>
      </c>
    </row>
    <row r="1649" spans="1:1">
      <c r="A1649" s="2" t="s">
        <v>385</v>
      </c>
    </row>
    <row r="1650" spans="1:1">
      <c r="A1650" s="2" t="s">
        <v>1270</v>
      </c>
    </row>
    <row r="1651" spans="1:1">
      <c r="A1651" s="2" t="s">
        <v>1271</v>
      </c>
    </row>
    <row r="1652" spans="1:1">
      <c r="A1652" s="2" t="s">
        <v>382</v>
      </c>
    </row>
    <row r="1653" spans="1:1">
      <c r="A1653" s="2" t="s">
        <v>1272</v>
      </c>
    </row>
    <row r="1654" spans="1:1">
      <c r="A1654" s="2" t="s">
        <v>1273</v>
      </c>
    </row>
    <row r="1655" spans="1:1">
      <c r="A1655" s="2" t="s">
        <v>1274</v>
      </c>
    </row>
    <row r="1656" spans="1:1">
      <c r="A1656" s="2" t="s">
        <v>1275</v>
      </c>
    </row>
    <row r="1657" spans="1:1">
      <c r="A1657" s="2" t="s">
        <v>1276</v>
      </c>
    </row>
    <row r="1658" spans="1:1">
      <c r="A1658" s="2" t="s">
        <v>1277</v>
      </c>
    </row>
    <row r="1659" spans="1:1">
      <c r="A1659" s="2" t="s">
        <v>397</v>
      </c>
    </row>
    <row r="1660" spans="1:1">
      <c r="A1660" s="2" t="s">
        <v>390</v>
      </c>
    </row>
    <row r="1661" spans="1:1">
      <c r="A1661" s="2" t="s">
        <v>1278</v>
      </c>
    </row>
    <row r="1662" spans="1:1">
      <c r="A1662" s="2" t="s">
        <v>1279</v>
      </c>
    </row>
    <row r="1663" spans="1:1">
      <c r="A1663" s="2" t="s">
        <v>1280</v>
      </c>
    </row>
    <row r="1664" spans="1:1">
      <c r="A1664" s="2" t="s">
        <v>1281</v>
      </c>
    </row>
    <row r="1665" spans="1:1">
      <c r="A1665" s="2" t="s">
        <v>1282</v>
      </c>
    </row>
    <row r="1666" spans="1:1">
      <c r="A1666" s="2" t="s">
        <v>1283</v>
      </c>
    </row>
    <row r="1667" spans="1:1">
      <c r="A1667" s="2" t="s">
        <v>1284</v>
      </c>
    </row>
    <row r="1668" spans="1:1">
      <c r="A1668" s="2" t="s">
        <v>1285</v>
      </c>
    </row>
    <row r="1669" spans="1:1">
      <c r="A1669" s="2" t="s">
        <v>1286</v>
      </c>
    </row>
    <row r="1670" spans="1:1">
      <c r="A1670" s="2" t="s">
        <v>1287</v>
      </c>
    </row>
    <row r="1671" spans="1:1">
      <c r="A1671" s="2" t="s">
        <v>1288</v>
      </c>
    </row>
    <row r="1672" spans="1:1">
      <c r="A1672" s="2" t="s">
        <v>1289</v>
      </c>
    </row>
    <row r="1673" spans="1:1">
      <c r="A1673" s="2" t="s">
        <v>1290</v>
      </c>
    </row>
    <row r="1674" spans="1:1">
      <c r="A1674" s="2" t="s">
        <v>1291</v>
      </c>
    </row>
    <row r="1675" spans="1:1">
      <c r="A1675" s="2" t="s">
        <v>1292</v>
      </c>
    </row>
    <row r="1676" spans="1:1">
      <c r="A1676" s="2" t="s">
        <v>1293</v>
      </c>
    </row>
    <row r="1677" spans="1:1">
      <c r="A1677" s="2" t="s">
        <v>1294</v>
      </c>
    </row>
    <row r="1678" spans="1:1">
      <c r="A1678" s="2" t="s">
        <v>1295</v>
      </c>
    </row>
    <row r="1679" spans="1:1">
      <c r="A1679" s="2" t="s">
        <v>1296</v>
      </c>
    </row>
    <row r="1680" spans="1:1">
      <c r="A1680" s="2" t="s">
        <v>1297</v>
      </c>
    </row>
    <row r="1681" spans="1:1">
      <c r="A1681" s="2" t="s">
        <v>399</v>
      </c>
    </row>
    <row r="1682" spans="1:1">
      <c r="A1682" s="2" t="s">
        <v>1298</v>
      </c>
    </row>
    <row r="1683" spans="1:1">
      <c r="A1683" s="2" t="s">
        <v>1299</v>
      </c>
    </row>
    <row r="1684" spans="1:1">
      <c r="A1684" s="2" t="s">
        <v>1300</v>
      </c>
    </row>
    <row r="1685" spans="1:1">
      <c r="A1685" s="2" t="s">
        <v>1301</v>
      </c>
    </row>
    <row r="1686" spans="1:1">
      <c r="A1686" s="2" t="s">
        <v>1302</v>
      </c>
    </row>
    <row r="1687" spans="1:1">
      <c r="A1687" s="2" t="s">
        <v>1303</v>
      </c>
    </row>
    <row r="1688" spans="1:1">
      <c r="A1688" s="2" t="s">
        <v>1304</v>
      </c>
    </row>
    <row r="1689" spans="1:1">
      <c r="A1689" s="2" t="s">
        <v>1305</v>
      </c>
    </row>
    <row r="1690" spans="1:1">
      <c r="A1690" s="2" t="s">
        <v>1306</v>
      </c>
    </row>
    <row r="1691" spans="1:1">
      <c r="A1691" s="2" t="s">
        <v>1307</v>
      </c>
    </row>
    <row r="1692" spans="1:1">
      <c r="A1692" s="2" t="s">
        <v>1308</v>
      </c>
    </row>
  </sheetData>
  <sheetProtection autoFilter="0"/>
  <sortState xmlns:xlrd2="http://schemas.microsoft.com/office/spreadsheetml/2017/richdata2" ref="E2:E246">
    <sortCondition ref="E2:E246"/>
  </sortState>
  <dataValidations count="1">
    <dataValidation type="list" allowBlank="1" showInputMessage="1" showErrorMessage="1" sqref="V3 V5" xr:uid="{1B5128EB-559F-4B48-BAEB-41B2F0A50825}">
      <formula1>Material_Code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entralContactDatabaseBrowse">
                <anchor moveWithCells="1" sizeWithCells="1">
                  <from>
                    <xdr:col>8</xdr:col>
                    <xdr:colOff>600075</xdr:colOff>
                    <xdr:row>0</xdr:row>
                    <xdr:rowOff>28575</xdr:rowOff>
                  </from>
                  <to>
                    <xdr:col>10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anualRefresh">
                <anchor moveWithCells="1" sizeWithCells="1">
                  <from>
                    <xdr:col>7</xdr:col>
                    <xdr:colOff>0</xdr:colOff>
                    <xdr:row>3</xdr:row>
                    <xdr:rowOff>180975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ImportContactsExportReferences">
                <anchor moveWithCells="1" sizeWithCells="1">
                  <from>
                    <xdr:col>7</xdr:col>
                    <xdr:colOff>9525</xdr:colOff>
                    <xdr:row>8</xdr:row>
                    <xdr:rowOff>180975</xdr:rowOff>
                  </from>
                  <to>
                    <xdr:col>9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99F50-A6F9-4CD9-9BA8-7D2D013F9F4B}">
  <sheetPr codeName="Sheet14"/>
  <dimension ref="A1:S95"/>
  <sheetViews>
    <sheetView workbookViewId="0">
      <pane xSplit="1" ySplit="4" topLeftCell="F5" activePane="bottomRight" state="frozen"/>
      <selection pane="topRight" activeCell="B1" sqref="B1"/>
      <selection pane="bottomLeft" activeCell="A5" sqref="A5"/>
      <selection pane="bottomRight" activeCell="L9" sqref="L9"/>
    </sheetView>
  </sheetViews>
  <sheetFormatPr defaultColWidth="9.140625" defaultRowHeight="15"/>
  <cols>
    <col min="1" max="1" width="17" bestFit="1" customWidth="1"/>
    <col min="2" max="2" width="10.140625" bestFit="1" customWidth="1"/>
    <col min="3" max="3" width="17.85546875" bestFit="1" customWidth="1"/>
    <col min="5" max="5" width="16" bestFit="1" customWidth="1"/>
    <col min="6" max="6" width="15.140625" bestFit="1" customWidth="1"/>
    <col min="7" max="7" width="10.5703125" bestFit="1" customWidth="1"/>
    <col min="9" max="9" width="11.140625" bestFit="1" customWidth="1"/>
    <col min="10" max="10" width="12.42578125" style="101" bestFit="1" customWidth="1"/>
    <col min="12" max="12" width="17" bestFit="1" customWidth="1"/>
    <col min="13" max="13" width="15.140625" bestFit="1" customWidth="1"/>
    <col min="14" max="14" width="12.42578125" style="86" bestFit="1" customWidth="1"/>
    <col min="15" max="15" width="7" bestFit="1" customWidth="1"/>
    <col min="16" max="16" width="18.85546875" bestFit="1" customWidth="1"/>
    <col min="17" max="17" width="12.85546875" style="86" bestFit="1" customWidth="1"/>
    <col min="19" max="19" width="18" bestFit="1" customWidth="1"/>
  </cols>
  <sheetData>
    <row r="1" spans="1:19">
      <c r="A1" s="17" t="s">
        <v>7</v>
      </c>
      <c r="B1" s="89">
        <f ca="1">TODAY()</f>
        <v>45405</v>
      </c>
      <c r="L1" s="18" t="s">
        <v>349</v>
      </c>
      <c r="M1" s="113" t="s">
        <v>350</v>
      </c>
      <c r="N1" s="53" t="s">
        <v>103</v>
      </c>
    </row>
    <row r="2" spans="1:19">
      <c r="A2" s="17" t="s">
        <v>351</v>
      </c>
      <c r="B2" s="2"/>
      <c r="C2" s="17" t="s">
        <v>352</v>
      </c>
      <c r="D2" s="2">
        <v>0</v>
      </c>
      <c r="L2" s="17" t="s">
        <v>351</v>
      </c>
      <c r="M2" s="2">
        <v>5000</v>
      </c>
      <c r="N2" s="116"/>
    </row>
    <row r="3" spans="1:19" ht="15.75" thickBot="1">
      <c r="A3" s="17" t="s">
        <v>353</v>
      </c>
      <c r="B3" s="2">
        <v>90</v>
      </c>
      <c r="L3" s="17"/>
    </row>
    <row r="4" spans="1:19" ht="16.5" thickTop="1" thickBot="1">
      <c r="A4" s="90" t="s">
        <v>7</v>
      </c>
      <c r="B4" s="90"/>
      <c r="C4" s="90" t="s">
        <v>354</v>
      </c>
      <c r="D4" s="90" t="s">
        <v>355</v>
      </c>
      <c r="E4" s="90"/>
      <c r="F4" s="90" t="s">
        <v>356</v>
      </c>
      <c r="G4" s="90" t="s">
        <v>357</v>
      </c>
      <c r="H4" s="90"/>
      <c r="I4" s="90" t="s">
        <v>358</v>
      </c>
      <c r="J4" s="102" t="s">
        <v>359</v>
      </c>
      <c r="L4" s="90" t="s">
        <v>354</v>
      </c>
      <c r="M4" s="90" t="s">
        <v>356</v>
      </c>
      <c r="N4" s="117" t="s">
        <v>360</v>
      </c>
      <c r="P4" s="90" t="s">
        <v>361</v>
      </c>
      <c r="Q4" s="117" t="s">
        <v>362</v>
      </c>
    </row>
    <row r="5" spans="1:19" ht="15.75" thickTop="1">
      <c r="A5" s="91">
        <v>45365</v>
      </c>
      <c r="B5" s="84"/>
      <c r="C5" s="84">
        <f>IF(A5&lt;&gt;"",SUMIFS(Sheet2!D:D,Sheet2!J:J,Forecast!A5),"")</f>
        <v>0</v>
      </c>
      <c r="D5" s="84">
        <f>IF(A5&lt;&gt;"",SUMIFS(Sheet2!K:K,Sheet2!J:J,A5),"")</f>
        <v>0</v>
      </c>
      <c r="E5" s="84"/>
      <c r="F5" s="97">
        <f>IF(A5&lt;&gt;"",SUMIFS('Sales Orders'!D:D,'Sales Orders'!K:K,A5)-SUMIFS('Sales Orders'!R:R,'Sales Orders'!K:K,A5)+SUMIFS('Booking Management'!J:J,'Booking Management'!D:D,A5),"")</f>
        <v>0</v>
      </c>
      <c r="G5" s="97">
        <f>IF(A5&lt;&gt;"",SUMIFS('Sales Orders'!N:N,'Sales Orders'!K:K,A5)-SUMIFS('Sales Orders'!S:S,'Sales Orders'!K:K,A5)+SUMIFS('Booking Management'!Q:Q,'Booking Management'!D:D,A5),"")</f>
        <v>0</v>
      </c>
      <c r="H5" s="84"/>
      <c r="I5" s="84">
        <f>IF(A5&lt;&gt;"",B2+C5-F5,"")</f>
        <v>0</v>
      </c>
      <c r="J5" s="103">
        <f>IF(A5&lt;&gt;"",D2+D5-G5,"")</f>
        <v>0</v>
      </c>
      <c r="L5" s="97"/>
      <c r="M5" s="97">
        <v>0</v>
      </c>
      <c r="N5" s="97">
        <f>IF(A5&lt;&gt;"",M2+L5-M5,"")</f>
        <v>5000</v>
      </c>
      <c r="P5" s="97"/>
      <c r="Q5" s="97">
        <f>IF(N5&lt;&gt;"",N5-P5,"")</f>
        <v>5000</v>
      </c>
      <c r="S5" s="114"/>
    </row>
    <row r="6" spans="1:19">
      <c r="A6" s="91">
        <v>45366</v>
      </c>
      <c r="B6" s="84"/>
      <c r="C6" s="84">
        <f>IF(A6&lt;&gt;"",SUMIFS(Sheet2!D:D,Sheet2!J:J,Forecast!A6),"")</f>
        <v>0</v>
      </c>
      <c r="D6" s="84">
        <f>IF(A6&lt;&gt;"",SUMIFS(Sheet2!K:K,Sheet2!J:J,A6),"")</f>
        <v>0</v>
      </c>
      <c r="E6" s="84"/>
      <c r="F6" s="100">
        <f>IF(A6&lt;&gt;"",SUMIFS('Sales Orders'!D:D,'Sales Orders'!K:K,A6)-SUMIFS('Sales Orders'!R:R,'Sales Orders'!K:K,A6)+SUMIFS('Booking Management'!J:J,'Booking Management'!D:D,A6),"")</f>
        <v>0</v>
      </c>
      <c r="G6" s="100">
        <f>IF(A6&lt;&gt;"",SUMIFS('Sales Orders'!N:N,'Sales Orders'!K:K,A6)-SUMIFS('Sales Orders'!S:S,'Sales Orders'!K:K,A6)+SUMIFS('Booking Management'!Q:Q,'Booking Management'!D:D,A6),"")</f>
        <v>0</v>
      </c>
      <c r="H6" s="84"/>
      <c r="I6" s="84">
        <f>IF(A6&lt;&gt;"",I5+C6-F6,"")</f>
        <v>0</v>
      </c>
      <c r="J6" s="103">
        <f>IF(A6&lt;&gt;"",J5+D6-G6,"")</f>
        <v>0</v>
      </c>
      <c r="L6" s="97"/>
      <c r="M6" s="97">
        <v>0</v>
      </c>
      <c r="N6" s="97">
        <f>IF(A6&lt;&gt;"",N5+L6-M6,"")</f>
        <v>5000</v>
      </c>
      <c r="P6" s="97"/>
      <c r="Q6" s="97">
        <f>IF(N6&lt;&gt;"",Q5+L6-M6-P6,"")</f>
        <v>5000</v>
      </c>
    </row>
    <row r="7" spans="1:19">
      <c r="A7" s="91">
        <v>45367</v>
      </c>
      <c r="B7" s="84"/>
      <c r="C7" s="84">
        <f>IF(A7&lt;&gt;"",SUMIFS(Sheet2!D:D,Sheet2!J:J,Forecast!A7),"")</f>
        <v>0</v>
      </c>
      <c r="D7" s="84">
        <f>IF(A7&lt;&gt;"",SUMIFS(Sheet2!K:K,Sheet2!J:J,A7),"")</f>
        <v>0</v>
      </c>
      <c r="E7" s="84"/>
      <c r="F7" s="100">
        <f>IF(A7&lt;&gt;"",SUMIFS('Sales Orders'!D:D,'Sales Orders'!K:K,A7)-SUMIFS('Sales Orders'!R:R,'Sales Orders'!K:K,A7)+SUMIFS('Booking Management'!J:J,'Booking Management'!D:D,A7),"")</f>
        <v>0</v>
      </c>
      <c r="G7" s="100">
        <f>IF(A7&lt;&gt;"",SUMIFS('Sales Orders'!N:N,'Sales Orders'!K:K,A7)-SUMIFS('Sales Orders'!S:S,'Sales Orders'!K:K,A7)+SUMIFS('Booking Management'!Q:Q,'Booking Management'!D:D,A7),"")</f>
        <v>0</v>
      </c>
      <c r="H7" s="84"/>
      <c r="I7" s="84">
        <f t="shared" ref="I7:I70" si="0">IF(A7&lt;&gt;"",I6+C7-F7,"")</f>
        <v>0</v>
      </c>
      <c r="J7" s="103">
        <f t="shared" ref="J7:J70" si="1">IF(A7&lt;&gt;"",J6+D7-G7,"")</f>
        <v>0</v>
      </c>
      <c r="L7" s="97"/>
      <c r="M7" s="97">
        <v>0</v>
      </c>
      <c r="N7" s="97">
        <f t="shared" ref="N7:N70" si="2">IF(A7&lt;&gt;"",N6+L7-M7,"")</f>
        <v>5000</v>
      </c>
      <c r="P7" s="97"/>
      <c r="Q7" s="97">
        <f t="shared" ref="Q7:Q70" si="3">IF(N7&lt;&gt;"",Q6+L7-M7-P7,"")</f>
        <v>5000</v>
      </c>
    </row>
    <row r="8" spans="1:19">
      <c r="A8" s="91">
        <v>45368</v>
      </c>
      <c r="B8" s="84"/>
      <c r="C8" s="84">
        <f>IF(A8&lt;&gt;"",SUMIFS(Sheet2!D:D,Sheet2!J:J,Forecast!A8),"")</f>
        <v>0</v>
      </c>
      <c r="D8" s="84">
        <f>IF(A8&lt;&gt;"",SUMIFS(Sheet2!K:K,Sheet2!J:J,A8),"")</f>
        <v>0</v>
      </c>
      <c r="E8" s="84"/>
      <c r="F8" s="100">
        <f>IF(A8&lt;&gt;"",SUMIFS('Sales Orders'!D:D,'Sales Orders'!K:K,A8)-SUMIFS('Sales Orders'!R:R,'Sales Orders'!K:K,A8)+SUMIFS('Booking Management'!J:J,'Booking Management'!D:D,A8),"")</f>
        <v>0</v>
      </c>
      <c r="G8" s="100">
        <f>IF(A8&lt;&gt;"",SUMIFS('Sales Orders'!N:N,'Sales Orders'!K:K,A8)-SUMIFS('Sales Orders'!S:S,'Sales Orders'!K:K,A8)+SUMIFS('Booking Management'!Q:Q,'Booking Management'!D:D,A8),"")</f>
        <v>0</v>
      </c>
      <c r="H8" s="84"/>
      <c r="I8" s="84">
        <f t="shared" si="0"/>
        <v>0</v>
      </c>
      <c r="J8" s="103">
        <f t="shared" si="1"/>
        <v>0</v>
      </c>
      <c r="L8" s="97">
        <v>7535.0696265115994</v>
      </c>
      <c r="M8" s="97">
        <v>0</v>
      </c>
      <c r="N8" s="97">
        <f t="shared" si="2"/>
        <v>12535.069626511598</v>
      </c>
      <c r="P8" s="97"/>
      <c r="Q8" s="97">
        <f t="shared" si="3"/>
        <v>12535.069626511598</v>
      </c>
    </row>
    <row r="9" spans="1:19">
      <c r="A9" s="91">
        <v>45369</v>
      </c>
      <c r="B9" s="84"/>
      <c r="C9" s="84">
        <f>IF(A9&lt;&gt;"",SUMIFS(Sheet2!D:D,Sheet2!J:J,Forecast!A9),"")</f>
        <v>0</v>
      </c>
      <c r="D9" s="84">
        <f>IF(A9&lt;&gt;"",SUMIFS(Sheet2!K:K,Sheet2!J:J,A9),"")</f>
        <v>0</v>
      </c>
      <c r="E9" s="84"/>
      <c r="F9" s="100">
        <f>IF(A9&lt;&gt;"",SUMIFS('Sales Orders'!D:D,'Sales Orders'!K:K,A9)-SUMIFS('Sales Orders'!R:R,'Sales Orders'!K:K,A9)+SUMIFS('Booking Management'!J:J,'Booking Management'!D:D,A9),"")</f>
        <v>0</v>
      </c>
      <c r="G9" s="100">
        <f>IF(A9&lt;&gt;"",SUMIFS('Sales Orders'!N:N,'Sales Orders'!K:K,A9)-SUMIFS('Sales Orders'!S:S,'Sales Orders'!K:K,A9)+SUMIFS('Booking Management'!Q:Q,'Booking Management'!D:D,A9),"")</f>
        <v>0</v>
      </c>
      <c r="H9" s="84"/>
      <c r="I9" s="84">
        <f t="shared" si="0"/>
        <v>0</v>
      </c>
      <c r="J9" s="103">
        <f t="shared" si="1"/>
        <v>0</v>
      </c>
      <c r="L9" s="97"/>
      <c r="M9" s="97">
        <v>0</v>
      </c>
      <c r="N9" s="97">
        <f t="shared" si="2"/>
        <v>12535.069626511598</v>
      </c>
      <c r="P9" s="97"/>
      <c r="Q9" s="97">
        <f t="shared" si="3"/>
        <v>12535.069626511598</v>
      </c>
    </row>
    <row r="10" spans="1:19">
      <c r="A10" s="91">
        <v>45370</v>
      </c>
      <c r="B10" s="84"/>
      <c r="C10" s="84">
        <f>IF(A10&lt;&gt;"",SUMIFS(Sheet2!D:D,Sheet2!J:J,Forecast!A10),"")</f>
        <v>0</v>
      </c>
      <c r="D10" s="84">
        <f>IF(A10&lt;&gt;"",SUMIFS(Sheet2!K:K,Sheet2!J:J,A10),"")</f>
        <v>0</v>
      </c>
      <c r="E10" s="84"/>
      <c r="F10" s="100">
        <f>IF(A10&lt;&gt;"",SUMIFS('Sales Orders'!D:D,'Sales Orders'!K:K,A10)-SUMIFS('Sales Orders'!R:R,'Sales Orders'!K:K,A10)+SUMIFS('Booking Management'!J:J,'Booking Management'!D:D,A10),"")</f>
        <v>0</v>
      </c>
      <c r="G10" s="100">
        <f>IF(A10&lt;&gt;"",SUMIFS('Sales Orders'!N:N,'Sales Orders'!K:K,A10)-SUMIFS('Sales Orders'!S:S,'Sales Orders'!K:K,A10)+SUMIFS('Booking Management'!Q:Q,'Booking Management'!D:D,A10),"")</f>
        <v>0</v>
      </c>
      <c r="H10" s="84"/>
      <c r="I10" s="84">
        <f t="shared" si="0"/>
        <v>0</v>
      </c>
      <c r="J10" s="103">
        <f t="shared" si="1"/>
        <v>0</v>
      </c>
      <c r="L10" s="97"/>
      <c r="M10" s="97">
        <v>0</v>
      </c>
      <c r="N10" s="97">
        <f t="shared" si="2"/>
        <v>12535.069626511598</v>
      </c>
      <c r="P10" s="97"/>
      <c r="Q10" s="97">
        <f t="shared" si="3"/>
        <v>12535.069626511598</v>
      </c>
    </row>
    <row r="11" spans="1:19">
      <c r="A11" s="91">
        <v>45371</v>
      </c>
      <c r="B11" s="84"/>
      <c r="C11" s="84">
        <f>IF(A11&lt;&gt;"",SUMIFS(Sheet2!D:D,Sheet2!J:J,Forecast!A11),"")</f>
        <v>0</v>
      </c>
      <c r="D11" s="84">
        <f>IF(A11&lt;&gt;"",SUMIFS(Sheet2!K:K,Sheet2!J:J,A11),"")</f>
        <v>0</v>
      </c>
      <c r="E11" s="84"/>
      <c r="F11" s="100">
        <f>IF(A11&lt;&gt;"",SUMIFS('Sales Orders'!D:D,'Sales Orders'!K:K,A11)-SUMIFS('Sales Orders'!R:R,'Sales Orders'!K:K,A11)+SUMIFS('Booking Management'!J:J,'Booking Management'!D:D,A11),"")</f>
        <v>0</v>
      </c>
      <c r="G11" s="100">
        <f>IF(A11&lt;&gt;"",SUMIFS('Sales Orders'!N:N,'Sales Orders'!K:K,A11)-SUMIFS('Sales Orders'!S:S,'Sales Orders'!K:K,A11)+SUMIFS('Booking Management'!Q:Q,'Booking Management'!D:D,A11),"")</f>
        <v>0</v>
      </c>
      <c r="H11" s="84"/>
      <c r="I11" s="84">
        <f t="shared" si="0"/>
        <v>0</v>
      </c>
      <c r="J11" s="103">
        <f t="shared" si="1"/>
        <v>0</v>
      </c>
      <c r="L11" s="97"/>
      <c r="M11" s="97">
        <v>0</v>
      </c>
      <c r="N11" s="97">
        <f t="shared" si="2"/>
        <v>12535.069626511598</v>
      </c>
      <c r="P11" s="97"/>
      <c r="Q11" s="97">
        <f t="shared" si="3"/>
        <v>12535.069626511598</v>
      </c>
    </row>
    <row r="12" spans="1:19">
      <c r="A12" s="91">
        <v>45372</v>
      </c>
      <c r="B12" s="84"/>
      <c r="C12" s="84">
        <f>IF(A12&lt;&gt;"",SUMIFS(Sheet2!D:D,Sheet2!J:J,Forecast!A12),"")</f>
        <v>0</v>
      </c>
      <c r="D12" s="84">
        <f>IF(A12&lt;&gt;"",SUMIFS(Sheet2!K:K,Sheet2!J:J,A12),"")</f>
        <v>0</v>
      </c>
      <c r="E12" s="84"/>
      <c r="F12" s="100">
        <f>IF(A12&lt;&gt;"",SUMIFS('Sales Orders'!D:D,'Sales Orders'!K:K,A12)-SUMIFS('Sales Orders'!R:R,'Sales Orders'!K:K,A12)+SUMIFS('Booking Management'!J:J,'Booking Management'!D:D,A12),"")</f>
        <v>0</v>
      </c>
      <c r="G12" s="100">
        <f>IF(A12&lt;&gt;"",SUMIFS('Sales Orders'!N:N,'Sales Orders'!K:K,A12)-SUMIFS('Sales Orders'!S:S,'Sales Orders'!K:K,A12)+SUMIFS('Booking Management'!Q:Q,'Booking Management'!D:D,A12),"")</f>
        <v>0</v>
      </c>
      <c r="H12" s="84"/>
      <c r="I12" s="84">
        <f t="shared" si="0"/>
        <v>0</v>
      </c>
      <c r="J12" s="103">
        <f t="shared" si="1"/>
        <v>0</v>
      </c>
      <c r="L12" s="97"/>
      <c r="M12" s="97">
        <v>0</v>
      </c>
      <c r="N12" s="97">
        <f t="shared" si="2"/>
        <v>12535.069626511598</v>
      </c>
      <c r="P12" s="97"/>
      <c r="Q12" s="97">
        <f t="shared" si="3"/>
        <v>12535.069626511598</v>
      </c>
      <c r="S12" s="114"/>
    </row>
    <row r="13" spans="1:19">
      <c r="A13" s="91">
        <v>45373</v>
      </c>
      <c r="B13" s="84"/>
      <c r="C13" s="84">
        <f>IF(A13&lt;&gt;"",SUMIFS(Sheet2!D:D,Sheet2!J:J,Forecast!A13),"")</f>
        <v>0</v>
      </c>
      <c r="D13" s="84">
        <f>IF(A13&lt;&gt;"",SUMIFS(Sheet2!K:K,Sheet2!J:J,A13),"")</f>
        <v>0</v>
      </c>
      <c r="E13" s="84"/>
      <c r="F13" s="100">
        <f>IF(A13&lt;&gt;"",SUMIFS('Sales Orders'!D:D,'Sales Orders'!K:K,A13)-SUMIFS('Sales Orders'!R:R,'Sales Orders'!K:K,A13)+SUMIFS('Booking Management'!J:J,'Booking Management'!D:D,A13),"")</f>
        <v>0</v>
      </c>
      <c r="G13" s="100">
        <f>IF(A13&lt;&gt;"",SUMIFS('Sales Orders'!N:N,'Sales Orders'!K:K,A13)-SUMIFS('Sales Orders'!S:S,'Sales Orders'!K:K,A13)+SUMIFS('Booking Management'!Q:Q,'Booking Management'!D:D,A13),"")</f>
        <v>0</v>
      </c>
      <c r="H13" s="84"/>
      <c r="I13" s="84">
        <f t="shared" si="0"/>
        <v>0</v>
      </c>
      <c r="J13" s="103">
        <f t="shared" si="1"/>
        <v>0</v>
      </c>
      <c r="L13" s="97">
        <v>10505</v>
      </c>
      <c r="M13" s="97">
        <v>0</v>
      </c>
      <c r="N13" s="97">
        <f t="shared" si="2"/>
        <v>23040.069626511598</v>
      </c>
      <c r="P13" s="97"/>
      <c r="Q13" s="97">
        <f t="shared" si="3"/>
        <v>23040.069626511598</v>
      </c>
      <c r="S13" s="115"/>
    </row>
    <row r="14" spans="1:19">
      <c r="A14" s="91">
        <v>45374</v>
      </c>
      <c r="B14" s="84"/>
      <c r="C14" s="84">
        <f>IF(A14&lt;&gt;"",SUMIFS(Sheet2!D:D,Sheet2!J:J,Forecast!A14),"")</f>
        <v>0</v>
      </c>
      <c r="D14" s="84">
        <f>IF(A14&lt;&gt;"",SUMIFS(Sheet2!K:K,Sheet2!J:J,A14),"")</f>
        <v>0</v>
      </c>
      <c r="E14" s="84"/>
      <c r="F14" s="100">
        <f>IF(A14&lt;&gt;"",SUMIFS('Sales Orders'!D:D,'Sales Orders'!K:K,A14)-SUMIFS('Sales Orders'!R:R,'Sales Orders'!K:K,A14)+SUMIFS('Booking Management'!J:J,'Booking Management'!D:D,A14),"")</f>
        <v>0</v>
      </c>
      <c r="G14" s="100">
        <f>IF(A14&lt;&gt;"",SUMIFS('Sales Orders'!N:N,'Sales Orders'!K:K,A14)-SUMIFS('Sales Orders'!S:S,'Sales Orders'!K:K,A14)+SUMIFS('Booking Management'!Q:Q,'Booking Management'!D:D,A14),"")</f>
        <v>0</v>
      </c>
      <c r="H14" s="84"/>
      <c r="I14" s="84">
        <f t="shared" si="0"/>
        <v>0</v>
      </c>
      <c r="J14" s="103">
        <f t="shared" si="1"/>
        <v>0</v>
      </c>
      <c r="L14" s="97"/>
      <c r="M14" s="97">
        <v>0</v>
      </c>
      <c r="N14" s="97">
        <f t="shared" si="2"/>
        <v>23040.069626511598</v>
      </c>
      <c r="P14" s="97"/>
      <c r="Q14" s="97">
        <f t="shared" si="3"/>
        <v>23040.069626511598</v>
      </c>
      <c r="S14" s="115"/>
    </row>
    <row r="15" spans="1:19">
      <c r="A15" s="91">
        <v>45375</v>
      </c>
      <c r="B15" s="84"/>
      <c r="C15" s="84">
        <f>IF(A15&lt;&gt;"",SUMIFS(Sheet2!D:D,Sheet2!J:J,Forecast!A15),"")</f>
        <v>0</v>
      </c>
      <c r="D15" s="84">
        <f>IF(A15&lt;&gt;"",SUMIFS(Sheet2!K:K,Sheet2!J:J,A15),"")</f>
        <v>0</v>
      </c>
      <c r="E15" s="84"/>
      <c r="F15" s="100">
        <f>IF(A15&lt;&gt;"",SUMIFS('Sales Orders'!D:D,'Sales Orders'!K:K,A15)-SUMIFS('Sales Orders'!R:R,'Sales Orders'!K:K,A15)+SUMIFS('Booking Management'!J:J,'Booking Management'!D:D,A15),"")</f>
        <v>0</v>
      </c>
      <c r="G15" s="100">
        <f>IF(A15&lt;&gt;"",SUMIFS('Sales Orders'!N:N,'Sales Orders'!K:K,A15)-SUMIFS('Sales Orders'!S:S,'Sales Orders'!K:K,A15)+SUMIFS('Booking Management'!Q:Q,'Booking Management'!D:D,A15),"")</f>
        <v>0</v>
      </c>
      <c r="H15" s="84"/>
      <c r="I15" s="84">
        <f t="shared" si="0"/>
        <v>0</v>
      </c>
      <c r="J15" s="103">
        <f t="shared" si="1"/>
        <v>0</v>
      </c>
      <c r="L15" s="97"/>
      <c r="M15" s="97">
        <v>0</v>
      </c>
      <c r="N15" s="97">
        <f t="shared" si="2"/>
        <v>23040.069626511598</v>
      </c>
      <c r="P15" s="97"/>
      <c r="Q15" s="97">
        <f t="shared" si="3"/>
        <v>23040.069626511598</v>
      </c>
    </row>
    <row r="16" spans="1:19">
      <c r="A16" s="91">
        <v>45376</v>
      </c>
      <c r="B16" s="84"/>
      <c r="C16" s="84">
        <f>IF(A16&lt;&gt;"",SUMIFS(Sheet2!D:D,Sheet2!J:J,Forecast!A16),"")</f>
        <v>0</v>
      </c>
      <c r="D16" s="84">
        <f>IF(A16&lt;&gt;"",SUMIFS(Sheet2!K:K,Sheet2!J:J,A16),"")</f>
        <v>0</v>
      </c>
      <c r="E16" s="84"/>
      <c r="F16" s="100">
        <f>IF(A16&lt;&gt;"",SUMIFS('Sales Orders'!D:D,'Sales Orders'!K:K,A16)-SUMIFS('Sales Orders'!R:R,'Sales Orders'!K:K,A16)+SUMIFS('Booking Management'!J:J,'Booking Management'!D:D,A16),"")</f>
        <v>0</v>
      </c>
      <c r="G16" s="100">
        <f>IF(A16&lt;&gt;"",SUMIFS('Sales Orders'!N:N,'Sales Orders'!K:K,A16)-SUMIFS('Sales Orders'!S:S,'Sales Orders'!K:K,A16)+SUMIFS('Booking Management'!Q:Q,'Booking Management'!D:D,A16),"")</f>
        <v>0</v>
      </c>
      <c r="H16" s="84"/>
      <c r="I16" s="84">
        <f t="shared" si="0"/>
        <v>0</v>
      </c>
      <c r="J16" s="103">
        <f t="shared" si="1"/>
        <v>0</v>
      </c>
      <c r="L16" s="97"/>
      <c r="M16" s="97">
        <v>0</v>
      </c>
      <c r="N16" s="97">
        <f t="shared" si="2"/>
        <v>23040.069626511598</v>
      </c>
      <c r="P16" s="97"/>
      <c r="Q16" s="97">
        <f t="shared" si="3"/>
        <v>23040.069626511598</v>
      </c>
    </row>
    <row r="17" spans="1:17">
      <c r="A17" s="91">
        <v>45377</v>
      </c>
      <c r="B17" s="84"/>
      <c r="C17" s="84">
        <f>IF(A17&lt;&gt;"",SUMIFS(Sheet2!D:D,Sheet2!J:J,Forecast!A17),"")</f>
        <v>0</v>
      </c>
      <c r="D17" s="84">
        <f>IF(A17&lt;&gt;"",SUMIFS(Sheet2!K:K,Sheet2!J:J,A17),"")</f>
        <v>0</v>
      </c>
      <c r="E17" s="84"/>
      <c r="F17" s="100">
        <f>IF(A17&lt;&gt;"",SUMIFS('Sales Orders'!D:D,'Sales Orders'!K:K,A17)-SUMIFS('Sales Orders'!R:R,'Sales Orders'!K:K,A17)+SUMIFS('Booking Management'!J:J,'Booking Management'!D:D,A17),"")</f>
        <v>0</v>
      </c>
      <c r="G17" s="100">
        <f>IF(A17&lt;&gt;"",SUMIFS('Sales Orders'!N:N,'Sales Orders'!K:K,A17)-SUMIFS('Sales Orders'!S:S,'Sales Orders'!K:K,A17)+SUMIFS('Booking Management'!Q:Q,'Booking Management'!D:D,A17),"")</f>
        <v>0</v>
      </c>
      <c r="H17" s="84"/>
      <c r="I17" s="84">
        <f t="shared" si="0"/>
        <v>0</v>
      </c>
      <c r="J17" s="103">
        <f t="shared" si="1"/>
        <v>0</v>
      </c>
      <c r="L17" s="97">
        <v>4752</v>
      </c>
      <c r="M17" s="97">
        <v>0</v>
      </c>
      <c r="N17" s="97">
        <f t="shared" si="2"/>
        <v>27792.069626511598</v>
      </c>
      <c r="P17" s="97"/>
      <c r="Q17" s="97">
        <f t="shared" si="3"/>
        <v>27792.069626511598</v>
      </c>
    </row>
    <row r="18" spans="1:17">
      <c r="A18" s="91">
        <v>45378</v>
      </c>
      <c r="B18" s="84"/>
      <c r="C18" s="84">
        <f>IF(A18&lt;&gt;"",SUMIFS(Sheet2!D:D,Sheet2!J:J,Forecast!A18),"")</f>
        <v>0</v>
      </c>
      <c r="D18" s="84">
        <f>IF(A18&lt;&gt;"",SUMIFS(Sheet2!K:K,Sheet2!J:J,A18),"")</f>
        <v>0</v>
      </c>
      <c r="E18" s="84"/>
      <c r="F18" s="100">
        <f>IF(A18&lt;&gt;"",SUMIFS('Sales Orders'!D:D,'Sales Orders'!K:K,A18)-SUMIFS('Sales Orders'!R:R,'Sales Orders'!K:K,A18)+SUMIFS('Booking Management'!J:J,'Booking Management'!D:D,A18),"")</f>
        <v>0</v>
      </c>
      <c r="G18" s="100">
        <f>IF(A18&lt;&gt;"",SUMIFS('Sales Orders'!N:N,'Sales Orders'!K:K,A18)-SUMIFS('Sales Orders'!S:S,'Sales Orders'!K:K,A18)+SUMIFS('Booking Management'!Q:Q,'Booking Management'!D:D,A18),"")</f>
        <v>0</v>
      </c>
      <c r="H18" s="84"/>
      <c r="I18" s="84">
        <f t="shared" si="0"/>
        <v>0</v>
      </c>
      <c r="J18" s="103">
        <f t="shared" si="1"/>
        <v>0</v>
      </c>
      <c r="L18" s="97"/>
      <c r="M18" s="97">
        <v>0</v>
      </c>
      <c r="N18" s="97">
        <f t="shared" si="2"/>
        <v>27792.069626511598</v>
      </c>
      <c r="P18" s="97"/>
      <c r="Q18" s="97">
        <f t="shared" si="3"/>
        <v>27792.069626511598</v>
      </c>
    </row>
    <row r="19" spans="1:17">
      <c r="A19" s="91">
        <v>45379</v>
      </c>
      <c r="B19" s="84"/>
      <c r="C19" s="84">
        <f>IF(A19&lt;&gt;"",SUMIFS(Sheet2!D:D,Sheet2!J:J,Forecast!A19),"")</f>
        <v>0</v>
      </c>
      <c r="D19" s="84">
        <f>IF(A19&lt;&gt;"",SUMIFS(Sheet2!K:K,Sheet2!J:J,A19),"")</f>
        <v>0</v>
      </c>
      <c r="E19" s="84"/>
      <c r="F19" s="100">
        <f>IF(A19&lt;&gt;"",SUMIFS('Sales Orders'!D:D,'Sales Orders'!K:K,A19)-SUMIFS('Sales Orders'!R:R,'Sales Orders'!K:K,A19)+SUMIFS('Booking Management'!J:J,'Booking Management'!D:D,A19),"")</f>
        <v>0</v>
      </c>
      <c r="G19" s="100">
        <f>IF(A19&lt;&gt;"",SUMIFS('Sales Orders'!N:N,'Sales Orders'!K:K,A19)-SUMIFS('Sales Orders'!S:S,'Sales Orders'!K:K,A19)+SUMIFS('Booking Management'!Q:Q,'Booking Management'!D:D,A19),"")</f>
        <v>0</v>
      </c>
      <c r="H19" s="84"/>
      <c r="I19" s="84">
        <f t="shared" si="0"/>
        <v>0</v>
      </c>
      <c r="J19" s="103">
        <f t="shared" si="1"/>
        <v>0</v>
      </c>
      <c r="L19" s="97"/>
      <c r="M19" s="97">
        <v>0</v>
      </c>
      <c r="N19" s="97">
        <f t="shared" si="2"/>
        <v>27792.069626511598</v>
      </c>
      <c r="P19" s="97"/>
      <c r="Q19" s="97">
        <f t="shared" si="3"/>
        <v>27792.069626511598</v>
      </c>
    </row>
    <row r="20" spans="1:17">
      <c r="A20" s="91">
        <v>45380</v>
      </c>
      <c r="B20" s="84"/>
      <c r="C20" s="84">
        <f>IF(A20&lt;&gt;"",SUMIFS(Sheet2!D:D,Sheet2!J:J,Forecast!A20),"")</f>
        <v>0</v>
      </c>
      <c r="D20" s="84">
        <f>IF(A20&lt;&gt;"",SUMIFS(Sheet2!K:K,Sheet2!J:J,A20),"")</f>
        <v>0</v>
      </c>
      <c r="E20" s="84"/>
      <c r="F20" s="100">
        <f>IF(A20&lt;&gt;"",SUMIFS('Sales Orders'!D:D,'Sales Orders'!K:K,A20)-SUMIFS('Sales Orders'!R:R,'Sales Orders'!K:K,A20)+SUMIFS('Booking Management'!J:J,'Booking Management'!D:D,A20),"")</f>
        <v>0</v>
      </c>
      <c r="G20" s="100">
        <f>IF(A20&lt;&gt;"",SUMIFS('Sales Orders'!N:N,'Sales Orders'!K:K,A20)-SUMIFS('Sales Orders'!S:S,'Sales Orders'!K:K,A20)+SUMIFS('Booking Management'!Q:Q,'Booking Management'!D:D,A20),"")</f>
        <v>0</v>
      </c>
      <c r="H20" s="84"/>
      <c r="I20" s="84">
        <f t="shared" si="0"/>
        <v>0</v>
      </c>
      <c r="J20" s="103">
        <f t="shared" si="1"/>
        <v>0</v>
      </c>
      <c r="L20" s="97"/>
      <c r="M20" s="97">
        <v>0</v>
      </c>
      <c r="N20" s="97">
        <f t="shared" si="2"/>
        <v>27792.069626511598</v>
      </c>
      <c r="P20" s="97"/>
      <c r="Q20" s="97">
        <f t="shared" si="3"/>
        <v>27792.069626511598</v>
      </c>
    </row>
    <row r="21" spans="1:17">
      <c r="A21" s="91">
        <v>45381</v>
      </c>
      <c r="B21" s="84"/>
      <c r="C21" s="84">
        <f>IF(A21&lt;&gt;"",SUMIFS(Sheet2!D:D,Sheet2!J:J,Forecast!A21),"")</f>
        <v>0</v>
      </c>
      <c r="D21" s="84">
        <f>IF(A21&lt;&gt;"",SUMIFS(Sheet2!K:K,Sheet2!J:J,A21),"")</f>
        <v>0</v>
      </c>
      <c r="E21" s="84"/>
      <c r="F21" s="100">
        <f>IF(A21&lt;&gt;"",SUMIFS('Sales Orders'!D:D,'Sales Orders'!K:K,A21)-SUMIFS('Sales Orders'!R:R,'Sales Orders'!K:K,A21)+SUMIFS('Booking Management'!J:J,'Booking Management'!D:D,A21),"")</f>
        <v>0</v>
      </c>
      <c r="G21" s="100">
        <f>IF(A21&lt;&gt;"",SUMIFS('Sales Orders'!N:N,'Sales Orders'!K:K,A21)-SUMIFS('Sales Orders'!S:S,'Sales Orders'!K:K,A21)+SUMIFS('Booking Management'!Q:Q,'Booking Management'!D:D,A21),"")</f>
        <v>0</v>
      </c>
      <c r="H21" s="84"/>
      <c r="I21" s="84">
        <f t="shared" si="0"/>
        <v>0</v>
      </c>
      <c r="J21" s="103">
        <f t="shared" si="1"/>
        <v>0</v>
      </c>
      <c r="L21" s="97"/>
      <c r="M21" s="97">
        <v>0</v>
      </c>
      <c r="N21" s="97">
        <f t="shared" si="2"/>
        <v>27792.069626511598</v>
      </c>
      <c r="P21" s="97"/>
      <c r="Q21" s="97">
        <f t="shared" si="3"/>
        <v>27792.069626511598</v>
      </c>
    </row>
    <row r="22" spans="1:17">
      <c r="A22" s="91">
        <v>45382</v>
      </c>
      <c r="B22" s="84"/>
      <c r="C22" s="84">
        <f>IF(A22&lt;&gt;"",SUMIFS(Sheet2!D:D,Sheet2!J:J,Forecast!A22),"")</f>
        <v>0</v>
      </c>
      <c r="D22" s="84">
        <f>IF(A22&lt;&gt;"",SUMIFS(Sheet2!K:K,Sheet2!J:J,A22),"")</f>
        <v>0</v>
      </c>
      <c r="E22" s="84"/>
      <c r="F22" s="100">
        <f>IF(A22&lt;&gt;"",SUMIFS('Sales Orders'!D:D,'Sales Orders'!K:K,A22)-SUMIFS('Sales Orders'!R:R,'Sales Orders'!K:K,A22)+SUMIFS('Booking Management'!J:J,'Booking Management'!D:D,A22),"")</f>
        <v>0</v>
      </c>
      <c r="G22" s="100">
        <f>IF(A22&lt;&gt;"",SUMIFS('Sales Orders'!N:N,'Sales Orders'!K:K,A22)-SUMIFS('Sales Orders'!S:S,'Sales Orders'!K:K,A22)+SUMIFS('Booking Management'!Q:Q,'Booking Management'!D:D,A22),"")</f>
        <v>0</v>
      </c>
      <c r="H22" s="84"/>
      <c r="I22" s="84">
        <f t="shared" si="0"/>
        <v>0</v>
      </c>
      <c r="J22" s="103">
        <f t="shared" si="1"/>
        <v>0</v>
      </c>
      <c r="L22" s="97"/>
      <c r="M22" s="97">
        <v>0</v>
      </c>
      <c r="N22" s="97">
        <f t="shared" si="2"/>
        <v>27792.069626511598</v>
      </c>
      <c r="P22" s="97"/>
      <c r="Q22" s="97">
        <f t="shared" si="3"/>
        <v>27792.069626511598</v>
      </c>
    </row>
    <row r="23" spans="1:17">
      <c r="A23" s="91">
        <v>45383</v>
      </c>
      <c r="B23" s="84"/>
      <c r="C23" s="84">
        <f>IF(A23&lt;&gt;"",SUMIFS(Sheet2!D:D,Sheet2!J:J,Forecast!A23),"")</f>
        <v>0</v>
      </c>
      <c r="D23" s="84">
        <f>IF(A23&lt;&gt;"",SUMIFS(Sheet2!K:K,Sheet2!J:J,A23),"")</f>
        <v>0</v>
      </c>
      <c r="E23" s="84"/>
      <c r="F23" s="100">
        <f>IF(A23&lt;&gt;"",SUMIFS('Sales Orders'!D:D,'Sales Orders'!K:K,A23)-SUMIFS('Sales Orders'!R:R,'Sales Orders'!K:K,A23)+SUMIFS('Booking Management'!J:J,'Booking Management'!D:D,A23),"")</f>
        <v>0</v>
      </c>
      <c r="G23" s="100">
        <f>IF(A23&lt;&gt;"",SUMIFS('Sales Orders'!N:N,'Sales Orders'!K:K,A23)-SUMIFS('Sales Orders'!S:S,'Sales Orders'!K:K,A23)+SUMIFS('Booking Management'!Q:Q,'Booking Management'!D:D,A23),"")</f>
        <v>0</v>
      </c>
      <c r="H23" s="84"/>
      <c r="I23" s="84">
        <f t="shared" si="0"/>
        <v>0</v>
      </c>
      <c r="J23" s="103">
        <f t="shared" si="1"/>
        <v>0</v>
      </c>
      <c r="L23" s="97"/>
      <c r="M23" s="97">
        <v>0</v>
      </c>
      <c r="N23" s="97">
        <f t="shared" si="2"/>
        <v>27792.069626511598</v>
      </c>
      <c r="P23" s="97"/>
      <c r="Q23" s="97">
        <f t="shared" si="3"/>
        <v>27792.069626511598</v>
      </c>
    </row>
    <row r="24" spans="1:17">
      <c r="A24" s="91">
        <v>45384</v>
      </c>
      <c r="B24" s="84"/>
      <c r="C24" s="84">
        <f>IF(A24&lt;&gt;"",SUMIFS(Sheet2!D:D,Sheet2!J:J,Forecast!A24),"")</f>
        <v>0</v>
      </c>
      <c r="D24" s="84">
        <f>IF(A24&lt;&gt;"",SUMIFS(Sheet2!K:K,Sheet2!J:J,A24),"")</f>
        <v>0</v>
      </c>
      <c r="E24" s="84"/>
      <c r="F24" s="100">
        <f>IF(A24&lt;&gt;"",SUMIFS('Sales Orders'!D:D,'Sales Orders'!K:K,A24)-SUMIFS('Sales Orders'!R:R,'Sales Orders'!K:K,A24)+SUMIFS('Booking Management'!J:J,'Booking Management'!D:D,A24),"")</f>
        <v>0</v>
      </c>
      <c r="G24" s="100">
        <f>IF(A24&lt;&gt;"",SUMIFS('Sales Orders'!N:N,'Sales Orders'!K:K,A24)-SUMIFS('Sales Orders'!S:S,'Sales Orders'!K:K,A24)+SUMIFS('Booking Management'!Q:Q,'Booking Management'!D:D,A24),"")</f>
        <v>0</v>
      </c>
      <c r="H24" s="84"/>
      <c r="I24" s="84">
        <f t="shared" si="0"/>
        <v>0</v>
      </c>
      <c r="J24" s="103">
        <f t="shared" si="1"/>
        <v>0</v>
      </c>
      <c r="L24" s="97"/>
      <c r="M24" s="97">
        <v>0</v>
      </c>
      <c r="N24" s="97">
        <f t="shared" si="2"/>
        <v>27792.069626511598</v>
      </c>
      <c r="P24" s="97"/>
      <c r="Q24" s="97">
        <f t="shared" si="3"/>
        <v>27792.069626511598</v>
      </c>
    </row>
    <row r="25" spans="1:17">
      <c r="A25" s="91">
        <v>45385</v>
      </c>
      <c r="B25" s="84"/>
      <c r="C25" s="84">
        <f>IF(A25&lt;&gt;"",SUMIFS(Sheet2!D:D,Sheet2!J:J,Forecast!A25),"")</f>
        <v>0</v>
      </c>
      <c r="D25" s="84">
        <f>IF(A25&lt;&gt;"",SUMIFS(Sheet2!K:K,Sheet2!J:J,A25),"")</f>
        <v>0</v>
      </c>
      <c r="E25" s="84"/>
      <c r="F25" s="100">
        <f>IF(A25&lt;&gt;"",SUMIFS('Sales Orders'!D:D,'Sales Orders'!K:K,A25)-SUMIFS('Sales Orders'!R:R,'Sales Orders'!K:K,A25)+SUMIFS('Booking Management'!J:J,'Booking Management'!D:D,A25),"")</f>
        <v>0</v>
      </c>
      <c r="G25" s="100">
        <f>IF(A25&lt;&gt;"",SUMIFS('Sales Orders'!N:N,'Sales Orders'!K:K,A25)-SUMIFS('Sales Orders'!S:S,'Sales Orders'!K:K,A25)+SUMIFS('Booking Management'!Q:Q,'Booking Management'!D:D,A25),"")</f>
        <v>0</v>
      </c>
      <c r="H25" s="84"/>
      <c r="I25" s="84">
        <f t="shared" si="0"/>
        <v>0</v>
      </c>
      <c r="J25" s="103">
        <f t="shared" si="1"/>
        <v>0</v>
      </c>
      <c r="L25" s="97"/>
      <c r="M25" s="97">
        <v>0</v>
      </c>
      <c r="N25" s="97">
        <f t="shared" si="2"/>
        <v>27792.069626511598</v>
      </c>
      <c r="P25" s="97"/>
      <c r="Q25" s="97">
        <f t="shared" si="3"/>
        <v>27792.069626511598</v>
      </c>
    </row>
    <row r="26" spans="1:17">
      <c r="A26" s="91">
        <v>45386</v>
      </c>
      <c r="B26" s="84"/>
      <c r="C26" s="84">
        <f>IF(A26&lt;&gt;"",SUMIFS(Sheet2!D:D,Sheet2!J:J,Forecast!A26),"")</f>
        <v>0</v>
      </c>
      <c r="D26" s="84">
        <f>IF(A26&lt;&gt;"",SUMIFS(Sheet2!K:K,Sheet2!J:J,A26),"")</f>
        <v>0</v>
      </c>
      <c r="E26" s="84"/>
      <c r="F26" s="100">
        <f>IF(A26&lt;&gt;"",SUMIFS('Sales Orders'!D:D,'Sales Orders'!K:K,A26)-SUMIFS('Sales Orders'!R:R,'Sales Orders'!K:K,A26)+SUMIFS('Booking Management'!J:J,'Booking Management'!D:D,A26),"")</f>
        <v>0</v>
      </c>
      <c r="G26" s="100">
        <f>IF(A26&lt;&gt;"",SUMIFS('Sales Orders'!N:N,'Sales Orders'!K:K,A26)-SUMIFS('Sales Orders'!S:S,'Sales Orders'!K:K,A26)+SUMIFS('Booking Management'!Q:Q,'Booking Management'!D:D,A26),"")</f>
        <v>0</v>
      </c>
      <c r="H26" s="84"/>
      <c r="I26" s="84">
        <f t="shared" si="0"/>
        <v>0</v>
      </c>
      <c r="J26" s="103">
        <f t="shared" si="1"/>
        <v>0</v>
      </c>
      <c r="L26" s="97"/>
      <c r="M26" s="97">
        <v>0</v>
      </c>
      <c r="N26" s="97">
        <f t="shared" si="2"/>
        <v>27792.069626511598</v>
      </c>
      <c r="P26" s="97"/>
      <c r="Q26" s="97">
        <f t="shared" si="3"/>
        <v>27792.069626511598</v>
      </c>
    </row>
    <row r="27" spans="1:17">
      <c r="A27" s="91">
        <v>45387</v>
      </c>
      <c r="B27" s="84"/>
      <c r="C27" s="84">
        <f>IF(A27&lt;&gt;"",SUMIFS(Sheet2!D:D,Sheet2!J:J,Forecast!A27),"")</f>
        <v>0</v>
      </c>
      <c r="D27" s="84">
        <f>IF(A27&lt;&gt;"",SUMIFS(Sheet2!K:K,Sheet2!J:J,A27),"")</f>
        <v>0</v>
      </c>
      <c r="E27" s="84"/>
      <c r="F27" s="100">
        <f>IF(A27&lt;&gt;"",SUMIFS('Sales Orders'!D:D,'Sales Orders'!K:K,A27)-SUMIFS('Sales Orders'!R:R,'Sales Orders'!K:K,A27)+SUMIFS('Booking Management'!J:J,'Booking Management'!D:D,A27),"")</f>
        <v>0</v>
      </c>
      <c r="G27" s="100">
        <f>IF(A27&lt;&gt;"",SUMIFS('Sales Orders'!N:N,'Sales Orders'!K:K,A27)-SUMIFS('Sales Orders'!S:S,'Sales Orders'!K:K,A27)+SUMIFS('Booking Management'!Q:Q,'Booking Management'!D:D,A27),"")</f>
        <v>0</v>
      </c>
      <c r="H27" s="84"/>
      <c r="I27" s="84">
        <f t="shared" si="0"/>
        <v>0</v>
      </c>
      <c r="J27" s="103">
        <f t="shared" si="1"/>
        <v>0</v>
      </c>
      <c r="L27" s="97"/>
      <c r="M27" s="97">
        <v>0</v>
      </c>
      <c r="N27" s="97">
        <f t="shared" si="2"/>
        <v>27792.069626511598</v>
      </c>
      <c r="P27" s="97"/>
      <c r="Q27" s="97">
        <f t="shared" si="3"/>
        <v>27792.069626511598</v>
      </c>
    </row>
    <row r="28" spans="1:17">
      <c r="A28" s="91">
        <v>45388</v>
      </c>
      <c r="B28" s="84"/>
      <c r="C28" s="84">
        <f>IF(A28&lt;&gt;"",SUMIFS(Sheet2!D:D,Sheet2!J:J,Forecast!A28),"")</f>
        <v>0</v>
      </c>
      <c r="D28" s="84">
        <f>IF(A28&lt;&gt;"",SUMIFS(Sheet2!K:K,Sheet2!J:J,A28),"")</f>
        <v>0</v>
      </c>
      <c r="E28" s="84"/>
      <c r="F28" s="100">
        <f>IF(A28&lt;&gt;"",SUMIFS('Sales Orders'!D:D,'Sales Orders'!K:K,A28)-SUMIFS('Sales Orders'!R:R,'Sales Orders'!K:K,A28)+SUMIFS('Booking Management'!J:J,'Booking Management'!D:D,A28),"")</f>
        <v>0</v>
      </c>
      <c r="G28" s="100">
        <f>IF(A28&lt;&gt;"",SUMIFS('Sales Orders'!N:N,'Sales Orders'!K:K,A28)-SUMIFS('Sales Orders'!S:S,'Sales Orders'!K:K,A28)+SUMIFS('Booking Management'!Q:Q,'Booking Management'!D:D,A28),"")</f>
        <v>0</v>
      </c>
      <c r="H28" s="84"/>
      <c r="I28" s="84">
        <f t="shared" si="0"/>
        <v>0</v>
      </c>
      <c r="J28" s="103">
        <f t="shared" si="1"/>
        <v>0</v>
      </c>
      <c r="L28" s="97"/>
      <c r="M28" s="97">
        <v>0</v>
      </c>
      <c r="N28" s="97">
        <f t="shared" si="2"/>
        <v>27792.069626511598</v>
      </c>
      <c r="P28" s="97"/>
      <c r="Q28" s="97">
        <f t="shared" si="3"/>
        <v>27792.069626511598</v>
      </c>
    </row>
    <row r="29" spans="1:17">
      <c r="A29" s="91">
        <v>45389</v>
      </c>
      <c r="B29" s="84"/>
      <c r="C29" s="84">
        <f>IF(A29&lt;&gt;"",SUMIFS(Sheet2!D:D,Sheet2!J:J,Forecast!A29),"")</f>
        <v>0</v>
      </c>
      <c r="D29" s="84">
        <f>IF(A29&lt;&gt;"",SUMIFS(Sheet2!K:K,Sheet2!J:J,A29),"")</f>
        <v>0</v>
      </c>
      <c r="E29" s="84"/>
      <c r="F29" s="100">
        <f>IF(A29&lt;&gt;"",SUMIFS('Sales Orders'!D:D,'Sales Orders'!K:K,A29)-SUMIFS('Sales Orders'!R:R,'Sales Orders'!K:K,A29)+SUMIFS('Booking Management'!J:J,'Booking Management'!D:D,A29),"")</f>
        <v>0</v>
      </c>
      <c r="G29" s="100">
        <f>IF(A29&lt;&gt;"",SUMIFS('Sales Orders'!N:N,'Sales Orders'!K:K,A29)-SUMIFS('Sales Orders'!S:S,'Sales Orders'!K:K,A29)+SUMIFS('Booking Management'!Q:Q,'Booking Management'!D:D,A29),"")</f>
        <v>0</v>
      </c>
      <c r="H29" s="84"/>
      <c r="I29" s="84">
        <f t="shared" si="0"/>
        <v>0</v>
      </c>
      <c r="J29" s="103">
        <f t="shared" si="1"/>
        <v>0</v>
      </c>
      <c r="L29" s="97"/>
      <c r="M29" s="97">
        <v>0</v>
      </c>
      <c r="N29" s="97">
        <f t="shared" si="2"/>
        <v>27792.069626511598</v>
      </c>
      <c r="P29" s="97"/>
      <c r="Q29" s="97">
        <f t="shared" si="3"/>
        <v>27792.069626511598</v>
      </c>
    </row>
    <row r="30" spans="1:17">
      <c r="A30" s="91">
        <v>45390</v>
      </c>
      <c r="B30" s="84"/>
      <c r="C30" s="84">
        <f>IF(A30&lt;&gt;"",SUMIFS(Sheet2!D:D,Sheet2!J:J,Forecast!A30),"")</f>
        <v>0</v>
      </c>
      <c r="D30" s="84">
        <f>IF(A30&lt;&gt;"",SUMIFS(Sheet2!K:K,Sheet2!J:J,A30),"")</f>
        <v>0</v>
      </c>
      <c r="E30" s="84"/>
      <c r="F30" s="100">
        <f>IF(A30&lt;&gt;"",SUMIFS('Sales Orders'!D:D,'Sales Orders'!K:K,A30)-SUMIFS('Sales Orders'!R:R,'Sales Orders'!K:K,A30)+SUMIFS('Booking Management'!J:J,'Booking Management'!D:D,A30),"")</f>
        <v>0</v>
      </c>
      <c r="G30" s="100">
        <f>IF(A30&lt;&gt;"",SUMIFS('Sales Orders'!N:N,'Sales Orders'!K:K,A30)-SUMIFS('Sales Orders'!S:S,'Sales Orders'!K:K,A30)+SUMIFS('Booking Management'!Q:Q,'Booking Management'!D:D,A30),"")</f>
        <v>0</v>
      </c>
      <c r="H30" s="84"/>
      <c r="I30" s="84">
        <f t="shared" si="0"/>
        <v>0</v>
      </c>
      <c r="J30" s="103">
        <f t="shared" si="1"/>
        <v>0</v>
      </c>
      <c r="L30" s="97"/>
      <c r="M30" s="97">
        <v>0</v>
      </c>
      <c r="N30" s="97">
        <f t="shared" si="2"/>
        <v>27792.069626511598</v>
      </c>
      <c r="P30" s="97"/>
      <c r="Q30" s="97">
        <f t="shared" si="3"/>
        <v>27792.069626511598</v>
      </c>
    </row>
    <row r="31" spans="1:17">
      <c r="A31" s="91">
        <v>45391</v>
      </c>
      <c r="B31" s="84"/>
      <c r="C31" s="84">
        <f>IF(A31&lt;&gt;"",SUMIFS(Sheet2!D:D,Sheet2!J:J,Forecast!A31),"")</f>
        <v>0</v>
      </c>
      <c r="D31" s="84">
        <f>IF(A31&lt;&gt;"",SUMIFS(Sheet2!K:K,Sheet2!J:J,A31),"")</f>
        <v>0</v>
      </c>
      <c r="E31" s="84"/>
      <c r="F31" s="100">
        <f>IF(A31&lt;&gt;"",SUMIFS('Sales Orders'!D:D,'Sales Orders'!K:K,A31)-SUMIFS('Sales Orders'!R:R,'Sales Orders'!K:K,A31)+SUMIFS('Booking Management'!J:J,'Booking Management'!D:D,A31),"")</f>
        <v>0</v>
      </c>
      <c r="G31" s="100">
        <f>IF(A31&lt;&gt;"",SUMIFS('Sales Orders'!N:N,'Sales Orders'!K:K,A31)-SUMIFS('Sales Orders'!S:S,'Sales Orders'!K:K,A31)+SUMIFS('Booking Management'!Q:Q,'Booking Management'!D:D,A31),"")</f>
        <v>0</v>
      </c>
      <c r="H31" s="84"/>
      <c r="I31" s="84">
        <f t="shared" si="0"/>
        <v>0</v>
      </c>
      <c r="J31" s="103">
        <f t="shared" si="1"/>
        <v>0</v>
      </c>
      <c r="L31" s="97">
        <v>5433.9523364570769</v>
      </c>
      <c r="M31" s="97">
        <v>0</v>
      </c>
      <c r="N31" s="97">
        <f t="shared" si="2"/>
        <v>33226.021962968676</v>
      </c>
      <c r="P31" s="97"/>
      <c r="Q31" s="97">
        <f t="shared" si="3"/>
        <v>33226.021962968676</v>
      </c>
    </row>
    <row r="32" spans="1:17">
      <c r="A32" s="91">
        <v>45392</v>
      </c>
      <c r="B32" s="84"/>
      <c r="C32" s="84">
        <f>IF(A32&lt;&gt;"",SUMIFS(Sheet2!D:D,Sheet2!J:J,Forecast!A32),"")</f>
        <v>0</v>
      </c>
      <c r="D32" s="84">
        <f>IF(A32&lt;&gt;"",SUMIFS(Sheet2!K:K,Sheet2!J:J,A32),"")</f>
        <v>0</v>
      </c>
      <c r="E32" s="84"/>
      <c r="F32" s="100">
        <f>IF(A32&lt;&gt;"",SUMIFS('Sales Orders'!D:D,'Sales Orders'!K:K,A32)-SUMIFS('Sales Orders'!R:R,'Sales Orders'!K:K,A32)+SUMIFS('Booking Management'!J:J,'Booking Management'!D:D,A32),"")</f>
        <v>0</v>
      </c>
      <c r="G32" s="100">
        <f>IF(A32&lt;&gt;"",SUMIFS('Sales Orders'!N:N,'Sales Orders'!K:K,A32)-SUMIFS('Sales Orders'!S:S,'Sales Orders'!K:K,A32)+SUMIFS('Booking Management'!Q:Q,'Booking Management'!D:D,A32),"")</f>
        <v>0</v>
      </c>
      <c r="H32" s="84"/>
      <c r="I32" s="84">
        <f t="shared" si="0"/>
        <v>0</v>
      </c>
      <c r="J32" s="103">
        <f t="shared" si="1"/>
        <v>0</v>
      </c>
      <c r="L32" s="97"/>
      <c r="M32" s="97">
        <v>0</v>
      </c>
      <c r="N32" s="97">
        <f t="shared" si="2"/>
        <v>33226.021962968676</v>
      </c>
      <c r="P32" s="97"/>
      <c r="Q32" s="97">
        <f t="shared" si="3"/>
        <v>33226.021962968676</v>
      </c>
    </row>
    <row r="33" spans="1:17">
      <c r="A33" s="91">
        <v>45393</v>
      </c>
      <c r="B33" s="84"/>
      <c r="C33" s="84">
        <f>IF(A33&lt;&gt;"",SUMIFS(Sheet2!D:D,Sheet2!J:J,Forecast!A33),"")</f>
        <v>0</v>
      </c>
      <c r="D33" s="84">
        <f>IF(A33&lt;&gt;"",SUMIFS(Sheet2!K:K,Sheet2!J:J,A33),"")</f>
        <v>0</v>
      </c>
      <c r="E33" s="84"/>
      <c r="F33" s="100">
        <f>IF(A33&lt;&gt;"",SUMIFS('Sales Orders'!D:D,'Sales Orders'!K:K,A33)-SUMIFS('Sales Orders'!R:R,'Sales Orders'!K:K,A33)+SUMIFS('Booking Management'!J:J,'Booking Management'!D:D,A33),"")</f>
        <v>0</v>
      </c>
      <c r="G33" s="100">
        <f>IF(A33&lt;&gt;"",SUMIFS('Sales Orders'!N:N,'Sales Orders'!K:K,A33)-SUMIFS('Sales Orders'!S:S,'Sales Orders'!K:K,A33)+SUMIFS('Booking Management'!Q:Q,'Booking Management'!D:D,A33),"")</f>
        <v>0</v>
      </c>
      <c r="H33" s="84"/>
      <c r="I33" s="84">
        <f t="shared" si="0"/>
        <v>0</v>
      </c>
      <c r="J33" s="103">
        <f t="shared" si="1"/>
        <v>0</v>
      </c>
      <c r="L33" s="97"/>
      <c r="M33" s="97">
        <v>0</v>
      </c>
      <c r="N33" s="97">
        <f t="shared" si="2"/>
        <v>33226.021962968676</v>
      </c>
      <c r="P33" s="97"/>
      <c r="Q33" s="97">
        <f t="shared" si="3"/>
        <v>33226.021962968676</v>
      </c>
    </row>
    <row r="34" spans="1:17">
      <c r="A34" s="91">
        <v>45394</v>
      </c>
      <c r="B34" s="84"/>
      <c r="C34" s="84">
        <f>IF(A34&lt;&gt;"",SUMIFS(Sheet2!D:D,Sheet2!J:J,Forecast!A34),"")</f>
        <v>0</v>
      </c>
      <c r="D34" s="84">
        <f>IF(A34&lt;&gt;"",SUMIFS(Sheet2!K:K,Sheet2!J:J,A34),"")</f>
        <v>0</v>
      </c>
      <c r="E34" s="84"/>
      <c r="F34" s="100">
        <f>IF(A34&lt;&gt;"",SUMIFS('Sales Orders'!D:D,'Sales Orders'!K:K,A34)-SUMIFS('Sales Orders'!R:R,'Sales Orders'!K:K,A34)+SUMIFS('Booking Management'!J:J,'Booking Management'!D:D,A34),"")</f>
        <v>0</v>
      </c>
      <c r="G34" s="100">
        <f>IF(A34&lt;&gt;"",SUMIFS('Sales Orders'!N:N,'Sales Orders'!K:K,A34)-SUMIFS('Sales Orders'!S:S,'Sales Orders'!K:K,A34)+SUMIFS('Booking Management'!Q:Q,'Booking Management'!D:D,A34),"")</f>
        <v>0</v>
      </c>
      <c r="H34" s="84"/>
      <c r="I34" s="84">
        <f t="shared" si="0"/>
        <v>0</v>
      </c>
      <c r="J34" s="103">
        <f t="shared" si="1"/>
        <v>0</v>
      </c>
      <c r="L34" s="97"/>
      <c r="M34" s="97">
        <v>0</v>
      </c>
      <c r="N34" s="97">
        <f t="shared" si="2"/>
        <v>33226.021962968676</v>
      </c>
      <c r="P34" s="97"/>
      <c r="Q34" s="97">
        <f t="shared" si="3"/>
        <v>33226.021962968676</v>
      </c>
    </row>
    <row r="35" spans="1:17">
      <c r="A35" s="91">
        <v>45395</v>
      </c>
      <c r="B35" s="84"/>
      <c r="C35" s="84">
        <f>IF(A35&lt;&gt;"",SUMIFS(Sheet2!D:D,Sheet2!J:J,Forecast!A35),"")</f>
        <v>0</v>
      </c>
      <c r="D35" s="84">
        <f>IF(A35&lt;&gt;"",SUMIFS(Sheet2!K:K,Sheet2!J:J,A35),"")</f>
        <v>0</v>
      </c>
      <c r="E35" s="84"/>
      <c r="F35" s="100">
        <f>IF(A35&lt;&gt;"",SUMIFS('Sales Orders'!D:D,'Sales Orders'!K:K,A35)-SUMIFS('Sales Orders'!R:R,'Sales Orders'!K:K,A35)+SUMIFS('Booking Management'!J:J,'Booking Management'!D:D,A35),"")</f>
        <v>0</v>
      </c>
      <c r="G35" s="100">
        <f>IF(A35&lt;&gt;"",SUMIFS('Sales Orders'!N:N,'Sales Orders'!K:K,A35)-SUMIFS('Sales Orders'!S:S,'Sales Orders'!K:K,A35)+SUMIFS('Booking Management'!Q:Q,'Booking Management'!D:D,A35),"")</f>
        <v>0</v>
      </c>
      <c r="H35" s="84"/>
      <c r="I35" s="84">
        <f t="shared" si="0"/>
        <v>0</v>
      </c>
      <c r="J35" s="103">
        <f t="shared" si="1"/>
        <v>0</v>
      </c>
      <c r="L35" s="97"/>
      <c r="M35" s="97">
        <v>0</v>
      </c>
      <c r="N35" s="97">
        <f t="shared" si="2"/>
        <v>33226.021962968676</v>
      </c>
      <c r="P35" s="97"/>
      <c r="Q35" s="97">
        <f t="shared" si="3"/>
        <v>33226.021962968676</v>
      </c>
    </row>
    <row r="36" spans="1:17">
      <c r="A36" s="91">
        <v>45396</v>
      </c>
      <c r="B36" s="84"/>
      <c r="C36" s="84">
        <f>IF(A36&lt;&gt;"",SUMIFS(Sheet2!D:D,Sheet2!J:J,Forecast!A36),"")</f>
        <v>0</v>
      </c>
      <c r="D36" s="84">
        <f>IF(A36&lt;&gt;"",SUMIFS(Sheet2!K:K,Sheet2!J:J,A36),"")</f>
        <v>0</v>
      </c>
      <c r="E36" s="84"/>
      <c r="F36" s="100">
        <f>IF(A36&lt;&gt;"",SUMIFS('Sales Orders'!D:D,'Sales Orders'!K:K,A36)-SUMIFS('Sales Orders'!R:R,'Sales Orders'!K:K,A36)+SUMIFS('Booking Management'!J:J,'Booking Management'!D:D,A36),"")</f>
        <v>0</v>
      </c>
      <c r="G36" s="100">
        <f>IF(A36&lt;&gt;"",SUMIFS('Sales Orders'!N:N,'Sales Orders'!K:K,A36)-SUMIFS('Sales Orders'!S:S,'Sales Orders'!K:K,A36)+SUMIFS('Booking Management'!Q:Q,'Booking Management'!D:D,A36),"")</f>
        <v>0</v>
      </c>
      <c r="H36" s="84"/>
      <c r="I36" s="84">
        <f t="shared" si="0"/>
        <v>0</v>
      </c>
      <c r="J36" s="103">
        <f t="shared" si="1"/>
        <v>0</v>
      </c>
      <c r="L36" s="97"/>
      <c r="M36" s="97">
        <v>0</v>
      </c>
      <c r="N36" s="97">
        <f t="shared" si="2"/>
        <v>33226.021962968676</v>
      </c>
      <c r="P36" s="97"/>
      <c r="Q36" s="97">
        <f t="shared" si="3"/>
        <v>33226.021962968676</v>
      </c>
    </row>
    <row r="37" spans="1:17">
      <c r="A37" s="91">
        <v>45397</v>
      </c>
      <c r="B37" s="84"/>
      <c r="C37" s="84">
        <f>IF(A37&lt;&gt;"",SUMIFS(Sheet2!D:D,Sheet2!J:J,Forecast!A37),"")</f>
        <v>0</v>
      </c>
      <c r="D37" s="84">
        <f>IF(A37&lt;&gt;"",SUMIFS(Sheet2!K:K,Sheet2!J:J,A37),"")</f>
        <v>0</v>
      </c>
      <c r="E37" s="84"/>
      <c r="F37" s="100">
        <f>IF(A37&lt;&gt;"",SUMIFS('Sales Orders'!D:D,'Sales Orders'!K:K,A37)-SUMIFS('Sales Orders'!R:R,'Sales Orders'!K:K,A37)+SUMIFS('Booking Management'!J:J,'Booking Management'!D:D,A37),"")</f>
        <v>0</v>
      </c>
      <c r="G37" s="100">
        <f>IF(A37&lt;&gt;"",SUMIFS('Sales Orders'!N:N,'Sales Orders'!K:K,A37)-SUMIFS('Sales Orders'!S:S,'Sales Orders'!K:K,A37)+SUMIFS('Booking Management'!Q:Q,'Booking Management'!D:D,A37),"")</f>
        <v>0</v>
      </c>
      <c r="H37" s="84"/>
      <c r="I37" s="84">
        <f t="shared" si="0"/>
        <v>0</v>
      </c>
      <c r="J37" s="103">
        <f t="shared" si="1"/>
        <v>0</v>
      </c>
      <c r="L37" s="97"/>
      <c r="M37" s="97">
        <v>0</v>
      </c>
      <c r="N37" s="97">
        <f t="shared" si="2"/>
        <v>33226.021962968676</v>
      </c>
      <c r="P37" s="97"/>
      <c r="Q37" s="97">
        <f t="shared" si="3"/>
        <v>33226.021962968676</v>
      </c>
    </row>
    <row r="38" spans="1:17">
      <c r="A38" s="91">
        <v>45398</v>
      </c>
      <c r="B38" s="84"/>
      <c r="C38" s="84">
        <f>IF(A38&lt;&gt;"",SUMIFS(Sheet2!D:D,Sheet2!J:J,Forecast!A38),"")</f>
        <v>0</v>
      </c>
      <c r="D38" s="84">
        <f>IF(A38&lt;&gt;"",SUMIFS(Sheet2!K:K,Sheet2!J:J,A38),"")</f>
        <v>0</v>
      </c>
      <c r="E38" s="84"/>
      <c r="F38" s="100">
        <f>IF(A38&lt;&gt;"",SUMIFS('Sales Orders'!D:D,'Sales Orders'!K:K,A38)-SUMIFS('Sales Orders'!R:R,'Sales Orders'!K:K,A38)+SUMIFS('Booking Management'!J:J,'Booking Management'!D:D,A38),"")</f>
        <v>0</v>
      </c>
      <c r="G38" s="100">
        <f>IF(A38&lt;&gt;"",SUMIFS('Sales Orders'!N:N,'Sales Orders'!K:K,A38)-SUMIFS('Sales Orders'!S:S,'Sales Orders'!K:K,A38)+SUMIFS('Booking Management'!Q:Q,'Booking Management'!D:D,A38),"")</f>
        <v>0</v>
      </c>
      <c r="H38" s="84"/>
      <c r="I38" s="84">
        <f t="shared" si="0"/>
        <v>0</v>
      </c>
      <c r="J38" s="103">
        <f t="shared" si="1"/>
        <v>0</v>
      </c>
      <c r="L38" s="97"/>
      <c r="M38" s="97">
        <v>0</v>
      </c>
      <c r="N38" s="97">
        <f t="shared" si="2"/>
        <v>33226.021962968676</v>
      </c>
      <c r="P38" s="97"/>
      <c r="Q38" s="97">
        <f t="shared" si="3"/>
        <v>33226.021962968676</v>
      </c>
    </row>
    <row r="39" spans="1:17">
      <c r="A39" s="91">
        <v>45399</v>
      </c>
      <c r="B39" s="84"/>
      <c r="C39" s="84">
        <f>IF(A39&lt;&gt;"",SUMIFS(Sheet2!D:D,Sheet2!J:J,Forecast!A39),"")</f>
        <v>0</v>
      </c>
      <c r="D39" s="84">
        <f>IF(A39&lt;&gt;"",SUMIFS(Sheet2!K:K,Sheet2!J:J,A39),"")</f>
        <v>0</v>
      </c>
      <c r="E39" s="84"/>
      <c r="F39" s="100">
        <f>IF(A39&lt;&gt;"",SUMIFS('Sales Orders'!D:D,'Sales Orders'!K:K,A39)-SUMIFS('Sales Orders'!R:R,'Sales Orders'!K:K,A39)+SUMIFS('Booking Management'!J:J,'Booking Management'!D:D,A39),"")</f>
        <v>0</v>
      </c>
      <c r="G39" s="100">
        <f>IF(A39&lt;&gt;"",SUMIFS('Sales Orders'!N:N,'Sales Orders'!K:K,A39)-SUMIFS('Sales Orders'!S:S,'Sales Orders'!K:K,A39)+SUMIFS('Booking Management'!Q:Q,'Booking Management'!D:D,A39),"")</f>
        <v>0</v>
      </c>
      <c r="H39" s="84"/>
      <c r="I39" s="84">
        <f t="shared" si="0"/>
        <v>0</v>
      </c>
      <c r="J39" s="103">
        <f t="shared" si="1"/>
        <v>0</v>
      </c>
      <c r="L39" s="97"/>
      <c r="M39" s="97">
        <v>0</v>
      </c>
      <c r="N39" s="97">
        <f t="shared" si="2"/>
        <v>33226.021962968676</v>
      </c>
      <c r="P39" s="97"/>
      <c r="Q39" s="97">
        <f t="shared" si="3"/>
        <v>33226.021962968676</v>
      </c>
    </row>
    <row r="40" spans="1:17">
      <c r="A40" s="91">
        <v>45400</v>
      </c>
      <c r="B40" s="84"/>
      <c r="C40" s="84">
        <f>IF(A40&lt;&gt;"",SUMIFS(Sheet2!D:D,Sheet2!J:J,Forecast!A40),"")</f>
        <v>0</v>
      </c>
      <c r="D40" s="84">
        <f>IF(A40&lt;&gt;"",SUMIFS(Sheet2!K:K,Sheet2!J:J,A40),"")</f>
        <v>0</v>
      </c>
      <c r="E40" s="84"/>
      <c r="F40" s="100">
        <f>IF(A40&lt;&gt;"",SUMIFS('Sales Orders'!D:D,'Sales Orders'!K:K,A40)-SUMIFS('Sales Orders'!R:R,'Sales Orders'!K:K,A40)+SUMIFS('Booking Management'!J:J,'Booking Management'!D:D,A40),"")</f>
        <v>0</v>
      </c>
      <c r="G40" s="100">
        <f>IF(A40&lt;&gt;"",SUMIFS('Sales Orders'!N:N,'Sales Orders'!K:K,A40)-SUMIFS('Sales Orders'!S:S,'Sales Orders'!K:K,A40)+SUMIFS('Booking Management'!Q:Q,'Booking Management'!D:D,A40),"")</f>
        <v>0</v>
      </c>
      <c r="H40" s="84"/>
      <c r="I40" s="84">
        <f t="shared" si="0"/>
        <v>0</v>
      </c>
      <c r="J40" s="103">
        <f t="shared" si="1"/>
        <v>0</v>
      </c>
      <c r="L40" s="97"/>
      <c r="M40" s="97">
        <v>0</v>
      </c>
      <c r="N40" s="97">
        <f t="shared" si="2"/>
        <v>33226.021962968676</v>
      </c>
      <c r="P40" s="97"/>
      <c r="Q40" s="97">
        <f t="shared" si="3"/>
        <v>33226.021962968676</v>
      </c>
    </row>
    <row r="41" spans="1:17">
      <c r="A41" s="91">
        <v>45401</v>
      </c>
      <c r="B41" s="84"/>
      <c r="C41" s="84">
        <f>IF(A41&lt;&gt;"",SUMIFS(Sheet2!D:D,Sheet2!J:J,Forecast!A41),"")</f>
        <v>0</v>
      </c>
      <c r="D41" s="84">
        <f>IF(A41&lt;&gt;"",SUMIFS(Sheet2!K:K,Sheet2!J:J,A41),"")</f>
        <v>0</v>
      </c>
      <c r="E41" s="84"/>
      <c r="F41" s="100">
        <f>IF(A41&lt;&gt;"",SUMIFS('Sales Orders'!D:D,'Sales Orders'!K:K,A41)-SUMIFS('Sales Orders'!R:R,'Sales Orders'!K:K,A41)+SUMIFS('Booking Management'!J:J,'Booking Management'!D:D,A41),"")</f>
        <v>0</v>
      </c>
      <c r="G41" s="100">
        <f>IF(A41&lt;&gt;"",SUMIFS('Sales Orders'!N:N,'Sales Orders'!K:K,A41)-SUMIFS('Sales Orders'!S:S,'Sales Orders'!K:K,A41)+SUMIFS('Booking Management'!Q:Q,'Booking Management'!D:D,A41),"")</f>
        <v>0</v>
      </c>
      <c r="H41" s="84"/>
      <c r="I41" s="84">
        <f t="shared" si="0"/>
        <v>0</v>
      </c>
      <c r="J41" s="103">
        <f t="shared" si="1"/>
        <v>0</v>
      </c>
      <c r="L41" s="97"/>
      <c r="M41" s="97">
        <v>0</v>
      </c>
      <c r="N41" s="97">
        <f t="shared" si="2"/>
        <v>33226.021962968676</v>
      </c>
      <c r="P41" s="97"/>
      <c r="Q41" s="97">
        <f t="shared" si="3"/>
        <v>33226.021962968676</v>
      </c>
    </row>
    <row r="42" spans="1:17">
      <c r="A42" s="91">
        <v>45402</v>
      </c>
      <c r="B42" s="84"/>
      <c r="C42" s="84">
        <f>IF(A42&lt;&gt;"",SUMIFS(Sheet2!D:D,Sheet2!J:J,Forecast!A42),"")</f>
        <v>0</v>
      </c>
      <c r="D42" s="84">
        <f>IF(A42&lt;&gt;"",SUMIFS(Sheet2!K:K,Sheet2!J:J,A42),"")</f>
        <v>0</v>
      </c>
      <c r="E42" s="84"/>
      <c r="F42" s="100">
        <f>IF(A42&lt;&gt;"",SUMIFS('Sales Orders'!D:D,'Sales Orders'!K:K,A42)-SUMIFS('Sales Orders'!R:R,'Sales Orders'!K:K,A42)+SUMIFS('Booking Management'!J:J,'Booking Management'!D:D,A42),"")</f>
        <v>0</v>
      </c>
      <c r="G42" s="100">
        <f>IF(A42&lt;&gt;"",SUMIFS('Sales Orders'!N:N,'Sales Orders'!K:K,A42)-SUMIFS('Sales Orders'!S:S,'Sales Orders'!K:K,A42)+SUMIFS('Booking Management'!Q:Q,'Booking Management'!D:D,A42),"")</f>
        <v>0</v>
      </c>
      <c r="H42" s="84"/>
      <c r="I42" s="84">
        <f t="shared" si="0"/>
        <v>0</v>
      </c>
      <c r="J42" s="103">
        <f t="shared" si="1"/>
        <v>0</v>
      </c>
      <c r="L42" s="97"/>
      <c r="M42" s="97">
        <v>0</v>
      </c>
      <c r="N42" s="97">
        <f t="shared" si="2"/>
        <v>33226.021962968676</v>
      </c>
      <c r="P42" s="97"/>
      <c r="Q42" s="97">
        <f t="shared" si="3"/>
        <v>33226.021962968676</v>
      </c>
    </row>
    <row r="43" spans="1:17">
      <c r="A43" s="91">
        <v>45403</v>
      </c>
      <c r="B43" s="84"/>
      <c r="C43" s="84">
        <f>IF(A43&lt;&gt;"",SUMIFS(Sheet2!D:D,Sheet2!J:J,Forecast!A43),"")</f>
        <v>0</v>
      </c>
      <c r="D43" s="84">
        <f>IF(A43&lt;&gt;"",SUMIFS(Sheet2!K:K,Sheet2!J:J,A43),"")</f>
        <v>0</v>
      </c>
      <c r="E43" s="84"/>
      <c r="F43" s="100">
        <f>IF(A43&lt;&gt;"",SUMIFS('Sales Orders'!D:D,'Sales Orders'!K:K,A43)-SUMIFS('Sales Orders'!R:R,'Sales Orders'!K:K,A43)+SUMIFS('Booking Management'!J:J,'Booking Management'!D:D,A43),"")</f>
        <v>0</v>
      </c>
      <c r="G43" s="100">
        <f>IF(A43&lt;&gt;"",SUMIFS('Sales Orders'!N:N,'Sales Orders'!K:K,A43)-SUMIFS('Sales Orders'!S:S,'Sales Orders'!K:K,A43)+SUMIFS('Booking Management'!Q:Q,'Booking Management'!D:D,A43),"")</f>
        <v>0</v>
      </c>
      <c r="H43" s="84"/>
      <c r="I43" s="84">
        <f t="shared" si="0"/>
        <v>0</v>
      </c>
      <c r="J43" s="103">
        <f t="shared" si="1"/>
        <v>0</v>
      </c>
      <c r="L43" s="97"/>
      <c r="M43" s="97">
        <v>0</v>
      </c>
      <c r="N43" s="97">
        <f t="shared" si="2"/>
        <v>33226.021962968676</v>
      </c>
      <c r="P43" s="97"/>
      <c r="Q43" s="97">
        <f t="shared" si="3"/>
        <v>33226.021962968676</v>
      </c>
    </row>
    <row r="44" spans="1:17">
      <c r="A44" s="91">
        <v>45404</v>
      </c>
      <c r="B44" s="84"/>
      <c r="C44" s="84">
        <f>IF(A44&lt;&gt;"",SUMIFS(Sheet2!D:D,Sheet2!J:J,Forecast!A44),"")</f>
        <v>0</v>
      </c>
      <c r="D44" s="84">
        <f>IF(A44&lt;&gt;"",SUMIFS(Sheet2!K:K,Sheet2!J:J,A44),"")</f>
        <v>0</v>
      </c>
      <c r="E44" s="84"/>
      <c r="F44" s="100">
        <f>IF(A44&lt;&gt;"",SUMIFS('Sales Orders'!D:D,'Sales Orders'!K:K,A44)-SUMIFS('Sales Orders'!R:R,'Sales Orders'!K:K,A44)+SUMIFS('Booking Management'!J:J,'Booking Management'!D:D,A44),"")</f>
        <v>0</v>
      </c>
      <c r="G44" s="100">
        <f>IF(A44&lt;&gt;"",SUMIFS('Sales Orders'!N:N,'Sales Orders'!K:K,A44)-SUMIFS('Sales Orders'!S:S,'Sales Orders'!K:K,A44)+SUMIFS('Booking Management'!Q:Q,'Booking Management'!D:D,A44),"")</f>
        <v>0</v>
      </c>
      <c r="H44" s="84"/>
      <c r="I44" s="84">
        <f t="shared" si="0"/>
        <v>0</v>
      </c>
      <c r="J44" s="103">
        <f t="shared" si="1"/>
        <v>0</v>
      </c>
      <c r="L44" s="97"/>
      <c r="M44" s="97">
        <v>0</v>
      </c>
      <c r="N44" s="97">
        <f t="shared" si="2"/>
        <v>33226.021962968676</v>
      </c>
      <c r="P44" s="97"/>
      <c r="Q44" s="97">
        <f t="shared" si="3"/>
        <v>33226.021962968676</v>
      </c>
    </row>
    <row r="45" spans="1:17">
      <c r="A45" s="91">
        <v>45405</v>
      </c>
      <c r="B45" s="84"/>
      <c r="C45" s="84">
        <f>IF(A45&lt;&gt;"",SUMIFS(Sheet2!D:D,Sheet2!J:J,Forecast!A45),"")</f>
        <v>0</v>
      </c>
      <c r="D45" s="84">
        <f>IF(A45&lt;&gt;"",SUMIFS(Sheet2!K:K,Sheet2!J:J,A45),"")</f>
        <v>0</v>
      </c>
      <c r="E45" s="84"/>
      <c r="F45" s="100">
        <f>IF(A45&lt;&gt;"",SUMIFS('Sales Orders'!D:D,'Sales Orders'!K:K,A45)-SUMIFS('Sales Orders'!R:R,'Sales Orders'!K:K,A45)+SUMIFS('Booking Management'!J:J,'Booking Management'!D:D,A45),"")</f>
        <v>0</v>
      </c>
      <c r="G45" s="100">
        <f>IF(A45&lt;&gt;"",SUMIFS('Sales Orders'!N:N,'Sales Orders'!K:K,A45)-SUMIFS('Sales Orders'!S:S,'Sales Orders'!K:K,A45)+SUMIFS('Booking Management'!Q:Q,'Booking Management'!D:D,A45),"")</f>
        <v>0</v>
      </c>
      <c r="H45" s="84"/>
      <c r="I45" s="84">
        <f t="shared" si="0"/>
        <v>0</v>
      </c>
      <c r="J45" s="103">
        <f t="shared" si="1"/>
        <v>0</v>
      </c>
      <c r="L45" s="97"/>
      <c r="M45" s="97">
        <v>0</v>
      </c>
      <c r="N45" s="97">
        <f t="shared" si="2"/>
        <v>33226.021962968676</v>
      </c>
      <c r="P45" s="97"/>
      <c r="Q45" s="97">
        <f t="shared" si="3"/>
        <v>33226.021962968676</v>
      </c>
    </row>
    <row r="46" spans="1:17">
      <c r="A46" s="91">
        <v>45406</v>
      </c>
      <c r="B46" s="84"/>
      <c r="C46" s="84">
        <f>IF(A46&lt;&gt;"",SUMIFS(Sheet2!D:D,Sheet2!J:J,Forecast!A46),"")</f>
        <v>0</v>
      </c>
      <c r="D46" s="84">
        <f>IF(A46&lt;&gt;"",SUMIFS(Sheet2!K:K,Sheet2!J:J,A46),"")</f>
        <v>0</v>
      </c>
      <c r="E46" s="84"/>
      <c r="F46" s="100">
        <f>IF(A46&lt;&gt;"",SUMIFS('Sales Orders'!D:D,'Sales Orders'!K:K,A46)-SUMIFS('Sales Orders'!R:R,'Sales Orders'!K:K,A46)+SUMIFS('Booking Management'!J:J,'Booking Management'!D:D,A46),"")</f>
        <v>0</v>
      </c>
      <c r="G46" s="100">
        <f>IF(A46&lt;&gt;"",SUMIFS('Sales Orders'!N:N,'Sales Orders'!K:K,A46)-SUMIFS('Sales Orders'!S:S,'Sales Orders'!K:K,A46)+SUMIFS('Booking Management'!Q:Q,'Booking Management'!D:D,A46),"")</f>
        <v>0</v>
      </c>
      <c r="H46" s="84"/>
      <c r="I46" s="84">
        <f t="shared" si="0"/>
        <v>0</v>
      </c>
      <c r="J46" s="103">
        <f t="shared" si="1"/>
        <v>0</v>
      </c>
      <c r="L46" s="97"/>
      <c r="M46" s="97">
        <v>0</v>
      </c>
      <c r="N46" s="97">
        <f t="shared" si="2"/>
        <v>33226.021962968676</v>
      </c>
      <c r="P46" s="97"/>
      <c r="Q46" s="97">
        <f t="shared" si="3"/>
        <v>33226.021962968676</v>
      </c>
    </row>
    <row r="47" spans="1:17">
      <c r="A47" s="91">
        <v>45407</v>
      </c>
      <c r="B47" s="84"/>
      <c r="C47" s="84">
        <f>IF(A47&lt;&gt;"",SUMIFS(Sheet2!D:D,Sheet2!J:J,Forecast!A47),"")</f>
        <v>0</v>
      </c>
      <c r="D47" s="84">
        <f>IF(A47&lt;&gt;"",SUMIFS(Sheet2!K:K,Sheet2!J:J,A47),"")</f>
        <v>0</v>
      </c>
      <c r="E47" s="84"/>
      <c r="F47" s="100">
        <f>IF(A47&lt;&gt;"",SUMIFS('Sales Orders'!D:D,'Sales Orders'!K:K,A47)-SUMIFS('Sales Orders'!R:R,'Sales Orders'!K:K,A47)+SUMIFS('Booking Management'!J:J,'Booking Management'!D:D,A47),"")</f>
        <v>0</v>
      </c>
      <c r="G47" s="100">
        <f>IF(A47&lt;&gt;"",SUMIFS('Sales Orders'!N:N,'Sales Orders'!K:K,A47)-SUMIFS('Sales Orders'!S:S,'Sales Orders'!K:K,A47)+SUMIFS('Booking Management'!Q:Q,'Booking Management'!D:D,A47),"")</f>
        <v>0</v>
      </c>
      <c r="H47" s="84"/>
      <c r="I47" s="84">
        <f t="shared" si="0"/>
        <v>0</v>
      </c>
      <c r="J47" s="103">
        <f t="shared" si="1"/>
        <v>0</v>
      </c>
      <c r="L47" s="97"/>
      <c r="M47" s="97">
        <v>0</v>
      </c>
      <c r="N47" s="97">
        <f t="shared" si="2"/>
        <v>33226.021962968676</v>
      </c>
      <c r="P47" s="97"/>
      <c r="Q47" s="97">
        <f t="shared" si="3"/>
        <v>33226.021962968676</v>
      </c>
    </row>
    <row r="48" spans="1:17">
      <c r="A48" s="91">
        <v>45408</v>
      </c>
      <c r="B48" s="84"/>
      <c r="C48" s="84">
        <f>IF(A48&lt;&gt;"",SUMIFS(Sheet2!D:D,Sheet2!J:J,Forecast!A48),"")</f>
        <v>0</v>
      </c>
      <c r="D48" s="84">
        <f>IF(A48&lt;&gt;"",SUMIFS(Sheet2!K:K,Sheet2!J:J,A48),"")</f>
        <v>0</v>
      </c>
      <c r="E48" s="84"/>
      <c r="F48" s="100">
        <f>IF(A48&lt;&gt;"",SUMIFS('Sales Orders'!D:D,'Sales Orders'!K:K,A48)-SUMIFS('Sales Orders'!R:R,'Sales Orders'!K:K,A48)+SUMIFS('Booking Management'!J:J,'Booking Management'!D:D,A48),"")</f>
        <v>0</v>
      </c>
      <c r="G48" s="100">
        <f>IF(A48&lt;&gt;"",SUMIFS('Sales Orders'!N:N,'Sales Orders'!K:K,A48)-SUMIFS('Sales Orders'!S:S,'Sales Orders'!K:K,A48)+SUMIFS('Booking Management'!Q:Q,'Booking Management'!D:D,A48),"")</f>
        <v>0</v>
      </c>
      <c r="H48" s="84"/>
      <c r="I48" s="84">
        <f t="shared" si="0"/>
        <v>0</v>
      </c>
      <c r="J48" s="103">
        <f t="shared" si="1"/>
        <v>0</v>
      </c>
      <c r="L48" s="97"/>
      <c r="M48" s="97">
        <v>0</v>
      </c>
      <c r="N48" s="97">
        <f t="shared" si="2"/>
        <v>33226.021962968676</v>
      </c>
      <c r="P48" s="97"/>
      <c r="Q48" s="97">
        <f t="shared" si="3"/>
        <v>33226.021962968676</v>
      </c>
    </row>
    <row r="49" spans="1:17">
      <c r="A49" s="91">
        <v>45409</v>
      </c>
      <c r="B49" s="84"/>
      <c r="C49" s="84">
        <f>IF(A49&lt;&gt;"",SUMIFS(Sheet2!D:D,Sheet2!J:J,Forecast!A49),"")</f>
        <v>0</v>
      </c>
      <c r="D49" s="84">
        <f>IF(A49&lt;&gt;"",SUMIFS(Sheet2!K:K,Sheet2!J:J,A49),"")</f>
        <v>0</v>
      </c>
      <c r="E49" s="84"/>
      <c r="F49" s="100">
        <f>IF(A49&lt;&gt;"",SUMIFS('Sales Orders'!D:D,'Sales Orders'!K:K,A49)-SUMIFS('Sales Orders'!R:R,'Sales Orders'!K:K,A49)+SUMIFS('Booking Management'!J:J,'Booking Management'!D:D,A49),"")</f>
        <v>0</v>
      </c>
      <c r="G49" s="100">
        <f>IF(A49&lt;&gt;"",SUMIFS('Sales Orders'!N:N,'Sales Orders'!K:K,A49)-SUMIFS('Sales Orders'!S:S,'Sales Orders'!K:K,A49)+SUMIFS('Booking Management'!Q:Q,'Booking Management'!D:D,A49),"")</f>
        <v>0</v>
      </c>
      <c r="H49" s="84"/>
      <c r="I49" s="84">
        <f t="shared" si="0"/>
        <v>0</v>
      </c>
      <c r="J49" s="103">
        <f t="shared" si="1"/>
        <v>0</v>
      </c>
      <c r="L49" s="97"/>
      <c r="M49" s="97">
        <v>0</v>
      </c>
      <c r="N49" s="97">
        <f t="shared" si="2"/>
        <v>33226.021962968676</v>
      </c>
      <c r="P49" s="97"/>
      <c r="Q49" s="97">
        <f t="shared" si="3"/>
        <v>33226.021962968676</v>
      </c>
    </row>
    <row r="50" spans="1:17">
      <c r="A50" s="91">
        <v>45410</v>
      </c>
      <c r="B50" s="84"/>
      <c r="C50" s="84">
        <f>IF(A50&lt;&gt;"",SUMIFS(Sheet2!D:D,Sheet2!J:J,Forecast!A50),"")</f>
        <v>0</v>
      </c>
      <c r="D50" s="84">
        <f>IF(A50&lt;&gt;"",SUMIFS(Sheet2!K:K,Sheet2!J:J,A50),"")</f>
        <v>0</v>
      </c>
      <c r="E50" s="84"/>
      <c r="F50" s="100">
        <f>IF(A50&lt;&gt;"",SUMIFS('Sales Orders'!D:D,'Sales Orders'!K:K,A50)-SUMIFS('Sales Orders'!R:R,'Sales Orders'!K:K,A50)+SUMIFS('Booking Management'!J:J,'Booking Management'!D:D,A50),"")</f>
        <v>0</v>
      </c>
      <c r="G50" s="100">
        <f>IF(A50&lt;&gt;"",SUMIFS('Sales Orders'!N:N,'Sales Orders'!K:K,A50)-SUMIFS('Sales Orders'!S:S,'Sales Orders'!K:K,A50)+SUMIFS('Booking Management'!Q:Q,'Booking Management'!D:D,A50),"")</f>
        <v>0</v>
      </c>
      <c r="H50" s="84"/>
      <c r="I50" s="84">
        <f t="shared" si="0"/>
        <v>0</v>
      </c>
      <c r="J50" s="103">
        <f t="shared" si="1"/>
        <v>0</v>
      </c>
      <c r="L50" s="97"/>
      <c r="M50" s="97">
        <v>0</v>
      </c>
      <c r="N50" s="97">
        <f t="shared" si="2"/>
        <v>33226.021962968676</v>
      </c>
      <c r="P50" s="97"/>
      <c r="Q50" s="97">
        <f t="shared" si="3"/>
        <v>33226.021962968676</v>
      </c>
    </row>
    <row r="51" spans="1:17">
      <c r="A51" s="91">
        <v>45411</v>
      </c>
      <c r="B51" s="84"/>
      <c r="C51" s="84">
        <f>IF(A51&lt;&gt;"",SUMIFS(Sheet2!D:D,Sheet2!J:J,Forecast!A51),"")</f>
        <v>0</v>
      </c>
      <c r="D51" s="84">
        <f>IF(A51&lt;&gt;"",SUMIFS(Sheet2!K:K,Sheet2!J:J,A51),"")</f>
        <v>0</v>
      </c>
      <c r="E51" s="84"/>
      <c r="F51" s="100">
        <f>IF(A51&lt;&gt;"",SUMIFS('Sales Orders'!D:D,'Sales Orders'!K:K,A51)-SUMIFS('Sales Orders'!R:R,'Sales Orders'!K:K,A51)+SUMIFS('Booking Management'!J:J,'Booking Management'!D:D,A51),"")</f>
        <v>0</v>
      </c>
      <c r="G51" s="100">
        <f>IF(A51&lt;&gt;"",SUMIFS('Sales Orders'!N:N,'Sales Orders'!K:K,A51)-SUMIFS('Sales Orders'!S:S,'Sales Orders'!K:K,A51)+SUMIFS('Booking Management'!Q:Q,'Booking Management'!D:D,A51),"")</f>
        <v>0</v>
      </c>
      <c r="H51" s="84"/>
      <c r="I51" s="84">
        <f t="shared" si="0"/>
        <v>0</v>
      </c>
      <c r="J51" s="103">
        <f t="shared" si="1"/>
        <v>0</v>
      </c>
      <c r="L51" s="97"/>
      <c r="M51" s="97">
        <v>0</v>
      </c>
      <c r="N51" s="97">
        <f t="shared" si="2"/>
        <v>33226.021962968676</v>
      </c>
      <c r="P51" s="97"/>
      <c r="Q51" s="97">
        <f t="shared" si="3"/>
        <v>33226.021962968676</v>
      </c>
    </row>
    <row r="52" spans="1:17">
      <c r="A52" s="91">
        <v>45412</v>
      </c>
      <c r="B52" s="84"/>
      <c r="C52" s="84">
        <f>IF(A52&lt;&gt;"",SUMIFS(Sheet2!D:D,Sheet2!J:J,Forecast!A52),"")</f>
        <v>0</v>
      </c>
      <c r="D52" s="84">
        <f>IF(A52&lt;&gt;"",SUMIFS(Sheet2!K:K,Sheet2!J:J,A52),"")</f>
        <v>0</v>
      </c>
      <c r="E52" s="84"/>
      <c r="F52" s="100">
        <f>IF(A52&lt;&gt;"",SUMIFS('Sales Orders'!D:D,'Sales Orders'!K:K,A52)-SUMIFS('Sales Orders'!R:R,'Sales Orders'!K:K,A52)+SUMIFS('Booking Management'!J:J,'Booking Management'!D:D,A52),"")</f>
        <v>0</v>
      </c>
      <c r="G52" s="100">
        <f>IF(A52&lt;&gt;"",SUMIFS('Sales Orders'!N:N,'Sales Orders'!K:K,A52)-SUMIFS('Sales Orders'!S:S,'Sales Orders'!K:K,A52)+SUMIFS('Booking Management'!Q:Q,'Booking Management'!D:D,A52),"")</f>
        <v>0</v>
      </c>
      <c r="H52" s="84"/>
      <c r="I52" s="84">
        <f t="shared" si="0"/>
        <v>0</v>
      </c>
      <c r="J52" s="103">
        <f t="shared" si="1"/>
        <v>0</v>
      </c>
      <c r="L52" s="97"/>
      <c r="M52" s="97">
        <v>0</v>
      </c>
      <c r="N52" s="97">
        <f t="shared" si="2"/>
        <v>33226.021962968676</v>
      </c>
      <c r="P52" s="97"/>
      <c r="Q52" s="97">
        <f t="shared" si="3"/>
        <v>33226.021962968676</v>
      </c>
    </row>
    <row r="53" spans="1:17">
      <c r="A53" s="91">
        <v>45413</v>
      </c>
      <c r="B53" s="84"/>
      <c r="C53" s="84">
        <f>IF(A53&lt;&gt;"",SUMIFS(Sheet2!D:D,Sheet2!J:J,Forecast!A53),"")</f>
        <v>0</v>
      </c>
      <c r="D53" s="84">
        <f>IF(A53&lt;&gt;"",SUMIFS(Sheet2!K:K,Sheet2!J:J,A53),"")</f>
        <v>0</v>
      </c>
      <c r="E53" s="84"/>
      <c r="F53" s="100">
        <f>IF(A53&lt;&gt;"",SUMIFS('Sales Orders'!D:D,'Sales Orders'!K:K,A53)-SUMIFS('Sales Orders'!R:R,'Sales Orders'!K:K,A53)+SUMIFS('Booking Management'!J:J,'Booking Management'!D:D,A53),"")</f>
        <v>0</v>
      </c>
      <c r="G53" s="100">
        <f>IF(A53&lt;&gt;"",SUMIFS('Sales Orders'!N:N,'Sales Orders'!K:K,A53)-SUMIFS('Sales Orders'!S:S,'Sales Orders'!K:K,A53)+SUMIFS('Booking Management'!Q:Q,'Booking Management'!D:D,A53),"")</f>
        <v>0</v>
      </c>
      <c r="H53" s="84"/>
      <c r="I53" s="84">
        <f t="shared" si="0"/>
        <v>0</v>
      </c>
      <c r="J53" s="103">
        <f t="shared" si="1"/>
        <v>0</v>
      </c>
      <c r="L53" s="97"/>
      <c r="M53" s="97">
        <v>0</v>
      </c>
      <c r="N53" s="97">
        <f t="shared" si="2"/>
        <v>33226.021962968676</v>
      </c>
      <c r="P53" s="97"/>
      <c r="Q53" s="97">
        <f t="shared" si="3"/>
        <v>33226.021962968676</v>
      </c>
    </row>
    <row r="54" spans="1:17">
      <c r="A54" s="91">
        <v>45414</v>
      </c>
      <c r="B54" s="84"/>
      <c r="C54" s="84">
        <f>IF(A54&lt;&gt;"",SUMIFS(Sheet2!D:D,Sheet2!J:J,Forecast!A54),"")</f>
        <v>0</v>
      </c>
      <c r="D54" s="84">
        <f>IF(A54&lt;&gt;"",SUMIFS(Sheet2!K:K,Sheet2!J:J,A54),"")</f>
        <v>0</v>
      </c>
      <c r="E54" s="84"/>
      <c r="F54" s="100">
        <f>IF(A54&lt;&gt;"",SUMIFS('Sales Orders'!D:D,'Sales Orders'!K:K,A54)-SUMIFS('Sales Orders'!R:R,'Sales Orders'!K:K,A54)+SUMIFS('Booking Management'!J:J,'Booking Management'!D:D,A54),"")</f>
        <v>0</v>
      </c>
      <c r="G54" s="100">
        <f>IF(A54&lt;&gt;"",SUMIFS('Sales Orders'!N:N,'Sales Orders'!K:K,A54)-SUMIFS('Sales Orders'!S:S,'Sales Orders'!K:K,A54)+SUMIFS('Booking Management'!Q:Q,'Booking Management'!D:D,A54),"")</f>
        <v>0</v>
      </c>
      <c r="H54" s="84"/>
      <c r="I54" s="84">
        <f t="shared" si="0"/>
        <v>0</v>
      </c>
      <c r="J54" s="103">
        <f t="shared" si="1"/>
        <v>0</v>
      </c>
      <c r="L54" s="97"/>
      <c r="M54" s="97">
        <v>0</v>
      </c>
      <c r="N54" s="97">
        <f t="shared" si="2"/>
        <v>33226.021962968676</v>
      </c>
      <c r="P54" s="97"/>
      <c r="Q54" s="97">
        <f t="shared" si="3"/>
        <v>33226.021962968676</v>
      </c>
    </row>
    <row r="55" spans="1:17">
      <c r="A55" s="91">
        <v>45415</v>
      </c>
      <c r="B55" s="84"/>
      <c r="C55" s="84">
        <f>IF(A55&lt;&gt;"",SUMIFS(Sheet2!D:D,Sheet2!J:J,Forecast!A55),"")</f>
        <v>0</v>
      </c>
      <c r="D55" s="84">
        <f>IF(A55&lt;&gt;"",SUMIFS(Sheet2!K:K,Sheet2!J:J,A55),"")</f>
        <v>0</v>
      </c>
      <c r="E55" s="84"/>
      <c r="F55" s="100">
        <f>IF(A55&lt;&gt;"",SUMIFS('Sales Orders'!D:D,'Sales Orders'!K:K,A55)-SUMIFS('Sales Orders'!R:R,'Sales Orders'!K:K,A55)+SUMIFS('Booking Management'!J:J,'Booking Management'!D:D,A55),"")</f>
        <v>0</v>
      </c>
      <c r="G55" s="100">
        <f>IF(A55&lt;&gt;"",SUMIFS('Sales Orders'!N:N,'Sales Orders'!K:K,A55)-SUMIFS('Sales Orders'!S:S,'Sales Orders'!K:K,A55)+SUMIFS('Booking Management'!Q:Q,'Booking Management'!D:D,A55),"")</f>
        <v>0</v>
      </c>
      <c r="H55" s="84"/>
      <c r="I55" s="84">
        <f t="shared" si="0"/>
        <v>0</v>
      </c>
      <c r="J55" s="103">
        <f t="shared" si="1"/>
        <v>0</v>
      </c>
      <c r="L55" s="97"/>
      <c r="M55" s="97">
        <v>0</v>
      </c>
      <c r="N55" s="97">
        <f t="shared" si="2"/>
        <v>33226.021962968676</v>
      </c>
      <c r="P55" s="97"/>
      <c r="Q55" s="97">
        <f t="shared" si="3"/>
        <v>33226.021962968676</v>
      </c>
    </row>
    <row r="56" spans="1:17">
      <c r="A56" s="91">
        <v>45416</v>
      </c>
      <c r="B56" s="84"/>
      <c r="C56" s="84">
        <f>IF(A56&lt;&gt;"",SUMIFS(Sheet2!D:D,Sheet2!J:J,Forecast!A56),"")</f>
        <v>0</v>
      </c>
      <c r="D56" s="84">
        <f>IF(A56&lt;&gt;"",SUMIFS(Sheet2!K:K,Sheet2!J:J,A56),"")</f>
        <v>0</v>
      </c>
      <c r="E56" s="84"/>
      <c r="F56" s="100">
        <f>IF(A56&lt;&gt;"",SUMIFS('Sales Orders'!D:D,'Sales Orders'!K:K,A56)-SUMIFS('Sales Orders'!R:R,'Sales Orders'!K:K,A56)+SUMIFS('Booking Management'!J:J,'Booking Management'!D:D,A56),"")</f>
        <v>0</v>
      </c>
      <c r="G56" s="100">
        <f>IF(A56&lt;&gt;"",SUMIFS('Sales Orders'!N:N,'Sales Orders'!K:K,A56)-SUMIFS('Sales Orders'!S:S,'Sales Orders'!K:K,A56)+SUMIFS('Booking Management'!Q:Q,'Booking Management'!D:D,A56),"")</f>
        <v>0</v>
      </c>
      <c r="H56" s="84"/>
      <c r="I56" s="84">
        <f t="shared" si="0"/>
        <v>0</v>
      </c>
      <c r="J56" s="103">
        <f t="shared" si="1"/>
        <v>0</v>
      </c>
      <c r="L56" s="97"/>
      <c r="M56" s="97">
        <v>0</v>
      </c>
      <c r="N56" s="97">
        <f t="shared" si="2"/>
        <v>33226.021962968676</v>
      </c>
      <c r="P56" s="97"/>
      <c r="Q56" s="97">
        <f t="shared" si="3"/>
        <v>33226.021962968676</v>
      </c>
    </row>
    <row r="57" spans="1:17">
      <c r="A57" s="91">
        <v>45417</v>
      </c>
      <c r="B57" s="84"/>
      <c r="C57" s="84">
        <f>IF(A57&lt;&gt;"",SUMIFS(Sheet2!D:D,Sheet2!J:J,Forecast!A57),"")</f>
        <v>0</v>
      </c>
      <c r="D57" s="84">
        <f>IF(A57&lt;&gt;"",SUMIFS(Sheet2!K:K,Sheet2!J:J,A57),"")</f>
        <v>0</v>
      </c>
      <c r="E57" s="84"/>
      <c r="F57" s="100">
        <f>IF(A57&lt;&gt;"",SUMIFS('Sales Orders'!D:D,'Sales Orders'!K:K,A57)-SUMIFS('Sales Orders'!R:R,'Sales Orders'!K:K,A57)+SUMIFS('Booking Management'!J:J,'Booking Management'!D:D,A57),"")</f>
        <v>0</v>
      </c>
      <c r="G57" s="100">
        <f>IF(A57&lt;&gt;"",SUMIFS('Sales Orders'!N:N,'Sales Orders'!K:K,A57)-SUMIFS('Sales Orders'!S:S,'Sales Orders'!K:K,A57)+SUMIFS('Booking Management'!Q:Q,'Booking Management'!D:D,A57),"")</f>
        <v>0</v>
      </c>
      <c r="H57" s="84"/>
      <c r="I57" s="84">
        <f t="shared" si="0"/>
        <v>0</v>
      </c>
      <c r="J57" s="103">
        <f t="shared" si="1"/>
        <v>0</v>
      </c>
      <c r="L57" s="97"/>
      <c r="M57" s="97">
        <v>0</v>
      </c>
      <c r="N57" s="97">
        <f t="shared" si="2"/>
        <v>33226.021962968676</v>
      </c>
      <c r="P57" s="97"/>
      <c r="Q57" s="97">
        <f t="shared" si="3"/>
        <v>33226.021962968676</v>
      </c>
    </row>
    <row r="58" spans="1:17">
      <c r="A58" s="91">
        <v>45418</v>
      </c>
      <c r="B58" s="84"/>
      <c r="C58" s="84">
        <f>IF(A58&lt;&gt;"",SUMIFS(Sheet2!D:D,Sheet2!J:J,Forecast!A58),"")</f>
        <v>0</v>
      </c>
      <c r="D58" s="84">
        <f>IF(A58&lt;&gt;"",SUMIFS(Sheet2!K:K,Sheet2!J:J,A58),"")</f>
        <v>0</v>
      </c>
      <c r="E58" s="84"/>
      <c r="F58" s="100">
        <f>IF(A58&lt;&gt;"",SUMIFS('Sales Orders'!D:D,'Sales Orders'!K:K,A58)-SUMIFS('Sales Orders'!R:R,'Sales Orders'!K:K,A58)+SUMIFS('Booking Management'!J:J,'Booking Management'!D:D,A58),"")</f>
        <v>0</v>
      </c>
      <c r="G58" s="100">
        <f>IF(A58&lt;&gt;"",SUMIFS('Sales Orders'!N:N,'Sales Orders'!K:K,A58)-SUMIFS('Sales Orders'!S:S,'Sales Orders'!K:K,A58)+SUMIFS('Booking Management'!Q:Q,'Booking Management'!D:D,A58),"")</f>
        <v>0</v>
      </c>
      <c r="H58" s="84"/>
      <c r="I58" s="84">
        <f t="shared" si="0"/>
        <v>0</v>
      </c>
      <c r="J58" s="103">
        <f t="shared" si="1"/>
        <v>0</v>
      </c>
      <c r="L58" s="97"/>
      <c r="M58" s="97">
        <v>0</v>
      </c>
      <c r="N58" s="97">
        <f t="shared" si="2"/>
        <v>33226.021962968676</v>
      </c>
      <c r="P58" s="97"/>
      <c r="Q58" s="97">
        <f t="shared" si="3"/>
        <v>33226.021962968676</v>
      </c>
    </row>
    <row r="59" spans="1:17">
      <c r="A59" s="91">
        <v>45419</v>
      </c>
      <c r="B59" s="84"/>
      <c r="C59" s="84">
        <f>IF(A59&lt;&gt;"",SUMIFS(Sheet2!D:D,Sheet2!J:J,Forecast!A59),"")</f>
        <v>0</v>
      </c>
      <c r="D59" s="84">
        <f>IF(A59&lt;&gt;"",SUMIFS(Sheet2!K:K,Sheet2!J:J,A59),"")</f>
        <v>0</v>
      </c>
      <c r="E59" s="84"/>
      <c r="F59" s="100">
        <f>IF(A59&lt;&gt;"",SUMIFS('Sales Orders'!D:D,'Sales Orders'!K:K,A59)-SUMIFS('Sales Orders'!R:R,'Sales Orders'!K:K,A59)+SUMIFS('Booking Management'!J:J,'Booking Management'!D:D,A59),"")</f>
        <v>0</v>
      </c>
      <c r="G59" s="100">
        <f>IF(A59&lt;&gt;"",SUMIFS('Sales Orders'!N:N,'Sales Orders'!K:K,A59)-SUMIFS('Sales Orders'!S:S,'Sales Orders'!K:K,A59)+SUMIFS('Booking Management'!Q:Q,'Booking Management'!D:D,A59),"")</f>
        <v>0</v>
      </c>
      <c r="H59" s="84"/>
      <c r="I59" s="84">
        <f t="shared" si="0"/>
        <v>0</v>
      </c>
      <c r="J59" s="103">
        <f t="shared" si="1"/>
        <v>0</v>
      </c>
      <c r="L59" s="97"/>
      <c r="M59" s="97">
        <v>0</v>
      </c>
      <c r="N59" s="97">
        <f t="shared" si="2"/>
        <v>33226.021962968676</v>
      </c>
      <c r="P59" s="97"/>
      <c r="Q59" s="97">
        <f t="shared" si="3"/>
        <v>33226.021962968676</v>
      </c>
    </row>
    <row r="60" spans="1:17">
      <c r="A60" s="91">
        <v>45420</v>
      </c>
      <c r="B60" s="84"/>
      <c r="C60" s="84">
        <f>IF(A60&lt;&gt;"",SUMIFS(Sheet2!D:D,Sheet2!J:J,Forecast!A60),"")</f>
        <v>0</v>
      </c>
      <c r="D60" s="84">
        <f>IF(A60&lt;&gt;"",SUMIFS(Sheet2!K:K,Sheet2!J:J,A60),"")</f>
        <v>0</v>
      </c>
      <c r="E60" s="84"/>
      <c r="F60" s="100">
        <f>IF(A60&lt;&gt;"",SUMIFS('Sales Orders'!D:D,'Sales Orders'!K:K,A60)-SUMIFS('Sales Orders'!R:R,'Sales Orders'!K:K,A60)+SUMIFS('Booking Management'!J:J,'Booking Management'!D:D,A60),"")</f>
        <v>0</v>
      </c>
      <c r="G60" s="100">
        <f>IF(A60&lt;&gt;"",SUMIFS('Sales Orders'!N:N,'Sales Orders'!K:K,A60)-SUMIFS('Sales Orders'!S:S,'Sales Orders'!K:K,A60)+SUMIFS('Booking Management'!Q:Q,'Booking Management'!D:D,A60),"")</f>
        <v>0</v>
      </c>
      <c r="H60" s="84"/>
      <c r="I60" s="84">
        <f t="shared" si="0"/>
        <v>0</v>
      </c>
      <c r="J60" s="103">
        <f t="shared" si="1"/>
        <v>0</v>
      </c>
      <c r="L60" s="97"/>
      <c r="M60" s="97">
        <v>0</v>
      </c>
      <c r="N60" s="97">
        <f t="shared" si="2"/>
        <v>33226.021962968676</v>
      </c>
      <c r="P60" s="97"/>
      <c r="Q60" s="97">
        <f t="shared" si="3"/>
        <v>33226.021962968676</v>
      </c>
    </row>
    <row r="61" spans="1:17">
      <c r="A61" s="91">
        <v>45421</v>
      </c>
      <c r="B61" s="84"/>
      <c r="C61" s="84">
        <f>IF(A61&lt;&gt;"",SUMIFS(Sheet2!D:D,Sheet2!J:J,Forecast!A61),"")</f>
        <v>0</v>
      </c>
      <c r="D61" s="84">
        <f>IF(A61&lt;&gt;"",SUMIFS(Sheet2!K:K,Sheet2!J:J,A61),"")</f>
        <v>0</v>
      </c>
      <c r="E61" s="84"/>
      <c r="F61" s="100">
        <f>IF(A61&lt;&gt;"",SUMIFS('Sales Orders'!D:D,'Sales Orders'!K:K,A61)-SUMIFS('Sales Orders'!R:R,'Sales Orders'!K:K,A61)+SUMIFS('Booking Management'!J:J,'Booking Management'!D:D,A61),"")</f>
        <v>0</v>
      </c>
      <c r="G61" s="100">
        <f>IF(A61&lt;&gt;"",SUMIFS('Sales Orders'!N:N,'Sales Orders'!K:K,A61)-SUMIFS('Sales Orders'!S:S,'Sales Orders'!K:K,A61)+SUMIFS('Booking Management'!Q:Q,'Booking Management'!D:D,A61),"")</f>
        <v>0</v>
      </c>
      <c r="H61" s="84"/>
      <c r="I61" s="84">
        <f t="shared" si="0"/>
        <v>0</v>
      </c>
      <c r="J61" s="103">
        <f t="shared" si="1"/>
        <v>0</v>
      </c>
      <c r="L61" s="97"/>
      <c r="M61" s="97">
        <v>0</v>
      </c>
      <c r="N61" s="97">
        <f t="shared" si="2"/>
        <v>33226.021962968676</v>
      </c>
      <c r="P61" s="97"/>
      <c r="Q61" s="97">
        <f t="shared" si="3"/>
        <v>33226.021962968676</v>
      </c>
    </row>
    <row r="62" spans="1:17">
      <c r="A62" s="91">
        <v>45422</v>
      </c>
      <c r="B62" s="84"/>
      <c r="C62" s="84">
        <f>IF(A62&lt;&gt;"",SUMIFS(Sheet2!D:D,Sheet2!J:J,Forecast!A62),"")</f>
        <v>0</v>
      </c>
      <c r="D62" s="84">
        <f>IF(A62&lt;&gt;"",SUMIFS(Sheet2!K:K,Sheet2!J:J,A62),"")</f>
        <v>0</v>
      </c>
      <c r="E62" s="84"/>
      <c r="F62" s="100">
        <f>IF(A62&lt;&gt;"",SUMIFS('Sales Orders'!D:D,'Sales Orders'!K:K,A62)-SUMIFS('Sales Orders'!R:R,'Sales Orders'!K:K,A62)+SUMIFS('Booking Management'!J:J,'Booking Management'!D:D,A62),"")</f>
        <v>0</v>
      </c>
      <c r="G62" s="100">
        <f>IF(A62&lt;&gt;"",SUMIFS('Sales Orders'!N:N,'Sales Orders'!K:K,A62)-SUMIFS('Sales Orders'!S:S,'Sales Orders'!K:K,A62)+SUMIFS('Booking Management'!Q:Q,'Booking Management'!D:D,A62),"")</f>
        <v>0</v>
      </c>
      <c r="H62" s="84"/>
      <c r="I62" s="84">
        <f t="shared" si="0"/>
        <v>0</v>
      </c>
      <c r="J62" s="103">
        <f t="shared" si="1"/>
        <v>0</v>
      </c>
      <c r="L62" s="97"/>
      <c r="M62" s="97">
        <v>0</v>
      </c>
      <c r="N62" s="97">
        <f t="shared" si="2"/>
        <v>33226.021962968676</v>
      </c>
      <c r="P62" s="97"/>
      <c r="Q62" s="97">
        <f t="shared" si="3"/>
        <v>33226.021962968676</v>
      </c>
    </row>
    <row r="63" spans="1:17">
      <c r="A63" s="91">
        <v>45423</v>
      </c>
      <c r="B63" s="84"/>
      <c r="C63" s="84">
        <f>IF(A63&lt;&gt;"",SUMIFS(Sheet2!D:D,Sheet2!J:J,Forecast!A63),"")</f>
        <v>0</v>
      </c>
      <c r="D63" s="84">
        <f>IF(A63&lt;&gt;"",SUMIFS(Sheet2!K:K,Sheet2!J:J,A63),"")</f>
        <v>0</v>
      </c>
      <c r="E63" s="84"/>
      <c r="F63" s="100">
        <f>IF(A63&lt;&gt;"",SUMIFS('Sales Orders'!D:D,'Sales Orders'!K:K,A63)-SUMIFS('Sales Orders'!R:R,'Sales Orders'!K:K,A63)+SUMIFS('Booking Management'!J:J,'Booking Management'!D:D,A63),"")</f>
        <v>0</v>
      </c>
      <c r="G63" s="100">
        <f>IF(A63&lt;&gt;"",SUMIFS('Sales Orders'!N:N,'Sales Orders'!K:K,A63)-SUMIFS('Sales Orders'!S:S,'Sales Orders'!K:K,A63)+SUMIFS('Booking Management'!Q:Q,'Booking Management'!D:D,A63),"")</f>
        <v>0</v>
      </c>
      <c r="H63" s="84"/>
      <c r="I63" s="84">
        <f t="shared" si="0"/>
        <v>0</v>
      </c>
      <c r="J63" s="103">
        <f t="shared" si="1"/>
        <v>0</v>
      </c>
      <c r="L63" s="97">
        <v>2551.1879598298124</v>
      </c>
      <c r="M63" s="97">
        <v>0</v>
      </c>
      <c r="N63" s="97">
        <f t="shared" si="2"/>
        <v>35777.209922798487</v>
      </c>
      <c r="P63" s="97"/>
      <c r="Q63" s="97">
        <f t="shared" si="3"/>
        <v>35777.209922798487</v>
      </c>
    </row>
    <row r="64" spans="1:17">
      <c r="A64" s="91">
        <v>45424</v>
      </c>
      <c r="B64" s="84"/>
      <c r="C64" s="84">
        <f>IF(A64&lt;&gt;"",SUMIFS(Sheet2!D:D,Sheet2!J:J,Forecast!A64),"")</f>
        <v>0</v>
      </c>
      <c r="D64" s="84">
        <f>IF(A64&lt;&gt;"",SUMIFS(Sheet2!K:K,Sheet2!J:J,A64),"")</f>
        <v>0</v>
      </c>
      <c r="E64" s="84"/>
      <c r="F64" s="100">
        <f>IF(A64&lt;&gt;"",SUMIFS('Sales Orders'!D:D,'Sales Orders'!K:K,A64)-SUMIFS('Sales Orders'!R:R,'Sales Orders'!K:K,A64)+SUMIFS('Booking Management'!J:J,'Booking Management'!D:D,A64),"")</f>
        <v>0</v>
      </c>
      <c r="G64" s="100">
        <f>IF(A64&lt;&gt;"",SUMIFS('Sales Orders'!N:N,'Sales Orders'!K:K,A64)-SUMIFS('Sales Orders'!S:S,'Sales Orders'!K:K,A64)+SUMIFS('Booking Management'!Q:Q,'Booking Management'!D:D,A64),"")</f>
        <v>0</v>
      </c>
      <c r="H64" s="84"/>
      <c r="I64" s="84">
        <f t="shared" si="0"/>
        <v>0</v>
      </c>
      <c r="J64" s="103">
        <f t="shared" si="1"/>
        <v>0</v>
      </c>
      <c r="L64" s="97"/>
      <c r="M64" s="97">
        <v>0</v>
      </c>
      <c r="N64" s="97">
        <f t="shared" si="2"/>
        <v>35777.209922798487</v>
      </c>
      <c r="P64" s="97"/>
      <c r="Q64" s="97">
        <f t="shared" si="3"/>
        <v>35777.209922798487</v>
      </c>
    </row>
    <row r="65" spans="1:17">
      <c r="A65" s="91">
        <v>45425</v>
      </c>
      <c r="B65" s="84"/>
      <c r="C65" s="84">
        <f>IF(A65&lt;&gt;"",SUMIFS(Sheet2!D:D,Sheet2!J:J,Forecast!A65),"")</f>
        <v>0</v>
      </c>
      <c r="D65" s="84">
        <f>IF(A65&lt;&gt;"",SUMIFS(Sheet2!K:K,Sheet2!J:J,A65),"")</f>
        <v>0</v>
      </c>
      <c r="E65" s="84"/>
      <c r="F65" s="100">
        <f>IF(A65&lt;&gt;"",SUMIFS('Sales Orders'!D:D,'Sales Orders'!K:K,A65)-SUMIFS('Sales Orders'!R:R,'Sales Orders'!K:K,A65)+SUMIFS('Booking Management'!J:J,'Booking Management'!D:D,A65),"")</f>
        <v>0</v>
      </c>
      <c r="G65" s="100">
        <f>IF(A65&lt;&gt;"",SUMIFS('Sales Orders'!N:N,'Sales Orders'!K:K,A65)-SUMIFS('Sales Orders'!S:S,'Sales Orders'!K:K,A65)+SUMIFS('Booking Management'!Q:Q,'Booking Management'!D:D,A65),"")</f>
        <v>0</v>
      </c>
      <c r="H65" s="84"/>
      <c r="I65" s="84">
        <f t="shared" si="0"/>
        <v>0</v>
      </c>
      <c r="J65" s="103">
        <f t="shared" si="1"/>
        <v>0</v>
      </c>
      <c r="L65" s="97"/>
      <c r="M65" s="97">
        <v>0</v>
      </c>
      <c r="N65" s="97">
        <f t="shared" si="2"/>
        <v>35777.209922798487</v>
      </c>
      <c r="P65" s="97"/>
      <c r="Q65" s="97">
        <f t="shared" si="3"/>
        <v>35777.209922798487</v>
      </c>
    </row>
    <row r="66" spans="1:17">
      <c r="A66" s="91">
        <v>45426</v>
      </c>
      <c r="B66" s="84"/>
      <c r="C66" s="84">
        <f>IF(A66&lt;&gt;"",SUMIFS(Sheet2!D:D,Sheet2!J:J,Forecast!A66),"")</f>
        <v>0</v>
      </c>
      <c r="D66" s="84">
        <f>IF(A66&lt;&gt;"",SUMIFS(Sheet2!K:K,Sheet2!J:J,A66),"")</f>
        <v>0</v>
      </c>
      <c r="E66" s="84"/>
      <c r="F66" s="100">
        <f>IF(A66&lt;&gt;"",SUMIFS('Sales Orders'!D:D,'Sales Orders'!K:K,A66)-SUMIFS('Sales Orders'!R:R,'Sales Orders'!K:K,A66)+SUMIFS('Booking Management'!J:J,'Booking Management'!D:D,A66),"")</f>
        <v>0</v>
      </c>
      <c r="G66" s="100">
        <f>IF(A66&lt;&gt;"",SUMIFS('Sales Orders'!N:N,'Sales Orders'!K:K,A66)-SUMIFS('Sales Orders'!S:S,'Sales Orders'!K:K,A66)+SUMIFS('Booking Management'!Q:Q,'Booking Management'!D:D,A66),"")</f>
        <v>0</v>
      </c>
      <c r="H66" s="84"/>
      <c r="I66" s="84">
        <f t="shared" si="0"/>
        <v>0</v>
      </c>
      <c r="J66" s="103">
        <f t="shared" si="1"/>
        <v>0</v>
      </c>
      <c r="L66" s="97"/>
      <c r="M66" s="97">
        <v>0</v>
      </c>
      <c r="N66" s="97">
        <f t="shared" si="2"/>
        <v>35777.209922798487</v>
      </c>
      <c r="P66" s="97"/>
      <c r="Q66" s="97">
        <f t="shared" si="3"/>
        <v>35777.209922798487</v>
      </c>
    </row>
    <row r="67" spans="1:17">
      <c r="A67" s="91">
        <v>45427</v>
      </c>
      <c r="B67" s="84"/>
      <c r="C67" s="84">
        <f>IF(A67&lt;&gt;"",SUMIFS(Sheet2!D:D,Sheet2!J:J,Forecast!A67),"")</f>
        <v>0</v>
      </c>
      <c r="D67" s="84">
        <f>IF(A67&lt;&gt;"",SUMIFS(Sheet2!K:K,Sheet2!J:J,A67),"")</f>
        <v>0</v>
      </c>
      <c r="E67" s="84"/>
      <c r="F67" s="100">
        <f>IF(A67&lt;&gt;"",SUMIFS('Sales Orders'!D:D,'Sales Orders'!K:K,A67)-SUMIFS('Sales Orders'!R:R,'Sales Orders'!K:K,A67)+SUMIFS('Booking Management'!J:J,'Booking Management'!D:D,A67),"")</f>
        <v>0</v>
      </c>
      <c r="G67" s="100">
        <f>IF(A67&lt;&gt;"",SUMIFS('Sales Orders'!N:N,'Sales Orders'!K:K,A67)-SUMIFS('Sales Orders'!S:S,'Sales Orders'!K:K,A67)+SUMIFS('Booking Management'!Q:Q,'Booking Management'!D:D,A67),"")</f>
        <v>0</v>
      </c>
      <c r="H67" s="84"/>
      <c r="I67" s="84">
        <f t="shared" si="0"/>
        <v>0</v>
      </c>
      <c r="J67" s="103">
        <f t="shared" si="1"/>
        <v>0</v>
      </c>
      <c r="L67" s="97"/>
      <c r="M67" s="97">
        <v>0</v>
      </c>
      <c r="N67" s="97">
        <f t="shared" si="2"/>
        <v>35777.209922798487</v>
      </c>
      <c r="P67" s="97"/>
      <c r="Q67" s="97">
        <f t="shared" si="3"/>
        <v>35777.209922798487</v>
      </c>
    </row>
    <row r="68" spans="1:17">
      <c r="A68" s="91">
        <v>45428</v>
      </c>
      <c r="B68" s="84"/>
      <c r="C68" s="84">
        <f>IF(A68&lt;&gt;"",SUMIFS(Sheet2!D:D,Sheet2!J:J,Forecast!A68),"")</f>
        <v>0</v>
      </c>
      <c r="D68" s="84">
        <f>IF(A68&lt;&gt;"",SUMIFS(Sheet2!K:K,Sheet2!J:J,A68),"")</f>
        <v>0</v>
      </c>
      <c r="E68" s="84"/>
      <c r="F68" s="100">
        <f>IF(A68&lt;&gt;"",SUMIFS('Sales Orders'!D:D,'Sales Orders'!K:K,A68)-SUMIFS('Sales Orders'!R:R,'Sales Orders'!K:K,A68)+SUMIFS('Booking Management'!J:J,'Booking Management'!D:D,A68),"")</f>
        <v>0</v>
      </c>
      <c r="G68" s="100">
        <f>IF(A68&lt;&gt;"",SUMIFS('Sales Orders'!N:N,'Sales Orders'!K:K,A68)-SUMIFS('Sales Orders'!S:S,'Sales Orders'!K:K,A68)+SUMIFS('Booking Management'!Q:Q,'Booking Management'!D:D,A68),"")</f>
        <v>0</v>
      </c>
      <c r="H68" s="84"/>
      <c r="I68" s="84">
        <f t="shared" si="0"/>
        <v>0</v>
      </c>
      <c r="J68" s="103">
        <f t="shared" si="1"/>
        <v>0</v>
      </c>
      <c r="L68" s="97"/>
      <c r="M68" s="97">
        <v>0</v>
      </c>
      <c r="N68" s="97">
        <f t="shared" si="2"/>
        <v>35777.209922798487</v>
      </c>
      <c r="P68" s="97"/>
      <c r="Q68" s="97">
        <f t="shared" si="3"/>
        <v>35777.209922798487</v>
      </c>
    </row>
    <row r="69" spans="1:17">
      <c r="A69" s="91">
        <v>45429</v>
      </c>
      <c r="B69" s="84"/>
      <c r="C69" s="84">
        <f>IF(A69&lt;&gt;"",SUMIFS(Sheet2!D:D,Sheet2!J:J,Forecast!A69),"")</f>
        <v>0</v>
      </c>
      <c r="D69" s="84">
        <f>IF(A69&lt;&gt;"",SUMIFS(Sheet2!K:K,Sheet2!J:J,A69),"")</f>
        <v>0</v>
      </c>
      <c r="E69" s="84"/>
      <c r="F69" s="100">
        <f>IF(A69&lt;&gt;"",SUMIFS('Sales Orders'!D:D,'Sales Orders'!K:K,A69)-SUMIFS('Sales Orders'!R:R,'Sales Orders'!K:K,A69)+SUMIFS('Booking Management'!J:J,'Booking Management'!D:D,A69),"")</f>
        <v>0</v>
      </c>
      <c r="G69" s="100">
        <f>IF(A69&lt;&gt;"",SUMIFS('Sales Orders'!N:N,'Sales Orders'!K:K,A69)-SUMIFS('Sales Orders'!S:S,'Sales Orders'!K:K,A69)+SUMIFS('Booking Management'!Q:Q,'Booking Management'!D:D,A69),"")</f>
        <v>0</v>
      </c>
      <c r="H69" s="84"/>
      <c r="I69" s="84">
        <f t="shared" si="0"/>
        <v>0</v>
      </c>
      <c r="J69" s="103">
        <f t="shared" si="1"/>
        <v>0</v>
      </c>
      <c r="L69" s="97"/>
      <c r="M69" s="97">
        <v>0</v>
      </c>
      <c r="N69" s="97">
        <f t="shared" si="2"/>
        <v>35777.209922798487</v>
      </c>
      <c r="P69" s="97"/>
      <c r="Q69" s="97">
        <f t="shared" si="3"/>
        <v>35777.209922798487</v>
      </c>
    </row>
    <row r="70" spans="1:17">
      <c r="A70" s="91">
        <v>45430</v>
      </c>
      <c r="B70" s="84"/>
      <c r="C70" s="84">
        <f>IF(A70&lt;&gt;"",SUMIFS(Sheet2!D:D,Sheet2!J:J,Forecast!A70),"")</f>
        <v>0</v>
      </c>
      <c r="D70" s="84">
        <f>IF(A70&lt;&gt;"",SUMIFS(Sheet2!K:K,Sheet2!J:J,A70),"")</f>
        <v>0</v>
      </c>
      <c r="E70" s="84"/>
      <c r="F70" s="100">
        <f>IF(A70&lt;&gt;"",SUMIFS('Sales Orders'!D:D,'Sales Orders'!K:K,A70)-SUMIFS('Sales Orders'!R:R,'Sales Orders'!K:K,A70)+SUMIFS('Booking Management'!J:J,'Booking Management'!D:D,A70),"")</f>
        <v>0</v>
      </c>
      <c r="G70" s="100">
        <f>IF(A70&lt;&gt;"",SUMIFS('Sales Orders'!N:N,'Sales Orders'!K:K,A70)-SUMIFS('Sales Orders'!S:S,'Sales Orders'!K:K,A70)+SUMIFS('Booking Management'!Q:Q,'Booking Management'!D:D,A70),"")</f>
        <v>0</v>
      </c>
      <c r="H70" s="84"/>
      <c r="I70" s="84">
        <f t="shared" si="0"/>
        <v>0</v>
      </c>
      <c r="J70" s="103">
        <f t="shared" si="1"/>
        <v>0</v>
      </c>
      <c r="L70" s="97"/>
      <c r="M70" s="97">
        <v>0</v>
      </c>
      <c r="N70" s="97">
        <f t="shared" si="2"/>
        <v>35777.209922798487</v>
      </c>
      <c r="P70" s="97"/>
      <c r="Q70" s="97">
        <f t="shared" si="3"/>
        <v>35777.209922798487</v>
      </c>
    </row>
    <row r="71" spans="1:17">
      <c r="A71" s="91">
        <v>45431</v>
      </c>
      <c r="B71" s="84"/>
      <c r="C71" s="84">
        <f>IF(A71&lt;&gt;"",SUMIFS(Sheet2!D:D,Sheet2!J:J,Forecast!A71),"")</f>
        <v>0</v>
      </c>
      <c r="D71" s="84">
        <f>IF(A71&lt;&gt;"",SUMIFS(Sheet2!K:K,Sheet2!J:J,A71),"")</f>
        <v>0</v>
      </c>
      <c r="E71" s="84"/>
      <c r="F71" s="100">
        <f>IF(A71&lt;&gt;"",SUMIFS('Sales Orders'!D:D,'Sales Orders'!K:K,A71)-SUMIFS('Sales Orders'!R:R,'Sales Orders'!K:K,A71)+SUMIFS('Booking Management'!J:J,'Booking Management'!D:D,A71),"")</f>
        <v>0</v>
      </c>
      <c r="G71" s="100">
        <f>IF(A71&lt;&gt;"",SUMIFS('Sales Orders'!N:N,'Sales Orders'!K:K,A71)-SUMIFS('Sales Orders'!S:S,'Sales Orders'!K:K,A71)+SUMIFS('Booking Management'!Q:Q,'Booking Management'!D:D,A71),"")</f>
        <v>0</v>
      </c>
      <c r="H71" s="84"/>
      <c r="I71" s="84">
        <f t="shared" ref="I71:I95" si="4">IF(A71&lt;&gt;"",I70+C71-F71,"")</f>
        <v>0</v>
      </c>
      <c r="J71" s="103">
        <f t="shared" ref="J71:J95" si="5">IF(A71&lt;&gt;"",J70+D71-G71,"")</f>
        <v>0</v>
      </c>
      <c r="L71" s="97"/>
      <c r="M71" s="97">
        <v>0</v>
      </c>
      <c r="N71" s="97">
        <f t="shared" ref="N71:N95" si="6">IF(A71&lt;&gt;"",N70+L71-M71,"")</f>
        <v>35777.209922798487</v>
      </c>
      <c r="P71" s="97"/>
      <c r="Q71" s="97">
        <f t="shared" ref="Q71:Q95" si="7">IF(N71&lt;&gt;"",Q70+L71-M71-P71,"")</f>
        <v>35777.209922798487</v>
      </c>
    </row>
    <row r="72" spans="1:17">
      <c r="A72" s="91">
        <v>45432</v>
      </c>
      <c r="B72" s="84"/>
      <c r="C72" s="84">
        <f>IF(A72&lt;&gt;"",SUMIFS(Sheet2!D:D,Sheet2!J:J,Forecast!A72),"")</f>
        <v>0</v>
      </c>
      <c r="D72" s="84">
        <f>IF(A72&lt;&gt;"",SUMIFS(Sheet2!K:K,Sheet2!J:J,A72),"")</f>
        <v>0</v>
      </c>
      <c r="E72" s="84"/>
      <c r="F72" s="100">
        <f>IF(A72&lt;&gt;"",SUMIFS('Sales Orders'!D:D,'Sales Orders'!K:K,A72)-SUMIFS('Sales Orders'!R:R,'Sales Orders'!K:K,A72)+SUMIFS('Booking Management'!J:J,'Booking Management'!D:D,A72),"")</f>
        <v>0</v>
      </c>
      <c r="G72" s="100">
        <f>IF(A72&lt;&gt;"",SUMIFS('Sales Orders'!N:N,'Sales Orders'!K:K,A72)-SUMIFS('Sales Orders'!S:S,'Sales Orders'!K:K,A72)+SUMIFS('Booking Management'!Q:Q,'Booking Management'!D:D,A72),"")</f>
        <v>0</v>
      </c>
      <c r="H72" s="84"/>
      <c r="I72" s="84">
        <f t="shared" si="4"/>
        <v>0</v>
      </c>
      <c r="J72" s="103">
        <f t="shared" si="5"/>
        <v>0</v>
      </c>
      <c r="L72" s="97"/>
      <c r="M72" s="97">
        <v>0</v>
      </c>
      <c r="N72" s="97">
        <f t="shared" si="6"/>
        <v>35777.209922798487</v>
      </c>
      <c r="P72" s="97"/>
      <c r="Q72" s="97">
        <f t="shared" si="7"/>
        <v>35777.209922798487</v>
      </c>
    </row>
    <row r="73" spans="1:17">
      <c r="A73" s="91">
        <v>45433</v>
      </c>
      <c r="B73" s="84"/>
      <c r="C73" s="84">
        <f>IF(A73&lt;&gt;"",SUMIFS(Sheet2!D:D,Sheet2!J:J,Forecast!A73),"")</f>
        <v>0</v>
      </c>
      <c r="D73" s="84">
        <f>IF(A73&lt;&gt;"",SUMIFS(Sheet2!K:K,Sheet2!J:J,A73),"")</f>
        <v>0</v>
      </c>
      <c r="E73" s="84"/>
      <c r="F73" s="100">
        <f>IF(A73&lt;&gt;"",SUMIFS('Sales Orders'!D:D,'Sales Orders'!K:K,A73)-SUMIFS('Sales Orders'!R:R,'Sales Orders'!K:K,A73)+SUMIFS('Booking Management'!J:J,'Booking Management'!D:D,A73),"")</f>
        <v>0</v>
      </c>
      <c r="G73" s="100">
        <f>IF(A73&lt;&gt;"",SUMIFS('Sales Orders'!N:N,'Sales Orders'!K:K,A73)-SUMIFS('Sales Orders'!S:S,'Sales Orders'!K:K,A73)+SUMIFS('Booking Management'!Q:Q,'Booking Management'!D:D,A73),"")</f>
        <v>0</v>
      </c>
      <c r="H73" s="84"/>
      <c r="I73" s="84">
        <f t="shared" si="4"/>
        <v>0</v>
      </c>
      <c r="J73" s="103">
        <f t="shared" si="5"/>
        <v>0</v>
      </c>
      <c r="L73" s="97"/>
      <c r="M73" s="97">
        <v>0</v>
      </c>
      <c r="N73" s="97">
        <f t="shared" si="6"/>
        <v>35777.209922798487</v>
      </c>
      <c r="P73" s="97"/>
      <c r="Q73" s="97">
        <f t="shared" si="7"/>
        <v>35777.209922798487</v>
      </c>
    </row>
    <row r="74" spans="1:17">
      <c r="A74" s="91">
        <v>45434</v>
      </c>
      <c r="B74" s="84"/>
      <c r="C74" s="84">
        <f>IF(A74&lt;&gt;"",SUMIFS(Sheet2!D:D,Sheet2!J:J,Forecast!A74),"")</f>
        <v>0</v>
      </c>
      <c r="D74" s="84">
        <f>IF(A74&lt;&gt;"",SUMIFS(Sheet2!K:K,Sheet2!J:J,A74),"")</f>
        <v>0</v>
      </c>
      <c r="E74" s="84"/>
      <c r="F74" s="100">
        <f>IF(A74&lt;&gt;"",SUMIFS('Sales Orders'!D:D,'Sales Orders'!K:K,A74)-SUMIFS('Sales Orders'!R:R,'Sales Orders'!K:K,A74)+SUMIFS('Booking Management'!J:J,'Booking Management'!D:D,A74),"")</f>
        <v>0</v>
      </c>
      <c r="G74" s="100">
        <f>IF(A74&lt;&gt;"",SUMIFS('Sales Orders'!N:N,'Sales Orders'!K:K,A74)-SUMIFS('Sales Orders'!S:S,'Sales Orders'!K:K,A74)+SUMIFS('Booking Management'!Q:Q,'Booking Management'!D:D,A74),"")</f>
        <v>0</v>
      </c>
      <c r="H74" s="84"/>
      <c r="I74" s="84">
        <f t="shared" si="4"/>
        <v>0</v>
      </c>
      <c r="J74" s="103">
        <f t="shared" si="5"/>
        <v>0</v>
      </c>
      <c r="L74" s="97"/>
      <c r="M74" s="97">
        <v>0</v>
      </c>
      <c r="N74" s="97">
        <f t="shared" si="6"/>
        <v>35777.209922798487</v>
      </c>
      <c r="P74" s="97"/>
      <c r="Q74" s="97">
        <f t="shared" si="7"/>
        <v>35777.209922798487</v>
      </c>
    </row>
    <row r="75" spans="1:17">
      <c r="A75" s="91">
        <v>45435</v>
      </c>
      <c r="B75" s="84"/>
      <c r="C75" s="84">
        <f>IF(A75&lt;&gt;"",SUMIFS(Sheet2!D:D,Sheet2!J:J,Forecast!A75),"")</f>
        <v>0</v>
      </c>
      <c r="D75" s="84">
        <f>IF(A75&lt;&gt;"",SUMIFS(Sheet2!K:K,Sheet2!J:J,A75),"")</f>
        <v>0</v>
      </c>
      <c r="E75" s="84"/>
      <c r="F75" s="100">
        <f>IF(A75&lt;&gt;"",SUMIFS('Sales Orders'!D:D,'Sales Orders'!K:K,A75)-SUMIFS('Sales Orders'!R:R,'Sales Orders'!K:K,A75)+SUMIFS('Booking Management'!J:J,'Booking Management'!D:D,A75),"")</f>
        <v>0</v>
      </c>
      <c r="G75" s="100">
        <f>IF(A75&lt;&gt;"",SUMIFS('Sales Orders'!N:N,'Sales Orders'!K:K,A75)-SUMIFS('Sales Orders'!S:S,'Sales Orders'!K:K,A75)+SUMIFS('Booking Management'!Q:Q,'Booking Management'!D:D,A75),"")</f>
        <v>0</v>
      </c>
      <c r="H75" s="84"/>
      <c r="I75" s="84">
        <f t="shared" si="4"/>
        <v>0</v>
      </c>
      <c r="J75" s="103">
        <f t="shared" si="5"/>
        <v>0</v>
      </c>
      <c r="L75" s="97"/>
      <c r="M75" s="97">
        <v>0</v>
      </c>
      <c r="N75" s="97">
        <f t="shared" si="6"/>
        <v>35777.209922798487</v>
      </c>
      <c r="P75" s="97"/>
      <c r="Q75" s="97">
        <f t="shared" si="7"/>
        <v>35777.209922798487</v>
      </c>
    </row>
    <row r="76" spans="1:17">
      <c r="A76" s="91">
        <v>45436</v>
      </c>
      <c r="B76" s="84"/>
      <c r="C76" s="84">
        <f>IF(A76&lt;&gt;"",SUMIFS(Sheet2!D:D,Sheet2!J:J,Forecast!A76),"")</f>
        <v>0</v>
      </c>
      <c r="D76" s="84">
        <f>IF(A76&lt;&gt;"",SUMIFS(Sheet2!K:K,Sheet2!J:J,A76),"")</f>
        <v>0</v>
      </c>
      <c r="E76" s="84"/>
      <c r="F76" s="100">
        <f>IF(A76&lt;&gt;"",SUMIFS('Sales Orders'!D:D,'Sales Orders'!K:K,A76)-SUMIFS('Sales Orders'!R:R,'Sales Orders'!K:K,A76)+SUMIFS('Booking Management'!J:J,'Booking Management'!D:D,A76),"")</f>
        <v>0</v>
      </c>
      <c r="G76" s="100">
        <f>IF(A76&lt;&gt;"",SUMIFS('Sales Orders'!N:N,'Sales Orders'!K:K,A76)-SUMIFS('Sales Orders'!S:S,'Sales Orders'!K:K,A76)+SUMIFS('Booking Management'!Q:Q,'Booking Management'!D:D,A76),"")</f>
        <v>0</v>
      </c>
      <c r="H76" s="84"/>
      <c r="I76" s="84">
        <f t="shared" si="4"/>
        <v>0</v>
      </c>
      <c r="J76" s="103">
        <f t="shared" si="5"/>
        <v>0</v>
      </c>
      <c r="L76" s="97"/>
      <c r="M76" s="97">
        <v>0</v>
      </c>
      <c r="N76" s="97">
        <f t="shared" si="6"/>
        <v>35777.209922798487</v>
      </c>
      <c r="P76" s="97"/>
      <c r="Q76" s="97">
        <f t="shared" si="7"/>
        <v>35777.209922798487</v>
      </c>
    </row>
    <row r="77" spans="1:17">
      <c r="A77" s="91">
        <v>45437</v>
      </c>
      <c r="B77" s="84"/>
      <c r="C77" s="84">
        <f>IF(A77&lt;&gt;"",SUMIFS(Sheet2!D:D,Sheet2!J:J,Forecast!A77),"")</f>
        <v>0</v>
      </c>
      <c r="D77" s="84">
        <f>IF(A77&lt;&gt;"",SUMIFS(Sheet2!K:K,Sheet2!J:J,A77),"")</f>
        <v>0</v>
      </c>
      <c r="E77" s="84"/>
      <c r="F77" s="100">
        <f>IF(A77&lt;&gt;"",SUMIFS('Sales Orders'!D:D,'Sales Orders'!K:K,A77)-SUMIFS('Sales Orders'!R:R,'Sales Orders'!K:K,A77)+SUMIFS('Booking Management'!J:J,'Booking Management'!D:D,A77),"")</f>
        <v>0</v>
      </c>
      <c r="G77" s="100">
        <f>IF(A77&lt;&gt;"",SUMIFS('Sales Orders'!N:N,'Sales Orders'!K:K,A77)-SUMIFS('Sales Orders'!S:S,'Sales Orders'!K:K,A77)+SUMIFS('Booking Management'!Q:Q,'Booking Management'!D:D,A77),"")</f>
        <v>0</v>
      </c>
      <c r="H77" s="84"/>
      <c r="I77" s="84">
        <f t="shared" si="4"/>
        <v>0</v>
      </c>
      <c r="J77" s="103">
        <f t="shared" si="5"/>
        <v>0</v>
      </c>
      <c r="L77" s="97"/>
      <c r="M77" s="97">
        <v>0</v>
      </c>
      <c r="N77" s="97">
        <f t="shared" si="6"/>
        <v>35777.209922798487</v>
      </c>
      <c r="P77" s="97"/>
      <c r="Q77" s="97">
        <f t="shared" si="7"/>
        <v>35777.209922798487</v>
      </c>
    </row>
    <row r="78" spans="1:17">
      <c r="A78" s="91">
        <v>45438</v>
      </c>
      <c r="B78" s="84"/>
      <c r="C78" s="84">
        <f>IF(A78&lt;&gt;"",SUMIFS(Sheet2!D:D,Sheet2!J:J,Forecast!A78),"")</f>
        <v>0</v>
      </c>
      <c r="D78" s="84">
        <f>IF(A78&lt;&gt;"",SUMIFS(Sheet2!K:K,Sheet2!J:J,A78),"")</f>
        <v>0</v>
      </c>
      <c r="E78" s="84"/>
      <c r="F78" s="100">
        <f>IF(A78&lt;&gt;"",SUMIFS('Sales Orders'!D:D,'Sales Orders'!K:K,A78)-SUMIFS('Sales Orders'!R:R,'Sales Orders'!K:K,A78)+SUMIFS('Booking Management'!J:J,'Booking Management'!D:D,A78),"")</f>
        <v>0</v>
      </c>
      <c r="G78" s="100">
        <f>IF(A78&lt;&gt;"",SUMIFS('Sales Orders'!N:N,'Sales Orders'!K:K,A78)-SUMIFS('Sales Orders'!S:S,'Sales Orders'!K:K,A78)+SUMIFS('Booking Management'!Q:Q,'Booking Management'!D:D,A78),"")</f>
        <v>0</v>
      </c>
      <c r="H78" s="84"/>
      <c r="I78" s="84">
        <f t="shared" si="4"/>
        <v>0</v>
      </c>
      <c r="J78" s="103">
        <f t="shared" si="5"/>
        <v>0</v>
      </c>
      <c r="L78" s="97"/>
      <c r="M78" s="97">
        <v>0</v>
      </c>
      <c r="N78" s="97">
        <f t="shared" si="6"/>
        <v>35777.209922798487</v>
      </c>
      <c r="P78" s="97"/>
      <c r="Q78" s="97">
        <f t="shared" si="7"/>
        <v>35777.209922798487</v>
      </c>
    </row>
    <row r="79" spans="1:17">
      <c r="A79" s="91">
        <v>45439</v>
      </c>
      <c r="B79" s="84"/>
      <c r="C79" s="84">
        <f>IF(A79&lt;&gt;"",SUMIFS(Sheet2!D:D,Sheet2!J:J,Forecast!A79),"")</f>
        <v>0</v>
      </c>
      <c r="D79" s="84">
        <f>IF(A79&lt;&gt;"",SUMIFS(Sheet2!K:K,Sheet2!J:J,A79),"")</f>
        <v>0</v>
      </c>
      <c r="E79" s="84"/>
      <c r="F79" s="100">
        <f>IF(A79&lt;&gt;"",SUMIFS('Sales Orders'!D:D,'Sales Orders'!K:K,A79)-SUMIFS('Sales Orders'!R:R,'Sales Orders'!K:K,A79)+SUMIFS('Booking Management'!J:J,'Booking Management'!D:D,A79),"")</f>
        <v>0</v>
      </c>
      <c r="G79" s="100">
        <f>IF(A79&lt;&gt;"",SUMIFS('Sales Orders'!N:N,'Sales Orders'!K:K,A79)-SUMIFS('Sales Orders'!S:S,'Sales Orders'!K:K,A79)+SUMIFS('Booking Management'!Q:Q,'Booking Management'!D:D,A79),"")</f>
        <v>0</v>
      </c>
      <c r="H79" s="84"/>
      <c r="I79" s="84">
        <f t="shared" si="4"/>
        <v>0</v>
      </c>
      <c r="J79" s="103">
        <f t="shared" si="5"/>
        <v>0</v>
      </c>
      <c r="L79" s="97"/>
      <c r="M79" s="97">
        <v>0</v>
      </c>
      <c r="N79" s="97">
        <f t="shared" si="6"/>
        <v>35777.209922798487</v>
      </c>
      <c r="P79" s="97"/>
      <c r="Q79" s="97">
        <f t="shared" si="7"/>
        <v>35777.209922798487</v>
      </c>
    </row>
    <row r="80" spans="1:17">
      <c r="A80" s="91">
        <v>45440</v>
      </c>
      <c r="B80" s="84"/>
      <c r="C80" s="84">
        <f>IF(A80&lt;&gt;"",SUMIFS(Sheet2!D:D,Sheet2!J:J,Forecast!A80),"")</f>
        <v>0</v>
      </c>
      <c r="D80" s="84">
        <f>IF(A80&lt;&gt;"",SUMIFS(Sheet2!K:K,Sheet2!J:J,A80),"")</f>
        <v>0</v>
      </c>
      <c r="E80" s="84"/>
      <c r="F80" s="100">
        <f>IF(A80&lt;&gt;"",SUMIFS('Sales Orders'!D:D,'Sales Orders'!K:K,A80)-SUMIFS('Sales Orders'!R:R,'Sales Orders'!K:K,A80)+SUMIFS('Booking Management'!J:J,'Booking Management'!D:D,A80),"")</f>
        <v>0</v>
      </c>
      <c r="G80" s="100">
        <f>IF(A80&lt;&gt;"",SUMIFS('Sales Orders'!N:N,'Sales Orders'!K:K,A80)-SUMIFS('Sales Orders'!S:S,'Sales Orders'!K:K,A80)+SUMIFS('Booking Management'!Q:Q,'Booking Management'!D:D,A80),"")</f>
        <v>0</v>
      </c>
      <c r="H80" s="84"/>
      <c r="I80" s="84">
        <f t="shared" si="4"/>
        <v>0</v>
      </c>
      <c r="J80" s="103">
        <f t="shared" si="5"/>
        <v>0</v>
      </c>
      <c r="L80" s="97"/>
      <c r="M80" s="97">
        <v>0</v>
      </c>
      <c r="N80" s="97">
        <f t="shared" si="6"/>
        <v>35777.209922798487</v>
      </c>
      <c r="P80" s="97"/>
      <c r="Q80" s="97">
        <f t="shared" si="7"/>
        <v>35777.209922798487</v>
      </c>
    </row>
    <row r="81" spans="1:17">
      <c r="A81" s="91">
        <v>45441</v>
      </c>
      <c r="B81" s="84"/>
      <c r="C81" s="84">
        <f>IF(A81&lt;&gt;"",SUMIFS(Sheet2!D:D,Sheet2!J:J,Forecast!A81),"")</f>
        <v>0</v>
      </c>
      <c r="D81" s="84">
        <f>IF(A81&lt;&gt;"",SUMIFS(Sheet2!K:K,Sheet2!J:J,A81),"")</f>
        <v>0</v>
      </c>
      <c r="E81" s="84"/>
      <c r="F81" s="100">
        <f>IF(A81&lt;&gt;"",SUMIFS('Sales Orders'!D:D,'Sales Orders'!K:K,A81)-SUMIFS('Sales Orders'!R:R,'Sales Orders'!K:K,A81)+SUMIFS('Booking Management'!J:J,'Booking Management'!D:D,A81),"")</f>
        <v>0</v>
      </c>
      <c r="G81" s="100">
        <f>IF(A81&lt;&gt;"",SUMIFS('Sales Orders'!N:N,'Sales Orders'!K:K,A81)-SUMIFS('Sales Orders'!S:S,'Sales Orders'!K:K,A81)+SUMIFS('Booking Management'!Q:Q,'Booking Management'!D:D,A81),"")</f>
        <v>0</v>
      </c>
      <c r="H81" s="84"/>
      <c r="I81" s="84">
        <f t="shared" si="4"/>
        <v>0</v>
      </c>
      <c r="J81" s="103">
        <f t="shared" si="5"/>
        <v>0</v>
      </c>
      <c r="L81" s="97"/>
      <c r="M81" s="97">
        <v>0</v>
      </c>
      <c r="N81" s="97">
        <f t="shared" si="6"/>
        <v>35777.209922798487</v>
      </c>
      <c r="P81" s="97"/>
      <c r="Q81" s="97">
        <f t="shared" si="7"/>
        <v>35777.209922798487</v>
      </c>
    </row>
    <row r="82" spans="1:17">
      <c r="A82" s="91">
        <v>45442</v>
      </c>
      <c r="B82" s="84"/>
      <c r="C82" s="84">
        <f>IF(A82&lt;&gt;"",SUMIFS(Sheet2!D:D,Sheet2!J:J,Forecast!A82),"")</f>
        <v>0</v>
      </c>
      <c r="D82" s="84">
        <f>IF(A82&lt;&gt;"",SUMIFS(Sheet2!K:K,Sheet2!J:J,A82),"")</f>
        <v>0</v>
      </c>
      <c r="E82" s="84"/>
      <c r="F82" s="100">
        <f>IF(A82&lt;&gt;"",SUMIFS('Sales Orders'!D:D,'Sales Orders'!K:K,A82)-SUMIFS('Sales Orders'!R:R,'Sales Orders'!K:K,A82)+SUMIFS('Booking Management'!J:J,'Booking Management'!D:D,A82),"")</f>
        <v>0</v>
      </c>
      <c r="G82" s="100">
        <f>IF(A82&lt;&gt;"",SUMIFS('Sales Orders'!N:N,'Sales Orders'!K:K,A82)-SUMIFS('Sales Orders'!S:S,'Sales Orders'!K:K,A82)+SUMIFS('Booking Management'!Q:Q,'Booking Management'!D:D,A82),"")</f>
        <v>0</v>
      </c>
      <c r="H82" s="84"/>
      <c r="I82" s="84">
        <f t="shared" si="4"/>
        <v>0</v>
      </c>
      <c r="J82" s="103">
        <f t="shared" si="5"/>
        <v>0</v>
      </c>
      <c r="L82" s="97"/>
      <c r="M82" s="97">
        <v>0</v>
      </c>
      <c r="N82" s="97">
        <f t="shared" si="6"/>
        <v>35777.209922798487</v>
      </c>
      <c r="P82" s="97"/>
      <c r="Q82" s="97">
        <f t="shared" si="7"/>
        <v>35777.209922798487</v>
      </c>
    </row>
    <row r="83" spans="1:17">
      <c r="A83" s="91">
        <v>45443</v>
      </c>
      <c r="B83" s="84"/>
      <c r="C83" s="84">
        <f>IF(A83&lt;&gt;"",SUMIFS(Sheet2!D:D,Sheet2!J:J,Forecast!A83),"")</f>
        <v>0</v>
      </c>
      <c r="D83" s="84">
        <f>IF(A83&lt;&gt;"",SUMIFS(Sheet2!K:K,Sheet2!J:J,A83),"")</f>
        <v>0</v>
      </c>
      <c r="E83" s="84"/>
      <c r="F83" s="100">
        <f>IF(A83&lt;&gt;"",SUMIFS('Sales Orders'!D:D,'Sales Orders'!K:K,A83)-SUMIFS('Sales Orders'!R:R,'Sales Orders'!K:K,A83)+SUMIFS('Booking Management'!J:J,'Booking Management'!D:D,A83),"")</f>
        <v>0</v>
      </c>
      <c r="G83" s="100">
        <f>IF(A83&lt;&gt;"",SUMIFS('Sales Orders'!N:N,'Sales Orders'!K:K,A83)-SUMIFS('Sales Orders'!S:S,'Sales Orders'!K:K,A83)+SUMIFS('Booking Management'!Q:Q,'Booking Management'!D:D,A83),"")</f>
        <v>0</v>
      </c>
      <c r="H83" s="84"/>
      <c r="I83" s="84">
        <f t="shared" si="4"/>
        <v>0</v>
      </c>
      <c r="J83" s="103">
        <f t="shared" si="5"/>
        <v>0</v>
      </c>
      <c r="L83" s="97"/>
      <c r="M83" s="97">
        <v>0</v>
      </c>
      <c r="N83" s="97">
        <f t="shared" si="6"/>
        <v>35777.209922798487</v>
      </c>
      <c r="P83" s="97"/>
      <c r="Q83" s="97">
        <f t="shared" si="7"/>
        <v>35777.209922798487</v>
      </c>
    </row>
    <row r="84" spans="1:17">
      <c r="A84" s="91">
        <v>45444</v>
      </c>
      <c r="B84" s="84"/>
      <c r="C84" s="84">
        <f>IF(A84&lt;&gt;"",SUMIFS(Sheet2!D:D,Sheet2!J:J,Forecast!A84),"")</f>
        <v>0</v>
      </c>
      <c r="D84" s="84">
        <f>IF(A84&lt;&gt;"",SUMIFS(Sheet2!K:K,Sheet2!J:J,A84),"")</f>
        <v>0</v>
      </c>
      <c r="E84" s="84"/>
      <c r="F84" s="100">
        <f>IF(A84&lt;&gt;"",SUMIFS('Sales Orders'!D:D,'Sales Orders'!K:K,A84)-SUMIFS('Sales Orders'!R:R,'Sales Orders'!K:K,A84)+SUMIFS('Booking Management'!J:J,'Booking Management'!D:D,A84),"")</f>
        <v>0</v>
      </c>
      <c r="G84" s="100">
        <f>IF(A84&lt;&gt;"",SUMIFS('Sales Orders'!N:N,'Sales Orders'!K:K,A84)-SUMIFS('Sales Orders'!S:S,'Sales Orders'!K:K,A84)+SUMIFS('Booking Management'!Q:Q,'Booking Management'!D:D,A84),"")</f>
        <v>0</v>
      </c>
      <c r="H84" s="84"/>
      <c r="I84" s="84">
        <f t="shared" si="4"/>
        <v>0</v>
      </c>
      <c r="J84" s="103">
        <f t="shared" si="5"/>
        <v>0</v>
      </c>
      <c r="L84" s="97"/>
      <c r="M84" s="97">
        <v>0</v>
      </c>
      <c r="N84" s="97">
        <f t="shared" si="6"/>
        <v>35777.209922798487</v>
      </c>
      <c r="P84" s="97"/>
      <c r="Q84" s="97">
        <f t="shared" si="7"/>
        <v>35777.209922798487</v>
      </c>
    </row>
    <row r="85" spans="1:17">
      <c r="A85" s="91">
        <v>45445</v>
      </c>
      <c r="B85" s="84"/>
      <c r="C85" s="84">
        <f>IF(A85&lt;&gt;"",SUMIFS(Sheet2!D:D,Sheet2!J:J,Forecast!A85),"")</f>
        <v>0</v>
      </c>
      <c r="D85" s="84">
        <f>IF(A85&lt;&gt;"",SUMIFS(Sheet2!K:K,Sheet2!J:J,A85),"")</f>
        <v>0</v>
      </c>
      <c r="E85" s="84"/>
      <c r="F85" s="100">
        <f>IF(A85&lt;&gt;"",SUMIFS('Sales Orders'!D:D,'Sales Orders'!K:K,A85)-SUMIFS('Sales Orders'!R:R,'Sales Orders'!K:K,A85)+SUMIFS('Booking Management'!J:J,'Booking Management'!D:D,A85),"")</f>
        <v>0</v>
      </c>
      <c r="G85" s="100">
        <f>IF(A85&lt;&gt;"",SUMIFS('Sales Orders'!N:N,'Sales Orders'!K:K,A85)-SUMIFS('Sales Orders'!S:S,'Sales Orders'!K:K,A85)+SUMIFS('Booking Management'!Q:Q,'Booking Management'!D:D,A85),"")</f>
        <v>0</v>
      </c>
      <c r="H85" s="84"/>
      <c r="I85" s="84">
        <f t="shared" si="4"/>
        <v>0</v>
      </c>
      <c r="J85" s="103">
        <f t="shared" si="5"/>
        <v>0</v>
      </c>
      <c r="L85" s="97"/>
      <c r="M85" s="97">
        <v>0</v>
      </c>
      <c r="N85" s="97">
        <f t="shared" si="6"/>
        <v>35777.209922798487</v>
      </c>
      <c r="P85" s="97"/>
      <c r="Q85" s="97">
        <f t="shared" si="7"/>
        <v>35777.209922798487</v>
      </c>
    </row>
    <row r="86" spans="1:17">
      <c r="A86" s="91">
        <v>45446</v>
      </c>
      <c r="B86" s="84"/>
      <c r="C86" s="84">
        <f>IF(A86&lt;&gt;"",SUMIFS(Sheet2!D:D,Sheet2!J:J,Forecast!A86),"")</f>
        <v>0</v>
      </c>
      <c r="D86" s="84">
        <f>IF(A86&lt;&gt;"",SUMIFS(Sheet2!K:K,Sheet2!J:J,A86),"")</f>
        <v>0</v>
      </c>
      <c r="E86" s="84"/>
      <c r="F86" s="100">
        <f>IF(A86&lt;&gt;"",SUMIFS('Sales Orders'!D:D,'Sales Orders'!K:K,A86)-SUMIFS('Sales Orders'!R:R,'Sales Orders'!K:K,A86)+SUMIFS('Booking Management'!J:J,'Booking Management'!D:D,A86),"")</f>
        <v>0</v>
      </c>
      <c r="G86" s="100">
        <f>IF(A86&lt;&gt;"",SUMIFS('Sales Orders'!N:N,'Sales Orders'!K:K,A86)-SUMIFS('Sales Orders'!S:S,'Sales Orders'!K:K,A86)+SUMIFS('Booking Management'!Q:Q,'Booking Management'!D:D,A86),"")</f>
        <v>0</v>
      </c>
      <c r="H86" s="84"/>
      <c r="I86" s="84">
        <f t="shared" si="4"/>
        <v>0</v>
      </c>
      <c r="J86" s="103">
        <f t="shared" si="5"/>
        <v>0</v>
      </c>
      <c r="L86" s="97"/>
      <c r="M86" s="97">
        <v>0</v>
      </c>
      <c r="N86" s="97">
        <f t="shared" si="6"/>
        <v>35777.209922798487</v>
      </c>
      <c r="P86" s="97"/>
      <c r="Q86" s="97">
        <f t="shared" si="7"/>
        <v>35777.209922798487</v>
      </c>
    </row>
    <row r="87" spans="1:17">
      <c r="A87" s="91">
        <v>45447</v>
      </c>
      <c r="B87" s="84"/>
      <c r="C87" s="84">
        <f>IF(A87&lt;&gt;"",SUMIFS(Sheet2!D:D,Sheet2!J:J,Forecast!A87),"")</f>
        <v>0</v>
      </c>
      <c r="D87" s="84">
        <f>IF(A87&lt;&gt;"",SUMIFS(Sheet2!K:K,Sheet2!J:J,A87),"")</f>
        <v>0</v>
      </c>
      <c r="E87" s="84"/>
      <c r="F87" s="100">
        <f>IF(A87&lt;&gt;"",SUMIFS('Sales Orders'!D:D,'Sales Orders'!K:K,A87)-SUMIFS('Sales Orders'!R:R,'Sales Orders'!K:K,A87)+SUMIFS('Booking Management'!J:J,'Booking Management'!D:D,A87),"")</f>
        <v>0</v>
      </c>
      <c r="G87" s="100">
        <f>IF(A87&lt;&gt;"",SUMIFS('Sales Orders'!N:N,'Sales Orders'!K:K,A87)-SUMIFS('Sales Orders'!S:S,'Sales Orders'!K:K,A87)+SUMIFS('Booking Management'!Q:Q,'Booking Management'!D:D,A87),"")</f>
        <v>0</v>
      </c>
      <c r="H87" s="84"/>
      <c r="I87" s="84">
        <f t="shared" si="4"/>
        <v>0</v>
      </c>
      <c r="J87" s="103">
        <f t="shared" si="5"/>
        <v>0</v>
      </c>
      <c r="L87" s="97"/>
      <c r="M87" s="97">
        <v>0</v>
      </c>
      <c r="N87" s="97">
        <f t="shared" si="6"/>
        <v>35777.209922798487</v>
      </c>
      <c r="P87" s="97"/>
      <c r="Q87" s="97">
        <f t="shared" si="7"/>
        <v>35777.209922798487</v>
      </c>
    </row>
    <row r="88" spans="1:17">
      <c r="A88" s="91">
        <v>45448</v>
      </c>
      <c r="B88" s="84"/>
      <c r="C88" s="84">
        <f>IF(A88&lt;&gt;"",SUMIFS(Sheet2!D:D,Sheet2!J:J,Forecast!A88),"")</f>
        <v>0</v>
      </c>
      <c r="D88" s="84">
        <f>IF(A88&lt;&gt;"",SUMIFS(Sheet2!K:K,Sheet2!J:J,A88),"")</f>
        <v>0</v>
      </c>
      <c r="E88" s="84"/>
      <c r="F88" s="100">
        <f>IF(A88&lt;&gt;"",SUMIFS('Sales Orders'!D:D,'Sales Orders'!K:K,A88)-SUMIFS('Sales Orders'!R:R,'Sales Orders'!K:K,A88)+SUMIFS('Booking Management'!J:J,'Booking Management'!D:D,A88),"")</f>
        <v>0</v>
      </c>
      <c r="G88" s="100">
        <f>IF(A88&lt;&gt;"",SUMIFS('Sales Orders'!N:N,'Sales Orders'!K:K,A88)-SUMIFS('Sales Orders'!S:S,'Sales Orders'!K:K,A88)+SUMIFS('Booking Management'!Q:Q,'Booking Management'!D:D,A88),"")</f>
        <v>0</v>
      </c>
      <c r="H88" s="84"/>
      <c r="I88" s="84">
        <f t="shared" si="4"/>
        <v>0</v>
      </c>
      <c r="J88" s="103">
        <f t="shared" si="5"/>
        <v>0</v>
      </c>
      <c r="L88" s="97"/>
      <c r="M88" s="97">
        <v>0</v>
      </c>
      <c r="N88" s="97">
        <f t="shared" si="6"/>
        <v>35777.209922798487</v>
      </c>
      <c r="P88" s="97"/>
      <c r="Q88" s="97">
        <f t="shared" si="7"/>
        <v>35777.209922798487</v>
      </c>
    </row>
    <row r="89" spans="1:17">
      <c r="A89" s="91">
        <v>45449</v>
      </c>
      <c r="B89" s="84"/>
      <c r="C89" s="84">
        <f>IF(A89&lt;&gt;"",SUMIFS(Sheet2!D:D,Sheet2!J:J,Forecast!A89),"")</f>
        <v>0</v>
      </c>
      <c r="D89" s="84">
        <f>IF(A89&lt;&gt;"",SUMIFS(Sheet2!K:K,Sheet2!J:J,A89),"")</f>
        <v>0</v>
      </c>
      <c r="E89" s="84"/>
      <c r="F89" s="100">
        <f>IF(A89&lt;&gt;"",SUMIFS('Sales Orders'!D:D,'Sales Orders'!K:K,A89)-SUMIFS('Sales Orders'!R:R,'Sales Orders'!K:K,A89)+SUMIFS('Booking Management'!J:J,'Booking Management'!D:D,A89),"")</f>
        <v>0</v>
      </c>
      <c r="G89" s="100">
        <f>IF(A89&lt;&gt;"",SUMIFS('Sales Orders'!N:N,'Sales Orders'!K:K,A89)-SUMIFS('Sales Orders'!S:S,'Sales Orders'!K:K,A89)+SUMIFS('Booking Management'!Q:Q,'Booking Management'!D:D,A89),"")</f>
        <v>0</v>
      </c>
      <c r="H89" s="84"/>
      <c r="I89" s="84">
        <f t="shared" si="4"/>
        <v>0</v>
      </c>
      <c r="J89" s="103">
        <f t="shared" si="5"/>
        <v>0</v>
      </c>
      <c r="L89" s="97"/>
      <c r="M89" s="97">
        <v>0</v>
      </c>
      <c r="N89" s="97">
        <f t="shared" si="6"/>
        <v>35777.209922798487</v>
      </c>
      <c r="P89" s="97"/>
      <c r="Q89" s="97">
        <f t="shared" si="7"/>
        <v>35777.209922798487</v>
      </c>
    </row>
    <row r="90" spans="1:17">
      <c r="A90" s="91">
        <v>45450</v>
      </c>
      <c r="B90" s="84"/>
      <c r="C90" s="84">
        <f>IF(A90&lt;&gt;"",SUMIFS(Sheet2!D:D,Sheet2!J:J,Forecast!A90),"")</f>
        <v>0</v>
      </c>
      <c r="D90" s="84">
        <f>IF(A90&lt;&gt;"",SUMIFS(Sheet2!K:K,Sheet2!J:J,A90),"")</f>
        <v>0</v>
      </c>
      <c r="E90" s="84"/>
      <c r="F90" s="100">
        <f>IF(A90&lt;&gt;"",SUMIFS('Sales Orders'!D:D,'Sales Orders'!K:K,A90)-SUMIFS('Sales Orders'!R:R,'Sales Orders'!K:K,A90)+SUMIFS('Booking Management'!J:J,'Booking Management'!D:D,A90),"")</f>
        <v>0</v>
      </c>
      <c r="G90" s="100">
        <f>IF(A90&lt;&gt;"",SUMIFS('Sales Orders'!N:N,'Sales Orders'!K:K,A90)-SUMIFS('Sales Orders'!S:S,'Sales Orders'!K:K,A90)+SUMIFS('Booking Management'!Q:Q,'Booking Management'!D:D,A90),"")</f>
        <v>0</v>
      </c>
      <c r="H90" s="84"/>
      <c r="I90" s="84">
        <f t="shared" si="4"/>
        <v>0</v>
      </c>
      <c r="J90" s="103">
        <f t="shared" si="5"/>
        <v>0</v>
      </c>
      <c r="L90" s="97"/>
      <c r="M90" s="97">
        <v>0</v>
      </c>
      <c r="N90" s="97">
        <f t="shared" si="6"/>
        <v>35777.209922798487</v>
      </c>
      <c r="P90" s="97"/>
      <c r="Q90" s="97">
        <f t="shared" si="7"/>
        <v>35777.209922798487</v>
      </c>
    </row>
    <row r="91" spans="1:17">
      <c r="A91" s="91">
        <v>45451</v>
      </c>
      <c r="B91" s="84"/>
      <c r="C91" s="84">
        <f>IF(A91&lt;&gt;"",SUMIFS(Sheet2!D:D,Sheet2!J:J,Forecast!A91),"")</f>
        <v>0</v>
      </c>
      <c r="D91" s="84">
        <f>IF(A91&lt;&gt;"",SUMIFS(Sheet2!K:K,Sheet2!J:J,A91),"")</f>
        <v>0</v>
      </c>
      <c r="E91" s="84"/>
      <c r="F91" s="100">
        <f>IF(A91&lt;&gt;"",SUMIFS('Sales Orders'!D:D,'Sales Orders'!K:K,A91)-SUMIFS('Sales Orders'!R:R,'Sales Orders'!K:K,A91)+SUMIFS('Booking Management'!J:J,'Booking Management'!D:D,A91),"")</f>
        <v>0</v>
      </c>
      <c r="G91" s="100">
        <f>IF(A91&lt;&gt;"",SUMIFS('Sales Orders'!N:N,'Sales Orders'!K:K,A91)-SUMIFS('Sales Orders'!S:S,'Sales Orders'!K:K,A91)+SUMIFS('Booking Management'!Q:Q,'Booking Management'!D:D,A91),"")</f>
        <v>0</v>
      </c>
      <c r="H91" s="84"/>
      <c r="I91" s="84">
        <f t="shared" si="4"/>
        <v>0</v>
      </c>
      <c r="J91" s="103">
        <f t="shared" si="5"/>
        <v>0</v>
      </c>
      <c r="L91" s="97"/>
      <c r="M91" s="97">
        <v>0</v>
      </c>
      <c r="N91" s="97">
        <f t="shared" si="6"/>
        <v>35777.209922798487</v>
      </c>
      <c r="P91" s="97"/>
      <c r="Q91" s="97">
        <f t="shared" si="7"/>
        <v>35777.209922798487</v>
      </c>
    </row>
    <row r="92" spans="1:17">
      <c r="A92" s="91">
        <v>45452</v>
      </c>
      <c r="B92" s="84"/>
      <c r="C92" s="84">
        <f>IF(A92&lt;&gt;"",SUMIFS(Sheet2!D:D,Sheet2!J:J,Forecast!A92),"")</f>
        <v>0</v>
      </c>
      <c r="D92" s="84">
        <f>IF(A92&lt;&gt;"",SUMIFS(Sheet2!K:K,Sheet2!J:J,A92),"")</f>
        <v>0</v>
      </c>
      <c r="E92" s="84"/>
      <c r="F92" s="100">
        <f>IF(A92&lt;&gt;"",SUMIFS('Sales Orders'!D:D,'Sales Orders'!K:K,A92)-SUMIFS('Sales Orders'!R:R,'Sales Orders'!K:K,A92)+SUMIFS('Booking Management'!J:J,'Booking Management'!D:D,A92),"")</f>
        <v>0</v>
      </c>
      <c r="G92" s="100">
        <f>IF(A92&lt;&gt;"",SUMIFS('Sales Orders'!N:N,'Sales Orders'!K:K,A92)-SUMIFS('Sales Orders'!S:S,'Sales Orders'!K:K,A92)+SUMIFS('Booking Management'!Q:Q,'Booking Management'!D:D,A92),"")</f>
        <v>0</v>
      </c>
      <c r="H92" s="84"/>
      <c r="I92" s="84">
        <f t="shared" si="4"/>
        <v>0</v>
      </c>
      <c r="J92" s="103">
        <f t="shared" si="5"/>
        <v>0</v>
      </c>
      <c r="L92" s="97"/>
      <c r="M92" s="97">
        <v>0</v>
      </c>
      <c r="N92" s="97">
        <f t="shared" si="6"/>
        <v>35777.209922798487</v>
      </c>
      <c r="P92" s="97"/>
      <c r="Q92" s="97">
        <f t="shared" si="7"/>
        <v>35777.209922798487</v>
      </c>
    </row>
    <row r="93" spans="1:17">
      <c r="A93" s="91">
        <v>45453</v>
      </c>
      <c r="B93" s="84"/>
      <c r="C93" s="84">
        <f>IF(A93&lt;&gt;"",SUMIFS(Sheet2!D:D,Sheet2!J:J,Forecast!A93),"")</f>
        <v>0</v>
      </c>
      <c r="D93" s="84">
        <f>IF(A93&lt;&gt;"",SUMIFS(Sheet2!K:K,Sheet2!J:J,A93),"")</f>
        <v>0</v>
      </c>
      <c r="E93" s="84"/>
      <c r="F93" s="100">
        <f>IF(A93&lt;&gt;"",SUMIFS('Sales Orders'!D:D,'Sales Orders'!K:K,A93)-SUMIFS('Sales Orders'!R:R,'Sales Orders'!K:K,A93)+SUMIFS('Booking Management'!J:J,'Booking Management'!D:D,A93),"")</f>
        <v>0</v>
      </c>
      <c r="G93" s="100">
        <f>IF(A93&lt;&gt;"",SUMIFS('Sales Orders'!N:N,'Sales Orders'!K:K,A93)-SUMIFS('Sales Orders'!S:S,'Sales Orders'!K:K,A93)+SUMIFS('Booking Management'!Q:Q,'Booking Management'!D:D,A93),"")</f>
        <v>0</v>
      </c>
      <c r="H93" s="84"/>
      <c r="I93" s="84">
        <f t="shared" si="4"/>
        <v>0</v>
      </c>
      <c r="J93" s="103">
        <f t="shared" si="5"/>
        <v>0</v>
      </c>
      <c r="L93" s="97"/>
      <c r="M93" s="97">
        <v>0</v>
      </c>
      <c r="N93" s="97">
        <f t="shared" si="6"/>
        <v>35777.209922798487</v>
      </c>
      <c r="P93" s="97"/>
      <c r="Q93" s="97">
        <f t="shared" si="7"/>
        <v>35777.209922798487</v>
      </c>
    </row>
    <row r="94" spans="1:17">
      <c r="A94" s="91">
        <v>45454</v>
      </c>
      <c r="B94" s="84"/>
      <c r="C94" s="84">
        <f>IF(A94&lt;&gt;"",SUMIFS(Sheet2!D:D,Sheet2!J:J,Forecast!A94),"")</f>
        <v>0</v>
      </c>
      <c r="D94" s="84">
        <f>IF(A94&lt;&gt;"",SUMIFS(Sheet2!K:K,Sheet2!J:J,A94),"")</f>
        <v>0</v>
      </c>
      <c r="E94" s="84"/>
      <c r="F94" s="100">
        <f>IF(A94&lt;&gt;"",SUMIFS('Sales Orders'!D:D,'Sales Orders'!K:K,A94)-SUMIFS('Sales Orders'!R:R,'Sales Orders'!K:K,A94)+SUMIFS('Booking Management'!J:J,'Booking Management'!D:D,A94),"")</f>
        <v>0</v>
      </c>
      <c r="G94" s="100">
        <f>IF(A94&lt;&gt;"",SUMIFS('Sales Orders'!N:N,'Sales Orders'!K:K,A94)-SUMIFS('Sales Orders'!S:S,'Sales Orders'!K:K,A94)+SUMIFS('Booking Management'!Q:Q,'Booking Management'!D:D,A94),"")</f>
        <v>0</v>
      </c>
      <c r="H94" s="84"/>
      <c r="I94" s="84">
        <f t="shared" si="4"/>
        <v>0</v>
      </c>
      <c r="J94" s="103">
        <f t="shared" si="5"/>
        <v>0</v>
      </c>
      <c r="L94" s="97"/>
      <c r="M94" s="97">
        <v>0</v>
      </c>
      <c r="N94" s="97">
        <f t="shared" si="6"/>
        <v>35777.209922798487</v>
      </c>
      <c r="P94" s="97"/>
      <c r="Q94" s="97">
        <f t="shared" si="7"/>
        <v>35777.209922798487</v>
      </c>
    </row>
    <row r="95" spans="1:17">
      <c r="A95" s="84"/>
      <c r="B95" s="84"/>
      <c r="C95" s="84" t="str">
        <f>IF(A95&lt;&gt;"",SUMIFS(Sheet2!D:D,Sheet2!J:J,Forecast!A95),"")</f>
        <v/>
      </c>
      <c r="D95" s="84" t="str">
        <f>IF(A95&lt;&gt;"",SUMIFS(Sheet2!K:K,Sheet2!J:J,A95),"")</f>
        <v/>
      </c>
      <c r="E95" s="84"/>
      <c r="F95" s="100" t="str">
        <f>IF(A95&lt;&gt;"",SUMIFS('Sales Orders'!D:D,'Sales Orders'!K:K,A95)-SUMIFS('Sales Orders'!R:R,'Sales Orders'!K:K,A95)+SUMIFS('Booking Management'!J:J,'Booking Management'!D:D,A95),"")</f>
        <v/>
      </c>
      <c r="G95" s="100" t="str">
        <f>IF(A95&lt;&gt;"",SUMIFS('Sales Orders'!N:N,'Sales Orders'!K:K,A95)-SUMIFS('Sales Orders'!S:S,'Sales Orders'!K:K,A95)+SUMIFS('Booking Management'!Q:Q,'Booking Management'!D:D,A95),"")</f>
        <v/>
      </c>
      <c r="H95" s="84"/>
      <c r="I95" s="84" t="str">
        <f t="shared" si="4"/>
        <v/>
      </c>
      <c r="J95" s="103" t="str">
        <f t="shared" si="5"/>
        <v/>
      </c>
      <c r="L95" s="84"/>
      <c r="M95" s="84"/>
      <c r="N95" s="97" t="str">
        <f t="shared" si="6"/>
        <v/>
      </c>
      <c r="P95" s="84"/>
      <c r="Q95" s="97" t="str">
        <f t="shared" si="7"/>
        <v/>
      </c>
    </row>
  </sheetData>
  <sheetProtection sheet="1" objects="1" scenarios="1" formatCells="0" formatColumns="0" formatRows="0" sort="0" autoFilter="0"/>
  <dataValidations count="3">
    <dataValidation type="whole" allowBlank="1" showInputMessage="1" showErrorMessage="1" sqref="B3 M3" xr:uid="{3B7CCB83-FEC1-49E9-88D4-DA611E0E045F}">
      <formula1>0</formula1>
      <formula2>90</formula2>
    </dataValidation>
    <dataValidation type="list" allowBlank="1" showInputMessage="1" showErrorMessage="1" sqref="L1" xr:uid="{D175F1CE-EC9C-4242-B64E-DC5086634AA0}">
      <formula1>"Tag,Code"</formula1>
    </dataValidation>
    <dataValidation type="list" allowBlank="1" showInputMessage="1" showErrorMessage="1" sqref="N1" xr:uid="{C553EE7E-F25C-47F8-A7F6-D21135398C3A}">
      <formula1>INDIRECT($L$1)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_xludf.Forecast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99E58-4517-4E99-8256-FA77AEE80083}">
  <sheetPr codeName="Sheet17"/>
  <dimension ref="A1:M20"/>
  <sheetViews>
    <sheetView topLeftCell="G2" workbookViewId="0">
      <selection activeCell="O2" sqref="O2"/>
    </sheetView>
  </sheetViews>
  <sheetFormatPr defaultColWidth="19.42578125" defaultRowHeight="15"/>
  <sheetData>
    <row r="1" spans="1:13" s="17" customFormat="1">
      <c r="A1" s="17" t="s">
        <v>7</v>
      </c>
      <c r="B1" s="17" t="s">
        <v>363</v>
      </c>
      <c r="C1" s="17" t="s">
        <v>364</v>
      </c>
      <c r="D1" s="17" t="s">
        <v>313</v>
      </c>
      <c r="E1" s="17" t="s">
        <v>365</v>
      </c>
      <c r="G1" s="17" t="s">
        <v>366</v>
      </c>
      <c r="H1" s="17" t="s">
        <v>367</v>
      </c>
      <c r="I1" s="17" t="s">
        <v>7</v>
      </c>
      <c r="J1" s="17" t="s">
        <v>368</v>
      </c>
      <c r="K1" s="17" t="s">
        <v>364</v>
      </c>
      <c r="L1" s="17" t="s">
        <v>313</v>
      </c>
      <c r="M1" s="17" t="s">
        <v>365</v>
      </c>
    </row>
    <row r="2" spans="1:13">
      <c r="B2">
        <v>1</v>
      </c>
      <c r="C2" t="s">
        <v>108</v>
      </c>
      <c r="D2">
        <v>6000</v>
      </c>
      <c r="E2" t="s">
        <v>369</v>
      </c>
      <c r="F2">
        <f>COUNTIF(H:H,G2)</f>
        <v>0</v>
      </c>
      <c r="G2" t="s">
        <v>45</v>
      </c>
      <c r="H2" t="s">
        <v>48</v>
      </c>
      <c r="I2" s="89">
        <f ca="1">TODAY()</f>
        <v>45405</v>
      </c>
      <c r="J2">
        <v>1</v>
      </c>
      <c r="K2" t="s">
        <v>108</v>
      </c>
      <c r="L2" s="134">
        <v>6000</v>
      </c>
      <c r="M2" t="s">
        <v>370</v>
      </c>
    </row>
    <row r="3" spans="1:13">
      <c r="F3">
        <f t="shared" ref="F3:F20" si="0">COUNTIF(H:H,G3)</f>
        <v>0</v>
      </c>
      <c r="G3" t="s">
        <v>46</v>
      </c>
      <c r="H3" t="s">
        <v>49</v>
      </c>
    </row>
    <row r="4" spans="1:13">
      <c r="F4">
        <f t="shared" si="0"/>
        <v>0</v>
      </c>
      <c r="G4" t="s">
        <v>47</v>
      </c>
      <c r="H4" t="s">
        <v>50</v>
      </c>
    </row>
    <row r="5" spans="1:13">
      <c r="F5">
        <f t="shared" si="0"/>
        <v>1</v>
      </c>
      <c r="G5" t="s">
        <v>48</v>
      </c>
      <c r="H5" t="s">
        <v>51</v>
      </c>
    </row>
    <row r="6" spans="1:13">
      <c r="F6">
        <f t="shared" si="0"/>
        <v>1</v>
      </c>
      <c r="G6" t="s">
        <v>49</v>
      </c>
      <c r="H6" t="s">
        <v>51</v>
      </c>
    </row>
    <row r="7" spans="1:13">
      <c r="F7">
        <f t="shared" si="0"/>
        <v>1</v>
      </c>
      <c r="G7" t="s">
        <v>50</v>
      </c>
      <c r="H7" t="s">
        <v>52</v>
      </c>
    </row>
    <row r="8" spans="1:13">
      <c r="F8">
        <f t="shared" si="0"/>
        <v>2</v>
      </c>
      <c r="G8" t="s">
        <v>51</v>
      </c>
      <c r="H8" t="s">
        <v>53</v>
      </c>
    </row>
    <row r="9" spans="1:13">
      <c r="F9">
        <f t="shared" si="0"/>
        <v>2</v>
      </c>
      <c r="G9" t="s">
        <v>51</v>
      </c>
      <c r="H9" t="s">
        <v>54</v>
      </c>
    </row>
    <row r="10" spans="1:13">
      <c r="F10">
        <f t="shared" si="0"/>
        <v>1</v>
      </c>
      <c r="G10" t="s">
        <v>52</v>
      </c>
      <c r="H10" t="s">
        <v>55</v>
      </c>
    </row>
    <row r="11" spans="1:13">
      <c r="F11">
        <f t="shared" si="0"/>
        <v>1</v>
      </c>
      <c r="G11" t="s">
        <v>53</v>
      </c>
      <c r="H11" t="s">
        <v>56</v>
      </c>
    </row>
    <row r="12" spans="1:13">
      <c r="F12">
        <f t="shared" si="0"/>
        <v>1</v>
      </c>
      <c r="G12" t="s">
        <v>54</v>
      </c>
      <c r="H12" t="s">
        <v>57</v>
      </c>
    </row>
    <row r="13" spans="1:13">
      <c r="F13">
        <f t="shared" si="0"/>
        <v>1</v>
      </c>
      <c r="G13" t="s">
        <v>55</v>
      </c>
      <c r="H13" t="s">
        <v>57</v>
      </c>
    </row>
    <row r="14" spans="1:13">
      <c r="F14">
        <f t="shared" si="0"/>
        <v>1</v>
      </c>
      <c r="G14" t="s">
        <v>56</v>
      </c>
      <c r="H14" t="s">
        <v>58</v>
      </c>
    </row>
    <row r="15" spans="1:13">
      <c r="F15">
        <f t="shared" si="0"/>
        <v>2</v>
      </c>
      <c r="G15" t="s">
        <v>57</v>
      </c>
      <c r="H15" t="s">
        <v>59</v>
      </c>
    </row>
    <row r="16" spans="1:13">
      <c r="F16">
        <f t="shared" si="0"/>
        <v>2</v>
      </c>
      <c r="G16" t="s">
        <v>57</v>
      </c>
      <c r="H16" t="s">
        <v>60</v>
      </c>
    </row>
    <row r="17" spans="6:8">
      <c r="F17">
        <f t="shared" si="0"/>
        <v>1</v>
      </c>
      <c r="G17" t="s">
        <v>58</v>
      </c>
      <c r="H17" t="s">
        <v>61</v>
      </c>
    </row>
    <row r="18" spans="6:8">
      <c r="F18">
        <f t="shared" si="0"/>
        <v>1</v>
      </c>
      <c r="G18" t="s">
        <v>59</v>
      </c>
    </row>
    <row r="19" spans="6:8">
      <c r="F19">
        <f t="shared" si="0"/>
        <v>1</v>
      </c>
      <c r="G19" t="s">
        <v>60</v>
      </c>
    </row>
    <row r="20" spans="6:8">
      <c r="F20">
        <f t="shared" si="0"/>
        <v>1</v>
      </c>
      <c r="G20" t="s">
        <v>61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3E275-879D-4EE4-AEA1-0D224559DCE1}">
  <sheetPr codeName="Sheet9"/>
  <dimension ref="A1:E1"/>
  <sheetViews>
    <sheetView workbookViewId="0">
      <selection activeCell="C4" sqref="C4"/>
    </sheetView>
  </sheetViews>
  <sheetFormatPr defaultColWidth="9.140625" defaultRowHeight="15"/>
  <cols>
    <col min="1" max="1" width="18.140625" style="2" bestFit="1" customWidth="1"/>
    <col min="2" max="2" width="5.140625" style="2" bestFit="1" customWidth="1"/>
    <col min="3" max="3" width="15.42578125" style="2" bestFit="1" customWidth="1"/>
    <col min="4" max="4" width="19.85546875" style="2" bestFit="1" customWidth="1"/>
    <col min="5" max="5" width="6.42578125" style="2" bestFit="1" customWidth="1"/>
    <col min="6" max="16384" width="9.140625" style="2"/>
  </cols>
  <sheetData>
    <row r="1" spans="1:5" s="18" customFormat="1">
      <c r="A1" s="17"/>
      <c r="B1" s="17"/>
      <c r="C1" s="17"/>
      <c r="D1" s="17"/>
      <c r="E1" s="17"/>
    </row>
  </sheetData>
  <sheetProtection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971A-9A75-42C2-B8B3-BA1E1E9D3D7D}">
  <sheetPr codeName="Sheet5"/>
  <dimension ref="F11:G11"/>
  <sheetViews>
    <sheetView workbookViewId="0">
      <selection activeCell="G11" sqref="G11"/>
    </sheetView>
  </sheetViews>
  <sheetFormatPr defaultRowHeight="15"/>
  <cols>
    <col min="6" max="6" width="10.85546875" bestFit="1" customWidth="1"/>
  </cols>
  <sheetData>
    <row r="11" spans="6:7">
      <c r="F11" t="s">
        <v>371</v>
      </c>
      <c r="G11">
        <f>COUNTA(Sheet2!C:C)</f>
        <v>1692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Advance</vt:lpstr>
      <vt:lpstr>Dashboard</vt:lpstr>
      <vt:lpstr>Checklist</vt:lpstr>
      <vt:lpstr>Document Workflow</vt:lpstr>
      <vt:lpstr>Sheet2</vt:lpstr>
      <vt:lpstr>Sheet20</vt:lpstr>
      <vt:lpstr>Sales Orders</vt:lpstr>
      <vt:lpstr>Booking Management</vt:lpstr>
      <vt:lpstr>Engine</vt:lpstr>
      <vt:lpstr>Confirmation &amp; Approvals</vt:lpstr>
      <vt:lpstr>Pending Approvals</vt:lpstr>
      <vt:lpstr>Inventory</vt:lpstr>
      <vt:lpstr>Inventory Breakdown</vt:lpstr>
      <vt:lpstr>Master Database</vt:lpstr>
      <vt:lpstr>Forecast</vt:lpstr>
      <vt:lpstr>Sheet3</vt:lpstr>
      <vt:lpstr>Pending Approvals Engine</vt:lpstr>
      <vt:lpstr>Sheet10</vt:lpstr>
      <vt:lpstr>Contract_Status</vt:lpstr>
      <vt:lpstr>Expected_Arrived</vt:lpstr>
      <vt:lpstr>Net_Due</vt:lpstr>
      <vt:lpstr>PI_Opt</vt:lpstr>
      <vt:lpstr>Sheet2!Print_Titles</vt:lpstr>
      <vt:lpstr>Weight_Units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Mohit Khosla</cp:lastModifiedBy>
  <cp:revision/>
  <cp:lastPrinted>2024-01-20T10:19:06Z</cp:lastPrinted>
  <dcterms:created xsi:type="dcterms:W3CDTF">2018-02-12T01:20:38Z</dcterms:created>
  <dcterms:modified xsi:type="dcterms:W3CDTF">2024-04-23T09:50:25Z</dcterms:modified>
  <cp:category/>
  <cp:contentStatus/>
</cp:coreProperties>
</file>